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1 TTSS\1 xaml changes\Production Reports Framework June8\Template\SL\SL\"/>
    </mc:Choice>
  </mc:AlternateContent>
  <xr:revisionPtr revIDLastSave="0" documentId="13_ncr:1_{C75BF679-B225-4009-84D2-07A7EAF934A8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Graphs" sheetId="22" r:id="rId1"/>
    <sheet name="Data" sheetId="10" r:id="rId2"/>
    <sheet name="Sheet2" sheetId="23" state="hidden" r:id="rId3"/>
    <sheet name="MONTHLY REPORT SHIFT WISE" sheetId="27" r:id="rId4"/>
    <sheet name="Sheet 1" sheetId="25" r:id="rId5"/>
    <sheet name="shift wise graph" sheetId="28" r:id="rId6"/>
  </sheets>
  <definedNames>
    <definedName name="_L11">#REF!</definedName>
    <definedName name="_L12">#REF!</definedName>
    <definedName name="_L51">#REF!</definedName>
    <definedName name="_L52">#REF!</definedName>
    <definedName name="L1T">#REF!</definedName>
    <definedName name="L5T">#REF!</definedName>
    <definedName name="_xlnm.Print_Area" localSheetId="1">Data!$B$1:$AN$38</definedName>
    <definedName name="_xlnm.Print_Area" localSheetId="3">'MONTHLY REPORT SHIFT WISE'!$B$1:$AN$37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74" i="22" l="1"/>
  <c r="AW5" i="27"/>
  <c r="AE16" i="10" l="1"/>
  <c r="AE34" i="10"/>
  <c r="AE33" i="10"/>
  <c r="AE32" i="10"/>
  <c r="AE31" i="10"/>
  <c r="AE30" i="10"/>
  <c r="AE29" i="10"/>
  <c r="AE28" i="10"/>
  <c r="AE27" i="10"/>
  <c r="AE26" i="10"/>
  <c r="AE25" i="10"/>
  <c r="AE24" i="10"/>
  <c r="AE23" i="10"/>
  <c r="AE22" i="10"/>
  <c r="AE21" i="10"/>
  <c r="AE20" i="10"/>
  <c r="AE19" i="10"/>
  <c r="AE18" i="10"/>
  <c r="AE17" i="10"/>
  <c r="AE15" i="10"/>
  <c r="AE14" i="10"/>
  <c r="AE13" i="10"/>
  <c r="AE12" i="10"/>
  <c r="AE11" i="10"/>
  <c r="AE10" i="10"/>
  <c r="AE9" i="10"/>
  <c r="AE8" i="10"/>
  <c r="AE7" i="10"/>
  <c r="AE6" i="10"/>
  <c r="AE5" i="10"/>
  <c r="AE4" i="10"/>
  <c r="X34" i="10"/>
  <c r="X33" i="10"/>
  <c r="X32" i="10"/>
  <c r="X31" i="10"/>
  <c r="X30" i="10"/>
  <c r="X29" i="10"/>
  <c r="X28" i="10"/>
  <c r="X27" i="10"/>
  <c r="X26" i="10"/>
  <c r="X25" i="10"/>
  <c r="X24" i="10"/>
  <c r="X23" i="10"/>
  <c r="X22" i="10"/>
  <c r="X21" i="10"/>
  <c r="X20" i="10"/>
  <c r="X19" i="10"/>
  <c r="X18" i="10"/>
  <c r="X17" i="10"/>
  <c r="X16" i="10"/>
  <c r="X15" i="10"/>
  <c r="X14" i="10"/>
  <c r="X13" i="10"/>
  <c r="X12" i="10"/>
  <c r="X11" i="10"/>
  <c r="X10" i="10"/>
  <c r="X9" i="10"/>
  <c r="X8" i="10"/>
  <c r="X7" i="10"/>
  <c r="X6" i="10"/>
  <c r="X5" i="10"/>
  <c r="X4" i="10"/>
  <c r="AL76" i="27"/>
  <c r="AL84" i="27"/>
  <c r="AL92" i="27"/>
  <c r="AL100" i="27"/>
  <c r="AL41" i="27"/>
  <c r="AL46" i="27"/>
  <c r="AL49" i="27"/>
  <c r="AL54" i="27"/>
  <c r="AL57" i="27"/>
  <c r="AL62" i="27"/>
  <c r="AL65" i="27"/>
  <c r="AL8" i="27"/>
  <c r="AL13" i="27"/>
  <c r="AL16" i="27"/>
  <c r="AL21" i="27"/>
  <c r="AL24" i="27"/>
  <c r="AL29" i="27"/>
  <c r="AL32" i="27"/>
  <c r="AH76" i="27"/>
  <c r="AH77" i="27"/>
  <c r="AH78" i="27"/>
  <c r="AH79" i="27"/>
  <c r="AH80" i="27"/>
  <c r="AH81" i="27"/>
  <c r="AH82" i="27"/>
  <c r="AH83" i="27"/>
  <c r="AH84" i="27"/>
  <c r="AH85" i="27"/>
  <c r="AH86" i="27"/>
  <c r="AH87" i="27"/>
  <c r="AH88" i="27"/>
  <c r="AH89" i="27"/>
  <c r="AH90" i="27"/>
  <c r="AH91" i="27"/>
  <c r="AH92" i="27"/>
  <c r="AH93" i="27"/>
  <c r="AH94" i="27"/>
  <c r="AH95" i="27"/>
  <c r="AH96" i="27"/>
  <c r="AH97" i="27"/>
  <c r="AH98" i="27"/>
  <c r="AH99" i="27"/>
  <c r="AH100" i="27"/>
  <c r="AH101" i="27"/>
  <c r="AH102" i="27"/>
  <c r="AH103" i="27"/>
  <c r="AH104" i="27"/>
  <c r="AH105" i="27"/>
  <c r="AH75" i="27"/>
  <c r="AH40" i="27"/>
  <c r="AH41" i="27"/>
  <c r="AH42" i="27"/>
  <c r="AH43" i="27"/>
  <c r="AH44" i="27"/>
  <c r="AH45" i="27"/>
  <c r="AH46" i="27"/>
  <c r="AH47" i="27"/>
  <c r="AH48" i="27"/>
  <c r="AH49" i="27"/>
  <c r="AH50" i="27"/>
  <c r="AH51" i="27"/>
  <c r="AH52" i="27"/>
  <c r="AH53" i="27"/>
  <c r="AH54" i="27"/>
  <c r="AH55" i="27"/>
  <c r="AH56" i="27"/>
  <c r="AH57" i="27"/>
  <c r="AH58" i="27"/>
  <c r="AH59" i="27"/>
  <c r="AH60" i="27"/>
  <c r="AH61" i="27"/>
  <c r="AH62" i="27"/>
  <c r="AH63" i="27"/>
  <c r="AH64" i="27"/>
  <c r="AH65" i="27"/>
  <c r="AH66" i="27"/>
  <c r="AH67" i="27"/>
  <c r="AH68" i="27"/>
  <c r="AH69" i="27"/>
  <c r="AH39" i="27"/>
  <c r="AH5" i="27"/>
  <c r="AH6" i="27"/>
  <c r="AH7" i="27"/>
  <c r="AH8" i="27"/>
  <c r="AH9" i="27"/>
  <c r="AH10" i="27"/>
  <c r="AH11" i="27"/>
  <c r="AH12" i="27"/>
  <c r="AH13" i="27"/>
  <c r="AH14" i="27"/>
  <c r="AH15" i="27"/>
  <c r="AH16" i="27"/>
  <c r="AH17" i="27"/>
  <c r="AH18" i="27"/>
  <c r="AH19" i="27"/>
  <c r="AH20" i="27"/>
  <c r="AH21" i="27"/>
  <c r="AH22" i="27"/>
  <c r="AH23" i="27"/>
  <c r="AH24" i="27"/>
  <c r="AH25" i="27"/>
  <c r="AH26" i="27"/>
  <c r="AH27" i="27"/>
  <c r="AH28" i="27"/>
  <c r="AH29" i="27"/>
  <c r="AH30" i="27"/>
  <c r="AH31" i="27"/>
  <c r="AH32" i="27"/>
  <c r="AH33" i="27"/>
  <c r="AH34" i="27"/>
  <c r="AH4" i="27"/>
  <c r="AA79" i="27"/>
  <c r="AA82" i="27"/>
  <c r="AA87" i="27"/>
  <c r="AA90" i="27"/>
  <c r="AA95" i="27"/>
  <c r="AA98" i="27"/>
  <c r="AA103" i="27"/>
  <c r="AA75" i="27"/>
  <c r="AA47" i="27"/>
  <c r="AA55" i="27"/>
  <c r="AA62" i="27"/>
  <c r="AA66" i="27"/>
  <c r="AA13" i="27"/>
  <c r="AA16" i="27"/>
  <c r="AA17" i="27"/>
  <c r="AA20" i="27"/>
  <c r="AA21" i="27"/>
  <c r="AA24" i="27"/>
  <c r="AA25" i="27"/>
  <c r="AA28" i="27"/>
  <c r="AA29" i="27"/>
  <c r="AA32" i="27"/>
  <c r="AA33" i="27"/>
  <c r="AA8" i="27"/>
  <c r="AA12" i="27"/>
  <c r="Y75" i="27"/>
  <c r="Y76" i="27" s="1"/>
  <c r="U76" i="27"/>
  <c r="U77" i="27"/>
  <c r="U78" i="27"/>
  <c r="U79" i="27"/>
  <c r="U80" i="27"/>
  <c r="U81" i="27"/>
  <c r="U82" i="27"/>
  <c r="U83" i="27"/>
  <c r="U84" i="27"/>
  <c r="U85" i="27"/>
  <c r="U86" i="27"/>
  <c r="U87" i="27"/>
  <c r="U88" i="27"/>
  <c r="U89" i="27"/>
  <c r="U90" i="27"/>
  <c r="U91" i="27"/>
  <c r="U92" i="27"/>
  <c r="U93" i="27"/>
  <c r="U94" i="27"/>
  <c r="U95" i="27"/>
  <c r="U96" i="27"/>
  <c r="U97" i="27"/>
  <c r="U98" i="27"/>
  <c r="U99" i="27"/>
  <c r="U100" i="27"/>
  <c r="U101" i="27"/>
  <c r="U102" i="27"/>
  <c r="U103" i="27"/>
  <c r="U104" i="27"/>
  <c r="U105" i="27"/>
  <c r="U75" i="27"/>
  <c r="U40" i="27"/>
  <c r="U41" i="27"/>
  <c r="U42" i="27"/>
  <c r="U43" i="27"/>
  <c r="U44" i="27"/>
  <c r="U45" i="27"/>
  <c r="U46" i="27"/>
  <c r="U47" i="27"/>
  <c r="U48" i="27"/>
  <c r="U49" i="27"/>
  <c r="U50" i="27"/>
  <c r="U51" i="27"/>
  <c r="U52" i="27"/>
  <c r="U53" i="27"/>
  <c r="U54" i="27"/>
  <c r="U55" i="27"/>
  <c r="U56" i="27"/>
  <c r="U57" i="27"/>
  <c r="U58" i="27"/>
  <c r="U59" i="27"/>
  <c r="U60" i="27"/>
  <c r="U61" i="27"/>
  <c r="U62" i="27"/>
  <c r="U63" i="27"/>
  <c r="U64" i="27"/>
  <c r="U65" i="27"/>
  <c r="U66" i="27"/>
  <c r="U67" i="27"/>
  <c r="U68" i="27"/>
  <c r="U69" i="27"/>
  <c r="U39" i="27"/>
  <c r="U5" i="27"/>
  <c r="U6" i="27"/>
  <c r="U7" i="27"/>
  <c r="U8" i="27"/>
  <c r="U9" i="27"/>
  <c r="U10" i="27"/>
  <c r="U11" i="27"/>
  <c r="U12" i="27"/>
  <c r="U13" i="27"/>
  <c r="U14" i="27"/>
  <c r="U15" i="27"/>
  <c r="U16" i="27"/>
  <c r="U17" i="27"/>
  <c r="U18" i="27"/>
  <c r="U19" i="27"/>
  <c r="U20" i="27"/>
  <c r="U21" i="27"/>
  <c r="U22" i="27"/>
  <c r="U23" i="27"/>
  <c r="U24" i="27"/>
  <c r="U25" i="27"/>
  <c r="U26" i="27"/>
  <c r="U27" i="27"/>
  <c r="U28" i="27"/>
  <c r="U29" i="27"/>
  <c r="U30" i="27"/>
  <c r="U31" i="27"/>
  <c r="U32" i="27"/>
  <c r="U33" i="27"/>
  <c r="U34" i="27"/>
  <c r="U4" i="27"/>
  <c r="T4" i="27"/>
  <c r="P76" i="27"/>
  <c r="P77" i="27"/>
  <c r="P78" i="27"/>
  <c r="P79" i="27"/>
  <c r="P80" i="27"/>
  <c r="P81" i="27"/>
  <c r="P82" i="27"/>
  <c r="P83" i="27"/>
  <c r="P84" i="27"/>
  <c r="P85" i="27"/>
  <c r="P86" i="27"/>
  <c r="P87" i="27"/>
  <c r="P88" i="27"/>
  <c r="P89" i="27"/>
  <c r="P90" i="27"/>
  <c r="P91" i="27"/>
  <c r="P92" i="27"/>
  <c r="P93" i="27"/>
  <c r="P94" i="27"/>
  <c r="P95" i="27"/>
  <c r="P96" i="27"/>
  <c r="P97" i="27"/>
  <c r="P98" i="27"/>
  <c r="P99" i="27"/>
  <c r="P100" i="27"/>
  <c r="P101" i="27"/>
  <c r="P102" i="27"/>
  <c r="P103" i="27"/>
  <c r="P104" i="27"/>
  <c r="P105" i="27"/>
  <c r="P75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55" i="27"/>
  <c r="P56" i="27"/>
  <c r="P57" i="27"/>
  <c r="P58" i="27"/>
  <c r="P59" i="27"/>
  <c r="P60" i="27"/>
  <c r="P61" i="27"/>
  <c r="P62" i="27"/>
  <c r="P63" i="27"/>
  <c r="P64" i="27"/>
  <c r="P65" i="27"/>
  <c r="P66" i="27"/>
  <c r="P67" i="27"/>
  <c r="P68" i="27"/>
  <c r="P69" i="27"/>
  <c r="P39" i="27"/>
  <c r="P5" i="27"/>
  <c r="P6" i="27"/>
  <c r="P7" i="27"/>
  <c r="P8" i="27"/>
  <c r="P9" i="27"/>
  <c r="P10" i="27"/>
  <c r="P11" i="27"/>
  <c r="P12" i="27"/>
  <c r="P13" i="27"/>
  <c r="P14" i="27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28" i="27"/>
  <c r="P29" i="27"/>
  <c r="P30" i="27"/>
  <c r="P31" i="27"/>
  <c r="P32" i="27"/>
  <c r="P33" i="27"/>
  <c r="P34" i="27"/>
  <c r="P4" i="27"/>
  <c r="BE105" i="27"/>
  <c r="BE104" i="27"/>
  <c r="BE103" i="27"/>
  <c r="BE102" i="27"/>
  <c r="BE101" i="27"/>
  <c r="BE100" i="27"/>
  <c r="BE99" i="27"/>
  <c r="BE98" i="27"/>
  <c r="BE97" i="27"/>
  <c r="BE96" i="27"/>
  <c r="BE95" i="27"/>
  <c r="BE94" i="27"/>
  <c r="BE93" i="27"/>
  <c r="BE92" i="27"/>
  <c r="BE91" i="27"/>
  <c r="BE90" i="27"/>
  <c r="BE89" i="27"/>
  <c r="BE88" i="27"/>
  <c r="BE87" i="27"/>
  <c r="BE86" i="27"/>
  <c r="BE85" i="27"/>
  <c r="BE84" i="27"/>
  <c r="BE83" i="27"/>
  <c r="BE82" i="27"/>
  <c r="BE81" i="27"/>
  <c r="BE80" i="27"/>
  <c r="BE79" i="27"/>
  <c r="BE78" i="27"/>
  <c r="BE106" i="27" s="1"/>
  <c r="BE77" i="27"/>
  <c r="BE76" i="27"/>
  <c r="BE75" i="27"/>
  <c r="BD105" i="27"/>
  <c r="AA105" i="27" s="1"/>
  <c r="BD104" i="27"/>
  <c r="AA104" i="27" s="1"/>
  <c r="BD103" i="27"/>
  <c r="AL103" i="27" s="1"/>
  <c r="BD102" i="27"/>
  <c r="AL102" i="27" s="1"/>
  <c r="BD101" i="27"/>
  <c r="AA101" i="27" s="1"/>
  <c r="BD100" i="27"/>
  <c r="AA100" i="27" s="1"/>
  <c r="BD99" i="27"/>
  <c r="AL99" i="27" s="1"/>
  <c r="BD98" i="27"/>
  <c r="AL98" i="27" s="1"/>
  <c r="BD97" i="27"/>
  <c r="AA97" i="27" s="1"/>
  <c r="BD96" i="27"/>
  <c r="AA96" i="27" s="1"/>
  <c r="BD95" i="27"/>
  <c r="AL95" i="27" s="1"/>
  <c r="BD94" i="27"/>
  <c r="AL94" i="27" s="1"/>
  <c r="BD93" i="27"/>
  <c r="AA93" i="27" s="1"/>
  <c r="BD92" i="27"/>
  <c r="AA92" i="27" s="1"/>
  <c r="BD91" i="27"/>
  <c r="AL91" i="27" s="1"/>
  <c r="BD90" i="27"/>
  <c r="AL90" i="27" s="1"/>
  <c r="BD89" i="27"/>
  <c r="AA89" i="27" s="1"/>
  <c r="BD88" i="27"/>
  <c r="AA88" i="27" s="1"/>
  <c r="BD87" i="27"/>
  <c r="AL87" i="27" s="1"/>
  <c r="BD86" i="27"/>
  <c r="AL86" i="27" s="1"/>
  <c r="BD85" i="27"/>
  <c r="AA85" i="27" s="1"/>
  <c r="BD84" i="27"/>
  <c r="AA84" i="27" s="1"/>
  <c r="BD83" i="27"/>
  <c r="AL83" i="27" s="1"/>
  <c r="BD82" i="27"/>
  <c r="AL82" i="27" s="1"/>
  <c r="BD81" i="27"/>
  <c r="AA81" i="27" s="1"/>
  <c r="BD80" i="27"/>
  <c r="AA80" i="27" s="1"/>
  <c r="BD79" i="27"/>
  <c r="AL79" i="27" s="1"/>
  <c r="BD78" i="27"/>
  <c r="AL78" i="27" s="1"/>
  <c r="BD77" i="27"/>
  <c r="AA77" i="27" s="1"/>
  <c r="BD76" i="27"/>
  <c r="AA76" i="27" s="1"/>
  <c r="BD75" i="27"/>
  <c r="AL75" i="27" s="1"/>
  <c r="BD42" i="27"/>
  <c r="AA42" i="27" s="1"/>
  <c r="BE69" i="27"/>
  <c r="BE68" i="27"/>
  <c r="BE67" i="27"/>
  <c r="BE66" i="27"/>
  <c r="BE65" i="27"/>
  <c r="BE64" i="27"/>
  <c r="BE63" i="27"/>
  <c r="BE62" i="27"/>
  <c r="BE61" i="27"/>
  <c r="BE60" i="27"/>
  <c r="BE59" i="27"/>
  <c r="BE58" i="27"/>
  <c r="BE57" i="27"/>
  <c r="BE56" i="27"/>
  <c r="BE55" i="27"/>
  <c r="BE54" i="27"/>
  <c r="BE53" i="27"/>
  <c r="BE52" i="27"/>
  <c r="BE51" i="27"/>
  <c r="BE50" i="27"/>
  <c r="BE49" i="27"/>
  <c r="BE48" i="27"/>
  <c r="BE47" i="27"/>
  <c r="BE46" i="27"/>
  <c r="BE45" i="27"/>
  <c r="BE44" i="27"/>
  <c r="BE43" i="27"/>
  <c r="BE42" i="27"/>
  <c r="BE41" i="27"/>
  <c r="BE40" i="27"/>
  <c r="BE39" i="27"/>
  <c r="BD69" i="27"/>
  <c r="AA69" i="27" s="1"/>
  <c r="BD68" i="27"/>
  <c r="AL68" i="27" s="1"/>
  <c r="BD67" i="27"/>
  <c r="AL67" i="27" s="1"/>
  <c r="BD66" i="27"/>
  <c r="AL66" i="27" s="1"/>
  <c r="BD65" i="27"/>
  <c r="AA65" i="27" s="1"/>
  <c r="BD64" i="27"/>
  <c r="AL64" i="27" s="1"/>
  <c r="BD63" i="27"/>
  <c r="AL63" i="27" s="1"/>
  <c r="BD62" i="27"/>
  <c r="BD61" i="27"/>
  <c r="AA61" i="27" s="1"/>
  <c r="BD60" i="27"/>
  <c r="AL60" i="27" s="1"/>
  <c r="BD59" i="27"/>
  <c r="AL59" i="27" s="1"/>
  <c r="BD58" i="27"/>
  <c r="AA58" i="27" s="1"/>
  <c r="BD57" i="27"/>
  <c r="AA57" i="27" s="1"/>
  <c r="BD56" i="27"/>
  <c r="AL56" i="27" s="1"/>
  <c r="BD55" i="27"/>
  <c r="AL55" i="27" s="1"/>
  <c r="BD54" i="27"/>
  <c r="AA54" i="27" s="1"/>
  <c r="BD53" i="27"/>
  <c r="AA53" i="27" s="1"/>
  <c r="BD52" i="27"/>
  <c r="AL52" i="27" s="1"/>
  <c r="BD51" i="27"/>
  <c r="AL51" i="27" s="1"/>
  <c r="BD50" i="27"/>
  <c r="AA50" i="27" s="1"/>
  <c r="BD49" i="27"/>
  <c r="AA49" i="27" s="1"/>
  <c r="BD48" i="27"/>
  <c r="AL48" i="27" s="1"/>
  <c r="BD47" i="27"/>
  <c r="AL47" i="27" s="1"/>
  <c r="BD46" i="27"/>
  <c r="AA46" i="27" s="1"/>
  <c r="BD45" i="27"/>
  <c r="AA45" i="27" s="1"/>
  <c r="BD44" i="27"/>
  <c r="AL44" i="27" s="1"/>
  <c r="BD43" i="27"/>
  <c r="AL43" i="27" s="1"/>
  <c r="BD40" i="27"/>
  <c r="AL40" i="27" s="1"/>
  <c r="BD41" i="27"/>
  <c r="AA41" i="27" s="1"/>
  <c r="BD39" i="27"/>
  <c r="AA39" i="27" s="1"/>
  <c r="BE34" i="27"/>
  <c r="BE33" i="27"/>
  <c r="BE32" i="27"/>
  <c r="BE31" i="27"/>
  <c r="BE30" i="27"/>
  <c r="BE29" i="27"/>
  <c r="BE28" i="27"/>
  <c r="BE27" i="27"/>
  <c r="BE26" i="27"/>
  <c r="BE25" i="27"/>
  <c r="BE24" i="27"/>
  <c r="BE23" i="27"/>
  <c r="BE22" i="27"/>
  <c r="BE21" i="27"/>
  <c r="BE20" i="27"/>
  <c r="BE19" i="27"/>
  <c r="BE18" i="27"/>
  <c r="BE17" i="27"/>
  <c r="BE16" i="27"/>
  <c r="BE15" i="27"/>
  <c r="BE14" i="27"/>
  <c r="BE13" i="27"/>
  <c r="BE12" i="27"/>
  <c r="BE11" i="27"/>
  <c r="BE10" i="27"/>
  <c r="BE9" i="27"/>
  <c r="BE8" i="27"/>
  <c r="BE7" i="27"/>
  <c r="BE6" i="27"/>
  <c r="BE5" i="27"/>
  <c r="BE4" i="27"/>
  <c r="BD34" i="27"/>
  <c r="AL34" i="27" s="1"/>
  <c r="BD33" i="27"/>
  <c r="AL33" i="27" s="1"/>
  <c r="BD32" i="27"/>
  <c r="BD31" i="27"/>
  <c r="AL31" i="27" s="1"/>
  <c r="BD30" i="27"/>
  <c r="AL30" i="27" s="1"/>
  <c r="BD29" i="27"/>
  <c r="BD28" i="27"/>
  <c r="AL28" i="27" s="1"/>
  <c r="BD27" i="27"/>
  <c r="AL27" i="27" s="1"/>
  <c r="BD26" i="27"/>
  <c r="AL26" i="27" s="1"/>
  <c r="BD25" i="27"/>
  <c r="AL25" i="27" s="1"/>
  <c r="BD24" i="27"/>
  <c r="BD23" i="27"/>
  <c r="AL23" i="27" s="1"/>
  <c r="BD22" i="27"/>
  <c r="AL22" i="27" s="1"/>
  <c r="BD21" i="27"/>
  <c r="BD20" i="27"/>
  <c r="AL20" i="27" s="1"/>
  <c r="BD19" i="27"/>
  <c r="AL19" i="27" s="1"/>
  <c r="BD18" i="27"/>
  <c r="AL18" i="27" s="1"/>
  <c r="BD17" i="27"/>
  <c r="AL17" i="27" s="1"/>
  <c r="BD16" i="27"/>
  <c r="BD15" i="27"/>
  <c r="AL15" i="27" s="1"/>
  <c r="BD14" i="27"/>
  <c r="AL14" i="27" s="1"/>
  <c r="BD13" i="27"/>
  <c r="BD12" i="27"/>
  <c r="AL12" i="27" s="1"/>
  <c r="BD11" i="27"/>
  <c r="AL11" i="27" s="1"/>
  <c r="BD10" i="27"/>
  <c r="AL10" i="27" s="1"/>
  <c r="BD9" i="27"/>
  <c r="AL9" i="27" s="1"/>
  <c r="BD8" i="27"/>
  <c r="BD7" i="27"/>
  <c r="AL7" i="27" s="1"/>
  <c r="BD6" i="27"/>
  <c r="AL6" i="27" s="1"/>
  <c r="BD5" i="27"/>
  <c r="AL5" i="27" s="1"/>
  <c r="BD4" i="27"/>
  <c r="AA4" i="27" s="1"/>
  <c r="AA11" i="27" l="1"/>
  <c r="AA52" i="27"/>
  <c r="AA44" i="27"/>
  <c r="AL39" i="27"/>
  <c r="AL105" i="27"/>
  <c r="AL97" i="27"/>
  <c r="AL89" i="27"/>
  <c r="AL81" i="27"/>
  <c r="Y77" i="27"/>
  <c r="AA10" i="27"/>
  <c r="AA6" i="27"/>
  <c r="AA31" i="27"/>
  <c r="AA27" i="27"/>
  <c r="AA23" i="27"/>
  <c r="AA19" i="27"/>
  <c r="AA15" i="27"/>
  <c r="AA68" i="27"/>
  <c r="AA64" i="27"/>
  <c r="AA59" i="27"/>
  <c r="AA51" i="27"/>
  <c r="AA43" i="27"/>
  <c r="AA102" i="27"/>
  <c r="AA94" i="27"/>
  <c r="AA86" i="27"/>
  <c r="AA78" i="27"/>
  <c r="AL69" i="27"/>
  <c r="AL61" i="27"/>
  <c r="AL53" i="27"/>
  <c r="AL45" i="27"/>
  <c r="AL104" i="27"/>
  <c r="AL96" i="27"/>
  <c r="AL88" i="27"/>
  <c r="AL80" i="27"/>
  <c r="AA7" i="27"/>
  <c r="AA60" i="27"/>
  <c r="Y78" i="27"/>
  <c r="Y79" i="27" s="1"/>
  <c r="Y80" i="27" s="1"/>
  <c r="Y81" i="27" s="1"/>
  <c r="Y82" i="27" s="1"/>
  <c r="Y83" i="27" s="1"/>
  <c r="Y84" i="27" s="1"/>
  <c r="Y85" i="27" s="1"/>
  <c r="Y86" i="27" s="1"/>
  <c r="Y87" i="27" s="1"/>
  <c r="Y88" i="27" s="1"/>
  <c r="Y89" i="27" s="1"/>
  <c r="Y90" i="27" s="1"/>
  <c r="Y91" i="27" s="1"/>
  <c r="Y92" i="27" s="1"/>
  <c r="Y93" i="27" s="1"/>
  <c r="Y94" i="27" s="1"/>
  <c r="Y95" i="27" s="1"/>
  <c r="Y96" i="27" s="1"/>
  <c r="Y97" i="27" s="1"/>
  <c r="Y98" i="27" s="1"/>
  <c r="Y99" i="27" s="1"/>
  <c r="Y100" i="27" s="1"/>
  <c r="Y101" i="27" s="1"/>
  <c r="Y102" i="27" s="1"/>
  <c r="Y103" i="27" s="1"/>
  <c r="Y104" i="27" s="1"/>
  <c r="Y105" i="27" s="1"/>
  <c r="AA5" i="27"/>
  <c r="AA9" i="27"/>
  <c r="AA34" i="27"/>
  <c r="AA30" i="27"/>
  <c r="AA26" i="27"/>
  <c r="AA22" i="27"/>
  <c r="AA18" i="27"/>
  <c r="AA14" i="27"/>
  <c r="AA67" i="27"/>
  <c r="AA63" i="27"/>
  <c r="AA56" i="27"/>
  <c r="AA48" i="27"/>
  <c r="AA40" i="27"/>
  <c r="AA99" i="27"/>
  <c r="AA91" i="27"/>
  <c r="AA83" i="27"/>
  <c r="AL58" i="27"/>
  <c r="AL50" i="27"/>
  <c r="AL42" i="27"/>
  <c r="AL101" i="27"/>
  <c r="AL93" i="27"/>
  <c r="AL85" i="27"/>
  <c r="AL77" i="27"/>
  <c r="Y4" i="27"/>
  <c r="Y5" i="27" s="1"/>
  <c r="Y6" i="27" s="1"/>
  <c r="Y7" i="27" s="1"/>
  <c r="Y8" i="27" s="1"/>
  <c r="Y9" i="27" s="1"/>
  <c r="Y10" i="27" s="1"/>
  <c r="Y11" i="27" s="1"/>
  <c r="Y12" i="27" s="1"/>
  <c r="Y13" i="27" s="1"/>
  <c r="Y14" i="27" s="1"/>
  <c r="Y15" i="27" s="1"/>
  <c r="Y16" i="27" s="1"/>
  <c r="Y17" i="27" s="1"/>
  <c r="Y18" i="27" s="1"/>
  <c r="Y19" i="27" s="1"/>
  <c r="Y20" i="27" s="1"/>
  <c r="Y21" i="27" s="1"/>
  <c r="Y22" i="27" s="1"/>
  <c r="Y23" i="27" s="1"/>
  <c r="Y24" i="27" s="1"/>
  <c r="Y25" i="27" s="1"/>
  <c r="Y26" i="27" s="1"/>
  <c r="Y27" i="27" s="1"/>
  <c r="Y28" i="27" s="1"/>
  <c r="Y29" i="27" s="1"/>
  <c r="Y30" i="27" s="1"/>
  <c r="Y31" i="27" s="1"/>
  <c r="Y32" i="27" s="1"/>
  <c r="Y33" i="27" s="1"/>
  <c r="Y34" i="27" s="1"/>
  <c r="AL4" i="27"/>
  <c r="BD70" i="27"/>
  <c r="Y39" i="27"/>
  <c r="Y40" i="27" s="1"/>
  <c r="Y41" i="27" s="1"/>
  <c r="Y42" i="27" s="1"/>
  <c r="Y43" i="27" s="1"/>
  <c r="Y44" i="27" s="1"/>
  <c r="Y45" i="27" s="1"/>
  <c r="Y46" i="27" s="1"/>
  <c r="Y47" i="27" s="1"/>
  <c r="Y48" i="27" s="1"/>
  <c r="Y49" i="27" s="1"/>
  <c r="Y50" i="27" s="1"/>
  <c r="Y51" i="27" s="1"/>
  <c r="Y52" i="27" s="1"/>
  <c r="Y53" i="27" s="1"/>
  <c r="Y54" i="27" s="1"/>
  <c r="Y55" i="27" s="1"/>
  <c r="Y56" i="27" s="1"/>
  <c r="Y57" i="27" s="1"/>
  <c r="Y58" i="27" s="1"/>
  <c r="Y59" i="27" s="1"/>
  <c r="Y60" i="27" s="1"/>
  <c r="Y61" i="27" s="1"/>
  <c r="Y62" i="27" s="1"/>
  <c r="Y63" i="27" s="1"/>
  <c r="Y64" i="27" s="1"/>
  <c r="Y65" i="27" s="1"/>
  <c r="Y66" i="27" s="1"/>
  <c r="Y67" i="27" s="1"/>
  <c r="Y68" i="27" s="1"/>
  <c r="Y69" i="27" s="1"/>
  <c r="BD106" i="27"/>
  <c r="BE70" i="27"/>
  <c r="BE35" i="27"/>
  <c r="BD35" i="27"/>
  <c r="L32" i="25" l="1"/>
  <c r="M32" i="25" s="1"/>
  <c r="S32" i="25"/>
  <c r="T32" i="25"/>
  <c r="E32" i="25"/>
  <c r="F32" i="25" s="1"/>
  <c r="BQ8" i="10" l="1"/>
  <c r="BQ24" i="10"/>
  <c r="BQ32" i="10"/>
  <c r="BP9" i="10"/>
  <c r="BP21" i="10"/>
  <c r="BP25" i="10"/>
  <c r="BO28" i="10"/>
  <c r="BO29" i="10"/>
  <c r="BO30" i="10"/>
  <c r="BO31" i="10"/>
  <c r="BO32" i="10"/>
  <c r="BO33" i="10"/>
  <c r="BO34" i="10"/>
  <c r="BO5" i="10"/>
  <c r="BO6" i="10"/>
  <c r="BO7" i="10"/>
  <c r="BO8" i="10"/>
  <c r="BO9" i="10"/>
  <c r="BO10" i="10"/>
  <c r="BO11" i="10"/>
  <c r="BO12" i="10"/>
  <c r="BO13" i="10"/>
  <c r="BO14" i="10"/>
  <c r="BO15" i="10"/>
  <c r="BO16" i="10"/>
  <c r="BO17" i="10"/>
  <c r="BO18" i="10"/>
  <c r="BO19" i="10"/>
  <c r="BO20" i="10"/>
  <c r="BO21" i="10"/>
  <c r="BO22" i="10"/>
  <c r="BO23" i="10"/>
  <c r="BO24" i="10"/>
  <c r="BO25" i="10"/>
  <c r="BO26" i="10"/>
  <c r="BO27" i="10"/>
  <c r="BO4" i="10"/>
  <c r="BH4" i="10"/>
  <c r="AP4" i="27"/>
  <c r="AQ4" i="27" s="1"/>
  <c r="BC76" i="27"/>
  <c r="BC77" i="27"/>
  <c r="BC78" i="27"/>
  <c r="BC79" i="27"/>
  <c r="BC80" i="27"/>
  <c r="BC81" i="27"/>
  <c r="BC82" i="27"/>
  <c r="BC83" i="27"/>
  <c r="BC84" i="27"/>
  <c r="BC85" i="27"/>
  <c r="BC86" i="27"/>
  <c r="BC87" i="27"/>
  <c r="BC88" i="27"/>
  <c r="BC89" i="27"/>
  <c r="BC90" i="27"/>
  <c r="BC91" i="27"/>
  <c r="BC92" i="27"/>
  <c r="BC93" i="27"/>
  <c r="BC94" i="27"/>
  <c r="BC95" i="27"/>
  <c r="BC96" i="27"/>
  <c r="BC97" i="27"/>
  <c r="BC98" i="27"/>
  <c r="BC99" i="27"/>
  <c r="BC100" i="27"/>
  <c r="BC101" i="27"/>
  <c r="BC102" i="27"/>
  <c r="BC103" i="27"/>
  <c r="BC104" i="27"/>
  <c r="BC105" i="27"/>
  <c r="BC75" i="27"/>
  <c r="BC40" i="27"/>
  <c r="BC41" i="27"/>
  <c r="BC42" i="27"/>
  <c r="BC43" i="27"/>
  <c r="BC44" i="27"/>
  <c r="BC45" i="27"/>
  <c r="BC46" i="27"/>
  <c r="BC47" i="27"/>
  <c r="BC48" i="27"/>
  <c r="BC49" i="27"/>
  <c r="BC50" i="27"/>
  <c r="BC51" i="27"/>
  <c r="BC52" i="27"/>
  <c r="BC53" i="27"/>
  <c r="BC54" i="27"/>
  <c r="BC55" i="27"/>
  <c r="BC56" i="27"/>
  <c r="BC57" i="27"/>
  <c r="BC58" i="27"/>
  <c r="BC59" i="27"/>
  <c r="BC60" i="27"/>
  <c r="BC61" i="27"/>
  <c r="BC62" i="27"/>
  <c r="BC63" i="27"/>
  <c r="BC64" i="27"/>
  <c r="BC65" i="27"/>
  <c r="BC66" i="27"/>
  <c r="BC67" i="27"/>
  <c r="BC68" i="27"/>
  <c r="BC69" i="27"/>
  <c r="BC39" i="27"/>
  <c r="BC5" i="27"/>
  <c r="BC6" i="27"/>
  <c r="BC7" i="27"/>
  <c r="BC8" i="27"/>
  <c r="BC9" i="27"/>
  <c r="BC10" i="27"/>
  <c r="BC11" i="27"/>
  <c r="BC12" i="27"/>
  <c r="BC13" i="27"/>
  <c r="BC14" i="27"/>
  <c r="BC15" i="27"/>
  <c r="BC16" i="27"/>
  <c r="BC17" i="27"/>
  <c r="BC18" i="27"/>
  <c r="BC19" i="27"/>
  <c r="BC20" i="27"/>
  <c r="BC21" i="27"/>
  <c r="BC22" i="27"/>
  <c r="BC23" i="27"/>
  <c r="BC24" i="27"/>
  <c r="BC25" i="27"/>
  <c r="BC26" i="27"/>
  <c r="BC27" i="27"/>
  <c r="BC28" i="27"/>
  <c r="BC29" i="27"/>
  <c r="BC30" i="27"/>
  <c r="BC31" i="27"/>
  <c r="BC32" i="27"/>
  <c r="BC33" i="27"/>
  <c r="BC34" i="27"/>
  <c r="BC4" i="27"/>
  <c r="Q33" i="25"/>
  <c r="P33" i="25"/>
  <c r="S31" i="25"/>
  <c r="T31" i="25" s="1"/>
  <c r="S30" i="25"/>
  <c r="T30" i="25" s="1"/>
  <c r="S29" i="25"/>
  <c r="T29" i="25" s="1"/>
  <c r="S28" i="25"/>
  <c r="T28" i="25" s="1"/>
  <c r="S27" i="25"/>
  <c r="T27" i="25" s="1"/>
  <c r="S26" i="25"/>
  <c r="T26" i="25" s="1"/>
  <c r="S25" i="25"/>
  <c r="T25" i="25" s="1"/>
  <c r="S24" i="25"/>
  <c r="T24" i="25" s="1"/>
  <c r="S23" i="25"/>
  <c r="T23" i="25" s="1"/>
  <c r="S22" i="25"/>
  <c r="T22" i="25" s="1"/>
  <c r="S21" i="25"/>
  <c r="T21" i="25"/>
  <c r="S20" i="25"/>
  <c r="T20" i="25" s="1"/>
  <c r="S19" i="25"/>
  <c r="T19" i="25" s="1"/>
  <c r="S18" i="25"/>
  <c r="T18" i="25" s="1"/>
  <c r="S17" i="25"/>
  <c r="T17" i="25"/>
  <c r="S16" i="25"/>
  <c r="T16" i="25" s="1"/>
  <c r="S15" i="25"/>
  <c r="T15" i="25" s="1"/>
  <c r="S14" i="25"/>
  <c r="T14" i="25" s="1"/>
  <c r="S13" i="25"/>
  <c r="T13" i="25" s="1"/>
  <c r="S12" i="25"/>
  <c r="T12" i="25" s="1"/>
  <c r="S11" i="25"/>
  <c r="T11" i="25" s="1"/>
  <c r="S10" i="25"/>
  <c r="T10" i="25" s="1"/>
  <c r="S9" i="25"/>
  <c r="T9" i="25" s="1"/>
  <c r="S8" i="25"/>
  <c r="T8" i="25" s="1"/>
  <c r="S7" i="25"/>
  <c r="T7" i="25" s="1"/>
  <c r="S6" i="25"/>
  <c r="T6" i="25" s="1"/>
  <c r="S5" i="25"/>
  <c r="T5" i="25" s="1"/>
  <c r="S4" i="25"/>
  <c r="T4" i="25" s="1"/>
  <c r="S3" i="25"/>
  <c r="T3" i="25" s="1"/>
  <c r="J33" i="25"/>
  <c r="I33" i="25"/>
  <c r="L31" i="25"/>
  <c r="M31" i="25" s="1"/>
  <c r="L30" i="25"/>
  <c r="M30" i="25" s="1"/>
  <c r="L29" i="25"/>
  <c r="M29" i="25" s="1"/>
  <c r="L28" i="25"/>
  <c r="M28" i="25" s="1"/>
  <c r="L27" i="25"/>
  <c r="M27" i="25" s="1"/>
  <c r="L26" i="25"/>
  <c r="M26" i="25" s="1"/>
  <c r="L25" i="25"/>
  <c r="M25" i="25" s="1"/>
  <c r="L24" i="25"/>
  <c r="M24" i="25" s="1"/>
  <c r="L23" i="25"/>
  <c r="M23" i="25" s="1"/>
  <c r="L22" i="25"/>
  <c r="M22" i="25" s="1"/>
  <c r="L21" i="25"/>
  <c r="M21" i="25" s="1"/>
  <c r="L20" i="25"/>
  <c r="M20" i="25"/>
  <c r="L19" i="25"/>
  <c r="M19" i="25" s="1"/>
  <c r="L18" i="25"/>
  <c r="M18" i="25" s="1"/>
  <c r="L17" i="25"/>
  <c r="M17" i="25" s="1"/>
  <c r="L16" i="25"/>
  <c r="M16" i="25"/>
  <c r="L15" i="25"/>
  <c r="M15" i="25" s="1"/>
  <c r="L14" i="25"/>
  <c r="M14" i="25" s="1"/>
  <c r="L13" i="25"/>
  <c r="M13" i="25" s="1"/>
  <c r="L12" i="25"/>
  <c r="M12" i="25"/>
  <c r="L11" i="25"/>
  <c r="M11" i="25" s="1"/>
  <c r="L10" i="25"/>
  <c r="M10" i="25" s="1"/>
  <c r="L9" i="25"/>
  <c r="M9" i="25" s="1"/>
  <c r="L8" i="25"/>
  <c r="M8" i="25" s="1"/>
  <c r="L7" i="25"/>
  <c r="M7" i="25" s="1"/>
  <c r="L6" i="25"/>
  <c r="M6" i="25" s="1"/>
  <c r="M5" i="25"/>
  <c r="L5" i="25"/>
  <c r="L4" i="25"/>
  <c r="M4" i="25" s="1"/>
  <c r="L3" i="25"/>
  <c r="M3" i="25" s="1"/>
  <c r="AY76" i="27"/>
  <c r="AZ76" i="27"/>
  <c r="BA76" i="27"/>
  <c r="AY77" i="27"/>
  <c r="AZ77" i="27"/>
  <c r="BA77" i="27"/>
  <c r="AY78" i="27"/>
  <c r="AZ78" i="27"/>
  <c r="BA78" i="27"/>
  <c r="AY79" i="27"/>
  <c r="AZ79" i="27"/>
  <c r="BA79" i="27"/>
  <c r="AY80" i="27"/>
  <c r="AZ80" i="27"/>
  <c r="BA80" i="27"/>
  <c r="AY81" i="27"/>
  <c r="AZ81" i="27"/>
  <c r="BA81" i="27"/>
  <c r="AY82" i="27"/>
  <c r="AZ82" i="27"/>
  <c r="BA82" i="27"/>
  <c r="AY83" i="27"/>
  <c r="AZ83" i="27"/>
  <c r="BA83" i="27"/>
  <c r="AY84" i="27"/>
  <c r="AZ84" i="27"/>
  <c r="BA84" i="27"/>
  <c r="AY85" i="27"/>
  <c r="AZ85" i="27"/>
  <c r="BA85" i="27"/>
  <c r="AY86" i="27"/>
  <c r="AZ86" i="27"/>
  <c r="BA86" i="27"/>
  <c r="AY87" i="27"/>
  <c r="AZ87" i="27"/>
  <c r="BA87" i="27"/>
  <c r="AY88" i="27"/>
  <c r="AZ88" i="27"/>
  <c r="BA88" i="27"/>
  <c r="AY89" i="27"/>
  <c r="AZ89" i="27"/>
  <c r="BA89" i="27"/>
  <c r="AY90" i="27"/>
  <c r="AZ90" i="27"/>
  <c r="BA90" i="27"/>
  <c r="AY91" i="27"/>
  <c r="AZ91" i="27"/>
  <c r="BA91" i="27"/>
  <c r="AY92" i="27"/>
  <c r="AZ92" i="27"/>
  <c r="BA92" i="27"/>
  <c r="AY93" i="27"/>
  <c r="AZ93" i="27"/>
  <c r="BA93" i="27"/>
  <c r="AY94" i="27"/>
  <c r="AZ94" i="27"/>
  <c r="BA94" i="27"/>
  <c r="AY95" i="27"/>
  <c r="AZ95" i="27"/>
  <c r="BA95" i="27"/>
  <c r="AY96" i="27"/>
  <c r="AZ96" i="27"/>
  <c r="BA96" i="27"/>
  <c r="AY97" i="27"/>
  <c r="AZ97" i="27"/>
  <c r="BA97" i="27"/>
  <c r="AY98" i="27"/>
  <c r="AZ98" i="27"/>
  <c r="BA98" i="27"/>
  <c r="AY99" i="27"/>
  <c r="AZ99" i="27"/>
  <c r="BA99" i="27"/>
  <c r="AY100" i="27"/>
  <c r="AZ100" i="27"/>
  <c r="BA100" i="27"/>
  <c r="AY101" i="27"/>
  <c r="AZ101" i="27"/>
  <c r="BA101" i="27"/>
  <c r="AY102" i="27"/>
  <c r="AZ102" i="27"/>
  <c r="BA102" i="27"/>
  <c r="AY103" i="27"/>
  <c r="AZ103" i="27"/>
  <c r="BA103" i="27"/>
  <c r="AY104" i="27"/>
  <c r="AZ104" i="27"/>
  <c r="BA104" i="27"/>
  <c r="AY105" i="27"/>
  <c r="AZ105" i="27"/>
  <c r="BA105" i="27"/>
  <c r="AY40" i="27"/>
  <c r="AZ40" i="27"/>
  <c r="BA40" i="27"/>
  <c r="AY41" i="27"/>
  <c r="AZ41" i="27"/>
  <c r="BA41" i="27"/>
  <c r="AY42" i="27"/>
  <c r="AZ42" i="27"/>
  <c r="BA42" i="27"/>
  <c r="AY43" i="27"/>
  <c r="AZ43" i="27"/>
  <c r="BA43" i="27"/>
  <c r="AY44" i="27"/>
  <c r="AZ44" i="27"/>
  <c r="BA44" i="27"/>
  <c r="AY45" i="27"/>
  <c r="AZ45" i="27"/>
  <c r="BA45" i="27"/>
  <c r="AY46" i="27"/>
  <c r="AZ46" i="27"/>
  <c r="BA46" i="27"/>
  <c r="AY47" i="27"/>
  <c r="AZ47" i="27"/>
  <c r="BA47" i="27"/>
  <c r="AY48" i="27"/>
  <c r="AZ48" i="27"/>
  <c r="BA48" i="27"/>
  <c r="AY49" i="27"/>
  <c r="AZ49" i="27"/>
  <c r="BA49" i="27"/>
  <c r="AY50" i="27"/>
  <c r="AZ50" i="27"/>
  <c r="BA50" i="27"/>
  <c r="AY51" i="27"/>
  <c r="AZ51" i="27"/>
  <c r="BA51" i="27"/>
  <c r="AY52" i="27"/>
  <c r="AZ52" i="27"/>
  <c r="BA52" i="27"/>
  <c r="AY53" i="27"/>
  <c r="AZ53" i="27"/>
  <c r="BA53" i="27"/>
  <c r="AY54" i="27"/>
  <c r="AZ54" i="27"/>
  <c r="BA54" i="27"/>
  <c r="AY55" i="27"/>
  <c r="AZ55" i="27"/>
  <c r="BA55" i="27"/>
  <c r="AY56" i="27"/>
  <c r="AZ56" i="27"/>
  <c r="BA56" i="27"/>
  <c r="AY57" i="27"/>
  <c r="AZ57" i="27"/>
  <c r="BA57" i="27"/>
  <c r="AY58" i="27"/>
  <c r="AZ58" i="27"/>
  <c r="BA58" i="27"/>
  <c r="AY59" i="27"/>
  <c r="AZ59" i="27"/>
  <c r="BA59" i="27"/>
  <c r="AY60" i="27"/>
  <c r="AZ60" i="27"/>
  <c r="BA60" i="27"/>
  <c r="AY61" i="27"/>
  <c r="AZ61" i="27"/>
  <c r="BA61" i="27"/>
  <c r="AY62" i="27"/>
  <c r="AZ62" i="27"/>
  <c r="BA62" i="27"/>
  <c r="AY63" i="27"/>
  <c r="AZ63" i="27"/>
  <c r="BA63" i="27"/>
  <c r="AY64" i="27"/>
  <c r="AZ64" i="27"/>
  <c r="BA64" i="27"/>
  <c r="AY65" i="27"/>
  <c r="AZ65" i="27"/>
  <c r="BA65" i="27"/>
  <c r="AY66" i="27"/>
  <c r="AZ66" i="27"/>
  <c r="BA66" i="27"/>
  <c r="AY67" i="27"/>
  <c r="AZ67" i="27"/>
  <c r="BA67" i="27"/>
  <c r="AY68" i="27"/>
  <c r="AZ68" i="27"/>
  <c r="BA68" i="27"/>
  <c r="AY69" i="27"/>
  <c r="AZ69" i="27"/>
  <c r="BA69" i="27"/>
  <c r="AY5" i="27"/>
  <c r="AZ5" i="27"/>
  <c r="BA5" i="27"/>
  <c r="BA6" i="27"/>
  <c r="AY6" i="27" s="1"/>
  <c r="AY7" i="27"/>
  <c r="AZ7" i="27"/>
  <c r="BA7" i="27"/>
  <c r="AY8" i="27"/>
  <c r="AZ8" i="27"/>
  <c r="BA8" i="27"/>
  <c r="AY9" i="27"/>
  <c r="AZ9" i="27"/>
  <c r="BA9" i="27"/>
  <c r="AY10" i="27"/>
  <c r="AZ10" i="27"/>
  <c r="BA10" i="27"/>
  <c r="AY11" i="27"/>
  <c r="AZ11" i="27"/>
  <c r="BA11" i="27"/>
  <c r="AY12" i="27"/>
  <c r="AZ12" i="27"/>
  <c r="BA12" i="27"/>
  <c r="AY13" i="27"/>
  <c r="AZ13" i="27"/>
  <c r="BA13" i="27"/>
  <c r="AY14" i="27"/>
  <c r="AZ14" i="27"/>
  <c r="BA14" i="27"/>
  <c r="AY15" i="27"/>
  <c r="AZ15" i="27"/>
  <c r="BA15" i="27"/>
  <c r="AY16" i="27"/>
  <c r="AZ16" i="27"/>
  <c r="BA16" i="27"/>
  <c r="AY17" i="27"/>
  <c r="AZ17" i="27"/>
  <c r="BA17" i="27"/>
  <c r="AY18" i="27"/>
  <c r="AZ18" i="27"/>
  <c r="BA18" i="27"/>
  <c r="AY19" i="27"/>
  <c r="AZ19" i="27"/>
  <c r="BA19" i="27"/>
  <c r="AY20" i="27"/>
  <c r="AZ20" i="27"/>
  <c r="BA20" i="27"/>
  <c r="AY21" i="27"/>
  <c r="AZ21" i="27"/>
  <c r="BA21" i="27"/>
  <c r="AY22" i="27"/>
  <c r="AZ22" i="27"/>
  <c r="BA22" i="27"/>
  <c r="AY23" i="27"/>
  <c r="AZ23" i="27"/>
  <c r="BA23" i="27"/>
  <c r="AY24" i="27"/>
  <c r="AZ24" i="27"/>
  <c r="BA24" i="27"/>
  <c r="AY25" i="27"/>
  <c r="AZ25" i="27"/>
  <c r="BA25" i="27"/>
  <c r="AY26" i="27"/>
  <c r="AZ26" i="27"/>
  <c r="BA26" i="27"/>
  <c r="AY27" i="27"/>
  <c r="AZ27" i="27"/>
  <c r="BA27" i="27"/>
  <c r="AY28" i="27"/>
  <c r="AZ28" i="27"/>
  <c r="BA28" i="27"/>
  <c r="AY29" i="27"/>
  <c r="AZ29" i="27"/>
  <c r="BA29" i="27"/>
  <c r="AY30" i="27"/>
  <c r="AZ30" i="27"/>
  <c r="BA30" i="27"/>
  <c r="AY31" i="27"/>
  <c r="AZ31" i="27"/>
  <c r="BA31" i="27"/>
  <c r="AY32" i="27"/>
  <c r="AZ32" i="27"/>
  <c r="BA32" i="27"/>
  <c r="AY33" i="27"/>
  <c r="AZ33" i="27"/>
  <c r="BA33" i="27"/>
  <c r="AY34" i="27"/>
  <c r="AZ34" i="27"/>
  <c r="BA34" i="27"/>
  <c r="AH4" i="10"/>
  <c r="AH35" i="10" s="1"/>
  <c r="AS4" i="10"/>
  <c r="BP4" i="10" s="1"/>
  <c r="AS5" i="10"/>
  <c r="BP5" i="10" s="1"/>
  <c r="AS6" i="10"/>
  <c r="BP6" i="10" s="1"/>
  <c r="AS7" i="10"/>
  <c r="BP7" i="10" s="1"/>
  <c r="AS8" i="10"/>
  <c r="BP8" i="10" s="1"/>
  <c r="AS9" i="10"/>
  <c r="AS10" i="10"/>
  <c r="BP10" i="10" s="1"/>
  <c r="AS11" i="10"/>
  <c r="BP11" i="10" s="1"/>
  <c r="AS12" i="10"/>
  <c r="BP12" i="10" s="1"/>
  <c r="AS13" i="10"/>
  <c r="BP13" i="10" s="1"/>
  <c r="AS14" i="10"/>
  <c r="BP14" i="10" s="1"/>
  <c r="AS15" i="10"/>
  <c r="BP15" i="10" s="1"/>
  <c r="AS16" i="10"/>
  <c r="BP16" i="10" s="1"/>
  <c r="AS17" i="10"/>
  <c r="BP17" i="10" s="1"/>
  <c r="AS18" i="10"/>
  <c r="BP18" i="10" s="1"/>
  <c r="AS19" i="10"/>
  <c r="BP19" i="10" s="1"/>
  <c r="AS20" i="10"/>
  <c r="BP20" i="10" s="1"/>
  <c r="AS21" i="10"/>
  <c r="AS22" i="10"/>
  <c r="BP22" i="10" s="1"/>
  <c r="AS23" i="10"/>
  <c r="BP23" i="10" s="1"/>
  <c r="AS24" i="10"/>
  <c r="BP24" i="10" s="1"/>
  <c r="AS25" i="10"/>
  <c r="AS26" i="10"/>
  <c r="BP26" i="10" s="1"/>
  <c r="AS27" i="10"/>
  <c r="BP27" i="10" s="1"/>
  <c r="AS28" i="10"/>
  <c r="BP28" i="10" s="1"/>
  <c r="AS29" i="10"/>
  <c r="BP29" i="10" s="1"/>
  <c r="AS30" i="10"/>
  <c r="BP30" i="10" s="1"/>
  <c r="AS31" i="10"/>
  <c r="BP31" i="10" s="1"/>
  <c r="AS32" i="10"/>
  <c r="BP32" i="10" s="1"/>
  <c r="AS33" i="10"/>
  <c r="BP33" i="10" s="1"/>
  <c r="AS34" i="10"/>
  <c r="BP34" i="10" s="1"/>
  <c r="AP105" i="27"/>
  <c r="AQ105" i="27" s="1"/>
  <c r="AP104" i="27"/>
  <c r="AQ104" i="27" s="1"/>
  <c r="AP103" i="27"/>
  <c r="AP102" i="27"/>
  <c r="AP101" i="27"/>
  <c r="AQ101" i="27" s="1"/>
  <c r="AP100" i="27"/>
  <c r="AQ100" i="27" s="1"/>
  <c r="AP99" i="27"/>
  <c r="AP98" i="27"/>
  <c r="AP97" i="27"/>
  <c r="AQ97" i="27" s="1"/>
  <c r="AP96" i="27"/>
  <c r="AQ96" i="27" s="1"/>
  <c r="AP95" i="27"/>
  <c r="AP94" i="27"/>
  <c r="AP93" i="27"/>
  <c r="AP92" i="27"/>
  <c r="AQ92" i="27" s="1"/>
  <c r="AP91" i="27"/>
  <c r="AP90" i="27"/>
  <c r="AP89" i="27"/>
  <c r="AQ89" i="27" s="1"/>
  <c r="AP88" i="27"/>
  <c r="AQ88" i="27" s="1"/>
  <c r="AP87" i="27"/>
  <c r="AP86" i="27"/>
  <c r="AP85" i="27"/>
  <c r="AQ85" i="27" s="1"/>
  <c r="AP84" i="27"/>
  <c r="AQ84" i="27" s="1"/>
  <c r="AP83" i="27"/>
  <c r="AP82" i="27"/>
  <c r="AP81" i="27"/>
  <c r="AQ81" i="27" s="1"/>
  <c r="AP80" i="27"/>
  <c r="AQ80" i="27" s="1"/>
  <c r="AP79" i="27"/>
  <c r="AP78" i="27"/>
  <c r="AP77" i="27"/>
  <c r="AQ77" i="27"/>
  <c r="AP76" i="27"/>
  <c r="AP75" i="27"/>
  <c r="AP69" i="27"/>
  <c r="AQ69" i="27" s="1"/>
  <c r="AP68" i="27"/>
  <c r="AQ68" i="27" s="1"/>
  <c r="AP67" i="27"/>
  <c r="AP66" i="27"/>
  <c r="AP65" i="27"/>
  <c r="AQ65" i="27" s="1"/>
  <c r="AP64" i="27"/>
  <c r="AQ64" i="27" s="1"/>
  <c r="AP63" i="27"/>
  <c r="AP62" i="27"/>
  <c r="AP61" i="27"/>
  <c r="AQ61" i="27" s="1"/>
  <c r="AP60" i="27"/>
  <c r="AQ60" i="27" s="1"/>
  <c r="AP59" i="27"/>
  <c r="AP58" i="27"/>
  <c r="AP57" i="27"/>
  <c r="AP56" i="27"/>
  <c r="AQ56" i="27" s="1"/>
  <c r="AP55" i="27"/>
  <c r="AP54" i="27"/>
  <c r="AP53" i="27"/>
  <c r="AQ53" i="27" s="1"/>
  <c r="AP52" i="27"/>
  <c r="AQ52" i="27" s="1"/>
  <c r="AP51" i="27"/>
  <c r="AP50" i="27"/>
  <c r="AP49" i="27"/>
  <c r="AQ49" i="27" s="1"/>
  <c r="AP48" i="27"/>
  <c r="AQ48" i="27" s="1"/>
  <c r="AP47" i="27"/>
  <c r="AP46" i="27"/>
  <c r="AP45" i="27"/>
  <c r="AQ45" i="27" s="1"/>
  <c r="AP44" i="27"/>
  <c r="AQ44" i="27" s="1"/>
  <c r="AP43" i="27"/>
  <c r="AP42" i="27"/>
  <c r="AP41" i="27"/>
  <c r="AP40" i="27"/>
  <c r="AQ40" i="27" s="1"/>
  <c r="AP39" i="27"/>
  <c r="AP14" i="27"/>
  <c r="AP15" i="27"/>
  <c r="AQ15" i="27" s="1"/>
  <c r="AP16" i="27"/>
  <c r="AQ16" i="27" s="1"/>
  <c r="AP17" i="27"/>
  <c r="AP18" i="27"/>
  <c r="AP19" i="27"/>
  <c r="AQ19" i="27" s="1"/>
  <c r="AP20" i="27"/>
  <c r="AQ20" i="27" s="1"/>
  <c r="AP21" i="27"/>
  <c r="AP22" i="27"/>
  <c r="AP23" i="27"/>
  <c r="AQ23" i="27" s="1"/>
  <c r="AP24" i="27"/>
  <c r="AQ24" i="27" s="1"/>
  <c r="AP25" i="27"/>
  <c r="AP26" i="27"/>
  <c r="AP27" i="27"/>
  <c r="AQ27" i="27" s="1"/>
  <c r="AP28" i="27"/>
  <c r="AQ28" i="27" s="1"/>
  <c r="AP29" i="27"/>
  <c r="AP30" i="27"/>
  <c r="AP31" i="27"/>
  <c r="AP32" i="27"/>
  <c r="AQ32" i="27" s="1"/>
  <c r="AP33" i="27"/>
  <c r="AP34" i="27"/>
  <c r="AP6" i="27"/>
  <c r="AQ6" i="27" s="1"/>
  <c r="AP7" i="27"/>
  <c r="AQ7" i="27" s="1"/>
  <c r="AP8" i="27"/>
  <c r="AQ8" i="27" s="1"/>
  <c r="AP9" i="27"/>
  <c r="AP10" i="27"/>
  <c r="AQ10" i="27"/>
  <c r="AP11" i="27"/>
  <c r="AP12" i="27"/>
  <c r="AQ12" i="27" s="1"/>
  <c r="AP13" i="27"/>
  <c r="AQ13" i="27" s="1"/>
  <c r="F4" i="27"/>
  <c r="AG4" i="27" s="1"/>
  <c r="AS35" i="27"/>
  <c r="AS70" i="27"/>
  <c r="AS106" i="27"/>
  <c r="D75" i="27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D88" i="27" s="1"/>
  <c r="D89" i="27" s="1"/>
  <c r="D90" i="27" s="1"/>
  <c r="D91" i="27" s="1"/>
  <c r="D92" i="27" s="1"/>
  <c r="D93" i="27" s="1"/>
  <c r="D94" i="27" s="1"/>
  <c r="D95" i="27" s="1"/>
  <c r="D96" i="27" s="1"/>
  <c r="D97" i="27" s="1"/>
  <c r="D98" i="27" s="1"/>
  <c r="D99" i="27" s="1"/>
  <c r="D100" i="27" s="1"/>
  <c r="D101" i="27" s="1"/>
  <c r="D102" i="27" s="1"/>
  <c r="D103" i="27" s="1"/>
  <c r="D104" i="27" s="1"/>
  <c r="D105" i="27" s="1"/>
  <c r="D39" i="27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4" i="27"/>
  <c r="D5" i="27"/>
  <c r="D6" i="27" s="1"/>
  <c r="D7" i="27" s="1"/>
  <c r="D8" i="27" s="1"/>
  <c r="D9" i="27" s="1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E4" i="25"/>
  <c r="F4" i="25" s="1"/>
  <c r="E5" i="25"/>
  <c r="F5" i="25"/>
  <c r="E6" i="25"/>
  <c r="F6" i="25" s="1"/>
  <c r="E7" i="25"/>
  <c r="F7" i="25" s="1"/>
  <c r="E8" i="25"/>
  <c r="F8" i="25" s="1"/>
  <c r="E9" i="25"/>
  <c r="F9" i="25" s="1"/>
  <c r="E10" i="25"/>
  <c r="F10" i="25" s="1"/>
  <c r="E11" i="25"/>
  <c r="F11" i="25" s="1"/>
  <c r="E12" i="25"/>
  <c r="F12" i="25" s="1"/>
  <c r="E13" i="25"/>
  <c r="F13" i="25"/>
  <c r="E14" i="25"/>
  <c r="F14" i="25" s="1"/>
  <c r="E15" i="25"/>
  <c r="F15" i="25" s="1"/>
  <c r="E16" i="25"/>
  <c r="F16" i="25" s="1"/>
  <c r="E17" i="25"/>
  <c r="F17" i="25" s="1"/>
  <c r="E18" i="25"/>
  <c r="F18" i="25" s="1"/>
  <c r="E19" i="25"/>
  <c r="F19" i="25"/>
  <c r="E20" i="25"/>
  <c r="F20" i="25" s="1"/>
  <c r="E21" i="25"/>
  <c r="F21" i="25"/>
  <c r="E22" i="25"/>
  <c r="F22" i="25" s="1"/>
  <c r="E23" i="25"/>
  <c r="F23" i="25" s="1"/>
  <c r="E24" i="25"/>
  <c r="F24" i="25" s="1"/>
  <c r="E25" i="25"/>
  <c r="F25" i="25" s="1"/>
  <c r="E26" i="25"/>
  <c r="F26" i="25" s="1"/>
  <c r="E27" i="25"/>
  <c r="F27" i="25" s="1"/>
  <c r="E28" i="25"/>
  <c r="F28" i="25" s="1"/>
  <c r="E29" i="25"/>
  <c r="F29" i="25"/>
  <c r="E30" i="25"/>
  <c r="F30" i="25" s="1"/>
  <c r="E31" i="25"/>
  <c r="F31" i="25" s="1"/>
  <c r="C5" i="10"/>
  <c r="AB5" i="10" s="1"/>
  <c r="C6" i="10"/>
  <c r="C7" i="10"/>
  <c r="C8" i="10"/>
  <c r="C9" i="10"/>
  <c r="AB9" i="10" s="1"/>
  <c r="C10" i="10"/>
  <c r="AB10" i="10" s="1"/>
  <c r="C11" i="10"/>
  <c r="C12" i="10"/>
  <c r="AB12" i="10"/>
  <c r="C13" i="10"/>
  <c r="C14" i="10"/>
  <c r="C15" i="10"/>
  <c r="C16" i="10"/>
  <c r="AB16" i="10" s="1"/>
  <c r="C17" i="10"/>
  <c r="C18" i="10"/>
  <c r="C19" i="10"/>
  <c r="AB19" i="10" s="1"/>
  <c r="C20" i="10"/>
  <c r="AB20" i="10" s="1"/>
  <c r="C21" i="10"/>
  <c r="C22" i="10"/>
  <c r="C23" i="10"/>
  <c r="AB23" i="10" s="1"/>
  <c r="C24" i="10"/>
  <c r="AB24" i="10" s="1"/>
  <c r="C25" i="10"/>
  <c r="C26" i="10"/>
  <c r="AB26" i="10" s="1"/>
  <c r="C27" i="10"/>
  <c r="AB27" i="10" s="1"/>
  <c r="C28" i="10"/>
  <c r="C29" i="10"/>
  <c r="AB29" i="10" s="1"/>
  <c r="C30" i="10"/>
  <c r="AB30" i="10" s="1"/>
  <c r="C31" i="10"/>
  <c r="AB31" i="10" s="1"/>
  <c r="C32" i="10"/>
  <c r="AB32" i="10" s="1"/>
  <c r="C33" i="10"/>
  <c r="C34" i="10"/>
  <c r="C4" i="10"/>
  <c r="AB4" i="10" s="1"/>
  <c r="BB5" i="10"/>
  <c r="BC5" i="10"/>
  <c r="BE5" i="10" s="1"/>
  <c r="BB6" i="10"/>
  <c r="BE6" i="10" s="1"/>
  <c r="BC6" i="10"/>
  <c r="BB7" i="10"/>
  <c r="BC7" i="10"/>
  <c r="BB8" i="10"/>
  <c r="BC8" i="10"/>
  <c r="BB9" i="10"/>
  <c r="BC9" i="10"/>
  <c r="BB10" i="10"/>
  <c r="BE10" i="10" s="1"/>
  <c r="BC10" i="10"/>
  <c r="BB11" i="10"/>
  <c r="BC11" i="10"/>
  <c r="BB12" i="10"/>
  <c r="BE12" i="10" s="1"/>
  <c r="BC12" i="10"/>
  <c r="BB13" i="10"/>
  <c r="BC13" i="10"/>
  <c r="BB14" i="10"/>
  <c r="BC14" i="10"/>
  <c r="BB15" i="10"/>
  <c r="BC15" i="10"/>
  <c r="BB16" i="10"/>
  <c r="BC16" i="10"/>
  <c r="BB17" i="10"/>
  <c r="BC17" i="10"/>
  <c r="BB18" i="10"/>
  <c r="BC18" i="10"/>
  <c r="BB19" i="10"/>
  <c r="BE19" i="10" s="1"/>
  <c r="BC19" i="10"/>
  <c r="BB20" i="10"/>
  <c r="BC20" i="10"/>
  <c r="BE20" i="10"/>
  <c r="BB21" i="10"/>
  <c r="BC21" i="10"/>
  <c r="BB22" i="10"/>
  <c r="BC22" i="10"/>
  <c r="BB23" i="10"/>
  <c r="BE23" i="10" s="1"/>
  <c r="BC23" i="10"/>
  <c r="BB24" i="10"/>
  <c r="BC24" i="10"/>
  <c r="BB25" i="10"/>
  <c r="BC25" i="10"/>
  <c r="BB26" i="10"/>
  <c r="BC26" i="10"/>
  <c r="BB27" i="10"/>
  <c r="BC27" i="10"/>
  <c r="BB28" i="10"/>
  <c r="BC28" i="10"/>
  <c r="BB29" i="10"/>
  <c r="BE29" i="10" s="1"/>
  <c r="BC29" i="10"/>
  <c r="BB30" i="10"/>
  <c r="BC30" i="10"/>
  <c r="BB31" i="10"/>
  <c r="BC31" i="10"/>
  <c r="BB32" i="10"/>
  <c r="BC32" i="10"/>
  <c r="BE32" i="10" s="1"/>
  <c r="BB33" i="10"/>
  <c r="BC33" i="10"/>
  <c r="BB34" i="10"/>
  <c r="BC34" i="10"/>
  <c r="BC4" i="10"/>
  <c r="BB4" i="10"/>
  <c r="AX5" i="10"/>
  <c r="AY5" i="10"/>
  <c r="AX6" i="10"/>
  <c r="AY6" i="10"/>
  <c r="BA6" i="10"/>
  <c r="AX7" i="10"/>
  <c r="BA7" i="10" s="1"/>
  <c r="AY7" i="10"/>
  <c r="AX8" i="10"/>
  <c r="AY8" i="10"/>
  <c r="AX9" i="10"/>
  <c r="AY9" i="10"/>
  <c r="AX10" i="10"/>
  <c r="AY10" i="10"/>
  <c r="AX11" i="10"/>
  <c r="AY11" i="10"/>
  <c r="AX12" i="10"/>
  <c r="AY12" i="10"/>
  <c r="AX13" i="10"/>
  <c r="BA13" i="10" s="1"/>
  <c r="AY13" i="10"/>
  <c r="AX14" i="10"/>
  <c r="AY14" i="10"/>
  <c r="AX15" i="10"/>
  <c r="BA15" i="10" s="1"/>
  <c r="AY15" i="10"/>
  <c r="AX16" i="10"/>
  <c r="AY16" i="10"/>
  <c r="BA16" i="10" s="1"/>
  <c r="AX17" i="10"/>
  <c r="AY17" i="10"/>
  <c r="AA17" i="10" s="1"/>
  <c r="AX18" i="10"/>
  <c r="AY18" i="10"/>
  <c r="BA18" i="10" s="1"/>
  <c r="AX19" i="10"/>
  <c r="AY19" i="10"/>
  <c r="AX20" i="10"/>
  <c r="AY20" i="10"/>
  <c r="AX21" i="10"/>
  <c r="AY21" i="10"/>
  <c r="AX22" i="10"/>
  <c r="AY22" i="10"/>
  <c r="AA22" i="10" s="1"/>
  <c r="AX23" i="10"/>
  <c r="AY23" i="10"/>
  <c r="AX24" i="10"/>
  <c r="AY24" i="10"/>
  <c r="AX25" i="10"/>
  <c r="AY25" i="10"/>
  <c r="AX26" i="10"/>
  <c r="AY26" i="10"/>
  <c r="BA26" i="10" s="1"/>
  <c r="AX27" i="10"/>
  <c r="AY27" i="10"/>
  <c r="AX28" i="10"/>
  <c r="AY28" i="10"/>
  <c r="AX29" i="10"/>
  <c r="AY29" i="10"/>
  <c r="AX30" i="10"/>
  <c r="AY30" i="10"/>
  <c r="AX31" i="10"/>
  <c r="AY31" i="10"/>
  <c r="AX32" i="10"/>
  <c r="AY32" i="10"/>
  <c r="AX33" i="10"/>
  <c r="AY33" i="10"/>
  <c r="AA33" i="10" s="1"/>
  <c r="AX34" i="10"/>
  <c r="BA34" i="10" s="1"/>
  <c r="AY34" i="10"/>
  <c r="AY4" i="10"/>
  <c r="AX4" i="10"/>
  <c r="BA4" i="10" s="1"/>
  <c r="AT5" i="10"/>
  <c r="AU5" i="10"/>
  <c r="AT6" i="10"/>
  <c r="AU6" i="10"/>
  <c r="AT7" i="10"/>
  <c r="AU7" i="10"/>
  <c r="AT8" i="10"/>
  <c r="AU8" i="10"/>
  <c r="AW8" i="10" s="1"/>
  <c r="AT9" i="10"/>
  <c r="AU9" i="10"/>
  <c r="AT10" i="10"/>
  <c r="AW10" i="10" s="1"/>
  <c r="AU10" i="10"/>
  <c r="AT11" i="10"/>
  <c r="AU11" i="10"/>
  <c r="AT12" i="10"/>
  <c r="AW12" i="10" s="1"/>
  <c r="AU12" i="10"/>
  <c r="AT13" i="10"/>
  <c r="AU13" i="10"/>
  <c r="AT14" i="10"/>
  <c r="AU14" i="10"/>
  <c r="AT15" i="10"/>
  <c r="AU15" i="10"/>
  <c r="AT16" i="10"/>
  <c r="AW16" i="10" s="1"/>
  <c r="AU16" i="10"/>
  <c r="AT17" i="10"/>
  <c r="AU17" i="10"/>
  <c r="AT18" i="10"/>
  <c r="AW18" i="10" s="1"/>
  <c r="AU18" i="10"/>
  <c r="AT19" i="10"/>
  <c r="AU19" i="10"/>
  <c r="AT20" i="10"/>
  <c r="AW20" i="10" s="1"/>
  <c r="AU20" i="10"/>
  <c r="AT21" i="10"/>
  <c r="AU21" i="10"/>
  <c r="AA21" i="10" s="1"/>
  <c r="AT22" i="10"/>
  <c r="AW22" i="10" s="1"/>
  <c r="AU22" i="10"/>
  <c r="AT23" i="10"/>
  <c r="AU23" i="10"/>
  <c r="AW23" i="10" s="1"/>
  <c r="AT24" i="10"/>
  <c r="AU24" i="10"/>
  <c r="AT25" i="10"/>
  <c r="AU25" i="10"/>
  <c r="AW25" i="10" s="1"/>
  <c r="AT26" i="10"/>
  <c r="AW26" i="10" s="1"/>
  <c r="AU26" i="10"/>
  <c r="AT27" i="10"/>
  <c r="AU27" i="10"/>
  <c r="AW27" i="10" s="1"/>
  <c r="AT28" i="10"/>
  <c r="AW28" i="10" s="1"/>
  <c r="AU28" i="10"/>
  <c r="AT29" i="10"/>
  <c r="AU29" i="10"/>
  <c r="AT30" i="10"/>
  <c r="AW30" i="10" s="1"/>
  <c r="AU30" i="10"/>
  <c r="AT31" i="10"/>
  <c r="AU31" i="10"/>
  <c r="AA31" i="10" s="1"/>
  <c r="AT32" i="10"/>
  <c r="AW32" i="10" s="1"/>
  <c r="AU32" i="10"/>
  <c r="AT33" i="10"/>
  <c r="AU33" i="10"/>
  <c r="AT34" i="10"/>
  <c r="AW34" i="10" s="1"/>
  <c r="AU34" i="10"/>
  <c r="AT4" i="10"/>
  <c r="AU4" i="10"/>
  <c r="BG19" i="10"/>
  <c r="BI15" i="10"/>
  <c r="BG15" i="10"/>
  <c r="BG11" i="10"/>
  <c r="AK34" i="10"/>
  <c r="AK33" i="10"/>
  <c r="AK32" i="10"/>
  <c r="AK31" i="10"/>
  <c r="AK30" i="10"/>
  <c r="AK29" i="10"/>
  <c r="AK28" i="10"/>
  <c r="AK27" i="10"/>
  <c r="AK26" i="10"/>
  <c r="AK25" i="10"/>
  <c r="AK24" i="10"/>
  <c r="AK23" i="10"/>
  <c r="AK22" i="10"/>
  <c r="AK21" i="10"/>
  <c r="AK20" i="10"/>
  <c r="AK19" i="10"/>
  <c r="AK18" i="10"/>
  <c r="AK17" i="10"/>
  <c r="AK16" i="10"/>
  <c r="AK15" i="10"/>
  <c r="AK14" i="10"/>
  <c r="AK13" i="10"/>
  <c r="AK12" i="10"/>
  <c r="AK11" i="10"/>
  <c r="AK10" i="10"/>
  <c r="AK9" i="10"/>
  <c r="AK8" i="10"/>
  <c r="AK7" i="10"/>
  <c r="AK6" i="10"/>
  <c r="AK5" i="10"/>
  <c r="AK4" i="10"/>
  <c r="AJ34" i="10"/>
  <c r="AJ33" i="10"/>
  <c r="AJ32" i="10"/>
  <c r="AJ31" i="10"/>
  <c r="AJ30" i="10"/>
  <c r="AJ29" i="10"/>
  <c r="AJ28" i="10"/>
  <c r="AJ27" i="10"/>
  <c r="AJ26" i="10"/>
  <c r="AJ25" i="10"/>
  <c r="AJ24" i="10"/>
  <c r="AJ23" i="10"/>
  <c r="AJ22" i="10"/>
  <c r="AJ21" i="10"/>
  <c r="AJ20" i="10"/>
  <c r="AJ19" i="10"/>
  <c r="AJ18" i="10"/>
  <c r="AJ17" i="10"/>
  <c r="AJ16" i="10"/>
  <c r="AJ15" i="10"/>
  <c r="AJ14" i="10"/>
  <c r="AJ13" i="10"/>
  <c r="AJ12" i="10"/>
  <c r="AJ11" i="10"/>
  <c r="AJ10" i="10"/>
  <c r="AJ9" i="10"/>
  <c r="AJ8" i="10"/>
  <c r="AJ7" i="10"/>
  <c r="AJ6" i="10"/>
  <c r="AJ5" i="10"/>
  <c r="AJ4" i="10"/>
  <c r="AF34" i="10"/>
  <c r="AF33" i="10"/>
  <c r="AF32" i="10"/>
  <c r="AF31" i="10"/>
  <c r="AF30" i="10"/>
  <c r="AF29" i="10"/>
  <c r="AF28" i="10"/>
  <c r="AF27" i="10"/>
  <c r="AF26" i="10"/>
  <c r="AF25" i="10"/>
  <c r="AF24" i="10"/>
  <c r="AF23" i="10"/>
  <c r="AF22" i="10"/>
  <c r="AF21" i="10"/>
  <c r="AF20" i="10"/>
  <c r="AF19" i="10"/>
  <c r="AF18" i="10"/>
  <c r="AF17" i="10"/>
  <c r="AF16" i="10"/>
  <c r="AF15" i="10"/>
  <c r="AF14" i="10"/>
  <c r="AF13" i="10"/>
  <c r="AF12" i="10"/>
  <c r="AF11" i="10"/>
  <c r="AF10" i="10"/>
  <c r="AF9" i="10"/>
  <c r="AF8" i="10"/>
  <c r="AF7" i="10"/>
  <c r="AF6" i="10"/>
  <c r="AF5" i="10"/>
  <c r="AF4" i="10"/>
  <c r="Z34" i="10"/>
  <c r="Z33" i="10"/>
  <c r="Z32" i="10"/>
  <c r="Z31" i="10"/>
  <c r="Z30" i="10"/>
  <c r="Z29" i="10"/>
  <c r="Z28" i="10"/>
  <c r="Z27" i="10"/>
  <c r="Z26" i="10"/>
  <c r="Z25" i="10"/>
  <c r="Z24" i="10"/>
  <c r="Z23" i="10"/>
  <c r="Z22" i="10"/>
  <c r="Z21" i="10"/>
  <c r="Z20" i="10"/>
  <c r="Z19" i="10"/>
  <c r="Z18" i="10"/>
  <c r="Z17" i="10"/>
  <c r="Z16" i="10"/>
  <c r="Z15" i="10"/>
  <c r="Z14" i="10"/>
  <c r="Z13" i="10"/>
  <c r="Z12" i="10"/>
  <c r="Z11" i="10"/>
  <c r="Z10" i="10"/>
  <c r="Z9" i="10"/>
  <c r="Z8" i="10"/>
  <c r="Z7" i="10"/>
  <c r="Z6" i="10"/>
  <c r="Z5" i="10"/>
  <c r="Z4" i="10"/>
  <c r="BQ34" i="10"/>
  <c r="BS34" i="10" s="1"/>
  <c r="BQ33" i="10"/>
  <c r="BQ31" i="10"/>
  <c r="BS31" i="10" s="1"/>
  <c r="BQ30" i="10"/>
  <c r="BS30" i="10" s="1"/>
  <c r="BQ29" i="10"/>
  <c r="BS29" i="10" s="1"/>
  <c r="BQ28" i="10"/>
  <c r="BQ27" i="10"/>
  <c r="BQ26" i="10"/>
  <c r="BS26" i="10" s="1"/>
  <c r="BQ23" i="10"/>
  <c r="BQ22" i="10"/>
  <c r="BS22" i="10" s="1"/>
  <c r="BQ21" i="10"/>
  <c r="BQ20" i="10"/>
  <c r="BQ19" i="10"/>
  <c r="BQ18" i="10"/>
  <c r="BS18" i="10" s="1"/>
  <c r="BQ17" i="10"/>
  <c r="BQ14" i="10"/>
  <c r="BS14" i="10" s="1"/>
  <c r="BQ11" i="10"/>
  <c r="BQ10" i="10"/>
  <c r="BS10" i="10" s="1"/>
  <c r="AL10" i="10"/>
  <c r="BQ7" i="10"/>
  <c r="BQ6" i="10"/>
  <c r="BS6" i="10" s="1"/>
  <c r="P6" i="10"/>
  <c r="BQ5" i="10"/>
  <c r="BQ4" i="10"/>
  <c r="W34" i="10"/>
  <c r="T34" i="10" s="1"/>
  <c r="W33" i="10"/>
  <c r="W32" i="10"/>
  <c r="W31" i="10"/>
  <c r="W30" i="10"/>
  <c r="W29" i="10"/>
  <c r="W28" i="10"/>
  <c r="T28" i="10" s="1"/>
  <c r="W27" i="10"/>
  <c r="T27" i="10" s="1"/>
  <c r="W26" i="10"/>
  <c r="W25" i="10"/>
  <c r="T25" i="10"/>
  <c r="W24" i="10"/>
  <c r="W23" i="10"/>
  <c r="W22" i="10"/>
  <c r="W21" i="10"/>
  <c r="W20" i="10"/>
  <c r="W19" i="10"/>
  <c r="W18" i="10"/>
  <c r="W17" i="10"/>
  <c r="W16" i="10"/>
  <c r="T16" i="10" s="1"/>
  <c r="W15" i="10"/>
  <c r="W14" i="10"/>
  <c r="W13" i="10"/>
  <c r="T13" i="10" s="1"/>
  <c r="W12" i="10"/>
  <c r="W11" i="10"/>
  <c r="W10" i="10"/>
  <c r="T10" i="10" s="1"/>
  <c r="W9" i="10"/>
  <c r="W8" i="10"/>
  <c r="W7" i="10"/>
  <c r="W6" i="10"/>
  <c r="W5" i="10"/>
  <c r="W4" i="10"/>
  <c r="Q5" i="10"/>
  <c r="Q6" i="10"/>
  <c r="Q35" i="10" s="1"/>
  <c r="H46" i="10" s="1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4" i="10"/>
  <c r="R4" i="10" s="1"/>
  <c r="R5" i="10" s="1"/>
  <c r="O5" i="10"/>
  <c r="O6" i="10"/>
  <c r="O7" i="10"/>
  <c r="P7" i="10" s="1"/>
  <c r="O8" i="10"/>
  <c r="P8" i="10" s="1"/>
  <c r="O9" i="10"/>
  <c r="O10" i="10"/>
  <c r="O11" i="10"/>
  <c r="P11" i="10" s="1"/>
  <c r="O12" i="10"/>
  <c r="O13" i="10"/>
  <c r="O14" i="10"/>
  <c r="O15" i="10"/>
  <c r="O16" i="10"/>
  <c r="O17" i="10"/>
  <c r="O18" i="10"/>
  <c r="P18" i="10" s="1"/>
  <c r="O19" i="10"/>
  <c r="P19" i="10" s="1"/>
  <c r="O20" i="10"/>
  <c r="P20" i="10" s="1"/>
  <c r="O21" i="10"/>
  <c r="O22" i="10"/>
  <c r="O23" i="10"/>
  <c r="P23" i="10" s="1"/>
  <c r="O24" i="10"/>
  <c r="P24" i="10" s="1"/>
  <c r="O25" i="10"/>
  <c r="O26" i="10"/>
  <c r="P26" i="10" s="1"/>
  <c r="O27" i="10"/>
  <c r="P27" i="10" s="1"/>
  <c r="O28" i="10"/>
  <c r="P28" i="10" s="1"/>
  <c r="O29" i="10"/>
  <c r="O30" i="10"/>
  <c r="P30" i="10" s="1"/>
  <c r="O31" i="10"/>
  <c r="O32" i="10"/>
  <c r="P32" i="10" s="1"/>
  <c r="O33" i="10"/>
  <c r="O34" i="10"/>
  <c r="O4" i="10"/>
  <c r="J5" i="10"/>
  <c r="K5" i="10"/>
  <c r="L5" i="10"/>
  <c r="M5" i="10"/>
  <c r="J6" i="10"/>
  <c r="K6" i="10"/>
  <c r="L6" i="10"/>
  <c r="M6" i="10"/>
  <c r="J7" i="10"/>
  <c r="K7" i="10"/>
  <c r="L7" i="10"/>
  <c r="T7" i="10" s="1"/>
  <c r="M7" i="10"/>
  <c r="AH7" i="10" s="1"/>
  <c r="J8" i="10"/>
  <c r="K8" i="10"/>
  <c r="L8" i="10"/>
  <c r="M8" i="10"/>
  <c r="AH8" i="10" s="1"/>
  <c r="J9" i="10"/>
  <c r="F9" i="10"/>
  <c r="K9" i="10"/>
  <c r="L9" i="10"/>
  <c r="M9" i="10"/>
  <c r="J10" i="10"/>
  <c r="K10" i="10"/>
  <c r="L10" i="10"/>
  <c r="M10" i="10"/>
  <c r="AH10" i="10" s="1"/>
  <c r="J11" i="10"/>
  <c r="K11" i="10"/>
  <c r="L11" i="10"/>
  <c r="M11" i="10"/>
  <c r="J12" i="10"/>
  <c r="F12" i="10" s="1"/>
  <c r="AN12" i="10" s="1"/>
  <c r="K12" i="10"/>
  <c r="L12" i="10"/>
  <c r="M12" i="10"/>
  <c r="J13" i="10"/>
  <c r="F13" i="10" s="1"/>
  <c r="AG13" i="10" s="1"/>
  <c r="K13" i="10"/>
  <c r="L13" i="10"/>
  <c r="M13" i="10"/>
  <c r="J14" i="10"/>
  <c r="K14" i="10"/>
  <c r="L14" i="10"/>
  <c r="T14" i="10" s="1"/>
  <c r="M14" i="10"/>
  <c r="J15" i="10"/>
  <c r="K15" i="10"/>
  <c r="L15" i="10"/>
  <c r="T15" i="10" s="1"/>
  <c r="M15" i="10"/>
  <c r="J16" i="10"/>
  <c r="K16" i="10"/>
  <c r="L16" i="10"/>
  <c r="M16" i="10"/>
  <c r="J17" i="10"/>
  <c r="K17" i="10"/>
  <c r="L17" i="10"/>
  <c r="M17" i="10"/>
  <c r="U17" i="10"/>
  <c r="J18" i="10"/>
  <c r="F18" i="10" s="1"/>
  <c r="K18" i="10"/>
  <c r="L18" i="10"/>
  <c r="M18" i="10"/>
  <c r="AH18" i="10" s="1"/>
  <c r="J19" i="10"/>
  <c r="K19" i="10"/>
  <c r="L19" i="10"/>
  <c r="M19" i="10"/>
  <c r="AH19" i="10"/>
  <c r="J20" i="10"/>
  <c r="K20" i="10"/>
  <c r="L20" i="10"/>
  <c r="M20" i="10"/>
  <c r="AH20" i="10" s="1"/>
  <c r="J21" i="10"/>
  <c r="K21" i="10"/>
  <c r="L21" i="10"/>
  <c r="M21" i="10"/>
  <c r="J22" i="10"/>
  <c r="K22" i="10"/>
  <c r="L22" i="10"/>
  <c r="M22" i="10"/>
  <c r="J23" i="10"/>
  <c r="K23" i="10"/>
  <c r="L23" i="10"/>
  <c r="M23" i="10"/>
  <c r="U23" i="10" s="1"/>
  <c r="J24" i="10"/>
  <c r="F24" i="10" s="1"/>
  <c r="K24" i="10"/>
  <c r="L24" i="10"/>
  <c r="M24" i="10"/>
  <c r="J25" i="10"/>
  <c r="K25" i="10"/>
  <c r="L25" i="10"/>
  <c r="M25" i="10"/>
  <c r="AH25" i="10"/>
  <c r="J26" i="10"/>
  <c r="K26" i="10"/>
  <c r="L26" i="10"/>
  <c r="M26" i="10"/>
  <c r="U26" i="10" s="1"/>
  <c r="J27" i="10"/>
  <c r="K27" i="10"/>
  <c r="L27" i="10"/>
  <c r="M27" i="10"/>
  <c r="U27" i="10" s="1"/>
  <c r="J28" i="10"/>
  <c r="K28" i="10"/>
  <c r="L28" i="10"/>
  <c r="M28" i="10"/>
  <c r="AH28" i="10" s="1"/>
  <c r="J29" i="10"/>
  <c r="K29" i="10"/>
  <c r="L29" i="10"/>
  <c r="T29" i="10" s="1"/>
  <c r="M29" i="10"/>
  <c r="AH29" i="10" s="1"/>
  <c r="J30" i="10"/>
  <c r="K30" i="10"/>
  <c r="L30" i="10"/>
  <c r="T30" i="10" s="1"/>
  <c r="M30" i="10"/>
  <c r="U30" i="10" s="1"/>
  <c r="J31" i="10"/>
  <c r="K31" i="10"/>
  <c r="L31" i="10"/>
  <c r="T31" i="10" s="1"/>
  <c r="M31" i="10"/>
  <c r="U31" i="10" s="1"/>
  <c r="J32" i="10"/>
  <c r="K32" i="10"/>
  <c r="L32" i="10"/>
  <c r="T32" i="10" s="1"/>
  <c r="M32" i="10"/>
  <c r="AH32" i="10" s="1"/>
  <c r="J33" i="10"/>
  <c r="K33" i="10"/>
  <c r="L33" i="10"/>
  <c r="T33" i="10" s="1"/>
  <c r="M33" i="10"/>
  <c r="U33" i="10" s="1"/>
  <c r="J34" i="10"/>
  <c r="K34" i="10"/>
  <c r="L34" i="10"/>
  <c r="M34" i="10"/>
  <c r="K4" i="10"/>
  <c r="L4" i="10"/>
  <c r="T4" i="10" s="1"/>
  <c r="M4" i="10"/>
  <c r="J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4" i="10"/>
  <c r="H35" i="10" s="1"/>
  <c r="E5" i="10"/>
  <c r="F5" i="10" s="1"/>
  <c r="E6" i="10"/>
  <c r="F6" i="10" s="1"/>
  <c r="E7" i="10"/>
  <c r="E8" i="10"/>
  <c r="E9" i="10"/>
  <c r="E10" i="10"/>
  <c r="E11" i="10"/>
  <c r="E12" i="10"/>
  <c r="E13" i="10"/>
  <c r="E14" i="10"/>
  <c r="F14" i="10" s="1"/>
  <c r="E15" i="10"/>
  <c r="F15" i="10" s="1"/>
  <c r="AI15" i="10" s="1"/>
  <c r="E16" i="10"/>
  <c r="E17" i="10"/>
  <c r="E18" i="10"/>
  <c r="E19" i="10"/>
  <c r="E20" i="10"/>
  <c r="E21" i="10"/>
  <c r="E22" i="10"/>
  <c r="E23" i="10"/>
  <c r="E24" i="10"/>
  <c r="E25" i="10"/>
  <c r="E26" i="10"/>
  <c r="F26" i="10" s="1"/>
  <c r="E27" i="10"/>
  <c r="F27" i="10" s="1"/>
  <c r="E28" i="10"/>
  <c r="F28" i="10" s="1"/>
  <c r="AG28" i="10" s="1"/>
  <c r="E29" i="10"/>
  <c r="E30" i="10"/>
  <c r="E31" i="10"/>
  <c r="E32" i="10"/>
  <c r="F32" i="10" s="1"/>
  <c r="AG32" i="10" s="1"/>
  <c r="E33" i="10"/>
  <c r="F33" i="10" s="1"/>
  <c r="AN33" i="10" s="1"/>
  <c r="E34" i="10"/>
  <c r="E4" i="10"/>
  <c r="AR6" i="10"/>
  <c r="AR4" i="10"/>
  <c r="E3" i="25"/>
  <c r="AV106" i="27"/>
  <c r="AU106" i="27"/>
  <c r="AT106" i="27"/>
  <c r="AM106" i="27"/>
  <c r="AK106" i="27"/>
  <c r="AJ106" i="27"/>
  <c r="AF106" i="27"/>
  <c r="AE106" i="27"/>
  <c r="Z106" i="27"/>
  <c r="X106" i="27"/>
  <c r="U106" i="27" s="1"/>
  <c r="W106" i="27"/>
  <c r="S106" i="27"/>
  <c r="Q106" i="27"/>
  <c r="O106" i="27"/>
  <c r="M106" i="27"/>
  <c r="L106" i="27"/>
  <c r="K106" i="27"/>
  <c r="J106" i="27"/>
  <c r="I106" i="27"/>
  <c r="H106" i="27"/>
  <c r="E106" i="27"/>
  <c r="C106" i="27"/>
  <c r="AW105" i="27"/>
  <c r="AR105" i="27"/>
  <c r="AB105" i="27"/>
  <c r="T105" i="27"/>
  <c r="F105" i="27"/>
  <c r="AW104" i="27"/>
  <c r="AR104" i="27"/>
  <c r="AB104" i="27"/>
  <c r="T104" i="27"/>
  <c r="F104" i="27"/>
  <c r="AW103" i="27"/>
  <c r="AR103" i="27"/>
  <c r="AQ103" i="27"/>
  <c r="AB103" i="27"/>
  <c r="T103" i="27"/>
  <c r="F103" i="27"/>
  <c r="AW102" i="27"/>
  <c r="AR102" i="27"/>
  <c r="AQ102" i="27"/>
  <c r="AB102" i="27"/>
  <c r="T102" i="27"/>
  <c r="F102" i="27"/>
  <c r="AW101" i="27"/>
  <c r="AR101" i="27"/>
  <c r="AB101" i="27"/>
  <c r="T101" i="27"/>
  <c r="F101" i="27"/>
  <c r="AI101" i="27" s="1"/>
  <c r="AG101" i="27"/>
  <c r="AW100" i="27"/>
  <c r="AR100" i="27"/>
  <c r="AB100" i="27"/>
  <c r="T100" i="27"/>
  <c r="F100" i="27"/>
  <c r="AG100" i="27" s="1"/>
  <c r="AW99" i="27"/>
  <c r="AR99" i="27"/>
  <c r="AQ99" i="27"/>
  <c r="AB99" i="27"/>
  <c r="T99" i="27"/>
  <c r="F99" i="27"/>
  <c r="AW98" i="27"/>
  <c r="AR98" i="27"/>
  <c r="AQ98" i="27"/>
  <c r="AB98" i="27"/>
  <c r="T98" i="27"/>
  <c r="F98" i="27"/>
  <c r="AW97" i="27"/>
  <c r="AR97" i="27"/>
  <c r="AB97" i="27"/>
  <c r="T97" i="27"/>
  <c r="F97" i="27"/>
  <c r="AW96" i="27"/>
  <c r="AR96" i="27"/>
  <c r="AB96" i="27"/>
  <c r="T96" i="27"/>
  <c r="F96" i="27"/>
  <c r="AW95" i="27"/>
  <c r="AR95" i="27"/>
  <c r="AQ95" i="27"/>
  <c r="AB95" i="27"/>
  <c r="T95" i="27"/>
  <c r="F95" i="27"/>
  <c r="AI95" i="27" s="1"/>
  <c r="AW94" i="27"/>
  <c r="AR94" i="27"/>
  <c r="AQ94" i="27"/>
  <c r="AB94" i="27"/>
  <c r="T94" i="27"/>
  <c r="F94" i="27"/>
  <c r="AW93" i="27"/>
  <c r="AR93" i="27"/>
  <c r="AQ93" i="27"/>
  <c r="AB93" i="27"/>
  <c r="T93" i="27"/>
  <c r="F93" i="27"/>
  <c r="AW92" i="27"/>
  <c r="AR92" i="27"/>
  <c r="AB92" i="27"/>
  <c r="T92" i="27"/>
  <c r="F92" i="27"/>
  <c r="AI92" i="27" s="1"/>
  <c r="AG92" i="27"/>
  <c r="AW91" i="27"/>
  <c r="AR91" i="27"/>
  <c r="AQ91" i="27"/>
  <c r="AB91" i="27"/>
  <c r="T91" i="27"/>
  <c r="F91" i="27"/>
  <c r="AW90" i="27"/>
  <c r="AR90" i="27"/>
  <c r="AQ90" i="27"/>
  <c r="AB90" i="27"/>
  <c r="T90" i="27"/>
  <c r="P106" i="27"/>
  <c r="F90" i="27"/>
  <c r="AW89" i="27"/>
  <c r="AR89" i="27"/>
  <c r="AI89" i="27"/>
  <c r="AB89" i="27"/>
  <c r="T89" i="27"/>
  <c r="F89" i="27"/>
  <c r="AW88" i="27"/>
  <c r="AR88" i="27"/>
  <c r="AB88" i="27"/>
  <c r="T88" i="27"/>
  <c r="F88" i="27"/>
  <c r="AI88" i="27" s="1"/>
  <c r="AW87" i="27"/>
  <c r="AR87" i="27"/>
  <c r="AQ87" i="27"/>
  <c r="AB87" i="27"/>
  <c r="T87" i="27"/>
  <c r="F87" i="27"/>
  <c r="AG87" i="27" s="1"/>
  <c r="AW86" i="27"/>
  <c r="AR86" i="27"/>
  <c r="AQ86" i="27"/>
  <c r="AB86" i="27"/>
  <c r="T86" i="27"/>
  <c r="F86" i="27"/>
  <c r="AI86" i="27"/>
  <c r="AW85" i="27"/>
  <c r="AR85" i="27"/>
  <c r="AB85" i="27"/>
  <c r="T85" i="27"/>
  <c r="F85" i="27"/>
  <c r="AW84" i="27"/>
  <c r="AR84" i="27"/>
  <c r="AB84" i="27"/>
  <c r="T84" i="27"/>
  <c r="F84" i="27"/>
  <c r="AW83" i="27"/>
  <c r="AR83" i="27"/>
  <c r="AQ83" i="27"/>
  <c r="AB83" i="27"/>
  <c r="T83" i="27"/>
  <c r="F83" i="27"/>
  <c r="AW82" i="27"/>
  <c r="AR82" i="27"/>
  <c r="AQ82" i="27"/>
  <c r="AB82" i="27"/>
  <c r="T82" i="27"/>
  <c r="F82" i="27"/>
  <c r="AG82" i="27" s="1"/>
  <c r="AW81" i="27"/>
  <c r="AR81" i="27"/>
  <c r="AB81" i="27"/>
  <c r="T81" i="27"/>
  <c r="F81" i="27"/>
  <c r="AW80" i="27"/>
  <c r="AR80" i="27"/>
  <c r="AB80" i="27"/>
  <c r="T80" i="27"/>
  <c r="F80" i="27"/>
  <c r="AW79" i="27"/>
  <c r="AR79" i="27"/>
  <c r="AQ79" i="27"/>
  <c r="AB79" i="27"/>
  <c r="T79" i="27"/>
  <c r="F79" i="27"/>
  <c r="AW78" i="27"/>
  <c r="AR78" i="27"/>
  <c r="AQ78" i="27"/>
  <c r="AB78" i="27"/>
  <c r="T78" i="27"/>
  <c r="F78" i="27"/>
  <c r="AW77" i="27"/>
  <c r="AR77" i="27"/>
  <c r="AB77" i="27"/>
  <c r="AA106" i="27"/>
  <c r="T77" i="27"/>
  <c r="F77" i="27"/>
  <c r="AW76" i="27"/>
  <c r="AR76" i="27"/>
  <c r="AQ76" i="27"/>
  <c r="AB76" i="27"/>
  <c r="T76" i="27"/>
  <c r="F76" i="27"/>
  <c r="BA75" i="27"/>
  <c r="AW75" i="27"/>
  <c r="AR75" i="27"/>
  <c r="AQ75" i="27"/>
  <c r="AH106" i="27"/>
  <c r="AB75" i="27"/>
  <c r="Y106" i="27"/>
  <c r="T75" i="27"/>
  <c r="R75" i="27"/>
  <c r="R76" i="27" s="1"/>
  <c r="R77" i="27" s="1"/>
  <c r="R78" i="27" s="1"/>
  <c r="R79" i="27" s="1"/>
  <c r="R80" i="27" s="1"/>
  <c r="R81" i="27" s="1"/>
  <c r="R82" i="27" s="1"/>
  <c r="R83" i="27" s="1"/>
  <c r="R84" i="27" s="1"/>
  <c r="R85" i="27"/>
  <c r="R86" i="27" s="1"/>
  <c r="R87" i="27" s="1"/>
  <c r="R88" i="27" s="1"/>
  <c r="R89" i="27" s="1"/>
  <c r="R90" i="27"/>
  <c r="R91" i="27" s="1"/>
  <c r="R92" i="27" s="1"/>
  <c r="R93" i="27" s="1"/>
  <c r="R94" i="27" s="1"/>
  <c r="R95" i="27" s="1"/>
  <c r="R96" i="27" s="1"/>
  <c r="R97" i="27" s="1"/>
  <c r="R98" i="27" s="1"/>
  <c r="R99" i="27" s="1"/>
  <c r="R100" i="27" s="1"/>
  <c r="R101" i="27" s="1"/>
  <c r="R102" i="27" s="1"/>
  <c r="R103" i="27" s="1"/>
  <c r="R104" i="27" s="1"/>
  <c r="R105" i="27" s="1"/>
  <c r="R106" i="27" s="1"/>
  <c r="N75" i="27"/>
  <c r="N76" i="27" s="1"/>
  <c r="N77" i="27" s="1"/>
  <c r="N78" i="27" s="1"/>
  <c r="N79" i="27" s="1"/>
  <c r="N80" i="27" s="1"/>
  <c r="N81" i="27" s="1"/>
  <c r="F75" i="27"/>
  <c r="AV70" i="27"/>
  <c r="AU70" i="27"/>
  <c r="AT70" i="27"/>
  <c r="AM70" i="27"/>
  <c r="AK70" i="27"/>
  <c r="AJ70" i="27"/>
  <c r="AF70" i="27"/>
  <c r="AE70" i="27"/>
  <c r="Z70" i="27"/>
  <c r="X70" i="27"/>
  <c r="W70" i="27"/>
  <c r="S70" i="27"/>
  <c r="Q70" i="27"/>
  <c r="U70" i="27" s="1"/>
  <c r="O70" i="27"/>
  <c r="M70" i="27"/>
  <c r="L70" i="27"/>
  <c r="K70" i="27"/>
  <c r="J70" i="27"/>
  <c r="I70" i="27"/>
  <c r="H70" i="27"/>
  <c r="E70" i="27"/>
  <c r="C70" i="27"/>
  <c r="AW69" i="27"/>
  <c r="AR69" i="27"/>
  <c r="AB69" i="27"/>
  <c r="T69" i="27"/>
  <c r="F69" i="27"/>
  <c r="AW68" i="27"/>
  <c r="AR68" i="27"/>
  <c r="AB68" i="27"/>
  <c r="T68" i="27"/>
  <c r="F68" i="27"/>
  <c r="AW67" i="27"/>
  <c r="AR67" i="27"/>
  <c r="AQ67" i="27"/>
  <c r="AB67" i="27"/>
  <c r="T67" i="27"/>
  <c r="F67" i="27"/>
  <c r="AI67" i="27"/>
  <c r="AW66" i="27"/>
  <c r="AR66" i="27"/>
  <c r="AQ66" i="27"/>
  <c r="AB66" i="27"/>
  <c r="T66" i="27"/>
  <c r="F66" i="27"/>
  <c r="AG66" i="27"/>
  <c r="AW65" i="27"/>
  <c r="AR65" i="27"/>
  <c r="AI65" i="27"/>
  <c r="AB65" i="27"/>
  <c r="T65" i="27"/>
  <c r="F65" i="27"/>
  <c r="AW64" i="27"/>
  <c r="AR64" i="27"/>
  <c r="AB64" i="27"/>
  <c r="T64" i="27"/>
  <c r="F64" i="27"/>
  <c r="AI64" i="27"/>
  <c r="AW63" i="27"/>
  <c r="AR63" i="27"/>
  <c r="AQ63" i="27"/>
  <c r="AB63" i="27"/>
  <c r="T63" i="27"/>
  <c r="F63" i="27"/>
  <c r="AW62" i="27"/>
  <c r="AR62" i="27"/>
  <c r="AQ62" i="27"/>
  <c r="AB62" i="27"/>
  <c r="T62" i="27"/>
  <c r="F62" i="27"/>
  <c r="AW61" i="27"/>
  <c r="AR61" i="27"/>
  <c r="AB61" i="27"/>
  <c r="T61" i="27"/>
  <c r="F61" i="27"/>
  <c r="AW60" i="27"/>
  <c r="AR60" i="27"/>
  <c r="AB60" i="27"/>
  <c r="T60" i="27"/>
  <c r="F60" i="27"/>
  <c r="AW59" i="27"/>
  <c r="AR59" i="27"/>
  <c r="AQ59" i="27"/>
  <c r="AB59" i="27"/>
  <c r="T59" i="27"/>
  <c r="F59" i="27"/>
  <c r="AW58" i="27"/>
  <c r="AR58" i="27"/>
  <c r="AQ58" i="27"/>
  <c r="AB58" i="27"/>
  <c r="T58" i="27"/>
  <c r="F58" i="27"/>
  <c r="AW57" i="27"/>
  <c r="AR57" i="27"/>
  <c r="AQ57" i="27"/>
  <c r="AB57" i="27"/>
  <c r="T57" i="27"/>
  <c r="F57" i="27"/>
  <c r="AW56" i="27"/>
  <c r="AR56" i="27"/>
  <c r="AB56" i="27"/>
  <c r="T56" i="27"/>
  <c r="F56" i="27"/>
  <c r="AG56" i="27" s="1"/>
  <c r="AW55" i="27"/>
  <c r="AR55" i="27"/>
  <c r="AQ55" i="27"/>
  <c r="AB55" i="27"/>
  <c r="T55" i="27"/>
  <c r="F55" i="27"/>
  <c r="AW54" i="27"/>
  <c r="AR54" i="27"/>
  <c r="AQ54" i="27"/>
  <c r="AB54" i="27"/>
  <c r="T54" i="27"/>
  <c r="F54" i="27"/>
  <c r="AW53" i="27"/>
  <c r="AR53" i="27"/>
  <c r="AB53" i="27"/>
  <c r="T53" i="27"/>
  <c r="F53" i="27"/>
  <c r="AW52" i="27"/>
  <c r="AR52" i="27"/>
  <c r="AB52" i="27"/>
  <c r="T52" i="27"/>
  <c r="F52" i="27"/>
  <c r="AW51" i="27"/>
  <c r="AR51" i="27"/>
  <c r="AQ51" i="27"/>
  <c r="AB51" i="27"/>
  <c r="T51" i="27"/>
  <c r="F51" i="27"/>
  <c r="AW50" i="27"/>
  <c r="AR50" i="27"/>
  <c r="AQ50" i="27"/>
  <c r="AB50" i="27"/>
  <c r="T50" i="27"/>
  <c r="F50" i="27"/>
  <c r="AG50" i="27" s="1"/>
  <c r="AW49" i="27"/>
  <c r="AR49" i="27"/>
  <c r="AB49" i="27"/>
  <c r="T49" i="27"/>
  <c r="F49" i="27"/>
  <c r="AW48" i="27"/>
  <c r="AR48" i="27"/>
  <c r="AG48" i="27"/>
  <c r="AB48" i="27"/>
  <c r="T48" i="27"/>
  <c r="F48" i="27"/>
  <c r="AW47" i="27"/>
  <c r="AR47" i="27"/>
  <c r="AQ47" i="27"/>
  <c r="AB47" i="27"/>
  <c r="T47" i="27"/>
  <c r="F47" i="27"/>
  <c r="AI47" i="27" s="1"/>
  <c r="AG47" i="27"/>
  <c r="AW46" i="27"/>
  <c r="AR46" i="27"/>
  <c r="AQ46" i="27"/>
  <c r="AB46" i="27"/>
  <c r="T46" i="27"/>
  <c r="F46" i="27"/>
  <c r="AI46" i="27" s="1"/>
  <c r="AW45" i="27"/>
  <c r="AR45" i="27"/>
  <c r="AB45" i="27"/>
  <c r="T45" i="27"/>
  <c r="F45" i="27"/>
  <c r="AW44" i="27"/>
  <c r="AR44" i="27"/>
  <c r="AB44" i="27"/>
  <c r="T44" i="27"/>
  <c r="F44" i="27"/>
  <c r="AW43" i="27"/>
  <c r="AR43" i="27"/>
  <c r="AQ43" i="27"/>
  <c r="AB43" i="27"/>
  <c r="T43" i="27"/>
  <c r="F43" i="27"/>
  <c r="AW42" i="27"/>
  <c r="AR42" i="27"/>
  <c r="AQ42" i="27"/>
  <c r="AB42" i="27"/>
  <c r="T42" i="27"/>
  <c r="F42" i="27"/>
  <c r="AW41" i="27"/>
  <c r="AR41" i="27"/>
  <c r="AQ41" i="27"/>
  <c r="AL70" i="27"/>
  <c r="AB41" i="27"/>
  <c r="T41" i="27"/>
  <c r="F41" i="27"/>
  <c r="AW40" i="27"/>
  <c r="AR40" i="27"/>
  <c r="AB40" i="27"/>
  <c r="T40" i="27"/>
  <c r="F40" i="27"/>
  <c r="AW39" i="27"/>
  <c r="AR39" i="27"/>
  <c r="AQ39" i="27"/>
  <c r="AB39" i="27"/>
  <c r="Y70" i="27"/>
  <c r="T39" i="27"/>
  <c r="R39" i="27"/>
  <c r="R40" i="27" s="1"/>
  <c r="R41" i="27" s="1"/>
  <c r="R42" i="27" s="1"/>
  <c r="R43" i="27" s="1"/>
  <c r="R44" i="27" s="1"/>
  <c r="R45" i="27" s="1"/>
  <c r="R46" i="27" s="1"/>
  <c r="R47" i="27" s="1"/>
  <c r="R48" i="27" s="1"/>
  <c r="R49" i="27" s="1"/>
  <c r="R50" i="27" s="1"/>
  <c r="R51" i="27" s="1"/>
  <c r="R52" i="27" s="1"/>
  <c r="R53" i="27" s="1"/>
  <c r="R54" i="27" s="1"/>
  <c r="R55" i="27" s="1"/>
  <c r="R56" i="27"/>
  <c r="R57" i="27" s="1"/>
  <c r="R58" i="27" s="1"/>
  <c r="R59" i="27" s="1"/>
  <c r="R60" i="27" s="1"/>
  <c r="R61" i="27" s="1"/>
  <c r="R62" i="27" s="1"/>
  <c r="R63" i="27" s="1"/>
  <c r="R64" i="27" s="1"/>
  <c r="R65" i="27" s="1"/>
  <c r="R66" i="27" s="1"/>
  <c r="R67" i="27" s="1"/>
  <c r="R68" i="27" s="1"/>
  <c r="R69" i="27" s="1"/>
  <c r="R70" i="27" s="1"/>
  <c r="N39" i="27"/>
  <c r="F39" i="27"/>
  <c r="BA4" i="27"/>
  <c r="AY4" i="27"/>
  <c r="AW26" i="27"/>
  <c r="AW27" i="27"/>
  <c r="AW28" i="27"/>
  <c r="AW29" i="27"/>
  <c r="AW30" i="27"/>
  <c r="AW31" i="27"/>
  <c r="AW32" i="27"/>
  <c r="AW33" i="27"/>
  <c r="AW34" i="27"/>
  <c r="AQ26" i="27"/>
  <c r="AR26" i="27"/>
  <c r="AR27" i="27"/>
  <c r="AR28" i="27"/>
  <c r="AQ29" i="27"/>
  <c r="AR29" i="27"/>
  <c r="AQ30" i="27"/>
  <c r="AR30" i="27"/>
  <c r="AQ31" i="27"/>
  <c r="AR31" i="27"/>
  <c r="AR32" i="27"/>
  <c r="AQ33" i="27"/>
  <c r="AR33" i="27"/>
  <c r="AQ34" i="27"/>
  <c r="AR34" i="27"/>
  <c r="AB26" i="27"/>
  <c r="AB27" i="27"/>
  <c r="AB28" i="27"/>
  <c r="AB29" i="27"/>
  <c r="AB30" i="27"/>
  <c r="AB31" i="27"/>
  <c r="AB32" i="27"/>
  <c r="AB33" i="27"/>
  <c r="AB34" i="27"/>
  <c r="T26" i="27"/>
  <c r="T27" i="27"/>
  <c r="T28" i="27"/>
  <c r="T29" i="27"/>
  <c r="T30" i="27"/>
  <c r="T31" i="27"/>
  <c r="T32" i="27"/>
  <c r="T33" i="27"/>
  <c r="T34" i="27"/>
  <c r="F25" i="27"/>
  <c r="F26" i="27"/>
  <c r="F27" i="27"/>
  <c r="AG27" i="27" s="1"/>
  <c r="F28" i="27"/>
  <c r="F29" i="27"/>
  <c r="AI29" i="27"/>
  <c r="F30" i="27"/>
  <c r="F31" i="27"/>
  <c r="F32" i="27"/>
  <c r="F33" i="27"/>
  <c r="F34" i="27"/>
  <c r="AB10" i="27"/>
  <c r="AV35" i="27"/>
  <c r="AU35" i="27"/>
  <c r="AT35" i="27"/>
  <c r="AM35" i="27"/>
  <c r="AK35" i="27"/>
  <c r="AJ35" i="27"/>
  <c r="AF35" i="27"/>
  <c r="AE35" i="27"/>
  <c r="Z35" i="27"/>
  <c r="X35" i="27"/>
  <c r="W35" i="27"/>
  <c r="S35" i="27"/>
  <c r="M35" i="27"/>
  <c r="L35" i="27"/>
  <c r="AW25" i="27"/>
  <c r="AR25" i="27"/>
  <c r="AQ25" i="27"/>
  <c r="AB25" i="27"/>
  <c r="T25" i="27"/>
  <c r="AW24" i="27"/>
  <c r="AR24" i="27"/>
  <c r="T24" i="27"/>
  <c r="F24" i="27"/>
  <c r="AB24" i="27"/>
  <c r="AW23" i="27"/>
  <c r="AR23" i="27"/>
  <c r="T23" i="27"/>
  <c r="F23" i="27"/>
  <c r="AB23" i="27"/>
  <c r="AW22" i="27"/>
  <c r="AR22" i="27"/>
  <c r="AQ22" i="27"/>
  <c r="T22" i="27"/>
  <c r="F22" i="27"/>
  <c r="AB22" i="27"/>
  <c r="AW21" i="27"/>
  <c r="AR21" i="27"/>
  <c r="AQ21" i="27"/>
  <c r="T21" i="27"/>
  <c r="F21" i="27"/>
  <c r="AB21" i="27"/>
  <c r="AW20" i="27"/>
  <c r="AR20" i="27"/>
  <c r="T20" i="27"/>
  <c r="AB20" i="27"/>
  <c r="AW19" i="27"/>
  <c r="AR19" i="27"/>
  <c r="AB19" i="27"/>
  <c r="T19" i="27"/>
  <c r="F19" i="27"/>
  <c r="AW18" i="27"/>
  <c r="AR18" i="27"/>
  <c r="AQ18" i="27"/>
  <c r="AB18" i="27"/>
  <c r="T18" i="27"/>
  <c r="F18" i="27"/>
  <c r="AW17" i="27"/>
  <c r="AR17" i="27"/>
  <c r="AQ17" i="27"/>
  <c r="T17" i="27"/>
  <c r="F17" i="27"/>
  <c r="AI17" i="27"/>
  <c r="AB17" i="27"/>
  <c r="AW16" i="27"/>
  <c r="AR16" i="27"/>
  <c r="T16" i="27"/>
  <c r="F16" i="27"/>
  <c r="AW15" i="27"/>
  <c r="AR15" i="27"/>
  <c r="T15" i="27"/>
  <c r="AB15" i="27"/>
  <c r="AW14" i="27"/>
  <c r="AR14" i="27"/>
  <c r="AQ14" i="27"/>
  <c r="T14" i="27"/>
  <c r="F14" i="27"/>
  <c r="AB14" i="27"/>
  <c r="AW13" i="27"/>
  <c r="AR13" i="27"/>
  <c r="T13" i="27"/>
  <c r="F13" i="27"/>
  <c r="AW12" i="27"/>
  <c r="AR12" i="27"/>
  <c r="AB12" i="27"/>
  <c r="T12" i="27"/>
  <c r="F12" i="27"/>
  <c r="AW11" i="27"/>
  <c r="AR11" i="27"/>
  <c r="AQ11" i="27"/>
  <c r="AB11" i="27"/>
  <c r="T11" i="27"/>
  <c r="F11" i="27"/>
  <c r="AW10" i="27"/>
  <c r="AR10" i="27"/>
  <c r="T10" i="27"/>
  <c r="F10" i="27"/>
  <c r="AW9" i="27"/>
  <c r="AR9" i="27"/>
  <c r="AQ9" i="27"/>
  <c r="T9" i="27"/>
  <c r="F9" i="27"/>
  <c r="AB9" i="27"/>
  <c r="AW8" i="27"/>
  <c r="AR8" i="27"/>
  <c r="T8" i="27"/>
  <c r="F8" i="27"/>
  <c r="AB8" i="27"/>
  <c r="AW7" i="27"/>
  <c r="AR7" i="27"/>
  <c r="T7" i="27"/>
  <c r="AW6" i="27"/>
  <c r="AR6" i="27"/>
  <c r="AB6" i="27"/>
  <c r="T6" i="27"/>
  <c r="I35" i="27"/>
  <c r="AR5" i="27"/>
  <c r="AB5" i="27"/>
  <c r="T5" i="27"/>
  <c r="F5" i="27"/>
  <c r="AW4" i="27"/>
  <c r="AR4" i="27"/>
  <c r="AH35" i="27"/>
  <c r="AB4" i="27"/>
  <c r="Y35" i="27"/>
  <c r="R4" i="27"/>
  <c r="R5" i="27" s="1"/>
  <c r="R6" i="27" s="1"/>
  <c r="R7" i="27" s="1"/>
  <c r="R8" i="27" s="1"/>
  <c r="R9" i="27" s="1"/>
  <c r="R10" i="27" s="1"/>
  <c r="R11" i="27" s="1"/>
  <c r="R12" i="27" s="1"/>
  <c r="R13" i="27" s="1"/>
  <c r="R14" i="27" s="1"/>
  <c r="R15" i="27" s="1"/>
  <c r="R16" i="27" s="1"/>
  <c r="R17" i="27" s="1"/>
  <c r="R18" i="27" s="1"/>
  <c r="R19" i="27" s="1"/>
  <c r="R20" i="27" s="1"/>
  <c r="R21" i="27" s="1"/>
  <c r="R22" i="27" s="1"/>
  <c r="R23" i="27" s="1"/>
  <c r="R24" i="27" s="1"/>
  <c r="R25" i="27" s="1"/>
  <c r="R26" i="27" s="1"/>
  <c r="R27" i="27" s="1"/>
  <c r="R28" i="27" s="1"/>
  <c r="R29" i="27" s="1"/>
  <c r="R30" i="27" s="1"/>
  <c r="R31" i="27" s="1"/>
  <c r="R32" i="27" s="1"/>
  <c r="R33" i="27" s="1"/>
  <c r="R34" i="27" s="1"/>
  <c r="R35" i="27" s="1"/>
  <c r="N4" i="27"/>
  <c r="B33" i="25"/>
  <c r="C33" i="25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B54" i="23"/>
  <c r="B82" i="22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C84" i="22"/>
  <c r="C87" i="22" s="1"/>
  <c r="C90" i="22" s="1"/>
  <c r="C93" i="22"/>
  <c r="C96" i="22"/>
  <c r="C99" i="22" s="1"/>
  <c r="C102" i="22" s="1"/>
  <c r="C105" i="22"/>
  <c r="C108" i="22" s="1"/>
  <c r="C111" i="22" s="1"/>
  <c r="C114" i="22" s="1"/>
  <c r="C117" i="22" s="1"/>
  <c r="C120" i="22" s="1"/>
  <c r="C123" i="22" s="1"/>
  <c r="C126" i="22" s="1"/>
  <c r="C129" i="22" s="1"/>
  <c r="C132" i="22" s="1"/>
  <c r="C135" i="22" s="1"/>
  <c r="C138" i="22" s="1"/>
  <c r="C141" i="22" s="1"/>
  <c r="C144" i="22" s="1"/>
  <c r="C147" i="22" s="1"/>
  <c r="C150" i="22" s="1"/>
  <c r="C153" i="22" s="1"/>
  <c r="C156" i="22" s="1"/>
  <c r="C159" i="22" s="1"/>
  <c r="C162" i="22" s="1"/>
  <c r="C165" i="22" s="1"/>
  <c r="C168" i="22" s="1"/>
  <c r="B118" i="22"/>
  <c r="B119" i="22" s="1"/>
  <c r="B120" i="22" s="1"/>
  <c r="B121" i="22" s="1"/>
  <c r="B122" i="22" s="1"/>
  <c r="B123" i="22" s="1"/>
  <c r="B124" i="22" s="1"/>
  <c r="B125" i="22" s="1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43" i="22" s="1"/>
  <c r="B144" i="22" s="1"/>
  <c r="B145" i="22" s="1"/>
  <c r="B146" i="22" s="1"/>
  <c r="B147" i="22" s="1"/>
  <c r="B148" i="22" s="1"/>
  <c r="B149" i="22" s="1"/>
  <c r="B150" i="22" s="1"/>
  <c r="B151" i="22" s="1"/>
  <c r="B152" i="22" s="1"/>
  <c r="B153" i="22" s="1"/>
  <c r="B154" i="22" s="1"/>
  <c r="B155" i="22" s="1"/>
  <c r="B156" i="22" s="1"/>
  <c r="B157" i="22" s="1"/>
  <c r="B158" i="22" s="1"/>
  <c r="B159" i="22" s="1"/>
  <c r="B160" i="22" s="1"/>
  <c r="B161" i="22" s="1"/>
  <c r="B162" i="22" s="1"/>
  <c r="B163" i="22" s="1"/>
  <c r="B164" i="22" s="1"/>
  <c r="B165" i="22" s="1"/>
  <c r="B166" i="22" s="1"/>
  <c r="B167" i="22" s="1"/>
  <c r="B168" i="22" s="1"/>
  <c r="B169" i="22" s="1"/>
  <c r="B170" i="22" s="1"/>
  <c r="B171" i="22" s="1"/>
  <c r="B172" i="22" s="1"/>
  <c r="B173" i="22" s="1"/>
  <c r="F174" i="22"/>
  <c r="K174" i="22" s="1"/>
  <c r="G174" i="22"/>
  <c r="N4" i="10"/>
  <c r="U4" i="10"/>
  <c r="Y4" i="10"/>
  <c r="BE4" i="10"/>
  <c r="P5" i="10"/>
  <c r="AL5" i="10"/>
  <c r="AR5" i="10"/>
  <c r="AW5" i="10"/>
  <c r="AI6" i="10"/>
  <c r="AB6" i="10"/>
  <c r="AL6" i="10"/>
  <c r="BI6" i="10"/>
  <c r="BG6" i="10"/>
  <c r="F7" i="10"/>
  <c r="AI7" i="10" s="1"/>
  <c r="AB7" i="10"/>
  <c r="AR7" i="10"/>
  <c r="AW7" i="10"/>
  <c r="BE7" i="10"/>
  <c r="AB8" i="10"/>
  <c r="AL8" i="10"/>
  <c r="AR8" i="10"/>
  <c r="BE8" i="10"/>
  <c r="AR9" i="10"/>
  <c r="AW9" i="10"/>
  <c r="BE9" i="10"/>
  <c r="BI9" i="10"/>
  <c r="BG9" i="10"/>
  <c r="P10" i="10"/>
  <c r="AR10" i="10"/>
  <c r="BI10" i="10"/>
  <c r="BH10" i="10"/>
  <c r="AB11" i="10"/>
  <c r="AR11" i="10"/>
  <c r="AW11" i="10"/>
  <c r="BE11" i="10"/>
  <c r="BI11" i="10"/>
  <c r="AR12" i="10"/>
  <c r="BG12" i="10"/>
  <c r="BH12" i="10"/>
  <c r="BI12" i="10"/>
  <c r="P13" i="10"/>
  <c r="AB13" i="10"/>
  <c r="AL13" i="10"/>
  <c r="AR13" i="10"/>
  <c r="AW13" i="10"/>
  <c r="BE13" i="10"/>
  <c r="AB14" i="10"/>
  <c r="AR14" i="10"/>
  <c r="AB15" i="10"/>
  <c r="AR15" i="10"/>
  <c r="AW15" i="10"/>
  <c r="BE15" i="10"/>
  <c r="AR16" i="10"/>
  <c r="P17" i="10"/>
  <c r="AH17" i="10"/>
  <c r="AL17" i="10"/>
  <c r="AR17" i="10"/>
  <c r="AW17" i="10"/>
  <c r="BE17" i="10"/>
  <c r="T18" i="10"/>
  <c r="AB18" i="10"/>
  <c r="AR18" i="10"/>
  <c r="BG18" i="10"/>
  <c r="BH18" i="10"/>
  <c r="BI18" i="10"/>
  <c r="AR19" i="10"/>
  <c r="AW19" i="10"/>
  <c r="BA19" i="10"/>
  <c r="AL20" i="10"/>
  <c r="AR20" i="10"/>
  <c r="P21" i="10"/>
  <c r="AB21" i="10"/>
  <c r="AL21" i="10"/>
  <c r="AR21" i="10"/>
  <c r="BE21" i="10"/>
  <c r="BI21" i="10"/>
  <c r="AB22" i="10"/>
  <c r="T22" i="10"/>
  <c r="AR22" i="10"/>
  <c r="BI22" i="10"/>
  <c r="BH22" i="10"/>
  <c r="AR23" i="10"/>
  <c r="BA23" i="10"/>
  <c r="AL24" i="10"/>
  <c r="AR24" i="10"/>
  <c r="BI24" i="10"/>
  <c r="BH24" i="10"/>
  <c r="P25" i="10"/>
  <c r="AB25" i="10"/>
  <c r="AL25" i="10"/>
  <c r="AR25" i="10"/>
  <c r="BE25" i="10"/>
  <c r="BG25" i="10"/>
  <c r="BH25" i="10"/>
  <c r="BI25" i="10"/>
  <c r="T26" i="10"/>
  <c r="AR26" i="10"/>
  <c r="BG26" i="10"/>
  <c r="BH26" i="10"/>
  <c r="BI26" i="10"/>
  <c r="AR27" i="10"/>
  <c r="BE27" i="10"/>
  <c r="BI27" i="10"/>
  <c r="BG27" i="10"/>
  <c r="AB28" i="10"/>
  <c r="AL28" i="10"/>
  <c r="AR28" i="10"/>
  <c r="BI28" i="10"/>
  <c r="BH28" i="10"/>
  <c r="P29" i="10"/>
  <c r="U29" i="10"/>
  <c r="AL29" i="10"/>
  <c r="AR29" i="10"/>
  <c r="AW29" i="10"/>
  <c r="BA29" i="10"/>
  <c r="BI29" i="10"/>
  <c r="BG29" i="10"/>
  <c r="AR30" i="10"/>
  <c r="BA30" i="10"/>
  <c r="BI30" i="10"/>
  <c r="AR31" i="10"/>
  <c r="AW31" i="10"/>
  <c r="BE31" i="10"/>
  <c r="AL32" i="10"/>
  <c r="AR32" i="10"/>
  <c r="BG32" i="10"/>
  <c r="BH32" i="10"/>
  <c r="BI32" i="10"/>
  <c r="P33" i="10"/>
  <c r="AB33" i="10"/>
  <c r="AL33" i="10"/>
  <c r="AR33" i="10"/>
  <c r="AW33" i="10"/>
  <c r="BE33" i="10"/>
  <c r="BG33" i="10"/>
  <c r="BH33" i="10"/>
  <c r="BI33" i="10"/>
  <c r="AR34" i="10"/>
  <c r="BG34" i="10"/>
  <c r="BH34" i="10"/>
  <c r="BI34" i="10"/>
  <c r="S35" i="10"/>
  <c r="AM35" i="10"/>
  <c r="AV35" i="10"/>
  <c r="AZ35" i="10"/>
  <c r="BD35" i="10"/>
  <c r="M43" i="10"/>
  <c r="BH21" i="10"/>
  <c r="BG21" i="10"/>
  <c r="BG22" i="10"/>
  <c r="BG28" i="10"/>
  <c r="BH30" i="10"/>
  <c r="BG30" i="10"/>
  <c r="BG10" i="10"/>
  <c r="AB17" i="10"/>
  <c r="AZ75" i="27"/>
  <c r="AI102" i="27"/>
  <c r="AG98" i="27"/>
  <c r="AI98" i="27"/>
  <c r="AY75" i="27"/>
  <c r="AI66" i="27"/>
  <c r="AG62" i="27"/>
  <c r="AG68" i="27"/>
  <c r="AG43" i="27"/>
  <c r="AG46" i="27"/>
  <c r="AG52" i="27"/>
  <c r="AG55" i="27"/>
  <c r="AG58" i="27"/>
  <c r="AG67" i="27"/>
  <c r="BA35" i="27"/>
  <c r="AI32" i="27"/>
  <c r="AG31" i="27"/>
  <c r="AG34" i="27"/>
  <c r="AG32" i="27"/>
  <c r="AG28" i="27"/>
  <c r="AI31" i="27"/>
  <c r="AI25" i="27"/>
  <c r="C35" i="27"/>
  <c r="AI16" i="27"/>
  <c r="AI10" i="27"/>
  <c r="AG8" i="27"/>
  <c r="H35" i="27"/>
  <c r="Q35" i="27"/>
  <c r="AI24" i="27"/>
  <c r="AG24" i="27"/>
  <c r="J35" i="27"/>
  <c r="AB7" i="27"/>
  <c r="E35" i="27"/>
  <c r="K35" i="27"/>
  <c r="F15" i="27"/>
  <c r="AI8" i="27"/>
  <c r="F6" i="27"/>
  <c r="AB13" i="27"/>
  <c r="AB16" i="27"/>
  <c r="F20" i="27"/>
  <c r="AG17" i="27"/>
  <c r="F7" i="27"/>
  <c r="O35" i="27"/>
  <c r="AG16" i="27"/>
  <c r="AG25" i="27"/>
  <c r="P4" i="10"/>
  <c r="P35" i="10" s="1"/>
  <c r="V39" i="27"/>
  <c r="AL4" i="10"/>
  <c r="V75" i="27"/>
  <c r="AG11" i="27"/>
  <c r="AL26" i="10"/>
  <c r="U34" i="10"/>
  <c r="AA35" i="27"/>
  <c r="AH34" i="10"/>
  <c r="AA19" i="10"/>
  <c r="AK35" i="10"/>
  <c r="H48" i="10" s="1"/>
  <c r="M48" i="10" s="1"/>
  <c r="BA31" i="10"/>
  <c r="BA27" i="10"/>
  <c r="BA21" i="10"/>
  <c r="BA5" i="10"/>
  <c r="BE18" i="10"/>
  <c r="BE16" i="10"/>
  <c r="AL34" i="10"/>
  <c r="AL30" i="10"/>
  <c r="AL18" i="10"/>
  <c r="AA70" i="27"/>
  <c r="AG89" i="27"/>
  <c r="AG96" i="27"/>
  <c r="AI27" i="10"/>
  <c r="AG83" i="27"/>
  <c r="AI103" i="27"/>
  <c r="F30" i="10"/>
  <c r="AC30" i="10" s="1"/>
  <c r="F10" i="10"/>
  <c r="AN10" i="10" s="1"/>
  <c r="AG15" i="27"/>
  <c r="BA25" i="10"/>
  <c r="P22" i="10"/>
  <c r="BA17" i="10"/>
  <c r="P14" i="10"/>
  <c r="BA9" i="10"/>
  <c r="AN6" i="10"/>
  <c r="AL35" i="27"/>
  <c r="AG19" i="27"/>
  <c r="AG22" i="27"/>
  <c r="AG45" i="27"/>
  <c r="AI55" i="27"/>
  <c r="AG65" i="27"/>
  <c r="AG95" i="27"/>
  <c r="AI84" i="27"/>
  <c r="AI90" i="27"/>
  <c r="AA15" i="10"/>
  <c r="AA23" i="10"/>
  <c r="AH31" i="10"/>
  <c r="BE30" i="10"/>
  <c r="BE24" i="10"/>
  <c r="BE14" i="10"/>
  <c r="AG5" i="27"/>
  <c r="AG85" i="27"/>
  <c r="AI85" i="27"/>
  <c r="AG91" i="27"/>
  <c r="AI91" i="27"/>
  <c r="AG99" i="27"/>
  <c r="AG105" i="27"/>
  <c r="AI105" i="27"/>
  <c r="T11" i="10"/>
  <c r="T19" i="10"/>
  <c r="T23" i="10"/>
  <c r="AF35" i="10"/>
  <c r="H50" i="10" s="1"/>
  <c r="AH22" i="10"/>
  <c r="U18" i="10"/>
  <c r="U14" i="10"/>
  <c r="AW14" i="10"/>
  <c r="BE26" i="10"/>
  <c r="AA27" i="10"/>
  <c r="AG26" i="27"/>
  <c r="AG40" i="27"/>
  <c r="U25" i="10"/>
  <c r="AH16" i="10"/>
  <c r="U15" i="10"/>
  <c r="AH70" i="27"/>
  <c r="AI43" i="27"/>
  <c r="BA106" i="27"/>
  <c r="AG84" i="27"/>
  <c r="AI100" i="27"/>
  <c r="AL106" i="27"/>
  <c r="F20" i="10"/>
  <c r="AI20" i="10" s="1"/>
  <c r="F16" i="10"/>
  <c r="AI16" i="10" s="1"/>
  <c r="AI12" i="10"/>
  <c r="F8" i="10"/>
  <c r="AG8" i="10" s="1"/>
  <c r="T8" i="10"/>
  <c r="T12" i="10"/>
  <c r="T20" i="10"/>
  <c r="T24" i="10"/>
  <c r="AE35" i="10"/>
  <c r="H49" i="10" s="1"/>
  <c r="M49" i="10" s="1"/>
  <c r="BA12" i="10"/>
  <c r="AA34" i="10"/>
  <c r="AA32" i="10"/>
  <c r="AA30" i="10"/>
  <c r="AA28" i="10"/>
  <c r="AA18" i="10"/>
  <c r="AA14" i="10"/>
  <c r="AA10" i="10"/>
  <c r="AA24" i="10"/>
  <c r="AA26" i="10"/>
  <c r="AA20" i="10"/>
  <c r="BI19" i="10"/>
  <c r="BH11" i="10"/>
  <c r="BH19" i="10"/>
  <c r="AL31" i="10"/>
  <c r="P31" i="10"/>
  <c r="U19" i="10"/>
  <c r="AL15" i="10"/>
  <c r="P15" i="10"/>
  <c r="AA11" i="10"/>
  <c r="AA7" i="10"/>
  <c r="AL27" i="10"/>
  <c r="AL23" i="10"/>
  <c r="AL19" i="10"/>
  <c r="X35" i="10"/>
  <c r="AL11" i="10"/>
  <c r="AL7" i="10"/>
  <c r="AC27" i="10"/>
  <c r="AH23" i="10"/>
  <c r="U22" i="10"/>
  <c r="AH14" i="10"/>
  <c r="U13" i="10"/>
  <c r="U8" i="10"/>
  <c r="AH33" i="10"/>
  <c r="U32" i="10"/>
  <c r="AH30" i="10"/>
  <c r="U10" i="10"/>
  <c r="AG6" i="10"/>
  <c r="BI16" i="10"/>
  <c r="AG16" i="10"/>
  <c r="AN15" i="10"/>
  <c r="AC15" i="10"/>
  <c r="AC6" i="10"/>
  <c r="BH16" i="10"/>
  <c r="BG16" i="10"/>
  <c r="BI23" i="10"/>
  <c r="AG15" i="10"/>
  <c r="AI14" i="10"/>
  <c r="BG24" i="10"/>
  <c r="BH27" i="10"/>
  <c r="AN26" i="10"/>
  <c r="BI17" i="10"/>
  <c r="BH15" i="10"/>
  <c r="AI13" i="10"/>
  <c r="BI8" i="10"/>
  <c r="BI7" i="10"/>
  <c r="AN7" i="10"/>
  <c r="BH9" i="10"/>
  <c r="BH29" i="10"/>
  <c r="BI31" i="10"/>
  <c r="BI20" i="10"/>
  <c r="BI14" i="10"/>
  <c r="AN14" i="10"/>
  <c r="AC12" i="10"/>
  <c r="AC13" i="10"/>
  <c r="AG9" i="10"/>
  <c r="BI13" i="10"/>
  <c r="AN13" i="10"/>
  <c r="AG77" i="27"/>
  <c r="AG78" i="27"/>
  <c r="AI79" i="27"/>
  <c r="N40" i="27"/>
  <c r="AG39" i="27"/>
  <c r="AG41" i="27"/>
  <c r="AI42" i="27"/>
  <c r="G39" i="27"/>
  <c r="AD39" i="27" s="1"/>
  <c r="BA39" i="27"/>
  <c r="AI39" i="27"/>
  <c r="AC10" i="10"/>
  <c r="AG12" i="10"/>
  <c r="AN30" i="10"/>
  <c r="AI30" i="10"/>
  <c r="AG30" i="10"/>
  <c r="BG23" i="10"/>
  <c r="BH23" i="10"/>
  <c r="BH13" i="10"/>
  <c r="BG13" i="10"/>
  <c r="BH20" i="10"/>
  <c r="BG20" i="10"/>
  <c r="BG7" i="10"/>
  <c r="BH7" i="10"/>
  <c r="BG8" i="10"/>
  <c r="BH8" i="10"/>
  <c r="BH14" i="10"/>
  <c r="BG14" i="10"/>
  <c r="BH31" i="10"/>
  <c r="BG31" i="10"/>
  <c r="BH17" i="10"/>
  <c r="BG17" i="10"/>
  <c r="AZ39" i="27"/>
  <c r="AY39" i="27"/>
  <c r="AY70" i="27" s="1"/>
  <c r="BI5" i="10"/>
  <c r="BG5" i="10"/>
  <c r="AP5" i="27"/>
  <c r="AQ5" i="27" s="1"/>
  <c r="F4" i="10"/>
  <c r="AN4" i="10" s="1"/>
  <c r="BI4" i="10"/>
  <c r="BG4" i="10"/>
  <c r="AI5" i="27"/>
  <c r="D4" i="10"/>
  <c r="BH6" i="10"/>
  <c r="BH5" i="10"/>
  <c r="R6" i="10"/>
  <c r="I35" i="10"/>
  <c r="H56" i="10" s="1"/>
  <c r="M51" i="10" s="1"/>
  <c r="AS35" i="10"/>
  <c r="AZ4" i="27"/>
  <c r="E33" i="25"/>
  <c r="E40" i="25" s="1"/>
  <c r="F3" i="25"/>
  <c r="AI24" i="10" l="1"/>
  <c r="AN24" i="10"/>
  <c r="AG18" i="10"/>
  <c r="AN18" i="10"/>
  <c r="AI18" i="10"/>
  <c r="N5" i="27"/>
  <c r="N6" i="27" s="1"/>
  <c r="V4" i="27"/>
  <c r="AC51" i="27"/>
  <c r="AN51" i="27"/>
  <c r="AI51" i="27"/>
  <c r="AI80" i="27"/>
  <c r="AN80" i="27"/>
  <c r="AC80" i="27"/>
  <c r="AG80" i="27"/>
  <c r="AI93" i="27"/>
  <c r="AC93" i="27"/>
  <c r="AN93" i="27"/>
  <c r="AC94" i="27"/>
  <c r="AN94" i="27"/>
  <c r="AN5" i="10"/>
  <c r="AP5" i="10"/>
  <c r="AQ5" i="10" s="1"/>
  <c r="N5" i="10"/>
  <c r="N6" i="10" s="1"/>
  <c r="N7" i="10" s="1"/>
  <c r="N8" i="10" s="1"/>
  <c r="N9" i="10" s="1"/>
  <c r="N10" i="10" s="1"/>
  <c r="AH5" i="10"/>
  <c r="BC106" i="27"/>
  <c r="AC5" i="10"/>
  <c r="AC16" i="10"/>
  <c r="AG51" i="27"/>
  <c r="AN7" i="27"/>
  <c r="AC7" i="27"/>
  <c r="AN30" i="27"/>
  <c r="AC30" i="27"/>
  <c r="AI41" i="27"/>
  <c r="AN41" i="27"/>
  <c r="AC41" i="27"/>
  <c r="AC70" i="27" s="1"/>
  <c r="AC67" i="27"/>
  <c r="AN67" i="27"/>
  <c r="AC90" i="27"/>
  <c r="AN90" i="27"/>
  <c r="AG90" i="27"/>
  <c r="Z35" i="10"/>
  <c r="H54" i="10" s="1"/>
  <c r="AI10" i="10"/>
  <c r="AY106" i="27"/>
  <c r="AO106" i="27" s="1"/>
  <c r="AZ106" i="27"/>
  <c r="AW21" i="10"/>
  <c r="AN10" i="27"/>
  <c r="AC10" i="27"/>
  <c r="AG10" i="27"/>
  <c r="AN11" i="27"/>
  <c r="AC11" i="27"/>
  <c r="AI11" i="27"/>
  <c r="AI33" i="27"/>
  <c r="AC33" i="27"/>
  <c r="AN33" i="27"/>
  <c r="AG33" i="27"/>
  <c r="AN26" i="27"/>
  <c r="AC26" i="27"/>
  <c r="AB70" i="27"/>
  <c r="AC43" i="27"/>
  <c r="AN43" i="27"/>
  <c r="AC55" i="27"/>
  <c r="AN55" i="27"/>
  <c r="AN64" i="27"/>
  <c r="AC64" i="27"/>
  <c r="AG64" i="27"/>
  <c r="AN84" i="27"/>
  <c r="AC84" i="27"/>
  <c r="AC89" i="27"/>
  <c r="AN89" i="27"/>
  <c r="AC97" i="27"/>
  <c r="AN97" i="27"/>
  <c r="AC102" i="27"/>
  <c r="AN102" i="27"/>
  <c r="AG102" i="27"/>
  <c r="AI104" i="27"/>
  <c r="AN104" i="27"/>
  <c r="AC104" i="27"/>
  <c r="AG104" i="27"/>
  <c r="AN27" i="10"/>
  <c r="AG27" i="10"/>
  <c r="BA20" i="10"/>
  <c r="AY35" i="10"/>
  <c r="AN15" i="27"/>
  <c r="AC15" i="27"/>
  <c r="AN61" i="27"/>
  <c r="AC61" i="27"/>
  <c r="AG61" i="27"/>
  <c r="AN69" i="27"/>
  <c r="AC69" i="27"/>
  <c r="AG69" i="27"/>
  <c r="AN76" i="27"/>
  <c r="AC76" i="27"/>
  <c r="AC78" i="27"/>
  <c r="AN78" i="27"/>
  <c r="AH6" i="10"/>
  <c r="U6" i="10"/>
  <c r="AA6" i="10"/>
  <c r="AW6" i="10"/>
  <c r="AN4" i="27"/>
  <c r="AN35" i="27" s="1"/>
  <c r="AC4" i="27"/>
  <c r="AI4" i="27"/>
  <c r="AZ70" i="27"/>
  <c r="BA70" i="27"/>
  <c r="AO70" i="27" s="1"/>
  <c r="AI78" i="27"/>
  <c r="AU35" i="10"/>
  <c r="AI15" i="27"/>
  <c r="AN34" i="27"/>
  <c r="AC34" i="27"/>
  <c r="AI27" i="27"/>
  <c r="AN27" i="27"/>
  <c r="AC27" i="27"/>
  <c r="AN45" i="27"/>
  <c r="AC45" i="27"/>
  <c r="AI45" i="27"/>
  <c r="AN49" i="27"/>
  <c r="AC49" i="27"/>
  <c r="AI49" i="27"/>
  <c r="AG49" i="27"/>
  <c r="AN57" i="27"/>
  <c r="AC57" i="27"/>
  <c r="AI57" i="27"/>
  <c r="AC59" i="27"/>
  <c r="AN59" i="27"/>
  <c r="AC86" i="27"/>
  <c r="AN86" i="27"/>
  <c r="AG86" i="27"/>
  <c r="AN99" i="27"/>
  <c r="AC99" i="27"/>
  <c r="H55" i="10"/>
  <c r="M50" i="10" s="1"/>
  <c r="AH21" i="10"/>
  <c r="U21" i="10"/>
  <c r="T6" i="10"/>
  <c r="AW4" i="10"/>
  <c r="AA4" i="10"/>
  <c r="BC70" i="27"/>
  <c r="AG5" i="10"/>
  <c r="AI5" i="10"/>
  <c r="BI35" i="10"/>
  <c r="AO35" i="10" s="1"/>
  <c r="U28" i="10"/>
  <c r="U5" i="10"/>
  <c r="AH27" i="10"/>
  <c r="F33" i="25"/>
  <c r="D33" i="25" s="1"/>
  <c r="G4" i="27"/>
  <c r="G40" i="27"/>
  <c r="AG10" i="10"/>
  <c r="AN16" i="10"/>
  <c r="U7" i="10"/>
  <c r="U20" i="10"/>
  <c r="BB35" i="10"/>
  <c r="AI34" i="27"/>
  <c r="AT35" i="10"/>
  <c r="AI99" i="27"/>
  <c r="AH26" i="10"/>
  <c r="AC5" i="27"/>
  <c r="AC35" i="27" s="1"/>
  <c r="AN5" i="27"/>
  <c r="AN14" i="27"/>
  <c r="AC14" i="27"/>
  <c r="AN19" i="27"/>
  <c r="AC19" i="27"/>
  <c r="AI19" i="27"/>
  <c r="AC21" i="27"/>
  <c r="AN21" i="27"/>
  <c r="AI21" i="27"/>
  <c r="AG21" i="27"/>
  <c r="AG23" i="27"/>
  <c r="AN23" i="27"/>
  <c r="AC23" i="27"/>
  <c r="AI23" i="27"/>
  <c r="AI48" i="27"/>
  <c r="AN48" i="27"/>
  <c r="AC48" i="27"/>
  <c r="AN53" i="27"/>
  <c r="AC53" i="27"/>
  <c r="AI53" i="27"/>
  <c r="AI63" i="27"/>
  <c r="AC63" i="27"/>
  <c r="AN63" i="27"/>
  <c r="AG63" i="27"/>
  <c r="AC75" i="27"/>
  <c r="AN75" i="27"/>
  <c r="AG93" i="27"/>
  <c r="AI94" i="27"/>
  <c r="AI26" i="10"/>
  <c r="AG26" i="10"/>
  <c r="AC26" i="10"/>
  <c r="AC14" i="10"/>
  <c r="AG14" i="10"/>
  <c r="R7" i="10"/>
  <c r="R8" i="10" s="1"/>
  <c r="R9" i="10" s="1"/>
  <c r="R10" i="10" s="1"/>
  <c r="R11" i="10" s="1"/>
  <c r="R12" i="10" s="1"/>
  <c r="R13" i="10" s="1"/>
  <c r="R14" i="10" s="1"/>
  <c r="R15" i="10" s="1"/>
  <c r="R16" i="10" s="1"/>
  <c r="R17" i="10" s="1"/>
  <c r="R18" i="10" s="1"/>
  <c r="R19" i="10" s="1"/>
  <c r="R20" i="10" s="1"/>
  <c r="R21" i="10" s="1"/>
  <c r="R22" i="10" s="1"/>
  <c r="R23" i="10" s="1"/>
  <c r="R24" i="10" s="1"/>
  <c r="R25" i="10" s="1"/>
  <c r="R26" i="10" s="1"/>
  <c r="R27" i="10" s="1"/>
  <c r="R28" i="10" s="1"/>
  <c r="R29" i="10" s="1"/>
  <c r="R30" i="10" s="1"/>
  <c r="R31" i="10" s="1"/>
  <c r="R32" i="10" s="1"/>
  <c r="R33" i="10" s="1"/>
  <c r="R34" i="10" s="1"/>
  <c r="R35" i="10" s="1"/>
  <c r="BS11" i="10"/>
  <c r="BS19" i="10"/>
  <c r="BS23" i="10"/>
  <c r="BA32" i="10"/>
  <c r="BA28" i="10"/>
  <c r="BA24" i="10"/>
  <c r="D5" i="10"/>
  <c r="D6" i="10" s="1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BG35" i="10"/>
  <c r="AN6" i="27"/>
  <c r="AC6" i="27"/>
  <c r="AC8" i="27"/>
  <c r="AN8" i="27"/>
  <c r="AC12" i="27"/>
  <c r="AN12" i="27"/>
  <c r="AC17" i="27"/>
  <c r="AN17" i="27"/>
  <c r="AC32" i="27"/>
  <c r="AN32" i="27"/>
  <c r="AG29" i="27"/>
  <c r="AC29" i="27"/>
  <c r="AN29" i="27"/>
  <c r="AC25" i="27"/>
  <c r="AN25" i="27"/>
  <c r="AC39" i="27"/>
  <c r="AN39" i="27"/>
  <c r="AR70" i="27"/>
  <c r="AC54" i="27"/>
  <c r="AN54" i="27"/>
  <c r="AI62" i="27"/>
  <c r="AC62" i="27"/>
  <c r="AN62" i="27"/>
  <c r="AN65" i="27"/>
  <c r="AC65" i="27"/>
  <c r="AC66" i="27"/>
  <c r="AN66" i="27"/>
  <c r="AC81" i="27"/>
  <c r="AN81" i="27"/>
  <c r="AN83" i="27"/>
  <c r="AC83" i="27"/>
  <c r="AC85" i="27"/>
  <c r="AN85" i="27"/>
  <c r="AI96" i="27"/>
  <c r="AN96" i="27"/>
  <c r="AC96" i="27"/>
  <c r="AC98" i="27"/>
  <c r="AN98" i="27"/>
  <c r="F22" i="10"/>
  <c r="BR4" i="10"/>
  <c r="BR35" i="10" s="1"/>
  <c r="BS7" i="10"/>
  <c r="BS20" i="10"/>
  <c r="BS33" i="10"/>
  <c r="BA33" i="10"/>
  <c r="AA29" i="10"/>
  <c r="BA14" i="10"/>
  <c r="BA10" i="10"/>
  <c r="BE28" i="10"/>
  <c r="BR34" i="10"/>
  <c r="BR30" i="10"/>
  <c r="BR14" i="10"/>
  <c r="BR10" i="10"/>
  <c r="AC20" i="27"/>
  <c r="AN20" i="27"/>
  <c r="AC9" i="27"/>
  <c r="AN9" i="27"/>
  <c r="AC13" i="27"/>
  <c r="AN13" i="27"/>
  <c r="AC16" i="27"/>
  <c r="AN16" i="27"/>
  <c r="AN18" i="27"/>
  <c r="AC18" i="27"/>
  <c r="AN22" i="27"/>
  <c r="AC22" i="27"/>
  <c r="AC24" i="27"/>
  <c r="AN24" i="27"/>
  <c r="AN31" i="27"/>
  <c r="AC31" i="27"/>
  <c r="AC28" i="27"/>
  <c r="AN28" i="27"/>
  <c r="AI40" i="27"/>
  <c r="AN40" i="27"/>
  <c r="AC40" i="27"/>
  <c r="AC42" i="27"/>
  <c r="AN42" i="27"/>
  <c r="AN44" i="27"/>
  <c r="AC44" i="27"/>
  <c r="AC46" i="27"/>
  <c r="AN46" i="27"/>
  <c r="AC47" i="27"/>
  <c r="AN47" i="27"/>
  <c r="AC50" i="27"/>
  <c r="AN50" i="27"/>
  <c r="AN52" i="27"/>
  <c r="AC52" i="27"/>
  <c r="AI56" i="27"/>
  <c r="AN56" i="27"/>
  <c r="AC56" i="27"/>
  <c r="AC58" i="27"/>
  <c r="AN58" i="27"/>
  <c r="AN60" i="27"/>
  <c r="AC60" i="27"/>
  <c r="AI68" i="27"/>
  <c r="AN68" i="27"/>
  <c r="AC68" i="27"/>
  <c r="AW106" i="27"/>
  <c r="AI77" i="27"/>
  <c r="AC77" i="27"/>
  <c r="AN77" i="27"/>
  <c r="AG79" i="27"/>
  <c r="AN79" i="27"/>
  <c r="AC79" i="27"/>
  <c r="AI82" i="27"/>
  <c r="AC82" i="27"/>
  <c r="AN82" i="27"/>
  <c r="AI87" i="27"/>
  <c r="AN87" i="27"/>
  <c r="AC87" i="27"/>
  <c r="AG88" i="27"/>
  <c r="AN88" i="27"/>
  <c r="AC88" i="27"/>
  <c r="AN91" i="27"/>
  <c r="AC91" i="27"/>
  <c r="AN92" i="27"/>
  <c r="AC92" i="27"/>
  <c r="AN95" i="27"/>
  <c r="AC95" i="27"/>
  <c r="AN100" i="27"/>
  <c r="AC100" i="27"/>
  <c r="AC101" i="27"/>
  <c r="AN101" i="27"/>
  <c r="AN103" i="27"/>
  <c r="AC103" i="27"/>
  <c r="AC105" i="27"/>
  <c r="AN105" i="27"/>
  <c r="F34" i="10"/>
  <c r="AP12" i="10"/>
  <c r="AQ12" i="10" s="1"/>
  <c r="F29" i="10"/>
  <c r="T17" i="10"/>
  <c r="BS17" i="10"/>
  <c r="BS21" i="10"/>
  <c r="BR5" i="10"/>
  <c r="H43" i="10"/>
  <c r="M47" i="10" s="1"/>
  <c r="X38" i="10"/>
  <c r="U35" i="27"/>
  <c r="BR32" i="10"/>
  <c r="BR28" i="10"/>
  <c r="BR24" i="10"/>
  <c r="BR17" i="10"/>
  <c r="BR8" i="10"/>
  <c r="V78" i="27"/>
  <c r="V79" i="27"/>
  <c r="V76" i="27"/>
  <c r="V77" i="27"/>
  <c r="M33" i="25"/>
  <c r="D41" i="25" s="1"/>
  <c r="D40" i="25"/>
  <c r="F40" i="25" s="1"/>
  <c r="W35" i="10"/>
  <c r="AY35" i="27"/>
  <c r="AO35" i="27" s="1"/>
  <c r="AZ6" i="27"/>
  <c r="AZ35" i="27" s="1"/>
  <c r="AI22" i="10"/>
  <c r="AC22" i="10"/>
  <c r="AG22" i="10"/>
  <c r="AN22" i="10"/>
  <c r="AP20" i="10"/>
  <c r="AQ20" i="10" s="1"/>
  <c r="AN20" i="10"/>
  <c r="AG20" i="10"/>
  <c r="AG7" i="27"/>
  <c r="AI20" i="27"/>
  <c r="AB35" i="10"/>
  <c r="AI9" i="27"/>
  <c r="AG13" i="27"/>
  <c r="AG18" i="27"/>
  <c r="AI22" i="27"/>
  <c r="AG30" i="27"/>
  <c r="AI30" i="27"/>
  <c r="AI28" i="27"/>
  <c r="F31" i="10"/>
  <c r="AP31" i="10" s="1"/>
  <c r="AQ31" i="10" s="1"/>
  <c r="F25" i="10"/>
  <c r="AP25" i="10" s="1"/>
  <c r="AQ25" i="10" s="1"/>
  <c r="AC33" i="10"/>
  <c r="AI33" i="10"/>
  <c r="AH24" i="10"/>
  <c r="V40" i="27"/>
  <c r="N41" i="27"/>
  <c r="AN28" i="10"/>
  <c r="AI28" i="10"/>
  <c r="AC28" i="10"/>
  <c r="AC18" i="10"/>
  <c r="AI18" i="27"/>
  <c r="AG9" i="27"/>
  <c r="J35" i="10"/>
  <c r="AR35" i="10"/>
  <c r="P35" i="27"/>
  <c r="F70" i="27"/>
  <c r="AP70" i="27" s="1"/>
  <c r="AG42" i="27"/>
  <c r="AG44" i="27"/>
  <c r="AI44" i="27"/>
  <c r="AG57" i="27"/>
  <c r="AI59" i="27"/>
  <c r="AG59" i="27"/>
  <c r="AN70" i="27"/>
  <c r="AG60" i="27"/>
  <c r="AI60" i="27"/>
  <c r="AI75" i="27"/>
  <c r="G75" i="27"/>
  <c r="AG75" i="27"/>
  <c r="F106" i="27"/>
  <c r="AP106" i="27" s="1"/>
  <c r="BQ9" i="10"/>
  <c r="BS9" i="10" s="1"/>
  <c r="AL9" i="10"/>
  <c r="AA9" i="10"/>
  <c r="P9" i="10"/>
  <c r="U9" i="10"/>
  <c r="AH9" i="10"/>
  <c r="BQ12" i="10"/>
  <c r="BS12" i="10" s="1"/>
  <c r="AH12" i="10"/>
  <c r="P12" i="10"/>
  <c r="AL12" i="10"/>
  <c r="AA12" i="10"/>
  <c r="U12" i="10"/>
  <c r="BQ16" i="10"/>
  <c r="BS16" i="10" s="1"/>
  <c r="U16" i="10"/>
  <c r="P16" i="10"/>
  <c r="AA16" i="10"/>
  <c r="AL16" i="10"/>
  <c r="BA22" i="10"/>
  <c r="AX35" i="10"/>
  <c r="BA8" i="10"/>
  <c r="AA8" i="10"/>
  <c r="F21" i="10"/>
  <c r="AH11" i="10"/>
  <c r="U11" i="10"/>
  <c r="U24" i="10"/>
  <c r="BH35" i="10"/>
  <c r="AG4" i="10"/>
  <c r="AI4" i="10"/>
  <c r="AC4" i="10"/>
  <c r="G4" i="10"/>
  <c r="AP4" i="10"/>
  <c r="AQ4" i="10" s="1"/>
  <c r="N82" i="27"/>
  <c r="V81" i="27"/>
  <c r="V80" i="27"/>
  <c r="AD40" i="27"/>
  <c r="G41" i="27"/>
  <c r="AI7" i="27"/>
  <c r="AC106" i="27"/>
  <c r="AN8" i="10"/>
  <c r="AI8" i="10"/>
  <c r="AC8" i="10"/>
  <c r="AC20" i="10"/>
  <c r="AI32" i="10"/>
  <c r="AN32" i="10"/>
  <c r="AC32" i="10"/>
  <c r="AG33" i="10"/>
  <c r="AG20" i="27"/>
  <c r="AG6" i="27"/>
  <c r="AI6" i="27"/>
  <c r="F35" i="27"/>
  <c r="AP35" i="27" s="1"/>
  <c r="AQ35" i="27" s="1"/>
  <c r="AW35" i="27"/>
  <c r="AI12" i="27"/>
  <c r="AG12" i="27"/>
  <c r="AI13" i="27"/>
  <c r="AR35" i="27"/>
  <c r="AW70" i="27"/>
  <c r="AG54" i="27"/>
  <c r="AI54" i="27"/>
  <c r="AC9" i="10"/>
  <c r="AN9" i="10"/>
  <c r="T5" i="10"/>
  <c r="L35" i="10"/>
  <c r="W38" i="10" s="1"/>
  <c r="P34" i="10"/>
  <c r="O35" i="10"/>
  <c r="H45" i="10" s="1"/>
  <c r="U35" i="10"/>
  <c r="AC24" i="10"/>
  <c r="AG24" i="10"/>
  <c r="V5" i="27"/>
  <c r="Y5" i="10"/>
  <c r="V4" i="10"/>
  <c r="AG53" i="27"/>
  <c r="AB106" i="27"/>
  <c r="AI83" i="27"/>
  <c r="AI97" i="27"/>
  <c r="AG97" i="27"/>
  <c r="AG103" i="27"/>
  <c r="K35" i="10"/>
  <c r="H47" i="10" s="1"/>
  <c r="M35" i="10"/>
  <c r="AI9" i="10"/>
  <c r="AP7" i="10"/>
  <c r="AQ7" i="10" s="1"/>
  <c r="AG7" i="10"/>
  <c r="AC7" i="10"/>
  <c r="AI14" i="27"/>
  <c r="AG14" i="27"/>
  <c r="AI26" i="27"/>
  <c r="P70" i="27"/>
  <c r="AI69" i="27"/>
  <c r="BC35" i="10"/>
  <c r="M44" i="10" s="1"/>
  <c r="BE34" i="10"/>
  <c r="AB34" i="10"/>
  <c r="C35" i="10"/>
  <c r="H41" i="10" s="1"/>
  <c r="BR20" i="10"/>
  <c r="D54" i="23"/>
  <c r="C54" i="23" s="1"/>
  <c r="AI58" i="27"/>
  <c r="AG76" i="27"/>
  <c r="AI76" i="27"/>
  <c r="AA5" i="10"/>
  <c r="BS32" i="10"/>
  <c r="AB35" i="27"/>
  <c r="AI61" i="27"/>
  <c r="AR106" i="27"/>
  <c r="BS27" i="10"/>
  <c r="BR27" i="10"/>
  <c r="AJ35" i="10"/>
  <c r="AI81" i="27"/>
  <c r="AP30" i="10"/>
  <c r="AQ30" i="10" s="1"/>
  <c r="AP24" i="10"/>
  <c r="AQ24" i="10" s="1"/>
  <c r="AP16" i="10"/>
  <c r="AQ16" i="10" s="1"/>
  <c r="AP13" i="10"/>
  <c r="AQ13" i="10" s="1"/>
  <c r="AP10" i="10"/>
  <c r="AQ10" i="10" s="1"/>
  <c r="AP6" i="10"/>
  <c r="AQ6" i="10" s="1"/>
  <c r="BQ13" i="10"/>
  <c r="BS13" i="10" s="1"/>
  <c r="AA13" i="10"/>
  <c r="BS28" i="10"/>
  <c r="AW24" i="10"/>
  <c r="AW35" i="10" s="1"/>
  <c r="BA11" i="10"/>
  <c r="BR31" i="10"/>
  <c r="BR23" i="10"/>
  <c r="AP15" i="10"/>
  <c r="AQ15" i="10" s="1"/>
  <c r="BP35" i="10"/>
  <c r="T33" i="25"/>
  <c r="BR33" i="10"/>
  <c r="BS24" i="10"/>
  <c r="AI50" i="27"/>
  <c r="AI52" i="27"/>
  <c r="AP33" i="10"/>
  <c r="AQ33" i="10" s="1"/>
  <c r="AP29" i="10"/>
  <c r="AQ29" i="10" s="1"/>
  <c r="AP27" i="10"/>
  <c r="AQ27" i="10" s="1"/>
  <c r="F19" i="10"/>
  <c r="AP19" i="10"/>
  <c r="AQ19" i="10" s="1"/>
  <c r="AP9" i="10"/>
  <c r="AQ9" i="10" s="1"/>
  <c r="T9" i="10"/>
  <c r="BS4" i="10"/>
  <c r="BS35" i="10" s="1"/>
  <c r="AL22" i="10"/>
  <c r="BQ25" i="10"/>
  <c r="BS25" i="10" s="1"/>
  <c r="AA25" i="10"/>
  <c r="BE22" i="10"/>
  <c r="BE35" i="10" s="1"/>
  <c r="BR26" i="10"/>
  <c r="BR22" i="10"/>
  <c r="BR18" i="10"/>
  <c r="BR7" i="10"/>
  <c r="BR19" i="10"/>
  <c r="AG81" i="27"/>
  <c r="AG94" i="27"/>
  <c r="E35" i="10"/>
  <c r="AP32" i="10"/>
  <c r="AQ32" i="10" s="1"/>
  <c r="AP28" i="10"/>
  <c r="AQ28" i="10" s="1"/>
  <c r="AP22" i="10"/>
  <c r="AQ22" i="10" s="1"/>
  <c r="AP18" i="10"/>
  <c r="AQ18" i="10" s="1"/>
  <c r="AP8" i="10"/>
  <c r="AQ8" i="10" s="1"/>
  <c r="T21" i="10"/>
  <c r="AH13" i="10"/>
  <c r="BS5" i="10"/>
  <c r="BQ15" i="10"/>
  <c r="BS15" i="10" s="1"/>
  <c r="AH15" i="10"/>
  <c r="BR6" i="10"/>
  <c r="BR9" i="10"/>
  <c r="BS8" i="10"/>
  <c r="BR11" i="10"/>
  <c r="F23" i="10"/>
  <c r="AP14" i="10"/>
  <c r="AQ14" i="10" s="1"/>
  <c r="F11" i="10"/>
  <c r="AL14" i="10"/>
  <c r="L33" i="25"/>
  <c r="AP34" i="10"/>
  <c r="AQ34" i="10" s="1"/>
  <c r="AP26" i="10"/>
  <c r="AQ26" i="10" s="1"/>
  <c r="F17" i="10"/>
  <c r="AP17" i="10" s="1"/>
  <c r="AQ17" i="10" s="1"/>
  <c r="S33" i="25"/>
  <c r="E42" i="25" s="1"/>
  <c r="BC35" i="27"/>
  <c r="BR29" i="10"/>
  <c r="BR21" i="10"/>
  <c r="AC34" i="10" l="1"/>
  <c r="AN34" i="10"/>
  <c r="AG34" i="10"/>
  <c r="AI34" i="10"/>
  <c r="N7" i="27"/>
  <c r="V6" i="27"/>
  <c r="BR15" i="10"/>
  <c r="BA35" i="10"/>
  <c r="AQ106" i="27"/>
  <c r="AC29" i="10"/>
  <c r="AI29" i="10"/>
  <c r="AN29" i="10"/>
  <c r="AG29" i="10"/>
  <c r="BR25" i="10"/>
  <c r="AI70" i="27"/>
  <c r="BR16" i="10"/>
  <c r="AQ70" i="27"/>
  <c r="AD4" i="27"/>
  <c r="G5" i="27"/>
  <c r="BR12" i="10"/>
  <c r="AG70" i="27"/>
  <c r="N11" i="10"/>
  <c r="AC21" i="10"/>
  <c r="AN21" i="10"/>
  <c r="AI21" i="10"/>
  <c r="AG21" i="10"/>
  <c r="AL35" i="10"/>
  <c r="AG106" i="27"/>
  <c r="H52" i="10"/>
  <c r="M45" i="10"/>
  <c r="AI11" i="10"/>
  <c r="AG11" i="10"/>
  <c r="AN11" i="10"/>
  <c r="AC11" i="10"/>
  <c r="BQ35" i="10"/>
  <c r="AA35" i="10"/>
  <c r="H44" i="10"/>
  <c r="AI35" i="27"/>
  <c r="AD41" i="27"/>
  <c r="G42" i="27"/>
  <c r="N83" i="27"/>
  <c r="V82" i="27"/>
  <c r="AN19" i="10"/>
  <c r="AC19" i="10"/>
  <c r="AI19" i="10"/>
  <c r="AG19" i="10"/>
  <c r="AP11" i="10"/>
  <c r="AQ11" i="10" s="1"/>
  <c r="Y6" i="10"/>
  <c r="V5" i="10"/>
  <c r="AG35" i="27"/>
  <c r="F35" i="10"/>
  <c r="AP21" i="10"/>
  <c r="AQ21" i="10" s="1"/>
  <c r="G76" i="27"/>
  <c r="AD75" i="27"/>
  <c r="AG31" i="10"/>
  <c r="AC31" i="10"/>
  <c r="AI31" i="10"/>
  <c r="AN31" i="10"/>
  <c r="AC17" i="10"/>
  <c r="AI17" i="10"/>
  <c r="AI35" i="10" s="1"/>
  <c r="AN17" i="10"/>
  <c r="AG17" i="10"/>
  <c r="AD4" i="10"/>
  <c r="G5" i="10"/>
  <c r="AN106" i="27"/>
  <c r="BR13" i="10"/>
  <c r="E41" i="25"/>
  <c r="F41" i="25" s="1"/>
  <c r="K33" i="25"/>
  <c r="AI23" i="10"/>
  <c r="AG23" i="10"/>
  <c r="AN23" i="10"/>
  <c r="AC23" i="10"/>
  <c r="AP23" i="10"/>
  <c r="AQ23" i="10" s="1"/>
  <c r="D42" i="25"/>
  <c r="F42" i="25" s="1"/>
  <c r="R33" i="25"/>
  <c r="AI106" i="27"/>
  <c r="N42" i="27"/>
  <c r="V41" i="27"/>
  <c r="AI25" i="10"/>
  <c r="AG25" i="10"/>
  <c r="AC25" i="10"/>
  <c r="AN25" i="10"/>
  <c r="G6" i="27" l="1"/>
  <c r="AD5" i="27"/>
  <c r="N8" i="27"/>
  <c r="V7" i="27"/>
  <c r="AN35" i="10"/>
  <c r="AG35" i="10"/>
  <c r="AC35" i="10"/>
  <c r="H51" i="10"/>
  <c r="H42" i="10"/>
  <c r="AP35" i="10"/>
  <c r="V83" i="27"/>
  <c r="N84" i="27"/>
  <c r="G6" i="10"/>
  <c r="AD5" i="10"/>
  <c r="AD42" i="27"/>
  <c r="G43" i="27"/>
  <c r="N12" i="10"/>
  <c r="G77" i="27"/>
  <c r="AD76" i="27"/>
  <c r="Y7" i="10"/>
  <c r="V6" i="10"/>
  <c r="N43" i="27"/>
  <c r="V42" i="27"/>
  <c r="D43" i="25"/>
  <c r="E43" i="25"/>
  <c r="N9" i="27" l="1"/>
  <c r="V8" i="27"/>
  <c r="AD6" i="27"/>
  <c r="G7" i="27"/>
  <c r="F43" i="25"/>
  <c r="N44" i="27"/>
  <c r="V43" i="27"/>
  <c r="H53" i="10"/>
  <c r="M46" i="10"/>
  <c r="AQ35" i="10"/>
  <c r="Y8" i="10"/>
  <c r="V7" i="10"/>
  <c r="N13" i="10"/>
  <c r="G78" i="27"/>
  <c r="AD77" i="27"/>
  <c r="G7" i="10"/>
  <c r="AD6" i="10"/>
  <c r="AD43" i="27"/>
  <c r="G44" i="27"/>
  <c r="V84" i="27"/>
  <c r="N85" i="27"/>
  <c r="AD7" i="27" l="1"/>
  <c r="G8" i="27"/>
  <c r="N10" i="27"/>
  <c r="V9" i="27"/>
  <c r="AD7" i="10"/>
  <c r="G8" i="10"/>
  <c r="AD78" i="27"/>
  <c r="G79" i="27"/>
  <c r="V8" i="10"/>
  <c r="Y9" i="10"/>
  <c r="AD44" i="27"/>
  <c r="G45" i="27"/>
  <c r="N14" i="10"/>
  <c r="V85" i="27"/>
  <c r="N86" i="27"/>
  <c r="N45" i="27"/>
  <c r="V44" i="27"/>
  <c r="N11" i="27" l="1"/>
  <c r="V10" i="27"/>
  <c r="AD8" i="27"/>
  <c r="G9" i="27"/>
  <c r="N87" i="27"/>
  <c r="V86" i="27"/>
  <c r="Y10" i="10"/>
  <c r="V9" i="10"/>
  <c r="AD45" i="27"/>
  <c r="G46" i="27"/>
  <c r="G80" i="27"/>
  <c r="AD79" i="27"/>
  <c r="AD8" i="10"/>
  <c r="G9" i="10"/>
  <c r="V45" i="27"/>
  <c r="N46" i="27"/>
  <c r="N15" i="10"/>
  <c r="AD9" i="27" l="1"/>
  <c r="G10" i="27"/>
  <c r="V11" i="27"/>
  <c r="N12" i="27"/>
  <c r="V46" i="27"/>
  <c r="N47" i="27"/>
  <c r="G81" i="27"/>
  <c r="AD80" i="27"/>
  <c r="Y11" i="10"/>
  <c r="V10" i="10"/>
  <c r="G10" i="10"/>
  <c r="AD9" i="10"/>
  <c r="G47" i="27"/>
  <c r="AD46" i="27"/>
  <c r="N16" i="10"/>
  <c r="N88" i="27"/>
  <c r="V87" i="27"/>
  <c r="V12" i="27" l="1"/>
  <c r="N13" i="27"/>
  <c r="AD10" i="27"/>
  <c r="G11" i="27"/>
  <c r="AD47" i="27"/>
  <c r="G48" i="27"/>
  <c r="N17" i="10"/>
  <c r="N48" i="27"/>
  <c r="V47" i="27"/>
  <c r="Y12" i="10"/>
  <c r="V11" i="10"/>
  <c r="N89" i="27"/>
  <c r="V88" i="27"/>
  <c r="AD10" i="10"/>
  <c r="G11" i="10"/>
  <c r="G82" i="27"/>
  <c r="AD81" i="27"/>
  <c r="G12" i="27" l="1"/>
  <c r="AD11" i="27"/>
  <c r="V13" i="27"/>
  <c r="N14" i="27"/>
  <c r="AD82" i="27"/>
  <c r="G83" i="27"/>
  <c r="V89" i="27"/>
  <c r="N90" i="27"/>
  <c r="V48" i="27"/>
  <c r="N49" i="27"/>
  <c r="G12" i="10"/>
  <c r="AD11" i="10"/>
  <c r="AD48" i="27"/>
  <c r="G49" i="27"/>
  <c r="Y13" i="10"/>
  <c r="V12" i="10"/>
  <c r="N18" i="10"/>
  <c r="V14" i="27" l="1"/>
  <c r="N15" i="27"/>
  <c r="AD12" i="27"/>
  <c r="G13" i="27"/>
  <c r="G50" i="27"/>
  <c r="AD49" i="27"/>
  <c r="V90" i="27"/>
  <c r="N91" i="27"/>
  <c r="N19" i="10"/>
  <c r="N50" i="27"/>
  <c r="V49" i="27"/>
  <c r="AD83" i="27"/>
  <c r="G84" i="27"/>
  <c r="Y14" i="10"/>
  <c r="V13" i="10"/>
  <c r="AD12" i="10"/>
  <c r="G13" i="10"/>
  <c r="V15" i="27" l="1"/>
  <c r="N16" i="27"/>
  <c r="AD13" i="27"/>
  <c r="G14" i="27"/>
  <c r="V91" i="27"/>
  <c r="N92" i="27"/>
  <c r="Y15" i="10"/>
  <c r="V14" i="10"/>
  <c r="V50" i="27"/>
  <c r="N51" i="27"/>
  <c r="G14" i="10"/>
  <c r="AD13" i="10"/>
  <c r="AD84" i="27"/>
  <c r="G85" i="27"/>
  <c r="N20" i="10"/>
  <c r="AD50" i="27"/>
  <c r="G51" i="27"/>
  <c r="G15" i="27" l="1"/>
  <c r="AD14" i="27"/>
  <c r="N17" i="27"/>
  <c r="V16" i="27"/>
  <c r="AD51" i="27"/>
  <c r="G52" i="27"/>
  <c r="N52" i="27"/>
  <c r="V51" i="27"/>
  <c r="V92" i="27"/>
  <c r="N93" i="27"/>
  <c r="G86" i="27"/>
  <c r="AD85" i="27"/>
  <c r="N21" i="10"/>
  <c r="Y16" i="10"/>
  <c r="V15" i="10"/>
  <c r="AD14" i="10"/>
  <c r="G15" i="10"/>
  <c r="N18" i="27" l="1"/>
  <c r="V17" i="27"/>
  <c r="G16" i="27"/>
  <c r="AD15" i="27"/>
  <c r="AD52" i="27"/>
  <c r="G53" i="27"/>
  <c r="AD15" i="10"/>
  <c r="G16" i="10"/>
  <c r="V93" i="27"/>
  <c r="N94" i="27"/>
  <c r="N22" i="10"/>
  <c r="Y17" i="10"/>
  <c r="V16" i="10"/>
  <c r="AD86" i="27"/>
  <c r="G87" i="27"/>
  <c r="N53" i="27"/>
  <c r="V52" i="27"/>
  <c r="G17" i="27" l="1"/>
  <c r="AD16" i="27"/>
  <c r="N19" i="27"/>
  <c r="V18" i="27"/>
  <c r="V94" i="27"/>
  <c r="N95" i="27"/>
  <c r="AD53" i="27"/>
  <c r="G54" i="27"/>
  <c r="Y18" i="10"/>
  <c r="V17" i="10"/>
  <c r="G88" i="27"/>
  <c r="AD87" i="27"/>
  <c r="AD16" i="10"/>
  <c r="G17" i="10"/>
  <c r="N54" i="27"/>
  <c r="V53" i="27"/>
  <c r="N23" i="10"/>
  <c r="V19" i="27" l="1"/>
  <c r="N20" i="27"/>
  <c r="AD17" i="27"/>
  <c r="G18" i="27"/>
  <c r="G55" i="27"/>
  <c r="AD54" i="27"/>
  <c r="N24" i="10"/>
  <c r="G89" i="27"/>
  <c r="AD88" i="27"/>
  <c r="AD17" i="10"/>
  <c r="G18" i="10"/>
  <c r="V95" i="27"/>
  <c r="N96" i="27"/>
  <c r="V54" i="27"/>
  <c r="N55" i="27"/>
  <c r="Y19" i="10"/>
  <c r="V18" i="10"/>
  <c r="V20" i="27" l="1"/>
  <c r="N21" i="27"/>
  <c r="G19" i="27"/>
  <c r="AD18" i="27"/>
  <c r="N97" i="27"/>
  <c r="V96" i="27"/>
  <c r="N25" i="10"/>
  <c r="N56" i="27"/>
  <c r="V55" i="27"/>
  <c r="AD18" i="10"/>
  <c r="G19" i="10"/>
  <c r="Y20" i="10"/>
  <c r="V19" i="10"/>
  <c r="AD89" i="27"/>
  <c r="G90" i="27"/>
  <c r="AD55" i="27"/>
  <c r="G56" i="27"/>
  <c r="G20" i="27" l="1"/>
  <c r="AD19" i="27"/>
  <c r="N22" i="27"/>
  <c r="V21" i="27"/>
  <c r="AD90" i="27"/>
  <c r="G91" i="27"/>
  <c r="AD19" i="10"/>
  <c r="G20" i="10"/>
  <c r="AD56" i="27"/>
  <c r="G57" i="27"/>
  <c r="Y21" i="10"/>
  <c r="V20" i="10"/>
  <c r="V56" i="27"/>
  <c r="N57" i="27"/>
  <c r="N26" i="10"/>
  <c r="V97" i="27"/>
  <c r="N98" i="27"/>
  <c r="V22" i="27" l="1"/>
  <c r="N23" i="27"/>
  <c r="G21" i="27"/>
  <c r="AD20" i="27"/>
  <c r="AD20" i="10"/>
  <c r="G21" i="10"/>
  <c r="Y22" i="10"/>
  <c r="V21" i="10"/>
  <c r="N27" i="10"/>
  <c r="N99" i="27"/>
  <c r="V98" i="27"/>
  <c r="N58" i="27"/>
  <c r="V57" i="27"/>
  <c r="AD57" i="27"/>
  <c r="G58" i="27"/>
  <c r="G92" i="27"/>
  <c r="AD91" i="27"/>
  <c r="N24" i="27" l="1"/>
  <c r="V23" i="27"/>
  <c r="AD21" i="27"/>
  <c r="G22" i="27"/>
  <c r="AD21" i="10"/>
  <c r="G22" i="10"/>
  <c r="AD92" i="27"/>
  <c r="G93" i="27"/>
  <c r="V58" i="27"/>
  <c r="N59" i="27"/>
  <c r="AD58" i="27"/>
  <c r="G59" i="27"/>
  <c r="N28" i="10"/>
  <c r="V99" i="27"/>
  <c r="N100" i="27"/>
  <c r="Y23" i="10"/>
  <c r="V22" i="10"/>
  <c r="AD22" i="27" l="1"/>
  <c r="G23" i="27"/>
  <c r="V24" i="27"/>
  <c r="N25" i="27"/>
  <c r="AD59" i="27"/>
  <c r="G60" i="27"/>
  <c r="G94" i="27"/>
  <c r="AD93" i="27"/>
  <c r="Y24" i="10"/>
  <c r="V23" i="10"/>
  <c r="V59" i="27"/>
  <c r="N60" i="27"/>
  <c r="AD22" i="10"/>
  <c r="G23" i="10"/>
  <c r="N101" i="27"/>
  <c r="V100" i="27"/>
  <c r="N29" i="10"/>
  <c r="V25" i="27" l="1"/>
  <c r="N26" i="27"/>
  <c r="G24" i="27"/>
  <c r="AD23" i="27"/>
  <c r="N102" i="27"/>
  <c r="V101" i="27"/>
  <c r="AD94" i="27"/>
  <c r="G95" i="27"/>
  <c r="G24" i="10"/>
  <c r="AD23" i="10"/>
  <c r="N30" i="10"/>
  <c r="N61" i="27"/>
  <c r="V60" i="27"/>
  <c r="G61" i="27"/>
  <c r="AD60" i="27"/>
  <c r="Y25" i="10"/>
  <c r="V24" i="10"/>
  <c r="G25" i="27" l="1"/>
  <c r="AD24" i="27"/>
  <c r="N27" i="27"/>
  <c r="V26" i="27"/>
  <c r="AD95" i="27"/>
  <c r="G96" i="27"/>
  <c r="N31" i="10"/>
  <c r="AD61" i="27"/>
  <c r="G62" i="27"/>
  <c r="Y26" i="10"/>
  <c r="V25" i="10"/>
  <c r="N62" i="27"/>
  <c r="V61" i="27"/>
  <c r="AD24" i="10"/>
  <c r="G25" i="10"/>
  <c r="N103" i="27"/>
  <c r="V102" i="27"/>
  <c r="V27" i="27" l="1"/>
  <c r="N28" i="27"/>
  <c r="G26" i="27"/>
  <c r="AD25" i="27"/>
  <c r="N32" i="10"/>
  <c r="G26" i="10"/>
  <c r="AD25" i="10"/>
  <c r="Y27" i="10"/>
  <c r="V26" i="10"/>
  <c r="G97" i="27"/>
  <c r="AD96" i="27"/>
  <c r="AD62" i="27"/>
  <c r="G63" i="27"/>
  <c r="V103" i="27"/>
  <c r="N104" i="27"/>
  <c r="N63" i="27"/>
  <c r="V62" i="27"/>
  <c r="G27" i="27" l="1"/>
  <c r="AD26" i="27"/>
  <c r="V28" i="27"/>
  <c r="N29" i="27"/>
  <c r="AD63" i="27"/>
  <c r="G64" i="27"/>
  <c r="V63" i="27"/>
  <c r="N64" i="27"/>
  <c r="Y28" i="10"/>
  <c r="V27" i="10"/>
  <c r="N105" i="27"/>
  <c r="V104" i="27"/>
  <c r="N33" i="10"/>
  <c r="AD97" i="27"/>
  <c r="G98" i="27"/>
  <c r="G27" i="10"/>
  <c r="AD26" i="10"/>
  <c r="V29" i="27" l="1"/>
  <c r="N30" i="27"/>
  <c r="AD27" i="27"/>
  <c r="G28" i="27"/>
  <c r="N106" i="27"/>
  <c r="V105" i="27"/>
  <c r="V106" i="27" s="1"/>
  <c r="AD98" i="27"/>
  <c r="G99" i="27"/>
  <c r="N65" i="27"/>
  <c r="V64" i="27"/>
  <c r="N34" i="10"/>
  <c r="G65" i="27"/>
  <c r="AD64" i="27"/>
  <c r="AD27" i="10"/>
  <c r="G28" i="10"/>
  <c r="Y29" i="10"/>
  <c r="V28" i="10"/>
  <c r="G29" i="27" l="1"/>
  <c r="AD28" i="27"/>
  <c r="V30" i="27"/>
  <c r="N31" i="27"/>
  <c r="AD99" i="27"/>
  <c r="G100" i="27"/>
  <c r="G29" i="10"/>
  <c r="AD28" i="10"/>
  <c r="V65" i="27"/>
  <c r="N66" i="27"/>
  <c r="N35" i="10"/>
  <c r="Y30" i="10"/>
  <c r="V29" i="10"/>
  <c r="AD65" i="27"/>
  <c r="G66" i="27"/>
  <c r="N32" i="27" l="1"/>
  <c r="V31" i="27"/>
  <c r="AD29" i="27"/>
  <c r="G30" i="27"/>
  <c r="Y31" i="10"/>
  <c r="V30" i="10"/>
  <c r="G30" i="10"/>
  <c r="AD29" i="10"/>
  <c r="G67" i="27"/>
  <c r="AD66" i="27"/>
  <c r="V66" i="27"/>
  <c r="N67" i="27"/>
  <c r="G101" i="27"/>
  <c r="AD100" i="27"/>
  <c r="AD30" i="27" l="1"/>
  <c r="G31" i="27"/>
  <c r="V32" i="27"/>
  <c r="N33" i="27"/>
  <c r="AD30" i="10"/>
  <c r="G31" i="10"/>
  <c r="AD101" i="27"/>
  <c r="G102" i="27"/>
  <c r="N68" i="27"/>
  <c r="V67" i="27"/>
  <c r="AD67" i="27"/>
  <c r="G68" i="27"/>
  <c r="Y32" i="10"/>
  <c r="V31" i="10"/>
  <c r="V33" i="27" l="1"/>
  <c r="N34" i="27"/>
  <c r="G32" i="27"/>
  <c r="AD31" i="27"/>
  <c r="G103" i="27"/>
  <c r="AD102" i="27"/>
  <c r="Y33" i="10"/>
  <c r="V32" i="10"/>
  <c r="V68" i="27"/>
  <c r="N69" i="27"/>
  <c r="AD68" i="27"/>
  <c r="G69" i="27"/>
  <c r="AD31" i="10"/>
  <c r="G32" i="10"/>
  <c r="AD32" i="27" l="1"/>
  <c r="G33" i="27"/>
  <c r="N35" i="27"/>
  <c r="V34" i="27"/>
  <c r="V35" i="27" s="1"/>
  <c r="AD69" i="27"/>
  <c r="AD70" i="27" s="1"/>
  <c r="G70" i="27"/>
  <c r="Y34" i="10"/>
  <c r="V33" i="10"/>
  <c r="AD32" i="10"/>
  <c r="G33" i="10"/>
  <c r="N70" i="27"/>
  <c r="V69" i="27"/>
  <c r="V70" i="27" s="1"/>
  <c r="AD103" i="27"/>
  <c r="G104" i="27"/>
  <c r="G34" i="27" l="1"/>
  <c r="AD33" i="27"/>
  <c r="Y35" i="10"/>
  <c r="V34" i="10"/>
  <c r="V35" i="10" s="1"/>
  <c r="AD104" i="27"/>
  <c r="G105" i="27"/>
  <c r="G34" i="10"/>
  <c r="AD33" i="10"/>
  <c r="G35" i="27" l="1"/>
  <c r="AD34" i="27"/>
  <c r="AD35" i="27" s="1"/>
  <c r="G106" i="27"/>
  <c r="AD105" i="27"/>
  <c r="AD106" i="27" s="1"/>
  <c r="D42" i="10"/>
  <c r="M42" i="10"/>
  <c r="G35" i="10"/>
  <c r="AD34" i="10"/>
  <c r="AD35" i="10" s="1"/>
  <c r="E42" i="10" l="1"/>
  <c r="M41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hirai</author>
  </authors>
  <commentList>
    <comment ref="C4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hirai:</t>
        </r>
        <r>
          <rPr>
            <sz val="9"/>
            <color indexed="81"/>
            <rFont val="ＭＳ Ｐゴシック"/>
            <family val="3"/>
            <charset val="128"/>
          </rPr>
          <t xml:space="preserve">
Number of Stand / ( Scheduled Production Time - Scheduled Down Time )
(Data from feb 2015 to april 2015)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divya.b</author>
  </authors>
  <commentList>
    <comment ref="B2" authorId="0" shapeId="0" xr:uid="{00000000-0006-0000-0200-000001000000}">
      <text>
        <r>
          <rPr>
            <b/>
            <sz val="10"/>
            <color indexed="81"/>
            <rFont val="Tahoma"/>
            <family val="2"/>
          </rPr>
          <t>divya.b:</t>
        </r>
        <r>
          <rPr>
            <sz val="10"/>
            <color indexed="81"/>
            <rFont val="Tahoma"/>
            <family val="2"/>
          </rPr>
          <t xml:space="preserve">
master coil weight -rewind coil weight</t>
        </r>
      </text>
    </comment>
  </commentList>
</comments>
</file>

<file path=xl/sharedStrings.xml><?xml version="1.0" encoding="utf-8"?>
<sst xmlns="http://schemas.openxmlformats.org/spreadsheetml/2006/main" count="433" uniqueCount="150">
  <si>
    <t>【GSTPH】</t>
    <phoneticPr fontId="2"/>
  </si>
  <si>
    <t>異常対応リコイル</t>
    <rPh sb="0" eb="2">
      <t>イジョウ</t>
    </rPh>
    <rPh sb="2" eb="4">
      <t>タイオウ</t>
    </rPh>
    <phoneticPr fontId="2"/>
  </si>
  <si>
    <t>【Process(MT)/Day】</t>
  </si>
  <si>
    <t>【MT/Hr】</t>
  </si>
  <si>
    <t>【Yield Ratio】</t>
  </si>
  <si>
    <t>【Monthty Process(MT) Record】</t>
  </si>
  <si>
    <t>Date</t>
  </si>
  <si>
    <t>Scheduled Process weight （ｋｇ）</t>
  </si>
  <si>
    <t>Scheduled Cumulative total Process weight/Day（ｔ）</t>
  </si>
  <si>
    <t>Actual used Master Coil weight（ｋｇ）</t>
  </si>
  <si>
    <t>Actual Processed weight （ｋｇ）</t>
  </si>
  <si>
    <t>Actual Cumulative total Process weight/Day（ｔ）</t>
  </si>
  <si>
    <t>Number of Rewind coil</t>
  </si>
  <si>
    <t>Rewind coil weight（ｋｇ）</t>
  </si>
  <si>
    <t>Scheduled Number of work orders</t>
  </si>
  <si>
    <t>Actual Number of work orders</t>
  </si>
  <si>
    <t>Number of Breaks</t>
  </si>
  <si>
    <t>Breaks/Ｈｒ</t>
  </si>
  <si>
    <t>Number of Stands</t>
  </si>
  <si>
    <t>Cumulative total Number of Stands</t>
  </si>
  <si>
    <t>Target Number of Stands /Hr</t>
  </si>
  <si>
    <t>Actual Number of Stands/Ｈr (GSTPH)</t>
  </si>
  <si>
    <t>Cumulative total Number of Stands / Hr</t>
  </si>
  <si>
    <t>Cumulative total Production Time / Hr</t>
  </si>
  <si>
    <t>Scheduled Production time（ｈｒ）</t>
  </si>
  <si>
    <t>Actual Production time（ｈｒ）</t>
  </si>
  <si>
    <t>Over Time Hr</t>
  </si>
  <si>
    <t>Total Man per hour（MHr)</t>
  </si>
  <si>
    <t>Cumulative total Ton per hour T/Hr</t>
  </si>
  <si>
    <t>Actual Ton per hour T/Hr</t>
  </si>
  <si>
    <t>Target Ton per hourT/Hr</t>
  </si>
  <si>
    <t>Actual Ton per Man hour (T/MHr)Productivity</t>
  </si>
  <si>
    <t>Number of work order /Man per hour</t>
  </si>
  <si>
    <t>Ton/Number of work order</t>
  </si>
  <si>
    <t>Quality Check( Min)</t>
  </si>
  <si>
    <t>Auto Run Time（ｈｒ）</t>
  </si>
  <si>
    <t>Auto Run Ratio</t>
  </si>
  <si>
    <t>Scheduled Yield ratio (A)</t>
  </si>
  <si>
    <t>Actual Yield ratio (B)</t>
  </si>
  <si>
    <t>B-A</t>
  </si>
  <si>
    <t>Target Yield ratio</t>
  </si>
  <si>
    <t>SUM</t>
  </si>
  <si>
    <t>Number of members</t>
  </si>
  <si>
    <t>First Shift （現場出勤結果）</t>
  </si>
  <si>
    <t>Second Shift（現場出勤結果）</t>
  </si>
  <si>
    <t>Number of attendance</t>
  </si>
  <si>
    <t>Scheduled number of vacant</t>
  </si>
  <si>
    <t>Number of Vacant</t>
  </si>
  <si>
    <t>Scheduled GSTHP</t>
  </si>
  <si>
    <t>Actual GSTHP</t>
  </si>
  <si>
    <t>Feb</t>
  </si>
  <si>
    <t>Mar</t>
  </si>
  <si>
    <t>May</t>
  </si>
  <si>
    <t>Jun</t>
  </si>
  <si>
    <t>July</t>
  </si>
  <si>
    <t>Aug</t>
  </si>
  <si>
    <t>Sep</t>
  </si>
  <si>
    <t>Oct</t>
  </si>
  <si>
    <t>Nov</t>
  </si>
  <si>
    <t>Dec</t>
  </si>
  <si>
    <t>Actual Cumulative total Process weight/Month（ｔ）</t>
  </si>
  <si>
    <t>Number of used Coil</t>
  </si>
  <si>
    <t>【Ｃｏｍｍｅnｔ of Ｔｏｄａｙ】</t>
  </si>
  <si>
    <t>Ｓｔｏｐ　Ｔｉｍｅ　（ｍｉｎ）</t>
    <phoneticPr fontId="6"/>
  </si>
  <si>
    <t>№</t>
    <phoneticPr fontId="6"/>
  </si>
  <si>
    <t>Date</t>
    <phoneticPr fontId="6"/>
  </si>
  <si>
    <t>Team</t>
    <phoneticPr fontId="6"/>
  </si>
  <si>
    <t>Machine</t>
    <phoneticPr fontId="6"/>
  </si>
  <si>
    <t>Operation</t>
  </si>
  <si>
    <t>Wait</t>
    <phoneticPr fontId="6"/>
  </si>
  <si>
    <t>Detail</t>
    <phoneticPr fontId="6"/>
  </si>
  <si>
    <t>A</t>
    <phoneticPr fontId="6"/>
  </si>
  <si>
    <t>B</t>
    <phoneticPr fontId="6"/>
  </si>
  <si>
    <t>C</t>
    <phoneticPr fontId="6"/>
  </si>
  <si>
    <t>Total stop time (min)</t>
  </si>
  <si>
    <t>MASTER COIL WEIGHT</t>
  </si>
  <si>
    <t>YEILD PLAN</t>
  </si>
  <si>
    <t>FG WEIGHT (SCHEDULE)</t>
  </si>
  <si>
    <t>Dandori Time /Coil（ｈｒ）</t>
  </si>
  <si>
    <t>Number of Slit coils</t>
  </si>
  <si>
    <t>Down Time（mins）</t>
  </si>
  <si>
    <t>Scheduled Down Time（mins）</t>
  </si>
  <si>
    <t>利益計画量</t>
  </si>
  <si>
    <t>総通販量</t>
  </si>
  <si>
    <t>稼働時間</t>
  </si>
  <si>
    <t>枚数</t>
  </si>
  <si>
    <t>分割数</t>
  </si>
  <si>
    <t>ST数</t>
  </si>
  <si>
    <t>製品数</t>
  </si>
  <si>
    <t>自動時間</t>
  </si>
  <si>
    <t>計画停止</t>
  </si>
  <si>
    <t>有償Ton</t>
  </si>
  <si>
    <t>予定歩留り</t>
  </si>
  <si>
    <t>実績歩留り</t>
  </si>
  <si>
    <t>時間外</t>
  </si>
  <si>
    <t>使用コイル数</t>
  </si>
  <si>
    <t>巻戻し</t>
  </si>
  <si>
    <t xml:space="preserve"> </t>
  </si>
  <si>
    <t>Scheduled No of (GSTPH)</t>
  </si>
  <si>
    <t>Cumulative total Number of Coil</t>
  </si>
  <si>
    <t>Down time</t>
  </si>
  <si>
    <t>Third Shift</t>
  </si>
  <si>
    <t>Manpower per day</t>
  </si>
  <si>
    <t>← How many members work in one shift?</t>
  </si>
  <si>
    <t>Total # of T/M</t>
  </si>
  <si>
    <t>← How many shifts work per day in this month? (Average)</t>
  </si>
  <si>
    <t>Actual total process weight</t>
  </si>
  <si>
    <t>GSTPH</t>
  </si>
  <si>
    <t>Scheduled Yield ratio (%)</t>
  </si>
  <si>
    <t>Actual Yield ratio (%)</t>
  </si>
  <si>
    <t>Total operating time (Hr)【稼働時間】</t>
  </si>
  <si>
    <t>Auto Run time (Hr)【自動時間】</t>
  </si>
  <si>
    <t>Down time (Hr)</t>
  </si>
  <si>
    <t># of coil 【使用コイル数】</t>
  </si>
  <si>
    <t># of rewind 【巻戻し】</t>
  </si>
  <si>
    <t>For Monthly production Report</t>
  </si>
  <si>
    <t xml:space="preserve">REWIND WT </t>
  </si>
  <si>
    <t>USED COIL WT</t>
  </si>
  <si>
    <t>SL NO</t>
  </si>
  <si>
    <t>TEAM A</t>
  </si>
  <si>
    <t>TEAM B</t>
  </si>
  <si>
    <t>TEAM C</t>
  </si>
  <si>
    <t>SL DAILY PRODUCTION REPORT SHIFT WISE</t>
  </si>
  <si>
    <t xml:space="preserve">SL DAILY PRODUCTION REPORT </t>
  </si>
  <si>
    <t>Actual FG wt
 (in kgs)</t>
  </si>
  <si>
    <t xml:space="preserve">TEAM </t>
  </si>
  <si>
    <t>TOTAL</t>
  </si>
  <si>
    <t>MONTHLY SHIFT WISE REPORT</t>
  </si>
  <si>
    <t>DATA</t>
  </si>
  <si>
    <t>SCHEDULED YEILD RATIO</t>
  </si>
  <si>
    <t>ACTUAL FG IN TON</t>
  </si>
  <si>
    <t>MAY /2020 Production report SL TTSS</t>
  </si>
  <si>
    <t>DATE</t>
  </si>
  <si>
    <t>FG IN MT</t>
  </si>
  <si>
    <t>PROCESS TIME  HRS</t>
  </si>
  <si>
    <t>MT / HR</t>
  </si>
  <si>
    <t>MAN HR /MT</t>
  </si>
  <si>
    <t># OF TMS</t>
  </si>
  <si>
    <t xml:space="preserve">TOTAL </t>
  </si>
  <si>
    <t>2020 April</t>
  </si>
  <si>
    <t>2021 Jan</t>
  </si>
  <si>
    <t>MOTHER  COIL WT</t>
  </si>
  <si>
    <t>Actual process time (hrs)</t>
  </si>
  <si>
    <t>Sheduled FG coil weight (KG)</t>
  </si>
  <si>
    <t>Actual FG coil weight (KG)</t>
  </si>
  <si>
    <t>100% used coil Weight (KG)</t>
  </si>
  <si>
    <t>Sheduled FG coil weight (kg)</t>
  </si>
  <si>
    <t>Actual FG coil weight (kg)</t>
  </si>
  <si>
    <t>100% used coil Weight (kg)</t>
  </si>
  <si>
    <t>Down time (mins)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</si>
</sst>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_ "/>
    <numFmt numFmtId="166" formatCode="#,##0_ "/>
    <numFmt numFmtId="167" formatCode="0.000"/>
    <numFmt numFmtId="168" formatCode="0.0&quot;%&quot;"/>
    <numFmt numFmtId="169" formatCode="0.00&quot;%&quot;"/>
    <numFmt numFmtId="170" formatCode="[$-409]d\-mmm;@"/>
  </numFmts>
  <fonts count="45">
    <font>
      <sz val="14"/>
      <name val="Terminal"/>
      <charset val="128"/>
    </font>
    <font>
      <sz val="11"/>
      <name val="明朝"/>
      <family val="3"/>
      <charset val="128"/>
    </font>
    <font>
      <sz val="7"/>
      <name val="Terminal"/>
      <family val="3"/>
      <charset val="255"/>
    </font>
    <font>
      <sz val="14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11"/>
      <name val="ＭＳ Ｐゴシック"/>
      <charset val="128"/>
    </font>
    <font>
      <b/>
      <sz val="11"/>
      <name val="ＭＳ Ｐゴシック"/>
      <charset val="128"/>
    </font>
    <font>
      <b/>
      <sz val="22"/>
      <name val="HG丸ｺﾞｼｯｸM-PRO"/>
      <family val="3"/>
      <charset val="128"/>
    </font>
    <font>
      <b/>
      <sz val="18"/>
      <name val="HG丸ｺﾞｼｯｸM-PRO"/>
      <family val="3"/>
      <charset val="128"/>
    </font>
    <font>
      <b/>
      <sz val="28"/>
      <name val="ＭＳ Ｐゴシック"/>
      <family val="3"/>
      <charset val="128"/>
    </font>
    <font>
      <b/>
      <sz val="22"/>
      <name val="ＭＳ Ｐゴシック"/>
      <family val="3"/>
      <charset val="128"/>
    </font>
    <font>
      <b/>
      <sz val="14"/>
      <name val="HG丸ｺﾞｼｯｸM-PRO"/>
      <family val="3"/>
      <charset val="128"/>
    </font>
    <font>
      <sz val="14"/>
      <name val="Terminal"/>
      <family val="3"/>
      <charset val="255"/>
    </font>
    <font>
      <b/>
      <sz val="11"/>
      <name val="HG丸ｺﾞｼｯｸM-PRO"/>
      <family val="3"/>
      <charset val="128"/>
    </font>
    <font>
      <b/>
      <sz val="11"/>
      <name val="Terminal"/>
      <family val="3"/>
      <charset val="255"/>
    </font>
    <font>
      <sz val="11"/>
      <name val="ＭＳ Ｐゴシック"/>
      <family val="3"/>
      <charset val="128"/>
    </font>
    <font>
      <sz val="14"/>
      <name val="Terminal"/>
      <family val="3"/>
      <charset val="255"/>
    </font>
    <font>
      <sz val="11"/>
      <name val="ＭＳ Ｐゴシック"/>
      <family val="3"/>
    </font>
    <font>
      <b/>
      <sz val="12"/>
      <name val="ＭＳ Ｐゴシック"/>
      <family val="3"/>
    </font>
    <font>
      <sz val="10"/>
      <name val="ＭＳ Ｐゴシック"/>
      <family val="3"/>
    </font>
    <font>
      <sz val="10"/>
      <name val="ＭＳ Ｐゴシック"/>
      <family val="3"/>
      <charset val="128"/>
    </font>
    <font>
      <b/>
      <sz val="10"/>
      <name val="ＭＳ Ｐゴシック"/>
      <family val="3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8"/>
      <name val="ＭＳ Ｐゴシック"/>
    </font>
    <font>
      <b/>
      <sz val="14"/>
      <name val="Terminal"/>
    </font>
    <font>
      <sz val="10"/>
      <name val="Arial"/>
      <family val="2"/>
    </font>
    <font>
      <b/>
      <sz val="14"/>
      <name val="ＭＳ Ｐゴシック"/>
    </font>
    <font>
      <sz val="10"/>
      <color rgb="FFFF000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rgb="FF00B050"/>
      <name val="ＭＳ Ｐゴシック"/>
      <family val="3"/>
      <charset val="128"/>
    </font>
    <font>
      <sz val="10"/>
      <color rgb="FF009900"/>
      <name val="ＭＳ Ｐゴシック"/>
      <family val="3"/>
      <charset val="128"/>
    </font>
    <font>
      <sz val="10"/>
      <color rgb="FFFF0000"/>
      <name val="ＭＳ Ｐゴシック"/>
    </font>
    <font>
      <sz val="10"/>
      <color rgb="FFFF0000"/>
      <name val="ＭＳ Ｐゴシック"/>
      <family val="3"/>
    </font>
    <font>
      <sz val="14"/>
      <name val="Cambria"/>
      <family val="1"/>
      <scheme val="major"/>
    </font>
    <font>
      <b/>
      <sz val="14"/>
      <color theme="0"/>
      <name val="Cambria"/>
      <family val="1"/>
      <scheme val="major"/>
    </font>
    <font>
      <sz val="11"/>
      <color rgb="FFFF0000"/>
      <name val="Terminal"/>
      <charset val="128"/>
    </font>
    <font>
      <b/>
      <sz val="14"/>
      <name val="Cambria"/>
      <family val="1"/>
      <scheme val="major"/>
    </font>
    <font>
      <b/>
      <sz val="20"/>
      <name val="Cambria"/>
      <family val="1"/>
      <scheme val="major"/>
    </font>
    <font>
      <b/>
      <sz val="1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8">
    <xf numFmtId="0" fontId="0" fillId="0" borderId="0"/>
    <xf numFmtId="38" fontId="1" fillId="0" borderId="0" applyFont="0" applyFill="0" applyBorder="0" applyAlignment="0" applyProtection="0"/>
    <xf numFmtId="0" fontId="14" fillId="0" borderId="0"/>
    <xf numFmtId="0" fontId="30" fillId="0" borderId="0"/>
    <xf numFmtId="9" fontId="1" fillId="0" borderId="0" applyFont="0" applyFill="0" applyBorder="0" applyAlignment="0" applyProtection="0"/>
    <xf numFmtId="0" fontId="17" fillId="0" borderId="0"/>
    <xf numFmtId="0" fontId="19" fillId="0" borderId="0"/>
    <xf numFmtId="0" fontId="19" fillId="0" borderId="0"/>
  </cellStyleXfs>
  <cellXfs count="320">
    <xf numFmtId="0" fontId="0" fillId="0" borderId="0" xfId="0"/>
    <xf numFmtId="0" fontId="3" fillId="0" borderId="0" xfId="0" applyNumberFormat="1" applyFont="1" applyFill="1" applyAlignment="1" applyProtection="1">
      <alignment vertical="center"/>
      <protection locked="0"/>
    </xf>
    <xf numFmtId="0" fontId="4" fillId="0" borderId="0" xfId="0" applyNumberFormat="1" applyFont="1" applyFill="1" applyAlignment="1">
      <alignment horizontal="right" vertical="center"/>
    </xf>
    <xf numFmtId="0" fontId="3" fillId="0" borderId="0" xfId="0" applyNumberFormat="1" applyFont="1" applyFill="1" applyAlignment="1" applyProtection="1">
      <alignment horizontal="right" vertical="center"/>
      <protection locked="0"/>
    </xf>
    <xf numFmtId="0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Font="1"/>
    <xf numFmtId="0" fontId="3" fillId="0" borderId="0" xfId="0" applyFont="1" applyFill="1"/>
    <xf numFmtId="165" fontId="3" fillId="0" borderId="0" xfId="0" applyNumberFormat="1" applyFont="1"/>
    <xf numFmtId="165" fontId="4" fillId="0" borderId="0" xfId="0" applyNumberFormat="1" applyFont="1" applyFill="1" applyAlignment="1">
      <alignment horizontal="right" vertic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 applyFill="1" applyAlignment="1">
      <alignment vertical="center"/>
    </xf>
    <xf numFmtId="0" fontId="0" fillId="0" borderId="0" xfId="0" applyAlignment="1"/>
    <xf numFmtId="0" fontId="3" fillId="0" borderId="0" xfId="0" applyFont="1" applyFill="1" applyAlignment="1" applyProtection="1">
      <alignment vertical="center"/>
      <protection locked="0"/>
    </xf>
    <xf numFmtId="0" fontId="3" fillId="0" borderId="0" xfId="0" applyFont="1" applyFill="1" applyAlignment="1" applyProtection="1">
      <alignment vertical="center"/>
    </xf>
    <xf numFmtId="165" fontId="3" fillId="0" borderId="0" xfId="0" applyNumberFormat="1" applyFont="1" applyFill="1"/>
    <xf numFmtId="165" fontId="3" fillId="0" borderId="0" xfId="0" applyNumberFormat="1" applyFont="1" applyFill="1" applyBorder="1" applyAlignment="1">
      <alignment horizontal="center" vertical="top"/>
    </xf>
    <xf numFmtId="0" fontId="10" fillId="0" borderId="0" xfId="0" applyFont="1" applyAlignment="1">
      <alignment horizontal="left"/>
    </xf>
    <xf numFmtId="0" fontId="5" fillId="0" borderId="0" xfId="0" applyFont="1" applyFill="1" applyBorder="1" applyAlignment="1">
      <alignment horizontal="center"/>
    </xf>
    <xf numFmtId="165" fontId="4" fillId="0" borderId="0" xfId="0" applyNumberFormat="1" applyFont="1" applyFill="1" applyAlignment="1">
      <alignment vertical="center"/>
    </xf>
    <xf numFmtId="165" fontId="4" fillId="0" borderId="0" xfId="0" applyNumberFormat="1" applyFont="1" applyFill="1" applyAlignment="1">
      <alignment vertical="center" wrapText="1"/>
    </xf>
    <xf numFmtId="165" fontId="3" fillId="0" borderId="0" xfId="0" applyNumberFormat="1" applyFont="1" applyFill="1" applyAlignment="1">
      <alignment wrapText="1"/>
    </xf>
    <xf numFmtId="165" fontId="3" fillId="0" borderId="0" xfId="0" applyNumberFormat="1" applyFont="1" applyAlignment="1">
      <alignment wrapText="1"/>
    </xf>
    <xf numFmtId="0" fontId="3" fillId="0" borderId="0" xfId="0" applyFont="1" applyFill="1" applyBorder="1" applyAlignment="1">
      <alignment horizontal="center" vertical="center"/>
    </xf>
    <xf numFmtId="0" fontId="8" fillId="0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2" xfId="0" applyNumberFormat="1" applyFont="1" applyFill="1" applyBorder="1" applyAlignment="1" applyProtection="1">
      <alignment horizontal="center" vertical="center"/>
      <protection locked="0"/>
    </xf>
    <xf numFmtId="0" fontId="8" fillId="0" borderId="3" xfId="0" applyNumberFormat="1" applyFont="1" applyFill="1" applyBorder="1" applyAlignment="1" applyProtection="1">
      <alignment horizontal="center" vertical="center"/>
    </xf>
    <xf numFmtId="0" fontId="7" fillId="0" borderId="3" xfId="0" applyNumberFormat="1" applyFont="1" applyFill="1" applyBorder="1" applyAlignment="1" applyProtection="1">
      <alignment horizontal="center" vertical="center" wrapText="1"/>
    </xf>
    <xf numFmtId="0" fontId="0" fillId="0" borderId="3" xfId="0" applyBorder="1"/>
    <xf numFmtId="0" fontId="12" fillId="0" borderId="0" xfId="0" applyFont="1" applyAlignment="1">
      <alignment horizontal="left"/>
    </xf>
    <xf numFmtId="0" fontId="12" fillId="0" borderId="0" xfId="0" applyFont="1" applyAlignment="1"/>
    <xf numFmtId="0" fontId="6" fillId="0" borderId="0" xfId="0" applyFont="1" applyAlignment="1">
      <alignment horizontal="left"/>
    </xf>
    <xf numFmtId="0" fontId="11" fillId="0" borderId="0" xfId="0" applyFont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7" fillId="0" borderId="4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horizontal="left" vertical="top"/>
    </xf>
    <xf numFmtId="0" fontId="7" fillId="0" borderId="5" xfId="0" applyNumberFormat="1" applyFont="1" applyFill="1" applyBorder="1" applyAlignment="1" applyProtection="1">
      <alignment horizontal="center" vertical="center"/>
      <protection locked="0"/>
    </xf>
    <xf numFmtId="0" fontId="7" fillId="0" borderId="6" xfId="0" applyNumberFormat="1" applyFont="1" applyFill="1" applyBorder="1" applyAlignment="1" applyProtection="1">
      <alignment horizontal="center" vertical="center"/>
    </xf>
    <xf numFmtId="0" fontId="13" fillId="0" borderId="0" xfId="0" applyFont="1" applyAlignment="1">
      <alignment horizontal="left"/>
    </xf>
    <xf numFmtId="0" fontId="14" fillId="0" borderId="0" xfId="0" applyFont="1" applyAlignment="1"/>
    <xf numFmtId="164" fontId="7" fillId="0" borderId="6" xfId="0" applyNumberFormat="1" applyFont="1" applyFill="1" applyBorder="1" applyAlignment="1" applyProtection="1">
      <alignment horizontal="center" vertical="center"/>
    </xf>
    <xf numFmtId="164" fontId="7" fillId="0" borderId="5" xfId="0" applyNumberFormat="1" applyFont="1" applyFill="1" applyBorder="1" applyAlignment="1" applyProtection="1">
      <alignment horizontal="center" vertical="center"/>
      <protection locked="0"/>
    </xf>
    <xf numFmtId="164" fontId="7" fillId="0" borderId="4" xfId="0" applyNumberFormat="1" applyFont="1" applyFill="1" applyBorder="1" applyAlignment="1">
      <alignment horizontal="center" vertical="center" wrapText="1"/>
    </xf>
    <xf numFmtId="0" fontId="7" fillId="0" borderId="4" xfId="0" applyFont="1" applyFill="1" applyBorder="1" applyAlignment="1">
      <alignment horizontal="center" vertical="center" wrapText="1"/>
    </xf>
    <xf numFmtId="164" fontId="7" fillId="4" borderId="4" xfId="0" applyNumberFormat="1" applyFont="1" applyFill="1" applyBorder="1" applyAlignment="1">
      <alignment horizontal="center" vertical="center" wrapText="1"/>
    </xf>
    <xf numFmtId="0" fontId="7" fillId="4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4" xfId="0" applyNumberFormat="1" applyFont="1" applyFill="1" applyBorder="1" applyAlignment="1">
      <alignment horizontal="center" vertical="center" wrapText="1"/>
    </xf>
    <xf numFmtId="0" fontId="7" fillId="0" borderId="4" xfId="0" applyNumberFormat="1" applyFont="1" applyFill="1" applyBorder="1" applyAlignment="1" applyProtection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164" fontId="7" fillId="4" borderId="5" xfId="0" applyNumberFormat="1" applyFont="1" applyFill="1" applyBorder="1" applyAlignment="1" applyProtection="1">
      <alignment horizontal="center" vertical="center"/>
      <protection locked="0"/>
    </xf>
    <xf numFmtId="167" fontId="7" fillId="0" borderId="5" xfId="0" applyNumberFormat="1" applyFont="1" applyFill="1" applyBorder="1" applyAlignment="1" applyProtection="1">
      <alignment horizontal="center" vertical="center"/>
      <protection locked="0"/>
    </xf>
    <xf numFmtId="167" fontId="7" fillId="0" borderId="6" xfId="0" applyNumberFormat="1" applyFont="1" applyFill="1" applyBorder="1" applyAlignment="1" applyProtection="1">
      <alignment horizontal="center" vertical="center"/>
    </xf>
    <xf numFmtId="0" fontId="7" fillId="4" borderId="4" xfId="0" applyNumberFormat="1" applyFont="1" applyFill="1" applyBorder="1" applyAlignment="1" applyProtection="1">
      <alignment horizontal="center" vertical="center" wrapText="1"/>
      <protection locked="0"/>
    </xf>
    <xf numFmtId="165" fontId="7" fillId="0" borderId="4" xfId="0" applyNumberFormat="1" applyFont="1" applyFill="1" applyBorder="1" applyAlignment="1" applyProtection="1">
      <alignment horizontal="center" vertical="center" wrapText="1"/>
      <protection locked="0"/>
    </xf>
    <xf numFmtId="10" fontId="7" fillId="0" borderId="5" xfId="4" applyNumberFormat="1" applyFont="1" applyFill="1" applyBorder="1" applyAlignment="1" applyProtection="1">
      <alignment horizontal="center" vertical="center"/>
      <protection locked="0"/>
    </xf>
    <xf numFmtId="10" fontId="7" fillId="0" borderId="6" xfId="4" applyNumberFormat="1" applyFont="1" applyFill="1" applyBorder="1" applyAlignment="1" applyProtection="1">
      <alignment horizontal="center" vertical="center"/>
    </xf>
    <xf numFmtId="165" fontId="7" fillId="4" borderId="4" xfId="0" applyNumberFormat="1" applyFont="1" applyFill="1" applyBorder="1" applyAlignment="1" applyProtection="1">
      <alignment horizontal="center" vertical="center" wrapText="1"/>
    </xf>
    <xf numFmtId="165" fontId="3" fillId="4" borderId="7" xfId="0" applyNumberFormat="1" applyFont="1" applyFill="1" applyBorder="1" applyAlignment="1" applyProtection="1">
      <alignment vertical="center" wrapText="1"/>
      <protection locked="0"/>
    </xf>
    <xf numFmtId="165" fontId="3" fillId="4" borderId="7" xfId="0" applyNumberFormat="1" applyFont="1" applyFill="1" applyBorder="1" applyAlignment="1" applyProtection="1">
      <alignment vertical="center"/>
      <protection locked="0"/>
    </xf>
    <xf numFmtId="168" fontId="3" fillId="0" borderId="7" xfId="4" applyNumberFormat="1" applyFont="1" applyFill="1" applyBorder="1" applyAlignment="1" applyProtection="1">
      <alignment vertical="center"/>
      <protection locked="0"/>
    </xf>
    <xf numFmtId="169" fontId="3" fillId="0" borderId="8" xfId="0" applyNumberFormat="1" applyFont="1" applyFill="1" applyBorder="1"/>
    <xf numFmtId="169" fontId="3" fillId="0" borderId="9" xfId="0" applyNumberFormat="1" applyFont="1" applyFill="1" applyBorder="1"/>
    <xf numFmtId="169" fontId="3" fillId="0" borderId="10" xfId="0" applyNumberFormat="1" applyFont="1" applyFill="1" applyBorder="1"/>
    <xf numFmtId="168" fontId="7" fillId="0" borderId="11" xfId="4" applyNumberFormat="1" applyFont="1" applyFill="1" applyBorder="1" applyAlignment="1" applyProtection="1">
      <alignment horizontal="center" vertical="center"/>
    </xf>
    <xf numFmtId="169" fontId="3" fillId="4" borderId="11" xfId="0" applyNumberFormat="1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wrapText="1"/>
    </xf>
    <xf numFmtId="0" fontId="17" fillId="4" borderId="4" xfId="0" applyFont="1" applyFill="1" applyBorder="1" applyAlignment="1">
      <alignment horizontal="center" wrapText="1"/>
    </xf>
    <xf numFmtId="0" fontId="17" fillId="0" borderId="12" xfId="0" applyFont="1" applyFill="1" applyBorder="1" applyAlignment="1">
      <alignment horizontal="center" wrapText="1"/>
    </xf>
    <xf numFmtId="0" fontId="17" fillId="0" borderId="11" xfId="0" applyFont="1" applyFill="1" applyBorder="1" applyAlignment="1">
      <alignment horizontal="center" wrapText="1"/>
    </xf>
    <xf numFmtId="38" fontId="17" fillId="4" borderId="13" xfId="1" applyFont="1" applyFill="1" applyBorder="1"/>
    <xf numFmtId="38" fontId="17" fillId="4" borderId="7" xfId="1" applyFont="1" applyFill="1" applyBorder="1"/>
    <xf numFmtId="38" fontId="17" fillId="0" borderId="14" xfId="1" applyFont="1" applyFill="1" applyBorder="1"/>
    <xf numFmtId="38" fontId="17" fillId="0" borderId="8" xfId="1" applyFont="1" applyFill="1" applyBorder="1"/>
    <xf numFmtId="38" fontId="17" fillId="4" borderId="1" xfId="1" applyFont="1" applyFill="1" applyBorder="1"/>
    <xf numFmtId="38" fontId="17" fillId="4" borderId="15" xfId="1" applyFont="1" applyFill="1" applyBorder="1"/>
    <xf numFmtId="38" fontId="17" fillId="0" borderId="16" xfId="1" applyFont="1" applyFill="1" applyBorder="1"/>
    <xf numFmtId="38" fontId="17" fillId="0" borderId="9" xfId="1" applyFont="1" applyFill="1" applyBorder="1"/>
    <xf numFmtId="38" fontId="17" fillId="4" borderId="17" xfId="1" applyFont="1" applyFill="1" applyBorder="1"/>
    <xf numFmtId="38" fontId="17" fillId="0" borderId="18" xfId="1" applyFont="1" applyFill="1" applyBorder="1"/>
    <xf numFmtId="38" fontId="17" fillId="0" borderId="10" xfId="1" applyFont="1" applyFill="1" applyBorder="1"/>
    <xf numFmtId="38" fontId="17" fillId="0" borderId="19" xfId="0" applyNumberFormat="1" applyFont="1" applyBorder="1"/>
    <xf numFmtId="38" fontId="17" fillId="0" borderId="4" xfId="0" applyNumberFormat="1" applyFont="1" applyBorder="1"/>
    <xf numFmtId="38" fontId="17" fillId="0" borderId="6" xfId="0" applyNumberFormat="1" applyFont="1" applyBorder="1"/>
    <xf numFmtId="38" fontId="17" fillId="0" borderId="20" xfId="0" applyNumberFormat="1" applyFont="1" applyFill="1" applyBorder="1"/>
    <xf numFmtId="38" fontId="17" fillId="0" borderId="3" xfId="0" applyNumberFormat="1" applyFont="1" applyBorder="1"/>
    <xf numFmtId="38" fontId="17" fillId="0" borderId="21" xfId="0" applyNumberFormat="1" applyFont="1" applyFill="1" applyBorder="1"/>
    <xf numFmtId="164" fontId="7" fillId="5" borderId="6" xfId="0" applyNumberFormat="1" applyFont="1" applyFill="1" applyBorder="1" applyAlignment="1" applyProtection="1">
      <alignment horizontal="center" vertical="center"/>
    </xf>
    <xf numFmtId="164" fontId="7" fillId="6" borderId="6" xfId="0" applyNumberFormat="1" applyFont="1" applyFill="1" applyBorder="1" applyAlignment="1" applyProtection="1">
      <alignment horizontal="center" vertical="center"/>
    </xf>
    <xf numFmtId="0" fontId="3" fillId="7" borderId="9" xfId="0" applyFont="1" applyFill="1" applyBorder="1"/>
    <xf numFmtId="0" fontId="3" fillId="7" borderId="22" xfId="0" applyFont="1" applyFill="1" applyBorder="1"/>
    <xf numFmtId="0" fontId="7" fillId="7" borderId="6" xfId="0" applyNumberFormat="1" applyFont="1" applyFill="1" applyBorder="1" applyAlignment="1" applyProtection="1">
      <alignment horizontal="center" vertical="center"/>
    </xf>
    <xf numFmtId="0" fontId="20" fillId="0" borderId="0" xfId="6" applyFont="1" applyAlignment="1"/>
    <xf numFmtId="0" fontId="19" fillId="0" borderId="0" xfId="6"/>
    <xf numFmtId="0" fontId="21" fillId="0" borderId="0" xfId="6" applyFont="1" applyBorder="1" applyAlignment="1">
      <alignment vertical="center"/>
    </xf>
    <xf numFmtId="170" fontId="21" fillId="0" borderId="0" xfId="6" applyNumberFormat="1" applyFont="1" applyBorder="1" applyAlignment="1">
      <alignment vertical="center"/>
    </xf>
    <xf numFmtId="0" fontId="21" fillId="0" borderId="18" xfId="6" applyFont="1" applyBorder="1"/>
    <xf numFmtId="0" fontId="21" fillId="0" borderId="23" xfId="6" applyFont="1" applyBorder="1"/>
    <xf numFmtId="0" fontId="21" fillId="0" borderId="24" xfId="6" applyFont="1" applyBorder="1"/>
    <xf numFmtId="0" fontId="19" fillId="0" borderId="24" xfId="6" applyBorder="1"/>
    <xf numFmtId="0" fontId="21" fillId="0" borderId="24" xfId="6" applyFont="1" applyBorder="1" applyAlignment="1">
      <alignment vertical="center"/>
    </xf>
    <xf numFmtId="0" fontId="21" fillId="0" borderId="14" xfId="6" applyFont="1" applyBorder="1" applyAlignment="1">
      <alignment horizontal="center"/>
    </xf>
    <xf numFmtId="0" fontId="21" fillId="0" borderId="25" xfId="6" applyFont="1" applyBorder="1" applyAlignment="1">
      <alignment horizontal="center"/>
    </xf>
    <xf numFmtId="0" fontId="21" fillId="0" borderId="26" xfId="6" applyFont="1" applyBorder="1" applyAlignment="1">
      <alignment horizontal="center"/>
    </xf>
    <xf numFmtId="0" fontId="21" fillId="0" borderId="27" xfId="6" applyFont="1" applyBorder="1" applyAlignment="1">
      <alignment horizontal="center"/>
    </xf>
    <xf numFmtId="0" fontId="21" fillId="0" borderId="5" xfId="6" applyFont="1" applyBorder="1" applyAlignment="1">
      <alignment horizontal="center"/>
    </xf>
    <xf numFmtId="0" fontId="19" fillId="0" borderId="26" xfId="6" applyBorder="1"/>
    <xf numFmtId="0" fontId="21" fillId="0" borderId="26" xfId="6" applyFont="1" applyBorder="1" applyAlignment="1">
      <alignment vertical="center"/>
    </xf>
    <xf numFmtId="0" fontId="21" fillId="0" borderId="28" xfId="6" applyFont="1" applyBorder="1"/>
    <xf numFmtId="3" fontId="21" fillId="0" borderId="29" xfId="6" applyNumberFormat="1" applyFont="1" applyBorder="1" applyAlignment="1">
      <alignment horizontal="center"/>
    </xf>
    <xf numFmtId="0" fontId="21" fillId="0" borderId="30" xfId="6" applyFont="1" applyBorder="1" applyAlignment="1">
      <alignment horizontal="center"/>
    </xf>
    <xf numFmtId="0" fontId="21" fillId="0" borderId="0" xfId="7" applyFont="1"/>
    <xf numFmtId="0" fontId="21" fillId="0" borderId="31" xfId="7" applyFont="1" applyBorder="1"/>
    <xf numFmtId="0" fontId="21" fillId="0" borderId="32" xfId="7" applyFont="1" applyBorder="1"/>
    <xf numFmtId="0" fontId="32" fillId="0" borderId="33" xfId="6" applyFont="1" applyBorder="1"/>
    <xf numFmtId="0" fontId="33" fillId="0" borderId="0" xfId="6" applyFont="1"/>
    <xf numFmtId="0" fontId="21" fillId="0" borderId="34" xfId="6" applyFont="1" applyBorder="1"/>
    <xf numFmtId="3" fontId="21" fillId="0" borderId="35" xfId="6" applyNumberFormat="1" applyFont="1" applyBorder="1"/>
    <xf numFmtId="0" fontId="21" fillId="0" borderId="36" xfId="6" applyFont="1" applyBorder="1" applyAlignment="1">
      <alignment horizontal="center"/>
    </xf>
    <xf numFmtId="0" fontId="19" fillId="0" borderId="35" xfId="7" applyFont="1" applyBorder="1"/>
    <xf numFmtId="0" fontId="21" fillId="0" borderId="37" xfId="7" applyFont="1" applyBorder="1"/>
    <xf numFmtId="0" fontId="21" fillId="0" borderId="38" xfId="7" applyFont="1" applyBorder="1"/>
    <xf numFmtId="0" fontId="32" fillId="0" borderId="39" xfId="6" applyFont="1" applyBorder="1"/>
    <xf numFmtId="0" fontId="33" fillId="0" borderId="39" xfId="6" applyFont="1" applyBorder="1"/>
    <xf numFmtId="0" fontId="32" fillId="0" borderId="39" xfId="6" applyFont="1" applyBorder="1" applyAlignment="1">
      <alignment vertical="center"/>
    </xf>
    <xf numFmtId="3" fontId="21" fillId="0" borderId="34" xfId="6" applyNumberFormat="1" applyFont="1" applyBorder="1"/>
    <xf numFmtId="0" fontId="19" fillId="0" borderId="0" xfId="7" applyFont="1"/>
    <xf numFmtId="0" fontId="21" fillId="0" borderId="39" xfId="7" applyFont="1" applyBorder="1"/>
    <xf numFmtId="0" fontId="19" fillId="0" borderId="39" xfId="6" applyBorder="1"/>
    <xf numFmtId="0" fontId="21" fillId="0" borderId="39" xfId="6" applyFont="1" applyBorder="1" applyAlignment="1">
      <alignment vertical="center"/>
    </xf>
    <xf numFmtId="0" fontId="21" fillId="0" borderId="33" xfId="6" applyFont="1" applyBorder="1"/>
    <xf numFmtId="0" fontId="21" fillId="0" borderId="39" xfId="6" applyFont="1" applyBorder="1"/>
    <xf numFmtId="0" fontId="34" fillId="0" borderId="37" xfId="7" applyFont="1" applyBorder="1"/>
    <xf numFmtId="0" fontId="35" fillId="0" borderId="39" xfId="6" applyFont="1" applyBorder="1"/>
    <xf numFmtId="0" fontId="36" fillId="0" borderId="39" xfId="6" applyFont="1" applyBorder="1"/>
    <xf numFmtId="0" fontId="37" fillId="0" borderId="39" xfId="6" applyFont="1" applyBorder="1"/>
    <xf numFmtId="0" fontId="34" fillId="0" borderId="39" xfId="7" applyFont="1" applyBorder="1"/>
    <xf numFmtId="0" fontId="32" fillId="0" borderId="37" xfId="7" applyFont="1" applyBorder="1"/>
    <xf numFmtId="0" fontId="22" fillId="0" borderId="39" xfId="7" applyFont="1" applyBorder="1"/>
    <xf numFmtId="0" fontId="21" fillId="0" borderId="40" xfId="6" applyFont="1" applyBorder="1"/>
    <xf numFmtId="0" fontId="21" fillId="0" borderId="41" xfId="6" applyFont="1" applyBorder="1" applyAlignment="1">
      <alignment vertical="center"/>
    </xf>
    <xf numFmtId="14" fontId="21" fillId="0" borderId="42" xfId="6" applyNumberFormat="1" applyFont="1" applyBorder="1" applyAlignment="1">
      <alignment horizontal="center" vertical="center"/>
    </xf>
    <xf numFmtId="0" fontId="21" fillId="0" borderId="43" xfId="7" applyFont="1" applyFill="1" applyBorder="1" applyAlignment="1">
      <alignment vertical="center"/>
    </xf>
    <xf numFmtId="0" fontId="21" fillId="0" borderId="42" xfId="7" applyFont="1" applyFill="1" applyBorder="1" applyAlignment="1">
      <alignment vertical="center"/>
    </xf>
    <xf numFmtId="0" fontId="21" fillId="0" borderId="0" xfId="6" applyFont="1" applyBorder="1"/>
    <xf numFmtId="0" fontId="21" fillId="0" borderId="40" xfId="6" applyFont="1" applyBorder="1" applyAlignment="1">
      <alignment vertical="center"/>
    </xf>
    <xf numFmtId="3" fontId="21" fillId="0" borderId="34" xfId="6" applyNumberFormat="1" applyFont="1" applyBorder="1" applyAlignment="1">
      <alignment vertical="center"/>
    </xf>
    <xf numFmtId="14" fontId="21" fillId="0" borderId="36" xfId="6" applyNumberFormat="1" applyFont="1" applyBorder="1" applyAlignment="1">
      <alignment horizontal="center" vertical="center"/>
    </xf>
    <xf numFmtId="0" fontId="21" fillId="0" borderId="44" xfId="7" applyFont="1" applyFill="1" applyBorder="1" applyAlignment="1">
      <alignment vertical="center"/>
    </xf>
    <xf numFmtId="0" fontId="21" fillId="0" borderId="30" xfId="7" applyFont="1" applyFill="1" applyBorder="1" applyAlignment="1">
      <alignment vertical="center"/>
    </xf>
    <xf numFmtId="0" fontId="21" fillId="0" borderId="35" xfId="7" applyFont="1" applyFill="1" applyBorder="1" applyAlignment="1">
      <alignment vertical="center"/>
    </xf>
    <xf numFmtId="0" fontId="21" fillId="0" borderId="36" xfId="7" applyFont="1" applyFill="1" applyBorder="1" applyAlignment="1">
      <alignment vertical="center"/>
    </xf>
    <xf numFmtId="0" fontId="35" fillId="0" borderId="33" xfId="6" applyFont="1" applyBorder="1"/>
    <xf numFmtId="0" fontId="22" fillId="0" borderId="33" xfId="6" applyFont="1" applyBorder="1"/>
    <xf numFmtId="0" fontId="22" fillId="0" borderId="39" xfId="6" applyFont="1" applyBorder="1"/>
    <xf numFmtId="3" fontId="21" fillId="0" borderId="35" xfId="6" applyNumberFormat="1" applyFont="1" applyBorder="1" applyAlignment="1">
      <alignment horizontal="center"/>
    </xf>
    <xf numFmtId="0" fontId="21" fillId="0" borderId="34" xfId="7" applyFont="1" applyFill="1" applyBorder="1" applyAlignment="1">
      <alignment vertical="center"/>
    </xf>
    <xf numFmtId="3" fontId="21" fillId="0" borderId="35" xfId="6" applyNumberFormat="1" applyFont="1" applyBorder="1" applyAlignment="1">
      <alignment vertical="center"/>
    </xf>
    <xf numFmtId="0" fontId="19" fillId="0" borderId="0" xfId="7"/>
    <xf numFmtId="0" fontId="35" fillId="0" borderId="34" xfId="6" applyFont="1" applyFill="1" applyBorder="1" applyAlignment="1">
      <alignment vertical="center"/>
    </xf>
    <xf numFmtId="0" fontId="32" fillId="0" borderId="34" xfId="6" applyFont="1" applyFill="1" applyBorder="1" applyAlignment="1">
      <alignment vertical="center"/>
    </xf>
    <xf numFmtId="3" fontId="21" fillId="0" borderId="45" xfId="6" applyNumberFormat="1" applyFont="1" applyBorder="1" applyAlignment="1">
      <alignment horizontal="center"/>
    </xf>
    <xf numFmtId="0" fontId="21" fillId="0" borderId="46" xfId="6" applyFont="1" applyBorder="1"/>
    <xf numFmtId="0" fontId="19" fillId="0" borderId="15" xfId="6" applyBorder="1" applyAlignment="1">
      <alignment horizontal="center"/>
    </xf>
    <xf numFmtId="0" fontId="21" fillId="0" borderId="16" xfId="6" applyFont="1" applyBorder="1" applyAlignment="1">
      <alignment horizontal="center"/>
    </xf>
    <xf numFmtId="14" fontId="21" fillId="0" borderId="47" xfId="6" applyNumberFormat="1" applyFont="1" applyBorder="1" applyAlignment="1">
      <alignment horizontal="center" vertical="center"/>
    </xf>
    <xf numFmtId="166" fontId="23" fillId="3" borderId="15" xfId="6" applyNumberFormat="1" applyFont="1" applyFill="1" applyBorder="1"/>
    <xf numFmtId="0" fontId="21" fillId="0" borderId="48" xfId="6" applyFont="1" applyBorder="1"/>
    <xf numFmtId="170" fontId="21" fillId="0" borderId="49" xfId="6" applyNumberFormat="1" applyFont="1" applyBorder="1"/>
    <xf numFmtId="170" fontId="21" fillId="0" borderId="5" xfId="6" applyNumberFormat="1" applyFont="1" applyBorder="1" applyAlignment="1">
      <alignment vertical="center"/>
    </xf>
    <xf numFmtId="0" fontId="33" fillId="0" borderId="32" xfId="6" applyFont="1" applyBorder="1"/>
    <xf numFmtId="170" fontId="32" fillId="0" borderId="38" xfId="6" applyNumberFormat="1" applyFont="1" applyBorder="1" applyAlignment="1">
      <alignment vertical="center"/>
    </xf>
    <xf numFmtId="170" fontId="21" fillId="0" borderId="38" xfId="6" applyNumberFormat="1" applyFont="1" applyBorder="1" applyAlignment="1">
      <alignment vertical="center"/>
    </xf>
    <xf numFmtId="0" fontId="21" fillId="0" borderId="38" xfId="6" applyFont="1" applyBorder="1" applyAlignment="1">
      <alignment horizontal="center"/>
    </xf>
    <xf numFmtId="0" fontId="21" fillId="0" borderId="38" xfId="6" applyFont="1" applyBorder="1"/>
    <xf numFmtId="0" fontId="21" fillId="0" borderId="50" xfId="6" applyFont="1" applyBorder="1"/>
    <xf numFmtId="166" fontId="22" fillId="0" borderId="16" xfId="7" applyNumberFormat="1" applyFont="1" applyBorder="1"/>
    <xf numFmtId="166" fontId="22" fillId="0" borderId="51" xfId="7" applyNumberFormat="1" applyFont="1" applyBorder="1"/>
    <xf numFmtId="0" fontId="5" fillId="0" borderId="3" xfId="0" applyFont="1" applyBorder="1" applyAlignment="1">
      <alignment horizontal="center" wrapText="1"/>
    </xf>
    <xf numFmtId="0" fontId="5" fillId="0" borderId="4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3" fontId="5" fillId="0" borderId="7" xfId="0" applyNumberFormat="1" applyFont="1" applyBorder="1"/>
    <xf numFmtId="3" fontId="5" fillId="0" borderId="15" xfId="0" applyNumberFormat="1" applyFont="1" applyBorder="1"/>
    <xf numFmtId="3" fontId="5" fillId="0" borderId="17" xfId="0" applyNumberFormat="1" applyFont="1" applyBorder="1"/>
    <xf numFmtId="3" fontId="5" fillId="0" borderId="3" xfId="0" applyNumberFormat="1" applyFont="1" applyBorder="1"/>
    <xf numFmtId="3" fontId="5" fillId="0" borderId="4" xfId="0" applyNumberFormat="1" applyFont="1" applyBorder="1"/>
    <xf numFmtId="3" fontId="5" fillId="0" borderId="11" xfId="0" applyNumberFormat="1" applyFont="1" applyBorder="1"/>
    <xf numFmtId="0" fontId="32" fillId="0" borderId="34" xfId="6" applyFont="1" applyBorder="1"/>
    <xf numFmtId="0" fontId="3" fillId="0" borderId="15" xfId="0" applyFont="1" applyBorder="1"/>
    <xf numFmtId="164" fontId="3" fillId="0" borderId="15" xfId="0" applyNumberFormat="1" applyFont="1" applyBorder="1"/>
    <xf numFmtId="10" fontId="3" fillId="0" borderId="15" xfId="0" applyNumberFormat="1" applyFont="1" applyBorder="1"/>
    <xf numFmtId="0" fontId="3" fillId="0" borderId="15" xfId="0" applyFont="1" applyFill="1" applyBorder="1"/>
    <xf numFmtId="164" fontId="3" fillId="0" borderId="15" xfId="0" applyNumberFormat="1" applyFont="1" applyFill="1" applyBorder="1"/>
    <xf numFmtId="2" fontId="7" fillId="0" borderId="6" xfId="0" applyNumberFormat="1" applyFont="1" applyFill="1" applyBorder="1" applyAlignment="1" applyProtection="1">
      <alignment horizontal="center" vertical="center"/>
    </xf>
    <xf numFmtId="0" fontId="38" fillId="0" borderId="33" xfId="6" applyFont="1" applyBorder="1"/>
    <xf numFmtId="0" fontId="38" fillId="0" borderId="39" xfId="6" applyFont="1" applyBorder="1"/>
    <xf numFmtId="1" fontId="3" fillId="0" borderId="15" xfId="0" applyNumberFormat="1" applyFont="1" applyBorder="1"/>
    <xf numFmtId="0" fontId="3" fillId="0" borderId="0" xfId="0" applyFont="1" applyBorder="1" applyAlignment="1"/>
    <xf numFmtId="2" fontId="3" fillId="6" borderId="52" xfId="0" applyNumberFormat="1" applyFont="1" applyFill="1" applyBorder="1"/>
    <xf numFmtId="0" fontId="8" fillId="8" borderId="13" xfId="0" applyNumberFormat="1" applyFont="1" applyFill="1" applyBorder="1" applyAlignment="1" applyProtection="1">
      <alignment horizontal="center" vertical="center"/>
      <protection locked="0"/>
    </xf>
    <xf numFmtId="0" fontId="17" fillId="0" borderId="4" xfId="0" applyFont="1" applyFill="1" applyBorder="1" applyAlignment="1">
      <alignment horizontal="center" wrapText="1"/>
    </xf>
    <xf numFmtId="0" fontId="17" fillId="0" borderId="4" xfId="0" applyFont="1" applyFill="1" applyBorder="1" applyAlignment="1">
      <alignment horizontal="center" vertical="center" wrapText="1"/>
    </xf>
    <xf numFmtId="164" fontId="3" fillId="5" borderId="15" xfId="0" applyNumberFormat="1" applyFont="1" applyFill="1" applyBorder="1"/>
    <xf numFmtId="2" fontId="3" fillId="6" borderId="15" xfId="0" applyNumberFormat="1" applyFont="1" applyFill="1" applyBorder="1"/>
    <xf numFmtId="2" fontId="0" fillId="6" borderId="7" xfId="0" applyNumberFormat="1" applyFill="1" applyBorder="1"/>
    <xf numFmtId="0" fontId="39" fillId="4" borderId="7" xfId="0" applyFont="1" applyFill="1" applyBorder="1"/>
    <xf numFmtId="10" fontId="39" fillId="4" borderId="7" xfId="0" applyNumberFormat="1" applyFont="1" applyFill="1" applyBorder="1"/>
    <xf numFmtId="0" fontId="39" fillId="4" borderId="15" xfId="0" applyFont="1" applyFill="1" applyBorder="1"/>
    <xf numFmtId="10" fontId="39" fillId="4" borderId="15" xfId="0" applyNumberFormat="1" applyFont="1" applyFill="1" applyBorder="1"/>
    <xf numFmtId="0" fontId="39" fillId="0" borderId="17" xfId="0" applyFont="1" applyBorder="1"/>
    <xf numFmtId="0" fontId="39" fillId="0" borderId="15" xfId="0" applyFont="1" applyBorder="1"/>
    <xf numFmtId="0" fontId="39" fillId="0" borderId="0" xfId="0" applyFont="1"/>
    <xf numFmtId="3" fontId="39" fillId="0" borderId="50" xfId="0" applyNumberFormat="1" applyFont="1" applyBorder="1"/>
    <xf numFmtId="3" fontId="39" fillId="0" borderId="15" xfId="0" applyNumberFormat="1" applyFont="1" applyBorder="1"/>
    <xf numFmtId="10" fontId="39" fillId="0" borderId="15" xfId="0" applyNumberFormat="1" applyFont="1" applyBorder="1"/>
    <xf numFmtId="1" fontId="3" fillId="7" borderId="9" xfId="0" applyNumberFormat="1" applyFont="1" applyFill="1" applyBorder="1"/>
    <xf numFmtId="1" fontId="0" fillId="7" borderId="9" xfId="0" applyNumberFormat="1" applyFill="1" applyBorder="1"/>
    <xf numFmtId="0" fontId="39" fillId="4" borderId="15" xfId="0" applyNumberFormat="1" applyFont="1" applyFill="1" applyBorder="1"/>
    <xf numFmtId="2" fontId="0" fillId="0" borderId="0" xfId="0" applyNumberFormat="1"/>
    <xf numFmtId="2" fontId="7" fillId="4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16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0" borderId="50" xfId="0" applyBorder="1" applyAlignment="1">
      <alignment vertical="center"/>
    </xf>
    <xf numFmtId="3" fontId="0" fillId="0" borderId="15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15" xfId="0" applyBorder="1" applyAlignment="1">
      <alignment vertical="center"/>
    </xf>
    <xf numFmtId="0" fontId="0" fillId="4" borderId="0" xfId="0" applyFill="1" applyAlignment="1">
      <alignment vertical="center"/>
    </xf>
    <xf numFmtId="0" fontId="3" fillId="0" borderId="16" xfId="0" applyFont="1" applyBorder="1" applyAlignment="1"/>
    <xf numFmtId="0" fontId="3" fillId="0" borderId="48" xfId="0" applyFont="1" applyBorder="1" applyAlignment="1"/>
    <xf numFmtId="0" fontId="3" fillId="0" borderId="50" xfId="0" applyFont="1" applyBorder="1"/>
    <xf numFmtId="2" fontId="0" fillId="0" borderId="15" xfId="0" applyNumberFormat="1" applyBorder="1" applyAlignment="1">
      <alignment vertical="center"/>
    </xf>
    <xf numFmtId="164" fontId="0" fillId="0" borderId="15" xfId="0" applyNumberFormat="1" applyBorder="1" applyAlignment="1">
      <alignment vertical="center"/>
    </xf>
    <xf numFmtId="0" fontId="0" fillId="0" borderId="0" xfId="0" applyFill="1" applyAlignment="1">
      <alignment vertical="center"/>
    </xf>
    <xf numFmtId="0" fontId="14" fillId="0" borderId="0" xfId="0" applyFont="1"/>
    <xf numFmtId="2" fontId="3" fillId="6" borderId="15" xfId="0" applyNumberFormat="1" applyFont="1" applyFill="1" applyBorder="1"/>
    <xf numFmtId="1" fontId="3" fillId="7" borderId="9" xfId="0" applyNumberFormat="1" applyFont="1" applyFill="1" applyBorder="1"/>
    <xf numFmtId="0" fontId="40" fillId="9" borderId="15" xfId="2" applyFont="1" applyFill="1" applyBorder="1" applyAlignment="1">
      <alignment horizontal="center" vertical="center"/>
    </xf>
    <xf numFmtId="0" fontId="40" fillId="9" borderId="17" xfId="2" applyFont="1" applyFill="1" applyBorder="1" applyAlignment="1">
      <alignment horizontal="center" vertical="center"/>
    </xf>
    <xf numFmtId="0" fontId="39" fillId="0" borderId="0" xfId="2" applyFont="1"/>
    <xf numFmtId="0" fontId="39" fillId="10" borderId="15" xfId="2" applyFont="1" applyFill="1" applyBorder="1" applyAlignment="1">
      <alignment horizontal="center"/>
    </xf>
    <xf numFmtId="0" fontId="39" fillId="8" borderId="15" xfId="2" applyNumberFormat="1" applyFont="1" applyFill="1" applyBorder="1" applyAlignment="1">
      <alignment horizontal="center"/>
    </xf>
    <xf numFmtId="3" fontId="39" fillId="0" borderId="50" xfId="2" applyNumberFormat="1" applyFont="1" applyBorder="1" applyAlignment="1">
      <alignment horizontal="center"/>
    </xf>
    <xf numFmtId="0" fontId="39" fillId="0" borderId="15" xfId="2" applyFont="1" applyBorder="1" applyAlignment="1">
      <alignment horizontal="center"/>
    </xf>
    <xf numFmtId="3" fontId="39" fillId="0" borderId="15" xfId="2" applyNumberFormat="1" applyFont="1" applyBorder="1" applyAlignment="1">
      <alignment horizontal="center"/>
    </xf>
    <xf numFmtId="0" fontId="39" fillId="0" borderId="0" xfId="2" applyFont="1" applyAlignment="1">
      <alignment horizontal="center"/>
    </xf>
    <xf numFmtId="0" fontId="39" fillId="4" borderId="15" xfId="2" applyFont="1" applyFill="1" applyBorder="1" applyAlignment="1">
      <alignment horizontal="center"/>
    </xf>
    <xf numFmtId="169" fontId="3" fillId="0" borderId="7" xfId="4" applyNumberFormat="1" applyFont="1" applyFill="1" applyBorder="1" applyAlignment="1" applyProtection="1">
      <alignment vertical="center"/>
      <protection locked="0"/>
    </xf>
    <xf numFmtId="0" fontId="41" fillId="8" borderId="15" xfId="0" applyFont="1" applyFill="1" applyBorder="1"/>
    <xf numFmtId="0" fontId="29" fillId="0" borderId="0" xfId="0" applyFont="1"/>
    <xf numFmtId="0" fontId="29" fillId="0" borderId="0" xfId="0" applyFont="1" applyAlignment="1">
      <alignment vertical="center"/>
    </xf>
    <xf numFmtId="0" fontId="39" fillId="8" borderId="15" xfId="2" applyFont="1" applyFill="1" applyBorder="1" applyAlignment="1">
      <alignment horizontal="center"/>
    </xf>
    <xf numFmtId="0" fontId="7" fillId="4" borderId="54" xfId="0" applyNumberFormat="1" applyFont="1" applyFill="1" applyBorder="1" applyAlignment="1" applyProtection="1">
      <alignment horizontal="center" vertical="center" wrapText="1"/>
      <protection locked="0"/>
    </xf>
    <xf numFmtId="38" fontId="17" fillId="0" borderId="19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38" fontId="17" fillId="4" borderId="13" xfId="1" applyFont="1" applyFill="1" applyBorder="1" applyAlignment="1">
      <alignment horizontal="center"/>
    </xf>
    <xf numFmtId="38" fontId="17" fillId="4" borderId="1" xfId="1" applyFont="1" applyFill="1" applyBorder="1" applyAlignment="1">
      <alignment horizontal="center"/>
    </xf>
    <xf numFmtId="38" fontId="17" fillId="4" borderId="13" xfId="1" applyFont="1" applyFill="1" applyBorder="1" applyAlignment="1">
      <alignment horizontal="center" vertical="center"/>
    </xf>
    <xf numFmtId="10" fontId="7" fillId="11" borderId="6" xfId="4" applyNumberFormat="1" applyFont="1" applyFill="1" applyBorder="1" applyAlignment="1" applyProtection="1">
      <alignment horizontal="center" vertical="center"/>
    </xf>
    <xf numFmtId="165" fontId="4" fillId="0" borderId="0" xfId="0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/>
    </xf>
    <xf numFmtId="165" fontId="3" fillId="0" borderId="0" xfId="0" applyNumberFormat="1" applyFont="1" applyAlignment="1">
      <alignment horizontal="center"/>
    </xf>
    <xf numFmtId="165" fontId="3" fillId="12" borderId="7" xfId="0" applyNumberFormat="1" applyFont="1" applyFill="1" applyBorder="1" applyAlignment="1" applyProtection="1">
      <alignment horizontal="center" vertical="center"/>
      <protection locked="0"/>
    </xf>
    <xf numFmtId="165" fontId="7" fillId="12" borderId="4" xfId="0" applyNumberFormat="1" applyFont="1" applyFill="1" applyBorder="1" applyAlignment="1" applyProtection="1">
      <alignment horizontal="center" vertical="center" wrapText="1"/>
    </xf>
    <xf numFmtId="0" fontId="40" fillId="9" borderId="15" xfId="2" applyFont="1" applyFill="1" applyBorder="1" applyAlignment="1">
      <alignment horizontal="center" vertical="center" wrapText="1"/>
    </xf>
    <xf numFmtId="0" fontId="40" fillId="9" borderId="17" xfId="2" applyFont="1" applyFill="1" applyBorder="1" applyAlignment="1">
      <alignment horizontal="center" vertical="center" wrapText="1"/>
    </xf>
    <xf numFmtId="0" fontId="42" fillId="0" borderId="15" xfId="2" applyFont="1" applyBorder="1" applyAlignment="1">
      <alignment horizontal="center" vertical="center"/>
    </xf>
    <xf numFmtId="3" fontId="42" fillId="0" borderId="15" xfId="2" applyNumberFormat="1" applyFont="1" applyBorder="1" applyAlignment="1">
      <alignment horizontal="center" vertical="center"/>
    </xf>
    <xf numFmtId="0" fontId="39" fillId="0" borderId="55" xfId="2" applyFont="1" applyBorder="1" applyAlignment="1">
      <alignment horizontal="center"/>
    </xf>
    <xf numFmtId="0" fontId="40" fillId="9" borderId="56" xfId="2" applyFont="1" applyFill="1" applyBorder="1" applyAlignment="1">
      <alignment horizontal="center" vertical="center" wrapText="1"/>
    </xf>
    <xf numFmtId="0" fontId="40" fillId="9" borderId="57" xfId="2" applyFont="1" applyFill="1" applyBorder="1" applyAlignment="1">
      <alignment horizontal="center" vertical="center"/>
    </xf>
    <xf numFmtId="2" fontId="42" fillId="4" borderId="9" xfId="2" applyNumberFormat="1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3" fontId="42" fillId="0" borderId="17" xfId="2" applyNumberFormat="1" applyFont="1" applyBorder="1" applyAlignment="1">
      <alignment horizontal="center" vertical="center"/>
    </xf>
    <xf numFmtId="2" fontId="42" fillId="4" borderId="10" xfId="2" applyNumberFormat="1" applyFont="1" applyFill="1" applyBorder="1" applyAlignment="1">
      <alignment horizontal="center" vertical="center"/>
    </xf>
    <xf numFmtId="0" fontId="39" fillId="0" borderId="3" xfId="2" applyFont="1" applyBorder="1" applyAlignment="1">
      <alignment horizontal="center" vertical="center"/>
    </xf>
    <xf numFmtId="0" fontId="42" fillId="0" borderId="4" xfId="2" applyFont="1" applyBorder="1" applyAlignment="1">
      <alignment horizontal="center" vertical="center"/>
    </xf>
    <xf numFmtId="3" fontId="42" fillId="0" borderId="4" xfId="2" applyNumberFormat="1" applyFont="1" applyBorder="1" applyAlignment="1">
      <alignment horizontal="center" vertical="center"/>
    </xf>
    <xf numFmtId="2" fontId="42" fillId="13" borderId="11" xfId="2" applyNumberFormat="1" applyFont="1" applyFill="1" applyBorder="1" applyAlignment="1">
      <alignment horizontal="center" vertical="center"/>
    </xf>
    <xf numFmtId="38" fontId="17" fillId="14" borderId="15" xfId="1" applyFont="1" applyFill="1" applyBorder="1" applyAlignment="1">
      <alignment horizontal="center"/>
    </xf>
    <xf numFmtId="38" fontId="17" fillId="8" borderId="15" xfId="0" applyNumberFormat="1" applyFont="1" applyFill="1" applyBorder="1" applyAlignment="1">
      <alignment horizontal="center"/>
    </xf>
    <xf numFmtId="0" fontId="7" fillId="8" borderId="15" xfId="0" applyNumberFormat="1" applyFont="1" applyFill="1" applyBorder="1" applyAlignment="1" applyProtection="1">
      <alignment horizontal="center" vertical="center" wrapText="1"/>
      <protection locked="0"/>
    </xf>
    <xf numFmtId="0" fontId="0" fillId="15" borderId="15" xfId="0" applyFill="1" applyBorder="1" applyAlignment="1">
      <alignment horizontal="center" vertical="center"/>
    </xf>
    <xf numFmtId="0" fontId="0" fillId="15" borderId="15" xfId="0" applyFill="1" applyBorder="1" applyAlignment="1">
      <alignment horizontal="center" vertical="center" wrapText="1"/>
    </xf>
    <xf numFmtId="0" fontId="3" fillId="0" borderId="15" xfId="0" applyFont="1" applyBorder="1" applyAlignment="1">
      <alignment horizontal="center"/>
    </xf>
    <xf numFmtId="0" fontId="3" fillId="13" borderId="15" xfId="0" applyFont="1" applyFill="1" applyBorder="1" applyAlignment="1">
      <alignment horizontal="center"/>
    </xf>
    <xf numFmtId="0" fontId="31" fillId="0" borderId="15" xfId="0" applyFont="1" applyBorder="1" applyAlignment="1">
      <alignment horizontal="center"/>
    </xf>
    <xf numFmtId="2" fontId="39" fillId="10" borderId="15" xfId="4" applyNumberFormat="1" applyFont="1" applyFill="1" applyBorder="1" applyAlignment="1">
      <alignment horizontal="center"/>
    </xf>
    <xf numFmtId="2" fontId="39" fillId="4" borderId="15" xfId="4" applyNumberFormat="1" applyFont="1" applyFill="1" applyBorder="1" applyAlignment="1">
      <alignment horizontal="center"/>
    </xf>
    <xf numFmtId="0" fontId="3" fillId="0" borderId="15" xfId="0" applyFont="1" applyBorder="1" applyAlignment="1">
      <alignment horizontal="center" wrapText="1"/>
    </xf>
    <xf numFmtId="0" fontId="3" fillId="4" borderId="0" xfId="0" applyFont="1" applyFill="1" applyAlignment="1">
      <alignment horizontal="center"/>
    </xf>
    <xf numFmtId="0" fontId="44" fillId="0" borderId="1" xfId="0" applyNumberFormat="1" applyFont="1" applyBorder="1" applyAlignment="1">
      <alignment horizontal="center" wrapText="1"/>
    </xf>
    <xf numFmtId="0" fontId="44" fillId="0" borderId="1" xfId="0" applyNumberFormat="1" applyFont="1" applyBorder="1" applyAlignment="1">
      <alignment horizontal="center"/>
    </xf>
    <xf numFmtId="0" fontId="44" fillId="0" borderId="53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21" fillId="0" borderId="58" xfId="6" applyFont="1" applyBorder="1" applyAlignment="1">
      <alignment horizontal="center"/>
    </xf>
    <xf numFmtId="0" fontId="21" fillId="0" borderId="59" xfId="6" applyFont="1" applyBorder="1" applyAlignment="1">
      <alignment horizontal="center"/>
    </xf>
    <xf numFmtId="0" fontId="21" fillId="0" borderId="23" xfId="6" applyFont="1" applyBorder="1" applyAlignment="1">
      <alignment horizontal="center"/>
    </xf>
    <xf numFmtId="0" fontId="21" fillId="0" borderId="26" xfId="6" applyFont="1" applyBorder="1" applyAlignment="1">
      <alignment horizontal="center"/>
    </xf>
    <xf numFmtId="0" fontId="21" fillId="3" borderId="15" xfId="6" applyFont="1" applyFill="1" applyBorder="1" applyAlignment="1">
      <alignment horizontal="center"/>
    </xf>
    <xf numFmtId="0" fontId="9" fillId="0" borderId="0" xfId="5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16" fillId="0" borderId="0" xfId="0" applyFont="1" applyAlignment="1"/>
    <xf numFmtId="0" fontId="14" fillId="0" borderId="0" xfId="0" applyFont="1" applyAlignment="1">
      <alignment horizontal="left"/>
    </xf>
    <xf numFmtId="0" fontId="14" fillId="0" borderId="0" xfId="0" applyFont="1" applyAlignment="1"/>
    <xf numFmtId="0" fontId="18" fillId="0" borderId="17" xfId="0" applyFont="1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4" fillId="0" borderId="17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 vertical="top"/>
    </xf>
    <xf numFmtId="0" fontId="7" fillId="2" borderId="0" xfId="0" applyFont="1" applyFill="1" applyBorder="1" applyAlignment="1">
      <alignment horizontal="center" wrapText="1"/>
    </xf>
    <xf numFmtId="0" fontId="0" fillId="0" borderId="60" xfId="0" applyBorder="1" applyAlignment="1">
      <alignment wrapText="1"/>
    </xf>
    <xf numFmtId="0" fontId="28" fillId="0" borderId="60" xfId="0" applyNumberFormat="1" applyFont="1" applyFill="1" applyBorder="1" applyAlignment="1" applyProtection="1">
      <alignment horizontal="center" vertical="center"/>
      <protection locked="0"/>
    </xf>
    <xf numFmtId="0" fontId="29" fillId="0" borderId="17" xfId="0" applyFont="1" applyFill="1" applyBorder="1" applyAlignment="1">
      <alignment horizontal="center"/>
    </xf>
    <xf numFmtId="0" fontId="43" fillId="0" borderId="15" xfId="2" applyFont="1" applyBorder="1" applyAlignment="1">
      <alignment horizontal="center" vertical="center"/>
    </xf>
    <xf numFmtId="0" fontId="39" fillId="0" borderId="1" xfId="2" applyFont="1" applyBorder="1" applyAlignment="1">
      <alignment horizontal="center" vertical="center" wrapText="1"/>
    </xf>
    <xf numFmtId="0" fontId="39" fillId="0" borderId="2" xfId="2" applyFont="1" applyBorder="1" applyAlignment="1">
      <alignment horizontal="center" vertical="center" wrapText="1"/>
    </xf>
    <xf numFmtId="0" fontId="39" fillId="0" borderId="19" xfId="2" applyFont="1" applyBorder="1" applyAlignment="1">
      <alignment horizontal="center" vertical="center"/>
    </xf>
    <xf numFmtId="0" fontId="39" fillId="0" borderId="20" xfId="2" applyFont="1" applyBorder="1" applyAlignment="1">
      <alignment horizontal="center" vertical="center"/>
    </xf>
    <xf numFmtId="0" fontId="39" fillId="0" borderId="21" xfId="2" applyFont="1" applyBorder="1" applyAlignment="1">
      <alignment horizontal="center" vertical="center"/>
    </xf>
  </cellXfs>
  <cellStyles count="8">
    <cellStyle name="Comma [0]" xfId="1" builtinId="6"/>
    <cellStyle name="Normal" xfId="0" builtinId="0"/>
    <cellStyle name="Normal 2" xfId="2" xr:uid="{00000000-0005-0000-0000-000002000000}"/>
    <cellStyle name="Normal 2 2" xfId="3" xr:uid="{00000000-0005-0000-0000-000003000000}"/>
    <cellStyle name="Percent" xfId="4" builtinId="5"/>
    <cellStyle name="標準_☆★ＴＴＳＣＡ生産グラフ２００６・６ (2)" xfId="5" xr:uid="{00000000-0005-0000-0000-000005000000}"/>
    <cellStyle name="標準_TTSAP BL（2010年08月度） (10)" xfId="6" xr:uid="{00000000-0005-0000-0000-000006000000}"/>
    <cellStyle name="標準_TTSAP BL（2010年08月度） (10) 2" xfId="7" xr:uid="{00000000-0005-0000-0000-000007000000}"/>
  </cellStyles>
  <dxfs count="14">
    <dxf>
      <font>
        <condense val="0"/>
        <extend val="0"/>
        <color indexed="8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8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8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8"/>
      </font>
    </dxf>
    <dxf>
      <font>
        <b/>
        <i val="0"/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925331864381144E-2"/>
          <c:y val="4.9668874172185427E-2"/>
          <c:w val="0.9173553719008265"/>
          <c:h val="0.85761589403973515"/>
        </c:manualLayout>
      </c:layout>
      <c:lineChart>
        <c:grouping val="standard"/>
        <c:varyColors val="0"/>
        <c:ser>
          <c:idx val="2"/>
          <c:order val="0"/>
          <c:tx>
            <c:strRef>
              <c:f>Data!$D$3</c:f>
              <c:strCache>
                <c:ptCount val="1"/>
                <c:pt idx="0">
                  <c:v>Scheduled Cumulative total Process weight/Day（ｔ）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6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0.19204389574759956"/>
                  <c:y val="-6.47720359458379E-2"/>
                </c:manualLayout>
              </c:layout>
              <c:numFmt formatCode="#,##0" sourceLinked="0"/>
              <c:spPr/>
              <c:txPr>
                <a:bodyPr/>
                <a:lstStyle/>
                <a:p>
                  <a:pPr>
                    <a:defRPr sz="1200" b="1">
                      <a:solidFill>
                        <a:srgbClr val="0000FF"/>
                      </a:solidFill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B9-411C-B458-45BCFDEE42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Data!$D$4:$D$34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B9-411C-B458-45BCFDEE4270}"/>
            </c:ext>
          </c:extLst>
        </c:ser>
        <c:ser>
          <c:idx val="1"/>
          <c:order val="1"/>
          <c:tx>
            <c:strRef>
              <c:f>Data!$G$3</c:f>
              <c:strCache>
                <c:ptCount val="1"/>
                <c:pt idx="0">
                  <c:v>Actual Cumulative total Process weight/Day（ｔ）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6.676441679357982E-2"/>
                  <c:y val="9.5091689697728188E-2"/>
                </c:manualLayout>
              </c:layout>
              <c:numFmt formatCode="#,##0_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FF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FB9-411C-B458-45BCFDEE42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Data!$G$4:$G$34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B9-411C-B458-45BCFDEE4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528079"/>
        <c:axId val="1"/>
      </c:lineChart>
      <c:catAx>
        <c:axId val="1326528079"/>
        <c:scaling>
          <c:orientation val="minMax"/>
        </c:scaling>
        <c:delete val="0"/>
        <c:axPos val="b"/>
        <c:numFmt formatCode="0_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0"/>
        <c:auto val="1"/>
        <c:lblAlgn val="ctr"/>
        <c:lblOffset val="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en-US"/>
          </a:p>
        </c:txPr>
        <c:crossAx val="1326528079"/>
        <c:crosses val="autoZero"/>
        <c:crossBetween val="between"/>
        <c:minorUnit val="200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0889904194074496E-2"/>
          <c:y val="5.1876379690949229E-2"/>
          <c:w val="0.32377650324573626"/>
          <c:h val="0.187637969094922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paperSize="8"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818181818181816E-2"/>
          <c:y val="6.4377682403433473E-2"/>
          <c:w val="0.93595041322314054"/>
          <c:h val="0.798283261802575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Data!$AC$3</c:f>
              <c:strCache>
                <c:ptCount val="1"/>
                <c:pt idx="0">
                  <c:v>Actual Ton per hour T/Hr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7.7086047697275248E-3"/>
                  <c:y val="1.144492131616595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D0-459E-91D6-FADBAD92A41F}"/>
                </c:ext>
              </c:extLst>
            </c:dLbl>
            <c:dLbl>
              <c:idx val="1"/>
              <c:layout>
                <c:manualLayout>
                  <c:x val="-4.1109969167523125E-3"/>
                  <c:y val="1.249388890766336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AD0-459E-91D6-FADBAD92A41F}"/>
                </c:ext>
              </c:extLst>
            </c:dLbl>
            <c:dLbl>
              <c:idx val="2"/>
              <c:layout>
                <c:manualLayout>
                  <c:x val="4.1108890165707703E-3"/>
                  <c:y val="5.7220100706295964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D0-459E-91D6-FADBAD92A41F}"/>
                </c:ext>
              </c:extLst>
            </c:dLbl>
            <c:dLbl>
              <c:idx val="3"/>
              <c:layout>
                <c:manualLayout>
                  <c:x val="5.4813292223364167E-3"/>
                  <c:y val="-2.861230329041487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D0-459E-91D6-FADBAD92A41F}"/>
                </c:ext>
              </c:extLst>
            </c:dLbl>
            <c:dLbl>
              <c:idx val="4"/>
              <c:layout>
                <c:manualLayout>
                  <c:x val="1.3703323055841042E-3"/>
                  <c:y val="-5.722911245536367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D0-459E-91D6-FADBAD92A41F}"/>
                </c:ext>
              </c:extLst>
            </c:dLbl>
            <c:dLbl>
              <c:idx val="5"/>
              <c:layout>
                <c:manualLayout>
                  <c:x val="1.2332990750256937E-2"/>
                  <c:y val="-5.722460658082975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AD0-459E-91D6-FADBAD92A41F}"/>
                </c:ext>
              </c:extLst>
            </c:dLbl>
            <c:dLbl>
              <c:idx val="6"/>
              <c:layout>
                <c:manualLayout>
                  <c:x val="-4.1109969167523125E-3"/>
                  <c:y val="1.144492131616600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D0-459E-91D6-FADBAD92A41F}"/>
                </c:ext>
              </c:extLst>
            </c:dLbl>
            <c:dLbl>
              <c:idx val="7"/>
              <c:layout>
                <c:manualLayout>
                  <c:x val="8.2219938335046251E-3"/>
                  <c:y val="-4.00572246065808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D0-459E-91D6-FADBAD92A41F}"/>
                </c:ext>
              </c:extLst>
            </c:dLbl>
            <c:dLbl>
              <c:idx val="8"/>
              <c:layout>
                <c:manualLayout>
                  <c:x val="-2.7406646111682587E-3"/>
                  <c:y val="-3.433476394849785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D0-459E-91D6-FADBAD92A41F}"/>
                </c:ext>
              </c:extLst>
            </c:dLbl>
            <c:dLbl>
              <c:idx val="9"/>
              <c:layout>
                <c:manualLayout>
                  <c:x val="0"/>
                  <c:y val="1.71673819742489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AD0-459E-91D6-FADBAD92A41F}"/>
                </c:ext>
              </c:extLst>
            </c:dLbl>
            <c:dLbl>
              <c:idx val="10"/>
              <c:layout>
                <c:manualLayout>
                  <c:x val="1.3703323055840539E-3"/>
                  <c:y val="-1.144492131616595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D0-459E-91D6-FADBAD92A41F}"/>
                </c:ext>
              </c:extLst>
            </c:dLbl>
            <c:dLbl>
              <c:idx val="11"/>
              <c:layout>
                <c:manualLayout>
                  <c:x val="0"/>
                  <c:y val="-2.288984263233185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D0-459E-91D6-FADBAD92A41F}"/>
                </c:ext>
              </c:extLst>
            </c:dLbl>
            <c:dLbl>
              <c:idx val="12"/>
              <c:layout>
                <c:manualLayout>
                  <c:x val="0"/>
                  <c:y val="3.433476394849785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D0-459E-91D6-FADBAD92A41F}"/>
                </c:ext>
              </c:extLst>
            </c:dLbl>
            <c:dLbl>
              <c:idx val="13"/>
              <c:layout>
                <c:manualLayout>
                  <c:x val="2.7406646111682084E-3"/>
                  <c:y val="3.433476394849785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AD0-459E-91D6-FADBAD92A41F}"/>
                </c:ext>
              </c:extLst>
            </c:dLbl>
            <c:dLbl>
              <c:idx val="15"/>
              <c:layout>
                <c:manualLayout>
                  <c:x val="2.7406646111682084E-3"/>
                  <c:y val="-9.15593705293276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AD0-459E-91D6-FADBAD92A41F}"/>
                </c:ext>
              </c:extLst>
            </c:dLbl>
            <c:dLbl>
              <c:idx val="16"/>
              <c:layout>
                <c:manualLayout>
                  <c:x val="1.3703323055841042E-3"/>
                  <c:y val="0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AD0-459E-91D6-FADBAD92A41F}"/>
                </c:ext>
              </c:extLst>
            </c:dLbl>
            <c:dLbl>
              <c:idx val="17"/>
              <c:layout>
                <c:manualLayout>
                  <c:x val="0"/>
                  <c:y val="-1.144492131616595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AD0-459E-91D6-FADBAD92A41F}"/>
                </c:ext>
              </c:extLst>
            </c:dLbl>
            <c:dLbl>
              <c:idx val="18"/>
              <c:layout>
                <c:manualLayout>
                  <c:x val="5.4813292223364167E-3"/>
                  <c:y val="-1.144492131616595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AD0-459E-91D6-FADBAD92A41F}"/>
                </c:ext>
              </c:extLst>
            </c:dLbl>
            <c:dLbl>
              <c:idx val="19"/>
              <c:layout>
                <c:manualLayout>
                  <c:x val="9.5923261390887284E-3"/>
                  <c:y val="-2.288984263233190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AD0-459E-91D6-FADBAD92A41F}"/>
                </c:ext>
              </c:extLst>
            </c:dLbl>
            <c:dLbl>
              <c:idx val="20"/>
              <c:layout>
                <c:manualLayout>
                  <c:x val="0"/>
                  <c:y val="2.861230329041487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8AD0-459E-91D6-FADBAD92A41F}"/>
                </c:ext>
              </c:extLst>
            </c:dLbl>
            <c:dLbl>
              <c:idx val="22"/>
              <c:layout>
                <c:manualLayout>
                  <c:x val="-1.3703323055840036E-3"/>
                  <c:y val="5.7224606580829757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AD0-459E-91D6-FADBAD92A41F}"/>
                </c:ext>
              </c:extLst>
            </c:dLbl>
            <c:dLbl>
              <c:idx val="23"/>
              <c:layout>
                <c:manualLayout>
                  <c:x val="1.3703323055842046E-3"/>
                  <c:y val="1.144492131616600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8AD0-459E-91D6-FADBAD92A41F}"/>
                </c:ext>
              </c:extLst>
            </c:dLbl>
            <c:dLbl>
              <c:idx val="24"/>
              <c:layout>
                <c:manualLayout>
                  <c:x val="0"/>
                  <c:y val="-0.10872675250357657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AD0-459E-91D6-FADBAD92A41F}"/>
                </c:ext>
              </c:extLst>
            </c:dLbl>
            <c:dLbl>
              <c:idx val="25"/>
              <c:layout>
                <c:manualLayout>
                  <c:x val="0"/>
                  <c:y val="-1.716738197424892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AD0-459E-91D6-FADBAD92A41F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Data!$AC$4:$AC$34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AD0-459E-91D6-FADBAD92A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26528879"/>
        <c:axId val="1"/>
      </c:barChart>
      <c:lineChart>
        <c:grouping val="standard"/>
        <c:varyColors val="0"/>
        <c:ser>
          <c:idx val="2"/>
          <c:order val="1"/>
          <c:tx>
            <c:strRef>
              <c:f>Data!$AB$3</c:f>
              <c:strCache>
                <c:ptCount val="1"/>
                <c:pt idx="0">
                  <c:v>Target Ton per hourT/Hr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dash"/>
            <c:size val="2"/>
            <c:spPr>
              <a:noFill/>
              <a:ln w="9525">
                <a:noFill/>
              </a:ln>
            </c:spPr>
          </c:marker>
          <c:val>
            <c:numRef>
              <c:f>Data!$AB$4:$AB$34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AD0-459E-91D6-FADBAD92A41F}"/>
            </c:ext>
          </c:extLst>
        </c:ser>
        <c:ser>
          <c:idx val="3"/>
          <c:order val="2"/>
          <c:tx>
            <c:strRef>
              <c:f>Data!$AD$3</c:f>
              <c:strCache>
                <c:ptCount val="1"/>
                <c:pt idx="0">
                  <c:v>Cumulative total Ton per hour T/Hr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8.198234213529064E-2"/>
                  <c:y val="-0.15214175481283723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AD0-459E-91D6-FADBAD92A4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Data!$AD$4:$AD$34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AD0-459E-91D6-FADBAD92A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528879"/>
        <c:axId val="1"/>
      </c:lineChart>
      <c:catAx>
        <c:axId val="1326528879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26528879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6272507303493544E-2"/>
          <c:y val="0.5636623748211731"/>
          <c:w val="0.25606633703161202"/>
          <c:h val="0.2804005722460658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982653402892547E-2"/>
          <c:y val="5.7692307692307696E-2"/>
          <c:w val="0.94528196321138869"/>
          <c:h val="0.819230769230769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Data!$U$3</c:f>
              <c:strCache>
                <c:ptCount val="1"/>
                <c:pt idx="0">
                  <c:v>Actual Number of Stands/Ｈr (GSTPH)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2.8978322154175171E-3"/>
                  <c:y val="-1.5384615384615385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1AF-432C-9824-B7473F89E371}"/>
                </c:ext>
              </c:extLst>
            </c:dLbl>
            <c:dLbl>
              <c:idx val="1"/>
              <c:layout>
                <c:manualLayout>
                  <c:x val="0"/>
                  <c:y val="-4.0379567940973456E-7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1AF-432C-9824-B7473F89E371}"/>
                </c:ext>
              </c:extLst>
            </c:dLbl>
            <c:dLbl>
              <c:idx val="2"/>
              <c:layout>
                <c:manualLayout>
                  <c:x val="6.208483198859527E-4"/>
                  <c:y val="7.6919038966283175E-3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1AF-432C-9824-B7473F89E371}"/>
                </c:ext>
              </c:extLst>
            </c:dLbl>
            <c:dLbl>
              <c:idx val="3"/>
              <c:layout>
                <c:manualLayout>
                  <c:x val="0"/>
                  <c:y val="-5.1286089238845147E-3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1AF-432C-9824-B7473F89E371}"/>
                </c:ext>
              </c:extLst>
            </c:dLbl>
            <c:dLbl>
              <c:idx val="5"/>
              <c:layout>
                <c:manualLayout>
                  <c:x val="0"/>
                  <c:y val="-2.564102564102564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1AF-432C-9824-B7473F89E371}"/>
                </c:ext>
              </c:extLst>
            </c:dLbl>
            <c:dLbl>
              <c:idx val="6"/>
              <c:layout>
                <c:manualLayout>
                  <c:x val="2.7433762137757472E-3"/>
                  <c:y val="-4.6153846153846156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1AF-432C-9824-B7473F89E371}"/>
                </c:ext>
              </c:extLst>
            </c:dLbl>
            <c:dLbl>
              <c:idx val="8"/>
              <c:layout>
                <c:manualLayout>
                  <c:x val="0"/>
                  <c:y val="-6.1538461538461563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1AF-432C-9824-B7473F89E371}"/>
                </c:ext>
              </c:extLst>
            </c:dLbl>
            <c:dLbl>
              <c:idx val="9"/>
              <c:layout>
                <c:manualLayout>
                  <c:x val="-5.0296629760078983E-17"/>
                  <c:y val="-9.2307692307692327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1AF-432C-9824-B7473F89E371}"/>
                </c:ext>
              </c:extLst>
            </c:dLbl>
            <c:dLbl>
              <c:idx val="10"/>
              <c:layout>
                <c:manualLayout>
                  <c:x val="1.3717421124828531E-3"/>
                  <c:y val="-2.0512820512820537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1AF-432C-9824-B7473F89E371}"/>
                </c:ext>
              </c:extLst>
            </c:dLbl>
            <c:dLbl>
              <c:idx val="11"/>
              <c:layout>
                <c:manualLayout>
                  <c:x val="0"/>
                  <c:y val="-1.0256410256410256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1AF-432C-9824-B7473F89E371}"/>
                </c:ext>
              </c:extLst>
            </c:dLbl>
            <c:dLbl>
              <c:idx val="12"/>
              <c:layout>
                <c:manualLayout>
                  <c:x val="-1.0801119000957641E-7"/>
                  <c:y val="-2.564102564102564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1AF-432C-9824-B7473F89E371}"/>
                </c:ext>
              </c:extLst>
            </c:dLbl>
            <c:dLbl>
              <c:idx val="15"/>
              <c:layout>
                <c:manualLayout>
                  <c:x val="0"/>
                  <c:y val="0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1AF-432C-9824-B7473F89E371}"/>
                </c:ext>
              </c:extLst>
            </c:dLbl>
            <c:dLbl>
              <c:idx val="16"/>
              <c:layout>
                <c:manualLayout>
                  <c:x val="0"/>
                  <c:y val="5.1282051282051282E-3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1AF-432C-9824-B7473F89E371}"/>
                </c:ext>
              </c:extLst>
            </c:dLbl>
            <c:dLbl>
              <c:idx val="18"/>
              <c:layout>
                <c:manualLayout>
                  <c:x val="1.3717421124827527E-3"/>
                  <c:y val="-6.6666666666666693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1AF-432C-9824-B7473F89E371}"/>
                </c:ext>
              </c:extLst>
            </c:dLbl>
            <c:dLbl>
              <c:idx val="19"/>
              <c:layout>
                <c:manualLayout>
                  <c:x val="0"/>
                  <c:y val="-1.0256410256410232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1AF-432C-9824-B7473F89E371}"/>
                </c:ext>
              </c:extLst>
            </c:dLbl>
            <c:dLbl>
              <c:idx val="22"/>
              <c:layout>
                <c:manualLayout>
                  <c:x val="0"/>
                  <c:y val="2.564102564102564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1AF-432C-9824-B7473F89E371}"/>
                </c:ext>
              </c:extLst>
            </c:dLbl>
            <c:dLbl>
              <c:idx val="23"/>
              <c:layout>
                <c:manualLayout>
                  <c:x val="0"/>
                  <c:y val="-5.1282051282051308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1AF-432C-9824-B7473F89E371}"/>
                </c:ext>
              </c:extLst>
            </c:dLbl>
            <c:dLbl>
              <c:idx val="24"/>
              <c:layout>
                <c:manualLayout>
                  <c:x val="-1.0059325952015797E-16"/>
                  <c:y val="-2.5641025641025664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1AF-432C-9824-B7473F89E371}"/>
                </c:ext>
              </c:extLst>
            </c:dLbl>
            <c:dLbl>
              <c:idx val="25"/>
              <c:layout>
                <c:manualLayout>
                  <c:x val="0"/>
                  <c:y val="-1.5384615384615385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1AF-432C-9824-B7473F89E371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Data!$U$4:$U$34</c:f>
              <c:numCache>
                <c:formatCode>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1AF-432C-9824-B7473F89E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26530079"/>
        <c:axId val="1"/>
      </c:barChart>
      <c:lineChart>
        <c:grouping val="standard"/>
        <c:varyColors val="0"/>
        <c:ser>
          <c:idx val="2"/>
          <c:order val="1"/>
          <c:tx>
            <c:strRef>
              <c:f>Data!$S$3</c:f>
              <c:strCache>
                <c:ptCount val="1"/>
                <c:pt idx="0">
                  <c:v>Target Number of Stands /Hr</c:v>
                </c:pt>
              </c:strCache>
            </c:strRef>
          </c:tx>
          <c:val>
            <c:numRef>
              <c:f>Data!$S$4:$S$34</c:f>
            </c:numRef>
          </c:val>
          <c:smooth val="0"/>
          <c:extLst>
            <c:ext xmlns:c16="http://schemas.microsoft.com/office/drawing/2014/chart" uri="{C3380CC4-5D6E-409C-BE32-E72D297353CC}">
              <c16:uniqueId val="{00000014-61AF-432C-9824-B7473F89E371}"/>
            </c:ext>
          </c:extLst>
        </c:ser>
        <c:ser>
          <c:idx val="0"/>
          <c:order val="2"/>
          <c:tx>
            <c:strRef>
              <c:f>Data!$V$3</c:f>
              <c:strCache>
                <c:ptCount val="1"/>
                <c:pt idx="0">
                  <c:v>Cumulative total Number of Stands / Hr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3333CC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4.3510903729626391E-2"/>
                  <c:y val="-0.11062669089440744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1AF-432C-9824-B7473F89E37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Data!$V$4:$V$34</c:f>
              <c:numCache>
                <c:formatCode>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1AF-432C-9824-B7473F89E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530079"/>
        <c:axId val="1"/>
      </c:lineChart>
      <c:scatterChart>
        <c:scatterStyle val="lineMarker"/>
        <c:varyColors val="0"/>
        <c:ser>
          <c:idx val="3"/>
          <c:order val="3"/>
          <c:tx>
            <c:strRef>
              <c:f>Data!$T$3</c:f>
              <c:strCache>
                <c:ptCount val="1"/>
                <c:pt idx="0">
                  <c:v>Scheduled No of (GSTPH)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8000"/>
              </a:solidFill>
            </c:spPr>
          </c:marker>
          <c:yVal>
            <c:numRef>
              <c:f>Data!$T$4:$T$34</c:f>
              <c:numCache>
                <c:formatCode>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61AF-432C-9824-B7473F89E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530079"/>
        <c:axId val="1"/>
      </c:scatterChart>
      <c:catAx>
        <c:axId val="1326530079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26530079"/>
        <c:crosses val="autoZero"/>
        <c:crossBetween val="between"/>
        <c:majorUnit val="0.5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108184007863208"/>
          <c:y val="0.49230769230769234"/>
          <c:w val="0.25266236782130624"/>
          <c:h val="0.2324300423985463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936570878280504E-2"/>
          <c:y val="5.3956834532374098E-2"/>
          <c:w val="0.91830449678476478"/>
          <c:h val="0.80575539568345322"/>
        </c:manualLayout>
      </c:layout>
      <c:lineChart>
        <c:grouping val="standard"/>
        <c:varyColors val="0"/>
        <c:ser>
          <c:idx val="1"/>
          <c:order val="0"/>
          <c:tx>
            <c:strRef>
              <c:f>Data!$AR$1</c:f>
              <c:strCache>
                <c:ptCount val="1"/>
                <c:pt idx="0">
                  <c:v>Target Yield ratio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val>
            <c:numRef>
              <c:f>Data!$AR$4:$AR$34</c:f>
              <c:numCache>
                <c:formatCode>0.00"%"</c:formatCode>
                <c:ptCount val="31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  <c:pt idx="12">
                  <c:v>-0.3</c:v>
                </c:pt>
                <c:pt idx="13">
                  <c:v>-0.3</c:v>
                </c:pt>
                <c:pt idx="14">
                  <c:v>-0.3</c:v>
                </c:pt>
                <c:pt idx="15">
                  <c:v>-0.3</c:v>
                </c:pt>
                <c:pt idx="16">
                  <c:v>-0.3</c:v>
                </c:pt>
                <c:pt idx="17">
                  <c:v>-0.3</c:v>
                </c:pt>
                <c:pt idx="18">
                  <c:v>-0.3</c:v>
                </c:pt>
                <c:pt idx="19">
                  <c:v>-0.3</c:v>
                </c:pt>
                <c:pt idx="20">
                  <c:v>-0.3</c:v>
                </c:pt>
                <c:pt idx="21">
                  <c:v>-0.3</c:v>
                </c:pt>
                <c:pt idx="22">
                  <c:v>-0.3</c:v>
                </c:pt>
                <c:pt idx="23">
                  <c:v>-0.3</c:v>
                </c:pt>
                <c:pt idx="24">
                  <c:v>-0.3</c:v>
                </c:pt>
                <c:pt idx="25">
                  <c:v>-0.3</c:v>
                </c:pt>
                <c:pt idx="26">
                  <c:v>-0.3</c:v>
                </c:pt>
                <c:pt idx="27">
                  <c:v>-0.3</c:v>
                </c:pt>
                <c:pt idx="28">
                  <c:v>-0.3</c:v>
                </c:pt>
                <c:pt idx="29">
                  <c:v>-0.3</c:v>
                </c:pt>
                <c:pt idx="30">
                  <c:v>-0.3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556-A1B8-32A004F39912}"/>
            </c:ext>
          </c:extLst>
        </c:ser>
        <c:ser>
          <c:idx val="0"/>
          <c:order val="1"/>
          <c:tx>
            <c:strRef>
              <c:f>Data!$AQ$3</c:f>
              <c:strCache>
                <c:ptCount val="1"/>
                <c:pt idx="0">
                  <c:v>B-A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8.2219938335046251E-3"/>
                  <c:y val="3.357314148681055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C5-4556-A1B8-32A004F39912}"/>
                </c:ext>
              </c:extLst>
            </c:dLbl>
            <c:dLbl>
              <c:idx val="1"/>
              <c:layout>
                <c:manualLayout>
                  <c:x val="-2.7406646111682084E-2"/>
                  <c:y val="3.357276383617515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C5-4556-A1B8-32A004F39912}"/>
                </c:ext>
              </c:extLst>
            </c:dLbl>
            <c:dLbl>
              <c:idx val="2"/>
              <c:layout>
                <c:manualLayout>
                  <c:x val="-7.8839425647333657E-3"/>
                  <c:y val="1.199003002322551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C5-4556-A1B8-32A004F39912}"/>
                </c:ext>
              </c:extLst>
            </c:dLbl>
            <c:dLbl>
              <c:idx val="3"/>
              <c:layout>
                <c:manualLayout>
                  <c:x val="-2.0088532098955256E-2"/>
                  <c:y val="7.913669064748200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C5-4556-A1B8-32A004F39912}"/>
                </c:ext>
              </c:extLst>
            </c:dLbl>
            <c:dLbl>
              <c:idx val="4"/>
              <c:layout>
                <c:manualLayout>
                  <c:x val="-4.3850633778691334E-2"/>
                  <c:y val="1.438848920863309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6C5-4556-A1B8-32A004F39912}"/>
                </c:ext>
              </c:extLst>
            </c:dLbl>
            <c:dLbl>
              <c:idx val="5"/>
              <c:layout>
                <c:manualLayout>
                  <c:x val="-6.8516615279205209E-3"/>
                  <c:y val="9.5923261390887284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C5-4556-A1B8-32A004F39912}"/>
                </c:ext>
              </c:extLst>
            </c:dLbl>
            <c:dLbl>
              <c:idx val="6"/>
              <c:layout>
                <c:manualLayout>
                  <c:x val="-1.2332990750256937E-2"/>
                  <c:y val="-2.398081534772182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C5-4556-A1B8-32A004F39912}"/>
                </c:ext>
              </c:extLst>
            </c:dLbl>
            <c:dLbl>
              <c:idx val="8"/>
              <c:layout>
                <c:manualLayout>
                  <c:x val="-8.2219938335046251E-3"/>
                  <c:y val="-5.755395683453237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C5-4556-A1B8-32A004F39912}"/>
                </c:ext>
              </c:extLst>
            </c:dLbl>
            <c:dLbl>
              <c:idx val="9"/>
              <c:layout>
                <c:manualLayout>
                  <c:x val="-2.4665981500513873E-2"/>
                  <c:y val="3.836930455635491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6C5-4556-A1B8-32A004F39912}"/>
                </c:ext>
              </c:extLst>
            </c:dLbl>
            <c:dLbl>
              <c:idx val="10"/>
              <c:layout>
                <c:manualLayout>
                  <c:x val="-3.1517643028434343E-2"/>
                  <c:y val="-3.836930455635496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C5-4556-A1B8-32A004F39912}"/>
                </c:ext>
              </c:extLst>
            </c:dLbl>
            <c:dLbl>
              <c:idx val="11"/>
              <c:layout>
                <c:manualLayout>
                  <c:x val="-1.5073763261606688E-2"/>
                  <c:y val="-1.438848920863309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C5-4556-A1B8-32A004F39912}"/>
                </c:ext>
              </c:extLst>
            </c:dLbl>
            <c:dLbl>
              <c:idx val="12"/>
              <c:layout>
                <c:manualLayout>
                  <c:x val="-9.5923261390886781E-3"/>
                  <c:y val="3.357314148681055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C5-4556-A1B8-32A004F39912}"/>
                </c:ext>
              </c:extLst>
            </c:dLbl>
            <c:dLbl>
              <c:idx val="13"/>
              <c:layout>
                <c:manualLayout>
                  <c:x val="-8.2219938335046251E-3"/>
                  <c:y val="4.3964320257910766E-17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6C5-4556-A1B8-32A004F39912}"/>
                </c:ext>
              </c:extLst>
            </c:dLbl>
            <c:dLbl>
              <c:idx val="15"/>
              <c:layout>
                <c:manualLayout>
                  <c:x val="-5.4813292223364167E-3"/>
                  <c:y val="0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6C5-4556-A1B8-32A004F39912}"/>
                </c:ext>
              </c:extLst>
            </c:dLbl>
            <c:dLbl>
              <c:idx val="16"/>
              <c:layout>
                <c:manualLayout>
                  <c:x val="-8.2219938335046251E-3"/>
                  <c:y val="-1.438848920863309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6C5-4556-A1B8-32A004F39912}"/>
                </c:ext>
              </c:extLst>
            </c:dLbl>
            <c:dLbl>
              <c:idx val="17"/>
              <c:layout>
                <c:manualLayout>
                  <c:x val="-8.2219938335046251E-3"/>
                  <c:y val="1.438811155799769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6C5-4556-A1B8-32A004F39912}"/>
                </c:ext>
              </c:extLst>
            </c:dLbl>
            <c:dLbl>
              <c:idx val="19"/>
              <c:layout>
                <c:manualLayout>
                  <c:x val="-5.4813292223364167E-3"/>
                  <c:y val="0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6C5-4556-A1B8-32A004F39912}"/>
                </c:ext>
              </c:extLst>
            </c:dLbl>
            <c:dLbl>
              <c:idx val="23"/>
              <c:layout>
                <c:manualLayout>
                  <c:x val="-3.9739636861939022E-2"/>
                  <c:y val="-3.357314148681055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6C5-4556-A1B8-32A004F39912}"/>
                </c:ext>
              </c:extLst>
            </c:dLbl>
            <c:dLbl>
              <c:idx val="24"/>
              <c:layout>
                <c:manualLayout>
                  <c:x val="-2.1925316889345667E-2"/>
                  <c:y val="-3.357314148681055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86C5-4556-A1B8-32A004F39912}"/>
                </c:ext>
              </c:extLst>
            </c:dLbl>
            <c:dLbl>
              <c:idx val="25"/>
              <c:layout>
                <c:manualLayout>
                  <c:x val="-1.2332990750256937E-2"/>
                  <c:y val="3.836930455635491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6C5-4556-A1B8-32A004F39912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Data!$B$4:$B$34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Data!$AQ$4:$AQ$34</c:f>
              <c:numCache>
                <c:formatCode>0.00"%"</c:formatCode>
                <c:ptCount val="31"/>
                <c:pt idx="0" formatCode="0.0&quot;%&quot;">
                  <c:v>0</c:v>
                </c:pt>
                <c:pt idx="1">
                  <c:v>0</c:v>
                </c:pt>
                <c:pt idx="2" formatCode="0.0&quot;%&quot;">
                  <c:v>0</c:v>
                </c:pt>
                <c:pt idx="3" formatCode="0.0&quot;%&quot;">
                  <c:v>0</c:v>
                </c:pt>
                <c:pt idx="4" formatCode="0.0&quot;%&quot;">
                  <c:v>0</c:v>
                </c:pt>
                <c:pt idx="5" formatCode="0.0&quot;%&quot;">
                  <c:v>0</c:v>
                </c:pt>
                <c:pt idx="6" formatCode="0.0&quot;%&quot;">
                  <c:v>0</c:v>
                </c:pt>
                <c:pt idx="7" formatCode="0.0&quot;%&quot;">
                  <c:v>0</c:v>
                </c:pt>
                <c:pt idx="8" formatCode="0.0&quot;%&quot;">
                  <c:v>0</c:v>
                </c:pt>
                <c:pt idx="9" formatCode="0.0&quot;%&quot;">
                  <c:v>0</c:v>
                </c:pt>
                <c:pt idx="10" formatCode="0.0&quot;%&quot;">
                  <c:v>0</c:v>
                </c:pt>
                <c:pt idx="11" formatCode="0.0&quot;%&quot;">
                  <c:v>0</c:v>
                </c:pt>
                <c:pt idx="12" formatCode="0.0&quot;%&quot;">
                  <c:v>0</c:v>
                </c:pt>
                <c:pt idx="13" formatCode="0.0&quot;%&quot;">
                  <c:v>0</c:v>
                </c:pt>
                <c:pt idx="14" formatCode="0.0&quot;%&quot;">
                  <c:v>0</c:v>
                </c:pt>
                <c:pt idx="15" formatCode="0.0&quot;%&quot;">
                  <c:v>0</c:v>
                </c:pt>
                <c:pt idx="16" formatCode="0.0&quot;%&quot;">
                  <c:v>0</c:v>
                </c:pt>
                <c:pt idx="17" formatCode="0.0&quot;%&quot;">
                  <c:v>0</c:v>
                </c:pt>
                <c:pt idx="18" formatCode="0.0&quot;%&quot;">
                  <c:v>0</c:v>
                </c:pt>
                <c:pt idx="19" formatCode="0.0&quot;%&quot;">
                  <c:v>0</c:v>
                </c:pt>
                <c:pt idx="20" formatCode="0.0&quot;%&quot;">
                  <c:v>0</c:v>
                </c:pt>
                <c:pt idx="21" formatCode="0.0&quot;%&quot;">
                  <c:v>0</c:v>
                </c:pt>
                <c:pt idx="22" formatCode="0.0&quot;%&quot;">
                  <c:v>0</c:v>
                </c:pt>
                <c:pt idx="23" formatCode="0.0&quot;%&quot;">
                  <c:v>0</c:v>
                </c:pt>
                <c:pt idx="24" formatCode="0.0&quot;%&quot;">
                  <c:v>0</c:v>
                </c:pt>
                <c:pt idx="25" formatCode="0.0&quot;%&quot;">
                  <c:v>0</c:v>
                </c:pt>
                <c:pt idx="26" formatCode="0.0&quot;%&quot;">
                  <c:v>0</c:v>
                </c:pt>
                <c:pt idx="27" formatCode="0.0&quot;%&quot;">
                  <c:v>0</c:v>
                </c:pt>
                <c:pt idx="28" formatCode="0.0&quot;%&quot;">
                  <c:v>0</c:v>
                </c:pt>
                <c:pt idx="29" formatCode="0.0&quot;%&quot;">
                  <c:v>0</c:v>
                </c:pt>
                <c:pt idx="30" formatCode="0.0&quot;%&quot;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6C5-4556-A1B8-32A004F39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2500271"/>
        <c:axId val="1"/>
      </c:lineChart>
      <c:catAx>
        <c:axId val="138250027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&quot;%&quot;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825002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25913577349594"/>
          <c:y val="0.62041541569893688"/>
          <c:w val="0.14133067898886742"/>
          <c:h val="0.1474820143884891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89656958347836E-2"/>
          <c:y val="4.3352601156069363E-2"/>
          <c:w val="0.90786841261930296"/>
          <c:h val="0.8757237791893108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Data!$E$40</c:f>
              <c:strCache>
                <c:ptCount val="1"/>
                <c:pt idx="0">
                  <c:v>Actual Cumulative total Process weight/Month（ｔ）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Data!$B$41:$B$52</c:f>
              <c:strCache>
                <c:ptCount val="12"/>
                <c:pt idx="0">
                  <c:v>2020 April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2021 Jan</c:v>
                </c:pt>
                <c:pt idx="10">
                  <c:v>Feb</c:v>
                </c:pt>
                <c:pt idx="11">
                  <c:v>Mar</c:v>
                </c:pt>
              </c:strCache>
            </c:strRef>
          </c:cat>
          <c:val>
            <c:numRef>
              <c:f>Data!$E$41:$E$52</c:f>
              <c:numCache>
                <c:formatCode>0</c:formatCode>
                <c:ptCount val="1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7-4C5A-8FB0-45E8F2E36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60"/>
        <c:axId val="1382501071"/>
        <c:axId val="1"/>
      </c:barChart>
      <c:lineChart>
        <c:grouping val="standard"/>
        <c:varyColors val="0"/>
        <c:ser>
          <c:idx val="2"/>
          <c:order val="1"/>
          <c:tx>
            <c:strRef>
              <c:f>Data!$C$40</c:f>
              <c:strCache>
                <c:ptCount val="1"/>
                <c:pt idx="0">
                  <c:v>Scheduled GSTHP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11"/>
              <c:layout>
                <c:manualLayout>
                  <c:x val="-8.2219938335046251E-3"/>
                  <c:y val="3.4682080924855564E-2"/>
                </c:manualLayout>
              </c:layout>
              <c:spPr/>
              <c:txPr>
                <a:bodyPr/>
                <a:lstStyle/>
                <a:p>
                  <a:pPr>
                    <a:defRPr b="1">
                      <a:solidFill>
                        <a:srgbClr val="0000FF"/>
                      </a:solidFill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0A7-4C5A-8FB0-45E8F2E3663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Data!$B$41:$B$52</c:f>
              <c:strCache>
                <c:ptCount val="12"/>
                <c:pt idx="0">
                  <c:v>2020 April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2021 Jan</c:v>
                </c:pt>
                <c:pt idx="10">
                  <c:v>Feb</c:v>
                </c:pt>
                <c:pt idx="11">
                  <c:v>Mar</c:v>
                </c:pt>
              </c:strCache>
            </c:strRef>
          </c:cat>
          <c:val>
            <c:numRef>
              <c:f>Data!$C$41:$C$52</c:f>
              <c:numCache>
                <c:formatCode>0.0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A7-4C5A-8FB0-45E8F2E36632}"/>
            </c:ext>
          </c:extLst>
        </c:ser>
        <c:ser>
          <c:idx val="3"/>
          <c:order val="2"/>
          <c:tx>
            <c:strRef>
              <c:f>Data!$D$40</c:f>
              <c:strCache>
                <c:ptCount val="1"/>
                <c:pt idx="0">
                  <c:v>Actual GSTHP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8099608052590536E-2"/>
                  <c:y val="-6.6473988439306353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A7-4C5A-8FB0-45E8F2E36632}"/>
                </c:ext>
              </c:extLst>
            </c:dLbl>
            <c:dLbl>
              <c:idx val="1"/>
              <c:layout>
                <c:manualLayout>
                  <c:x val="-2.6407814131147275E-2"/>
                  <c:y val="-3.5645775491936343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A7-4C5A-8FB0-45E8F2E36632}"/>
                </c:ext>
              </c:extLst>
            </c:dLbl>
            <c:dLbl>
              <c:idx val="2"/>
              <c:layout>
                <c:manualLayout>
                  <c:x val="-2.2413025709915758E-2"/>
                  <c:y val="-3.9499340039142503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A7-4C5A-8FB0-45E8F2E36632}"/>
                </c:ext>
              </c:extLst>
            </c:dLbl>
            <c:dLbl>
              <c:idx val="3"/>
              <c:layout>
                <c:manualLayout>
                  <c:x val="-2.2834268018655943E-2"/>
                  <c:y val="-3.5645472061657031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A7-4C5A-8FB0-45E8F2E36632}"/>
                </c:ext>
              </c:extLst>
            </c:dLbl>
            <c:dLbl>
              <c:idx val="4"/>
              <c:layout>
                <c:manualLayout>
                  <c:x val="-1.9539320174906193E-2"/>
                  <c:y val="-5.8766859344894028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A7-4C5A-8FB0-45E8F2E36632}"/>
                </c:ext>
              </c:extLst>
            </c:dLbl>
            <c:dLbl>
              <c:idx val="5"/>
              <c:layout>
                <c:manualLayout>
                  <c:x val="-2.4041994750656166E-2"/>
                  <c:y val="-3.5645775491936413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A7-4C5A-8FB0-45E8F2E36632}"/>
                </c:ext>
              </c:extLst>
            </c:dLbl>
            <c:dLbl>
              <c:idx val="6"/>
              <c:layout>
                <c:manualLayout>
                  <c:x val="-2.1925316889345667E-2"/>
                  <c:y val="-4.2389210019267896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0A7-4C5A-8FB0-45E8F2E36632}"/>
                </c:ext>
              </c:extLst>
            </c:dLbl>
            <c:dLbl>
              <c:idx val="7"/>
              <c:layout>
                <c:manualLayout>
                  <c:x val="-2.0554984583761562E-2"/>
                  <c:y val="-3.0828516377649325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A7-4C5A-8FB0-45E8F2E36632}"/>
                </c:ext>
              </c:extLst>
            </c:dLbl>
            <c:dLbl>
              <c:idx val="8"/>
              <c:layout>
                <c:manualLayout>
                  <c:x val="-2.4665981500513873E-2"/>
                  <c:y val="-3.8535645472061654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A7-4C5A-8FB0-45E8F2E36632}"/>
                </c:ext>
              </c:extLst>
            </c:dLbl>
            <c:dLbl>
              <c:idx val="9"/>
              <c:layout>
                <c:manualLayout>
                  <c:x val="-2.3295757095111211E-2"/>
                  <c:y val="-3.0828516377649325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A7-4C5A-8FB0-45E8F2E36632}"/>
                </c:ext>
              </c:extLst>
            </c:dLbl>
            <c:dLbl>
              <c:idx val="10"/>
              <c:layout>
                <c:manualLayout>
                  <c:x val="-2.4665981500513873E-2"/>
                  <c:y val="-5.3949903660886318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0A7-4C5A-8FB0-45E8F2E36632}"/>
                </c:ext>
              </c:extLst>
            </c:dLbl>
            <c:dLbl>
              <c:idx val="11"/>
              <c:layout>
                <c:manualLayout>
                  <c:x val="0"/>
                  <c:y val="1.9267822736030827E-2"/>
                </c:manualLayout>
              </c:layout>
              <c:numFmt formatCode="#,##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0A7-4C5A-8FB0-45E8F2E36632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Data!$B$41:$B$52</c:f>
              <c:strCache>
                <c:ptCount val="12"/>
                <c:pt idx="0">
                  <c:v>2020 April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2021 Jan</c:v>
                </c:pt>
                <c:pt idx="10">
                  <c:v>Feb</c:v>
                </c:pt>
                <c:pt idx="11">
                  <c:v>Mar</c:v>
                </c:pt>
              </c:strCache>
            </c:strRef>
          </c:cat>
          <c:val>
            <c:numRef>
              <c:f>Data!$D$41:$D$52</c:f>
              <c:numCache>
                <c:formatCode>0.00</c:formatCode>
                <c:ptCount val="12"/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0A7-4C5A-8FB0-45E8F2E36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382501071"/>
        <c:scaling>
          <c:orientation val="minMax"/>
        </c:scaling>
        <c:delete val="0"/>
        <c:axPos val="b"/>
        <c:numFmt formatCode="m&quot;月&quot;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82501071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2.6"/>
          <c:min val="0"/>
        </c:scaling>
        <c:delete val="0"/>
        <c:axPos val="r"/>
        <c:numFmt formatCode="0.0_ 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  <c:majorUnit val="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2604025216272428"/>
          <c:y val="0.52504877641739867"/>
          <c:w val="0.20517510850712006"/>
          <c:h val="0.2456653467449516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Data!$BR$3</c:f>
              <c:strCache>
                <c:ptCount val="1"/>
                <c:pt idx="0">
                  <c:v>MT / HR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val>
            <c:numRef>
              <c:f>Data!$BR$4:$BR$34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Data!$BO$4:$BO$34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E24-40DB-90FB-620739B5B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5622463"/>
        <c:axId val="1"/>
      </c:barChart>
      <c:catAx>
        <c:axId val="1325622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25622463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Data!$BS$3</c:f>
              <c:strCache>
                <c:ptCount val="1"/>
                <c:pt idx="0">
                  <c:v>MAN HR /MT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val>
            <c:numRef>
              <c:f>Data!$BS$4:$BS$34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Data!$BO$4:$BO$34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46A-4BD7-8EC6-579589E97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6527279"/>
        <c:axId val="1"/>
      </c:barChart>
      <c:catAx>
        <c:axId val="13265272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26527279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MT Details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450416429003817E-2"/>
          <c:y val="0.16820861678004534"/>
          <c:w val="0.87292155924306303"/>
          <c:h val="0.630415840877033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REPORT SHIFT WISE'!$BC$3</c:f>
              <c:strCache>
                <c:ptCount val="1"/>
                <c:pt idx="0">
                  <c:v>TEAM A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'MONTHLY REPORT SHIFT WISE'!$B$4:$B$34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'MONTHLY REPORT SHIFT WISE'!$BC$4:$BC$34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62-4EB8-9AA8-A2CBA3FDFE1C}"/>
            </c:ext>
          </c:extLst>
        </c:ser>
        <c:ser>
          <c:idx val="1"/>
          <c:order val="1"/>
          <c:tx>
            <c:strRef>
              <c:f>'MONTHLY REPORT SHIFT WISE'!$BC$38</c:f>
              <c:strCache>
                <c:ptCount val="1"/>
                <c:pt idx="0">
                  <c:v>TEAM B</c:v>
                </c:pt>
              </c:strCache>
            </c:strRef>
          </c:tx>
          <c:spPr>
            <a:solidFill>
              <a:srgbClr val="C0504D"/>
            </a:solidFill>
            <a:ln w="25400">
              <a:noFill/>
            </a:ln>
          </c:spPr>
          <c:invertIfNegative val="0"/>
          <c:val>
            <c:numRef>
              <c:f>'MONTHLY REPORT SHIFT WISE'!$BC$39:$BC$69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62-4EB8-9AA8-A2CBA3FDFE1C}"/>
            </c:ext>
          </c:extLst>
        </c:ser>
        <c:ser>
          <c:idx val="2"/>
          <c:order val="2"/>
          <c:tx>
            <c:strRef>
              <c:f>'MONTHLY REPORT SHIFT WISE'!$BC$74</c:f>
              <c:strCache>
                <c:ptCount val="1"/>
                <c:pt idx="0">
                  <c:v>TEAM C</c:v>
                </c:pt>
              </c:strCache>
            </c:strRef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val>
            <c:numRef>
              <c:f>'MONTHLY REPORT SHIFT WISE'!$BC$75:$BC$105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62-4EB8-9AA8-A2CBA3FDF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2502271"/>
        <c:axId val="1"/>
      </c:barChart>
      <c:catAx>
        <c:axId val="13825022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8250227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Actual no of coils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450416429003817E-2"/>
          <c:y val="0.16820861678004534"/>
          <c:w val="0.87292155924306303"/>
          <c:h val="0.630415840877033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REPORT SHIFT WISE'!$BC$3</c:f>
              <c:strCache>
                <c:ptCount val="1"/>
                <c:pt idx="0">
                  <c:v>TEAM A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'MONTHLY REPORT SHIFT WISE'!$B$4:$B$34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'MONTHLY REPORT SHIFT WISE'!$H$4:$H$34</c:f>
              <c:numCache>
                <c:formatCode>General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0-1D83-4F22-9FB2-2FF01D1EBB7E}"/>
            </c:ext>
          </c:extLst>
        </c:ser>
        <c:ser>
          <c:idx val="1"/>
          <c:order val="1"/>
          <c:tx>
            <c:strRef>
              <c:f>'MONTHLY REPORT SHIFT WISE'!$BC$38</c:f>
              <c:strCache>
                <c:ptCount val="1"/>
                <c:pt idx="0">
                  <c:v>TEAM B</c:v>
                </c:pt>
              </c:strCache>
            </c:strRef>
          </c:tx>
          <c:spPr>
            <a:solidFill>
              <a:srgbClr val="C0504D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 SHIFT WISE'!$H$39:$H$69</c:f>
              <c:numCache>
                <c:formatCode>General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1-1D83-4F22-9FB2-2FF01D1EBB7E}"/>
            </c:ext>
          </c:extLst>
        </c:ser>
        <c:ser>
          <c:idx val="2"/>
          <c:order val="2"/>
          <c:tx>
            <c:strRef>
              <c:f>'MONTHLY REPORT SHIFT WISE'!$BC$74</c:f>
              <c:strCache>
                <c:ptCount val="1"/>
                <c:pt idx="0">
                  <c:v>TEAM C</c:v>
                </c:pt>
              </c:strCache>
            </c:strRef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 SHIFT WISE'!$H$75:$H$105</c:f>
              <c:numCache>
                <c:formatCode>General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2-1D83-4F22-9FB2-2FF01D1EB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2494671"/>
        <c:axId val="1"/>
      </c:barChart>
      <c:catAx>
        <c:axId val="13824946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No of coils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8249467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No of rewind coils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450416429003817E-2"/>
          <c:y val="0.16820861678004534"/>
          <c:w val="0.87292155924306303"/>
          <c:h val="0.63041584087703317"/>
        </c:manualLayout>
      </c:layout>
      <c:lineChart>
        <c:grouping val="standard"/>
        <c:varyColors val="0"/>
        <c:ser>
          <c:idx val="0"/>
          <c:order val="0"/>
          <c:tx>
            <c:strRef>
              <c:f>'MONTHLY REPORT SHIFT WISE'!$BC$3</c:f>
              <c:strCache>
                <c:ptCount val="1"/>
                <c:pt idx="0">
                  <c:v>TEAM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'MONTHLY REPORT SHIFT WISE'!$B$4:$B$34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'MONTHLY REPORT SHIFT WISE'!$I$4:$I$34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CB-4863-92BB-1CA6E653C96E}"/>
            </c:ext>
          </c:extLst>
        </c:ser>
        <c:ser>
          <c:idx val="1"/>
          <c:order val="1"/>
          <c:tx>
            <c:strRef>
              <c:f>'MONTHLY REPORT SHIFT WISE'!$BC$38</c:f>
              <c:strCache>
                <c:ptCount val="1"/>
                <c:pt idx="0">
                  <c:v>TEAM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 SHIFT WISE'!$I$39:$I$69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CB-4863-92BB-1CA6E653C96E}"/>
            </c:ext>
          </c:extLst>
        </c:ser>
        <c:ser>
          <c:idx val="2"/>
          <c:order val="2"/>
          <c:tx>
            <c:strRef>
              <c:f>'MONTHLY REPORT SHIFT WISE'!$BC$74</c:f>
              <c:strCache>
                <c:ptCount val="1"/>
                <c:pt idx="0">
                  <c:v>TEAM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 SHIFT WISE'!$I$75:$I$105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CB-4863-92BB-1CA6E653C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2495471"/>
        <c:axId val="1"/>
      </c:lineChart>
      <c:catAx>
        <c:axId val="13824954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No of rewind coils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8249547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No of settings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117060367454072E-2"/>
          <c:y val="0.16820861678004534"/>
          <c:w val="0.86625485564304461"/>
          <c:h val="0.63041584087703317"/>
        </c:manualLayout>
      </c:layout>
      <c:lineChart>
        <c:grouping val="standard"/>
        <c:varyColors val="0"/>
        <c:ser>
          <c:idx val="0"/>
          <c:order val="0"/>
          <c:tx>
            <c:strRef>
              <c:f>'MONTHLY REPORT SHIFT WISE'!$BC$3</c:f>
              <c:strCache>
                <c:ptCount val="1"/>
                <c:pt idx="0">
                  <c:v>TEAM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'MONTHLY REPORT SHIFT WISE'!$B$4:$B$34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'MONTHLY REPORT SHIFT WISE'!$Q$4:$Q$34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80-4588-B38E-2861CEA9A0F3}"/>
            </c:ext>
          </c:extLst>
        </c:ser>
        <c:ser>
          <c:idx val="1"/>
          <c:order val="1"/>
          <c:tx>
            <c:strRef>
              <c:f>'MONTHLY REPORT SHIFT WISE'!$BC$38</c:f>
              <c:strCache>
                <c:ptCount val="1"/>
                <c:pt idx="0">
                  <c:v>TEAM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 SHIFT WISE'!$Q$39:$Q$69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80-4588-B38E-2861CEA9A0F3}"/>
            </c:ext>
          </c:extLst>
        </c:ser>
        <c:ser>
          <c:idx val="2"/>
          <c:order val="2"/>
          <c:tx>
            <c:strRef>
              <c:f>'MONTHLY REPORT SHIFT WISE'!$BC$74</c:f>
              <c:strCache>
                <c:ptCount val="1"/>
                <c:pt idx="0">
                  <c:v>TEAM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 SHIFT WISE'!$Q$75:$Q$105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80-4588-B38E-2861CEA9A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2497471"/>
        <c:axId val="1"/>
      </c:lineChart>
      <c:catAx>
        <c:axId val="13824974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No of settings </a:t>
                </a:r>
              </a:p>
            </c:rich>
          </c:tx>
          <c:layout>
            <c:manualLayout>
              <c:xMode val="edge"/>
              <c:yMode val="edge"/>
              <c:x val="1.1290201224846894E-2"/>
              <c:y val="0.3466252432731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8249747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GSTPH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117060367454072E-2"/>
          <c:y val="0.16820861678004534"/>
          <c:w val="0.86625485564304461"/>
          <c:h val="0.630415840877033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REPORT SHIFT WISE'!$BC$3</c:f>
              <c:strCache>
                <c:ptCount val="1"/>
                <c:pt idx="0">
                  <c:v>TEAM A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'MONTHLY REPORT SHIFT WISE'!$B$4:$B$34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'MONTHLY REPORT SHIFT WISE'!$U$4:$U$34</c:f>
              <c:numCache>
                <c:formatCode>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2-42C0-9D5B-5619BD803D3B}"/>
            </c:ext>
          </c:extLst>
        </c:ser>
        <c:ser>
          <c:idx val="1"/>
          <c:order val="1"/>
          <c:tx>
            <c:strRef>
              <c:f>'MONTHLY REPORT SHIFT WISE'!$BC$38</c:f>
              <c:strCache>
                <c:ptCount val="1"/>
                <c:pt idx="0">
                  <c:v>TEAM B</c:v>
                </c:pt>
              </c:strCache>
            </c:strRef>
          </c:tx>
          <c:spPr>
            <a:solidFill>
              <a:srgbClr val="C0504D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 SHIFT WISE'!$U$39:$U$69</c:f>
              <c:numCache>
                <c:formatCode>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22-42C0-9D5B-5619BD803D3B}"/>
            </c:ext>
          </c:extLst>
        </c:ser>
        <c:ser>
          <c:idx val="2"/>
          <c:order val="2"/>
          <c:tx>
            <c:strRef>
              <c:f>'MONTHLY REPORT SHIFT WISE'!$BC$74</c:f>
              <c:strCache>
                <c:ptCount val="1"/>
                <c:pt idx="0">
                  <c:v>TEAM C</c:v>
                </c:pt>
              </c:strCache>
            </c:strRef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 SHIFT WISE'!$U$75:$U$105</c:f>
              <c:numCache>
                <c:formatCode>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22-42C0-9D5B-5619BD803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3651999"/>
        <c:axId val="1"/>
      </c:barChart>
      <c:catAx>
        <c:axId val="14236519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GSTPH</a:t>
                </a:r>
              </a:p>
            </c:rich>
          </c:tx>
          <c:layout>
            <c:manualLayout>
              <c:xMode val="edge"/>
              <c:yMode val="edge"/>
              <c:x val="1.1290201224846894E-2"/>
              <c:y val="0.3466252432731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23651999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4</xdr:row>
      <xdr:rowOff>47625</xdr:rowOff>
    </xdr:from>
    <xdr:to>
      <xdr:col>12</xdr:col>
      <xdr:colOff>66675</xdr:colOff>
      <xdr:row>16</xdr:row>
      <xdr:rowOff>190500</xdr:rowOff>
    </xdr:to>
    <xdr:graphicFrame macro="">
      <xdr:nvGraphicFramePr>
        <xdr:cNvPr id="3358654" name="グラフ 1">
          <a:extLst>
            <a:ext uri="{FF2B5EF4-FFF2-40B4-BE49-F238E27FC236}">
              <a16:creationId xmlns:a16="http://schemas.microsoft.com/office/drawing/2014/main" id="{6F85C489-FE3B-4F8D-A88B-4017DFB857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12</xdr:col>
      <xdr:colOff>9525</xdr:colOff>
      <xdr:row>43</xdr:row>
      <xdr:rowOff>180975</xdr:rowOff>
    </xdr:to>
    <xdr:graphicFrame macro="">
      <xdr:nvGraphicFramePr>
        <xdr:cNvPr id="3358655" name="グラフ 5">
          <a:extLst>
            <a:ext uri="{FF2B5EF4-FFF2-40B4-BE49-F238E27FC236}">
              <a16:creationId xmlns:a16="http://schemas.microsoft.com/office/drawing/2014/main" id="{CFBF32CA-17DD-462E-8918-0463477548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12</xdr:col>
      <xdr:colOff>0</xdr:colOff>
      <xdr:row>31</xdr:row>
      <xdr:rowOff>0</xdr:rowOff>
    </xdr:to>
    <xdr:graphicFrame macro="">
      <xdr:nvGraphicFramePr>
        <xdr:cNvPr id="3358656" name="グラフ 6">
          <a:extLst>
            <a:ext uri="{FF2B5EF4-FFF2-40B4-BE49-F238E27FC236}">
              <a16:creationId xmlns:a16="http://schemas.microsoft.com/office/drawing/2014/main" id="{DEBFA300-F00D-43A5-96E2-1549AB0B4E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12</xdr:col>
      <xdr:colOff>9525</xdr:colOff>
      <xdr:row>58</xdr:row>
      <xdr:rowOff>190500</xdr:rowOff>
    </xdr:to>
    <xdr:graphicFrame macro="">
      <xdr:nvGraphicFramePr>
        <xdr:cNvPr id="3358657" name="グラフ 7">
          <a:extLst>
            <a:ext uri="{FF2B5EF4-FFF2-40B4-BE49-F238E27FC236}">
              <a16:creationId xmlns:a16="http://schemas.microsoft.com/office/drawing/2014/main" id="{AA47D279-264E-4789-BECE-25BEC4E7E6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61</xdr:row>
      <xdr:rowOff>0</xdr:rowOff>
    </xdr:from>
    <xdr:to>
      <xdr:col>12</xdr:col>
      <xdr:colOff>9525</xdr:colOff>
      <xdr:row>76</xdr:row>
      <xdr:rowOff>123825</xdr:rowOff>
    </xdr:to>
    <xdr:graphicFrame macro="">
      <xdr:nvGraphicFramePr>
        <xdr:cNvPr id="3358658" name="グラフ 9">
          <a:extLst>
            <a:ext uri="{FF2B5EF4-FFF2-40B4-BE49-F238E27FC236}">
              <a16:creationId xmlns:a16="http://schemas.microsoft.com/office/drawing/2014/main" id="{EE001474-B94C-4C5F-BF06-5C0AB0C8A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0.03088</cdr:x>
      <cdr:y>0.0252</cdr:y>
    </cdr:from>
    <cdr:to>
      <cdr:x>0.09051</cdr:x>
      <cdr:y>0.1572</cdr:y>
    </cdr:to>
    <cdr:sp macro="" textlink="">
      <cdr:nvSpPr>
        <cdr:cNvPr id="182273" name="Rectangle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5147" y="75917"/>
          <a:ext cx="552636" cy="38094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8080" mc:Ignorable="a14" a14:legacySpreadsheetColorIndex="2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FF" mc:Ignorable="a14" a14:legacySpreadsheetColorIndex="39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36576" tIns="22860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</a:t>
          </a:r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466725</xdr:colOff>
      <xdr:row>4</xdr:row>
      <xdr:rowOff>57150</xdr:rowOff>
    </xdr:from>
    <xdr:to>
      <xdr:col>80</xdr:col>
      <xdr:colOff>847725</xdr:colOff>
      <xdr:row>13</xdr:row>
      <xdr:rowOff>295275</xdr:rowOff>
    </xdr:to>
    <xdr:graphicFrame macro="">
      <xdr:nvGraphicFramePr>
        <xdr:cNvPr id="299039" name="Chart 1">
          <a:extLst>
            <a:ext uri="{FF2B5EF4-FFF2-40B4-BE49-F238E27FC236}">
              <a16:creationId xmlns:a16="http://schemas.microsoft.com/office/drawing/2014/main" id="{BF2F09A2-036A-4013-A38F-1778A4F383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466725</xdr:colOff>
      <xdr:row>15</xdr:row>
      <xdr:rowOff>76200</xdr:rowOff>
    </xdr:from>
    <xdr:to>
      <xdr:col>80</xdr:col>
      <xdr:colOff>847725</xdr:colOff>
      <xdr:row>24</xdr:row>
      <xdr:rowOff>314325</xdr:rowOff>
    </xdr:to>
    <xdr:graphicFrame macro="">
      <xdr:nvGraphicFramePr>
        <xdr:cNvPr id="299040" name="Chart 2">
          <a:extLst>
            <a:ext uri="{FF2B5EF4-FFF2-40B4-BE49-F238E27FC236}">
              <a16:creationId xmlns:a16="http://schemas.microsoft.com/office/drawing/2014/main" id="{9E4BB9A3-B572-4310-BF55-7877503657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171450</xdr:rowOff>
    </xdr:from>
    <xdr:to>
      <xdr:col>14</xdr:col>
      <xdr:colOff>9525</xdr:colOff>
      <xdr:row>13</xdr:row>
      <xdr:rowOff>123825</xdr:rowOff>
    </xdr:to>
    <xdr:graphicFrame macro="">
      <xdr:nvGraphicFramePr>
        <xdr:cNvPr id="4237401" name="Chart 4">
          <a:extLst>
            <a:ext uri="{FF2B5EF4-FFF2-40B4-BE49-F238E27FC236}">
              <a16:creationId xmlns:a16="http://schemas.microsoft.com/office/drawing/2014/main" id="{E9736A6D-1CBC-4535-B644-F9C494F3E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304800</xdr:colOff>
      <xdr:row>14</xdr:row>
      <xdr:rowOff>114300</xdr:rowOff>
    </xdr:from>
    <xdr:to>
      <xdr:col>14</xdr:col>
      <xdr:colOff>9525</xdr:colOff>
      <xdr:row>27</xdr:row>
      <xdr:rowOff>66675</xdr:rowOff>
    </xdr:to>
    <xdr:graphicFrame macro="">
      <xdr:nvGraphicFramePr>
        <xdr:cNvPr id="4237402" name="Chart 5">
          <a:extLst>
            <a:ext uri="{FF2B5EF4-FFF2-40B4-BE49-F238E27FC236}">
              <a16:creationId xmlns:a16="http://schemas.microsoft.com/office/drawing/2014/main" id="{8C58FBE0-0F4E-4597-8340-EF893F514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28</xdr:row>
      <xdr:rowOff>0</xdr:rowOff>
    </xdr:from>
    <xdr:to>
      <xdr:col>14</xdr:col>
      <xdr:colOff>19050</xdr:colOff>
      <xdr:row>40</xdr:row>
      <xdr:rowOff>171450</xdr:rowOff>
    </xdr:to>
    <xdr:graphicFrame macro="">
      <xdr:nvGraphicFramePr>
        <xdr:cNvPr id="4237403" name="Chart 6">
          <a:extLst>
            <a:ext uri="{FF2B5EF4-FFF2-40B4-BE49-F238E27FC236}">
              <a16:creationId xmlns:a16="http://schemas.microsoft.com/office/drawing/2014/main" id="{45BBDC95-D657-450C-8FBE-E989A26DD8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285750</xdr:colOff>
      <xdr:row>42</xdr:row>
      <xdr:rowOff>209550</xdr:rowOff>
    </xdr:from>
    <xdr:to>
      <xdr:col>13</xdr:col>
      <xdr:colOff>819150</xdr:colOff>
      <xdr:row>55</xdr:row>
      <xdr:rowOff>161925</xdr:rowOff>
    </xdr:to>
    <xdr:graphicFrame macro="">
      <xdr:nvGraphicFramePr>
        <xdr:cNvPr id="4237404" name="Chart 7">
          <a:extLst>
            <a:ext uri="{FF2B5EF4-FFF2-40B4-BE49-F238E27FC236}">
              <a16:creationId xmlns:a16="http://schemas.microsoft.com/office/drawing/2014/main" id="{6C7981C0-F030-44B5-9B97-C6F5824BB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314325</xdr:colOff>
      <xdr:row>56</xdr:row>
      <xdr:rowOff>142875</xdr:rowOff>
    </xdr:from>
    <xdr:to>
      <xdr:col>14</xdr:col>
      <xdr:colOff>9525</xdr:colOff>
      <xdr:row>69</xdr:row>
      <xdr:rowOff>95250</xdr:rowOff>
    </xdr:to>
    <xdr:graphicFrame macro="">
      <xdr:nvGraphicFramePr>
        <xdr:cNvPr id="4237405" name="Chart 8">
          <a:extLst>
            <a:ext uri="{FF2B5EF4-FFF2-40B4-BE49-F238E27FC236}">
              <a16:creationId xmlns:a16="http://schemas.microsoft.com/office/drawing/2014/main" id="{C5EA808D-9420-4A24-B1E3-BEDF4A62D2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080000" mc:Ignorable="a14" a14:legacySpreadsheetColorIndex="8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080000" mc:Ignorable="a14" a14:legacySpreadsheetColorIndex="8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74"/>
  <sheetViews>
    <sheetView tabSelected="1" workbookViewId="0">
      <selection activeCell="N12" sqref="N12"/>
    </sheetView>
  </sheetViews>
  <sheetFormatPr defaultRowHeight="17.25"/>
  <cols>
    <col min="1" max="1" width="2.69921875" customWidth="1"/>
    <col min="12" max="12" width="9.19921875" customWidth="1"/>
    <col min="13" max="13" width="8.296875" customWidth="1"/>
  </cols>
  <sheetData>
    <row r="1" spans="2:14" ht="32.25" customHeight="1">
      <c r="B1" s="300" t="s">
        <v>131</v>
      </c>
      <c r="C1" s="300"/>
      <c r="D1" s="300"/>
      <c r="E1" s="300"/>
      <c r="F1" s="300"/>
      <c r="G1" s="300"/>
      <c r="H1" s="300"/>
      <c r="I1" s="300"/>
      <c r="J1" s="300"/>
      <c r="K1" s="300"/>
      <c r="L1" s="300"/>
      <c r="N1" s="31"/>
    </row>
    <row r="2" spans="2:14" ht="8.25" customHeight="1">
      <c r="B2" s="34"/>
      <c r="C2" s="34"/>
      <c r="D2" s="34"/>
      <c r="E2" s="31"/>
      <c r="F2" s="35"/>
      <c r="G2" s="35"/>
      <c r="H2" s="31"/>
      <c r="I2" s="31"/>
      <c r="J2" s="31"/>
      <c r="K2" s="32"/>
      <c r="L2" s="32"/>
      <c r="M2" s="33"/>
      <c r="N2" s="31"/>
    </row>
    <row r="3" spans="2:14" ht="9.9499999999999993" customHeight="1">
      <c r="B3" s="301" t="s">
        <v>2</v>
      </c>
      <c r="C3" s="301"/>
      <c r="D3" s="301"/>
      <c r="E3" s="10"/>
    </row>
    <row r="4" spans="2:14" ht="9.9499999999999993" customHeight="1">
      <c r="B4" s="301"/>
      <c r="C4" s="301"/>
      <c r="D4" s="301"/>
      <c r="E4" s="10"/>
    </row>
    <row r="5" spans="2:14" ht="25.5">
      <c r="B5" s="37"/>
      <c r="C5" s="37"/>
      <c r="D5" s="37"/>
      <c r="E5" s="10"/>
    </row>
    <row r="17" spans="2:8" ht="15.75" customHeight="1"/>
    <row r="18" spans="2:8" ht="9.9499999999999993" customHeight="1">
      <c r="B18" s="301" t="s">
        <v>0</v>
      </c>
      <c r="C18" s="301"/>
      <c r="D18" s="301"/>
      <c r="E18" s="302"/>
      <c r="F18" s="302"/>
      <c r="G18" s="302"/>
      <c r="H18" s="303"/>
    </row>
    <row r="19" spans="2:8" ht="9.9499999999999993" customHeight="1">
      <c r="B19" s="301"/>
      <c r="C19" s="301"/>
      <c r="D19" s="301"/>
      <c r="E19" s="302"/>
      <c r="F19" s="302"/>
      <c r="G19" s="302"/>
      <c r="H19" s="303"/>
    </row>
    <row r="20" spans="2:8" ht="15.75" customHeight="1">
      <c r="B20" s="10"/>
      <c r="C20" s="10"/>
      <c r="D20" s="10"/>
      <c r="E20" s="10"/>
    </row>
    <row r="21" spans="2:8" ht="15.75" customHeight="1">
      <c r="B21" s="10"/>
      <c r="C21" s="10"/>
      <c r="D21" s="10"/>
      <c r="E21" s="10"/>
    </row>
    <row r="22" spans="2:8" ht="15.75" customHeight="1">
      <c r="B22" s="12"/>
      <c r="C22" s="12"/>
      <c r="D22" s="12"/>
      <c r="E22" s="12"/>
    </row>
    <row r="23" spans="2:8" ht="15.75" customHeight="1">
      <c r="B23" s="9"/>
      <c r="C23" s="9"/>
      <c r="D23" s="9"/>
      <c r="E23" s="9"/>
    </row>
    <row r="24" spans="2:8" ht="15.75" customHeight="1"/>
    <row r="29" spans="2:8" ht="15.75" customHeight="1"/>
    <row r="30" spans="2:8" ht="15.75" customHeight="1"/>
    <row r="31" spans="2:8" ht="15.75" customHeight="1">
      <c r="B31" s="10"/>
      <c r="C31" s="11"/>
      <c r="D31" s="11"/>
      <c r="E31" s="19"/>
      <c r="F31" s="19"/>
      <c r="G31" s="19"/>
      <c r="H31" s="14"/>
    </row>
    <row r="32" spans="2:8" ht="9.9499999999999993" customHeight="1">
      <c r="B32" s="301" t="s">
        <v>3</v>
      </c>
      <c r="C32" s="301"/>
      <c r="D32" s="301"/>
      <c r="E32" s="40"/>
      <c r="F32" s="40"/>
      <c r="G32" s="40"/>
      <c r="H32" s="41"/>
    </row>
    <row r="33" spans="2:8" ht="9.9499999999999993" customHeight="1">
      <c r="B33" s="301"/>
      <c r="C33" s="301"/>
      <c r="D33" s="301"/>
      <c r="E33" s="40"/>
      <c r="F33" s="40"/>
      <c r="G33" s="40"/>
      <c r="H33" s="41"/>
    </row>
    <row r="36" spans="2:8" ht="15.75" customHeight="1">
      <c r="B36" s="10"/>
      <c r="C36" s="11"/>
      <c r="D36" s="11"/>
      <c r="E36" s="11"/>
    </row>
    <row r="37" spans="2:8" ht="15.75" customHeight="1">
      <c r="B37" s="11"/>
      <c r="C37" s="11"/>
      <c r="D37" s="11"/>
      <c r="E37" s="11"/>
    </row>
    <row r="38" spans="2:8" ht="15.75" customHeight="1"/>
    <row r="39" spans="2:8" ht="15.75" customHeight="1"/>
    <row r="40" spans="2:8" ht="15.75" customHeight="1">
      <c r="B40" s="10"/>
      <c r="C40" s="11"/>
      <c r="D40" s="11"/>
      <c r="E40" s="11"/>
    </row>
    <row r="41" spans="2:8" ht="15.75" customHeight="1">
      <c r="B41" s="11"/>
      <c r="C41" s="11"/>
      <c r="D41" s="11"/>
      <c r="E41" s="11"/>
    </row>
    <row r="42" spans="2:8" ht="15.75" customHeight="1">
      <c r="B42" s="9"/>
      <c r="C42" s="9"/>
      <c r="D42" s="9"/>
      <c r="E42" s="9"/>
    </row>
    <row r="43" spans="2:8" ht="15.75" customHeight="1"/>
    <row r="44" spans="2:8" ht="15.75" customHeight="1"/>
    <row r="45" spans="2:8" ht="9.9499999999999993" customHeight="1">
      <c r="B45" s="301" t="s">
        <v>4</v>
      </c>
      <c r="C45" s="301"/>
      <c r="D45" s="301"/>
      <c r="E45" s="301"/>
      <c r="F45" s="301"/>
      <c r="G45" s="14"/>
    </row>
    <row r="46" spans="2:8" ht="9.9499999999999993" customHeight="1">
      <c r="B46" s="301"/>
      <c r="C46" s="301"/>
      <c r="D46" s="301"/>
      <c r="E46" s="301"/>
      <c r="F46" s="301"/>
      <c r="G46" s="14"/>
    </row>
    <row r="50" spans="2:6" ht="15.75" customHeight="1"/>
    <row r="51" spans="2:6" ht="15.75" customHeight="1"/>
    <row r="52" spans="2:6" ht="15.75" customHeight="1">
      <c r="B52" s="10"/>
      <c r="C52" s="10"/>
      <c r="D52" s="10"/>
      <c r="E52" s="10"/>
    </row>
    <row r="53" spans="2:6" ht="15.75" customHeight="1">
      <c r="B53" s="10"/>
      <c r="C53" s="10"/>
      <c r="D53" s="10"/>
      <c r="E53" s="10"/>
    </row>
    <row r="54" spans="2:6" ht="15.75" customHeight="1"/>
    <row r="55" spans="2:6" ht="15.75" customHeight="1"/>
    <row r="56" spans="2:6" ht="15.75" customHeight="1"/>
    <row r="57" spans="2:6" ht="15.75" customHeight="1"/>
    <row r="58" spans="2:6" ht="15.75" customHeight="1">
      <c r="B58" s="10"/>
      <c r="C58" s="10"/>
      <c r="D58" s="10"/>
      <c r="E58" s="10"/>
    </row>
    <row r="59" spans="2:6" ht="15.75" customHeight="1">
      <c r="B59" s="10"/>
      <c r="C59" s="10"/>
      <c r="D59" s="10"/>
      <c r="E59" s="10"/>
    </row>
    <row r="60" spans="2:6" ht="9.9499999999999993" customHeight="1">
      <c r="B60" s="301" t="s">
        <v>5</v>
      </c>
      <c r="C60" s="301"/>
      <c r="D60" s="301"/>
      <c r="E60" s="304"/>
      <c r="F60" s="305"/>
    </row>
    <row r="61" spans="2:6" ht="9.9499999999999993" customHeight="1">
      <c r="B61" s="301"/>
      <c r="C61" s="301"/>
      <c r="D61" s="301"/>
      <c r="E61" s="304"/>
      <c r="F61" s="305"/>
    </row>
    <row r="62" spans="2:6" ht="15.75" customHeight="1"/>
    <row r="63" spans="2:6" ht="15.75" customHeight="1"/>
    <row r="64" spans="2:6" ht="15.75" customHeight="1"/>
    <row r="65" spans="2:15" ht="15.75" customHeight="1"/>
    <row r="66" spans="2:15" ht="15.75" customHeight="1"/>
    <row r="67" spans="2:15" ht="15.75" customHeight="1"/>
    <row r="78" spans="2:15">
      <c r="B78" s="93" t="s">
        <v>62</v>
      </c>
      <c r="C78" s="94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5"/>
      <c r="O78" s="96"/>
    </row>
    <row r="79" spans="2:15">
      <c r="B79" s="97"/>
      <c r="C79" s="97"/>
      <c r="D79" s="98"/>
      <c r="E79" s="295" t="s">
        <v>63</v>
      </c>
      <c r="F79" s="296"/>
      <c r="G79" s="297"/>
      <c r="H79" s="99"/>
      <c r="I79" s="99"/>
      <c r="J79" s="99"/>
      <c r="K79" s="99"/>
      <c r="L79" s="99"/>
      <c r="M79" s="100"/>
      <c r="N79" s="101"/>
      <c r="O79" s="169"/>
    </row>
    <row r="80" spans="2:15">
      <c r="B80" s="102" t="s">
        <v>64</v>
      </c>
      <c r="C80" s="102" t="s">
        <v>65</v>
      </c>
      <c r="D80" s="103" t="s">
        <v>66</v>
      </c>
      <c r="E80" s="104" t="s">
        <v>67</v>
      </c>
      <c r="F80" s="105" t="s">
        <v>68</v>
      </c>
      <c r="G80" s="106" t="s">
        <v>69</v>
      </c>
      <c r="H80" s="298" t="s">
        <v>70</v>
      </c>
      <c r="I80" s="298"/>
      <c r="J80" s="298"/>
      <c r="K80" s="298"/>
      <c r="L80" s="298"/>
      <c r="M80" s="107"/>
      <c r="N80" s="108"/>
      <c r="O80" s="170"/>
    </row>
    <row r="81" spans="2:15">
      <c r="B81" s="109">
        <v>1</v>
      </c>
      <c r="C81" s="110">
        <v>1</v>
      </c>
      <c r="D81" s="111" t="s">
        <v>71</v>
      </c>
      <c r="E81" s="112"/>
      <c r="F81" s="113"/>
      <c r="G81" s="114"/>
      <c r="H81" s="115"/>
      <c r="I81" s="115"/>
      <c r="J81" s="115"/>
      <c r="K81" s="116"/>
      <c r="L81" s="116"/>
      <c r="M81" s="116"/>
      <c r="N81" s="116"/>
      <c r="O81" s="171"/>
    </row>
    <row r="82" spans="2:15">
      <c r="B82" s="117">
        <f>B81+1</f>
        <v>2</v>
      </c>
      <c r="C82" s="118"/>
      <c r="D82" s="119" t="s">
        <v>72</v>
      </c>
      <c r="E82" s="120"/>
      <c r="F82" s="121"/>
      <c r="G82" s="122"/>
      <c r="H82" s="123"/>
      <c r="I82" s="123"/>
      <c r="J82" s="123"/>
      <c r="K82" s="123"/>
      <c r="L82" s="123"/>
      <c r="M82" s="124"/>
      <c r="N82" s="125"/>
      <c r="O82" s="172"/>
    </row>
    <row r="83" spans="2:15">
      <c r="B83" s="117">
        <f t="shared" ref="B83:B116" si="0">B82+1</f>
        <v>3</v>
      </c>
      <c r="C83" s="126"/>
      <c r="D83" s="119" t="s">
        <v>73</v>
      </c>
      <c r="E83" s="127"/>
      <c r="F83" s="121"/>
      <c r="G83" s="122"/>
      <c r="H83" s="115"/>
      <c r="I83" s="115"/>
      <c r="J83" s="115"/>
      <c r="K83" s="123"/>
      <c r="L83" s="123"/>
      <c r="M83" s="124"/>
      <c r="N83" s="125"/>
      <c r="O83" s="172"/>
    </row>
    <row r="84" spans="2:15">
      <c r="B84" s="117">
        <f t="shared" si="0"/>
        <v>4</v>
      </c>
      <c r="C84" s="110">
        <f>C81+1</f>
        <v>2</v>
      </c>
      <c r="D84" s="119" t="s">
        <v>71</v>
      </c>
      <c r="E84" s="128"/>
      <c r="F84" s="121"/>
      <c r="G84" s="122"/>
      <c r="H84" s="115"/>
      <c r="I84" s="123"/>
      <c r="J84" s="123"/>
      <c r="K84" s="123"/>
      <c r="L84" s="123"/>
      <c r="M84" s="124"/>
      <c r="N84" s="125"/>
      <c r="O84" s="173"/>
    </row>
    <row r="85" spans="2:15">
      <c r="B85" s="117">
        <f t="shared" si="0"/>
        <v>5</v>
      </c>
      <c r="C85" s="126"/>
      <c r="D85" s="119" t="s">
        <v>72</v>
      </c>
      <c r="E85" s="120"/>
      <c r="F85" s="121"/>
      <c r="G85" s="122"/>
      <c r="H85" s="123"/>
      <c r="I85" s="123"/>
      <c r="J85" s="123"/>
      <c r="K85" s="123"/>
      <c r="L85" s="123"/>
      <c r="M85" s="124"/>
      <c r="N85" s="125"/>
      <c r="O85" s="173"/>
    </row>
    <row r="86" spans="2:15">
      <c r="B86" s="117">
        <f t="shared" si="0"/>
        <v>6</v>
      </c>
      <c r="C86" s="126"/>
      <c r="D86" s="119" t="s">
        <v>73</v>
      </c>
      <c r="E86" s="128"/>
      <c r="F86" s="121"/>
      <c r="G86" s="122"/>
      <c r="H86" s="115"/>
      <c r="I86" s="115"/>
      <c r="J86" s="115"/>
      <c r="K86" s="123"/>
      <c r="L86" s="123"/>
      <c r="M86" s="129"/>
      <c r="N86" s="130"/>
      <c r="O86" s="173"/>
    </row>
    <row r="87" spans="2:15">
      <c r="B87" s="117">
        <f t="shared" si="0"/>
        <v>7</v>
      </c>
      <c r="C87" s="110">
        <f>C84+1</f>
        <v>3</v>
      </c>
      <c r="D87" s="119" t="s">
        <v>71</v>
      </c>
      <c r="E87" s="128"/>
      <c r="F87" s="121"/>
      <c r="G87" s="122"/>
      <c r="H87" s="123"/>
      <c r="I87" s="123"/>
      <c r="J87" s="123"/>
      <c r="K87" s="123"/>
      <c r="L87" s="123"/>
      <c r="M87" s="129"/>
      <c r="N87" s="130"/>
      <c r="O87" s="173"/>
    </row>
    <row r="88" spans="2:15">
      <c r="B88" s="117">
        <f t="shared" si="0"/>
        <v>8</v>
      </c>
      <c r="C88" s="126"/>
      <c r="D88" s="119" t="s">
        <v>72</v>
      </c>
      <c r="E88" s="128"/>
      <c r="F88" s="121"/>
      <c r="G88" s="122"/>
      <c r="H88" s="115"/>
      <c r="I88" s="115"/>
      <c r="J88" s="131"/>
      <c r="K88" s="132"/>
      <c r="L88" s="132"/>
      <c r="M88" s="129"/>
      <c r="N88" s="130"/>
      <c r="O88" s="173"/>
    </row>
    <row r="89" spans="2:15">
      <c r="B89" s="117">
        <f t="shared" si="0"/>
        <v>9</v>
      </c>
      <c r="C89" s="126"/>
      <c r="D89" s="119" t="s">
        <v>73</v>
      </c>
      <c r="E89" s="121"/>
      <c r="F89" s="121"/>
      <c r="G89" s="122"/>
      <c r="H89" s="115"/>
      <c r="I89" s="115"/>
      <c r="J89" s="131"/>
      <c r="K89" s="132"/>
      <c r="L89" s="132"/>
      <c r="M89" s="129"/>
      <c r="N89" s="130"/>
      <c r="O89" s="173"/>
    </row>
    <row r="90" spans="2:15">
      <c r="B90" s="117">
        <f t="shared" si="0"/>
        <v>10</v>
      </c>
      <c r="C90" s="110">
        <f>C87+1</f>
        <v>4</v>
      </c>
      <c r="D90" s="119" t="s">
        <v>71</v>
      </c>
      <c r="E90" s="121"/>
      <c r="F90" s="121"/>
      <c r="G90" s="122"/>
      <c r="H90" s="115"/>
      <c r="I90" s="115"/>
      <c r="J90" s="131"/>
      <c r="K90" s="132"/>
      <c r="L90" s="132"/>
      <c r="M90" s="129"/>
      <c r="N90" s="130"/>
      <c r="O90" s="173"/>
    </row>
    <row r="91" spans="2:15">
      <c r="B91" s="117">
        <f t="shared" si="0"/>
        <v>11</v>
      </c>
      <c r="C91" s="126"/>
      <c r="D91" s="119" t="s">
        <v>72</v>
      </c>
      <c r="E91" s="121"/>
      <c r="F91" s="121"/>
      <c r="G91" s="122"/>
      <c r="H91" s="123"/>
      <c r="I91" s="123"/>
      <c r="J91" s="123"/>
      <c r="K91" s="123"/>
      <c r="L91" s="132"/>
      <c r="M91" s="129"/>
      <c r="N91" s="130"/>
      <c r="O91" s="173"/>
    </row>
    <row r="92" spans="2:15">
      <c r="B92" s="117">
        <f t="shared" si="0"/>
        <v>12</v>
      </c>
      <c r="C92" s="126"/>
      <c r="D92" s="119" t="s">
        <v>73</v>
      </c>
      <c r="E92" s="121"/>
      <c r="F92" s="121"/>
      <c r="G92" s="122"/>
      <c r="H92" s="115"/>
      <c r="I92" s="115"/>
      <c r="J92" s="115"/>
      <c r="K92" s="123"/>
      <c r="L92" s="132"/>
      <c r="M92" s="129"/>
      <c r="N92" s="130"/>
      <c r="O92" s="173"/>
    </row>
    <row r="93" spans="2:15">
      <c r="B93" s="117">
        <f t="shared" si="0"/>
        <v>13</v>
      </c>
      <c r="C93" s="110">
        <f>C90+1</f>
        <v>5</v>
      </c>
      <c r="D93" s="119" t="s">
        <v>71</v>
      </c>
      <c r="E93" s="133"/>
      <c r="F93" s="121"/>
      <c r="G93" s="122"/>
      <c r="H93" s="123"/>
      <c r="I93" s="123"/>
      <c r="J93" s="123"/>
      <c r="K93" s="123"/>
      <c r="L93" s="132"/>
      <c r="M93" s="129"/>
      <c r="N93" s="130"/>
      <c r="O93" s="173"/>
    </row>
    <row r="94" spans="2:15">
      <c r="B94" s="117">
        <f t="shared" si="0"/>
        <v>14</v>
      </c>
      <c r="C94" s="126"/>
      <c r="D94" s="119" t="s">
        <v>72</v>
      </c>
      <c r="E94" s="133"/>
      <c r="F94" s="121"/>
      <c r="G94" s="122"/>
      <c r="H94" s="123"/>
      <c r="I94" s="123"/>
      <c r="J94" s="123"/>
      <c r="K94" s="123"/>
      <c r="L94" s="123"/>
      <c r="M94" s="124"/>
      <c r="N94" s="130"/>
      <c r="O94" s="173"/>
    </row>
    <row r="95" spans="2:15">
      <c r="B95" s="117">
        <f t="shared" si="0"/>
        <v>15</v>
      </c>
      <c r="C95" s="126"/>
      <c r="D95" s="119" t="s">
        <v>73</v>
      </c>
      <c r="E95" s="133"/>
      <c r="F95" s="121"/>
      <c r="G95" s="122"/>
      <c r="H95" s="115"/>
      <c r="I95" s="115"/>
      <c r="J95" s="115"/>
      <c r="K95" s="132"/>
      <c r="L95" s="132"/>
      <c r="M95" s="129"/>
      <c r="N95" s="130"/>
      <c r="O95" s="173"/>
    </row>
    <row r="96" spans="2:15">
      <c r="B96" s="117">
        <f t="shared" si="0"/>
        <v>16</v>
      </c>
      <c r="C96" s="110">
        <f>C93+1</f>
        <v>6</v>
      </c>
      <c r="D96" s="119" t="s">
        <v>71</v>
      </c>
      <c r="E96" s="133"/>
      <c r="F96" s="121"/>
      <c r="G96" s="122"/>
      <c r="H96" s="123"/>
      <c r="I96" s="123"/>
      <c r="J96" s="123"/>
      <c r="K96" s="132"/>
      <c r="L96" s="132"/>
      <c r="M96" s="129"/>
      <c r="N96" s="130"/>
      <c r="O96" s="173"/>
    </row>
    <row r="97" spans="2:15">
      <c r="B97" s="117">
        <f t="shared" si="0"/>
        <v>17</v>
      </c>
      <c r="C97" s="126"/>
      <c r="D97" s="119" t="s">
        <v>72</v>
      </c>
      <c r="E97" s="121"/>
      <c r="F97" s="121"/>
      <c r="G97" s="122"/>
      <c r="H97" s="115"/>
      <c r="I97" s="115"/>
      <c r="J97" s="115"/>
      <c r="K97" s="123"/>
      <c r="L97" s="123"/>
      <c r="M97" s="124"/>
      <c r="N97" s="125"/>
      <c r="O97" s="172"/>
    </row>
    <row r="98" spans="2:15">
      <c r="B98" s="117">
        <f t="shared" si="0"/>
        <v>18</v>
      </c>
      <c r="C98" s="126"/>
      <c r="D98" s="119" t="s">
        <v>73</v>
      </c>
      <c r="E98" s="121"/>
      <c r="F98" s="121"/>
      <c r="G98" s="122"/>
      <c r="H98" s="115"/>
      <c r="I98" s="116"/>
      <c r="J98" s="116"/>
      <c r="K98" s="116"/>
      <c r="L98" s="116"/>
      <c r="M98" s="116"/>
      <c r="N98" s="116"/>
      <c r="O98" s="171"/>
    </row>
    <row r="99" spans="2:15">
      <c r="B99" s="117">
        <f t="shared" si="0"/>
        <v>19</v>
      </c>
      <c r="C99" s="110">
        <f>C96+1</f>
        <v>7</v>
      </c>
      <c r="D99" s="119" t="s">
        <v>71</v>
      </c>
      <c r="E99" s="121"/>
      <c r="F99" s="121"/>
      <c r="G99" s="122"/>
      <c r="H99" s="123"/>
      <c r="I99" s="123"/>
      <c r="J99" s="123"/>
      <c r="K99" s="123"/>
      <c r="L99" s="123"/>
      <c r="M99" s="124"/>
      <c r="N99" s="125"/>
      <c r="O99" s="172"/>
    </row>
    <row r="100" spans="2:15">
      <c r="B100" s="117">
        <f t="shared" si="0"/>
        <v>20</v>
      </c>
      <c r="C100" s="126"/>
      <c r="D100" s="119" t="s">
        <v>72</v>
      </c>
      <c r="E100" s="121"/>
      <c r="F100" s="121"/>
      <c r="G100" s="122"/>
      <c r="H100" s="115"/>
      <c r="I100" s="123"/>
      <c r="J100" s="123"/>
      <c r="K100" s="123"/>
      <c r="L100" s="123"/>
      <c r="M100" s="124"/>
      <c r="N100" s="125"/>
      <c r="O100" s="172"/>
    </row>
    <row r="101" spans="2:15">
      <c r="B101" s="117">
        <f t="shared" si="0"/>
        <v>21</v>
      </c>
      <c r="C101" s="126"/>
      <c r="D101" s="119" t="s">
        <v>73</v>
      </c>
      <c r="E101" s="121"/>
      <c r="F101" s="121"/>
      <c r="G101" s="122"/>
      <c r="H101" s="134"/>
      <c r="I101" s="134"/>
      <c r="J101" s="132"/>
      <c r="K101" s="132"/>
      <c r="L101" s="132"/>
      <c r="M101" s="129"/>
      <c r="N101" s="130"/>
      <c r="O101" s="173"/>
    </row>
    <row r="102" spans="2:15">
      <c r="B102" s="117">
        <f t="shared" si="0"/>
        <v>22</v>
      </c>
      <c r="C102" s="110">
        <f>C99+1</f>
        <v>8</v>
      </c>
      <c r="D102" s="119" t="s">
        <v>71</v>
      </c>
      <c r="E102" s="128"/>
      <c r="F102" s="121"/>
      <c r="G102" s="122"/>
      <c r="H102" s="123"/>
      <c r="I102" s="123"/>
      <c r="J102" s="123"/>
      <c r="K102" s="132"/>
      <c r="L102" s="132"/>
      <c r="M102" s="129"/>
      <c r="N102" s="130"/>
      <c r="O102" s="173"/>
    </row>
    <row r="103" spans="2:15">
      <c r="B103" s="117">
        <f t="shared" si="0"/>
        <v>23</v>
      </c>
      <c r="C103" s="126"/>
      <c r="D103" s="119" t="s">
        <v>72</v>
      </c>
      <c r="E103" s="128"/>
      <c r="F103" s="121"/>
      <c r="G103" s="122"/>
      <c r="H103" s="115"/>
      <c r="I103" s="123"/>
      <c r="J103" s="135"/>
      <c r="K103" s="132"/>
      <c r="L103" s="132"/>
      <c r="M103" s="129"/>
      <c r="N103" s="130"/>
      <c r="O103" s="173"/>
    </row>
    <row r="104" spans="2:15">
      <c r="B104" s="117">
        <f t="shared" si="0"/>
        <v>24</v>
      </c>
      <c r="C104" s="126"/>
      <c r="D104" s="119" t="s">
        <v>73</v>
      </c>
      <c r="E104" s="128"/>
      <c r="F104" s="121"/>
      <c r="G104" s="122"/>
      <c r="H104" s="123"/>
      <c r="I104" s="123"/>
      <c r="J104" s="123"/>
      <c r="K104" s="123"/>
      <c r="L104" s="123"/>
      <c r="M104" s="124"/>
      <c r="N104" s="130"/>
      <c r="O104" s="173"/>
    </row>
    <row r="105" spans="2:15">
      <c r="B105" s="117">
        <f t="shared" si="0"/>
        <v>25</v>
      </c>
      <c r="C105" s="110">
        <f>C102+1</f>
        <v>9</v>
      </c>
      <c r="D105" s="119" t="s">
        <v>71</v>
      </c>
      <c r="E105" s="128"/>
      <c r="F105" s="121"/>
      <c r="G105" s="122"/>
      <c r="H105" s="115"/>
      <c r="I105" s="123"/>
      <c r="J105" s="123"/>
      <c r="K105" s="132"/>
      <c r="L105" s="132"/>
      <c r="M105" s="129"/>
      <c r="N105" s="130"/>
      <c r="O105" s="173"/>
    </row>
    <row r="106" spans="2:15">
      <c r="B106" s="117">
        <f t="shared" si="0"/>
        <v>26</v>
      </c>
      <c r="C106" s="126"/>
      <c r="D106" s="119" t="s">
        <v>72</v>
      </c>
      <c r="E106" s="128"/>
      <c r="F106" s="121"/>
      <c r="G106" s="122"/>
      <c r="H106" s="136"/>
      <c r="I106" s="123"/>
      <c r="J106" s="135"/>
      <c r="K106" s="132"/>
      <c r="L106" s="132"/>
      <c r="M106" s="129"/>
      <c r="N106" s="130"/>
      <c r="O106" s="173"/>
    </row>
    <row r="107" spans="2:15">
      <c r="B107" s="117">
        <f t="shared" si="0"/>
        <v>27</v>
      </c>
      <c r="C107" s="126"/>
      <c r="D107" s="119" t="s">
        <v>73</v>
      </c>
      <c r="E107" s="128"/>
      <c r="F107" s="121"/>
      <c r="G107" s="122"/>
      <c r="H107" s="115"/>
      <c r="I107" s="123"/>
      <c r="J107" s="123"/>
      <c r="K107" s="132"/>
      <c r="L107" s="132"/>
      <c r="M107" s="129"/>
      <c r="N107" s="130"/>
      <c r="O107" s="173"/>
    </row>
    <row r="108" spans="2:15">
      <c r="B108" s="117">
        <f t="shared" si="0"/>
        <v>28</v>
      </c>
      <c r="C108" s="110">
        <f>C105+1</f>
        <v>10</v>
      </c>
      <c r="D108" s="119" t="s">
        <v>71</v>
      </c>
      <c r="E108" s="137"/>
      <c r="F108" s="133"/>
      <c r="G108" s="122"/>
      <c r="H108" s="248"/>
      <c r="I108" s="123"/>
      <c r="J108" s="123"/>
      <c r="K108" s="132"/>
      <c r="L108" s="132"/>
      <c r="M108" s="129"/>
      <c r="N108" s="130"/>
      <c r="O108" s="173"/>
    </row>
    <row r="109" spans="2:15">
      <c r="B109" s="117">
        <f t="shared" si="0"/>
        <v>29</v>
      </c>
      <c r="C109" s="126"/>
      <c r="D109" s="119" t="s">
        <v>72</v>
      </c>
      <c r="E109" s="137"/>
      <c r="F109" s="138"/>
      <c r="G109" s="122"/>
      <c r="H109" s="188"/>
      <c r="I109" s="123"/>
      <c r="J109" s="123"/>
      <c r="K109" s="123"/>
      <c r="L109" s="132"/>
      <c r="M109" s="129"/>
      <c r="N109" s="130"/>
      <c r="O109" s="173"/>
    </row>
    <row r="110" spans="2:15">
      <c r="B110" s="117">
        <f t="shared" si="0"/>
        <v>30</v>
      </c>
      <c r="C110" s="126"/>
      <c r="D110" s="119" t="s">
        <v>73</v>
      </c>
      <c r="E110" s="139"/>
      <c r="F110" s="133"/>
      <c r="G110" s="122"/>
      <c r="H110" s="123"/>
      <c r="I110" s="132"/>
      <c r="J110" s="132"/>
      <c r="K110" s="132"/>
      <c r="L110" s="132"/>
      <c r="M110" s="129"/>
      <c r="N110" s="130"/>
      <c r="O110" s="173"/>
    </row>
    <row r="111" spans="2:15">
      <c r="B111" s="117">
        <f t="shared" si="0"/>
        <v>31</v>
      </c>
      <c r="C111" s="110">
        <f>C108+1</f>
        <v>11</v>
      </c>
      <c r="D111" s="119" t="s">
        <v>71</v>
      </c>
      <c r="E111" s="128"/>
      <c r="F111" s="121"/>
      <c r="G111" s="122"/>
      <c r="H111" s="123"/>
      <c r="I111" s="134"/>
      <c r="J111" s="132"/>
      <c r="K111" s="132"/>
      <c r="L111" s="132"/>
      <c r="M111" s="129"/>
      <c r="N111" s="130"/>
      <c r="O111" s="173"/>
    </row>
    <row r="112" spans="2:15">
      <c r="B112" s="117">
        <f t="shared" si="0"/>
        <v>32</v>
      </c>
      <c r="C112" s="126"/>
      <c r="D112" s="119" t="s">
        <v>72</v>
      </c>
      <c r="E112" s="128"/>
      <c r="F112" s="121"/>
      <c r="G112" s="122"/>
      <c r="H112" s="115"/>
      <c r="I112" s="134"/>
      <c r="J112" s="132"/>
      <c r="K112" s="132"/>
      <c r="L112" s="132"/>
      <c r="M112" s="129"/>
      <c r="N112" s="130"/>
      <c r="O112" s="173"/>
    </row>
    <row r="113" spans="2:15">
      <c r="B113" s="117">
        <f t="shared" si="0"/>
        <v>33</v>
      </c>
      <c r="C113" s="126"/>
      <c r="D113" s="119" t="s">
        <v>73</v>
      </c>
      <c r="E113" s="128"/>
      <c r="F113" s="121"/>
      <c r="G113" s="122"/>
      <c r="H113" s="123"/>
      <c r="I113" s="134"/>
      <c r="J113" s="132"/>
      <c r="K113" s="132"/>
      <c r="L113" s="132"/>
      <c r="M113" s="129"/>
      <c r="N113" s="130"/>
      <c r="O113" s="173"/>
    </row>
    <row r="114" spans="2:15">
      <c r="B114" s="117">
        <f t="shared" si="0"/>
        <v>34</v>
      </c>
      <c r="C114" s="110">
        <f>C111+1</f>
        <v>12</v>
      </c>
      <c r="D114" s="119" t="s">
        <v>71</v>
      </c>
      <c r="E114" s="128"/>
      <c r="F114" s="121"/>
      <c r="G114" s="122"/>
      <c r="H114" s="123"/>
      <c r="I114" s="123"/>
      <c r="J114" s="132"/>
      <c r="K114" s="132"/>
      <c r="L114" s="132"/>
      <c r="M114" s="129"/>
      <c r="N114" s="130"/>
      <c r="O114" s="173"/>
    </row>
    <row r="115" spans="2:15">
      <c r="B115" s="117">
        <f t="shared" si="0"/>
        <v>35</v>
      </c>
      <c r="C115" s="126"/>
      <c r="D115" s="119" t="s">
        <v>72</v>
      </c>
      <c r="E115" s="128"/>
      <c r="F115" s="121"/>
      <c r="G115" s="122"/>
      <c r="H115" s="123"/>
      <c r="I115" s="132"/>
      <c r="J115" s="132"/>
      <c r="K115" s="132"/>
      <c r="L115" s="132"/>
      <c r="M115" s="129"/>
      <c r="N115" s="130"/>
      <c r="O115" s="173"/>
    </row>
    <row r="116" spans="2:15">
      <c r="B116" s="140">
        <f t="shared" si="0"/>
        <v>36</v>
      </c>
      <c r="C116" s="126"/>
      <c r="D116" s="119" t="s">
        <v>73</v>
      </c>
      <c r="E116" s="128"/>
      <c r="F116" s="121"/>
      <c r="G116" s="122"/>
      <c r="H116" s="115"/>
      <c r="I116" s="132"/>
      <c r="J116" s="132"/>
      <c r="K116" s="132"/>
      <c r="L116" s="132"/>
      <c r="M116" s="129"/>
      <c r="N116" s="130"/>
      <c r="O116" s="173"/>
    </row>
    <row r="117" spans="2:15">
      <c r="B117" s="141">
        <v>37</v>
      </c>
      <c r="C117" s="110">
        <f>C114+1</f>
        <v>13</v>
      </c>
      <c r="D117" s="142" t="s">
        <v>71</v>
      </c>
      <c r="E117" s="143"/>
      <c r="F117" s="121"/>
      <c r="G117" s="144"/>
      <c r="H117" s="195"/>
      <c r="I117" s="145"/>
      <c r="J117" s="145"/>
      <c r="K117" s="145"/>
      <c r="L117" s="145"/>
      <c r="M117" s="132"/>
      <c r="N117" s="132"/>
      <c r="O117" s="174"/>
    </row>
    <row r="118" spans="2:15">
      <c r="B118" s="146">
        <f>B117+1</f>
        <v>38</v>
      </c>
      <c r="C118" s="147"/>
      <c r="D118" s="148" t="s">
        <v>72</v>
      </c>
      <c r="E118" s="149"/>
      <c r="F118" s="121"/>
      <c r="G118" s="150"/>
      <c r="H118" s="134"/>
      <c r="I118" s="132"/>
      <c r="J118" s="132"/>
      <c r="K118" s="132"/>
      <c r="L118" s="132"/>
      <c r="M118" s="132"/>
      <c r="N118" s="132"/>
      <c r="O118" s="175"/>
    </row>
    <row r="119" spans="2:15">
      <c r="B119" s="146">
        <f t="shared" ref="B119:B173" si="1">B118+1</f>
        <v>39</v>
      </c>
      <c r="C119" s="147"/>
      <c r="D119" s="148" t="s">
        <v>73</v>
      </c>
      <c r="E119" s="151"/>
      <c r="F119" s="121"/>
      <c r="G119" s="152"/>
      <c r="H119" s="134"/>
      <c r="I119" s="153"/>
      <c r="J119" s="132"/>
      <c r="K119" s="132"/>
      <c r="L119" s="132"/>
      <c r="M119" s="132"/>
      <c r="N119" s="132"/>
      <c r="O119" s="175"/>
    </row>
    <row r="120" spans="2:15">
      <c r="B120" s="146">
        <f t="shared" si="1"/>
        <v>40</v>
      </c>
      <c r="C120" s="110">
        <f>C117+1</f>
        <v>14</v>
      </c>
      <c r="D120" s="148" t="s">
        <v>71</v>
      </c>
      <c r="E120" s="143"/>
      <c r="F120" s="121"/>
      <c r="G120" s="144"/>
      <c r="H120" s="153"/>
      <c r="I120" s="134"/>
      <c r="J120" s="132"/>
      <c r="K120" s="132"/>
      <c r="L120" s="132"/>
      <c r="M120" s="132"/>
      <c r="N120" s="132"/>
      <c r="O120" s="174"/>
    </row>
    <row r="121" spans="2:15">
      <c r="B121" s="146">
        <f t="shared" si="1"/>
        <v>41</v>
      </c>
      <c r="C121" s="147"/>
      <c r="D121" s="148" t="s">
        <v>72</v>
      </c>
      <c r="E121" s="151"/>
      <c r="F121" s="121"/>
      <c r="G121" s="152"/>
      <c r="H121" s="134"/>
      <c r="I121" s="134"/>
      <c r="J121" s="132"/>
      <c r="K121" s="132"/>
      <c r="L121" s="132"/>
      <c r="M121" s="132"/>
      <c r="N121" s="132"/>
      <c r="O121" s="174"/>
    </row>
    <row r="122" spans="2:15">
      <c r="B122" s="146">
        <f t="shared" si="1"/>
        <v>42</v>
      </c>
      <c r="C122" s="147"/>
      <c r="D122" s="148" t="s">
        <v>73</v>
      </c>
      <c r="E122" s="151"/>
      <c r="F122" s="121"/>
      <c r="G122" s="152"/>
      <c r="H122" s="153"/>
      <c r="I122" s="134"/>
      <c r="J122" s="132"/>
      <c r="K122" s="132"/>
      <c r="L122" s="132"/>
      <c r="M122" s="132"/>
      <c r="N122" s="132"/>
      <c r="O122" s="175"/>
    </row>
    <row r="123" spans="2:15">
      <c r="B123" s="146">
        <f t="shared" si="1"/>
        <v>43</v>
      </c>
      <c r="C123" s="110">
        <f>C120+1</f>
        <v>15</v>
      </c>
      <c r="D123" s="148" t="s">
        <v>71</v>
      </c>
      <c r="E123" s="151"/>
      <c r="F123" s="121"/>
      <c r="G123" s="152"/>
      <c r="H123" s="123"/>
      <c r="I123" s="132"/>
      <c r="J123" s="132"/>
      <c r="K123" s="132"/>
      <c r="L123" s="132"/>
      <c r="M123" s="132"/>
      <c r="N123" s="132"/>
      <c r="O123" s="175"/>
    </row>
    <row r="124" spans="2:15">
      <c r="B124" s="146">
        <f t="shared" si="1"/>
        <v>44</v>
      </c>
      <c r="C124" s="110"/>
      <c r="D124" s="148" t="s">
        <v>72</v>
      </c>
      <c r="E124" s="151"/>
      <c r="F124" s="121"/>
      <c r="G124" s="152"/>
      <c r="H124" s="115"/>
      <c r="I124" s="132"/>
      <c r="J124" s="132"/>
      <c r="K124" s="132"/>
      <c r="L124" s="132"/>
      <c r="M124" s="132"/>
      <c r="N124" s="132"/>
      <c r="O124" s="175"/>
    </row>
    <row r="125" spans="2:15">
      <c r="B125" s="146">
        <f t="shared" si="1"/>
        <v>45</v>
      </c>
      <c r="C125" s="147"/>
      <c r="D125" s="148" t="s">
        <v>73</v>
      </c>
      <c r="E125" s="151"/>
      <c r="F125" s="121"/>
      <c r="G125" s="152"/>
      <c r="H125" s="134"/>
      <c r="I125" s="132"/>
      <c r="J125" s="132"/>
      <c r="K125" s="132"/>
      <c r="L125" s="132"/>
      <c r="M125" s="132"/>
      <c r="N125" s="132"/>
      <c r="O125" s="175"/>
    </row>
    <row r="126" spans="2:15">
      <c r="B126" s="146">
        <f t="shared" si="1"/>
        <v>46</v>
      </c>
      <c r="C126" s="110">
        <f>C123+1</f>
        <v>16</v>
      </c>
      <c r="D126" s="148" t="s">
        <v>71</v>
      </c>
      <c r="E126" s="151"/>
      <c r="F126" s="121"/>
      <c r="G126" s="152"/>
      <c r="H126" s="154"/>
      <c r="I126" s="132"/>
      <c r="J126" s="132"/>
      <c r="K126" s="132"/>
      <c r="L126" s="132"/>
      <c r="M126" s="132"/>
      <c r="N126" s="132"/>
      <c r="O126" s="175"/>
    </row>
    <row r="127" spans="2:15">
      <c r="B127" s="146">
        <f t="shared" si="1"/>
        <v>47</v>
      </c>
      <c r="C127" s="147"/>
      <c r="D127" s="148" t="s">
        <v>72</v>
      </c>
      <c r="E127" s="151"/>
      <c r="F127" s="121"/>
      <c r="G127" s="152"/>
      <c r="H127" s="155"/>
      <c r="I127" s="132"/>
      <c r="J127" s="132"/>
      <c r="K127" s="132"/>
      <c r="L127" s="132"/>
      <c r="M127" s="132"/>
      <c r="N127" s="132"/>
      <c r="O127" s="175"/>
    </row>
    <row r="128" spans="2:15">
      <c r="B128" s="146">
        <f t="shared" si="1"/>
        <v>48</v>
      </c>
      <c r="C128" s="147"/>
      <c r="D128" s="148" t="s">
        <v>73</v>
      </c>
      <c r="E128" s="151"/>
      <c r="F128" s="121"/>
      <c r="G128" s="152"/>
      <c r="H128" s="134"/>
      <c r="I128" s="132"/>
      <c r="J128" s="132"/>
      <c r="K128" s="132"/>
      <c r="L128" s="132"/>
      <c r="M128" s="132"/>
      <c r="N128" s="132"/>
      <c r="O128" s="175"/>
    </row>
    <row r="129" spans="2:15">
      <c r="B129" s="146">
        <f t="shared" si="1"/>
        <v>49</v>
      </c>
      <c r="C129" s="110">
        <f>C126+1</f>
        <v>17</v>
      </c>
      <c r="D129" s="148" t="s">
        <v>71</v>
      </c>
      <c r="E129" s="151"/>
      <c r="F129" s="121"/>
      <c r="G129" s="152"/>
      <c r="H129" s="115"/>
      <c r="I129" s="132"/>
      <c r="J129" s="132"/>
      <c r="K129" s="132"/>
      <c r="L129" s="132"/>
      <c r="M129" s="132"/>
      <c r="N129" s="132"/>
      <c r="O129" s="175"/>
    </row>
    <row r="130" spans="2:15">
      <c r="B130" s="146">
        <f t="shared" si="1"/>
        <v>50</v>
      </c>
      <c r="C130" s="147"/>
      <c r="D130" s="148" t="s">
        <v>72</v>
      </c>
      <c r="E130" s="151"/>
      <c r="F130" s="121"/>
      <c r="G130" s="152"/>
      <c r="H130" s="123"/>
      <c r="I130" s="132"/>
      <c r="J130" s="132"/>
      <c r="K130" s="132"/>
      <c r="L130" s="132"/>
      <c r="M130" s="132"/>
      <c r="N130" s="132"/>
      <c r="O130" s="175"/>
    </row>
    <row r="131" spans="2:15">
      <c r="B131" s="146">
        <f t="shared" si="1"/>
        <v>51</v>
      </c>
      <c r="C131" s="147"/>
      <c r="D131" s="148" t="s">
        <v>73</v>
      </c>
      <c r="E131" s="151"/>
      <c r="F131" s="121"/>
      <c r="G131" s="152"/>
      <c r="H131" s="115"/>
      <c r="I131" s="132"/>
      <c r="J131" s="132"/>
      <c r="K131" s="132"/>
      <c r="L131" s="132"/>
      <c r="M131" s="132"/>
      <c r="N131" s="132"/>
      <c r="O131" s="175"/>
    </row>
    <row r="132" spans="2:15">
      <c r="B132" s="146">
        <f t="shared" si="1"/>
        <v>52</v>
      </c>
      <c r="C132" s="110">
        <f>C129+1</f>
        <v>18</v>
      </c>
      <c r="D132" s="148" t="s">
        <v>71</v>
      </c>
      <c r="E132" s="151"/>
      <c r="F132" s="121"/>
      <c r="G132" s="152"/>
      <c r="H132" s="195"/>
      <c r="I132" s="132"/>
      <c r="J132" s="132"/>
      <c r="K132" s="132"/>
      <c r="L132" s="132"/>
      <c r="M132" s="132"/>
      <c r="N132" s="132"/>
      <c r="O132" s="175"/>
    </row>
    <row r="133" spans="2:15">
      <c r="B133" s="146">
        <f t="shared" si="1"/>
        <v>53</v>
      </c>
      <c r="C133" s="147"/>
      <c r="D133" s="148" t="s">
        <v>72</v>
      </c>
      <c r="E133" s="151"/>
      <c r="F133" s="121"/>
      <c r="G133" s="152"/>
      <c r="H133" s="132"/>
      <c r="I133" s="132"/>
      <c r="J133" s="132"/>
      <c r="K133" s="132"/>
      <c r="L133" s="132"/>
      <c r="M133" s="132"/>
      <c r="N133" s="132"/>
      <c r="O133" s="175"/>
    </row>
    <row r="134" spans="2:15">
      <c r="B134" s="146">
        <f t="shared" si="1"/>
        <v>54</v>
      </c>
      <c r="C134" s="147"/>
      <c r="D134" s="148" t="s">
        <v>73</v>
      </c>
      <c r="E134" s="151"/>
      <c r="F134" s="121"/>
      <c r="G134" s="152"/>
      <c r="H134" s="131"/>
      <c r="I134" s="132"/>
      <c r="J134" s="132"/>
      <c r="K134" s="132"/>
      <c r="L134" s="132"/>
      <c r="M134" s="132"/>
      <c r="N134" s="132"/>
      <c r="O134" s="175"/>
    </row>
    <row r="135" spans="2:15">
      <c r="B135" s="146">
        <f t="shared" si="1"/>
        <v>55</v>
      </c>
      <c r="C135" s="110">
        <f>C132+1</f>
        <v>19</v>
      </c>
      <c r="D135" s="148" t="s">
        <v>71</v>
      </c>
      <c r="E135" s="151"/>
      <c r="F135" s="121"/>
      <c r="G135" s="152"/>
      <c r="H135" s="196"/>
      <c r="I135" s="94"/>
      <c r="J135" s="132"/>
      <c r="K135" s="132"/>
      <c r="L135" s="132"/>
      <c r="M135" s="132"/>
      <c r="N135" s="132"/>
      <c r="O135" s="175"/>
    </row>
    <row r="136" spans="2:15">
      <c r="B136" s="146">
        <f t="shared" si="1"/>
        <v>56</v>
      </c>
      <c r="C136" s="147"/>
      <c r="D136" s="148" t="s">
        <v>72</v>
      </c>
      <c r="E136" s="151"/>
      <c r="F136" s="121"/>
      <c r="G136" s="152"/>
      <c r="H136" s="132"/>
      <c r="I136" s="132"/>
      <c r="J136" s="132"/>
      <c r="K136" s="132"/>
      <c r="L136" s="132"/>
      <c r="M136" s="132"/>
      <c r="N136" s="132"/>
      <c r="O136" s="175"/>
    </row>
    <row r="137" spans="2:15">
      <c r="B137" s="146">
        <f t="shared" si="1"/>
        <v>57</v>
      </c>
      <c r="C137" s="147"/>
      <c r="D137" s="148" t="s">
        <v>73</v>
      </c>
      <c r="E137" s="151"/>
      <c r="F137" s="121"/>
      <c r="G137" s="152"/>
      <c r="H137" s="131"/>
      <c r="I137" s="132"/>
      <c r="J137" s="132"/>
      <c r="K137" s="132"/>
      <c r="L137" s="132"/>
      <c r="M137" s="132"/>
      <c r="N137" s="132"/>
      <c r="O137" s="175"/>
    </row>
    <row r="138" spans="2:15">
      <c r="B138" s="146">
        <f t="shared" si="1"/>
        <v>58</v>
      </c>
      <c r="C138" s="110">
        <f>C135+1</f>
        <v>20</v>
      </c>
      <c r="D138" s="148" t="s">
        <v>71</v>
      </c>
      <c r="E138" s="151"/>
      <c r="F138" s="121"/>
      <c r="G138" s="152"/>
      <c r="H138" s="134"/>
      <c r="I138" s="132"/>
      <c r="J138" s="132"/>
      <c r="K138" s="132"/>
      <c r="L138" s="132"/>
      <c r="M138" s="132"/>
      <c r="N138" s="132"/>
      <c r="O138" s="175"/>
    </row>
    <row r="139" spans="2:15">
      <c r="B139" s="146">
        <f t="shared" si="1"/>
        <v>59</v>
      </c>
      <c r="C139" s="147"/>
      <c r="D139" s="148" t="s">
        <v>72</v>
      </c>
      <c r="E139" s="151"/>
      <c r="F139" s="121"/>
      <c r="G139" s="152"/>
      <c r="H139" s="115"/>
      <c r="I139" s="132"/>
      <c r="J139" s="132"/>
      <c r="K139" s="132"/>
      <c r="L139" s="132"/>
      <c r="M139" s="132"/>
      <c r="N139" s="132"/>
      <c r="O139" s="175"/>
    </row>
    <row r="140" spans="2:15">
      <c r="B140" s="146">
        <f t="shared" si="1"/>
        <v>60</v>
      </c>
      <c r="C140" s="147"/>
      <c r="D140" s="148" t="s">
        <v>73</v>
      </c>
      <c r="E140" s="151"/>
      <c r="F140" s="121"/>
      <c r="G140" s="152"/>
      <c r="H140" s="123"/>
      <c r="I140" s="132"/>
      <c r="J140" s="132"/>
      <c r="K140" s="132"/>
      <c r="L140" s="132"/>
      <c r="M140" s="132"/>
      <c r="N140" s="132"/>
      <c r="O140" s="175"/>
    </row>
    <row r="141" spans="2:15">
      <c r="B141" s="146">
        <f t="shared" si="1"/>
        <v>61</v>
      </c>
      <c r="C141" s="110">
        <f>C138+1</f>
        <v>21</v>
      </c>
      <c r="D141" s="148" t="s">
        <v>71</v>
      </c>
      <c r="E141" s="151"/>
      <c r="F141" s="121"/>
      <c r="G141" s="152"/>
      <c r="H141" s="115"/>
      <c r="I141" s="132"/>
      <c r="J141" s="132"/>
      <c r="K141" s="132"/>
      <c r="L141" s="132"/>
      <c r="M141" s="132"/>
      <c r="N141" s="132"/>
      <c r="O141" s="175"/>
    </row>
    <row r="142" spans="2:15">
      <c r="B142" s="146">
        <f t="shared" si="1"/>
        <v>62</v>
      </c>
      <c r="C142" s="147"/>
      <c r="D142" s="148" t="s">
        <v>72</v>
      </c>
      <c r="E142" s="151"/>
      <c r="F142" s="121"/>
      <c r="G142" s="152"/>
      <c r="H142" s="116"/>
      <c r="I142" s="130"/>
      <c r="J142" s="132"/>
      <c r="K142" s="132"/>
      <c r="L142" s="132"/>
      <c r="M142" s="132"/>
      <c r="N142" s="132"/>
      <c r="O142" s="175"/>
    </row>
    <row r="143" spans="2:15">
      <c r="B143" s="146">
        <f t="shared" si="1"/>
        <v>63</v>
      </c>
      <c r="C143" s="147"/>
      <c r="D143" s="148" t="s">
        <v>73</v>
      </c>
      <c r="E143" s="151"/>
      <c r="F143" s="121"/>
      <c r="G143" s="152"/>
      <c r="H143" s="134"/>
      <c r="I143" s="132"/>
      <c r="J143" s="132"/>
      <c r="K143" s="132"/>
      <c r="L143" s="132"/>
      <c r="M143" s="132"/>
      <c r="N143" s="132"/>
      <c r="O143" s="175"/>
    </row>
    <row r="144" spans="2:15">
      <c r="B144" s="146">
        <f t="shared" si="1"/>
        <v>64</v>
      </c>
      <c r="C144" s="110">
        <f>C141+1</f>
        <v>22</v>
      </c>
      <c r="D144" s="148" t="s">
        <v>71</v>
      </c>
      <c r="E144" s="151"/>
      <c r="F144" s="121"/>
      <c r="G144" s="152"/>
      <c r="H144" s="131"/>
      <c r="I144" s="132"/>
      <c r="J144" s="132"/>
      <c r="K144" s="132"/>
      <c r="L144" s="132"/>
      <c r="M144" s="132"/>
      <c r="N144" s="132"/>
      <c r="O144" s="175"/>
    </row>
    <row r="145" spans="2:15">
      <c r="B145" s="146">
        <f t="shared" si="1"/>
        <v>65</v>
      </c>
      <c r="C145" s="156"/>
      <c r="D145" s="148" t="s">
        <v>72</v>
      </c>
      <c r="E145" s="151"/>
      <c r="F145" s="121"/>
      <c r="G145" s="152"/>
      <c r="H145" s="132"/>
      <c r="I145" s="132"/>
      <c r="J145" s="132"/>
      <c r="K145" s="132"/>
      <c r="L145" s="132"/>
      <c r="M145" s="132"/>
      <c r="N145" s="132"/>
      <c r="O145" s="175"/>
    </row>
    <row r="146" spans="2:15">
      <c r="B146" s="146">
        <f t="shared" si="1"/>
        <v>66</v>
      </c>
      <c r="C146" s="147"/>
      <c r="D146" s="148" t="s">
        <v>73</v>
      </c>
      <c r="E146" s="151"/>
      <c r="F146" s="121"/>
      <c r="G146" s="152"/>
      <c r="H146" s="131"/>
      <c r="I146" s="132"/>
      <c r="J146" s="132"/>
      <c r="K146" s="132"/>
      <c r="L146" s="132"/>
      <c r="M146" s="132"/>
      <c r="N146" s="132"/>
      <c r="O146" s="175"/>
    </row>
    <row r="147" spans="2:15">
      <c r="B147" s="146">
        <f t="shared" si="1"/>
        <v>67</v>
      </c>
      <c r="C147" s="110">
        <f>C144+1</f>
        <v>23</v>
      </c>
      <c r="D147" s="148" t="s">
        <v>71</v>
      </c>
      <c r="E147" s="151"/>
      <c r="F147" s="121"/>
      <c r="G147" s="152"/>
      <c r="H147" s="132"/>
      <c r="I147" s="132"/>
      <c r="J147" s="132"/>
      <c r="K147" s="132"/>
      <c r="L147" s="132"/>
      <c r="M147" s="132"/>
      <c r="N147" s="132"/>
      <c r="O147" s="175"/>
    </row>
    <row r="148" spans="2:15">
      <c r="B148" s="146">
        <f t="shared" si="1"/>
        <v>68</v>
      </c>
      <c r="C148" s="147"/>
      <c r="D148" s="148" t="s">
        <v>72</v>
      </c>
      <c r="E148" s="157"/>
      <c r="F148" s="121"/>
      <c r="G148" s="152"/>
      <c r="H148" s="131"/>
      <c r="I148" s="132"/>
      <c r="J148" s="132"/>
      <c r="K148" s="132"/>
      <c r="L148" s="132"/>
      <c r="M148" s="132"/>
      <c r="N148" s="132"/>
      <c r="O148" s="175"/>
    </row>
    <row r="149" spans="2:15">
      <c r="B149" s="146">
        <f t="shared" si="1"/>
        <v>69</v>
      </c>
      <c r="C149" s="147"/>
      <c r="D149" s="148" t="s">
        <v>73</v>
      </c>
      <c r="E149" s="157"/>
      <c r="F149" s="121"/>
      <c r="G149" s="152"/>
      <c r="H149" s="131"/>
      <c r="I149" s="132"/>
      <c r="J149" s="132"/>
      <c r="K149" s="132"/>
      <c r="L149" s="132"/>
      <c r="M149" s="132"/>
      <c r="N149" s="132"/>
      <c r="O149" s="175"/>
    </row>
    <row r="150" spans="2:15">
      <c r="B150" s="146">
        <f t="shared" si="1"/>
        <v>70</v>
      </c>
      <c r="C150" s="110">
        <f>C147+1</f>
        <v>24</v>
      </c>
      <c r="D150" s="148" t="s">
        <v>71</v>
      </c>
      <c r="E150" s="157"/>
      <c r="F150" s="121"/>
      <c r="G150" s="152"/>
      <c r="H150" s="132"/>
      <c r="I150" s="132"/>
      <c r="J150" s="132"/>
      <c r="K150" s="132"/>
      <c r="L150" s="132"/>
      <c r="M150" s="132"/>
      <c r="N150" s="132"/>
      <c r="O150" s="175"/>
    </row>
    <row r="151" spans="2:15">
      <c r="B151" s="146">
        <f t="shared" si="1"/>
        <v>71</v>
      </c>
      <c r="C151" s="147"/>
      <c r="D151" s="148" t="s">
        <v>72</v>
      </c>
      <c r="E151" s="157"/>
      <c r="F151" s="121"/>
      <c r="G151" s="152"/>
      <c r="H151" s="131"/>
      <c r="I151" s="132"/>
      <c r="J151" s="132"/>
      <c r="K151" s="132"/>
      <c r="L151" s="132"/>
      <c r="M151" s="132"/>
      <c r="N151" s="132"/>
      <c r="O151" s="175"/>
    </row>
    <row r="152" spans="2:15">
      <c r="B152" s="146">
        <f t="shared" si="1"/>
        <v>72</v>
      </c>
      <c r="C152" s="147"/>
      <c r="D152" s="148" t="s">
        <v>73</v>
      </c>
      <c r="E152" s="157"/>
      <c r="F152" s="121"/>
      <c r="G152" s="152"/>
      <c r="H152" s="132"/>
      <c r="I152" s="132"/>
      <c r="J152" s="132"/>
      <c r="K152" s="132"/>
      <c r="L152" s="132"/>
      <c r="M152" s="132"/>
      <c r="N152" s="132"/>
      <c r="O152" s="175"/>
    </row>
    <row r="153" spans="2:15">
      <c r="B153" s="146">
        <f t="shared" si="1"/>
        <v>73</v>
      </c>
      <c r="C153" s="110">
        <f>C150+1</f>
        <v>25</v>
      </c>
      <c r="D153" s="148" t="s">
        <v>71</v>
      </c>
      <c r="E153" s="157"/>
      <c r="F153" s="121"/>
      <c r="G153" s="152"/>
      <c r="H153" s="196"/>
      <c r="I153" s="132"/>
      <c r="J153" s="132"/>
      <c r="K153" s="132"/>
      <c r="L153" s="132"/>
      <c r="M153" s="132"/>
      <c r="N153" s="132"/>
      <c r="O153" s="175"/>
    </row>
    <row r="154" spans="2:15">
      <c r="B154" s="146">
        <f t="shared" si="1"/>
        <v>74</v>
      </c>
      <c r="C154" s="147"/>
      <c r="D154" s="148" t="s">
        <v>72</v>
      </c>
      <c r="E154" s="157"/>
      <c r="F154" s="121"/>
      <c r="G154" s="152"/>
      <c r="H154" s="195"/>
      <c r="I154" s="132"/>
      <c r="J154" s="132"/>
      <c r="K154" s="132"/>
      <c r="L154" s="132"/>
      <c r="M154" s="132"/>
      <c r="N154" s="132"/>
      <c r="O154" s="175"/>
    </row>
    <row r="155" spans="2:15">
      <c r="B155" s="146">
        <f t="shared" si="1"/>
        <v>75</v>
      </c>
      <c r="C155" s="147"/>
      <c r="D155" s="148" t="s">
        <v>73</v>
      </c>
      <c r="E155" s="157"/>
      <c r="F155" s="121"/>
      <c r="G155" s="152"/>
      <c r="H155" s="196"/>
      <c r="I155" s="132"/>
      <c r="J155" s="132"/>
      <c r="K155" s="132"/>
      <c r="L155" s="132"/>
      <c r="M155" s="132"/>
      <c r="N155" s="132"/>
      <c r="O155" s="175"/>
    </row>
    <row r="156" spans="2:15">
      <c r="B156" s="146">
        <f t="shared" si="1"/>
        <v>76</v>
      </c>
      <c r="C156" s="110">
        <f>C153+1</f>
        <v>26</v>
      </c>
      <c r="D156" s="148" t="s">
        <v>71</v>
      </c>
      <c r="E156" s="157"/>
      <c r="F156" s="121"/>
      <c r="G156" s="152"/>
      <c r="H156" s="195"/>
      <c r="I156" s="132"/>
      <c r="J156" s="132"/>
      <c r="K156" s="132"/>
      <c r="L156" s="132"/>
      <c r="M156" s="132"/>
      <c r="N156" s="132"/>
      <c r="O156" s="175"/>
    </row>
    <row r="157" spans="2:15">
      <c r="B157" s="146">
        <f t="shared" si="1"/>
        <v>77</v>
      </c>
      <c r="C157" s="147"/>
      <c r="D157" s="148" t="s">
        <v>72</v>
      </c>
      <c r="E157" s="157"/>
      <c r="F157" s="121"/>
      <c r="G157" s="152"/>
      <c r="H157" s="196"/>
      <c r="I157" s="132"/>
      <c r="J157" s="132"/>
      <c r="K157" s="132"/>
      <c r="L157" s="132"/>
      <c r="M157" s="132"/>
      <c r="N157" s="132"/>
      <c r="O157" s="175"/>
    </row>
    <row r="158" spans="2:15">
      <c r="B158" s="146">
        <f t="shared" si="1"/>
        <v>78</v>
      </c>
      <c r="C158" s="147"/>
      <c r="D158" s="148" t="s">
        <v>73</v>
      </c>
      <c r="E158" s="157"/>
      <c r="F158" s="121"/>
      <c r="G158" s="152"/>
      <c r="H158" s="195"/>
      <c r="I158" s="132"/>
      <c r="J158" s="132"/>
      <c r="K158" s="132"/>
      <c r="L158" s="132"/>
      <c r="M158" s="132"/>
      <c r="N158" s="132"/>
      <c r="O158" s="175"/>
    </row>
    <row r="159" spans="2:15">
      <c r="B159" s="146">
        <f t="shared" si="1"/>
        <v>79</v>
      </c>
      <c r="C159" s="110">
        <f>C156+1</f>
        <v>27</v>
      </c>
      <c r="D159" s="148" t="s">
        <v>71</v>
      </c>
      <c r="E159" s="157"/>
      <c r="F159" s="121"/>
      <c r="G159" s="152"/>
      <c r="H159" s="196"/>
      <c r="I159" s="132"/>
      <c r="J159" s="132"/>
      <c r="K159" s="132"/>
      <c r="L159" s="132"/>
      <c r="M159" s="132"/>
      <c r="N159" s="132"/>
      <c r="O159" s="175"/>
    </row>
    <row r="160" spans="2:15">
      <c r="B160" s="146">
        <f t="shared" si="1"/>
        <v>80</v>
      </c>
      <c r="C160" s="156"/>
      <c r="D160" s="148" t="s">
        <v>72</v>
      </c>
      <c r="E160" s="157"/>
      <c r="F160" s="121"/>
      <c r="G160" s="152"/>
      <c r="H160" s="195"/>
      <c r="I160" s="132"/>
      <c r="J160" s="132"/>
      <c r="K160" s="132"/>
      <c r="L160" s="132"/>
      <c r="M160" s="132"/>
      <c r="N160" s="132"/>
      <c r="O160" s="175"/>
    </row>
    <row r="161" spans="2:15">
      <c r="B161" s="146">
        <f t="shared" si="1"/>
        <v>81</v>
      </c>
      <c r="C161" s="158"/>
      <c r="D161" s="148" t="s">
        <v>73</v>
      </c>
      <c r="E161" s="157"/>
      <c r="F161" s="121"/>
      <c r="G161" s="152"/>
      <c r="H161" s="196"/>
      <c r="I161" s="132"/>
      <c r="J161" s="132"/>
      <c r="K161" s="132"/>
      <c r="L161" s="132"/>
      <c r="M161" s="132"/>
      <c r="N161" s="132"/>
      <c r="O161" s="175"/>
    </row>
    <row r="162" spans="2:15">
      <c r="B162" s="146">
        <f t="shared" si="1"/>
        <v>82</v>
      </c>
      <c r="C162" s="156">
        <f>C159+1</f>
        <v>28</v>
      </c>
      <c r="D162" s="148" t="s">
        <v>71</v>
      </c>
      <c r="E162" s="157"/>
      <c r="F162" s="121"/>
      <c r="G162" s="152"/>
      <c r="H162" s="132"/>
      <c r="I162" s="132"/>
      <c r="J162" s="132"/>
      <c r="K162" s="132"/>
      <c r="L162" s="132"/>
      <c r="M162" s="132"/>
      <c r="N162" s="132"/>
      <c r="O162" s="175"/>
    </row>
    <row r="163" spans="2:15">
      <c r="B163" s="146">
        <f t="shared" si="1"/>
        <v>83</v>
      </c>
      <c r="C163" s="156"/>
      <c r="D163" s="148" t="s">
        <v>72</v>
      </c>
      <c r="E163" s="159"/>
      <c r="F163" s="121"/>
      <c r="G163" s="152"/>
      <c r="H163" s="131"/>
      <c r="I163" s="132"/>
      <c r="J163" s="132"/>
      <c r="K163" s="132"/>
      <c r="L163" s="132"/>
      <c r="M163" s="132"/>
      <c r="N163" s="132"/>
      <c r="O163" s="175"/>
    </row>
    <row r="164" spans="2:15">
      <c r="B164" s="146">
        <f t="shared" si="1"/>
        <v>84</v>
      </c>
      <c r="C164" s="156"/>
      <c r="D164" s="148" t="s">
        <v>73</v>
      </c>
      <c r="E164" s="157"/>
      <c r="F164" s="121"/>
      <c r="G164" s="152"/>
      <c r="H164" s="132"/>
      <c r="I164" s="132"/>
      <c r="J164" s="132"/>
      <c r="K164" s="132"/>
      <c r="L164" s="132"/>
      <c r="M164" s="132"/>
      <c r="N164" s="132"/>
      <c r="O164" s="175"/>
    </row>
    <row r="165" spans="2:15">
      <c r="B165" s="146">
        <f t="shared" si="1"/>
        <v>85</v>
      </c>
      <c r="C165" s="156">
        <f>C162+1</f>
        <v>29</v>
      </c>
      <c r="D165" s="148" t="s">
        <v>71</v>
      </c>
      <c r="E165" s="157"/>
      <c r="F165" s="121"/>
      <c r="G165" s="152"/>
      <c r="H165" s="131"/>
      <c r="I165" s="132"/>
      <c r="J165" s="132"/>
      <c r="K165" s="132"/>
      <c r="L165" s="132"/>
      <c r="M165" s="132"/>
      <c r="N165" s="132"/>
      <c r="O165" s="175"/>
    </row>
    <row r="166" spans="2:15">
      <c r="B166" s="146">
        <f t="shared" si="1"/>
        <v>86</v>
      </c>
      <c r="C166" s="156"/>
      <c r="D166" s="148" t="s">
        <v>72</v>
      </c>
      <c r="E166" s="157"/>
      <c r="F166" s="121"/>
      <c r="G166" s="152"/>
      <c r="H166" s="160"/>
      <c r="I166" s="132"/>
      <c r="J166" s="132"/>
      <c r="K166" s="132"/>
      <c r="L166" s="132"/>
      <c r="M166" s="132"/>
      <c r="N166" s="132"/>
      <c r="O166" s="175"/>
    </row>
    <row r="167" spans="2:15">
      <c r="B167" s="146">
        <f t="shared" si="1"/>
        <v>87</v>
      </c>
      <c r="C167" s="156"/>
      <c r="D167" s="148" t="s">
        <v>73</v>
      </c>
      <c r="E167" s="157"/>
      <c r="F167" s="121"/>
      <c r="G167" s="152"/>
      <c r="H167" s="160"/>
      <c r="I167" s="132"/>
      <c r="J167" s="132"/>
      <c r="K167" s="132"/>
      <c r="L167" s="132"/>
      <c r="M167" s="132"/>
      <c r="N167" s="132"/>
      <c r="O167" s="175"/>
    </row>
    <row r="168" spans="2:15">
      <c r="B168" s="146">
        <f t="shared" si="1"/>
        <v>88</v>
      </c>
      <c r="C168" s="156">
        <f>C165+1</f>
        <v>30</v>
      </c>
      <c r="D168" s="148" t="s">
        <v>71</v>
      </c>
      <c r="E168" s="157"/>
      <c r="F168" s="121"/>
      <c r="G168" s="152"/>
      <c r="H168" s="123"/>
      <c r="I168" s="132"/>
      <c r="J168" s="132"/>
      <c r="K168" s="132"/>
      <c r="L168" s="132"/>
      <c r="M168" s="132"/>
      <c r="N168" s="132"/>
      <c r="O168" s="175"/>
    </row>
    <row r="169" spans="2:15">
      <c r="B169" s="146">
        <f t="shared" si="1"/>
        <v>89</v>
      </c>
      <c r="C169" s="156"/>
      <c r="D169" s="148" t="s">
        <v>72</v>
      </c>
      <c r="E169" s="159"/>
      <c r="F169" s="121"/>
      <c r="G169" s="152"/>
      <c r="H169" s="134"/>
      <c r="I169" s="132"/>
      <c r="J169" s="132"/>
      <c r="K169" s="132"/>
      <c r="L169" s="132"/>
      <c r="M169" s="132"/>
      <c r="N169" s="132"/>
      <c r="O169" s="175"/>
    </row>
    <row r="170" spans="2:15">
      <c r="B170" s="146">
        <f t="shared" si="1"/>
        <v>90</v>
      </c>
      <c r="C170" s="156"/>
      <c r="D170" s="148" t="s">
        <v>73</v>
      </c>
      <c r="E170" s="157"/>
      <c r="F170" s="121"/>
      <c r="G170" s="152"/>
      <c r="H170" s="161"/>
      <c r="I170" s="132"/>
      <c r="J170" s="132"/>
      <c r="K170" s="132"/>
      <c r="L170" s="132"/>
      <c r="M170" s="132"/>
      <c r="N170" s="132"/>
      <c r="O170" s="175"/>
    </row>
    <row r="171" spans="2:15">
      <c r="B171" s="146">
        <f t="shared" si="1"/>
        <v>91</v>
      </c>
      <c r="C171" s="156">
        <v>31</v>
      </c>
      <c r="D171" s="148" t="s">
        <v>71</v>
      </c>
      <c r="E171" s="157"/>
      <c r="F171" s="121"/>
      <c r="G171" s="152"/>
      <c r="H171" s="131"/>
      <c r="I171" s="132"/>
      <c r="J171" s="132"/>
      <c r="K171" s="132"/>
      <c r="L171" s="132"/>
      <c r="M171" s="132"/>
      <c r="N171" s="132"/>
      <c r="O171" s="175"/>
    </row>
    <row r="172" spans="2:15">
      <c r="B172" s="146">
        <f t="shared" si="1"/>
        <v>92</v>
      </c>
      <c r="C172" s="156"/>
      <c r="D172" s="148" t="s">
        <v>72</v>
      </c>
      <c r="E172" s="157"/>
      <c r="F172" s="121"/>
      <c r="G172" s="152"/>
      <c r="H172" s="160"/>
      <c r="I172" s="132"/>
      <c r="J172" s="132"/>
      <c r="K172" s="132"/>
      <c r="L172" s="132"/>
      <c r="M172" s="132"/>
      <c r="N172" s="132"/>
      <c r="O172" s="175"/>
    </row>
    <row r="173" spans="2:15">
      <c r="B173" s="146">
        <f t="shared" si="1"/>
        <v>93</v>
      </c>
      <c r="C173" s="162"/>
      <c r="D173" s="148" t="s">
        <v>73</v>
      </c>
      <c r="E173" s="157"/>
      <c r="F173" s="121"/>
      <c r="G173" s="152"/>
      <c r="H173" s="145"/>
      <c r="I173" s="163"/>
      <c r="J173" s="163"/>
      <c r="K173" s="132"/>
      <c r="L173" s="132"/>
      <c r="M173" s="132"/>
      <c r="N173" s="132"/>
      <c r="O173" s="175"/>
    </row>
    <row r="174" spans="2:15">
      <c r="B174" s="164"/>
      <c r="C174" s="165"/>
      <c r="D174" s="166"/>
      <c r="E174" s="177">
        <f>SUM(E81:E173)</f>
        <v>0</v>
      </c>
      <c r="F174" s="178">
        <f>SUM(F81:F173)</f>
        <v>0</v>
      </c>
      <c r="G174" s="178">
        <f>SUM(G81:G173)</f>
        <v>0</v>
      </c>
      <c r="H174" s="299" t="s">
        <v>74</v>
      </c>
      <c r="I174" s="299"/>
      <c r="J174" s="299"/>
      <c r="K174" s="167">
        <f>SUM(E174:G174)</f>
        <v>0</v>
      </c>
      <c r="L174" s="168"/>
      <c r="M174" s="168"/>
      <c r="N174" s="168"/>
      <c r="O174" s="176"/>
    </row>
  </sheetData>
  <mergeCells count="11">
    <mergeCell ref="E79:G79"/>
    <mergeCell ref="H80:L80"/>
    <mergeCell ref="H174:J174"/>
    <mergeCell ref="B1:L1"/>
    <mergeCell ref="B3:D4"/>
    <mergeCell ref="B18:D19"/>
    <mergeCell ref="E18:H19"/>
    <mergeCell ref="B32:D33"/>
    <mergeCell ref="B60:F61"/>
    <mergeCell ref="B45:C46"/>
    <mergeCell ref="D45:F46"/>
  </mergeCells>
  <phoneticPr fontId="2"/>
  <conditionalFormatting sqref="H172">
    <cfRule type="expression" dxfId="13" priority="5" stopIfTrue="1">
      <formula>$B172="*"</formula>
    </cfRule>
    <cfRule type="expression" dxfId="12" priority="6" stopIfTrue="1">
      <formula>$B172="-"</formula>
    </cfRule>
  </conditionalFormatting>
  <conditionalFormatting sqref="H166:H167">
    <cfRule type="expression" dxfId="11" priority="3" stopIfTrue="1">
      <formula>$B163="*"</formula>
    </cfRule>
    <cfRule type="expression" dxfId="10" priority="4" stopIfTrue="1">
      <formula>$B163="-"</formula>
    </cfRule>
  </conditionalFormatting>
  <conditionalFormatting sqref="H170">
    <cfRule type="expression" dxfId="9" priority="1" stopIfTrue="1">
      <formula>$B170="*"</formula>
    </cfRule>
    <cfRule type="expression" dxfId="8" priority="2" stopIfTrue="1">
      <formula>$B170="-"</formula>
    </cfRule>
  </conditionalFormatting>
  <pageMargins left="0.44" right="0.94" top="0.52" bottom="0.16" header="0.51200000000000001" footer="0.16"/>
  <pageSetup paperSize="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S59"/>
  <sheetViews>
    <sheetView topLeftCell="E1" zoomScale="72" zoomScaleNormal="72" workbookViewId="0">
      <pane ySplit="3" topLeftCell="A40" activePane="bottomLeft" state="frozen"/>
      <selection pane="bottomLeft" activeCell="X34" sqref="X34"/>
    </sheetView>
  </sheetViews>
  <sheetFormatPr defaultColWidth="9" defaultRowHeight="17.25"/>
  <cols>
    <col min="1" max="1" width="5.09765625" style="5" customWidth="1"/>
    <col min="2" max="2" width="8.8984375" style="5" customWidth="1"/>
    <col min="3" max="3" width="12.8984375" style="5" customWidth="1"/>
    <col min="4" max="4" width="15.09765625" style="5" bestFit="1" customWidth="1"/>
    <col min="5" max="5" width="16.8984375" style="5" bestFit="1" customWidth="1"/>
    <col min="6" max="6" width="15.59765625" style="5" customWidth="1"/>
    <col min="7" max="8" width="16.8984375" style="5" customWidth="1"/>
    <col min="9" max="9" width="16.8984375" style="5" bestFit="1" customWidth="1"/>
    <col min="10" max="11" width="11.19921875" style="5" customWidth="1"/>
    <col min="12" max="14" width="11.8984375" style="5" customWidth="1"/>
    <col min="15" max="17" width="9.59765625" style="5" customWidth="1"/>
    <col min="18" max="18" width="11.8984375" style="5" customWidth="1"/>
    <col min="19" max="19" width="13.09765625" style="5" hidden="1" customWidth="1"/>
    <col min="20" max="20" width="13.09765625" style="5" customWidth="1"/>
    <col min="21" max="21" width="10.3984375" style="5" bestFit="1" customWidth="1"/>
    <col min="22" max="22" width="11.3984375" style="5" bestFit="1" customWidth="1"/>
    <col min="23" max="31" width="9.59765625" style="5" customWidth="1"/>
    <col min="32" max="32" width="10.296875" style="5" customWidth="1"/>
    <col min="33" max="33" width="12.5" style="5" bestFit="1" customWidth="1"/>
    <col min="34" max="37" width="9.59765625" style="5" customWidth="1"/>
    <col min="38" max="38" width="11" style="7" bestFit="1" customWidth="1"/>
    <col min="39" max="39" width="12" style="5" hidden="1" customWidth="1"/>
    <col min="40" max="40" width="9.59765625" style="5" customWidth="1"/>
    <col min="41" max="41" width="8.09765625" style="24" bestFit="1" customWidth="1"/>
    <col min="42" max="42" width="9" style="7" bestFit="1" customWidth="1"/>
    <col min="43" max="43" width="7.5" style="5" bestFit="1" customWidth="1"/>
    <col min="44" max="44" width="9.3984375" style="5" bestFit="1" customWidth="1"/>
    <col min="45" max="45" width="12.5" style="5" customWidth="1"/>
    <col min="46" max="57" width="9" style="5"/>
    <col min="58" max="58" width="3.19921875" style="5" customWidth="1"/>
    <col min="59" max="59" width="8.5" style="5" customWidth="1"/>
    <col min="60" max="60" width="10.5" style="5" customWidth="1"/>
    <col min="61" max="61" width="9.296875" style="5" customWidth="1"/>
    <col min="62" max="66" width="9" style="5"/>
    <col min="67" max="70" width="0" style="254" hidden="1" customWidth="1"/>
    <col min="71" max="71" width="11.796875" style="254" hidden="1" customWidth="1"/>
    <col min="72" max="82" width="0" style="5" hidden="1" customWidth="1"/>
    <col min="83" max="16384" width="9" style="5"/>
  </cols>
  <sheetData>
    <row r="1" spans="1:71" ht="30" customHeight="1">
      <c r="A1" s="13"/>
      <c r="B1"/>
      <c r="C1"/>
      <c r="D1"/>
      <c r="E1" s="249" t="s">
        <v>123</v>
      </c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 s="25"/>
      <c r="AF1" s="25"/>
      <c r="AG1"/>
      <c r="AH1"/>
      <c r="AI1"/>
      <c r="AJ1"/>
      <c r="AK1"/>
      <c r="AL1"/>
      <c r="AM1"/>
      <c r="AN1"/>
      <c r="AO1"/>
      <c r="AP1"/>
      <c r="AQ1"/>
      <c r="AR1" s="310" t="s">
        <v>40</v>
      </c>
      <c r="AS1"/>
      <c r="AT1"/>
      <c r="AU1"/>
      <c r="AV1"/>
      <c r="AW1"/>
      <c r="AX1"/>
    </row>
    <row r="2" spans="1:71" ht="18" customHeight="1" thickBot="1">
      <c r="A2" s="13"/>
      <c r="B2" s="4"/>
      <c r="C2" s="4"/>
      <c r="D2" s="4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/>
      <c r="AF2"/>
      <c r="AG2"/>
      <c r="AH2" s="1"/>
      <c r="AI2" s="1"/>
      <c r="AJ2" s="1"/>
      <c r="AK2" s="2"/>
      <c r="AL2" s="8"/>
      <c r="AM2" s="3"/>
      <c r="AN2" s="13"/>
      <c r="AO2" s="22"/>
      <c r="AP2" s="21"/>
      <c r="AQ2"/>
      <c r="AR2" s="311"/>
      <c r="AT2" s="306" t="s">
        <v>43</v>
      </c>
      <c r="AU2" s="307"/>
      <c r="AV2" s="307"/>
      <c r="AW2" s="307"/>
      <c r="AX2" s="308" t="s">
        <v>44</v>
      </c>
      <c r="AY2" s="307"/>
      <c r="AZ2" s="307"/>
      <c r="BA2" s="307"/>
      <c r="BB2" s="308" t="s">
        <v>101</v>
      </c>
      <c r="BC2" s="307"/>
      <c r="BD2" s="307"/>
      <c r="BE2" s="307"/>
      <c r="BR2" s="285" t="s">
        <v>137</v>
      </c>
      <c r="BS2" s="285">
        <v>5</v>
      </c>
    </row>
    <row r="3" spans="1:71" ht="71.25" customHeight="1" thickBot="1">
      <c r="A3" s="13"/>
      <c r="B3" s="29" t="s">
        <v>6</v>
      </c>
      <c r="C3" s="46" t="s">
        <v>7</v>
      </c>
      <c r="D3" s="45" t="s">
        <v>8</v>
      </c>
      <c r="E3" s="48" t="s">
        <v>9</v>
      </c>
      <c r="F3" s="49" t="s">
        <v>10</v>
      </c>
      <c r="G3" s="45" t="s">
        <v>11</v>
      </c>
      <c r="H3" s="48" t="s">
        <v>61</v>
      </c>
      <c r="I3" s="48" t="s">
        <v>12</v>
      </c>
      <c r="J3" s="48" t="s">
        <v>13</v>
      </c>
      <c r="K3" s="48" t="s">
        <v>79</v>
      </c>
      <c r="L3" s="46" t="s">
        <v>14</v>
      </c>
      <c r="M3" s="48" t="s">
        <v>15</v>
      </c>
      <c r="N3" s="45" t="s">
        <v>99</v>
      </c>
      <c r="O3" s="48" t="s">
        <v>16</v>
      </c>
      <c r="P3" s="36" t="s">
        <v>17</v>
      </c>
      <c r="Q3" s="48" t="s">
        <v>18</v>
      </c>
      <c r="R3" s="45" t="s">
        <v>19</v>
      </c>
      <c r="S3" s="50" t="s">
        <v>20</v>
      </c>
      <c r="T3" s="45" t="s">
        <v>98</v>
      </c>
      <c r="U3" s="36" t="s">
        <v>21</v>
      </c>
      <c r="V3" s="45" t="s">
        <v>22</v>
      </c>
      <c r="W3" s="46" t="s">
        <v>24</v>
      </c>
      <c r="X3" s="46" t="s">
        <v>25</v>
      </c>
      <c r="Y3" s="45" t="s">
        <v>23</v>
      </c>
      <c r="Z3" s="48" t="s">
        <v>26</v>
      </c>
      <c r="AA3" s="36" t="s">
        <v>27</v>
      </c>
      <c r="AB3" s="45" t="s">
        <v>30</v>
      </c>
      <c r="AC3" s="36" t="s">
        <v>29</v>
      </c>
      <c r="AD3" s="45" t="s">
        <v>28</v>
      </c>
      <c r="AE3" s="48" t="s">
        <v>80</v>
      </c>
      <c r="AF3" s="54" t="s">
        <v>81</v>
      </c>
      <c r="AG3" s="36" t="s">
        <v>31</v>
      </c>
      <c r="AH3" s="36" t="s">
        <v>32</v>
      </c>
      <c r="AI3" s="36" t="s">
        <v>33</v>
      </c>
      <c r="AJ3" s="48" t="s">
        <v>34</v>
      </c>
      <c r="AK3" s="54" t="s">
        <v>35</v>
      </c>
      <c r="AL3" s="55" t="s">
        <v>78</v>
      </c>
      <c r="AM3" s="44" t="s">
        <v>1</v>
      </c>
      <c r="AN3" s="49" t="s">
        <v>36</v>
      </c>
      <c r="AO3" s="58" t="s">
        <v>37</v>
      </c>
      <c r="AP3" s="58" t="s">
        <v>38</v>
      </c>
      <c r="AQ3" s="49" t="s">
        <v>39</v>
      </c>
      <c r="AR3" s="66">
        <v>-0.3</v>
      </c>
      <c r="AS3" s="252" t="s">
        <v>124</v>
      </c>
      <c r="AT3" s="67" t="s">
        <v>42</v>
      </c>
      <c r="AU3" s="68" t="s">
        <v>45</v>
      </c>
      <c r="AV3" s="68" t="s">
        <v>46</v>
      </c>
      <c r="AW3" s="69" t="s">
        <v>47</v>
      </c>
      <c r="AX3" s="67" t="s">
        <v>42</v>
      </c>
      <c r="AY3" s="68" t="s">
        <v>45</v>
      </c>
      <c r="AZ3" s="68" t="s">
        <v>46</v>
      </c>
      <c r="BA3" s="70" t="s">
        <v>47</v>
      </c>
      <c r="BB3" s="67" t="s">
        <v>42</v>
      </c>
      <c r="BC3" s="68" t="s">
        <v>45</v>
      </c>
      <c r="BD3" s="68" t="s">
        <v>46</v>
      </c>
      <c r="BE3" s="70" t="s">
        <v>47</v>
      </c>
      <c r="BG3" s="179" t="s">
        <v>143</v>
      </c>
      <c r="BH3" s="180" t="s">
        <v>144</v>
      </c>
      <c r="BI3" s="181" t="s">
        <v>145</v>
      </c>
      <c r="BO3" s="282" t="s">
        <v>132</v>
      </c>
      <c r="BP3" s="282" t="s">
        <v>133</v>
      </c>
      <c r="BQ3" s="283" t="s">
        <v>134</v>
      </c>
      <c r="BR3" s="282" t="s">
        <v>135</v>
      </c>
      <c r="BS3" s="282" t="s">
        <v>136</v>
      </c>
    </row>
    <row r="4" spans="1:71" ht="30" customHeight="1">
      <c r="A4" s="15"/>
      <c r="B4" s="200">
        <v>1</v>
      </c>
      <c r="C4" s="47">
        <f>'MONTHLY REPORT SHIFT WISE'!C4+'MONTHLY REPORT SHIFT WISE'!C39+'MONTHLY REPORT SHIFT WISE'!C75</f>
        <v>0</v>
      </c>
      <c r="D4" s="38">
        <f>C4/1000</f>
        <v>0</v>
      </c>
      <c r="E4" s="47">
        <f>'MONTHLY REPORT SHIFT WISE'!E4+'MONTHLY REPORT SHIFT WISE'!E39+'MONTHLY REPORT SHIFT WISE'!E75</f>
        <v>0</v>
      </c>
      <c r="F4" s="38">
        <f>E4-J4</f>
        <v>0</v>
      </c>
      <c r="G4" s="38">
        <f>F4/1000</f>
        <v>0</v>
      </c>
      <c r="H4" s="47">
        <f>'MONTHLY REPORT SHIFT WISE'!H4+'MONTHLY REPORT SHIFT WISE'!H39+'MONTHLY REPORT SHIFT WISE'!H75</f>
        <v>0</v>
      </c>
      <c r="I4" s="47">
        <f>'MONTHLY REPORT SHIFT WISE'!I4+'MONTHLY REPORT SHIFT WISE'!I39+'MONTHLY REPORT SHIFT WISE'!I75</f>
        <v>0</v>
      </c>
      <c r="J4" s="47">
        <f>'MONTHLY REPORT SHIFT WISE'!J4+'MONTHLY REPORT SHIFT WISE'!J39+'MONTHLY REPORT SHIFT WISE'!J75</f>
        <v>0</v>
      </c>
      <c r="K4" s="47">
        <f>'MONTHLY REPORT SHIFT WISE'!K4+'MONTHLY REPORT SHIFT WISE'!K39+'MONTHLY REPORT SHIFT WISE'!K75</f>
        <v>0</v>
      </c>
      <c r="L4" s="47">
        <f>'MONTHLY REPORT SHIFT WISE'!L4+'MONTHLY REPORT SHIFT WISE'!L39+'MONTHLY REPORT SHIFT WISE'!L75</f>
        <v>0</v>
      </c>
      <c r="M4" s="47">
        <f>'MONTHLY REPORT SHIFT WISE'!M4+'MONTHLY REPORT SHIFT WISE'!M39+'MONTHLY REPORT SHIFT WISE'!M75</f>
        <v>0</v>
      </c>
      <c r="N4" s="38">
        <f>M4</f>
        <v>0</v>
      </c>
      <c r="O4" s="47">
        <f>'MONTHLY REPORT SHIFT WISE'!O4+'MONTHLY REPORT SHIFT WISE'!O39+'MONTHLY REPORT SHIFT WISE'!O75</f>
        <v>0</v>
      </c>
      <c r="P4" s="43" t="e">
        <f>IF(O4="","",O4/X4)</f>
        <v>#DIV/0!</v>
      </c>
      <c r="Q4" s="47">
        <f>'MONTHLY REPORT SHIFT WISE'!Q4+'MONTHLY REPORT SHIFT WISE'!Q39+'MONTHLY REPORT SHIFT WISE'!Q75</f>
        <v>0</v>
      </c>
      <c r="R4" s="38">
        <f>Q4</f>
        <v>0</v>
      </c>
      <c r="S4" s="51"/>
      <c r="T4" s="43" t="e">
        <f>L4/W4</f>
        <v>#DIV/0!</v>
      </c>
      <c r="U4" s="43" t="e">
        <f>IF(M4="","",M4/X4)</f>
        <v>#DIV/0!</v>
      </c>
      <c r="V4" s="43" t="e">
        <f>N4/Y4</f>
        <v>#DIV/0!</v>
      </c>
      <c r="W4" s="47">
        <f>'MONTHLY REPORT SHIFT WISE'!W4+'MONTHLY REPORT SHIFT WISE'!W39+'MONTHLY REPORT SHIFT WISE'!W75</f>
        <v>0</v>
      </c>
      <c r="X4" s="51">
        <f>(('MONTHLY REPORT SHIFT WISE'!X4+'MONTHLY REPORT SHIFT WISE'!X39+'MONTHLY REPORT SHIFT WISE'!X75)-SUM(Graphs!G81:G83)/60)</f>
        <v>0</v>
      </c>
      <c r="Y4" s="43">
        <f>X4</f>
        <v>0</v>
      </c>
      <c r="Z4" s="47">
        <f>'MONTHLY REPORT SHIFT WISE'!Z4+'MONTHLY REPORT SHIFT WISE'!Z39+'MONTHLY REPORT SHIFT WISE'!Z75</f>
        <v>0</v>
      </c>
      <c r="AA4" s="38">
        <f>IF(X4="","",X4*(AU4+AY4))</f>
        <v>0</v>
      </c>
      <c r="AB4" s="52" t="str">
        <f>IF(C4=0,"",C4/1000/W4)</f>
        <v/>
      </c>
      <c r="AC4" s="52" t="str">
        <f>IF(F4=0,"",F4/1000/X4)</f>
        <v/>
      </c>
      <c r="AD4" s="52" t="e">
        <f>G4/Y4</f>
        <v>#DIV/0!</v>
      </c>
      <c r="AE4" s="47">
        <f>('MONTHLY REPORT SHIFT WISE'!AE4+'MONTHLY REPORT SHIFT WISE'!AE39+'MONTHLY REPORT SHIFT WISE'!AE75)-SUM(Graphs!G81:G83)</f>
        <v>0</v>
      </c>
      <c r="AF4" s="47">
        <f>'MONTHLY REPORT SHIFT WISE'!AF4+'MONTHLY REPORT SHIFT WISE'!AF39+'MONTHLY REPORT SHIFT WISE'!AF75</f>
        <v>0</v>
      </c>
      <c r="AG4" s="52" t="str">
        <f>IF(F4=0,"",F4/1000/AA4)</f>
        <v/>
      </c>
      <c r="AH4" s="43" t="e">
        <f>IF(M4="","",M4/X4)</f>
        <v>#DIV/0!</v>
      </c>
      <c r="AI4" s="52" t="str">
        <f>IF(F4=0,"",F4/1000/M4)</f>
        <v/>
      </c>
      <c r="AJ4" s="47">
        <f>'MONTHLY REPORT SHIFT WISE'!AJ4+'MONTHLY REPORT SHIFT WISE'!AJ39+'MONTHLY REPORT SHIFT WISE'!AJ75</f>
        <v>0</v>
      </c>
      <c r="AK4" s="47">
        <f>'MONTHLY REPORT SHIFT WISE'!AK4+'MONTHLY REPORT SHIFT WISE'!AK39+'MONTHLY REPORT SHIFT WISE'!AK75</f>
        <v>0</v>
      </c>
      <c r="AL4" s="43" t="str">
        <f>IF(X4=0,"",((X4+Z4)-(AE4/60)-AK4)/M4)</f>
        <v/>
      </c>
      <c r="AM4" s="38"/>
      <c r="AN4" s="56" t="str">
        <f>IF(F4=0,"",AK4/(X4*60))</f>
        <v/>
      </c>
      <c r="AO4" s="47"/>
      <c r="AP4" s="60" t="e">
        <f>IF(E4="","",(AS4/F4)*100)</f>
        <v>#DIV/0!</v>
      </c>
      <c r="AQ4" s="61" t="e">
        <f>IF(AP4="","",AP4-AO4)</f>
        <v>#DIV/0!</v>
      </c>
      <c r="AR4" s="62">
        <f>$AR$3</f>
        <v>-0.3</v>
      </c>
      <c r="AS4" s="257">
        <f>'MONTHLY REPORT SHIFT WISE'!AS4+'MONTHLY REPORT SHIFT WISE'!AS39+'MONTHLY REPORT SHIFT WISE'!AS75</f>
        <v>0</v>
      </c>
      <c r="AT4" s="71">
        <f>'MONTHLY REPORT SHIFT WISE'!AT4</f>
        <v>0</v>
      </c>
      <c r="AU4" s="71">
        <f>'MONTHLY REPORT SHIFT WISE'!AU4</f>
        <v>0</v>
      </c>
      <c r="AV4" s="72"/>
      <c r="AW4" s="73">
        <f>AT4-AU4-AV4</f>
        <v>0</v>
      </c>
      <c r="AX4" s="71">
        <f>'MONTHLY REPORT SHIFT WISE'!AT39</f>
        <v>0</v>
      </c>
      <c r="AY4" s="71">
        <f>'MONTHLY REPORT SHIFT WISE'!AU39</f>
        <v>0</v>
      </c>
      <c r="AZ4" s="72"/>
      <c r="BA4" s="74">
        <f>AX4-AY4-AZ4</f>
        <v>0</v>
      </c>
      <c r="BB4" s="71">
        <f>'MONTHLY REPORT SHIFT WISE'!AT75</f>
        <v>0</v>
      </c>
      <c r="BC4" s="71">
        <f>'MONTHLY REPORT SHIFT WISE'!AU75</f>
        <v>0</v>
      </c>
      <c r="BD4" s="72"/>
      <c r="BE4" s="74">
        <f>BB4-BC4-BD4</f>
        <v>0</v>
      </c>
      <c r="BG4" s="182" t="str">
        <f>IF(AO4=0,"",(BI4*AO4/100))</f>
        <v/>
      </c>
      <c r="BH4" s="182" t="str">
        <f>IF(AO4=0,"",(BI4*AP4/100))</f>
        <v/>
      </c>
      <c r="BI4" s="182" t="str">
        <f>IF(AO4=0,"",F4)</f>
        <v/>
      </c>
      <c r="BO4" s="284">
        <f>B4</f>
        <v>1</v>
      </c>
      <c r="BP4" s="284">
        <f>AS4/1000</f>
        <v>0</v>
      </c>
      <c r="BQ4" s="284">
        <f>X4</f>
        <v>0</v>
      </c>
      <c r="BR4" s="284" t="e">
        <f>BP4/BQ4</f>
        <v>#DIV/0!</v>
      </c>
      <c r="BS4" s="284" t="e">
        <f>(BQ4/$BS$2)/BP4</f>
        <v>#DIV/0!</v>
      </c>
    </row>
    <row r="5" spans="1:71" ht="30" customHeight="1">
      <c r="A5" s="15"/>
      <c r="B5" s="26">
        <v>2</v>
      </c>
      <c r="C5" s="47">
        <f>'MONTHLY REPORT SHIFT WISE'!C5+'MONTHLY REPORT SHIFT WISE'!C40+'MONTHLY REPORT SHIFT WISE'!C76</f>
        <v>0</v>
      </c>
      <c r="D5" s="38">
        <f>C5/1000+D4</f>
        <v>0</v>
      </c>
      <c r="E5" s="47">
        <f>'MONTHLY REPORT SHIFT WISE'!E5+'MONTHLY REPORT SHIFT WISE'!E40+'MONTHLY REPORT SHIFT WISE'!E76</f>
        <v>0</v>
      </c>
      <c r="F5" s="38">
        <f>E5-J5</f>
        <v>0</v>
      </c>
      <c r="G5" s="38">
        <f>F5/1000+G4</f>
        <v>0</v>
      </c>
      <c r="H5" s="47">
        <f>'MONTHLY REPORT SHIFT WISE'!H5+'MONTHLY REPORT SHIFT WISE'!H40+'MONTHLY REPORT SHIFT WISE'!H76</f>
        <v>0</v>
      </c>
      <c r="I5" s="47">
        <f>'MONTHLY REPORT SHIFT WISE'!I5+'MONTHLY REPORT SHIFT WISE'!I40+'MONTHLY REPORT SHIFT WISE'!I76</f>
        <v>0</v>
      </c>
      <c r="J5" s="47">
        <f>'MONTHLY REPORT SHIFT WISE'!J5+'MONTHLY REPORT SHIFT WISE'!J40+'MONTHLY REPORT SHIFT WISE'!J76</f>
        <v>0</v>
      </c>
      <c r="K5" s="47">
        <f>'MONTHLY REPORT SHIFT WISE'!K5+'MONTHLY REPORT SHIFT WISE'!K40+'MONTHLY REPORT SHIFT WISE'!K76</f>
        <v>0</v>
      </c>
      <c r="L5" s="47">
        <f>'MONTHLY REPORT SHIFT WISE'!L5+'MONTHLY REPORT SHIFT WISE'!L40+'MONTHLY REPORT SHIFT WISE'!L76</f>
        <v>0</v>
      </c>
      <c r="M5" s="47">
        <f>'MONTHLY REPORT SHIFT WISE'!M5+'MONTHLY REPORT SHIFT WISE'!M40+'MONTHLY REPORT SHIFT WISE'!M76</f>
        <v>0</v>
      </c>
      <c r="N5" s="38">
        <f>M5+N4</f>
        <v>0</v>
      </c>
      <c r="O5" s="47">
        <f>'MONTHLY REPORT SHIFT WISE'!O5+'MONTHLY REPORT SHIFT WISE'!O40+'MONTHLY REPORT SHIFT WISE'!O76</f>
        <v>0</v>
      </c>
      <c r="P5" s="43" t="e">
        <f t="shared" ref="P5:P34" si="0">IF(O5="","",O5/X5)</f>
        <v>#DIV/0!</v>
      </c>
      <c r="Q5" s="47">
        <f>'MONTHLY REPORT SHIFT WISE'!Q5+'MONTHLY REPORT SHIFT WISE'!Q40+'MONTHLY REPORT SHIFT WISE'!Q76</f>
        <v>0</v>
      </c>
      <c r="R5" s="38">
        <f>Q5+R4</f>
        <v>0</v>
      </c>
      <c r="S5" s="51"/>
      <c r="T5" s="43" t="e">
        <f>L5/W5</f>
        <v>#DIV/0!</v>
      </c>
      <c r="U5" s="43" t="e">
        <f>IF(M5="","",M5/X5)</f>
        <v>#DIV/0!</v>
      </c>
      <c r="V5" s="43" t="e">
        <f>N5/Y5</f>
        <v>#DIV/0!</v>
      </c>
      <c r="W5" s="47">
        <f>'MONTHLY REPORT SHIFT WISE'!W5+'MONTHLY REPORT SHIFT WISE'!W40+'MONTHLY REPORT SHIFT WISE'!W76</f>
        <v>0</v>
      </c>
      <c r="X5" s="47">
        <f>(('MONTHLY REPORT SHIFT WISE'!X5+'MONTHLY REPORT SHIFT WISE'!X40+'MONTHLY REPORT SHIFT WISE'!X76)-SUM(Graphs!G84:G86)/60)</f>
        <v>0</v>
      </c>
      <c r="Y5" s="43">
        <f>X5+Y4</f>
        <v>0</v>
      </c>
      <c r="Z5" s="47">
        <f>'MONTHLY REPORT SHIFT WISE'!Z5+'MONTHLY REPORT SHIFT WISE'!Z40+'MONTHLY REPORT SHIFT WISE'!Z76</f>
        <v>0</v>
      </c>
      <c r="AA5" s="38">
        <f t="shared" ref="AA5:AA34" si="1">IF(X5="","",X5*(AU5+AY5))</f>
        <v>0</v>
      </c>
      <c r="AB5" s="52" t="str">
        <f>IF(C5=0,"",C5/1000/W5)</f>
        <v/>
      </c>
      <c r="AC5" s="52" t="str">
        <f t="shared" ref="AC5:AC34" si="2">IF(F5=0,"",F5/1000/X5)</f>
        <v/>
      </c>
      <c r="AD5" s="52" t="e">
        <f t="shared" ref="AD5:AD34" si="3">G5/Y5</f>
        <v>#DIV/0!</v>
      </c>
      <c r="AE5" s="47">
        <f>('MONTHLY REPORT SHIFT WISE'!AE5+'MONTHLY REPORT SHIFT WISE'!AE40+'MONTHLY REPORT SHIFT WISE'!AE76)-SUM(Graphs!G84:G86)</f>
        <v>0</v>
      </c>
      <c r="AF5" s="47">
        <f>'MONTHLY REPORT SHIFT WISE'!AF5+'MONTHLY REPORT SHIFT WISE'!AF40+'MONTHLY REPORT SHIFT WISE'!AF76</f>
        <v>0</v>
      </c>
      <c r="AG5" s="52" t="str">
        <f t="shared" ref="AG5:AG34" si="4">IF(F5=0,"",F5/1000/AA5)</f>
        <v/>
      </c>
      <c r="AH5" s="43" t="e">
        <f t="shared" ref="AH5:AH34" si="5">IF(M5="","",M5/X5)</f>
        <v>#DIV/0!</v>
      </c>
      <c r="AI5" s="52" t="str">
        <f t="shared" ref="AI5:AI34" si="6">IF(F5=0,"",F5/1000/M5)</f>
        <v/>
      </c>
      <c r="AJ5" s="47">
        <f>'MONTHLY REPORT SHIFT WISE'!AJ5+'MONTHLY REPORT SHIFT WISE'!AJ40+'MONTHLY REPORT SHIFT WISE'!AJ76</f>
        <v>0</v>
      </c>
      <c r="AK5" s="47">
        <f>'MONTHLY REPORT SHIFT WISE'!AK5+'MONTHLY REPORT SHIFT WISE'!AK40+'MONTHLY REPORT SHIFT WISE'!AK76</f>
        <v>0</v>
      </c>
      <c r="AL5" s="43" t="str">
        <f t="shared" ref="AL5:AL34" si="7">IF(X5=0,"",((X5+Z5)-(AE5/60)-AK5)/M5)</f>
        <v/>
      </c>
      <c r="AM5" s="38"/>
      <c r="AN5" s="56" t="str">
        <f t="shared" ref="AN5:AN34" si="8">IF(F5=0,"",AK5/(X5*60))</f>
        <v/>
      </c>
      <c r="AO5" s="47"/>
      <c r="AP5" s="60" t="e">
        <f t="shared" ref="AP5:AP34" si="9">IF(E5="","",(AS5/F5)*100)</f>
        <v>#DIV/0!</v>
      </c>
      <c r="AQ5" s="247" t="e">
        <f t="shared" ref="AQ5:AQ34" si="10">IF(AP5="","",AP5-AO5)</f>
        <v>#DIV/0!</v>
      </c>
      <c r="AR5" s="63">
        <f t="shared" ref="AR5:AR34" si="11">$AR$3</f>
        <v>-0.3</v>
      </c>
      <c r="AS5" s="257">
        <f>'MONTHLY REPORT SHIFT WISE'!AS5+'MONTHLY REPORT SHIFT WISE'!AS40+'MONTHLY REPORT SHIFT WISE'!AS76</f>
        <v>0</v>
      </c>
      <c r="AT5" s="71">
        <f>'MONTHLY REPORT SHIFT WISE'!AT5</f>
        <v>0</v>
      </c>
      <c r="AU5" s="71">
        <f>'MONTHLY REPORT SHIFT WISE'!AU5</f>
        <v>0</v>
      </c>
      <c r="AV5" s="72"/>
      <c r="AW5" s="77">
        <f t="shared" ref="AW5:AW34" si="12">AT5-AU5-AV5</f>
        <v>0</v>
      </c>
      <c r="AX5" s="71">
        <f>'MONTHLY REPORT SHIFT WISE'!AT40</f>
        <v>0</v>
      </c>
      <c r="AY5" s="71">
        <f>'MONTHLY REPORT SHIFT WISE'!AU40</f>
        <v>0</v>
      </c>
      <c r="AZ5" s="76"/>
      <c r="BA5" s="78">
        <f t="shared" ref="BA5:BA34" si="13">AX5-AY5-AZ5</f>
        <v>0</v>
      </c>
      <c r="BB5" s="71">
        <f>'MONTHLY REPORT SHIFT WISE'!AT76</f>
        <v>0</v>
      </c>
      <c r="BC5" s="71">
        <f>'MONTHLY REPORT SHIFT WISE'!AU76</f>
        <v>0</v>
      </c>
      <c r="BD5" s="72"/>
      <c r="BE5" s="78">
        <f t="shared" ref="BE5:BE34" si="14">BB5-BC5-BD5</f>
        <v>0</v>
      </c>
      <c r="BG5" s="183" t="str">
        <f t="shared" ref="BG5:BG34" si="15">IF(AO5=0,"",(BI5*AO5/100))</f>
        <v/>
      </c>
      <c r="BH5" s="183" t="str">
        <f t="shared" ref="BH5:BH34" si="16">IF(AO5=0,"",(BI5*AP5/100))</f>
        <v/>
      </c>
      <c r="BI5" s="182" t="str">
        <f t="shared" ref="BI5:BI34" si="17">IF(AO5=0,"",F5)</f>
        <v/>
      </c>
      <c r="BO5" s="284">
        <f t="shared" ref="BO5:BO34" si="18">B5</f>
        <v>2</v>
      </c>
      <c r="BP5" s="284">
        <f t="shared" ref="BP5:BP34" si="19">AS5/1000</f>
        <v>0</v>
      </c>
      <c r="BQ5" s="284">
        <f t="shared" ref="BQ5:BQ34" si="20">X5</f>
        <v>0</v>
      </c>
      <c r="BR5" s="284" t="e">
        <f t="shared" ref="BR5:BR34" si="21">BP5/BQ5</f>
        <v>#DIV/0!</v>
      </c>
      <c r="BS5" s="284" t="e">
        <f t="shared" ref="BS5:BS34" si="22">(BQ5/$BS$2)/BP5</f>
        <v>#DIV/0!</v>
      </c>
    </row>
    <row r="6" spans="1:71" ht="30" customHeight="1">
      <c r="A6" s="15"/>
      <c r="B6" s="26">
        <v>3</v>
      </c>
      <c r="C6" s="47">
        <f>'MONTHLY REPORT SHIFT WISE'!C6+'MONTHLY REPORT SHIFT WISE'!C41+'MONTHLY REPORT SHIFT WISE'!C77</f>
        <v>0</v>
      </c>
      <c r="D6" s="38">
        <f>C6/1000+D5</f>
        <v>0</v>
      </c>
      <c r="E6" s="47">
        <f>'MONTHLY REPORT SHIFT WISE'!E6+'MONTHLY REPORT SHIFT WISE'!E41+'MONTHLY REPORT SHIFT WISE'!E77</f>
        <v>0</v>
      </c>
      <c r="F6" s="38">
        <f>E6-J6</f>
        <v>0</v>
      </c>
      <c r="G6" s="38">
        <f>F6/1000+G5</f>
        <v>0</v>
      </c>
      <c r="H6" s="47">
        <f>'MONTHLY REPORT SHIFT WISE'!H6+'MONTHLY REPORT SHIFT WISE'!H41+'MONTHLY REPORT SHIFT WISE'!H77</f>
        <v>0</v>
      </c>
      <c r="I6" s="47">
        <f>'MONTHLY REPORT SHIFT WISE'!I6+'MONTHLY REPORT SHIFT WISE'!I41+'MONTHLY REPORT SHIFT WISE'!I77</f>
        <v>0</v>
      </c>
      <c r="J6" s="47">
        <f>'MONTHLY REPORT SHIFT WISE'!J6+'MONTHLY REPORT SHIFT WISE'!J41+'MONTHLY REPORT SHIFT WISE'!J77</f>
        <v>0</v>
      </c>
      <c r="K6" s="47">
        <f>'MONTHLY REPORT SHIFT WISE'!K6+'MONTHLY REPORT SHIFT WISE'!K41+'MONTHLY REPORT SHIFT WISE'!K77</f>
        <v>0</v>
      </c>
      <c r="L6" s="47">
        <f>'MONTHLY REPORT SHIFT WISE'!L6+'MONTHLY REPORT SHIFT WISE'!L41+'MONTHLY REPORT SHIFT WISE'!L77</f>
        <v>0</v>
      </c>
      <c r="M6" s="47">
        <f>'MONTHLY REPORT SHIFT WISE'!M6+'MONTHLY REPORT SHIFT WISE'!M41+'MONTHLY REPORT SHIFT WISE'!M77</f>
        <v>0</v>
      </c>
      <c r="N6" s="38">
        <f t="shared" ref="N6:N34" si="23">M6+N5</f>
        <v>0</v>
      </c>
      <c r="O6" s="47">
        <f>'MONTHLY REPORT SHIFT WISE'!O6+'MONTHLY REPORT SHIFT WISE'!O41+'MONTHLY REPORT SHIFT WISE'!O77</f>
        <v>0</v>
      </c>
      <c r="P6" s="43" t="e">
        <f t="shared" si="0"/>
        <v>#DIV/0!</v>
      </c>
      <c r="Q6" s="47">
        <f>'MONTHLY REPORT SHIFT WISE'!Q6+'MONTHLY REPORT SHIFT WISE'!Q41+'MONTHLY REPORT SHIFT WISE'!Q77</f>
        <v>0</v>
      </c>
      <c r="R6" s="38">
        <f t="shared" ref="R6:R34" si="24">Q6+R5</f>
        <v>0</v>
      </c>
      <c r="S6" s="51"/>
      <c r="T6" s="43" t="e">
        <f t="shared" ref="T6:T34" si="25">L6/W6</f>
        <v>#DIV/0!</v>
      </c>
      <c r="U6" s="43" t="e">
        <f t="shared" ref="U6:U34" si="26">IF(M6="","",M6/X6)</f>
        <v>#DIV/0!</v>
      </c>
      <c r="V6" s="43" t="e">
        <f t="shared" ref="V6:V34" si="27">N6/Y6</f>
        <v>#DIV/0!</v>
      </c>
      <c r="W6" s="47">
        <f>'MONTHLY REPORT SHIFT WISE'!W6+'MONTHLY REPORT SHIFT WISE'!W41+'MONTHLY REPORT SHIFT WISE'!W77</f>
        <v>0</v>
      </c>
      <c r="X6" s="47">
        <f>(('MONTHLY REPORT SHIFT WISE'!X6+'MONTHLY REPORT SHIFT WISE'!X41+'MONTHLY REPORT SHIFT WISE'!X77)-SUM(Graphs!G87:G89)/60)</f>
        <v>0</v>
      </c>
      <c r="Y6" s="43">
        <f>X6+Y5</f>
        <v>0</v>
      </c>
      <c r="Z6" s="47">
        <f>'MONTHLY REPORT SHIFT WISE'!Z6+'MONTHLY REPORT SHIFT WISE'!Z41+'MONTHLY REPORT SHIFT WISE'!Z77</f>
        <v>0</v>
      </c>
      <c r="AA6" s="38">
        <f>IF(X6="","",X6*(AU6+AY6))</f>
        <v>0</v>
      </c>
      <c r="AB6" s="52" t="str">
        <f>IF(C6=0,"",C6/1000/W6)</f>
        <v/>
      </c>
      <c r="AC6" s="52" t="str">
        <f>IF(F6=0,"",F6/1000/X6)</f>
        <v/>
      </c>
      <c r="AD6" s="52" t="e">
        <f>G6/Y6</f>
        <v>#DIV/0!</v>
      </c>
      <c r="AE6" s="47">
        <f>('MONTHLY REPORT SHIFT WISE'!AE6+'MONTHLY REPORT SHIFT WISE'!AE41+'MONTHLY REPORT SHIFT WISE'!AE77)-SUM(Graphs!G87:G89)</f>
        <v>0</v>
      </c>
      <c r="AF6" s="47">
        <f>'MONTHLY REPORT SHIFT WISE'!AF6+'MONTHLY REPORT SHIFT WISE'!AF41+'MONTHLY REPORT SHIFT WISE'!AF77</f>
        <v>0</v>
      </c>
      <c r="AG6" s="52" t="str">
        <f>IF(F6=0,"",F6/1000/AA6)</f>
        <v/>
      </c>
      <c r="AH6" s="43" t="e">
        <f t="shared" si="5"/>
        <v>#DIV/0!</v>
      </c>
      <c r="AI6" s="52" t="str">
        <f t="shared" si="6"/>
        <v/>
      </c>
      <c r="AJ6" s="47">
        <f>'MONTHLY REPORT SHIFT WISE'!AJ6+'MONTHLY REPORT SHIFT WISE'!AJ41+'MONTHLY REPORT SHIFT WISE'!AJ77</f>
        <v>0</v>
      </c>
      <c r="AK6" s="47">
        <f>'MONTHLY REPORT SHIFT WISE'!AK6+'MONTHLY REPORT SHIFT WISE'!AK41+'MONTHLY REPORT SHIFT WISE'!AK77</f>
        <v>0</v>
      </c>
      <c r="AL6" s="43" t="str">
        <f t="shared" si="7"/>
        <v/>
      </c>
      <c r="AM6" s="38"/>
      <c r="AN6" s="56" t="str">
        <f t="shared" si="8"/>
        <v/>
      </c>
      <c r="AO6" s="47"/>
      <c r="AP6" s="60" t="e">
        <f t="shared" si="9"/>
        <v>#DIV/0!</v>
      </c>
      <c r="AQ6" s="61" t="e">
        <f t="shared" si="10"/>
        <v>#DIV/0!</v>
      </c>
      <c r="AR6" s="63">
        <f>$AR$3</f>
        <v>-0.3</v>
      </c>
      <c r="AS6" s="257">
        <f>'MONTHLY REPORT SHIFT WISE'!AS6+'MONTHLY REPORT SHIFT WISE'!AS41+'MONTHLY REPORT SHIFT WISE'!AS77</f>
        <v>0</v>
      </c>
      <c r="AT6" s="71">
        <f>'MONTHLY REPORT SHIFT WISE'!AT6</f>
        <v>0</v>
      </c>
      <c r="AU6" s="71">
        <f>'MONTHLY REPORT SHIFT WISE'!AU6</f>
        <v>0</v>
      </c>
      <c r="AV6" s="76"/>
      <c r="AW6" s="77">
        <f>AT6-AU6-AV6</f>
        <v>0</v>
      </c>
      <c r="AX6" s="71">
        <f>'MONTHLY REPORT SHIFT WISE'!AT41</f>
        <v>0</v>
      </c>
      <c r="AY6" s="71">
        <f>'MONTHLY REPORT SHIFT WISE'!AU41</f>
        <v>0</v>
      </c>
      <c r="AZ6" s="76"/>
      <c r="BA6" s="78">
        <f>AX6-AY6-AZ6</f>
        <v>0</v>
      </c>
      <c r="BB6" s="71">
        <f>'MONTHLY REPORT SHIFT WISE'!AT77</f>
        <v>0</v>
      </c>
      <c r="BC6" s="71">
        <f>'MONTHLY REPORT SHIFT WISE'!AU77</f>
        <v>0</v>
      </c>
      <c r="BD6" s="76"/>
      <c r="BE6" s="78">
        <f t="shared" si="14"/>
        <v>0</v>
      </c>
      <c r="BG6" s="183" t="str">
        <f t="shared" si="15"/>
        <v/>
      </c>
      <c r="BH6" s="183" t="str">
        <f t="shared" si="16"/>
        <v/>
      </c>
      <c r="BI6" s="182" t="str">
        <f t="shared" si="17"/>
        <v/>
      </c>
      <c r="BO6" s="284">
        <f t="shared" si="18"/>
        <v>3</v>
      </c>
      <c r="BP6" s="284">
        <f t="shared" si="19"/>
        <v>0</v>
      </c>
      <c r="BQ6" s="284">
        <f t="shared" si="20"/>
        <v>0</v>
      </c>
      <c r="BR6" s="284" t="e">
        <f t="shared" si="21"/>
        <v>#DIV/0!</v>
      </c>
      <c r="BS6" s="284" t="e">
        <f t="shared" si="22"/>
        <v>#DIV/0!</v>
      </c>
    </row>
    <row r="7" spans="1:71" ht="30" customHeight="1">
      <c r="A7" s="15"/>
      <c r="B7" s="26">
        <v>4</v>
      </c>
      <c r="C7" s="47">
        <f>'MONTHLY REPORT SHIFT WISE'!C7+'MONTHLY REPORT SHIFT WISE'!C42+'MONTHLY REPORT SHIFT WISE'!C78</f>
        <v>0</v>
      </c>
      <c r="D7" s="38">
        <f t="shared" ref="D7:D34" si="28">C7/1000+D6</f>
        <v>0</v>
      </c>
      <c r="E7" s="47">
        <f>'MONTHLY REPORT SHIFT WISE'!E7+'MONTHLY REPORT SHIFT WISE'!E42+'MONTHLY REPORT SHIFT WISE'!E78</f>
        <v>0</v>
      </c>
      <c r="F7" s="38">
        <f>E7-J7</f>
        <v>0</v>
      </c>
      <c r="G7" s="38">
        <f t="shared" ref="G7:G34" si="29">F7/1000+G6</f>
        <v>0</v>
      </c>
      <c r="H7" s="47">
        <f>'MONTHLY REPORT SHIFT WISE'!H7+'MONTHLY REPORT SHIFT WISE'!H42+'MONTHLY REPORT SHIFT WISE'!H78</f>
        <v>0</v>
      </c>
      <c r="I7" s="47">
        <f>'MONTHLY REPORT SHIFT WISE'!I7+'MONTHLY REPORT SHIFT WISE'!I42+'MONTHLY REPORT SHIFT WISE'!I78</f>
        <v>0</v>
      </c>
      <c r="J7" s="47">
        <f>'MONTHLY REPORT SHIFT WISE'!J7+'MONTHLY REPORT SHIFT WISE'!J42+'MONTHLY REPORT SHIFT WISE'!J78</f>
        <v>0</v>
      </c>
      <c r="K7" s="47">
        <f>'MONTHLY REPORT SHIFT WISE'!K7+'MONTHLY REPORT SHIFT WISE'!K42+'MONTHLY REPORT SHIFT WISE'!K78</f>
        <v>0</v>
      </c>
      <c r="L7" s="47">
        <f>'MONTHLY REPORT SHIFT WISE'!L7+'MONTHLY REPORT SHIFT WISE'!L42+'MONTHLY REPORT SHIFT WISE'!L78</f>
        <v>0</v>
      </c>
      <c r="M7" s="47">
        <f>'MONTHLY REPORT SHIFT WISE'!M7+'MONTHLY REPORT SHIFT WISE'!M42+'MONTHLY REPORT SHIFT WISE'!M78</f>
        <v>0</v>
      </c>
      <c r="N7" s="38">
        <f t="shared" si="23"/>
        <v>0</v>
      </c>
      <c r="O7" s="47">
        <f>'MONTHLY REPORT SHIFT WISE'!O7+'MONTHLY REPORT SHIFT WISE'!O42+'MONTHLY REPORT SHIFT WISE'!O78</f>
        <v>0</v>
      </c>
      <c r="P7" s="43" t="e">
        <f t="shared" si="0"/>
        <v>#DIV/0!</v>
      </c>
      <c r="Q7" s="47">
        <f>'MONTHLY REPORT SHIFT WISE'!Q7+'MONTHLY REPORT SHIFT WISE'!Q42+'MONTHLY REPORT SHIFT WISE'!Q78</f>
        <v>0</v>
      </c>
      <c r="R7" s="38">
        <f t="shared" si="24"/>
        <v>0</v>
      </c>
      <c r="S7" s="51"/>
      <c r="T7" s="43" t="e">
        <f t="shared" si="25"/>
        <v>#DIV/0!</v>
      </c>
      <c r="U7" s="43" t="e">
        <f t="shared" si="26"/>
        <v>#DIV/0!</v>
      </c>
      <c r="V7" s="43" t="e">
        <f>N7/Y7</f>
        <v>#DIV/0!</v>
      </c>
      <c r="W7" s="47">
        <f>'MONTHLY REPORT SHIFT WISE'!W7+'MONTHLY REPORT SHIFT WISE'!W42+'MONTHLY REPORT SHIFT WISE'!W78</f>
        <v>0</v>
      </c>
      <c r="X7" s="47">
        <f>(('MONTHLY REPORT SHIFT WISE'!X7+'MONTHLY REPORT SHIFT WISE'!X42+'MONTHLY REPORT SHIFT WISE'!X78)-SUM(Graphs!G90:G92)/60)</f>
        <v>0</v>
      </c>
      <c r="Y7" s="43">
        <f>X7+Y6</f>
        <v>0</v>
      </c>
      <c r="Z7" s="47">
        <f>'MONTHLY REPORT SHIFT WISE'!Z7+'MONTHLY REPORT SHIFT WISE'!Z42+'MONTHLY REPORT SHIFT WISE'!Z78</f>
        <v>0</v>
      </c>
      <c r="AA7" s="38">
        <f>IF(X7="","",X7*(AU7+AY7))</f>
        <v>0</v>
      </c>
      <c r="AB7" s="52" t="str">
        <f>IF(C7=0,"",C7/1000/W7)</f>
        <v/>
      </c>
      <c r="AC7" s="52" t="str">
        <f>IF(F7=0,"",F7/1000/X7)</f>
        <v/>
      </c>
      <c r="AD7" s="52" t="e">
        <f>G7/Y7</f>
        <v>#DIV/0!</v>
      </c>
      <c r="AE7" s="47">
        <f>('MONTHLY REPORT SHIFT WISE'!AE7+'MONTHLY REPORT SHIFT WISE'!AE42+'MONTHLY REPORT SHIFT WISE'!AE78)-SUM(Graphs!G90:G92)</f>
        <v>0</v>
      </c>
      <c r="AF7" s="47">
        <f>'MONTHLY REPORT SHIFT WISE'!AF7+'MONTHLY REPORT SHIFT WISE'!AF42+'MONTHLY REPORT SHIFT WISE'!AF78</f>
        <v>0</v>
      </c>
      <c r="AG7" s="52" t="str">
        <f t="shared" si="4"/>
        <v/>
      </c>
      <c r="AH7" s="43" t="e">
        <f t="shared" si="5"/>
        <v>#DIV/0!</v>
      </c>
      <c r="AI7" s="52" t="str">
        <f t="shared" si="6"/>
        <v/>
      </c>
      <c r="AJ7" s="47">
        <f>'MONTHLY REPORT SHIFT WISE'!AJ7+'MONTHLY REPORT SHIFT WISE'!AJ42+'MONTHLY REPORT SHIFT WISE'!AJ78</f>
        <v>0</v>
      </c>
      <c r="AK7" s="47">
        <f>'MONTHLY REPORT SHIFT WISE'!AK7+'MONTHLY REPORT SHIFT WISE'!AK42+'MONTHLY REPORT SHIFT WISE'!AK78</f>
        <v>0</v>
      </c>
      <c r="AL7" s="43" t="str">
        <f t="shared" si="7"/>
        <v/>
      </c>
      <c r="AM7" s="38"/>
      <c r="AN7" s="56" t="str">
        <f t="shared" si="8"/>
        <v/>
      </c>
      <c r="AO7" s="47"/>
      <c r="AP7" s="60" t="e">
        <f t="shared" si="9"/>
        <v>#DIV/0!</v>
      </c>
      <c r="AQ7" s="61" t="e">
        <f t="shared" si="10"/>
        <v>#DIV/0!</v>
      </c>
      <c r="AR7" s="63">
        <f t="shared" si="11"/>
        <v>-0.3</v>
      </c>
      <c r="AS7" s="257">
        <f>'MONTHLY REPORT SHIFT WISE'!AS7+'MONTHLY REPORT SHIFT WISE'!AS42+'MONTHLY REPORT SHIFT WISE'!AS78</f>
        <v>0</v>
      </c>
      <c r="AT7" s="71">
        <f>'MONTHLY REPORT SHIFT WISE'!AT7</f>
        <v>0</v>
      </c>
      <c r="AU7" s="71">
        <f>'MONTHLY REPORT SHIFT WISE'!AU7</f>
        <v>0</v>
      </c>
      <c r="AV7" s="76"/>
      <c r="AW7" s="77">
        <f>AT7-AU7-AV7</f>
        <v>0</v>
      </c>
      <c r="AX7" s="71">
        <f>'MONTHLY REPORT SHIFT WISE'!AT42</f>
        <v>0</v>
      </c>
      <c r="AY7" s="71">
        <f>'MONTHLY REPORT SHIFT WISE'!AU42</f>
        <v>0</v>
      </c>
      <c r="AZ7" s="76"/>
      <c r="BA7" s="78">
        <f>AX7-AY7-AZ7</f>
        <v>0</v>
      </c>
      <c r="BB7" s="71">
        <f>'MONTHLY REPORT SHIFT WISE'!AT78</f>
        <v>0</v>
      </c>
      <c r="BC7" s="71">
        <f>'MONTHLY REPORT SHIFT WISE'!AU78</f>
        <v>0</v>
      </c>
      <c r="BD7" s="76"/>
      <c r="BE7" s="78">
        <f t="shared" si="14"/>
        <v>0</v>
      </c>
      <c r="BG7" s="183" t="str">
        <f t="shared" si="15"/>
        <v/>
      </c>
      <c r="BH7" s="183" t="str">
        <f t="shared" si="16"/>
        <v/>
      </c>
      <c r="BI7" s="182" t="str">
        <f t="shared" si="17"/>
        <v/>
      </c>
      <c r="BO7" s="284">
        <f t="shared" si="18"/>
        <v>4</v>
      </c>
      <c r="BP7" s="284">
        <f t="shared" si="19"/>
        <v>0</v>
      </c>
      <c r="BQ7" s="284">
        <f t="shared" si="20"/>
        <v>0</v>
      </c>
      <c r="BR7" s="284" t="e">
        <f t="shared" si="21"/>
        <v>#DIV/0!</v>
      </c>
      <c r="BS7" s="284" t="e">
        <f t="shared" si="22"/>
        <v>#DIV/0!</v>
      </c>
    </row>
    <row r="8" spans="1:71" ht="30" customHeight="1">
      <c r="A8" s="15"/>
      <c r="B8" s="26">
        <v>5</v>
      </c>
      <c r="C8" s="47">
        <f>'MONTHLY REPORT SHIFT WISE'!C8+'MONTHLY REPORT SHIFT WISE'!C43+'MONTHLY REPORT SHIFT WISE'!C79</f>
        <v>0</v>
      </c>
      <c r="D8" s="38">
        <f t="shared" si="28"/>
        <v>0</v>
      </c>
      <c r="E8" s="47">
        <f>'MONTHLY REPORT SHIFT WISE'!E8+'MONTHLY REPORT SHIFT WISE'!E43+'MONTHLY REPORT SHIFT WISE'!E79</f>
        <v>0</v>
      </c>
      <c r="F8" s="38">
        <f t="shared" ref="F8:F34" si="30">E8-J8</f>
        <v>0</v>
      </c>
      <c r="G8" s="38">
        <f t="shared" si="29"/>
        <v>0</v>
      </c>
      <c r="H8" s="47">
        <f>'MONTHLY REPORT SHIFT WISE'!H8+'MONTHLY REPORT SHIFT WISE'!H43+'MONTHLY REPORT SHIFT WISE'!H79</f>
        <v>0</v>
      </c>
      <c r="I8" s="47">
        <f>'MONTHLY REPORT SHIFT WISE'!I8+'MONTHLY REPORT SHIFT WISE'!I43+'MONTHLY REPORT SHIFT WISE'!I79</f>
        <v>0</v>
      </c>
      <c r="J8" s="47">
        <f>'MONTHLY REPORT SHIFT WISE'!J8+'MONTHLY REPORT SHIFT WISE'!J43+'MONTHLY REPORT SHIFT WISE'!J79</f>
        <v>0</v>
      </c>
      <c r="K8" s="47">
        <f>'MONTHLY REPORT SHIFT WISE'!K8+'MONTHLY REPORT SHIFT WISE'!K43+'MONTHLY REPORT SHIFT WISE'!K79</f>
        <v>0</v>
      </c>
      <c r="L8" s="47">
        <f>'MONTHLY REPORT SHIFT WISE'!L8+'MONTHLY REPORT SHIFT WISE'!L43+'MONTHLY REPORT SHIFT WISE'!L79</f>
        <v>0</v>
      </c>
      <c r="M8" s="47">
        <f>'MONTHLY REPORT SHIFT WISE'!M8+'MONTHLY REPORT SHIFT WISE'!M43+'MONTHLY REPORT SHIFT WISE'!M79</f>
        <v>0</v>
      </c>
      <c r="N8" s="38">
        <f t="shared" si="23"/>
        <v>0</v>
      </c>
      <c r="O8" s="47">
        <f>'MONTHLY REPORT SHIFT WISE'!O8+'MONTHLY REPORT SHIFT WISE'!O43+'MONTHLY REPORT SHIFT WISE'!O79</f>
        <v>0</v>
      </c>
      <c r="P8" s="43" t="e">
        <f t="shared" si="0"/>
        <v>#DIV/0!</v>
      </c>
      <c r="Q8" s="47">
        <f>'MONTHLY REPORT SHIFT WISE'!Q8+'MONTHLY REPORT SHIFT WISE'!Q43+'MONTHLY REPORT SHIFT WISE'!Q79</f>
        <v>0</v>
      </c>
      <c r="R8" s="38">
        <f>Q8+R7</f>
        <v>0</v>
      </c>
      <c r="S8" s="51"/>
      <c r="T8" s="43" t="e">
        <f t="shared" si="25"/>
        <v>#DIV/0!</v>
      </c>
      <c r="U8" s="43" t="e">
        <f t="shared" si="26"/>
        <v>#DIV/0!</v>
      </c>
      <c r="V8" s="43" t="e">
        <f t="shared" si="27"/>
        <v>#DIV/0!</v>
      </c>
      <c r="W8" s="47">
        <f>'MONTHLY REPORT SHIFT WISE'!W8+'MONTHLY REPORT SHIFT WISE'!W43+'MONTHLY REPORT SHIFT WISE'!W79</f>
        <v>0</v>
      </c>
      <c r="X8" s="47">
        <f>(('MONTHLY REPORT SHIFT WISE'!X8+'MONTHLY REPORT SHIFT WISE'!X43+'MONTHLY REPORT SHIFT WISE'!X79)-SUM(Graphs!G93:G95)/60)</f>
        <v>0</v>
      </c>
      <c r="Y8" s="43">
        <f>X8+Y7</f>
        <v>0</v>
      </c>
      <c r="Z8" s="47">
        <f>'MONTHLY REPORT SHIFT WISE'!Z8+'MONTHLY REPORT SHIFT WISE'!Z43+'MONTHLY REPORT SHIFT WISE'!Z79</f>
        <v>0</v>
      </c>
      <c r="AA8" s="38">
        <f>IF(X8="","",X8*(AU8+AY8))</f>
        <v>0</v>
      </c>
      <c r="AB8" s="52" t="str">
        <f>IF(C8=0,"",C8/1000/W8)</f>
        <v/>
      </c>
      <c r="AC8" s="52" t="str">
        <f>IF(F8=0,"",F8/1000/X8)</f>
        <v/>
      </c>
      <c r="AD8" s="52" t="e">
        <f>G8/Y8</f>
        <v>#DIV/0!</v>
      </c>
      <c r="AE8" s="47">
        <f>('MONTHLY REPORT SHIFT WISE'!AE8+'MONTHLY REPORT SHIFT WISE'!AE43+'MONTHLY REPORT SHIFT WISE'!AE79)-SUM(Graphs!G93:G95)</f>
        <v>0</v>
      </c>
      <c r="AF8" s="47">
        <f>'MONTHLY REPORT SHIFT WISE'!AF8+'MONTHLY REPORT SHIFT WISE'!AF43+'MONTHLY REPORT SHIFT WISE'!AF79</f>
        <v>0</v>
      </c>
      <c r="AG8" s="52" t="str">
        <f t="shared" si="4"/>
        <v/>
      </c>
      <c r="AH8" s="43" t="e">
        <f t="shared" si="5"/>
        <v>#DIV/0!</v>
      </c>
      <c r="AI8" s="52" t="str">
        <f t="shared" si="6"/>
        <v/>
      </c>
      <c r="AJ8" s="47">
        <f>'MONTHLY REPORT SHIFT WISE'!AJ8+'MONTHLY REPORT SHIFT WISE'!AJ43+'MONTHLY REPORT SHIFT WISE'!AJ79</f>
        <v>0</v>
      </c>
      <c r="AK8" s="47">
        <f>'MONTHLY REPORT SHIFT WISE'!AK8+'MONTHLY REPORT SHIFT WISE'!AK43+'MONTHLY REPORT SHIFT WISE'!AK79</f>
        <v>0</v>
      </c>
      <c r="AL8" s="43" t="str">
        <f>IF(X8=0,"",((X8+Z8)-(AE8/60)-AK8)/M8)</f>
        <v/>
      </c>
      <c r="AM8" s="38"/>
      <c r="AN8" s="56" t="str">
        <f t="shared" si="8"/>
        <v/>
      </c>
      <c r="AO8" s="47"/>
      <c r="AP8" s="60" t="e">
        <f t="shared" si="9"/>
        <v>#DIV/0!</v>
      </c>
      <c r="AQ8" s="61" t="e">
        <f t="shared" si="10"/>
        <v>#DIV/0!</v>
      </c>
      <c r="AR8" s="63">
        <f t="shared" si="11"/>
        <v>-0.3</v>
      </c>
      <c r="AS8" s="257">
        <f>'MONTHLY REPORT SHIFT WISE'!AS8+'MONTHLY REPORT SHIFT WISE'!AS43+'MONTHLY REPORT SHIFT WISE'!AS79</f>
        <v>0</v>
      </c>
      <c r="AT8" s="71">
        <f>'MONTHLY REPORT SHIFT WISE'!AT8</f>
        <v>0</v>
      </c>
      <c r="AU8" s="71">
        <f>'MONTHLY REPORT SHIFT WISE'!AU8</f>
        <v>0</v>
      </c>
      <c r="AV8" s="76"/>
      <c r="AW8" s="77">
        <f>AT8-AU8-AV8</f>
        <v>0</v>
      </c>
      <c r="AX8" s="71">
        <f>'MONTHLY REPORT SHIFT WISE'!AT43</f>
        <v>0</v>
      </c>
      <c r="AY8" s="71">
        <f>'MONTHLY REPORT SHIFT WISE'!AU43</f>
        <v>0</v>
      </c>
      <c r="AZ8" s="76"/>
      <c r="BA8" s="78">
        <f>AX8-AY8-AZ8</f>
        <v>0</v>
      </c>
      <c r="BB8" s="71">
        <f>'MONTHLY REPORT SHIFT WISE'!AT79</f>
        <v>0</v>
      </c>
      <c r="BC8" s="71">
        <f>'MONTHLY REPORT SHIFT WISE'!AU79</f>
        <v>0</v>
      </c>
      <c r="BD8" s="76"/>
      <c r="BE8" s="78">
        <f t="shared" si="14"/>
        <v>0</v>
      </c>
      <c r="BG8" s="183" t="str">
        <f t="shared" si="15"/>
        <v/>
      </c>
      <c r="BH8" s="183" t="str">
        <f t="shared" si="16"/>
        <v/>
      </c>
      <c r="BI8" s="182" t="str">
        <f t="shared" si="17"/>
        <v/>
      </c>
      <c r="BO8" s="284">
        <f t="shared" si="18"/>
        <v>5</v>
      </c>
      <c r="BP8" s="284">
        <f t="shared" si="19"/>
        <v>0</v>
      </c>
      <c r="BQ8" s="284">
        <f t="shared" si="20"/>
        <v>0</v>
      </c>
      <c r="BR8" s="284" t="e">
        <f t="shared" si="21"/>
        <v>#DIV/0!</v>
      </c>
      <c r="BS8" s="284" t="e">
        <f t="shared" si="22"/>
        <v>#DIV/0!</v>
      </c>
    </row>
    <row r="9" spans="1:71" ht="30" customHeight="1">
      <c r="A9" s="15"/>
      <c r="B9" s="26">
        <v>6</v>
      </c>
      <c r="C9" s="47">
        <f>'MONTHLY REPORT SHIFT WISE'!C9+'MONTHLY REPORT SHIFT WISE'!C44+'MONTHLY REPORT SHIFT WISE'!C80</f>
        <v>0</v>
      </c>
      <c r="D9" s="38">
        <f t="shared" si="28"/>
        <v>0</v>
      </c>
      <c r="E9" s="47">
        <f>'MONTHLY REPORT SHIFT WISE'!E9+'MONTHLY REPORT SHIFT WISE'!E44+'MONTHLY REPORT SHIFT WISE'!E80</f>
        <v>0</v>
      </c>
      <c r="F9" s="38">
        <f t="shared" si="30"/>
        <v>0</v>
      </c>
      <c r="G9" s="38">
        <f t="shared" si="29"/>
        <v>0</v>
      </c>
      <c r="H9" s="47">
        <f>'MONTHLY REPORT SHIFT WISE'!H9+'MONTHLY REPORT SHIFT WISE'!H44+'MONTHLY REPORT SHIFT WISE'!H80</f>
        <v>0</v>
      </c>
      <c r="I9" s="47">
        <f>'MONTHLY REPORT SHIFT WISE'!I9+'MONTHLY REPORT SHIFT WISE'!I44+'MONTHLY REPORT SHIFT WISE'!I80</f>
        <v>0</v>
      </c>
      <c r="J9" s="47">
        <f>'MONTHLY REPORT SHIFT WISE'!J9+'MONTHLY REPORT SHIFT WISE'!J44+'MONTHLY REPORT SHIFT WISE'!J80</f>
        <v>0</v>
      </c>
      <c r="K9" s="47">
        <f>'MONTHLY REPORT SHIFT WISE'!K9+'MONTHLY REPORT SHIFT WISE'!K44+'MONTHLY REPORT SHIFT WISE'!K80</f>
        <v>0</v>
      </c>
      <c r="L9" s="47">
        <f>'MONTHLY REPORT SHIFT WISE'!L9+'MONTHLY REPORT SHIFT WISE'!L44+'MONTHLY REPORT SHIFT WISE'!L80</f>
        <v>0</v>
      </c>
      <c r="M9" s="47">
        <f>'MONTHLY REPORT SHIFT WISE'!M9+'MONTHLY REPORT SHIFT WISE'!M44+'MONTHLY REPORT SHIFT WISE'!M80</f>
        <v>0</v>
      </c>
      <c r="N9" s="38">
        <f t="shared" si="23"/>
        <v>0</v>
      </c>
      <c r="O9" s="47">
        <f>'MONTHLY REPORT SHIFT WISE'!O9+'MONTHLY REPORT SHIFT WISE'!O44+'MONTHLY REPORT SHIFT WISE'!O80</f>
        <v>0</v>
      </c>
      <c r="P9" s="43" t="e">
        <f t="shared" si="0"/>
        <v>#DIV/0!</v>
      </c>
      <c r="Q9" s="47">
        <f>'MONTHLY REPORT SHIFT WISE'!Q9+'MONTHLY REPORT SHIFT WISE'!Q44+'MONTHLY REPORT SHIFT WISE'!Q80</f>
        <v>0</v>
      </c>
      <c r="R9" s="38">
        <f t="shared" si="24"/>
        <v>0</v>
      </c>
      <c r="S9" s="51"/>
      <c r="T9" s="43" t="e">
        <f t="shared" si="25"/>
        <v>#DIV/0!</v>
      </c>
      <c r="U9" s="43" t="e">
        <f t="shared" si="26"/>
        <v>#DIV/0!</v>
      </c>
      <c r="V9" s="43" t="e">
        <f t="shared" si="27"/>
        <v>#DIV/0!</v>
      </c>
      <c r="W9" s="47">
        <f>'MONTHLY REPORT SHIFT WISE'!W9+'MONTHLY REPORT SHIFT WISE'!W44+'MONTHLY REPORT SHIFT WISE'!W80</f>
        <v>0</v>
      </c>
      <c r="X9" s="47">
        <f>(('MONTHLY REPORT SHIFT WISE'!X9+'MONTHLY REPORT SHIFT WISE'!X44+'MONTHLY REPORT SHIFT WISE'!X80)-SUM(Graphs!G96:G98)/60)</f>
        <v>0</v>
      </c>
      <c r="Y9" s="43">
        <f t="shared" ref="Y9:Y34" si="31">X9+Y8</f>
        <v>0</v>
      </c>
      <c r="Z9" s="47">
        <f>'MONTHLY REPORT SHIFT WISE'!Z9+'MONTHLY REPORT SHIFT WISE'!Z44+'MONTHLY REPORT SHIFT WISE'!Z80</f>
        <v>0</v>
      </c>
      <c r="AA9" s="38">
        <f t="shared" si="1"/>
        <v>0</v>
      </c>
      <c r="AB9" s="52" t="str">
        <f t="shared" ref="AB9:AB34" si="32">IF(C9=0,"",C9/1000/W9)</f>
        <v/>
      </c>
      <c r="AC9" s="52" t="str">
        <f t="shared" si="2"/>
        <v/>
      </c>
      <c r="AD9" s="52" t="e">
        <f t="shared" si="3"/>
        <v>#DIV/0!</v>
      </c>
      <c r="AE9" s="47">
        <f>('MONTHLY REPORT SHIFT WISE'!AE9+'MONTHLY REPORT SHIFT WISE'!AE44+'MONTHLY REPORT SHIFT WISE'!AE80)-SUM(Graphs!G96:G98)</f>
        <v>0</v>
      </c>
      <c r="AF9" s="47">
        <f>'MONTHLY REPORT SHIFT WISE'!AF9+'MONTHLY REPORT SHIFT WISE'!AF44+'MONTHLY REPORT SHIFT WISE'!AF80</f>
        <v>0</v>
      </c>
      <c r="AG9" s="52" t="str">
        <f t="shared" si="4"/>
        <v/>
      </c>
      <c r="AH9" s="43" t="e">
        <f t="shared" si="5"/>
        <v>#DIV/0!</v>
      </c>
      <c r="AI9" s="52" t="str">
        <f t="shared" si="6"/>
        <v/>
      </c>
      <c r="AJ9" s="47">
        <f>'MONTHLY REPORT SHIFT WISE'!AJ9+'MONTHLY REPORT SHIFT WISE'!AJ44+'MONTHLY REPORT SHIFT WISE'!AJ80</f>
        <v>0</v>
      </c>
      <c r="AK9" s="47">
        <f>'MONTHLY REPORT SHIFT WISE'!AK9+'MONTHLY REPORT SHIFT WISE'!AK44+'MONTHLY REPORT SHIFT WISE'!AK80</f>
        <v>0</v>
      </c>
      <c r="AL9" s="43" t="str">
        <f t="shared" si="7"/>
        <v/>
      </c>
      <c r="AM9" s="38"/>
      <c r="AN9" s="56" t="str">
        <f t="shared" si="8"/>
        <v/>
      </c>
      <c r="AO9" s="47"/>
      <c r="AP9" s="60" t="e">
        <f t="shared" si="9"/>
        <v>#DIV/0!</v>
      </c>
      <c r="AQ9" s="61" t="e">
        <f t="shared" si="10"/>
        <v>#DIV/0!</v>
      </c>
      <c r="AR9" s="63">
        <f t="shared" si="11"/>
        <v>-0.3</v>
      </c>
      <c r="AS9" s="257">
        <f>'MONTHLY REPORT SHIFT WISE'!AS9+'MONTHLY REPORT SHIFT WISE'!AS44+'MONTHLY REPORT SHIFT WISE'!AS80</f>
        <v>0</v>
      </c>
      <c r="AT9" s="71">
        <f>'MONTHLY REPORT SHIFT WISE'!AT9</f>
        <v>0</v>
      </c>
      <c r="AU9" s="71">
        <f>'MONTHLY REPORT SHIFT WISE'!AU9</f>
        <v>0</v>
      </c>
      <c r="AV9" s="76"/>
      <c r="AW9" s="77">
        <f>AT9-AU9-AV9</f>
        <v>0</v>
      </c>
      <c r="AX9" s="71">
        <f>'MONTHLY REPORT SHIFT WISE'!AT44</f>
        <v>0</v>
      </c>
      <c r="AY9" s="71">
        <f>'MONTHLY REPORT SHIFT WISE'!AU44</f>
        <v>0</v>
      </c>
      <c r="AZ9" s="76"/>
      <c r="BA9" s="78">
        <f>AX9-AY9-AZ9</f>
        <v>0</v>
      </c>
      <c r="BB9" s="71">
        <f>'MONTHLY REPORT SHIFT WISE'!AT80</f>
        <v>0</v>
      </c>
      <c r="BC9" s="71">
        <f>'MONTHLY REPORT SHIFT WISE'!AU80</f>
        <v>0</v>
      </c>
      <c r="BD9" s="76"/>
      <c r="BE9" s="78">
        <f t="shared" si="14"/>
        <v>0</v>
      </c>
      <c r="BG9" s="183" t="str">
        <f t="shared" si="15"/>
        <v/>
      </c>
      <c r="BH9" s="183" t="str">
        <f t="shared" si="16"/>
        <v/>
      </c>
      <c r="BI9" s="182" t="str">
        <f t="shared" si="17"/>
        <v/>
      </c>
      <c r="BO9" s="284">
        <f t="shared" si="18"/>
        <v>6</v>
      </c>
      <c r="BP9" s="284">
        <f t="shared" si="19"/>
        <v>0</v>
      </c>
      <c r="BQ9" s="284">
        <f t="shared" si="20"/>
        <v>0</v>
      </c>
      <c r="BR9" s="284" t="e">
        <f t="shared" si="21"/>
        <v>#DIV/0!</v>
      </c>
      <c r="BS9" s="284" t="e">
        <f t="shared" si="22"/>
        <v>#DIV/0!</v>
      </c>
    </row>
    <row r="10" spans="1:71" ht="30" customHeight="1">
      <c r="A10" s="15"/>
      <c r="B10" s="26">
        <v>7</v>
      </c>
      <c r="C10" s="47">
        <f>'MONTHLY REPORT SHIFT WISE'!C10+'MONTHLY REPORT SHIFT WISE'!C45+'MONTHLY REPORT SHIFT WISE'!C81</f>
        <v>0</v>
      </c>
      <c r="D10" s="38">
        <f t="shared" si="28"/>
        <v>0</v>
      </c>
      <c r="E10" s="47">
        <f>'MONTHLY REPORT SHIFT WISE'!E10+'MONTHLY REPORT SHIFT WISE'!E45+'MONTHLY REPORT SHIFT WISE'!E81</f>
        <v>0</v>
      </c>
      <c r="F10" s="38">
        <f t="shared" si="30"/>
        <v>0</v>
      </c>
      <c r="G10" s="38">
        <f t="shared" si="29"/>
        <v>0</v>
      </c>
      <c r="H10" s="47">
        <f>'MONTHLY REPORT SHIFT WISE'!H10+'MONTHLY REPORT SHIFT WISE'!H45+'MONTHLY REPORT SHIFT WISE'!H81</f>
        <v>0</v>
      </c>
      <c r="I10" s="47">
        <f>'MONTHLY REPORT SHIFT WISE'!I10+'MONTHLY REPORT SHIFT WISE'!I45+'MONTHLY REPORT SHIFT WISE'!I81</f>
        <v>0</v>
      </c>
      <c r="J10" s="47">
        <f>'MONTHLY REPORT SHIFT WISE'!J10+'MONTHLY REPORT SHIFT WISE'!J45+'MONTHLY REPORT SHIFT WISE'!J81</f>
        <v>0</v>
      </c>
      <c r="K10" s="47">
        <f>'MONTHLY REPORT SHIFT WISE'!K10+'MONTHLY REPORT SHIFT WISE'!K45+'MONTHLY REPORT SHIFT WISE'!K81</f>
        <v>0</v>
      </c>
      <c r="L10" s="47">
        <f>'MONTHLY REPORT SHIFT WISE'!L10+'MONTHLY REPORT SHIFT WISE'!L45+'MONTHLY REPORT SHIFT WISE'!L81</f>
        <v>0</v>
      </c>
      <c r="M10" s="47">
        <f>'MONTHLY REPORT SHIFT WISE'!M10+'MONTHLY REPORT SHIFT WISE'!M45+'MONTHLY REPORT SHIFT WISE'!M81</f>
        <v>0</v>
      </c>
      <c r="N10" s="38">
        <f t="shared" si="23"/>
        <v>0</v>
      </c>
      <c r="O10" s="47">
        <f>'MONTHLY REPORT SHIFT WISE'!O10+'MONTHLY REPORT SHIFT WISE'!O45+'MONTHLY REPORT SHIFT WISE'!O81</f>
        <v>0</v>
      </c>
      <c r="P10" s="43" t="e">
        <f t="shared" si="0"/>
        <v>#DIV/0!</v>
      </c>
      <c r="Q10" s="47">
        <f>'MONTHLY REPORT SHIFT WISE'!Q10+'MONTHLY REPORT SHIFT WISE'!Q45+'MONTHLY REPORT SHIFT WISE'!Q81</f>
        <v>0</v>
      </c>
      <c r="R10" s="38">
        <f t="shared" si="24"/>
        <v>0</v>
      </c>
      <c r="S10" s="51"/>
      <c r="T10" s="43" t="e">
        <f t="shared" si="25"/>
        <v>#DIV/0!</v>
      </c>
      <c r="U10" s="43" t="e">
        <f t="shared" si="26"/>
        <v>#DIV/0!</v>
      </c>
      <c r="V10" s="43" t="e">
        <f t="shared" si="27"/>
        <v>#DIV/0!</v>
      </c>
      <c r="W10" s="47">
        <f>'MONTHLY REPORT SHIFT WISE'!W10+'MONTHLY REPORT SHIFT WISE'!W45+'MONTHLY REPORT SHIFT WISE'!W81</f>
        <v>0</v>
      </c>
      <c r="X10" s="47">
        <f>(('MONTHLY REPORT SHIFT WISE'!X10+'MONTHLY REPORT SHIFT WISE'!X45+'MONTHLY REPORT SHIFT WISE'!X81)-SUM(Graphs!G99:G101)/60)</f>
        <v>0</v>
      </c>
      <c r="Y10" s="43">
        <f t="shared" si="31"/>
        <v>0</v>
      </c>
      <c r="Z10" s="47">
        <f>'MONTHLY REPORT SHIFT WISE'!Z10+'MONTHLY REPORT SHIFT WISE'!Z45+'MONTHLY REPORT SHIFT WISE'!Z81</f>
        <v>0</v>
      </c>
      <c r="AA10" s="38">
        <f t="shared" si="1"/>
        <v>0</v>
      </c>
      <c r="AB10" s="52" t="str">
        <f t="shared" si="32"/>
        <v/>
      </c>
      <c r="AC10" s="52" t="str">
        <f t="shared" si="2"/>
        <v/>
      </c>
      <c r="AD10" s="52" t="e">
        <f t="shared" si="3"/>
        <v>#DIV/0!</v>
      </c>
      <c r="AE10" s="47">
        <f>('MONTHLY REPORT SHIFT WISE'!AE10+'MONTHLY REPORT SHIFT WISE'!AE45+'MONTHLY REPORT SHIFT WISE'!AE81)-SUM(Graphs!G99:G101)</f>
        <v>0</v>
      </c>
      <c r="AF10" s="47">
        <f>'MONTHLY REPORT SHIFT WISE'!AF10+'MONTHLY REPORT SHIFT WISE'!AF45+'MONTHLY REPORT SHIFT WISE'!AF81</f>
        <v>0</v>
      </c>
      <c r="AG10" s="52" t="str">
        <f t="shared" si="4"/>
        <v/>
      </c>
      <c r="AH10" s="43" t="e">
        <f t="shared" si="5"/>
        <v>#DIV/0!</v>
      </c>
      <c r="AI10" s="52" t="str">
        <f t="shared" si="6"/>
        <v/>
      </c>
      <c r="AJ10" s="47">
        <f>'MONTHLY REPORT SHIFT WISE'!AJ10+'MONTHLY REPORT SHIFT WISE'!AJ45+'MONTHLY REPORT SHIFT WISE'!AJ81</f>
        <v>0</v>
      </c>
      <c r="AK10" s="47">
        <f>'MONTHLY REPORT SHIFT WISE'!AK10+'MONTHLY REPORT SHIFT WISE'!AK45+'MONTHLY REPORT SHIFT WISE'!AK81</f>
        <v>0</v>
      </c>
      <c r="AL10" s="43" t="str">
        <f t="shared" si="7"/>
        <v/>
      </c>
      <c r="AM10" s="38"/>
      <c r="AN10" s="56" t="str">
        <f t="shared" si="8"/>
        <v/>
      </c>
      <c r="AO10" s="47"/>
      <c r="AP10" s="60" t="e">
        <f t="shared" si="9"/>
        <v>#DIV/0!</v>
      </c>
      <c r="AQ10" s="61" t="e">
        <f t="shared" si="10"/>
        <v>#DIV/0!</v>
      </c>
      <c r="AR10" s="63">
        <f t="shared" si="11"/>
        <v>-0.3</v>
      </c>
      <c r="AS10" s="257">
        <f>'MONTHLY REPORT SHIFT WISE'!AS10+'MONTHLY REPORT SHIFT WISE'!AS45+'MONTHLY REPORT SHIFT WISE'!AS81</f>
        <v>0</v>
      </c>
      <c r="AT10" s="71">
        <f>'MONTHLY REPORT SHIFT WISE'!AT10</f>
        <v>0</v>
      </c>
      <c r="AU10" s="71">
        <f>'MONTHLY REPORT SHIFT WISE'!AU10</f>
        <v>0</v>
      </c>
      <c r="AV10" s="76"/>
      <c r="AW10" s="77">
        <f>AT10-AU10-AV10</f>
        <v>0</v>
      </c>
      <c r="AX10" s="71">
        <f>'MONTHLY REPORT SHIFT WISE'!AT45</f>
        <v>0</v>
      </c>
      <c r="AY10" s="71">
        <f>'MONTHLY REPORT SHIFT WISE'!AU45</f>
        <v>0</v>
      </c>
      <c r="AZ10" s="76"/>
      <c r="BA10" s="78">
        <f>AX10-AY10-AZ10</f>
        <v>0</v>
      </c>
      <c r="BB10" s="71">
        <f>'MONTHLY REPORT SHIFT WISE'!AT81</f>
        <v>0</v>
      </c>
      <c r="BC10" s="71">
        <f>'MONTHLY REPORT SHIFT WISE'!AU81</f>
        <v>0</v>
      </c>
      <c r="BD10" s="76"/>
      <c r="BE10" s="78">
        <f t="shared" si="14"/>
        <v>0</v>
      </c>
      <c r="BG10" s="183" t="str">
        <f t="shared" si="15"/>
        <v/>
      </c>
      <c r="BH10" s="183" t="str">
        <f>IF(AO10=0,"",(BI10*AP10/100))</f>
        <v/>
      </c>
      <c r="BI10" s="182" t="str">
        <f t="shared" si="17"/>
        <v/>
      </c>
      <c r="BO10" s="284">
        <f t="shared" si="18"/>
        <v>7</v>
      </c>
      <c r="BP10" s="284">
        <f t="shared" si="19"/>
        <v>0</v>
      </c>
      <c r="BQ10" s="284">
        <f t="shared" si="20"/>
        <v>0</v>
      </c>
      <c r="BR10" s="284" t="e">
        <f t="shared" si="21"/>
        <v>#DIV/0!</v>
      </c>
      <c r="BS10" s="284" t="e">
        <f t="shared" si="22"/>
        <v>#DIV/0!</v>
      </c>
    </row>
    <row r="11" spans="1:71" ht="30" customHeight="1">
      <c r="A11" s="15"/>
      <c r="B11" s="26">
        <v>8</v>
      </c>
      <c r="C11" s="47">
        <f>'MONTHLY REPORT SHIFT WISE'!C11+'MONTHLY REPORT SHIFT WISE'!C46+'MONTHLY REPORT SHIFT WISE'!C82</f>
        <v>0</v>
      </c>
      <c r="D11" s="38">
        <f t="shared" si="28"/>
        <v>0</v>
      </c>
      <c r="E11" s="47">
        <f>'MONTHLY REPORT SHIFT WISE'!E11+'MONTHLY REPORT SHIFT WISE'!E46+'MONTHLY REPORT SHIFT WISE'!E82</f>
        <v>0</v>
      </c>
      <c r="F11" s="38">
        <f t="shared" si="30"/>
        <v>0</v>
      </c>
      <c r="G11" s="38">
        <f t="shared" si="29"/>
        <v>0</v>
      </c>
      <c r="H11" s="47">
        <f>'MONTHLY REPORT SHIFT WISE'!H11+'MONTHLY REPORT SHIFT WISE'!H46+'MONTHLY REPORT SHIFT WISE'!H82</f>
        <v>0</v>
      </c>
      <c r="I11" s="47">
        <f>'MONTHLY REPORT SHIFT WISE'!I11+'MONTHLY REPORT SHIFT WISE'!I46+'MONTHLY REPORT SHIFT WISE'!I82</f>
        <v>0</v>
      </c>
      <c r="J11" s="47">
        <f>'MONTHLY REPORT SHIFT WISE'!J11+'MONTHLY REPORT SHIFT WISE'!J46+'MONTHLY REPORT SHIFT WISE'!J82</f>
        <v>0</v>
      </c>
      <c r="K11" s="47">
        <f>'MONTHLY REPORT SHIFT WISE'!K11+'MONTHLY REPORT SHIFT WISE'!K46+'MONTHLY REPORT SHIFT WISE'!K82</f>
        <v>0</v>
      </c>
      <c r="L11" s="47">
        <f>'MONTHLY REPORT SHIFT WISE'!L11+'MONTHLY REPORT SHIFT WISE'!L46+'MONTHLY REPORT SHIFT WISE'!L82</f>
        <v>0</v>
      </c>
      <c r="M11" s="47">
        <f>'MONTHLY REPORT SHIFT WISE'!M11+'MONTHLY REPORT SHIFT WISE'!M46+'MONTHLY REPORT SHIFT WISE'!M82</f>
        <v>0</v>
      </c>
      <c r="N11" s="38">
        <f t="shared" si="23"/>
        <v>0</v>
      </c>
      <c r="O11" s="47">
        <f>'MONTHLY REPORT SHIFT WISE'!O11+'MONTHLY REPORT SHIFT WISE'!O46+'MONTHLY REPORT SHIFT WISE'!O82</f>
        <v>0</v>
      </c>
      <c r="P11" s="43" t="e">
        <f t="shared" si="0"/>
        <v>#DIV/0!</v>
      </c>
      <c r="Q11" s="47">
        <f>'MONTHLY REPORT SHIFT WISE'!Q11+'MONTHLY REPORT SHIFT WISE'!Q46+'MONTHLY REPORT SHIFT WISE'!Q82</f>
        <v>0</v>
      </c>
      <c r="R11" s="38">
        <f t="shared" si="24"/>
        <v>0</v>
      </c>
      <c r="S11" s="51"/>
      <c r="T11" s="43" t="e">
        <f t="shared" si="25"/>
        <v>#DIV/0!</v>
      </c>
      <c r="U11" s="43" t="e">
        <f t="shared" si="26"/>
        <v>#DIV/0!</v>
      </c>
      <c r="V11" s="43" t="e">
        <f t="shared" si="27"/>
        <v>#DIV/0!</v>
      </c>
      <c r="W11" s="47">
        <f>'MONTHLY REPORT SHIFT WISE'!W11+'MONTHLY REPORT SHIFT WISE'!W46+'MONTHLY REPORT SHIFT WISE'!W82</f>
        <v>0</v>
      </c>
      <c r="X11" s="47">
        <f>(('MONTHLY REPORT SHIFT WISE'!X11+'MONTHLY REPORT SHIFT WISE'!X46+'MONTHLY REPORT SHIFT WISE'!X82)-SUM(Graphs!G102:G104)/60)</f>
        <v>0</v>
      </c>
      <c r="Y11" s="43">
        <f t="shared" si="31"/>
        <v>0</v>
      </c>
      <c r="Z11" s="47">
        <f>'MONTHLY REPORT SHIFT WISE'!Z11+'MONTHLY REPORT SHIFT WISE'!Z46+'MONTHLY REPORT SHIFT WISE'!Z82</f>
        <v>0</v>
      </c>
      <c r="AA11" s="38">
        <f t="shared" si="1"/>
        <v>0</v>
      </c>
      <c r="AB11" s="52" t="str">
        <f t="shared" si="32"/>
        <v/>
      </c>
      <c r="AC11" s="52" t="str">
        <f t="shared" si="2"/>
        <v/>
      </c>
      <c r="AD11" s="52" t="e">
        <f t="shared" si="3"/>
        <v>#DIV/0!</v>
      </c>
      <c r="AE11" s="47">
        <f>('MONTHLY REPORT SHIFT WISE'!AE11+'MONTHLY REPORT SHIFT WISE'!AE46+'MONTHLY REPORT SHIFT WISE'!AE82)-SUM(Graphs!G102:G104)</f>
        <v>0</v>
      </c>
      <c r="AF11" s="47">
        <f>'MONTHLY REPORT SHIFT WISE'!AF11+'MONTHLY REPORT SHIFT WISE'!AF46+'MONTHLY REPORT SHIFT WISE'!AF82</f>
        <v>0</v>
      </c>
      <c r="AG11" s="52" t="str">
        <f t="shared" si="4"/>
        <v/>
      </c>
      <c r="AH11" s="43" t="e">
        <f t="shared" si="5"/>
        <v>#DIV/0!</v>
      </c>
      <c r="AI11" s="52" t="str">
        <f t="shared" si="6"/>
        <v/>
      </c>
      <c r="AJ11" s="47">
        <f>'MONTHLY REPORT SHIFT WISE'!AJ11+'MONTHLY REPORT SHIFT WISE'!AJ46+'MONTHLY REPORT SHIFT WISE'!AJ82</f>
        <v>0</v>
      </c>
      <c r="AK11" s="47">
        <f>'MONTHLY REPORT SHIFT WISE'!AK11+'MONTHLY REPORT SHIFT WISE'!AK46+'MONTHLY REPORT SHIFT WISE'!AK82</f>
        <v>0</v>
      </c>
      <c r="AL11" s="43" t="str">
        <f t="shared" si="7"/>
        <v/>
      </c>
      <c r="AM11" s="38"/>
      <c r="AN11" s="56" t="str">
        <f t="shared" si="8"/>
        <v/>
      </c>
      <c r="AO11" s="47"/>
      <c r="AP11" s="60" t="e">
        <f>IF(E11="","",(AS11/F11)*100)</f>
        <v>#DIV/0!</v>
      </c>
      <c r="AQ11" s="61" t="e">
        <f t="shared" si="10"/>
        <v>#DIV/0!</v>
      </c>
      <c r="AR11" s="63">
        <f t="shared" si="11"/>
        <v>-0.3</v>
      </c>
      <c r="AS11" s="257">
        <f>'MONTHLY REPORT SHIFT WISE'!AS11+'MONTHLY REPORT SHIFT WISE'!AS46+'MONTHLY REPORT SHIFT WISE'!AS82</f>
        <v>0</v>
      </c>
      <c r="AT11" s="71">
        <f>'MONTHLY REPORT SHIFT WISE'!AT11</f>
        <v>0</v>
      </c>
      <c r="AU11" s="71">
        <f>'MONTHLY REPORT SHIFT WISE'!AU11</f>
        <v>0</v>
      </c>
      <c r="AV11" s="76"/>
      <c r="AW11" s="77">
        <f t="shared" si="12"/>
        <v>0</v>
      </c>
      <c r="AX11" s="71">
        <f>'MONTHLY REPORT SHIFT WISE'!AT46</f>
        <v>0</v>
      </c>
      <c r="AY11" s="71">
        <f>'MONTHLY REPORT SHIFT WISE'!AU46</f>
        <v>0</v>
      </c>
      <c r="AZ11" s="76"/>
      <c r="BA11" s="78">
        <f t="shared" si="13"/>
        <v>0</v>
      </c>
      <c r="BB11" s="71">
        <f>'MONTHLY REPORT SHIFT WISE'!AT82</f>
        <v>0</v>
      </c>
      <c r="BC11" s="71">
        <f>'MONTHLY REPORT SHIFT WISE'!AU82</f>
        <v>0</v>
      </c>
      <c r="BD11" s="76"/>
      <c r="BE11" s="78">
        <f t="shared" si="14"/>
        <v>0</v>
      </c>
      <c r="BG11" s="183" t="str">
        <f t="shared" si="15"/>
        <v/>
      </c>
      <c r="BH11" s="183" t="str">
        <f t="shared" si="16"/>
        <v/>
      </c>
      <c r="BI11" s="182" t="str">
        <f t="shared" si="17"/>
        <v/>
      </c>
      <c r="BO11" s="284">
        <f t="shared" si="18"/>
        <v>8</v>
      </c>
      <c r="BP11" s="284">
        <f t="shared" si="19"/>
        <v>0</v>
      </c>
      <c r="BQ11" s="284">
        <f t="shared" si="20"/>
        <v>0</v>
      </c>
      <c r="BR11" s="284" t="e">
        <f t="shared" si="21"/>
        <v>#DIV/0!</v>
      </c>
      <c r="BS11" s="284" t="e">
        <f t="shared" si="22"/>
        <v>#DIV/0!</v>
      </c>
    </row>
    <row r="12" spans="1:71" ht="30" customHeight="1">
      <c r="A12" s="15"/>
      <c r="B12" s="26">
        <v>9</v>
      </c>
      <c r="C12" s="47">
        <f>'MONTHLY REPORT SHIFT WISE'!C12+'MONTHLY REPORT SHIFT WISE'!C47+'MONTHLY REPORT SHIFT WISE'!C83</f>
        <v>0</v>
      </c>
      <c r="D12" s="38">
        <f t="shared" si="28"/>
        <v>0</v>
      </c>
      <c r="E12" s="47">
        <f>'MONTHLY REPORT SHIFT WISE'!E12+'MONTHLY REPORT SHIFT WISE'!E47+'MONTHLY REPORT SHIFT WISE'!E83</f>
        <v>0</v>
      </c>
      <c r="F12" s="38">
        <f t="shared" si="30"/>
        <v>0</v>
      </c>
      <c r="G12" s="38">
        <f t="shared" si="29"/>
        <v>0</v>
      </c>
      <c r="H12" s="47">
        <f>'MONTHLY REPORT SHIFT WISE'!H12+'MONTHLY REPORT SHIFT WISE'!H47+'MONTHLY REPORT SHIFT WISE'!H83</f>
        <v>0</v>
      </c>
      <c r="I12" s="47">
        <f>'MONTHLY REPORT SHIFT WISE'!I12+'MONTHLY REPORT SHIFT WISE'!I47+'MONTHLY REPORT SHIFT WISE'!I83</f>
        <v>0</v>
      </c>
      <c r="J12" s="47">
        <f>'MONTHLY REPORT SHIFT WISE'!J12+'MONTHLY REPORT SHIFT WISE'!J47+'MONTHLY REPORT SHIFT WISE'!J83</f>
        <v>0</v>
      </c>
      <c r="K12" s="47">
        <f>'MONTHLY REPORT SHIFT WISE'!K12+'MONTHLY REPORT SHIFT WISE'!K47+'MONTHLY REPORT SHIFT WISE'!K83</f>
        <v>0</v>
      </c>
      <c r="L12" s="47">
        <f>'MONTHLY REPORT SHIFT WISE'!L12+'MONTHLY REPORT SHIFT WISE'!L47+'MONTHLY REPORT SHIFT WISE'!L83</f>
        <v>0</v>
      </c>
      <c r="M12" s="47">
        <f>'MONTHLY REPORT SHIFT WISE'!M12+'MONTHLY REPORT SHIFT WISE'!M47+'MONTHLY REPORT SHIFT WISE'!M83</f>
        <v>0</v>
      </c>
      <c r="N12" s="38">
        <f t="shared" si="23"/>
        <v>0</v>
      </c>
      <c r="O12" s="47">
        <f>'MONTHLY REPORT SHIFT WISE'!O12+'MONTHLY REPORT SHIFT WISE'!O47+'MONTHLY REPORT SHIFT WISE'!O83</f>
        <v>0</v>
      </c>
      <c r="P12" s="43" t="e">
        <f t="shared" si="0"/>
        <v>#DIV/0!</v>
      </c>
      <c r="Q12" s="47">
        <f>'MONTHLY REPORT SHIFT WISE'!Q12+'MONTHLY REPORT SHIFT WISE'!Q47+'MONTHLY REPORT SHIFT WISE'!Q83</f>
        <v>0</v>
      </c>
      <c r="R12" s="38">
        <f t="shared" si="24"/>
        <v>0</v>
      </c>
      <c r="S12" s="51"/>
      <c r="T12" s="43" t="e">
        <f t="shared" si="25"/>
        <v>#DIV/0!</v>
      </c>
      <c r="U12" s="43" t="e">
        <f t="shared" si="26"/>
        <v>#DIV/0!</v>
      </c>
      <c r="V12" s="43" t="e">
        <f t="shared" si="27"/>
        <v>#DIV/0!</v>
      </c>
      <c r="W12" s="47">
        <f>'MONTHLY REPORT SHIFT WISE'!W12+'MONTHLY REPORT SHIFT WISE'!W47+'MONTHLY REPORT SHIFT WISE'!W83</f>
        <v>0</v>
      </c>
      <c r="X12" s="47">
        <f>(('MONTHLY REPORT SHIFT WISE'!X12+'MONTHLY REPORT SHIFT WISE'!X47+'MONTHLY REPORT SHIFT WISE'!X83)-SUM(Graphs!G105:G107)/60)</f>
        <v>0</v>
      </c>
      <c r="Y12" s="43">
        <f t="shared" si="31"/>
        <v>0</v>
      </c>
      <c r="Z12" s="47">
        <f>'MONTHLY REPORT SHIFT WISE'!Z12+'MONTHLY REPORT SHIFT WISE'!Z47+'MONTHLY REPORT SHIFT WISE'!Z83</f>
        <v>0</v>
      </c>
      <c r="AA12" s="38">
        <f t="shared" si="1"/>
        <v>0</v>
      </c>
      <c r="AB12" s="52" t="str">
        <f t="shared" si="32"/>
        <v/>
      </c>
      <c r="AC12" s="52" t="str">
        <f t="shared" si="2"/>
        <v/>
      </c>
      <c r="AD12" s="52" t="e">
        <f t="shared" si="3"/>
        <v>#DIV/0!</v>
      </c>
      <c r="AE12" s="47">
        <f>('MONTHLY REPORT SHIFT WISE'!AE12+'MONTHLY REPORT SHIFT WISE'!AE47+'MONTHLY REPORT SHIFT WISE'!AE83)-SUM(Graphs!G105:G107)</f>
        <v>0</v>
      </c>
      <c r="AF12" s="47">
        <f>'MONTHLY REPORT SHIFT WISE'!AF12+'MONTHLY REPORT SHIFT WISE'!AF47+'MONTHLY REPORT SHIFT WISE'!AF83</f>
        <v>0</v>
      </c>
      <c r="AG12" s="52" t="str">
        <f t="shared" si="4"/>
        <v/>
      </c>
      <c r="AH12" s="43" t="e">
        <f t="shared" si="5"/>
        <v>#DIV/0!</v>
      </c>
      <c r="AI12" s="52" t="str">
        <f t="shared" si="6"/>
        <v/>
      </c>
      <c r="AJ12" s="47">
        <f>'MONTHLY REPORT SHIFT WISE'!AJ12+'MONTHLY REPORT SHIFT WISE'!AJ47+'MONTHLY REPORT SHIFT WISE'!AJ83</f>
        <v>0</v>
      </c>
      <c r="AK12" s="47">
        <f>'MONTHLY REPORT SHIFT WISE'!AK12+'MONTHLY REPORT SHIFT WISE'!AK47+'MONTHLY REPORT SHIFT WISE'!AK83</f>
        <v>0</v>
      </c>
      <c r="AL12" s="43" t="str">
        <f t="shared" si="7"/>
        <v/>
      </c>
      <c r="AM12" s="38"/>
      <c r="AN12" s="56" t="str">
        <f t="shared" si="8"/>
        <v/>
      </c>
      <c r="AO12" s="47"/>
      <c r="AP12" s="60" t="e">
        <f t="shared" si="9"/>
        <v>#DIV/0!</v>
      </c>
      <c r="AQ12" s="61" t="e">
        <f t="shared" si="10"/>
        <v>#DIV/0!</v>
      </c>
      <c r="AR12" s="63">
        <f t="shared" si="11"/>
        <v>-0.3</v>
      </c>
      <c r="AS12" s="257">
        <f>'MONTHLY REPORT SHIFT WISE'!AS12+'MONTHLY REPORT SHIFT WISE'!AS47+'MONTHLY REPORT SHIFT WISE'!AS83</f>
        <v>0</v>
      </c>
      <c r="AT12" s="71">
        <f>'MONTHLY REPORT SHIFT WISE'!AT12</f>
        <v>0</v>
      </c>
      <c r="AU12" s="71">
        <f>'MONTHLY REPORT SHIFT WISE'!AU12</f>
        <v>0</v>
      </c>
      <c r="AV12" s="76"/>
      <c r="AW12" s="77">
        <f t="shared" si="12"/>
        <v>0</v>
      </c>
      <c r="AX12" s="71">
        <f>'MONTHLY REPORT SHIFT WISE'!AT47</f>
        <v>0</v>
      </c>
      <c r="AY12" s="71">
        <f>'MONTHLY REPORT SHIFT WISE'!AU47</f>
        <v>0</v>
      </c>
      <c r="AZ12" s="76"/>
      <c r="BA12" s="78">
        <f t="shared" si="13"/>
        <v>0</v>
      </c>
      <c r="BB12" s="71">
        <f>'MONTHLY REPORT SHIFT WISE'!AT83</f>
        <v>0</v>
      </c>
      <c r="BC12" s="71">
        <f>'MONTHLY REPORT SHIFT WISE'!AU83</f>
        <v>0</v>
      </c>
      <c r="BD12" s="76"/>
      <c r="BE12" s="78">
        <f t="shared" si="14"/>
        <v>0</v>
      </c>
      <c r="BG12" s="183" t="str">
        <f t="shared" si="15"/>
        <v/>
      </c>
      <c r="BH12" s="183" t="str">
        <f t="shared" si="16"/>
        <v/>
      </c>
      <c r="BI12" s="182" t="str">
        <f t="shared" si="17"/>
        <v/>
      </c>
      <c r="BO12" s="284">
        <f t="shared" si="18"/>
        <v>9</v>
      </c>
      <c r="BP12" s="284">
        <f t="shared" si="19"/>
        <v>0</v>
      </c>
      <c r="BQ12" s="284">
        <f t="shared" si="20"/>
        <v>0</v>
      </c>
      <c r="BR12" s="284" t="e">
        <f t="shared" si="21"/>
        <v>#DIV/0!</v>
      </c>
      <c r="BS12" s="284" t="e">
        <f t="shared" si="22"/>
        <v>#DIV/0!</v>
      </c>
    </row>
    <row r="13" spans="1:71" ht="30" customHeight="1">
      <c r="A13" s="15"/>
      <c r="B13" s="26">
        <v>10</v>
      </c>
      <c r="C13" s="47">
        <f>'MONTHLY REPORT SHIFT WISE'!C13+'MONTHLY REPORT SHIFT WISE'!C48+'MONTHLY REPORT SHIFT WISE'!C84</f>
        <v>0</v>
      </c>
      <c r="D13" s="38">
        <f t="shared" si="28"/>
        <v>0</v>
      </c>
      <c r="E13" s="47">
        <f>'MONTHLY REPORT SHIFT WISE'!E13+'MONTHLY REPORT SHIFT WISE'!E48+'MONTHLY REPORT SHIFT WISE'!E84</f>
        <v>0</v>
      </c>
      <c r="F13" s="38">
        <f t="shared" si="30"/>
        <v>0</v>
      </c>
      <c r="G13" s="38">
        <f t="shared" si="29"/>
        <v>0</v>
      </c>
      <c r="H13" s="47">
        <f>'MONTHLY REPORT SHIFT WISE'!H13+'MONTHLY REPORT SHIFT WISE'!H48+'MONTHLY REPORT SHIFT WISE'!H84</f>
        <v>0</v>
      </c>
      <c r="I13" s="47">
        <f>'MONTHLY REPORT SHIFT WISE'!I13+'MONTHLY REPORT SHIFT WISE'!I48+'MONTHLY REPORT SHIFT WISE'!I84</f>
        <v>0</v>
      </c>
      <c r="J13" s="47">
        <f>'MONTHLY REPORT SHIFT WISE'!J13+'MONTHLY REPORT SHIFT WISE'!J48+'MONTHLY REPORT SHIFT WISE'!J84</f>
        <v>0</v>
      </c>
      <c r="K13" s="47">
        <f>'MONTHLY REPORT SHIFT WISE'!K13+'MONTHLY REPORT SHIFT WISE'!K48+'MONTHLY REPORT SHIFT WISE'!K84</f>
        <v>0</v>
      </c>
      <c r="L13" s="47">
        <f>'MONTHLY REPORT SHIFT WISE'!L13+'MONTHLY REPORT SHIFT WISE'!L48+'MONTHLY REPORT SHIFT WISE'!L84</f>
        <v>0</v>
      </c>
      <c r="M13" s="47">
        <f>'MONTHLY REPORT SHIFT WISE'!M13+'MONTHLY REPORT SHIFT WISE'!M48+'MONTHLY REPORT SHIFT WISE'!M84</f>
        <v>0</v>
      </c>
      <c r="N13" s="38">
        <f t="shared" si="23"/>
        <v>0</v>
      </c>
      <c r="O13" s="47">
        <f>'MONTHLY REPORT SHIFT WISE'!O13+'MONTHLY REPORT SHIFT WISE'!O48+'MONTHLY REPORT SHIFT WISE'!O84</f>
        <v>0</v>
      </c>
      <c r="P13" s="43" t="e">
        <f t="shared" si="0"/>
        <v>#DIV/0!</v>
      </c>
      <c r="Q13" s="47">
        <f>'MONTHLY REPORT SHIFT WISE'!Q13+'MONTHLY REPORT SHIFT WISE'!Q48+'MONTHLY REPORT SHIFT WISE'!Q84</f>
        <v>0</v>
      </c>
      <c r="R13" s="38">
        <f t="shared" si="24"/>
        <v>0</v>
      </c>
      <c r="S13" s="51"/>
      <c r="T13" s="43" t="e">
        <f t="shared" si="25"/>
        <v>#DIV/0!</v>
      </c>
      <c r="U13" s="43" t="e">
        <f t="shared" si="26"/>
        <v>#DIV/0!</v>
      </c>
      <c r="V13" s="43" t="e">
        <f t="shared" si="27"/>
        <v>#DIV/0!</v>
      </c>
      <c r="W13" s="47">
        <f>'MONTHLY REPORT SHIFT WISE'!W13+'MONTHLY REPORT SHIFT WISE'!W48+'MONTHLY REPORT SHIFT WISE'!W84</f>
        <v>0</v>
      </c>
      <c r="X13" s="47">
        <f>(('MONTHLY REPORT SHIFT WISE'!X13+'MONTHLY REPORT SHIFT WISE'!X48+'MONTHLY REPORT SHIFT WISE'!X84)-SUM(Graphs!G108:G110)/60)</f>
        <v>0</v>
      </c>
      <c r="Y13" s="43">
        <f t="shared" si="31"/>
        <v>0</v>
      </c>
      <c r="Z13" s="47">
        <f>'MONTHLY REPORT SHIFT WISE'!Z13+'MONTHLY REPORT SHIFT WISE'!Z48+'MONTHLY REPORT SHIFT WISE'!Z84</f>
        <v>0</v>
      </c>
      <c r="AA13" s="38">
        <f t="shared" si="1"/>
        <v>0</v>
      </c>
      <c r="AB13" s="52" t="str">
        <f t="shared" si="32"/>
        <v/>
      </c>
      <c r="AC13" s="52" t="str">
        <f t="shared" si="2"/>
        <v/>
      </c>
      <c r="AD13" s="52" t="e">
        <f t="shared" si="3"/>
        <v>#DIV/0!</v>
      </c>
      <c r="AE13" s="47">
        <f>('MONTHLY REPORT SHIFT WISE'!AE13+'MONTHLY REPORT SHIFT WISE'!AE48+'MONTHLY REPORT SHIFT WISE'!AE84)-SUM(Graphs!G108:G110)</f>
        <v>0</v>
      </c>
      <c r="AF13" s="47">
        <f>'MONTHLY REPORT SHIFT WISE'!AF13+'MONTHLY REPORT SHIFT WISE'!AF48+'MONTHLY REPORT SHIFT WISE'!AF84</f>
        <v>0</v>
      </c>
      <c r="AG13" s="52" t="str">
        <f t="shared" si="4"/>
        <v/>
      </c>
      <c r="AH13" s="43" t="e">
        <f t="shared" si="5"/>
        <v>#DIV/0!</v>
      </c>
      <c r="AI13" s="52" t="str">
        <f t="shared" si="6"/>
        <v/>
      </c>
      <c r="AJ13" s="47">
        <f>'MONTHLY REPORT SHIFT WISE'!AJ13+'MONTHLY REPORT SHIFT WISE'!AJ48+'MONTHLY REPORT SHIFT WISE'!AJ84</f>
        <v>0</v>
      </c>
      <c r="AK13" s="47">
        <f>'MONTHLY REPORT SHIFT WISE'!AK13+'MONTHLY REPORT SHIFT WISE'!AK48+'MONTHLY REPORT SHIFT WISE'!AK84</f>
        <v>0</v>
      </c>
      <c r="AL13" s="43" t="str">
        <f t="shared" si="7"/>
        <v/>
      </c>
      <c r="AM13" s="38"/>
      <c r="AN13" s="56" t="str">
        <f t="shared" si="8"/>
        <v/>
      </c>
      <c r="AO13" s="47"/>
      <c r="AP13" s="60" t="e">
        <f t="shared" si="9"/>
        <v>#DIV/0!</v>
      </c>
      <c r="AQ13" s="61" t="e">
        <f t="shared" si="10"/>
        <v>#DIV/0!</v>
      </c>
      <c r="AR13" s="63">
        <f t="shared" si="11"/>
        <v>-0.3</v>
      </c>
      <c r="AS13" s="257">
        <f>'MONTHLY REPORT SHIFT WISE'!AS13+'MONTHLY REPORT SHIFT WISE'!AS48+'MONTHLY REPORT SHIFT WISE'!AS84</f>
        <v>0</v>
      </c>
      <c r="AT13" s="71">
        <f>'MONTHLY REPORT SHIFT WISE'!AT13</f>
        <v>0</v>
      </c>
      <c r="AU13" s="71">
        <f>'MONTHLY REPORT SHIFT WISE'!AU13</f>
        <v>0</v>
      </c>
      <c r="AV13" s="76"/>
      <c r="AW13" s="77">
        <f>AT13-AU13-AV13</f>
        <v>0</v>
      </c>
      <c r="AX13" s="71">
        <f>'MONTHLY REPORT SHIFT WISE'!AT48</f>
        <v>0</v>
      </c>
      <c r="AY13" s="71">
        <f>'MONTHLY REPORT SHIFT WISE'!AU48</f>
        <v>0</v>
      </c>
      <c r="AZ13" s="76"/>
      <c r="BA13" s="78">
        <f t="shared" si="13"/>
        <v>0</v>
      </c>
      <c r="BB13" s="71">
        <f>'MONTHLY REPORT SHIFT WISE'!AT84</f>
        <v>0</v>
      </c>
      <c r="BC13" s="71">
        <f>'MONTHLY REPORT SHIFT WISE'!AU84</f>
        <v>0</v>
      </c>
      <c r="BD13" s="76"/>
      <c r="BE13" s="78">
        <f t="shared" si="14"/>
        <v>0</v>
      </c>
      <c r="BG13" s="183" t="str">
        <f t="shared" si="15"/>
        <v/>
      </c>
      <c r="BH13" s="183" t="str">
        <f t="shared" si="16"/>
        <v/>
      </c>
      <c r="BI13" s="182" t="str">
        <f t="shared" si="17"/>
        <v/>
      </c>
      <c r="BO13" s="284">
        <f t="shared" si="18"/>
        <v>10</v>
      </c>
      <c r="BP13" s="284">
        <f t="shared" si="19"/>
        <v>0</v>
      </c>
      <c r="BQ13" s="284">
        <f t="shared" si="20"/>
        <v>0</v>
      </c>
      <c r="BR13" s="284" t="e">
        <f t="shared" si="21"/>
        <v>#DIV/0!</v>
      </c>
      <c r="BS13" s="284" t="e">
        <f t="shared" si="22"/>
        <v>#DIV/0!</v>
      </c>
    </row>
    <row r="14" spans="1:71" ht="30" customHeight="1">
      <c r="A14" s="15"/>
      <c r="B14" s="26">
        <v>11</v>
      </c>
      <c r="C14" s="47">
        <f>'MONTHLY REPORT SHIFT WISE'!C14+'MONTHLY REPORT SHIFT WISE'!C49+'MONTHLY REPORT SHIFT WISE'!C85</f>
        <v>0</v>
      </c>
      <c r="D14" s="38">
        <f t="shared" si="28"/>
        <v>0</v>
      </c>
      <c r="E14" s="47">
        <f>'MONTHLY REPORT SHIFT WISE'!E14+'MONTHLY REPORT SHIFT WISE'!E49+'MONTHLY REPORT SHIFT WISE'!E85</f>
        <v>0</v>
      </c>
      <c r="F14" s="38">
        <f t="shared" si="30"/>
        <v>0</v>
      </c>
      <c r="G14" s="38">
        <f t="shared" si="29"/>
        <v>0</v>
      </c>
      <c r="H14" s="47">
        <f>'MONTHLY REPORT SHIFT WISE'!H14+'MONTHLY REPORT SHIFT WISE'!H49+'MONTHLY REPORT SHIFT WISE'!H85</f>
        <v>0</v>
      </c>
      <c r="I14" s="47">
        <f>'MONTHLY REPORT SHIFT WISE'!I14+'MONTHLY REPORT SHIFT WISE'!I49+'MONTHLY REPORT SHIFT WISE'!I85</f>
        <v>0</v>
      </c>
      <c r="J14" s="47">
        <f>'MONTHLY REPORT SHIFT WISE'!J14+'MONTHLY REPORT SHIFT WISE'!J49+'MONTHLY REPORT SHIFT WISE'!J85</f>
        <v>0</v>
      </c>
      <c r="K14" s="47">
        <f>'MONTHLY REPORT SHIFT WISE'!K14+'MONTHLY REPORT SHIFT WISE'!K49+'MONTHLY REPORT SHIFT WISE'!K85</f>
        <v>0</v>
      </c>
      <c r="L14" s="47">
        <f>'MONTHLY REPORT SHIFT WISE'!L14+'MONTHLY REPORT SHIFT WISE'!L49+'MONTHLY REPORT SHIFT WISE'!L85</f>
        <v>0</v>
      </c>
      <c r="M14" s="47">
        <f>'MONTHLY REPORT SHIFT WISE'!M14+'MONTHLY REPORT SHIFT WISE'!M49+'MONTHLY REPORT SHIFT WISE'!M85</f>
        <v>0</v>
      </c>
      <c r="N14" s="38">
        <f t="shared" si="23"/>
        <v>0</v>
      </c>
      <c r="O14" s="47">
        <f>'MONTHLY REPORT SHIFT WISE'!O14+'MONTHLY REPORT SHIFT WISE'!O49+'MONTHLY REPORT SHIFT WISE'!O85</f>
        <v>0</v>
      </c>
      <c r="P14" s="43" t="e">
        <f t="shared" si="0"/>
        <v>#DIV/0!</v>
      </c>
      <c r="Q14" s="47">
        <f>'MONTHLY REPORT SHIFT WISE'!Q14+'MONTHLY REPORT SHIFT WISE'!Q49+'MONTHLY REPORT SHIFT WISE'!Q85</f>
        <v>0</v>
      </c>
      <c r="R14" s="38">
        <f t="shared" si="24"/>
        <v>0</v>
      </c>
      <c r="S14" s="51"/>
      <c r="T14" s="43" t="e">
        <f t="shared" si="25"/>
        <v>#DIV/0!</v>
      </c>
      <c r="U14" s="43" t="e">
        <f t="shared" si="26"/>
        <v>#DIV/0!</v>
      </c>
      <c r="V14" s="43" t="e">
        <f t="shared" si="27"/>
        <v>#DIV/0!</v>
      </c>
      <c r="W14" s="47">
        <f>'MONTHLY REPORT SHIFT WISE'!W14+'MONTHLY REPORT SHIFT WISE'!W49+'MONTHLY REPORT SHIFT WISE'!W85</f>
        <v>0</v>
      </c>
      <c r="X14" s="47">
        <f>(('MONTHLY REPORT SHIFT WISE'!X14+'MONTHLY REPORT SHIFT WISE'!X49+'MONTHLY REPORT SHIFT WISE'!X85)-SUM(Graphs!G111:G113)/60)</f>
        <v>0</v>
      </c>
      <c r="Y14" s="43">
        <f t="shared" si="31"/>
        <v>0</v>
      </c>
      <c r="Z14" s="47">
        <f>'MONTHLY REPORT SHIFT WISE'!Z14+'MONTHLY REPORT SHIFT WISE'!Z49+'MONTHLY REPORT SHIFT WISE'!Z85</f>
        <v>0</v>
      </c>
      <c r="AA14" s="38">
        <f t="shared" si="1"/>
        <v>0</v>
      </c>
      <c r="AB14" s="52" t="str">
        <f t="shared" si="32"/>
        <v/>
      </c>
      <c r="AC14" s="52" t="str">
        <f t="shared" si="2"/>
        <v/>
      </c>
      <c r="AD14" s="52" t="e">
        <f t="shared" si="3"/>
        <v>#DIV/0!</v>
      </c>
      <c r="AE14" s="47">
        <f>('MONTHLY REPORT SHIFT WISE'!AE14+'MONTHLY REPORT SHIFT WISE'!AE49+'MONTHLY REPORT SHIFT WISE'!AE85)-SUM(Graphs!G111:G113)</f>
        <v>0</v>
      </c>
      <c r="AF14" s="47">
        <f>'MONTHLY REPORT SHIFT WISE'!AF14+'MONTHLY REPORT SHIFT WISE'!AF49+'MONTHLY REPORT SHIFT WISE'!AF85</f>
        <v>0</v>
      </c>
      <c r="AG14" s="52" t="str">
        <f t="shared" si="4"/>
        <v/>
      </c>
      <c r="AH14" s="43" t="e">
        <f t="shared" si="5"/>
        <v>#DIV/0!</v>
      </c>
      <c r="AI14" s="52" t="str">
        <f t="shared" si="6"/>
        <v/>
      </c>
      <c r="AJ14" s="47">
        <f>'MONTHLY REPORT SHIFT WISE'!AJ14+'MONTHLY REPORT SHIFT WISE'!AJ49+'MONTHLY REPORT SHIFT WISE'!AJ85</f>
        <v>0</v>
      </c>
      <c r="AK14" s="47">
        <f>'MONTHLY REPORT SHIFT WISE'!AK14+'MONTHLY REPORT SHIFT WISE'!AK49+'MONTHLY REPORT SHIFT WISE'!AK85</f>
        <v>0</v>
      </c>
      <c r="AL14" s="43" t="str">
        <f t="shared" si="7"/>
        <v/>
      </c>
      <c r="AM14" s="38"/>
      <c r="AN14" s="56" t="str">
        <f t="shared" si="8"/>
        <v/>
      </c>
      <c r="AO14" s="47"/>
      <c r="AP14" s="60" t="e">
        <f t="shared" si="9"/>
        <v>#DIV/0!</v>
      </c>
      <c r="AQ14" s="61" t="e">
        <f t="shared" si="10"/>
        <v>#DIV/0!</v>
      </c>
      <c r="AR14" s="63">
        <f t="shared" si="11"/>
        <v>-0.3</v>
      </c>
      <c r="AS14" s="257">
        <f>'MONTHLY REPORT SHIFT WISE'!AS14+'MONTHLY REPORT SHIFT WISE'!AS49+'MONTHLY REPORT SHIFT WISE'!AS85</f>
        <v>0</v>
      </c>
      <c r="AT14" s="71">
        <f>'MONTHLY REPORT SHIFT WISE'!AT14</f>
        <v>0</v>
      </c>
      <c r="AU14" s="71">
        <f>'MONTHLY REPORT SHIFT WISE'!AU14</f>
        <v>0</v>
      </c>
      <c r="AV14" s="76"/>
      <c r="AW14" s="77">
        <f>AT14-AU14-AV14</f>
        <v>0</v>
      </c>
      <c r="AX14" s="71">
        <f>'MONTHLY REPORT SHIFT WISE'!AT49</f>
        <v>0</v>
      </c>
      <c r="AY14" s="71">
        <f>'MONTHLY REPORT SHIFT WISE'!AU49</f>
        <v>0</v>
      </c>
      <c r="AZ14" s="76"/>
      <c r="BA14" s="78">
        <f t="shared" si="13"/>
        <v>0</v>
      </c>
      <c r="BB14" s="71">
        <f>'MONTHLY REPORT SHIFT WISE'!AT85</f>
        <v>0</v>
      </c>
      <c r="BC14" s="71">
        <f>'MONTHLY REPORT SHIFT WISE'!AU85</f>
        <v>0</v>
      </c>
      <c r="BD14" s="76"/>
      <c r="BE14" s="78">
        <f t="shared" si="14"/>
        <v>0</v>
      </c>
      <c r="BG14" s="183" t="str">
        <f t="shared" si="15"/>
        <v/>
      </c>
      <c r="BH14" s="183" t="str">
        <f t="shared" si="16"/>
        <v/>
      </c>
      <c r="BI14" s="182" t="str">
        <f t="shared" si="17"/>
        <v/>
      </c>
      <c r="BO14" s="284">
        <f t="shared" si="18"/>
        <v>11</v>
      </c>
      <c r="BP14" s="284">
        <f t="shared" si="19"/>
        <v>0</v>
      </c>
      <c r="BQ14" s="284">
        <f t="shared" si="20"/>
        <v>0</v>
      </c>
      <c r="BR14" s="284" t="e">
        <f t="shared" si="21"/>
        <v>#DIV/0!</v>
      </c>
      <c r="BS14" s="284" t="e">
        <f t="shared" si="22"/>
        <v>#DIV/0!</v>
      </c>
    </row>
    <row r="15" spans="1:71" ht="30" customHeight="1">
      <c r="A15" s="15"/>
      <c r="B15" s="26">
        <v>12</v>
      </c>
      <c r="C15" s="47">
        <f>'MONTHLY REPORT SHIFT WISE'!C15+'MONTHLY REPORT SHIFT WISE'!C50+'MONTHLY REPORT SHIFT WISE'!C86</f>
        <v>0</v>
      </c>
      <c r="D15" s="38">
        <f t="shared" si="28"/>
        <v>0</v>
      </c>
      <c r="E15" s="47">
        <f>'MONTHLY REPORT SHIFT WISE'!E15+'MONTHLY REPORT SHIFT WISE'!E50+'MONTHLY REPORT SHIFT WISE'!E86</f>
        <v>0</v>
      </c>
      <c r="F15" s="38">
        <f t="shared" si="30"/>
        <v>0</v>
      </c>
      <c r="G15" s="38">
        <f t="shared" si="29"/>
        <v>0</v>
      </c>
      <c r="H15" s="47">
        <f>'MONTHLY REPORT SHIFT WISE'!H15+'MONTHLY REPORT SHIFT WISE'!H50+'MONTHLY REPORT SHIFT WISE'!H86</f>
        <v>0</v>
      </c>
      <c r="I15" s="47">
        <f>'MONTHLY REPORT SHIFT WISE'!I15+'MONTHLY REPORT SHIFT WISE'!I50+'MONTHLY REPORT SHIFT WISE'!I86</f>
        <v>0</v>
      </c>
      <c r="J15" s="47">
        <f>'MONTHLY REPORT SHIFT WISE'!J15+'MONTHLY REPORT SHIFT WISE'!J50+'MONTHLY REPORT SHIFT WISE'!J86</f>
        <v>0</v>
      </c>
      <c r="K15" s="47">
        <f>'MONTHLY REPORT SHIFT WISE'!K15+'MONTHLY REPORT SHIFT WISE'!K50+'MONTHLY REPORT SHIFT WISE'!K86</f>
        <v>0</v>
      </c>
      <c r="L15" s="47">
        <f>'MONTHLY REPORT SHIFT WISE'!L15+'MONTHLY REPORT SHIFT WISE'!L50+'MONTHLY REPORT SHIFT WISE'!L86</f>
        <v>0</v>
      </c>
      <c r="M15" s="47">
        <f>'MONTHLY REPORT SHIFT WISE'!M15+'MONTHLY REPORT SHIFT WISE'!M50+'MONTHLY REPORT SHIFT WISE'!M86</f>
        <v>0</v>
      </c>
      <c r="N15" s="38">
        <f t="shared" si="23"/>
        <v>0</v>
      </c>
      <c r="O15" s="47">
        <f>'MONTHLY REPORT SHIFT WISE'!O15+'MONTHLY REPORT SHIFT WISE'!O50+'MONTHLY REPORT SHIFT WISE'!O86</f>
        <v>0</v>
      </c>
      <c r="P15" s="43" t="e">
        <f t="shared" si="0"/>
        <v>#DIV/0!</v>
      </c>
      <c r="Q15" s="47">
        <f>'MONTHLY REPORT SHIFT WISE'!Q15+'MONTHLY REPORT SHIFT WISE'!Q50+'MONTHLY REPORT SHIFT WISE'!Q86</f>
        <v>0</v>
      </c>
      <c r="R15" s="38">
        <f t="shared" si="24"/>
        <v>0</v>
      </c>
      <c r="S15" s="51"/>
      <c r="T15" s="43" t="e">
        <f t="shared" si="25"/>
        <v>#DIV/0!</v>
      </c>
      <c r="U15" s="43" t="e">
        <f t="shared" si="26"/>
        <v>#DIV/0!</v>
      </c>
      <c r="V15" s="43" t="e">
        <f t="shared" si="27"/>
        <v>#DIV/0!</v>
      </c>
      <c r="W15" s="47">
        <f>'MONTHLY REPORT SHIFT WISE'!W15+'MONTHLY REPORT SHIFT WISE'!W50+'MONTHLY REPORT SHIFT WISE'!W86</f>
        <v>0</v>
      </c>
      <c r="X15" s="47">
        <f>(('MONTHLY REPORT SHIFT WISE'!X15+'MONTHLY REPORT SHIFT WISE'!X50+'MONTHLY REPORT SHIFT WISE'!X86)-SUM(Graphs!G114:G116)/60)</f>
        <v>0</v>
      </c>
      <c r="Y15" s="43">
        <f t="shared" si="31"/>
        <v>0</v>
      </c>
      <c r="Z15" s="47">
        <f>'MONTHLY REPORT SHIFT WISE'!Z15+'MONTHLY REPORT SHIFT WISE'!Z50+'MONTHLY REPORT SHIFT WISE'!Z86</f>
        <v>0</v>
      </c>
      <c r="AA15" s="38">
        <f t="shared" si="1"/>
        <v>0</v>
      </c>
      <c r="AB15" s="52" t="str">
        <f t="shared" si="32"/>
        <v/>
      </c>
      <c r="AC15" s="52" t="str">
        <f t="shared" si="2"/>
        <v/>
      </c>
      <c r="AD15" s="52" t="e">
        <f t="shared" si="3"/>
        <v>#DIV/0!</v>
      </c>
      <c r="AE15" s="47">
        <f>('MONTHLY REPORT SHIFT WISE'!AE15+'MONTHLY REPORT SHIFT WISE'!AE50+'MONTHLY REPORT SHIFT WISE'!AE86)-SUM(Graphs!G114:G116)</f>
        <v>0</v>
      </c>
      <c r="AF15" s="47">
        <f>'MONTHLY REPORT SHIFT WISE'!AF15+'MONTHLY REPORT SHIFT WISE'!AF50+'MONTHLY REPORT SHIFT WISE'!AF86</f>
        <v>0</v>
      </c>
      <c r="AG15" s="52" t="str">
        <f t="shared" si="4"/>
        <v/>
      </c>
      <c r="AH15" s="43" t="e">
        <f t="shared" si="5"/>
        <v>#DIV/0!</v>
      </c>
      <c r="AI15" s="52" t="str">
        <f t="shared" si="6"/>
        <v/>
      </c>
      <c r="AJ15" s="47">
        <f>'MONTHLY REPORT SHIFT WISE'!AJ15+'MONTHLY REPORT SHIFT WISE'!AJ50+'MONTHLY REPORT SHIFT WISE'!AJ86</f>
        <v>0</v>
      </c>
      <c r="AK15" s="47">
        <f>'MONTHLY REPORT SHIFT WISE'!AK15+'MONTHLY REPORT SHIFT WISE'!AK50+'MONTHLY REPORT SHIFT WISE'!AK86</f>
        <v>0</v>
      </c>
      <c r="AL15" s="43" t="str">
        <f t="shared" si="7"/>
        <v/>
      </c>
      <c r="AM15" s="38"/>
      <c r="AN15" s="56" t="str">
        <f t="shared" si="8"/>
        <v/>
      </c>
      <c r="AO15" s="47"/>
      <c r="AP15" s="60" t="e">
        <f t="shared" si="9"/>
        <v>#DIV/0!</v>
      </c>
      <c r="AQ15" s="61" t="e">
        <f t="shared" si="10"/>
        <v>#DIV/0!</v>
      </c>
      <c r="AR15" s="63">
        <f t="shared" si="11"/>
        <v>-0.3</v>
      </c>
      <c r="AS15" s="257">
        <f>'MONTHLY REPORT SHIFT WISE'!AS15+'MONTHLY REPORT SHIFT WISE'!AS50+'MONTHLY REPORT SHIFT WISE'!AS86</f>
        <v>0</v>
      </c>
      <c r="AT15" s="71">
        <f>'MONTHLY REPORT SHIFT WISE'!AT15</f>
        <v>0</v>
      </c>
      <c r="AU15" s="71">
        <f>'MONTHLY REPORT SHIFT WISE'!AU15</f>
        <v>0</v>
      </c>
      <c r="AV15" s="76"/>
      <c r="AW15" s="77">
        <f t="shared" si="12"/>
        <v>0</v>
      </c>
      <c r="AX15" s="71">
        <f>'MONTHLY REPORT SHIFT WISE'!AT50</f>
        <v>0</v>
      </c>
      <c r="AY15" s="71">
        <f>'MONTHLY REPORT SHIFT WISE'!AU50</f>
        <v>0</v>
      </c>
      <c r="AZ15" s="76"/>
      <c r="BA15" s="78">
        <f t="shared" si="13"/>
        <v>0</v>
      </c>
      <c r="BB15" s="71">
        <f>'MONTHLY REPORT SHIFT WISE'!AT86</f>
        <v>0</v>
      </c>
      <c r="BC15" s="71">
        <f>'MONTHLY REPORT SHIFT WISE'!AU86</f>
        <v>0</v>
      </c>
      <c r="BD15" s="76"/>
      <c r="BE15" s="78">
        <f t="shared" si="14"/>
        <v>0</v>
      </c>
      <c r="BG15" s="183" t="str">
        <f t="shared" si="15"/>
        <v/>
      </c>
      <c r="BH15" s="183" t="str">
        <f t="shared" si="16"/>
        <v/>
      </c>
      <c r="BI15" s="182" t="str">
        <f t="shared" si="17"/>
        <v/>
      </c>
      <c r="BO15" s="284">
        <f t="shared" si="18"/>
        <v>12</v>
      </c>
      <c r="BP15" s="284">
        <f t="shared" si="19"/>
        <v>0</v>
      </c>
      <c r="BQ15" s="284">
        <f t="shared" si="20"/>
        <v>0</v>
      </c>
      <c r="BR15" s="284" t="e">
        <f t="shared" si="21"/>
        <v>#DIV/0!</v>
      </c>
      <c r="BS15" s="284" t="e">
        <f t="shared" si="22"/>
        <v>#DIV/0!</v>
      </c>
    </row>
    <row r="16" spans="1:71" ht="30" customHeight="1">
      <c r="A16" s="15"/>
      <c r="B16" s="26">
        <v>13</v>
      </c>
      <c r="C16" s="47">
        <f>'MONTHLY REPORT SHIFT WISE'!C16+'MONTHLY REPORT SHIFT WISE'!C51+'MONTHLY REPORT SHIFT WISE'!C87</f>
        <v>0</v>
      </c>
      <c r="D16" s="38">
        <f t="shared" si="28"/>
        <v>0</v>
      </c>
      <c r="E16" s="47">
        <f>'MONTHLY REPORT SHIFT WISE'!E16+'MONTHLY REPORT SHIFT WISE'!E51+'MONTHLY REPORT SHIFT WISE'!E87</f>
        <v>0</v>
      </c>
      <c r="F16" s="38">
        <f t="shared" si="30"/>
        <v>0</v>
      </c>
      <c r="G16" s="38">
        <f t="shared" si="29"/>
        <v>0</v>
      </c>
      <c r="H16" s="47">
        <f>'MONTHLY REPORT SHIFT WISE'!H16+'MONTHLY REPORT SHIFT WISE'!H51+'MONTHLY REPORT SHIFT WISE'!H87</f>
        <v>0</v>
      </c>
      <c r="I16" s="47">
        <f>'MONTHLY REPORT SHIFT WISE'!I16+'MONTHLY REPORT SHIFT WISE'!I51+'MONTHLY REPORT SHIFT WISE'!I87</f>
        <v>0</v>
      </c>
      <c r="J16" s="47">
        <f>'MONTHLY REPORT SHIFT WISE'!J16+'MONTHLY REPORT SHIFT WISE'!J51+'MONTHLY REPORT SHIFT WISE'!J87</f>
        <v>0</v>
      </c>
      <c r="K16" s="47">
        <f>'MONTHLY REPORT SHIFT WISE'!K16+'MONTHLY REPORT SHIFT WISE'!K51+'MONTHLY REPORT SHIFT WISE'!K87</f>
        <v>0</v>
      </c>
      <c r="L16" s="47">
        <f>'MONTHLY REPORT SHIFT WISE'!L16+'MONTHLY REPORT SHIFT WISE'!L51+'MONTHLY REPORT SHIFT WISE'!L87</f>
        <v>0</v>
      </c>
      <c r="M16" s="47">
        <f>'MONTHLY REPORT SHIFT WISE'!M16+'MONTHLY REPORT SHIFT WISE'!M51+'MONTHLY REPORT SHIFT WISE'!M87</f>
        <v>0</v>
      </c>
      <c r="N16" s="38">
        <f t="shared" si="23"/>
        <v>0</v>
      </c>
      <c r="O16" s="47">
        <f>'MONTHLY REPORT SHIFT WISE'!O16+'MONTHLY REPORT SHIFT WISE'!O51+'MONTHLY REPORT SHIFT WISE'!O87</f>
        <v>0</v>
      </c>
      <c r="P16" s="43" t="e">
        <f t="shared" si="0"/>
        <v>#DIV/0!</v>
      </c>
      <c r="Q16" s="47">
        <f>'MONTHLY REPORT SHIFT WISE'!Q16+'MONTHLY REPORT SHIFT WISE'!Q51+'MONTHLY REPORT SHIFT WISE'!Q87</f>
        <v>0</v>
      </c>
      <c r="R16" s="38">
        <f t="shared" si="24"/>
        <v>0</v>
      </c>
      <c r="S16" s="51"/>
      <c r="T16" s="43" t="e">
        <f t="shared" si="25"/>
        <v>#DIV/0!</v>
      </c>
      <c r="U16" s="43" t="e">
        <f t="shared" si="26"/>
        <v>#DIV/0!</v>
      </c>
      <c r="V16" s="43" t="e">
        <f t="shared" si="27"/>
        <v>#DIV/0!</v>
      </c>
      <c r="W16" s="47">
        <f>'MONTHLY REPORT SHIFT WISE'!W16+'MONTHLY REPORT SHIFT WISE'!W51+'MONTHLY REPORT SHIFT WISE'!W87</f>
        <v>0</v>
      </c>
      <c r="X16" s="47">
        <f>(('MONTHLY REPORT SHIFT WISE'!X16+'MONTHLY REPORT SHIFT WISE'!X51+'MONTHLY REPORT SHIFT WISE'!X87)-SUM(Graphs!G117:G119)/60)</f>
        <v>0</v>
      </c>
      <c r="Y16" s="43">
        <f t="shared" si="31"/>
        <v>0</v>
      </c>
      <c r="Z16" s="47">
        <f>'MONTHLY REPORT SHIFT WISE'!Z16+'MONTHLY REPORT SHIFT WISE'!Z51+'MONTHLY REPORT SHIFT WISE'!Z87</f>
        <v>0</v>
      </c>
      <c r="AA16" s="38">
        <f t="shared" si="1"/>
        <v>0</v>
      </c>
      <c r="AB16" s="52" t="str">
        <f t="shared" si="32"/>
        <v/>
      </c>
      <c r="AC16" s="52" t="str">
        <f t="shared" si="2"/>
        <v/>
      </c>
      <c r="AD16" s="52" t="e">
        <f t="shared" si="3"/>
        <v>#DIV/0!</v>
      </c>
      <c r="AE16" s="47">
        <f>('MONTHLY REPORT SHIFT WISE'!AE16+'MONTHLY REPORT SHIFT WISE'!AE51+'MONTHLY REPORT SHIFT WISE'!AE87)-SUM(Graphs!G117:G119)</f>
        <v>0</v>
      </c>
      <c r="AF16" s="47">
        <f>'MONTHLY REPORT SHIFT WISE'!AF16+'MONTHLY REPORT SHIFT WISE'!AF51+'MONTHLY REPORT SHIFT WISE'!AF87</f>
        <v>0</v>
      </c>
      <c r="AG16" s="52" t="str">
        <f t="shared" si="4"/>
        <v/>
      </c>
      <c r="AH16" s="43" t="e">
        <f t="shared" si="5"/>
        <v>#DIV/0!</v>
      </c>
      <c r="AI16" s="52" t="str">
        <f t="shared" si="6"/>
        <v/>
      </c>
      <c r="AJ16" s="47">
        <f>'MONTHLY REPORT SHIFT WISE'!AJ16+'MONTHLY REPORT SHIFT WISE'!AJ51+'MONTHLY REPORT SHIFT WISE'!AJ87</f>
        <v>0</v>
      </c>
      <c r="AK16" s="47">
        <f>'MONTHLY REPORT SHIFT WISE'!AK16+'MONTHLY REPORT SHIFT WISE'!AK51+'MONTHLY REPORT SHIFT WISE'!AK87</f>
        <v>0</v>
      </c>
      <c r="AL16" s="43" t="str">
        <f t="shared" si="7"/>
        <v/>
      </c>
      <c r="AM16" s="38"/>
      <c r="AN16" s="56" t="str">
        <f t="shared" si="8"/>
        <v/>
      </c>
      <c r="AO16" s="47"/>
      <c r="AP16" s="60" t="e">
        <f t="shared" si="9"/>
        <v>#DIV/0!</v>
      </c>
      <c r="AQ16" s="61" t="e">
        <f t="shared" si="10"/>
        <v>#DIV/0!</v>
      </c>
      <c r="AR16" s="63">
        <f t="shared" si="11"/>
        <v>-0.3</v>
      </c>
      <c r="AS16" s="257">
        <f>'MONTHLY REPORT SHIFT WISE'!AS16+'MONTHLY REPORT SHIFT WISE'!AS51+'MONTHLY REPORT SHIFT WISE'!AS87</f>
        <v>0</v>
      </c>
      <c r="AT16" s="71">
        <f>'MONTHLY REPORT SHIFT WISE'!AT16</f>
        <v>0</v>
      </c>
      <c r="AU16" s="71">
        <f>'MONTHLY REPORT SHIFT WISE'!AU16</f>
        <v>0</v>
      </c>
      <c r="AV16" s="76"/>
      <c r="AW16" s="77">
        <f t="shared" si="12"/>
        <v>0</v>
      </c>
      <c r="AX16" s="71">
        <f>'MONTHLY REPORT SHIFT WISE'!AT51</f>
        <v>0</v>
      </c>
      <c r="AY16" s="71">
        <f>'MONTHLY REPORT SHIFT WISE'!AU51</f>
        <v>0</v>
      </c>
      <c r="AZ16" s="76"/>
      <c r="BA16" s="78">
        <f t="shared" si="13"/>
        <v>0</v>
      </c>
      <c r="BB16" s="71">
        <f>'MONTHLY REPORT SHIFT WISE'!AT87</f>
        <v>0</v>
      </c>
      <c r="BC16" s="71">
        <f>'MONTHLY REPORT SHIFT WISE'!AU87</f>
        <v>0</v>
      </c>
      <c r="BD16" s="76"/>
      <c r="BE16" s="78">
        <f t="shared" si="14"/>
        <v>0</v>
      </c>
      <c r="BG16" s="183" t="str">
        <f t="shared" si="15"/>
        <v/>
      </c>
      <c r="BH16" s="183" t="str">
        <f t="shared" si="16"/>
        <v/>
      </c>
      <c r="BI16" s="182" t="str">
        <f t="shared" si="17"/>
        <v/>
      </c>
      <c r="BO16" s="284">
        <f t="shared" si="18"/>
        <v>13</v>
      </c>
      <c r="BP16" s="284">
        <f t="shared" si="19"/>
        <v>0</v>
      </c>
      <c r="BQ16" s="284">
        <f t="shared" si="20"/>
        <v>0</v>
      </c>
      <c r="BR16" s="284" t="e">
        <f t="shared" si="21"/>
        <v>#DIV/0!</v>
      </c>
      <c r="BS16" s="284" t="e">
        <f t="shared" si="22"/>
        <v>#DIV/0!</v>
      </c>
    </row>
    <row r="17" spans="1:71" ht="30" customHeight="1">
      <c r="A17" s="15"/>
      <c r="B17" s="26">
        <v>14</v>
      </c>
      <c r="C17" s="47">
        <f>'MONTHLY REPORT SHIFT WISE'!C17+'MONTHLY REPORT SHIFT WISE'!C52+'MONTHLY REPORT SHIFT WISE'!C88</f>
        <v>0</v>
      </c>
      <c r="D17" s="38">
        <f t="shared" si="28"/>
        <v>0</v>
      </c>
      <c r="E17" s="47">
        <f>'MONTHLY REPORT SHIFT WISE'!E17+'MONTHLY REPORT SHIFT WISE'!E52+'MONTHLY REPORT SHIFT WISE'!E88</f>
        <v>0</v>
      </c>
      <c r="F17" s="38">
        <f t="shared" si="30"/>
        <v>0</v>
      </c>
      <c r="G17" s="38">
        <f t="shared" si="29"/>
        <v>0</v>
      </c>
      <c r="H17" s="47">
        <f>'MONTHLY REPORT SHIFT WISE'!H17+'MONTHLY REPORT SHIFT WISE'!H52+'MONTHLY REPORT SHIFT WISE'!H88</f>
        <v>0</v>
      </c>
      <c r="I17" s="47">
        <f>'MONTHLY REPORT SHIFT WISE'!I17+'MONTHLY REPORT SHIFT WISE'!I52+'MONTHLY REPORT SHIFT WISE'!I88</f>
        <v>0</v>
      </c>
      <c r="J17" s="47">
        <f>'MONTHLY REPORT SHIFT WISE'!J17+'MONTHLY REPORT SHIFT WISE'!J52+'MONTHLY REPORT SHIFT WISE'!J88</f>
        <v>0</v>
      </c>
      <c r="K17" s="47">
        <f>'MONTHLY REPORT SHIFT WISE'!K17+'MONTHLY REPORT SHIFT WISE'!K52+'MONTHLY REPORT SHIFT WISE'!K88</f>
        <v>0</v>
      </c>
      <c r="L17" s="47">
        <f>'MONTHLY REPORT SHIFT WISE'!L17+'MONTHLY REPORT SHIFT WISE'!L52+'MONTHLY REPORT SHIFT WISE'!L88</f>
        <v>0</v>
      </c>
      <c r="M17" s="47">
        <f>'MONTHLY REPORT SHIFT WISE'!M17+'MONTHLY REPORT SHIFT WISE'!M52+'MONTHLY REPORT SHIFT WISE'!M88</f>
        <v>0</v>
      </c>
      <c r="N17" s="38">
        <f t="shared" si="23"/>
        <v>0</v>
      </c>
      <c r="O17" s="47">
        <f>'MONTHLY REPORT SHIFT WISE'!O17+'MONTHLY REPORT SHIFT WISE'!O52+'MONTHLY REPORT SHIFT WISE'!O88</f>
        <v>0</v>
      </c>
      <c r="P17" s="43" t="e">
        <f t="shared" si="0"/>
        <v>#DIV/0!</v>
      </c>
      <c r="Q17" s="47">
        <f>'MONTHLY REPORT SHIFT WISE'!Q17+'MONTHLY REPORT SHIFT WISE'!Q52+'MONTHLY REPORT SHIFT WISE'!Q88</f>
        <v>0</v>
      </c>
      <c r="R17" s="38">
        <f t="shared" si="24"/>
        <v>0</v>
      </c>
      <c r="S17" s="51"/>
      <c r="T17" s="43" t="e">
        <f t="shared" si="25"/>
        <v>#DIV/0!</v>
      </c>
      <c r="U17" s="43" t="e">
        <f t="shared" si="26"/>
        <v>#DIV/0!</v>
      </c>
      <c r="V17" s="43" t="e">
        <f t="shared" si="27"/>
        <v>#DIV/0!</v>
      </c>
      <c r="W17" s="47">
        <f>'MONTHLY REPORT SHIFT WISE'!W17+'MONTHLY REPORT SHIFT WISE'!W52+'MONTHLY REPORT SHIFT WISE'!W88</f>
        <v>0</v>
      </c>
      <c r="X17" s="47">
        <f>(('MONTHLY REPORT SHIFT WISE'!X17+'MONTHLY REPORT SHIFT WISE'!X52+'MONTHLY REPORT SHIFT WISE'!X88)-SUM(Graphs!G120:G122)/60)</f>
        <v>0</v>
      </c>
      <c r="Y17" s="43">
        <f t="shared" si="31"/>
        <v>0</v>
      </c>
      <c r="Z17" s="47">
        <f>'MONTHLY REPORT SHIFT WISE'!Z17+'MONTHLY REPORT SHIFT WISE'!Z52+'MONTHLY REPORT SHIFT WISE'!Z88</f>
        <v>0</v>
      </c>
      <c r="AA17" s="38">
        <f t="shared" si="1"/>
        <v>0</v>
      </c>
      <c r="AB17" s="52" t="str">
        <f t="shared" si="32"/>
        <v/>
      </c>
      <c r="AC17" s="52" t="str">
        <f t="shared" si="2"/>
        <v/>
      </c>
      <c r="AD17" s="52" t="e">
        <f t="shared" si="3"/>
        <v>#DIV/0!</v>
      </c>
      <c r="AE17" s="47">
        <f>('MONTHLY REPORT SHIFT WISE'!AE17+'MONTHLY REPORT SHIFT WISE'!AE52+'MONTHLY REPORT SHIFT WISE'!AE88)-SUM(Graphs!G120:G122)</f>
        <v>0</v>
      </c>
      <c r="AF17" s="47">
        <f>'MONTHLY REPORT SHIFT WISE'!AF17+'MONTHLY REPORT SHIFT WISE'!AF52+'MONTHLY REPORT SHIFT WISE'!AF88</f>
        <v>0</v>
      </c>
      <c r="AG17" s="52" t="str">
        <f t="shared" si="4"/>
        <v/>
      </c>
      <c r="AH17" s="43" t="e">
        <f t="shared" si="5"/>
        <v>#DIV/0!</v>
      </c>
      <c r="AI17" s="52" t="str">
        <f t="shared" si="6"/>
        <v/>
      </c>
      <c r="AJ17" s="47">
        <f>'MONTHLY REPORT SHIFT WISE'!AJ17+'MONTHLY REPORT SHIFT WISE'!AJ52+'MONTHLY REPORT SHIFT WISE'!AJ88</f>
        <v>0</v>
      </c>
      <c r="AK17" s="47">
        <f>'MONTHLY REPORT SHIFT WISE'!AK17+'MONTHLY REPORT SHIFT WISE'!AK52+'MONTHLY REPORT SHIFT WISE'!AK88</f>
        <v>0</v>
      </c>
      <c r="AL17" s="43" t="str">
        <f t="shared" si="7"/>
        <v/>
      </c>
      <c r="AM17" s="38"/>
      <c r="AN17" s="56" t="str">
        <f t="shared" si="8"/>
        <v/>
      </c>
      <c r="AO17" s="47"/>
      <c r="AP17" s="60" t="e">
        <f t="shared" si="9"/>
        <v>#DIV/0!</v>
      </c>
      <c r="AQ17" s="61" t="e">
        <f t="shared" si="10"/>
        <v>#DIV/0!</v>
      </c>
      <c r="AR17" s="63">
        <f t="shared" si="11"/>
        <v>-0.3</v>
      </c>
      <c r="AS17" s="257">
        <f>'MONTHLY REPORT SHIFT WISE'!AS17+'MONTHLY REPORT SHIFT WISE'!AS52+'MONTHLY REPORT SHIFT WISE'!AS88</f>
        <v>0</v>
      </c>
      <c r="AT17" s="71">
        <f>'MONTHLY REPORT SHIFT WISE'!AT17</f>
        <v>0</v>
      </c>
      <c r="AU17" s="71">
        <f>'MONTHLY REPORT SHIFT WISE'!AU17</f>
        <v>0</v>
      </c>
      <c r="AV17" s="76"/>
      <c r="AW17" s="77">
        <f t="shared" si="12"/>
        <v>0</v>
      </c>
      <c r="AX17" s="71">
        <f>'MONTHLY REPORT SHIFT WISE'!AT52</f>
        <v>0</v>
      </c>
      <c r="AY17" s="71">
        <f>'MONTHLY REPORT SHIFT WISE'!AU52</f>
        <v>0</v>
      </c>
      <c r="AZ17" s="76"/>
      <c r="BA17" s="78">
        <f t="shared" si="13"/>
        <v>0</v>
      </c>
      <c r="BB17" s="71">
        <f>'MONTHLY REPORT SHIFT WISE'!AT88</f>
        <v>0</v>
      </c>
      <c r="BC17" s="71">
        <f>'MONTHLY REPORT SHIFT WISE'!AU88</f>
        <v>0</v>
      </c>
      <c r="BD17" s="76"/>
      <c r="BE17" s="78">
        <f t="shared" si="14"/>
        <v>0</v>
      </c>
      <c r="BG17" s="183" t="str">
        <f t="shared" si="15"/>
        <v/>
      </c>
      <c r="BH17" s="183" t="str">
        <f t="shared" si="16"/>
        <v/>
      </c>
      <c r="BI17" s="182" t="str">
        <f t="shared" si="17"/>
        <v/>
      </c>
      <c r="BO17" s="284">
        <f t="shared" si="18"/>
        <v>14</v>
      </c>
      <c r="BP17" s="284">
        <f t="shared" si="19"/>
        <v>0</v>
      </c>
      <c r="BQ17" s="284">
        <f t="shared" si="20"/>
        <v>0</v>
      </c>
      <c r="BR17" s="284" t="e">
        <f t="shared" si="21"/>
        <v>#DIV/0!</v>
      </c>
      <c r="BS17" s="284" t="e">
        <f t="shared" si="22"/>
        <v>#DIV/0!</v>
      </c>
    </row>
    <row r="18" spans="1:71" ht="30" customHeight="1">
      <c r="A18" s="15"/>
      <c r="B18" s="26">
        <v>15</v>
      </c>
      <c r="C18" s="47">
        <f>'MONTHLY REPORT SHIFT WISE'!C18+'MONTHLY REPORT SHIFT WISE'!C53+'MONTHLY REPORT SHIFT WISE'!C89</f>
        <v>0</v>
      </c>
      <c r="D18" s="38">
        <f t="shared" si="28"/>
        <v>0</v>
      </c>
      <c r="E18" s="47">
        <f>'MONTHLY REPORT SHIFT WISE'!E18+'MONTHLY REPORT SHIFT WISE'!E53+'MONTHLY REPORT SHIFT WISE'!E89</f>
        <v>0</v>
      </c>
      <c r="F18" s="38">
        <f t="shared" si="30"/>
        <v>0</v>
      </c>
      <c r="G18" s="38">
        <f t="shared" si="29"/>
        <v>0</v>
      </c>
      <c r="H18" s="47">
        <f>'MONTHLY REPORT SHIFT WISE'!H18+'MONTHLY REPORT SHIFT WISE'!H53+'MONTHLY REPORT SHIFT WISE'!H89</f>
        <v>0</v>
      </c>
      <c r="I18" s="47">
        <f>'MONTHLY REPORT SHIFT WISE'!I18+'MONTHLY REPORT SHIFT WISE'!I53+'MONTHLY REPORT SHIFT WISE'!I89</f>
        <v>0</v>
      </c>
      <c r="J18" s="47">
        <f>'MONTHLY REPORT SHIFT WISE'!J18+'MONTHLY REPORT SHIFT WISE'!J53+'MONTHLY REPORT SHIFT WISE'!J89</f>
        <v>0</v>
      </c>
      <c r="K18" s="47">
        <f>'MONTHLY REPORT SHIFT WISE'!K18+'MONTHLY REPORT SHIFT WISE'!K53+'MONTHLY REPORT SHIFT WISE'!K89</f>
        <v>0</v>
      </c>
      <c r="L18" s="47">
        <f>'MONTHLY REPORT SHIFT WISE'!L18+'MONTHLY REPORT SHIFT WISE'!L53+'MONTHLY REPORT SHIFT WISE'!L89</f>
        <v>0</v>
      </c>
      <c r="M18" s="47">
        <f>'MONTHLY REPORT SHIFT WISE'!M18+'MONTHLY REPORT SHIFT WISE'!M53+'MONTHLY REPORT SHIFT WISE'!M89</f>
        <v>0</v>
      </c>
      <c r="N18" s="38">
        <f t="shared" si="23"/>
        <v>0</v>
      </c>
      <c r="O18" s="47">
        <f>'MONTHLY REPORT SHIFT WISE'!O18+'MONTHLY REPORT SHIFT WISE'!O53+'MONTHLY REPORT SHIFT WISE'!O89</f>
        <v>0</v>
      </c>
      <c r="P18" s="43" t="e">
        <f t="shared" si="0"/>
        <v>#DIV/0!</v>
      </c>
      <c r="Q18" s="47">
        <f>'MONTHLY REPORT SHIFT WISE'!Q18+'MONTHLY REPORT SHIFT WISE'!Q53+'MONTHLY REPORT SHIFT WISE'!Q89</f>
        <v>0</v>
      </c>
      <c r="R18" s="38">
        <f t="shared" si="24"/>
        <v>0</v>
      </c>
      <c r="S18" s="51"/>
      <c r="T18" s="43" t="e">
        <f t="shared" si="25"/>
        <v>#DIV/0!</v>
      </c>
      <c r="U18" s="43" t="e">
        <f t="shared" si="26"/>
        <v>#DIV/0!</v>
      </c>
      <c r="V18" s="43" t="e">
        <f t="shared" si="27"/>
        <v>#DIV/0!</v>
      </c>
      <c r="W18" s="47">
        <f>'MONTHLY REPORT SHIFT WISE'!W18+'MONTHLY REPORT SHIFT WISE'!W53+'MONTHLY REPORT SHIFT WISE'!W89</f>
        <v>0</v>
      </c>
      <c r="X18" s="47">
        <f>(('MONTHLY REPORT SHIFT WISE'!X18+'MONTHLY REPORT SHIFT WISE'!X53+'MONTHLY REPORT SHIFT WISE'!X89)-SUM(Graphs!G123:G125)/60)</f>
        <v>0</v>
      </c>
      <c r="Y18" s="43">
        <f t="shared" si="31"/>
        <v>0</v>
      </c>
      <c r="Z18" s="47">
        <f>'MONTHLY REPORT SHIFT WISE'!Z18+'MONTHLY REPORT SHIFT WISE'!Z53+'MONTHLY REPORT SHIFT WISE'!Z89</f>
        <v>0</v>
      </c>
      <c r="AA18" s="38">
        <f t="shared" si="1"/>
        <v>0</v>
      </c>
      <c r="AB18" s="52" t="str">
        <f t="shared" si="32"/>
        <v/>
      </c>
      <c r="AC18" s="52" t="str">
        <f t="shared" si="2"/>
        <v/>
      </c>
      <c r="AD18" s="52" t="e">
        <f t="shared" si="3"/>
        <v>#DIV/0!</v>
      </c>
      <c r="AE18" s="47">
        <f>('MONTHLY REPORT SHIFT WISE'!AE18+'MONTHLY REPORT SHIFT WISE'!AE53+'MONTHLY REPORT SHIFT WISE'!AE89)-SUM(Graphs!G123:G125)</f>
        <v>0</v>
      </c>
      <c r="AF18" s="47">
        <f>'MONTHLY REPORT SHIFT WISE'!AF18+'MONTHLY REPORT SHIFT WISE'!AF53+'MONTHLY REPORT SHIFT WISE'!AF89</f>
        <v>0</v>
      </c>
      <c r="AG18" s="52" t="str">
        <f t="shared" si="4"/>
        <v/>
      </c>
      <c r="AH18" s="43" t="e">
        <f t="shared" si="5"/>
        <v>#DIV/0!</v>
      </c>
      <c r="AI18" s="52" t="str">
        <f t="shared" si="6"/>
        <v/>
      </c>
      <c r="AJ18" s="47">
        <f>'MONTHLY REPORT SHIFT WISE'!AJ18+'MONTHLY REPORT SHIFT WISE'!AJ53+'MONTHLY REPORT SHIFT WISE'!AJ89</f>
        <v>0</v>
      </c>
      <c r="AK18" s="47">
        <f>'MONTHLY REPORT SHIFT WISE'!AK18+'MONTHLY REPORT SHIFT WISE'!AK53+'MONTHLY REPORT SHIFT WISE'!AK89</f>
        <v>0</v>
      </c>
      <c r="AL18" s="43" t="str">
        <f t="shared" si="7"/>
        <v/>
      </c>
      <c r="AM18" s="38"/>
      <c r="AN18" s="56" t="str">
        <f t="shared" si="8"/>
        <v/>
      </c>
      <c r="AO18" s="47"/>
      <c r="AP18" s="60" t="e">
        <f t="shared" si="9"/>
        <v>#DIV/0!</v>
      </c>
      <c r="AQ18" s="61" t="e">
        <f t="shared" si="10"/>
        <v>#DIV/0!</v>
      </c>
      <c r="AR18" s="63">
        <f t="shared" si="11"/>
        <v>-0.3</v>
      </c>
      <c r="AS18" s="257">
        <f>'MONTHLY REPORT SHIFT WISE'!AS18+'MONTHLY REPORT SHIFT WISE'!AS53+'MONTHLY REPORT SHIFT WISE'!AS89</f>
        <v>0</v>
      </c>
      <c r="AT18" s="71">
        <f>'MONTHLY REPORT SHIFT WISE'!AT18</f>
        <v>0</v>
      </c>
      <c r="AU18" s="71">
        <f>'MONTHLY REPORT SHIFT WISE'!AU18</f>
        <v>0</v>
      </c>
      <c r="AV18" s="76"/>
      <c r="AW18" s="77">
        <f t="shared" si="12"/>
        <v>0</v>
      </c>
      <c r="AX18" s="71">
        <f>'MONTHLY REPORT SHIFT WISE'!AT53</f>
        <v>0</v>
      </c>
      <c r="AY18" s="71">
        <f>'MONTHLY REPORT SHIFT WISE'!AU53</f>
        <v>0</v>
      </c>
      <c r="AZ18" s="76"/>
      <c r="BA18" s="78">
        <f t="shared" si="13"/>
        <v>0</v>
      </c>
      <c r="BB18" s="71">
        <f>'MONTHLY REPORT SHIFT WISE'!AT89</f>
        <v>0</v>
      </c>
      <c r="BC18" s="71">
        <f>'MONTHLY REPORT SHIFT WISE'!AU89</f>
        <v>0</v>
      </c>
      <c r="BD18" s="76"/>
      <c r="BE18" s="78">
        <f t="shared" si="14"/>
        <v>0</v>
      </c>
      <c r="BG18" s="183" t="str">
        <f t="shared" si="15"/>
        <v/>
      </c>
      <c r="BH18" s="183" t="str">
        <f t="shared" si="16"/>
        <v/>
      </c>
      <c r="BI18" s="182" t="str">
        <f t="shared" si="17"/>
        <v/>
      </c>
      <c r="BO18" s="284">
        <f t="shared" si="18"/>
        <v>15</v>
      </c>
      <c r="BP18" s="284">
        <f t="shared" si="19"/>
        <v>0</v>
      </c>
      <c r="BQ18" s="284">
        <f t="shared" si="20"/>
        <v>0</v>
      </c>
      <c r="BR18" s="284" t="e">
        <f t="shared" si="21"/>
        <v>#DIV/0!</v>
      </c>
      <c r="BS18" s="284" t="e">
        <f t="shared" si="22"/>
        <v>#DIV/0!</v>
      </c>
    </row>
    <row r="19" spans="1:71" ht="30" customHeight="1">
      <c r="A19" s="15"/>
      <c r="B19" s="26">
        <v>16</v>
      </c>
      <c r="C19" s="47">
        <f>'MONTHLY REPORT SHIFT WISE'!C19+'MONTHLY REPORT SHIFT WISE'!C54+'MONTHLY REPORT SHIFT WISE'!C90</f>
        <v>0</v>
      </c>
      <c r="D19" s="38">
        <f t="shared" si="28"/>
        <v>0</v>
      </c>
      <c r="E19" s="47">
        <f>'MONTHLY REPORT SHIFT WISE'!E19+'MONTHLY REPORT SHIFT WISE'!E54+'MONTHLY REPORT SHIFT WISE'!E90</f>
        <v>0</v>
      </c>
      <c r="F19" s="38">
        <f t="shared" si="30"/>
        <v>0</v>
      </c>
      <c r="G19" s="38">
        <f t="shared" si="29"/>
        <v>0</v>
      </c>
      <c r="H19" s="47">
        <f>'MONTHLY REPORT SHIFT WISE'!H19+'MONTHLY REPORT SHIFT WISE'!H54+'MONTHLY REPORT SHIFT WISE'!H90</f>
        <v>0</v>
      </c>
      <c r="I19" s="47">
        <f>'MONTHLY REPORT SHIFT WISE'!I19+'MONTHLY REPORT SHIFT WISE'!I54+'MONTHLY REPORT SHIFT WISE'!I90</f>
        <v>0</v>
      </c>
      <c r="J19" s="47">
        <f>'MONTHLY REPORT SHIFT WISE'!J19+'MONTHLY REPORT SHIFT WISE'!J54+'MONTHLY REPORT SHIFT WISE'!J90</f>
        <v>0</v>
      </c>
      <c r="K19" s="47">
        <f>'MONTHLY REPORT SHIFT WISE'!K19+'MONTHLY REPORT SHIFT WISE'!K54+'MONTHLY REPORT SHIFT WISE'!K90</f>
        <v>0</v>
      </c>
      <c r="L19" s="47">
        <f>'MONTHLY REPORT SHIFT WISE'!L19+'MONTHLY REPORT SHIFT WISE'!L54+'MONTHLY REPORT SHIFT WISE'!L90</f>
        <v>0</v>
      </c>
      <c r="M19" s="47">
        <f>'MONTHLY REPORT SHIFT WISE'!M19+'MONTHLY REPORT SHIFT WISE'!M54+'MONTHLY REPORT SHIFT WISE'!M90</f>
        <v>0</v>
      </c>
      <c r="N19" s="38">
        <f t="shared" si="23"/>
        <v>0</v>
      </c>
      <c r="O19" s="47">
        <f>'MONTHLY REPORT SHIFT WISE'!O19+'MONTHLY REPORT SHIFT WISE'!O54+'MONTHLY REPORT SHIFT WISE'!O90</f>
        <v>0</v>
      </c>
      <c r="P19" s="43" t="e">
        <f t="shared" si="0"/>
        <v>#DIV/0!</v>
      </c>
      <c r="Q19" s="47">
        <f>'MONTHLY REPORT SHIFT WISE'!Q19+'MONTHLY REPORT SHIFT WISE'!Q54+'MONTHLY REPORT SHIFT WISE'!Q90</f>
        <v>0</v>
      </c>
      <c r="R19" s="38">
        <f t="shared" si="24"/>
        <v>0</v>
      </c>
      <c r="S19" s="51"/>
      <c r="T19" s="43" t="e">
        <f t="shared" si="25"/>
        <v>#DIV/0!</v>
      </c>
      <c r="U19" s="43" t="e">
        <f t="shared" si="26"/>
        <v>#DIV/0!</v>
      </c>
      <c r="V19" s="43" t="e">
        <f t="shared" si="27"/>
        <v>#DIV/0!</v>
      </c>
      <c r="W19" s="47">
        <f>'MONTHLY REPORT SHIFT WISE'!W19+'MONTHLY REPORT SHIFT WISE'!W54+'MONTHLY REPORT SHIFT WISE'!W90</f>
        <v>0</v>
      </c>
      <c r="X19" s="47">
        <f>(('MONTHLY REPORT SHIFT WISE'!X19+'MONTHLY REPORT SHIFT WISE'!X54+'MONTHLY REPORT SHIFT WISE'!X90)-SUM(Graphs!G126:G128)/60)</f>
        <v>0</v>
      </c>
      <c r="Y19" s="43">
        <f t="shared" si="31"/>
        <v>0</v>
      </c>
      <c r="Z19" s="47">
        <f>'MONTHLY REPORT SHIFT WISE'!Z19+'MONTHLY REPORT SHIFT WISE'!Z54+'MONTHLY REPORT SHIFT WISE'!Z90</f>
        <v>0</v>
      </c>
      <c r="AA19" s="38">
        <f t="shared" si="1"/>
        <v>0</v>
      </c>
      <c r="AB19" s="52" t="str">
        <f t="shared" si="32"/>
        <v/>
      </c>
      <c r="AC19" s="52" t="str">
        <f t="shared" si="2"/>
        <v/>
      </c>
      <c r="AD19" s="52" t="e">
        <f t="shared" si="3"/>
        <v>#DIV/0!</v>
      </c>
      <c r="AE19" s="47">
        <f>('MONTHLY REPORT SHIFT WISE'!AE19+'MONTHLY REPORT SHIFT WISE'!AE54+'MONTHLY REPORT SHIFT WISE'!AE90)-SUM(Graphs!G126:G128)</f>
        <v>0</v>
      </c>
      <c r="AF19" s="47">
        <f>'MONTHLY REPORT SHIFT WISE'!AF19+'MONTHLY REPORT SHIFT WISE'!AF54+'MONTHLY REPORT SHIFT WISE'!AF90</f>
        <v>0</v>
      </c>
      <c r="AG19" s="52" t="str">
        <f t="shared" si="4"/>
        <v/>
      </c>
      <c r="AH19" s="43" t="e">
        <f t="shared" si="5"/>
        <v>#DIV/0!</v>
      </c>
      <c r="AI19" s="52" t="str">
        <f t="shared" si="6"/>
        <v/>
      </c>
      <c r="AJ19" s="47">
        <f>'MONTHLY REPORT SHIFT WISE'!AJ19+'MONTHLY REPORT SHIFT WISE'!AJ54+'MONTHLY REPORT SHIFT WISE'!AJ90</f>
        <v>0</v>
      </c>
      <c r="AK19" s="47">
        <f>'MONTHLY REPORT SHIFT WISE'!AK19+'MONTHLY REPORT SHIFT WISE'!AK54+'MONTHLY REPORT SHIFT WISE'!AK90</f>
        <v>0</v>
      </c>
      <c r="AL19" s="43" t="str">
        <f t="shared" si="7"/>
        <v/>
      </c>
      <c r="AM19" s="38"/>
      <c r="AN19" s="56" t="str">
        <f t="shared" si="8"/>
        <v/>
      </c>
      <c r="AO19" s="47"/>
      <c r="AP19" s="60" t="e">
        <f t="shared" si="9"/>
        <v>#DIV/0!</v>
      </c>
      <c r="AQ19" s="61" t="e">
        <f t="shared" si="10"/>
        <v>#DIV/0!</v>
      </c>
      <c r="AR19" s="63">
        <f t="shared" si="11"/>
        <v>-0.3</v>
      </c>
      <c r="AS19" s="257">
        <f>'MONTHLY REPORT SHIFT WISE'!AS19+'MONTHLY REPORT SHIFT WISE'!AS54+'MONTHLY REPORT SHIFT WISE'!AS90</f>
        <v>0</v>
      </c>
      <c r="AT19" s="71">
        <f>'MONTHLY REPORT SHIFT WISE'!AT19</f>
        <v>0</v>
      </c>
      <c r="AU19" s="71">
        <f>'MONTHLY REPORT SHIFT WISE'!AU19</f>
        <v>0</v>
      </c>
      <c r="AV19" s="76"/>
      <c r="AW19" s="77">
        <f t="shared" si="12"/>
        <v>0</v>
      </c>
      <c r="AX19" s="71">
        <f>'MONTHLY REPORT SHIFT WISE'!AT54</f>
        <v>0</v>
      </c>
      <c r="AY19" s="71">
        <f>'MONTHLY REPORT SHIFT WISE'!AU54</f>
        <v>0</v>
      </c>
      <c r="AZ19" s="76"/>
      <c r="BA19" s="78">
        <f t="shared" si="13"/>
        <v>0</v>
      </c>
      <c r="BB19" s="71">
        <f>'MONTHLY REPORT SHIFT WISE'!AT90</f>
        <v>0</v>
      </c>
      <c r="BC19" s="71">
        <f>'MONTHLY REPORT SHIFT WISE'!AU90</f>
        <v>0</v>
      </c>
      <c r="BD19" s="76"/>
      <c r="BE19" s="78">
        <f t="shared" si="14"/>
        <v>0</v>
      </c>
      <c r="BG19" s="183" t="str">
        <f t="shared" si="15"/>
        <v/>
      </c>
      <c r="BH19" s="183" t="str">
        <f t="shared" si="16"/>
        <v/>
      </c>
      <c r="BI19" s="182" t="str">
        <f t="shared" si="17"/>
        <v/>
      </c>
      <c r="BO19" s="284">
        <f t="shared" si="18"/>
        <v>16</v>
      </c>
      <c r="BP19" s="284">
        <f t="shared" si="19"/>
        <v>0</v>
      </c>
      <c r="BQ19" s="284">
        <f t="shared" si="20"/>
        <v>0</v>
      </c>
      <c r="BR19" s="284" t="e">
        <f t="shared" si="21"/>
        <v>#DIV/0!</v>
      </c>
      <c r="BS19" s="284" t="e">
        <f t="shared" si="22"/>
        <v>#DIV/0!</v>
      </c>
    </row>
    <row r="20" spans="1:71" ht="30" customHeight="1">
      <c r="A20" s="15"/>
      <c r="B20" s="26">
        <v>17</v>
      </c>
      <c r="C20" s="47">
        <f>'MONTHLY REPORT SHIFT WISE'!C20+'MONTHLY REPORT SHIFT WISE'!C55+'MONTHLY REPORT SHIFT WISE'!C91</f>
        <v>0</v>
      </c>
      <c r="D20" s="38">
        <f t="shared" si="28"/>
        <v>0</v>
      </c>
      <c r="E20" s="47">
        <f>'MONTHLY REPORT SHIFT WISE'!E20+'MONTHLY REPORT SHIFT WISE'!E55+'MONTHLY REPORT SHIFT WISE'!E91</f>
        <v>0</v>
      </c>
      <c r="F20" s="38">
        <f t="shared" si="30"/>
        <v>0</v>
      </c>
      <c r="G20" s="38">
        <f t="shared" si="29"/>
        <v>0</v>
      </c>
      <c r="H20" s="47">
        <f>'MONTHLY REPORT SHIFT WISE'!H20+'MONTHLY REPORT SHIFT WISE'!H55+'MONTHLY REPORT SHIFT WISE'!H91</f>
        <v>0</v>
      </c>
      <c r="I20" s="47">
        <f>'MONTHLY REPORT SHIFT WISE'!I20+'MONTHLY REPORT SHIFT WISE'!I55+'MONTHLY REPORT SHIFT WISE'!I91</f>
        <v>0</v>
      </c>
      <c r="J20" s="47">
        <f>'MONTHLY REPORT SHIFT WISE'!J20+'MONTHLY REPORT SHIFT WISE'!J55+'MONTHLY REPORT SHIFT WISE'!J91</f>
        <v>0</v>
      </c>
      <c r="K20" s="47">
        <f>'MONTHLY REPORT SHIFT WISE'!K20+'MONTHLY REPORT SHIFT WISE'!K55+'MONTHLY REPORT SHIFT WISE'!K91</f>
        <v>0</v>
      </c>
      <c r="L20" s="47">
        <f>'MONTHLY REPORT SHIFT WISE'!L20+'MONTHLY REPORT SHIFT WISE'!L55+'MONTHLY REPORT SHIFT WISE'!L91</f>
        <v>0</v>
      </c>
      <c r="M20" s="47">
        <f>'MONTHLY REPORT SHIFT WISE'!M20+'MONTHLY REPORT SHIFT WISE'!M55+'MONTHLY REPORT SHIFT WISE'!M91</f>
        <v>0</v>
      </c>
      <c r="N20" s="38">
        <f t="shared" si="23"/>
        <v>0</v>
      </c>
      <c r="O20" s="47">
        <f>'MONTHLY REPORT SHIFT WISE'!O20+'MONTHLY REPORT SHIFT WISE'!O55+'MONTHLY REPORT SHIFT WISE'!O91</f>
        <v>0</v>
      </c>
      <c r="P20" s="43" t="e">
        <f>IF(O20="","",O20/X20)</f>
        <v>#DIV/0!</v>
      </c>
      <c r="Q20" s="47">
        <f>'MONTHLY REPORT SHIFT WISE'!Q20+'MONTHLY REPORT SHIFT WISE'!Q55+'MONTHLY REPORT SHIFT WISE'!Q91</f>
        <v>0</v>
      </c>
      <c r="R20" s="38">
        <f t="shared" si="24"/>
        <v>0</v>
      </c>
      <c r="S20" s="51"/>
      <c r="T20" s="43" t="e">
        <f t="shared" si="25"/>
        <v>#DIV/0!</v>
      </c>
      <c r="U20" s="43" t="e">
        <f t="shared" si="26"/>
        <v>#DIV/0!</v>
      </c>
      <c r="V20" s="43" t="e">
        <f t="shared" si="27"/>
        <v>#DIV/0!</v>
      </c>
      <c r="W20" s="47">
        <f>'MONTHLY REPORT SHIFT WISE'!W20+'MONTHLY REPORT SHIFT WISE'!W55+'MONTHLY REPORT SHIFT WISE'!W91</f>
        <v>0</v>
      </c>
      <c r="X20" s="47">
        <f>(('MONTHLY REPORT SHIFT WISE'!X20+'MONTHLY REPORT SHIFT WISE'!X55+'MONTHLY REPORT SHIFT WISE'!X91)-SUM(Graphs!G129:G131)/60)</f>
        <v>0</v>
      </c>
      <c r="Y20" s="43">
        <f t="shared" si="31"/>
        <v>0</v>
      </c>
      <c r="Z20" s="47">
        <f>'MONTHLY REPORT SHIFT WISE'!Z20+'MONTHLY REPORT SHIFT WISE'!Z55+'MONTHLY REPORT SHIFT WISE'!Z91</f>
        <v>0</v>
      </c>
      <c r="AA20" s="38">
        <f t="shared" si="1"/>
        <v>0</v>
      </c>
      <c r="AB20" s="52" t="str">
        <f t="shared" si="32"/>
        <v/>
      </c>
      <c r="AC20" s="52" t="str">
        <f t="shared" si="2"/>
        <v/>
      </c>
      <c r="AD20" s="52" t="e">
        <f t="shared" si="3"/>
        <v>#DIV/0!</v>
      </c>
      <c r="AE20" s="47">
        <f>('MONTHLY REPORT SHIFT WISE'!AE20+'MONTHLY REPORT SHIFT WISE'!AE55+'MONTHLY REPORT SHIFT WISE'!AE91)-SUM(Graphs!G129:G131)</f>
        <v>0</v>
      </c>
      <c r="AF20" s="47">
        <f>'MONTHLY REPORT SHIFT WISE'!AF20+'MONTHLY REPORT SHIFT WISE'!AF55+'MONTHLY REPORT SHIFT WISE'!AF91</f>
        <v>0</v>
      </c>
      <c r="AG20" s="52" t="str">
        <f t="shared" si="4"/>
        <v/>
      </c>
      <c r="AH20" s="43" t="e">
        <f t="shared" si="5"/>
        <v>#DIV/0!</v>
      </c>
      <c r="AI20" s="52" t="str">
        <f t="shared" si="6"/>
        <v/>
      </c>
      <c r="AJ20" s="47">
        <f>'MONTHLY REPORT SHIFT WISE'!AJ20+'MONTHLY REPORT SHIFT WISE'!AJ55+'MONTHLY REPORT SHIFT WISE'!AJ91</f>
        <v>0</v>
      </c>
      <c r="AK20" s="47">
        <f>'MONTHLY REPORT SHIFT WISE'!AK20+'MONTHLY REPORT SHIFT WISE'!AK55+'MONTHLY REPORT SHIFT WISE'!AK91</f>
        <v>0</v>
      </c>
      <c r="AL20" s="43" t="str">
        <f t="shared" si="7"/>
        <v/>
      </c>
      <c r="AM20" s="38"/>
      <c r="AN20" s="56" t="str">
        <f t="shared" si="8"/>
        <v/>
      </c>
      <c r="AO20" s="47"/>
      <c r="AP20" s="60" t="e">
        <f t="shared" si="9"/>
        <v>#DIV/0!</v>
      </c>
      <c r="AQ20" s="61" t="e">
        <f t="shared" si="10"/>
        <v>#DIV/0!</v>
      </c>
      <c r="AR20" s="63">
        <f t="shared" si="11"/>
        <v>-0.3</v>
      </c>
      <c r="AS20" s="257">
        <f>'MONTHLY REPORT SHIFT WISE'!AS20+'MONTHLY REPORT SHIFT WISE'!AS55+'MONTHLY REPORT SHIFT WISE'!AS91</f>
        <v>0</v>
      </c>
      <c r="AT20" s="71">
        <f>'MONTHLY REPORT SHIFT WISE'!AT20</f>
        <v>0</v>
      </c>
      <c r="AU20" s="71">
        <f>'MONTHLY REPORT SHIFT WISE'!AU20</f>
        <v>0</v>
      </c>
      <c r="AV20" s="76"/>
      <c r="AW20" s="77">
        <f t="shared" si="12"/>
        <v>0</v>
      </c>
      <c r="AX20" s="71">
        <f>'MONTHLY REPORT SHIFT WISE'!AT55</f>
        <v>0</v>
      </c>
      <c r="AY20" s="71">
        <f>'MONTHLY REPORT SHIFT WISE'!AU55</f>
        <v>0</v>
      </c>
      <c r="AZ20" s="76"/>
      <c r="BA20" s="78">
        <f t="shared" si="13"/>
        <v>0</v>
      </c>
      <c r="BB20" s="71">
        <f>'MONTHLY REPORT SHIFT WISE'!AT91</f>
        <v>0</v>
      </c>
      <c r="BC20" s="71">
        <f>'MONTHLY REPORT SHIFT WISE'!AU91</f>
        <v>0</v>
      </c>
      <c r="BD20" s="76"/>
      <c r="BE20" s="78">
        <f t="shared" si="14"/>
        <v>0</v>
      </c>
      <c r="BG20" s="183" t="str">
        <f t="shared" si="15"/>
        <v/>
      </c>
      <c r="BH20" s="183" t="str">
        <f t="shared" si="16"/>
        <v/>
      </c>
      <c r="BI20" s="182" t="str">
        <f t="shared" si="17"/>
        <v/>
      </c>
      <c r="BO20" s="284">
        <f t="shared" si="18"/>
        <v>17</v>
      </c>
      <c r="BP20" s="284">
        <f t="shared" si="19"/>
        <v>0</v>
      </c>
      <c r="BQ20" s="284">
        <f t="shared" si="20"/>
        <v>0</v>
      </c>
      <c r="BR20" s="284" t="e">
        <f t="shared" si="21"/>
        <v>#DIV/0!</v>
      </c>
      <c r="BS20" s="284" t="e">
        <f t="shared" si="22"/>
        <v>#DIV/0!</v>
      </c>
    </row>
    <row r="21" spans="1:71" ht="30" customHeight="1">
      <c r="A21" s="15"/>
      <c r="B21" s="26">
        <v>18</v>
      </c>
      <c r="C21" s="47">
        <f>'MONTHLY REPORT SHIFT WISE'!C21+'MONTHLY REPORT SHIFT WISE'!C56+'MONTHLY REPORT SHIFT WISE'!C92</f>
        <v>0</v>
      </c>
      <c r="D21" s="38">
        <f t="shared" si="28"/>
        <v>0</v>
      </c>
      <c r="E21" s="47">
        <f>'MONTHLY REPORT SHIFT WISE'!E21+'MONTHLY REPORT SHIFT WISE'!E56+'MONTHLY REPORT SHIFT WISE'!E92</f>
        <v>0</v>
      </c>
      <c r="F21" s="38">
        <f t="shared" si="30"/>
        <v>0</v>
      </c>
      <c r="G21" s="38">
        <f t="shared" si="29"/>
        <v>0</v>
      </c>
      <c r="H21" s="47">
        <f>'MONTHLY REPORT SHIFT WISE'!H21+'MONTHLY REPORT SHIFT WISE'!H56+'MONTHLY REPORT SHIFT WISE'!H92</f>
        <v>0</v>
      </c>
      <c r="I21" s="47">
        <f>'MONTHLY REPORT SHIFT WISE'!I21+'MONTHLY REPORT SHIFT WISE'!I56+'MONTHLY REPORT SHIFT WISE'!I92</f>
        <v>0</v>
      </c>
      <c r="J21" s="47">
        <f>'MONTHLY REPORT SHIFT WISE'!J21+'MONTHLY REPORT SHIFT WISE'!J56+'MONTHLY REPORT SHIFT WISE'!J92</f>
        <v>0</v>
      </c>
      <c r="K21" s="47">
        <f>'MONTHLY REPORT SHIFT WISE'!K21+'MONTHLY REPORT SHIFT WISE'!K56+'MONTHLY REPORT SHIFT WISE'!K92</f>
        <v>0</v>
      </c>
      <c r="L21" s="47">
        <f>'MONTHLY REPORT SHIFT WISE'!L21+'MONTHLY REPORT SHIFT WISE'!L56+'MONTHLY REPORT SHIFT WISE'!L92</f>
        <v>0</v>
      </c>
      <c r="M21" s="47">
        <f>'MONTHLY REPORT SHIFT WISE'!M21+'MONTHLY REPORT SHIFT WISE'!M56+'MONTHLY REPORT SHIFT WISE'!M92</f>
        <v>0</v>
      </c>
      <c r="N21" s="38">
        <f t="shared" si="23"/>
        <v>0</v>
      </c>
      <c r="O21" s="47">
        <f>'MONTHLY REPORT SHIFT WISE'!O21+'MONTHLY REPORT SHIFT WISE'!O56+'MONTHLY REPORT SHIFT WISE'!O92</f>
        <v>0</v>
      </c>
      <c r="P21" s="43" t="e">
        <f t="shared" si="0"/>
        <v>#DIV/0!</v>
      </c>
      <c r="Q21" s="47">
        <f>'MONTHLY REPORT SHIFT WISE'!Q21+'MONTHLY REPORT SHIFT WISE'!Q56+'MONTHLY REPORT SHIFT WISE'!Q92</f>
        <v>0</v>
      </c>
      <c r="R21" s="38">
        <f t="shared" si="24"/>
        <v>0</v>
      </c>
      <c r="S21" s="51"/>
      <c r="T21" s="43" t="e">
        <f t="shared" si="25"/>
        <v>#DIV/0!</v>
      </c>
      <c r="U21" s="43" t="e">
        <f t="shared" si="26"/>
        <v>#DIV/0!</v>
      </c>
      <c r="V21" s="43" t="e">
        <f t="shared" si="27"/>
        <v>#DIV/0!</v>
      </c>
      <c r="W21" s="47">
        <f>'MONTHLY REPORT SHIFT WISE'!W21+'MONTHLY REPORT SHIFT WISE'!W56+'MONTHLY REPORT SHIFT WISE'!W92</f>
        <v>0</v>
      </c>
      <c r="X21" s="47">
        <f>(('MONTHLY REPORT SHIFT WISE'!X21+'MONTHLY REPORT SHIFT WISE'!X56+'MONTHLY REPORT SHIFT WISE'!X92)-SUM(Graphs!G132:G134)/60)</f>
        <v>0</v>
      </c>
      <c r="Y21" s="43">
        <f t="shared" si="31"/>
        <v>0</v>
      </c>
      <c r="Z21" s="47">
        <f>'MONTHLY REPORT SHIFT WISE'!Z21+'MONTHLY REPORT SHIFT WISE'!Z56+'MONTHLY REPORT SHIFT WISE'!Z92</f>
        <v>0</v>
      </c>
      <c r="AA21" s="38">
        <f t="shared" si="1"/>
        <v>0</v>
      </c>
      <c r="AB21" s="52" t="str">
        <f t="shared" si="32"/>
        <v/>
      </c>
      <c r="AC21" s="52" t="str">
        <f t="shared" si="2"/>
        <v/>
      </c>
      <c r="AD21" s="52" t="e">
        <f t="shared" si="3"/>
        <v>#DIV/0!</v>
      </c>
      <c r="AE21" s="47">
        <f>('MONTHLY REPORT SHIFT WISE'!AE21+'MONTHLY REPORT SHIFT WISE'!AE56+'MONTHLY REPORT SHIFT WISE'!AE92)-SUM(Graphs!G132:G134)</f>
        <v>0</v>
      </c>
      <c r="AF21" s="47">
        <f>'MONTHLY REPORT SHIFT WISE'!AF21+'MONTHLY REPORT SHIFT WISE'!AF56+'MONTHLY REPORT SHIFT WISE'!AF92</f>
        <v>0</v>
      </c>
      <c r="AG21" s="52" t="str">
        <f t="shared" si="4"/>
        <v/>
      </c>
      <c r="AH21" s="43" t="e">
        <f t="shared" si="5"/>
        <v>#DIV/0!</v>
      </c>
      <c r="AI21" s="52" t="str">
        <f t="shared" si="6"/>
        <v/>
      </c>
      <c r="AJ21" s="47">
        <f>'MONTHLY REPORT SHIFT WISE'!AJ21+'MONTHLY REPORT SHIFT WISE'!AJ56+'MONTHLY REPORT SHIFT WISE'!AJ92</f>
        <v>0</v>
      </c>
      <c r="AK21" s="47">
        <f>'MONTHLY REPORT SHIFT WISE'!AK21+'MONTHLY REPORT SHIFT WISE'!AK56+'MONTHLY REPORT SHIFT WISE'!AK92</f>
        <v>0</v>
      </c>
      <c r="AL21" s="43" t="str">
        <f t="shared" si="7"/>
        <v/>
      </c>
      <c r="AM21" s="38"/>
      <c r="AN21" s="56" t="str">
        <f t="shared" si="8"/>
        <v/>
      </c>
      <c r="AO21" s="47"/>
      <c r="AP21" s="60" t="e">
        <f t="shared" si="9"/>
        <v>#DIV/0!</v>
      </c>
      <c r="AQ21" s="61" t="e">
        <f t="shared" si="10"/>
        <v>#DIV/0!</v>
      </c>
      <c r="AR21" s="63">
        <f t="shared" si="11"/>
        <v>-0.3</v>
      </c>
      <c r="AS21" s="257">
        <f>'MONTHLY REPORT SHIFT WISE'!AS21+'MONTHLY REPORT SHIFT WISE'!AS56+'MONTHLY REPORT SHIFT WISE'!AS92</f>
        <v>0</v>
      </c>
      <c r="AT21" s="71">
        <f>'MONTHLY REPORT SHIFT WISE'!AT21</f>
        <v>0</v>
      </c>
      <c r="AU21" s="71">
        <f>'MONTHLY REPORT SHIFT WISE'!AU21</f>
        <v>0</v>
      </c>
      <c r="AV21" s="76"/>
      <c r="AW21" s="77">
        <f t="shared" si="12"/>
        <v>0</v>
      </c>
      <c r="AX21" s="71">
        <f>'MONTHLY REPORT SHIFT WISE'!AT56</f>
        <v>0</v>
      </c>
      <c r="AY21" s="71">
        <f>'MONTHLY REPORT SHIFT WISE'!AU56</f>
        <v>0</v>
      </c>
      <c r="AZ21" s="76"/>
      <c r="BA21" s="78">
        <f t="shared" si="13"/>
        <v>0</v>
      </c>
      <c r="BB21" s="71">
        <f>'MONTHLY REPORT SHIFT WISE'!AT92</f>
        <v>0</v>
      </c>
      <c r="BC21" s="71">
        <f>'MONTHLY REPORT SHIFT WISE'!AU92</f>
        <v>0</v>
      </c>
      <c r="BD21" s="76"/>
      <c r="BE21" s="78">
        <f t="shared" si="14"/>
        <v>0</v>
      </c>
      <c r="BG21" s="183" t="str">
        <f t="shared" si="15"/>
        <v/>
      </c>
      <c r="BH21" s="183" t="str">
        <f t="shared" si="16"/>
        <v/>
      </c>
      <c r="BI21" s="182" t="str">
        <f t="shared" si="17"/>
        <v/>
      </c>
      <c r="BO21" s="284">
        <f t="shared" si="18"/>
        <v>18</v>
      </c>
      <c r="BP21" s="284">
        <f t="shared" si="19"/>
        <v>0</v>
      </c>
      <c r="BQ21" s="284">
        <f t="shared" si="20"/>
        <v>0</v>
      </c>
      <c r="BR21" s="284" t="e">
        <f t="shared" si="21"/>
        <v>#DIV/0!</v>
      </c>
      <c r="BS21" s="284" t="e">
        <f t="shared" si="22"/>
        <v>#DIV/0!</v>
      </c>
    </row>
    <row r="22" spans="1:71" ht="30" customHeight="1">
      <c r="A22" s="15"/>
      <c r="B22" s="26">
        <v>19</v>
      </c>
      <c r="C22" s="47">
        <f>'MONTHLY REPORT SHIFT WISE'!C22+'MONTHLY REPORT SHIFT WISE'!C57+'MONTHLY REPORT SHIFT WISE'!C93</f>
        <v>0</v>
      </c>
      <c r="D22" s="38">
        <f t="shared" si="28"/>
        <v>0</v>
      </c>
      <c r="E22" s="47">
        <f>'MONTHLY REPORT SHIFT WISE'!E22+'MONTHLY REPORT SHIFT WISE'!E57+'MONTHLY REPORT SHIFT WISE'!E93</f>
        <v>0</v>
      </c>
      <c r="F22" s="38">
        <f t="shared" si="30"/>
        <v>0</v>
      </c>
      <c r="G22" s="38">
        <f t="shared" si="29"/>
        <v>0</v>
      </c>
      <c r="H22" s="47">
        <f>'MONTHLY REPORT SHIFT WISE'!H22+'MONTHLY REPORT SHIFT WISE'!H57+'MONTHLY REPORT SHIFT WISE'!H93</f>
        <v>0</v>
      </c>
      <c r="I22" s="47">
        <f>'MONTHLY REPORT SHIFT WISE'!I22+'MONTHLY REPORT SHIFT WISE'!I57+'MONTHLY REPORT SHIFT WISE'!I93</f>
        <v>0</v>
      </c>
      <c r="J22" s="47">
        <f>'MONTHLY REPORT SHIFT WISE'!J22+'MONTHLY REPORT SHIFT WISE'!J57+'MONTHLY REPORT SHIFT WISE'!J93</f>
        <v>0</v>
      </c>
      <c r="K22" s="47">
        <f>'MONTHLY REPORT SHIFT WISE'!K22+'MONTHLY REPORT SHIFT WISE'!K57+'MONTHLY REPORT SHIFT WISE'!K93</f>
        <v>0</v>
      </c>
      <c r="L22" s="47">
        <f>'MONTHLY REPORT SHIFT WISE'!L22+'MONTHLY REPORT SHIFT WISE'!L57+'MONTHLY REPORT SHIFT WISE'!L93</f>
        <v>0</v>
      </c>
      <c r="M22" s="47">
        <f>'MONTHLY REPORT SHIFT WISE'!M22+'MONTHLY REPORT SHIFT WISE'!M57+'MONTHLY REPORT SHIFT WISE'!M93</f>
        <v>0</v>
      </c>
      <c r="N22" s="38">
        <f t="shared" si="23"/>
        <v>0</v>
      </c>
      <c r="O22" s="47">
        <f>'MONTHLY REPORT SHIFT WISE'!O22+'MONTHLY REPORT SHIFT WISE'!O57+'MONTHLY REPORT SHIFT WISE'!O93</f>
        <v>0</v>
      </c>
      <c r="P22" s="43" t="e">
        <f t="shared" si="0"/>
        <v>#DIV/0!</v>
      </c>
      <c r="Q22" s="47">
        <f>'MONTHLY REPORT SHIFT WISE'!Q22+'MONTHLY REPORT SHIFT WISE'!Q57+'MONTHLY REPORT SHIFT WISE'!Q93</f>
        <v>0</v>
      </c>
      <c r="R22" s="38">
        <f t="shared" si="24"/>
        <v>0</v>
      </c>
      <c r="S22" s="51"/>
      <c r="T22" s="43" t="e">
        <f t="shared" si="25"/>
        <v>#DIV/0!</v>
      </c>
      <c r="U22" s="43" t="e">
        <f t="shared" si="26"/>
        <v>#DIV/0!</v>
      </c>
      <c r="V22" s="43" t="e">
        <f t="shared" si="27"/>
        <v>#DIV/0!</v>
      </c>
      <c r="W22" s="47">
        <f>'MONTHLY REPORT SHIFT WISE'!W22+'MONTHLY REPORT SHIFT WISE'!W57+'MONTHLY REPORT SHIFT WISE'!W93</f>
        <v>0</v>
      </c>
      <c r="X22" s="47">
        <f>(('MONTHLY REPORT SHIFT WISE'!X22+'MONTHLY REPORT SHIFT WISE'!X57+'MONTHLY REPORT SHIFT WISE'!X93)-SUM(Graphs!G135:G137)/60)</f>
        <v>0</v>
      </c>
      <c r="Y22" s="43">
        <f t="shared" si="31"/>
        <v>0</v>
      </c>
      <c r="Z22" s="47">
        <f>'MONTHLY REPORT SHIFT WISE'!Z22+'MONTHLY REPORT SHIFT WISE'!Z57+'MONTHLY REPORT SHIFT WISE'!Z93</f>
        <v>0</v>
      </c>
      <c r="AA22" s="38">
        <f t="shared" si="1"/>
        <v>0</v>
      </c>
      <c r="AB22" s="52" t="str">
        <f t="shared" si="32"/>
        <v/>
      </c>
      <c r="AC22" s="52" t="str">
        <f t="shared" si="2"/>
        <v/>
      </c>
      <c r="AD22" s="52" t="e">
        <f t="shared" si="3"/>
        <v>#DIV/0!</v>
      </c>
      <c r="AE22" s="47">
        <f>('MONTHLY REPORT SHIFT WISE'!AE22+'MONTHLY REPORT SHIFT WISE'!AE57+'MONTHLY REPORT SHIFT WISE'!AE93)-SUM(Graphs!G135:G137)</f>
        <v>0</v>
      </c>
      <c r="AF22" s="47">
        <f>'MONTHLY REPORT SHIFT WISE'!AF22+'MONTHLY REPORT SHIFT WISE'!AF57+'MONTHLY REPORT SHIFT WISE'!AF93</f>
        <v>0</v>
      </c>
      <c r="AG22" s="52" t="str">
        <f t="shared" si="4"/>
        <v/>
      </c>
      <c r="AH22" s="43" t="e">
        <f t="shared" si="5"/>
        <v>#DIV/0!</v>
      </c>
      <c r="AI22" s="52" t="str">
        <f t="shared" si="6"/>
        <v/>
      </c>
      <c r="AJ22" s="47">
        <f>'MONTHLY REPORT SHIFT WISE'!AJ22+'MONTHLY REPORT SHIFT WISE'!AJ57+'MONTHLY REPORT SHIFT WISE'!AJ93</f>
        <v>0</v>
      </c>
      <c r="AK22" s="47">
        <f>'MONTHLY REPORT SHIFT WISE'!AK22+'MONTHLY REPORT SHIFT WISE'!AK57+'MONTHLY REPORT SHIFT WISE'!AK93</f>
        <v>0</v>
      </c>
      <c r="AL22" s="43" t="str">
        <f t="shared" si="7"/>
        <v/>
      </c>
      <c r="AM22" s="38"/>
      <c r="AN22" s="56" t="str">
        <f t="shared" si="8"/>
        <v/>
      </c>
      <c r="AO22" s="47"/>
      <c r="AP22" s="60" t="e">
        <f t="shared" si="9"/>
        <v>#DIV/0!</v>
      </c>
      <c r="AQ22" s="61" t="e">
        <f t="shared" si="10"/>
        <v>#DIV/0!</v>
      </c>
      <c r="AR22" s="63">
        <f t="shared" si="11"/>
        <v>-0.3</v>
      </c>
      <c r="AS22" s="257">
        <f>'MONTHLY REPORT SHIFT WISE'!AS22+'MONTHLY REPORT SHIFT WISE'!AS57+'MONTHLY REPORT SHIFT WISE'!AS93</f>
        <v>0</v>
      </c>
      <c r="AT22" s="71">
        <f>'MONTHLY REPORT SHIFT WISE'!AT22</f>
        <v>0</v>
      </c>
      <c r="AU22" s="71">
        <f>'MONTHLY REPORT SHIFT WISE'!AU22</f>
        <v>0</v>
      </c>
      <c r="AV22" s="76"/>
      <c r="AW22" s="77">
        <f t="shared" si="12"/>
        <v>0</v>
      </c>
      <c r="AX22" s="71">
        <f>'MONTHLY REPORT SHIFT WISE'!AT57</f>
        <v>0</v>
      </c>
      <c r="AY22" s="71">
        <f>'MONTHLY REPORT SHIFT WISE'!AU57</f>
        <v>0</v>
      </c>
      <c r="AZ22" s="76"/>
      <c r="BA22" s="78">
        <f t="shared" si="13"/>
        <v>0</v>
      </c>
      <c r="BB22" s="71">
        <f>'MONTHLY REPORT SHIFT WISE'!AT93</f>
        <v>0</v>
      </c>
      <c r="BC22" s="71">
        <f>'MONTHLY REPORT SHIFT WISE'!AU93</f>
        <v>0</v>
      </c>
      <c r="BD22" s="76"/>
      <c r="BE22" s="78">
        <f t="shared" si="14"/>
        <v>0</v>
      </c>
      <c r="BG22" s="183" t="str">
        <f t="shared" si="15"/>
        <v/>
      </c>
      <c r="BH22" s="183" t="str">
        <f t="shared" si="16"/>
        <v/>
      </c>
      <c r="BI22" s="182" t="str">
        <f t="shared" si="17"/>
        <v/>
      </c>
      <c r="BO22" s="284">
        <f t="shared" si="18"/>
        <v>19</v>
      </c>
      <c r="BP22" s="284">
        <f t="shared" si="19"/>
        <v>0</v>
      </c>
      <c r="BQ22" s="284">
        <f t="shared" si="20"/>
        <v>0</v>
      </c>
      <c r="BR22" s="284" t="e">
        <f t="shared" si="21"/>
        <v>#DIV/0!</v>
      </c>
      <c r="BS22" s="284" t="e">
        <f t="shared" si="22"/>
        <v>#DIV/0!</v>
      </c>
    </row>
    <row r="23" spans="1:71" ht="30" customHeight="1">
      <c r="A23" s="15"/>
      <c r="B23" s="26">
        <v>20</v>
      </c>
      <c r="C23" s="47">
        <f>'MONTHLY REPORT SHIFT WISE'!C23+'MONTHLY REPORT SHIFT WISE'!C58+'MONTHLY REPORT SHIFT WISE'!C94</f>
        <v>0</v>
      </c>
      <c r="D23" s="38">
        <f t="shared" si="28"/>
        <v>0</v>
      </c>
      <c r="E23" s="47">
        <f>'MONTHLY REPORT SHIFT WISE'!E23+'MONTHLY REPORT SHIFT WISE'!E58+'MONTHLY REPORT SHIFT WISE'!E94</f>
        <v>0</v>
      </c>
      <c r="F23" s="38">
        <f t="shared" si="30"/>
        <v>0</v>
      </c>
      <c r="G23" s="38">
        <f t="shared" si="29"/>
        <v>0</v>
      </c>
      <c r="H23" s="47">
        <f>'MONTHLY REPORT SHIFT WISE'!H23+'MONTHLY REPORT SHIFT WISE'!H58+'MONTHLY REPORT SHIFT WISE'!H94</f>
        <v>0</v>
      </c>
      <c r="I23" s="47">
        <f>'MONTHLY REPORT SHIFT WISE'!I23+'MONTHLY REPORT SHIFT WISE'!I58+'MONTHLY REPORT SHIFT WISE'!I94</f>
        <v>0</v>
      </c>
      <c r="J23" s="47">
        <f>'MONTHLY REPORT SHIFT WISE'!J23+'MONTHLY REPORT SHIFT WISE'!J58+'MONTHLY REPORT SHIFT WISE'!J94</f>
        <v>0</v>
      </c>
      <c r="K23" s="47">
        <f>'MONTHLY REPORT SHIFT WISE'!K23+'MONTHLY REPORT SHIFT WISE'!K58+'MONTHLY REPORT SHIFT WISE'!K94</f>
        <v>0</v>
      </c>
      <c r="L23" s="47">
        <f>'MONTHLY REPORT SHIFT WISE'!L23+'MONTHLY REPORT SHIFT WISE'!L58+'MONTHLY REPORT SHIFT WISE'!L94</f>
        <v>0</v>
      </c>
      <c r="M23" s="47">
        <f>'MONTHLY REPORT SHIFT WISE'!M23+'MONTHLY REPORT SHIFT WISE'!M58+'MONTHLY REPORT SHIFT WISE'!M94</f>
        <v>0</v>
      </c>
      <c r="N23" s="38">
        <f t="shared" si="23"/>
        <v>0</v>
      </c>
      <c r="O23" s="47">
        <f>'MONTHLY REPORT SHIFT WISE'!O23+'MONTHLY REPORT SHIFT WISE'!O58+'MONTHLY REPORT SHIFT WISE'!O94</f>
        <v>0</v>
      </c>
      <c r="P23" s="43" t="e">
        <f t="shared" si="0"/>
        <v>#DIV/0!</v>
      </c>
      <c r="Q23" s="47">
        <f>'MONTHLY REPORT SHIFT WISE'!Q23+'MONTHLY REPORT SHIFT WISE'!Q58+'MONTHLY REPORT SHIFT WISE'!Q94</f>
        <v>0</v>
      </c>
      <c r="R23" s="38">
        <f t="shared" si="24"/>
        <v>0</v>
      </c>
      <c r="S23" s="51"/>
      <c r="T23" s="43" t="e">
        <f t="shared" si="25"/>
        <v>#DIV/0!</v>
      </c>
      <c r="U23" s="43" t="e">
        <f t="shared" si="26"/>
        <v>#DIV/0!</v>
      </c>
      <c r="V23" s="43" t="e">
        <f t="shared" si="27"/>
        <v>#DIV/0!</v>
      </c>
      <c r="W23" s="47">
        <f>'MONTHLY REPORT SHIFT WISE'!W23+'MONTHLY REPORT SHIFT WISE'!W58+'MONTHLY REPORT SHIFT WISE'!W94</f>
        <v>0</v>
      </c>
      <c r="X23" s="47">
        <f>(('MONTHLY REPORT SHIFT WISE'!X23+'MONTHLY REPORT SHIFT WISE'!X58+'MONTHLY REPORT SHIFT WISE'!X94)-SUM(Graphs!G138:G140)/60)</f>
        <v>0</v>
      </c>
      <c r="Y23" s="43">
        <f t="shared" si="31"/>
        <v>0</v>
      </c>
      <c r="Z23" s="47">
        <f>'MONTHLY REPORT SHIFT WISE'!Z23+'MONTHLY REPORT SHIFT WISE'!Z58+'MONTHLY REPORT SHIFT WISE'!Z94</f>
        <v>0</v>
      </c>
      <c r="AA23" s="38">
        <f t="shared" si="1"/>
        <v>0</v>
      </c>
      <c r="AB23" s="52" t="str">
        <f t="shared" si="32"/>
        <v/>
      </c>
      <c r="AC23" s="52" t="str">
        <f t="shared" si="2"/>
        <v/>
      </c>
      <c r="AD23" s="52" t="e">
        <f t="shared" si="3"/>
        <v>#DIV/0!</v>
      </c>
      <c r="AE23" s="47">
        <f>('MONTHLY REPORT SHIFT WISE'!AE23+'MONTHLY REPORT SHIFT WISE'!AE58+'MONTHLY REPORT SHIFT WISE'!AE94)-SUM(Graphs!G138:G140)</f>
        <v>0</v>
      </c>
      <c r="AF23" s="47">
        <f>'MONTHLY REPORT SHIFT WISE'!AF23+'MONTHLY REPORT SHIFT WISE'!AF58+'MONTHLY REPORT SHIFT WISE'!AF94</f>
        <v>0</v>
      </c>
      <c r="AG23" s="52" t="str">
        <f t="shared" si="4"/>
        <v/>
      </c>
      <c r="AH23" s="43" t="e">
        <f t="shared" si="5"/>
        <v>#DIV/0!</v>
      </c>
      <c r="AI23" s="52" t="str">
        <f t="shared" si="6"/>
        <v/>
      </c>
      <c r="AJ23" s="47">
        <f>'MONTHLY REPORT SHIFT WISE'!AJ23+'MONTHLY REPORT SHIFT WISE'!AJ58+'MONTHLY REPORT SHIFT WISE'!AJ94</f>
        <v>0</v>
      </c>
      <c r="AK23" s="47">
        <f>'MONTHLY REPORT SHIFT WISE'!AK23+'MONTHLY REPORT SHIFT WISE'!AK58+'MONTHLY REPORT SHIFT WISE'!AK94</f>
        <v>0</v>
      </c>
      <c r="AL23" s="43" t="str">
        <f t="shared" si="7"/>
        <v/>
      </c>
      <c r="AM23" s="38"/>
      <c r="AN23" s="56" t="str">
        <f t="shared" si="8"/>
        <v/>
      </c>
      <c r="AO23" s="47"/>
      <c r="AP23" s="60" t="e">
        <f t="shared" si="9"/>
        <v>#DIV/0!</v>
      </c>
      <c r="AQ23" s="61" t="e">
        <f t="shared" si="10"/>
        <v>#DIV/0!</v>
      </c>
      <c r="AR23" s="63">
        <f t="shared" si="11"/>
        <v>-0.3</v>
      </c>
      <c r="AS23" s="257">
        <f>'MONTHLY REPORT SHIFT WISE'!AS23+'MONTHLY REPORT SHIFT WISE'!AS58+'MONTHLY REPORT SHIFT WISE'!AS94</f>
        <v>0</v>
      </c>
      <c r="AT23" s="71">
        <f>'MONTHLY REPORT SHIFT WISE'!AT23</f>
        <v>0</v>
      </c>
      <c r="AU23" s="71">
        <f>'MONTHLY REPORT SHIFT WISE'!AU23</f>
        <v>0</v>
      </c>
      <c r="AV23" s="76"/>
      <c r="AW23" s="77">
        <f t="shared" si="12"/>
        <v>0</v>
      </c>
      <c r="AX23" s="71">
        <f>'MONTHLY REPORT SHIFT WISE'!AT58</f>
        <v>0</v>
      </c>
      <c r="AY23" s="71">
        <f>'MONTHLY REPORT SHIFT WISE'!AU58</f>
        <v>0</v>
      </c>
      <c r="AZ23" s="76"/>
      <c r="BA23" s="78">
        <f t="shared" si="13"/>
        <v>0</v>
      </c>
      <c r="BB23" s="71">
        <f>'MONTHLY REPORT SHIFT WISE'!AT94</f>
        <v>0</v>
      </c>
      <c r="BC23" s="71">
        <f>'MONTHLY REPORT SHIFT WISE'!AU94</f>
        <v>0</v>
      </c>
      <c r="BD23" s="76"/>
      <c r="BE23" s="78">
        <f t="shared" si="14"/>
        <v>0</v>
      </c>
      <c r="BG23" s="183" t="str">
        <f t="shared" si="15"/>
        <v/>
      </c>
      <c r="BH23" s="183" t="str">
        <f t="shared" si="16"/>
        <v/>
      </c>
      <c r="BI23" s="182" t="str">
        <f t="shared" si="17"/>
        <v/>
      </c>
      <c r="BO23" s="284">
        <f t="shared" si="18"/>
        <v>20</v>
      </c>
      <c r="BP23" s="284">
        <f t="shared" si="19"/>
        <v>0</v>
      </c>
      <c r="BQ23" s="284">
        <f t="shared" si="20"/>
        <v>0</v>
      </c>
      <c r="BR23" s="284" t="e">
        <f t="shared" si="21"/>
        <v>#DIV/0!</v>
      </c>
      <c r="BS23" s="284" t="e">
        <f t="shared" si="22"/>
        <v>#DIV/0!</v>
      </c>
    </row>
    <row r="24" spans="1:71" ht="30" customHeight="1">
      <c r="A24" s="15"/>
      <c r="B24" s="26">
        <v>21</v>
      </c>
      <c r="C24" s="47">
        <f>'MONTHLY REPORT SHIFT WISE'!C24+'MONTHLY REPORT SHIFT WISE'!C59+'MONTHLY REPORT SHIFT WISE'!C95</f>
        <v>0</v>
      </c>
      <c r="D24" s="38">
        <f t="shared" si="28"/>
        <v>0</v>
      </c>
      <c r="E24" s="47">
        <f>'MONTHLY REPORT SHIFT WISE'!E24+'MONTHLY REPORT SHIFT WISE'!E59+'MONTHLY REPORT SHIFT WISE'!E95</f>
        <v>0</v>
      </c>
      <c r="F24" s="38">
        <f t="shared" si="30"/>
        <v>0</v>
      </c>
      <c r="G24" s="38">
        <f t="shared" si="29"/>
        <v>0</v>
      </c>
      <c r="H24" s="47">
        <f>'MONTHLY REPORT SHIFT WISE'!H24+'MONTHLY REPORT SHIFT WISE'!H59+'MONTHLY REPORT SHIFT WISE'!H95</f>
        <v>0</v>
      </c>
      <c r="I24" s="47">
        <f>'MONTHLY REPORT SHIFT WISE'!I24+'MONTHLY REPORT SHIFT WISE'!I59+'MONTHLY REPORT SHIFT WISE'!I95</f>
        <v>0</v>
      </c>
      <c r="J24" s="47">
        <f>'MONTHLY REPORT SHIFT WISE'!J24+'MONTHLY REPORT SHIFT WISE'!J59+'MONTHLY REPORT SHIFT WISE'!J95</f>
        <v>0</v>
      </c>
      <c r="K24" s="47">
        <f>'MONTHLY REPORT SHIFT WISE'!K24+'MONTHLY REPORT SHIFT WISE'!K59+'MONTHLY REPORT SHIFT WISE'!K95</f>
        <v>0</v>
      </c>
      <c r="L24" s="47">
        <f>'MONTHLY REPORT SHIFT WISE'!L24+'MONTHLY REPORT SHIFT WISE'!L59+'MONTHLY REPORT SHIFT WISE'!L95</f>
        <v>0</v>
      </c>
      <c r="M24" s="47">
        <f>'MONTHLY REPORT SHIFT WISE'!M24+'MONTHLY REPORT SHIFT WISE'!M59+'MONTHLY REPORT SHIFT WISE'!M95</f>
        <v>0</v>
      </c>
      <c r="N24" s="38">
        <f t="shared" si="23"/>
        <v>0</v>
      </c>
      <c r="O24" s="47">
        <f>'MONTHLY REPORT SHIFT WISE'!O24+'MONTHLY REPORT SHIFT WISE'!O59+'MONTHLY REPORT SHIFT WISE'!O95</f>
        <v>0</v>
      </c>
      <c r="P24" s="43" t="e">
        <f t="shared" si="0"/>
        <v>#DIV/0!</v>
      </c>
      <c r="Q24" s="47">
        <f>'MONTHLY REPORT SHIFT WISE'!Q24+'MONTHLY REPORT SHIFT WISE'!Q59+'MONTHLY REPORT SHIFT WISE'!Q95</f>
        <v>0</v>
      </c>
      <c r="R24" s="38">
        <f t="shared" si="24"/>
        <v>0</v>
      </c>
      <c r="S24" s="51"/>
      <c r="T24" s="43" t="e">
        <f t="shared" si="25"/>
        <v>#DIV/0!</v>
      </c>
      <c r="U24" s="43" t="e">
        <f t="shared" si="26"/>
        <v>#DIV/0!</v>
      </c>
      <c r="V24" s="43" t="e">
        <f t="shared" si="27"/>
        <v>#DIV/0!</v>
      </c>
      <c r="W24" s="47">
        <f>'MONTHLY REPORT SHIFT WISE'!W24+'MONTHLY REPORT SHIFT WISE'!W59+'MONTHLY REPORT SHIFT WISE'!W95</f>
        <v>0</v>
      </c>
      <c r="X24" s="47">
        <f>(('MONTHLY REPORT SHIFT WISE'!X24+'MONTHLY REPORT SHIFT WISE'!X59+'MONTHLY REPORT SHIFT WISE'!X95)-SUM(Graphs!G141:G143)/60)</f>
        <v>0</v>
      </c>
      <c r="Y24" s="43">
        <f t="shared" si="31"/>
        <v>0</v>
      </c>
      <c r="Z24" s="47">
        <f>'MONTHLY REPORT SHIFT WISE'!Z24+'MONTHLY REPORT SHIFT WISE'!Z59+'MONTHLY REPORT SHIFT WISE'!Z95</f>
        <v>0</v>
      </c>
      <c r="AA24" s="38">
        <f t="shared" si="1"/>
        <v>0</v>
      </c>
      <c r="AB24" s="52" t="str">
        <f t="shared" si="32"/>
        <v/>
      </c>
      <c r="AC24" s="52" t="str">
        <f t="shared" si="2"/>
        <v/>
      </c>
      <c r="AD24" s="52" t="e">
        <f t="shared" si="3"/>
        <v>#DIV/0!</v>
      </c>
      <c r="AE24" s="47">
        <f>('MONTHLY REPORT SHIFT WISE'!AE24+'MONTHLY REPORT SHIFT WISE'!AE59+'MONTHLY REPORT SHIFT WISE'!AE95)-SUM(Graphs!G141:G143)</f>
        <v>0</v>
      </c>
      <c r="AF24" s="47">
        <f>'MONTHLY REPORT SHIFT WISE'!AF24+'MONTHLY REPORT SHIFT WISE'!AF59+'MONTHLY REPORT SHIFT WISE'!AF95</f>
        <v>0</v>
      </c>
      <c r="AG24" s="52" t="str">
        <f t="shared" si="4"/>
        <v/>
      </c>
      <c r="AH24" s="43" t="e">
        <f t="shared" si="5"/>
        <v>#DIV/0!</v>
      </c>
      <c r="AI24" s="52" t="str">
        <f t="shared" si="6"/>
        <v/>
      </c>
      <c r="AJ24" s="47">
        <f>'MONTHLY REPORT SHIFT WISE'!AJ24+'MONTHLY REPORT SHIFT WISE'!AJ59+'MONTHLY REPORT SHIFT WISE'!AJ95</f>
        <v>0</v>
      </c>
      <c r="AK24" s="47">
        <f>'MONTHLY REPORT SHIFT WISE'!AK24+'MONTHLY REPORT SHIFT WISE'!AK59+'MONTHLY REPORT SHIFT WISE'!AK95</f>
        <v>0</v>
      </c>
      <c r="AL24" s="43" t="str">
        <f t="shared" si="7"/>
        <v/>
      </c>
      <c r="AM24" s="38"/>
      <c r="AN24" s="56" t="str">
        <f t="shared" si="8"/>
        <v/>
      </c>
      <c r="AO24" s="47"/>
      <c r="AP24" s="60" t="e">
        <f t="shared" si="9"/>
        <v>#DIV/0!</v>
      </c>
      <c r="AQ24" s="61" t="e">
        <f t="shared" si="10"/>
        <v>#DIV/0!</v>
      </c>
      <c r="AR24" s="63">
        <f t="shared" si="11"/>
        <v>-0.3</v>
      </c>
      <c r="AS24" s="257">
        <f>'MONTHLY REPORT SHIFT WISE'!AS24+'MONTHLY REPORT SHIFT WISE'!AS59+'MONTHLY REPORT SHIFT WISE'!AS95</f>
        <v>0</v>
      </c>
      <c r="AT24" s="71">
        <f>'MONTHLY REPORT SHIFT WISE'!AT24</f>
        <v>0</v>
      </c>
      <c r="AU24" s="71">
        <f>'MONTHLY REPORT SHIFT WISE'!AU24</f>
        <v>0</v>
      </c>
      <c r="AV24" s="76"/>
      <c r="AW24" s="77">
        <f t="shared" si="12"/>
        <v>0</v>
      </c>
      <c r="AX24" s="71">
        <f>'MONTHLY REPORT SHIFT WISE'!AT59</f>
        <v>0</v>
      </c>
      <c r="AY24" s="71">
        <f>'MONTHLY REPORT SHIFT WISE'!AU59</f>
        <v>0</v>
      </c>
      <c r="AZ24" s="76"/>
      <c r="BA24" s="78">
        <f t="shared" si="13"/>
        <v>0</v>
      </c>
      <c r="BB24" s="71">
        <f>'MONTHLY REPORT SHIFT WISE'!AT95</f>
        <v>0</v>
      </c>
      <c r="BC24" s="71">
        <f>'MONTHLY REPORT SHIFT WISE'!AU95</f>
        <v>0</v>
      </c>
      <c r="BD24" s="76"/>
      <c r="BE24" s="78">
        <f t="shared" si="14"/>
        <v>0</v>
      </c>
      <c r="BG24" s="183" t="str">
        <f t="shared" si="15"/>
        <v/>
      </c>
      <c r="BH24" s="183" t="str">
        <f t="shared" si="16"/>
        <v/>
      </c>
      <c r="BI24" s="182" t="str">
        <f t="shared" si="17"/>
        <v/>
      </c>
      <c r="BO24" s="284">
        <f t="shared" si="18"/>
        <v>21</v>
      </c>
      <c r="BP24" s="284">
        <f t="shared" si="19"/>
        <v>0</v>
      </c>
      <c r="BQ24" s="284">
        <f t="shared" si="20"/>
        <v>0</v>
      </c>
      <c r="BR24" s="284" t="e">
        <f t="shared" si="21"/>
        <v>#DIV/0!</v>
      </c>
      <c r="BS24" s="284" t="e">
        <f t="shared" si="22"/>
        <v>#DIV/0!</v>
      </c>
    </row>
    <row r="25" spans="1:71" ht="30" customHeight="1">
      <c r="A25" s="15"/>
      <c r="B25" s="26">
        <v>22</v>
      </c>
      <c r="C25" s="47">
        <f>'MONTHLY REPORT SHIFT WISE'!C25+'MONTHLY REPORT SHIFT WISE'!C60+'MONTHLY REPORT SHIFT WISE'!C96</f>
        <v>0</v>
      </c>
      <c r="D25" s="38">
        <f t="shared" si="28"/>
        <v>0</v>
      </c>
      <c r="E25" s="47">
        <f>'MONTHLY REPORT SHIFT WISE'!E25+'MONTHLY REPORT SHIFT WISE'!E60+'MONTHLY REPORT SHIFT WISE'!E96</f>
        <v>0</v>
      </c>
      <c r="F25" s="38">
        <f t="shared" si="30"/>
        <v>0</v>
      </c>
      <c r="G25" s="38">
        <f t="shared" si="29"/>
        <v>0</v>
      </c>
      <c r="H25" s="47">
        <f>'MONTHLY REPORT SHIFT WISE'!H25+'MONTHLY REPORT SHIFT WISE'!H60+'MONTHLY REPORT SHIFT WISE'!H96</f>
        <v>0</v>
      </c>
      <c r="I25" s="47">
        <f>'MONTHLY REPORT SHIFT WISE'!I25+'MONTHLY REPORT SHIFT WISE'!I60+'MONTHLY REPORT SHIFT WISE'!I96</f>
        <v>0</v>
      </c>
      <c r="J25" s="47">
        <f>'MONTHLY REPORT SHIFT WISE'!J25+'MONTHLY REPORT SHIFT WISE'!J60+'MONTHLY REPORT SHIFT WISE'!J96</f>
        <v>0</v>
      </c>
      <c r="K25" s="47">
        <f>'MONTHLY REPORT SHIFT WISE'!K25+'MONTHLY REPORT SHIFT WISE'!K60+'MONTHLY REPORT SHIFT WISE'!K96</f>
        <v>0</v>
      </c>
      <c r="L25" s="47">
        <f>'MONTHLY REPORT SHIFT WISE'!L25+'MONTHLY REPORT SHIFT WISE'!L60+'MONTHLY REPORT SHIFT WISE'!L96</f>
        <v>0</v>
      </c>
      <c r="M25" s="47">
        <f>'MONTHLY REPORT SHIFT WISE'!M25+'MONTHLY REPORT SHIFT WISE'!M60+'MONTHLY REPORT SHIFT WISE'!M96</f>
        <v>0</v>
      </c>
      <c r="N25" s="38">
        <f t="shared" si="23"/>
        <v>0</v>
      </c>
      <c r="O25" s="47">
        <f>'MONTHLY REPORT SHIFT WISE'!O25+'MONTHLY REPORT SHIFT WISE'!O60+'MONTHLY REPORT SHIFT WISE'!O96</f>
        <v>0</v>
      </c>
      <c r="P25" s="43" t="e">
        <f t="shared" si="0"/>
        <v>#DIV/0!</v>
      </c>
      <c r="Q25" s="47">
        <f>'MONTHLY REPORT SHIFT WISE'!Q25+'MONTHLY REPORT SHIFT WISE'!Q60+'MONTHLY REPORT SHIFT WISE'!Q96</f>
        <v>0</v>
      </c>
      <c r="R25" s="38">
        <f t="shared" si="24"/>
        <v>0</v>
      </c>
      <c r="S25" s="51"/>
      <c r="T25" s="43" t="e">
        <f t="shared" si="25"/>
        <v>#DIV/0!</v>
      </c>
      <c r="U25" s="43" t="e">
        <f t="shared" si="26"/>
        <v>#DIV/0!</v>
      </c>
      <c r="V25" s="43" t="e">
        <f t="shared" si="27"/>
        <v>#DIV/0!</v>
      </c>
      <c r="W25" s="47">
        <f>'MONTHLY REPORT SHIFT WISE'!W25+'MONTHLY REPORT SHIFT WISE'!W60+'MONTHLY REPORT SHIFT WISE'!W96</f>
        <v>0</v>
      </c>
      <c r="X25" s="47">
        <f>(('MONTHLY REPORT SHIFT WISE'!X25+'MONTHLY REPORT SHIFT WISE'!X60+'MONTHLY REPORT SHIFT WISE'!X96)-SUM(Graphs!G144:G146)/60)</f>
        <v>0</v>
      </c>
      <c r="Y25" s="43">
        <f t="shared" si="31"/>
        <v>0</v>
      </c>
      <c r="Z25" s="47">
        <f>'MONTHLY REPORT SHIFT WISE'!Z25+'MONTHLY REPORT SHIFT WISE'!Z60+'MONTHLY REPORT SHIFT WISE'!Z96</f>
        <v>0</v>
      </c>
      <c r="AA25" s="38">
        <f t="shared" si="1"/>
        <v>0</v>
      </c>
      <c r="AB25" s="52" t="str">
        <f t="shared" si="32"/>
        <v/>
      </c>
      <c r="AC25" s="52" t="str">
        <f t="shared" si="2"/>
        <v/>
      </c>
      <c r="AD25" s="52" t="e">
        <f t="shared" si="3"/>
        <v>#DIV/0!</v>
      </c>
      <c r="AE25" s="47">
        <f>('MONTHLY REPORT SHIFT WISE'!AE25+'MONTHLY REPORT SHIFT WISE'!AE60+'MONTHLY REPORT SHIFT WISE'!AE96)-SUM(Graphs!G144:G146)</f>
        <v>0</v>
      </c>
      <c r="AF25" s="47">
        <f>'MONTHLY REPORT SHIFT WISE'!AF25+'MONTHLY REPORT SHIFT WISE'!AF60+'MONTHLY REPORT SHIFT WISE'!AF96</f>
        <v>0</v>
      </c>
      <c r="AG25" s="52" t="str">
        <f t="shared" si="4"/>
        <v/>
      </c>
      <c r="AH25" s="43" t="e">
        <f t="shared" si="5"/>
        <v>#DIV/0!</v>
      </c>
      <c r="AI25" s="52" t="str">
        <f t="shared" si="6"/>
        <v/>
      </c>
      <c r="AJ25" s="47">
        <f>'MONTHLY REPORT SHIFT WISE'!AJ25+'MONTHLY REPORT SHIFT WISE'!AJ60+'MONTHLY REPORT SHIFT WISE'!AJ96</f>
        <v>0</v>
      </c>
      <c r="AK25" s="47">
        <f>'MONTHLY REPORT SHIFT WISE'!AK25+'MONTHLY REPORT SHIFT WISE'!AK60+'MONTHLY REPORT SHIFT WISE'!AK96</f>
        <v>0</v>
      </c>
      <c r="AL25" s="43" t="str">
        <f t="shared" si="7"/>
        <v/>
      </c>
      <c r="AM25" s="38"/>
      <c r="AN25" s="56" t="str">
        <f t="shared" si="8"/>
        <v/>
      </c>
      <c r="AO25" s="47"/>
      <c r="AP25" s="60" t="e">
        <f t="shared" si="9"/>
        <v>#DIV/0!</v>
      </c>
      <c r="AQ25" s="61" t="e">
        <f t="shared" si="10"/>
        <v>#DIV/0!</v>
      </c>
      <c r="AR25" s="63">
        <f t="shared" si="11"/>
        <v>-0.3</v>
      </c>
      <c r="AS25" s="257">
        <f>'MONTHLY REPORT SHIFT WISE'!AS25+'MONTHLY REPORT SHIFT WISE'!AS60+'MONTHLY REPORT SHIFT WISE'!AS96</f>
        <v>0</v>
      </c>
      <c r="AT25" s="71">
        <f>'MONTHLY REPORT SHIFT WISE'!AT25</f>
        <v>0</v>
      </c>
      <c r="AU25" s="71">
        <f>'MONTHLY REPORT SHIFT WISE'!AU25</f>
        <v>0</v>
      </c>
      <c r="AV25" s="76"/>
      <c r="AW25" s="77">
        <f t="shared" si="12"/>
        <v>0</v>
      </c>
      <c r="AX25" s="71">
        <f>'MONTHLY REPORT SHIFT WISE'!AT60</f>
        <v>0</v>
      </c>
      <c r="AY25" s="71">
        <f>'MONTHLY REPORT SHIFT WISE'!AU60</f>
        <v>0</v>
      </c>
      <c r="AZ25" s="76"/>
      <c r="BA25" s="78">
        <f t="shared" si="13"/>
        <v>0</v>
      </c>
      <c r="BB25" s="71">
        <f>'MONTHLY REPORT SHIFT WISE'!AT96</f>
        <v>0</v>
      </c>
      <c r="BC25" s="71">
        <f>'MONTHLY REPORT SHIFT WISE'!AU96</f>
        <v>0</v>
      </c>
      <c r="BD25" s="76"/>
      <c r="BE25" s="78">
        <f t="shared" si="14"/>
        <v>0</v>
      </c>
      <c r="BG25" s="183" t="str">
        <f t="shared" si="15"/>
        <v/>
      </c>
      <c r="BH25" s="183" t="str">
        <f t="shared" si="16"/>
        <v/>
      </c>
      <c r="BI25" s="182" t="str">
        <f t="shared" si="17"/>
        <v/>
      </c>
      <c r="BO25" s="284">
        <f t="shared" si="18"/>
        <v>22</v>
      </c>
      <c r="BP25" s="284">
        <f t="shared" si="19"/>
        <v>0</v>
      </c>
      <c r="BQ25" s="284">
        <f t="shared" si="20"/>
        <v>0</v>
      </c>
      <c r="BR25" s="284" t="e">
        <f t="shared" si="21"/>
        <v>#DIV/0!</v>
      </c>
      <c r="BS25" s="284" t="e">
        <f t="shared" si="22"/>
        <v>#DIV/0!</v>
      </c>
    </row>
    <row r="26" spans="1:71" ht="30" customHeight="1">
      <c r="A26" s="15"/>
      <c r="B26" s="26">
        <v>23</v>
      </c>
      <c r="C26" s="47">
        <f>'MONTHLY REPORT SHIFT WISE'!C26+'MONTHLY REPORT SHIFT WISE'!C61+'MONTHLY REPORT SHIFT WISE'!C97</f>
        <v>0</v>
      </c>
      <c r="D26" s="38">
        <f t="shared" si="28"/>
        <v>0</v>
      </c>
      <c r="E26" s="47">
        <f>'MONTHLY REPORT SHIFT WISE'!E26+'MONTHLY REPORT SHIFT WISE'!E61+'MONTHLY REPORT SHIFT WISE'!E97</f>
        <v>0</v>
      </c>
      <c r="F26" s="38">
        <f t="shared" si="30"/>
        <v>0</v>
      </c>
      <c r="G26" s="38">
        <f t="shared" si="29"/>
        <v>0</v>
      </c>
      <c r="H26" s="47">
        <f>'MONTHLY REPORT SHIFT WISE'!H26+'MONTHLY REPORT SHIFT WISE'!H61+'MONTHLY REPORT SHIFT WISE'!H97</f>
        <v>0</v>
      </c>
      <c r="I26" s="47">
        <f>'MONTHLY REPORT SHIFT WISE'!I26+'MONTHLY REPORT SHIFT WISE'!I61+'MONTHLY REPORT SHIFT WISE'!I97</f>
        <v>0</v>
      </c>
      <c r="J26" s="47">
        <f>'MONTHLY REPORT SHIFT WISE'!J26+'MONTHLY REPORT SHIFT WISE'!J61+'MONTHLY REPORT SHIFT WISE'!J97</f>
        <v>0</v>
      </c>
      <c r="K26" s="47">
        <f>'MONTHLY REPORT SHIFT WISE'!K26+'MONTHLY REPORT SHIFT WISE'!K61+'MONTHLY REPORT SHIFT WISE'!K97</f>
        <v>0</v>
      </c>
      <c r="L26" s="47">
        <f>'MONTHLY REPORT SHIFT WISE'!L26+'MONTHLY REPORT SHIFT WISE'!L61+'MONTHLY REPORT SHIFT WISE'!L97</f>
        <v>0</v>
      </c>
      <c r="M26" s="47">
        <f>'MONTHLY REPORT SHIFT WISE'!M26+'MONTHLY REPORT SHIFT WISE'!M61+'MONTHLY REPORT SHIFT WISE'!M97</f>
        <v>0</v>
      </c>
      <c r="N26" s="38">
        <f t="shared" si="23"/>
        <v>0</v>
      </c>
      <c r="O26" s="47">
        <f>'MONTHLY REPORT SHIFT WISE'!O26+'MONTHLY REPORT SHIFT WISE'!O61+'MONTHLY REPORT SHIFT WISE'!O97</f>
        <v>0</v>
      </c>
      <c r="P26" s="43" t="e">
        <f t="shared" si="0"/>
        <v>#DIV/0!</v>
      </c>
      <c r="Q26" s="47">
        <f>'MONTHLY REPORT SHIFT WISE'!Q26+'MONTHLY REPORT SHIFT WISE'!Q61+'MONTHLY REPORT SHIFT WISE'!Q97</f>
        <v>0</v>
      </c>
      <c r="R26" s="38">
        <f t="shared" si="24"/>
        <v>0</v>
      </c>
      <c r="S26" s="51"/>
      <c r="T26" s="43" t="e">
        <f t="shared" si="25"/>
        <v>#DIV/0!</v>
      </c>
      <c r="U26" s="43" t="e">
        <f t="shared" si="26"/>
        <v>#DIV/0!</v>
      </c>
      <c r="V26" s="43" t="e">
        <f t="shared" si="27"/>
        <v>#DIV/0!</v>
      </c>
      <c r="W26" s="47">
        <f>'MONTHLY REPORT SHIFT WISE'!W26+'MONTHLY REPORT SHIFT WISE'!W61+'MONTHLY REPORT SHIFT WISE'!W97</f>
        <v>0</v>
      </c>
      <c r="X26" s="47">
        <f>(('MONTHLY REPORT SHIFT WISE'!X26+'MONTHLY REPORT SHIFT WISE'!X61+'MONTHLY REPORT SHIFT WISE'!X97)-SUM(Graphs!G147:G149)/60)</f>
        <v>0</v>
      </c>
      <c r="Y26" s="43">
        <f t="shared" si="31"/>
        <v>0</v>
      </c>
      <c r="Z26" s="47">
        <f>'MONTHLY REPORT SHIFT WISE'!Z26+'MONTHLY REPORT SHIFT WISE'!Z61+'MONTHLY REPORT SHIFT WISE'!Z97</f>
        <v>0</v>
      </c>
      <c r="AA26" s="38">
        <f t="shared" si="1"/>
        <v>0</v>
      </c>
      <c r="AB26" s="52" t="str">
        <f t="shared" si="32"/>
        <v/>
      </c>
      <c r="AC26" s="52" t="str">
        <f t="shared" si="2"/>
        <v/>
      </c>
      <c r="AD26" s="52" t="e">
        <f t="shared" si="3"/>
        <v>#DIV/0!</v>
      </c>
      <c r="AE26" s="47">
        <f>('MONTHLY REPORT SHIFT WISE'!AE26+'MONTHLY REPORT SHIFT WISE'!AE61+'MONTHLY REPORT SHIFT WISE'!AE97)-SUM(Graphs!G147:G149)</f>
        <v>0</v>
      </c>
      <c r="AF26" s="47">
        <f>'MONTHLY REPORT SHIFT WISE'!AF26+'MONTHLY REPORT SHIFT WISE'!AF61+'MONTHLY REPORT SHIFT WISE'!AF97</f>
        <v>0</v>
      </c>
      <c r="AG26" s="52" t="str">
        <f t="shared" si="4"/>
        <v/>
      </c>
      <c r="AH26" s="43" t="e">
        <f t="shared" si="5"/>
        <v>#DIV/0!</v>
      </c>
      <c r="AI26" s="52" t="str">
        <f t="shared" si="6"/>
        <v/>
      </c>
      <c r="AJ26" s="47">
        <f>'MONTHLY REPORT SHIFT WISE'!AJ26+'MONTHLY REPORT SHIFT WISE'!AJ61+'MONTHLY REPORT SHIFT WISE'!AJ97</f>
        <v>0</v>
      </c>
      <c r="AK26" s="47">
        <f>'MONTHLY REPORT SHIFT WISE'!AK26+'MONTHLY REPORT SHIFT WISE'!AK61+'MONTHLY REPORT SHIFT WISE'!AK97</f>
        <v>0</v>
      </c>
      <c r="AL26" s="43" t="str">
        <f t="shared" si="7"/>
        <v/>
      </c>
      <c r="AM26" s="38"/>
      <c r="AN26" s="56" t="str">
        <f t="shared" si="8"/>
        <v/>
      </c>
      <c r="AO26" s="47"/>
      <c r="AP26" s="60" t="e">
        <f t="shared" si="9"/>
        <v>#DIV/0!</v>
      </c>
      <c r="AQ26" s="61" t="e">
        <f t="shared" si="10"/>
        <v>#DIV/0!</v>
      </c>
      <c r="AR26" s="63">
        <f t="shared" si="11"/>
        <v>-0.3</v>
      </c>
      <c r="AS26" s="257">
        <f>'MONTHLY REPORT SHIFT WISE'!AS26+'MONTHLY REPORT SHIFT WISE'!AS61+'MONTHLY REPORT SHIFT WISE'!AS97</f>
        <v>0</v>
      </c>
      <c r="AT26" s="71">
        <f>'MONTHLY REPORT SHIFT WISE'!AT26</f>
        <v>0</v>
      </c>
      <c r="AU26" s="71">
        <f>'MONTHLY REPORT SHIFT WISE'!AU26</f>
        <v>0</v>
      </c>
      <c r="AV26" s="76"/>
      <c r="AW26" s="77">
        <f t="shared" si="12"/>
        <v>0</v>
      </c>
      <c r="AX26" s="71">
        <f>'MONTHLY REPORT SHIFT WISE'!AT61</f>
        <v>0</v>
      </c>
      <c r="AY26" s="71">
        <f>'MONTHLY REPORT SHIFT WISE'!AU61</f>
        <v>0</v>
      </c>
      <c r="AZ26" s="76"/>
      <c r="BA26" s="78">
        <f t="shared" si="13"/>
        <v>0</v>
      </c>
      <c r="BB26" s="71">
        <f>'MONTHLY REPORT SHIFT WISE'!AT97</f>
        <v>0</v>
      </c>
      <c r="BC26" s="71">
        <f>'MONTHLY REPORT SHIFT WISE'!AU97</f>
        <v>0</v>
      </c>
      <c r="BD26" s="76"/>
      <c r="BE26" s="78">
        <f t="shared" si="14"/>
        <v>0</v>
      </c>
      <c r="BG26" s="183" t="str">
        <f t="shared" si="15"/>
        <v/>
      </c>
      <c r="BH26" s="183" t="str">
        <f t="shared" si="16"/>
        <v/>
      </c>
      <c r="BI26" s="182" t="str">
        <f t="shared" si="17"/>
        <v/>
      </c>
      <c r="BO26" s="284">
        <f t="shared" si="18"/>
        <v>23</v>
      </c>
      <c r="BP26" s="284">
        <f t="shared" si="19"/>
        <v>0</v>
      </c>
      <c r="BQ26" s="284">
        <f t="shared" si="20"/>
        <v>0</v>
      </c>
      <c r="BR26" s="284" t="e">
        <f t="shared" si="21"/>
        <v>#DIV/0!</v>
      </c>
      <c r="BS26" s="284" t="e">
        <f t="shared" si="22"/>
        <v>#DIV/0!</v>
      </c>
    </row>
    <row r="27" spans="1:71" ht="30" customHeight="1">
      <c r="A27" s="15"/>
      <c r="B27" s="26">
        <v>24</v>
      </c>
      <c r="C27" s="47">
        <f>'MONTHLY REPORT SHIFT WISE'!C27+'MONTHLY REPORT SHIFT WISE'!C62+'MONTHLY REPORT SHIFT WISE'!C98</f>
        <v>0</v>
      </c>
      <c r="D27" s="38">
        <f t="shared" si="28"/>
        <v>0</v>
      </c>
      <c r="E27" s="47">
        <f>'MONTHLY REPORT SHIFT WISE'!E27+'MONTHLY REPORT SHIFT WISE'!E62+'MONTHLY REPORT SHIFT WISE'!E98</f>
        <v>0</v>
      </c>
      <c r="F27" s="38">
        <f t="shared" si="30"/>
        <v>0</v>
      </c>
      <c r="G27" s="38">
        <f t="shared" si="29"/>
        <v>0</v>
      </c>
      <c r="H27" s="47">
        <f>'MONTHLY REPORT SHIFT WISE'!H27+'MONTHLY REPORT SHIFT WISE'!H62+'MONTHLY REPORT SHIFT WISE'!H98</f>
        <v>0</v>
      </c>
      <c r="I27" s="47">
        <f>'MONTHLY REPORT SHIFT WISE'!I27+'MONTHLY REPORT SHIFT WISE'!I62+'MONTHLY REPORT SHIFT WISE'!I98</f>
        <v>0</v>
      </c>
      <c r="J27" s="47">
        <f>'MONTHLY REPORT SHIFT WISE'!J27+'MONTHLY REPORT SHIFT WISE'!J62+'MONTHLY REPORT SHIFT WISE'!J98</f>
        <v>0</v>
      </c>
      <c r="K27" s="47">
        <f>'MONTHLY REPORT SHIFT WISE'!K27+'MONTHLY REPORT SHIFT WISE'!K62+'MONTHLY REPORT SHIFT WISE'!K98</f>
        <v>0</v>
      </c>
      <c r="L27" s="47">
        <f>'MONTHLY REPORT SHIFT WISE'!L27+'MONTHLY REPORT SHIFT WISE'!L62+'MONTHLY REPORT SHIFT WISE'!L98</f>
        <v>0</v>
      </c>
      <c r="M27" s="47">
        <f>'MONTHLY REPORT SHIFT WISE'!M27+'MONTHLY REPORT SHIFT WISE'!M62+'MONTHLY REPORT SHIFT WISE'!M98</f>
        <v>0</v>
      </c>
      <c r="N27" s="38">
        <f t="shared" si="23"/>
        <v>0</v>
      </c>
      <c r="O27" s="47">
        <f>'MONTHLY REPORT SHIFT WISE'!O27+'MONTHLY REPORT SHIFT WISE'!O62+'MONTHLY REPORT SHIFT WISE'!O98</f>
        <v>0</v>
      </c>
      <c r="P27" s="43" t="e">
        <f t="shared" si="0"/>
        <v>#DIV/0!</v>
      </c>
      <c r="Q27" s="47">
        <f>'MONTHLY REPORT SHIFT WISE'!Q27+'MONTHLY REPORT SHIFT WISE'!Q62+'MONTHLY REPORT SHIFT WISE'!Q98</f>
        <v>0</v>
      </c>
      <c r="R27" s="38">
        <f t="shared" si="24"/>
        <v>0</v>
      </c>
      <c r="S27" s="51"/>
      <c r="T27" s="43" t="e">
        <f t="shared" si="25"/>
        <v>#DIV/0!</v>
      </c>
      <c r="U27" s="43" t="e">
        <f t="shared" si="26"/>
        <v>#DIV/0!</v>
      </c>
      <c r="V27" s="43" t="e">
        <f t="shared" si="27"/>
        <v>#DIV/0!</v>
      </c>
      <c r="W27" s="47">
        <f>'MONTHLY REPORT SHIFT WISE'!W27+'MONTHLY REPORT SHIFT WISE'!W62+'MONTHLY REPORT SHIFT WISE'!W98</f>
        <v>0</v>
      </c>
      <c r="X27" s="47">
        <f>(('MONTHLY REPORT SHIFT WISE'!X27+'MONTHLY REPORT SHIFT WISE'!X62+'MONTHLY REPORT SHIFT WISE'!X98)-SUM(Graphs!G150:G152)/60)</f>
        <v>0</v>
      </c>
      <c r="Y27" s="43">
        <f t="shared" si="31"/>
        <v>0</v>
      </c>
      <c r="Z27" s="47">
        <f>'MONTHLY REPORT SHIFT WISE'!Z27+'MONTHLY REPORT SHIFT WISE'!Z62+'MONTHLY REPORT SHIFT WISE'!Z98</f>
        <v>0</v>
      </c>
      <c r="AA27" s="38">
        <f t="shared" si="1"/>
        <v>0</v>
      </c>
      <c r="AB27" s="52" t="str">
        <f t="shared" si="32"/>
        <v/>
      </c>
      <c r="AC27" s="52" t="str">
        <f t="shared" si="2"/>
        <v/>
      </c>
      <c r="AD27" s="52" t="e">
        <f t="shared" si="3"/>
        <v>#DIV/0!</v>
      </c>
      <c r="AE27" s="47">
        <f>('MONTHLY REPORT SHIFT WISE'!AE27+'MONTHLY REPORT SHIFT WISE'!AE62+'MONTHLY REPORT SHIFT WISE'!AE98)-SUM(Graphs!G150:G152)</f>
        <v>0</v>
      </c>
      <c r="AF27" s="47">
        <f>'MONTHLY REPORT SHIFT WISE'!AF27+'MONTHLY REPORT SHIFT WISE'!AF62+'MONTHLY REPORT SHIFT WISE'!AF98</f>
        <v>0</v>
      </c>
      <c r="AG27" s="52" t="str">
        <f t="shared" si="4"/>
        <v/>
      </c>
      <c r="AH27" s="43" t="e">
        <f t="shared" si="5"/>
        <v>#DIV/0!</v>
      </c>
      <c r="AI27" s="52" t="str">
        <f t="shared" si="6"/>
        <v/>
      </c>
      <c r="AJ27" s="47">
        <f>'MONTHLY REPORT SHIFT WISE'!AJ27+'MONTHLY REPORT SHIFT WISE'!AJ62+'MONTHLY REPORT SHIFT WISE'!AJ98</f>
        <v>0</v>
      </c>
      <c r="AK27" s="47">
        <f>'MONTHLY REPORT SHIFT WISE'!AK27+'MONTHLY REPORT SHIFT WISE'!AK62+'MONTHLY REPORT SHIFT WISE'!AK98</f>
        <v>0</v>
      </c>
      <c r="AL27" s="43" t="str">
        <f t="shared" si="7"/>
        <v/>
      </c>
      <c r="AM27" s="38"/>
      <c r="AN27" s="56" t="str">
        <f t="shared" si="8"/>
        <v/>
      </c>
      <c r="AO27" s="47"/>
      <c r="AP27" s="60" t="e">
        <f t="shared" si="9"/>
        <v>#DIV/0!</v>
      </c>
      <c r="AQ27" s="61" t="e">
        <f t="shared" si="10"/>
        <v>#DIV/0!</v>
      </c>
      <c r="AR27" s="63">
        <f t="shared" si="11"/>
        <v>-0.3</v>
      </c>
      <c r="AS27" s="257">
        <f>'MONTHLY REPORT SHIFT WISE'!AS27+'MONTHLY REPORT SHIFT WISE'!AS62+'MONTHLY REPORT SHIFT WISE'!AS98</f>
        <v>0</v>
      </c>
      <c r="AT27" s="71">
        <f>'MONTHLY REPORT SHIFT WISE'!AT27</f>
        <v>0</v>
      </c>
      <c r="AU27" s="71">
        <f>'MONTHLY REPORT SHIFT WISE'!AU27</f>
        <v>0</v>
      </c>
      <c r="AV27" s="76"/>
      <c r="AW27" s="77">
        <f t="shared" si="12"/>
        <v>0</v>
      </c>
      <c r="AX27" s="71">
        <f>'MONTHLY REPORT SHIFT WISE'!AT62</f>
        <v>0</v>
      </c>
      <c r="AY27" s="71">
        <f>'MONTHLY REPORT SHIFT WISE'!AU62</f>
        <v>0</v>
      </c>
      <c r="AZ27" s="76"/>
      <c r="BA27" s="78">
        <f t="shared" si="13"/>
        <v>0</v>
      </c>
      <c r="BB27" s="71">
        <f>'MONTHLY REPORT SHIFT WISE'!AT98</f>
        <v>0</v>
      </c>
      <c r="BC27" s="71">
        <f>'MONTHLY REPORT SHIFT WISE'!AU98</f>
        <v>0</v>
      </c>
      <c r="BD27" s="76"/>
      <c r="BE27" s="78">
        <f t="shared" si="14"/>
        <v>0</v>
      </c>
      <c r="BG27" s="183" t="str">
        <f t="shared" si="15"/>
        <v/>
      </c>
      <c r="BH27" s="183" t="str">
        <f t="shared" si="16"/>
        <v/>
      </c>
      <c r="BI27" s="182" t="str">
        <f t="shared" si="17"/>
        <v/>
      </c>
      <c r="BO27" s="284">
        <f t="shared" si="18"/>
        <v>24</v>
      </c>
      <c r="BP27" s="284">
        <f t="shared" si="19"/>
        <v>0</v>
      </c>
      <c r="BQ27" s="284">
        <f t="shared" si="20"/>
        <v>0</v>
      </c>
      <c r="BR27" s="284" t="e">
        <f t="shared" si="21"/>
        <v>#DIV/0!</v>
      </c>
      <c r="BS27" s="284" t="e">
        <f t="shared" si="22"/>
        <v>#DIV/0!</v>
      </c>
    </row>
    <row r="28" spans="1:71" ht="30" customHeight="1">
      <c r="A28" s="15"/>
      <c r="B28" s="26">
        <v>25</v>
      </c>
      <c r="C28" s="47">
        <f>'MONTHLY REPORT SHIFT WISE'!C28+'MONTHLY REPORT SHIFT WISE'!C63+'MONTHLY REPORT SHIFT WISE'!C99</f>
        <v>0</v>
      </c>
      <c r="D28" s="38">
        <f t="shared" si="28"/>
        <v>0</v>
      </c>
      <c r="E28" s="47">
        <f>'MONTHLY REPORT SHIFT WISE'!E28+'MONTHLY REPORT SHIFT WISE'!E63+'MONTHLY REPORT SHIFT WISE'!E99</f>
        <v>0</v>
      </c>
      <c r="F28" s="38">
        <f t="shared" si="30"/>
        <v>0</v>
      </c>
      <c r="G28" s="38">
        <f t="shared" si="29"/>
        <v>0</v>
      </c>
      <c r="H28" s="47">
        <f>'MONTHLY REPORT SHIFT WISE'!H28+'MONTHLY REPORT SHIFT WISE'!H63+'MONTHLY REPORT SHIFT WISE'!H99</f>
        <v>0</v>
      </c>
      <c r="I28" s="47">
        <f>'MONTHLY REPORT SHIFT WISE'!I28+'MONTHLY REPORT SHIFT WISE'!I63+'MONTHLY REPORT SHIFT WISE'!I99</f>
        <v>0</v>
      </c>
      <c r="J28" s="47">
        <f>'MONTHLY REPORT SHIFT WISE'!J28+'MONTHLY REPORT SHIFT WISE'!J63+'MONTHLY REPORT SHIFT WISE'!J99</f>
        <v>0</v>
      </c>
      <c r="K28" s="47">
        <f>'MONTHLY REPORT SHIFT WISE'!K28+'MONTHLY REPORT SHIFT WISE'!K63+'MONTHLY REPORT SHIFT WISE'!K99</f>
        <v>0</v>
      </c>
      <c r="L28" s="47">
        <f>'MONTHLY REPORT SHIFT WISE'!L28+'MONTHLY REPORT SHIFT WISE'!L63+'MONTHLY REPORT SHIFT WISE'!L99</f>
        <v>0</v>
      </c>
      <c r="M28" s="47">
        <f>'MONTHLY REPORT SHIFT WISE'!M28+'MONTHLY REPORT SHIFT WISE'!M63+'MONTHLY REPORT SHIFT WISE'!M99</f>
        <v>0</v>
      </c>
      <c r="N28" s="38">
        <f t="shared" si="23"/>
        <v>0</v>
      </c>
      <c r="O28" s="47">
        <f>'MONTHLY REPORT SHIFT WISE'!O28+'MONTHLY REPORT SHIFT WISE'!O63+'MONTHLY REPORT SHIFT WISE'!O99</f>
        <v>0</v>
      </c>
      <c r="P28" s="43" t="e">
        <f t="shared" si="0"/>
        <v>#DIV/0!</v>
      </c>
      <c r="Q28" s="47">
        <f>'MONTHLY REPORT SHIFT WISE'!Q28+'MONTHLY REPORT SHIFT WISE'!Q63+'MONTHLY REPORT SHIFT WISE'!Q99</f>
        <v>0</v>
      </c>
      <c r="R28" s="38">
        <f t="shared" si="24"/>
        <v>0</v>
      </c>
      <c r="S28" s="51"/>
      <c r="T28" s="43" t="e">
        <f t="shared" si="25"/>
        <v>#DIV/0!</v>
      </c>
      <c r="U28" s="43" t="e">
        <f t="shared" si="26"/>
        <v>#DIV/0!</v>
      </c>
      <c r="V28" s="43" t="e">
        <f t="shared" si="27"/>
        <v>#DIV/0!</v>
      </c>
      <c r="W28" s="47">
        <f>'MONTHLY REPORT SHIFT WISE'!W28+'MONTHLY REPORT SHIFT WISE'!W63+'MONTHLY REPORT SHIFT WISE'!W99</f>
        <v>0</v>
      </c>
      <c r="X28" s="47">
        <f>(('MONTHLY REPORT SHIFT WISE'!X28+'MONTHLY REPORT SHIFT WISE'!X63+'MONTHLY REPORT SHIFT WISE'!X99)-SUM(Graphs!G153:G155)/60)</f>
        <v>0</v>
      </c>
      <c r="Y28" s="43">
        <f t="shared" si="31"/>
        <v>0</v>
      </c>
      <c r="Z28" s="47">
        <f>'MONTHLY REPORT SHIFT WISE'!Z28+'MONTHLY REPORT SHIFT WISE'!Z63+'MONTHLY REPORT SHIFT WISE'!Z99</f>
        <v>0</v>
      </c>
      <c r="AA28" s="38">
        <f t="shared" si="1"/>
        <v>0</v>
      </c>
      <c r="AB28" s="52" t="str">
        <f t="shared" si="32"/>
        <v/>
      </c>
      <c r="AC28" s="52" t="str">
        <f t="shared" si="2"/>
        <v/>
      </c>
      <c r="AD28" s="52" t="e">
        <f t="shared" si="3"/>
        <v>#DIV/0!</v>
      </c>
      <c r="AE28" s="47">
        <f>('MONTHLY REPORT SHIFT WISE'!AE28+'MONTHLY REPORT SHIFT WISE'!AE63+'MONTHLY REPORT SHIFT WISE'!AE99)-SUM(Graphs!G153:G155)</f>
        <v>0</v>
      </c>
      <c r="AF28" s="47">
        <f>'MONTHLY REPORT SHIFT WISE'!AF28+'MONTHLY REPORT SHIFT WISE'!AF63+'MONTHLY REPORT SHIFT WISE'!AF99</f>
        <v>0</v>
      </c>
      <c r="AG28" s="52" t="str">
        <f t="shared" si="4"/>
        <v/>
      </c>
      <c r="AH28" s="43" t="e">
        <f t="shared" si="5"/>
        <v>#DIV/0!</v>
      </c>
      <c r="AI28" s="52" t="str">
        <f t="shared" si="6"/>
        <v/>
      </c>
      <c r="AJ28" s="47">
        <f>'MONTHLY REPORT SHIFT WISE'!AJ28+'MONTHLY REPORT SHIFT WISE'!AJ63+'MONTHLY REPORT SHIFT WISE'!AJ99</f>
        <v>0</v>
      </c>
      <c r="AK28" s="47">
        <f>'MONTHLY REPORT SHIFT WISE'!AK28+'MONTHLY REPORT SHIFT WISE'!AK63+'MONTHLY REPORT SHIFT WISE'!AK99</f>
        <v>0</v>
      </c>
      <c r="AL28" s="43" t="str">
        <f t="shared" si="7"/>
        <v/>
      </c>
      <c r="AM28" s="38"/>
      <c r="AN28" s="56" t="str">
        <f t="shared" si="8"/>
        <v/>
      </c>
      <c r="AO28" s="47"/>
      <c r="AP28" s="60" t="e">
        <f t="shared" si="9"/>
        <v>#DIV/0!</v>
      </c>
      <c r="AQ28" s="61" t="e">
        <f t="shared" si="10"/>
        <v>#DIV/0!</v>
      </c>
      <c r="AR28" s="63">
        <f t="shared" si="11"/>
        <v>-0.3</v>
      </c>
      <c r="AS28" s="257">
        <f>'MONTHLY REPORT SHIFT WISE'!AS28+'MONTHLY REPORT SHIFT WISE'!AS63+'MONTHLY REPORT SHIFT WISE'!AS99</f>
        <v>0</v>
      </c>
      <c r="AT28" s="71">
        <f>'MONTHLY REPORT SHIFT WISE'!AT28</f>
        <v>0</v>
      </c>
      <c r="AU28" s="71">
        <f>'MONTHLY REPORT SHIFT WISE'!AU28</f>
        <v>0</v>
      </c>
      <c r="AV28" s="76"/>
      <c r="AW28" s="77">
        <f t="shared" si="12"/>
        <v>0</v>
      </c>
      <c r="AX28" s="71">
        <f>'MONTHLY REPORT SHIFT WISE'!AT63</f>
        <v>0</v>
      </c>
      <c r="AY28" s="71">
        <f>'MONTHLY REPORT SHIFT WISE'!AU63</f>
        <v>0</v>
      </c>
      <c r="AZ28" s="76"/>
      <c r="BA28" s="78">
        <f t="shared" si="13"/>
        <v>0</v>
      </c>
      <c r="BB28" s="71">
        <f>'MONTHLY REPORT SHIFT WISE'!AT99</f>
        <v>0</v>
      </c>
      <c r="BC28" s="71">
        <f>'MONTHLY REPORT SHIFT WISE'!AU99</f>
        <v>0</v>
      </c>
      <c r="BD28" s="76"/>
      <c r="BE28" s="78">
        <f t="shared" si="14"/>
        <v>0</v>
      </c>
      <c r="BG28" s="183" t="str">
        <f t="shared" si="15"/>
        <v/>
      </c>
      <c r="BH28" s="183" t="str">
        <f t="shared" si="16"/>
        <v/>
      </c>
      <c r="BI28" s="182" t="str">
        <f t="shared" si="17"/>
        <v/>
      </c>
      <c r="BO28" s="284">
        <f>B28</f>
        <v>25</v>
      </c>
      <c r="BP28" s="284">
        <f t="shared" si="19"/>
        <v>0</v>
      </c>
      <c r="BQ28" s="284">
        <f t="shared" si="20"/>
        <v>0</v>
      </c>
      <c r="BR28" s="284" t="e">
        <f t="shared" si="21"/>
        <v>#DIV/0!</v>
      </c>
      <c r="BS28" s="284" t="e">
        <f t="shared" si="22"/>
        <v>#DIV/0!</v>
      </c>
    </row>
    <row r="29" spans="1:71" ht="30" customHeight="1">
      <c r="A29" s="15"/>
      <c r="B29" s="26">
        <v>26</v>
      </c>
      <c r="C29" s="47">
        <f>'MONTHLY REPORT SHIFT WISE'!C29+'MONTHLY REPORT SHIFT WISE'!C64+'MONTHLY REPORT SHIFT WISE'!C100</f>
        <v>0</v>
      </c>
      <c r="D29" s="38">
        <f t="shared" si="28"/>
        <v>0</v>
      </c>
      <c r="E29" s="47">
        <f>'MONTHLY REPORT SHIFT WISE'!E29+'MONTHLY REPORT SHIFT WISE'!E64+'MONTHLY REPORT SHIFT WISE'!E100</f>
        <v>0</v>
      </c>
      <c r="F29" s="38">
        <f t="shared" si="30"/>
        <v>0</v>
      </c>
      <c r="G29" s="38">
        <f t="shared" si="29"/>
        <v>0</v>
      </c>
      <c r="H29" s="47">
        <f>'MONTHLY REPORT SHIFT WISE'!H29+'MONTHLY REPORT SHIFT WISE'!H64+'MONTHLY REPORT SHIFT WISE'!H100</f>
        <v>0</v>
      </c>
      <c r="I29" s="47">
        <f>'MONTHLY REPORT SHIFT WISE'!I29+'MONTHLY REPORT SHIFT WISE'!I64+'MONTHLY REPORT SHIFT WISE'!I100</f>
        <v>0</v>
      </c>
      <c r="J29" s="47">
        <f>'MONTHLY REPORT SHIFT WISE'!J29+'MONTHLY REPORT SHIFT WISE'!J64+'MONTHLY REPORT SHIFT WISE'!J100</f>
        <v>0</v>
      </c>
      <c r="K29" s="47">
        <f>'MONTHLY REPORT SHIFT WISE'!K29+'MONTHLY REPORT SHIFT WISE'!K64+'MONTHLY REPORT SHIFT WISE'!K100</f>
        <v>0</v>
      </c>
      <c r="L29" s="47">
        <f>'MONTHLY REPORT SHIFT WISE'!L29+'MONTHLY REPORT SHIFT WISE'!L64+'MONTHLY REPORT SHIFT WISE'!L100</f>
        <v>0</v>
      </c>
      <c r="M29" s="47">
        <f>'MONTHLY REPORT SHIFT WISE'!M29+'MONTHLY REPORT SHIFT WISE'!M64+'MONTHLY REPORT SHIFT WISE'!M100</f>
        <v>0</v>
      </c>
      <c r="N29" s="38">
        <f t="shared" si="23"/>
        <v>0</v>
      </c>
      <c r="O29" s="47">
        <f>'MONTHLY REPORT SHIFT WISE'!O29+'MONTHLY REPORT SHIFT WISE'!O64+'MONTHLY REPORT SHIFT WISE'!O100</f>
        <v>0</v>
      </c>
      <c r="P29" s="43" t="e">
        <f t="shared" si="0"/>
        <v>#DIV/0!</v>
      </c>
      <c r="Q29" s="47">
        <f>'MONTHLY REPORT SHIFT WISE'!Q29+'MONTHLY REPORT SHIFT WISE'!Q64+'MONTHLY REPORT SHIFT WISE'!Q100</f>
        <v>0</v>
      </c>
      <c r="R29" s="38">
        <f t="shared" si="24"/>
        <v>0</v>
      </c>
      <c r="S29" s="51"/>
      <c r="T29" s="43" t="e">
        <f t="shared" si="25"/>
        <v>#DIV/0!</v>
      </c>
      <c r="U29" s="43" t="e">
        <f t="shared" si="26"/>
        <v>#DIV/0!</v>
      </c>
      <c r="V29" s="43" t="e">
        <f t="shared" si="27"/>
        <v>#DIV/0!</v>
      </c>
      <c r="W29" s="47">
        <f>'MONTHLY REPORT SHIFT WISE'!W29+'MONTHLY REPORT SHIFT WISE'!W64+'MONTHLY REPORT SHIFT WISE'!W100</f>
        <v>0</v>
      </c>
      <c r="X29" s="47">
        <f>(('MONTHLY REPORT SHIFT WISE'!X29+'MONTHLY REPORT SHIFT WISE'!X64+'MONTHLY REPORT SHIFT WISE'!X100)-SUM(Graphs!G156:G158)/60)</f>
        <v>0</v>
      </c>
      <c r="Y29" s="43">
        <f t="shared" si="31"/>
        <v>0</v>
      </c>
      <c r="Z29" s="47">
        <f>'MONTHLY REPORT SHIFT WISE'!Z29+'MONTHLY REPORT SHIFT WISE'!Z64+'MONTHLY REPORT SHIFT WISE'!Z100</f>
        <v>0</v>
      </c>
      <c r="AA29" s="38">
        <f t="shared" si="1"/>
        <v>0</v>
      </c>
      <c r="AB29" s="52" t="str">
        <f t="shared" si="32"/>
        <v/>
      </c>
      <c r="AC29" s="52" t="str">
        <f t="shared" si="2"/>
        <v/>
      </c>
      <c r="AD29" s="52" t="e">
        <f t="shared" si="3"/>
        <v>#DIV/0!</v>
      </c>
      <c r="AE29" s="47">
        <f>('MONTHLY REPORT SHIFT WISE'!AE29+'MONTHLY REPORT SHIFT WISE'!AE64+'MONTHLY REPORT SHIFT WISE'!AE100)-SUM(Graphs!G156:G158)</f>
        <v>0</v>
      </c>
      <c r="AF29" s="47">
        <f>'MONTHLY REPORT SHIFT WISE'!AF29+'MONTHLY REPORT SHIFT WISE'!AF64+'MONTHLY REPORT SHIFT WISE'!AF100</f>
        <v>0</v>
      </c>
      <c r="AG29" s="52" t="str">
        <f t="shared" si="4"/>
        <v/>
      </c>
      <c r="AH29" s="43" t="e">
        <f t="shared" si="5"/>
        <v>#DIV/0!</v>
      </c>
      <c r="AI29" s="52" t="str">
        <f t="shared" si="6"/>
        <v/>
      </c>
      <c r="AJ29" s="47">
        <f>'MONTHLY REPORT SHIFT WISE'!AJ29+'MONTHLY REPORT SHIFT WISE'!AJ64+'MONTHLY REPORT SHIFT WISE'!AJ100</f>
        <v>0</v>
      </c>
      <c r="AK29" s="47">
        <f>'MONTHLY REPORT SHIFT WISE'!AK29+'MONTHLY REPORT SHIFT WISE'!AK64+'MONTHLY REPORT SHIFT WISE'!AK100</f>
        <v>0</v>
      </c>
      <c r="AL29" s="43" t="str">
        <f t="shared" si="7"/>
        <v/>
      </c>
      <c r="AM29" s="38"/>
      <c r="AN29" s="56" t="str">
        <f t="shared" si="8"/>
        <v/>
      </c>
      <c r="AO29" s="47"/>
      <c r="AP29" s="60" t="e">
        <f t="shared" si="9"/>
        <v>#DIV/0!</v>
      </c>
      <c r="AQ29" s="61" t="e">
        <f t="shared" si="10"/>
        <v>#DIV/0!</v>
      </c>
      <c r="AR29" s="63">
        <f t="shared" si="11"/>
        <v>-0.3</v>
      </c>
      <c r="AS29" s="257">
        <f>'MONTHLY REPORT SHIFT WISE'!AS29+'MONTHLY REPORT SHIFT WISE'!AS64+'MONTHLY REPORT SHIFT WISE'!AS100</f>
        <v>0</v>
      </c>
      <c r="AT29" s="71">
        <f>'MONTHLY REPORT SHIFT WISE'!AT29</f>
        <v>0</v>
      </c>
      <c r="AU29" s="71">
        <f>'MONTHLY REPORT SHIFT WISE'!AU29</f>
        <v>0</v>
      </c>
      <c r="AV29" s="76"/>
      <c r="AW29" s="77">
        <f t="shared" si="12"/>
        <v>0</v>
      </c>
      <c r="AX29" s="71">
        <f>'MONTHLY REPORT SHIFT WISE'!AT64</f>
        <v>0</v>
      </c>
      <c r="AY29" s="71">
        <f>'MONTHLY REPORT SHIFT WISE'!AU64</f>
        <v>0</v>
      </c>
      <c r="AZ29" s="76"/>
      <c r="BA29" s="78">
        <f t="shared" si="13"/>
        <v>0</v>
      </c>
      <c r="BB29" s="71">
        <f>'MONTHLY REPORT SHIFT WISE'!AT100</f>
        <v>0</v>
      </c>
      <c r="BC29" s="71">
        <f>'MONTHLY REPORT SHIFT WISE'!AU100</f>
        <v>0</v>
      </c>
      <c r="BD29" s="76"/>
      <c r="BE29" s="78">
        <f t="shared" si="14"/>
        <v>0</v>
      </c>
      <c r="BG29" s="183" t="str">
        <f t="shared" si="15"/>
        <v/>
      </c>
      <c r="BH29" s="183" t="str">
        <f t="shared" si="16"/>
        <v/>
      </c>
      <c r="BI29" s="182" t="str">
        <f t="shared" si="17"/>
        <v/>
      </c>
      <c r="BO29" s="284">
        <f t="shared" si="18"/>
        <v>26</v>
      </c>
      <c r="BP29" s="284">
        <f t="shared" si="19"/>
        <v>0</v>
      </c>
      <c r="BQ29" s="284">
        <f t="shared" si="20"/>
        <v>0</v>
      </c>
      <c r="BR29" s="284" t="e">
        <f t="shared" si="21"/>
        <v>#DIV/0!</v>
      </c>
      <c r="BS29" s="284" t="e">
        <f t="shared" si="22"/>
        <v>#DIV/0!</v>
      </c>
    </row>
    <row r="30" spans="1:71" ht="30" customHeight="1">
      <c r="A30" s="15"/>
      <c r="B30" s="26">
        <v>27</v>
      </c>
      <c r="C30" s="47">
        <f>'MONTHLY REPORT SHIFT WISE'!C30+'MONTHLY REPORT SHIFT WISE'!C65+'MONTHLY REPORT SHIFT WISE'!C101</f>
        <v>0</v>
      </c>
      <c r="D30" s="38">
        <f t="shared" si="28"/>
        <v>0</v>
      </c>
      <c r="E30" s="47">
        <f>'MONTHLY REPORT SHIFT WISE'!E30+'MONTHLY REPORT SHIFT WISE'!E65+'MONTHLY REPORT SHIFT WISE'!E101</f>
        <v>0</v>
      </c>
      <c r="F30" s="38">
        <f t="shared" si="30"/>
        <v>0</v>
      </c>
      <c r="G30" s="38">
        <f t="shared" si="29"/>
        <v>0</v>
      </c>
      <c r="H30" s="47">
        <f>'MONTHLY REPORT SHIFT WISE'!H30+'MONTHLY REPORT SHIFT WISE'!H65+'MONTHLY REPORT SHIFT WISE'!H101</f>
        <v>0</v>
      </c>
      <c r="I30" s="47">
        <f>'MONTHLY REPORT SHIFT WISE'!I30+'MONTHLY REPORT SHIFT WISE'!I65+'MONTHLY REPORT SHIFT WISE'!I101</f>
        <v>0</v>
      </c>
      <c r="J30" s="47">
        <f>'MONTHLY REPORT SHIFT WISE'!J30+'MONTHLY REPORT SHIFT WISE'!J65+'MONTHLY REPORT SHIFT WISE'!J101</f>
        <v>0</v>
      </c>
      <c r="K30" s="47">
        <f>'MONTHLY REPORT SHIFT WISE'!K30+'MONTHLY REPORT SHIFT WISE'!K65+'MONTHLY REPORT SHIFT WISE'!K101</f>
        <v>0</v>
      </c>
      <c r="L30" s="47">
        <f>'MONTHLY REPORT SHIFT WISE'!L30+'MONTHLY REPORT SHIFT WISE'!L65+'MONTHLY REPORT SHIFT WISE'!L101</f>
        <v>0</v>
      </c>
      <c r="M30" s="47">
        <f>'MONTHLY REPORT SHIFT WISE'!M30+'MONTHLY REPORT SHIFT WISE'!M65+'MONTHLY REPORT SHIFT WISE'!M101</f>
        <v>0</v>
      </c>
      <c r="N30" s="38">
        <f t="shared" si="23"/>
        <v>0</v>
      </c>
      <c r="O30" s="47">
        <f>'MONTHLY REPORT SHIFT WISE'!O30+'MONTHLY REPORT SHIFT WISE'!O65+'MONTHLY REPORT SHIFT WISE'!O101</f>
        <v>0</v>
      </c>
      <c r="P30" s="43" t="e">
        <f t="shared" si="0"/>
        <v>#DIV/0!</v>
      </c>
      <c r="Q30" s="47">
        <f>'MONTHLY REPORT SHIFT WISE'!Q30+'MONTHLY REPORT SHIFT WISE'!Q65+'MONTHLY REPORT SHIFT WISE'!Q101</f>
        <v>0</v>
      </c>
      <c r="R30" s="38">
        <f t="shared" si="24"/>
        <v>0</v>
      </c>
      <c r="S30" s="51"/>
      <c r="T30" s="43" t="e">
        <f t="shared" si="25"/>
        <v>#DIV/0!</v>
      </c>
      <c r="U30" s="43" t="e">
        <f t="shared" si="26"/>
        <v>#DIV/0!</v>
      </c>
      <c r="V30" s="43" t="e">
        <f t="shared" si="27"/>
        <v>#DIV/0!</v>
      </c>
      <c r="W30" s="47">
        <f>'MONTHLY REPORT SHIFT WISE'!W30+'MONTHLY REPORT SHIFT WISE'!W65+'MONTHLY REPORT SHIFT WISE'!W101</f>
        <v>0</v>
      </c>
      <c r="X30" s="47">
        <f>(('MONTHLY REPORT SHIFT WISE'!X30+'MONTHLY REPORT SHIFT WISE'!X65+'MONTHLY REPORT SHIFT WISE'!X101)-SUM(Graphs!G159:G161)/60)</f>
        <v>0</v>
      </c>
      <c r="Y30" s="43">
        <f t="shared" si="31"/>
        <v>0</v>
      </c>
      <c r="Z30" s="47">
        <f>'MONTHLY REPORT SHIFT WISE'!Z30+'MONTHLY REPORT SHIFT WISE'!Z65+'MONTHLY REPORT SHIFT WISE'!Z101</f>
        <v>0</v>
      </c>
      <c r="AA30" s="38">
        <f t="shared" si="1"/>
        <v>0</v>
      </c>
      <c r="AB30" s="52" t="str">
        <f t="shared" si="32"/>
        <v/>
      </c>
      <c r="AC30" s="52" t="str">
        <f t="shared" si="2"/>
        <v/>
      </c>
      <c r="AD30" s="52" t="e">
        <f t="shared" si="3"/>
        <v>#DIV/0!</v>
      </c>
      <c r="AE30" s="47">
        <f>('MONTHLY REPORT SHIFT WISE'!AE30+'MONTHLY REPORT SHIFT WISE'!AE65+'MONTHLY REPORT SHIFT WISE'!AE101)-SUM(Graphs!G159:G161)</f>
        <v>0</v>
      </c>
      <c r="AF30" s="47">
        <f>'MONTHLY REPORT SHIFT WISE'!AF30+'MONTHLY REPORT SHIFT WISE'!AF65+'MONTHLY REPORT SHIFT WISE'!AF101</f>
        <v>0</v>
      </c>
      <c r="AG30" s="52" t="str">
        <f t="shared" si="4"/>
        <v/>
      </c>
      <c r="AH30" s="43" t="e">
        <f t="shared" si="5"/>
        <v>#DIV/0!</v>
      </c>
      <c r="AI30" s="52" t="str">
        <f t="shared" si="6"/>
        <v/>
      </c>
      <c r="AJ30" s="47">
        <f>'MONTHLY REPORT SHIFT WISE'!AJ30+'MONTHLY REPORT SHIFT WISE'!AJ65+'MONTHLY REPORT SHIFT WISE'!AJ101</f>
        <v>0</v>
      </c>
      <c r="AK30" s="47">
        <f>'MONTHLY REPORT SHIFT WISE'!AK30+'MONTHLY REPORT SHIFT WISE'!AK65+'MONTHLY REPORT SHIFT WISE'!AK101</f>
        <v>0</v>
      </c>
      <c r="AL30" s="43" t="str">
        <f t="shared" si="7"/>
        <v/>
      </c>
      <c r="AM30" s="38"/>
      <c r="AN30" s="56" t="str">
        <f t="shared" si="8"/>
        <v/>
      </c>
      <c r="AO30" s="47"/>
      <c r="AP30" s="60" t="e">
        <f t="shared" si="9"/>
        <v>#DIV/0!</v>
      </c>
      <c r="AQ30" s="61" t="e">
        <f t="shared" si="10"/>
        <v>#DIV/0!</v>
      </c>
      <c r="AR30" s="63">
        <f t="shared" si="11"/>
        <v>-0.3</v>
      </c>
      <c r="AS30" s="257">
        <f>'MONTHLY REPORT SHIFT WISE'!AS30+'MONTHLY REPORT SHIFT WISE'!AS65+'MONTHLY REPORT SHIFT WISE'!AS101</f>
        <v>0</v>
      </c>
      <c r="AT30" s="71">
        <f>'MONTHLY REPORT SHIFT WISE'!AT30</f>
        <v>0</v>
      </c>
      <c r="AU30" s="71">
        <f>'MONTHLY REPORT SHIFT WISE'!AU30</f>
        <v>0</v>
      </c>
      <c r="AV30" s="76"/>
      <c r="AW30" s="77">
        <f t="shared" si="12"/>
        <v>0</v>
      </c>
      <c r="AX30" s="71">
        <f>'MONTHLY REPORT SHIFT WISE'!AT65</f>
        <v>0</v>
      </c>
      <c r="AY30" s="71">
        <f>'MONTHLY REPORT SHIFT WISE'!AU65</f>
        <v>0</v>
      </c>
      <c r="AZ30" s="76"/>
      <c r="BA30" s="78">
        <f t="shared" si="13"/>
        <v>0</v>
      </c>
      <c r="BB30" s="71">
        <f>'MONTHLY REPORT SHIFT WISE'!AT101</f>
        <v>0</v>
      </c>
      <c r="BC30" s="71">
        <f>'MONTHLY REPORT SHIFT WISE'!AU101</f>
        <v>0</v>
      </c>
      <c r="BD30" s="76"/>
      <c r="BE30" s="78">
        <f t="shared" si="14"/>
        <v>0</v>
      </c>
      <c r="BG30" s="183" t="str">
        <f t="shared" si="15"/>
        <v/>
      </c>
      <c r="BH30" s="183" t="str">
        <f t="shared" si="16"/>
        <v/>
      </c>
      <c r="BI30" s="182" t="str">
        <f t="shared" si="17"/>
        <v/>
      </c>
      <c r="BO30" s="284">
        <f t="shared" si="18"/>
        <v>27</v>
      </c>
      <c r="BP30" s="284">
        <f t="shared" si="19"/>
        <v>0</v>
      </c>
      <c r="BQ30" s="284">
        <f t="shared" si="20"/>
        <v>0</v>
      </c>
      <c r="BR30" s="284" t="e">
        <f t="shared" si="21"/>
        <v>#DIV/0!</v>
      </c>
      <c r="BS30" s="284" t="e">
        <f t="shared" si="22"/>
        <v>#DIV/0!</v>
      </c>
    </row>
    <row r="31" spans="1:71" ht="30" customHeight="1">
      <c r="A31" s="15"/>
      <c r="B31" s="26">
        <v>28</v>
      </c>
      <c r="C31" s="47">
        <f>'MONTHLY REPORT SHIFT WISE'!C31+'MONTHLY REPORT SHIFT WISE'!C66+'MONTHLY REPORT SHIFT WISE'!C102</f>
        <v>0</v>
      </c>
      <c r="D31" s="38">
        <f t="shared" si="28"/>
        <v>0</v>
      </c>
      <c r="E31" s="47">
        <f>'MONTHLY REPORT SHIFT WISE'!E31+'MONTHLY REPORT SHIFT WISE'!E66+'MONTHLY REPORT SHIFT WISE'!E102</f>
        <v>0</v>
      </c>
      <c r="F31" s="38">
        <f t="shared" si="30"/>
        <v>0</v>
      </c>
      <c r="G31" s="38">
        <f t="shared" si="29"/>
        <v>0</v>
      </c>
      <c r="H31" s="47">
        <f>'MONTHLY REPORT SHIFT WISE'!H31+'MONTHLY REPORT SHIFT WISE'!H66+'MONTHLY REPORT SHIFT WISE'!H102</f>
        <v>0</v>
      </c>
      <c r="I31" s="47">
        <f>'MONTHLY REPORT SHIFT WISE'!I31+'MONTHLY REPORT SHIFT WISE'!I66+'MONTHLY REPORT SHIFT WISE'!I102</f>
        <v>0</v>
      </c>
      <c r="J31" s="47">
        <f>'MONTHLY REPORT SHIFT WISE'!J31+'MONTHLY REPORT SHIFT WISE'!J66+'MONTHLY REPORT SHIFT WISE'!J102</f>
        <v>0</v>
      </c>
      <c r="K31" s="47">
        <f>'MONTHLY REPORT SHIFT WISE'!K31+'MONTHLY REPORT SHIFT WISE'!K66+'MONTHLY REPORT SHIFT WISE'!K102</f>
        <v>0</v>
      </c>
      <c r="L31" s="47">
        <f>'MONTHLY REPORT SHIFT WISE'!L31+'MONTHLY REPORT SHIFT WISE'!L66+'MONTHLY REPORT SHIFT WISE'!L102</f>
        <v>0</v>
      </c>
      <c r="M31" s="47">
        <f>'MONTHLY REPORT SHIFT WISE'!M31+'MONTHLY REPORT SHIFT WISE'!M66+'MONTHLY REPORT SHIFT WISE'!M102</f>
        <v>0</v>
      </c>
      <c r="N31" s="38">
        <f t="shared" si="23"/>
        <v>0</v>
      </c>
      <c r="O31" s="47">
        <f>'MONTHLY REPORT SHIFT WISE'!O31+'MONTHLY REPORT SHIFT WISE'!O66+'MONTHLY REPORT SHIFT WISE'!O102</f>
        <v>0</v>
      </c>
      <c r="P31" s="43" t="e">
        <f t="shared" si="0"/>
        <v>#DIV/0!</v>
      </c>
      <c r="Q31" s="47">
        <f>'MONTHLY REPORT SHIFT WISE'!Q31+'MONTHLY REPORT SHIFT WISE'!Q66+'MONTHLY REPORT SHIFT WISE'!Q102</f>
        <v>0</v>
      </c>
      <c r="R31" s="38">
        <f t="shared" si="24"/>
        <v>0</v>
      </c>
      <c r="S31" s="51"/>
      <c r="T31" s="43" t="e">
        <f t="shared" si="25"/>
        <v>#DIV/0!</v>
      </c>
      <c r="U31" s="43" t="e">
        <f t="shared" si="26"/>
        <v>#DIV/0!</v>
      </c>
      <c r="V31" s="43" t="e">
        <f t="shared" si="27"/>
        <v>#DIV/0!</v>
      </c>
      <c r="W31" s="47">
        <f>'MONTHLY REPORT SHIFT WISE'!W31+'MONTHLY REPORT SHIFT WISE'!W66+'MONTHLY REPORT SHIFT WISE'!W102</f>
        <v>0</v>
      </c>
      <c r="X31" s="47">
        <f>(('MONTHLY REPORT SHIFT WISE'!X31+'MONTHLY REPORT SHIFT WISE'!X66+'MONTHLY REPORT SHIFT WISE'!X102)-SUM(Graphs!G162:G164)/60)</f>
        <v>0</v>
      </c>
      <c r="Y31" s="43">
        <f t="shared" si="31"/>
        <v>0</v>
      </c>
      <c r="Z31" s="47">
        <f>'MONTHLY REPORT SHIFT WISE'!Z31+'MONTHLY REPORT SHIFT WISE'!Z66+'MONTHLY REPORT SHIFT WISE'!Z102</f>
        <v>0</v>
      </c>
      <c r="AA31" s="38">
        <f t="shared" si="1"/>
        <v>0</v>
      </c>
      <c r="AB31" s="52" t="str">
        <f t="shared" si="32"/>
        <v/>
      </c>
      <c r="AC31" s="52" t="str">
        <f t="shared" si="2"/>
        <v/>
      </c>
      <c r="AD31" s="52" t="e">
        <f t="shared" si="3"/>
        <v>#DIV/0!</v>
      </c>
      <c r="AE31" s="47">
        <f>('MONTHLY REPORT SHIFT WISE'!AE31+'MONTHLY REPORT SHIFT WISE'!AE66+'MONTHLY REPORT SHIFT WISE'!AE102)-SUM(Graphs!G162:G164)</f>
        <v>0</v>
      </c>
      <c r="AF31" s="47">
        <f>'MONTHLY REPORT SHIFT WISE'!AF31+'MONTHLY REPORT SHIFT WISE'!AF66+'MONTHLY REPORT SHIFT WISE'!AF102</f>
        <v>0</v>
      </c>
      <c r="AG31" s="52" t="str">
        <f t="shared" si="4"/>
        <v/>
      </c>
      <c r="AH31" s="43" t="e">
        <f t="shared" si="5"/>
        <v>#DIV/0!</v>
      </c>
      <c r="AI31" s="52" t="str">
        <f t="shared" si="6"/>
        <v/>
      </c>
      <c r="AJ31" s="47">
        <f>'MONTHLY REPORT SHIFT WISE'!AJ31+'MONTHLY REPORT SHIFT WISE'!AJ66+'MONTHLY REPORT SHIFT WISE'!AJ102</f>
        <v>0</v>
      </c>
      <c r="AK31" s="47">
        <f>'MONTHLY REPORT SHIFT WISE'!AK31+'MONTHLY REPORT SHIFT WISE'!AK66+'MONTHLY REPORT SHIFT WISE'!AK102</f>
        <v>0</v>
      </c>
      <c r="AL31" s="43" t="str">
        <f t="shared" si="7"/>
        <v/>
      </c>
      <c r="AM31" s="38"/>
      <c r="AN31" s="56" t="str">
        <f t="shared" si="8"/>
        <v/>
      </c>
      <c r="AO31" s="47"/>
      <c r="AP31" s="60" t="e">
        <f t="shared" si="9"/>
        <v>#DIV/0!</v>
      </c>
      <c r="AQ31" s="61" t="e">
        <f t="shared" si="10"/>
        <v>#DIV/0!</v>
      </c>
      <c r="AR31" s="63">
        <f t="shared" si="11"/>
        <v>-0.3</v>
      </c>
      <c r="AS31" s="257">
        <f>'MONTHLY REPORT SHIFT WISE'!AS31+'MONTHLY REPORT SHIFT WISE'!AS66+'MONTHLY REPORT SHIFT WISE'!AS102</f>
        <v>0</v>
      </c>
      <c r="AT31" s="71">
        <f>'MONTHLY REPORT SHIFT WISE'!AT31</f>
        <v>0</v>
      </c>
      <c r="AU31" s="71">
        <f>'MONTHLY REPORT SHIFT WISE'!AU31</f>
        <v>0</v>
      </c>
      <c r="AV31" s="76"/>
      <c r="AW31" s="77">
        <f t="shared" si="12"/>
        <v>0</v>
      </c>
      <c r="AX31" s="71">
        <f>'MONTHLY REPORT SHIFT WISE'!AT66</f>
        <v>0</v>
      </c>
      <c r="AY31" s="71">
        <f>'MONTHLY REPORT SHIFT WISE'!AU66</f>
        <v>0</v>
      </c>
      <c r="AZ31" s="76"/>
      <c r="BA31" s="78">
        <f t="shared" si="13"/>
        <v>0</v>
      </c>
      <c r="BB31" s="71">
        <f>'MONTHLY REPORT SHIFT WISE'!AT102</f>
        <v>0</v>
      </c>
      <c r="BC31" s="71">
        <f>'MONTHLY REPORT SHIFT WISE'!AU102</f>
        <v>0</v>
      </c>
      <c r="BD31" s="76"/>
      <c r="BE31" s="78">
        <f t="shared" si="14"/>
        <v>0</v>
      </c>
      <c r="BG31" s="183" t="str">
        <f t="shared" si="15"/>
        <v/>
      </c>
      <c r="BH31" s="183" t="str">
        <f t="shared" si="16"/>
        <v/>
      </c>
      <c r="BI31" s="182" t="str">
        <f t="shared" si="17"/>
        <v/>
      </c>
      <c r="BO31" s="284">
        <f t="shared" si="18"/>
        <v>28</v>
      </c>
      <c r="BP31" s="284">
        <f t="shared" si="19"/>
        <v>0</v>
      </c>
      <c r="BQ31" s="284">
        <f t="shared" si="20"/>
        <v>0</v>
      </c>
      <c r="BR31" s="284" t="e">
        <f t="shared" si="21"/>
        <v>#DIV/0!</v>
      </c>
      <c r="BS31" s="284" t="e">
        <f t="shared" si="22"/>
        <v>#DIV/0!</v>
      </c>
    </row>
    <row r="32" spans="1:71" ht="30" customHeight="1">
      <c r="A32" s="15"/>
      <c r="B32" s="26">
        <v>29</v>
      </c>
      <c r="C32" s="47">
        <f>'MONTHLY REPORT SHIFT WISE'!C32+'MONTHLY REPORT SHIFT WISE'!C67+'MONTHLY REPORT SHIFT WISE'!C103</f>
        <v>0</v>
      </c>
      <c r="D32" s="38">
        <f t="shared" si="28"/>
        <v>0</v>
      </c>
      <c r="E32" s="47">
        <f>'MONTHLY REPORT SHIFT WISE'!E32+'MONTHLY REPORT SHIFT WISE'!E67+'MONTHLY REPORT SHIFT WISE'!E103</f>
        <v>0</v>
      </c>
      <c r="F32" s="38">
        <f>E32-J32</f>
        <v>0</v>
      </c>
      <c r="G32" s="38">
        <f t="shared" si="29"/>
        <v>0</v>
      </c>
      <c r="H32" s="47">
        <f>'MONTHLY REPORT SHIFT WISE'!H32+'MONTHLY REPORT SHIFT WISE'!H67+'MONTHLY REPORT SHIFT WISE'!H103</f>
        <v>0</v>
      </c>
      <c r="I32" s="47">
        <f>'MONTHLY REPORT SHIFT WISE'!I32+'MONTHLY REPORT SHIFT WISE'!I67+'MONTHLY REPORT SHIFT WISE'!I103</f>
        <v>0</v>
      </c>
      <c r="J32" s="47">
        <f>'MONTHLY REPORT SHIFT WISE'!J32+'MONTHLY REPORT SHIFT WISE'!J67+'MONTHLY REPORT SHIFT WISE'!J103</f>
        <v>0</v>
      </c>
      <c r="K32" s="47">
        <f>'MONTHLY REPORT SHIFT WISE'!K32+'MONTHLY REPORT SHIFT WISE'!K67+'MONTHLY REPORT SHIFT WISE'!K103</f>
        <v>0</v>
      </c>
      <c r="L32" s="47">
        <f>'MONTHLY REPORT SHIFT WISE'!L32+'MONTHLY REPORT SHIFT WISE'!L67+'MONTHLY REPORT SHIFT WISE'!L103</f>
        <v>0</v>
      </c>
      <c r="M32" s="47">
        <f>'MONTHLY REPORT SHIFT WISE'!M32+'MONTHLY REPORT SHIFT WISE'!M67+'MONTHLY REPORT SHIFT WISE'!M103</f>
        <v>0</v>
      </c>
      <c r="N32" s="38">
        <f t="shared" si="23"/>
        <v>0</v>
      </c>
      <c r="O32" s="47">
        <f>'MONTHLY REPORT SHIFT WISE'!O32+'MONTHLY REPORT SHIFT WISE'!O67+'MONTHLY REPORT SHIFT WISE'!O103</f>
        <v>0</v>
      </c>
      <c r="P32" s="43" t="e">
        <f t="shared" si="0"/>
        <v>#DIV/0!</v>
      </c>
      <c r="Q32" s="47">
        <f>'MONTHLY REPORT SHIFT WISE'!Q32+'MONTHLY REPORT SHIFT WISE'!Q67+'MONTHLY REPORT SHIFT WISE'!Q103</f>
        <v>0</v>
      </c>
      <c r="R32" s="38">
        <f t="shared" si="24"/>
        <v>0</v>
      </c>
      <c r="S32" s="51"/>
      <c r="T32" s="43" t="e">
        <f t="shared" si="25"/>
        <v>#DIV/0!</v>
      </c>
      <c r="U32" s="43" t="e">
        <f t="shared" si="26"/>
        <v>#DIV/0!</v>
      </c>
      <c r="V32" s="43" t="e">
        <f t="shared" si="27"/>
        <v>#DIV/0!</v>
      </c>
      <c r="W32" s="47">
        <f>'MONTHLY REPORT SHIFT WISE'!W32+'MONTHLY REPORT SHIFT WISE'!W67+'MONTHLY REPORT SHIFT WISE'!W103</f>
        <v>0</v>
      </c>
      <c r="X32" s="47">
        <f>(('MONTHLY REPORT SHIFT WISE'!X32+'MONTHLY REPORT SHIFT WISE'!X67+'MONTHLY REPORT SHIFT WISE'!X103)-SUM(Graphs!G165:G167)/60)</f>
        <v>0</v>
      </c>
      <c r="Y32" s="43">
        <f t="shared" si="31"/>
        <v>0</v>
      </c>
      <c r="Z32" s="47">
        <f>'MONTHLY REPORT SHIFT WISE'!Z32+'MONTHLY REPORT SHIFT WISE'!Z67+'MONTHLY REPORT SHIFT WISE'!Z103</f>
        <v>0</v>
      </c>
      <c r="AA32" s="38">
        <f t="shared" si="1"/>
        <v>0</v>
      </c>
      <c r="AB32" s="52" t="str">
        <f t="shared" si="32"/>
        <v/>
      </c>
      <c r="AC32" s="52" t="str">
        <f t="shared" si="2"/>
        <v/>
      </c>
      <c r="AD32" s="52" t="e">
        <f t="shared" si="3"/>
        <v>#DIV/0!</v>
      </c>
      <c r="AE32" s="47">
        <f>('MONTHLY REPORT SHIFT WISE'!AE32+'MONTHLY REPORT SHIFT WISE'!AE67+'MONTHLY REPORT SHIFT WISE'!AE103)-SUM(Graphs!G165:G167)</f>
        <v>0</v>
      </c>
      <c r="AF32" s="47">
        <f>'MONTHLY REPORT SHIFT WISE'!AF32+'MONTHLY REPORT SHIFT WISE'!AF67+'MONTHLY REPORT SHIFT WISE'!AF103</f>
        <v>0</v>
      </c>
      <c r="AG32" s="52" t="str">
        <f t="shared" si="4"/>
        <v/>
      </c>
      <c r="AH32" s="43" t="e">
        <f t="shared" si="5"/>
        <v>#DIV/0!</v>
      </c>
      <c r="AI32" s="52" t="str">
        <f t="shared" si="6"/>
        <v/>
      </c>
      <c r="AJ32" s="47">
        <f>'MONTHLY REPORT SHIFT WISE'!AJ32+'MONTHLY REPORT SHIFT WISE'!AJ67+'MONTHLY REPORT SHIFT WISE'!AJ103</f>
        <v>0</v>
      </c>
      <c r="AK32" s="47">
        <f>'MONTHLY REPORT SHIFT WISE'!AK32+'MONTHLY REPORT SHIFT WISE'!AK67+'MONTHLY REPORT SHIFT WISE'!AK103</f>
        <v>0</v>
      </c>
      <c r="AL32" s="43" t="str">
        <f t="shared" si="7"/>
        <v/>
      </c>
      <c r="AM32" s="38"/>
      <c r="AN32" s="56" t="str">
        <f t="shared" si="8"/>
        <v/>
      </c>
      <c r="AO32" s="47"/>
      <c r="AP32" s="60" t="e">
        <f t="shared" si="9"/>
        <v>#DIV/0!</v>
      </c>
      <c r="AQ32" s="61" t="e">
        <f t="shared" si="10"/>
        <v>#DIV/0!</v>
      </c>
      <c r="AR32" s="63">
        <f t="shared" si="11"/>
        <v>-0.3</v>
      </c>
      <c r="AS32" s="257">
        <f>'MONTHLY REPORT SHIFT WISE'!AS32+'MONTHLY REPORT SHIFT WISE'!AS67+'MONTHLY REPORT SHIFT WISE'!AS103</f>
        <v>0</v>
      </c>
      <c r="AT32" s="71">
        <f>'MONTHLY REPORT SHIFT WISE'!AT32</f>
        <v>0</v>
      </c>
      <c r="AU32" s="71">
        <f>'MONTHLY REPORT SHIFT WISE'!AU32</f>
        <v>0</v>
      </c>
      <c r="AV32" s="76"/>
      <c r="AW32" s="77">
        <f t="shared" si="12"/>
        <v>0</v>
      </c>
      <c r="AX32" s="71">
        <f>'MONTHLY REPORT SHIFT WISE'!AT67</f>
        <v>0</v>
      </c>
      <c r="AY32" s="71">
        <f>'MONTHLY REPORT SHIFT WISE'!AU67</f>
        <v>0</v>
      </c>
      <c r="AZ32" s="76"/>
      <c r="BA32" s="78">
        <f t="shared" si="13"/>
        <v>0</v>
      </c>
      <c r="BB32" s="71">
        <f>'MONTHLY REPORT SHIFT WISE'!AT103</f>
        <v>0</v>
      </c>
      <c r="BC32" s="71">
        <f>'MONTHLY REPORT SHIFT WISE'!AU103</f>
        <v>0</v>
      </c>
      <c r="BD32" s="76"/>
      <c r="BE32" s="78">
        <f t="shared" si="14"/>
        <v>0</v>
      </c>
      <c r="BG32" s="183" t="str">
        <f t="shared" si="15"/>
        <v/>
      </c>
      <c r="BH32" s="183" t="str">
        <f t="shared" si="16"/>
        <v/>
      </c>
      <c r="BI32" s="182" t="str">
        <f t="shared" si="17"/>
        <v/>
      </c>
      <c r="BO32" s="284">
        <f t="shared" si="18"/>
        <v>29</v>
      </c>
      <c r="BP32" s="284">
        <f t="shared" si="19"/>
        <v>0</v>
      </c>
      <c r="BQ32" s="284">
        <f t="shared" si="20"/>
        <v>0</v>
      </c>
      <c r="BR32" s="284" t="e">
        <f t="shared" si="21"/>
        <v>#DIV/0!</v>
      </c>
      <c r="BS32" s="284" t="e">
        <f t="shared" si="22"/>
        <v>#DIV/0!</v>
      </c>
    </row>
    <row r="33" spans="1:71" ht="30" customHeight="1">
      <c r="A33" s="15"/>
      <c r="B33" s="26">
        <v>30</v>
      </c>
      <c r="C33" s="47">
        <f>'MONTHLY REPORT SHIFT WISE'!C33+'MONTHLY REPORT SHIFT WISE'!C68+'MONTHLY REPORT SHIFT WISE'!C104</f>
        <v>0</v>
      </c>
      <c r="D33" s="38">
        <f t="shared" si="28"/>
        <v>0</v>
      </c>
      <c r="E33" s="47">
        <f>'MONTHLY REPORT SHIFT WISE'!E33+'MONTHLY REPORT SHIFT WISE'!E68+'MONTHLY REPORT SHIFT WISE'!E104</f>
        <v>0</v>
      </c>
      <c r="F33" s="38">
        <f t="shared" si="30"/>
        <v>0</v>
      </c>
      <c r="G33" s="38">
        <f t="shared" si="29"/>
        <v>0</v>
      </c>
      <c r="H33" s="47">
        <f>'MONTHLY REPORT SHIFT WISE'!H33+'MONTHLY REPORT SHIFT WISE'!H68+'MONTHLY REPORT SHIFT WISE'!H104</f>
        <v>0</v>
      </c>
      <c r="I33" s="47">
        <f>'MONTHLY REPORT SHIFT WISE'!I33+'MONTHLY REPORT SHIFT WISE'!I68+'MONTHLY REPORT SHIFT WISE'!I104</f>
        <v>0</v>
      </c>
      <c r="J33" s="47">
        <f>'MONTHLY REPORT SHIFT WISE'!J33+'MONTHLY REPORT SHIFT WISE'!J68+'MONTHLY REPORT SHIFT WISE'!J104</f>
        <v>0</v>
      </c>
      <c r="K33" s="47">
        <f>'MONTHLY REPORT SHIFT WISE'!K33+'MONTHLY REPORT SHIFT WISE'!K68+'MONTHLY REPORT SHIFT WISE'!K104</f>
        <v>0</v>
      </c>
      <c r="L33" s="47">
        <f>'MONTHLY REPORT SHIFT WISE'!L33+'MONTHLY REPORT SHIFT WISE'!L68+'MONTHLY REPORT SHIFT WISE'!L104</f>
        <v>0</v>
      </c>
      <c r="M33" s="47">
        <f>'MONTHLY REPORT SHIFT WISE'!M33+'MONTHLY REPORT SHIFT WISE'!M68+'MONTHLY REPORT SHIFT WISE'!M104</f>
        <v>0</v>
      </c>
      <c r="N33" s="38">
        <f t="shared" si="23"/>
        <v>0</v>
      </c>
      <c r="O33" s="47">
        <f>'MONTHLY REPORT SHIFT WISE'!O33+'MONTHLY REPORT SHIFT WISE'!O68+'MONTHLY REPORT SHIFT WISE'!O104</f>
        <v>0</v>
      </c>
      <c r="P33" s="43" t="e">
        <f t="shared" si="0"/>
        <v>#DIV/0!</v>
      </c>
      <c r="Q33" s="47">
        <f>'MONTHLY REPORT SHIFT WISE'!Q33+'MONTHLY REPORT SHIFT WISE'!Q68+'MONTHLY REPORT SHIFT WISE'!Q104</f>
        <v>0</v>
      </c>
      <c r="R33" s="38">
        <f t="shared" si="24"/>
        <v>0</v>
      </c>
      <c r="S33" s="51"/>
      <c r="T33" s="43" t="e">
        <f t="shared" si="25"/>
        <v>#DIV/0!</v>
      </c>
      <c r="U33" s="43" t="e">
        <f t="shared" si="26"/>
        <v>#DIV/0!</v>
      </c>
      <c r="V33" s="43" t="e">
        <f t="shared" si="27"/>
        <v>#DIV/0!</v>
      </c>
      <c r="W33" s="47">
        <f>'MONTHLY REPORT SHIFT WISE'!W33+'MONTHLY REPORT SHIFT WISE'!W68+'MONTHLY REPORT SHIFT WISE'!W104</f>
        <v>0</v>
      </c>
      <c r="X33" s="47">
        <f>(('MONTHLY REPORT SHIFT WISE'!X33+'MONTHLY REPORT SHIFT WISE'!X68+'MONTHLY REPORT SHIFT WISE'!X104)-SUM(Graphs!G168:G170)/60)</f>
        <v>0</v>
      </c>
      <c r="Y33" s="43">
        <f t="shared" si="31"/>
        <v>0</v>
      </c>
      <c r="Z33" s="47">
        <f>'MONTHLY REPORT SHIFT WISE'!Z33+'MONTHLY REPORT SHIFT WISE'!Z68+'MONTHLY REPORT SHIFT WISE'!Z104</f>
        <v>0</v>
      </c>
      <c r="AA33" s="38">
        <f t="shared" si="1"/>
        <v>0</v>
      </c>
      <c r="AB33" s="52" t="str">
        <f t="shared" si="32"/>
        <v/>
      </c>
      <c r="AC33" s="52" t="str">
        <f t="shared" si="2"/>
        <v/>
      </c>
      <c r="AD33" s="52" t="e">
        <f t="shared" si="3"/>
        <v>#DIV/0!</v>
      </c>
      <c r="AE33" s="47">
        <f>('MONTHLY REPORT SHIFT WISE'!AE33+'MONTHLY REPORT SHIFT WISE'!AE68+'MONTHLY REPORT SHIFT WISE'!AE104)-SUM(Graphs!G168:G170)</f>
        <v>0</v>
      </c>
      <c r="AF33" s="47">
        <f>'MONTHLY REPORT SHIFT WISE'!AF33+'MONTHLY REPORT SHIFT WISE'!AF68+'MONTHLY REPORT SHIFT WISE'!AF104</f>
        <v>0</v>
      </c>
      <c r="AG33" s="52" t="str">
        <f t="shared" si="4"/>
        <v/>
      </c>
      <c r="AH33" s="43" t="e">
        <f t="shared" si="5"/>
        <v>#DIV/0!</v>
      </c>
      <c r="AI33" s="52" t="str">
        <f t="shared" si="6"/>
        <v/>
      </c>
      <c r="AJ33" s="47">
        <f>'MONTHLY REPORT SHIFT WISE'!AJ33+'MONTHLY REPORT SHIFT WISE'!AJ68+'MONTHLY REPORT SHIFT WISE'!AJ104</f>
        <v>0</v>
      </c>
      <c r="AK33" s="47">
        <f>'MONTHLY REPORT SHIFT WISE'!AK33+'MONTHLY REPORT SHIFT WISE'!AK68+'MONTHLY REPORT SHIFT WISE'!AK104</f>
        <v>0</v>
      </c>
      <c r="AL33" s="43" t="str">
        <f t="shared" si="7"/>
        <v/>
      </c>
      <c r="AM33" s="38"/>
      <c r="AN33" s="56" t="str">
        <f t="shared" si="8"/>
        <v/>
      </c>
      <c r="AO33" s="47"/>
      <c r="AP33" s="60" t="e">
        <f t="shared" si="9"/>
        <v>#DIV/0!</v>
      </c>
      <c r="AQ33" s="61" t="e">
        <f t="shared" si="10"/>
        <v>#DIV/0!</v>
      </c>
      <c r="AR33" s="63">
        <f t="shared" si="11"/>
        <v>-0.3</v>
      </c>
      <c r="AS33" s="257">
        <f>'MONTHLY REPORT SHIFT WISE'!AS33+'MONTHLY REPORT SHIFT WISE'!AS68+'MONTHLY REPORT SHIFT WISE'!AS104</f>
        <v>0</v>
      </c>
      <c r="AT33" s="71">
        <f>'MONTHLY REPORT SHIFT WISE'!AT33</f>
        <v>0</v>
      </c>
      <c r="AU33" s="71">
        <f>'MONTHLY REPORT SHIFT WISE'!AU33</f>
        <v>0</v>
      </c>
      <c r="AV33" s="76"/>
      <c r="AW33" s="77">
        <f t="shared" si="12"/>
        <v>0</v>
      </c>
      <c r="AX33" s="71">
        <f>'MONTHLY REPORT SHIFT WISE'!AT68</f>
        <v>0</v>
      </c>
      <c r="AY33" s="71">
        <f>'MONTHLY REPORT SHIFT WISE'!AU68</f>
        <v>0</v>
      </c>
      <c r="AZ33" s="76"/>
      <c r="BA33" s="78">
        <f t="shared" si="13"/>
        <v>0</v>
      </c>
      <c r="BB33" s="71">
        <f>'MONTHLY REPORT SHIFT WISE'!AT104</f>
        <v>0</v>
      </c>
      <c r="BC33" s="71">
        <f>'MONTHLY REPORT SHIFT WISE'!AU104</f>
        <v>0</v>
      </c>
      <c r="BD33" s="76"/>
      <c r="BE33" s="78">
        <f t="shared" si="14"/>
        <v>0</v>
      </c>
      <c r="BG33" s="183" t="str">
        <f t="shared" si="15"/>
        <v/>
      </c>
      <c r="BH33" s="183" t="str">
        <f t="shared" si="16"/>
        <v/>
      </c>
      <c r="BI33" s="182" t="str">
        <f t="shared" si="17"/>
        <v/>
      </c>
      <c r="BO33" s="284">
        <f t="shared" si="18"/>
        <v>30</v>
      </c>
      <c r="BP33" s="284">
        <f t="shared" si="19"/>
        <v>0</v>
      </c>
      <c r="BQ33" s="284">
        <f t="shared" si="20"/>
        <v>0</v>
      </c>
      <c r="BR33" s="284" t="e">
        <f t="shared" si="21"/>
        <v>#DIV/0!</v>
      </c>
      <c r="BS33" s="284" t="e">
        <f t="shared" si="22"/>
        <v>#DIV/0!</v>
      </c>
    </row>
    <row r="34" spans="1:71" ht="30" customHeight="1" thickBot="1">
      <c r="A34" s="15"/>
      <c r="B34" s="27">
        <v>31</v>
      </c>
      <c r="C34" s="47">
        <f>'MONTHLY REPORT SHIFT WISE'!C34+'MONTHLY REPORT SHIFT WISE'!C69+'MONTHLY REPORT SHIFT WISE'!C105</f>
        <v>0</v>
      </c>
      <c r="D34" s="38">
        <f t="shared" si="28"/>
        <v>0</v>
      </c>
      <c r="E34" s="47">
        <f>'MONTHLY REPORT SHIFT WISE'!E34+'MONTHLY REPORT SHIFT WISE'!E69+'MONTHLY REPORT SHIFT WISE'!E105</f>
        <v>0</v>
      </c>
      <c r="F34" s="38">
        <f t="shared" si="30"/>
        <v>0</v>
      </c>
      <c r="G34" s="38">
        <f t="shared" si="29"/>
        <v>0</v>
      </c>
      <c r="H34" s="47">
        <f>'MONTHLY REPORT SHIFT WISE'!H34+'MONTHLY REPORT SHIFT WISE'!H69+'MONTHLY REPORT SHIFT WISE'!H105</f>
        <v>0</v>
      </c>
      <c r="I34" s="47">
        <f>'MONTHLY REPORT SHIFT WISE'!I34+'MONTHLY REPORT SHIFT WISE'!I69+'MONTHLY REPORT SHIFT WISE'!I105</f>
        <v>0</v>
      </c>
      <c r="J34" s="47">
        <f>'MONTHLY REPORT SHIFT WISE'!J34+'MONTHLY REPORT SHIFT WISE'!J69+'MONTHLY REPORT SHIFT WISE'!J105</f>
        <v>0</v>
      </c>
      <c r="K34" s="47">
        <f>'MONTHLY REPORT SHIFT WISE'!K34+'MONTHLY REPORT SHIFT WISE'!K69+'MONTHLY REPORT SHIFT WISE'!K105</f>
        <v>0</v>
      </c>
      <c r="L34" s="47">
        <f>'MONTHLY REPORT SHIFT WISE'!L34+'MONTHLY REPORT SHIFT WISE'!L69+'MONTHLY REPORT SHIFT WISE'!L105</f>
        <v>0</v>
      </c>
      <c r="M34" s="47">
        <f>'MONTHLY REPORT SHIFT WISE'!M34+'MONTHLY REPORT SHIFT WISE'!M69+'MONTHLY REPORT SHIFT WISE'!M105</f>
        <v>0</v>
      </c>
      <c r="N34" s="38">
        <f t="shared" si="23"/>
        <v>0</v>
      </c>
      <c r="O34" s="47">
        <f>'MONTHLY REPORT SHIFT WISE'!O34+'MONTHLY REPORT SHIFT WISE'!O69+'MONTHLY REPORT SHIFT WISE'!O105</f>
        <v>0</v>
      </c>
      <c r="P34" s="43" t="e">
        <f t="shared" si="0"/>
        <v>#DIV/0!</v>
      </c>
      <c r="Q34" s="47">
        <f>'MONTHLY REPORT SHIFT WISE'!Q34+'MONTHLY REPORT SHIFT WISE'!Q69+'MONTHLY REPORT SHIFT WISE'!Q105</f>
        <v>0</v>
      </c>
      <c r="R34" s="38">
        <f t="shared" si="24"/>
        <v>0</v>
      </c>
      <c r="S34" s="51"/>
      <c r="T34" s="43" t="e">
        <f t="shared" si="25"/>
        <v>#DIV/0!</v>
      </c>
      <c r="U34" s="43" t="e">
        <f t="shared" si="26"/>
        <v>#DIV/0!</v>
      </c>
      <c r="V34" s="43" t="e">
        <f t="shared" si="27"/>
        <v>#DIV/0!</v>
      </c>
      <c r="W34" s="47">
        <f>'MONTHLY REPORT SHIFT WISE'!W34+'MONTHLY REPORT SHIFT WISE'!W69+'MONTHLY REPORT SHIFT WISE'!W105</f>
        <v>0</v>
      </c>
      <c r="X34" s="47">
        <f>(('MONTHLY REPORT SHIFT WISE'!X34+'MONTHLY REPORT SHIFT WISE'!X69+'MONTHLY REPORT SHIFT WISE'!X105)-SUM(Graphs!G171:G173)/60)</f>
        <v>0</v>
      </c>
      <c r="Y34" s="43">
        <f t="shared" si="31"/>
        <v>0</v>
      </c>
      <c r="Z34" s="47">
        <f>'MONTHLY REPORT SHIFT WISE'!Z34+'MONTHLY REPORT SHIFT WISE'!Z69+'MONTHLY REPORT SHIFT WISE'!Z105</f>
        <v>0</v>
      </c>
      <c r="AA34" s="38">
        <f t="shared" si="1"/>
        <v>0</v>
      </c>
      <c r="AB34" s="52" t="str">
        <f t="shared" si="32"/>
        <v/>
      </c>
      <c r="AC34" s="52" t="str">
        <f t="shared" si="2"/>
        <v/>
      </c>
      <c r="AD34" s="52" t="e">
        <f t="shared" si="3"/>
        <v>#DIV/0!</v>
      </c>
      <c r="AE34" s="47">
        <f>('MONTHLY REPORT SHIFT WISE'!AE34+'MONTHLY REPORT SHIFT WISE'!AE69+'MONTHLY REPORT SHIFT WISE'!AE105)-SUM(Graphs!G171:G173)</f>
        <v>0</v>
      </c>
      <c r="AF34" s="47">
        <f>'MONTHLY REPORT SHIFT WISE'!AF34+'MONTHLY REPORT SHIFT WISE'!AF69+'MONTHLY REPORT SHIFT WISE'!AF105</f>
        <v>0</v>
      </c>
      <c r="AG34" s="52" t="str">
        <f t="shared" si="4"/>
        <v/>
      </c>
      <c r="AH34" s="43" t="e">
        <f t="shared" si="5"/>
        <v>#DIV/0!</v>
      </c>
      <c r="AI34" s="52" t="str">
        <f t="shared" si="6"/>
        <v/>
      </c>
      <c r="AJ34" s="47">
        <f>'MONTHLY REPORT SHIFT WISE'!AJ34+'MONTHLY REPORT SHIFT WISE'!AJ69+'MONTHLY REPORT SHIFT WISE'!AJ105</f>
        <v>0</v>
      </c>
      <c r="AK34" s="47">
        <f>'MONTHLY REPORT SHIFT WISE'!AK34+'MONTHLY REPORT SHIFT WISE'!AK69+'MONTHLY REPORT SHIFT WISE'!AK105</f>
        <v>0</v>
      </c>
      <c r="AL34" s="43" t="str">
        <f t="shared" si="7"/>
        <v/>
      </c>
      <c r="AM34" s="38"/>
      <c r="AN34" s="56" t="str">
        <f t="shared" si="8"/>
        <v/>
      </c>
      <c r="AO34" s="47"/>
      <c r="AP34" s="60" t="e">
        <f t="shared" si="9"/>
        <v>#DIV/0!</v>
      </c>
      <c r="AQ34" s="61" t="e">
        <f t="shared" si="10"/>
        <v>#DIV/0!</v>
      </c>
      <c r="AR34" s="64">
        <f t="shared" si="11"/>
        <v>-0.3</v>
      </c>
      <c r="AS34" s="257">
        <f>'MONTHLY REPORT SHIFT WISE'!AS34+'MONTHLY REPORT SHIFT WISE'!AS69+'MONTHLY REPORT SHIFT WISE'!AS105</f>
        <v>0</v>
      </c>
      <c r="AT34" s="71">
        <f>'MONTHLY REPORT SHIFT WISE'!AT34</f>
        <v>0</v>
      </c>
      <c r="AU34" s="71">
        <f>'MONTHLY REPORT SHIFT WISE'!AU34</f>
        <v>0</v>
      </c>
      <c r="AV34" s="79"/>
      <c r="AW34" s="80">
        <f t="shared" si="12"/>
        <v>0</v>
      </c>
      <c r="AX34" s="71">
        <f>'MONTHLY REPORT SHIFT WISE'!AT69</f>
        <v>0</v>
      </c>
      <c r="AY34" s="71">
        <f>'MONTHLY REPORT SHIFT WISE'!AU69</f>
        <v>0</v>
      </c>
      <c r="AZ34" s="79"/>
      <c r="BA34" s="81">
        <f t="shared" si="13"/>
        <v>0</v>
      </c>
      <c r="BB34" s="71">
        <f>'MONTHLY REPORT SHIFT WISE'!AT105</f>
        <v>0</v>
      </c>
      <c r="BC34" s="71">
        <f>'MONTHLY REPORT SHIFT WISE'!AU105</f>
        <v>0</v>
      </c>
      <c r="BD34" s="79"/>
      <c r="BE34" s="81">
        <f t="shared" si="14"/>
        <v>0</v>
      </c>
      <c r="BG34" s="184" t="str">
        <f t="shared" si="15"/>
        <v/>
      </c>
      <c r="BH34" s="184" t="str">
        <f t="shared" si="16"/>
        <v/>
      </c>
      <c r="BI34" s="182" t="str">
        <f t="shared" si="17"/>
        <v/>
      </c>
      <c r="BO34" s="284">
        <f t="shared" si="18"/>
        <v>31</v>
      </c>
      <c r="BP34" s="284">
        <f t="shared" si="19"/>
        <v>0</v>
      </c>
      <c r="BQ34" s="284">
        <f t="shared" si="20"/>
        <v>0</v>
      </c>
      <c r="BR34" s="284" t="e">
        <f t="shared" si="21"/>
        <v>#DIV/0!</v>
      </c>
      <c r="BS34" s="284" t="e">
        <f t="shared" si="22"/>
        <v>#DIV/0!</v>
      </c>
    </row>
    <row r="35" spans="1:71" ht="24.75" customHeight="1" thickBot="1">
      <c r="A35" s="16"/>
      <c r="B35" s="28" t="s">
        <v>41</v>
      </c>
      <c r="C35" s="39">
        <f>SUM(C4:C34)</f>
        <v>0</v>
      </c>
      <c r="D35" s="39">
        <f>D34</f>
        <v>0</v>
      </c>
      <c r="E35" s="39">
        <f>SUM(E4:E34)</f>
        <v>0</v>
      </c>
      <c r="F35" s="39">
        <f>SUM(F4:F34)</f>
        <v>0</v>
      </c>
      <c r="G35" s="92">
        <f>G34</f>
        <v>0</v>
      </c>
      <c r="H35" s="39">
        <f t="shared" ref="H35:O35" si="33">SUM(H4:H34)</f>
        <v>0</v>
      </c>
      <c r="I35" s="39">
        <f t="shared" si="33"/>
        <v>0</v>
      </c>
      <c r="J35" s="39">
        <f t="shared" si="33"/>
        <v>0</v>
      </c>
      <c r="K35" s="39">
        <f>SUM(K4:K34)</f>
        <v>0</v>
      </c>
      <c r="L35" s="39">
        <f t="shared" si="33"/>
        <v>0</v>
      </c>
      <c r="M35" s="39">
        <f t="shared" si="33"/>
        <v>0</v>
      </c>
      <c r="N35" s="39">
        <f>N34</f>
        <v>0</v>
      </c>
      <c r="O35" s="39">
        <f t="shared" si="33"/>
        <v>0</v>
      </c>
      <c r="P35" s="42" t="e">
        <f>AVERAGE(P4:P34)</f>
        <v>#DIV/0!</v>
      </c>
      <c r="Q35" s="39">
        <f>SUM(Q4:Q34)</f>
        <v>0</v>
      </c>
      <c r="R35" s="39">
        <f>R34</f>
        <v>0</v>
      </c>
      <c r="S35" s="88" t="e">
        <f>AVERAGE(S4:S34)</f>
        <v>#DIV/0!</v>
      </c>
      <c r="T35" s="88"/>
      <c r="U35" s="89" t="e">
        <f>Q35/X35</f>
        <v>#DIV/0!</v>
      </c>
      <c r="V35" s="194" t="e">
        <f>V34</f>
        <v>#DIV/0!</v>
      </c>
      <c r="W35" s="42">
        <f>SUM(W4:W34)</f>
        <v>0</v>
      </c>
      <c r="X35" s="42">
        <f>SUM(X4:X34)</f>
        <v>0</v>
      </c>
      <c r="Y35" s="42">
        <f>Y34</f>
        <v>0</v>
      </c>
      <c r="Z35" s="42">
        <f>SUM(Z4:Z34)</f>
        <v>0</v>
      </c>
      <c r="AA35" s="39">
        <f>SUM(AA4:AA34)</f>
        <v>0</v>
      </c>
      <c r="AB35" s="53" t="e">
        <f>AVERAGE(AB4:AB34)</f>
        <v>#DIV/0!</v>
      </c>
      <c r="AC35" s="53" t="e">
        <f>AVERAGE(AC4:AC34)</f>
        <v>#DIV/0!</v>
      </c>
      <c r="AD35" s="53" t="e">
        <f>AD34</f>
        <v>#DIV/0!</v>
      </c>
      <c r="AE35" s="39">
        <f>SUM(AE4:AE34)</f>
        <v>0</v>
      </c>
      <c r="AF35" s="39">
        <f>SUM(AF4:AF34)</f>
        <v>0</v>
      </c>
      <c r="AG35" s="53" t="e">
        <f>AVERAGE(AG4:AG34)</f>
        <v>#DIV/0!</v>
      </c>
      <c r="AH35" s="53" t="e">
        <f>AVERAGE(AH4:AH34)</f>
        <v>#DIV/0!</v>
      </c>
      <c r="AI35" s="53" t="e">
        <f>AVERAGE(AI4:AI34)</f>
        <v>#DIV/0!</v>
      </c>
      <c r="AJ35" s="39">
        <f>SUM(AJ4:AJ34)</f>
        <v>0</v>
      </c>
      <c r="AK35" s="39">
        <f>SUM(AK4:AK34)</f>
        <v>0</v>
      </c>
      <c r="AL35" s="42">
        <f>SUM(AL4:AL34)</f>
        <v>0</v>
      </c>
      <c r="AM35" s="39">
        <f>SUM(AM4:AM34)</f>
        <v>0</v>
      </c>
      <c r="AN35" s="57" t="e">
        <f>AVERAGE(AN4:AN34)</f>
        <v>#DIV/0!</v>
      </c>
      <c r="AO35" s="258" t="e">
        <f>BG35/BI35</f>
        <v>#DIV/0!</v>
      </c>
      <c r="AP35" s="258" t="e">
        <f>AS35/F35</f>
        <v>#DIV/0!</v>
      </c>
      <c r="AQ35" s="57" t="e">
        <f>AP35-AO35</f>
        <v>#DIV/0!</v>
      </c>
      <c r="AR35" s="65">
        <f>AVERAGE(AR4:AR34)</f>
        <v>-0.30000000000000004</v>
      </c>
      <c r="AS35" s="253">
        <f>SUM(AS4:AS34)</f>
        <v>0</v>
      </c>
      <c r="AT35" s="82">
        <f t="shared" ref="AT35:BA35" si="34">SUM(AT4:AT34)</f>
        <v>0</v>
      </c>
      <c r="AU35" s="83">
        <f t="shared" si="34"/>
        <v>0</v>
      </c>
      <c r="AV35" s="84">
        <f t="shared" si="34"/>
        <v>0</v>
      </c>
      <c r="AW35" s="85">
        <f t="shared" si="34"/>
        <v>0</v>
      </c>
      <c r="AX35" s="86">
        <f t="shared" si="34"/>
        <v>0</v>
      </c>
      <c r="AY35" s="84">
        <f t="shared" si="34"/>
        <v>0</v>
      </c>
      <c r="AZ35" s="84">
        <f t="shared" si="34"/>
        <v>0</v>
      </c>
      <c r="BA35" s="87">
        <f t="shared" si="34"/>
        <v>0</v>
      </c>
      <c r="BB35" s="86">
        <f>SUM(BB4:BB34)</f>
        <v>0</v>
      </c>
      <c r="BC35" s="84">
        <f>SUM(BC4:BC34)</f>
        <v>0</v>
      </c>
      <c r="BD35" s="84">
        <f>SUM(BD4:BD34)</f>
        <v>0</v>
      </c>
      <c r="BE35" s="87">
        <f>SUM(BE4:BE34)</f>
        <v>0</v>
      </c>
      <c r="BG35" s="185">
        <f>SUM(BG4:BG34)</f>
        <v>0</v>
      </c>
      <c r="BH35" s="186">
        <f>SUM(BH4:BH34)</f>
        <v>0</v>
      </c>
      <c r="BI35" s="187">
        <f>SUM(BI4:BI34)</f>
        <v>0</v>
      </c>
      <c r="BO35" s="286" t="s">
        <v>138</v>
      </c>
      <c r="BP35" s="286">
        <f>SUM(BP4:BP34)</f>
        <v>0</v>
      </c>
      <c r="BQ35" s="286">
        <f>SUM(BQ4:BQ34)</f>
        <v>0</v>
      </c>
      <c r="BR35" s="286" t="e">
        <f>SUM(BR4:BR34)</f>
        <v>#DIV/0!</v>
      </c>
      <c r="BS35" s="286" t="e">
        <f>SUM(BS4:BS34)</f>
        <v>#DIV/0!</v>
      </c>
    </row>
    <row r="36" spans="1:71" ht="22.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17"/>
      <c r="AM36" s="6"/>
      <c r="AN36" s="6"/>
      <c r="AO36" s="23"/>
      <c r="AP36" s="17"/>
      <c r="AQ36" s="6"/>
      <c r="AR36" s="6"/>
    </row>
    <row r="37" spans="1:71" ht="17.2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309"/>
      <c r="AK37" s="309"/>
      <c r="AL37" s="18"/>
      <c r="AM37" s="6"/>
      <c r="AN37" s="20"/>
      <c r="AO37" s="23"/>
      <c r="AP37" s="17"/>
      <c r="AQ37" s="6"/>
      <c r="AR37" s="6"/>
    </row>
    <row r="38" spans="1:71" ht="28.5" customHeight="1">
      <c r="A38" s="6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 s="219" t="e">
        <f>L35/W35</f>
        <v>#DIV/0!</v>
      </c>
      <c r="X38" s="219" t="e">
        <f>M35/X35</f>
        <v>#DIV/0!</v>
      </c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 s="6"/>
      <c r="AO38" s="23"/>
      <c r="AP38" s="17"/>
      <c r="AQ38" s="6"/>
      <c r="AR38" s="6"/>
    </row>
    <row r="39" spans="1:71" ht="24.95" customHeight="1" thickBot="1">
      <c r="A39" s="6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 s="6"/>
      <c r="AO39" s="23"/>
      <c r="AP39" s="17"/>
      <c r="AQ39" s="6"/>
      <c r="AR39" s="6"/>
    </row>
    <row r="40" spans="1:71" ht="56.25" customHeight="1" thickBot="1">
      <c r="A40" s="6"/>
      <c r="B40" s="30"/>
      <c r="C40" s="201" t="s">
        <v>48</v>
      </c>
      <c r="D40" s="201" t="s">
        <v>49</v>
      </c>
      <c r="E40" s="202" t="s">
        <v>60</v>
      </c>
      <c r="J40" s="234" t="s">
        <v>115</v>
      </c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 s="6"/>
      <c r="AO40" s="23"/>
      <c r="AP40" s="17"/>
      <c r="AQ40" s="6"/>
      <c r="AR40" s="6"/>
    </row>
    <row r="41" spans="1:71" ht="24.95" customHeight="1">
      <c r="A41" s="6"/>
      <c r="B41" s="291" t="s">
        <v>139</v>
      </c>
      <c r="C41" s="203"/>
      <c r="D41" s="204"/>
      <c r="E41" s="216"/>
      <c r="G41" s="189" t="s">
        <v>82</v>
      </c>
      <c r="H41" s="189">
        <f>C35/1000</f>
        <v>0</v>
      </c>
      <c r="I41" s="198"/>
      <c r="J41" s="221" t="s">
        <v>106</v>
      </c>
      <c r="K41" s="222"/>
      <c r="L41" s="223"/>
      <c r="M41" s="224">
        <f>G35</f>
        <v>0</v>
      </c>
      <c r="N41" s="225"/>
      <c r="O41" s="225"/>
      <c r="P41" s="225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 s="6"/>
      <c r="AO41" s="23"/>
      <c r="AP41" s="17"/>
      <c r="AQ41" s="6"/>
      <c r="AR41" s="6"/>
    </row>
    <row r="42" spans="1:71" ht="24.95" customHeight="1">
      <c r="A42" s="6"/>
      <c r="B42" s="292" t="s">
        <v>52</v>
      </c>
      <c r="C42" s="203"/>
      <c r="D42" s="205" t="e">
        <f>V35</f>
        <v>#DIV/0!</v>
      </c>
      <c r="E42" s="217">
        <f>G35</f>
        <v>0</v>
      </c>
      <c r="G42" s="189" t="s">
        <v>83</v>
      </c>
      <c r="H42" s="197">
        <f>F35/1000</f>
        <v>0</v>
      </c>
      <c r="I42" s="198"/>
      <c r="J42" s="221" t="s">
        <v>107</v>
      </c>
      <c r="K42" s="222"/>
      <c r="L42" s="223"/>
      <c r="M42" s="231" t="e">
        <f>V35</f>
        <v>#DIV/0!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 s="6"/>
      <c r="AO42" s="23"/>
      <c r="AP42" s="17"/>
      <c r="AQ42" s="6"/>
      <c r="AR42" s="6"/>
    </row>
    <row r="43" spans="1:71" ht="24.95" customHeight="1">
      <c r="A43" s="6"/>
      <c r="B43" s="292" t="s">
        <v>53</v>
      </c>
      <c r="C43" s="203"/>
      <c r="D43" s="205"/>
      <c r="E43" s="217"/>
      <c r="G43" s="189" t="s">
        <v>84</v>
      </c>
      <c r="H43" s="190">
        <f>X35</f>
        <v>0</v>
      </c>
      <c r="I43" s="198"/>
      <c r="J43" s="221" t="s">
        <v>102</v>
      </c>
      <c r="K43" s="222"/>
      <c r="L43" s="223"/>
      <c r="M43" s="226">
        <f>N43*N44</f>
        <v>10</v>
      </c>
      <c r="N43" s="227">
        <v>5</v>
      </c>
      <c r="O43" s="225" t="s">
        <v>103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 s="6"/>
      <c r="AO43" s="23"/>
      <c r="AP43" s="17"/>
      <c r="AQ43" s="6"/>
      <c r="AR43" s="6"/>
    </row>
    <row r="44" spans="1:71" ht="24.95" customHeight="1">
      <c r="A44" s="6"/>
      <c r="B44" s="292" t="s">
        <v>54</v>
      </c>
      <c r="C44" s="203"/>
      <c r="D44" s="205"/>
      <c r="E44" s="217"/>
      <c r="G44" s="189" t="s">
        <v>85</v>
      </c>
      <c r="H44" s="189">
        <f>M35</f>
        <v>0</v>
      </c>
      <c r="I44" s="198"/>
      <c r="J44" s="221" t="s">
        <v>104</v>
      </c>
      <c r="K44" s="222"/>
      <c r="L44" s="223"/>
      <c r="M44" s="224">
        <f>AU35+AY35+BC35</f>
        <v>0</v>
      </c>
      <c r="N44" s="227">
        <v>2</v>
      </c>
      <c r="O44" s="225" t="s">
        <v>105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 s="6"/>
      <c r="AO44" s="23"/>
      <c r="AP44" s="17"/>
      <c r="AQ44" s="6"/>
      <c r="AR44" s="6"/>
    </row>
    <row r="45" spans="1:71" ht="24.95" customHeight="1">
      <c r="A45" s="6"/>
      <c r="B45" s="292" t="s">
        <v>55</v>
      </c>
      <c r="C45" s="203"/>
      <c r="D45" s="205"/>
      <c r="E45" s="217"/>
      <c r="G45" s="189" t="s">
        <v>86</v>
      </c>
      <c r="H45" s="189">
        <f>H35+O35</f>
        <v>0</v>
      </c>
      <c r="I45" s="198"/>
      <c r="J45" s="221" t="s">
        <v>108</v>
      </c>
      <c r="K45" s="222"/>
      <c r="L45" s="223"/>
      <c r="M45" s="231" t="e">
        <f>AO35*100</f>
        <v>#DIV/0!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 s="6"/>
      <c r="AO45" s="23"/>
      <c r="AP45" s="17"/>
      <c r="AQ45" s="6"/>
      <c r="AR45" s="6"/>
    </row>
    <row r="46" spans="1:71" ht="24.95" customHeight="1">
      <c r="A46" s="6"/>
      <c r="B46" s="292" t="s">
        <v>56</v>
      </c>
      <c r="C46" s="203"/>
      <c r="D46" s="204"/>
      <c r="E46" s="216"/>
      <c r="G46" s="189" t="s">
        <v>87</v>
      </c>
      <c r="H46" s="189">
        <f>Q35</f>
        <v>0</v>
      </c>
      <c r="I46" s="198"/>
      <c r="J46" s="221" t="s">
        <v>109</v>
      </c>
      <c r="K46" s="222"/>
      <c r="L46" s="223"/>
      <c r="M46" s="231" t="e">
        <f>AP35*100</f>
        <v>#DIV/0!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 s="6"/>
      <c r="AO46" s="23"/>
      <c r="AP46" s="17"/>
      <c r="AQ46" s="6"/>
      <c r="AR46" s="6"/>
    </row>
    <row r="47" spans="1:71" ht="24.95" customHeight="1">
      <c r="A47" s="6"/>
      <c r="B47" s="292" t="s">
        <v>57</v>
      </c>
      <c r="C47" s="203"/>
      <c r="D47" s="204"/>
      <c r="E47" s="216"/>
      <c r="G47" s="189" t="s">
        <v>88</v>
      </c>
      <c r="H47" s="189">
        <f>K35</f>
        <v>0</v>
      </c>
      <c r="I47" s="198"/>
      <c r="J47" s="221" t="s">
        <v>110</v>
      </c>
      <c r="K47" s="222"/>
      <c r="L47" s="223"/>
      <c r="M47" s="232">
        <f>H43</f>
        <v>0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 s="6"/>
      <c r="AO47" s="23"/>
      <c r="AP47" s="17"/>
      <c r="AQ47" s="6"/>
      <c r="AR47" s="6"/>
    </row>
    <row r="48" spans="1:71" ht="24.95" customHeight="1">
      <c r="A48" s="6"/>
      <c r="B48" s="292" t="s">
        <v>58</v>
      </c>
      <c r="C48" s="203"/>
      <c r="D48" s="235"/>
      <c r="E48" s="236"/>
      <c r="G48" s="189" t="s">
        <v>89</v>
      </c>
      <c r="H48" s="189">
        <f>AK35</f>
        <v>0</v>
      </c>
      <c r="I48" s="198"/>
      <c r="J48" s="221" t="s">
        <v>111</v>
      </c>
      <c r="K48" s="222"/>
      <c r="L48" s="223"/>
      <c r="M48" s="226">
        <f>H48</f>
        <v>0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 s="6"/>
      <c r="AO48" s="23"/>
      <c r="AP48" s="17"/>
      <c r="AQ48" s="6"/>
      <c r="AR48" s="6"/>
    </row>
    <row r="49" spans="1:44" ht="24.95" customHeight="1" thickBot="1">
      <c r="A49" s="6"/>
      <c r="B49" s="293" t="s">
        <v>59</v>
      </c>
      <c r="C49" s="203"/>
      <c r="D49" s="204"/>
      <c r="E49" s="216"/>
      <c r="G49" s="189" t="s">
        <v>100</v>
      </c>
      <c r="H49" s="190">
        <f>AE35/60</f>
        <v>0</v>
      </c>
      <c r="I49" s="198"/>
      <c r="J49" s="221" t="s">
        <v>112</v>
      </c>
      <c r="K49" s="222"/>
      <c r="L49" s="223"/>
      <c r="M49" s="224">
        <f>H49</f>
        <v>0</v>
      </c>
      <c r="N49" s="225"/>
      <c r="O49" s="233"/>
      <c r="P49" s="225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 s="6"/>
      <c r="AO49" s="23"/>
      <c r="AP49" s="17"/>
      <c r="AQ49" s="6"/>
      <c r="AR49" s="6"/>
    </row>
    <row r="50" spans="1:44" ht="24.95" customHeight="1">
      <c r="A50" s="6"/>
      <c r="B50" s="291" t="s">
        <v>140</v>
      </c>
      <c r="C50" s="203"/>
      <c r="D50" s="204"/>
      <c r="E50" s="216"/>
      <c r="G50" s="189" t="s">
        <v>90</v>
      </c>
      <c r="H50" s="190">
        <f>AF35/60</f>
        <v>0</v>
      </c>
      <c r="I50" s="198"/>
      <c r="J50" s="221" t="s">
        <v>113</v>
      </c>
      <c r="K50" s="222"/>
      <c r="L50" s="223"/>
      <c r="M50" s="224">
        <f>H55</f>
        <v>0</v>
      </c>
      <c r="N50" s="225"/>
      <c r="O50" s="225"/>
      <c r="P50" s="225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 s="6"/>
      <c r="AO50" s="23"/>
      <c r="AP50" s="17"/>
      <c r="AQ50" s="6"/>
      <c r="AR50" s="6"/>
    </row>
    <row r="51" spans="1:44" ht="24.95" customHeight="1">
      <c r="A51" s="6"/>
      <c r="B51" s="292" t="s">
        <v>50</v>
      </c>
      <c r="C51" s="203"/>
      <c r="D51" s="204"/>
      <c r="E51" s="90"/>
      <c r="G51" s="189" t="s">
        <v>91</v>
      </c>
      <c r="H51" s="197">
        <f>F35/1000</f>
        <v>0</v>
      </c>
      <c r="I51" s="198"/>
      <c r="J51" s="228" t="s">
        <v>114</v>
      </c>
      <c r="K51" s="229"/>
      <c r="L51" s="230"/>
      <c r="M51" s="192">
        <f>H56</f>
        <v>0</v>
      </c>
      <c r="N51" s="6"/>
      <c r="O51" s="225"/>
      <c r="P51" s="225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 s="6"/>
      <c r="AO51" s="23"/>
      <c r="AP51" s="17"/>
      <c r="AQ51" s="6"/>
      <c r="AR51" s="6"/>
    </row>
    <row r="52" spans="1:44" ht="24.95" customHeight="1" thickBot="1">
      <c r="A52" s="6"/>
      <c r="B52" s="293" t="s">
        <v>51</v>
      </c>
      <c r="C52" s="203"/>
      <c r="D52" s="199"/>
      <c r="E52" s="91"/>
      <c r="G52" s="189" t="s">
        <v>92</v>
      </c>
      <c r="H52" s="191" t="e">
        <f>AO35</f>
        <v>#DIV/0!</v>
      </c>
      <c r="I52" s="198"/>
      <c r="J52" s="198"/>
      <c r="K52" s="198"/>
      <c r="M52" s="6"/>
      <c r="N52" s="6"/>
      <c r="O52" s="225"/>
      <c r="P52" s="225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 s="6"/>
      <c r="AO52" s="23"/>
      <c r="AP52" s="17"/>
      <c r="AQ52" s="6"/>
      <c r="AR52" s="6"/>
    </row>
    <row r="53" spans="1:44">
      <c r="A53" s="6"/>
      <c r="B53" s="6"/>
      <c r="C53" s="6"/>
      <c r="D53" s="6"/>
      <c r="E53" s="6"/>
      <c r="F53" s="6"/>
      <c r="G53" s="189" t="s">
        <v>93</v>
      </c>
      <c r="H53" s="191" t="e">
        <f>AP35</f>
        <v>#DIV/0!</v>
      </c>
      <c r="I53" s="198"/>
      <c r="J53" s="198"/>
      <c r="K53" s="198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17"/>
      <c r="AM53" s="6"/>
      <c r="AN53" s="6"/>
      <c r="AO53" s="23"/>
      <c r="AP53" s="17"/>
      <c r="AQ53" s="6"/>
      <c r="AR53" s="6"/>
    </row>
    <row r="54" spans="1:44">
      <c r="G54" s="192" t="s">
        <v>94</v>
      </c>
      <c r="H54" s="193">
        <f>Z35</f>
        <v>0</v>
      </c>
      <c r="I54" s="198"/>
      <c r="J54" s="198"/>
      <c r="K54" s="198"/>
    </row>
    <row r="55" spans="1:44">
      <c r="G55" s="189" t="s">
        <v>95</v>
      </c>
      <c r="H55" s="189">
        <f>H35</f>
        <v>0</v>
      </c>
      <c r="I55" s="198"/>
      <c r="J55" s="198"/>
      <c r="K55" s="198"/>
    </row>
    <row r="56" spans="1:44">
      <c r="G56" s="189" t="s">
        <v>96</v>
      </c>
      <c r="H56" s="189">
        <f>I35</f>
        <v>0</v>
      </c>
      <c r="I56" s="198"/>
      <c r="J56" s="198"/>
      <c r="K56" s="198"/>
    </row>
    <row r="57" spans="1:44">
      <c r="I57" s="198"/>
      <c r="J57" s="198"/>
      <c r="K57" s="198"/>
    </row>
    <row r="58" spans="1:44">
      <c r="I58" s="198"/>
      <c r="J58" s="198"/>
      <c r="K58" s="198"/>
    </row>
    <row r="59" spans="1:44">
      <c r="I59" s="198"/>
      <c r="J59" s="198"/>
      <c r="K59" s="198"/>
    </row>
  </sheetData>
  <mergeCells count="5">
    <mergeCell ref="AT2:AW2"/>
    <mergeCell ref="AX2:BA2"/>
    <mergeCell ref="AJ37:AK37"/>
    <mergeCell ref="AR1:AR2"/>
    <mergeCell ref="BB2:BE2"/>
  </mergeCells>
  <phoneticPr fontId="2"/>
  <conditionalFormatting sqref="AQ4:AQ34">
    <cfRule type="cellIs" dxfId="7" priority="1" stopIfTrue="1" operator="lessThan">
      <formula>-0.55</formula>
    </cfRule>
    <cfRule type="cellIs" dxfId="6" priority="2" stopIfTrue="1" operator="greaterThan">
      <formula>-0.55</formula>
    </cfRule>
  </conditionalFormatting>
  <pageMargins left="0.27" right="0.2" top="0.28999999999999998" bottom="0.24" header="0.2" footer="0.18"/>
  <pageSetup paperSize="9" scale="43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E54"/>
  <sheetViews>
    <sheetView zoomScale="70" zoomScaleNormal="70" workbookViewId="0">
      <selection activeCell="C23" sqref="C23"/>
    </sheetView>
  </sheetViews>
  <sheetFormatPr defaultRowHeight="18"/>
  <cols>
    <col min="1" max="1" width="8.796875" style="212"/>
    <col min="2" max="2" width="20.09765625" style="212" bestFit="1" customWidth="1"/>
    <col min="3" max="3" width="11" style="212" customWidth="1"/>
    <col min="4" max="4" width="20.69921875" style="212" customWidth="1"/>
    <col min="5" max="5" width="9.296875" style="212" customWidth="1"/>
    <col min="6" max="16384" width="8.796875" style="212"/>
  </cols>
  <sheetData>
    <row r="2" spans="2:4">
      <c r="B2" s="210" t="s">
        <v>75</v>
      </c>
      <c r="C2" s="210" t="s">
        <v>76</v>
      </c>
      <c r="D2" s="211" t="s">
        <v>77</v>
      </c>
    </row>
    <row r="3" spans="2:4">
      <c r="B3" s="218"/>
      <c r="C3" s="209"/>
      <c r="D3" s="213">
        <f>B3*C3</f>
        <v>0</v>
      </c>
    </row>
    <row r="4" spans="2:4">
      <c r="B4" s="208"/>
      <c r="C4" s="209"/>
      <c r="D4" s="213">
        <f t="shared" ref="D4:D53" si="0">B4*C4</f>
        <v>0</v>
      </c>
    </row>
    <row r="5" spans="2:4">
      <c r="B5" s="208"/>
      <c r="C5" s="209"/>
      <c r="D5" s="213">
        <f>B5*C5</f>
        <v>0</v>
      </c>
    </row>
    <row r="6" spans="2:4">
      <c r="B6" s="208"/>
      <c r="C6" s="209"/>
      <c r="D6" s="213">
        <f t="shared" si="0"/>
        <v>0</v>
      </c>
    </row>
    <row r="7" spans="2:4">
      <c r="B7" s="208"/>
      <c r="C7" s="209"/>
      <c r="D7" s="213">
        <f t="shared" si="0"/>
        <v>0</v>
      </c>
    </row>
    <row r="8" spans="2:4">
      <c r="B8" s="208"/>
      <c r="C8" s="209"/>
      <c r="D8" s="213">
        <f t="shared" si="0"/>
        <v>0</v>
      </c>
    </row>
    <row r="9" spans="2:4">
      <c r="B9" s="208"/>
      <c r="C9" s="209"/>
      <c r="D9" s="213">
        <f t="shared" si="0"/>
        <v>0</v>
      </c>
    </row>
    <row r="10" spans="2:4">
      <c r="B10" s="208"/>
      <c r="C10" s="209"/>
      <c r="D10" s="213">
        <f t="shared" si="0"/>
        <v>0</v>
      </c>
    </row>
    <row r="11" spans="2:4">
      <c r="B11" s="208"/>
      <c r="C11" s="209"/>
      <c r="D11" s="213">
        <f t="shared" si="0"/>
        <v>0</v>
      </c>
    </row>
    <row r="12" spans="2:4">
      <c r="B12" s="208"/>
      <c r="C12" s="209"/>
      <c r="D12" s="213">
        <f t="shared" si="0"/>
        <v>0</v>
      </c>
    </row>
    <row r="13" spans="2:4">
      <c r="B13" s="208"/>
      <c r="C13" s="209"/>
      <c r="D13" s="213">
        <f t="shared" si="0"/>
        <v>0</v>
      </c>
    </row>
    <row r="14" spans="2:4">
      <c r="B14" s="208"/>
      <c r="C14" s="209"/>
      <c r="D14" s="213">
        <f t="shared" si="0"/>
        <v>0</v>
      </c>
    </row>
    <row r="15" spans="2:4">
      <c r="B15" s="208"/>
      <c r="C15" s="209"/>
      <c r="D15" s="213">
        <f t="shared" si="0"/>
        <v>0</v>
      </c>
    </row>
    <row r="16" spans="2:4">
      <c r="B16" s="208"/>
      <c r="C16" s="209"/>
      <c r="D16" s="213">
        <f>B16*C16</f>
        <v>0</v>
      </c>
    </row>
    <row r="17" spans="2:5">
      <c r="B17" s="208"/>
      <c r="C17" s="209"/>
      <c r="D17" s="213">
        <f t="shared" si="0"/>
        <v>0</v>
      </c>
    </row>
    <row r="18" spans="2:5">
      <c r="B18" s="208"/>
      <c r="C18" s="209"/>
      <c r="D18" s="213">
        <f t="shared" si="0"/>
        <v>0</v>
      </c>
    </row>
    <row r="19" spans="2:5">
      <c r="B19" s="208"/>
      <c r="C19" s="209"/>
      <c r="D19" s="213">
        <f t="shared" si="0"/>
        <v>0</v>
      </c>
    </row>
    <row r="20" spans="2:5">
      <c r="B20" s="208"/>
      <c r="C20" s="209"/>
      <c r="D20" s="213">
        <f t="shared" si="0"/>
        <v>0</v>
      </c>
      <c r="E20" s="212" t="s">
        <v>97</v>
      </c>
    </row>
    <row r="21" spans="2:5">
      <c r="B21" s="208"/>
      <c r="C21" s="209"/>
      <c r="D21" s="213">
        <f t="shared" si="0"/>
        <v>0</v>
      </c>
    </row>
    <row r="22" spans="2:5">
      <c r="B22" s="208"/>
      <c r="C22" s="209"/>
      <c r="D22" s="213">
        <f t="shared" si="0"/>
        <v>0</v>
      </c>
    </row>
    <row r="23" spans="2:5">
      <c r="B23" s="208"/>
      <c r="C23" s="209"/>
      <c r="D23" s="213">
        <f t="shared" si="0"/>
        <v>0</v>
      </c>
    </row>
    <row r="24" spans="2:5">
      <c r="B24" s="208"/>
      <c r="C24" s="209"/>
      <c r="D24" s="213">
        <f t="shared" si="0"/>
        <v>0</v>
      </c>
    </row>
    <row r="25" spans="2:5">
      <c r="B25" s="208"/>
      <c r="C25" s="209"/>
      <c r="D25" s="213">
        <f t="shared" si="0"/>
        <v>0</v>
      </c>
    </row>
    <row r="26" spans="2:5">
      <c r="B26" s="208"/>
      <c r="C26" s="209"/>
      <c r="D26" s="213">
        <f t="shared" si="0"/>
        <v>0</v>
      </c>
    </row>
    <row r="27" spans="2:5">
      <c r="B27" s="208"/>
      <c r="C27" s="209"/>
      <c r="D27" s="213">
        <f t="shared" si="0"/>
        <v>0</v>
      </c>
    </row>
    <row r="28" spans="2:5">
      <c r="B28" s="208"/>
      <c r="C28" s="209"/>
      <c r="D28" s="213">
        <f t="shared" si="0"/>
        <v>0</v>
      </c>
    </row>
    <row r="29" spans="2:5">
      <c r="B29" s="208"/>
      <c r="C29" s="209"/>
      <c r="D29" s="213">
        <f t="shared" si="0"/>
        <v>0</v>
      </c>
    </row>
    <row r="30" spans="2:5">
      <c r="B30" s="208"/>
      <c r="C30" s="209"/>
      <c r="D30" s="213">
        <f t="shared" si="0"/>
        <v>0</v>
      </c>
    </row>
    <row r="31" spans="2:5">
      <c r="B31" s="208"/>
      <c r="C31" s="209"/>
      <c r="D31" s="213">
        <f t="shared" si="0"/>
        <v>0</v>
      </c>
    </row>
    <row r="32" spans="2:5">
      <c r="B32" s="208"/>
      <c r="C32" s="209"/>
      <c r="D32" s="213">
        <f t="shared" si="0"/>
        <v>0</v>
      </c>
    </row>
    <row r="33" spans="2:4">
      <c r="B33" s="208"/>
      <c r="C33" s="209"/>
      <c r="D33" s="213">
        <f>B33*C33</f>
        <v>0</v>
      </c>
    </row>
    <row r="34" spans="2:4">
      <c r="B34" s="208"/>
      <c r="C34" s="209"/>
      <c r="D34" s="213">
        <f t="shared" si="0"/>
        <v>0</v>
      </c>
    </row>
    <row r="35" spans="2:4">
      <c r="B35" s="208"/>
      <c r="C35" s="209"/>
      <c r="D35" s="213">
        <f t="shared" si="0"/>
        <v>0</v>
      </c>
    </row>
    <row r="36" spans="2:4">
      <c r="B36" s="208"/>
      <c r="C36" s="209"/>
      <c r="D36" s="213">
        <f t="shared" si="0"/>
        <v>0</v>
      </c>
    </row>
    <row r="37" spans="2:4">
      <c r="B37" s="208"/>
      <c r="C37" s="209"/>
      <c r="D37" s="213">
        <f t="shared" si="0"/>
        <v>0</v>
      </c>
    </row>
    <row r="38" spans="2:4">
      <c r="B38" s="208"/>
      <c r="C38" s="209"/>
      <c r="D38" s="213">
        <f t="shared" si="0"/>
        <v>0</v>
      </c>
    </row>
    <row r="39" spans="2:4">
      <c r="B39" s="208"/>
      <c r="C39" s="209"/>
      <c r="D39" s="213">
        <f t="shared" si="0"/>
        <v>0</v>
      </c>
    </row>
    <row r="40" spans="2:4">
      <c r="B40" s="208"/>
      <c r="C40" s="209"/>
      <c r="D40" s="213">
        <f t="shared" si="0"/>
        <v>0</v>
      </c>
    </row>
    <row r="41" spans="2:4">
      <c r="B41" s="208"/>
      <c r="C41" s="209"/>
      <c r="D41" s="213">
        <f t="shared" si="0"/>
        <v>0</v>
      </c>
    </row>
    <row r="42" spans="2:4">
      <c r="B42" s="208"/>
      <c r="C42" s="209"/>
      <c r="D42" s="213">
        <f t="shared" si="0"/>
        <v>0</v>
      </c>
    </row>
    <row r="43" spans="2:4">
      <c r="B43" s="208"/>
      <c r="C43" s="209"/>
      <c r="D43" s="213">
        <f t="shared" si="0"/>
        <v>0</v>
      </c>
    </row>
    <row r="44" spans="2:4">
      <c r="B44" s="208"/>
      <c r="C44" s="209"/>
      <c r="D44" s="213">
        <f t="shared" si="0"/>
        <v>0</v>
      </c>
    </row>
    <row r="45" spans="2:4">
      <c r="B45" s="208"/>
      <c r="C45" s="209"/>
      <c r="D45" s="213">
        <f t="shared" si="0"/>
        <v>0</v>
      </c>
    </row>
    <row r="46" spans="2:4">
      <c r="B46" s="208"/>
      <c r="C46" s="209"/>
      <c r="D46" s="213">
        <f t="shared" si="0"/>
        <v>0</v>
      </c>
    </row>
    <row r="47" spans="2:4">
      <c r="B47" s="208"/>
      <c r="C47" s="209"/>
      <c r="D47" s="213">
        <f t="shared" si="0"/>
        <v>0</v>
      </c>
    </row>
    <row r="48" spans="2:4">
      <c r="B48" s="208"/>
      <c r="C48" s="209"/>
      <c r="D48" s="213">
        <f t="shared" si="0"/>
        <v>0</v>
      </c>
    </row>
    <row r="49" spans="2:4">
      <c r="B49" s="208"/>
      <c r="C49" s="209"/>
      <c r="D49" s="213">
        <f t="shared" si="0"/>
        <v>0</v>
      </c>
    </row>
    <row r="50" spans="2:4">
      <c r="B50" s="206"/>
      <c r="C50" s="207"/>
      <c r="D50" s="213">
        <f t="shared" si="0"/>
        <v>0</v>
      </c>
    </row>
    <row r="51" spans="2:4">
      <c r="B51" s="208"/>
      <c r="C51" s="209"/>
      <c r="D51" s="213">
        <f t="shared" si="0"/>
        <v>0</v>
      </c>
    </row>
    <row r="52" spans="2:4">
      <c r="B52" s="208"/>
      <c r="C52" s="209"/>
      <c r="D52" s="214">
        <f t="shared" si="0"/>
        <v>0</v>
      </c>
    </row>
    <row r="53" spans="2:4">
      <c r="B53" s="208"/>
      <c r="C53" s="209"/>
      <c r="D53" s="214">
        <f t="shared" si="0"/>
        <v>0</v>
      </c>
    </row>
    <row r="54" spans="2:4">
      <c r="B54" s="211">
        <f>SUM(B3:B53)</f>
        <v>0</v>
      </c>
      <c r="C54" s="215" t="e">
        <f>D54/B54</f>
        <v>#DIV/0!</v>
      </c>
      <c r="D54" s="214">
        <f>SUM(D3:D53)</f>
        <v>0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BE106"/>
  <sheetViews>
    <sheetView zoomScale="70" zoomScaleNormal="70" workbookViewId="0">
      <pane ySplit="3" topLeftCell="A4" activePane="bottomLeft" state="frozen"/>
      <selection pane="bottomLeft" activeCell="E9" sqref="E9"/>
    </sheetView>
  </sheetViews>
  <sheetFormatPr defaultColWidth="9" defaultRowHeight="17.25"/>
  <cols>
    <col min="1" max="1" width="5.09765625" style="5" customWidth="1"/>
    <col min="2" max="2" width="7.5" style="5" bestFit="1" customWidth="1"/>
    <col min="3" max="3" width="12.8984375" style="5" customWidth="1"/>
    <col min="4" max="4" width="15.09765625" style="5" bestFit="1" customWidth="1"/>
    <col min="5" max="5" width="16.8984375" style="5" bestFit="1" customWidth="1"/>
    <col min="6" max="6" width="15.59765625" style="5" customWidth="1"/>
    <col min="7" max="8" width="16.8984375" style="5" customWidth="1"/>
    <col min="9" max="9" width="16.8984375" style="5" bestFit="1" customWidth="1"/>
    <col min="10" max="11" width="11.19921875" style="5" customWidth="1"/>
    <col min="12" max="14" width="11.8984375" style="5" customWidth="1"/>
    <col min="15" max="17" width="9.59765625" style="5" customWidth="1"/>
    <col min="18" max="18" width="11.8984375" style="5" customWidth="1"/>
    <col min="19" max="19" width="13.09765625" style="5" hidden="1" customWidth="1"/>
    <col min="20" max="20" width="13.09765625" style="5" customWidth="1"/>
    <col min="21" max="21" width="10.3984375" style="5" bestFit="1" customWidth="1"/>
    <col min="22" max="22" width="11.3984375" style="5" bestFit="1" customWidth="1"/>
    <col min="23" max="31" width="9.59765625" style="5" customWidth="1"/>
    <col min="32" max="32" width="10.296875" style="5" customWidth="1"/>
    <col min="33" max="33" width="12.5" style="5" bestFit="1" customWidth="1"/>
    <col min="34" max="37" width="9.59765625" style="5" customWidth="1"/>
    <col min="38" max="38" width="11" style="7" bestFit="1" customWidth="1"/>
    <col min="39" max="39" width="12" style="5" hidden="1" customWidth="1"/>
    <col min="40" max="40" width="9.59765625" style="5" customWidth="1"/>
    <col min="41" max="41" width="8.09765625" style="24" bestFit="1" customWidth="1"/>
    <col min="42" max="42" width="9" style="261" bestFit="1" customWidth="1"/>
    <col min="43" max="43" width="7.5" style="5" bestFit="1" customWidth="1"/>
    <col min="44" max="44" width="9.3984375" style="5" bestFit="1" customWidth="1"/>
    <col min="45" max="45" width="12.59765625" style="254" customWidth="1"/>
    <col min="46" max="49" width="9" style="5"/>
    <col min="50" max="50" width="3.19921875" style="5" customWidth="1"/>
    <col min="51" max="51" width="8.5" style="5" customWidth="1"/>
    <col min="52" max="52" width="10.5" style="5" customWidth="1"/>
    <col min="53" max="53" width="9.296875" style="5" customWidth="1"/>
    <col min="54" max="54" width="9.59765625" style="5" customWidth="1"/>
    <col min="55" max="55" width="16.8984375" style="254" customWidth="1"/>
    <col min="56" max="57" width="9" style="254"/>
    <col min="58" max="16384" width="9" style="5"/>
  </cols>
  <sheetData>
    <row r="1" spans="1:57" ht="30" customHeight="1">
      <c r="A1" s="13"/>
      <c r="B1"/>
      <c r="C1"/>
      <c r="D1" s="250" t="s">
        <v>122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 s="25"/>
      <c r="AF1" s="25"/>
      <c r="AG1"/>
      <c r="AH1"/>
      <c r="AI1"/>
      <c r="AJ1"/>
      <c r="AK1"/>
      <c r="AL1"/>
      <c r="AM1"/>
      <c r="AN1"/>
      <c r="AO1"/>
      <c r="AP1" s="12"/>
      <c r="AQ1"/>
      <c r="AR1" s="310" t="s">
        <v>40</v>
      </c>
      <c r="AS1" s="12"/>
      <c r="AT1"/>
      <c r="AU1"/>
      <c r="AV1"/>
      <c r="AW1"/>
      <c r="BC1" s="12"/>
    </row>
    <row r="2" spans="1:57" ht="18" customHeight="1" thickBot="1">
      <c r="A2" s="13"/>
      <c r="B2" s="312" t="s">
        <v>119</v>
      </c>
      <c r="C2" s="312"/>
      <c r="D2" s="4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/>
      <c r="AF2"/>
      <c r="AG2"/>
      <c r="AH2" s="1"/>
      <c r="AI2" s="1"/>
      <c r="AJ2" s="1"/>
      <c r="AK2" s="2"/>
      <c r="AL2" s="8"/>
      <c r="AM2" s="3"/>
      <c r="AN2" s="13"/>
      <c r="AO2" s="22"/>
      <c r="AP2" s="259"/>
      <c r="AQ2"/>
      <c r="AR2" s="311"/>
      <c r="AT2" s="313" t="s">
        <v>119</v>
      </c>
      <c r="AU2" s="313"/>
      <c r="AV2" s="313"/>
      <c r="AW2" s="313"/>
      <c r="BC2" s="290" t="s">
        <v>130</v>
      </c>
    </row>
    <row r="3" spans="1:57" ht="71.25" customHeight="1" thickBot="1">
      <c r="A3" s="13"/>
      <c r="B3" s="29" t="s">
        <v>6</v>
      </c>
      <c r="C3" s="46" t="s">
        <v>7</v>
      </c>
      <c r="D3" s="45" t="s">
        <v>8</v>
      </c>
      <c r="E3" s="48" t="s">
        <v>9</v>
      </c>
      <c r="F3" s="49" t="s">
        <v>10</v>
      </c>
      <c r="G3" s="45" t="s">
        <v>11</v>
      </c>
      <c r="H3" s="48" t="s">
        <v>61</v>
      </c>
      <c r="I3" s="48" t="s">
        <v>12</v>
      </c>
      <c r="J3" s="48" t="s">
        <v>13</v>
      </c>
      <c r="K3" s="48" t="s">
        <v>79</v>
      </c>
      <c r="L3" s="46" t="s">
        <v>14</v>
      </c>
      <c r="M3" s="48" t="s">
        <v>15</v>
      </c>
      <c r="N3" s="45" t="s">
        <v>99</v>
      </c>
      <c r="O3" s="48" t="s">
        <v>16</v>
      </c>
      <c r="P3" s="36" t="s">
        <v>17</v>
      </c>
      <c r="Q3" s="48" t="s">
        <v>18</v>
      </c>
      <c r="R3" s="45" t="s">
        <v>19</v>
      </c>
      <c r="S3" s="50" t="s">
        <v>20</v>
      </c>
      <c r="T3" s="45" t="s">
        <v>98</v>
      </c>
      <c r="U3" s="36" t="s">
        <v>21</v>
      </c>
      <c r="V3" s="45" t="s">
        <v>22</v>
      </c>
      <c r="W3" s="46" t="s">
        <v>24</v>
      </c>
      <c r="X3" s="46" t="s">
        <v>25</v>
      </c>
      <c r="Y3" s="45" t="s">
        <v>23</v>
      </c>
      <c r="Z3" s="48" t="s">
        <v>26</v>
      </c>
      <c r="AA3" s="36" t="s">
        <v>27</v>
      </c>
      <c r="AB3" s="45" t="s">
        <v>30</v>
      </c>
      <c r="AC3" s="36" t="s">
        <v>29</v>
      </c>
      <c r="AD3" s="45" t="s">
        <v>28</v>
      </c>
      <c r="AE3" s="48" t="s">
        <v>80</v>
      </c>
      <c r="AF3" s="54" t="s">
        <v>81</v>
      </c>
      <c r="AG3" s="36" t="s">
        <v>31</v>
      </c>
      <c r="AH3" s="36" t="s">
        <v>32</v>
      </c>
      <c r="AI3" s="36" t="s">
        <v>33</v>
      </c>
      <c r="AJ3" s="48" t="s">
        <v>34</v>
      </c>
      <c r="AK3" s="54" t="s">
        <v>35</v>
      </c>
      <c r="AL3" s="55" t="s">
        <v>78</v>
      </c>
      <c r="AM3" s="44" t="s">
        <v>1</v>
      </c>
      <c r="AN3" s="49" t="s">
        <v>36</v>
      </c>
      <c r="AO3" s="58" t="s">
        <v>37</v>
      </c>
      <c r="AP3" s="263" t="s">
        <v>38</v>
      </c>
      <c r="AQ3" s="49" t="s">
        <v>39</v>
      </c>
      <c r="AR3" s="66">
        <v>-0.3</v>
      </c>
      <c r="AS3" s="252" t="s">
        <v>124</v>
      </c>
      <c r="AT3" s="67" t="s">
        <v>42</v>
      </c>
      <c r="AU3" s="68" t="s">
        <v>45</v>
      </c>
      <c r="AV3" s="68" t="s">
        <v>46</v>
      </c>
      <c r="AW3" s="69" t="s">
        <v>47</v>
      </c>
      <c r="AY3" s="179" t="s">
        <v>146</v>
      </c>
      <c r="AZ3" s="180" t="s">
        <v>147</v>
      </c>
      <c r="BA3" s="181" t="s">
        <v>148</v>
      </c>
      <c r="BC3" s="281" t="s">
        <v>119</v>
      </c>
      <c r="BD3" s="289" t="s">
        <v>142</v>
      </c>
      <c r="BE3" s="289" t="s">
        <v>149</v>
      </c>
    </row>
    <row r="4" spans="1:57" ht="22.5" customHeight="1">
      <c r="A4" s="15"/>
      <c r="B4" s="200">
        <v>1</v>
      </c>
      <c r="C4" s="47"/>
      <c r="D4" s="38">
        <f>C4/1000</f>
        <v>0</v>
      </c>
      <c r="E4" s="47"/>
      <c r="F4" s="38">
        <f>E4-J4</f>
        <v>0</v>
      </c>
      <c r="G4" s="38">
        <f>F4/1000</f>
        <v>0</v>
      </c>
      <c r="H4" s="47"/>
      <c r="I4" s="47"/>
      <c r="J4" s="47"/>
      <c r="K4" s="47"/>
      <c r="L4" s="47"/>
      <c r="M4" s="47"/>
      <c r="N4" s="38">
        <f>M4</f>
        <v>0</v>
      </c>
      <c r="O4" s="47"/>
      <c r="P4" s="43" t="str">
        <f>IF(O4="","",O4/BD4)</f>
        <v/>
      </c>
      <c r="Q4" s="47"/>
      <c r="R4" s="38">
        <f>Q4</f>
        <v>0</v>
      </c>
      <c r="S4" s="51"/>
      <c r="T4" s="43" t="e">
        <f>L4/W4</f>
        <v>#DIV/0!</v>
      </c>
      <c r="U4" s="43" t="str">
        <f>IF(M4="","",M4/BD4)</f>
        <v/>
      </c>
      <c r="V4" s="43" t="e">
        <f>N4/Y4</f>
        <v>#DIV/0!</v>
      </c>
      <c r="W4" s="220"/>
      <c r="X4" s="220"/>
      <c r="Y4" s="43">
        <f>BD4</f>
        <v>0</v>
      </c>
      <c r="Z4" s="51"/>
      <c r="AA4" s="38">
        <f>IF(BD4="","",BD4*(AU4))</f>
        <v>0</v>
      </c>
      <c r="AB4" s="52" t="str">
        <f>IF(C4=0,"",C4/1000/W4)</f>
        <v/>
      </c>
      <c r="AC4" s="52" t="str">
        <f>IF(F4=0,"",F4/1000/BD4)</f>
        <v/>
      </c>
      <c r="AD4" s="52" t="e">
        <f>G4/Y4</f>
        <v>#DIV/0!</v>
      </c>
      <c r="AE4" s="47"/>
      <c r="AF4" s="47"/>
      <c r="AG4" s="52" t="str">
        <f>IF(F4=0,"",F4/1000/AA4)</f>
        <v/>
      </c>
      <c r="AH4" s="43" t="str">
        <f>IF(M4="","",M4/BD4)</f>
        <v/>
      </c>
      <c r="AI4" s="52" t="str">
        <f>IF(F4=0,"",F4/1000/M4)</f>
        <v/>
      </c>
      <c r="AJ4" s="47"/>
      <c r="AK4" s="220"/>
      <c r="AL4" s="43" t="str">
        <f>IF(BD4=0,"",((BD4+Z4)-(BE4/60)-AK4)/M4)</f>
        <v/>
      </c>
      <c r="AM4" s="38"/>
      <c r="AN4" s="56" t="str">
        <f>IF(F4=0,"",AK4/(BD4*60))</f>
        <v/>
      </c>
      <c r="AO4" s="59"/>
      <c r="AP4" s="262" t="str">
        <f>IF(E4="","",(AS4/F4)*100)</f>
        <v/>
      </c>
      <c r="AQ4" s="61" t="str">
        <f>IF(AP4="","",AP4-AO4)</f>
        <v/>
      </c>
      <c r="AR4" s="62">
        <f>$AR$3</f>
        <v>-0.3</v>
      </c>
      <c r="AS4" s="255"/>
      <c r="AT4" s="71"/>
      <c r="AU4" s="72"/>
      <c r="AV4" s="72"/>
      <c r="AW4" s="73">
        <f t="shared" ref="AW4:AW10" si="0">AT4-AU4-AV4</f>
        <v>0</v>
      </c>
      <c r="AY4" s="182" t="str">
        <f>IF(AO4=0,"",(BA4*AO4/100))</f>
        <v/>
      </c>
      <c r="AZ4" s="182" t="str">
        <f>IF(AO4=0,"",(BA4*AP4/100))</f>
        <v/>
      </c>
      <c r="BA4" s="182" t="str">
        <f>IF(AO4=0,"",F4)</f>
        <v/>
      </c>
      <c r="BC4" s="279">
        <f>AS4/1000</f>
        <v>0</v>
      </c>
      <c r="BD4" s="294">
        <f>X4-(Graphs!G81/60)</f>
        <v>0</v>
      </c>
      <c r="BE4" s="284">
        <f>AE4-Graphs!G81</f>
        <v>0</v>
      </c>
    </row>
    <row r="5" spans="1:57" ht="22.5" customHeight="1">
      <c r="A5" s="15"/>
      <c r="B5" s="26">
        <v>2</v>
      </c>
      <c r="C5" s="47"/>
      <c r="D5" s="38">
        <f>C5/1000+D4</f>
        <v>0</v>
      </c>
      <c r="E5" s="47"/>
      <c r="F5" s="38">
        <f>E5-J5</f>
        <v>0</v>
      </c>
      <c r="G5" s="38">
        <f>F5/1000+G4</f>
        <v>0</v>
      </c>
      <c r="H5" s="47"/>
      <c r="I5" s="47"/>
      <c r="J5" s="47"/>
      <c r="K5" s="47"/>
      <c r="L5" s="47"/>
      <c r="M5" s="47"/>
      <c r="N5" s="38">
        <f>M5+N4</f>
        <v>0</v>
      </c>
      <c r="O5" s="47"/>
      <c r="P5" s="43" t="str">
        <f t="shared" ref="P5:P34" si="1">IF(O5="","",O5/BD5)</f>
        <v/>
      </c>
      <c r="Q5" s="47"/>
      <c r="R5" s="38">
        <f>Q5+R4</f>
        <v>0</v>
      </c>
      <c r="S5" s="51"/>
      <c r="T5" s="43" t="e">
        <f>L5/W5</f>
        <v>#DIV/0!</v>
      </c>
      <c r="U5" s="43" t="str">
        <f t="shared" ref="U5:U34" si="2">IF(M5="","",M5/BD5)</f>
        <v/>
      </c>
      <c r="V5" s="43" t="e">
        <f>N5/Y5</f>
        <v>#DIV/0!</v>
      </c>
      <c r="W5" s="220"/>
      <c r="X5" s="220"/>
      <c r="Y5" s="43">
        <f t="shared" ref="Y5:Y34" si="3">BD5+Y4</f>
        <v>0</v>
      </c>
      <c r="Z5" s="51"/>
      <c r="AA5" s="38">
        <f>IF(BD5="","",BD5*(AU5))</f>
        <v>0</v>
      </c>
      <c r="AB5" s="52" t="str">
        <f>IF(C5=0,"",C5/1000/W5)</f>
        <v/>
      </c>
      <c r="AC5" s="52" t="str">
        <f t="shared" ref="AC5:AC34" si="4">IF(F5=0,"",F5/1000/BD5)</f>
        <v/>
      </c>
      <c r="AD5" s="52" t="e">
        <f t="shared" ref="AD5:AD25" si="5">G5/Y5</f>
        <v>#DIV/0!</v>
      </c>
      <c r="AE5" s="47"/>
      <c r="AF5" s="47"/>
      <c r="AG5" s="52" t="str">
        <f t="shared" ref="AG5:AG25" si="6">IF(F5=0,"",F5/1000/AA5)</f>
        <v/>
      </c>
      <c r="AH5" s="43" t="str">
        <f t="shared" ref="AH5:AH34" si="7">IF(M5="","",M5/BD5)</f>
        <v/>
      </c>
      <c r="AI5" s="52" t="str">
        <f t="shared" ref="AI5:AI25" si="8">IF(F5=0,"",F5/1000/M5)</f>
        <v/>
      </c>
      <c r="AJ5" s="47"/>
      <c r="AK5" s="220"/>
      <c r="AL5" s="43" t="str">
        <f>IF(BD5=0,"",((BD5+Z5)-(BE5/60)-AK5)/M5)</f>
        <v/>
      </c>
      <c r="AM5" s="38"/>
      <c r="AN5" s="56" t="str">
        <f t="shared" ref="AN5:AN34" si="9">IF(F5=0,"",AK5/(BD5*60))</f>
        <v/>
      </c>
      <c r="AO5" s="220"/>
      <c r="AP5" s="262" t="str">
        <f t="shared" ref="AP5:AP34" si="10">IF(E5="","",(AS5/F5)*100)</f>
        <v/>
      </c>
      <c r="AQ5" s="247" t="str">
        <f t="shared" ref="AQ5:AQ25" si="11">IF(AP5="","",AP5-AO5)</f>
        <v/>
      </c>
      <c r="AR5" s="63">
        <f t="shared" ref="AR5:AR34" si="12">$AR$3</f>
        <v>-0.3</v>
      </c>
      <c r="AS5" s="255"/>
      <c r="AT5" s="71"/>
      <c r="AU5" s="72"/>
      <c r="AV5" s="72"/>
      <c r="AW5" s="77">
        <f t="shared" si="0"/>
        <v>0</v>
      </c>
      <c r="AY5" s="182" t="str">
        <f t="shared" ref="AY5:AY34" si="13">IF(AO5=0,"",(BA5*AO5/100))</f>
        <v/>
      </c>
      <c r="AZ5" s="182" t="str">
        <f t="shared" ref="AZ5:AZ34" si="14">IF(AO5=0,"",(BA5*AP5/100))</f>
        <v/>
      </c>
      <c r="BA5" s="182" t="str">
        <f t="shared" ref="BA5:BA34" si="15">IF(AO5=0,"",F5)</f>
        <v/>
      </c>
      <c r="BC5" s="279">
        <f t="shared" ref="BC5:BC34" si="16">AS5/1000</f>
        <v>0</v>
      </c>
      <c r="BD5" s="294">
        <f>X5-(Graphs!G84/60)</f>
        <v>0</v>
      </c>
      <c r="BE5" s="284">
        <f>AE5-Graphs!G84</f>
        <v>0</v>
      </c>
    </row>
    <row r="6" spans="1:57" ht="22.5" customHeight="1">
      <c r="A6" s="15"/>
      <c r="B6" s="26">
        <v>3</v>
      </c>
      <c r="C6" s="47"/>
      <c r="D6" s="38">
        <f>C6/1000+D5</f>
        <v>0</v>
      </c>
      <c r="E6" s="47"/>
      <c r="F6" s="38">
        <f>E6-J6</f>
        <v>0</v>
      </c>
      <c r="G6" s="38">
        <f>F6/1000+G5</f>
        <v>0</v>
      </c>
      <c r="H6" s="47"/>
      <c r="I6" s="47"/>
      <c r="J6" s="47"/>
      <c r="K6" s="47"/>
      <c r="L6" s="47"/>
      <c r="M6" s="47"/>
      <c r="N6" s="38">
        <f t="shared" ref="N6:N34" si="17">M6+N5</f>
        <v>0</v>
      </c>
      <c r="O6" s="47"/>
      <c r="P6" s="43" t="str">
        <f t="shared" si="1"/>
        <v/>
      </c>
      <c r="Q6" s="47"/>
      <c r="R6" s="38">
        <f t="shared" ref="R6:R25" si="18">Q6+R5</f>
        <v>0</v>
      </c>
      <c r="S6" s="51"/>
      <c r="T6" s="43" t="e">
        <f t="shared" ref="T6:T25" si="19">L6/W6</f>
        <v>#DIV/0!</v>
      </c>
      <c r="U6" s="43" t="str">
        <f t="shared" si="2"/>
        <v/>
      </c>
      <c r="V6" s="43" t="e">
        <f t="shared" ref="V6:V25" si="20">N6/Y6</f>
        <v>#DIV/0!</v>
      </c>
      <c r="W6" s="220"/>
      <c r="X6" s="220"/>
      <c r="Y6" s="43">
        <f t="shared" si="3"/>
        <v>0</v>
      </c>
      <c r="Z6" s="51"/>
      <c r="AA6" s="38">
        <f t="shared" ref="AA6:AA34" si="21">IF(BD6="","",BD6*(AU6))</f>
        <v>0</v>
      </c>
      <c r="AB6" s="52" t="str">
        <f>IF(C6=0,"",C6/1000/W6)</f>
        <v/>
      </c>
      <c r="AC6" s="52" t="str">
        <f t="shared" si="4"/>
        <v/>
      </c>
      <c r="AD6" s="52" t="e">
        <f>G6/Y6</f>
        <v>#DIV/0!</v>
      </c>
      <c r="AE6" s="47"/>
      <c r="AF6" s="47"/>
      <c r="AG6" s="52" t="str">
        <f t="shared" si="6"/>
        <v/>
      </c>
      <c r="AH6" s="43" t="str">
        <f t="shared" si="7"/>
        <v/>
      </c>
      <c r="AI6" s="52" t="str">
        <f t="shared" si="8"/>
        <v/>
      </c>
      <c r="AJ6" s="47"/>
      <c r="AK6" s="220"/>
      <c r="AL6" s="43" t="str">
        <f t="shared" ref="AL6:AL34" si="22">IF(BD6=0,"",((BD6+Z6)-(BE6/60)-AK6)/M6)</f>
        <v/>
      </c>
      <c r="AM6" s="38"/>
      <c r="AN6" s="56" t="str">
        <f t="shared" si="9"/>
        <v/>
      </c>
      <c r="AO6" s="59"/>
      <c r="AP6" s="262" t="str">
        <f t="shared" si="10"/>
        <v/>
      </c>
      <c r="AQ6" s="61" t="str">
        <f t="shared" si="11"/>
        <v/>
      </c>
      <c r="AR6" s="63">
        <f t="shared" si="12"/>
        <v>-0.3</v>
      </c>
      <c r="AS6" s="255"/>
      <c r="AT6" s="71"/>
      <c r="AU6" s="72"/>
      <c r="AV6" s="76"/>
      <c r="AW6" s="77">
        <f t="shared" si="0"/>
        <v>0</v>
      </c>
      <c r="AY6" s="182" t="str">
        <f t="shared" si="13"/>
        <v/>
      </c>
      <c r="AZ6" s="182" t="str">
        <f t="shared" si="14"/>
        <v/>
      </c>
      <c r="BA6" s="182" t="str">
        <f t="shared" si="15"/>
        <v/>
      </c>
      <c r="BC6" s="279">
        <f t="shared" si="16"/>
        <v>0</v>
      </c>
      <c r="BD6" s="294">
        <f>X6-(Graphs!G87/60)</f>
        <v>0</v>
      </c>
      <c r="BE6" s="284">
        <f>AE6-Graphs!G87</f>
        <v>0</v>
      </c>
    </row>
    <row r="7" spans="1:57" ht="22.5" customHeight="1">
      <c r="A7" s="15"/>
      <c r="B7" s="26">
        <v>4</v>
      </c>
      <c r="C7" s="47"/>
      <c r="D7" s="38">
        <f t="shared" ref="D7:D34" si="23">C7/1000+D6</f>
        <v>0</v>
      </c>
      <c r="E7" s="47"/>
      <c r="F7" s="38">
        <f>E7-J7</f>
        <v>0</v>
      </c>
      <c r="G7" s="38">
        <f t="shared" ref="G7:G24" si="24">F7/1000+G6</f>
        <v>0</v>
      </c>
      <c r="H7" s="47"/>
      <c r="I7" s="47"/>
      <c r="J7" s="47"/>
      <c r="K7" s="47"/>
      <c r="L7" s="47"/>
      <c r="M7" s="47"/>
      <c r="N7" s="38">
        <f t="shared" si="17"/>
        <v>0</v>
      </c>
      <c r="O7" s="47"/>
      <c r="P7" s="43" t="str">
        <f t="shared" si="1"/>
        <v/>
      </c>
      <c r="Q7" s="47"/>
      <c r="R7" s="38">
        <f t="shared" si="18"/>
        <v>0</v>
      </c>
      <c r="S7" s="51"/>
      <c r="T7" s="43" t="e">
        <f t="shared" si="19"/>
        <v>#DIV/0!</v>
      </c>
      <c r="U7" s="43" t="str">
        <f t="shared" si="2"/>
        <v/>
      </c>
      <c r="V7" s="43" t="e">
        <f>N7/Y7</f>
        <v>#DIV/0!</v>
      </c>
      <c r="W7" s="220"/>
      <c r="X7" s="220"/>
      <c r="Y7" s="43">
        <f t="shared" si="3"/>
        <v>0</v>
      </c>
      <c r="Z7" s="51"/>
      <c r="AA7" s="38">
        <f t="shared" si="21"/>
        <v>0</v>
      </c>
      <c r="AB7" s="52" t="str">
        <f>IF(C7=0,"",C7/1000/W7)</f>
        <v/>
      </c>
      <c r="AC7" s="52" t="str">
        <f t="shared" si="4"/>
        <v/>
      </c>
      <c r="AD7" s="52" t="e">
        <f>G7/Y7</f>
        <v>#DIV/0!</v>
      </c>
      <c r="AE7" s="47"/>
      <c r="AF7" s="47"/>
      <c r="AG7" s="52" t="str">
        <f t="shared" si="6"/>
        <v/>
      </c>
      <c r="AH7" s="43" t="str">
        <f t="shared" si="7"/>
        <v/>
      </c>
      <c r="AI7" s="52" t="str">
        <f t="shared" si="8"/>
        <v/>
      </c>
      <c r="AJ7" s="47"/>
      <c r="AK7" s="220"/>
      <c r="AL7" s="43" t="str">
        <f t="shared" si="22"/>
        <v/>
      </c>
      <c r="AM7" s="38"/>
      <c r="AN7" s="56" t="str">
        <f t="shared" si="9"/>
        <v/>
      </c>
      <c r="AO7" s="59"/>
      <c r="AP7" s="262" t="str">
        <f t="shared" si="10"/>
        <v/>
      </c>
      <c r="AQ7" s="61" t="str">
        <f t="shared" si="11"/>
        <v/>
      </c>
      <c r="AR7" s="63">
        <f t="shared" si="12"/>
        <v>-0.3</v>
      </c>
      <c r="AS7" s="255"/>
      <c r="AT7" s="71"/>
      <c r="AU7" s="72"/>
      <c r="AV7" s="76"/>
      <c r="AW7" s="77">
        <f t="shared" si="0"/>
        <v>0</v>
      </c>
      <c r="AY7" s="182" t="str">
        <f t="shared" si="13"/>
        <v/>
      </c>
      <c r="AZ7" s="182" t="str">
        <f t="shared" si="14"/>
        <v/>
      </c>
      <c r="BA7" s="182" t="str">
        <f t="shared" si="15"/>
        <v/>
      </c>
      <c r="BC7" s="279">
        <f t="shared" si="16"/>
        <v>0</v>
      </c>
      <c r="BD7" s="294">
        <f>X7-(Graphs!G90/60)</f>
        <v>0</v>
      </c>
      <c r="BE7" s="284">
        <f>AE7-Graphs!G90</f>
        <v>0</v>
      </c>
    </row>
    <row r="8" spans="1:57" ht="22.5" customHeight="1">
      <c r="A8" s="15"/>
      <c r="B8" s="26">
        <v>5</v>
      </c>
      <c r="C8" s="47"/>
      <c r="D8" s="38">
        <f t="shared" si="23"/>
        <v>0</v>
      </c>
      <c r="E8" s="47"/>
      <c r="F8" s="38">
        <f t="shared" ref="F8:F24" si="25">E8-J8</f>
        <v>0</v>
      </c>
      <c r="G8" s="38">
        <f t="shared" si="24"/>
        <v>0</v>
      </c>
      <c r="H8" s="47"/>
      <c r="I8" s="47"/>
      <c r="J8" s="47"/>
      <c r="K8" s="47"/>
      <c r="L8" s="47"/>
      <c r="M8" s="47"/>
      <c r="N8" s="38">
        <f t="shared" si="17"/>
        <v>0</v>
      </c>
      <c r="O8" s="47"/>
      <c r="P8" s="43" t="str">
        <f t="shared" si="1"/>
        <v/>
      </c>
      <c r="Q8" s="47"/>
      <c r="R8" s="38">
        <f>Q8+R7</f>
        <v>0</v>
      </c>
      <c r="S8" s="51"/>
      <c r="T8" s="43" t="e">
        <f t="shared" si="19"/>
        <v>#DIV/0!</v>
      </c>
      <c r="U8" s="43" t="str">
        <f t="shared" si="2"/>
        <v/>
      </c>
      <c r="V8" s="43" t="e">
        <f t="shared" si="20"/>
        <v>#DIV/0!</v>
      </c>
      <c r="W8" s="220"/>
      <c r="X8" s="220"/>
      <c r="Y8" s="43">
        <f t="shared" si="3"/>
        <v>0</v>
      </c>
      <c r="Z8" s="51"/>
      <c r="AA8" s="38">
        <f t="shared" si="21"/>
        <v>0</v>
      </c>
      <c r="AB8" s="52" t="str">
        <f>IF(C8=0,"",C8/1000/W8)</f>
        <v/>
      </c>
      <c r="AC8" s="52" t="str">
        <f t="shared" si="4"/>
        <v/>
      </c>
      <c r="AD8" s="52" t="e">
        <f>G8/Y8</f>
        <v>#DIV/0!</v>
      </c>
      <c r="AE8" s="47"/>
      <c r="AF8" s="47"/>
      <c r="AG8" s="52" t="str">
        <f t="shared" si="6"/>
        <v/>
      </c>
      <c r="AH8" s="43" t="str">
        <f t="shared" si="7"/>
        <v/>
      </c>
      <c r="AI8" s="52" t="str">
        <f t="shared" si="8"/>
        <v/>
      </c>
      <c r="AJ8" s="47"/>
      <c r="AK8" s="220"/>
      <c r="AL8" s="43" t="str">
        <f t="shared" si="22"/>
        <v/>
      </c>
      <c r="AM8" s="38"/>
      <c r="AN8" s="56" t="str">
        <f t="shared" si="9"/>
        <v/>
      </c>
      <c r="AO8" s="59"/>
      <c r="AP8" s="262" t="str">
        <f t="shared" si="10"/>
        <v/>
      </c>
      <c r="AQ8" s="61" t="str">
        <f t="shared" si="11"/>
        <v/>
      </c>
      <c r="AR8" s="63">
        <f t="shared" si="12"/>
        <v>-0.3</v>
      </c>
      <c r="AS8" s="255"/>
      <c r="AT8" s="71"/>
      <c r="AU8" s="72"/>
      <c r="AV8" s="76"/>
      <c r="AW8" s="77">
        <f t="shared" si="0"/>
        <v>0</v>
      </c>
      <c r="AY8" s="182" t="str">
        <f t="shared" si="13"/>
        <v/>
      </c>
      <c r="AZ8" s="182" t="str">
        <f t="shared" si="14"/>
        <v/>
      </c>
      <c r="BA8" s="182" t="str">
        <f t="shared" si="15"/>
        <v/>
      </c>
      <c r="BC8" s="279">
        <f t="shared" si="16"/>
        <v>0</v>
      </c>
      <c r="BD8" s="294">
        <f>X8-(Graphs!G93/60)</f>
        <v>0</v>
      </c>
      <c r="BE8" s="284">
        <f>AE8-Graphs!G93</f>
        <v>0</v>
      </c>
    </row>
    <row r="9" spans="1:57" ht="22.5" customHeight="1">
      <c r="A9" s="15"/>
      <c r="B9" s="26">
        <v>6</v>
      </c>
      <c r="C9" s="47"/>
      <c r="D9" s="38">
        <f t="shared" si="23"/>
        <v>0</v>
      </c>
      <c r="E9" s="47"/>
      <c r="F9" s="38">
        <f t="shared" si="25"/>
        <v>0</v>
      </c>
      <c r="G9" s="38">
        <f t="shared" si="24"/>
        <v>0</v>
      </c>
      <c r="H9" s="47"/>
      <c r="I9" s="47"/>
      <c r="J9" s="47"/>
      <c r="K9" s="47"/>
      <c r="L9" s="47"/>
      <c r="M9" s="47"/>
      <c r="N9" s="38">
        <f t="shared" si="17"/>
        <v>0</v>
      </c>
      <c r="O9" s="47"/>
      <c r="P9" s="43" t="str">
        <f t="shared" si="1"/>
        <v/>
      </c>
      <c r="Q9" s="47"/>
      <c r="R9" s="38">
        <f t="shared" si="18"/>
        <v>0</v>
      </c>
      <c r="S9" s="51"/>
      <c r="T9" s="43" t="e">
        <f t="shared" si="19"/>
        <v>#DIV/0!</v>
      </c>
      <c r="U9" s="43" t="str">
        <f t="shared" si="2"/>
        <v/>
      </c>
      <c r="V9" s="43" t="e">
        <f t="shared" si="20"/>
        <v>#DIV/0!</v>
      </c>
      <c r="W9" s="220"/>
      <c r="X9" s="220"/>
      <c r="Y9" s="43">
        <f t="shared" si="3"/>
        <v>0</v>
      </c>
      <c r="Z9" s="51"/>
      <c r="AA9" s="38">
        <f t="shared" si="21"/>
        <v>0</v>
      </c>
      <c r="AB9" s="52" t="str">
        <f t="shared" ref="AB9:AB25" si="26">IF(C9=0,"",C9/1000/W9)</f>
        <v/>
      </c>
      <c r="AC9" s="52" t="str">
        <f t="shared" si="4"/>
        <v/>
      </c>
      <c r="AD9" s="52" t="e">
        <f t="shared" si="5"/>
        <v>#DIV/0!</v>
      </c>
      <c r="AE9" s="47"/>
      <c r="AF9" s="47"/>
      <c r="AG9" s="52" t="str">
        <f t="shared" si="6"/>
        <v/>
      </c>
      <c r="AH9" s="43" t="str">
        <f t="shared" si="7"/>
        <v/>
      </c>
      <c r="AI9" s="52" t="str">
        <f t="shared" si="8"/>
        <v/>
      </c>
      <c r="AJ9" s="47"/>
      <c r="AK9" s="220"/>
      <c r="AL9" s="43" t="str">
        <f t="shared" si="22"/>
        <v/>
      </c>
      <c r="AM9" s="38"/>
      <c r="AN9" s="56" t="str">
        <f t="shared" si="9"/>
        <v/>
      </c>
      <c r="AO9" s="59"/>
      <c r="AP9" s="262" t="str">
        <f t="shared" si="10"/>
        <v/>
      </c>
      <c r="AQ9" s="61" t="str">
        <f t="shared" si="11"/>
        <v/>
      </c>
      <c r="AR9" s="63">
        <f t="shared" si="12"/>
        <v>-0.3</v>
      </c>
      <c r="AS9" s="255"/>
      <c r="AT9" s="71"/>
      <c r="AU9" s="72"/>
      <c r="AV9" s="76"/>
      <c r="AW9" s="77">
        <f t="shared" si="0"/>
        <v>0</v>
      </c>
      <c r="AY9" s="182" t="str">
        <f t="shared" si="13"/>
        <v/>
      </c>
      <c r="AZ9" s="182" t="str">
        <f t="shared" si="14"/>
        <v/>
      </c>
      <c r="BA9" s="182" t="str">
        <f t="shared" si="15"/>
        <v/>
      </c>
      <c r="BC9" s="279">
        <f t="shared" si="16"/>
        <v>0</v>
      </c>
      <c r="BD9" s="294">
        <f>X9-(Graphs!G96/60)</f>
        <v>0</v>
      </c>
      <c r="BE9" s="284">
        <f>AE9-Graphs!G96</f>
        <v>0</v>
      </c>
    </row>
    <row r="10" spans="1:57" ht="22.5" customHeight="1">
      <c r="A10" s="15"/>
      <c r="B10" s="26">
        <v>7</v>
      </c>
      <c r="C10" s="47"/>
      <c r="D10" s="38">
        <f t="shared" si="23"/>
        <v>0</v>
      </c>
      <c r="E10" s="47"/>
      <c r="F10" s="38">
        <f t="shared" si="25"/>
        <v>0</v>
      </c>
      <c r="G10" s="38">
        <f t="shared" si="24"/>
        <v>0</v>
      </c>
      <c r="H10" s="47"/>
      <c r="I10" s="47"/>
      <c r="J10" s="47"/>
      <c r="K10" s="47"/>
      <c r="L10" s="47"/>
      <c r="M10" s="47"/>
      <c r="N10" s="38">
        <f t="shared" si="17"/>
        <v>0</v>
      </c>
      <c r="O10" s="47"/>
      <c r="P10" s="43" t="str">
        <f t="shared" si="1"/>
        <v/>
      </c>
      <c r="Q10" s="47"/>
      <c r="R10" s="38">
        <f t="shared" si="18"/>
        <v>0</v>
      </c>
      <c r="S10" s="51"/>
      <c r="T10" s="43" t="e">
        <f t="shared" si="19"/>
        <v>#DIV/0!</v>
      </c>
      <c r="U10" s="43" t="str">
        <f t="shared" si="2"/>
        <v/>
      </c>
      <c r="V10" s="43" t="e">
        <f t="shared" si="20"/>
        <v>#DIV/0!</v>
      </c>
      <c r="W10" s="220"/>
      <c r="X10" s="220"/>
      <c r="Y10" s="43">
        <f t="shared" si="3"/>
        <v>0</v>
      </c>
      <c r="Z10" s="51"/>
      <c r="AA10" s="38">
        <f t="shared" si="21"/>
        <v>0</v>
      </c>
      <c r="AB10" s="52" t="str">
        <f t="shared" si="26"/>
        <v/>
      </c>
      <c r="AC10" s="52" t="str">
        <f t="shared" si="4"/>
        <v/>
      </c>
      <c r="AD10" s="52" t="e">
        <f t="shared" si="5"/>
        <v>#DIV/0!</v>
      </c>
      <c r="AE10" s="47"/>
      <c r="AF10" s="47"/>
      <c r="AG10" s="52" t="str">
        <f t="shared" si="6"/>
        <v/>
      </c>
      <c r="AH10" s="43" t="str">
        <f t="shared" si="7"/>
        <v/>
      </c>
      <c r="AI10" s="52" t="str">
        <f t="shared" si="8"/>
        <v/>
      </c>
      <c r="AJ10" s="47"/>
      <c r="AK10" s="220"/>
      <c r="AL10" s="43" t="str">
        <f t="shared" si="22"/>
        <v/>
      </c>
      <c r="AM10" s="38"/>
      <c r="AN10" s="56" t="str">
        <f t="shared" si="9"/>
        <v/>
      </c>
      <c r="AO10" s="59"/>
      <c r="AP10" s="262" t="str">
        <f t="shared" si="10"/>
        <v/>
      </c>
      <c r="AQ10" s="61" t="str">
        <f t="shared" si="11"/>
        <v/>
      </c>
      <c r="AR10" s="63">
        <f t="shared" si="12"/>
        <v>-0.3</v>
      </c>
      <c r="AS10" s="255"/>
      <c r="AT10" s="75"/>
      <c r="AU10" s="76"/>
      <c r="AV10" s="76"/>
      <c r="AW10" s="77">
        <f t="shared" si="0"/>
        <v>0</v>
      </c>
      <c r="AY10" s="182" t="str">
        <f t="shared" si="13"/>
        <v/>
      </c>
      <c r="AZ10" s="182" t="str">
        <f t="shared" si="14"/>
        <v/>
      </c>
      <c r="BA10" s="182" t="str">
        <f t="shared" si="15"/>
        <v/>
      </c>
      <c r="BC10" s="279">
        <f t="shared" si="16"/>
        <v>0</v>
      </c>
      <c r="BD10" s="294">
        <f>X10-(Graphs!G99/60)</f>
        <v>0</v>
      </c>
      <c r="BE10" s="284">
        <f>AE10-Graphs!G99</f>
        <v>0</v>
      </c>
    </row>
    <row r="11" spans="1:57" ht="22.5" customHeight="1">
      <c r="A11" s="15"/>
      <c r="B11" s="26">
        <v>8</v>
      </c>
      <c r="C11" s="47"/>
      <c r="D11" s="38">
        <f t="shared" si="23"/>
        <v>0</v>
      </c>
      <c r="E11" s="47"/>
      <c r="F11" s="38">
        <f t="shared" si="25"/>
        <v>0</v>
      </c>
      <c r="G11" s="38">
        <f t="shared" si="24"/>
        <v>0</v>
      </c>
      <c r="H11" s="47"/>
      <c r="I11" s="47"/>
      <c r="J11" s="47"/>
      <c r="K11" s="47"/>
      <c r="L11" s="47"/>
      <c r="M11" s="47"/>
      <c r="N11" s="38">
        <f t="shared" si="17"/>
        <v>0</v>
      </c>
      <c r="O11" s="47"/>
      <c r="P11" s="43" t="str">
        <f t="shared" si="1"/>
        <v/>
      </c>
      <c r="Q11" s="47"/>
      <c r="R11" s="38">
        <f t="shared" si="18"/>
        <v>0</v>
      </c>
      <c r="S11" s="51"/>
      <c r="T11" s="43" t="e">
        <f t="shared" si="19"/>
        <v>#DIV/0!</v>
      </c>
      <c r="U11" s="43" t="str">
        <f t="shared" si="2"/>
        <v/>
      </c>
      <c r="V11" s="43" t="e">
        <f t="shared" si="20"/>
        <v>#DIV/0!</v>
      </c>
      <c r="W11" s="220"/>
      <c r="X11" s="220"/>
      <c r="Y11" s="43">
        <f t="shared" si="3"/>
        <v>0</v>
      </c>
      <c r="Z11" s="51"/>
      <c r="AA11" s="38">
        <f t="shared" si="21"/>
        <v>0</v>
      </c>
      <c r="AB11" s="52" t="str">
        <f t="shared" si="26"/>
        <v/>
      </c>
      <c r="AC11" s="52" t="str">
        <f t="shared" si="4"/>
        <v/>
      </c>
      <c r="AD11" s="52" t="e">
        <f t="shared" si="5"/>
        <v>#DIV/0!</v>
      </c>
      <c r="AE11" s="47"/>
      <c r="AF11" s="47"/>
      <c r="AG11" s="52" t="str">
        <f t="shared" si="6"/>
        <v/>
      </c>
      <c r="AH11" s="43" t="str">
        <f t="shared" si="7"/>
        <v/>
      </c>
      <c r="AI11" s="52" t="str">
        <f t="shared" si="8"/>
        <v/>
      </c>
      <c r="AJ11" s="47"/>
      <c r="AK11" s="220"/>
      <c r="AL11" s="43" t="str">
        <f t="shared" si="22"/>
        <v/>
      </c>
      <c r="AM11" s="38"/>
      <c r="AN11" s="56" t="str">
        <f t="shared" si="9"/>
        <v/>
      </c>
      <c r="AO11" s="59"/>
      <c r="AP11" s="262" t="str">
        <f t="shared" si="10"/>
        <v/>
      </c>
      <c r="AQ11" s="61" t="str">
        <f t="shared" si="11"/>
        <v/>
      </c>
      <c r="AR11" s="63">
        <f t="shared" si="12"/>
        <v>-0.3</v>
      </c>
      <c r="AS11" s="255"/>
      <c r="AT11" s="75"/>
      <c r="AU11" s="76"/>
      <c r="AV11" s="76"/>
      <c r="AW11" s="77">
        <f t="shared" ref="AW11:AW34" si="27">AT11-AU11-AV11</f>
        <v>0</v>
      </c>
      <c r="AY11" s="182" t="str">
        <f t="shared" si="13"/>
        <v/>
      </c>
      <c r="AZ11" s="182" t="str">
        <f t="shared" si="14"/>
        <v/>
      </c>
      <c r="BA11" s="182" t="str">
        <f t="shared" si="15"/>
        <v/>
      </c>
      <c r="BC11" s="279">
        <f t="shared" si="16"/>
        <v>0</v>
      </c>
      <c r="BD11" s="294">
        <f>X11-(Graphs!G102/60)</f>
        <v>0</v>
      </c>
      <c r="BE11" s="284">
        <f>AE11-Graphs!G102</f>
        <v>0</v>
      </c>
    </row>
    <row r="12" spans="1:57" ht="22.5" customHeight="1">
      <c r="A12" s="15"/>
      <c r="B12" s="26">
        <v>9</v>
      </c>
      <c r="C12" s="47"/>
      <c r="D12" s="38">
        <f t="shared" si="23"/>
        <v>0</v>
      </c>
      <c r="E12" s="47"/>
      <c r="F12" s="38">
        <f t="shared" si="25"/>
        <v>0</v>
      </c>
      <c r="G12" s="38">
        <f t="shared" si="24"/>
        <v>0</v>
      </c>
      <c r="H12" s="47"/>
      <c r="I12" s="47"/>
      <c r="J12" s="47"/>
      <c r="K12" s="47"/>
      <c r="L12" s="47"/>
      <c r="M12" s="47"/>
      <c r="N12" s="38">
        <f t="shared" si="17"/>
        <v>0</v>
      </c>
      <c r="O12" s="47"/>
      <c r="P12" s="43" t="str">
        <f t="shared" si="1"/>
        <v/>
      </c>
      <c r="Q12" s="47"/>
      <c r="R12" s="38">
        <f t="shared" si="18"/>
        <v>0</v>
      </c>
      <c r="S12" s="51"/>
      <c r="T12" s="43" t="e">
        <f t="shared" si="19"/>
        <v>#DIV/0!</v>
      </c>
      <c r="U12" s="43" t="str">
        <f t="shared" si="2"/>
        <v/>
      </c>
      <c r="V12" s="43" t="e">
        <f t="shared" si="20"/>
        <v>#DIV/0!</v>
      </c>
      <c r="W12" s="220"/>
      <c r="X12" s="220"/>
      <c r="Y12" s="43">
        <f t="shared" si="3"/>
        <v>0</v>
      </c>
      <c r="Z12" s="51"/>
      <c r="AA12" s="38">
        <f t="shared" si="21"/>
        <v>0</v>
      </c>
      <c r="AB12" s="52" t="str">
        <f t="shared" si="26"/>
        <v/>
      </c>
      <c r="AC12" s="52" t="str">
        <f t="shared" si="4"/>
        <v/>
      </c>
      <c r="AD12" s="52" t="e">
        <f t="shared" si="5"/>
        <v>#DIV/0!</v>
      </c>
      <c r="AE12" s="47"/>
      <c r="AF12" s="47"/>
      <c r="AG12" s="52" t="str">
        <f t="shared" si="6"/>
        <v/>
      </c>
      <c r="AH12" s="43" t="str">
        <f t="shared" si="7"/>
        <v/>
      </c>
      <c r="AI12" s="52" t="str">
        <f t="shared" si="8"/>
        <v/>
      </c>
      <c r="AJ12" s="47"/>
      <c r="AK12" s="220"/>
      <c r="AL12" s="43" t="str">
        <f t="shared" si="22"/>
        <v/>
      </c>
      <c r="AM12" s="38"/>
      <c r="AN12" s="56" t="str">
        <f t="shared" si="9"/>
        <v/>
      </c>
      <c r="AO12" s="59"/>
      <c r="AP12" s="262" t="str">
        <f t="shared" si="10"/>
        <v/>
      </c>
      <c r="AQ12" s="61" t="str">
        <f t="shared" si="11"/>
        <v/>
      </c>
      <c r="AR12" s="63">
        <f t="shared" si="12"/>
        <v>-0.3</v>
      </c>
      <c r="AS12" s="255"/>
      <c r="AT12" s="75"/>
      <c r="AU12" s="76"/>
      <c r="AV12" s="76"/>
      <c r="AW12" s="77">
        <f t="shared" si="27"/>
        <v>0</v>
      </c>
      <c r="AY12" s="182" t="str">
        <f t="shared" si="13"/>
        <v/>
      </c>
      <c r="AZ12" s="182" t="str">
        <f t="shared" si="14"/>
        <v/>
      </c>
      <c r="BA12" s="182" t="str">
        <f t="shared" si="15"/>
        <v/>
      </c>
      <c r="BC12" s="279">
        <f t="shared" si="16"/>
        <v>0</v>
      </c>
      <c r="BD12" s="294">
        <f>X12-(Graphs!G105/60)</f>
        <v>0</v>
      </c>
      <c r="BE12" s="284">
        <f>AE12-Graphs!G105</f>
        <v>0</v>
      </c>
    </row>
    <row r="13" spans="1:57" ht="22.5" customHeight="1">
      <c r="A13" s="15"/>
      <c r="B13" s="26">
        <v>10</v>
      </c>
      <c r="C13" s="47"/>
      <c r="D13" s="38">
        <f t="shared" si="23"/>
        <v>0</v>
      </c>
      <c r="E13" s="47"/>
      <c r="F13" s="38">
        <f t="shared" si="25"/>
        <v>0</v>
      </c>
      <c r="G13" s="38">
        <f t="shared" si="24"/>
        <v>0</v>
      </c>
      <c r="H13" s="47"/>
      <c r="I13" s="47"/>
      <c r="J13" s="47"/>
      <c r="K13" s="47"/>
      <c r="L13" s="47"/>
      <c r="M13" s="47"/>
      <c r="N13" s="38">
        <f t="shared" si="17"/>
        <v>0</v>
      </c>
      <c r="O13" s="47"/>
      <c r="P13" s="43" t="str">
        <f t="shared" si="1"/>
        <v/>
      </c>
      <c r="Q13" s="47"/>
      <c r="R13" s="38">
        <f t="shared" si="18"/>
        <v>0</v>
      </c>
      <c r="S13" s="51"/>
      <c r="T13" s="43" t="e">
        <f t="shared" si="19"/>
        <v>#DIV/0!</v>
      </c>
      <c r="U13" s="43" t="str">
        <f t="shared" si="2"/>
        <v/>
      </c>
      <c r="V13" s="43" t="e">
        <f t="shared" si="20"/>
        <v>#DIV/0!</v>
      </c>
      <c r="W13" s="220"/>
      <c r="X13" s="220"/>
      <c r="Y13" s="43">
        <f t="shared" si="3"/>
        <v>0</v>
      </c>
      <c r="Z13" s="51"/>
      <c r="AA13" s="38">
        <f t="shared" si="21"/>
        <v>0</v>
      </c>
      <c r="AB13" s="52" t="str">
        <f t="shared" si="26"/>
        <v/>
      </c>
      <c r="AC13" s="52" t="str">
        <f t="shared" si="4"/>
        <v/>
      </c>
      <c r="AD13" s="52" t="e">
        <f t="shared" si="5"/>
        <v>#DIV/0!</v>
      </c>
      <c r="AE13" s="47"/>
      <c r="AF13" s="47"/>
      <c r="AG13" s="52" t="str">
        <f t="shared" si="6"/>
        <v/>
      </c>
      <c r="AH13" s="43" t="str">
        <f t="shared" si="7"/>
        <v/>
      </c>
      <c r="AI13" s="52" t="str">
        <f t="shared" si="8"/>
        <v/>
      </c>
      <c r="AJ13" s="47"/>
      <c r="AK13" s="220"/>
      <c r="AL13" s="43" t="str">
        <f t="shared" si="22"/>
        <v/>
      </c>
      <c r="AM13" s="38"/>
      <c r="AN13" s="56" t="str">
        <f t="shared" si="9"/>
        <v/>
      </c>
      <c r="AO13" s="59"/>
      <c r="AP13" s="262" t="str">
        <f t="shared" si="10"/>
        <v/>
      </c>
      <c r="AQ13" s="61" t="str">
        <f t="shared" si="11"/>
        <v/>
      </c>
      <c r="AR13" s="63">
        <f t="shared" si="12"/>
        <v>-0.3</v>
      </c>
      <c r="AS13" s="255"/>
      <c r="AT13" s="75"/>
      <c r="AU13" s="76"/>
      <c r="AV13" s="76"/>
      <c r="AW13" s="77">
        <f>AT13-AU13-AV13</f>
        <v>0</v>
      </c>
      <c r="AY13" s="182" t="str">
        <f t="shared" si="13"/>
        <v/>
      </c>
      <c r="AZ13" s="182" t="str">
        <f t="shared" si="14"/>
        <v/>
      </c>
      <c r="BA13" s="182" t="str">
        <f t="shared" si="15"/>
        <v/>
      </c>
      <c r="BC13" s="279">
        <f t="shared" si="16"/>
        <v>0</v>
      </c>
      <c r="BD13" s="294">
        <f>X13-(Graphs!G108/60)</f>
        <v>0</v>
      </c>
      <c r="BE13" s="284">
        <f>AE13-Graphs!G108</f>
        <v>0</v>
      </c>
    </row>
    <row r="14" spans="1:57" ht="22.5" customHeight="1">
      <c r="A14" s="15"/>
      <c r="B14" s="26">
        <v>11</v>
      </c>
      <c r="C14" s="47"/>
      <c r="D14" s="38">
        <f t="shared" si="23"/>
        <v>0</v>
      </c>
      <c r="E14" s="47"/>
      <c r="F14" s="38">
        <f t="shared" si="25"/>
        <v>0</v>
      </c>
      <c r="G14" s="38">
        <f t="shared" si="24"/>
        <v>0</v>
      </c>
      <c r="H14" s="47"/>
      <c r="I14" s="47"/>
      <c r="J14" s="47"/>
      <c r="K14" s="47"/>
      <c r="L14" s="47"/>
      <c r="M14" s="47"/>
      <c r="N14" s="38">
        <f t="shared" si="17"/>
        <v>0</v>
      </c>
      <c r="O14" s="47"/>
      <c r="P14" s="43" t="str">
        <f t="shared" si="1"/>
        <v/>
      </c>
      <c r="Q14" s="47"/>
      <c r="R14" s="38">
        <f t="shared" si="18"/>
        <v>0</v>
      </c>
      <c r="S14" s="51"/>
      <c r="T14" s="43" t="e">
        <f t="shared" si="19"/>
        <v>#DIV/0!</v>
      </c>
      <c r="U14" s="43" t="str">
        <f t="shared" si="2"/>
        <v/>
      </c>
      <c r="V14" s="43" t="e">
        <f t="shared" si="20"/>
        <v>#DIV/0!</v>
      </c>
      <c r="W14" s="220"/>
      <c r="X14" s="220"/>
      <c r="Y14" s="43">
        <f t="shared" si="3"/>
        <v>0</v>
      </c>
      <c r="Z14" s="51"/>
      <c r="AA14" s="38">
        <f t="shared" si="21"/>
        <v>0</v>
      </c>
      <c r="AB14" s="52" t="str">
        <f t="shared" si="26"/>
        <v/>
      </c>
      <c r="AC14" s="52" t="str">
        <f t="shared" si="4"/>
        <v/>
      </c>
      <c r="AD14" s="52" t="e">
        <f t="shared" si="5"/>
        <v>#DIV/0!</v>
      </c>
      <c r="AE14" s="47"/>
      <c r="AF14" s="47"/>
      <c r="AG14" s="52" t="str">
        <f t="shared" si="6"/>
        <v/>
      </c>
      <c r="AH14" s="43" t="str">
        <f t="shared" si="7"/>
        <v/>
      </c>
      <c r="AI14" s="52" t="str">
        <f t="shared" si="8"/>
        <v/>
      </c>
      <c r="AJ14" s="47"/>
      <c r="AK14" s="220"/>
      <c r="AL14" s="43" t="str">
        <f t="shared" si="22"/>
        <v/>
      </c>
      <c r="AM14" s="38"/>
      <c r="AN14" s="56" t="str">
        <f t="shared" si="9"/>
        <v/>
      </c>
      <c r="AO14" s="59"/>
      <c r="AP14" s="262" t="str">
        <f t="shared" si="10"/>
        <v/>
      </c>
      <c r="AQ14" s="61" t="str">
        <f t="shared" si="11"/>
        <v/>
      </c>
      <c r="AR14" s="63">
        <f t="shared" si="12"/>
        <v>-0.3</v>
      </c>
      <c r="AS14" s="255"/>
      <c r="AT14" s="75"/>
      <c r="AU14" s="76"/>
      <c r="AV14" s="76"/>
      <c r="AW14" s="77">
        <f>AT14-AU14-AV14</f>
        <v>0</v>
      </c>
      <c r="AY14" s="182" t="str">
        <f t="shared" si="13"/>
        <v/>
      </c>
      <c r="AZ14" s="182" t="str">
        <f t="shared" si="14"/>
        <v/>
      </c>
      <c r="BA14" s="182" t="str">
        <f t="shared" si="15"/>
        <v/>
      </c>
      <c r="BC14" s="279">
        <f t="shared" si="16"/>
        <v>0</v>
      </c>
      <c r="BD14" s="294">
        <f>X14-(Graphs!G111/60)</f>
        <v>0</v>
      </c>
      <c r="BE14" s="284">
        <f>AE14-Graphs!G111</f>
        <v>0</v>
      </c>
    </row>
    <row r="15" spans="1:57" ht="22.5" customHeight="1">
      <c r="A15" s="15"/>
      <c r="B15" s="26">
        <v>12</v>
      </c>
      <c r="C15" s="47"/>
      <c r="D15" s="38">
        <f t="shared" si="23"/>
        <v>0</v>
      </c>
      <c r="E15" s="47"/>
      <c r="F15" s="38">
        <f t="shared" si="25"/>
        <v>0</v>
      </c>
      <c r="G15" s="38">
        <f t="shared" si="24"/>
        <v>0</v>
      </c>
      <c r="H15" s="47"/>
      <c r="I15" s="47"/>
      <c r="J15" s="47"/>
      <c r="K15" s="47"/>
      <c r="L15" s="47"/>
      <c r="M15" s="47"/>
      <c r="N15" s="38">
        <f t="shared" si="17"/>
        <v>0</v>
      </c>
      <c r="O15" s="47"/>
      <c r="P15" s="43" t="str">
        <f t="shared" si="1"/>
        <v/>
      </c>
      <c r="Q15" s="47"/>
      <c r="R15" s="38">
        <f t="shared" si="18"/>
        <v>0</v>
      </c>
      <c r="S15" s="51"/>
      <c r="T15" s="43" t="e">
        <f t="shared" si="19"/>
        <v>#DIV/0!</v>
      </c>
      <c r="U15" s="43" t="str">
        <f t="shared" si="2"/>
        <v/>
      </c>
      <c r="V15" s="43" t="e">
        <f t="shared" si="20"/>
        <v>#DIV/0!</v>
      </c>
      <c r="W15" s="220"/>
      <c r="X15" s="220"/>
      <c r="Y15" s="43">
        <f t="shared" si="3"/>
        <v>0</v>
      </c>
      <c r="Z15" s="51"/>
      <c r="AA15" s="38">
        <f t="shared" si="21"/>
        <v>0</v>
      </c>
      <c r="AB15" s="52" t="str">
        <f t="shared" si="26"/>
        <v/>
      </c>
      <c r="AC15" s="52" t="str">
        <f t="shared" si="4"/>
        <v/>
      </c>
      <c r="AD15" s="52" t="e">
        <f t="shared" si="5"/>
        <v>#DIV/0!</v>
      </c>
      <c r="AE15" s="47"/>
      <c r="AF15" s="47"/>
      <c r="AG15" s="52" t="str">
        <f t="shared" si="6"/>
        <v/>
      </c>
      <c r="AH15" s="43" t="str">
        <f t="shared" si="7"/>
        <v/>
      </c>
      <c r="AI15" s="52" t="str">
        <f t="shared" si="8"/>
        <v/>
      </c>
      <c r="AJ15" s="47"/>
      <c r="AK15" s="220"/>
      <c r="AL15" s="43" t="str">
        <f t="shared" si="22"/>
        <v/>
      </c>
      <c r="AM15" s="38"/>
      <c r="AN15" s="56" t="str">
        <f t="shared" si="9"/>
        <v/>
      </c>
      <c r="AO15" s="59"/>
      <c r="AP15" s="262" t="str">
        <f t="shared" si="10"/>
        <v/>
      </c>
      <c r="AQ15" s="61" t="str">
        <f t="shared" si="11"/>
        <v/>
      </c>
      <c r="AR15" s="63">
        <f t="shared" si="12"/>
        <v>-0.3</v>
      </c>
      <c r="AS15" s="255"/>
      <c r="AT15" s="75"/>
      <c r="AU15" s="76"/>
      <c r="AV15" s="76"/>
      <c r="AW15" s="77">
        <f t="shared" si="27"/>
        <v>0</v>
      </c>
      <c r="AY15" s="182" t="str">
        <f t="shared" si="13"/>
        <v/>
      </c>
      <c r="AZ15" s="182" t="str">
        <f t="shared" si="14"/>
        <v/>
      </c>
      <c r="BA15" s="182" t="str">
        <f t="shared" si="15"/>
        <v/>
      </c>
      <c r="BC15" s="279">
        <f t="shared" si="16"/>
        <v>0</v>
      </c>
      <c r="BD15" s="294">
        <f>X15-(Graphs!G114/60)</f>
        <v>0</v>
      </c>
      <c r="BE15" s="284">
        <f>AE15-Graphs!G114</f>
        <v>0</v>
      </c>
    </row>
    <row r="16" spans="1:57" ht="22.5" customHeight="1">
      <c r="A16" s="15"/>
      <c r="B16" s="26">
        <v>13</v>
      </c>
      <c r="C16" s="47"/>
      <c r="D16" s="38">
        <f t="shared" si="23"/>
        <v>0</v>
      </c>
      <c r="E16" s="47"/>
      <c r="F16" s="38">
        <f t="shared" si="25"/>
        <v>0</v>
      </c>
      <c r="G16" s="38">
        <f t="shared" si="24"/>
        <v>0</v>
      </c>
      <c r="H16" s="47"/>
      <c r="I16" s="47"/>
      <c r="J16" s="47"/>
      <c r="K16" s="47"/>
      <c r="L16" s="47"/>
      <c r="M16" s="47"/>
      <c r="N16" s="38">
        <f t="shared" si="17"/>
        <v>0</v>
      </c>
      <c r="O16" s="47"/>
      <c r="P16" s="43" t="str">
        <f t="shared" si="1"/>
        <v/>
      </c>
      <c r="Q16" s="47"/>
      <c r="R16" s="38">
        <f t="shared" si="18"/>
        <v>0</v>
      </c>
      <c r="S16" s="51"/>
      <c r="T16" s="43" t="e">
        <f t="shared" si="19"/>
        <v>#DIV/0!</v>
      </c>
      <c r="U16" s="43" t="str">
        <f t="shared" si="2"/>
        <v/>
      </c>
      <c r="V16" s="43" t="e">
        <f t="shared" si="20"/>
        <v>#DIV/0!</v>
      </c>
      <c r="W16" s="220"/>
      <c r="X16" s="220"/>
      <c r="Y16" s="43">
        <f t="shared" si="3"/>
        <v>0</v>
      </c>
      <c r="Z16" s="51"/>
      <c r="AA16" s="38">
        <f t="shared" si="21"/>
        <v>0</v>
      </c>
      <c r="AB16" s="52" t="str">
        <f t="shared" si="26"/>
        <v/>
      </c>
      <c r="AC16" s="52" t="str">
        <f t="shared" si="4"/>
        <v/>
      </c>
      <c r="AD16" s="52" t="e">
        <f t="shared" si="5"/>
        <v>#DIV/0!</v>
      </c>
      <c r="AE16" s="47"/>
      <c r="AF16" s="47"/>
      <c r="AG16" s="52" t="str">
        <f t="shared" si="6"/>
        <v/>
      </c>
      <c r="AH16" s="43" t="str">
        <f t="shared" si="7"/>
        <v/>
      </c>
      <c r="AI16" s="52" t="str">
        <f t="shared" si="8"/>
        <v/>
      </c>
      <c r="AJ16" s="47"/>
      <c r="AK16" s="220"/>
      <c r="AL16" s="43" t="str">
        <f t="shared" si="22"/>
        <v/>
      </c>
      <c r="AM16" s="38"/>
      <c r="AN16" s="56" t="str">
        <f t="shared" si="9"/>
        <v/>
      </c>
      <c r="AO16" s="59"/>
      <c r="AP16" s="262" t="str">
        <f t="shared" si="10"/>
        <v/>
      </c>
      <c r="AQ16" s="61" t="str">
        <f t="shared" si="11"/>
        <v/>
      </c>
      <c r="AR16" s="63">
        <f t="shared" si="12"/>
        <v>-0.3</v>
      </c>
      <c r="AS16" s="255"/>
      <c r="AT16" s="75"/>
      <c r="AU16" s="76"/>
      <c r="AV16" s="76"/>
      <c r="AW16" s="77">
        <f t="shared" si="27"/>
        <v>0</v>
      </c>
      <c r="AY16" s="182" t="str">
        <f t="shared" si="13"/>
        <v/>
      </c>
      <c r="AZ16" s="182" t="str">
        <f t="shared" si="14"/>
        <v/>
      </c>
      <c r="BA16" s="182" t="str">
        <f t="shared" si="15"/>
        <v/>
      </c>
      <c r="BC16" s="279">
        <f t="shared" si="16"/>
        <v>0</v>
      </c>
      <c r="BD16" s="294">
        <f>X16-(Graphs!G117/60)</f>
        <v>0</v>
      </c>
      <c r="BE16" s="284">
        <f>AE16-Graphs!G117</f>
        <v>0</v>
      </c>
    </row>
    <row r="17" spans="1:57" ht="22.5" customHeight="1">
      <c r="A17" s="15"/>
      <c r="B17" s="26">
        <v>14</v>
      </c>
      <c r="C17" s="47"/>
      <c r="D17" s="38">
        <f t="shared" si="23"/>
        <v>0</v>
      </c>
      <c r="E17" s="47"/>
      <c r="F17" s="38">
        <f t="shared" si="25"/>
        <v>0</v>
      </c>
      <c r="G17" s="38">
        <f t="shared" si="24"/>
        <v>0</v>
      </c>
      <c r="H17" s="47"/>
      <c r="I17" s="47"/>
      <c r="J17" s="47"/>
      <c r="K17" s="47"/>
      <c r="L17" s="47"/>
      <c r="M17" s="47"/>
      <c r="N17" s="38">
        <f t="shared" si="17"/>
        <v>0</v>
      </c>
      <c r="O17" s="47"/>
      <c r="P17" s="43" t="str">
        <f t="shared" si="1"/>
        <v/>
      </c>
      <c r="Q17" s="47"/>
      <c r="R17" s="38">
        <f t="shared" si="18"/>
        <v>0</v>
      </c>
      <c r="S17" s="51"/>
      <c r="T17" s="43" t="e">
        <f t="shared" si="19"/>
        <v>#DIV/0!</v>
      </c>
      <c r="U17" s="43" t="str">
        <f t="shared" si="2"/>
        <v/>
      </c>
      <c r="V17" s="43" t="e">
        <f t="shared" si="20"/>
        <v>#DIV/0!</v>
      </c>
      <c r="W17" s="220"/>
      <c r="X17" s="220"/>
      <c r="Y17" s="43">
        <f t="shared" si="3"/>
        <v>0</v>
      </c>
      <c r="Z17" s="51"/>
      <c r="AA17" s="38">
        <f t="shared" si="21"/>
        <v>0</v>
      </c>
      <c r="AB17" s="52" t="str">
        <f t="shared" si="26"/>
        <v/>
      </c>
      <c r="AC17" s="52" t="str">
        <f t="shared" si="4"/>
        <v/>
      </c>
      <c r="AD17" s="52" t="e">
        <f t="shared" si="5"/>
        <v>#DIV/0!</v>
      </c>
      <c r="AE17" s="47"/>
      <c r="AF17" s="47"/>
      <c r="AG17" s="52" t="str">
        <f t="shared" si="6"/>
        <v/>
      </c>
      <c r="AH17" s="43" t="str">
        <f t="shared" si="7"/>
        <v/>
      </c>
      <c r="AI17" s="52" t="str">
        <f t="shared" si="8"/>
        <v/>
      </c>
      <c r="AJ17" s="47"/>
      <c r="AK17" s="220"/>
      <c r="AL17" s="43" t="str">
        <f t="shared" si="22"/>
        <v/>
      </c>
      <c r="AM17" s="38"/>
      <c r="AN17" s="56" t="str">
        <f t="shared" si="9"/>
        <v/>
      </c>
      <c r="AO17" s="59"/>
      <c r="AP17" s="262" t="str">
        <f t="shared" si="10"/>
        <v/>
      </c>
      <c r="AQ17" s="61" t="str">
        <f t="shared" si="11"/>
        <v/>
      </c>
      <c r="AR17" s="63">
        <f t="shared" si="12"/>
        <v>-0.3</v>
      </c>
      <c r="AS17" s="256"/>
      <c r="AT17" s="75"/>
      <c r="AU17" s="76"/>
      <c r="AV17" s="76"/>
      <c r="AW17" s="77">
        <f t="shared" si="27"/>
        <v>0</v>
      </c>
      <c r="AY17" s="182" t="str">
        <f t="shared" si="13"/>
        <v/>
      </c>
      <c r="AZ17" s="182" t="str">
        <f t="shared" si="14"/>
        <v/>
      </c>
      <c r="BA17" s="182" t="str">
        <f t="shared" si="15"/>
        <v/>
      </c>
      <c r="BC17" s="279">
        <f t="shared" si="16"/>
        <v>0</v>
      </c>
      <c r="BD17" s="294">
        <f>X17-(Graphs!G120/60)</f>
        <v>0</v>
      </c>
      <c r="BE17" s="284">
        <f>AE17-Graphs!G120</f>
        <v>0</v>
      </c>
    </row>
    <row r="18" spans="1:57" ht="22.5" customHeight="1">
      <c r="A18" s="15"/>
      <c r="B18" s="26">
        <v>15</v>
      </c>
      <c r="C18" s="47"/>
      <c r="D18" s="38">
        <f t="shared" si="23"/>
        <v>0</v>
      </c>
      <c r="E18" s="47"/>
      <c r="F18" s="38">
        <f t="shared" si="25"/>
        <v>0</v>
      </c>
      <c r="G18" s="38">
        <f t="shared" si="24"/>
        <v>0</v>
      </c>
      <c r="H18" s="47"/>
      <c r="I18" s="47"/>
      <c r="J18" s="47"/>
      <c r="K18" s="47"/>
      <c r="L18" s="47"/>
      <c r="M18" s="47"/>
      <c r="N18" s="38">
        <f t="shared" si="17"/>
        <v>0</v>
      </c>
      <c r="O18" s="47"/>
      <c r="P18" s="43" t="str">
        <f t="shared" si="1"/>
        <v/>
      </c>
      <c r="Q18" s="47"/>
      <c r="R18" s="38">
        <f t="shared" si="18"/>
        <v>0</v>
      </c>
      <c r="S18" s="51"/>
      <c r="T18" s="43" t="e">
        <f t="shared" si="19"/>
        <v>#DIV/0!</v>
      </c>
      <c r="U18" s="43" t="str">
        <f t="shared" si="2"/>
        <v/>
      </c>
      <c r="V18" s="43" t="e">
        <f t="shared" si="20"/>
        <v>#DIV/0!</v>
      </c>
      <c r="W18" s="220"/>
      <c r="X18" s="220"/>
      <c r="Y18" s="43">
        <f t="shared" si="3"/>
        <v>0</v>
      </c>
      <c r="Z18" s="51"/>
      <c r="AA18" s="38">
        <f t="shared" si="21"/>
        <v>0</v>
      </c>
      <c r="AB18" s="52" t="str">
        <f t="shared" si="26"/>
        <v/>
      </c>
      <c r="AC18" s="52" t="str">
        <f t="shared" si="4"/>
        <v/>
      </c>
      <c r="AD18" s="52" t="e">
        <f t="shared" si="5"/>
        <v>#DIV/0!</v>
      </c>
      <c r="AE18" s="47"/>
      <c r="AF18" s="47"/>
      <c r="AG18" s="52" t="str">
        <f t="shared" si="6"/>
        <v/>
      </c>
      <c r="AH18" s="43" t="str">
        <f t="shared" si="7"/>
        <v/>
      </c>
      <c r="AI18" s="52" t="str">
        <f t="shared" si="8"/>
        <v/>
      </c>
      <c r="AJ18" s="47"/>
      <c r="AK18" s="220"/>
      <c r="AL18" s="43" t="str">
        <f t="shared" si="22"/>
        <v/>
      </c>
      <c r="AM18" s="38"/>
      <c r="AN18" s="56" t="str">
        <f t="shared" si="9"/>
        <v/>
      </c>
      <c r="AO18" s="59"/>
      <c r="AP18" s="262" t="str">
        <f t="shared" si="10"/>
        <v/>
      </c>
      <c r="AQ18" s="61" t="str">
        <f t="shared" si="11"/>
        <v/>
      </c>
      <c r="AR18" s="63">
        <f t="shared" si="12"/>
        <v>-0.3</v>
      </c>
      <c r="AS18" s="256"/>
      <c r="AT18" s="75"/>
      <c r="AU18" s="76"/>
      <c r="AV18" s="76"/>
      <c r="AW18" s="77">
        <f t="shared" si="27"/>
        <v>0</v>
      </c>
      <c r="AY18" s="182" t="str">
        <f t="shared" si="13"/>
        <v/>
      </c>
      <c r="AZ18" s="182" t="str">
        <f t="shared" si="14"/>
        <v/>
      </c>
      <c r="BA18" s="182" t="str">
        <f t="shared" si="15"/>
        <v/>
      </c>
      <c r="BC18" s="279">
        <f t="shared" si="16"/>
        <v>0</v>
      </c>
      <c r="BD18" s="294">
        <f>X18-(Graphs!G123/60)</f>
        <v>0</v>
      </c>
      <c r="BE18" s="284">
        <f>AE18-Graphs!G123</f>
        <v>0</v>
      </c>
    </row>
    <row r="19" spans="1:57" ht="22.5" customHeight="1">
      <c r="A19" s="15"/>
      <c r="B19" s="26">
        <v>16</v>
      </c>
      <c r="C19" s="47"/>
      <c r="D19" s="38">
        <f t="shared" si="23"/>
        <v>0</v>
      </c>
      <c r="E19" s="47"/>
      <c r="F19" s="38">
        <f t="shared" si="25"/>
        <v>0</v>
      </c>
      <c r="G19" s="38">
        <f t="shared" si="24"/>
        <v>0</v>
      </c>
      <c r="H19" s="47"/>
      <c r="I19" s="47"/>
      <c r="J19" s="47"/>
      <c r="K19" s="47"/>
      <c r="L19" s="47"/>
      <c r="M19" s="47"/>
      <c r="N19" s="38">
        <f t="shared" si="17"/>
        <v>0</v>
      </c>
      <c r="O19" s="47"/>
      <c r="P19" s="43" t="str">
        <f t="shared" si="1"/>
        <v/>
      </c>
      <c r="Q19" s="47"/>
      <c r="R19" s="38">
        <f t="shared" si="18"/>
        <v>0</v>
      </c>
      <c r="S19" s="51"/>
      <c r="T19" s="43" t="e">
        <f t="shared" si="19"/>
        <v>#DIV/0!</v>
      </c>
      <c r="U19" s="43" t="str">
        <f t="shared" si="2"/>
        <v/>
      </c>
      <c r="V19" s="43" t="e">
        <f t="shared" si="20"/>
        <v>#DIV/0!</v>
      </c>
      <c r="W19" s="220"/>
      <c r="X19" s="220"/>
      <c r="Y19" s="43">
        <f t="shared" si="3"/>
        <v>0</v>
      </c>
      <c r="Z19" s="51"/>
      <c r="AA19" s="38">
        <f t="shared" si="21"/>
        <v>0</v>
      </c>
      <c r="AB19" s="52" t="str">
        <f t="shared" si="26"/>
        <v/>
      </c>
      <c r="AC19" s="52" t="str">
        <f t="shared" si="4"/>
        <v/>
      </c>
      <c r="AD19" s="52" t="e">
        <f t="shared" si="5"/>
        <v>#DIV/0!</v>
      </c>
      <c r="AE19" s="47"/>
      <c r="AF19" s="47"/>
      <c r="AG19" s="52" t="str">
        <f t="shared" si="6"/>
        <v/>
      </c>
      <c r="AH19" s="43" t="str">
        <f t="shared" si="7"/>
        <v/>
      </c>
      <c r="AI19" s="52" t="str">
        <f t="shared" si="8"/>
        <v/>
      </c>
      <c r="AJ19" s="47"/>
      <c r="AK19" s="220"/>
      <c r="AL19" s="43" t="str">
        <f t="shared" si="22"/>
        <v/>
      </c>
      <c r="AM19" s="38"/>
      <c r="AN19" s="56" t="str">
        <f t="shared" si="9"/>
        <v/>
      </c>
      <c r="AO19" s="59"/>
      <c r="AP19" s="262" t="str">
        <f t="shared" si="10"/>
        <v/>
      </c>
      <c r="AQ19" s="61" t="str">
        <f t="shared" si="11"/>
        <v/>
      </c>
      <c r="AR19" s="63">
        <f t="shared" si="12"/>
        <v>-0.3</v>
      </c>
      <c r="AS19" s="256"/>
      <c r="AT19" s="75"/>
      <c r="AU19" s="76"/>
      <c r="AV19" s="76"/>
      <c r="AW19" s="77">
        <f t="shared" si="27"/>
        <v>0</v>
      </c>
      <c r="AY19" s="182" t="str">
        <f t="shared" si="13"/>
        <v/>
      </c>
      <c r="AZ19" s="182" t="str">
        <f t="shared" si="14"/>
        <v/>
      </c>
      <c r="BA19" s="182" t="str">
        <f t="shared" si="15"/>
        <v/>
      </c>
      <c r="BC19" s="279">
        <f t="shared" si="16"/>
        <v>0</v>
      </c>
      <c r="BD19" s="294">
        <f>X19-(Graphs!G126/60)</f>
        <v>0</v>
      </c>
      <c r="BE19" s="284">
        <f>AE19-Graphs!G126</f>
        <v>0</v>
      </c>
    </row>
    <row r="20" spans="1:57" ht="22.5" customHeight="1">
      <c r="A20" s="15"/>
      <c r="B20" s="26">
        <v>17</v>
      </c>
      <c r="C20" s="47"/>
      <c r="D20" s="38">
        <f t="shared" si="23"/>
        <v>0</v>
      </c>
      <c r="E20" s="47"/>
      <c r="F20" s="38">
        <f t="shared" si="25"/>
        <v>0</v>
      </c>
      <c r="G20" s="38">
        <f t="shared" si="24"/>
        <v>0</v>
      </c>
      <c r="H20" s="47"/>
      <c r="I20" s="47"/>
      <c r="J20" s="47"/>
      <c r="K20" s="47"/>
      <c r="L20" s="47"/>
      <c r="M20" s="47"/>
      <c r="N20" s="38">
        <f t="shared" si="17"/>
        <v>0</v>
      </c>
      <c r="O20" s="47"/>
      <c r="P20" s="43" t="str">
        <f t="shared" si="1"/>
        <v/>
      </c>
      <c r="Q20" s="47"/>
      <c r="R20" s="38">
        <f t="shared" si="18"/>
        <v>0</v>
      </c>
      <c r="S20" s="51"/>
      <c r="T20" s="43" t="e">
        <f t="shared" si="19"/>
        <v>#DIV/0!</v>
      </c>
      <c r="U20" s="43" t="str">
        <f t="shared" si="2"/>
        <v/>
      </c>
      <c r="V20" s="43" t="e">
        <f t="shared" si="20"/>
        <v>#DIV/0!</v>
      </c>
      <c r="W20" s="220"/>
      <c r="X20" s="220"/>
      <c r="Y20" s="43">
        <f t="shared" si="3"/>
        <v>0</v>
      </c>
      <c r="Z20" s="51"/>
      <c r="AA20" s="38">
        <f t="shared" si="21"/>
        <v>0</v>
      </c>
      <c r="AB20" s="52" t="str">
        <f t="shared" si="26"/>
        <v/>
      </c>
      <c r="AC20" s="52" t="str">
        <f t="shared" si="4"/>
        <v/>
      </c>
      <c r="AD20" s="52" t="e">
        <f t="shared" si="5"/>
        <v>#DIV/0!</v>
      </c>
      <c r="AE20" s="47"/>
      <c r="AF20" s="47"/>
      <c r="AG20" s="52" t="str">
        <f t="shared" si="6"/>
        <v/>
      </c>
      <c r="AH20" s="43" t="str">
        <f t="shared" si="7"/>
        <v/>
      </c>
      <c r="AI20" s="52" t="str">
        <f t="shared" si="8"/>
        <v/>
      </c>
      <c r="AJ20" s="47"/>
      <c r="AK20" s="220"/>
      <c r="AL20" s="43" t="str">
        <f t="shared" si="22"/>
        <v/>
      </c>
      <c r="AM20" s="38"/>
      <c r="AN20" s="56" t="str">
        <f t="shared" si="9"/>
        <v/>
      </c>
      <c r="AO20" s="59"/>
      <c r="AP20" s="262" t="str">
        <f t="shared" si="10"/>
        <v/>
      </c>
      <c r="AQ20" s="61" t="str">
        <f t="shared" si="11"/>
        <v/>
      </c>
      <c r="AR20" s="63">
        <f t="shared" si="12"/>
        <v>-0.3</v>
      </c>
      <c r="AS20" s="256"/>
      <c r="AT20" s="75"/>
      <c r="AU20" s="76"/>
      <c r="AV20" s="76"/>
      <c r="AW20" s="77">
        <f t="shared" si="27"/>
        <v>0</v>
      </c>
      <c r="AY20" s="182" t="str">
        <f t="shared" si="13"/>
        <v/>
      </c>
      <c r="AZ20" s="182" t="str">
        <f t="shared" si="14"/>
        <v/>
      </c>
      <c r="BA20" s="182" t="str">
        <f t="shared" si="15"/>
        <v/>
      </c>
      <c r="BC20" s="279">
        <f t="shared" si="16"/>
        <v>0</v>
      </c>
      <c r="BD20" s="294">
        <f>X20-(Graphs!G129/60)</f>
        <v>0</v>
      </c>
      <c r="BE20" s="284">
        <f>AE20-Graphs!G129</f>
        <v>0</v>
      </c>
    </row>
    <row r="21" spans="1:57" ht="22.5" customHeight="1">
      <c r="A21" s="15"/>
      <c r="B21" s="26">
        <v>18</v>
      </c>
      <c r="C21" s="47"/>
      <c r="D21" s="38">
        <f t="shared" si="23"/>
        <v>0</v>
      </c>
      <c r="E21" s="47"/>
      <c r="F21" s="38">
        <f t="shared" si="25"/>
        <v>0</v>
      </c>
      <c r="G21" s="38">
        <f t="shared" si="24"/>
        <v>0</v>
      </c>
      <c r="H21" s="47"/>
      <c r="I21" s="47"/>
      <c r="J21" s="47"/>
      <c r="K21" s="47"/>
      <c r="L21" s="47"/>
      <c r="M21" s="47"/>
      <c r="N21" s="38">
        <f t="shared" si="17"/>
        <v>0</v>
      </c>
      <c r="O21" s="47"/>
      <c r="P21" s="43" t="str">
        <f t="shared" si="1"/>
        <v/>
      </c>
      <c r="Q21" s="47"/>
      <c r="R21" s="38">
        <f t="shared" si="18"/>
        <v>0</v>
      </c>
      <c r="S21" s="51"/>
      <c r="T21" s="43" t="e">
        <f t="shared" si="19"/>
        <v>#DIV/0!</v>
      </c>
      <c r="U21" s="43" t="str">
        <f t="shared" si="2"/>
        <v/>
      </c>
      <c r="V21" s="43" t="e">
        <f t="shared" si="20"/>
        <v>#DIV/0!</v>
      </c>
      <c r="W21" s="220"/>
      <c r="X21" s="220"/>
      <c r="Y21" s="43">
        <f t="shared" si="3"/>
        <v>0</v>
      </c>
      <c r="Z21" s="51"/>
      <c r="AA21" s="38">
        <f t="shared" si="21"/>
        <v>0</v>
      </c>
      <c r="AB21" s="52" t="str">
        <f t="shared" si="26"/>
        <v/>
      </c>
      <c r="AC21" s="52" t="str">
        <f t="shared" si="4"/>
        <v/>
      </c>
      <c r="AD21" s="52" t="e">
        <f t="shared" si="5"/>
        <v>#DIV/0!</v>
      </c>
      <c r="AE21" s="47"/>
      <c r="AF21" s="47"/>
      <c r="AG21" s="52" t="str">
        <f t="shared" si="6"/>
        <v/>
      </c>
      <c r="AH21" s="43" t="str">
        <f t="shared" si="7"/>
        <v/>
      </c>
      <c r="AI21" s="52" t="str">
        <f t="shared" si="8"/>
        <v/>
      </c>
      <c r="AJ21" s="47"/>
      <c r="AK21" s="220"/>
      <c r="AL21" s="43" t="str">
        <f t="shared" si="22"/>
        <v/>
      </c>
      <c r="AM21" s="38"/>
      <c r="AN21" s="56" t="str">
        <f t="shared" si="9"/>
        <v/>
      </c>
      <c r="AO21" s="59"/>
      <c r="AP21" s="262" t="str">
        <f t="shared" si="10"/>
        <v/>
      </c>
      <c r="AQ21" s="61" t="str">
        <f t="shared" si="11"/>
        <v/>
      </c>
      <c r="AR21" s="63">
        <f t="shared" si="12"/>
        <v>-0.3</v>
      </c>
      <c r="AS21" s="256"/>
      <c r="AT21" s="75"/>
      <c r="AU21" s="76"/>
      <c r="AV21" s="76"/>
      <c r="AW21" s="77">
        <f t="shared" si="27"/>
        <v>0</v>
      </c>
      <c r="AY21" s="182" t="str">
        <f t="shared" si="13"/>
        <v/>
      </c>
      <c r="AZ21" s="182" t="str">
        <f t="shared" si="14"/>
        <v/>
      </c>
      <c r="BA21" s="182" t="str">
        <f t="shared" si="15"/>
        <v/>
      </c>
      <c r="BC21" s="279">
        <f t="shared" si="16"/>
        <v>0</v>
      </c>
      <c r="BD21" s="294">
        <f>X21-(Graphs!G132/60)</f>
        <v>0</v>
      </c>
      <c r="BE21" s="284">
        <f>AE21-Graphs!G132</f>
        <v>0</v>
      </c>
    </row>
    <row r="22" spans="1:57" ht="22.5" customHeight="1">
      <c r="A22" s="15"/>
      <c r="B22" s="26">
        <v>19</v>
      </c>
      <c r="C22" s="47"/>
      <c r="D22" s="38">
        <f t="shared" si="23"/>
        <v>0</v>
      </c>
      <c r="E22" s="47"/>
      <c r="F22" s="38">
        <f t="shared" si="25"/>
        <v>0</v>
      </c>
      <c r="G22" s="38">
        <f t="shared" si="24"/>
        <v>0</v>
      </c>
      <c r="H22" s="47"/>
      <c r="I22" s="47"/>
      <c r="J22" s="47"/>
      <c r="K22" s="47"/>
      <c r="L22" s="47"/>
      <c r="M22" s="47"/>
      <c r="N22" s="38">
        <f t="shared" si="17"/>
        <v>0</v>
      </c>
      <c r="O22" s="47"/>
      <c r="P22" s="43" t="str">
        <f t="shared" si="1"/>
        <v/>
      </c>
      <c r="Q22" s="47"/>
      <c r="R22" s="38">
        <f t="shared" si="18"/>
        <v>0</v>
      </c>
      <c r="S22" s="51"/>
      <c r="T22" s="43" t="e">
        <f t="shared" si="19"/>
        <v>#DIV/0!</v>
      </c>
      <c r="U22" s="43" t="str">
        <f t="shared" si="2"/>
        <v/>
      </c>
      <c r="V22" s="43" t="e">
        <f t="shared" si="20"/>
        <v>#DIV/0!</v>
      </c>
      <c r="W22" s="220"/>
      <c r="X22" s="220"/>
      <c r="Y22" s="43">
        <f t="shared" si="3"/>
        <v>0</v>
      </c>
      <c r="Z22" s="51"/>
      <c r="AA22" s="38">
        <f t="shared" si="21"/>
        <v>0</v>
      </c>
      <c r="AB22" s="52" t="str">
        <f t="shared" si="26"/>
        <v/>
      </c>
      <c r="AC22" s="52" t="str">
        <f t="shared" si="4"/>
        <v/>
      </c>
      <c r="AD22" s="52" t="e">
        <f t="shared" si="5"/>
        <v>#DIV/0!</v>
      </c>
      <c r="AE22" s="47"/>
      <c r="AF22" s="47"/>
      <c r="AG22" s="52" t="str">
        <f t="shared" si="6"/>
        <v/>
      </c>
      <c r="AH22" s="43" t="str">
        <f t="shared" si="7"/>
        <v/>
      </c>
      <c r="AI22" s="52" t="str">
        <f t="shared" si="8"/>
        <v/>
      </c>
      <c r="AJ22" s="47"/>
      <c r="AK22" s="220"/>
      <c r="AL22" s="43" t="str">
        <f t="shared" si="22"/>
        <v/>
      </c>
      <c r="AM22" s="38"/>
      <c r="AN22" s="56" t="str">
        <f t="shared" si="9"/>
        <v/>
      </c>
      <c r="AO22" s="59"/>
      <c r="AP22" s="262" t="str">
        <f t="shared" si="10"/>
        <v/>
      </c>
      <c r="AQ22" s="61" t="str">
        <f t="shared" si="11"/>
        <v/>
      </c>
      <c r="AR22" s="63">
        <f t="shared" si="12"/>
        <v>-0.3</v>
      </c>
      <c r="AS22" s="256"/>
      <c r="AT22" s="75"/>
      <c r="AU22" s="76"/>
      <c r="AV22" s="76"/>
      <c r="AW22" s="77">
        <f t="shared" si="27"/>
        <v>0</v>
      </c>
      <c r="AY22" s="182" t="str">
        <f t="shared" si="13"/>
        <v/>
      </c>
      <c r="AZ22" s="182" t="str">
        <f t="shared" si="14"/>
        <v/>
      </c>
      <c r="BA22" s="182" t="str">
        <f t="shared" si="15"/>
        <v/>
      </c>
      <c r="BC22" s="279">
        <f t="shared" si="16"/>
        <v>0</v>
      </c>
      <c r="BD22" s="294">
        <f>X22-(Graphs!G135/60)</f>
        <v>0</v>
      </c>
      <c r="BE22" s="284">
        <f>AE22-Graphs!G135</f>
        <v>0</v>
      </c>
    </row>
    <row r="23" spans="1:57" ht="22.5" customHeight="1">
      <c r="A23" s="15"/>
      <c r="B23" s="26">
        <v>20</v>
      </c>
      <c r="C23" s="47"/>
      <c r="D23" s="38">
        <f t="shared" si="23"/>
        <v>0</v>
      </c>
      <c r="E23" s="47"/>
      <c r="F23" s="38">
        <f t="shared" si="25"/>
        <v>0</v>
      </c>
      <c r="G23" s="38">
        <f t="shared" si="24"/>
        <v>0</v>
      </c>
      <c r="H23" s="47"/>
      <c r="I23" s="47"/>
      <c r="J23" s="47"/>
      <c r="K23" s="47"/>
      <c r="L23" s="47"/>
      <c r="M23" s="47"/>
      <c r="N23" s="38">
        <f t="shared" si="17"/>
        <v>0</v>
      </c>
      <c r="O23" s="47"/>
      <c r="P23" s="43" t="str">
        <f t="shared" si="1"/>
        <v/>
      </c>
      <c r="Q23" s="47"/>
      <c r="R23" s="38">
        <f t="shared" si="18"/>
        <v>0</v>
      </c>
      <c r="S23" s="51"/>
      <c r="T23" s="43" t="e">
        <f t="shared" si="19"/>
        <v>#DIV/0!</v>
      </c>
      <c r="U23" s="43" t="str">
        <f t="shared" si="2"/>
        <v/>
      </c>
      <c r="V23" s="43" t="e">
        <f t="shared" si="20"/>
        <v>#DIV/0!</v>
      </c>
      <c r="W23" s="220"/>
      <c r="X23" s="220"/>
      <c r="Y23" s="43">
        <f t="shared" si="3"/>
        <v>0</v>
      </c>
      <c r="Z23" s="51"/>
      <c r="AA23" s="38">
        <f t="shared" si="21"/>
        <v>0</v>
      </c>
      <c r="AB23" s="52" t="str">
        <f t="shared" si="26"/>
        <v/>
      </c>
      <c r="AC23" s="52" t="str">
        <f t="shared" si="4"/>
        <v/>
      </c>
      <c r="AD23" s="52" t="e">
        <f t="shared" si="5"/>
        <v>#DIV/0!</v>
      </c>
      <c r="AE23" s="47"/>
      <c r="AF23" s="47"/>
      <c r="AG23" s="52" t="str">
        <f t="shared" si="6"/>
        <v/>
      </c>
      <c r="AH23" s="43" t="str">
        <f t="shared" si="7"/>
        <v/>
      </c>
      <c r="AI23" s="52" t="str">
        <f t="shared" si="8"/>
        <v/>
      </c>
      <c r="AJ23" s="47"/>
      <c r="AK23" s="220"/>
      <c r="AL23" s="43" t="str">
        <f t="shared" si="22"/>
        <v/>
      </c>
      <c r="AM23" s="38"/>
      <c r="AN23" s="56" t="str">
        <f t="shared" si="9"/>
        <v/>
      </c>
      <c r="AO23" s="59"/>
      <c r="AP23" s="262" t="str">
        <f t="shared" si="10"/>
        <v/>
      </c>
      <c r="AQ23" s="61" t="str">
        <f t="shared" si="11"/>
        <v/>
      </c>
      <c r="AR23" s="63">
        <f t="shared" si="12"/>
        <v>-0.3</v>
      </c>
      <c r="AS23" s="256"/>
      <c r="AT23" s="75"/>
      <c r="AU23" s="76"/>
      <c r="AV23" s="76"/>
      <c r="AW23" s="77">
        <f t="shared" si="27"/>
        <v>0</v>
      </c>
      <c r="AY23" s="182" t="str">
        <f t="shared" si="13"/>
        <v/>
      </c>
      <c r="AZ23" s="182" t="str">
        <f t="shared" si="14"/>
        <v/>
      </c>
      <c r="BA23" s="182" t="str">
        <f t="shared" si="15"/>
        <v/>
      </c>
      <c r="BC23" s="279">
        <f t="shared" si="16"/>
        <v>0</v>
      </c>
      <c r="BD23" s="294">
        <f>X23-(Graphs!G138/60)</f>
        <v>0</v>
      </c>
      <c r="BE23" s="284">
        <f>AE23-Graphs!G138</f>
        <v>0</v>
      </c>
    </row>
    <row r="24" spans="1:57" ht="22.5" customHeight="1">
      <c r="A24" s="15"/>
      <c r="B24" s="26">
        <v>21</v>
      </c>
      <c r="C24" s="47"/>
      <c r="D24" s="38">
        <f t="shared" si="23"/>
        <v>0</v>
      </c>
      <c r="E24" s="47"/>
      <c r="F24" s="38">
        <f t="shared" si="25"/>
        <v>0</v>
      </c>
      <c r="G24" s="38">
        <f t="shared" si="24"/>
        <v>0</v>
      </c>
      <c r="H24" s="47"/>
      <c r="I24" s="47"/>
      <c r="J24" s="47"/>
      <c r="K24" s="47"/>
      <c r="L24" s="47"/>
      <c r="M24" s="47"/>
      <c r="N24" s="38">
        <f t="shared" si="17"/>
        <v>0</v>
      </c>
      <c r="O24" s="47"/>
      <c r="P24" s="43" t="str">
        <f t="shared" si="1"/>
        <v/>
      </c>
      <c r="Q24" s="47"/>
      <c r="R24" s="38">
        <f t="shared" si="18"/>
        <v>0</v>
      </c>
      <c r="S24" s="51"/>
      <c r="T24" s="43" t="e">
        <f t="shared" si="19"/>
        <v>#DIV/0!</v>
      </c>
      <c r="U24" s="43" t="str">
        <f t="shared" si="2"/>
        <v/>
      </c>
      <c r="V24" s="43" t="e">
        <f t="shared" si="20"/>
        <v>#DIV/0!</v>
      </c>
      <c r="W24" s="220"/>
      <c r="X24" s="220"/>
      <c r="Y24" s="43">
        <f t="shared" si="3"/>
        <v>0</v>
      </c>
      <c r="Z24" s="51"/>
      <c r="AA24" s="38">
        <f t="shared" si="21"/>
        <v>0</v>
      </c>
      <c r="AB24" s="52" t="str">
        <f t="shared" si="26"/>
        <v/>
      </c>
      <c r="AC24" s="52" t="str">
        <f t="shared" si="4"/>
        <v/>
      </c>
      <c r="AD24" s="52" t="e">
        <f t="shared" si="5"/>
        <v>#DIV/0!</v>
      </c>
      <c r="AE24" s="47"/>
      <c r="AF24" s="47"/>
      <c r="AG24" s="52" t="str">
        <f t="shared" si="6"/>
        <v/>
      </c>
      <c r="AH24" s="43" t="str">
        <f t="shared" si="7"/>
        <v/>
      </c>
      <c r="AI24" s="52" t="str">
        <f t="shared" si="8"/>
        <v/>
      </c>
      <c r="AJ24" s="47"/>
      <c r="AK24" s="220"/>
      <c r="AL24" s="43" t="str">
        <f t="shared" si="22"/>
        <v/>
      </c>
      <c r="AM24" s="38"/>
      <c r="AN24" s="56" t="str">
        <f t="shared" si="9"/>
        <v/>
      </c>
      <c r="AO24" s="59"/>
      <c r="AP24" s="262" t="str">
        <f t="shared" si="10"/>
        <v/>
      </c>
      <c r="AQ24" s="61" t="str">
        <f t="shared" si="11"/>
        <v/>
      </c>
      <c r="AR24" s="63">
        <f t="shared" si="12"/>
        <v>-0.3</v>
      </c>
      <c r="AS24" s="256"/>
      <c r="AT24" s="75"/>
      <c r="AU24" s="76"/>
      <c r="AV24" s="76"/>
      <c r="AW24" s="77">
        <f t="shared" si="27"/>
        <v>0</v>
      </c>
      <c r="AY24" s="182" t="str">
        <f t="shared" si="13"/>
        <v/>
      </c>
      <c r="AZ24" s="182" t="str">
        <f t="shared" si="14"/>
        <v/>
      </c>
      <c r="BA24" s="182" t="str">
        <f t="shared" si="15"/>
        <v/>
      </c>
      <c r="BC24" s="279">
        <f t="shared" si="16"/>
        <v>0</v>
      </c>
      <c r="BD24" s="294">
        <f>X24-(Graphs!G141/60)</f>
        <v>0</v>
      </c>
      <c r="BE24" s="284">
        <f>AE24-Graphs!G141</f>
        <v>0</v>
      </c>
    </row>
    <row r="25" spans="1:57" ht="22.5" customHeight="1">
      <c r="A25" s="15"/>
      <c r="B25" s="26">
        <v>22</v>
      </c>
      <c r="C25" s="47"/>
      <c r="D25" s="38">
        <f t="shared" si="23"/>
        <v>0</v>
      </c>
      <c r="E25" s="47"/>
      <c r="F25" s="38">
        <f t="shared" ref="F25:F34" si="28">E25-J25</f>
        <v>0</v>
      </c>
      <c r="G25" s="38">
        <f t="shared" ref="G25:G34" si="29">F25/1000+G24</f>
        <v>0</v>
      </c>
      <c r="H25" s="47"/>
      <c r="I25" s="47"/>
      <c r="J25" s="47"/>
      <c r="K25" s="47"/>
      <c r="L25" s="47"/>
      <c r="M25" s="47"/>
      <c r="N25" s="38">
        <f t="shared" si="17"/>
        <v>0</v>
      </c>
      <c r="O25" s="47"/>
      <c r="P25" s="43" t="str">
        <f t="shared" si="1"/>
        <v/>
      </c>
      <c r="Q25" s="47"/>
      <c r="R25" s="38">
        <f t="shared" si="18"/>
        <v>0</v>
      </c>
      <c r="S25" s="51"/>
      <c r="T25" s="43" t="e">
        <f t="shared" si="19"/>
        <v>#DIV/0!</v>
      </c>
      <c r="U25" s="43" t="str">
        <f t="shared" si="2"/>
        <v/>
      </c>
      <c r="V25" s="43" t="e">
        <f t="shared" si="20"/>
        <v>#DIV/0!</v>
      </c>
      <c r="W25" s="220"/>
      <c r="X25" s="220"/>
      <c r="Y25" s="43">
        <f t="shared" si="3"/>
        <v>0</v>
      </c>
      <c r="Z25" s="51"/>
      <c r="AA25" s="38">
        <f t="shared" si="21"/>
        <v>0</v>
      </c>
      <c r="AB25" s="52" t="str">
        <f t="shared" si="26"/>
        <v/>
      </c>
      <c r="AC25" s="52" t="str">
        <f t="shared" si="4"/>
        <v/>
      </c>
      <c r="AD25" s="52" t="e">
        <f t="shared" si="5"/>
        <v>#DIV/0!</v>
      </c>
      <c r="AE25" s="47"/>
      <c r="AF25" s="47"/>
      <c r="AG25" s="52" t="str">
        <f t="shared" si="6"/>
        <v/>
      </c>
      <c r="AH25" s="43" t="str">
        <f t="shared" si="7"/>
        <v/>
      </c>
      <c r="AI25" s="52" t="str">
        <f t="shared" si="8"/>
        <v/>
      </c>
      <c r="AJ25" s="47"/>
      <c r="AK25" s="220"/>
      <c r="AL25" s="43" t="str">
        <f t="shared" si="22"/>
        <v/>
      </c>
      <c r="AM25" s="38"/>
      <c r="AN25" s="56" t="str">
        <f t="shared" si="9"/>
        <v/>
      </c>
      <c r="AO25" s="59"/>
      <c r="AP25" s="262" t="str">
        <f t="shared" si="10"/>
        <v/>
      </c>
      <c r="AQ25" s="61" t="str">
        <f t="shared" si="11"/>
        <v/>
      </c>
      <c r="AR25" s="63">
        <f t="shared" si="12"/>
        <v>-0.3</v>
      </c>
      <c r="AS25" s="256"/>
      <c r="AT25" s="75"/>
      <c r="AU25" s="76"/>
      <c r="AV25" s="76"/>
      <c r="AW25" s="77">
        <f t="shared" si="27"/>
        <v>0</v>
      </c>
      <c r="AY25" s="182" t="str">
        <f t="shared" si="13"/>
        <v/>
      </c>
      <c r="AZ25" s="182" t="str">
        <f t="shared" si="14"/>
        <v/>
      </c>
      <c r="BA25" s="182" t="str">
        <f t="shared" si="15"/>
        <v/>
      </c>
      <c r="BC25" s="279">
        <f t="shared" si="16"/>
        <v>0</v>
      </c>
      <c r="BD25" s="294">
        <f>X25-(Graphs!G144/60)</f>
        <v>0</v>
      </c>
      <c r="BE25" s="284">
        <f>AE25-Graphs!G144</f>
        <v>0</v>
      </c>
    </row>
    <row r="26" spans="1:57" ht="22.5" customHeight="1">
      <c r="A26" s="15"/>
      <c r="B26" s="26">
        <v>23</v>
      </c>
      <c r="C26" s="47"/>
      <c r="D26" s="38">
        <f t="shared" si="23"/>
        <v>0</v>
      </c>
      <c r="E26" s="47"/>
      <c r="F26" s="38">
        <f t="shared" si="28"/>
        <v>0</v>
      </c>
      <c r="G26" s="38">
        <f t="shared" si="29"/>
        <v>0</v>
      </c>
      <c r="H26" s="47"/>
      <c r="I26" s="47"/>
      <c r="J26" s="47"/>
      <c r="K26" s="47"/>
      <c r="L26" s="47"/>
      <c r="M26" s="47"/>
      <c r="N26" s="38">
        <f t="shared" si="17"/>
        <v>0</v>
      </c>
      <c r="O26" s="47"/>
      <c r="P26" s="43" t="str">
        <f t="shared" si="1"/>
        <v/>
      </c>
      <c r="Q26" s="47"/>
      <c r="R26" s="38">
        <f t="shared" ref="R26:R34" si="30">Q26+R25</f>
        <v>0</v>
      </c>
      <c r="S26" s="51"/>
      <c r="T26" s="43" t="e">
        <f t="shared" ref="T26:T34" si="31">L26/W26</f>
        <v>#DIV/0!</v>
      </c>
      <c r="U26" s="43" t="str">
        <f t="shared" si="2"/>
        <v/>
      </c>
      <c r="V26" s="43" t="e">
        <f t="shared" ref="V26:V34" si="32">N26/Y26</f>
        <v>#DIV/0!</v>
      </c>
      <c r="W26" s="220"/>
      <c r="X26" s="220"/>
      <c r="Y26" s="43">
        <f t="shared" si="3"/>
        <v>0</v>
      </c>
      <c r="Z26" s="51"/>
      <c r="AA26" s="38">
        <f t="shared" si="21"/>
        <v>0</v>
      </c>
      <c r="AB26" s="52" t="str">
        <f t="shared" ref="AB26:AB34" si="33">IF(C26=0,"",C26/1000/W26)</f>
        <v/>
      </c>
      <c r="AC26" s="52" t="str">
        <f t="shared" si="4"/>
        <v/>
      </c>
      <c r="AD26" s="52" t="e">
        <f t="shared" ref="AD26:AD34" si="34">G26/Y26</f>
        <v>#DIV/0!</v>
      </c>
      <c r="AE26" s="47"/>
      <c r="AF26" s="47"/>
      <c r="AG26" s="52" t="str">
        <f t="shared" ref="AG26:AG34" si="35">IF(F26=0,"",F26/1000/AA26)</f>
        <v/>
      </c>
      <c r="AH26" s="43" t="str">
        <f t="shared" si="7"/>
        <v/>
      </c>
      <c r="AI26" s="52" t="str">
        <f t="shared" ref="AI26:AI34" si="36">IF(F26=0,"",F26/1000/M26)</f>
        <v/>
      </c>
      <c r="AJ26" s="47"/>
      <c r="AK26" s="220"/>
      <c r="AL26" s="43" t="str">
        <f t="shared" si="22"/>
        <v/>
      </c>
      <c r="AM26" s="38"/>
      <c r="AN26" s="56" t="str">
        <f t="shared" si="9"/>
        <v/>
      </c>
      <c r="AO26" s="59"/>
      <c r="AP26" s="262" t="str">
        <f t="shared" si="10"/>
        <v/>
      </c>
      <c r="AQ26" s="61" t="str">
        <f t="shared" ref="AQ26:AQ34" si="37">IF(AP26="","",AP26-AO26)</f>
        <v/>
      </c>
      <c r="AR26" s="63">
        <f t="shared" si="12"/>
        <v>-0.3</v>
      </c>
      <c r="AS26" s="256"/>
      <c r="AT26" s="75"/>
      <c r="AU26" s="76"/>
      <c r="AV26" s="76"/>
      <c r="AW26" s="77">
        <f t="shared" si="27"/>
        <v>0</v>
      </c>
      <c r="AY26" s="182" t="str">
        <f t="shared" si="13"/>
        <v/>
      </c>
      <c r="AZ26" s="182" t="str">
        <f t="shared" si="14"/>
        <v/>
      </c>
      <c r="BA26" s="182" t="str">
        <f t="shared" si="15"/>
        <v/>
      </c>
      <c r="BC26" s="279">
        <f t="shared" si="16"/>
        <v>0</v>
      </c>
      <c r="BD26" s="294">
        <f>X26-(Graphs!G147/60)</f>
        <v>0</v>
      </c>
      <c r="BE26" s="284">
        <f>AE26-Graphs!G147</f>
        <v>0</v>
      </c>
    </row>
    <row r="27" spans="1:57" ht="22.5" customHeight="1">
      <c r="A27" s="15"/>
      <c r="B27" s="26">
        <v>24</v>
      </c>
      <c r="C27" s="47"/>
      <c r="D27" s="38">
        <f t="shared" si="23"/>
        <v>0</v>
      </c>
      <c r="E27" s="47"/>
      <c r="F27" s="38">
        <f t="shared" si="28"/>
        <v>0</v>
      </c>
      <c r="G27" s="38">
        <f t="shared" si="29"/>
        <v>0</v>
      </c>
      <c r="H27" s="47"/>
      <c r="I27" s="47"/>
      <c r="J27" s="47"/>
      <c r="K27" s="47"/>
      <c r="L27" s="47"/>
      <c r="M27" s="47"/>
      <c r="N27" s="38">
        <f t="shared" si="17"/>
        <v>0</v>
      </c>
      <c r="O27" s="47"/>
      <c r="P27" s="43" t="str">
        <f t="shared" si="1"/>
        <v/>
      </c>
      <c r="Q27" s="47"/>
      <c r="R27" s="38">
        <f t="shared" si="30"/>
        <v>0</v>
      </c>
      <c r="S27" s="51"/>
      <c r="T27" s="43" t="e">
        <f t="shared" si="31"/>
        <v>#DIV/0!</v>
      </c>
      <c r="U27" s="43" t="str">
        <f t="shared" si="2"/>
        <v/>
      </c>
      <c r="V27" s="43" t="e">
        <f t="shared" si="32"/>
        <v>#DIV/0!</v>
      </c>
      <c r="W27" s="220"/>
      <c r="X27" s="220"/>
      <c r="Y27" s="43">
        <f t="shared" si="3"/>
        <v>0</v>
      </c>
      <c r="Z27" s="51"/>
      <c r="AA27" s="38">
        <f t="shared" si="21"/>
        <v>0</v>
      </c>
      <c r="AB27" s="52" t="str">
        <f t="shared" si="33"/>
        <v/>
      </c>
      <c r="AC27" s="52" t="str">
        <f t="shared" si="4"/>
        <v/>
      </c>
      <c r="AD27" s="52" t="e">
        <f t="shared" si="34"/>
        <v>#DIV/0!</v>
      </c>
      <c r="AE27" s="47"/>
      <c r="AF27" s="47"/>
      <c r="AG27" s="52" t="str">
        <f t="shared" si="35"/>
        <v/>
      </c>
      <c r="AH27" s="43" t="str">
        <f t="shared" si="7"/>
        <v/>
      </c>
      <c r="AI27" s="52" t="str">
        <f t="shared" si="36"/>
        <v/>
      </c>
      <c r="AJ27" s="47"/>
      <c r="AK27" s="220"/>
      <c r="AL27" s="43" t="str">
        <f t="shared" si="22"/>
        <v/>
      </c>
      <c r="AM27" s="38"/>
      <c r="AN27" s="56" t="str">
        <f t="shared" si="9"/>
        <v/>
      </c>
      <c r="AO27" s="59"/>
      <c r="AP27" s="262" t="str">
        <f t="shared" si="10"/>
        <v/>
      </c>
      <c r="AQ27" s="61" t="str">
        <f t="shared" si="37"/>
        <v/>
      </c>
      <c r="AR27" s="63">
        <f t="shared" si="12"/>
        <v>-0.3</v>
      </c>
      <c r="AS27" s="256"/>
      <c r="AT27" s="75"/>
      <c r="AU27" s="76"/>
      <c r="AV27" s="76"/>
      <c r="AW27" s="77">
        <f t="shared" si="27"/>
        <v>0</v>
      </c>
      <c r="AY27" s="182" t="str">
        <f t="shared" si="13"/>
        <v/>
      </c>
      <c r="AZ27" s="182" t="str">
        <f t="shared" si="14"/>
        <v/>
      </c>
      <c r="BA27" s="182" t="str">
        <f t="shared" si="15"/>
        <v/>
      </c>
      <c r="BC27" s="279">
        <f t="shared" si="16"/>
        <v>0</v>
      </c>
      <c r="BD27" s="294">
        <f>X27-(Graphs!G150/60)</f>
        <v>0</v>
      </c>
      <c r="BE27" s="284">
        <f>AE27-Graphs!G150</f>
        <v>0</v>
      </c>
    </row>
    <row r="28" spans="1:57" ht="22.5" customHeight="1">
      <c r="A28" s="15"/>
      <c r="B28" s="26">
        <v>25</v>
      </c>
      <c r="C28" s="47"/>
      <c r="D28" s="38">
        <f t="shared" si="23"/>
        <v>0</v>
      </c>
      <c r="E28" s="47"/>
      <c r="F28" s="38">
        <f t="shared" si="28"/>
        <v>0</v>
      </c>
      <c r="G28" s="38">
        <f t="shared" si="29"/>
        <v>0</v>
      </c>
      <c r="H28" s="47"/>
      <c r="I28" s="47"/>
      <c r="J28" s="47"/>
      <c r="K28" s="47"/>
      <c r="L28" s="47"/>
      <c r="M28" s="47"/>
      <c r="N28" s="38">
        <f t="shared" si="17"/>
        <v>0</v>
      </c>
      <c r="O28" s="47"/>
      <c r="P28" s="43" t="str">
        <f t="shared" si="1"/>
        <v/>
      </c>
      <c r="Q28" s="47"/>
      <c r="R28" s="38">
        <f t="shared" si="30"/>
        <v>0</v>
      </c>
      <c r="S28" s="51"/>
      <c r="T28" s="43" t="e">
        <f t="shared" si="31"/>
        <v>#DIV/0!</v>
      </c>
      <c r="U28" s="43" t="str">
        <f t="shared" si="2"/>
        <v/>
      </c>
      <c r="V28" s="43" t="e">
        <f t="shared" si="32"/>
        <v>#DIV/0!</v>
      </c>
      <c r="W28" s="220"/>
      <c r="X28" s="220"/>
      <c r="Y28" s="43">
        <f t="shared" si="3"/>
        <v>0</v>
      </c>
      <c r="Z28" s="51"/>
      <c r="AA28" s="38">
        <f t="shared" si="21"/>
        <v>0</v>
      </c>
      <c r="AB28" s="52" t="str">
        <f t="shared" si="33"/>
        <v/>
      </c>
      <c r="AC28" s="52" t="str">
        <f t="shared" si="4"/>
        <v/>
      </c>
      <c r="AD28" s="52" t="e">
        <f t="shared" si="34"/>
        <v>#DIV/0!</v>
      </c>
      <c r="AE28" s="47"/>
      <c r="AF28" s="47"/>
      <c r="AG28" s="52" t="str">
        <f t="shared" si="35"/>
        <v/>
      </c>
      <c r="AH28" s="43" t="str">
        <f t="shared" si="7"/>
        <v/>
      </c>
      <c r="AI28" s="52" t="str">
        <f t="shared" si="36"/>
        <v/>
      </c>
      <c r="AJ28" s="47"/>
      <c r="AK28" s="220"/>
      <c r="AL28" s="43" t="str">
        <f t="shared" si="22"/>
        <v/>
      </c>
      <c r="AM28" s="38"/>
      <c r="AN28" s="56" t="str">
        <f t="shared" si="9"/>
        <v/>
      </c>
      <c r="AO28" s="59"/>
      <c r="AP28" s="262" t="str">
        <f t="shared" si="10"/>
        <v/>
      </c>
      <c r="AQ28" s="61" t="str">
        <f t="shared" si="37"/>
        <v/>
      </c>
      <c r="AR28" s="63">
        <f t="shared" si="12"/>
        <v>-0.3</v>
      </c>
      <c r="AS28" s="256"/>
      <c r="AT28" s="75"/>
      <c r="AU28" s="76"/>
      <c r="AV28" s="76"/>
      <c r="AW28" s="77">
        <f t="shared" si="27"/>
        <v>0</v>
      </c>
      <c r="AY28" s="182" t="str">
        <f t="shared" si="13"/>
        <v/>
      </c>
      <c r="AZ28" s="182" t="str">
        <f t="shared" si="14"/>
        <v/>
      </c>
      <c r="BA28" s="182" t="str">
        <f t="shared" si="15"/>
        <v/>
      </c>
      <c r="BC28" s="279">
        <f t="shared" si="16"/>
        <v>0</v>
      </c>
      <c r="BD28" s="294">
        <f>X28-(Graphs!G153/60)</f>
        <v>0</v>
      </c>
      <c r="BE28" s="284">
        <f>AE28-Graphs!G153</f>
        <v>0</v>
      </c>
    </row>
    <row r="29" spans="1:57" ht="22.5" customHeight="1">
      <c r="A29" s="15"/>
      <c r="B29" s="26">
        <v>26</v>
      </c>
      <c r="C29" s="47"/>
      <c r="D29" s="38">
        <f t="shared" si="23"/>
        <v>0</v>
      </c>
      <c r="E29" s="47"/>
      <c r="F29" s="38">
        <f t="shared" si="28"/>
        <v>0</v>
      </c>
      <c r="G29" s="38">
        <f t="shared" si="29"/>
        <v>0</v>
      </c>
      <c r="H29" s="47"/>
      <c r="I29" s="47"/>
      <c r="J29" s="47"/>
      <c r="K29" s="47"/>
      <c r="L29" s="47"/>
      <c r="M29" s="47"/>
      <c r="N29" s="38">
        <f t="shared" si="17"/>
        <v>0</v>
      </c>
      <c r="O29" s="47"/>
      <c r="P29" s="43" t="str">
        <f t="shared" si="1"/>
        <v/>
      </c>
      <c r="Q29" s="47"/>
      <c r="R29" s="38">
        <f t="shared" si="30"/>
        <v>0</v>
      </c>
      <c r="S29" s="51"/>
      <c r="T29" s="43" t="e">
        <f t="shared" si="31"/>
        <v>#DIV/0!</v>
      </c>
      <c r="U29" s="43" t="str">
        <f t="shared" si="2"/>
        <v/>
      </c>
      <c r="V29" s="43" t="e">
        <f t="shared" si="32"/>
        <v>#DIV/0!</v>
      </c>
      <c r="W29" s="220"/>
      <c r="X29" s="220"/>
      <c r="Y29" s="43">
        <f t="shared" si="3"/>
        <v>0</v>
      </c>
      <c r="Z29" s="51"/>
      <c r="AA29" s="38">
        <f t="shared" si="21"/>
        <v>0</v>
      </c>
      <c r="AB29" s="52" t="str">
        <f t="shared" si="33"/>
        <v/>
      </c>
      <c r="AC29" s="52" t="str">
        <f t="shared" si="4"/>
        <v/>
      </c>
      <c r="AD29" s="52" t="e">
        <f t="shared" si="34"/>
        <v>#DIV/0!</v>
      </c>
      <c r="AE29" s="47"/>
      <c r="AF29" s="47"/>
      <c r="AG29" s="52" t="str">
        <f t="shared" si="35"/>
        <v/>
      </c>
      <c r="AH29" s="43" t="str">
        <f t="shared" si="7"/>
        <v/>
      </c>
      <c r="AI29" s="52" t="str">
        <f t="shared" si="36"/>
        <v/>
      </c>
      <c r="AJ29" s="47"/>
      <c r="AK29" s="220"/>
      <c r="AL29" s="43" t="str">
        <f t="shared" si="22"/>
        <v/>
      </c>
      <c r="AM29" s="38"/>
      <c r="AN29" s="56" t="str">
        <f t="shared" si="9"/>
        <v/>
      </c>
      <c r="AO29" s="59"/>
      <c r="AP29" s="262" t="str">
        <f t="shared" si="10"/>
        <v/>
      </c>
      <c r="AQ29" s="61" t="str">
        <f t="shared" si="37"/>
        <v/>
      </c>
      <c r="AR29" s="63">
        <f t="shared" si="12"/>
        <v>-0.3</v>
      </c>
      <c r="AS29" s="256"/>
      <c r="AT29" s="75"/>
      <c r="AU29" s="76"/>
      <c r="AV29" s="76"/>
      <c r="AW29" s="77">
        <f t="shared" si="27"/>
        <v>0</v>
      </c>
      <c r="AY29" s="182" t="str">
        <f t="shared" si="13"/>
        <v/>
      </c>
      <c r="AZ29" s="182" t="str">
        <f t="shared" si="14"/>
        <v/>
      </c>
      <c r="BA29" s="182" t="str">
        <f t="shared" si="15"/>
        <v/>
      </c>
      <c r="BC29" s="279">
        <f t="shared" si="16"/>
        <v>0</v>
      </c>
      <c r="BD29" s="294">
        <f>X29-(Graphs!G156/60)</f>
        <v>0</v>
      </c>
      <c r="BE29" s="284">
        <f>AE29-Graphs!G156</f>
        <v>0</v>
      </c>
    </row>
    <row r="30" spans="1:57" ht="22.5" customHeight="1">
      <c r="A30" s="15"/>
      <c r="B30" s="26">
        <v>27</v>
      </c>
      <c r="C30" s="47"/>
      <c r="D30" s="38">
        <f t="shared" si="23"/>
        <v>0</v>
      </c>
      <c r="E30" s="47"/>
      <c r="F30" s="38">
        <f t="shared" si="28"/>
        <v>0</v>
      </c>
      <c r="G30" s="38">
        <f t="shared" si="29"/>
        <v>0</v>
      </c>
      <c r="H30" s="47"/>
      <c r="I30" s="47"/>
      <c r="J30" s="47"/>
      <c r="K30" s="47"/>
      <c r="L30" s="47"/>
      <c r="M30" s="47"/>
      <c r="N30" s="38">
        <f t="shared" si="17"/>
        <v>0</v>
      </c>
      <c r="O30" s="47"/>
      <c r="P30" s="43" t="str">
        <f t="shared" si="1"/>
        <v/>
      </c>
      <c r="Q30" s="47"/>
      <c r="R30" s="38">
        <f t="shared" si="30"/>
        <v>0</v>
      </c>
      <c r="S30" s="51"/>
      <c r="T30" s="43" t="e">
        <f t="shared" si="31"/>
        <v>#DIV/0!</v>
      </c>
      <c r="U30" s="43" t="str">
        <f t="shared" si="2"/>
        <v/>
      </c>
      <c r="V30" s="43" t="e">
        <f t="shared" si="32"/>
        <v>#DIV/0!</v>
      </c>
      <c r="W30" s="220"/>
      <c r="X30" s="220"/>
      <c r="Y30" s="43">
        <f t="shared" si="3"/>
        <v>0</v>
      </c>
      <c r="Z30" s="51"/>
      <c r="AA30" s="38">
        <f t="shared" si="21"/>
        <v>0</v>
      </c>
      <c r="AB30" s="52" t="str">
        <f t="shared" si="33"/>
        <v/>
      </c>
      <c r="AC30" s="52" t="str">
        <f t="shared" si="4"/>
        <v/>
      </c>
      <c r="AD30" s="52" t="e">
        <f t="shared" si="34"/>
        <v>#DIV/0!</v>
      </c>
      <c r="AE30" s="47"/>
      <c r="AF30" s="47"/>
      <c r="AG30" s="52" t="str">
        <f t="shared" si="35"/>
        <v/>
      </c>
      <c r="AH30" s="43" t="str">
        <f t="shared" si="7"/>
        <v/>
      </c>
      <c r="AI30" s="52" t="str">
        <f t="shared" si="36"/>
        <v/>
      </c>
      <c r="AJ30" s="47"/>
      <c r="AK30" s="220"/>
      <c r="AL30" s="43" t="str">
        <f t="shared" si="22"/>
        <v/>
      </c>
      <c r="AM30" s="38"/>
      <c r="AN30" s="56" t="str">
        <f t="shared" si="9"/>
        <v/>
      </c>
      <c r="AO30" s="59"/>
      <c r="AP30" s="262" t="str">
        <f t="shared" si="10"/>
        <v/>
      </c>
      <c r="AQ30" s="61" t="str">
        <f t="shared" si="37"/>
        <v/>
      </c>
      <c r="AR30" s="63">
        <f t="shared" si="12"/>
        <v>-0.3</v>
      </c>
      <c r="AS30" s="256"/>
      <c r="AT30" s="75"/>
      <c r="AU30" s="76"/>
      <c r="AV30" s="76"/>
      <c r="AW30" s="77">
        <f t="shared" si="27"/>
        <v>0</v>
      </c>
      <c r="AY30" s="182" t="str">
        <f t="shared" si="13"/>
        <v/>
      </c>
      <c r="AZ30" s="182" t="str">
        <f t="shared" si="14"/>
        <v/>
      </c>
      <c r="BA30" s="182" t="str">
        <f t="shared" si="15"/>
        <v/>
      </c>
      <c r="BC30" s="279">
        <f t="shared" si="16"/>
        <v>0</v>
      </c>
      <c r="BD30" s="294">
        <f>X30-(Graphs!G159/60)</f>
        <v>0</v>
      </c>
      <c r="BE30" s="284">
        <f>AE30-Graphs!G159</f>
        <v>0</v>
      </c>
    </row>
    <row r="31" spans="1:57" ht="22.5" customHeight="1">
      <c r="A31" s="15"/>
      <c r="B31" s="26">
        <v>28</v>
      </c>
      <c r="C31" s="47"/>
      <c r="D31" s="38">
        <f t="shared" si="23"/>
        <v>0</v>
      </c>
      <c r="E31" s="47"/>
      <c r="F31" s="38">
        <f t="shared" si="28"/>
        <v>0</v>
      </c>
      <c r="G31" s="38">
        <f t="shared" si="29"/>
        <v>0</v>
      </c>
      <c r="H31" s="47"/>
      <c r="I31" s="47"/>
      <c r="J31" s="47"/>
      <c r="K31" s="47"/>
      <c r="L31" s="47"/>
      <c r="M31" s="47"/>
      <c r="N31" s="38">
        <f t="shared" si="17"/>
        <v>0</v>
      </c>
      <c r="O31" s="47"/>
      <c r="P31" s="43" t="str">
        <f t="shared" si="1"/>
        <v/>
      </c>
      <c r="Q31" s="47"/>
      <c r="R31" s="38">
        <f t="shared" si="30"/>
        <v>0</v>
      </c>
      <c r="S31" s="51"/>
      <c r="T31" s="43" t="e">
        <f t="shared" si="31"/>
        <v>#DIV/0!</v>
      </c>
      <c r="U31" s="43" t="str">
        <f t="shared" si="2"/>
        <v/>
      </c>
      <c r="V31" s="43" t="e">
        <f t="shared" si="32"/>
        <v>#DIV/0!</v>
      </c>
      <c r="W31" s="220"/>
      <c r="X31" s="220"/>
      <c r="Y31" s="43">
        <f t="shared" si="3"/>
        <v>0</v>
      </c>
      <c r="Z31" s="51"/>
      <c r="AA31" s="38">
        <f t="shared" si="21"/>
        <v>0</v>
      </c>
      <c r="AB31" s="52" t="str">
        <f t="shared" si="33"/>
        <v/>
      </c>
      <c r="AC31" s="52" t="str">
        <f t="shared" si="4"/>
        <v/>
      </c>
      <c r="AD31" s="52" t="e">
        <f t="shared" si="34"/>
        <v>#DIV/0!</v>
      </c>
      <c r="AE31" s="47"/>
      <c r="AF31" s="47"/>
      <c r="AG31" s="52" t="str">
        <f t="shared" si="35"/>
        <v/>
      </c>
      <c r="AH31" s="43" t="str">
        <f t="shared" si="7"/>
        <v/>
      </c>
      <c r="AI31" s="52" t="str">
        <f t="shared" si="36"/>
        <v/>
      </c>
      <c r="AJ31" s="47"/>
      <c r="AK31" s="220"/>
      <c r="AL31" s="43" t="str">
        <f t="shared" si="22"/>
        <v/>
      </c>
      <c r="AM31" s="38"/>
      <c r="AN31" s="56" t="str">
        <f t="shared" si="9"/>
        <v/>
      </c>
      <c r="AO31" s="59"/>
      <c r="AP31" s="262" t="str">
        <f t="shared" si="10"/>
        <v/>
      </c>
      <c r="AQ31" s="61" t="str">
        <f t="shared" si="37"/>
        <v/>
      </c>
      <c r="AR31" s="63">
        <f t="shared" si="12"/>
        <v>-0.3</v>
      </c>
      <c r="AS31" s="256"/>
      <c r="AT31" s="75"/>
      <c r="AU31" s="76"/>
      <c r="AV31" s="76"/>
      <c r="AW31" s="77">
        <f t="shared" si="27"/>
        <v>0</v>
      </c>
      <c r="AY31" s="182" t="str">
        <f t="shared" si="13"/>
        <v/>
      </c>
      <c r="AZ31" s="182" t="str">
        <f t="shared" si="14"/>
        <v/>
      </c>
      <c r="BA31" s="182" t="str">
        <f t="shared" si="15"/>
        <v/>
      </c>
      <c r="BC31" s="279">
        <f t="shared" si="16"/>
        <v>0</v>
      </c>
      <c r="BD31" s="294">
        <f>X31-(Graphs!G162/60)</f>
        <v>0</v>
      </c>
      <c r="BE31" s="284">
        <f>AE31-Graphs!G162</f>
        <v>0</v>
      </c>
    </row>
    <row r="32" spans="1:57" ht="22.5" customHeight="1">
      <c r="A32" s="15"/>
      <c r="B32" s="26">
        <v>29</v>
      </c>
      <c r="C32" s="47"/>
      <c r="D32" s="38">
        <f t="shared" si="23"/>
        <v>0</v>
      </c>
      <c r="E32" s="47"/>
      <c r="F32" s="38">
        <f t="shared" si="28"/>
        <v>0</v>
      </c>
      <c r="G32" s="38">
        <f t="shared" si="29"/>
        <v>0</v>
      </c>
      <c r="H32" s="47"/>
      <c r="I32" s="47"/>
      <c r="J32" s="47"/>
      <c r="K32" s="47"/>
      <c r="L32" s="47"/>
      <c r="M32" s="47"/>
      <c r="N32" s="38">
        <f t="shared" si="17"/>
        <v>0</v>
      </c>
      <c r="O32" s="47"/>
      <c r="P32" s="43" t="str">
        <f t="shared" si="1"/>
        <v/>
      </c>
      <c r="Q32" s="47"/>
      <c r="R32" s="38">
        <f t="shared" si="30"/>
        <v>0</v>
      </c>
      <c r="S32" s="51"/>
      <c r="T32" s="43" t="e">
        <f t="shared" si="31"/>
        <v>#DIV/0!</v>
      </c>
      <c r="U32" s="43" t="str">
        <f t="shared" si="2"/>
        <v/>
      </c>
      <c r="V32" s="43" t="e">
        <f t="shared" si="32"/>
        <v>#DIV/0!</v>
      </c>
      <c r="W32" s="220"/>
      <c r="X32" s="220"/>
      <c r="Y32" s="43">
        <f t="shared" si="3"/>
        <v>0</v>
      </c>
      <c r="Z32" s="51"/>
      <c r="AA32" s="38">
        <f t="shared" si="21"/>
        <v>0</v>
      </c>
      <c r="AB32" s="52" t="str">
        <f t="shared" si="33"/>
        <v/>
      </c>
      <c r="AC32" s="52" t="str">
        <f t="shared" si="4"/>
        <v/>
      </c>
      <c r="AD32" s="52" t="e">
        <f t="shared" si="34"/>
        <v>#DIV/0!</v>
      </c>
      <c r="AE32" s="47"/>
      <c r="AF32" s="47"/>
      <c r="AG32" s="52" t="str">
        <f t="shared" si="35"/>
        <v/>
      </c>
      <c r="AH32" s="43" t="str">
        <f t="shared" si="7"/>
        <v/>
      </c>
      <c r="AI32" s="52" t="str">
        <f t="shared" si="36"/>
        <v/>
      </c>
      <c r="AJ32" s="47"/>
      <c r="AK32" s="220"/>
      <c r="AL32" s="43" t="str">
        <f t="shared" si="22"/>
        <v/>
      </c>
      <c r="AM32" s="38"/>
      <c r="AN32" s="56" t="str">
        <f t="shared" si="9"/>
        <v/>
      </c>
      <c r="AO32" s="59"/>
      <c r="AP32" s="262" t="str">
        <f t="shared" si="10"/>
        <v/>
      </c>
      <c r="AQ32" s="61" t="str">
        <f t="shared" si="37"/>
        <v/>
      </c>
      <c r="AR32" s="63">
        <f t="shared" si="12"/>
        <v>-0.3</v>
      </c>
      <c r="AS32" s="256"/>
      <c r="AT32" s="75"/>
      <c r="AU32" s="76"/>
      <c r="AV32" s="76"/>
      <c r="AW32" s="77">
        <f t="shared" si="27"/>
        <v>0</v>
      </c>
      <c r="AY32" s="182" t="str">
        <f t="shared" si="13"/>
        <v/>
      </c>
      <c r="AZ32" s="182" t="str">
        <f t="shared" si="14"/>
        <v/>
      </c>
      <c r="BA32" s="182" t="str">
        <f t="shared" si="15"/>
        <v/>
      </c>
      <c r="BC32" s="279">
        <f t="shared" si="16"/>
        <v>0</v>
      </c>
      <c r="BD32" s="294">
        <f>X32-(Graphs!G165/60)</f>
        <v>0</v>
      </c>
      <c r="BE32" s="284">
        <f>AE32-Graphs!G165</f>
        <v>0</v>
      </c>
    </row>
    <row r="33" spans="1:57" ht="22.5" customHeight="1">
      <c r="A33" s="15"/>
      <c r="B33" s="26">
        <v>30</v>
      </c>
      <c r="C33" s="47"/>
      <c r="D33" s="38">
        <f t="shared" si="23"/>
        <v>0</v>
      </c>
      <c r="E33" s="47"/>
      <c r="F33" s="38">
        <f t="shared" si="28"/>
        <v>0</v>
      </c>
      <c r="G33" s="38">
        <f t="shared" si="29"/>
        <v>0</v>
      </c>
      <c r="H33" s="47"/>
      <c r="I33" s="47"/>
      <c r="J33" s="47"/>
      <c r="K33" s="47"/>
      <c r="L33" s="47"/>
      <c r="M33" s="47"/>
      <c r="N33" s="38">
        <f t="shared" si="17"/>
        <v>0</v>
      </c>
      <c r="O33" s="47"/>
      <c r="P33" s="43" t="str">
        <f t="shared" si="1"/>
        <v/>
      </c>
      <c r="Q33" s="47"/>
      <c r="R33" s="38">
        <f t="shared" si="30"/>
        <v>0</v>
      </c>
      <c r="S33" s="51"/>
      <c r="T33" s="43" t="e">
        <f t="shared" si="31"/>
        <v>#DIV/0!</v>
      </c>
      <c r="U33" s="43" t="str">
        <f t="shared" si="2"/>
        <v/>
      </c>
      <c r="V33" s="43" t="e">
        <f t="shared" si="32"/>
        <v>#DIV/0!</v>
      </c>
      <c r="W33" s="220"/>
      <c r="X33" s="220"/>
      <c r="Y33" s="43">
        <f t="shared" si="3"/>
        <v>0</v>
      </c>
      <c r="Z33" s="51"/>
      <c r="AA33" s="38">
        <f t="shared" si="21"/>
        <v>0</v>
      </c>
      <c r="AB33" s="52" t="str">
        <f t="shared" si="33"/>
        <v/>
      </c>
      <c r="AC33" s="52" t="str">
        <f t="shared" si="4"/>
        <v/>
      </c>
      <c r="AD33" s="52" t="e">
        <f t="shared" si="34"/>
        <v>#DIV/0!</v>
      </c>
      <c r="AE33" s="47"/>
      <c r="AF33" s="47"/>
      <c r="AG33" s="52" t="str">
        <f t="shared" si="35"/>
        <v/>
      </c>
      <c r="AH33" s="43" t="str">
        <f t="shared" si="7"/>
        <v/>
      </c>
      <c r="AI33" s="52" t="str">
        <f t="shared" si="36"/>
        <v/>
      </c>
      <c r="AJ33" s="47"/>
      <c r="AK33" s="220"/>
      <c r="AL33" s="43" t="str">
        <f t="shared" si="22"/>
        <v/>
      </c>
      <c r="AM33" s="38"/>
      <c r="AN33" s="56" t="str">
        <f t="shared" si="9"/>
        <v/>
      </c>
      <c r="AO33" s="59"/>
      <c r="AP33" s="262" t="str">
        <f t="shared" si="10"/>
        <v/>
      </c>
      <c r="AQ33" s="61" t="str">
        <f t="shared" si="37"/>
        <v/>
      </c>
      <c r="AR33" s="63">
        <f t="shared" si="12"/>
        <v>-0.3</v>
      </c>
      <c r="AS33" s="256"/>
      <c r="AT33" s="75"/>
      <c r="AU33" s="76"/>
      <c r="AV33" s="76"/>
      <c r="AW33" s="77">
        <f t="shared" si="27"/>
        <v>0</v>
      </c>
      <c r="AY33" s="182" t="str">
        <f t="shared" si="13"/>
        <v/>
      </c>
      <c r="AZ33" s="182" t="str">
        <f t="shared" si="14"/>
        <v/>
      </c>
      <c r="BA33" s="182" t="str">
        <f t="shared" si="15"/>
        <v/>
      </c>
      <c r="BC33" s="279">
        <f t="shared" si="16"/>
        <v>0</v>
      </c>
      <c r="BD33" s="294">
        <f>X33-(Graphs!G168/60)</f>
        <v>0</v>
      </c>
      <c r="BE33" s="284">
        <f>AE33-Graphs!G168</f>
        <v>0</v>
      </c>
    </row>
    <row r="34" spans="1:57" ht="22.5" customHeight="1" thickBot="1">
      <c r="A34" s="15"/>
      <c r="B34" s="26">
        <v>31</v>
      </c>
      <c r="C34" s="47"/>
      <c r="D34" s="38">
        <f t="shared" si="23"/>
        <v>0</v>
      </c>
      <c r="E34" s="47"/>
      <c r="F34" s="38">
        <f t="shared" si="28"/>
        <v>0</v>
      </c>
      <c r="G34" s="38">
        <f t="shared" si="29"/>
        <v>0</v>
      </c>
      <c r="H34" s="47"/>
      <c r="I34" s="47"/>
      <c r="J34" s="47"/>
      <c r="K34" s="47"/>
      <c r="L34" s="47"/>
      <c r="M34" s="47"/>
      <c r="N34" s="38">
        <f t="shared" si="17"/>
        <v>0</v>
      </c>
      <c r="O34" s="47"/>
      <c r="P34" s="43" t="str">
        <f t="shared" si="1"/>
        <v/>
      </c>
      <c r="Q34" s="47"/>
      <c r="R34" s="38">
        <f t="shared" si="30"/>
        <v>0</v>
      </c>
      <c r="S34" s="51"/>
      <c r="T34" s="43" t="e">
        <f t="shared" si="31"/>
        <v>#DIV/0!</v>
      </c>
      <c r="U34" s="43" t="str">
        <f t="shared" si="2"/>
        <v/>
      </c>
      <c r="V34" s="43" t="e">
        <f t="shared" si="32"/>
        <v>#DIV/0!</v>
      </c>
      <c r="W34" s="220"/>
      <c r="X34" s="220"/>
      <c r="Y34" s="43">
        <f t="shared" si="3"/>
        <v>0</v>
      </c>
      <c r="Z34" s="51"/>
      <c r="AA34" s="38">
        <f t="shared" si="21"/>
        <v>0</v>
      </c>
      <c r="AB34" s="52" t="str">
        <f t="shared" si="33"/>
        <v/>
      </c>
      <c r="AC34" s="52" t="str">
        <f t="shared" si="4"/>
        <v/>
      </c>
      <c r="AD34" s="52" t="e">
        <f t="shared" si="34"/>
        <v>#DIV/0!</v>
      </c>
      <c r="AE34" s="47"/>
      <c r="AF34" s="47"/>
      <c r="AG34" s="52" t="str">
        <f t="shared" si="35"/>
        <v/>
      </c>
      <c r="AH34" s="43" t="str">
        <f t="shared" si="7"/>
        <v/>
      </c>
      <c r="AI34" s="52" t="str">
        <f t="shared" si="36"/>
        <v/>
      </c>
      <c r="AJ34" s="47"/>
      <c r="AK34" s="220"/>
      <c r="AL34" s="43" t="str">
        <f t="shared" si="22"/>
        <v/>
      </c>
      <c r="AM34" s="38"/>
      <c r="AN34" s="56" t="str">
        <f t="shared" si="9"/>
        <v/>
      </c>
      <c r="AO34" s="59"/>
      <c r="AP34" s="262" t="str">
        <f t="shared" si="10"/>
        <v/>
      </c>
      <c r="AQ34" s="61" t="str">
        <f t="shared" si="37"/>
        <v/>
      </c>
      <c r="AR34" s="63">
        <f t="shared" si="12"/>
        <v>-0.3</v>
      </c>
      <c r="AS34" s="256"/>
      <c r="AT34" s="75"/>
      <c r="AU34" s="76"/>
      <c r="AV34" s="76"/>
      <c r="AW34" s="77">
        <f t="shared" si="27"/>
        <v>0</v>
      </c>
      <c r="AY34" s="182" t="str">
        <f t="shared" si="13"/>
        <v/>
      </c>
      <c r="AZ34" s="182" t="str">
        <f t="shared" si="14"/>
        <v/>
      </c>
      <c r="BA34" s="182" t="str">
        <f t="shared" si="15"/>
        <v/>
      </c>
      <c r="BC34" s="279">
        <f t="shared" si="16"/>
        <v>0</v>
      </c>
      <c r="BD34" s="294">
        <f>X34-(Graphs!G171/60)</f>
        <v>0</v>
      </c>
      <c r="BE34" s="284">
        <f>AE34-Graphs!G171</f>
        <v>0</v>
      </c>
    </row>
    <row r="35" spans="1:57" ht="22.5" customHeight="1" thickBot="1">
      <c r="A35" s="16"/>
      <c r="B35" s="28" t="s">
        <v>41</v>
      </c>
      <c r="C35" s="39">
        <f>SUM(C4:C34)</f>
        <v>0</v>
      </c>
      <c r="D35" s="39"/>
      <c r="E35" s="39">
        <f>SUM(E4:E34)</f>
        <v>0</v>
      </c>
      <c r="F35" s="39">
        <f>SUM(F4:F34)</f>
        <v>0</v>
      </c>
      <c r="G35" s="92">
        <f>G34</f>
        <v>0</v>
      </c>
      <c r="H35" s="39">
        <f t="shared" ref="H35:M35" si="38">SUM(H4:H34)</f>
        <v>0</v>
      </c>
      <c r="I35" s="39">
        <f t="shared" si="38"/>
        <v>0</v>
      </c>
      <c r="J35" s="39">
        <f t="shared" si="38"/>
        <v>0</v>
      </c>
      <c r="K35" s="39">
        <f t="shared" si="38"/>
        <v>0</v>
      </c>
      <c r="L35" s="39">
        <f t="shared" si="38"/>
        <v>0</v>
      </c>
      <c r="M35" s="39">
        <f t="shared" si="38"/>
        <v>0</v>
      </c>
      <c r="N35" s="39">
        <f>N34</f>
        <v>0</v>
      </c>
      <c r="O35" s="39">
        <f>SUM(O4:O34)</f>
        <v>0</v>
      </c>
      <c r="P35" s="42" t="e">
        <f>AVERAGE(P4:P34)</f>
        <v>#DIV/0!</v>
      </c>
      <c r="Q35" s="39">
        <f>SUM(Q4:Q34)</f>
        <v>0</v>
      </c>
      <c r="R35" s="39">
        <f>R34</f>
        <v>0</v>
      </c>
      <c r="S35" s="88" t="e">
        <f>AVERAGE(S4:S34)</f>
        <v>#DIV/0!</v>
      </c>
      <c r="T35" s="88"/>
      <c r="U35" s="89" t="e">
        <f>Q35/X35</f>
        <v>#DIV/0!</v>
      </c>
      <c r="V35" s="194" t="e">
        <f>V34</f>
        <v>#DIV/0!</v>
      </c>
      <c r="W35" s="194">
        <f>SUM(W4:W34)</f>
        <v>0</v>
      </c>
      <c r="X35" s="194">
        <f>SUM(X4:X34)</f>
        <v>0</v>
      </c>
      <c r="Y35" s="42">
        <f>Y34</f>
        <v>0</v>
      </c>
      <c r="Z35" s="42">
        <f>SUM(Z4:Z34)</f>
        <v>0</v>
      </c>
      <c r="AA35" s="39">
        <f>SUM(AA4:AA34)</f>
        <v>0</v>
      </c>
      <c r="AB35" s="53" t="e">
        <f>AVERAGE(AB4:AB34)</f>
        <v>#DIV/0!</v>
      </c>
      <c r="AC35" s="53" t="e">
        <f>AVERAGE(AC4:AC34)</f>
        <v>#DIV/0!</v>
      </c>
      <c r="AD35" s="53" t="e">
        <f>AD34</f>
        <v>#DIV/0!</v>
      </c>
      <c r="AE35" s="39">
        <f>SUM(AE4:AE34)</f>
        <v>0</v>
      </c>
      <c r="AF35" s="39">
        <f>SUM(AF4:AF34)</f>
        <v>0</v>
      </c>
      <c r="AG35" s="53" t="e">
        <f>AVERAGE(AG4:AG34)</f>
        <v>#DIV/0!</v>
      </c>
      <c r="AH35" s="53" t="e">
        <f>AVERAGE(AH4:AH34)</f>
        <v>#DIV/0!</v>
      </c>
      <c r="AI35" s="53" t="e">
        <f>AVERAGE(AI4:AI34)</f>
        <v>#DIV/0!</v>
      </c>
      <c r="AJ35" s="39">
        <f>SUM(AJ4:AJ34)</f>
        <v>0</v>
      </c>
      <c r="AK35" s="194">
        <f>SUM(AK4:AK34)</f>
        <v>0</v>
      </c>
      <c r="AL35" s="42">
        <f>SUM(AL4:AL34)</f>
        <v>0</v>
      </c>
      <c r="AM35" s="39">
        <f>SUM(AM4:AM34)</f>
        <v>0</v>
      </c>
      <c r="AN35" s="57" t="e">
        <f>AVERAGE(AN4:AN34)</f>
        <v>#DIV/0!</v>
      </c>
      <c r="AO35" s="57" t="e">
        <f>AY35/BA35</f>
        <v>#DIV/0!</v>
      </c>
      <c r="AP35" s="57" t="e">
        <f>AS35/F35</f>
        <v>#DIV/0!</v>
      </c>
      <c r="AQ35" s="57" t="e">
        <f>AP35-AO35</f>
        <v>#DIV/0!</v>
      </c>
      <c r="AR35" s="65">
        <f>AVERAGE(AR4:AR34)</f>
        <v>-0.30000000000000004</v>
      </c>
      <c r="AS35" s="253">
        <f>SUM(AS4:AS34)</f>
        <v>0</v>
      </c>
      <c r="AT35" s="82">
        <f>SUM(AT4:AT34)</f>
        <v>0</v>
      </c>
      <c r="AU35" s="83">
        <f>SUM(AU4:AU34)</f>
        <v>0</v>
      </c>
      <c r="AV35" s="84">
        <f>SUM(AV4:AV34)</f>
        <v>0</v>
      </c>
      <c r="AW35" s="85">
        <f>SUM(AW4:AW34)</f>
        <v>0</v>
      </c>
      <c r="AY35" s="185">
        <f>SUM(AY4:AY34)</f>
        <v>0</v>
      </c>
      <c r="AZ35" s="186">
        <f>SUM(AZ4:AZ34)</f>
        <v>0</v>
      </c>
      <c r="BA35" s="187">
        <f>SUM(BA4:BA34)</f>
        <v>0</v>
      </c>
      <c r="BC35" s="280">
        <f>SUM(BC4:BC34)</f>
        <v>0</v>
      </c>
      <c r="BD35" s="280">
        <f t="shared" ref="BD35:BE35" si="39">SUM(BD4:BD34)</f>
        <v>0</v>
      </c>
      <c r="BE35" s="280">
        <f t="shared" si="39"/>
        <v>0</v>
      </c>
    </row>
    <row r="36" spans="1:57" ht="22.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17"/>
      <c r="AM36" s="6"/>
      <c r="AN36" s="6"/>
      <c r="AO36" s="23"/>
      <c r="AP36" s="260"/>
      <c r="AQ36" s="6"/>
      <c r="AR36" s="6"/>
      <c r="BC36" s="5"/>
    </row>
    <row r="37" spans="1:57" ht="17.25" customHeight="1" thickBot="1">
      <c r="A37" s="6"/>
      <c r="B37" s="312" t="s">
        <v>120</v>
      </c>
      <c r="C37" s="312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309"/>
      <c r="AK37" s="309"/>
      <c r="AL37" s="18"/>
      <c r="AM37" s="6"/>
      <c r="AN37" s="20"/>
      <c r="AO37" s="23"/>
      <c r="AP37" s="260"/>
      <c r="AQ37" s="6"/>
      <c r="AR37" s="6"/>
      <c r="AT37" s="313" t="s">
        <v>120</v>
      </c>
      <c r="AU37" s="313"/>
      <c r="AV37" s="313"/>
      <c r="AW37" s="313"/>
      <c r="BC37" s="5"/>
    </row>
    <row r="38" spans="1:57" ht="71.25" customHeight="1" thickBot="1">
      <c r="A38" s="13"/>
      <c r="B38" s="29" t="s">
        <v>6</v>
      </c>
      <c r="C38" s="46" t="s">
        <v>7</v>
      </c>
      <c r="D38" s="45" t="s">
        <v>8</v>
      </c>
      <c r="E38" s="48" t="s">
        <v>9</v>
      </c>
      <c r="F38" s="49" t="s">
        <v>10</v>
      </c>
      <c r="G38" s="45" t="s">
        <v>11</v>
      </c>
      <c r="H38" s="48" t="s">
        <v>61</v>
      </c>
      <c r="I38" s="48" t="s">
        <v>12</v>
      </c>
      <c r="J38" s="48" t="s">
        <v>13</v>
      </c>
      <c r="K38" s="48" t="s">
        <v>79</v>
      </c>
      <c r="L38" s="46" t="s">
        <v>14</v>
      </c>
      <c r="M38" s="48" t="s">
        <v>15</v>
      </c>
      <c r="N38" s="45" t="s">
        <v>99</v>
      </c>
      <c r="O38" s="48" t="s">
        <v>16</v>
      </c>
      <c r="P38" s="36" t="s">
        <v>17</v>
      </c>
      <c r="Q38" s="48" t="s">
        <v>18</v>
      </c>
      <c r="R38" s="45" t="s">
        <v>19</v>
      </c>
      <c r="S38" s="50" t="s">
        <v>20</v>
      </c>
      <c r="T38" s="45" t="s">
        <v>98</v>
      </c>
      <c r="U38" s="36" t="s">
        <v>21</v>
      </c>
      <c r="V38" s="45" t="s">
        <v>22</v>
      </c>
      <c r="W38" s="46" t="s">
        <v>24</v>
      </c>
      <c r="X38" s="46" t="s">
        <v>25</v>
      </c>
      <c r="Y38" s="45" t="s">
        <v>23</v>
      </c>
      <c r="Z38" s="48" t="s">
        <v>26</v>
      </c>
      <c r="AA38" s="36" t="s">
        <v>27</v>
      </c>
      <c r="AB38" s="45" t="s">
        <v>30</v>
      </c>
      <c r="AC38" s="36" t="s">
        <v>29</v>
      </c>
      <c r="AD38" s="45" t="s">
        <v>28</v>
      </c>
      <c r="AE38" s="48" t="s">
        <v>80</v>
      </c>
      <c r="AF38" s="54" t="s">
        <v>81</v>
      </c>
      <c r="AG38" s="36" t="s">
        <v>31</v>
      </c>
      <c r="AH38" s="36" t="s">
        <v>32</v>
      </c>
      <c r="AI38" s="36" t="s">
        <v>33</v>
      </c>
      <c r="AJ38" s="48" t="s">
        <v>34</v>
      </c>
      <c r="AK38" s="54" t="s">
        <v>35</v>
      </c>
      <c r="AL38" s="55" t="s">
        <v>78</v>
      </c>
      <c r="AM38" s="44" t="s">
        <v>1</v>
      </c>
      <c r="AN38" s="49" t="s">
        <v>36</v>
      </c>
      <c r="AO38" s="58" t="s">
        <v>37</v>
      </c>
      <c r="AP38" s="263" t="s">
        <v>38</v>
      </c>
      <c r="AQ38" s="49" t="s">
        <v>39</v>
      </c>
      <c r="AR38" s="66">
        <v>-0.3</v>
      </c>
      <c r="AS38" s="252" t="s">
        <v>124</v>
      </c>
      <c r="AT38" s="67" t="s">
        <v>42</v>
      </c>
      <c r="AU38" s="68" t="s">
        <v>45</v>
      </c>
      <c r="AV38" s="68" t="s">
        <v>46</v>
      </c>
      <c r="AW38" s="69" t="s">
        <v>47</v>
      </c>
      <c r="AY38" s="179" t="s">
        <v>146</v>
      </c>
      <c r="AZ38" s="180" t="s">
        <v>147</v>
      </c>
      <c r="BA38" s="181" t="s">
        <v>148</v>
      </c>
      <c r="BC38" s="281" t="s">
        <v>120</v>
      </c>
      <c r="BD38" s="289" t="s">
        <v>142</v>
      </c>
      <c r="BE38" s="289" t="s">
        <v>149</v>
      </c>
    </row>
    <row r="39" spans="1:57" ht="22.5" customHeight="1">
      <c r="A39" s="15"/>
      <c r="B39" s="200">
        <v>1</v>
      </c>
      <c r="C39" s="47"/>
      <c r="D39" s="38">
        <f>C39/1000</f>
        <v>0</v>
      </c>
      <c r="E39" s="47"/>
      <c r="F39" s="38">
        <f>E39-J39</f>
        <v>0</v>
      </c>
      <c r="G39" s="38">
        <f>F39/1000</f>
        <v>0</v>
      </c>
      <c r="H39" s="47"/>
      <c r="I39" s="47"/>
      <c r="J39" s="47"/>
      <c r="K39" s="47"/>
      <c r="L39" s="47"/>
      <c r="M39" s="47"/>
      <c r="N39" s="38">
        <f>M39</f>
        <v>0</v>
      </c>
      <c r="O39" s="47"/>
      <c r="P39" s="43" t="str">
        <f>IF(O39="","",O39/BD39)</f>
        <v/>
      </c>
      <c r="Q39" s="47"/>
      <c r="R39" s="38">
        <f>Q39</f>
        <v>0</v>
      </c>
      <c r="S39" s="51"/>
      <c r="T39" s="43" t="e">
        <f>L39/W39</f>
        <v>#DIV/0!</v>
      </c>
      <c r="U39" s="43" t="str">
        <f>IF(M39="","",M39/BD39)</f>
        <v/>
      </c>
      <c r="V39" s="43" t="e">
        <f>N39/Y39</f>
        <v>#DIV/0!</v>
      </c>
      <c r="W39" s="220"/>
      <c r="X39" s="220"/>
      <c r="Y39" s="43">
        <f>BD39</f>
        <v>0</v>
      </c>
      <c r="Z39" s="51"/>
      <c r="AA39" s="38">
        <f>IF(BD39="","",BD39*(AU39))</f>
        <v>0</v>
      </c>
      <c r="AB39" s="52" t="str">
        <f>IF(C39=0,"",C39/1000/W39)</f>
        <v/>
      </c>
      <c r="AC39" s="52" t="str">
        <f>IF(F39=0,"",F39/1000/BD39)</f>
        <v/>
      </c>
      <c r="AD39" s="52" t="e">
        <f>G39/Y39</f>
        <v>#DIV/0!</v>
      </c>
      <c r="AE39" s="47"/>
      <c r="AF39" s="47"/>
      <c r="AG39" s="52" t="str">
        <f>IF(F39=0,"",F39/1000/AA39)</f>
        <v/>
      </c>
      <c r="AH39" s="43" t="str">
        <f>IF(M39="","",M39/BD39)</f>
        <v/>
      </c>
      <c r="AI39" s="52" t="str">
        <f>IF(F39=0,"",F39/1000/M39)</f>
        <v/>
      </c>
      <c r="AJ39" s="47"/>
      <c r="AK39" s="220"/>
      <c r="AL39" s="43" t="str">
        <f>IF(BD39=0,"",((BD39+Z39)-(BE39/60)-AK39)/M39)</f>
        <v/>
      </c>
      <c r="AM39" s="38"/>
      <c r="AN39" s="56" t="str">
        <f>IF(F39=0,"",AK39/(BD39*60))</f>
        <v/>
      </c>
      <c r="AO39" s="59"/>
      <c r="AP39" s="262" t="str">
        <f>IF(E39="","",(AS39/F39)*100)</f>
        <v/>
      </c>
      <c r="AQ39" s="61" t="str">
        <f>IF(AP39="","",AP39-AO39)</f>
        <v/>
      </c>
      <c r="AR39" s="62">
        <f>$AR$3</f>
        <v>-0.3</v>
      </c>
      <c r="AS39" s="255"/>
      <c r="AT39" s="71"/>
      <c r="AU39" s="72"/>
      <c r="AV39" s="72"/>
      <c r="AW39" s="73">
        <f t="shared" ref="AW39:AW49" si="40">AT39-AU39-AV39</f>
        <v>0</v>
      </c>
      <c r="AY39" s="182" t="str">
        <f>IF(AO39=0,"",(BA39*AO39/100))</f>
        <v/>
      </c>
      <c r="AZ39" s="182" t="str">
        <f>IF(AO39=0,"",(BA39*AP39/100))</f>
        <v/>
      </c>
      <c r="BA39" s="182" t="str">
        <f>IF(AO39=0,"",F39)</f>
        <v/>
      </c>
      <c r="BC39" s="279">
        <f>AS39/1000</f>
        <v>0</v>
      </c>
      <c r="BD39" s="294">
        <f>X39-(Graphs!G82/60)</f>
        <v>0</v>
      </c>
      <c r="BE39" s="284">
        <f>AE39-Graphs!G82</f>
        <v>0</v>
      </c>
    </row>
    <row r="40" spans="1:57" ht="22.5" customHeight="1">
      <c r="A40" s="15"/>
      <c r="B40" s="26">
        <v>2</v>
      </c>
      <c r="C40" s="47"/>
      <c r="D40" s="38">
        <f>C40/1000+D39</f>
        <v>0</v>
      </c>
      <c r="E40" s="47"/>
      <c r="F40" s="38">
        <f>E40-J40</f>
        <v>0</v>
      </c>
      <c r="G40" s="38">
        <f>F40/1000+G39</f>
        <v>0</v>
      </c>
      <c r="H40" s="47"/>
      <c r="I40" s="47"/>
      <c r="J40" s="47"/>
      <c r="K40" s="47"/>
      <c r="L40" s="47"/>
      <c r="M40" s="47"/>
      <c r="N40" s="38">
        <f>M40+N39</f>
        <v>0</v>
      </c>
      <c r="O40" s="47"/>
      <c r="P40" s="43" t="str">
        <f t="shared" ref="P40:P69" si="41">IF(O40="","",O40/BD40)</f>
        <v/>
      </c>
      <c r="Q40" s="47"/>
      <c r="R40" s="38">
        <f>Q40+R39</f>
        <v>0</v>
      </c>
      <c r="S40" s="51"/>
      <c r="T40" s="43" t="e">
        <f>L40/W40</f>
        <v>#DIV/0!</v>
      </c>
      <c r="U40" s="43" t="str">
        <f t="shared" ref="U40:U69" si="42">IF(M40="","",M40/BD40)</f>
        <v/>
      </c>
      <c r="V40" s="43" t="e">
        <f>N40/Y40</f>
        <v>#DIV/0!</v>
      </c>
      <c r="W40" s="220"/>
      <c r="X40" s="220"/>
      <c r="Y40" s="43">
        <f t="shared" ref="Y40:Y69" si="43">BD40+Y39</f>
        <v>0</v>
      </c>
      <c r="Z40" s="51"/>
      <c r="AA40" s="38">
        <f t="shared" ref="AA40:AA69" si="44">IF(BD40="","",BD40*(AU40))</f>
        <v>0</v>
      </c>
      <c r="AB40" s="52" t="str">
        <f>IF(C40=0,"",C40/1000/W40)</f>
        <v/>
      </c>
      <c r="AC40" s="52" t="str">
        <f t="shared" ref="AC40:AC69" si="45">IF(F40=0,"",F40/1000/BD40)</f>
        <v/>
      </c>
      <c r="AD40" s="52" t="e">
        <f>G40/Y40</f>
        <v>#DIV/0!</v>
      </c>
      <c r="AE40" s="47"/>
      <c r="AF40" s="47"/>
      <c r="AG40" s="52" t="str">
        <f t="shared" ref="AG40:AG69" si="46">IF(F40=0,"",F40/1000/AA40)</f>
        <v/>
      </c>
      <c r="AH40" s="43" t="str">
        <f t="shared" ref="AH40:AH69" si="47">IF(M40="","",M40/BD40)</f>
        <v/>
      </c>
      <c r="AI40" s="52" t="str">
        <f t="shared" ref="AI40:AI69" si="48">IF(F40=0,"",F40/1000/M40)</f>
        <v/>
      </c>
      <c r="AJ40" s="47"/>
      <c r="AK40" s="220"/>
      <c r="AL40" s="43" t="str">
        <f t="shared" ref="AL40:AL69" si="49">IF(BD40=0,"",((BD40+Z40)-(BE40/60)-AK40)/M40)</f>
        <v/>
      </c>
      <c r="AM40" s="38"/>
      <c r="AN40" s="56" t="str">
        <f t="shared" ref="AN40:AN69" si="50">IF(F40=0,"",AK40/(BD40*60))</f>
        <v/>
      </c>
      <c r="AO40" s="220"/>
      <c r="AP40" s="262" t="str">
        <f t="shared" ref="AP40:AP69" si="51">IF(E40="","",(AS40/F40)*100)</f>
        <v/>
      </c>
      <c r="AQ40" s="247" t="str">
        <f t="shared" ref="AQ40:AQ69" si="52">IF(AP40="","",AP40-AO40)</f>
        <v/>
      </c>
      <c r="AR40" s="63">
        <f t="shared" ref="AR40:AR69" si="53">$AR$3</f>
        <v>-0.3</v>
      </c>
      <c r="AS40" s="255"/>
      <c r="AT40" s="71"/>
      <c r="AU40" s="72"/>
      <c r="AV40" s="72"/>
      <c r="AW40" s="77">
        <f t="shared" si="40"/>
        <v>0</v>
      </c>
      <c r="AY40" s="182" t="str">
        <f t="shared" ref="AY40:AY69" si="54">IF(AO40=0,"",(BA40*AO40/100))</f>
        <v/>
      </c>
      <c r="AZ40" s="182" t="str">
        <f t="shared" ref="AZ40:AZ69" si="55">IF(AO40=0,"",(BA40*AP40/100))</f>
        <v/>
      </c>
      <c r="BA40" s="182" t="str">
        <f t="shared" ref="BA40:BA69" si="56">IF(AO40=0,"",F40)</f>
        <v/>
      </c>
      <c r="BC40" s="279">
        <f t="shared" ref="BC40:BC69" si="57">AS40/1000</f>
        <v>0</v>
      </c>
      <c r="BD40" s="294">
        <f>X40-(Graphs!G85/60)</f>
        <v>0</v>
      </c>
      <c r="BE40" s="284">
        <f>AE40-Graphs!G85</f>
        <v>0</v>
      </c>
    </row>
    <row r="41" spans="1:57" ht="22.5" customHeight="1">
      <c r="A41" s="15"/>
      <c r="B41" s="26">
        <v>3</v>
      </c>
      <c r="C41" s="47"/>
      <c r="D41" s="38">
        <f>C41/1000+D40</f>
        <v>0</v>
      </c>
      <c r="E41" s="47"/>
      <c r="F41" s="38">
        <f>E41-J41</f>
        <v>0</v>
      </c>
      <c r="G41" s="38">
        <f>F41/1000+G40</f>
        <v>0</v>
      </c>
      <c r="H41" s="47"/>
      <c r="I41" s="47"/>
      <c r="J41" s="47"/>
      <c r="K41" s="47"/>
      <c r="L41" s="47"/>
      <c r="M41" s="47"/>
      <c r="N41" s="38">
        <f t="shared" ref="N41:N69" si="58">M41+N40</f>
        <v>0</v>
      </c>
      <c r="O41" s="47"/>
      <c r="P41" s="43" t="str">
        <f t="shared" si="41"/>
        <v/>
      </c>
      <c r="Q41" s="47"/>
      <c r="R41" s="38">
        <f>Q41+R40</f>
        <v>0</v>
      </c>
      <c r="S41" s="51"/>
      <c r="T41" s="43" t="e">
        <f t="shared" ref="T41:T69" si="59">L41/W41</f>
        <v>#DIV/0!</v>
      </c>
      <c r="U41" s="43" t="str">
        <f t="shared" si="42"/>
        <v/>
      </c>
      <c r="V41" s="43" t="e">
        <f>N41/Y41</f>
        <v>#DIV/0!</v>
      </c>
      <c r="W41" s="220"/>
      <c r="X41" s="220"/>
      <c r="Y41" s="43">
        <f t="shared" si="43"/>
        <v>0</v>
      </c>
      <c r="Z41" s="51"/>
      <c r="AA41" s="38">
        <f t="shared" si="44"/>
        <v>0</v>
      </c>
      <c r="AB41" s="52" t="str">
        <f>IF(C41=0,"",C41/1000/W41)</f>
        <v/>
      </c>
      <c r="AC41" s="52" t="str">
        <f t="shared" si="45"/>
        <v/>
      </c>
      <c r="AD41" s="52" t="e">
        <f>G41/Y41</f>
        <v>#DIV/0!</v>
      </c>
      <c r="AE41" s="47"/>
      <c r="AF41" s="47"/>
      <c r="AG41" s="52" t="str">
        <f t="shared" si="46"/>
        <v/>
      </c>
      <c r="AH41" s="43" t="str">
        <f t="shared" si="47"/>
        <v/>
      </c>
      <c r="AI41" s="52" t="str">
        <f t="shared" si="48"/>
        <v/>
      </c>
      <c r="AJ41" s="47"/>
      <c r="AK41" s="220"/>
      <c r="AL41" s="43" t="str">
        <f t="shared" si="49"/>
        <v/>
      </c>
      <c r="AM41" s="38"/>
      <c r="AN41" s="56" t="str">
        <f t="shared" si="50"/>
        <v/>
      </c>
      <c r="AO41" s="59"/>
      <c r="AP41" s="262" t="str">
        <f t="shared" si="51"/>
        <v/>
      </c>
      <c r="AQ41" s="61" t="str">
        <f t="shared" si="52"/>
        <v/>
      </c>
      <c r="AR41" s="63">
        <f t="shared" si="53"/>
        <v>-0.3</v>
      </c>
      <c r="AS41" s="255"/>
      <c r="AT41" s="71"/>
      <c r="AU41" s="72"/>
      <c r="AV41" s="76"/>
      <c r="AW41" s="77">
        <f t="shared" si="40"/>
        <v>0</v>
      </c>
      <c r="AY41" s="182" t="str">
        <f t="shared" si="54"/>
        <v/>
      </c>
      <c r="AZ41" s="182" t="str">
        <f t="shared" si="55"/>
        <v/>
      </c>
      <c r="BA41" s="182" t="str">
        <f t="shared" si="56"/>
        <v/>
      </c>
      <c r="BC41" s="279">
        <f t="shared" si="57"/>
        <v>0</v>
      </c>
      <c r="BD41" s="294">
        <f>X41-(Graphs!G88/60)</f>
        <v>0</v>
      </c>
      <c r="BE41" s="284">
        <f>AE41-Graphs!G88</f>
        <v>0</v>
      </c>
    </row>
    <row r="42" spans="1:57" ht="22.5" customHeight="1">
      <c r="A42" s="15"/>
      <c r="B42" s="26">
        <v>4</v>
      </c>
      <c r="C42" s="47"/>
      <c r="D42" s="38">
        <f t="shared" ref="D42:D69" si="60">C42/1000+D41</f>
        <v>0</v>
      </c>
      <c r="E42" s="47"/>
      <c r="F42" s="38">
        <f>E42-J42</f>
        <v>0</v>
      </c>
      <c r="G42" s="38">
        <f t="shared" ref="G42:G69" si="61">F42/1000+G41</f>
        <v>0</v>
      </c>
      <c r="H42" s="47"/>
      <c r="I42" s="47"/>
      <c r="J42" s="47"/>
      <c r="K42" s="47"/>
      <c r="L42" s="47"/>
      <c r="M42" s="47"/>
      <c r="N42" s="38">
        <f t="shared" si="58"/>
        <v>0</v>
      </c>
      <c r="O42" s="47"/>
      <c r="P42" s="43" t="str">
        <f t="shared" si="41"/>
        <v/>
      </c>
      <c r="Q42" s="47"/>
      <c r="R42" s="38">
        <f>Q42+R41</f>
        <v>0</v>
      </c>
      <c r="S42" s="51"/>
      <c r="T42" s="43" t="e">
        <f t="shared" si="59"/>
        <v>#DIV/0!</v>
      </c>
      <c r="U42" s="43" t="str">
        <f t="shared" si="42"/>
        <v/>
      </c>
      <c r="V42" s="43" t="e">
        <f>N42/Y42</f>
        <v>#DIV/0!</v>
      </c>
      <c r="W42" s="220"/>
      <c r="X42" s="220"/>
      <c r="Y42" s="43">
        <f t="shared" si="43"/>
        <v>0</v>
      </c>
      <c r="Z42" s="51"/>
      <c r="AA42" s="38">
        <f t="shared" si="44"/>
        <v>0</v>
      </c>
      <c r="AB42" s="52" t="str">
        <f>IF(C42=0,"",C42/1000/W42)</f>
        <v/>
      </c>
      <c r="AC42" s="52" t="str">
        <f t="shared" si="45"/>
        <v/>
      </c>
      <c r="AD42" s="52" t="e">
        <f>G42/Y42</f>
        <v>#DIV/0!</v>
      </c>
      <c r="AE42" s="47"/>
      <c r="AF42" s="47"/>
      <c r="AG42" s="52" t="str">
        <f t="shared" si="46"/>
        <v/>
      </c>
      <c r="AH42" s="43" t="str">
        <f t="shared" si="47"/>
        <v/>
      </c>
      <c r="AI42" s="52" t="str">
        <f t="shared" si="48"/>
        <v/>
      </c>
      <c r="AJ42" s="47"/>
      <c r="AK42" s="220"/>
      <c r="AL42" s="43" t="str">
        <f t="shared" si="49"/>
        <v/>
      </c>
      <c r="AM42" s="38"/>
      <c r="AN42" s="56" t="str">
        <f t="shared" si="50"/>
        <v/>
      </c>
      <c r="AO42" s="59"/>
      <c r="AP42" s="262" t="str">
        <f t="shared" si="51"/>
        <v/>
      </c>
      <c r="AQ42" s="61" t="str">
        <f t="shared" si="52"/>
        <v/>
      </c>
      <c r="AR42" s="63">
        <f t="shared" si="53"/>
        <v>-0.3</v>
      </c>
      <c r="AS42" s="255"/>
      <c r="AT42" s="71"/>
      <c r="AU42" s="72"/>
      <c r="AV42" s="76"/>
      <c r="AW42" s="77">
        <f t="shared" si="40"/>
        <v>0</v>
      </c>
      <c r="AY42" s="182" t="str">
        <f t="shared" si="54"/>
        <v/>
      </c>
      <c r="AZ42" s="182" t="str">
        <f t="shared" si="55"/>
        <v/>
      </c>
      <c r="BA42" s="182" t="str">
        <f t="shared" si="56"/>
        <v/>
      </c>
      <c r="BC42" s="279">
        <f t="shared" si="57"/>
        <v>0</v>
      </c>
      <c r="BD42" s="294">
        <f>X42-(Graphs!G91/60)</f>
        <v>0</v>
      </c>
      <c r="BE42" s="284">
        <f>AE42-Graphs!G91</f>
        <v>0</v>
      </c>
    </row>
    <row r="43" spans="1:57" ht="22.5" customHeight="1">
      <c r="A43" s="15"/>
      <c r="B43" s="26">
        <v>5</v>
      </c>
      <c r="C43" s="47"/>
      <c r="D43" s="38">
        <f t="shared" si="60"/>
        <v>0</v>
      </c>
      <c r="E43" s="47"/>
      <c r="F43" s="38">
        <f t="shared" ref="F43:F69" si="62">E43-J43</f>
        <v>0</v>
      </c>
      <c r="G43" s="38">
        <f t="shared" si="61"/>
        <v>0</v>
      </c>
      <c r="H43" s="47"/>
      <c r="I43" s="47"/>
      <c r="J43" s="47"/>
      <c r="K43" s="47"/>
      <c r="L43" s="47"/>
      <c r="M43" s="47"/>
      <c r="N43" s="38">
        <f t="shared" si="58"/>
        <v>0</v>
      </c>
      <c r="O43" s="47"/>
      <c r="P43" s="43" t="str">
        <f t="shared" si="41"/>
        <v/>
      </c>
      <c r="Q43" s="47"/>
      <c r="R43" s="38">
        <f>Q43+R42</f>
        <v>0</v>
      </c>
      <c r="S43" s="51"/>
      <c r="T43" s="43" t="e">
        <f t="shared" si="59"/>
        <v>#DIV/0!</v>
      </c>
      <c r="U43" s="43" t="str">
        <f t="shared" si="42"/>
        <v/>
      </c>
      <c r="V43" s="43" t="e">
        <f t="shared" ref="V43:V69" si="63">N43/Y43</f>
        <v>#DIV/0!</v>
      </c>
      <c r="W43" s="220"/>
      <c r="X43" s="220"/>
      <c r="Y43" s="43">
        <f t="shared" si="43"/>
        <v>0</v>
      </c>
      <c r="Z43" s="51"/>
      <c r="AA43" s="38">
        <f t="shared" si="44"/>
        <v>0</v>
      </c>
      <c r="AB43" s="52" t="str">
        <f>IF(C43=0,"",C43/1000/W43)</f>
        <v/>
      </c>
      <c r="AC43" s="52" t="str">
        <f t="shared" si="45"/>
        <v/>
      </c>
      <c r="AD43" s="52" t="e">
        <f>G43/Y43</f>
        <v>#DIV/0!</v>
      </c>
      <c r="AE43" s="47"/>
      <c r="AF43" s="47"/>
      <c r="AG43" s="52" t="str">
        <f t="shared" si="46"/>
        <v/>
      </c>
      <c r="AH43" s="43" t="str">
        <f t="shared" si="47"/>
        <v/>
      </c>
      <c r="AI43" s="52" t="str">
        <f t="shared" si="48"/>
        <v/>
      </c>
      <c r="AJ43" s="47"/>
      <c r="AK43" s="220"/>
      <c r="AL43" s="43" t="str">
        <f t="shared" si="49"/>
        <v/>
      </c>
      <c r="AM43" s="38"/>
      <c r="AN43" s="56" t="str">
        <f t="shared" si="50"/>
        <v/>
      </c>
      <c r="AO43" s="59"/>
      <c r="AP43" s="262" t="str">
        <f t="shared" si="51"/>
        <v/>
      </c>
      <c r="AQ43" s="61" t="str">
        <f t="shared" si="52"/>
        <v/>
      </c>
      <c r="AR43" s="63">
        <f t="shared" si="53"/>
        <v>-0.3</v>
      </c>
      <c r="AS43" s="255"/>
      <c r="AT43" s="71"/>
      <c r="AU43" s="72"/>
      <c r="AV43" s="76"/>
      <c r="AW43" s="77">
        <f t="shared" si="40"/>
        <v>0</v>
      </c>
      <c r="AY43" s="182" t="str">
        <f t="shared" si="54"/>
        <v/>
      </c>
      <c r="AZ43" s="182" t="str">
        <f t="shared" si="55"/>
        <v/>
      </c>
      <c r="BA43" s="182" t="str">
        <f t="shared" si="56"/>
        <v/>
      </c>
      <c r="BC43" s="279">
        <f t="shared" si="57"/>
        <v>0</v>
      </c>
      <c r="BD43" s="294">
        <f>X43-(Graphs!G94/60)</f>
        <v>0</v>
      </c>
      <c r="BE43" s="284">
        <f>AE43-Graphs!G94</f>
        <v>0</v>
      </c>
    </row>
    <row r="44" spans="1:57" ht="22.5" customHeight="1">
      <c r="A44" s="15"/>
      <c r="B44" s="26">
        <v>6</v>
      </c>
      <c r="C44" s="47"/>
      <c r="D44" s="38">
        <f t="shared" si="60"/>
        <v>0</v>
      </c>
      <c r="E44" s="47"/>
      <c r="F44" s="38">
        <f t="shared" si="62"/>
        <v>0</v>
      </c>
      <c r="G44" s="38">
        <f t="shared" si="61"/>
        <v>0</v>
      </c>
      <c r="H44" s="47"/>
      <c r="I44" s="47"/>
      <c r="J44" s="47"/>
      <c r="K44" s="47"/>
      <c r="L44" s="47"/>
      <c r="M44" s="47"/>
      <c r="N44" s="38">
        <f t="shared" si="58"/>
        <v>0</v>
      </c>
      <c r="O44" s="47"/>
      <c r="P44" s="43" t="str">
        <f t="shared" si="41"/>
        <v/>
      </c>
      <c r="Q44" s="47"/>
      <c r="R44" s="38">
        <f t="shared" ref="R44:R69" si="64">Q44+R43</f>
        <v>0</v>
      </c>
      <c r="S44" s="51"/>
      <c r="T44" s="43" t="e">
        <f t="shared" si="59"/>
        <v>#DIV/0!</v>
      </c>
      <c r="U44" s="43" t="str">
        <f t="shared" si="42"/>
        <v/>
      </c>
      <c r="V44" s="43" t="e">
        <f t="shared" si="63"/>
        <v>#DIV/0!</v>
      </c>
      <c r="W44" s="220"/>
      <c r="X44" s="220"/>
      <c r="Y44" s="43">
        <f t="shared" si="43"/>
        <v>0</v>
      </c>
      <c r="Z44" s="51"/>
      <c r="AA44" s="38">
        <f t="shared" si="44"/>
        <v>0</v>
      </c>
      <c r="AB44" s="52" t="str">
        <f t="shared" ref="AB44:AB69" si="65">IF(C44=0,"",C44/1000/W44)</f>
        <v/>
      </c>
      <c r="AC44" s="52" t="str">
        <f t="shared" si="45"/>
        <v/>
      </c>
      <c r="AD44" s="52" t="e">
        <f t="shared" ref="AD44:AD69" si="66">G44/Y44</f>
        <v>#DIV/0!</v>
      </c>
      <c r="AE44" s="47"/>
      <c r="AF44" s="47"/>
      <c r="AG44" s="52" t="str">
        <f t="shared" si="46"/>
        <v/>
      </c>
      <c r="AH44" s="43" t="str">
        <f t="shared" si="47"/>
        <v/>
      </c>
      <c r="AI44" s="52" t="str">
        <f t="shared" si="48"/>
        <v/>
      </c>
      <c r="AJ44" s="47"/>
      <c r="AK44" s="220"/>
      <c r="AL44" s="43" t="str">
        <f t="shared" si="49"/>
        <v/>
      </c>
      <c r="AM44" s="38"/>
      <c r="AN44" s="56" t="str">
        <f t="shared" si="50"/>
        <v/>
      </c>
      <c r="AO44" s="59"/>
      <c r="AP44" s="262" t="str">
        <f t="shared" si="51"/>
        <v/>
      </c>
      <c r="AQ44" s="61" t="str">
        <f t="shared" si="52"/>
        <v/>
      </c>
      <c r="AR44" s="63">
        <f t="shared" si="53"/>
        <v>-0.3</v>
      </c>
      <c r="AS44" s="255"/>
      <c r="AT44" s="71"/>
      <c r="AU44" s="72"/>
      <c r="AV44" s="76"/>
      <c r="AW44" s="77">
        <f t="shared" si="40"/>
        <v>0</v>
      </c>
      <c r="AY44" s="182" t="str">
        <f t="shared" si="54"/>
        <v/>
      </c>
      <c r="AZ44" s="182" t="str">
        <f t="shared" si="55"/>
        <v/>
      </c>
      <c r="BA44" s="182" t="str">
        <f t="shared" si="56"/>
        <v/>
      </c>
      <c r="BC44" s="279">
        <f t="shared" si="57"/>
        <v>0</v>
      </c>
      <c r="BD44" s="294">
        <f>X44-(Graphs!G97/60)</f>
        <v>0</v>
      </c>
      <c r="BE44" s="284">
        <f>AE44-Graphs!G97</f>
        <v>0</v>
      </c>
    </row>
    <row r="45" spans="1:57" ht="22.5" customHeight="1">
      <c r="A45" s="15"/>
      <c r="B45" s="26">
        <v>7</v>
      </c>
      <c r="C45" s="47"/>
      <c r="D45" s="38">
        <f t="shared" si="60"/>
        <v>0</v>
      </c>
      <c r="E45" s="47"/>
      <c r="F45" s="38">
        <f t="shared" si="62"/>
        <v>0</v>
      </c>
      <c r="G45" s="38">
        <f t="shared" si="61"/>
        <v>0</v>
      </c>
      <c r="H45" s="47"/>
      <c r="I45" s="47"/>
      <c r="J45" s="47"/>
      <c r="K45" s="47"/>
      <c r="L45" s="47"/>
      <c r="M45" s="47"/>
      <c r="N45" s="38">
        <f t="shared" si="58"/>
        <v>0</v>
      </c>
      <c r="O45" s="47"/>
      <c r="P45" s="43" t="str">
        <f t="shared" si="41"/>
        <v/>
      </c>
      <c r="Q45" s="47"/>
      <c r="R45" s="38">
        <f t="shared" si="64"/>
        <v>0</v>
      </c>
      <c r="S45" s="51"/>
      <c r="T45" s="43" t="e">
        <f t="shared" si="59"/>
        <v>#DIV/0!</v>
      </c>
      <c r="U45" s="43" t="str">
        <f t="shared" si="42"/>
        <v/>
      </c>
      <c r="V45" s="43" t="e">
        <f t="shared" si="63"/>
        <v>#DIV/0!</v>
      </c>
      <c r="W45" s="220"/>
      <c r="X45" s="220"/>
      <c r="Y45" s="43">
        <f t="shared" si="43"/>
        <v>0</v>
      </c>
      <c r="Z45" s="51"/>
      <c r="AA45" s="38">
        <f t="shared" si="44"/>
        <v>0</v>
      </c>
      <c r="AB45" s="52" t="str">
        <f t="shared" si="65"/>
        <v/>
      </c>
      <c r="AC45" s="52" t="str">
        <f t="shared" si="45"/>
        <v/>
      </c>
      <c r="AD45" s="52" t="e">
        <f t="shared" si="66"/>
        <v>#DIV/0!</v>
      </c>
      <c r="AE45" s="47"/>
      <c r="AF45" s="47"/>
      <c r="AG45" s="52" t="str">
        <f t="shared" si="46"/>
        <v/>
      </c>
      <c r="AH45" s="43" t="str">
        <f t="shared" si="47"/>
        <v/>
      </c>
      <c r="AI45" s="52" t="str">
        <f t="shared" si="48"/>
        <v/>
      </c>
      <c r="AJ45" s="47"/>
      <c r="AK45" s="220"/>
      <c r="AL45" s="43" t="str">
        <f t="shared" si="49"/>
        <v/>
      </c>
      <c r="AM45" s="38"/>
      <c r="AN45" s="56" t="str">
        <f t="shared" si="50"/>
        <v/>
      </c>
      <c r="AO45" s="59"/>
      <c r="AP45" s="262" t="str">
        <f t="shared" si="51"/>
        <v/>
      </c>
      <c r="AQ45" s="61" t="str">
        <f t="shared" si="52"/>
        <v/>
      </c>
      <c r="AR45" s="63">
        <f t="shared" si="53"/>
        <v>-0.3</v>
      </c>
      <c r="AS45" s="255"/>
      <c r="AT45" s="75"/>
      <c r="AU45" s="76"/>
      <c r="AV45" s="76"/>
      <c r="AW45" s="77">
        <f t="shared" si="40"/>
        <v>0</v>
      </c>
      <c r="AY45" s="182" t="str">
        <f t="shared" si="54"/>
        <v/>
      </c>
      <c r="AZ45" s="182" t="str">
        <f t="shared" si="55"/>
        <v/>
      </c>
      <c r="BA45" s="182" t="str">
        <f t="shared" si="56"/>
        <v/>
      </c>
      <c r="BC45" s="279">
        <f t="shared" si="57"/>
        <v>0</v>
      </c>
      <c r="BD45" s="294">
        <f>X45-(Graphs!G100/60)</f>
        <v>0</v>
      </c>
      <c r="BE45" s="284">
        <f>AE45-Graphs!G100</f>
        <v>0</v>
      </c>
    </row>
    <row r="46" spans="1:57" ht="22.5" customHeight="1">
      <c r="A46" s="15"/>
      <c r="B46" s="26">
        <v>8</v>
      </c>
      <c r="C46" s="47"/>
      <c r="D46" s="38">
        <f t="shared" si="60"/>
        <v>0</v>
      </c>
      <c r="E46" s="47"/>
      <c r="F46" s="38">
        <f t="shared" si="62"/>
        <v>0</v>
      </c>
      <c r="G46" s="38">
        <f t="shared" si="61"/>
        <v>0</v>
      </c>
      <c r="H46" s="47"/>
      <c r="I46" s="47"/>
      <c r="J46" s="47"/>
      <c r="K46" s="47"/>
      <c r="L46" s="47"/>
      <c r="M46" s="47"/>
      <c r="N46" s="38">
        <f t="shared" si="58"/>
        <v>0</v>
      </c>
      <c r="O46" s="47"/>
      <c r="P46" s="43" t="str">
        <f t="shared" si="41"/>
        <v/>
      </c>
      <c r="Q46" s="47"/>
      <c r="R46" s="38">
        <f t="shared" si="64"/>
        <v>0</v>
      </c>
      <c r="S46" s="51"/>
      <c r="T46" s="43" t="e">
        <f t="shared" si="59"/>
        <v>#DIV/0!</v>
      </c>
      <c r="U46" s="43" t="str">
        <f t="shared" si="42"/>
        <v/>
      </c>
      <c r="V46" s="43" t="e">
        <f t="shared" si="63"/>
        <v>#DIV/0!</v>
      </c>
      <c r="W46" s="220"/>
      <c r="X46" s="220"/>
      <c r="Y46" s="43">
        <f t="shared" si="43"/>
        <v>0</v>
      </c>
      <c r="Z46" s="51"/>
      <c r="AA46" s="38">
        <f t="shared" si="44"/>
        <v>0</v>
      </c>
      <c r="AB46" s="52" t="str">
        <f t="shared" si="65"/>
        <v/>
      </c>
      <c r="AC46" s="52" t="str">
        <f t="shared" si="45"/>
        <v/>
      </c>
      <c r="AD46" s="52" t="e">
        <f t="shared" si="66"/>
        <v>#DIV/0!</v>
      </c>
      <c r="AE46" s="47"/>
      <c r="AF46" s="47"/>
      <c r="AG46" s="52" t="str">
        <f t="shared" si="46"/>
        <v/>
      </c>
      <c r="AH46" s="43" t="str">
        <f t="shared" si="47"/>
        <v/>
      </c>
      <c r="AI46" s="52" t="str">
        <f t="shared" si="48"/>
        <v/>
      </c>
      <c r="AJ46" s="47"/>
      <c r="AK46" s="220"/>
      <c r="AL46" s="43" t="str">
        <f t="shared" si="49"/>
        <v/>
      </c>
      <c r="AM46" s="38"/>
      <c r="AN46" s="56" t="str">
        <f t="shared" si="50"/>
        <v/>
      </c>
      <c r="AO46" s="59"/>
      <c r="AP46" s="262" t="str">
        <f t="shared" si="51"/>
        <v/>
      </c>
      <c r="AQ46" s="61" t="str">
        <f t="shared" si="52"/>
        <v/>
      </c>
      <c r="AR46" s="63">
        <f t="shared" si="53"/>
        <v>-0.3</v>
      </c>
      <c r="AS46" s="255"/>
      <c r="AT46" s="75"/>
      <c r="AU46" s="76"/>
      <c r="AV46" s="76"/>
      <c r="AW46" s="77">
        <f t="shared" si="40"/>
        <v>0</v>
      </c>
      <c r="AY46" s="182" t="str">
        <f t="shared" si="54"/>
        <v/>
      </c>
      <c r="AZ46" s="182" t="str">
        <f t="shared" si="55"/>
        <v/>
      </c>
      <c r="BA46" s="182" t="str">
        <f t="shared" si="56"/>
        <v/>
      </c>
      <c r="BC46" s="279">
        <f t="shared" si="57"/>
        <v>0</v>
      </c>
      <c r="BD46" s="294">
        <f>X46-(Graphs!G103/60)</f>
        <v>0</v>
      </c>
      <c r="BE46" s="284">
        <f>AE46-Graphs!G103</f>
        <v>0</v>
      </c>
    </row>
    <row r="47" spans="1:57" ht="22.5" customHeight="1">
      <c r="A47" s="15"/>
      <c r="B47" s="26">
        <v>9</v>
      </c>
      <c r="C47" s="47"/>
      <c r="D47" s="38">
        <f t="shared" si="60"/>
        <v>0</v>
      </c>
      <c r="E47" s="47"/>
      <c r="F47" s="38">
        <f t="shared" si="62"/>
        <v>0</v>
      </c>
      <c r="G47" s="38">
        <f t="shared" si="61"/>
        <v>0</v>
      </c>
      <c r="H47" s="47"/>
      <c r="I47" s="47"/>
      <c r="J47" s="47"/>
      <c r="K47" s="47"/>
      <c r="L47" s="47"/>
      <c r="M47" s="47"/>
      <c r="N47" s="38">
        <f t="shared" si="58"/>
        <v>0</v>
      </c>
      <c r="O47" s="47"/>
      <c r="P47" s="43" t="str">
        <f t="shared" si="41"/>
        <v/>
      </c>
      <c r="Q47" s="47"/>
      <c r="R47" s="38">
        <f t="shared" si="64"/>
        <v>0</v>
      </c>
      <c r="S47" s="51"/>
      <c r="T47" s="43" t="e">
        <f t="shared" si="59"/>
        <v>#DIV/0!</v>
      </c>
      <c r="U47" s="43" t="str">
        <f t="shared" si="42"/>
        <v/>
      </c>
      <c r="V47" s="43" t="e">
        <f t="shared" si="63"/>
        <v>#DIV/0!</v>
      </c>
      <c r="W47" s="220"/>
      <c r="X47" s="220"/>
      <c r="Y47" s="43">
        <f t="shared" si="43"/>
        <v>0</v>
      </c>
      <c r="Z47" s="51"/>
      <c r="AA47" s="38">
        <f t="shared" si="44"/>
        <v>0</v>
      </c>
      <c r="AB47" s="52" t="str">
        <f t="shared" si="65"/>
        <v/>
      </c>
      <c r="AC47" s="52" t="str">
        <f t="shared" si="45"/>
        <v/>
      </c>
      <c r="AD47" s="52" t="e">
        <f t="shared" si="66"/>
        <v>#DIV/0!</v>
      </c>
      <c r="AE47" s="47"/>
      <c r="AF47" s="47"/>
      <c r="AG47" s="52" t="str">
        <f t="shared" si="46"/>
        <v/>
      </c>
      <c r="AH47" s="43" t="str">
        <f t="shared" si="47"/>
        <v/>
      </c>
      <c r="AI47" s="52" t="str">
        <f t="shared" si="48"/>
        <v/>
      </c>
      <c r="AJ47" s="47"/>
      <c r="AK47" s="220"/>
      <c r="AL47" s="43" t="str">
        <f t="shared" si="49"/>
        <v/>
      </c>
      <c r="AM47" s="38"/>
      <c r="AN47" s="56" t="str">
        <f t="shared" si="50"/>
        <v/>
      </c>
      <c r="AO47" s="59"/>
      <c r="AP47" s="262" t="str">
        <f t="shared" si="51"/>
        <v/>
      </c>
      <c r="AQ47" s="61" t="str">
        <f t="shared" si="52"/>
        <v/>
      </c>
      <c r="AR47" s="63">
        <f t="shared" si="53"/>
        <v>-0.3</v>
      </c>
      <c r="AS47" s="255"/>
      <c r="AT47" s="75"/>
      <c r="AU47" s="76"/>
      <c r="AV47" s="76"/>
      <c r="AW47" s="77">
        <f t="shared" si="40"/>
        <v>0</v>
      </c>
      <c r="AY47" s="182" t="str">
        <f t="shared" si="54"/>
        <v/>
      </c>
      <c r="AZ47" s="182" t="str">
        <f t="shared" si="55"/>
        <v/>
      </c>
      <c r="BA47" s="182" t="str">
        <f t="shared" si="56"/>
        <v/>
      </c>
      <c r="BC47" s="279">
        <f t="shared" si="57"/>
        <v>0</v>
      </c>
      <c r="BD47" s="294">
        <f>X47-(Graphs!G106/60)</f>
        <v>0</v>
      </c>
      <c r="BE47" s="284">
        <f>AE47-Graphs!G106</f>
        <v>0</v>
      </c>
    </row>
    <row r="48" spans="1:57" ht="22.5" customHeight="1">
      <c r="A48" s="15"/>
      <c r="B48" s="26">
        <v>10</v>
      </c>
      <c r="C48" s="47"/>
      <c r="D48" s="38">
        <f t="shared" si="60"/>
        <v>0</v>
      </c>
      <c r="E48" s="47"/>
      <c r="F48" s="38">
        <f t="shared" si="62"/>
        <v>0</v>
      </c>
      <c r="G48" s="38">
        <f t="shared" si="61"/>
        <v>0</v>
      </c>
      <c r="H48" s="47"/>
      <c r="I48" s="47"/>
      <c r="J48" s="47"/>
      <c r="K48" s="47"/>
      <c r="L48" s="47"/>
      <c r="M48" s="47"/>
      <c r="N48" s="38">
        <f t="shared" si="58"/>
        <v>0</v>
      </c>
      <c r="O48" s="47"/>
      <c r="P48" s="43" t="str">
        <f t="shared" si="41"/>
        <v/>
      </c>
      <c r="Q48" s="47"/>
      <c r="R48" s="38">
        <f t="shared" si="64"/>
        <v>0</v>
      </c>
      <c r="S48" s="51"/>
      <c r="T48" s="43" t="e">
        <f t="shared" si="59"/>
        <v>#DIV/0!</v>
      </c>
      <c r="U48" s="43" t="str">
        <f t="shared" si="42"/>
        <v/>
      </c>
      <c r="V48" s="43" t="e">
        <f t="shared" si="63"/>
        <v>#DIV/0!</v>
      </c>
      <c r="W48" s="220"/>
      <c r="X48" s="220"/>
      <c r="Y48" s="43">
        <f t="shared" si="43"/>
        <v>0</v>
      </c>
      <c r="Z48" s="51"/>
      <c r="AA48" s="38">
        <f t="shared" si="44"/>
        <v>0</v>
      </c>
      <c r="AB48" s="52" t="str">
        <f t="shared" si="65"/>
        <v/>
      </c>
      <c r="AC48" s="52" t="str">
        <f t="shared" si="45"/>
        <v/>
      </c>
      <c r="AD48" s="52" t="e">
        <f t="shared" si="66"/>
        <v>#DIV/0!</v>
      </c>
      <c r="AE48" s="47"/>
      <c r="AF48" s="47"/>
      <c r="AG48" s="52" t="str">
        <f t="shared" si="46"/>
        <v/>
      </c>
      <c r="AH48" s="43" t="str">
        <f t="shared" si="47"/>
        <v/>
      </c>
      <c r="AI48" s="52" t="str">
        <f t="shared" si="48"/>
        <v/>
      </c>
      <c r="AJ48" s="47"/>
      <c r="AK48" s="220"/>
      <c r="AL48" s="43" t="str">
        <f t="shared" si="49"/>
        <v/>
      </c>
      <c r="AM48" s="38"/>
      <c r="AN48" s="56" t="str">
        <f t="shared" si="50"/>
        <v/>
      </c>
      <c r="AO48" s="59"/>
      <c r="AP48" s="262" t="str">
        <f t="shared" si="51"/>
        <v/>
      </c>
      <c r="AQ48" s="61" t="str">
        <f t="shared" si="52"/>
        <v/>
      </c>
      <c r="AR48" s="63">
        <f t="shared" si="53"/>
        <v>-0.3</v>
      </c>
      <c r="AS48" s="256"/>
      <c r="AT48" s="75"/>
      <c r="AU48" s="76"/>
      <c r="AV48" s="76"/>
      <c r="AW48" s="77">
        <f t="shared" si="40"/>
        <v>0</v>
      </c>
      <c r="AY48" s="182" t="str">
        <f t="shared" si="54"/>
        <v/>
      </c>
      <c r="AZ48" s="182" t="str">
        <f t="shared" si="55"/>
        <v/>
      </c>
      <c r="BA48" s="182" t="str">
        <f t="shared" si="56"/>
        <v/>
      </c>
      <c r="BC48" s="279">
        <f t="shared" si="57"/>
        <v>0</v>
      </c>
      <c r="BD48" s="294">
        <f>X48-(Graphs!G109/60)</f>
        <v>0</v>
      </c>
      <c r="BE48" s="284">
        <f>AE48-Graphs!G109</f>
        <v>0</v>
      </c>
    </row>
    <row r="49" spans="1:57" ht="22.5" customHeight="1">
      <c r="A49" s="15"/>
      <c r="B49" s="26">
        <v>11</v>
      </c>
      <c r="C49" s="47"/>
      <c r="D49" s="38">
        <f t="shared" si="60"/>
        <v>0</v>
      </c>
      <c r="E49" s="47"/>
      <c r="F49" s="38">
        <f t="shared" si="62"/>
        <v>0</v>
      </c>
      <c r="G49" s="38">
        <f t="shared" si="61"/>
        <v>0</v>
      </c>
      <c r="H49" s="47"/>
      <c r="I49" s="47"/>
      <c r="J49" s="47"/>
      <c r="K49" s="47"/>
      <c r="L49" s="47"/>
      <c r="M49" s="47"/>
      <c r="N49" s="38">
        <f t="shared" si="58"/>
        <v>0</v>
      </c>
      <c r="O49" s="47"/>
      <c r="P49" s="43" t="str">
        <f t="shared" si="41"/>
        <v/>
      </c>
      <c r="Q49" s="47"/>
      <c r="R49" s="38">
        <f t="shared" si="64"/>
        <v>0</v>
      </c>
      <c r="S49" s="51"/>
      <c r="T49" s="43" t="e">
        <f t="shared" si="59"/>
        <v>#DIV/0!</v>
      </c>
      <c r="U49" s="43" t="str">
        <f t="shared" si="42"/>
        <v/>
      </c>
      <c r="V49" s="43" t="e">
        <f t="shared" si="63"/>
        <v>#DIV/0!</v>
      </c>
      <c r="W49" s="220"/>
      <c r="X49" s="220"/>
      <c r="Y49" s="43">
        <f t="shared" si="43"/>
        <v>0</v>
      </c>
      <c r="Z49" s="51"/>
      <c r="AA49" s="38">
        <f t="shared" si="44"/>
        <v>0</v>
      </c>
      <c r="AB49" s="52" t="str">
        <f t="shared" si="65"/>
        <v/>
      </c>
      <c r="AC49" s="52" t="str">
        <f t="shared" si="45"/>
        <v/>
      </c>
      <c r="AD49" s="52" t="e">
        <f t="shared" si="66"/>
        <v>#DIV/0!</v>
      </c>
      <c r="AE49" s="47"/>
      <c r="AF49" s="47"/>
      <c r="AG49" s="52" t="str">
        <f t="shared" si="46"/>
        <v/>
      </c>
      <c r="AH49" s="43" t="str">
        <f t="shared" si="47"/>
        <v/>
      </c>
      <c r="AI49" s="52" t="str">
        <f t="shared" si="48"/>
        <v/>
      </c>
      <c r="AJ49" s="47"/>
      <c r="AK49" s="220"/>
      <c r="AL49" s="43" t="str">
        <f t="shared" si="49"/>
        <v/>
      </c>
      <c r="AM49" s="38"/>
      <c r="AN49" s="56" t="str">
        <f t="shared" si="50"/>
        <v/>
      </c>
      <c r="AO49" s="59"/>
      <c r="AP49" s="262" t="str">
        <f t="shared" si="51"/>
        <v/>
      </c>
      <c r="AQ49" s="61" t="str">
        <f t="shared" si="52"/>
        <v/>
      </c>
      <c r="AR49" s="63">
        <f t="shared" si="53"/>
        <v>-0.3</v>
      </c>
      <c r="AS49" s="256"/>
      <c r="AT49" s="75"/>
      <c r="AU49" s="76"/>
      <c r="AV49" s="76"/>
      <c r="AW49" s="77">
        <f t="shared" si="40"/>
        <v>0</v>
      </c>
      <c r="AY49" s="182" t="str">
        <f t="shared" si="54"/>
        <v/>
      </c>
      <c r="AZ49" s="182" t="str">
        <f t="shared" si="55"/>
        <v/>
      </c>
      <c r="BA49" s="182" t="str">
        <f t="shared" si="56"/>
        <v/>
      </c>
      <c r="BC49" s="279">
        <f t="shared" si="57"/>
        <v>0</v>
      </c>
      <c r="BD49" s="294">
        <f>X49-(Graphs!G112/60)</f>
        <v>0</v>
      </c>
      <c r="BE49" s="284">
        <f>AE49-Graphs!G112</f>
        <v>0</v>
      </c>
    </row>
    <row r="50" spans="1:57" ht="22.5" customHeight="1">
      <c r="A50" s="15"/>
      <c r="B50" s="26">
        <v>12</v>
      </c>
      <c r="C50" s="47"/>
      <c r="D50" s="38">
        <f t="shared" si="60"/>
        <v>0</v>
      </c>
      <c r="E50" s="47"/>
      <c r="F50" s="38">
        <f t="shared" si="62"/>
        <v>0</v>
      </c>
      <c r="G50" s="38">
        <f t="shared" si="61"/>
        <v>0</v>
      </c>
      <c r="H50" s="47"/>
      <c r="I50" s="47"/>
      <c r="J50" s="47"/>
      <c r="K50" s="47"/>
      <c r="L50" s="47"/>
      <c r="M50" s="47"/>
      <c r="N50" s="38">
        <f t="shared" si="58"/>
        <v>0</v>
      </c>
      <c r="O50" s="47"/>
      <c r="P50" s="43" t="str">
        <f t="shared" si="41"/>
        <v/>
      </c>
      <c r="Q50" s="47"/>
      <c r="R50" s="38">
        <f t="shared" si="64"/>
        <v>0</v>
      </c>
      <c r="S50" s="51"/>
      <c r="T50" s="43" t="e">
        <f t="shared" si="59"/>
        <v>#DIV/0!</v>
      </c>
      <c r="U50" s="43" t="str">
        <f t="shared" si="42"/>
        <v/>
      </c>
      <c r="V50" s="43" t="e">
        <f t="shared" si="63"/>
        <v>#DIV/0!</v>
      </c>
      <c r="W50" s="220"/>
      <c r="X50" s="220"/>
      <c r="Y50" s="43">
        <f t="shared" si="43"/>
        <v>0</v>
      </c>
      <c r="Z50" s="51"/>
      <c r="AA50" s="38">
        <f t="shared" si="44"/>
        <v>0</v>
      </c>
      <c r="AB50" s="52" t="str">
        <f t="shared" si="65"/>
        <v/>
      </c>
      <c r="AC50" s="52" t="str">
        <f t="shared" si="45"/>
        <v/>
      </c>
      <c r="AD50" s="52" t="e">
        <f t="shared" si="66"/>
        <v>#DIV/0!</v>
      </c>
      <c r="AE50" s="47"/>
      <c r="AF50" s="47"/>
      <c r="AG50" s="52" t="str">
        <f t="shared" si="46"/>
        <v/>
      </c>
      <c r="AH50" s="43" t="str">
        <f t="shared" si="47"/>
        <v/>
      </c>
      <c r="AI50" s="52" t="str">
        <f t="shared" si="48"/>
        <v/>
      </c>
      <c r="AJ50" s="47"/>
      <c r="AK50" s="220"/>
      <c r="AL50" s="43" t="str">
        <f t="shared" si="49"/>
        <v/>
      </c>
      <c r="AM50" s="38"/>
      <c r="AN50" s="56" t="str">
        <f t="shared" si="50"/>
        <v/>
      </c>
      <c r="AO50" s="59"/>
      <c r="AP50" s="262" t="str">
        <f t="shared" si="51"/>
        <v/>
      </c>
      <c r="AQ50" s="61" t="str">
        <f t="shared" si="52"/>
        <v/>
      </c>
      <c r="AR50" s="63">
        <f t="shared" si="53"/>
        <v>-0.3</v>
      </c>
      <c r="AS50" s="256"/>
      <c r="AT50" s="75"/>
      <c r="AU50" s="76"/>
      <c r="AV50" s="76"/>
      <c r="AW50" s="77">
        <f t="shared" ref="AW50:AW69" si="67">AT50-AU50-AV50</f>
        <v>0</v>
      </c>
      <c r="AY50" s="182" t="str">
        <f t="shared" si="54"/>
        <v/>
      </c>
      <c r="AZ50" s="182" t="str">
        <f t="shared" si="55"/>
        <v/>
      </c>
      <c r="BA50" s="182" t="str">
        <f t="shared" si="56"/>
        <v/>
      </c>
      <c r="BC50" s="279">
        <f t="shared" si="57"/>
        <v>0</v>
      </c>
      <c r="BD50" s="294">
        <f>X50-(Graphs!G115/60)</f>
        <v>0</v>
      </c>
      <c r="BE50" s="284">
        <f>AE50-Graphs!G115</f>
        <v>0</v>
      </c>
    </row>
    <row r="51" spans="1:57" ht="22.5" customHeight="1">
      <c r="A51" s="15"/>
      <c r="B51" s="26">
        <v>13</v>
      </c>
      <c r="C51" s="47"/>
      <c r="D51" s="38">
        <f t="shared" si="60"/>
        <v>0</v>
      </c>
      <c r="E51" s="47"/>
      <c r="F51" s="38">
        <f t="shared" si="62"/>
        <v>0</v>
      </c>
      <c r="G51" s="38">
        <f t="shared" si="61"/>
        <v>0</v>
      </c>
      <c r="H51" s="47"/>
      <c r="I51" s="47"/>
      <c r="J51" s="47"/>
      <c r="K51" s="47"/>
      <c r="L51" s="47"/>
      <c r="M51" s="47"/>
      <c r="N51" s="38">
        <f t="shared" si="58"/>
        <v>0</v>
      </c>
      <c r="O51" s="47"/>
      <c r="P51" s="43" t="str">
        <f t="shared" si="41"/>
        <v/>
      </c>
      <c r="Q51" s="47"/>
      <c r="R51" s="38">
        <f t="shared" si="64"/>
        <v>0</v>
      </c>
      <c r="S51" s="51"/>
      <c r="T51" s="43" t="e">
        <f t="shared" si="59"/>
        <v>#DIV/0!</v>
      </c>
      <c r="U51" s="43" t="str">
        <f t="shared" si="42"/>
        <v/>
      </c>
      <c r="V51" s="43" t="e">
        <f t="shared" si="63"/>
        <v>#DIV/0!</v>
      </c>
      <c r="W51" s="220"/>
      <c r="X51" s="220"/>
      <c r="Y51" s="43">
        <f t="shared" si="43"/>
        <v>0</v>
      </c>
      <c r="Z51" s="51"/>
      <c r="AA51" s="38">
        <f t="shared" si="44"/>
        <v>0</v>
      </c>
      <c r="AB51" s="52" t="str">
        <f t="shared" si="65"/>
        <v/>
      </c>
      <c r="AC51" s="52" t="str">
        <f t="shared" si="45"/>
        <v/>
      </c>
      <c r="AD51" s="52" t="e">
        <f t="shared" si="66"/>
        <v>#DIV/0!</v>
      </c>
      <c r="AE51" s="47"/>
      <c r="AF51" s="47"/>
      <c r="AG51" s="52" t="str">
        <f t="shared" si="46"/>
        <v/>
      </c>
      <c r="AH51" s="43" t="str">
        <f t="shared" si="47"/>
        <v/>
      </c>
      <c r="AI51" s="52" t="str">
        <f t="shared" si="48"/>
        <v/>
      </c>
      <c r="AJ51" s="47"/>
      <c r="AK51" s="220"/>
      <c r="AL51" s="43" t="str">
        <f t="shared" si="49"/>
        <v/>
      </c>
      <c r="AM51" s="38"/>
      <c r="AN51" s="56" t="str">
        <f t="shared" si="50"/>
        <v/>
      </c>
      <c r="AO51" s="59"/>
      <c r="AP51" s="262" t="str">
        <f t="shared" si="51"/>
        <v/>
      </c>
      <c r="AQ51" s="61" t="str">
        <f t="shared" si="52"/>
        <v/>
      </c>
      <c r="AR51" s="63">
        <f t="shared" si="53"/>
        <v>-0.3</v>
      </c>
      <c r="AS51" s="256"/>
      <c r="AT51" s="75"/>
      <c r="AU51" s="76"/>
      <c r="AV51" s="76"/>
      <c r="AW51" s="77">
        <f t="shared" si="67"/>
        <v>0</v>
      </c>
      <c r="AY51" s="182" t="str">
        <f t="shared" si="54"/>
        <v/>
      </c>
      <c r="AZ51" s="182" t="str">
        <f t="shared" si="55"/>
        <v/>
      </c>
      <c r="BA51" s="182" t="str">
        <f t="shared" si="56"/>
        <v/>
      </c>
      <c r="BC51" s="279">
        <f t="shared" si="57"/>
        <v>0</v>
      </c>
      <c r="BD51" s="294">
        <f>X51-(Graphs!G118/60)</f>
        <v>0</v>
      </c>
      <c r="BE51" s="284">
        <f>AE51-Graphs!G118</f>
        <v>0</v>
      </c>
    </row>
    <row r="52" spans="1:57" ht="22.5" customHeight="1">
      <c r="A52" s="15"/>
      <c r="B52" s="26">
        <v>14</v>
      </c>
      <c r="C52" s="47"/>
      <c r="D52" s="38">
        <f t="shared" si="60"/>
        <v>0</v>
      </c>
      <c r="E52" s="47"/>
      <c r="F52" s="38">
        <f t="shared" si="62"/>
        <v>0</v>
      </c>
      <c r="G52" s="38">
        <f t="shared" si="61"/>
        <v>0</v>
      </c>
      <c r="H52" s="47"/>
      <c r="I52" s="47"/>
      <c r="J52" s="47"/>
      <c r="K52" s="47"/>
      <c r="L52" s="47"/>
      <c r="M52" s="47"/>
      <c r="N52" s="38">
        <f t="shared" si="58"/>
        <v>0</v>
      </c>
      <c r="O52" s="47"/>
      <c r="P52" s="43" t="str">
        <f t="shared" si="41"/>
        <v/>
      </c>
      <c r="Q52" s="47"/>
      <c r="R52" s="38">
        <f t="shared" si="64"/>
        <v>0</v>
      </c>
      <c r="S52" s="51"/>
      <c r="T52" s="43" t="e">
        <f t="shared" si="59"/>
        <v>#DIV/0!</v>
      </c>
      <c r="U52" s="43" t="str">
        <f t="shared" si="42"/>
        <v/>
      </c>
      <c r="V52" s="43" t="e">
        <f t="shared" si="63"/>
        <v>#DIV/0!</v>
      </c>
      <c r="W52" s="220"/>
      <c r="X52" s="220"/>
      <c r="Y52" s="43">
        <f t="shared" si="43"/>
        <v>0</v>
      </c>
      <c r="Z52" s="51"/>
      <c r="AA52" s="38">
        <f t="shared" si="44"/>
        <v>0</v>
      </c>
      <c r="AB52" s="52" t="str">
        <f t="shared" si="65"/>
        <v/>
      </c>
      <c r="AC52" s="52" t="str">
        <f t="shared" si="45"/>
        <v/>
      </c>
      <c r="AD52" s="52" t="e">
        <f t="shared" si="66"/>
        <v>#DIV/0!</v>
      </c>
      <c r="AE52" s="47"/>
      <c r="AF52" s="47"/>
      <c r="AG52" s="52" t="str">
        <f t="shared" si="46"/>
        <v/>
      </c>
      <c r="AH52" s="43" t="str">
        <f t="shared" si="47"/>
        <v/>
      </c>
      <c r="AI52" s="52" t="str">
        <f t="shared" si="48"/>
        <v/>
      </c>
      <c r="AJ52" s="47"/>
      <c r="AK52" s="220"/>
      <c r="AL52" s="43" t="str">
        <f t="shared" si="49"/>
        <v/>
      </c>
      <c r="AM52" s="38"/>
      <c r="AN52" s="56" t="str">
        <f t="shared" si="50"/>
        <v/>
      </c>
      <c r="AO52" s="59"/>
      <c r="AP52" s="262" t="str">
        <f t="shared" si="51"/>
        <v/>
      </c>
      <c r="AQ52" s="61" t="str">
        <f t="shared" si="52"/>
        <v/>
      </c>
      <c r="AR52" s="63">
        <f t="shared" si="53"/>
        <v>-0.3</v>
      </c>
      <c r="AS52" s="256"/>
      <c r="AT52" s="75"/>
      <c r="AU52" s="76"/>
      <c r="AV52" s="76"/>
      <c r="AW52" s="77">
        <f t="shared" si="67"/>
        <v>0</v>
      </c>
      <c r="AY52" s="182" t="str">
        <f t="shared" si="54"/>
        <v/>
      </c>
      <c r="AZ52" s="182" t="str">
        <f t="shared" si="55"/>
        <v/>
      </c>
      <c r="BA52" s="182" t="str">
        <f t="shared" si="56"/>
        <v/>
      </c>
      <c r="BC52" s="279">
        <f t="shared" si="57"/>
        <v>0</v>
      </c>
      <c r="BD52" s="294">
        <f>X52-(Graphs!G121/60)</f>
        <v>0</v>
      </c>
      <c r="BE52" s="284">
        <f>AE52-Graphs!G121</f>
        <v>0</v>
      </c>
    </row>
    <row r="53" spans="1:57" ht="22.5" customHeight="1">
      <c r="A53" s="15"/>
      <c r="B53" s="26">
        <v>15</v>
      </c>
      <c r="C53" s="47"/>
      <c r="D53" s="38">
        <f t="shared" si="60"/>
        <v>0</v>
      </c>
      <c r="E53" s="47"/>
      <c r="F53" s="38">
        <f t="shared" si="62"/>
        <v>0</v>
      </c>
      <c r="G53" s="38">
        <f t="shared" si="61"/>
        <v>0</v>
      </c>
      <c r="H53" s="47"/>
      <c r="I53" s="47"/>
      <c r="J53" s="47"/>
      <c r="K53" s="47"/>
      <c r="L53" s="47"/>
      <c r="M53" s="47"/>
      <c r="N53" s="38">
        <f t="shared" si="58"/>
        <v>0</v>
      </c>
      <c r="O53" s="47"/>
      <c r="P53" s="43" t="str">
        <f t="shared" si="41"/>
        <v/>
      </c>
      <c r="Q53" s="47"/>
      <c r="R53" s="38">
        <f t="shared" si="64"/>
        <v>0</v>
      </c>
      <c r="S53" s="51"/>
      <c r="T53" s="43" t="e">
        <f t="shared" si="59"/>
        <v>#DIV/0!</v>
      </c>
      <c r="U53" s="43" t="str">
        <f t="shared" si="42"/>
        <v/>
      </c>
      <c r="V53" s="43" t="e">
        <f t="shared" si="63"/>
        <v>#DIV/0!</v>
      </c>
      <c r="W53" s="220"/>
      <c r="X53" s="220"/>
      <c r="Y53" s="43">
        <f t="shared" si="43"/>
        <v>0</v>
      </c>
      <c r="Z53" s="51"/>
      <c r="AA53" s="38">
        <f t="shared" si="44"/>
        <v>0</v>
      </c>
      <c r="AB53" s="52" t="str">
        <f t="shared" si="65"/>
        <v/>
      </c>
      <c r="AC53" s="52" t="str">
        <f t="shared" si="45"/>
        <v/>
      </c>
      <c r="AD53" s="52" t="e">
        <f t="shared" si="66"/>
        <v>#DIV/0!</v>
      </c>
      <c r="AE53" s="47"/>
      <c r="AF53" s="47"/>
      <c r="AG53" s="52" t="str">
        <f t="shared" si="46"/>
        <v/>
      </c>
      <c r="AH53" s="43" t="str">
        <f t="shared" si="47"/>
        <v/>
      </c>
      <c r="AI53" s="52" t="str">
        <f t="shared" si="48"/>
        <v/>
      </c>
      <c r="AJ53" s="47"/>
      <c r="AK53" s="220"/>
      <c r="AL53" s="43" t="str">
        <f t="shared" si="49"/>
        <v/>
      </c>
      <c r="AM53" s="38"/>
      <c r="AN53" s="56" t="str">
        <f t="shared" si="50"/>
        <v/>
      </c>
      <c r="AO53" s="59"/>
      <c r="AP53" s="262" t="str">
        <f t="shared" si="51"/>
        <v/>
      </c>
      <c r="AQ53" s="61" t="str">
        <f t="shared" si="52"/>
        <v/>
      </c>
      <c r="AR53" s="63">
        <f t="shared" si="53"/>
        <v>-0.3</v>
      </c>
      <c r="AS53" s="256"/>
      <c r="AT53" s="75"/>
      <c r="AU53" s="76"/>
      <c r="AV53" s="76"/>
      <c r="AW53" s="77">
        <f t="shared" si="67"/>
        <v>0</v>
      </c>
      <c r="AY53" s="182" t="str">
        <f t="shared" si="54"/>
        <v/>
      </c>
      <c r="AZ53" s="182" t="str">
        <f t="shared" si="55"/>
        <v/>
      </c>
      <c r="BA53" s="182" t="str">
        <f t="shared" si="56"/>
        <v/>
      </c>
      <c r="BC53" s="279">
        <f t="shared" si="57"/>
        <v>0</v>
      </c>
      <c r="BD53" s="294">
        <f>X53-(Graphs!G124/60)</f>
        <v>0</v>
      </c>
      <c r="BE53" s="284">
        <f>AE53-Graphs!G124</f>
        <v>0</v>
      </c>
    </row>
    <row r="54" spans="1:57" ht="22.5" customHeight="1">
      <c r="A54" s="15"/>
      <c r="B54" s="26">
        <v>16</v>
      </c>
      <c r="C54" s="47"/>
      <c r="D54" s="38">
        <f t="shared" si="60"/>
        <v>0</v>
      </c>
      <c r="E54" s="47"/>
      <c r="F54" s="38">
        <f t="shared" si="62"/>
        <v>0</v>
      </c>
      <c r="G54" s="38">
        <f t="shared" si="61"/>
        <v>0</v>
      </c>
      <c r="H54" s="47"/>
      <c r="I54" s="47"/>
      <c r="J54" s="47"/>
      <c r="K54" s="47"/>
      <c r="L54" s="47"/>
      <c r="M54" s="47"/>
      <c r="N54" s="38">
        <f t="shared" si="58"/>
        <v>0</v>
      </c>
      <c r="O54" s="47"/>
      <c r="P54" s="43" t="str">
        <f t="shared" si="41"/>
        <v/>
      </c>
      <c r="Q54" s="47"/>
      <c r="R54" s="38">
        <f t="shared" si="64"/>
        <v>0</v>
      </c>
      <c r="S54" s="51"/>
      <c r="T54" s="43" t="e">
        <f t="shared" si="59"/>
        <v>#DIV/0!</v>
      </c>
      <c r="U54" s="43" t="str">
        <f t="shared" si="42"/>
        <v/>
      </c>
      <c r="V54" s="43" t="e">
        <f t="shared" si="63"/>
        <v>#DIV/0!</v>
      </c>
      <c r="W54" s="220"/>
      <c r="X54" s="220"/>
      <c r="Y54" s="43">
        <f t="shared" si="43"/>
        <v>0</v>
      </c>
      <c r="Z54" s="51"/>
      <c r="AA54" s="38">
        <f t="shared" si="44"/>
        <v>0</v>
      </c>
      <c r="AB54" s="52" t="str">
        <f t="shared" si="65"/>
        <v/>
      </c>
      <c r="AC54" s="52" t="str">
        <f t="shared" si="45"/>
        <v/>
      </c>
      <c r="AD54" s="52" t="e">
        <f t="shared" si="66"/>
        <v>#DIV/0!</v>
      </c>
      <c r="AE54" s="47"/>
      <c r="AF54" s="47"/>
      <c r="AG54" s="52" t="str">
        <f t="shared" si="46"/>
        <v/>
      </c>
      <c r="AH54" s="43" t="str">
        <f t="shared" si="47"/>
        <v/>
      </c>
      <c r="AI54" s="52" t="str">
        <f t="shared" si="48"/>
        <v/>
      </c>
      <c r="AJ54" s="47"/>
      <c r="AK54" s="220"/>
      <c r="AL54" s="43" t="str">
        <f t="shared" si="49"/>
        <v/>
      </c>
      <c r="AM54" s="38"/>
      <c r="AN54" s="56" t="str">
        <f t="shared" si="50"/>
        <v/>
      </c>
      <c r="AO54" s="59"/>
      <c r="AP54" s="262" t="str">
        <f t="shared" si="51"/>
        <v/>
      </c>
      <c r="AQ54" s="61" t="str">
        <f t="shared" si="52"/>
        <v/>
      </c>
      <c r="AR54" s="63">
        <f t="shared" si="53"/>
        <v>-0.3</v>
      </c>
      <c r="AS54" s="256"/>
      <c r="AT54" s="75"/>
      <c r="AU54" s="76"/>
      <c r="AV54" s="76"/>
      <c r="AW54" s="77">
        <f t="shared" si="67"/>
        <v>0</v>
      </c>
      <c r="AY54" s="182" t="str">
        <f t="shared" si="54"/>
        <v/>
      </c>
      <c r="AZ54" s="182" t="str">
        <f t="shared" si="55"/>
        <v/>
      </c>
      <c r="BA54" s="182" t="str">
        <f t="shared" si="56"/>
        <v/>
      </c>
      <c r="BC54" s="279">
        <f t="shared" si="57"/>
        <v>0</v>
      </c>
      <c r="BD54" s="294">
        <f>X54-(Graphs!G127/60)</f>
        <v>0</v>
      </c>
      <c r="BE54" s="284">
        <f>AE54-Graphs!G127</f>
        <v>0</v>
      </c>
    </row>
    <row r="55" spans="1:57" ht="22.5" customHeight="1">
      <c r="A55" s="15"/>
      <c r="B55" s="26">
        <v>17</v>
      </c>
      <c r="C55" s="47"/>
      <c r="D55" s="38">
        <f t="shared" si="60"/>
        <v>0</v>
      </c>
      <c r="E55" s="47"/>
      <c r="F55" s="38">
        <f t="shared" si="62"/>
        <v>0</v>
      </c>
      <c r="G55" s="38">
        <f t="shared" si="61"/>
        <v>0</v>
      </c>
      <c r="H55" s="47"/>
      <c r="I55" s="47"/>
      <c r="J55" s="47"/>
      <c r="K55" s="47"/>
      <c r="L55" s="47"/>
      <c r="M55" s="47"/>
      <c r="N55" s="38">
        <f t="shared" si="58"/>
        <v>0</v>
      </c>
      <c r="O55" s="47"/>
      <c r="P55" s="43" t="str">
        <f t="shared" si="41"/>
        <v/>
      </c>
      <c r="Q55" s="47"/>
      <c r="R55" s="38">
        <f t="shared" si="64"/>
        <v>0</v>
      </c>
      <c r="S55" s="51"/>
      <c r="T55" s="43" t="e">
        <f t="shared" si="59"/>
        <v>#DIV/0!</v>
      </c>
      <c r="U55" s="43" t="str">
        <f t="shared" si="42"/>
        <v/>
      </c>
      <c r="V55" s="43" t="e">
        <f t="shared" si="63"/>
        <v>#DIV/0!</v>
      </c>
      <c r="W55" s="220"/>
      <c r="X55" s="220"/>
      <c r="Y55" s="43">
        <f t="shared" si="43"/>
        <v>0</v>
      </c>
      <c r="Z55" s="51"/>
      <c r="AA55" s="38">
        <f t="shared" si="44"/>
        <v>0</v>
      </c>
      <c r="AB55" s="52" t="str">
        <f t="shared" si="65"/>
        <v/>
      </c>
      <c r="AC55" s="52" t="str">
        <f t="shared" si="45"/>
        <v/>
      </c>
      <c r="AD55" s="52" t="e">
        <f t="shared" si="66"/>
        <v>#DIV/0!</v>
      </c>
      <c r="AE55" s="47"/>
      <c r="AF55" s="47"/>
      <c r="AG55" s="52" t="str">
        <f t="shared" si="46"/>
        <v/>
      </c>
      <c r="AH55" s="43" t="str">
        <f t="shared" si="47"/>
        <v/>
      </c>
      <c r="AI55" s="52" t="str">
        <f t="shared" si="48"/>
        <v/>
      </c>
      <c r="AJ55" s="47"/>
      <c r="AK55" s="220"/>
      <c r="AL55" s="43" t="str">
        <f t="shared" si="49"/>
        <v/>
      </c>
      <c r="AM55" s="38"/>
      <c r="AN55" s="56" t="str">
        <f t="shared" si="50"/>
        <v/>
      </c>
      <c r="AO55" s="59"/>
      <c r="AP55" s="262" t="str">
        <f t="shared" si="51"/>
        <v/>
      </c>
      <c r="AQ55" s="61" t="str">
        <f t="shared" si="52"/>
        <v/>
      </c>
      <c r="AR55" s="63">
        <f t="shared" si="53"/>
        <v>-0.3</v>
      </c>
      <c r="AS55" s="256"/>
      <c r="AT55" s="75"/>
      <c r="AU55" s="76"/>
      <c r="AV55" s="76"/>
      <c r="AW55" s="77">
        <f t="shared" si="67"/>
        <v>0</v>
      </c>
      <c r="AY55" s="182" t="str">
        <f t="shared" si="54"/>
        <v/>
      </c>
      <c r="AZ55" s="182" t="str">
        <f t="shared" si="55"/>
        <v/>
      </c>
      <c r="BA55" s="182" t="str">
        <f t="shared" si="56"/>
        <v/>
      </c>
      <c r="BC55" s="279">
        <f t="shared" si="57"/>
        <v>0</v>
      </c>
      <c r="BD55" s="294">
        <f>X55-(Graphs!G130/60)</f>
        <v>0</v>
      </c>
      <c r="BE55" s="284">
        <f>AE55-Graphs!G130</f>
        <v>0</v>
      </c>
    </row>
    <row r="56" spans="1:57" ht="22.5" customHeight="1">
      <c r="A56" s="15"/>
      <c r="B56" s="26">
        <v>18</v>
      </c>
      <c r="C56" s="47"/>
      <c r="D56" s="38">
        <f t="shared" si="60"/>
        <v>0</v>
      </c>
      <c r="E56" s="47"/>
      <c r="F56" s="38">
        <f t="shared" si="62"/>
        <v>0</v>
      </c>
      <c r="G56" s="38">
        <f t="shared" si="61"/>
        <v>0</v>
      </c>
      <c r="H56" s="47"/>
      <c r="I56" s="47"/>
      <c r="J56" s="47"/>
      <c r="K56" s="47"/>
      <c r="L56" s="47"/>
      <c r="M56" s="47"/>
      <c r="N56" s="38">
        <f t="shared" si="58"/>
        <v>0</v>
      </c>
      <c r="O56" s="47"/>
      <c r="P56" s="43" t="str">
        <f t="shared" si="41"/>
        <v/>
      </c>
      <c r="Q56" s="47"/>
      <c r="R56" s="38">
        <f t="shared" si="64"/>
        <v>0</v>
      </c>
      <c r="S56" s="51"/>
      <c r="T56" s="43" t="e">
        <f t="shared" si="59"/>
        <v>#DIV/0!</v>
      </c>
      <c r="U56" s="43" t="str">
        <f t="shared" si="42"/>
        <v/>
      </c>
      <c r="V56" s="43" t="e">
        <f t="shared" si="63"/>
        <v>#DIV/0!</v>
      </c>
      <c r="W56" s="220"/>
      <c r="X56" s="220"/>
      <c r="Y56" s="43">
        <f t="shared" si="43"/>
        <v>0</v>
      </c>
      <c r="Z56" s="51"/>
      <c r="AA56" s="38">
        <f t="shared" si="44"/>
        <v>0</v>
      </c>
      <c r="AB56" s="52" t="str">
        <f t="shared" si="65"/>
        <v/>
      </c>
      <c r="AC56" s="52" t="str">
        <f t="shared" si="45"/>
        <v/>
      </c>
      <c r="AD56" s="52" t="e">
        <f t="shared" si="66"/>
        <v>#DIV/0!</v>
      </c>
      <c r="AE56" s="47"/>
      <c r="AF56" s="47"/>
      <c r="AG56" s="52" t="str">
        <f t="shared" si="46"/>
        <v/>
      </c>
      <c r="AH56" s="43" t="str">
        <f t="shared" si="47"/>
        <v/>
      </c>
      <c r="AI56" s="52" t="str">
        <f t="shared" si="48"/>
        <v/>
      </c>
      <c r="AJ56" s="47"/>
      <c r="AK56" s="220"/>
      <c r="AL56" s="43" t="str">
        <f t="shared" si="49"/>
        <v/>
      </c>
      <c r="AM56" s="38"/>
      <c r="AN56" s="56" t="str">
        <f t="shared" si="50"/>
        <v/>
      </c>
      <c r="AO56" s="59"/>
      <c r="AP56" s="262" t="str">
        <f t="shared" si="51"/>
        <v/>
      </c>
      <c r="AQ56" s="61" t="str">
        <f t="shared" si="52"/>
        <v/>
      </c>
      <c r="AR56" s="63">
        <f t="shared" si="53"/>
        <v>-0.3</v>
      </c>
      <c r="AS56" s="256"/>
      <c r="AT56" s="75"/>
      <c r="AU56" s="76"/>
      <c r="AV56" s="76"/>
      <c r="AW56" s="77">
        <f t="shared" si="67"/>
        <v>0</v>
      </c>
      <c r="AY56" s="182" t="str">
        <f t="shared" si="54"/>
        <v/>
      </c>
      <c r="AZ56" s="182" t="str">
        <f t="shared" si="55"/>
        <v/>
      </c>
      <c r="BA56" s="182" t="str">
        <f t="shared" si="56"/>
        <v/>
      </c>
      <c r="BC56" s="279">
        <f t="shared" si="57"/>
        <v>0</v>
      </c>
      <c r="BD56" s="294">
        <f>X56-(Graphs!G133/60)</f>
        <v>0</v>
      </c>
      <c r="BE56" s="284">
        <f>AE56-Graphs!G133</f>
        <v>0</v>
      </c>
    </row>
    <row r="57" spans="1:57" ht="22.5" customHeight="1">
      <c r="A57" s="15"/>
      <c r="B57" s="26">
        <v>19</v>
      </c>
      <c r="C57" s="47"/>
      <c r="D57" s="38">
        <f t="shared" si="60"/>
        <v>0</v>
      </c>
      <c r="E57" s="47"/>
      <c r="F57" s="38">
        <f t="shared" si="62"/>
        <v>0</v>
      </c>
      <c r="G57" s="38">
        <f t="shared" si="61"/>
        <v>0</v>
      </c>
      <c r="H57" s="47"/>
      <c r="I57" s="47"/>
      <c r="J57" s="47"/>
      <c r="K57" s="47"/>
      <c r="L57" s="47"/>
      <c r="M57" s="47"/>
      <c r="N57" s="38">
        <f t="shared" si="58"/>
        <v>0</v>
      </c>
      <c r="O57" s="47"/>
      <c r="P57" s="43" t="str">
        <f t="shared" si="41"/>
        <v/>
      </c>
      <c r="Q57" s="47"/>
      <c r="R57" s="38">
        <f t="shared" si="64"/>
        <v>0</v>
      </c>
      <c r="S57" s="51"/>
      <c r="T57" s="43" t="e">
        <f t="shared" si="59"/>
        <v>#DIV/0!</v>
      </c>
      <c r="U57" s="43" t="str">
        <f t="shared" si="42"/>
        <v/>
      </c>
      <c r="V57" s="43" t="e">
        <f t="shared" si="63"/>
        <v>#DIV/0!</v>
      </c>
      <c r="W57" s="220"/>
      <c r="X57" s="220"/>
      <c r="Y57" s="43">
        <f t="shared" si="43"/>
        <v>0</v>
      </c>
      <c r="Z57" s="51"/>
      <c r="AA57" s="38">
        <f t="shared" si="44"/>
        <v>0</v>
      </c>
      <c r="AB57" s="52" t="str">
        <f t="shared" si="65"/>
        <v/>
      </c>
      <c r="AC57" s="52" t="str">
        <f t="shared" si="45"/>
        <v/>
      </c>
      <c r="AD57" s="52" t="e">
        <f t="shared" si="66"/>
        <v>#DIV/0!</v>
      </c>
      <c r="AE57" s="47"/>
      <c r="AF57" s="47"/>
      <c r="AG57" s="52" t="str">
        <f t="shared" si="46"/>
        <v/>
      </c>
      <c r="AH57" s="43" t="str">
        <f t="shared" si="47"/>
        <v/>
      </c>
      <c r="AI57" s="52" t="str">
        <f t="shared" si="48"/>
        <v/>
      </c>
      <c r="AJ57" s="47"/>
      <c r="AK57" s="220"/>
      <c r="AL57" s="43" t="str">
        <f t="shared" si="49"/>
        <v/>
      </c>
      <c r="AM57" s="38"/>
      <c r="AN57" s="56" t="str">
        <f t="shared" si="50"/>
        <v/>
      </c>
      <c r="AO57" s="59"/>
      <c r="AP57" s="262" t="str">
        <f t="shared" si="51"/>
        <v/>
      </c>
      <c r="AQ57" s="61" t="str">
        <f t="shared" si="52"/>
        <v/>
      </c>
      <c r="AR57" s="63">
        <f t="shared" si="53"/>
        <v>-0.3</v>
      </c>
      <c r="AS57" s="256"/>
      <c r="AT57" s="75"/>
      <c r="AU57" s="76"/>
      <c r="AV57" s="76"/>
      <c r="AW57" s="77">
        <f t="shared" si="67"/>
        <v>0</v>
      </c>
      <c r="AY57" s="182" t="str">
        <f t="shared" si="54"/>
        <v/>
      </c>
      <c r="AZ57" s="182" t="str">
        <f t="shared" si="55"/>
        <v/>
      </c>
      <c r="BA57" s="182" t="str">
        <f t="shared" si="56"/>
        <v/>
      </c>
      <c r="BC57" s="279">
        <f t="shared" si="57"/>
        <v>0</v>
      </c>
      <c r="BD57" s="294">
        <f>X57-(Graphs!G136/60)</f>
        <v>0</v>
      </c>
      <c r="BE57" s="284">
        <f>AE57-Graphs!G136</f>
        <v>0</v>
      </c>
    </row>
    <row r="58" spans="1:57" ht="22.5" customHeight="1">
      <c r="A58" s="15"/>
      <c r="B58" s="26">
        <v>20</v>
      </c>
      <c r="C58" s="47"/>
      <c r="D58" s="38">
        <f t="shared" si="60"/>
        <v>0</v>
      </c>
      <c r="E58" s="47"/>
      <c r="F58" s="38">
        <f t="shared" si="62"/>
        <v>0</v>
      </c>
      <c r="G58" s="38">
        <f t="shared" si="61"/>
        <v>0</v>
      </c>
      <c r="H58" s="47"/>
      <c r="I58" s="47"/>
      <c r="J58" s="47"/>
      <c r="K58" s="47"/>
      <c r="L58" s="47"/>
      <c r="M58" s="47"/>
      <c r="N58" s="38">
        <f t="shared" si="58"/>
        <v>0</v>
      </c>
      <c r="O58" s="47"/>
      <c r="P58" s="43" t="str">
        <f t="shared" si="41"/>
        <v/>
      </c>
      <c r="Q58" s="47"/>
      <c r="R58" s="38">
        <f t="shared" si="64"/>
        <v>0</v>
      </c>
      <c r="S58" s="51"/>
      <c r="T58" s="43" t="e">
        <f t="shared" si="59"/>
        <v>#DIV/0!</v>
      </c>
      <c r="U58" s="43" t="str">
        <f t="shared" si="42"/>
        <v/>
      </c>
      <c r="V58" s="43" t="e">
        <f t="shared" si="63"/>
        <v>#DIV/0!</v>
      </c>
      <c r="W58" s="220"/>
      <c r="X58" s="220"/>
      <c r="Y58" s="43">
        <f t="shared" si="43"/>
        <v>0</v>
      </c>
      <c r="Z58" s="51"/>
      <c r="AA58" s="38">
        <f t="shared" si="44"/>
        <v>0</v>
      </c>
      <c r="AB58" s="52" t="str">
        <f t="shared" si="65"/>
        <v/>
      </c>
      <c r="AC58" s="52" t="str">
        <f t="shared" si="45"/>
        <v/>
      </c>
      <c r="AD58" s="52" t="e">
        <f t="shared" si="66"/>
        <v>#DIV/0!</v>
      </c>
      <c r="AE58" s="47"/>
      <c r="AF58" s="47"/>
      <c r="AG58" s="52" t="str">
        <f t="shared" si="46"/>
        <v/>
      </c>
      <c r="AH58" s="43" t="str">
        <f t="shared" si="47"/>
        <v/>
      </c>
      <c r="AI58" s="52" t="str">
        <f t="shared" si="48"/>
        <v/>
      </c>
      <c r="AJ58" s="47"/>
      <c r="AK58" s="220"/>
      <c r="AL58" s="43" t="str">
        <f t="shared" si="49"/>
        <v/>
      </c>
      <c r="AM58" s="38"/>
      <c r="AN58" s="56" t="str">
        <f t="shared" si="50"/>
        <v/>
      </c>
      <c r="AO58" s="59"/>
      <c r="AP58" s="262" t="str">
        <f t="shared" si="51"/>
        <v/>
      </c>
      <c r="AQ58" s="61" t="str">
        <f t="shared" si="52"/>
        <v/>
      </c>
      <c r="AR58" s="63">
        <f t="shared" si="53"/>
        <v>-0.3</v>
      </c>
      <c r="AS58" s="256"/>
      <c r="AT58" s="75"/>
      <c r="AU58" s="76"/>
      <c r="AV58" s="76"/>
      <c r="AW58" s="77">
        <f t="shared" si="67"/>
        <v>0</v>
      </c>
      <c r="AY58" s="182" t="str">
        <f t="shared" si="54"/>
        <v/>
      </c>
      <c r="AZ58" s="182" t="str">
        <f t="shared" si="55"/>
        <v/>
      </c>
      <c r="BA58" s="182" t="str">
        <f t="shared" si="56"/>
        <v/>
      </c>
      <c r="BC58" s="279">
        <f t="shared" si="57"/>
        <v>0</v>
      </c>
      <c r="BD58" s="294">
        <f>X58-(Graphs!G139/60)</f>
        <v>0</v>
      </c>
      <c r="BE58" s="284">
        <f>AE58-Graphs!G139</f>
        <v>0</v>
      </c>
    </row>
    <row r="59" spans="1:57" ht="22.5" customHeight="1">
      <c r="A59" s="15"/>
      <c r="B59" s="26">
        <v>21</v>
      </c>
      <c r="C59" s="47"/>
      <c r="D59" s="38">
        <f t="shared" si="60"/>
        <v>0</v>
      </c>
      <c r="E59" s="47"/>
      <c r="F59" s="38">
        <f t="shared" si="62"/>
        <v>0</v>
      </c>
      <c r="G59" s="38">
        <f t="shared" si="61"/>
        <v>0</v>
      </c>
      <c r="H59" s="47"/>
      <c r="I59" s="47"/>
      <c r="J59" s="47"/>
      <c r="K59" s="47"/>
      <c r="L59" s="47"/>
      <c r="M59" s="47"/>
      <c r="N59" s="38">
        <f t="shared" si="58"/>
        <v>0</v>
      </c>
      <c r="O59" s="47"/>
      <c r="P59" s="43" t="str">
        <f t="shared" si="41"/>
        <v/>
      </c>
      <c r="Q59" s="47"/>
      <c r="R59" s="38">
        <f t="shared" si="64"/>
        <v>0</v>
      </c>
      <c r="S59" s="51"/>
      <c r="T59" s="43" t="e">
        <f t="shared" si="59"/>
        <v>#DIV/0!</v>
      </c>
      <c r="U59" s="43" t="str">
        <f t="shared" si="42"/>
        <v/>
      </c>
      <c r="V59" s="43" t="e">
        <f t="shared" si="63"/>
        <v>#DIV/0!</v>
      </c>
      <c r="W59" s="220"/>
      <c r="X59" s="220"/>
      <c r="Y59" s="43">
        <f t="shared" si="43"/>
        <v>0</v>
      </c>
      <c r="Z59" s="51"/>
      <c r="AA59" s="38">
        <f t="shared" si="44"/>
        <v>0</v>
      </c>
      <c r="AB59" s="52" t="str">
        <f t="shared" si="65"/>
        <v/>
      </c>
      <c r="AC59" s="52" t="str">
        <f t="shared" si="45"/>
        <v/>
      </c>
      <c r="AD59" s="52" t="e">
        <f t="shared" si="66"/>
        <v>#DIV/0!</v>
      </c>
      <c r="AE59" s="47"/>
      <c r="AF59" s="47"/>
      <c r="AG59" s="52" t="str">
        <f t="shared" si="46"/>
        <v/>
      </c>
      <c r="AH59" s="43" t="str">
        <f t="shared" si="47"/>
        <v/>
      </c>
      <c r="AI59" s="52" t="str">
        <f t="shared" si="48"/>
        <v/>
      </c>
      <c r="AJ59" s="47"/>
      <c r="AK59" s="220"/>
      <c r="AL59" s="43" t="str">
        <f t="shared" si="49"/>
        <v/>
      </c>
      <c r="AM59" s="38"/>
      <c r="AN59" s="56" t="str">
        <f t="shared" si="50"/>
        <v/>
      </c>
      <c r="AO59" s="59"/>
      <c r="AP59" s="262" t="str">
        <f t="shared" si="51"/>
        <v/>
      </c>
      <c r="AQ59" s="61" t="str">
        <f t="shared" si="52"/>
        <v/>
      </c>
      <c r="AR59" s="63">
        <f t="shared" si="53"/>
        <v>-0.3</v>
      </c>
      <c r="AS59" s="256"/>
      <c r="AT59" s="75"/>
      <c r="AU59" s="76"/>
      <c r="AV59" s="76"/>
      <c r="AW59" s="77">
        <f t="shared" si="67"/>
        <v>0</v>
      </c>
      <c r="AY59" s="182" t="str">
        <f t="shared" si="54"/>
        <v/>
      </c>
      <c r="AZ59" s="182" t="str">
        <f t="shared" si="55"/>
        <v/>
      </c>
      <c r="BA59" s="182" t="str">
        <f t="shared" si="56"/>
        <v/>
      </c>
      <c r="BC59" s="279">
        <f t="shared" si="57"/>
        <v>0</v>
      </c>
      <c r="BD59" s="294">
        <f>X59-(Graphs!G142/60)</f>
        <v>0</v>
      </c>
      <c r="BE59" s="284">
        <f>AE59-Graphs!G142</f>
        <v>0</v>
      </c>
    </row>
    <row r="60" spans="1:57" ht="22.5" customHeight="1">
      <c r="A60" s="15"/>
      <c r="B60" s="26">
        <v>22</v>
      </c>
      <c r="C60" s="47"/>
      <c r="D60" s="38">
        <f t="shared" si="60"/>
        <v>0</v>
      </c>
      <c r="E60" s="47"/>
      <c r="F60" s="38">
        <f t="shared" si="62"/>
        <v>0</v>
      </c>
      <c r="G60" s="38">
        <f t="shared" si="61"/>
        <v>0</v>
      </c>
      <c r="H60" s="47"/>
      <c r="I60" s="47"/>
      <c r="J60" s="47"/>
      <c r="K60" s="47"/>
      <c r="L60" s="47"/>
      <c r="M60" s="47"/>
      <c r="N60" s="38">
        <f t="shared" si="58"/>
        <v>0</v>
      </c>
      <c r="O60" s="47"/>
      <c r="P60" s="43" t="str">
        <f t="shared" si="41"/>
        <v/>
      </c>
      <c r="Q60" s="47"/>
      <c r="R60" s="38">
        <f t="shared" si="64"/>
        <v>0</v>
      </c>
      <c r="S60" s="51"/>
      <c r="T60" s="43" t="e">
        <f t="shared" si="59"/>
        <v>#DIV/0!</v>
      </c>
      <c r="U60" s="43" t="str">
        <f t="shared" si="42"/>
        <v/>
      </c>
      <c r="V60" s="43" t="e">
        <f t="shared" si="63"/>
        <v>#DIV/0!</v>
      </c>
      <c r="W60" s="220"/>
      <c r="X60" s="220"/>
      <c r="Y60" s="43">
        <f t="shared" si="43"/>
        <v>0</v>
      </c>
      <c r="Z60" s="51"/>
      <c r="AA60" s="38">
        <f t="shared" si="44"/>
        <v>0</v>
      </c>
      <c r="AB60" s="52" t="str">
        <f t="shared" si="65"/>
        <v/>
      </c>
      <c r="AC60" s="52" t="str">
        <f t="shared" si="45"/>
        <v/>
      </c>
      <c r="AD60" s="52" t="e">
        <f t="shared" si="66"/>
        <v>#DIV/0!</v>
      </c>
      <c r="AE60" s="47"/>
      <c r="AF60" s="47"/>
      <c r="AG60" s="52" t="str">
        <f t="shared" si="46"/>
        <v/>
      </c>
      <c r="AH60" s="43" t="str">
        <f t="shared" si="47"/>
        <v/>
      </c>
      <c r="AI60" s="52" t="str">
        <f t="shared" si="48"/>
        <v/>
      </c>
      <c r="AJ60" s="47"/>
      <c r="AK60" s="220"/>
      <c r="AL60" s="43" t="str">
        <f t="shared" si="49"/>
        <v/>
      </c>
      <c r="AM60" s="38"/>
      <c r="AN60" s="56" t="str">
        <f t="shared" si="50"/>
        <v/>
      </c>
      <c r="AO60" s="59"/>
      <c r="AP60" s="262" t="str">
        <f t="shared" si="51"/>
        <v/>
      </c>
      <c r="AQ60" s="61" t="str">
        <f t="shared" si="52"/>
        <v/>
      </c>
      <c r="AR60" s="63">
        <f t="shared" si="53"/>
        <v>-0.3</v>
      </c>
      <c r="AS60" s="256"/>
      <c r="AT60" s="75"/>
      <c r="AU60" s="76"/>
      <c r="AV60" s="76"/>
      <c r="AW60" s="77">
        <f t="shared" si="67"/>
        <v>0</v>
      </c>
      <c r="AY60" s="182" t="str">
        <f t="shared" si="54"/>
        <v/>
      </c>
      <c r="AZ60" s="182" t="str">
        <f t="shared" si="55"/>
        <v/>
      </c>
      <c r="BA60" s="182" t="str">
        <f t="shared" si="56"/>
        <v/>
      </c>
      <c r="BC60" s="279">
        <f t="shared" si="57"/>
        <v>0</v>
      </c>
      <c r="BD60" s="294">
        <f>X60-(Graphs!G145/60)</f>
        <v>0</v>
      </c>
      <c r="BE60" s="284">
        <f>AE60-Graphs!G145</f>
        <v>0</v>
      </c>
    </row>
    <row r="61" spans="1:57" ht="22.5" customHeight="1">
      <c r="A61" s="15"/>
      <c r="B61" s="26">
        <v>23</v>
      </c>
      <c r="C61" s="47"/>
      <c r="D61" s="38">
        <f t="shared" si="60"/>
        <v>0</v>
      </c>
      <c r="E61" s="47"/>
      <c r="F61" s="38">
        <f t="shared" si="62"/>
        <v>0</v>
      </c>
      <c r="G61" s="38">
        <f t="shared" si="61"/>
        <v>0</v>
      </c>
      <c r="H61" s="47"/>
      <c r="I61" s="47"/>
      <c r="J61" s="47"/>
      <c r="K61" s="47"/>
      <c r="L61" s="47"/>
      <c r="M61" s="47"/>
      <c r="N61" s="38">
        <f t="shared" si="58"/>
        <v>0</v>
      </c>
      <c r="O61" s="47"/>
      <c r="P61" s="43" t="str">
        <f t="shared" si="41"/>
        <v/>
      </c>
      <c r="Q61" s="47"/>
      <c r="R61" s="38">
        <f t="shared" si="64"/>
        <v>0</v>
      </c>
      <c r="S61" s="51"/>
      <c r="T61" s="43" t="e">
        <f t="shared" si="59"/>
        <v>#DIV/0!</v>
      </c>
      <c r="U61" s="43" t="str">
        <f t="shared" si="42"/>
        <v/>
      </c>
      <c r="V61" s="43" t="e">
        <f t="shared" si="63"/>
        <v>#DIV/0!</v>
      </c>
      <c r="W61" s="220"/>
      <c r="X61" s="220"/>
      <c r="Y61" s="43">
        <f t="shared" si="43"/>
        <v>0</v>
      </c>
      <c r="Z61" s="51"/>
      <c r="AA61" s="38">
        <f t="shared" si="44"/>
        <v>0</v>
      </c>
      <c r="AB61" s="52" t="str">
        <f t="shared" si="65"/>
        <v/>
      </c>
      <c r="AC61" s="52" t="str">
        <f t="shared" si="45"/>
        <v/>
      </c>
      <c r="AD61" s="52" t="e">
        <f t="shared" si="66"/>
        <v>#DIV/0!</v>
      </c>
      <c r="AE61" s="47"/>
      <c r="AF61" s="47"/>
      <c r="AG61" s="52" t="str">
        <f t="shared" si="46"/>
        <v/>
      </c>
      <c r="AH61" s="43" t="str">
        <f t="shared" si="47"/>
        <v/>
      </c>
      <c r="AI61" s="52" t="str">
        <f t="shared" si="48"/>
        <v/>
      </c>
      <c r="AJ61" s="47"/>
      <c r="AK61" s="220"/>
      <c r="AL61" s="43" t="str">
        <f t="shared" si="49"/>
        <v/>
      </c>
      <c r="AM61" s="38"/>
      <c r="AN61" s="56" t="str">
        <f t="shared" si="50"/>
        <v/>
      </c>
      <c r="AO61" s="59"/>
      <c r="AP61" s="262" t="str">
        <f t="shared" si="51"/>
        <v/>
      </c>
      <c r="AQ61" s="61" t="str">
        <f t="shared" si="52"/>
        <v/>
      </c>
      <c r="AR61" s="63">
        <f t="shared" si="53"/>
        <v>-0.3</v>
      </c>
      <c r="AS61" s="256"/>
      <c r="AT61" s="75"/>
      <c r="AU61" s="76"/>
      <c r="AV61" s="76"/>
      <c r="AW61" s="77">
        <f t="shared" si="67"/>
        <v>0</v>
      </c>
      <c r="AY61" s="182" t="str">
        <f t="shared" si="54"/>
        <v/>
      </c>
      <c r="AZ61" s="182" t="str">
        <f t="shared" si="55"/>
        <v/>
      </c>
      <c r="BA61" s="182" t="str">
        <f t="shared" si="56"/>
        <v/>
      </c>
      <c r="BC61" s="279">
        <f t="shared" si="57"/>
        <v>0</v>
      </c>
      <c r="BD61" s="294">
        <f>X61-(Graphs!G148/60)</f>
        <v>0</v>
      </c>
      <c r="BE61" s="284">
        <f>AE61-Graphs!G148</f>
        <v>0</v>
      </c>
    </row>
    <row r="62" spans="1:57" ht="22.5" customHeight="1">
      <c r="A62" s="15"/>
      <c r="B62" s="26">
        <v>24</v>
      </c>
      <c r="C62" s="47"/>
      <c r="D62" s="38">
        <f t="shared" si="60"/>
        <v>0</v>
      </c>
      <c r="E62" s="47"/>
      <c r="F62" s="38">
        <f t="shared" si="62"/>
        <v>0</v>
      </c>
      <c r="G62" s="38">
        <f t="shared" si="61"/>
        <v>0</v>
      </c>
      <c r="H62" s="47"/>
      <c r="I62" s="47"/>
      <c r="J62" s="47"/>
      <c r="K62" s="47"/>
      <c r="L62" s="47"/>
      <c r="M62" s="47"/>
      <c r="N62" s="38">
        <f t="shared" si="58"/>
        <v>0</v>
      </c>
      <c r="O62" s="47"/>
      <c r="P62" s="43" t="str">
        <f t="shared" si="41"/>
        <v/>
      </c>
      <c r="Q62" s="47"/>
      <c r="R62" s="38">
        <f t="shared" si="64"/>
        <v>0</v>
      </c>
      <c r="S62" s="51"/>
      <c r="T62" s="43" t="e">
        <f t="shared" si="59"/>
        <v>#DIV/0!</v>
      </c>
      <c r="U62" s="43" t="str">
        <f t="shared" si="42"/>
        <v/>
      </c>
      <c r="V62" s="43" t="e">
        <f t="shared" si="63"/>
        <v>#DIV/0!</v>
      </c>
      <c r="W62" s="220"/>
      <c r="X62" s="220"/>
      <c r="Y62" s="43">
        <f t="shared" si="43"/>
        <v>0</v>
      </c>
      <c r="Z62" s="51"/>
      <c r="AA62" s="38">
        <f t="shared" si="44"/>
        <v>0</v>
      </c>
      <c r="AB62" s="52" t="str">
        <f t="shared" si="65"/>
        <v/>
      </c>
      <c r="AC62" s="52" t="str">
        <f t="shared" si="45"/>
        <v/>
      </c>
      <c r="AD62" s="52" t="e">
        <f t="shared" si="66"/>
        <v>#DIV/0!</v>
      </c>
      <c r="AE62" s="47"/>
      <c r="AF62" s="47"/>
      <c r="AG62" s="52" t="str">
        <f t="shared" si="46"/>
        <v/>
      </c>
      <c r="AH62" s="43" t="str">
        <f t="shared" si="47"/>
        <v/>
      </c>
      <c r="AI62" s="52" t="str">
        <f t="shared" si="48"/>
        <v/>
      </c>
      <c r="AJ62" s="47"/>
      <c r="AK62" s="220"/>
      <c r="AL62" s="43" t="str">
        <f t="shared" si="49"/>
        <v/>
      </c>
      <c r="AM62" s="38"/>
      <c r="AN62" s="56" t="str">
        <f t="shared" si="50"/>
        <v/>
      </c>
      <c r="AO62" s="59"/>
      <c r="AP62" s="262" t="str">
        <f t="shared" si="51"/>
        <v/>
      </c>
      <c r="AQ62" s="61" t="str">
        <f t="shared" si="52"/>
        <v/>
      </c>
      <c r="AR62" s="63">
        <f t="shared" si="53"/>
        <v>-0.3</v>
      </c>
      <c r="AS62" s="256"/>
      <c r="AT62" s="75"/>
      <c r="AU62" s="76"/>
      <c r="AV62" s="76"/>
      <c r="AW62" s="77">
        <f t="shared" si="67"/>
        <v>0</v>
      </c>
      <c r="AY62" s="182" t="str">
        <f t="shared" si="54"/>
        <v/>
      </c>
      <c r="AZ62" s="182" t="str">
        <f t="shared" si="55"/>
        <v/>
      </c>
      <c r="BA62" s="182" t="str">
        <f t="shared" si="56"/>
        <v/>
      </c>
      <c r="BC62" s="279">
        <f t="shared" si="57"/>
        <v>0</v>
      </c>
      <c r="BD62" s="294">
        <f>X62-(Graphs!G151/60)</f>
        <v>0</v>
      </c>
      <c r="BE62" s="284">
        <f>AE62-Graphs!G151</f>
        <v>0</v>
      </c>
    </row>
    <row r="63" spans="1:57" ht="22.5" customHeight="1">
      <c r="A63" s="15"/>
      <c r="B63" s="26">
        <v>25</v>
      </c>
      <c r="C63" s="47"/>
      <c r="D63" s="38">
        <f t="shared" si="60"/>
        <v>0</v>
      </c>
      <c r="E63" s="47"/>
      <c r="F63" s="38">
        <f t="shared" si="62"/>
        <v>0</v>
      </c>
      <c r="G63" s="38">
        <f t="shared" si="61"/>
        <v>0</v>
      </c>
      <c r="H63" s="47"/>
      <c r="I63" s="47"/>
      <c r="J63" s="47"/>
      <c r="K63" s="47"/>
      <c r="L63" s="47"/>
      <c r="M63" s="47"/>
      <c r="N63" s="38">
        <f t="shared" si="58"/>
        <v>0</v>
      </c>
      <c r="O63" s="47"/>
      <c r="P63" s="43" t="str">
        <f t="shared" si="41"/>
        <v/>
      </c>
      <c r="Q63" s="47"/>
      <c r="R63" s="38">
        <f t="shared" si="64"/>
        <v>0</v>
      </c>
      <c r="S63" s="51"/>
      <c r="T63" s="43" t="e">
        <f t="shared" si="59"/>
        <v>#DIV/0!</v>
      </c>
      <c r="U63" s="43" t="str">
        <f t="shared" si="42"/>
        <v/>
      </c>
      <c r="V63" s="43" t="e">
        <f t="shared" si="63"/>
        <v>#DIV/0!</v>
      </c>
      <c r="W63" s="220"/>
      <c r="X63" s="220"/>
      <c r="Y63" s="43">
        <f t="shared" si="43"/>
        <v>0</v>
      </c>
      <c r="Z63" s="51"/>
      <c r="AA63" s="38">
        <f t="shared" si="44"/>
        <v>0</v>
      </c>
      <c r="AB63" s="52" t="str">
        <f t="shared" si="65"/>
        <v/>
      </c>
      <c r="AC63" s="52" t="str">
        <f t="shared" si="45"/>
        <v/>
      </c>
      <c r="AD63" s="52" t="e">
        <f t="shared" si="66"/>
        <v>#DIV/0!</v>
      </c>
      <c r="AE63" s="47"/>
      <c r="AF63" s="47"/>
      <c r="AG63" s="52" t="str">
        <f t="shared" si="46"/>
        <v/>
      </c>
      <c r="AH63" s="43" t="str">
        <f t="shared" si="47"/>
        <v/>
      </c>
      <c r="AI63" s="52" t="str">
        <f t="shared" si="48"/>
        <v/>
      </c>
      <c r="AJ63" s="47"/>
      <c r="AK63" s="220"/>
      <c r="AL63" s="43" t="str">
        <f t="shared" si="49"/>
        <v/>
      </c>
      <c r="AM63" s="38"/>
      <c r="AN63" s="56" t="str">
        <f t="shared" si="50"/>
        <v/>
      </c>
      <c r="AO63" s="59"/>
      <c r="AP63" s="262" t="str">
        <f t="shared" si="51"/>
        <v/>
      </c>
      <c r="AQ63" s="61" t="str">
        <f t="shared" si="52"/>
        <v/>
      </c>
      <c r="AR63" s="63">
        <f t="shared" si="53"/>
        <v>-0.3</v>
      </c>
      <c r="AS63" s="256"/>
      <c r="AT63" s="75"/>
      <c r="AU63" s="76"/>
      <c r="AV63" s="76"/>
      <c r="AW63" s="77">
        <f t="shared" si="67"/>
        <v>0</v>
      </c>
      <c r="AY63" s="182" t="str">
        <f t="shared" si="54"/>
        <v/>
      </c>
      <c r="AZ63" s="182" t="str">
        <f t="shared" si="55"/>
        <v/>
      </c>
      <c r="BA63" s="182" t="str">
        <f t="shared" si="56"/>
        <v/>
      </c>
      <c r="BC63" s="279">
        <f t="shared" si="57"/>
        <v>0</v>
      </c>
      <c r="BD63" s="294">
        <f>X63-(Graphs!G154/60)</f>
        <v>0</v>
      </c>
      <c r="BE63" s="284">
        <f>AE63-Graphs!G154</f>
        <v>0</v>
      </c>
    </row>
    <row r="64" spans="1:57" ht="22.5" customHeight="1">
      <c r="A64" s="15"/>
      <c r="B64" s="26">
        <v>26</v>
      </c>
      <c r="C64" s="47"/>
      <c r="D64" s="38">
        <f t="shared" si="60"/>
        <v>0</v>
      </c>
      <c r="E64" s="47"/>
      <c r="F64" s="38">
        <f t="shared" si="62"/>
        <v>0</v>
      </c>
      <c r="G64" s="38">
        <f t="shared" si="61"/>
        <v>0</v>
      </c>
      <c r="H64" s="47"/>
      <c r="I64" s="47"/>
      <c r="J64" s="47"/>
      <c r="K64" s="47"/>
      <c r="L64" s="47"/>
      <c r="M64" s="47"/>
      <c r="N64" s="38">
        <f t="shared" si="58"/>
        <v>0</v>
      </c>
      <c r="O64" s="47"/>
      <c r="P64" s="43" t="str">
        <f t="shared" si="41"/>
        <v/>
      </c>
      <c r="Q64" s="47"/>
      <c r="R64" s="38">
        <f t="shared" si="64"/>
        <v>0</v>
      </c>
      <c r="S64" s="51"/>
      <c r="T64" s="43" t="e">
        <f t="shared" si="59"/>
        <v>#DIV/0!</v>
      </c>
      <c r="U64" s="43" t="str">
        <f t="shared" si="42"/>
        <v/>
      </c>
      <c r="V64" s="43" t="e">
        <f t="shared" si="63"/>
        <v>#DIV/0!</v>
      </c>
      <c r="W64" s="220"/>
      <c r="X64" s="220"/>
      <c r="Y64" s="43">
        <f t="shared" si="43"/>
        <v>0</v>
      </c>
      <c r="Z64" s="51"/>
      <c r="AA64" s="38">
        <f t="shared" si="44"/>
        <v>0</v>
      </c>
      <c r="AB64" s="52" t="str">
        <f t="shared" si="65"/>
        <v/>
      </c>
      <c r="AC64" s="52" t="str">
        <f t="shared" si="45"/>
        <v/>
      </c>
      <c r="AD64" s="52" t="e">
        <f t="shared" si="66"/>
        <v>#DIV/0!</v>
      </c>
      <c r="AE64" s="47"/>
      <c r="AF64" s="47"/>
      <c r="AG64" s="52" t="str">
        <f t="shared" si="46"/>
        <v/>
      </c>
      <c r="AH64" s="43" t="str">
        <f t="shared" si="47"/>
        <v/>
      </c>
      <c r="AI64" s="52" t="str">
        <f t="shared" si="48"/>
        <v/>
      </c>
      <c r="AJ64" s="47"/>
      <c r="AK64" s="220"/>
      <c r="AL64" s="43" t="str">
        <f t="shared" si="49"/>
        <v/>
      </c>
      <c r="AM64" s="38"/>
      <c r="AN64" s="56" t="str">
        <f t="shared" si="50"/>
        <v/>
      </c>
      <c r="AO64" s="59"/>
      <c r="AP64" s="262" t="str">
        <f t="shared" si="51"/>
        <v/>
      </c>
      <c r="AQ64" s="61" t="str">
        <f t="shared" si="52"/>
        <v/>
      </c>
      <c r="AR64" s="63">
        <f t="shared" si="53"/>
        <v>-0.3</v>
      </c>
      <c r="AS64" s="256"/>
      <c r="AT64" s="75"/>
      <c r="AU64" s="76"/>
      <c r="AV64" s="76"/>
      <c r="AW64" s="77">
        <f t="shared" si="67"/>
        <v>0</v>
      </c>
      <c r="AY64" s="182" t="str">
        <f t="shared" si="54"/>
        <v/>
      </c>
      <c r="AZ64" s="182" t="str">
        <f t="shared" si="55"/>
        <v/>
      </c>
      <c r="BA64" s="182" t="str">
        <f t="shared" si="56"/>
        <v/>
      </c>
      <c r="BC64" s="279">
        <f t="shared" si="57"/>
        <v>0</v>
      </c>
      <c r="BD64" s="294">
        <f>X64-(Graphs!G157/60)</f>
        <v>0</v>
      </c>
      <c r="BE64" s="284">
        <f>AE64-Graphs!G157</f>
        <v>0</v>
      </c>
    </row>
    <row r="65" spans="1:57" ht="22.5" customHeight="1">
      <c r="A65" s="15"/>
      <c r="B65" s="26">
        <v>27</v>
      </c>
      <c r="C65" s="47"/>
      <c r="D65" s="38">
        <f t="shared" si="60"/>
        <v>0</v>
      </c>
      <c r="E65" s="47"/>
      <c r="F65" s="38">
        <f t="shared" si="62"/>
        <v>0</v>
      </c>
      <c r="G65" s="38">
        <f t="shared" si="61"/>
        <v>0</v>
      </c>
      <c r="H65" s="47"/>
      <c r="I65" s="47"/>
      <c r="J65" s="47"/>
      <c r="K65" s="47"/>
      <c r="L65" s="47"/>
      <c r="M65" s="47"/>
      <c r="N65" s="38">
        <f t="shared" si="58"/>
        <v>0</v>
      </c>
      <c r="O65" s="47"/>
      <c r="P65" s="43" t="str">
        <f t="shared" si="41"/>
        <v/>
      </c>
      <c r="Q65" s="47"/>
      <c r="R65" s="38">
        <f t="shared" si="64"/>
        <v>0</v>
      </c>
      <c r="S65" s="51"/>
      <c r="T65" s="43" t="e">
        <f t="shared" si="59"/>
        <v>#DIV/0!</v>
      </c>
      <c r="U65" s="43" t="str">
        <f t="shared" si="42"/>
        <v/>
      </c>
      <c r="V65" s="43" t="e">
        <f t="shared" si="63"/>
        <v>#DIV/0!</v>
      </c>
      <c r="W65" s="220"/>
      <c r="X65" s="220"/>
      <c r="Y65" s="43">
        <f t="shared" si="43"/>
        <v>0</v>
      </c>
      <c r="Z65" s="51"/>
      <c r="AA65" s="38">
        <f t="shared" si="44"/>
        <v>0</v>
      </c>
      <c r="AB65" s="52" t="str">
        <f t="shared" si="65"/>
        <v/>
      </c>
      <c r="AC65" s="52" t="str">
        <f t="shared" si="45"/>
        <v/>
      </c>
      <c r="AD65" s="52" t="e">
        <f t="shared" si="66"/>
        <v>#DIV/0!</v>
      </c>
      <c r="AE65" s="47"/>
      <c r="AF65" s="47"/>
      <c r="AG65" s="52" t="str">
        <f t="shared" si="46"/>
        <v/>
      </c>
      <c r="AH65" s="43" t="str">
        <f t="shared" si="47"/>
        <v/>
      </c>
      <c r="AI65" s="52" t="str">
        <f t="shared" si="48"/>
        <v/>
      </c>
      <c r="AJ65" s="47"/>
      <c r="AK65" s="220"/>
      <c r="AL65" s="43" t="str">
        <f t="shared" si="49"/>
        <v/>
      </c>
      <c r="AM65" s="38"/>
      <c r="AN65" s="56" t="str">
        <f t="shared" si="50"/>
        <v/>
      </c>
      <c r="AO65" s="59"/>
      <c r="AP65" s="262" t="str">
        <f t="shared" si="51"/>
        <v/>
      </c>
      <c r="AQ65" s="61" t="str">
        <f t="shared" si="52"/>
        <v/>
      </c>
      <c r="AR65" s="63">
        <f t="shared" si="53"/>
        <v>-0.3</v>
      </c>
      <c r="AS65" s="256"/>
      <c r="AT65" s="75"/>
      <c r="AU65" s="76"/>
      <c r="AV65" s="76"/>
      <c r="AW65" s="77">
        <f t="shared" si="67"/>
        <v>0</v>
      </c>
      <c r="AY65" s="182" t="str">
        <f t="shared" si="54"/>
        <v/>
      </c>
      <c r="AZ65" s="182" t="str">
        <f t="shared" si="55"/>
        <v/>
      </c>
      <c r="BA65" s="182" t="str">
        <f t="shared" si="56"/>
        <v/>
      </c>
      <c r="BC65" s="279">
        <f t="shared" si="57"/>
        <v>0</v>
      </c>
      <c r="BD65" s="294">
        <f>X65-(Graphs!G160/60)</f>
        <v>0</v>
      </c>
      <c r="BE65" s="284">
        <f>AE65-Graphs!G160</f>
        <v>0</v>
      </c>
    </row>
    <row r="66" spans="1:57" ht="22.5" customHeight="1">
      <c r="A66" s="15"/>
      <c r="B66" s="26">
        <v>28</v>
      </c>
      <c r="C66" s="47"/>
      <c r="D66" s="38">
        <f t="shared" si="60"/>
        <v>0</v>
      </c>
      <c r="E66" s="47"/>
      <c r="F66" s="38">
        <f t="shared" si="62"/>
        <v>0</v>
      </c>
      <c r="G66" s="38">
        <f t="shared" si="61"/>
        <v>0</v>
      </c>
      <c r="H66" s="47"/>
      <c r="I66" s="47"/>
      <c r="J66" s="47"/>
      <c r="K66" s="47"/>
      <c r="L66" s="47"/>
      <c r="M66" s="47"/>
      <c r="N66" s="38">
        <f t="shared" si="58"/>
        <v>0</v>
      </c>
      <c r="O66" s="47"/>
      <c r="P66" s="43" t="str">
        <f t="shared" si="41"/>
        <v/>
      </c>
      <c r="Q66" s="47"/>
      <c r="R66" s="38">
        <f t="shared" si="64"/>
        <v>0</v>
      </c>
      <c r="S66" s="51"/>
      <c r="T66" s="43" t="e">
        <f t="shared" si="59"/>
        <v>#DIV/0!</v>
      </c>
      <c r="U66" s="43" t="str">
        <f t="shared" si="42"/>
        <v/>
      </c>
      <c r="V66" s="43" t="e">
        <f t="shared" si="63"/>
        <v>#DIV/0!</v>
      </c>
      <c r="W66" s="220"/>
      <c r="X66" s="220"/>
      <c r="Y66" s="43">
        <f t="shared" si="43"/>
        <v>0</v>
      </c>
      <c r="Z66" s="51"/>
      <c r="AA66" s="38">
        <f t="shared" si="44"/>
        <v>0</v>
      </c>
      <c r="AB66" s="52" t="str">
        <f t="shared" si="65"/>
        <v/>
      </c>
      <c r="AC66" s="52" t="str">
        <f t="shared" si="45"/>
        <v/>
      </c>
      <c r="AD66" s="52" t="e">
        <f t="shared" si="66"/>
        <v>#DIV/0!</v>
      </c>
      <c r="AE66" s="47"/>
      <c r="AF66" s="47"/>
      <c r="AG66" s="52" t="str">
        <f t="shared" si="46"/>
        <v/>
      </c>
      <c r="AH66" s="43" t="str">
        <f t="shared" si="47"/>
        <v/>
      </c>
      <c r="AI66" s="52" t="str">
        <f t="shared" si="48"/>
        <v/>
      </c>
      <c r="AJ66" s="47"/>
      <c r="AK66" s="220"/>
      <c r="AL66" s="43" t="str">
        <f t="shared" si="49"/>
        <v/>
      </c>
      <c r="AM66" s="38"/>
      <c r="AN66" s="56" t="str">
        <f t="shared" si="50"/>
        <v/>
      </c>
      <c r="AO66" s="59"/>
      <c r="AP66" s="262" t="str">
        <f t="shared" si="51"/>
        <v/>
      </c>
      <c r="AQ66" s="61" t="str">
        <f t="shared" si="52"/>
        <v/>
      </c>
      <c r="AR66" s="63">
        <f t="shared" si="53"/>
        <v>-0.3</v>
      </c>
      <c r="AS66" s="256"/>
      <c r="AT66" s="75"/>
      <c r="AU66" s="76"/>
      <c r="AV66" s="76"/>
      <c r="AW66" s="77">
        <f t="shared" si="67"/>
        <v>0</v>
      </c>
      <c r="AY66" s="182" t="str">
        <f t="shared" si="54"/>
        <v/>
      </c>
      <c r="AZ66" s="182" t="str">
        <f t="shared" si="55"/>
        <v/>
      </c>
      <c r="BA66" s="182" t="str">
        <f t="shared" si="56"/>
        <v/>
      </c>
      <c r="BC66" s="279">
        <f t="shared" si="57"/>
        <v>0</v>
      </c>
      <c r="BD66" s="294">
        <f>X66-(Graphs!G163/60)</f>
        <v>0</v>
      </c>
      <c r="BE66" s="284">
        <f>AE66-Graphs!G163</f>
        <v>0</v>
      </c>
    </row>
    <row r="67" spans="1:57" ht="22.5" customHeight="1">
      <c r="A67" s="15"/>
      <c r="B67" s="26">
        <v>29</v>
      </c>
      <c r="C67" s="47"/>
      <c r="D67" s="38">
        <f t="shared" si="60"/>
        <v>0</v>
      </c>
      <c r="E67" s="47"/>
      <c r="F67" s="38">
        <f t="shared" si="62"/>
        <v>0</v>
      </c>
      <c r="G67" s="38">
        <f t="shared" si="61"/>
        <v>0</v>
      </c>
      <c r="H67" s="47"/>
      <c r="I67" s="47"/>
      <c r="J67" s="47"/>
      <c r="K67" s="47"/>
      <c r="L67" s="47"/>
      <c r="M67" s="47"/>
      <c r="N67" s="38">
        <f t="shared" si="58"/>
        <v>0</v>
      </c>
      <c r="O67" s="47"/>
      <c r="P67" s="43" t="str">
        <f t="shared" si="41"/>
        <v/>
      </c>
      <c r="Q67" s="47"/>
      <c r="R67" s="38">
        <f t="shared" si="64"/>
        <v>0</v>
      </c>
      <c r="S67" s="51"/>
      <c r="T67" s="43" t="e">
        <f t="shared" si="59"/>
        <v>#DIV/0!</v>
      </c>
      <c r="U67" s="43" t="str">
        <f t="shared" si="42"/>
        <v/>
      </c>
      <c r="V67" s="43" t="e">
        <f t="shared" si="63"/>
        <v>#DIV/0!</v>
      </c>
      <c r="W67" s="220"/>
      <c r="X67" s="220"/>
      <c r="Y67" s="43">
        <f t="shared" si="43"/>
        <v>0</v>
      </c>
      <c r="Z67" s="51"/>
      <c r="AA67" s="38">
        <f t="shared" si="44"/>
        <v>0</v>
      </c>
      <c r="AB67" s="52" t="str">
        <f t="shared" si="65"/>
        <v/>
      </c>
      <c r="AC67" s="52" t="str">
        <f t="shared" si="45"/>
        <v/>
      </c>
      <c r="AD67" s="52" t="e">
        <f t="shared" si="66"/>
        <v>#DIV/0!</v>
      </c>
      <c r="AE67" s="47"/>
      <c r="AF67" s="47"/>
      <c r="AG67" s="52" t="str">
        <f t="shared" si="46"/>
        <v/>
      </c>
      <c r="AH67" s="43" t="str">
        <f t="shared" si="47"/>
        <v/>
      </c>
      <c r="AI67" s="52" t="str">
        <f t="shared" si="48"/>
        <v/>
      </c>
      <c r="AJ67" s="47"/>
      <c r="AK67" s="220"/>
      <c r="AL67" s="43" t="str">
        <f t="shared" si="49"/>
        <v/>
      </c>
      <c r="AM67" s="38"/>
      <c r="AN67" s="56" t="str">
        <f t="shared" si="50"/>
        <v/>
      </c>
      <c r="AO67" s="59"/>
      <c r="AP67" s="262" t="str">
        <f t="shared" si="51"/>
        <v/>
      </c>
      <c r="AQ67" s="61" t="str">
        <f t="shared" si="52"/>
        <v/>
      </c>
      <c r="AR67" s="63">
        <f t="shared" si="53"/>
        <v>-0.3</v>
      </c>
      <c r="AS67" s="256"/>
      <c r="AT67" s="75"/>
      <c r="AU67" s="76"/>
      <c r="AV67" s="76"/>
      <c r="AW67" s="77">
        <f t="shared" si="67"/>
        <v>0</v>
      </c>
      <c r="AY67" s="182" t="str">
        <f t="shared" si="54"/>
        <v/>
      </c>
      <c r="AZ67" s="182" t="str">
        <f t="shared" si="55"/>
        <v/>
      </c>
      <c r="BA67" s="182" t="str">
        <f t="shared" si="56"/>
        <v/>
      </c>
      <c r="BC67" s="279">
        <f t="shared" si="57"/>
        <v>0</v>
      </c>
      <c r="BD67" s="294">
        <f>X67-(Graphs!G166/60)</f>
        <v>0</v>
      </c>
      <c r="BE67" s="284">
        <f>AE67-Graphs!G166</f>
        <v>0</v>
      </c>
    </row>
    <row r="68" spans="1:57" ht="22.5" customHeight="1">
      <c r="A68" s="15"/>
      <c r="B68" s="26">
        <v>30</v>
      </c>
      <c r="C68" s="47"/>
      <c r="D68" s="38">
        <f t="shared" si="60"/>
        <v>0</v>
      </c>
      <c r="E68" s="47"/>
      <c r="F68" s="38">
        <f t="shared" si="62"/>
        <v>0</v>
      </c>
      <c r="G68" s="38">
        <f t="shared" si="61"/>
        <v>0</v>
      </c>
      <c r="H68" s="47"/>
      <c r="I68" s="47"/>
      <c r="J68" s="47"/>
      <c r="K68" s="47"/>
      <c r="L68" s="47"/>
      <c r="M68" s="47"/>
      <c r="N68" s="38">
        <f t="shared" si="58"/>
        <v>0</v>
      </c>
      <c r="O68" s="47"/>
      <c r="P68" s="43" t="str">
        <f t="shared" si="41"/>
        <v/>
      </c>
      <c r="Q68" s="47"/>
      <c r="R68" s="38">
        <f t="shared" si="64"/>
        <v>0</v>
      </c>
      <c r="S68" s="51"/>
      <c r="T68" s="43" t="e">
        <f t="shared" si="59"/>
        <v>#DIV/0!</v>
      </c>
      <c r="U68" s="43" t="str">
        <f t="shared" si="42"/>
        <v/>
      </c>
      <c r="V68" s="43" t="e">
        <f t="shared" si="63"/>
        <v>#DIV/0!</v>
      </c>
      <c r="W68" s="220"/>
      <c r="X68" s="220"/>
      <c r="Y68" s="43">
        <f t="shared" si="43"/>
        <v>0</v>
      </c>
      <c r="Z68" s="51"/>
      <c r="AA68" s="38">
        <f t="shared" si="44"/>
        <v>0</v>
      </c>
      <c r="AB68" s="52" t="str">
        <f t="shared" si="65"/>
        <v/>
      </c>
      <c r="AC68" s="52" t="str">
        <f t="shared" si="45"/>
        <v/>
      </c>
      <c r="AD68" s="52" t="e">
        <f t="shared" si="66"/>
        <v>#DIV/0!</v>
      </c>
      <c r="AE68" s="47"/>
      <c r="AF68" s="47"/>
      <c r="AG68" s="52" t="str">
        <f t="shared" si="46"/>
        <v/>
      </c>
      <c r="AH68" s="43" t="str">
        <f t="shared" si="47"/>
        <v/>
      </c>
      <c r="AI68" s="52" t="str">
        <f t="shared" si="48"/>
        <v/>
      </c>
      <c r="AJ68" s="47"/>
      <c r="AK68" s="220"/>
      <c r="AL68" s="43" t="str">
        <f t="shared" si="49"/>
        <v/>
      </c>
      <c r="AM68" s="38"/>
      <c r="AN68" s="56" t="str">
        <f t="shared" si="50"/>
        <v/>
      </c>
      <c r="AO68" s="59"/>
      <c r="AP68" s="262" t="str">
        <f t="shared" si="51"/>
        <v/>
      </c>
      <c r="AQ68" s="61" t="str">
        <f t="shared" si="52"/>
        <v/>
      </c>
      <c r="AR68" s="63">
        <f t="shared" si="53"/>
        <v>-0.3</v>
      </c>
      <c r="AS68" s="256"/>
      <c r="AT68" s="75"/>
      <c r="AU68" s="76"/>
      <c r="AV68" s="76"/>
      <c r="AW68" s="77">
        <f t="shared" si="67"/>
        <v>0</v>
      </c>
      <c r="AY68" s="182" t="str">
        <f t="shared" si="54"/>
        <v/>
      </c>
      <c r="AZ68" s="182" t="str">
        <f t="shared" si="55"/>
        <v/>
      </c>
      <c r="BA68" s="182" t="str">
        <f t="shared" si="56"/>
        <v/>
      </c>
      <c r="BC68" s="279">
        <f t="shared" si="57"/>
        <v>0</v>
      </c>
      <c r="BD68" s="294">
        <f>X68-(Graphs!G169/60)</f>
        <v>0</v>
      </c>
      <c r="BE68" s="284">
        <f>AE68-Graphs!G169</f>
        <v>0</v>
      </c>
    </row>
    <row r="69" spans="1:57" ht="22.5" customHeight="1" thickBot="1">
      <c r="A69" s="15"/>
      <c r="B69" s="26">
        <v>31</v>
      </c>
      <c r="C69" s="47"/>
      <c r="D69" s="38">
        <f t="shared" si="60"/>
        <v>0</v>
      </c>
      <c r="E69" s="47"/>
      <c r="F69" s="38">
        <f t="shared" si="62"/>
        <v>0</v>
      </c>
      <c r="G69" s="38">
        <f t="shared" si="61"/>
        <v>0</v>
      </c>
      <c r="H69" s="47"/>
      <c r="I69" s="47"/>
      <c r="J69" s="47"/>
      <c r="K69" s="47"/>
      <c r="L69" s="47"/>
      <c r="M69" s="47"/>
      <c r="N69" s="38">
        <f t="shared" si="58"/>
        <v>0</v>
      </c>
      <c r="O69" s="47"/>
      <c r="P69" s="43" t="str">
        <f t="shared" si="41"/>
        <v/>
      </c>
      <c r="Q69" s="47"/>
      <c r="R69" s="38">
        <f t="shared" si="64"/>
        <v>0</v>
      </c>
      <c r="S69" s="51"/>
      <c r="T69" s="43" t="e">
        <f t="shared" si="59"/>
        <v>#DIV/0!</v>
      </c>
      <c r="U69" s="43" t="str">
        <f t="shared" si="42"/>
        <v/>
      </c>
      <c r="V69" s="43" t="e">
        <f t="shared" si="63"/>
        <v>#DIV/0!</v>
      </c>
      <c r="W69" s="220"/>
      <c r="X69" s="220"/>
      <c r="Y69" s="43">
        <f t="shared" si="43"/>
        <v>0</v>
      </c>
      <c r="Z69" s="51"/>
      <c r="AA69" s="38">
        <f t="shared" si="44"/>
        <v>0</v>
      </c>
      <c r="AB69" s="52" t="str">
        <f t="shared" si="65"/>
        <v/>
      </c>
      <c r="AC69" s="52" t="str">
        <f t="shared" si="45"/>
        <v/>
      </c>
      <c r="AD69" s="52" t="e">
        <f t="shared" si="66"/>
        <v>#DIV/0!</v>
      </c>
      <c r="AE69" s="47"/>
      <c r="AF69" s="47"/>
      <c r="AG69" s="52" t="str">
        <f t="shared" si="46"/>
        <v/>
      </c>
      <c r="AH69" s="43" t="str">
        <f t="shared" si="47"/>
        <v/>
      </c>
      <c r="AI69" s="52" t="str">
        <f t="shared" si="48"/>
        <v/>
      </c>
      <c r="AJ69" s="47"/>
      <c r="AK69" s="220"/>
      <c r="AL69" s="43" t="str">
        <f t="shared" si="49"/>
        <v/>
      </c>
      <c r="AM69" s="38"/>
      <c r="AN69" s="56" t="str">
        <f t="shared" si="50"/>
        <v/>
      </c>
      <c r="AO69" s="59"/>
      <c r="AP69" s="262" t="str">
        <f t="shared" si="51"/>
        <v/>
      </c>
      <c r="AQ69" s="61" t="str">
        <f t="shared" si="52"/>
        <v/>
      </c>
      <c r="AR69" s="63">
        <f t="shared" si="53"/>
        <v>-0.3</v>
      </c>
      <c r="AS69" s="256"/>
      <c r="AT69" s="75"/>
      <c r="AU69" s="76"/>
      <c r="AV69" s="76"/>
      <c r="AW69" s="77">
        <f t="shared" si="67"/>
        <v>0</v>
      </c>
      <c r="AY69" s="182" t="str">
        <f t="shared" si="54"/>
        <v/>
      </c>
      <c r="AZ69" s="182" t="str">
        <f t="shared" si="55"/>
        <v/>
      </c>
      <c r="BA69" s="182" t="str">
        <f t="shared" si="56"/>
        <v/>
      </c>
      <c r="BC69" s="279">
        <f t="shared" si="57"/>
        <v>0</v>
      </c>
      <c r="BD69" s="294">
        <f>X69-(Graphs!G172/60)</f>
        <v>0</v>
      </c>
      <c r="BE69" s="284">
        <f>AE69-Graphs!G172</f>
        <v>0</v>
      </c>
    </row>
    <row r="70" spans="1:57" ht="22.5" customHeight="1" thickBot="1">
      <c r="A70" s="16"/>
      <c r="B70" s="28" t="s">
        <v>41</v>
      </c>
      <c r="C70" s="39">
        <f>SUM(C39:C69)</f>
        <v>0</v>
      </c>
      <c r="D70" s="39"/>
      <c r="E70" s="39">
        <f>SUM(E39:E69)</f>
        <v>0</v>
      </c>
      <c r="F70" s="39">
        <f>SUM(F39:F69)</f>
        <v>0</v>
      </c>
      <c r="G70" s="92">
        <f>G69</f>
        <v>0</v>
      </c>
      <c r="H70" s="39">
        <f t="shared" ref="H70:M70" si="68">SUM(H39:H69)</f>
        <v>0</v>
      </c>
      <c r="I70" s="39">
        <f t="shared" si="68"/>
        <v>0</v>
      </c>
      <c r="J70" s="39">
        <f t="shared" si="68"/>
        <v>0</v>
      </c>
      <c r="K70" s="39">
        <f t="shared" si="68"/>
        <v>0</v>
      </c>
      <c r="L70" s="39">
        <f t="shared" si="68"/>
        <v>0</v>
      </c>
      <c r="M70" s="39">
        <f t="shared" si="68"/>
        <v>0</v>
      </c>
      <c r="N70" s="39">
        <f>N69</f>
        <v>0</v>
      </c>
      <c r="O70" s="39">
        <f>SUM(O39:O69)</f>
        <v>0</v>
      </c>
      <c r="P70" s="42" t="e">
        <f>AVERAGE(P39:P69)</f>
        <v>#DIV/0!</v>
      </c>
      <c r="Q70" s="39">
        <f>SUM(Q39:Q69)</f>
        <v>0</v>
      </c>
      <c r="R70" s="39">
        <f>R69</f>
        <v>0</v>
      </c>
      <c r="S70" s="88" t="e">
        <f>AVERAGE(S39:S69)</f>
        <v>#DIV/0!</v>
      </c>
      <c r="T70" s="88"/>
      <c r="U70" s="89" t="e">
        <f>Q70/X70</f>
        <v>#DIV/0!</v>
      </c>
      <c r="V70" s="194" t="e">
        <f>V69</f>
        <v>#DIV/0!</v>
      </c>
      <c r="W70" s="194">
        <f>SUM(W39:W69)</f>
        <v>0</v>
      </c>
      <c r="X70" s="194">
        <f>SUM(X39:X69)</f>
        <v>0</v>
      </c>
      <c r="Y70" s="42">
        <f>Y69</f>
        <v>0</v>
      </c>
      <c r="Z70" s="42">
        <f>SUM(Z39:Z69)</f>
        <v>0</v>
      </c>
      <c r="AA70" s="39">
        <f>SUM(AA39:AA69)</f>
        <v>0</v>
      </c>
      <c r="AB70" s="53" t="e">
        <f>AVERAGE(AB39:AB69)</f>
        <v>#DIV/0!</v>
      </c>
      <c r="AC70" s="53" t="e">
        <f>AVERAGE(AC39:AC69)</f>
        <v>#DIV/0!</v>
      </c>
      <c r="AD70" s="53" t="e">
        <f>AD69</f>
        <v>#DIV/0!</v>
      </c>
      <c r="AE70" s="39">
        <f>SUM(AE39:AE69)</f>
        <v>0</v>
      </c>
      <c r="AF70" s="39">
        <f>SUM(AF39:AF69)</f>
        <v>0</v>
      </c>
      <c r="AG70" s="53" t="e">
        <f>AVERAGE(AG39:AG69)</f>
        <v>#DIV/0!</v>
      </c>
      <c r="AH70" s="53" t="e">
        <f>AVERAGE(AH39:AH69)</f>
        <v>#DIV/0!</v>
      </c>
      <c r="AI70" s="53" t="e">
        <f>AVERAGE(AI39:AI69)</f>
        <v>#DIV/0!</v>
      </c>
      <c r="AJ70" s="39">
        <f>SUM(AJ39:AJ69)</f>
        <v>0</v>
      </c>
      <c r="AK70" s="194">
        <f>SUM(AK39:AK69)</f>
        <v>0</v>
      </c>
      <c r="AL70" s="42">
        <f>SUM(AL39:AL69)</f>
        <v>0</v>
      </c>
      <c r="AM70" s="39">
        <f>SUM(AM39:AM69)</f>
        <v>0</v>
      </c>
      <c r="AN70" s="57" t="e">
        <f>AVERAGE(AN39:AN69)</f>
        <v>#DIV/0!</v>
      </c>
      <c r="AO70" s="57" t="e">
        <f>AY70/BA70</f>
        <v>#DIV/0!</v>
      </c>
      <c r="AP70" s="57" t="e">
        <f>AS70/F70</f>
        <v>#DIV/0!</v>
      </c>
      <c r="AQ70" s="57" t="e">
        <f>AP70-AO70</f>
        <v>#DIV/0!</v>
      </c>
      <c r="AR70" s="65">
        <f>AVERAGE(AR39:AR69)</f>
        <v>-0.30000000000000004</v>
      </c>
      <c r="AS70" s="253">
        <f>SUM(AS39:AS69)</f>
        <v>0</v>
      </c>
      <c r="AT70" s="82">
        <f>SUM(AT39:AT69)</f>
        <v>0</v>
      </c>
      <c r="AU70" s="83">
        <f>SUM(AU39:AU69)</f>
        <v>0</v>
      </c>
      <c r="AV70" s="84">
        <f>SUM(AV39:AV69)</f>
        <v>0</v>
      </c>
      <c r="AW70" s="85">
        <f>SUM(AW39:AW69)</f>
        <v>0</v>
      </c>
      <c r="AY70" s="185">
        <f>SUM(AY39:AY69)</f>
        <v>0</v>
      </c>
      <c r="AZ70" s="186">
        <f>SUM(AZ39:AZ69)</f>
        <v>0</v>
      </c>
      <c r="BA70" s="187">
        <f>SUM(BA39:BA69)</f>
        <v>0</v>
      </c>
      <c r="BC70" s="280">
        <f>SUM(BC39:BC69)</f>
        <v>0</v>
      </c>
      <c r="BD70" s="280">
        <f t="shared" ref="BD70:BE70" si="69">SUM(BD39:BD69)</f>
        <v>0</v>
      </c>
      <c r="BE70" s="280">
        <f t="shared" si="69"/>
        <v>0</v>
      </c>
    </row>
    <row r="71" spans="1:57">
      <c r="BC71" s="5"/>
    </row>
    <row r="72" spans="1:57">
      <c r="BC72" s="5"/>
    </row>
    <row r="73" spans="1:57" ht="21.75" thickBot="1">
      <c r="B73" s="312" t="s">
        <v>121</v>
      </c>
      <c r="C73" s="312"/>
      <c r="AT73" s="313" t="s">
        <v>121</v>
      </c>
      <c r="AU73" s="313"/>
      <c r="AV73" s="313"/>
      <c r="AW73" s="313"/>
      <c r="BC73" s="5"/>
    </row>
    <row r="74" spans="1:57" ht="71.25" customHeight="1" thickBot="1">
      <c r="A74" s="13"/>
      <c r="B74" s="29" t="s">
        <v>6</v>
      </c>
      <c r="C74" s="46" t="s">
        <v>7</v>
      </c>
      <c r="D74" s="45" t="s">
        <v>8</v>
      </c>
      <c r="E74" s="48" t="s">
        <v>9</v>
      </c>
      <c r="F74" s="49" t="s">
        <v>10</v>
      </c>
      <c r="G74" s="45" t="s">
        <v>11</v>
      </c>
      <c r="H74" s="48" t="s">
        <v>61</v>
      </c>
      <c r="I74" s="48" t="s">
        <v>12</v>
      </c>
      <c r="J74" s="48" t="s">
        <v>13</v>
      </c>
      <c r="K74" s="48" t="s">
        <v>79</v>
      </c>
      <c r="L74" s="46" t="s">
        <v>14</v>
      </c>
      <c r="M74" s="48" t="s">
        <v>15</v>
      </c>
      <c r="N74" s="45" t="s">
        <v>99</v>
      </c>
      <c r="O74" s="48" t="s">
        <v>16</v>
      </c>
      <c r="P74" s="36" t="s">
        <v>17</v>
      </c>
      <c r="Q74" s="48" t="s">
        <v>18</v>
      </c>
      <c r="R74" s="45" t="s">
        <v>19</v>
      </c>
      <c r="S74" s="50" t="s">
        <v>20</v>
      </c>
      <c r="T74" s="45" t="s">
        <v>98</v>
      </c>
      <c r="U74" s="36" t="s">
        <v>21</v>
      </c>
      <c r="V74" s="45" t="s">
        <v>22</v>
      </c>
      <c r="W74" s="46" t="s">
        <v>24</v>
      </c>
      <c r="X74" s="46" t="s">
        <v>25</v>
      </c>
      <c r="Y74" s="45" t="s">
        <v>23</v>
      </c>
      <c r="Z74" s="48" t="s">
        <v>26</v>
      </c>
      <c r="AA74" s="36" t="s">
        <v>27</v>
      </c>
      <c r="AB74" s="45" t="s">
        <v>30</v>
      </c>
      <c r="AC74" s="36" t="s">
        <v>29</v>
      </c>
      <c r="AD74" s="45" t="s">
        <v>28</v>
      </c>
      <c r="AE74" s="48" t="s">
        <v>80</v>
      </c>
      <c r="AF74" s="54" t="s">
        <v>81</v>
      </c>
      <c r="AG74" s="36" t="s">
        <v>31</v>
      </c>
      <c r="AH74" s="36" t="s">
        <v>32</v>
      </c>
      <c r="AI74" s="36" t="s">
        <v>33</v>
      </c>
      <c r="AJ74" s="48" t="s">
        <v>34</v>
      </c>
      <c r="AK74" s="54" t="s">
        <v>35</v>
      </c>
      <c r="AL74" s="55" t="s">
        <v>78</v>
      </c>
      <c r="AM74" s="44" t="s">
        <v>1</v>
      </c>
      <c r="AN74" s="49" t="s">
        <v>36</v>
      </c>
      <c r="AO74" s="58" t="s">
        <v>37</v>
      </c>
      <c r="AP74" s="263" t="s">
        <v>38</v>
      </c>
      <c r="AQ74" s="49" t="s">
        <v>39</v>
      </c>
      <c r="AR74" s="66">
        <v>-0.3</v>
      </c>
      <c r="AS74" s="252" t="s">
        <v>124</v>
      </c>
      <c r="AT74" s="67" t="s">
        <v>42</v>
      </c>
      <c r="AU74" s="68" t="s">
        <v>45</v>
      </c>
      <c r="AV74" s="68" t="s">
        <v>46</v>
      </c>
      <c r="AW74" s="69" t="s">
        <v>47</v>
      </c>
      <c r="AY74" s="179" t="s">
        <v>146</v>
      </c>
      <c r="AZ74" s="180" t="s">
        <v>147</v>
      </c>
      <c r="BA74" s="181" t="s">
        <v>148</v>
      </c>
      <c r="BC74" s="281" t="s">
        <v>121</v>
      </c>
      <c r="BD74" s="289" t="s">
        <v>142</v>
      </c>
      <c r="BE74" s="289" t="s">
        <v>149</v>
      </c>
    </row>
    <row r="75" spans="1:57" ht="22.5" customHeight="1">
      <c r="A75" s="15"/>
      <c r="B75" s="200">
        <v>1</v>
      </c>
      <c r="C75" s="47"/>
      <c r="D75" s="38">
        <f>C75/1000</f>
        <v>0</v>
      </c>
      <c r="E75" s="47"/>
      <c r="F75" s="38">
        <f>E75-J75</f>
        <v>0</v>
      </c>
      <c r="G75" s="38">
        <f>F75/1000</f>
        <v>0</v>
      </c>
      <c r="H75" s="47"/>
      <c r="I75" s="47"/>
      <c r="J75" s="47"/>
      <c r="K75" s="47"/>
      <c r="L75" s="47"/>
      <c r="M75" s="47"/>
      <c r="N75" s="38">
        <f>M75</f>
        <v>0</v>
      </c>
      <c r="O75" s="47"/>
      <c r="P75" s="43" t="str">
        <f>IF(O75="","",O75/BD75)</f>
        <v/>
      </c>
      <c r="Q75" s="47"/>
      <c r="R75" s="38">
        <f>Q75</f>
        <v>0</v>
      </c>
      <c r="S75" s="51"/>
      <c r="T75" s="43" t="e">
        <f>L75/W75</f>
        <v>#DIV/0!</v>
      </c>
      <c r="U75" s="43" t="str">
        <f>IF(M75="","",M75/BD75)</f>
        <v/>
      </c>
      <c r="V75" s="43" t="e">
        <f>N75/Y75</f>
        <v>#DIV/0!</v>
      </c>
      <c r="W75" s="220"/>
      <c r="X75" s="220"/>
      <c r="Y75" s="43">
        <f>BD75</f>
        <v>0</v>
      </c>
      <c r="Z75" s="51"/>
      <c r="AA75" s="38">
        <f>IF(BD75="","",BD75*(AU75))</f>
        <v>0</v>
      </c>
      <c r="AB75" s="52" t="str">
        <f>IF(C75=0,"",C75/1000/W75)</f>
        <v/>
      </c>
      <c r="AC75" s="52" t="str">
        <f>IF(F75=0,"",F75/1000/BD75)</f>
        <v/>
      </c>
      <c r="AD75" s="52" t="e">
        <f>G75/Y75</f>
        <v>#DIV/0!</v>
      </c>
      <c r="AE75" s="47"/>
      <c r="AF75" s="47"/>
      <c r="AG75" s="52" t="str">
        <f>IF(F75=0,"",F75/1000/AA75)</f>
        <v/>
      </c>
      <c r="AH75" s="43" t="str">
        <f>IF(M75="","",M75/BD75)</f>
        <v/>
      </c>
      <c r="AI75" s="52" t="str">
        <f>IF(F75=0,"",F75/1000/M75)</f>
        <v/>
      </c>
      <c r="AJ75" s="47"/>
      <c r="AK75" s="220"/>
      <c r="AL75" s="43" t="str">
        <f>IF(BD75=0,"",((BD75+Z75)-(BE75/60)-AK75)/M75)</f>
        <v/>
      </c>
      <c r="AM75" s="38"/>
      <c r="AN75" s="56" t="str">
        <f>IF(F75=0,"",AK75/(BD75*60))</f>
        <v/>
      </c>
      <c r="AO75" s="59"/>
      <c r="AP75" s="262" t="str">
        <f>IF(E75="","",(AS75/F75)*100)</f>
        <v/>
      </c>
      <c r="AQ75" s="61" t="str">
        <f>IF(AP75="","",AP75-AO75)</f>
        <v/>
      </c>
      <c r="AR75" s="62">
        <f>$AR$3</f>
        <v>-0.3</v>
      </c>
      <c r="AS75" s="255"/>
      <c r="AT75" s="71"/>
      <c r="AU75" s="72"/>
      <c r="AV75" s="72"/>
      <c r="AW75" s="73">
        <f t="shared" ref="AW75:AW85" si="70">AT75-AU75-AV75</f>
        <v>0</v>
      </c>
      <c r="AY75" s="182" t="str">
        <f>IF(AO75=0,"",(BA75*AO75/100))</f>
        <v/>
      </c>
      <c r="AZ75" s="182" t="str">
        <f>IF(AO75=0,"",(BA75*AP75/100))</f>
        <v/>
      </c>
      <c r="BA75" s="182" t="str">
        <f>IF(AO75=0,"",F75)</f>
        <v/>
      </c>
      <c r="BC75" s="279">
        <f>AS75/1000</f>
        <v>0</v>
      </c>
      <c r="BD75" s="294">
        <f>X75-(Graphs!G83/60)</f>
        <v>0</v>
      </c>
      <c r="BE75" s="284">
        <f>AE75-Graphs!G83</f>
        <v>0</v>
      </c>
    </row>
    <row r="76" spans="1:57" ht="22.5" customHeight="1">
      <c r="A76" s="15"/>
      <c r="B76" s="26">
        <v>2</v>
      </c>
      <c r="C76" s="47"/>
      <c r="D76" s="38">
        <f>C76/1000+D75</f>
        <v>0</v>
      </c>
      <c r="E76" s="47"/>
      <c r="F76" s="38">
        <f>E76-J76</f>
        <v>0</v>
      </c>
      <c r="G76" s="38">
        <f>F76/1000+G75</f>
        <v>0</v>
      </c>
      <c r="H76" s="47"/>
      <c r="I76" s="47"/>
      <c r="J76" s="47"/>
      <c r="K76" s="47"/>
      <c r="L76" s="47"/>
      <c r="M76" s="47"/>
      <c r="N76" s="38">
        <f>M76+N75</f>
        <v>0</v>
      </c>
      <c r="O76" s="47"/>
      <c r="P76" s="43" t="str">
        <f t="shared" ref="P76:P105" si="71">IF(O76="","",O76/BD76)</f>
        <v/>
      </c>
      <c r="Q76" s="47"/>
      <c r="R76" s="38">
        <f>Q76+R75</f>
        <v>0</v>
      </c>
      <c r="S76" s="51"/>
      <c r="T76" s="43" t="e">
        <f>L76/W76</f>
        <v>#DIV/0!</v>
      </c>
      <c r="U76" s="43" t="str">
        <f t="shared" ref="U76:U105" si="72">IF(M76="","",M76/BD76)</f>
        <v/>
      </c>
      <c r="V76" s="43" t="e">
        <f>N76/Y76</f>
        <v>#DIV/0!</v>
      </c>
      <c r="W76" s="220"/>
      <c r="X76" s="220"/>
      <c r="Y76" s="43">
        <f t="shared" ref="Y76:Y105" si="73">BD76+Y75</f>
        <v>0</v>
      </c>
      <c r="Z76" s="51"/>
      <c r="AA76" s="38">
        <f t="shared" ref="AA76:AA105" si="74">IF(BD76="","",BD76*(AU76))</f>
        <v>0</v>
      </c>
      <c r="AB76" s="52" t="str">
        <f>IF(C76=0,"",C76/1000/W76)</f>
        <v/>
      </c>
      <c r="AC76" s="52" t="str">
        <f t="shared" ref="AC76:AC105" si="75">IF(F76=0,"",F76/1000/BD76)</f>
        <v/>
      </c>
      <c r="AD76" s="52" t="e">
        <f>G76/Y76</f>
        <v>#DIV/0!</v>
      </c>
      <c r="AE76" s="47"/>
      <c r="AF76" s="47"/>
      <c r="AG76" s="52" t="str">
        <f t="shared" ref="AG76:AG105" si="76">IF(F76=0,"",F76/1000/AA76)</f>
        <v/>
      </c>
      <c r="AH76" s="43" t="str">
        <f t="shared" ref="AH76:AH105" si="77">IF(M76="","",M76/BD76)</f>
        <v/>
      </c>
      <c r="AI76" s="52" t="str">
        <f t="shared" ref="AI76:AI105" si="78">IF(F76=0,"",F76/1000/M76)</f>
        <v/>
      </c>
      <c r="AJ76" s="47"/>
      <c r="AK76" s="220"/>
      <c r="AL76" s="43" t="str">
        <f t="shared" ref="AL76:AL105" si="79">IF(BD76=0,"",((BD76+Z76)-(BE76/60)-AK76)/M76)</f>
        <v/>
      </c>
      <c r="AM76" s="38"/>
      <c r="AN76" s="56" t="str">
        <f t="shared" ref="AN76:AN105" si="80">IF(F76=0,"",AK76/(BD76*60))</f>
        <v/>
      </c>
      <c r="AO76" s="220"/>
      <c r="AP76" s="262" t="str">
        <f t="shared" ref="AP76:AP105" si="81">IF(E76="","",(AS76/F76)*100)</f>
        <v/>
      </c>
      <c r="AQ76" s="247" t="str">
        <f t="shared" ref="AQ76:AQ105" si="82">IF(AP76="","",AP76-AO76)</f>
        <v/>
      </c>
      <c r="AR76" s="63">
        <f t="shared" ref="AR76:AR105" si="83">$AR$3</f>
        <v>-0.3</v>
      </c>
      <c r="AS76" s="255"/>
      <c r="AT76" s="71"/>
      <c r="AU76" s="72"/>
      <c r="AV76" s="72"/>
      <c r="AW76" s="77">
        <f t="shared" si="70"/>
        <v>0</v>
      </c>
      <c r="AY76" s="182" t="str">
        <f t="shared" ref="AY76:AY105" si="84">IF(AO76=0,"",(BA76*AO76/100))</f>
        <v/>
      </c>
      <c r="AZ76" s="182" t="str">
        <f t="shared" ref="AZ76:AZ105" si="85">IF(AO76=0,"",(BA76*AP76/100))</f>
        <v/>
      </c>
      <c r="BA76" s="182" t="str">
        <f t="shared" ref="BA76:BA105" si="86">IF(AO76=0,"",F76)</f>
        <v/>
      </c>
      <c r="BC76" s="279">
        <f t="shared" ref="BC76:BC105" si="87">AS76/1000</f>
        <v>0</v>
      </c>
      <c r="BD76" s="294">
        <f>X76-(Graphs!G86/60)</f>
        <v>0</v>
      </c>
      <c r="BE76" s="284">
        <f>AE76-Graphs!G86</f>
        <v>0</v>
      </c>
    </row>
    <row r="77" spans="1:57" ht="22.5" customHeight="1">
      <c r="A77" s="15"/>
      <c r="B77" s="26">
        <v>3</v>
      </c>
      <c r="C77" s="47"/>
      <c r="D77" s="38">
        <f>C77/1000+D76</f>
        <v>0</v>
      </c>
      <c r="E77" s="47"/>
      <c r="F77" s="38">
        <f>E77-J77</f>
        <v>0</v>
      </c>
      <c r="G77" s="38">
        <f>F77/1000+G76</f>
        <v>0</v>
      </c>
      <c r="H77" s="47"/>
      <c r="I77" s="47"/>
      <c r="J77" s="47"/>
      <c r="K77" s="47"/>
      <c r="L77" s="47"/>
      <c r="M77" s="47"/>
      <c r="N77" s="38">
        <f t="shared" ref="N77:N105" si="88">M77+N76</f>
        <v>0</v>
      </c>
      <c r="O77" s="47"/>
      <c r="P77" s="43" t="str">
        <f t="shared" si="71"/>
        <v/>
      </c>
      <c r="Q77" s="47"/>
      <c r="R77" s="38">
        <f>Q77+R76</f>
        <v>0</v>
      </c>
      <c r="S77" s="51"/>
      <c r="T77" s="43" t="e">
        <f t="shared" ref="T77:T105" si="89">L77/W77</f>
        <v>#DIV/0!</v>
      </c>
      <c r="U77" s="43" t="str">
        <f t="shared" si="72"/>
        <v/>
      </c>
      <c r="V77" s="43" t="e">
        <f>N77/Y77</f>
        <v>#DIV/0!</v>
      </c>
      <c r="W77" s="220"/>
      <c r="X77" s="220"/>
      <c r="Y77" s="43">
        <f t="shared" si="73"/>
        <v>0</v>
      </c>
      <c r="Z77" s="51"/>
      <c r="AA77" s="38">
        <f t="shared" si="74"/>
        <v>0</v>
      </c>
      <c r="AB77" s="52" t="str">
        <f>IF(C77=0,"",C77/1000/W77)</f>
        <v/>
      </c>
      <c r="AC77" s="52" t="str">
        <f t="shared" si="75"/>
        <v/>
      </c>
      <c r="AD77" s="52" t="e">
        <f>G77/Y77</f>
        <v>#DIV/0!</v>
      </c>
      <c r="AE77" s="47"/>
      <c r="AF77" s="47"/>
      <c r="AG77" s="52" t="str">
        <f t="shared" si="76"/>
        <v/>
      </c>
      <c r="AH77" s="43" t="str">
        <f t="shared" si="77"/>
        <v/>
      </c>
      <c r="AI77" s="52" t="str">
        <f t="shared" si="78"/>
        <v/>
      </c>
      <c r="AJ77" s="47"/>
      <c r="AK77" s="220"/>
      <c r="AL77" s="43" t="str">
        <f t="shared" si="79"/>
        <v/>
      </c>
      <c r="AM77" s="38"/>
      <c r="AN77" s="56" t="str">
        <f t="shared" si="80"/>
        <v/>
      </c>
      <c r="AO77" s="59"/>
      <c r="AP77" s="262" t="str">
        <f t="shared" si="81"/>
        <v/>
      </c>
      <c r="AQ77" s="61" t="str">
        <f t="shared" si="82"/>
        <v/>
      </c>
      <c r="AR77" s="63">
        <f t="shared" si="83"/>
        <v>-0.3</v>
      </c>
      <c r="AS77" s="255"/>
      <c r="AT77" s="71"/>
      <c r="AU77" s="72"/>
      <c r="AV77" s="76"/>
      <c r="AW77" s="77">
        <f t="shared" si="70"/>
        <v>0</v>
      </c>
      <c r="AY77" s="182" t="str">
        <f t="shared" si="84"/>
        <v/>
      </c>
      <c r="AZ77" s="182" t="str">
        <f t="shared" si="85"/>
        <v/>
      </c>
      <c r="BA77" s="182" t="str">
        <f t="shared" si="86"/>
        <v/>
      </c>
      <c r="BC77" s="279">
        <f t="shared" si="87"/>
        <v>0</v>
      </c>
      <c r="BD77" s="294">
        <f>X77-(Graphs!G89/60)</f>
        <v>0</v>
      </c>
      <c r="BE77" s="284">
        <f>AE77-Graphs!G89</f>
        <v>0</v>
      </c>
    </row>
    <row r="78" spans="1:57" ht="22.5" customHeight="1">
      <c r="A78" s="15"/>
      <c r="B78" s="26">
        <v>4</v>
      </c>
      <c r="C78" s="47"/>
      <c r="D78" s="38">
        <f t="shared" ref="D78:D105" si="90">C78/1000+D77</f>
        <v>0</v>
      </c>
      <c r="E78" s="47"/>
      <c r="F78" s="38">
        <f>E78-J78</f>
        <v>0</v>
      </c>
      <c r="G78" s="38">
        <f t="shared" ref="G78:G105" si="91">F78/1000+G77</f>
        <v>0</v>
      </c>
      <c r="H78" s="47"/>
      <c r="I78" s="47"/>
      <c r="J78" s="47"/>
      <c r="K78" s="47"/>
      <c r="L78" s="47"/>
      <c r="M78" s="47"/>
      <c r="N78" s="38">
        <f t="shared" si="88"/>
        <v>0</v>
      </c>
      <c r="O78" s="47"/>
      <c r="P78" s="43" t="str">
        <f t="shared" si="71"/>
        <v/>
      </c>
      <c r="Q78" s="47"/>
      <c r="R78" s="38">
        <f>Q78+R77</f>
        <v>0</v>
      </c>
      <c r="S78" s="51"/>
      <c r="T78" s="43" t="e">
        <f t="shared" si="89"/>
        <v>#DIV/0!</v>
      </c>
      <c r="U78" s="43" t="str">
        <f t="shared" si="72"/>
        <v/>
      </c>
      <c r="V78" s="43" t="e">
        <f>N78/Y78</f>
        <v>#DIV/0!</v>
      </c>
      <c r="W78" s="220"/>
      <c r="X78" s="220"/>
      <c r="Y78" s="43">
        <f t="shared" si="73"/>
        <v>0</v>
      </c>
      <c r="Z78" s="51"/>
      <c r="AA78" s="38">
        <f t="shared" si="74"/>
        <v>0</v>
      </c>
      <c r="AB78" s="52" t="str">
        <f>IF(C78=0,"",C78/1000/W78)</f>
        <v/>
      </c>
      <c r="AC78" s="52" t="str">
        <f t="shared" si="75"/>
        <v/>
      </c>
      <c r="AD78" s="52" t="e">
        <f>G78/Y78</f>
        <v>#DIV/0!</v>
      </c>
      <c r="AE78" s="47"/>
      <c r="AF78" s="47"/>
      <c r="AG78" s="52" t="str">
        <f t="shared" si="76"/>
        <v/>
      </c>
      <c r="AH78" s="43" t="str">
        <f t="shared" si="77"/>
        <v/>
      </c>
      <c r="AI78" s="52" t="str">
        <f t="shared" si="78"/>
        <v/>
      </c>
      <c r="AJ78" s="47"/>
      <c r="AK78" s="220"/>
      <c r="AL78" s="43" t="str">
        <f t="shared" si="79"/>
        <v/>
      </c>
      <c r="AM78" s="38"/>
      <c r="AN78" s="56" t="str">
        <f t="shared" si="80"/>
        <v/>
      </c>
      <c r="AO78" s="59"/>
      <c r="AP78" s="262" t="str">
        <f t="shared" si="81"/>
        <v/>
      </c>
      <c r="AQ78" s="61" t="str">
        <f t="shared" si="82"/>
        <v/>
      </c>
      <c r="AR78" s="63">
        <f t="shared" si="83"/>
        <v>-0.3</v>
      </c>
      <c r="AS78" s="255"/>
      <c r="AT78" s="71"/>
      <c r="AU78" s="72"/>
      <c r="AV78" s="76"/>
      <c r="AW78" s="77">
        <f t="shared" si="70"/>
        <v>0</v>
      </c>
      <c r="AY78" s="182" t="str">
        <f t="shared" si="84"/>
        <v/>
      </c>
      <c r="AZ78" s="182" t="str">
        <f t="shared" si="85"/>
        <v/>
      </c>
      <c r="BA78" s="182" t="str">
        <f t="shared" si="86"/>
        <v/>
      </c>
      <c r="BC78" s="279">
        <f t="shared" si="87"/>
        <v>0</v>
      </c>
      <c r="BD78" s="294">
        <f>X78-(Graphs!G92/60)</f>
        <v>0</v>
      </c>
      <c r="BE78" s="284">
        <f>AE78-Graphs!G92</f>
        <v>0</v>
      </c>
    </row>
    <row r="79" spans="1:57" ht="22.5" customHeight="1">
      <c r="A79" s="15"/>
      <c r="B79" s="26">
        <v>5</v>
      </c>
      <c r="C79" s="47"/>
      <c r="D79" s="38">
        <f t="shared" si="90"/>
        <v>0</v>
      </c>
      <c r="E79" s="47"/>
      <c r="F79" s="38">
        <f t="shared" ref="F79:F105" si="92">E79-J79</f>
        <v>0</v>
      </c>
      <c r="G79" s="38">
        <f t="shared" si="91"/>
        <v>0</v>
      </c>
      <c r="H79" s="47"/>
      <c r="I79" s="47"/>
      <c r="J79" s="47"/>
      <c r="K79" s="47"/>
      <c r="L79" s="47"/>
      <c r="M79" s="47"/>
      <c r="N79" s="38">
        <f t="shared" si="88"/>
        <v>0</v>
      </c>
      <c r="O79" s="47"/>
      <c r="P79" s="43" t="str">
        <f t="shared" si="71"/>
        <v/>
      </c>
      <c r="Q79" s="47"/>
      <c r="R79" s="38">
        <f>Q79+R78</f>
        <v>0</v>
      </c>
      <c r="S79" s="51"/>
      <c r="T79" s="43" t="e">
        <f t="shared" si="89"/>
        <v>#DIV/0!</v>
      </c>
      <c r="U79" s="43" t="str">
        <f t="shared" si="72"/>
        <v/>
      </c>
      <c r="V79" s="43" t="e">
        <f t="shared" ref="V79:V105" si="93">N79/Y79</f>
        <v>#DIV/0!</v>
      </c>
      <c r="W79" s="220"/>
      <c r="X79" s="220"/>
      <c r="Y79" s="43">
        <f t="shared" si="73"/>
        <v>0</v>
      </c>
      <c r="Z79" s="51"/>
      <c r="AA79" s="38">
        <f t="shared" si="74"/>
        <v>0</v>
      </c>
      <c r="AB79" s="52" t="str">
        <f>IF(C79=0,"",C79/1000/W79)</f>
        <v/>
      </c>
      <c r="AC79" s="52" t="str">
        <f t="shared" si="75"/>
        <v/>
      </c>
      <c r="AD79" s="52" t="e">
        <f>G79/Y79</f>
        <v>#DIV/0!</v>
      </c>
      <c r="AE79" s="47"/>
      <c r="AF79" s="47"/>
      <c r="AG79" s="52" t="str">
        <f t="shared" si="76"/>
        <v/>
      </c>
      <c r="AH79" s="43" t="str">
        <f t="shared" si="77"/>
        <v/>
      </c>
      <c r="AI79" s="52" t="str">
        <f t="shared" si="78"/>
        <v/>
      </c>
      <c r="AJ79" s="47"/>
      <c r="AK79" s="220"/>
      <c r="AL79" s="43" t="str">
        <f t="shared" si="79"/>
        <v/>
      </c>
      <c r="AM79" s="38"/>
      <c r="AN79" s="56" t="str">
        <f t="shared" si="80"/>
        <v/>
      </c>
      <c r="AO79" s="59"/>
      <c r="AP79" s="262" t="str">
        <f t="shared" si="81"/>
        <v/>
      </c>
      <c r="AQ79" s="61" t="str">
        <f t="shared" si="82"/>
        <v/>
      </c>
      <c r="AR79" s="63">
        <f t="shared" si="83"/>
        <v>-0.3</v>
      </c>
      <c r="AS79" s="255"/>
      <c r="AT79" s="71"/>
      <c r="AU79" s="72"/>
      <c r="AV79" s="76"/>
      <c r="AW79" s="77">
        <f t="shared" si="70"/>
        <v>0</v>
      </c>
      <c r="AY79" s="182" t="str">
        <f t="shared" si="84"/>
        <v/>
      </c>
      <c r="AZ79" s="182" t="str">
        <f t="shared" si="85"/>
        <v/>
      </c>
      <c r="BA79" s="182" t="str">
        <f t="shared" si="86"/>
        <v/>
      </c>
      <c r="BC79" s="279">
        <f t="shared" si="87"/>
        <v>0</v>
      </c>
      <c r="BD79" s="294">
        <f>X79-(Graphs!G95/60)</f>
        <v>0</v>
      </c>
      <c r="BE79" s="284">
        <f>AE79-Graphs!G95</f>
        <v>0</v>
      </c>
    </row>
    <row r="80" spans="1:57" ht="22.5" customHeight="1">
      <c r="A80" s="15"/>
      <c r="B80" s="26">
        <v>6</v>
      </c>
      <c r="C80" s="47"/>
      <c r="D80" s="38">
        <f t="shared" si="90"/>
        <v>0</v>
      </c>
      <c r="E80" s="47"/>
      <c r="F80" s="38">
        <f t="shared" si="92"/>
        <v>0</v>
      </c>
      <c r="G80" s="38">
        <f t="shared" si="91"/>
        <v>0</v>
      </c>
      <c r="H80" s="47"/>
      <c r="I80" s="47"/>
      <c r="J80" s="47"/>
      <c r="K80" s="47"/>
      <c r="L80" s="47"/>
      <c r="M80" s="47"/>
      <c r="N80" s="38">
        <f t="shared" si="88"/>
        <v>0</v>
      </c>
      <c r="O80" s="47"/>
      <c r="P80" s="43" t="str">
        <f t="shared" si="71"/>
        <v/>
      </c>
      <c r="Q80" s="47"/>
      <c r="R80" s="38">
        <f t="shared" ref="R80:R105" si="94">Q80+R79</f>
        <v>0</v>
      </c>
      <c r="S80" s="51"/>
      <c r="T80" s="43" t="e">
        <f t="shared" si="89"/>
        <v>#DIV/0!</v>
      </c>
      <c r="U80" s="43" t="str">
        <f t="shared" si="72"/>
        <v/>
      </c>
      <c r="V80" s="43" t="e">
        <f t="shared" si="93"/>
        <v>#DIV/0!</v>
      </c>
      <c r="W80" s="220"/>
      <c r="X80" s="220"/>
      <c r="Y80" s="43">
        <f t="shared" si="73"/>
        <v>0</v>
      </c>
      <c r="Z80" s="51"/>
      <c r="AA80" s="38">
        <f t="shared" si="74"/>
        <v>0</v>
      </c>
      <c r="AB80" s="52" t="str">
        <f t="shared" ref="AB80:AB105" si="95">IF(C80=0,"",C80/1000/W80)</f>
        <v/>
      </c>
      <c r="AC80" s="52" t="str">
        <f t="shared" si="75"/>
        <v/>
      </c>
      <c r="AD80" s="52" t="e">
        <f t="shared" ref="AD80:AD105" si="96">G80/Y80</f>
        <v>#DIV/0!</v>
      </c>
      <c r="AE80" s="47"/>
      <c r="AF80" s="47"/>
      <c r="AG80" s="52" t="str">
        <f t="shared" si="76"/>
        <v/>
      </c>
      <c r="AH80" s="43" t="str">
        <f t="shared" si="77"/>
        <v/>
      </c>
      <c r="AI80" s="52" t="str">
        <f t="shared" si="78"/>
        <v/>
      </c>
      <c r="AJ80" s="47"/>
      <c r="AK80" s="220"/>
      <c r="AL80" s="43" t="str">
        <f t="shared" si="79"/>
        <v/>
      </c>
      <c r="AM80" s="38"/>
      <c r="AN80" s="56" t="str">
        <f t="shared" si="80"/>
        <v/>
      </c>
      <c r="AO80" s="59"/>
      <c r="AP80" s="262" t="str">
        <f t="shared" si="81"/>
        <v/>
      </c>
      <c r="AQ80" s="61" t="str">
        <f t="shared" si="82"/>
        <v/>
      </c>
      <c r="AR80" s="63">
        <f t="shared" si="83"/>
        <v>-0.3</v>
      </c>
      <c r="AS80" s="255"/>
      <c r="AT80" s="71"/>
      <c r="AU80" s="72"/>
      <c r="AV80" s="76"/>
      <c r="AW80" s="77">
        <f t="shared" si="70"/>
        <v>0</v>
      </c>
      <c r="AY80" s="182" t="str">
        <f t="shared" si="84"/>
        <v/>
      </c>
      <c r="AZ80" s="182" t="str">
        <f t="shared" si="85"/>
        <v/>
      </c>
      <c r="BA80" s="182" t="str">
        <f t="shared" si="86"/>
        <v/>
      </c>
      <c r="BC80" s="279">
        <f t="shared" si="87"/>
        <v>0</v>
      </c>
      <c r="BD80" s="294">
        <f>X80-(Graphs!G98/60)</f>
        <v>0</v>
      </c>
      <c r="BE80" s="284">
        <f>AE80-Graphs!G98</f>
        <v>0</v>
      </c>
    </row>
    <row r="81" spans="1:57" ht="22.5" customHeight="1">
      <c r="A81" s="15"/>
      <c r="B81" s="26">
        <v>7</v>
      </c>
      <c r="C81" s="47"/>
      <c r="D81" s="38">
        <f t="shared" si="90"/>
        <v>0</v>
      </c>
      <c r="E81" s="47"/>
      <c r="F81" s="38">
        <f t="shared" si="92"/>
        <v>0</v>
      </c>
      <c r="G81" s="38">
        <f t="shared" si="91"/>
        <v>0</v>
      </c>
      <c r="H81" s="47"/>
      <c r="I81" s="47"/>
      <c r="J81" s="47"/>
      <c r="K81" s="47"/>
      <c r="L81" s="47"/>
      <c r="M81" s="47"/>
      <c r="N81" s="38">
        <f t="shared" si="88"/>
        <v>0</v>
      </c>
      <c r="O81" s="47"/>
      <c r="P81" s="43" t="str">
        <f t="shared" si="71"/>
        <v/>
      </c>
      <c r="Q81" s="47"/>
      <c r="R81" s="38">
        <f t="shared" si="94"/>
        <v>0</v>
      </c>
      <c r="S81" s="51"/>
      <c r="T81" s="43" t="e">
        <f t="shared" si="89"/>
        <v>#DIV/0!</v>
      </c>
      <c r="U81" s="43" t="str">
        <f t="shared" si="72"/>
        <v/>
      </c>
      <c r="V81" s="43" t="e">
        <f t="shared" si="93"/>
        <v>#DIV/0!</v>
      </c>
      <c r="W81" s="220"/>
      <c r="X81" s="220"/>
      <c r="Y81" s="43">
        <f t="shared" si="73"/>
        <v>0</v>
      </c>
      <c r="Z81" s="51"/>
      <c r="AA81" s="38">
        <f t="shared" si="74"/>
        <v>0</v>
      </c>
      <c r="AB81" s="52" t="str">
        <f t="shared" si="95"/>
        <v/>
      </c>
      <c r="AC81" s="52" t="str">
        <f t="shared" si="75"/>
        <v/>
      </c>
      <c r="AD81" s="52" t="e">
        <f t="shared" si="96"/>
        <v>#DIV/0!</v>
      </c>
      <c r="AE81" s="47"/>
      <c r="AF81" s="47"/>
      <c r="AG81" s="52" t="str">
        <f t="shared" si="76"/>
        <v/>
      </c>
      <c r="AH81" s="43" t="str">
        <f t="shared" si="77"/>
        <v/>
      </c>
      <c r="AI81" s="52" t="str">
        <f t="shared" si="78"/>
        <v/>
      </c>
      <c r="AJ81" s="47"/>
      <c r="AK81" s="220"/>
      <c r="AL81" s="43" t="str">
        <f t="shared" si="79"/>
        <v/>
      </c>
      <c r="AM81" s="38"/>
      <c r="AN81" s="56" t="str">
        <f t="shared" si="80"/>
        <v/>
      </c>
      <c r="AO81" s="59"/>
      <c r="AP81" s="262" t="str">
        <f t="shared" si="81"/>
        <v/>
      </c>
      <c r="AQ81" s="61" t="str">
        <f t="shared" si="82"/>
        <v/>
      </c>
      <c r="AR81" s="63">
        <f t="shared" si="83"/>
        <v>-0.3</v>
      </c>
      <c r="AS81" s="255"/>
      <c r="AT81" s="75"/>
      <c r="AU81" s="76"/>
      <c r="AV81" s="76"/>
      <c r="AW81" s="77">
        <f t="shared" si="70"/>
        <v>0</v>
      </c>
      <c r="AY81" s="182" t="str">
        <f t="shared" si="84"/>
        <v/>
      </c>
      <c r="AZ81" s="182" t="str">
        <f t="shared" si="85"/>
        <v/>
      </c>
      <c r="BA81" s="182" t="str">
        <f t="shared" si="86"/>
        <v/>
      </c>
      <c r="BC81" s="279">
        <f t="shared" si="87"/>
        <v>0</v>
      </c>
      <c r="BD81" s="294">
        <f>X81-(Graphs!G101/60)</f>
        <v>0</v>
      </c>
      <c r="BE81" s="284">
        <f>AE81-Graphs!G101</f>
        <v>0</v>
      </c>
    </row>
    <row r="82" spans="1:57" ht="22.5" customHeight="1">
      <c r="A82" s="15"/>
      <c r="B82" s="26">
        <v>8</v>
      </c>
      <c r="C82" s="47"/>
      <c r="D82" s="38">
        <f t="shared" si="90"/>
        <v>0</v>
      </c>
      <c r="E82" s="47"/>
      <c r="F82" s="38">
        <f t="shared" si="92"/>
        <v>0</v>
      </c>
      <c r="G82" s="38">
        <f t="shared" si="91"/>
        <v>0</v>
      </c>
      <c r="H82" s="47"/>
      <c r="I82" s="47"/>
      <c r="J82" s="47"/>
      <c r="K82" s="47"/>
      <c r="L82" s="47"/>
      <c r="M82" s="47"/>
      <c r="N82" s="38">
        <f t="shared" si="88"/>
        <v>0</v>
      </c>
      <c r="O82" s="47"/>
      <c r="P82" s="43" t="str">
        <f t="shared" si="71"/>
        <v/>
      </c>
      <c r="Q82" s="47"/>
      <c r="R82" s="38">
        <f t="shared" si="94"/>
        <v>0</v>
      </c>
      <c r="S82" s="51"/>
      <c r="T82" s="43" t="e">
        <f t="shared" si="89"/>
        <v>#DIV/0!</v>
      </c>
      <c r="U82" s="43" t="str">
        <f t="shared" si="72"/>
        <v/>
      </c>
      <c r="V82" s="43" t="e">
        <f t="shared" si="93"/>
        <v>#DIV/0!</v>
      </c>
      <c r="W82" s="220"/>
      <c r="X82" s="220"/>
      <c r="Y82" s="43">
        <f t="shared" si="73"/>
        <v>0</v>
      </c>
      <c r="Z82" s="51"/>
      <c r="AA82" s="38">
        <f t="shared" si="74"/>
        <v>0</v>
      </c>
      <c r="AB82" s="52" t="str">
        <f t="shared" si="95"/>
        <v/>
      </c>
      <c r="AC82" s="52" t="str">
        <f t="shared" si="75"/>
        <v/>
      </c>
      <c r="AD82" s="52" t="e">
        <f t="shared" si="96"/>
        <v>#DIV/0!</v>
      </c>
      <c r="AE82" s="47"/>
      <c r="AF82" s="47"/>
      <c r="AG82" s="52" t="str">
        <f t="shared" si="76"/>
        <v/>
      </c>
      <c r="AH82" s="43" t="str">
        <f t="shared" si="77"/>
        <v/>
      </c>
      <c r="AI82" s="52" t="str">
        <f t="shared" si="78"/>
        <v/>
      </c>
      <c r="AJ82" s="47"/>
      <c r="AK82" s="220"/>
      <c r="AL82" s="43" t="str">
        <f t="shared" si="79"/>
        <v/>
      </c>
      <c r="AM82" s="38"/>
      <c r="AN82" s="56" t="str">
        <f t="shared" si="80"/>
        <v/>
      </c>
      <c r="AO82" s="59"/>
      <c r="AP82" s="262" t="str">
        <f t="shared" si="81"/>
        <v/>
      </c>
      <c r="AQ82" s="61" t="str">
        <f t="shared" si="82"/>
        <v/>
      </c>
      <c r="AR82" s="63">
        <f t="shared" si="83"/>
        <v>-0.3</v>
      </c>
      <c r="AS82" s="255"/>
      <c r="AT82" s="75"/>
      <c r="AU82" s="76"/>
      <c r="AV82" s="76"/>
      <c r="AW82" s="77">
        <f t="shared" si="70"/>
        <v>0</v>
      </c>
      <c r="AY82" s="182" t="str">
        <f t="shared" si="84"/>
        <v/>
      </c>
      <c r="AZ82" s="182" t="str">
        <f t="shared" si="85"/>
        <v/>
      </c>
      <c r="BA82" s="182" t="str">
        <f t="shared" si="86"/>
        <v/>
      </c>
      <c r="BC82" s="279">
        <f t="shared" si="87"/>
        <v>0</v>
      </c>
      <c r="BD82" s="294">
        <f>X82-(Graphs!G104/60)</f>
        <v>0</v>
      </c>
      <c r="BE82" s="284">
        <f>AE82-Graphs!G104</f>
        <v>0</v>
      </c>
    </row>
    <row r="83" spans="1:57" ht="22.5" customHeight="1">
      <c r="A83" s="15"/>
      <c r="B83" s="26">
        <v>9</v>
      </c>
      <c r="C83" s="47"/>
      <c r="D83" s="38">
        <f t="shared" si="90"/>
        <v>0</v>
      </c>
      <c r="E83" s="47"/>
      <c r="F83" s="38">
        <f t="shared" si="92"/>
        <v>0</v>
      </c>
      <c r="G83" s="38">
        <f t="shared" si="91"/>
        <v>0</v>
      </c>
      <c r="H83" s="47"/>
      <c r="I83" s="47"/>
      <c r="J83" s="47"/>
      <c r="K83" s="47"/>
      <c r="L83" s="47"/>
      <c r="M83" s="47"/>
      <c r="N83" s="38">
        <f t="shared" si="88"/>
        <v>0</v>
      </c>
      <c r="O83" s="47"/>
      <c r="P83" s="43" t="str">
        <f t="shared" si="71"/>
        <v/>
      </c>
      <c r="Q83" s="47"/>
      <c r="R83" s="38">
        <f t="shared" si="94"/>
        <v>0</v>
      </c>
      <c r="S83" s="51"/>
      <c r="T83" s="43" t="e">
        <f t="shared" si="89"/>
        <v>#DIV/0!</v>
      </c>
      <c r="U83" s="43" t="str">
        <f t="shared" si="72"/>
        <v/>
      </c>
      <c r="V83" s="43" t="e">
        <f t="shared" si="93"/>
        <v>#DIV/0!</v>
      </c>
      <c r="W83" s="220"/>
      <c r="X83" s="220"/>
      <c r="Y83" s="43">
        <f t="shared" si="73"/>
        <v>0</v>
      </c>
      <c r="Z83" s="51"/>
      <c r="AA83" s="38">
        <f t="shared" si="74"/>
        <v>0</v>
      </c>
      <c r="AB83" s="52" t="str">
        <f t="shared" si="95"/>
        <v/>
      </c>
      <c r="AC83" s="52" t="str">
        <f t="shared" si="75"/>
        <v/>
      </c>
      <c r="AD83" s="52" t="e">
        <f t="shared" si="96"/>
        <v>#DIV/0!</v>
      </c>
      <c r="AE83" s="47"/>
      <c r="AF83" s="47"/>
      <c r="AG83" s="52" t="str">
        <f t="shared" si="76"/>
        <v/>
      </c>
      <c r="AH83" s="43" t="str">
        <f t="shared" si="77"/>
        <v/>
      </c>
      <c r="AI83" s="52" t="str">
        <f t="shared" si="78"/>
        <v/>
      </c>
      <c r="AJ83" s="47"/>
      <c r="AK83" s="220"/>
      <c r="AL83" s="43" t="str">
        <f t="shared" si="79"/>
        <v/>
      </c>
      <c r="AM83" s="38"/>
      <c r="AN83" s="56" t="str">
        <f t="shared" si="80"/>
        <v/>
      </c>
      <c r="AO83" s="59"/>
      <c r="AP83" s="262" t="str">
        <f t="shared" si="81"/>
        <v/>
      </c>
      <c r="AQ83" s="61" t="str">
        <f t="shared" si="82"/>
        <v/>
      </c>
      <c r="AR83" s="63">
        <f t="shared" si="83"/>
        <v>-0.3</v>
      </c>
      <c r="AS83" s="255"/>
      <c r="AT83" s="75"/>
      <c r="AU83" s="76"/>
      <c r="AV83" s="76"/>
      <c r="AW83" s="77">
        <f t="shared" si="70"/>
        <v>0</v>
      </c>
      <c r="AY83" s="182" t="str">
        <f t="shared" si="84"/>
        <v/>
      </c>
      <c r="AZ83" s="182" t="str">
        <f t="shared" si="85"/>
        <v/>
      </c>
      <c r="BA83" s="182" t="str">
        <f t="shared" si="86"/>
        <v/>
      </c>
      <c r="BC83" s="279">
        <f t="shared" si="87"/>
        <v>0</v>
      </c>
      <c r="BD83" s="294">
        <f>X83-(Graphs!G107/60)</f>
        <v>0</v>
      </c>
      <c r="BE83" s="284">
        <f>AE83-Graphs!G107</f>
        <v>0</v>
      </c>
    </row>
    <row r="84" spans="1:57" ht="22.5" customHeight="1">
      <c r="A84" s="15"/>
      <c r="B84" s="26">
        <v>10</v>
      </c>
      <c r="C84" s="47"/>
      <c r="D84" s="38">
        <f t="shared" si="90"/>
        <v>0</v>
      </c>
      <c r="E84" s="47"/>
      <c r="F84" s="38">
        <f t="shared" si="92"/>
        <v>0</v>
      </c>
      <c r="G84" s="38">
        <f t="shared" si="91"/>
        <v>0</v>
      </c>
      <c r="H84" s="47"/>
      <c r="I84" s="47"/>
      <c r="J84" s="47"/>
      <c r="K84" s="47"/>
      <c r="L84" s="47"/>
      <c r="M84" s="47"/>
      <c r="N84" s="38">
        <f t="shared" si="88"/>
        <v>0</v>
      </c>
      <c r="O84" s="47"/>
      <c r="P84" s="43" t="str">
        <f t="shared" si="71"/>
        <v/>
      </c>
      <c r="Q84" s="47"/>
      <c r="R84" s="38">
        <f t="shared" si="94"/>
        <v>0</v>
      </c>
      <c r="S84" s="51"/>
      <c r="T84" s="43" t="e">
        <f t="shared" si="89"/>
        <v>#DIV/0!</v>
      </c>
      <c r="U84" s="43" t="str">
        <f t="shared" si="72"/>
        <v/>
      </c>
      <c r="V84" s="43" t="e">
        <f t="shared" si="93"/>
        <v>#DIV/0!</v>
      </c>
      <c r="W84" s="220"/>
      <c r="X84" s="220"/>
      <c r="Y84" s="43">
        <f t="shared" si="73"/>
        <v>0</v>
      </c>
      <c r="Z84" s="51"/>
      <c r="AA84" s="38">
        <f t="shared" si="74"/>
        <v>0</v>
      </c>
      <c r="AB84" s="52" t="str">
        <f t="shared" si="95"/>
        <v/>
      </c>
      <c r="AC84" s="52" t="str">
        <f t="shared" si="75"/>
        <v/>
      </c>
      <c r="AD84" s="52" t="e">
        <f t="shared" si="96"/>
        <v>#DIV/0!</v>
      </c>
      <c r="AE84" s="47"/>
      <c r="AF84" s="47"/>
      <c r="AG84" s="52" t="str">
        <f t="shared" si="76"/>
        <v/>
      </c>
      <c r="AH84" s="43" t="str">
        <f t="shared" si="77"/>
        <v/>
      </c>
      <c r="AI84" s="52" t="str">
        <f t="shared" si="78"/>
        <v/>
      </c>
      <c r="AJ84" s="47"/>
      <c r="AK84" s="220"/>
      <c r="AL84" s="43" t="str">
        <f t="shared" si="79"/>
        <v/>
      </c>
      <c r="AM84" s="38"/>
      <c r="AN84" s="56" t="str">
        <f t="shared" si="80"/>
        <v/>
      </c>
      <c r="AO84" s="59"/>
      <c r="AP84" s="262" t="str">
        <f t="shared" si="81"/>
        <v/>
      </c>
      <c r="AQ84" s="61" t="str">
        <f t="shared" si="82"/>
        <v/>
      </c>
      <c r="AR84" s="63">
        <f t="shared" si="83"/>
        <v>-0.3</v>
      </c>
      <c r="AS84" s="255"/>
      <c r="AT84" s="75"/>
      <c r="AU84" s="76"/>
      <c r="AV84" s="76"/>
      <c r="AW84" s="77">
        <f t="shared" si="70"/>
        <v>0</v>
      </c>
      <c r="AY84" s="182" t="str">
        <f t="shared" si="84"/>
        <v/>
      </c>
      <c r="AZ84" s="182" t="str">
        <f t="shared" si="85"/>
        <v/>
      </c>
      <c r="BA84" s="182" t="str">
        <f t="shared" si="86"/>
        <v/>
      </c>
      <c r="BC84" s="279">
        <f t="shared" si="87"/>
        <v>0</v>
      </c>
      <c r="BD84" s="294">
        <f>X84-(Graphs!G110/60)</f>
        <v>0</v>
      </c>
      <c r="BE84" s="284">
        <f>AE84-Graphs!G110</f>
        <v>0</v>
      </c>
    </row>
    <row r="85" spans="1:57" ht="22.5" customHeight="1">
      <c r="A85" s="15"/>
      <c r="B85" s="26">
        <v>11</v>
      </c>
      <c r="C85" s="47"/>
      <c r="D85" s="38">
        <f t="shared" si="90"/>
        <v>0</v>
      </c>
      <c r="E85" s="47"/>
      <c r="F85" s="38">
        <f t="shared" si="92"/>
        <v>0</v>
      </c>
      <c r="G85" s="38">
        <f t="shared" si="91"/>
        <v>0</v>
      </c>
      <c r="H85" s="47"/>
      <c r="I85" s="47"/>
      <c r="J85" s="47"/>
      <c r="K85" s="47"/>
      <c r="L85" s="47"/>
      <c r="M85" s="47"/>
      <c r="N85" s="38">
        <f t="shared" si="88"/>
        <v>0</v>
      </c>
      <c r="O85" s="47"/>
      <c r="P85" s="43" t="str">
        <f t="shared" si="71"/>
        <v/>
      </c>
      <c r="Q85" s="47"/>
      <c r="R85" s="38">
        <f t="shared" si="94"/>
        <v>0</v>
      </c>
      <c r="S85" s="51"/>
      <c r="T85" s="43" t="e">
        <f t="shared" si="89"/>
        <v>#DIV/0!</v>
      </c>
      <c r="U85" s="43" t="str">
        <f t="shared" si="72"/>
        <v/>
      </c>
      <c r="V85" s="43" t="e">
        <f t="shared" si="93"/>
        <v>#DIV/0!</v>
      </c>
      <c r="W85" s="220"/>
      <c r="X85" s="220"/>
      <c r="Y85" s="43">
        <f t="shared" si="73"/>
        <v>0</v>
      </c>
      <c r="Z85" s="51"/>
      <c r="AA85" s="38">
        <f t="shared" si="74"/>
        <v>0</v>
      </c>
      <c r="AB85" s="52" t="str">
        <f t="shared" si="95"/>
        <v/>
      </c>
      <c r="AC85" s="52" t="str">
        <f t="shared" si="75"/>
        <v/>
      </c>
      <c r="AD85" s="52" t="e">
        <f t="shared" si="96"/>
        <v>#DIV/0!</v>
      </c>
      <c r="AE85" s="47"/>
      <c r="AF85" s="47"/>
      <c r="AG85" s="52" t="str">
        <f t="shared" si="76"/>
        <v/>
      </c>
      <c r="AH85" s="43" t="str">
        <f t="shared" si="77"/>
        <v/>
      </c>
      <c r="AI85" s="52" t="str">
        <f t="shared" si="78"/>
        <v/>
      </c>
      <c r="AJ85" s="47"/>
      <c r="AK85" s="220"/>
      <c r="AL85" s="43" t="str">
        <f t="shared" si="79"/>
        <v/>
      </c>
      <c r="AM85" s="38"/>
      <c r="AN85" s="56" t="str">
        <f t="shared" si="80"/>
        <v/>
      </c>
      <c r="AO85" s="59"/>
      <c r="AP85" s="262" t="str">
        <f t="shared" si="81"/>
        <v/>
      </c>
      <c r="AQ85" s="61" t="str">
        <f t="shared" si="82"/>
        <v/>
      </c>
      <c r="AR85" s="63">
        <f t="shared" si="83"/>
        <v>-0.3</v>
      </c>
      <c r="AS85" s="256"/>
      <c r="AT85" s="75"/>
      <c r="AU85" s="76"/>
      <c r="AV85" s="76"/>
      <c r="AW85" s="77">
        <f t="shared" si="70"/>
        <v>0</v>
      </c>
      <c r="AY85" s="182" t="str">
        <f t="shared" si="84"/>
        <v/>
      </c>
      <c r="AZ85" s="182" t="str">
        <f t="shared" si="85"/>
        <v/>
      </c>
      <c r="BA85" s="182" t="str">
        <f t="shared" si="86"/>
        <v/>
      </c>
      <c r="BC85" s="279">
        <f t="shared" si="87"/>
        <v>0</v>
      </c>
      <c r="BD85" s="294">
        <f>X85-(Graphs!G113/60)</f>
        <v>0</v>
      </c>
      <c r="BE85" s="284">
        <f>AE85-Graphs!G113</f>
        <v>0</v>
      </c>
    </row>
    <row r="86" spans="1:57" ht="22.5" customHeight="1">
      <c r="A86" s="15"/>
      <c r="B86" s="26">
        <v>12</v>
      </c>
      <c r="C86" s="47"/>
      <c r="D86" s="38">
        <f t="shared" si="90"/>
        <v>0</v>
      </c>
      <c r="E86" s="47"/>
      <c r="F86" s="38">
        <f t="shared" si="92"/>
        <v>0</v>
      </c>
      <c r="G86" s="38">
        <f t="shared" si="91"/>
        <v>0</v>
      </c>
      <c r="H86" s="47"/>
      <c r="I86" s="47"/>
      <c r="J86" s="47"/>
      <c r="K86" s="47"/>
      <c r="L86" s="47"/>
      <c r="M86" s="47"/>
      <c r="N86" s="38">
        <f t="shared" si="88"/>
        <v>0</v>
      </c>
      <c r="O86" s="47"/>
      <c r="P86" s="43" t="str">
        <f t="shared" si="71"/>
        <v/>
      </c>
      <c r="Q86" s="47"/>
      <c r="R86" s="38">
        <f t="shared" si="94"/>
        <v>0</v>
      </c>
      <c r="S86" s="51"/>
      <c r="T86" s="43" t="e">
        <f t="shared" si="89"/>
        <v>#DIV/0!</v>
      </c>
      <c r="U86" s="43" t="str">
        <f t="shared" si="72"/>
        <v/>
      </c>
      <c r="V86" s="43" t="e">
        <f t="shared" si="93"/>
        <v>#DIV/0!</v>
      </c>
      <c r="W86" s="220"/>
      <c r="X86" s="220"/>
      <c r="Y86" s="43">
        <f t="shared" si="73"/>
        <v>0</v>
      </c>
      <c r="Z86" s="51"/>
      <c r="AA86" s="38">
        <f t="shared" si="74"/>
        <v>0</v>
      </c>
      <c r="AB86" s="52" t="str">
        <f t="shared" si="95"/>
        <v/>
      </c>
      <c r="AC86" s="52" t="str">
        <f t="shared" si="75"/>
        <v/>
      </c>
      <c r="AD86" s="52" t="e">
        <f t="shared" si="96"/>
        <v>#DIV/0!</v>
      </c>
      <c r="AE86" s="47"/>
      <c r="AF86" s="47"/>
      <c r="AG86" s="52" t="str">
        <f t="shared" si="76"/>
        <v/>
      </c>
      <c r="AH86" s="43" t="str">
        <f t="shared" si="77"/>
        <v/>
      </c>
      <c r="AI86" s="52" t="str">
        <f t="shared" si="78"/>
        <v/>
      </c>
      <c r="AJ86" s="47"/>
      <c r="AK86" s="220"/>
      <c r="AL86" s="43" t="str">
        <f t="shared" si="79"/>
        <v/>
      </c>
      <c r="AM86" s="38"/>
      <c r="AN86" s="56" t="str">
        <f t="shared" si="80"/>
        <v/>
      </c>
      <c r="AO86" s="59"/>
      <c r="AP86" s="262" t="str">
        <f t="shared" si="81"/>
        <v/>
      </c>
      <c r="AQ86" s="61" t="str">
        <f t="shared" si="82"/>
        <v/>
      </c>
      <c r="AR86" s="63">
        <f t="shared" si="83"/>
        <v>-0.3</v>
      </c>
      <c r="AS86" s="256"/>
      <c r="AT86" s="75"/>
      <c r="AU86" s="76"/>
      <c r="AV86" s="76"/>
      <c r="AW86" s="77">
        <f t="shared" ref="AW86:AW105" si="97">AT86-AU86-AV86</f>
        <v>0</v>
      </c>
      <c r="AY86" s="182" t="str">
        <f t="shared" si="84"/>
        <v/>
      </c>
      <c r="AZ86" s="182" t="str">
        <f t="shared" si="85"/>
        <v/>
      </c>
      <c r="BA86" s="182" t="str">
        <f t="shared" si="86"/>
        <v/>
      </c>
      <c r="BC86" s="279">
        <f t="shared" si="87"/>
        <v>0</v>
      </c>
      <c r="BD86" s="294">
        <f>X86-(Graphs!G116/60)</f>
        <v>0</v>
      </c>
      <c r="BE86" s="284">
        <f>AE86-Graphs!G116</f>
        <v>0</v>
      </c>
    </row>
    <row r="87" spans="1:57" ht="22.5" customHeight="1">
      <c r="A87" s="15"/>
      <c r="B87" s="26">
        <v>13</v>
      </c>
      <c r="C87" s="47"/>
      <c r="D87" s="38">
        <f t="shared" si="90"/>
        <v>0</v>
      </c>
      <c r="E87" s="47"/>
      <c r="F87" s="38">
        <f t="shared" si="92"/>
        <v>0</v>
      </c>
      <c r="G87" s="38">
        <f t="shared" si="91"/>
        <v>0</v>
      </c>
      <c r="H87" s="47"/>
      <c r="I87" s="47"/>
      <c r="J87" s="47"/>
      <c r="K87" s="47"/>
      <c r="L87" s="47"/>
      <c r="M87" s="47"/>
      <c r="N87" s="38">
        <f t="shared" si="88"/>
        <v>0</v>
      </c>
      <c r="O87" s="47"/>
      <c r="P87" s="43" t="str">
        <f t="shared" si="71"/>
        <v/>
      </c>
      <c r="Q87" s="47"/>
      <c r="R87" s="38">
        <f t="shared" si="94"/>
        <v>0</v>
      </c>
      <c r="S87" s="51"/>
      <c r="T87" s="43" t="e">
        <f t="shared" si="89"/>
        <v>#DIV/0!</v>
      </c>
      <c r="U87" s="43" t="str">
        <f t="shared" si="72"/>
        <v/>
      </c>
      <c r="V87" s="43" t="e">
        <f t="shared" si="93"/>
        <v>#DIV/0!</v>
      </c>
      <c r="W87" s="220"/>
      <c r="X87" s="220"/>
      <c r="Y87" s="43">
        <f t="shared" si="73"/>
        <v>0</v>
      </c>
      <c r="Z87" s="51"/>
      <c r="AA87" s="38">
        <f t="shared" si="74"/>
        <v>0</v>
      </c>
      <c r="AB87" s="52" t="str">
        <f t="shared" si="95"/>
        <v/>
      </c>
      <c r="AC87" s="52" t="str">
        <f t="shared" si="75"/>
        <v/>
      </c>
      <c r="AD87" s="52" t="e">
        <f t="shared" si="96"/>
        <v>#DIV/0!</v>
      </c>
      <c r="AE87" s="47"/>
      <c r="AF87" s="47"/>
      <c r="AG87" s="52" t="str">
        <f t="shared" si="76"/>
        <v/>
      </c>
      <c r="AH87" s="43" t="str">
        <f t="shared" si="77"/>
        <v/>
      </c>
      <c r="AI87" s="52" t="str">
        <f t="shared" si="78"/>
        <v/>
      </c>
      <c r="AJ87" s="47"/>
      <c r="AK87" s="220"/>
      <c r="AL87" s="43" t="str">
        <f t="shared" si="79"/>
        <v/>
      </c>
      <c r="AM87" s="38"/>
      <c r="AN87" s="56" t="str">
        <f t="shared" si="80"/>
        <v/>
      </c>
      <c r="AO87" s="59"/>
      <c r="AP87" s="262" t="str">
        <f t="shared" si="81"/>
        <v/>
      </c>
      <c r="AQ87" s="61" t="str">
        <f t="shared" si="82"/>
        <v/>
      </c>
      <c r="AR87" s="63">
        <f t="shared" si="83"/>
        <v>-0.3</v>
      </c>
      <c r="AS87" s="256"/>
      <c r="AT87" s="75"/>
      <c r="AU87" s="76"/>
      <c r="AV87" s="76"/>
      <c r="AW87" s="77">
        <f t="shared" si="97"/>
        <v>0</v>
      </c>
      <c r="AY87" s="182" t="str">
        <f t="shared" si="84"/>
        <v/>
      </c>
      <c r="AZ87" s="182" t="str">
        <f t="shared" si="85"/>
        <v/>
      </c>
      <c r="BA87" s="182" t="str">
        <f t="shared" si="86"/>
        <v/>
      </c>
      <c r="BC87" s="279">
        <f t="shared" si="87"/>
        <v>0</v>
      </c>
      <c r="BD87" s="294">
        <f>X87-(Graphs!G119/60)</f>
        <v>0</v>
      </c>
      <c r="BE87" s="284">
        <f>AE87-Graphs!G119</f>
        <v>0</v>
      </c>
    </row>
    <row r="88" spans="1:57" ht="22.5" customHeight="1">
      <c r="A88" s="15"/>
      <c r="B88" s="26">
        <v>14</v>
      </c>
      <c r="C88" s="47"/>
      <c r="D88" s="38">
        <f t="shared" si="90"/>
        <v>0</v>
      </c>
      <c r="E88" s="47"/>
      <c r="F88" s="38">
        <f t="shared" si="92"/>
        <v>0</v>
      </c>
      <c r="G88" s="38">
        <f t="shared" si="91"/>
        <v>0</v>
      </c>
      <c r="H88" s="47"/>
      <c r="I88" s="47"/>
      <c r="J88" s="47"/>
      <c r="K88" s="47"/>
      <c r="L88" s="47"/>
      <c r="M88" s="47"/>
      <c r="N88" s="38">
        <f t="shared" si="88"/>
        <v>0</v>
      </c>
      <c r="O88" s="47"/>
      <c r="P88" s="43" t="str">
        <f t="shared" si="71"/>
        <v/>
      </c>
      <c r="Q88" s="47"/>
      <c r="R88" s="38">
        <f t="shared" si="94"/>
        <v>0</v>
      </c>
      <c r="S88" s="51"/>
      <c r="T88" s="43" t="e">
        <f t="shared" si="89"/>
        <v>#DIV/0!</v>
      </c>
      <c r="U88" s="43" t="str">
        <f t="shared" si="72"/>
        <v/>
      </c>
      <c r="V88" s="43" t="e">
        <f t="shared" si="93"/>
        <v>#DIV/0!</v>
      </c>
      <c r="W88" s="220"/>
      <c r="X88" s="220"/>
      <c r="Y88" s="43">
        <f t="shared" si="73"/>
        <v>0</v>
      </c>
      <c r="Z88" s="51"/>
      <c r="AA88" s="38">
        <f t="shared" si="74"/>
        <v>0</v>
      </c>
      <c r="AB88" s="52" t="str">
        <f t="shared" si="95"/>
        <v/>
      </c>
      <c r="AC88" s="52" t="str">
        <f t="shared" si="75"/>
        <v/>
      </c>
      <c r="AD88" s="52" t="e">
        <f t="shared" si="96"/>
        <v>#DIV/0!</v>
      </c>
      <c r="AE88" s="47"/>
      <c r="AF88" s="47"/>
      <c r="AG88" s="52" t="str">
        <f t="shared" si="76"/>
        <v/>
      </c>
      <c r="AH88" s="43" t="str">
        <f t="shared" si="77"/>
        <v/>
      </c>
      <c r="AI88" s="52" t="str">
        <f t="shared" si="78"/>
        <v/>
      </c>
      <c r="AJ88" s="47"/>
      <c r="AK88" s="220"/>
      <c r="AL88" s="43" t="str">
        <f t="shared" si="79"/>
        <v/>
      </c>
      <c r="AM88" s="38"/>
      <c r="AN88" s="56" t="str">
        <f t="shared" si="80"/>
        <v/>
      </c>
      <c r="AO88" s="59"/>
      <c r="AP88" s="262" t="str">
        <f t="shared" si="81"/>
        <v/>
      </c>
      <c r="AQ88" s="61" t="str">
        <f t="shared" si="82"/>
        <v/>
      </c>
      <c r="AR88" s="63">
        <f t="shared" si="83"/>
        <v>-0.3</v>
      </c>
      <c r="AS88" s="256"/>
      <c r="AT88" s="75"/>
      <c r="AU88" s="76"/>
      <c r="AV88" s="76"/>
      <c r="AW88" s="77">
        <f t="shared" si="97"/>
        <v>0</v>
      </c>
      <c r="AY88" s="182" t="str">
        <f t="shared" si="84"/>
        <v/>
      </c>
      <c r="AZ88" s="182" t="str">
        <f t="shared" si="85"/>
        <v/>
      </c>
      <c r="BA88" s="182" t="str">
        <f t="shared" si="86"/>
        <v/>
      </c>
      <c r="BC88" s="279">
        <f t="shared" si="87"/>
        <v>0</v>
      </c>
      <c r="BD88" s="294">
        <f>X88-(Graphs!G122/60)</f>
        <v>0</v>
      </c>
      <c r="BE88" s="284">
        <f>AE88-Graphs!G122</f>
        <v>0</v>
      </c>
    </row>
    <row r="89" spans="1:57" ht="22.5" customHeight="1">
      <c r="A89" s="15"/>
      <c r="B89" s="26">
        <v>15</v>
      </c>
      <c r="C89" s="47"/>
      <c r="D89" s="38">
        <f t="shared" si="90"/>
        <v>0</v>
      </c>
      <c r="E89" s="47"/>
      <c r="F89" s="38">
        <f t="shared" si="92"/>
        <v>0</v>
      </c>
      <c r="G89" s="38">
        <f t="shared" si="91"/>
        <v>0</v>
      </c>
      <c r="H89" s="47"/>
      <c r="I89" s="47"/>
      <c r="J89" s="47"/>
      <c r="K89" s="47"/>
      <c r="L89" s="47"/>
      <c r="M89" s="47"/>
      <c r="N89" s="38">
        <f t="shared" si="88"/>
        <v>0</v>
      </c>
      <c r="O89" s="47"/>
      <c r="P89" s="43" t="str">
        <f t="shared" si="71"/>
        <v/>
      </c>
      <c r="Q89" s="47"/>
      <c r="R89" s="38">
        <f t="shared" si="94"/>
        <v>0</v>
      </c>
      <c r="S89" s="51"/>
      <c r="T89" s="43" t="e">
        <f t="shared" si="89"/>
        <v>#DIV/0!</v>
      </c>
      <c r="U89" s="43" t="str">
        <f t="shared" si="72"/>
        <v/>
      </c>
      <c r="V89" s="43" t="e">
        <f t="shared" si="93"/>
        <v>#DIV/0!</v>
      </c>
      <c r="W89" s="220"/>
      <c r="X89" s="220"/>
      <c r="Y89" s="43">
        <f t="shared" si="73"/>
        <v>0</v>
      </c>
      <c r="Z89" s="51"/>
      <c r="AA89" s="38">
        <f t="shared" si="74"/>
        <v>0</v>
      </c>
      <c r="AB89" s="52" t="str">
        <f t="shared" si="95"/>
        <v/>
      </c>
      <c r="AC89" s="52" t="str">
        <f t="shared" si="75"/>
        <v/>
      </c>
      <c r="AD89" s="52" t="e">
        <f t="shared" si="96"/>
        <v>#DIV/0!</v>
      </c>
      <c r="AE89" s="47"/>
      <c r="AF89" s="47"/>
      <c r="AG89" s="52" t="str">
        <f t="shared" si="76"/>
        <v/>
      </c>
      <c r="AH89" s="43" t="str">
        <f t="shared" si="77"/>
        <v/>
      </c>
      <c r="AI89" s="52" t="str">
        <f t="shared" si="78"/>
        <v/>
      </c>
      <c r="AJ89" s="47"/>
      <c r="AK89" s="220"/>
      <c r="AL89" s="43" t="str">
        <f t="shared" si="79"/>
        <v/>
      </c>
      <c r="AM89" s="38"/>
      <c r="AN89" s="56" t="str">
        <f t="shared" si="80"/>
        <v/>
      </c>
      <c r="AO89" s="59"/>
      <c r="AP89" s="262" t="str">
        <f t="shared" si="81"/>
        <v/>
      </c>
      <c r="AQ89" s="61" t="str">
        <f t="shared" si="82"/>
        <v/>
      </c>
      <c r="AR89" s="63">
        <f t="shared" si="83"/>
        <v>-0.3</v>
      </c>
      <c r="AS89" s="256"/>
      <c r="AT89" s="75"/>
      <c r="AU89" s="76"/>
      <c r="AV89" s="76"/>
      <c r="AW89" s="77">
        <f t="shared" si="97"/>
        <v>0</v>
      </c>
      <c r="AY89" s="182" t="str">
        <f t="shared" si="84"/>
        <v/>
      </c>
      <c r="AZ89" s="182" t="str">
        <f t="shared" si="85"/>
        <v/>
      </c>
      <c r="BA89" s="182" t="str">
        <f t="shared" si="86"/>
        <v/>
      </c>
      <c r="BC89" s="279">
        <f t="shared" si="87"/>
        <v>0</v>
      </c>
      <c r="BD89" s="294">
        <f>X89-(Graphs!G125/60)</f>
        <v>0</v>
      </c>
      <c r="BE89" s="284">
        <f>AE89-Graphs!G125</f>
        <v>0</v>
      </c>
    </row>
    <row r="90" spans="1:57" ht="22.5" customHeight="1">
      <c r="A90" s="15"/>
      <c r="B90" s="26">
        <v>16</v>
      </c>
      <c r="C90" s="47"/>
      <c r="D90" s="38">
        <f t="shared" si="90"/>
        <v>0</v>
      </c>
      <c r="E90" s="47"/>
      <c r="F90" s="38">
        <f t="shared" si="92"/>
        <v>0</v>
      </c>
      <c r="G90" s="38">
        <f t="shared" si="91"/>
        <v>0</v>
      </c>
      <c r="H90" s="47"/>
      <c r="I90" s="47"/>
      <c r="J90" s="47"/>
      <c r="K90" s="47"/>
      <c r="L90" s="47"/>
      <c r="M90" s="47"/>
      <c r="N90" s="38">
        <f t="shared" si="88"/>
        <v>0</v>
      </c>
      <c r="O90" s="47"/>
      <c r="P90" s="43" t="str">
        <f t="shared" si="71"/>
        <v/>
      </c>
      <c r="Q90" s="47"/>
      <c r="R90" s="38">
        <f t="shared" si="94"/>
        <v>0</v>
      </c>
      <c r="S90" s="51"/>
      <c r="T90" s="43" t="e">
        <f t="shared" si="89"/>
        <v>#DIV/0!</v>
      </c>
      <c r="U90" s="43" t="str">
        <f t="shared" si="72"/>
        <v/>
      </c>
      <c r="V90" s="43" t="e">
        <f t="shared" si="93"/>
        <v>#DIV/0!</v>
      </c>
      <c r="W90" s="220"/>
      <c r="X90" s="220"/>
      <c r="Y90" s="43">
        <f t="shared" si="73"/>
        <v>0</v>
      </c>
      <c r="Z90" s="51"/>
      <c r="AA90" s="38">
        <f t="shared" si="74"/>
        <v>0</v>
      </c>
      <c r="AB90" s="52" t="str">
        <f t="shared" si="95"/>
        <v/>
      </c>
      <c r="AC90" s="52" t="str">
        <f t="shared" si="75"/>
        <v/>
      </c>
      <c r="AD90" s="52" t="e">
        <f t="shared" si="96"/>
        <v>#DIV/0!</v>
      </c>
      <c r="AE90" s="47"/>
      <c r="AF90" s="47"/>
      <c r="AG90" s="52" t="str">
        <f t="shared" si="76"/>
        <v/>
      </c>
      <c r="AH90" s="43" t="str">
        <f t="shared" si="77"/>
        <v/>
      </c>
      <c r="AI90" s="52" t="str">
        <f t="shared" si="78"/>
        <v/>
      </c>
      <c r="AJ90" s="47"/>
      <c r="AK90" s="220"/>
      <c r="AL90" s="43" t="str">
        <f t="shared" si="79"/>
        <v/>
      </c>
      <c r="AM90" s="38"/>
      <c r="AN90" s="56" t="str">
        <f t="shared" si="80"/>
        <v/>
      </c>
      <c r="AO90" s="59"/>
      <c r="AP90" s="262" t="str">
        <f t="shared" si="81"/>
        <v/>
      </c>
      <c r="AQ90" s="61" t="str">
        <f t="shared" si="82"/>
        <v/>
      </c>
      <c r="AR90" s="63">
        <f t="shared" si="83"/>
        <v>-0.3</v>
      </c>
      <c r="AS90" s="256"/>
      <c r="AT90" s="75"/>
      <c r="AU90" s="76"/>
      <c r="AV90" s="76"/>
      <c r="AW90" s="77">
        <f t="shared" si="97"/>
        <v>0</v>
      </c>
      <c r="AY90" s="182" t="str">
        <f t="shared" si="84"/>
        <v/>
      </c>
      <c r="AZ90" s="182" t="str">
        <f t="shared" si="85"/>
        <v/>
      </c>
      <c r="BA90" s="182" t="str">
        <f t="shared" si="86"/>
        <v/>
      </c>
      <c r="BC90" s="279">
        <f t="shared" si="87"/>
        <v>0</v>
      </c>
      <c r="BD90" s="294">
        <f>X90-(Graphs!G128/60)</f>
        <v>0</v>
      </c>
      <c r="BE90" s="284">
        <f>AE90-Graphs!G128</f>
        <v>0</v>
      </c>
    </row>
    <row r="91" spans="1:57" ht="22.5" customHeight="1">
      <c r="A91" s="15"/>
      <c r="B91" s="26">
        <v>17</v>
      </c>
      <c r="C91" s="47"/>
      <c r="D91" s="38">
        <f t="shared" si="90"/>
        <v>0</v>
      </c>
      <c r="E91" s="47"/>
      <c r="F91" s="38">
        <f t="shared" si="92"/>
        <v>0</v>
      </c>
      <c r="G91" s="38">
        <f t="shared" si="91"/>
        <v>0</v>
      </c>
      <c r="H91" s="47"/>
      <c r="I91" s="47"/>
      <c r="J91" s="47"/>
      <c r="K91" s="47"/>
      <c r="L91" s="47"/>
      <c r="M91" s="47"/>
      <c r="N91" s="38">
        <f t="shared" si="88"/>
        <v>0</v>
      </c>
      <c r="O91" s="47"/>
      <c r="P91" s="43" t="str">
        <f t="shared" si="71"/>
        <v/>
      </c>
      <c r="Q91" s="47"/>
      <c r="R91" s="38">
        <f t="shared" si="94"/>
        <v>0</v>
      </c>
      <c r="S91" s="51"/>
      <c r="T91" s="43" t="e">
        <f t="shared" si="89"/>
        <v>#DIV/0!</v>
      </c>
      <c r="U91" s="43" t="str">
        <f t="shared" si="72"/>
        <v/>
      </c>
      <c r="V91" s="43" t="e">
        <f t="shared" si="93"/>
        <v>#DIV/0!</v>
      </c>
      <c r="W91" s="220"/>
      <c r="X91" s="220"/>
      <c r="Y91" s="43">
        <f t="shared" si="73"/>
        <v>0</v>
      </c>
      <c r="Z91" s="51"/>
      <c r="AA91" s="38">
        <f t="shared" si="74"/>
        <v>0</v>
      </c>
      <c r="AB91" s="52" t="str">
        <f t="shared" si="95"/>
        <v/>
      </c>
      <c r="AC91" s="52" t="str">
        <f t="shared" si="75"/>
        <v/>
      </c>
      <c r="AD91" s="52" t="e">
        <f t="shared" si="96"/>
        <v>#DIV/0!</v>
      </c>
      <c r="AE91" s="47"/>
      <c r="AF91" s="47"/>
      <c r="AG91" s="52" t="str">
        <f t="shared" si="76"/>
        <v/>
      </c>
      <c r="AH91" s="43" t="str">
        <f t="shared" si="77"/>
        <v/>
      </c>
      <c r="AI91" s="52" t="str">
        <f t="shared" si="78"/>
        <v/>
      </c>
      <c r="AJ91" s="47"/>
      <c r="AK91" s="220"/>
      <c r="AL91" s="43" t="str">
        <f t="shared" si="79"/>
        <v/>
      </c>
      <c r="AM91" s="38"/>
      <c r="AN91" s="56" t="str">
        <f t="shared" si="80"/>
        <v/>
      </c>
      <c r="AO91" s="59"/>
      <c r="AP91" s="262" t="str">
        <f t="shared" si="81"/>
        <v/>
      </c>
      <c r="AQ91" s="61" t="str">
        <f t="shared" si="82"/>
        <v/>
      </c>
      <c r="AR91" s="63">
        <f t="shared" si="83"/>
        <v>-0.3</v>
      </c>
      <c r="AS91" s="256"/>
      <c r="AT91" s="75"/>
      <c r="AU91" s="76"/>
      <c r="AV91" s="76"/>
      <c r="AW91" s="77">
        <f t="shared" si="97"/>
        <v>0</v>
      </c>
      <c r="AY91" s="182" t="str">
        <f t="shared" si="84"/>
        <v/>
      </c>
      <c r="AZ91" s="182" t="str">
        <f t="shared" si="85"/>
        <v/>
      </c>
      <c r="BA91" s="182" t="str">
        <f t="shared" si="86"/>
        <v/>
      </c>
      <c r="BC91" s="279">
        <f t="shared" si="87"/>
        <v>0</v>
      </c>
      <c r="BD91" s="294">
        <f>X91-(Graphs!G131/60)</f>
        <v>0</v>
      </c>
      <c r="BE91" s="284">
        <f>AE91-Graphs!G131</f>
        <v>0</v>
      </c>
    </row>
    <row r="92" spans="1:57" ht="22.5" customHeight="1">
      <c r="A92" s="15"/>
      <c r="B92" s="26">
        <v>18</v>
      </c>
      <c r="C92" s="47"/>
      <c r="D92" s="38">
        <f t="shared" si="90"/>
        <v>0</v>
      </c>
      <c r="E92" s="47"/>
      <c r="F92" s="38">
        <f t="shared" si="92"/>
        <v>0</v>
      </c>
      <c r="G92" s="38">
        <f t="shared" si="91"/>
        <v>0</v>
      </c>
      <c r="H92" s="47"/>
      <c r="I92" s="47"/>
      <c r="J92" s="47"/>
      <c r="K92" s="47"/>
      <c r="L92" s="47"/>
      <c r="M92" s="47"/>
      <c r="N92" s="38">
        <f t="shared" si="88"/>
        <v>0</v>
      </c>
      <c r="O92" s="47"/>
      <c r="P92" s="43" t="str">
        <f t="shared" si="71"/>
        <v/>
      </c>
      <c r="Q92" s="47"/>
      <c r="R92" s="38">
        <f t="shared" si="94"/>
        <v>0</v>
      </c>
      <c r="S92" s="51"/>
      <c r="T92" s="43" t="e">
        <f t="shared" si="89"/>
        <v>#DIV/0!</v>
      </c>
      <c r="U92" s="43" t="str">
        <f t="shared" si="72"/>
        <v/>
      </c>
      <c r="V92" s="43" t="e">
        <f t="shared" si="93"/>
        <v>#DIV/0!</v>
      </c>
      <c r="W92" s="220"/>
      <c r="X92" s="220"/>
      <c r="Y92" s="43">
        <f t="shared" si="73"/>
        <v>0</v>
      </c>
      <c r="Z92" s="51"/>
      <c r="AA92" s="38">
        <f t="shared" si="74"/>
        <v>0</v>
      </c>
      <c r="AB92" s="52" t="str">
        <f t="shared" si="95"/>
        <v/>
      </c>
      <c r="AC92" s="52" t="str">
        <f t="shared" si="75"/>
        <v/>
      </c>
      <c r="AD92" s="52" t="e">
        <f t="shared" si="96"/>
        <v>#DIV/0!</v>
      </c>
      <c r="AE92" s="47"/>
      <c r="AF92" s="47"/>
      <c r="AG92" s="52" t="str">
        <f t="shared" si="76"/>
        <v/>
      </c>
      <c r="AH92" s="43" t="str">
        <f t="shared" si="77"/>
        <v/>
      </c>
      <c r="AI92" s="52" t="str">
        <f t="shared" si="78"/>
        <v/>
      </c>
      <c r="AJ92" s="47"/>
      <c r="AK92" s="220"/>
      <c r="AL92" s="43" t="str">
        <f t="shared" si="79"/>
        <v/>
      </c>
      <c r="AM92" s="38"/>
      <c r="AN92" s="56" t="str">
        <f t="shared" si="80"/>
        <v/>
      </c>
      <c r="AO92" s="59"/>
      <c r="AP92" s="262" t="str">
        <f t="shared" si="81"/>
        <v/>
      </c>
      <c r="AQ92" s="61" t="str">
        <f t="shared" si="82"/>
        <v/>
      </c>
      <c r="AR92" s="63">
        <f t="shared" si="83"/>
        <v>-0.3</v>
      </c>
      <c r="AS92" s="256"/>
      <c r="AT92" s="75"/>
      <c r="AU92" s="76"/>
      <c r="AV92" s="76"/>
      <c r="AW92" s="77">
        <f t="shared" si="97"/>
        <v>0</v>
      </c>
      <c r="AY92" s="182" t="str">
        <f t="shared" si="84"/>
        <v/>
      </c>
      <c r="AZ92" s="182" t="str">
        <f t="shared" si="85"/>
        <v/>
      </c>
      <c r="BA92" s="182" t="str">
        <f t="shared" si="86"/>
        <v/>
      </c>
      <c r="BC92" s="279">
        <f t="shared" si="87"/>
        <v>0</v>
      </c>
      <c r="BD92" s="294">
        <f>X92-(Graphs!G134/60)</f>
        <v>0</v>
      </c>
      <c r="BE92" s="284">
        <f>AE92-Graphs!G134</f>
        <v>0</v>
      </c>
    </row>
    <row r="93" spans="1:57" ht="22.5" customHeight="1">
      <c r="A93" s="15"/>
      <c r="B93" s="26">
        <v>19</v>
      </c>
      <c r="C93" s="47"/>
      <c r="D93" s="38">
        <f t="shared" si="90"/>
        <v>0</v>
      </c>
      <c r="E93" s="47"/>
      <c r="F93" s="38">
        <f t="shared" si="92"/>
        <v>0</v>
      </c>
      <c r="G93" s="38">
        <f t="shared" si="91"/>
        <v>0</v>
      </c>
      <c r="H93" s="47"/>
      <c r="I93" s="47"/>
      <c r="J93" s="47"/>
      <c r="K93" s="47"/>
      <c r="L93" s="47"/>
      <c r="M93" s="47"/>
      <c r="N93" s="38">
        <f t="shared" si="88"/>
        <v>0</v>
      </c>
      <c r="O93" s="47"/>
      <c r="P93" s="43" t="str">
        <f t="shared" si="71"/>
        <v/>
      </c>
      <c r="Q93" s="47"/>
      <c r="R93" s="38">
        <f t="shared" si="94"/>
        <v>0</v>
      </c>
      <c r="S93" s="51"/>
      <c r="T93" s="43" t="e">
        <f t="shared" si="89"/>
        <v>#DIV/0!</v>
      </c>
      <c r="U93" s="43" t="str">
        <f t="shared" si="72"/>
        <v/>
      </c>
      <c r="V93" s="43" t="e">
        <f t="shared" si="93"/>
        <v>#DIV/0!</v>
      </c>
      <c r="W93" s="220"/>
      <c r="X93" s="220"/>
      <c r="Y93" s="43">
        <f t="shared" si="73"/>
        <v>0</v>
      </c>
      <c r="Z93" s="51"/>
      <c r="AA93" s="38">
        <f t="shared" si="74"/>
        <v>0</v>
      </c>
      <c r="AB93" s="52" t="str">
        <f t="shared" si="95"/>
        <v/>
      </c>
      <c r="AC93" s="52" t="str">
        <f t="shared" si="75"/>
        <v/>
      </c>
      <c r="AD93" s="52" t="e">
        <f t="shared" si="96"/>
        <v>#DIV/0!</v>
      </c>
      <c r="AE93" s="47"/>
      <c r="AF93" s="47"/>
      <c r="AG93" s="52" t="str">
        <f t="shared" si="76"/>
        <v/>
      </c>
      <c r="AH93" s="43" t="str">
        <f t="shared" si="77"/>
        <v/>
      </c>
      <c r="AI93" s="52" t="str">
        <f t="shared" si="78"/>
        <v/>
      </c>
      <c r="AJ93" s="47"/>
      <c r="AK93" s="220"/>
      <c r="AL93" s="43" t="str">
        <f t="shared" si="79"/>
        <v/>
      </c>
      <c r="AM93" s="38"/>
      <c r="AN93" s="56" t="str">
        <f t="shared" si="80"/>
        <v/>
      </c>
      <c r="AO93" s="59"/>
      <c r="AP93" s="262" t="str">
        <f t="shared" si="81"/>
        <v/>
      </c>
      <c r="AQ93" s="61" t="str">
        <f t="shared" si="82"/>
        <v/>
      </c>
      <c r="AR93" s="63">
        <f t="shared" si="83"/>
        <v>-0.3</v>
      </c>
      <c r="AS93" s="256"/>
      <c r="AT93" s="75"/>
      <c r="AU93" s="76"/>
      <c r="AV93" s="76"/>
      <c r="AW93" s="77">
        <f t="shared" si="97"/>
        <v>0</v>
      </c>
      <c r="AY93" s="182" t="str">
        <f t="shared" si="84"/>
        <v/>
      </c>
      <c r="AZ93" s="182" t="str">
        <f t="shared" si="85"/>
        <v/>
      </c>
      <c r="BA93" s="182" t="str">
        <f t="shared" si="86"/>
        <v/>
      </c>
      <c r="BC93" s="279">
        <f t="shared" si="87"/>
        <v>0</v>
      </c>
      <c r="BD93" s="294">
        <f>X93-(Graphs!G137/60)</f>
        <v>0</v>
      </c>
      <c r="BE93" s="284">
        <f>AE93-Graphs!G137</f>
        <v>0</v>
      </c>
    </row>
    <row r="94" spans="1:57" ht="22.5" customHeight="1">
      <c r="A94" s="15"/>
      <c r="B94" s="26">
        <v>20</v>
      </c>
      <c r="C94" s="47"/>
      <c r="D94" s="38">
        <f t="shared" si="90"/>
        <v>0</v>
      </c>
      <c r="E94" s="47"/>
      <c r="F94" s="38">
        <f t="shared" si="92"/>
        <v>0</v>
      </c>
      <c r="G94" s="38">
        <f t="shared" si="91"/>
        <v>0</v>
      </c>
      <c r="H94" s="47"/>
      <c r="I94" s="47"/>
      <c r="J94" s="47"/>
      <c r="K94" s="47"/>
      <c r="L94" s="47"/>
      <c r="M94" s="47"/>
      <c r="N94" s="38">
        <f t="shared" si="88"/>
        <v>0</v>
      </c>
      <c r="O94" s="47"/>
      <c r="P94" s="43" t="str">
        <f t="shared" si="71"/>
        <v/>
      </c>
      <c r="Q94" s="47"/>
      <c r="R94" s="38">
        <f t="shared" si="94"/>
        <v>0</v>
      </c>
      <c r="S94" s="51"/>
      <c r="T94" s="43" t="e">
        <f t="shared" si="89"/>
        <v>#DIV/0!</v>
      </c>
      <c r="U94" s="43" t="str">
        <f t="shared" si="72"/>
        <v/>
      </c>
      <c r="V94" s="43" t="e">
        <f t="shared" si="93"/>
        <v>#DIV/0!</v>
      </c>
      <c r="W94" s="220"/>
      <c r="X94" s="220"/>
      <c r="Y94" s="43">
        <f t="shared" si="73"/>
        <v>0</v>
      </c>
      <c r="Z94" s="51"/>
      <c r="AA94" s="38">
        <f t="shared" si="74"/>
        <v>0</v>
      </c>
      <c r="AB94" s="52" t="str">
        <f t="shared" si="95"/>
        <v/>
      </c>
      <c r="AC94" s="52" t="str">
        <f t="shared" si="75"/>
        <v/>
      </c>
      <c r="AD94" s="52" t="e">
        <f t="shared" si="96"/>
        <v>#DIV/0!</v>
      </c>
      <c r="AE94" s="47"/>
      <c r="AF94" s="47"/>
      <c r="AG94" s="52" t="str">
        <f t="shared" si="76"/>
        <v/>
      </c>
      <c r="AH94" s="43" t="str">
        <f t="shared" si="77"/>
        <v/>
      </c>
      <c r="AI94" s="52" t="str">
        <f t="shared" si="78"/>
        <v/>
      </c>
      <c r="AJ94" s="47"/>
      <c r="AK94" s="220"/>
      <c r="AL94" s="43" t="str">
        <f t="shared" si="79"/>
        <v/>
      </c>
      <c r="AM94" s="38"/>
      <c r="AN94" s="56" t="str">
        <f t="shared" si="80"/>
        <v/>
      </c>
      <c r="AO94" s="59"/>
      <c r="AP94" s="262" t="str">
        <f t="shared" si="81"/>
        <v/>
      </c>
      <c r="AQ94" s="61" t="str">
        <f t="shared" si="82"/>
        <v/>
      </c>
      <c r="AR94" s="63">
        <f t="shared" si="83"/>
        <v>-0.3</v>
      </c>
      <c r="AS94" s="256"/>
      <c r="AT94" s="75"/>
      <c r="AU94" s="76"/>
      <c r="AV94" s="76"/>
      <c r="AW94" s="77">
        <f t="shared" si="97"/>
        <v>0</v>
      </c>
      <c r="AY94" s="182" t="str">
        <f t="shared" si="84"/>
        <v/>
      </c>
      <c r="AZ94" s="182" t="str">
        <f t="shared" si="85"/>
        <v/>
      </c>
      <c r="BA94" s="182" t="str">
        <f t="shared" si="86"/>
        <v/>
      </c>
      <c r="BC94" s="279">
        <f t="shared" si="87"/>
        <v>0</v>
      </c>
      <c r="BD94" s="294">
        <f>X94-(Graphs!G140/60)</f>
        <v>0</v>
      </c>
      <c r="BE94" s="284">
        <f>AE94-Graphs!G140</f>
        <v>0</v>
      </c>
    </row>
    <row r="95" spans="1:57" ht="22.5" customHeight="1">
      <c r="A95" s="15"/>
      <c r="B95" s="26">
        <v>21</v>
      </c>
      <c r="C95" s="47"/>
      <c r="D95" s="38">
        <f t="shared" si="90"/>
        <v>0</v>
      </c>
      <c r="E95" s="47"/>
      <c r="F95" s="38">
        <f t="shared" si="92"/>
        <v>0</v>
      </c>
      <c r="G95" s="38">
        <f t="shared" si="91"/>
        <v>0</v>
      </c>
      <c r="H95" s="47"/>
      <c r="I95" s="47"/>
      <c r="J95" s="47"/>
      <c r="K95" s="47"/>
      <c r="L95" s="47"/>
      <c r="M95" s="47"/>
      <c r="N95" s="38">
        <f t="shared" si="88"/>
        <v>0</v>
      </c>
      <c r="O95" s="47"/>
      <c r="P95" s="43" t="str">
        <f t="shared" si="71"/>
        <v/>
      </c>
      <c r="Q95" s="47"/>
      <c r="R95" s="38">
        <f t="shared" si="94"/>
        <v>0</v>
      </c>
      <c r="S95" s="51"/>
      <c r="T95" s="43" t="e">
        <f t="shared" si="89"/>
        <v>#DIV/0!</v>
      </c>
      <c r="U95" s="43" t="str">
        <f t="shared" si="72"/>
        <v/>
      </c>
      <c r="V95" s="43" t="e">
        <f t="shared" si="93"/>
        <v>#DIV/0!</v>
      </c>
      <c r="W95" s="220"/>
      <c r="X95" s="220"/>
      <c r="Y95" s="43">
        <f t="shared" si="73"/>
        <v>0</v>
      </c>
      <c r="Z95" s="51"/>
      <c r="AA95" s="38">
        <f t="shared" si="74"/>
        <v>0</v>
      </c>
      <c r="AB95" s="52" t="str">
        <f t="shared" si="95"/>
        <v/>
      </c>
      <c r="AC95" s="52" t="str">
        <f t="shared" si="75"/>
        <v/>
      </c>
      <c r="AD95" s="52" t="e">
        <f t="shared" si="96"/>
        <v>#DIV/0!</v>
      </c>
      <c r="AE95" s="47"/>
      <c r="AF95" s="47"/>
      <c r="AG95" s="52" t="str">
        <f t="shared" si="76"/>
        <v/>
      </c>
      <c r="AH95" s="43" t="str">
        <f t="shared" si="77"/>
        <v/>
      </c>
      <c r="AI95" s="52" t="str">
        <f t="shared" si="78"/>
        <v/>
      </c>
      <c r="AJ95" s="47"/>
      <c r="AK95" s="220"/>
      <c r="AL95" s="43" t="str">
        <f t="shared" si="79"/>
        <v/>
      </c>
      <c r="AM95" s="38"/>
      <c r="AN95" s="56" t="str">
        <f t="shared" si="80"/>
        <v/>
      </c>
      <c r="AO95" s="59"/>
      <c r="AP95" s="262" t="str">
        <f t="shared" si="81"/>
        <v/>
      </c>
      <c r="AQ95" s="61" t="str">
        <f t="shared" si="82"/>
        <v/>
      </c>
      <c r="AR95" s="63">
        <f t="shared" si="83"/>
        <v>-0.3</v>
      </c>
      <c r="AS95" s="256"/>
      <c r="AT95" s="75"/>
      <c r="AU95" s="76"/>
      <c r="AV95" s="76"/>
      <c r="AW95" s="77">
        <f t="shared" si="97"/>
        <v>0</v>
      </c>
      <c r="AY95" s="182" t="str">
        <f t="shared" si="84"/>
        <v/>
      </c>
      <c r="AZ95" s="182" t="str">
        <f t="shared" si="85"/>
        <v/>
      </c>
      <c r="BA95" s="182" t="str">
        <f t="shared" si="86"/>
        <v/>
      </c>
      <c r="BC95" s="279">
        <f t="shared" si="87"/>
        <v>0</v>
      </c>
      <c r="BD95" s="294">
        <f>X95-(Graphs!G143/60)</f>
        <v>0</v>
      </c>
      <c r="BE95" s="284">
        <f>AE95-Graphs!G143</f>
        <v>0</v>
      </c>
    </row>
    <row r="96" spans="1:57" ht="22.5" customHeight="1">
      <c r="A96" s="15"/>
      <c r="B96" s="26">
        <v>22</v>
      </c>
      <c r="C96" s="47"/>
      <c r="D96" s="38">
        <f t="shared" si="90"/>
        <v>0</v>
      </c>
      <c r="E96" s="47"/>
      <c r="F96" s="38">
        <f t="shared" si="92"/>
        <v>0</v>
      </c>
      <c r="G96" s="38">
        <f t="shared" si="91"/>
        <v>0</v>
      </c>
      <c r="H96" s="47"/>
      <c r="I96" s="47"/>
      <c r="J96" s="47"/>
      <c r="K96" s="47"/>
      <c r="L96" s="47"/>
      <c r="M96" s="47"/>
      <c r="N96" s="38">
        <f t="shared" si="88"/>
        <v>0</v>
      </c>
      <c r="O96" s="47"/>
      <c r="P96" s="43" t="str">
        <f t="shared" si="71"/>
        <v/>
      </c>
      <c r="Q96" s="47"/>
      <c r="R96" s="38">
        <f t="shared" si="94"/>
        <v>0</v>
      </c>
      <c r="S96" s="51"/>
      <c r="T96" s="43" t="e">
        <f t="shared" si="89"/>
        <v>#DIV/0!</v>
      </c>
      <c r="U96" s="43" t="str">
        <f t="shared" si="72"/>
        <v/>
      </c>
      <c r="V96" s="43" t="e">
        <f t="shared" si="93"/>
        <v>#DIV/0!</v>
      </c>
      <c r="W96" s="220"/>
      <c r="X96" s="220"/>
      <c r="Y96" s="43">
        <f t="shared" si="73"/>
        <v>0</v>
      </c>
      <c r="Z96" s="51"/>
      <c r="AA96" s="38">
        <f t="shared" si="74"/>
        <v>0</v>
      </c>
      <c r="AB96" s="52" t="str">
        <f t="shared" si="95"/>
        <v/>
      </c>
      <c r="AC96" s="52" t="str">
        <f t="shared" si="75"/>
        <v/>
      </c>
      <c r="AD96" s="52" t="e">
        <f t="shared" si="96"/>
        <v>#DIV/0!</v>
      </c>
      <c r="AE96" s="47"/>
      <c r="AF96" s="47"/>
      <c r="AG96" s="52" t="str">
        <f t="shared" si="76"/>
        <v/>
      </c>
      <c r="AH96" s="43" t="str">
        <f t="shared" si="77"/>
        <v/>
      </c>
      <c r="AI96" s="52" t="str">
        <f t="shared" si="78"/>
        <v/>
      </c>
      <c r="AJ96" s="47"/>
      <c r="AK96" s="220"/>
      <c r="AL96" s="43" t="str">
        <f t="shared" si="79"/>
        <v/>
      </c>
      <c r="AM96" s="38"/>
      <c r="AN96" s="56" t="str">
        <f t="shared" si="80"/>
        <v/>
      </c>
      <c r="AO96" s="59"/>
      <c r="AP96" s="262" t="str">
        <f t="shared" si="81"/>
        <v/>
      </c>
      <c r="AQ96" s="61" t="str">
        <f t="shared" si="82"/>
        <v/>
      </c>
      <c r="AR96" s="63">
        <f t="shared" si="83"/>
        <v>-0.3</v>
      </c>
      <c r="AS96" s="256"/>
      <c r="AT96" s="75"/>
      <c r="AU96" s="76"/>
      <c r="AV96" s="76"/>
      <c r="AW96" s="77">
        <f t="shared" si="97"/>
        <v>0</v>
      </c>
      <c r="AY96" s="182" t="str">
        <f t="shared" si="84"/>
        <v/>
      </c>
      <c r="AZ96" s="182" t="str">
        <f t="shared" si="85"/>
        <v/>
      </c>
      <c r="BA96" s="182" t="str">
        <f t="shared" si="86"/>
        <v/>
      </c>
      <c r="BC96" s="279">
        <f t="shared" si="87"/>
        <v>0</v>
      </c>
      <c r="BD96" s="294">
        <f>X96-(Graphs!G146/60)</f>
        <v>0</v>
      </c>
      <c r="BE96" s="284">
        <f>AE96-Graphs!G146</f>
        <v>0</v>
      </c>
    </row>
    <row r="97" spans="1:57" ht="22.5" customHeight="1">
      <c r="A97" s="15"/>
      <c r="B97" s="26">
        <v>23</v>
      </c>
      <c r="C97" s="47"/>
      <c r="D97" s="38">
        <f t="shared" si="90"/>
        <v>0</v>
      </c>
      <c r="E97" s="47"/>
      <c r="F97" s="38">
        <f t="shared" si="92"/>
        <v>0</v>
      </c>
      <c r="G97" s="38">
        <f t="shared" si="91"/>
        <v>0</v>
      </c>
      <c r="H97" s="47"/>
      <c r="I97" s="47"/>
      <c r="J97" s="47"/>
      <c r="K97" s="47"/>
      <c r="L97" s="47"/>
      <c r="M97" s="47"/>
      <c r="N97" s="38">
        <f t="shared" si="88"/>
        <v>0</v>
      </c>
      <c r="O97" s="47"/>
      <c r="P97" s="43" t="str">
        <f t="shared" si="71"/>
        <v/>
      </c>
      <c r="Q97" s="47"/>
      <c r="R97" s="38">
        <f t="shared" si="94"/>
        <v>0</v>
      </c>
      <c r="S97" s="51"/>
      <c r="T97" s="43" t="e">
        <f t="shared" si="89"/>
        <v>#DIV/0!</v>
      </c>
      <c r="U97" s="43" t="str">
        <f t="shared" si="72"/>
        <v/>
      </c>
      <c r="V97" s="43" t="e">
        <f t="shared" si="93"/>
        <v>#DIV/0!</v>
      </c>
      <c r="W97" s="220"/>
      <c r="X97" s="220"/>
      <c r="Y97" s="43">
        <f t="shared" si="73"/>
        <v>0</v>
      </c>
      <c r="Z97" s="51"/>
      <c r="AA97" s="38">
        <f t="shared" si="74"/>
        <v>0</v>
      </c>
      <c r="AB97" s="52" t="str">
        <f t="shared" si="95"/>
        <v/>
      </c>
      <c r="AC97" s="52" t="str">
        <f t="shared" si="75"/>
        <v/>
      </c>
      <c r="AD97" s="52" t="e">
        <f t="shared" si="96"/>
        <v>#DIV/0!</v>
      </c>
      <c r="AE97" s="47"/>
      <c r="AF97" s="47"/>
      <c r="AG97" s="52" t="str">
        <f t="shared" si="76"/>
        <v/>
      </c>
      <c r="AH97" s="43" t="str">
        <f t="shared" si="77"/>
        <v/>
      </c>
      <c r="AI97" s="52" t="str">
        <f t="shared" si="78"/>
        <v/>
      </c>
      <c r="AJ97" s="47"/>
      <c r="AK97" s="220"/>
      <c r="AL97" s="43" t="str">
        <f t="shared" si="79"/>
        <v/>
      </c>
      <c r="AM97" s="38"/>
      <c r="AN97" s="56" t="str">
        <f t="shared" si="80"/>
        <v/>
      </c>
      <c r="AO97" s="59"/>
      <c r="AP97" s="262" t="str">
        <f t="shared" si="81"/>
        <v/>
      </c>
      <c r="AQ97" s="61" t="str">
        <f t="shared" si="82"/>
        <v/>
      </c>
      <c r="AR97" s="63">
        <f t="shared" si="83"/>
        <v>-0.3</v>
      </c>
      <c r="AS97" s="256"/>
      <c r="AT97" s="75"/>
      <c r="AU97" s="76"/>
      <c r="AV97" s="76"/>
      <c r="AW97" s="77">
        <f t="shared" si="97"/>
        <v>0</v>
      </c>
      <c r="AY97" s="182" t="str">
        <f t="shared" si="84"/>
        <v/>
      </c>
      <c r="AZ97" s="182" t="str">
        <f t="shared" si="85"/>
        <v/>
      </c>
      <c r="BA97" s="182" t="str">
        <f t="shared" si="86"/>
        <v/>
      </c>
      <c r="BC97" s="279">
        <f t="shared" si="87"/>
        <v>0</v>
      </c>
      <c r="BD97" s="294">
        <f>X97-(Graphs!G149/60)</f>
        <v>0</v>
      </c>
      <c r="BE97" s="284">
        <f>AE97-Graphs!G149</f>
        <v>0</v>
      </c>
    </row>
    <row r="98" spans="1:57" ht="22.5" customHeight="1">
      <c r="A98" s="15"/>
      <c r="B98" s="26">
        <v>24</v>
      </c>
      <c r="C98" s="47"/>
      <c r="D98" s="38">
        <f t="shared" si="90"/>
        <v>0</v>
      </c>
      <c r="E98" s="47"/>
      <c r="F98" s="38">
        <f t="shared" si="92"/>
        <v>0</v>
      </c>
      <c r="G98" s="38">
        <f t="shared" si="91"/>
        <v>0</v>
      </c>
      <c r="H98" s="47"/>
      <c r="I98" s="47"/>
      <c r="J98" s="47"/>
      <c r="K98" s="47"/>
      <c r="L98" s="47"/>
      <c r="M98" s="47"/>
      <c r="N98" s="38">
        <f t="shared" si="88"/>
        <v>0</v>
      </c>
      <c r="O98" s="47"/>
      <c r="P98" s="43" t="str">
        <f t="shared" si="71"/>
        <v/>
      </c>
      <c r="Q98" s="47"/>
      <c r="R98" s="38">
        <f t="shared" si="94"/>
        <v>0</v>
      </c>
      <c r="S98" s="51"/>
      <c r="T98" s="43" t="e">
        <f t="shared" si="89"/>
        <v>#DIV/0!</v>
      </c>
      <c r="U98" s="43" t="str">
        <f t="shared" si="72"/>
        <v/>
      </c>
      <c r="V98" s="43" t="e">
        <f t="shared" si="93"/>
        <v>#DIV/0!</v>
      </c>
      <c r="W98" s="220"/>
      <c r="X98" s="220"/>
      <c r="Y98" s="43">
        <f t="shared" si="73"/>
        <v>0</v>
      </c>
      <c r="Z98" s="51"/>
      <c r="AA98" s="38">
        <f t="shared" si="74"/>
        <v>0</v>
      </c>
      <c r="AB98" s="52" t="str">
        <f t="shared" si="95"/>
        <v/>
      </c>
      <c r="AC98" s="52" t="str">
        <f t="shared" si="75"/>
        <v/>
      </c>
      <c r="AD98" s="52" t="e">
        <f t="shared" si="96"/>
        <v>#DIV/0!</v>
      </c>
      <c r="AE98" s="47"/>
      <c r="AF98" s="47"/>
      <c r="AG98" s="52" t="str">
        <f t="shared" si="76"/>
        <v/>
      </c>
      <c r="AH98" s="43" t="str">
        <f t="shared" si="77"/>
        <v/>
      </c>
      <c r="AI98" s="52" t="str">
        <f t="shared" si="78"/>
        <v/>
      </c>
      <c r="AJ98" s="47"/>
      <c r="AK98" s="220"/>
      <c r="AL98" s="43" t="str">
        <f t="shared" si="79"/>
        <v/>
      </c>
      <c r="AM98" s="38"/>
      <c r="AN98" s="56" t="str">
        <f t="shared" si="80"/>
        <v/>
      </c>
      <c r="AO98" s="59"/>
      <c r="AP98" s="262" t="str">
        <f t="shared" si="81"/>
        <v/>
      </c>
      <c r="AQ98" s="61" t="str">
        <f t="shared" si="82"/>
        <v/>
      </c>
      <c r="AR98" s="63">
        <f t="shared" si="83"/>
        <v>-0.3</v>
      </c>
      <c r="AS98" s="256"/>
      <c r="AT98" s="75"/>
      <c r="AU98" s="76"/>
      <c r="AV98" s="76"/>
      <c r="AW98" s="77">
        <f t="shared" si="97"/>
        <v>0</v>
      </c>
      <c r="AY98" s="182" t="str">
        <f t="shared" si="84"/>
        <v/>
      </c>
      <c r="AZ98" s="182" t="str">
        <f t="shared" si="85"/>
        <v/>
      </c>
      <c r="BA98" s="182" t="str">
        <f t="shared" si="86"/>
        <v/>
      </c>
      <c r="BC98" s="279">
        <f t="shared" si="87"/>
        <v>0</v>
      </c>
      <c r="BD98" s="294">
        <f>X98-(Graphs!G152/60)</f>
        <v>0</v>
      </c>
      <c r="BE98" s="284">
        <f>AE98-Graphs!G152</f>
        <v>0</v>
      </c>
    </row>
    <row r="99" spans="1:57" ht="22.5" customHeight="1">
      <c r="A99" s="15"/>
      <c r="B99" s="26">
        <v>25</v>
      </c>
      <c r="C99" s="47"/>
      <c r="D99" s="38">
        <f t="shared" si="90"/>
        <v>0</v>
      </c>
      <c r="E99" s="47"/>
      <c r="F99" s="38">
        <f t="shared" si="92"/>
        <v>0</v>
      </c>
      <c r="G99" s="38">
        <f t="shared" si="91"/>
        <v>0</v>
      </c>
      <c r="H99" s="47"/>
      <c r="I99" s="47"/>
      <c r="J99" s="47"/>
      <c r="K99" s="47"/>
      <c r="L99" s="47"/>
      <c r="M99" s="47"/>
      <c r="N99" s="38">
        <f t="shared" si="88"/>
        <v>0</v>
      </c>
      <c r="O99" s="47"/>
      <c r="P99" s="43" t="str">
        <f t="shared" si="71"/>
        <v/>
      </c>
      <c r="Q99" s="47"/>
      <c r="R99" s="38">
        <f t="shared" si="94"/>
        <v>0</v>
      </c>
      <c r="S99" s="51"/>
      <c r="T99" s="43" t="e">
        <f t="shared" si="89"/>
        <v>#DIV/0!</v>
      </c>
      <c r="U99" s="43" t="str">
        <f t="shared" si="72"/>
        <v/>
      </c>
      <c r="V99" s="43" t="e">
        <f t="shared" si="93"/>
        <v>#DIV/0!</v>
      </c>
      <c r="W99" s="220"/>
      <c r="X99" s="220"/>
      <c r="Y99" s="43">
        <f t="shared" si="73"/>
        <v>0</v>
      </c>
      <c r="Z99" s="51"/>
      <c r="AA99" s="38">
        <f t="shared" si="74"/>
        <v>0</v>
      </c>
      <c r="AB99" s="52" t="str">
        <f t="shared" si="95"/>
        <v/>
      </c>
      <c r="AC99" s="52" t="str">
        <f t="shared" si="75"/>
        <v/>
      </c>
      <c r="AD99" s="52" t="e">
        <f t="shared" si="96"/>
        <v>#DIV/0!</v>
      </c>
      <c r="AE99" s="47"/>
      <c r="AF99" s="47"/>
      <c r="AG99" s="52" t="str">
        <f t="shared" si="76"/>
        <v/>
      </c>
      <c r="AH99" s="43" t="str">
        <f t="shared" si="77"/>
        <v/>
      </c>
      <c r="AI99" s="52" t="str">
        <f t="shared" si="78"/>
        <v/>
      </c>
      <c r="AJ99" s="47"/>
      <c r="AK99" s="220"/>
      <c r="AL99" s="43" t="str">
        <f t="shared" si="79"/>
        <v/>
      </c>
      <c r="AM99" s="38"/>
      <c r="AN99" s="56" t="str">
        <f t="shared" si="80"/>
        <v/>
      </c>
      <c r="AO99" s="59"/>
      <c r="AP99" s="262" t="str">
        <f t="shared" si="81"/>
        <v/>
      </c>
      <c r="AQ99" s="61" t="str">
        <f t="shared" si="82"/>
        <v/>
      </c>
      <c r="AR99" s="63">
        <f t="shared" si="83"/>
        <v>-0.3</v>
      </c>
      <c r="AS99" s="256"/>
      <c r="AT99" s="75"/>
      <c r="AU99" s="76"/>
      <c r="AV99" s="76"/>
      <c r="AW99" s="77">
        <f t="shared" si="97"/>
        <v>0</v>
      </c>
      <c r="AY99" s="182" t="str">
        <f t="shared" si="84"/>
        <v/>
      </c>
      <c r="AZ99" s="182" t="str">
        <f t="shared" si="85"/>
        <v/>
      </c>
      <c r="BA99" s="182" t="str">
        <f t="shared" si="86"/>
        <v/>
      </c>
      <c r="BC99" s="279">
        <f t="shared" si="87"/>
        <v>0</v>
      </c>
      <c r="BD99" s="294">
        <f>X99-(Graphs!G155/60)</f>
        <v>0</v>
      </c>
      <c r="BE99" s="284">
        <f>AE99-Graphs!G155</f>
        <v>0</v>
      </c>
    </row>
    <row r="100" spans="1:57" ht="22.5" customHeight="1">
      <c r="A100" s="15"/>
      <c r="B100" s="26">
        <v>26</v>
      </c>
      <c r="C100" s="47"/>
      <c r="D100" s="38">
        <f t="shared" si="90"/>
        <v>0</v>
      </c>
      <c r="E100" s="47"/>
      <c r="F100" s="38">
        <f t="shared" si="92"/>
        <v>0</v>
      </c>
      <c r="G100" s="38">
        <f t="shared" si="91"/>
        <v>0</v>
      </c>
      <c r="H100" s="47"/>
      <c r="I100" s="47"/>
      <c r="J100" s="47"/>
      <c r="K100" s="47"/>
      <c r="L100" s="47"/>
      <c r="M100" s="47"/>
      <c r="N100" s="38">
        <f t="shared" si="88"/>
        <v>0</v>
      </c>
      <c r="O100" s="47"/>
      <c r="P100" s="43" t="str">
        <f t="shared" si="71"/>
        <v/>
      </c>
      <c r="Q100" s="47"/>
      <c r="R100" s="38">
        <f t="shared" si="94"/>
        <v>0</v>
      </c>
      <c r="S100" s="51"/>
      <c r="T100" s="43" t="e">
        <f t="shared" si="89"/>
        <v>#DIV/0!</v>
      </c>
      <c r="U100" s="43" t="str">
        <f t="shared" si="72"/>
        <v/>
      </c>
      <c r="V100" s="43" t="e">
        <f t="shared" si="93"/>
        <v>#DIV/0!</v>
      </c>
      <c r="W100" s="220"/>
      <c r="X100" s="220"/>
      <c r="Y100" s="43">
        <f t="shared" si="73"/>
        <v>0</v>
      </c>
      <c r="Z100" s="51"/>
      <c r="AA100" s="38">
        <f t="shared" si="74"/>
        <v>0</v>
      </c>
      <c r="AB100" s="52" t="str">
        <f t="shared" si="95"/>
        <v/>
      </c>
      <c r="AC100" s="52" t="str">
        <f t="shared" si="75"/>
        <v/>
      </c>
      <c r="AD100" s="52" t="e">
        <f t="shared" si="96"/>
        <v>#DIV/0!</v>
      </c>
      <c r="AE100" s="47"/>
      <c r="AF100" s="47"/>
      <c r="AG100" s="52" t="str">
        <f t="shared" si="76"/>
        <v/>
      </c>
      <c r="AH100" s="43" t="str">
        <f t="shared" si="77"/>
        <v/>
      </c>
      <c r="AI100" s="52" t="str">
        <f t="shared" si="78"/>
        <v/>
      </c>
      <c r="AJ100" s="47"/>
      <c r="AK100" s="220"/>
      <c r="AL100" s="43" t="str">
        <f t="shared" si="79"/>
        <v/>
      </c>
      <c r="AM100" s="38"/>
      <c r="AN100" s="56" t="str">
        <f t="shared" si="80"/>
        <v/>
      </c>
      <c r="AO100" s="59"/>
      <c r="AP100" s="262" t="str">
        <f t="shared" si="81"/>
        <v/>
      </c>
      <c r="AQ100" s="61" t="str">
        <f t="shared" si="82"/>
        <v/>
      </c>
      <c r="AR100" s="63">
        <f t="shared" si="83"/>
        <v>-0.3</v>
      </c>
      <c r="AS100" s="256"/>
      <c r="AT100" s="75"/>
      <c r="AU100" s="76"/>
      <c r="AV100" s="76"/>
      <c r="AW100" s="77">
        <f t="shared" si="97"/>
        <v>0</v>
      </c>
      <c r="AY100" s="182" t="str">
        <f t="shared" si="84"/>
        <v/>
      </c>
      <c r="AZ100" s="182" t="str">
        <f t="shared" si="85"/>
        <v/>
      </c>
      <c r="BA100" s="182" t="str">
        <f t="shared" si="86"/>
        <v/>
      </c>
      <c r="BC100" s="279">
        <f t="shared" si="87"/>
        <v>0</v>
      </c>
      <c r="BD100" s="294">
        <f>X100-(Graphs!G158/60)</f>
        <v>0</v>
      </c>
      <c r="BE100" s="284">
        <f>AE100-Graphs!G158</f>
        <v>0</v>
      </c>
    </row>
    <row r="101" spans="1:57" ht="22.5" customHeight="1">
      <c r="A101" s="15"/>
      <c r="B101" s="26">
        <v>27</v>
      </c>
      <c r="C101" s="47"/>
      <c r="D101" s="38">
        <f t="shared" si="90"/>
        <v>0</v>
      </c>
      <c r="E101" s="47"/>
      <c r="F101" s="38">
        <f t="shared" si="92"/>
        <v>0</v>
      </c>
      <c r="G101" s="38">
        <f t="shared" si="91"/>
        <v>0</v>
      </c>
      <c r="H101" s="47"/>
      <c r="I101" s="47"/>
      <c r="J101" s="47"/>
      <c r="K101" s="47"/>
      <c r="L101" s="47"/>
      <c r="M101" s="47"/>
      <c r="N101" s="38">
        <f t="shared" si="88"/>
        <v>0</v>
      </c>
      <c r="O101" s="47"/>
      <c r="P101" s="43" t="str">
        <f t="shared" si="71"/>
        <v/>
      </c>
      <c r="Q101" s="47"/>
      <c r="R101" s="38">
        <f t="shared" si="94"/>
        <v>0</v>
      </c>
      <c r="S101" s="51"/>
      <c r="T101" s="43" t="e">
        <f t="shared" si="89"/>
        <v>#DIV/0!</v>
      </c>
      <c r="U101" s="43" t="str">
        <f t="shared" si="72"/>
        <v/>
      </c>
      <c r="V101" s="43" t="e">
        <f t="shared" si="93"/>
        <v>#DIV/0!</v>
      </c>
      <c r="W101" s="220"/>
      <c r="X101" s="220"/>
      <c r="Y101" s="43">
        <f t="shared" si="73"/>
        <v>0</v>
      </c>
      <c r="Z101" s="51"/>
      <c r="AA101" s="38">
        <f t="shared" si="74"/>
        <v>0</v>
      </c>
      <c r="AB101" s="52" t="str">
        <f t="shared" si="95"/>
        <v/>
      </c>
      <c r="AC101" s="52" t="str">
        <f t="shared" si="75"/>
        <v/>
      </c>
      <c r="AD101" s="52" t="e">
        <f t="shared" si="96"/>
        <v>#DIV/0!</v>
      </c>
      <c r="AE101" s="47"/>
      <c r="AF101" s="47"/>
      <c r="AG101" s="52" t="str">
        <f t="shared" si="76"/>
        <v/>
      </c>
      <c r="AH101" s="43" t="str">
        <f t="shared" si="77"/>
        <v/>
      </c>
      <c r="AI101" s="52" t="str">
        <f t="shared" si="78"/>
        <v/>
      </c>
      <c r="AJ101" s="47"/>
      <c r="AK101" s="220"/>
      <c r="AL101" s="43" t="str">
        <f t="shared" si="79"/>
        <v/>
      </c>
      <c r="AM101" s="38"/>
      <c r="AN101" s="56" t="str">
        <f t="shared" si="80"/>
        <v/>
      </c>
      <c r="AO101" s="59"/>
      <c r="AP101" s="262" t="str">
        <f t="shared" si="81"/>
        <v/>
      </c>
      <c r="AQ101" s="61" t="str">
        <f t="shared" si="82"/>
        <v/>
      </c>
      <c r="AR101" s="63">
        <f t="shared" si="83"/>
        <v>-0.3</v>
      </c>
      <c r="AS101" s="256"/>
      <c r="AT101" s="75"/>
      <c r="AU101" s="76"/>
      <c r="AV101" s="76"/>
      <c r="AW101" s="77">
        <f t="shared" si="97"/>
        <v>0</v>
      </c>
      <c r="AY101" s="182" t="str">
        <f t="shared" si="84"/>
        <v/>
      </c>
      <c r="AZ101" s="182" t="str">
        <f t="shared" si="85"/>
        <v/>
      </c>
      <c r="BA101" s="182" t="str">
        <f t="shared" si="86"/>
        <v/>
      </c>
      <c r="BC101" s="279">
        <f t="shared" si="87"/>
        <v>0</v>
      </c>
      <c r="BD101" s="294">
        <f>X101-(Graphs!G161/60)</f>
        <v>0</v>
      </c>
      <c r="BE101" s="284">
        <f>AE101-Graphs!G161</f>
        <v>0</v>
      </c>
    </row>
    <row r="102" spans="1:57" ht="22.5" customHeight="1">
      <c r="A102" s="15"/>
      <c r="B102" s="26">
        <v>28</v>
      </c>
      <c r="C102" s="47"/>
      <c r="D102" s="38">
        <f t="shared" si="90"/>
        <v>0</v>
      </c>
      <c r="E102" s="47"/>
      <c r="F102" s="38">
        <f t="shared" si="92"/>
        <v>0</v>
      </c>
      <c r="G102" s="38">
        <f t="shared" si="91"/>
        <v>0</v>
      </c>
      <c r="H102" s="47"/>
      <c r="I102" s="47"/>
      <c r="J102" s="47"/>
      <c r="K102" s="47"/>
      <c r="L102" s="47"/>
      <c r="M102" s="47"/>
      <c r="N102" s="38">
        <f t="shared" si="88"/>
        <v>0</v>
      </c>
      <c r="O102" s="47"/>
      <c r="P102" s="43" t="str">
        <f t="shared" si="71"/>
        <v/>
      </c>
      <c r="Q102" s="47"/>
      <c r="R102" s="38">
        <f t="shared" si="94"/>
        <v>0</v>
      </c>
      <c r="S102" s="51"/>
      <c r="T102" s="43" t="e">
        <f t="shared" si="89"/>
        <v>#DIV/0!</v>
      </c>
      <c r="U102" s="43" t="str">
        <f t="shared" si="72"/>
        <v/>
      </c>
      <c r="V102" s="43" t="e">
        <f t="shared" si="93"/>
        <v>#DIV/0!</v>
      </c>
      <c r="W102" s="220"/>
      <c r="X102" s="220"/>
      <c r="Y102" s="43">
        <f t="shared" si="73"/>
        <v>0</v>
      </c>
      <c r="Z102" s="51"/>
      <c r="AA102" s="38">
        <f t="shared" si="74"/>
        <v>0</v>
      </c>
      <c r="AB102" s="52" t="str">
        <f t="shared" si="95"/>
        <v/>
      </c>
      <c r="AC102" s="52" t="str">
        <f t="shared" si="75"/>
        <v/>
      </c>
      <c r="AD102" s="52" t="e">
        <f t="shared" si="96"/>
        <v>#DIV/0!</v>
      </c>
      <c r="AE102" s="47"/>
      <c r="AF102" s="47"/>
      <c r="AG102" s="52" t="str">
        <f t="shared" si="76"/>
        <v/>
      </c>
      <c r="AH102" s="43" t="str">
        <f t="shared" si="77"/>
        <v/>
      </c>
      <c r="AI102" s="52" t="str">
        <f t="shared" si="78"/>
        <v/>
      </c>
      <c r="AJ102" s="47"/>
      <c r="AK102" s="220"/>
      <c r="AL102" s="43" t="str">
        <f t="shared" si="79"/>
        <v/>
      </c>
      <c r="AM102" s="38"/>
      <c r="AN102" s="56" t="str">
        <f t="shared" si="80"/>
        <v/>
      </c>
      <c r="AO102" s="59"/>
      <c r="AP102" s="262" t="str">
        <f t="shared" si="81"/>
        <v/>
      </c>
      <c r="AQ102" s="61" t="str">
        <f t="shared" si="82"/>
        <v/>
      </c>
      <c r="AR102" s="63">
        <f t="shared" si="83"/>
        <v>-0.3</v>
      </c>
      <c r="AS102" s="256"/>
      <c r="AT102" s="75"/>
      <c r="AU102" s="76"/>
      <c r="AV102" s="76"/>
      <c r="AW102" s="77">
        <f t="shared" si="97"/>
        <v>0</v>
      </c>
      <c r="AY102" s="182" t="str">
        <f t="shared" si="84"/>
        <v/>
      </c>
      <c r="AZ102" s="182" t="str">
        <f t="shared" si="85"/>
        <v/>
      </c>
      <c r="BA102" s="182" t="str">
        <f t="shared" si="86"/>
        <v/>
      </c>
      <c r="BC102" s="279">
        <f t="shared" si="87"/>
        <v>0</v>
      </c>
      <c r="BD102" s="294">
        <f>X102-(Graphs!G164/60)</f>
        <v>0</v>
      </c>
      <c r="BE102" s="284">
        <f>AE102-Graphs!G164</f>
        <v>0</v>
      </c>
    </row>
    <row r="103" spans="1:57" ht="22.5" customHeight="1">
      <c r="A103" s="15"/>
      <c r="B103" s="26">
        <v>29</v>
      </c>
      <c r="C103" s="47"/>
      <c r="D103" s="38">
        <f t="shared" si="90"/>
        <v>0</v>
      </c>
      <c r="E103" s="47"/>
      <c r="F103" s="38">
        <f t="shared" si="92"/>
        <v>0</v>
      </c>
      <c r="G103" s="38">
        <f t="shared" si="91"/>
        <v>0</v>
      </c>
      <c r="H103" s="47"/>
      <c r="I103" s="47"/>
      <c r="J103" s="47"/>
      <c r="K103" s="47"/>
      <c r="L103" s="47"/>
      <c r="M103" s="47"/>
      <c r="N103" s="38">
        <f t="shared" si="88"/>
        <v>0</v>
      </c>
      <c r="O103" s="47"/>
      <c r="P103" s="43" t="str">
        <f t="shared" si="71"/>
        <v/>
      </c>
      <c r="Q103" s="47"/>
      <c r="R103" s="38">
        <f t="shared" si="94"/>
        <v>0</v>
      </c>
      <c r="S103" s="51"/>
      <c r="T103" s="43" t="e">
        <f t="shared" si="89"/>
        <v>#DIV/0!</v>
      </c>
      <c r="U103" s="43" t="str">
        <f t="shared" si="72"/>
        <v/>
      </c>
      <c r="V103" s="43" t="e">
        <f t="shared" si="93"/>
        <v>#DIV/0!</v>
      </c>
      <c r="W103" s="220"/>
      <c r="X103" s="220"/>
      <c r="Y103" s="43">
        <f t="shared" si="73"/>
        <v>0</v>
      </c>
      <c r="Z103" s="51"/>
      <c r="AA103" s="38">
        <f t="shared" si="74"/>
        <v>0</v>
      </c>
      <c r="AB103" s="52" t="str">
        <f t="shared" si="95"/>
        <v/>
      </c>
      <c r="AC103" s="52" t="str">
        <f t="shared" si="75"/>
        <v/>
      </c>
      <c r="AD103" s="52" t="e">
        <f t="shared" si="96"/>
        <v>#DIV/0!</v>
      </c>
      <c r="AE103" s="47"/>
      <c r="AF103" s="47"/>
      <c r="AG103" s="52" t="str">
        <f t="shared" si="76"/>
        <v/>
      </c>
      <c r="AH103" s="43" t="str">
        <f t="shared" si="77"/>
        <v/>
      </c>
      <c r="AI103" s="52" t="str">
        <f t="shared" si="78"/>
        <v/>
      </c>
      <c r="AJ103" s="47"/>
      <c r="AK103" s="220"/>
      <c r="AL103" s="43" t="str">
        <f t="shared" si="79"/>
        <v/>
      </c>
      <c r="AM103" s="38"/>
      <c r="AN103" s="56" t="str">
        <f t="shared" si="80"/>
        <v/>
      </c>
      <c r="AO103" s="59"/>
      <c r="AP103" s="262" t="str">
        <f t="shared" si="81"/>
        <v/>
      </c>
      <c r="AQ103" s="61" t="str">
        <f t="shared" si="82"/>
        <v/>
      </c>
      <c r="AR103" s="63">
        <f t="shared" si="83"/>
        <v>-0.3</v>
      </c>
      <c r="AS103" s="256"/>
      <c r="AT103" s="75"/>
      <c r="AU103" s="76"/>
      <c r="AV103" s="76"/>
      <c r="AW103" s="77">
        <f t="shared" si="97"/>
        <v>0</v>
      </c>
      <c r="AY103" s="182" t="str">
        <f t="shared" si="84"/>
        <v/>
      </c>
      <c r="AZ103" s="182" t="str">
        <f t="shared" si="85"/>
        <v/>
      </c>
      <c r="BA103" s="182" t="str">
        <f t="shared" si="86"/>
        <v/>
      </c>
      <c r="BC103" s="279">
        <f t="shared" si="87"/>
        <v>0</v>
      </c>
      <c r="BD103" s="294">
        <f>X103-(Graphs!G167/60)</f>
        <v>0</v>
      </c>
      <c r="BE103" s="284">
        <f>AE103-Graphs!G167</f>
        <v>0</v>
      </c>
    </row>
    <row r="104" spans="1:57" ht="22.5" customHeight="1">
      <c r="A104" s="15"/>
      <c r="B104" s="26">
        <v>30</v>
      </c>
      <c r="C104" s="47"/>
      <c r="D104" s="38">
        <f t="shared" si="90"/>
        <v>0</v>
      </c>
      <c r="E104" s="47"/>
      <c r="F104" s="38">
        <f t="shared" si="92"/>
        <v>0</v>
      </c>
      <c r="G104" s="38">
        <f t="shared" si="91"/>
        <v>0</v>
      </c>
      <c r="H104" s="47"/>
      <c r="I104" s="47"/>
      <c r="J104" s="47"/>
      <c r="K104" s="47"/>
      <c r="L104" s="47"/>
      <c r="M104" s="47"/>
      <c r="N104" s="38">
        <f t="shared" si="88"/>
        <v>0</v>
      </c>
      <c r="O104" s="47"/>
      <c r="P104" s="43" t="str">
        <f t="shared" si="71"/>
        <v/>
      </c>
      <c r="Q104" s="47"/>
      <c r="R104" s="38">
        <f t="shared" si="94"/>
        <v>0</v>
      </c>
      <c r="S104" s="51"/>
      <c r="T104" s="43" t="e">
        <f t="shared" si="89"/>
        <v>#DIV/0!</v>
      </c>
      <c r="U104" s="43" t="str">
        <f t="shared" si="72"/>
        <v/>
      </c>
      <c r="V104" s="43" t="e">
        <f t="shared" si="93"/>
        <v>#DIV/0!</v>
      </c>
      <c r="W104" s="220"/>
      <c r="X104" s="220"/>
      <c r="Y104" s="43">
        <f t="shared" si="73"/>
        <v>0</v>
      </c>
      <c r="Z104" s="51"/>
      <c r="AA104" s="38">
        <f t="shared" si="74"/>
        <v>0</v>
      </c>
      <c r="AB104" s="52" t="str">
        <f t="shared" si="95"/>
        <v/>
      </c>
      <c r="AC104" s="52" t="str">
        <f t="shared" si="75"/>
        <v/>
      </c>
      <c r="AD104" s="52" t="e">
        <f t="shared" si="96"/>
        <v>#DIV/0!</v>
      </c>
      <c r="AE104" s="47"/>
      <c r="AF104" s="47"/>
      <c r="AG104" s="52" t="str">
        <f t="shared" si="76"/>
        <v/>
      </c>
      <c r="AH104" s="43" t="str">
        <f t="shared" si="77"/>
        <v/>
      </c>
      <c r="AI104" s="52" t="str">
        <f t="shared" si="78"/>
        <v/>
      </c>
      <c r="AJ104" s="47"/>
      <c r="AK104" s="220"/>
      <c r="AL104" s="43" t="str">
        <f t="shared" si="79"/>
        <v/>
      </c>
      <c r="AM104" s="38"/>
      <c r="AN104" s="56" t="str">
        <f t="shared" si="80"/>
        <v/>
      </c>
      <c r="AO104" s="59"/>
      <c r="AP104" s="262" t="str">
        <f t="shared" si="81"/>
        <v/>
      </c>
      <c r="AQ104" s="61" t="str">
        <f t="shared" si="82"/>
        <v/>
      </c>
      <c r="AR104" s="63">
        <f t="shared" si="83"/>
        <v>-0.3</v>
      </c>
      <c r="AS104" s="256"/>
      <c r="AT104" s="75"/>
      <c r="AU104" s="76"/>
      <c r="AV104" s="76"/>
      <c r="AW104" s="77">
        <f t="shared" si="97"/>
        <v>0</v>
      </c>
      <c r="AY104" s="182" t="str">
        <f t="shared" si="84"/>
        <v/>
      </c>
      <c r="AZ104" s="182" t="str">
        <f t="shared" si="85"/>
        <v/>
      </c>
      <c r="BA104" s="182" t="str">
        <f t="shared" si="86"/>
        <v/>
      </c>
      <c r="BC104" s="279">
        <f t="shared" si="87"/>
        <v>0</v>
      </c>
      <c r="BD104" s="294">
        <f>X104-(Graphs!G170/60)</f>
        <v>0</v>
      </c>
      <c r="BE104" s="284">
        <f>AE104-Graphs!G170</f>
        <v>0</v>
      </c>
    </row>
    <row r="105" spans="1:57" ht="22.5" customHeight="1" thickBot="1">
      <c r="A105" s="15"/>
      <c r="B105" s="26">
        <v>31</v>
      </c>
      <c r="C105" s="47"/>
      <c r="D105" s="38">
        <f t="shared" si="90"/>
        <v>0</v>
      </c>
      <c r="E105" s="47"/>
      <c r="F105" s="38">
        <f t="shared" si="92"/>
        <v>0</v>
      </c>
      <c r="G105" s="38">
        <f t="shared" si="91"/>
        <v>0</v>
      </c>
      <c r="H105" s="47"/>
      <c r="I105" s="47"/>
      <c r="J105" s="47"/>
      <c r="K105" s="47"/>
      <c r="L105" s="47"/>
      <c r="M105" s="47"/>
      <c r="N105" s="38">
        <f t="shared" si="88"/>
        <v>0</v>
      </c>
      <c r="O105" s="47"/>
      <c r="P105" s="43" t="str">
        <f t="shared" si="71"/>
        <v/>
      </c>
      <c r="Q105" s="47"/>
      <c r="R105" s="38">
        <f t="shared" si="94"/>
        <v>0</v>
      </c>
      <c r="S105" s="51"/>
      <c r="T105" s="43" t="e">
        <f t="shared" si="89"/>
        <v>#DIV/0!</v>
      </c>
      <c r="U105" s="43" t="str">
        <f t="shared" si="72"/>
        <v/>
      </c>
      <c r="V105" s="43" t="e">
        <f t="shared" si="93"/>
        <v>#DIV/0!</v>
      </c>
      <c r="W105" s="220"/>
      <c r="X105" s="220"/>
      <c r="Y105" s="43">
        <f t="shared" si="73"/>
        <v>0</v>
      </c>
      <c r="Z105" s="51"/>
      <c r="AA105" s="38">
        <f t="shared" si="74"/>
        <v>0</v>
      </c>
      <c r="AB105" s="52" t="str">
        <f t="shared" si="95"/>
        <v/>
      </c>
      <c r="AC105" s="52" t="str">
        <f t="shared" si="75"/>
        <v/>
      </c>
      <c r="AD105" s="52" t="e">
        <f t="shared" si="96"/>
        <v>#DIV/0!</v>
      </c>
      <c r="AE105" s="47"/>
      <c r="AF105" s="47"/>
      <c r="AG105" s="52" t="str">
        <f t="shared" si="76"/>
        <v/>
      </c>
      <c r="AH105" s="43" t="str">
        <f t="shared" si="77"/>
        <v/>
      </c>
      <c r="AI105" s="52" t="str">
        <f t="shared" si="78"/>
        <v/>
      </c>
      <c r="AJ105" s="47"/>
      <c r="AK105" s="220"/>
      <c r="AL105" s="43" t="str">
        <f t="shared" si="79"/>
        <v/>
      </c>
      <c r="AM105" s="38"/>
      <c r="AN105" s="56" t="str">
        <f t="shared" si="80"/>
        <v/>
      </c>
      <c r="AO105" s="59"/>
      <c r="AP105" s="262" t="str">
        <f t="shared" si="81"/>
        <v/>
      </c>
      <c r="AQ105" s="61" t="str">
        <f t="shared" si="82"/>
        <v/>
      </c>
      <c r="AR105" s="63">
        <f t="shared" si="83"/>
        <v>-0.3</v>
      </c>
      <c r="AS105" s="256"/>
      <c r="AT105" s="75"/>
      <c r="AU105" s="76"/>
      <c r="AV105" s="76"/>
      <c r="AW105" s="77">
        <f t="shared" si="97"/>
        <v>0</v>
      </c>
      <c r="AY105" s="182" t="str">
        <f t="shared" si="84"/>
        <v/>
      </c>
      <c r="AZ105" s="182" t="str">
        <f t="shared" si="85"/>
        <v/>
      </c>
      <c r="BA105" s="182" t="str">
        <f t="shared" si="86"/>
        <v/>
      </c>
      <c r="BC105" s="279">
        <f t="shared" si="87"/>
        <v>0</v>
      </c>
      <c r="BD105" s="294">
        <f>X105-(Graphs!G173/60)</f>
        <v>0</v>
      </c>
      <c r="BE105" s="284">
        <f>AE105-Graphs!G173</f>
        <v>0</v>
      </c>
    </row>
    <row r="106" spans="1:57" ht="22.5" customHeight="1" thickBot="1">
      <c r="A106" s="16"/>
      <c r="B106" s="28" t="s">
        <v>41</v>
      </c>
      <c r="C106" s="39">
        <f>SUM(C75:C105)</f>
        <v>0</v>
      </c>
      <c r="D106" s="39"/>
      <c r="E106" s="39">
        <f>SUM(E75:E105)</f>
        <v>0</v>
      </c>
      <c r="F106" s="39">
        <f>SUM(F75:F105)</f>
        <v>0</v>
      </c>
      <c r="G106" s="92">
        <f>G105</f>
        <v>0</v>
      </c>
      <c r="H106" s="39">
        <f t="shared" ref="H106:M106" si="98">SUM(H75:H105)</f>
        <v>0</v>
      </c>
      <c r="I106" s="39">
        <f t="shared" si="98"/>
        <v>0</v>
      </c>
      <c r="J106" s="39">
        <f t="shared" si="98"/>
        <v>0</v>
      </c>
      <c r="K106" s="39">
        <f t="shared" si="98"/>
        <v>0</v>
      </c>
      <c r="L106" s="39">
        <f t="shared" si="98"/>
        <v>0</v>
      </c>
      <c r="M106" s="39">
        <f t="shared" si="98"/>
        <v>0</v>
      </c>
      <c r="N106" s="39">
        <f>N105</f>
        <v>0</v>
      </c>
      <c r="O106" s="39">
        <f>SUM(O75:O105)</f>
        <v>0</v>
      </c>
      <c r="P106" s="42" t="e">
        <f>AVERAGE(P75:P105)</f>
        <v>#DIV/0!</v>
      </c>
      <c r="Q106" s="39">
        <f>SUM(Q75:Q105)</f>
        <v>0</v>
      </c>
      <c r="R106" s="39">
        <f>R105</f>
        <v>0</v>
      </c>
      <c r="S106" s="88" t="e">
        <f>AVERAGE(S75:S105)</f>
        <v>#DIV/0!</v>
      </c>
      <c r="T106" s="88"/>
      <c r="U106" s="89" t="e">
        <f>Q106/X106</f>
        <v>#DIV/0!</v>
      </c>
      <c r="V106" s="194" t="e">
        <f>V105</f>
        <v>#DIV/0!</v>
      </c>
      <c r="W106" s="194">
        <f>SUM(W75:W105)</f>
        <v>0</v>
      </c>
      <c r="X106" s="194">
        <f>SUM(X75:X105)</f>
        <v>0</v>
      </c>
      <c r="Y106" s="42">
        <f>Y105</f>
        <v>0</v>
      </c>
      <c r="Z106" s="42">
        <f>SUM(Z75:Z105)</f>
        <v>0</v>
      </c>
      <c r="AA106" s="39">
        <f>SUM(AA75:AA105)</f>
        <v>0</v>
      </c>
      <c r="AB106" s="53" t="e">
        <f>AVERAGE(AB75:AB105)</f>
        <v>#DIV/0!</v>
      </c>
      <c r="AC106" s="53" t="e">
        <f>AVERAGE(AC75:AC105)</f>
        <v>#DIV/0!</v>
      </c>
      <c r="AD106" s="53" t="e">
        <f>AD105</f>
        <v>#DIV/0!</v>
      </c>
      <c r="AE106" s="39">
        <f>SUM(AE75:AE105)</f>
        <v>0</v>
      </c>
      <c r="AF106" s="39">
        <f>SUM(AF75:AF105)</f>
        <v>0</v>
      </c>
      <c r="AG106" s="53" t="e">
        <f>AVERAGE(AG75:AG105)</f>
        <v>#DIV/0!</v>
      </c>
      <c r="AH106" s="53" t="e">
        <f>AVERAGE(AH75:AH105)</f>
        <v>#DIV/0!</v>
      </c>
      <c r="AI106" s="53" t="e">
        <f>AVERAGE(AI75:AI105)</f>
        <v>#DIV/0!</v>
      </c>
      <c r="AJ106" s="39">
        <f>SUM(AJ75:AJ105)</f>
        <v>0</v>
      </c>
      <c r="AK106" s="194">
        <f>SUM(AK75:AK105)</f>
        <v>0</v>
      </c>
      <c r="AL106" s="42">
        <f>SUM(AL75:AL105)</f>
        <v>0</v>
      </c>
      <c r="AM106" s="39">
        <f>SUM(AM75:AM105)</f>
        <v>0</v>
      </c>
      <c r="AN106" s="57" t="e">
        <f>AVERAGE(AN75:AN105)</f>
        <v>#DIV/0!</v>
      </c>
      <c r="AO106" s="57" t="e">
        <f>AY106/BA106</f>
        <v>#DIV/0!</v>
      </c>
      <c r="AP106" s="57" t="e">
        <f>AS106/F106</f>
        <v>#DIV/0!</v>
      </c>
      <c r="AQ106" s="57" t="e">
        <f>AP106-AO106</f>
        <v>#DIV/0!</v>
      </c>
      <c r="AR106" s="65">
        <f>AVERAGE(AR75:AR105)</f>
        <v>-0.30000000000000004</v>
      </c>
      <c r="AS106" s="253">
        <f>SUM(AS75:AS105)</f>
        <v>0</v>
      </c>
      <c r="AT106" s="82">
        <f>SUM(AT75:AT105)</f>
        <v>0</v>
      </c>
      <c r="AU106" s="83">
        <f>SUM(AU75:AU105)</f>
        <v>0</v>
      </c>
      <c r="AV106" s="84">
        <f>SUM(AV75:AV105)</f>
        <v>0</v>
      </c>
      <c r="AW106" s="85">
        <f>SUM(AW75:AW105)</f>
        <v>0</v>
      </c>
      <c r="AY106" s="185">
        <f>SUM(AY75:AY105)</f>
        <v>0</v>
      </c>
      <c r="AZ106" s="186">
        <f>SUM(AZ75:AZ105)</f>
        <v>0</v>
      </c>
      <c r="BA106" s="187">
        <f>SUM(BA75:BA105)</f>
        <v>0</v>
      </c>
      <c r="BC106" s="280">
        <f>SUM(BC75:BC105)</f>
        <v>0</v>
      </c>
      <c r="BD106" s="280">
        <f t="shared" ref="BD106" si="99">SUM(BD75:BD105)</f>
        <v>0</v>
      </c>
      <c r="BE106" s="280">
        <f>SUM(BE75:BE105)</f>
        <v>0</v>
      </c>
    </row>
  </sheetData>
  <mergeCells count="8">
    <mergeCell ref="B73:C73"/>
    <mergeCell ref="AR1:AR2"/>
    <mergeCell ref="AT2:AW2"/>
    <mergeCell ref="AJ37:AK37"/>
    <mergeCell ref="B2:C2"/>
    <mergeCell ref="B37:C37"/>
    <mergeCell ref="AT37:AW37"/>
    <mergeCell ref="AT73:AW73"/>
  </mergeCells>
  <conditionalFormatting sqref="AQ4:AQ34">
    <cfRule type="cellIs" dxfId="5" priority="13" stopIfTrue="1" operator="lessThan">
      <formula>-0.55</formula>
    </cfRule>
    <cfRule type="cellIs" dxfId="4" priority="14" stopIfTrue="1" operator="greaterThan">
      <formula>-0.55</formula>
    </cfRule>
  </conditionalFormatting>
  <conditionalFormatting sqref="AQ39:AQ69">
    <cfRule type="cellIs" dxfId="3" priority="3" stopIfTrue="1" operator="lessThan">
      <formula>-0.55</formula>
    </cfRule>
    <cfRule type="cellIs" dxfId="2" priority="4" stopIfTrue="1" operator="greaterThan">
      <formula>-0.55</formula>
    </cfRule>
  </conditionalFormatting>
  <conditionalFormatting sqref="AQ75:AQ105">
    <cfRule type="cellIs" dxfId="1" priority="1" stopIfTrue="1" operator="lessThan">
      <formula>-0.55</formula>
    </cfRule>
    <cfRule type="cellIs" dxfId="0" priority="2" stopIfTrue="1" operator="greaterThan">
      <formula>-0.55</formula>
    </cfRule>
  </conditionalFormatting>
  <pageMargins left="0.27" right="0.2" top="0.28999999999999998" bottom="0.24" header="0.2" footer="0.18"/>
  <pageSetup paperSize="9" scale="43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T43"/>
  <sheetViews>
    <sheetView zoomScale="50" zoomScaleNormal="50" workbookViewId="0">
      <selection activeCell="K8" sqref="K8"/>
    </sheetView>
  </sheetViews>
  <sheetFormatPr defaultRowHeight="18"/>
  <cols>
    <col min="1" max="1" width="7.796875" style="239" customWidth="1"/>
    <col min="2" max="3" width="14" style="245" customWidth="1"/>
    <col min="4" max="4" width="15.3984375" style="245" customWidth="1"/>
    <col min="5" max="5" width="14" style="245" customWidth="1"/>
    <col min="6" max="6" width="14.59765625" style="245" customWidth="1"/>
    <col min="7" max="7" width="1.8984375" style="239" customWidth="1"/>
    <col min="8" max="8" width="9.8984375" style="239" customWidth="1"/>
    <col min="9" max="12" width="14" style="245" customWidth="1"/>
    <col min="13" max="13" width="14.59765625" style="245" customWidth="1"/>
    <col min="14" max="14" width="2.19921875" style="239" customWidth="1"/>
    <col min="15" max="15" width="10.296875" style="239" customWidth="1"/>
    <col min="16" max="19" width="14" style="245" customWidth="1"/>
    <col min="20" max="20" width="14.59765625" style="245" customWidth="1"/>
    <col min="21" max="16384" width="8.796875" style="239"/>
  </cols>
  <sheetData>
    <row r="1" spans="1:20" ht="54.75" customHeight="1">
      <c r="A1" s="314" t="s">
        <v>119</v>
      </c>
      <c r="B1" s="314"/>
      <c r="C1" s="314"/>
      <c r="D1" s="314"/>
      <c r="E1" s="314"/>
      <c r="F1" s="314"/>
      <c r="H1" s="314" t="s">
        <v>120</v>
      </c>
      <c r="I1" s="314"/>
      <c r="J1" s="314"/>
      <c r="K1" s="314"/>
      <c r="L1" s="314"/>
      <c r="M1" s="314"/>
      <c r="O1" s="314" t="s">
        <v>121</v>
      </c>
      <c r="P1" s="314"/>
      <c r="Q1" s="314"/>
      <c r="R1" s="314"/>
      <c r="S1" s="314"/>
      <c r="T1" s="314"/>
    </row>
    <row r="2" spans="1:20" ht="48.75" customHeight="1">
      <c r="A2" s="237" t="s">
        <v>118</v>
      </c>
      <c r="B2" s="264" t="s">
        <v>141</v>
      </c>
      <c r="C2" s="237" t="s">
        <v>116</v>
      </c>
      <c r="D2" s="238" t="s">
        <v>76</v>
      </c>
      <c r="E2" s="265" t="s">
        <v>117</v>
      </c>
      <c r="F2" s="264" t="s">
        <v>77</v>
      </c>
      <c r="H2" s="237" t="s">
        <v>118</v>
      </c>
      <c r="I2" s="264" t="s">
        <v>141</v>
      </c>
      <c r="J2" s="237" t="s">
        <v>116</v>
      </c>
      <c r="K2" s="238" t="s">
        <v>76</v>
      </c>
      <c r="L2" s="265" t="s">
        <v>117</v>
      </c>
      <c r="M2" s="264" t="s">
        <v>77</v>
      </c>
      <c r="O2" s="237" t="s">
        <v>118</v>
      </c>
      <c r="P2" s="264" t="s">
        <v>141</v>
      </c>
      <c r="Q2" s="237" t="s">
        <v>116</v>
      </c>
      <c r="R2" s="238" t="s">
        <v>76</v>
      </c>
      <c r="S2" s="265" t="s">
        <v>117</v>
      </c>
      <c r="T2" s="264" t="s">
        <v>77</v>
      </c>
    </row>
    <row r="3" spans="1:20" ht="25.5" customHeight="1">
      <c r="A3" s="251">
        <v>1</v>
      </c>
      <c r="B3" s="240"/>
      <c r="C3" s="240"/>
      <c r="D3" s="287"/>
      <c r="E3" s="241">
        <f>B3-C3</f>
        <v>0</v>
      </c>
      <c r="F3" s="242">
        <f>E3*D3</f>
        <v>0</v>
      </c>
      <c r="H3" s="251">
        <v>1</v>
      </c>
      <c r="I3" s="240"/>
      <c r="J3" s="240"/>
      <c r="K3" s="287"/>
      <c r="L3" s="241">
        <f>I3-J3</f>
        <v>0</v>
      </c>
      <c r="M3" s="242">
        <f>L3*K3</f>
        <v>0</v>
      </c>
      <c r="O3" s="251">
        <v>1</v>
      </c>
      <c r="P3" s="240"/>
      <c r="Q3" s="240"/>
      <c r="R3" s="287"/>
      <c r="S3" s="241">
        <f>P3-Q3</f>
        <v>0</v>
      </c>
      <c r="T3" s="242">
        <f>S3*R3</f>
        <v>0</v>
      </c>
    </row>
    <row r="4" spans="1:20" ht="25.5" customHeight="1">
      <c r="A4" s="251">
        <v>2</v>
      </c>
      <c r="B4" s="240"/>
      <c r="C4" s="240"/>
      <c r="D4" s="287"/>
      <c r="E4" s="241">
        <f t="shared" ref="E4:E32" si="0">B4-C4</f>
        <v>0</v>
      </c>
      <c r="F4" s="242">
        <f t="shared" ref="F4:F32" si="1">E4*D4</f>
        <v>0</v>
      </c>
      <c r="H4" s="251">
        <v>2</v>
      </c>
      <c r="I4" s="240"/>
      <c r="J4" s="240"/>
      <c r="K4" s="287"/>
      <c r="L4" s="241">
        <f t="shared" ref="L4:L32" si="2">I4-J4</f>
        <v>0</v>
      </c>
      <c r="M4" s="242">
        <f t="shared" ref="M4:M32" si="3">L4*K4</f>
        <v>0</v>
      </c>
      <c r="O4" s="251">
        <v>2</v>
      </c>
      <c r="P4" s="240"/>
      <c r="Q4" s="240"/>
      <c r="R4" s="287"/>
      <c r="S4" s="241">
        <f t="shared" ref="S4:S32" si="4">P4-Q4</f>
        <v>0</v>
      </c>
      <c r="T4" s="242">
        <f t="shared" ref="T4:T32" si="5">S4*R4</f>
        <v>0</v>
      </c>
    </row>
    <row r="5" spans="1:20" ht="25.5" customHeight="1">
      <c r="A5" s="251">
        <v>3</v>
      </c>
      <c r="B5" s="240"/>
      <c r="C5" s="240"/>
      <c r="D5" s="287"/>
      <c r="E5" s="241">
        <f t="shared" si="0"/>
        <v>0</v>
      </c>
      <c r="F5" s="242">
        <f t="shared" si="1"/>
        <v>0</v>
      </c>
      <c r="H5" s="251">
        <v>3</v>
      </c>
      <c r="I5" s="240"/>
      <c r="J5" s="240"/>
      <c r="K5" s="287"/>
      <c r="L5" s="241">
        <f t="shared" si="2"/>
        <v>0</v>
      </c>
      <c r="M5" s="242">
        <f t="shared" si="3"/>
        <v>0</v>
      </c>
      <c r="O5" s="251">
        <v>3</v>
      </c>
      <c r="P5" s="240"/>
      <c r="Q5" s="240"/>
      <c r="R5" s="287"/>
      <c r="S5" s="241">
        <f t="shared" si="4"/>
        <v>0</v>
      </c>
      <c r="T5" s="242">
        <f t="shared" si="5"/>
        <v>0</v>
      </c>
    </row>
    <row r="6" spans="1:20" ht="25.5" customHeight="1">
      <c r="A6" s="251">
        <v>4</v>
      </c>
      <c r="B6" s="240"/>
      <c r="C6" s="240"/>
      <c r="D6" s="287"/>
      <c r="E6" s="241">
        <f t="shared" si="0"/>
        <v>0</v>
      </c>
      <c r="F6" s="242">
        <f t="shared" si="1"/>
        <v>0</v>
      </c>
      <c r="H6" s="251">
        <v>4</v>
      </c>
      <c r="I6" s="240"/>
      <c r="J6" s="240"/>
      <c r="K6" s="287"/>
      <c r="L6" s="241">
        <f t="shared" si="2"/>
        <v>0</v>
      </c>
      <c r="M6" s="242">
        <f t="shared" si="3"/>
        <v>0</v>
      </c>
      <c r="O6" s="251">
        <v>4</v>
      </c>
      <c r="P6" s="240"/>
      <c r="Q6" s="240"/>
      <c r="R6" s="287"/>
      <c r="S6" s="241">
        <f t="shared" si="4"/>
        <v>0</v>
      </c>
      <c r="T6" s="242">
        <f t="shared" si="5"/>
        <v>0</v>
      </c>
    </row>
    <row r="7" spans="1:20" ht="25.5" customHeight="1">
      <c r="A7" s="251">
        <v>5</v>
      </c>
      <c r="B7" s="240"/>
      <c r="C7" s="240"/>
      <c r="D7" s="287"/>
      <c r="E7" s="241">
        <f t="shared" si="0"/>
        <v>0</v>
      </c>
      <c r="F7" s="242">
        <f t="shared" si="1"/>
        <v>0</v>
      </c>
      <c r="H7" s="251">
        <v>5</v>
      </c>
      <c r="I7" s="240"/>
      <c r="J7" s="240"/>
      <c r="K7" s="287"/>
      <c r="L7" s="241">
        <f t="shared" si="2"/>
        <v>0</v>
      </c>
      <c r="M7" s="242">
        <f t="shared" si="3"/>
        <v>0</v>
      </c>
      <c r="O7" s="251">
        <v>5</v>
      </c>
      <c r="P7" s="240"/>
      <c r="Q7" s="240"/>
      <c r="R7" s="287"/>
      <c r="S7" s="241">
        <f t="shared" si="4"/>
        <v>0</v>
      </c>
      <c r="T7" s="242">
        <f t="shared" si="5"/>
        <v>0</v>
      </c>
    </row>
    <row r="8" spans="1:20" ht="25.5" customHeight="1">
      <c r="A8" s="251">
        <v>6</v>
      </c>
      <c r="B8" s="240"/>
      <c r="C8" s="240"/>
      <c r="D8" s="287"/>
      <c r="E8" s="241">
        <f t="shared" si="0"/>
        <v>0</v>
      </c>
      <c r="F8" s="242">
        <f t="shared" si="1"/>
        <v>0</v>
      </c>
      <c r="H8" s="251">
        <v>6</v>
      </c>
      <c r="I8" s="240"/>
      <c r="J8" s="240"/>
      <c r="K8" s="287"/>
      <c r="L8" s="241">
        <f t="shared" si="2"/>
        <v>0</v>
      </c>
      <c r="M8" s="242">
        <f t="shared" si="3"/>
        <v>0</v>
      </c>
      <c r="O8" s="251">
        <v>6</v>
      </c>
      <c r="P8" s="240"/>
      <c r="Q8" s="240"/>
      <c r="R8" s="287"/>
      <c r="S8" s="241">
        <f t="shared" si="4"/>
        <v>0</v>
      </c>
      <c r="T8" s="242">
        <f t="shared" si="5"/>
        <v>0</v>
      </c>
    </row>
    <row r="9" spans="1:20" ht="25.5" customHeight="1">
      <c r="A9" s="251">
        <v>7</v>
      </c>
      <c r="B9" s="240"/>
      <c r="C9" s="240"/>
      <c r="D9" s="287"/>
      <c r="E9" s="241">
        <f t="shared" si="0"/>
        <v>0</v>
      </c>
      <c r="F9" s="242">
        <f t="shared" si="1"/>
        <v>0</v>
      </c>
      <c r="H9" s="251">
        <v>7</v>
      </c>
      <c r="I9" s="240"/>
      <c r="J9" s="240"/>
      <c r="K9" s="287"/>
      <c r="L9" s="241">
        <f t="shared" si="2"/>
        <v>0</v>
      </c>
      <c r="M9" s="242">
        <f t="shared" si="3"/>
        <v>0</v>
      </c>
      <c r="O9" s="251">
        <v>7</v>
      </c>
      <c r="P9" s="240"/>
      <c r="Q9" s="240"/>
      <c r="R9" s="287"/>
      <c r="S9" s="241">
        <f t="shared" si="4"/>
        <v>0</v>
      </c>
      <c r="T9" s="242">
        <f t="shared" si="5"/>
        <v>0</v>
      </c>
    </row>
    <row r="10" spans="1:20" ht="25.5" customHeight="1">
      <c r="A10" s="251">
        <v>8</v>
      </c>
      <c r="B10" s="240"/>
      <c r="C10" s="240"/>
      <c r="D10" s="287"/>
      <c r="E10" s="241">
        <f t="shared" si="0"/>
        <v>0</v>
      </c>
      <c r="F10" s="242">
        <f t="shared" si="1"/>
        <v>0</v>
      </c>
      <c r="H10" s="251">
        <v>8</v>
      </c>
      <c r="I10" s="240"/>
      <c r="J10" s="240"/>
      <c r="K10" s="287"/>
      <c r="L10" s="241">
        <f t="shared" si="2"/>
        <v>0</v>
      </c>
      <c r="M10" s="242">
        <f t="shared" si="3"/>
        <v>0</v>
      </c>
      <c r="O10" s="251">
        <v>8</v>
      </c>
      <c r="P10" s="240"/>
      <c r="Q10" s="240"/>
      <c r="R10" s="287"/>
      <c r="S10" s="241">
        <f t="shared" si="4"/>
        <v>0</v>
      </c>
      <c r="T10" s="242">
        <f t="shared" si="5"/>
        <v>0</v>
      </c>
    </row>
    <row r="11" spans="1:20" ht="25.5" customHeight="1">
      <c r="A11" s="251">
        <v>9</v>
      </c>
      <c r="B11" s="240"/>
      <c r="C11" s="240"/>
      <c r="D11" s="287"/>
      <c r="E11" s="241">
        <f t="shared" si="0"/>
        <v>0</v>
      </c>
      <c r="F11" s="242">
        <f t="shared" si="1"/>
        <v>0</v>
      </c>
      <c r="H11" s="251">
        <v>9</v>
      </c>
      <c r="I11" s="240"/>
      <c r="J11" s="240"/>
      <c r="K11" s="287"/>
      <c r="L11" s="241">
        <f t="shared" si="2"/>
        <v>0</v>
      </c>
      <c r="M11" s="242">
        <f t="shared" si="3"/>
        <v>0</v>
      </c>
      <c r="O11" s="251">
        <v>9</v>
      </c>
      <c r="P11" s="240"/>
      <c r="Q11" s="240"/>
      <c r="R11" s="287"/>
      <c r="S11" s="241">
        <f t="shared" si="4"/>
        <v>0</v>
      </c>
      <c r="T11" s="242">
        <f t="shared" si="5"/>
        <v>0</v>
      </c>
    </row>
    <row r="12" spans="1:20" ht="25.5" customHeight="1">
      <c r="A12" s="251">
        <v>10</v>
      </c>
      <c r="B12" s="240"/>
      <c r="C12" s="240"/>
      <c r="D12" s="287"/>
      <c r="E12" s="241">
        <f t="shared" si="0"/>
        <v>0</v>
      </c>
      <c r="F12" s="242">
        <f t="shared" si="1"/>
        <v>0</v>
      </c>
      <c r="H12" s="251">
        <v>10</v>
      </c>
      <c r="I12" s="240"/>
      <c r="J12" s="240"/>
      <c r="K12" s="287"/>
      <c r="L12" s="241">
        <f t="shared" si="2"/>
        <v>0</v>
      </c>
      <c r="M12" s="242">
        <f t="shared" si="3"/>
        <v>0</v>
      </c>
      <c r="O12" s="251">
        <v>10</v>
      </c>
      <c r="P12" s="240"/>
      <c r="Q12" s="240"/>
      <c r="R12" s="287"/>
      <c r="S12" s="241">
        <f t="shared" si="4"/>
        <v>0</v>
      </c>
      <c r="T12" s="242">
        <f t="shared" si="5"/>
        <v>0</v>
      </c>
    </row>
    <row r="13" spans="1:20" ht="25.5" customHeight="1">
      <c r="A13" s="251">
        <v>11</v>
      </c>
      <c r="B13" s="240"/>
      <c r="C13" s="240"/>
      <c r="D13" s="287"/>
      <c r="E13" s="241">
        <f t="shared" si="0"/>
        <v>0</v>
      </c>
      <c r="F13" s="242">
        <f t="shared" si="1"/>
        <v>0</v>
      </c>
      <c r="H13" s="251">
        <v>11</v>
      </c>
      <c r="I13" s="240"/>
      <c r="J13" s="240"/>
      <c r="K13" s="287"/>
      <c r="L13" s="241">
        <f t="shared" si="2"/>
        <v>0</v>
      </c>
      <c r="M13" s="242">
        <f t="shared" si="3"/>
        <v>0</v>
      </c>
      <c r="O13" s="251">
        <v>11</v>
      </c>
      <c r="P13" s="240"/>
      <c r="Q13" s="240"/>
      <c r="R13" s="287"/>
      <c r="S13" s="241">
        <f t="shared" si="4"/>
        <v>0</v>
      </c>
      <c r="T13" s="242">
        <f t="shared" si="5"/>
        <v>0</v>
      </c>
    </row>
    <row r="14" spans="1:20" ht="25.5" customHeight="1">
      <c r="A14" s="251">
        <v>12</v>
      </c>
      <c r="B14" s="240"/>
      <c r="C14" s="240"/>
      <c r="D14" s="287"/>
      <c r="E14" s="241">
        <f t="shared" si="0"/>
        <v>0</v>
      </c>
      <c r="F14" s="242">
        <f t="shared" si="1"/>
        <v>0</v>
      </c>
      <c r="H14" s="251">
        <v>12</v>
      </c>
      <c r="I14" s="240"/>
      <c r="J14" s="240"/>
      <c r="K14" s="287"/>
      <c r="L14" s="241">
        <f t="shared" si="2"/>
        <v>0</v>
      </c>
      <c r="M14" s="242">
        <f t="shared" si="3"/>
        <v>0</v>
      </c>
      <c r="O14" s="251">
        <v>12</v>
      </c>
      <c r="P14" s="240"/>
      <c r="Q14" s="240"/>
      <c r="R14" s="287"/>
      <c r="S14" s="241">
        <f t="shared" si="4"/>
        <v>0</v>
      </c>
      <c r="T14" s="242">
        <f t="shared" si="5"/>
        <v>0</v>
      </c>
    </row>
    <row r="15" spans="1:20" ht="25.5" customHeight="1">
      <c r="A15" s="251">
        <v>13</v>
      </c>
      <c r="B15" s="240"/>
      <c r="C15" s="240"/>
      <c r="D15" s="287"/>
      <c r="E15" s="241">
        <f t="shared" si="0"/>
        <v>0</v>
      </c>
      <c r="F15" s="242">
        <f t="shared" si="1"/>
        <v>0</v>
      </c>
      <c r="H15" s="251">
        <v>13</v>
      </c>
      <c r="I15" s="240"/>
      <c r="J15" s="240"/>
      <c r="K15" s="287"/>
      <c r="L15" s="241">
        <f t="shared" si="2"/>
        <v>0</v>
      </c>
      <c r="M15" s="242">
        <f t="shared" si="3"/>
        <v>0</v>
      </c>
      <c r="O15" s="251">
        <v>13</v>
      </c>
      <c r="P15" s="240"/>
      <c r="Q15" s="240"/>
      <c r="R15" s="287"/>
      <c r="S15" s="241">
        <f t="shared" si="4"/>
        <v>0</v>
      </c>
      <c r="T15" s="242">
        <f t="shared" si="5"/>
        <v>0</v>
      </c>
    </row>
    <row r="16" spans="1:20" ht="25.5" customHeight="1">
      <c r="A16" s="251">
        <v>14</v>
      </c>
      <c r="B16" s="240"/>
      <c r="C16" s="240"/>
      <c r="D16" s="287"/>
      <c r="E16" s="241">
        <f t="shared" si="0"/>
        <v>0</v>
      </c>
      <c r="F16" s="242">
        <f t="shared" si="1"/>
        <v>0</v>
      </c>
      <c r="H16" s="251">
        <v>14</v>
      </c>
      <c r="I16" s="240"/>
      <c r="J16" s="240"/>
      <c r="K16" s="287"/>
      <c r="L16" s="241">
        <f t="shared" si="2"/>
        <v>0</v>
      </c>
      <c r="M16" s="242">
        <f t="shared" si="3"/>
        <v>0</v>
      </c>
      <c r="O16" s="251">
        <v>14</v>
      </c>
      <c r="P16" s="240"/>
      <c r="Q16" s="240"/>
      <c r="R16" s="287"/>
      <c r="S16" s="241">
        <f t="shared" si="4"/>
        <v>0</v>
      </c>
      <c r="T16" s="242">
        <f t="shared" si="5"/>
        <v>0</v>
      </c>
    </row>
    <row r="17" spans="1:20" ht="25.5" customHeight="1">
      <c r="A17" s="251">
        <v>15</v>
      </c>
      <c r="B17" s="240"/>
      <c r="C17" s="240"/>
      <c r="D17" s="287"/>
      <c r="E17" s="241">
        <f t="shared" si="0"/>
        <v>0</v>
      </c>
      <c r="F17" s="242">
        <f t="shared" si="1"/>
        <v>0</v>
      </c>
      <c r="H17" s="251">
        <v>15</v>
      </c>
      <c r="I17" s="240"/>
      <c r="J17" s="240"/>
      <c r="K17" s="287"/>
      <c r="L17" s="241">
        <f t="shared" si="2"/>
        <v>0</v>
      </c>
      <c r="M17" s="242">
        <f t="shared" si="3"/>
        <v>0</v>
      </c>
      <c r="O17" s="251">
        <v>15</v>
      </c>
      <c r="P17" s="240"/>
      <c r="Q17" s="240"/>
      <c r="R17" s="287"/>
      <c r="S17" s="241">
        <f t="shared" si="4"/>
        <v>0</v>
      </c>
      <c r="T17" s="242">
        <f t="shared" si="5"/>
        <v>0</v>
      </c>
    </row>
    <row r="18" spans="1:20" ht="25.5" customHeight="1">
      <c r="A18" s="251">
        <v>16</v>
      </c>
      <c r="B18" s="240"/>
      <c r="C18" s="240"/>
      <c r="D18" s="287"/>
      <c r="E18" s="241">
        <f t="shared" si="0"/>
        <v>0</v>
      </c>
      <c r="F18" s="242">
        <f t="shared" si="1"/>
        <v>0</v>
      </c>
      <c r="H18" s="251">
        <v>16</v>
      </c>
      <c r="I18" s="240"/>
      <c r="J18" s="240"/>
      <c r="K18" s="287"/>
      <c r="L18" s="241">
        <f t="shared" si="2"/>
        <v>0</v>
      </c>
      <c r="M18" s="242">
        <f t="shared" si="3"/>
        <v>0</v>
      </c>
      <c r="O18" s="251">
        <v>16</v>
      </c>
      <c r="P18" s="240"/>
      <c r="Q18" s="240"/>
      <c r="R18" s="287"/>
      <c r="S18" s="241">
        <f t="shared" si="4"/>
        <v>0</v>
      </c>
      <c r="T18" s="242">
        <f t="shared" si="5"/>
        <v>0</v>
      </c>
    </row>
    <row r="19" spans="1:20" ht="25.5" customHeight="1">
      <c r="A19" s="251">
        <v>17</v>
      </c>
      <c r="B19" s="240"/>
      <c r="C19" s="240"/>
      <c r="D19" s="287"/>
      <c r="E19" s="241">
        <f t="shared" si="0"/>
        <v>0</v>
      </c>
      <c r="F19" s="242">
        <f t="shared" si="1"/>
        <v>0</v>
      </c>
      <c r="H19" s="251">
        <v>17</v>
      </c>
      <c r="I19" s="240"/>
      <c r="J19" s="240"/>
      <c r="K19" s="287"/>
      <c r="L19" s="241">
        <f t="shared" si="2"/>
        <v>0</v>
      </c>
      <c r="M19" s="242">
        <f t="shared" si="3"/>
        <v>0</v>
      </c>
      <c r="O19" s="251">
        <v>17</v>
      </c>
      <c r="P19" s="240"/>
      <c r="Q19" s="240"/>
      <c r="R19" s="287"/>
      <c r="S19" s="241">
        <f t="shared" si="4"/>
        <v>0</v>
      </c>
      <c r="T19" s="242">
        <f t="shared" si="5"/>
        <v>0</v>
      </c>
    </row>
    <row r="20" spans="1:20" ht="25.5" customHeight="1">
      <c r="A20" s="251">
        <v>18</v>
      </c>
      <c r="B20" s="240"/>
      <c r="C20" s="240"/>
      <c r="D20" s="287"/>
      <c r="E20" s="241">
        <f t="shared" si="0"/>
        <v>0</v>
      </c>
      <c r="F20" s="242">
        <f t="shared" si="1"/>
        <v>0</v>
      </c>
      <c r="G20" s="239" t="s">
        <v>97</v>
      </c>
      <c r="H20" s="251">
        <v>18</v>
      </c>
      <c r="I20" s="240"/>
      <c r="J20" s="240"/>
      <c r="K20" s="287"/>
      <c r="L20" s="241">
        <f t="shared" si="2"/>
        <v>0</v>
      </c>
      <c r="M20" s="242">
        <f t="shared" si="3"/>
        <v>0</v>
      </c>
      <c r="O20" s="251">
        <v>18</v>
      </c>
      <c r="P20" s="240"/>
      <c r="Q20" s="240"/>
      <c r="R20" s="287"/>
      <c r="S20" s="241">
        <f t="shared" si="4"/>
        <v>0</v>
      </c>
      <c r="T20" s="242">
        <f t="shared" si="5"/>
        <v>0</v>
      </c>
    </row>
    <row r="21" spans="1:20" ht="25.5" customHeight="1">
      <c r="A21" s="251">
        <v>19</v>
      </c>
      <c r="B21" s="240"/>
      <c r="C21" s="240"/>
      <c r="D21" s="287"/>
      <c r="E21" s="241">
        <f t="shared" si="0"/>
        <v>0</v>
      </c>
      <c r="F21" s="242">
        <f t="shared" si="1"/>
        <v>0</v>
      </c>
      <c r="H21" s="251">
        <v>19</v>
      </c>
      <c r="I21" s="240"/>
      <c r="J21" s="240"/>
      <c r="K21" s="287"/>
      <c r="L21" s="241">
        <f t="shared" si="2"/>
        <v>0</v>
      </c>
      <c r="M21" s="242">
        <f t="shared" si="3"/>
        <v>0</v>
      </c>
      <c r="O21" s="251">
        <v>19</v>
      </c>
      <c r="P21" s="240"/>
      <c r="Q21" s="240"/>
      <c r="R21" s="287"/>
      <c r="S21" s="241">
        <f t="shared" si="4"/>
        <v>0</v>
      </c>
      <c r="T21" s="242">
        <f t="shared" si="5"/>
        <v>0</v>
      </c>
    </row>
    <row r="22" spans="1:20" ht="25.5" customHeight="1">
      <c r="A22" s="251">
        <v>20</v>
      </c>
      <c r="B22" s="240"/>
      <c r="C22" s="240"/>
      <c r="D22" s="287"/>
      <c r="E22" s="241">
        <f t="shared" si="0"/>
        <v>0</v>
      </c>
      <c r="F22" s="242">
        <f t="shared" si="1"/>
        <v>0</v>
      </c>
      <c r="H22" s="251">
        <v>20</v>
      </c>
      <c r="I22" s="240"/>
      <c r="J22" s="240"/>
      <c r="K22" s="287"/>
      <c r="L22" s="241">
        <f t="shared" si="2"/>
        <v>0</v>
      </c>
      <c r="M22" s="242">
        <f t="shared" si="3"/>
        <v>0</v>
      </c>
      <c r="O22" s="251">
        <v>20</v>
      </c>
      <c r="P22" s="240"/>
      <c r="Q22" s="240"/>
      <c r="R22" s="287"/>
      <c r="S22" s="241">
        <f t="shared" si="4"/>
        <v>0</v>
      </c>
      <c r="T22" s="242">
        <f t="shared" si="5"/>
        <v>0</v>
      </c>
    </row>
    <row r="23" spans="1:20" ht="25.5" customHeight="1">
      <c r="A23" s="251">
        <v>21</v>
      </c>
      <c r="B23" s="240"/>
      <c r="C23" s="240"/>
      <c r="D23" s="287"/>
      <c r="E23" s="241">
        <f t="shared" si="0"/>
        <v>0</v>
      </c>
      <c r="F23" s="242">
        <f t="shared" si="1"/>
        <v>0</v>
      </c>
      <c r="H23" s="251">
        <v>21</v>
      </c>
      <c r="I23" s="240"/>
      <c r="J23" s="240"/>
      <c r="K23" s="287"/>
      <c r="L23" s="241">
        <f t="shared" si="2"/>
        <v>0</v>
      </c>
      <c r="M23" s="242">
        <f t="shared" si="3"/>
        <v>0</v>
      </c>
      <c r="O23" s="251">
        <v>21</v>
      </c>
      <c r="P23" s="240"/>
      <c r="Q23" s="240"/>
      <c r="R23" s="287"/>
      <c r="S23" s="241">
        <f t="shared" si="4"/>
        <v>0</v>
      </c>
      <c r="T23" s="242">
        <f t="shared" si="5"/>
        <v>0</v>
      </c>
    </row>
    <row r="24" spans="1:20" ht="25.5" customHeight="1">
      <c r="A24" s="251">
        <v>22</v>
      </c>
      <c r="B24" s="240"/>
      <c r="C24" s="240"/>
      <c r="D24" s="287"/>
      <c r="E24" s="241">
        <f t="shared" si="0"/>
        <v>0</v>
      </c>
      <c r="F24" s="242">
        <f t="shared" si="1"/>
        <v>0</v>
      </c>
      <c r="H24" s="251">
        <v>22</v>
      </c>
      <c r="I24" s="240"/>
      <c r="J24" s="240"/>
      <c r="K24" s="287"/>
      <c r="L24" s="241">
        <f t="shared" si="2"/>
        <v>0</v>
      </c>
      <c r="M24" s="242">
        <f t="shared" si="3"/>
        <v>0</v>
      </c>
      <c r="O24" s="251">
        <v>22</v>
      </c>
      <c r="P24" s="240"/>
      <c r="Q24" s="240"/>
      <c r="R24" s="287"/>
      <c r="S24" s="241">
        <f t="shared" si="4"/>
        <v>0</v>
      </c>
      <c r="T24" s="242">
        <f t="shared" si="5"/>
        <v>0</v>
      </c>
    </row>
    <row r="25" spans="1:20" ht="25.5" customHeight="1">
      <c r="A25" s="251">
        <v>23</v>
      </c>
      <c r="B25" s="240"/>
      <c r="C25" s="240"/>
      <c r="D25" s="287"/>
      <c r="E25" s="241">
        <f t="shared" si="0"/>
        <v>0</v>
      </c>
      <c r="F25" s="242">
        <f t="shared" si="1"/>
        <v>0</v>
      </c>
      <c r="H25" s="251">
        <v>23</v>
      </c>
      <c r="I25" s="240"/>
      <c r="J25" s="240"/>
      <c r="K25" s="287"/>
      <c r="L25" s="241">
        <f t="shared" si="2"/>
        <v>0</v>
      </c>
      <c r="M25" s="242">
        <f t="shared" si="3"/>
        <v>0</v>
      </c>
      <c r="O25" s="251">
        <v>23</v>
      </c>
      <c r="P25" s="240"/>
      <c r="Q25" s="240"/>
      <c r="R25" s="287"/>
      <c r="S25" s="241">
        <f t="shared" si="4"/>
        <v>0</v>
      </c>
      <c r="T25" s="242">
        <f t="shared" si="5"/>
        <v>0</v>
      </c>
    </row>
    <row r="26" spans="1:20" ht="25.5" customHeight="1">
      <c r="A26" s="251">
        <v>24</v>
      </c>
      <c r="B26" s="240"/>
      <c r="C26" s="240"/>
      <c r="D26" s="287"/>
      <c r="E26" s="241">
        <f t="shared" si="0"/>
        <v>0</v>
      </c>
      <c r="F26" s="242">
        <f t="shared" si="1"/>
        <v>0</v>
      </c>
      <c r="H26" s="251">
        <v>24</v>
      </c>
      <c r="I26" s="240"/>
      <c r="J26" s="240"/>
      <c r="K26" s="287"/>
      <c r="L26" s="241">
        <f t="shared" si="2"/>
        <v>0</v>
      </c>
      <c r="M26" s="242">
        <f t="shared" si="3"/>
        <v>0</v>
      </c>
      <c r="O26" s="251">
        <v>24</v>
      </c>
      <c r="P26" s="240"/>
      <c r="Q26" s="240"/>
      <c r="R26" s="287"/>
      <c r="S26" s="241">
        <f t="shared" si="4"/>
        <v>0</v>
      </c>
      <c r="T26" s="242">
        <f t="shared" si="5"/>
        <v>0</v>
      </c>
    </row>
    <row r="27" spans="1:20" ht="25.5" customHeight="1">
      <c r="A27" s="251">
        <v>25</v>
      </c>
      <c r="B27" s="240"/>
      <c r="C27" s="240"/>
      <c r="D27" s="287"/>
      <c r="E27" s="241">
        <f t="shared" si="0"/>
        <v>0</v>
      </c>
      <c r="F27" s="242">
        <f t="shared" si="1"/>
        <v>0</v>
      </c>
      <c r="H27" s="251">
        <v>25</v>
      </c>
      <c r="I27" s="240"/>
      <c r="J27" s="240"/>
      <c r="K27" s="287"/>
      <c r="L27" s="241">
        <f t="shared" si="2"/>
        <v>0</v>
      </c>
      <c r="M27" s="242">
        <f t="shared" si="3"/>
        <v>0</v>
      </c>
      <c r="O27" s="251">
        <v>25</v>
      </c>
      <c r="P27" s="240"/>
      <c r="Q27" s="240"/>
      <c r="R27" s="287"/>
      <c r="S27" s="241">
        <f t="shared" si="4"/>
        <v>0</v>
      </c>
      <c r="T27" s="242">
        <f t="shared" si="5"/>
        <v>0</v>
      </c>
    </row>
    <row r="28" spans="1:20" ht="25.5" customHeight="1">
      <c r="A28" s="251">
        <v>26</v>
      </c>
      <c r="B28" s="240"/>
      <c r="C28" s="240"/>
      <c r="D28" s="287"/>
      <c r="E28" s="241">
        <f t="shared" si="0"/>
        <v>0</v>
      </c>
      <c r="F28" s="242">
        <f t="shared" si="1"/>
        <v>0</v>
      </c>
      <c r="H28" s="251">
        <v>26</v>
      </c>
      <c r="I28" s="240"/>
      <c r="J28" s="240"/>
      <c r="K28" s="287"/>
      <c r="L28" s="241">
        <f t="shared" si="2"/>
        <v>0</v>
      </c>
      <c r="M28" s="242">
        <f t="shared" si="3"/>
        <v>0</v>
      </c>
      <c r="O28" s="251">
        <v>26</v>
      </c>
      <c r="P28" s="240"/>
      <c r="Q28" s="240"/>
      <c r="R28" s="287"/>
      <c r="S28" s="241">
        <f t="shared" si="4"/>
        <v>0</v>
      </c>
      <c r="T28" s="242">
        <f t="shared" si="5"/>
        <v>0</v>
      </c>
    </row>
    <row r="29" spans="1:20" ht="25.5" customHeight="1">
      <c r="A29" s="251">
        <v>27</v>
      </c>
      <c r="B29" s="240"/>
      <c r="C29" s="240"/>
      <c r="D29" s="287"/>
      <c r="E29" s="241">
        <f t="shared" si="0"/>
        <v>0</v>
      </c>
      <c r="F29" s="242">
        <f t="shared" si="1"/>
        <v>0</v>
      </c>
      <c r="H29" s="251">
        <v>27</v>
      </c>
      <c r="I29" s="240"/>
      <c r="J29" s="240"/>
      <c r="K29" s="287"/>
      <c r="L29" s="241">
        <f t="shared" si="2"/>
        <v>0</v>
      </c>
      <c r="M29" s="242">
        <f t="shared" si="3"/>
        <v>0</v>
      </c>
      <c r="O29" s="251">
        <v>27</v>
      </c>
      <c r="P29" s="240"/>
      <c r="Q29" s="240"/>
      <c r="R29" s="287"/>
      <c r="S29" s="241">
        <f t="shared" si="4"/>
        <v>0</v>
      </c>
      <c r="T29" s="242">
        <f t="shared" si="5"/>
        <v>0</v>
      </c>
    </row>
    <row r="30" spans="1:20" ht="25.5" customHeight="1">
      <c r="A30" s="251">
        <v>28</v>
      </c>
      <c r="B30" s="240"/>
      <c r="C30" s="240"/>
      <c r="D30" s="287"/>
      <c r="E30" s="241">
        <f t="shared" si="0"/>
        <v>0</v>
      </c>
      <c r="F30" s="242">
        <f t="shared" si="1"/>
        <v>0</v>
      </c>
      <c r="H30" s="251">
        <v>28</v>
      </c>
      <c r="I30" s="240"/>
      <c r="J30" s="240"/>
      <c r="K30" s="287"/>
      <c r="L30" s="241">
        <f t="shared" si="2"/>
        <v>0</v>
      </c>
      <c r="M30" s="242">
        <f t="shared" si="3"/>
        <v>0</v>
      </c>
      <c r="O30" s="251">
        <v>28</v>
      </c>
      <c r="P30" s="240"/>
      <c r="Q30" s="240"/>
      <c r="R30" s="287"/>
      <c r="S30" s="241">
        <f t="shared" si="4"/>
        <v>0</v>
      </c>
      <c r="T30" s="242">
        <f t="shared" si="5"/>
        <v>0</v>
      </c>
    </row>
    <row r="31" spans="1:20" ht="25.5" customHeight="1">
      <c r="A31" s="251">
        <v>29</v>
      </c>
      <c r="B31" s="240"/>
      <c r="C31" s="240"/>
      <c r="D31" s="287"/>
      <c r="E31" s="241">
        <f t="shared" si="0"/>
        <v>0</v>
      </c>
      <c r="F31" s="242">
        <f t="shared" si="1"/>
        <v>0</v>
      </c>
      <c r="H31" s="251">
        <v>29</v>
      </c>
      <c r="I31" s="240"/>
      <c r="J31" s="240"/>
      <c r="K31" s="287"/>
      <c r="L31" s="241">
        <f t="shared" si="2"/>
        <v>0</v>
      </c>
      <c r="M31" s="242">
        <f t="shared" si="3"/>
        <v>0</v>
      </c>
      <c r="O31" s="251">
        <v>29</v>
      </c>
      <c r="P31" s="240"/>
      <c r="Q31" s="240"/>
      <c r="R31" s="287"/>
      <c r="S31" s="241">
        <f t="shared" si="4"/>
        <v>0</v>
      </c>
      <c r="T31" s="242">
        <f t="shared" si="5"/>
        <v>0</v>
      </c>
    </row>
    <row r="32" spans="1:20" ht="25.5" customHeight="1">
      <c r="A32" s="251">
        <v>30</v>
      </c>
      <c r="B32" s="240"/>
      <c r="C32" s="240"/>
      <c r="D32" s="287"/>
      <c r="E32" s="241">
        <f t="shared" si="0"/>
        <v>0</v>
      </c>
      <c r="F32" s="242">
        <f t="shared" si="1"/>
        <v>0</v>
      </c>
      <c r="H32" s="251">
        <v>30</v>
      </c>
      <c r="I32" s="240"/>
      <c r="J32" s="240"/>
      <c r="K32" s="287"/>
      <c r="L32" s="241">
        <f t="shared" si="2"/>
        <v>0</v>
      </c>
      <c r="M32" s="242">
        <f t="shared" si="3"/>
        <v>0</v>
      </c>
      <c r="O32" s="251">
        <v>30</v>
      </c>
      <c r="P32" s="240"/>
      <c r="Q32" s="240"/>
      <c r="R32" s="287"/>
      <c r="S32" s="241">
        <f t="shared" si="4"/>
        <v>0</v>
      </c>
      <c r="T32" s="242">
        <f t="shared" si="5"/>
        <v>0</v>
      </c>
    </row>
    <row r="33" spans="1:20" ht="25.5" customHeight="1">
      <c r="A33" s="243"/>
      <c r="B33" s="243">
        <f>SUM(B3:B32)</f>
        <v>0</v>
      </c>
      <c r="C33" s="243">
        <f>SUM(C3:C32)</f>
        <v>0</v>
      </c>
      <c r="D33" s="288" t="e">
        <f>F33/E33</f>
        <v>#DIV/0!</v>
      </c>
      <c r="E33" s="246">
        <f>SUM(E3:E32)</f>
        <v>0</v>
      </c>
      <c r="F33" s="244">
        <f>SUM(F3:F32)</f>
        <v>0</v>
      </c>
      <c r="H33" s="243"/>
      <c r="I33" s="243">
        <f>SUM(I3:I32)</f>
        <v>0</v>
      </c>
      <c r="J33" s="243">
        <f>SUM(J3:J32)</f>
        <v>0</v>
      </c>
      <c r="K33" s="288" t="e">
        <f>M33/L33</f>
        <v>#DIV/0!</v>
      </c>
      <c r="L33" s="246">
        <f>SUM(L3:L32)</f>
        <v>0</v>
      </c>
      <c r="M33" s="244">
        <f>SUM(M3:M32)</f>
        <v>0</v>
      </c>
      <c r="O33" s="243"/>
      <c r="P33" s="243">
        <f>SUM(P3:P32)</f>
        <v>0</v>
      </c>
      <c r="Q33" s="243">
        <f>SUM(Q3:Q32)</f>
        <v>0</v>
      </c>
      <c r="R33" s="288" t="e">
        <f>T33/S33</f>
        <v>#DIV/0!</v>
      </c>
      <c r="S33" s="246">
        <f>SUM(S3:S32)</f>
        <v>0</v>
      </c>
      <c r="T33" s="244">
        <f>SUM(T3:T32)</f>
        <v>0</v>
      </c>
    </row>
    <row r="37" spans="1:20" ht="18.75" thickBot="1"/>
    <row r="38" spans="1:20" ht="42" customHeight="1" thickBot="1">
      <c r="B38" s="317" t="s">
        <v>129</v>
      </c>
      <c r="C38" s="318"/>
      <c r="D38" s="318"/>
      <c r="E38" s="318"/>
      <c r="F38" s="319"/>
    </row>
    <row r="39" spans="1:20" ht="51.75" customHeight="1">
      <c r="B39" s="268"/>
      <c r="C39" s="269" t="s">
        <v>125</v>
      </c>
      <c r="D39" s="269" t="s">
        <v>77</v>
      </c>
      <c r="E39" s="269" t="s">
        <v>117</v>
      </c>
      <c r="F39" s="270" t="s">
        <v>76</v>
      </c>
    </row>
    <row r="40" spans="1:20" ht="42.75" customHeight="1">
      <c r="B40" s="315" t="s">
        <v>127</v>
      </c>
      <c r="C40" s="266" t="s">
        <v>119</v>
      </c>
      <c r="D40" s="267">
        <f>F33</f>
        <v>0</v>
      </c>
      <c r="E40" s="266">
        <f>E33</f>
        <v>0</v>
      </c>
      <c r="F40" s="271" t="e">
        <f>D40/E40</f>
        <v>#DIV/0!</v>
      </c>
    </row>
    <row r="41" spans="1:20" ht="42.75" customHeight="1">
      <c r="B41" s="315"/>
      <c r="C41" s="266" t="s">
        <v>120</v>
      </c>
      <c r="D41" s="267">
        <f>M33</f>
        <v>0</v>
      </c>
      <c r="E41" s="266">
        <f>L33</f>
        <v>0</v>
      </c>
      <c r="F41" s="271" t="e">
        <f>D41/E41</f>
        <v>#DIV/0!</v>
      </c>
    </row>
    <row r="42" spans="1:20" ht="42.75" customHeight="1" thickBot="1">
      <c r="B42" s="316"/>
      <c r="C42" s="272" t="s">
        <v>121</v>
      </c>
      <c r="D42" s="273">
        <f>T33</f>
        <v>0</v>
      </c>
      <c r="E42" s="272">
        <f>S33</f>
        <v>0</v>
      </c>
      <c r="F42" s="274" t="e">
        <f>D42/E42</f>
        <v>#DIV/0!</v>
      </c>
    </row>
    <row r="43" spans="1:20" ht="45.75" customHeight="1" thickBot="1">
      <c r="B43" s="275" t="s">
        <v>128</v>
      </c>
      <c r="C43" s="276" t="s">
        <v>126</v>
      </c>
      <c r="D43" s="277">
        <f>SUM(D40:D42)</f>
        <v>0</v>
      </c>
      <c r="E43" s="277">
        <f>SUM(E40:E42)</f>
        <v>0</v>
      </c>
      <c r="F43" s="278" t="e">
        <f>D43/E43</f>
        <v>#DIV/0!</v>
      </c>
    </row>
  </sheetData>
  <mergeCells count="5">
    <mergeCell ref="A1:F1"/>
    <mergeCell ref="H1:M1"/>
    <mergeCell ref="O1:T1"/>
    <mergeCell ref="B40:B42"/>
    <mergeCell ref="B38:F38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7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Graphs</vt:lpstr>
      <vt:lpstr>Data</vt:lpstr>
      <vt:lpstr>Sheet2</vt:lpstr>
      <vt:lpstr>MONTHLY REPORT SHIFT WISE</vt:lpstr>
      <vt:lpstr>Sheet 1</vt:lpstr>
      <vt:lpstr>shift wise graph</vt:lpstr>
      <vt:lpstr>Data!Print_Area</vt:lpstr>
      <vt:lpstr>'MONTHLY REPORT SHIFT WISE'!Print_Area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divya.b</dc:creator>
  <cp:lastModifiedBy>Bharathi K, Dhivya</cp:lastModifiedBy>
  <cp:lastPrinted>2013-07-15T07:02:31Z</cp:lastPrinted>
  <dcterms:created xsi:type="dcterms:W3CDTF">2000-03-01T21:19:33Z</dcterms:created>
  <dcterms:modified xsi:type="dcterms:W3CDTF">2020-09-12T12:03:26Z</dcterms:modified>
</cp:coreProperties>
</file>