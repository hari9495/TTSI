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6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7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SQ\SQ\"/>
    </mc:Choice>
  </mc:AlternateContent>
  <xr:revisionPtr revIDLastSave="0" documentId="13_ncr:1_{2A4B62AA-6047-4D6F-B571-FE03714E9060}" xr6:coauthVersionLast="44" xr6:coauthVersionMax="44" xr10:uidLastSave="{00000000-0000-0000-0000-000000000000}"/>
  <bookViews>
    <workbookView xWindow="-120" yWindow="-120" windowWidth="20730" windowHeight="11160" tabRatio="822" firstSheet="6" activeTab="8" xr2:uid="{00000000-000D-0000-FFFF-FFFF00000000}"/>
  </bookViews>
  <sheets>
    <sheet name="SQ (Total)Graph" sheetId="22" r:id="rId1"/>
    <sheet name="SQ(Total) Data" sheetId="29" r:id="rId2"/>
    <sheet name="SQ(Team A)Graph" sheetId="23" r:id="rId3"/>
    <sheet name="SQ (Team B)Graph" sheetId="24" r:id="rId4"/>
    <sheet name="SQ(Team C)Graph" sheetId="25" r:id="rId5"/>
    <sheet name="SQ(Team A) Data" sheetId="26" r:id="rId6"/>
    <sheet name="SQ(Team B ) Data" sheetId="27" r:id="rId7"/>
    <sheet name="SQ (Team C) Data" sheetId="28" r:id="rId8"/>
    <sheet name="SQ-1" sheetId="6" r:id="rId9"/>
    <sheet name="SQ-2" sheetId="7" r:id="rId10"/>
    <sheet name="SQ-3" sheetId="5" r:id="rId11"/>
    <sheet name="SQ-4" sheetId="8" r:id="rId12"/>
    <sheet name="SQ-5" sheetId="9" r:id="rId13"/>
    <sheet name="SQ-6" sheetId="10" r:id="rId14"/>
    <sheet name="SQ-7" sheetId="11" r:id="rId15"/>
    <sheet name="SQ-8" sheetId="12" r:id="rId16"/>
    <sheet name="SQ-9" sheetId="13" r:id="rId17"/>
    <sheet name="TOTAL SQ" sheetId="16" r:id="rId18"/>
    <sheet name="TEAM WISE GRAPH" sheetId="32" r:id="rId19"/>
    <sheet name="GRAPH SQ MC WISE" sheetId="15" r:id="rId20"/>
    <sheet name="graph sq machines" sheetId="21" state="hidden" r:id="rId21"/>
    <sheet name="GRAPH" sheetId="33" state="hidden" r:id="rId22"/>
  </sheets>
  <externalReferences>
    <externalReference r:id="rId23"/>
    <externalReference r:id="rId24"/>
    <externalReference r:id="rId25"/>
  </externalReferences>
  <definedNames>
    <definedName name="_xlnm.Print_Area" localSheetId="7">'SQ (Team C) Data'!$B$43:$K$58</definedName>
    <definedName name="_xlnm.Print_Area" localSheetId="5">'SQ(Team A) Data'!$B$44:$K$60</definedName>
    <definedName name="_xlnm.Print_Area" localSheetId="6">'SQ(Team B ) Data'!$B$43:$K$59</definedName>
    <definedName name="_xlnm.Print_Area" localSheetId="1">'SQ(Total) Data'!$B$43:$K$58</definedName>
    <definedName name="_xlnm.Print_Titles" localSheetId="3">'SQ (Team B)Graph'!#REF!</definedName>
    <definedName name="_xlnm.Print_Titles" localSheetId="0">'SQ (Total)Graph'!#REF!</definedName>
    <definedName name="_xlnm.Print_Titles" localSheetId="2">'SQ(Team A)Graph'!#REF!</definedName>
    <definedName name="_xlnm.Print_Titles" localSheetId="4">'SQ(Team C)Graph'!#REF!</definedName>
    <definedName name="SA" localSheetId="6">#REF!</definedName>
    <definedName name="SA" localSheetId="4">#REF!</definedName>
    <definedName name="SA">#REF!</definedName>
    <definedName name="品番" localSheetId="6">#REF!</definedName>
    <definedName name="品番" localSheetId="4">#REF!</definedName>
    <definedName name="品番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70" i="32" l="1"/>
  <c r="AE74" i="32"/>
  <c r="AE78" i="32"/>
  <c r="AE82" i="32"/>
  <c r="AE86" i="32"/>
  <c r="AE90" i="32"/>
  <c r="AE94" i="32"/>
  <c r="AE98" i="32"/>
  <c r="U70" i="32"/>
  <c r="U71" i="32"/>
  <c r="U72" i="32"/>
  <c r="U73" i="32"/>
  <c r="U74" i="32"/>
  <c r="U75" i="32"/>
  <c r="U76" i="32"/>
  <c r="U77" i="32"/>
  <c r="U78" i="32"/>
  <c r="U79" i="32"/>
  <c r="U80" i="32"/>
  <c r="U81" i="32"/>
  <c r="U82" i="32"/>
  <c r="U83" i="32"/>
  <c r="U84" i="32"/>
  <c r="U85" i="32"/>
  <c r="U86" i="32"/>
  <c r="U87" i="32"/>
  <c r="U88" i="32"/>
  <c r="U89" i="32"/>
  <c r="U90" i="32"/>
  <c r="U91" i="32"/>
  <c r="U92" i="32"/>
  <c r="U93" i="32"/>
  <c r="U94" i="32"/>
  <c r="U95" i="32"/>
  <c r="U96" i="32"/>
  <c r="U97" i="32"/>
  <c r="U98" i="32"/>
  <c r="U99" i="32"/>
  <c r="U69" i="32"/>
  <c r="L70" i="32"/>
  <c r="L71" i="32"/>
  <c r="L72" i="32"/>
  <c r="L73" i="32"/>
  <c r="L74" i="32"/>
  <c r="L75" i="32"/>
  <c r="L76" i="32"/>
  <c r="L77" i="32"/>
  <c r="L78" i="32"/>
  <c r="L79" i="32"/>
  <c r="L80" i="32"/>
  <c r="L81" i="32"/>
  <c r="L82" i="32"/>
  <c r="L83" i="32"/>
  <c r="L84" i="32"/>
  <c r="L85" i="32"/>
  <c r="L86" i="32"/>
  <c r="L87" i="32"/>
  <c r="L88" i="32"/>
  <c r="L89" i="32"/>
  <c r="L90" i="32"/>
  <c r="L91" i="32"/>
  <c r="L92" i="32"/>
  <c r="L93" i="32"/>
  <c r="L94" i="32"/>
  <c r="L95" i="32"/>
  <c r="L96" i="32"/>
  <c r="L97" i="32"/>
  <c r="L98" i="32"/>
  <c r="L99" i="32"/>
  <c r="L69" i="32"/>
  <c r="W69" i="32"/>
  <c r="AD71" i="32"/>
  <c r="AD75" i="32"/>
  <c r="AD79" i="32"/>
  <c r="AD83" i="32"/>
  <c r="AD87" i="32"/>
  <c r="AD91" i="32"/>
  <c r="AD95" i="32"/>
  <c r="AD99" i="32"/>
  <c r="T70" i="32"/>
  <c r="V70" i="32"/>
  <c r="W70" i="32"/>
  <c r="X70" i="32"/>
  <c r="T71" i="32"/>
  <c r="V71" i="32"/>
  <c r="W71" i="32"/>
  <c r="X71" i="32"/>
  <c r="T72" i="32"/>
  <c r="V72" i="32"/>
  <c r="W72" i="32"/>
  <c r="X72" i="32"/>
  <c r="T73" i="32"/>
  <c r="V73" i="32"/>
  <c r="W73" i="32"/>
  <c r="X73" i="32"/>
  <c r="T74" i="32"/>
  <c r="V74" i="32"/>
  <c r="W74" i="32"/>
  <c r="X74" i="32"/>
  <c r="T75" i="32"/>
  <c r="V75" i="32"/>
  <c r="W75" i="32"/>
  <c r="X75" i="32"/>
  <c r="T76" i="32"/>
  <c r="V76" i="32"/>
  <c r="W76" i="32"/>
  <c r="X76" i="32"/>
  <c r="T77" i="32"/>
  <c r="V77" i="32"/>
  <c r="W77" i="32"/>
  <c r="X77" i="32"/>
  <c r="T78" i="32"/>
  <c r="V78" i="32"/>
  <c r="W78" i="32"/>
  <c r="X78" i="32"/>
  <c r="T79" i="32"/>
  <c r="V79" i="32"/>
  <c r="W79" i="32"/>
  <c r="X79" i="32"/>
  <c r="T80" i="32"/>
  <c r="V80" i="32"/>
  <c r="W80" i="32"/>
  <c r="X80" i="32"/>
  <c r="T81" i="32"/>
  <c r="V81" i="32"/>
  <c r="W81" i="32"/>
  <c r="X81" i="32"/>
  <c r="T82" i="32"/>
  <c r="V82" i="32"/>
  <c r="W82" i="32"/>
  <c r="X82" i="32"/>
  <c r="T83" i="32"/>
  <c r="V83" i="32"/>
  <c r="W83" i="32"/>
  <c r="X83" i="32"/>
  <c r="T84" i="32"/>
  <c r="V84" i="32"/>
  <c r="W84" i="32"/>
  <c r="X84" i="32"/>
  <c r="T85" i="32"/>
  <c r="V85" i="32"/>
  <c r="W85" i="32"/>
  <c r="X85" i="32"/>
  <c r="T86" i="32"/>
  <c r="V86" i="32"/>
  <c r="W86" i="32"/>
  <c r="X86" i="32"/>
  <c r="T87" i="32"/>
  <c r="V87" i="32"/>
  <c r="W87" i="32"/>
  <c r="X87" i="32"/>
  <c r="T88" i="32"/>
  <c r="V88" i="32"/>
  <c r="W88" i="32"/>
  <c r="X88" i="32"/>
  <c r="T89" i="32"/>
  <c r="V89" i="32"/>
  <c r="W89" i="32"/>
  <c r="X89" i="32"/>
  <c r="T90" i="32"/>
  <c r="V90" i="32"/>
  <c r="W90" i="32"/>
  <c r="X90" i="32"/>
  <c r="T91" i="32"/>
  <c r="V91" i="32"/>
  <c r="W91" i="32"/>
  <c r="X91" i="32"/>
  <c r="T92" i="32"/>
  <c r="V92" i="32"/>
  <c r="W92" i="32"/>
  <c r="X92" i="32"/>
  <c r="T93" i="32"/>
  <c r="V93" i="32"/>
  <c r="W93" i="32"/>
  <c r="X93" i="32"/>
  <c r="T94" i="32"/>
  <c r="V94" i="32"/>
  <c r="W94" i="32"/>
  <c r="X94" i="32"/>
  <c r="T95" i="32"/>
  <c r="V95" i="32"/>
  <c r="W95" i="32"/>
  <c r="X95" i="32"/>
  <c r="T96" i="32"/>
  <c r="V96" i="32"/>
  <c r="W96" i="32"/>
  <c r="X96" i="32"/>
  <c r="T97" i="32"/>
  <c r="V97" i="32"/>
  <c r="W97" i="32"/>
  <c r="X97" i="32"/>
  <c r="T98" i="32"/>
  <c r="V98" i="32"/>
  <c r="W98" i="32"/>
  <c r="X98" i="32"/>
  <c r="T99" i="32"/>
  <c r="V99" i="32"/>
  <c r="W99" i="32"/>
  <c r="X99" i="32"/>
  <c r="X69" i="32"/>
  <c r="V69" i="32"/>
  <c r="T69" i="32"/>
  <c r="O70" i="32"/>
  <c r="O71" i="32"/>
  <c r="O72" i="32"/>
  <c r="O73" i="32"/>
  <c r="O74" i="32"/>
  <c r="O75" i="32"/>
  <c r="O76" i="32"/>
  <c r="O77" i="32"/>
  <c r="O78" i="32"/>
  <c r="O79" i="32"/>
  <c r="O80" i="32"/>
  <c r="O81" i="32"/>
  <c r="O82" i="32"/>
  <c r="O83" i="32"/>
  <c r="O84" i="32"/>
  <c r="O85" i="32"/>
  <c r="O86" i="32"/>
  <c r="O87" i="32"/>
  <c r="O88" i="32"/>
  <c r="O89" i="32"/>
  <c r="O90" i="32"/>
  <c r="O91" i="32"/>
  <c r="O92" i="32"/>
  <c r="O93" i="32"/>
  <c r="O94" i="32"/>
  <c r="O95" i="32"/>
  <c r="O96" i="32"/>
  <c r="O97" i="32"/>
  <c r="O98" i="32"/>
  <c r="O99" i="32"/>
  <c r="O69" i="32"/>
  <c r="P69" i="32" s="1"/>
  <c r="N70" i="32"/>
  <c r="N71" i="32"/>
  <c r="N72" i="32"/>
  <c r="Q72" i="32" s="1"/>
  <c r="N73" i="32"/>
  <c r="N74" i="32"/>
  <c r="N75" i="32"/>
  <c r="N76" i="32"/>
  <c r="N77" i="32"/>
  <c r="N78" i="32"/>
  <c r="N79" i="32"/>
  <c r="N80" i="32"/>
  <c r="N81" i="32"/>
  <c r="N82" i="32"/>
  <c r="N83" i="32"/>
  <c r="N84" i="32"/>
  <c r="N85" i="32"/>
  <c r="N86" i="32"/>
  <c r="N87" i="32"/>
  <c r="N88" i="32"/>
  <c r="N89" i="32"/>
  <c r="N90" i="32"/>
  <c r="N91" i="32"/>
  <c r="N92" i="32"/>
  <c r="N93" i="32"/>
  <c r="N94" i="32"/>
  <c r="N95" i="32"/>
  <c r="N96" i="32"/>
  <c r="N97" i="32"/>
  <c r="N98" i="32"/>
  <c r="N99" i="32"/>
  <c r="N69" i="32"/>
  <c r="AG69" i="32" s="1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6" i="32"/>
  <c r="M87" i="32"/>
  <c r="M88" i="32"/>
  <c r="M89" i="32"/>
  <c r="M90" i="32"/>
  <c r="M91" i="32"/>
  <c r="M92" i="32"/>
  <c r="M93" i="32"/>
  <c r="M94" i="32"/>
  <c r="M95" i="32"/>
  <c r="M96" i="32"/>
  <c r="M97" i="32"/>
  <c r="M98" i="32"/>
  <c r="M99" i="32"/>
  <c r="M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83" i="32"/>
  <c r="K84" i="32"/>
  <c r="K85" i="32"/>
  <c r="K86" i="32"/>
  <c r="K87" i="32"/>
  <c r="K88" i="32"/>
  <c r="K89" i="32"/>
  <c r="K90" i="32"/>
  <c r="K91" i="32"/>
  <c r="K92" i="32"/>
  <c r="K93" i="32"/>
  <c r="K94" i="32"/>
  <c r="K95" i="32"/>
  <c r="K96" i="32"/>
  <c r="K97" i="32"/>
  <c r="K98" i="32"/>
  <c r="K99" i="32"/>
  <c r="K69" i="32"/>
  <c r="H69" i="32"/>
  <c r="G69" i="32"/>
  <c r="F70" i="32"/>
  <c r="AH70" i="32" s="1"/>
  <c r="F71" i="32"/>
  <c r="AH71" i="32" s="1"/>
  <c r="F72" i="32"/>
  <c r="AH72" i="32" s="1"/>
  <c r="F73" i="32"/>
  <c r="AH73" i="32" s="1"/>
  <c r="F74" i="32"/>
  <c r="AH74" i="32" s="1"/>
  <c r="F75" i="32"/>
  <c r="AH75" i="32" s="1"/>
  <c r="F76" i="32"/>
  <c r="AH76" i="32" s="1"/>
  <c r="F77" i="32"/>
  <c r="AH77" i="32" s="1"/>
  <c r="F78" i="32"/>
  <c r="AH78" i="32" s="1"/>
  <c r="F79" i="32"/>
  <c r="AH79" i="32" s="1"/>
  <c r="F80" i="32"/>
  <c r="AH80" i="32" s="1"/>
  <c r="F81" i="32"/>
  <c r="AH81" i="32" s="1"/>
  <c r="F82" i="32"/>
  <c r="AH82" i="32" s="1"/>
  <c r="F83" i="32"/>
  <c r="AH83" i="32" s="1"/>
  <c r="F84" i="32"/>
  <c r="AH84" i="32" s="1"/>
  <c r="F85" i="32"/>
  <c r="AH85" i="32" s="1"/>
  <c r="F86" i="32"/>
  <c r="AH86" i="32" s="1"/>
  <c r="F87" i="32"/>
  <c r="AH87" i="32" s="1"/>
  <c r="F88" i="32"/>
  <c r="AH88" i="32" s="1"/>
  <c r="F89" i="32"/>
  <c r="AH89" i="32" s="1"/>
  <c r="F90" i="32"/>
  <c r="AH90" i="32" s="1"/>
  <c r="F91" i="32"/>
  <c r="AH91" i="32" s="1"/>
  <c r="F92" i="32"/>
  <c r="AH92" i="32" s="1"/>
  <c r="F93" i="32"/>
  <c r="AH93" i="32" s="1"/>
  <c r="F94" i="32"/>
  <c r="AH94" i="32" s="1"/>
  <c r="F95" i="32"/>
  <c r="AH95" i="32" s="1"/>
  <c r="F96" i="32"/>
  <c r="AH96" i="32" s="1"/>
  <c r="F97" i="32"/>
  <c r="AH97" i="32" s="1"/>
  <c r="F98" i="32"/>
  <c r="AH98" i="32" s="1"/>
  <c r="F99" i="32"/>
  <c r="AH99" i="32" s="1"/>
  <c r="F69" i="32"/>
  <c r="AH69" i="32" s="1"/>
  <c r="E70" i="32"/>
  <c r="E71" i="32"/>
  <c r="E72" i="32"/>
  <c r="E73" i="32"/>
  <c r="E74" i="32"/>
  <c r="E75" i="32"/>
  <c r="E76" i="32"/>
  <c r="E77" i="32"/>
  <c r="E78" i="32"/>
  <c r="E79" i="32"/>
  <c r="E80" i="32"/>
  <c r="E81" i="32"/>
  <c r="E82" i="32"/>
  <c r="E83" i="32"/>
  <c r="E84" i="32"/>
  <c r="E85" i="32"/>
  <c r="E86" i="32"/>
  <c r="E87" i="32"/>
  <c r="E88" i="32"/>
  <c r="E89" i="32"/>
  <c r="E90" i="32"/>
  <c r="E91" i="32"/>
  <c r="E92" i="32"/>
  <c r="E93" i="32"/>
  <c r="E94" i="32"/>
  <c r="E95" i="32"/>
  <c r="E96" i="32"/>
  <c r="E97" i="32"/>
  <c r="E98" i="32"/>
  <c r="E99" i="32"/>
  <c r="E69" i="32"/>
  <c r="D70" i="32"/>
  <c r="D71" i="32"/>
  <c r="D72" i="32"/>
  <c r="D73" i="32"/>
  <c r="D74" i="32"/>
  <c r="D75" i="32"/>
  <c r="D76" i="32"/>
  <c r="D77" i="32"/>
  <c r="D78" i="32"/>
  <c r="D79" i="32"/>
  <c r="D80" i="32"/>
  <c r="D81" i="32"/>
  <c r="D82" i="32"/>
  <c r="D83" i="32"/>
  <c r="D84" i="32"/>
  <c r="D85" i="32"/>
  <c r="D86" i="32"/>
  <c r="D87" i="32"/>
  <c r="D88" i="32"/>
  <c r="D89" i="32"/>
  <c r="D90" i="32"/>
  <c r="D91" i="32"/>
  <c r="D92" i="32"/>
  <c r="D93" i="32"/>
  <c r="D94" i="32"/>
  <c r="D95" i="32"/>
  <c r="D96" i="32"/>
  <c r="D97" i="32"/>
  <c r="D98" i="32"/>
  <c r="D99" i="32"/>
  <c r="D69" i="32"/>
  <c r="AF69" i="32" s="1"/>
  <c r="C70" i="32"/>
  <c r="C71" i="32"/>
  <c r="AE71" i="32" s="1"/>
  <c r="C72" i="32"/>
  <c r="AE72" i="32" s="1"/>
  <c r="C73" i="32"/>
  <c r="AE73" i="32" s="1"/>
  <c r="C74" i="32"/>
  <c r="C75" i="32"/>
  <c r="AE75" i="32" s="1"/>
  <c r="C76" i="32"/>
  <c r="AE76" i="32" s="1"/>
  <c r="C77" i="32"/>
  <c r="AE77" i="32" s="1"/>
  <c r="C78" i="32"/>
  <c r="C79" i="32"/>
  <c r="AE79" i="32" s="1"/>
  <c r="C80" i="32"/>
  <c r="AE80" i="32" s="1"/>
  <c r="C81" i="32"/>
  <c r="AE81" i="32" s="1"/>
  <c r="C82" i="32"/>
  <c r="C83" i="32"/>
  <c r="AE83" i="32" s="1"/>
  <c r="C84" i="32"/>
  <c r="AE84" i="32" s="1"/>
  <c r="C85" i="32"/>
  <c r="AE85" i="32" s="1"/>
  <c r="C86" i="32"/>
  <c r="C87" i="32"/>
  <c r="AE87" i="32" s="1"/>
  <c r="C88" i="32"/>
  <c r="AE88" i="32" s="1"/>
  <c r="C89" i="32"/>
  <c r="AE89" i="32" s="1"/>
  <c r="C90" i="32"/>
  <c r="C91" i="32"/>
  <c r="AE91" i="32" s="1"/>
  <c r="C92" i="32"/>
  <c r="AE92" i="32" s="1"/>
  <c r="C93" i="32"/>
  <c r="AE93" i="32" s="1"/>
  <c r="C94" i="32"/>
  <c r="C95" i="32"/>
  <c r="AE95" i="32" s="1"/>
  <c r="C96" i="32"/>
  <c r="AE96" i="32" s="1"/>
  <c r="C97" i="32"/>
  <c r="AE97" i="32" s="1"/>
  <c r="C98" i="32"/>
  <c r="C99" i="32"/>
  <c r="AE99" i="32" s="1"/>
  <c r="C69" i="32"/>
  <c r="AE69" i="32" s="1"/>
  <c r="B70" i="32"/>
  <c r="AD70" i="32" s="1"/>
  <c r="B71" i="32"/>
  <c r="B72" i="32"/>
  <c r="AD72" i="32" s="1"/>
  <c r="B73" i="32"/>
  <c r="AD73" i="32" s="1"/>
  <c r="B74" i="32"/>
  <c r="AD74" i="32" s="1"/>
  <c r="B75" i="32"/>
  <c r="B76" i="32"/>
  <c r="AD76" i="32" s="1"/>
  <c r="B77" i="32"/>
  <c r="AD77" i="32" s="1"/>
  <c r="B78" i="32"/>
  <c r="AD78" i="32" s="1"/>
  <c r="B79" i="32"/>
  <c r="B80" i="32"/>
  <c r="AD80" i="32" s="1"/>
  <c r="B81" i="32"/>
  <c r="AD81" i="32" s="1"/>
  <c r="B82" i="32"/>
  <c r="AD82" i="32" s="1"/>
  <c r="B83" i="32"/>
  <c r="B84" i="32"/>
  <c r="AD84" i="32" s="1"/>
  <c r="B85" i="32"/>
  <c r="AD85" i="32" s="1"/>
  <c r="B86" i="32"/>
  <c r="AD86" i="32" s="1"/>
  <c r="B87" i="32"/>
  <c r="B88" i="32"/>
  <c r="AD88" i="32" s="1"/>
  <c r="B89" i="32"/>
  <c r="AD89" i="32" s="1"/>
  <c r="B90" i="32"/>
  <c r="AD90" i="32" s="1"/>
  <c r="B91" i="32"/>
  <c r="B92" i="32"/>
  <c r="AD92" i="32" s="1"/>
  <c r="B93" i="32"/>
  <c r="AD93" i="32" s="1"/>
  <c r="B94" i="32"/>
  <c r="AD94" i="32" s="1"/>
  <c r="B95" i="32"/>
  <c r="B96" i="32"/>
  <c r="AD96" i="32" s="1"/>
  <c r="B97" i="32"/>
  <c r="AD97" i="32" s="1"/>
  <c r="B98" i="32"/>
  <c r="AD98" i="32" s="1"/>
  <c r="B99" i="32"/>
  <c r="B69" i="32"/>
  <c r="AD69" i="32" s="1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9" i="28"/>
  <c r="J10" i="28" l="1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40" i="28" s="1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9" i="28"/>
  <c r="BF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9" i="27"/>
  <c r="P11" i="26" l="1"/>
  <c r="R10" i="29" s="1"/>
  <c r="P12" i="26"/>
  <c r="R11" i="29" s="1"/>
  <c r="P13" i="26"/>
  <c r="R12" i="29" s="1"/>
  <c r="P14" i="26"/>
  <c r="R13" i="29" s="1"/>
  <c r="P15" i="26"/>
  <c r="R14" i="29" s="1"/>
  <c r="P16" i="26"/>
  <c r="R15" i="29" s="1"/>
  <c r="P17" i="26"/>
  <c r="R16" i="29" s="1"/>
  <c r="P18" i="26"/>
  <c r="R17" i="29" s="1"/>
  <c r="P19" i="26"/>
  <c r="R18" i="29" s="1"/>
  <c r="P20" i="26"/>
  <c r="R19" i="29" s="1"/>
  <c r="P21" i="26"/>
  <c r="R20" i="29" s="1"/>
  <c r="P22" i="26"/>
  <c r="R21" i="29" s="1"/>
  <c r="P23" i="26"/>
  <c r="R22" i="29" s="1"/>
  <c r="P24" i="26"/>
  <c r="R23" i="29" s="1"/>
  <c r="P25" i="26"/>
  <c r="R24" i="29" s="1"/>
  <c r="P26" i="26"/>
  <c r="R25" i="29" s="1"/>
  <c r="P27" i="26"/>
  <c r="R26" i="29" s="1"/>
  <c r="P28" i="26"/>
  <c r="R27" i="29" s="1"/>
  <c r="P29" i="26"/>
  <c r="R28" i="29" s="1"/>
  <c r="P30" i="26"/>
  <c r="R29" i="29" s="1"/>
  <c r="P31" i="26"/>
  <c r="R30" i="29" s="1"/>
  <c r="P32" i="26"/>
  <c r="R31" i="29" s="1"/>
  <c r="P33" i="26"/>
  <c r="R32" i="29" s="1"/>
  <c r="P34" i="26"/>
  <c r="R33" i="29" s="1"/>
  <c r="P35" i="26"/>
  <c r="R34" i="29" s="1"/>
  <c r="P36" i="26"/>
  <c r="R35" i="29" s="1"/>
  <c r="P37" i="26"/>
  <c r="R36" i="29" s="1"/>
  <c r="P38" i="26"/>
  <c r="R37" i="29" s="1"/>
  <c r="P39" i="26"/>
  <c r="R38" i="29" s="1"/>
  <c r="P40" i="26"/>
  <c r="R39" i="29" s="1"/>
  <c r="P10" i="26"/>
  <c r="R9" i="29" s="1"/>
  <c r="J11" i="26"/>
  <c r="J12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0" i="26"/>
  <c r="BF40" i="26" s="1"/>
  <c r="J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10" i="26"/>
  <c r="R40" i="29" l="1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S70" i="32" l="1"/>
  <c r="S71" i="32"/>
  <c r="S72" i="32"/>
  <c r="S73" i="32"/>
  <c r="S74" i="32"/>
  <c r="S75" i="32"/>
  <c r="S76" i="32"/>
  <c r="S77" i="32"/>
  <c r="S78" i="32"/>
  <c r="S79" i="32"/>
  <c r="S80" i="32"/>
  <c r="S81" i="32"/>
  <c r="S82" i="32"/>
  <c r="S83" i="32"/>
  <c r="S84" i="32"/>
  <c r="S85" i="32"/>
  <c r="S86" i="32"/>
  <c r="S87" i="32"/>
  <c r="S88" i="32"/>
  <c r="S89" i="32"/>
  <c r="S90" i="32"/>
  <c r="S91" i="32"/>
  <c r="S92" i="32"/>
  <c r="S93" i="32"/>
  <c r="S94" i="32"/>
  <c r="S95" i="32"/>
  <c r="S96" i="32"/>
  <c r="S97" i="32"/>
  <c r="S98" i="32"/>
  <c r="S99" i="32"/>
  <c r="S69" i="32"/>
  <c r="J69" i="32"/>
  <c r="Z99" i="32" l="1"/>
  <c r="Z97" i="32"/>
  <c r="Z95" i="32"/>
  <c r="Z93" i="32"/>
  <c r="Z91" i="32"/>
  <c r="Z89" i="32"/>
  <c r="Z87" i="32"/>
  <c r="Z85" i="32"/>
  <c r="Z83" i="32"/>
  <c r="Z81" i="32"/>
  <c r="Z79" i="32"/>
  <c r="Z77" i="32"/>
  <c r="Z75" i="32"/>
  <c r="Z73" i="32"/>
  <c r="Z71" i="32"/>
  <c r="Z69" i="32"/>
  <c r="Z98" i="32"/>
  <c r="Z96" i="32"/>
  <c r="Z94" i="32"/>
  <c r="Z92" i="32"/>
  <c r="Z90" i="32"/>
  <c r="Z88" i="32"/>
  <c r="Z86" i="32"/>
  <c r="Z84" i="32"/>
  <c r="Z82" i="32"/>
  <c r="Z80" i="32"/>
  <c r="Z78" i="32"/>
  <c r="Z76" i="32"/>
  <c r="Z74" i="32"/>
  <c r="Z72" i="32"/>
  <c r="Z70" i="32"/>
  <c r="Y70" i="32"/>
  <c r="Y98" i="32"/>
  <c r="V100" i="32"/>
  <c r="Y71" i="32"/>
  <c r="Y75" i="32"/>
  <c r="Y79" i="32"/>
  <c r="Y83" i="32"/>
  <c r="Y87" i="32"/>
  <c r="Y91" i="32"/>
  <c r="Y95" i="32"/>
  <c r="Y99" i="32"/>
  <c r="Y78" i="32"/>
  <c r="Y86" i="32"/>
  <c r="Y94" i="32"/>
  <c r="W100" i="32"/>
  <c r="Y72" i="32"/>
  <c r="Y76" i="32"/>
  <c r="Y80" i="32"/>
  <c r="Y84" i="32"/>
  <c r="Y88" i="32"/>
  <c r="Y92" i="32"/>
  <c r="Y96" i="32"/>
  <c r="Y74" i="32"/>
  <c r="Y82" i="32"/>
  <c r="Y90" i="32"/>
  <c r="Y69" i="32"/>
  <c r="Y73" i="32"/>
  <c r="Y77" i="32"/>
  <c r="Y81" i="32"/>
  <c r="Y85" i="32"/>
  <c r="Y89" i="32"/>
  <c r="Y93" i="32"/>
  <c r="Y97" i="32"/>
  <c r="T100" i="32"/>
  <c r="X100" i="32"/>
  <c r="Z100" i="32" l="1"/>
  <c r="Y100" i="32"/>
  <c r="O22" i="6" l="1"/>
  <c r="J22" i="6"/>
  <c r="J14" i="10" l="1"/>
  <c r="J15" i="10"/>
  <c r="J16" i="10"/>
  <c r="J17" i="10"/>
  <c r="J14" i="11"/>
  <c r="C6" i="6" l="1"/>
  <c r="Q35" i="13" l="1"/>
  <c r="O35" i="13"/>
  <c r="J35" i="13"/>
  <c r="H35" i="13"/>
  <c r="C35" i="13"/>
  <c r="Q34" i="13"/>
  <c r="O34" i="13"/>
  <c r="J34" i="13"/>
  <c r="H34" i="13"/>
  <c r="C34" i="13"/>
  <c r="Q33" i="13"/>
  <c r="O33" i="13"/>
  <c r="J33" i="13"/>
  <c r="H33" i="13"/>
  <c r="C33" i="13"/>
  <c r="Q32" i="13"/>
  <c r="O32" i="13"/>
  <c r="J32" i="13"/>
  <c r="H32" i="13"/>
  <c r="C32" i="13"/>
  <c r="Q31" i="13"/>
  <c r="O31" i="13"/>
  <c r="J31" i="13"/>
  <c r="H31" i="13"/>
  <c r="C31" i="13"/>
  <c r="Q30" i="13"/>
  <c r="O30" i="13"/>
  <c r="J30" i="13"/>
  <c r="H30" i="13"/>
  <c r="C30" i="13"/>
  <c r="Q29" i="13"/>
  <c r="O29" i="13"/>
  <c r="J29" i="13"/>
  <c r="H29" i="13"/>
  <c r="C29" i="13"/>
  <c r="Q28" i="13"/>
  <c r="O28" i="13"/>
  <c r="J28" i="13"/>
  <c r="H28" i="13"/>
  <c r="C28" i="13"/>
  <c r="Q27" i="13"/>
  <c r="O27" i="13"/>
  <c r="J27" i="13"/>
  <c r="H27" i="13"/>
  <c r="C27" i="13"/>
  <c r="Q26" i="13"/>
  <c r="O26" i="13"/>
  <c r="J26" i="13"/>
  <c r="H26" i="13"/>
  <c r="C26" i="13"/>
  <c r="Q25" i="13"/>
  <c r="O25" i="13"/>
  <c r="J25" i="13"/>
  <c r="H25" i="13"/>
  <c r="C25" i="13"/>
  <c r="Q24" i="13"/>
  <c r="O24" i="13"/>
  <c r="J24" i="13"/>
  <c r="H24" i="13"/>
  <c r="C24" i="13"/>
  <c r="Q23" i="13"/>
  <c r="O23" i="13"/>
  <c r="J23" i="13"/>
  <c r="H23" i="13"/>
  <c r="C23" i="13"/>
  <c r="Q22" i="13"/>
  <c r="O22" i="13"/>
  <c r="J22" i="13"/>
  <c r="H22" i="13"/>
  <c r="C22" i="13"/>
  <c r="Q21" i="13"/>
  <c r="O21" i="13"/>
  <c r="J21" i="13"/>
  <c r="H21" i="13"/>
  <c r="C21" i="13"/>
  <c r="Q20" i="13"/>
  <c r="O20" i="13"/>
  <c r="J20" i="13"/>
  <c r="H20" i="13"/>
  <c r="C20" i="13"/>
  <c r="Q19" i="13"/>
  <c r="O19" i="13"/>
  <c r="J19" i="13"/>
  <c r="H19" i="13"/>
  <c r="C19" i="13"/>
  <c r="Q18" i="13"/>
  <c r="O18" i="13"/>
  <c r="J18" i="13"/>
  <c r="H18" i="13"/>
  <c r="C18" i="13"/>
  <c r="Q17" i="13"/>
  <c r="O17" i="13"/>
  <c r="J17" i="13"/>
  <c r="H17" i="13"/>
  <c r="C17" i="13"/>
  <c r="Q16" i="13"/>
  <c r="O16" i="13"/>
  <c r="J16" i="13"/>
  <c r="H16" i="13"/>
  <c r="C16" i="13"/>
  <c r="Q15" i="13"/>
  <c r="O15" i="13"/>
  <c r="J15" i="13"/>
  <c r="H15" i="13"/>
  <c r="C15" i="13"/>
  <c r="Q14" i="13"/>
  <c r="O14" i="13"/>
  <c r="J14" i="13"/>
  <c r="H14" i="13"/>
  <c r="C14" i="13"/>
  <c r="Q13" i="13"/>
  <c r="O13" i="13"/>
  <c r="J13" i="13"/>
  <c r="H13" i="13"/>
  <c r="C13" i="13"/>
  <c r="Q12" i="13"/>
  <c r="O12" i="13"/>
  <c r="J12" i="13"/>
  <c r="H12" i="13"/>
  <c r="C12" i="13"/>
  <c r="Q11" i="13"/>
  <c r="O11" i="13"/>
  <c r="J11" i="13"/>
  <c r="H11" i="13"/>
  <c r="C11" i="13"/>
  <c r="Q10" i="13"/>
  <c r="O10" i="13"/>
  <c r="J10" i="13"/>
  <c r="H10" i="13"/>
  <c r="C10" i="13"/>
  <c r="Q9" i="13"/>
  <c r="O9" i="13"/>
  <c r="J9" i="13"/>
  <c r="H9" i="13"/>
  <c r="C9" i="13"/>
  <c r="Q8" i="13"/>
  <c r="O8" i="13"/>
  <c r="J8" i="13"/>
  <c r="H8" i="13"/>
  <c r="C8" i="13"/>
  <c r="Q7" i="13"/>
  <c r="O7" i="13"/>
  <c r="J7" i="13"/>
  <c r="H7" i="13"/>
  <c r="C7" i="13"/>
  <c r="Q6" i="13"/>
  <c r="O6" i="13"/>
  <c r="J6" i="13"/>
  <c r="H6" i="13"/>
  <c r="C6" i="13"/>
  <c r="Q5" i="13"/>
  <c r="O5" i="13"/>
  <c r="J5" i="13"/>
  <c r="H5" i="13"/>
  <c r="C5" i="13"/>
  <c r="Q35" i="12"/>
  <c r="O35" i="12"/>
  <c r="J35" i="12"/>
  <c r="H35" i="12"/>
  <c r="C35" i="12"/>
  <c r="Q34" i="12"/>
  <c r="O34" i="12"/>
  <c r="J34" i="12"/>
  <c r="H34" i="12"/>
  <c r="C34" i="12"/>
  <c r="Q33" i="12"/>
  <c r="O33" i="12"/>
  <c r="J33" i="12"/>
  <c r="H33" i="12"/>
  <c r="C33" i="12"/>
  <c r="Q32" i="12"/>
  <c r="O32" i="12"/>
  <c r="J32" i="12"/>
  <c r="H32" i="12"/>
  <c r="C32" i="12"/>
  <c r="Q31" i="12"/>
  <c r="O31" i="12"/>
  <c r="J31" i="12"/>
  <c r="H31" i="12"/>
  <c r="C31" i="12"/>
  <c r="Q30" i="12"/>
  <c r="O30" i="12"/>
  <c r="J30" i="12"/>
  <c r="H30" i="12"/>
  <c r="C30" i="12"/>
  <c r="Q29" i="12"/>
  <c r="O29" i="12"/>
  <c r="J29" i="12"/>
  <c r="H29" i="12"/>
  <c r="C29" i="12"/>
  <c r="Q28" i="12"/>
  <c r="O28" i="12"/>
  <c r="J28" i="12"/>
  <c r="H28" i="12"/>
  <c r="C28" i="12"/>
  <c r="Q27" i="12"/>
  <c r="O27" i="12"/>
  <c r="J27" i="12"/>
  <c r="H27" i="12"/>
  <c r="C27" i="12"/>
  <c r="Q26" i="12"/>
  <c r="O26" i="12"/>
  <c r="J26" i="12"/>
  <c r="H26" i="12"/>
  <c r="C26" i="12"/>
  <c r="Q25" i="12"/>
  <c r="O25" i="12"/>
  <c r="J25" i="12"/>
  <c r="H25" i="12"/>
  <c r="C25" i="12"/>
  <c r="Q24" i="12"/>
  <c r="O24" i="12"/>
  <c r="J24" i="12"/>
  <c r="H24" i="12"/>
  <c r="C24" i="12"/>
  <c r="Q23" i="12"/>
  <c r="O23" i="12"/>
  <c r="J23" i="12"/>
  <c r="H23" i="12"/>
  <c r="C23" i="12"/>
  <c r="Q22" i="12"/>
  <c r="O22" i="12"/>
  <c r="J22" i="12"/>
  <c r="H22" i="12"/>
  <c r="C22" i="12"/>
  <c r="Q21" i="12"/>
  <c r="O21" i="12"/>
  <c r="J21" i="12"/>
  <c r="H21" i="12"/>
  <c r="C21" i="12"/>
  <c r="Q20" i="12"/>
  <c r="O20" i="12"/>
  <c r="J20" i="12"/>
  <c r="H20" i="12"/>
  <c r="C20" i="12"/>
  <c r="Q19" i="12"/>
  <c r="O19" i="12"/>
  <c r="J19" i="12"/>
  <c r="H19" i="12"/>
  <c r="C19" i="12"/>
  <c r="Q18" i="12"/>
  <c r="O18" i="12"/>
  <c r="J18" i="12"/>
  <c r="H18" i="12"/>
  <c r="C18" i="12"/>
  <c r="Q17" i="12"/>
  <c r="O17" i="12"/>
  <c r="J17" i="12"/>
  <c r="H17" i="12"/>
  <c r="C17" i="12"/>
  <c r="Q16" i="12"/>
  <c r="O16" i="12"/>
  <c r="J16" i="12"/>
  <c r="H16" i="12"/>
  <c r="C16" i="12"/>
  <c r="Q15" i="12"/>
  <c r="O15" i="12"/>
  <c r="J15" i="12"/>
  <c r="H15" i="12"/>
  <c r="C15" i="12"/>
  <c r="Q14" i="12"/>
  <c r="O14" i="12"/>
  <c r="J14" i="12"/>
  <c r="H14" i="12"/>
  <c r="C14" i="12"/>
  <c r="Q13" i="12"/>
  <c r="O13" i="12"/>
  <c r="J13" i="12"/>
  <c r="H13" i="12"/>
  <c r="C13" i="12"/>
  <c r="Q12" i="12"/>
  <c r="O12" i="12"/>
  <c r="J12" i="12"/>
  <c r="H12" i="12"/>
  <c r="C12" i="12"/>
  <c r="Q11" i="12"/>
  <c r="O11" i="12"/>
  <c r="J11" i="12"/>
  <c r="H11" i="12"/>
  <c r="C11" i="12"/>
  <c r="Q10" i="12"/>
  <c r="O10" i="12"/>
  <c r="J10" i="12"/>
  <c r="H10" i="12"/>
  <c r="C10" i="12"/>
  <c r="Q9" i="12"/>
  <c r="O9" i="12"/>
  <c r="J9" i="12"/>
  <c r="H9" i="12"/>
  <c r="C9" i="12"/>
  <c r="Q8" i="12"/>
  <c r="O8" i="12"/>
  <c r="J8" i="12"/>
  <c r="H8" i="12"/>
  <c r="C8" i="12"/>
  <c r="Q7" i="12"/>
  <c r="O7" i="12"/>
  <c r="J7" i="12"/>
  <c r="H7" i="12"/>
  <c r="C7" i="12"/>
  <c r="Q6" i="12"/>
  <c r="O6" i="12"/>
  <c r="J6" i="12"/>
  <c r="H6" i="12"/>
  <c r="C6" i="12"/>
  <c r="Q5" i="12"/>
  <c r="O5" i="12"/>
  <c r="J5" i="12"/>
  <c r="H5" i="12"/>
  <c r="C5" i="12"/>
  <c r="Q35" i="11"/>
  <c r="O35" i="11"/>
  <c r="J35" i="11"/>
  <c r="H35" i="11"/>
  <c r="C35" i="11"/>
  <c r="Q34" i="11"/>
  <c r="O34" i="11"/>
  <c r="J34" i="11"/>
  <c r="H34" i="11"/>
  <c r="C34" i="11"/>
  <c r="Q33" i="11"/>
  <c r="O33" i="11"/>
  <c r="J33" i="11"/>
  <c r="H33" i="11"/>
  <c r="C33" i="11"/>
  <c r="Q32" i="11"/>
  <c r="O32" i="11"/>
  <c r="J32" i="11"/>
  <c r="H32" i="11"/>
  <c r="C32" i="11"/>
  <c r="Q31" i="11"/>
  <c r="O31" i="11"/>
  <c r="J31" i="11"/>
  <c r="H31" i="11"/>
  <c r="C31" i="11"/>
  <c r="Q30" i="11"/>
  <c r="O30" i="11"/>
  <c r="J30" i="11"/>
  <c r="H30" i="11"/>
  <c r="C30" i="11"/>
  <c r="Q29" i="11"/>
  <c r="O29" i="11"/>
  <c r="J29" i="11"/>
  <c r="H29" i="11"/>
  <c r="C29" i="11"/>
  <c r="Q28" i="11"/>
  <c r="O28" i="11"/>
  <c r="J28" i="11"/>
  <c r="H28" i="11"/>
  <c r="C28" i="11"/>
  <c r="Q27" i="11"/>
  <c r="O27" i="11"/>
  <c r="J27" i="11"/>
  <c r="H27" i="11"/>
  <c r="C27" i="11"/>
  <c r="Q26" i="11"/>
  <c r="O26" i="11"/>
  <c r="J26" i="11"/>
  <c r="H26" i="11"/>
  <c r="C26" i="11"/>
  <c r="Q25" i="11"/>
  <c r="O25" i="11"/>
  <c r="J25" i="11"/>
  <c r="H25" i="11"/>
  <c r="C25" i="11"/>
  <c r="Q24" i="11"/>
  <c r="O24" i="11"/>
  <c r="J24" i="11"/>
  <c r="H24" i="11"/>
  <c r="C24" i="11"/>
  <c r="Q23" i="11"/>
  <c r="O23" i="11"/>
  <c r="J23" i="11"/>
  <c r="H23" i="11"/>
  <c r="C23" i="11"/>
  <c r="Q22" i="11"/>
  <c r="O22" i="11"/>
  <c r="J22" i="11"/>
  <c r="H22" i="11"/>
  <c r="C22" i="11"/>
  <c r="Q21" i="11"/>
  <c r="O21" i="11"/>
  <c r="J21" i="11"/>
  <c r="H21" i="11"/>
  <c r="C21" i="11"/>
  <c r="Q20" i="11"/>
  <c r="O20" i="11"/>
  <c r="J20" i="11"/>
  <c r="H20" i="11"/>
  <c r="C20" i="11"/>
  <c r="Q19" i="11"/>
  <c r="O19" i="11"/>
  <c r="J19" i="11"/>
  <c r="H19" i="11"/>
  <c r="C19" i="11"/>
  <c r="Q18" i="11"/>
  <c r="O18" i="11"/>
  <c r="J18" i="11"/>
  <c r="H18" i="11"/>
  <c r="C18" i="11"/>
  <c r="Q17" i="11"/>
  <c r="O17" i="11"/>
  <c r="J17" i="11"/>
  <c r="H17" i="11"/>
  <c r="C17" i="11"/>
  <c r="Q16" i="11"/>
  <c r="O16" i="11"/>
  <c r="J16" i="11"/>
  <c r="H16" i="11"/>
  <c r="C16" i="11"/>
  <c r="Q15" i="11"/>
  <c r="O15" i="11"/>
  <c r="J15" i="11"/>
  <c r="H15" i="11"/>
  <c r="C15" i="11"/>
  <c r="Q14" i="11"/>
  <c r="O14" i="11"/>
  <c r="H14" i="11"/>
  <c r="C14" i="11"/>
  <c r="Q13" i="11"/>
  <c r="O13" i="11"/>
  <c r="J13" i="11"/>
  <c r="H13" i="11"/>
  <c r="C13" i="11"/>
  <c r="Q12" i="11"/>
  <c r="O12" i="11"/>
  <c r="J12" i="11"/>
  <c r="H12" i="11"/>
  <c r="C12" i="11"/>
  <c r="Q11" i="11"/>
  <c r="O11" i="11"/>
  <c r="J11" i="11"/>
  <c r="H11" i="11"/>
  <c r="C11" i="11"/>
  <c r="Q10" i="11"/>
  <c r="O10" i="11"/>
  <c r="J10" i="11"/>
  <c r="H10" i="11"/>
  <c r="C10" i="11"/>
  <c r="Q9" i="11"/>
  <c r="O9" i="11"/>
  <c r="J9" i="11"/>
  <c r="H9" i="11"/>
  <c r="C9" i="11"/>
  <c r="Q8" i="11"/>
  <c r="O8" i="11"/>
  <c r="J8" i="11"/>
  <c r="H8" i="11"/>
  <c r="C8" i="11"/>
  <c r="Q7" i="11"/>
  <c r="O7" i="11"/>
  <c r="J7" i="11"/>
  <c r="H7" i="11"/>
  <c r="C7" i="11"/>
  <c r="Q6" i="11"/>
  <c r="O6" i="11"/>
  <c r="J6" i="11"/>
  <c r="H6" i="11"/>
  <c r="C6" i="11"/>
  <c r="Q5" i="11"/>
  <c r="O5" i="11"/>
  <c r="J5" i="11"/>
  <c r="H5" i="11"/>
  <c r="C5" i="11"/>
  <c r="Q35" i="10"/>
  <c r="O35" i="10"/>
  <c r="J35" i="10"/>
  <c r="H35" i="10"/>
  <c r="C35" i="10"/>
  <c r="Q34" i="10"/>
  <c r="O34" i="10"/>
  <c r="J34" i="10"/>
  <c r="H34" i="10"/>
  <c r="C34" i="10"/>
  <c r="Q33" i="10"/>
  <c r="O33" i="10"/>
  <c r="J33" i="10"/>
  <c r="H33" i="10"/>
  <c r="C33" i="10"/>
  <c r="Q32" i="10"/>
  <c r="O32" i="10"/>
  <c r="J32" i="10"/>
  <c r="H32" i="10"/>
  <c r="C32" i="10"/>
  <c r="Q31" i="10"/>
  <c r="O31" i="10"/>
  <c r="J31" i="10"/>
  <c r="H31" i="10"/>
  <c r="C31" i="10"/>
  <c r="Q30" i="10"/>
  <c r="O30" i="10"/>
  <c r="J30" i="10"/>
  <c r="H30" i="10"/>
  <c r="C30" i="10"/>
  <c r="Q29" i="10"/>
  <c r="O29" i="10"/>
  <c r="J29" i="10"/>
  <c r="H29" i="10"/>
  <c r="C29" i="10"/>
  <c r="Q28" i="10"/>
  <c r="O28" i="10"/>
  <c r="J28" i="10"/>
  <c r="H28" i="10"/>
  <c r="C28" i="10"/>
  <c r="Q27" i="10"/>
  <c r="O27" i="10"/>
  <c r="J27" i="10"/>
  <c r="H27" i="10"/>
  <c r="C27" i="10"/>
  <c r="Q26" i="10"/>
  <c r="O26" i="10"/>
  <c r="J26" i="10"/>
  <c r="H26" i="10"/>
  <c r="C26" i="10"/>
  <c r="Q25" i="10"/>
  <c r="O25" i="10"/>
  <c r="J25" i="10"/>
  <c r="H25" i="10"/>
  <c r="C25" i="10"/>
  <c r="Q24" i="10"/>
  <c r="O24" i="10"/>
  <c r="J24" i="10"/>
  <c r="H24" i="10"/>
  <c r="C24" i="10"/>
  <c r="Q23" i="10"/>
  <c r="O23" i="10"/>
  <c r="J23" i="10"/>
  <c r="H23" i="10"/>
  <c r="C23" i="10"/>
  <c r="Q22" i="10"/>
  <c r="O22" i="10"/>
  <c r="J22" i="10"/>
  <c r="H22" i="10"/>
  <c r="C22" i="10"/>
  <c r="Q21" i="10"/>
  <c r="O21" i="10"/>
  <c r="J21" i="10"/>
  <c r="H21" i="10"/>
  <c r="C21" i="10"/>
  <c r="Q20" i="10"/>
  <c r="O20" i="10"/>
  <c r="J20" i="10"/>
  <c r="H20" i="10"/>
  <c r="C20" i="10"/>
  <c r="Q19" i="10"/>
  <c r="O19" i="10"/>
  <c r="J19" i="10"/>
  <c r="H19" i="10"/>
  <c r="C19" i="10"/>
  <c r="Q18" i="10"/>
  <c r="O18" i="10"/>
  <c r="J18" i="10"/>
  <c r="H18" i="10"/>
  <c r="C18" i="10"/>
  <c r="Q17" i="10"/>
  <c r="O17" i="10"/>
  <c r="H17" i="10"/>
  <c r="C17" i="10"/>
  <c r="Q16" i="10"/>
  <c r="O16" i="10"/>
  <c r="H16" i="10"/>
  <c r="C16" i="10"/>
  <c r="Q15" i="10"/>
  <c r="O15" i="10"/>
  <c r="H15" i="10"/>
  <c r="C15" i="10"/>
  <c r="Q14" i="10"/>
  <c r="O14" i="10"/>
  <c r="H14" i="10"/>
  <c r="C14" i="10"/>
  <c r="Q13" i="10"/>
  <c r="O13" i="10"/>
  <c r="J13" i="10"/>
  <c r="H13" i="10"/>
  <c r="C13" i="10"/>
  <c r="Q12" i="10"/>
  <c r="O12" i="10"/>
  <c r="J12" i="10"/>
  <c r="H12" i="10"/>
  <c r="C12" i="10"/>
  <c r="Q11" i="10"/>
  <c r="O11" i="10"/>
  <c r="J11" i="10"/>
  <c r="H11" i="10"/>
  <c r="C11" i="10"/>
  <c r="Q10" i="10"/>
  <c r="O10" i="10"/>
  <c r="J10" i="10"/>
  <c r="H10" i="10"/>
  <c r="C10" i="10"/>
  <c r="Q9" i="10"/>
  <c r="O9" i="10"/>
  <c r="J9" i="10"/>
  <c r="H9" i="10"/>
  <c r="C9" i="10"/>
  <c r="Q8" i="10"/>
  <c r="O8" i="10"/>
  <c r="J8" i="10"/>
  <c r="H8" i="10"/>
  <c r="C8" i="10"/>
  <c r="Q7" i="10"/>
  <c r="O7" i="10"/>
  <c r="J7" i="10"/>
  <c r="H7" i="10"/>
  <c r="C7" i="10"/>
  <c r="Q6" i="10"/>
  <c r="O6" i="10"/>
  <c r="J6" i="10"/>
  <c r="H6" i="10"/>
  <c r="C6" i="10"/>
  <c r="Q5" i="10"/>
  <c r="O5" i="10"/>
  <c r="J5" i="10"/>
  <c r="H5" i="10"/>
  <c r="C5" i="10"/>
  <c r="Q35" i="9"/>
  <c r="O35" i="9"/>
  <c r="J35" i="9"/>
  <c r="H35" i="9"/>
  <c r="C35" i="9"/>
  <c r="Q34" i="9"/>
  <c r="O34" i="9"/>
  <c r="J34" i="9"/>
  <c r="H34" i="9"/>
  <c r="C34" i="9"/>
  <c r="Q33" i="9"/>
  <c r="O33" i="9"/>
  <c r="J33" i="9"/>
  <c r="H33" i="9"/>
  <c r="C33" i="9"/>
  <c r="Q32" i="9"/>
  <c r="O32" i="9"/>
  <c r="J32" i="9"/>
  <c r="H32" i="9"/>
  <c r="C32" i="9"/>
  <c r="Q31" i="9"/>
  <c r="O31" i="9"/>
  <c r="J31" i="9"/>
  <c r="H31" i="9"/>
  <c r="C31" i="9"/>
  <c r="Q30" i="9"/>
  <c r="O30" i="9"/>
  <c r="J30" i="9"/>
  <c r="H30" i="9"/>
  <c r="C30" i="9"/>
  <c r="Q29" i="9"/>
  <c r="O29" i="9"/>
  <c r="J29" i="9"/>
  <c r="H29" i="9"/>
  <c r="C29" i="9"/>
  <c r="Q28" i="9"/>
  <c r="O28" i="9"/>
  <c r="J28" i="9"/>
  <c r="H28" i="9"/>
  <c r="C28" i="9"/>
  <c r="Q27" i="9"/>
  <c r="O27" i="9"/>
  <c r="J27" i="9"/>
  <c r="H27" i="9"/>
  <c r="C27" i="9"/>
  <c r="Q26" i="9"/>
  <c r="O26" i="9"/>
  <c r="J26" i="9"/>
  <c r="H26" i="9"/>
  <c r="C26" i="9"/>
  <c r="Q25" i="9"/>
  <c r="O25" i="9"/>
  <c r="J25" i="9"/>
  <c r="H25" i="9"/>
  <c r="C25" i="9"/>
  <c r="Q24" i="9"/>
  <c r="O24" i="9"/>
  <c r="J24" i="9"/>
  <c r="H24" i="9"/>
  <c r="C24" i="9"/>
  <c r="Q23" i="9"/>
  <c r="O23" i="9"/>
  <c r="J23" i="9"/>
  <c r="H23" i="9"/>
  <c r="C23" i="9"/>
  <c r="Q22" i="9"/>
  <c r="O22" i="9"/>
  <c r="J22" i="9"/>
  <c r="H22" i="9"/>
  <c r="C22" i="9"/>
  <c r="Q21" i="9"/>
  <c r="O21" i="9"/>
  <c r="J21" i="9"/>
  <c r="H21" i="9"/>
  <c r="C21" i="9"/>
  <c r="Q20" i="9"/>
  <c r="O20" i="9"/>
  <c r="J20" i="9"/>
  <c r="H20" i="9"/>
  <c r="C20" i="9"/>
  <c r="Q19" i="9"/>
  <c r="O19" i="9"/>
  <c r="J19" i="9"/>
  <c r="H19" i="9"/>
  <c r="C19" i="9"/>
  <c r="Q18" i="9"/>
  <c r="O18" i="9"/>
  <c r="J18" i="9"/>
  <c r="H18" i="9"/>
  <c r="C18" i="9"/>
  <c r="Q17" i="9"/>
  <c r="O17" i="9"/>
  <c r="J17" i="9"/>
  <c r="H17" i="9"/>
  <c r="C17" i="9"/>
  <c r="Q16" i="9"/>
  <c r="O16" i="9"/>
  <c r="J16" i="9"/>
  <c r="H16" i="9"/>
  <c r="C16" i="9"/>
  <c r="Q15" i="9"/>
  <c r="O15" i="9"/>
  <c r="J15" i="9"/>
  <c r="H15" i="9"/>
  <c r="C15" i="9"/>
  <c r="Q14" i="9"/>
  <c r="O14" i="9"/>
  <c r="J14" i="9"/>
  <c r="H14" i="9"/>
  <c r="C14" i="9"/>
  <c r="Q13" i="9"/>
  <c r="O13" i="9"/>
  <c r="J13" i="9"/>
  <c r="H13" i="9"/>
  <c r="C13" i="9"/>
  <c r="Q12" i="9"/>
  <c r="O12" i="9"/>
  <c r="J12" i="9"/>
  <c r="H12" i="9"/>
  <c r="C12" i="9"/>
  <c r="Q11" i="9"/>
  <c r="O11" i="9"/>
  <c r="J11" i="9"/>
  <c r="H11" i="9"/>
  <c r="C11" i="9"/>
  <c r="Q10" i="9"/>
  <c r="O10" i="9"/>
  <c r="J10" i="9"/>
  <c r="H10" i="9"/>
  <c r="C10" i="9"/>
  <c r="Q9" i="9"/>
  <c r="O9" i="9"/>
  <c r="J9" i="9"/>
  <c r="H9" i="9"/>
  <c r="C9" i="9"/>
  <c r="Q8" i="9"/>
  <c r="O8" i="9"/>
  <c r="J8" i="9"/>
  <c r="H8" i="9"/>
  <c r="C8" i="9"/>
  <c r="Q7" i="9"/>
  <c r="O7" i="9"/>
  <c r="J7" i="9"/>
  <c r="H7" i="9"/>
  <c r="C7" i="9"/>
  <c r="Q6" i="9"/>
  <c r="O6" i="9"/>
  <c r="J6" i="9"/>
  <c r="H6" i="9"/>
  <c r="C6" i="9"/>
  <c r="Q5" i="9"/>
  <c r="O5" i="9"/>
  <c r="J5" i="9"/>
  <c r="H5" i="9"/>
  <c r="C5" i="9"/>
  <c r="Q35" i="8"/>
  <c r="O35" i="8"/>
  <c r="J35" i="8"/>
  <c r="H35" i="8"/>
  <c r="C35" i="8"/>
  <c r="Q34" i="8"/>
  <c r="O34" i="8"/>
  <c r="J34" i="8"/>
  <c r="H34" i="8"/>
  <c r="C34" i="8"/>
  <c r="Q33" i="8"/>
  <c r="O33" i="8"/>
  <c r="J33" i="8"/>
  <c r="H33" i="8"/>
  <c r="C33" i="8"/>
  <c r="Q32" i="8"/>
  <c r="O32" i="8"/>
  <c r="J32" i="8"/>
  <c r="H32" i="8"/>
  <c r="C32" i="8"/>
  <c r="Q31" i="8"/>
  <c r="O31" i="8"/>
  <c r="J31" i="8"/>
  <c r="H31" i="8"/>
  <c r="C31" i="8"/>
  <c r="Q30" i="8"/>
  <c r="O30" i="8"/>
  <c r="J30" i="8"/>
  <c r="H30" i="8"/>
  <c r="C30" i="8"/>
  <c r="Q29" i="8"/>
  <c r="O29" i="8"/>
  <c r="J29" i="8"/>
  <c r="H29" i="8"/>
  <c r="C29" i="8"/>
  <c r="Q28" i="8"/>
  <c r="O28" i="8"/>
  <c r="J28" i="8"/>
  <c r="H28" i="8"/>
  <c r="C28" i="8"/>
  <c r="Q27" i="8"/>
  <c r="O27" i="8"/>
  <c r="J27" i="8"/>
  <c r="H27" i="8"/>
  <c r="C27" i="8"/>
  <c r="Q26" i="8"/>
  <c r="O26" i="8"/>
  <c r="J26" i="8"/>
  <c r="H26" i="8"/>
  <c r="C26" i="8"/>
  <c r="Q25" i="8"/>
  <c r="O25" i="8"/>
  <c r="J25" i="8"/>
  <c r="H25" i="8"/>
  <c r="C25" i="8"/>
  <c r="Q24" i="8"/>
  <c r="O24" i="8"/>
  <c r="J24" i="8"/>
  <c r="H24" i="8"/>
  <c r="C24" i="8"/>
  <c r="Q23" i="8"/>
  <c r="O23" i="8"/>
  <c r="J23" i="8"/>
  <c r="H23" i="8"/>
  <c r="C23" i="8"/>
  <c r="Q22" i="8"/>
  <c r="O22" i="8"/>
  <c r="J22" i="8"/>
  <c r="H22" i="8"/>
  <c r="C22" i="8"/>
  <c r="Q21" i="8"/>
  <c r="O21" i="8"/>
  <c r="J21" i="8"/>
  <c r="H21" i="8"/>
  <c r="C21" i="8"/>
  <c r="Q20" i="8"/>
  <c r="O20" i="8"/>
  <c r="J20" i="8"/>
  <c r="H20" i="8"/>
  <c r="C20" i="8"/>
  <c r="Q19" i="8"/>
  <c r="O19" i="8"/>
  <c r="J19" i="8"/>
  <c r="H19" i="8"/>
  <c r="C19" i="8"/>
  <c r="Q18" i="8"/>
  <c r="O18" i="8"/>
  <c r="J18" i="8"/>
  <c r="H18" i="8"/>
  <c r="C18" i="8"/>
  <c r="Q17" i="8"/>
  <c r="O17" i="8"/>
  <c r="J17" i="8"/>
  <c r="H17" i="8"/>
  <c r="C17" i="8"/>
  <c r="Q16" i="8"/>
  <c r="O16" i="8"/>
  <c r="J16" i="8"/>
  <c r="H16" i="8"/>
  <c r="C16" i="8"/>
  <c r="Q15" i="8"/>
  <c r="O15" i="8"/>
  <c r="J15" i="8"/>
  <c r="H15" i="8"/>
  <c r="C15" i="8"/>
  <c r="Q14" i="8"/>
  <c r="O14" i="8"/>
  <c r="J14" i="8"/>
  <c r="H14" i="8"/>
  <c r="C14" i="8"/>
  <c r="Q13" i="8"/>
  <c r="O13" i="8"/>
  <c r="J13" i="8"/>
  <c r="H13" i="8"/>
  <c r="C13" i="8"/>
  <c r="Q12" i="8"/>
  <c r="O12" i="8"/>
  <c r="J12" i="8"/>
  <c r="H12" i="8"/>
  <c r="C12" i="8"/>
  <c r="Q11" i="8"/>
  <c r="O11" i="8"/>
  <c r="J11" i="8"/>
  <c r="H11" i="8"/>
  <c r="C11" i="8"/>
  <c r="Q10" i="8"/>
  <c r="O10" i="8"/>
  <c r="J10" i="8"/>
  <c r="H10" i="8"/>
  <c r="C10" i="8"/>
  <c r="Q9" i="8"/>
  <c r="O9" i="8"/>
  <c r="J9" i="8"/>
  <c r="H9" i="8"/>
  <c r="C9" i="8"/>
  <c r="Q8" i="8"/>
  <c r="O8" i="8"/>
  <c r="J8" i="8"/>
  <c r="H8" i="8"/>
  <c r="C8" i="8"/>
  <c r="Q7" i="8"/>
  <c r="O7" i="8"/>
  <c r="J7" i="8"/>
  <c r="H7" i="8"/>
  <c r="C7" i="8"/>
  <c r="Q6" i="8"/>
  <c r="O6" i="8"/>
  <c r="J6" i="8"/>
  <c r="H6" i="8"/>
  <c r="C6" i="8"/>
  <c r="Q5" i="8"/>
  <c r="O5" i="8"/>
  <c r="J5" i="8"/>
  <c r="H5" i="8"/>
  <c r="C5" i="8"/>
  <c r="Q35" i="5"/>
  <c r="O35" i="5"/>
  <c r="J35" i="5"/>
  <c r="H35" i="5"/>
  <c r="C35" i="5"/>
  <c r="Q34" i="5"/>
  <c r="O34" i="5"/>
  <c r="J34" i="5"/>
  <c r="H34" i="5"/>
  <c r="C34" i="5"/>
  <c r="Q33" i="5"/>
  <c r="O33" i="5"/>
  <c r="J33" i="5"/>
  <c r="H33" i="5"/>
  <c r="C33" i="5"/>
  <c r="Q32" i="5"/>
  <c r="O32" i="5"/>
  <c r="J32" i="5"/>
  <c r="H32" i="5"/>
  <c r="C32" i="5"/>
  <c r="Q31" i="5"/>
  <c r="O31" i="5"/>
  <c r="J31" i="5"/>
  <c r="H31" i="5"/>
  <c r="C31" i="5"/>
  <c r="Q30" i="5"/>
  <c r="O30" i="5"/>
  <c r="J30" i="5"/>
  <c r="H30" i="5"/>
  <c r="C30" i="5"/>
  <c r="Q29" i="5"/>
  <c r="O29" i="5"/>
  <c r="J29" i="5"/>
  <c r="H29" i="5"/>
  <c r="C29" i="5"/>
  <c r="Q28" i="5"/>
  <c r="O28" i="5"/>
  <c r="J28" i="5"/>
  <c r="H28" i="5"/>
  <c r="C28" i="5"/>
  <c r="Q27" i="5"/>
  <c r="O27" i="5"/>
  <c r="J27" i="5"/>
  <c r="H27" i="5"/>
  <c r="C27" i="5"/>
  <c r="Q26" i="5"/>
  <c r="O26" i="5"/>
  <c r="J26" i="5"/>
  <c r="H26" i="5"/>
  <c r="C26" i="5"/>
  <c r="Q25" i="5"/>
  <c r="O25" i="5"/>
  <c r="J25" i="5"/>
  <c r="H25" i="5"/>
  <c r="C25" i="5"/>
  <c r="Q24" i="5"/>
  <c r="O24" i="5"/>
  <c r="J24" i="5"/>
  <c r="H24" i="5"/>
  <c r="C24" i="5"/>
  <c r="Q23" i="5"/>
  <c r="O23" i="5"/>
  <c r="J23" i="5"/>
  <c r="H23" i="5"/>
  <c r="C23" i="5"/>
  <c r="Q22" i="5"/>
  <c r="O22" i="5"/>
  <c r="J22" i="5"/>
  <c r="H22" i="5"/>
  <c r="C22" i="5"/>
  <c r="Q21" i="5"/>
  <c r="O21" i="5"/>
  <c r="J21" i="5"/>
  <c r="H21" i="5"/>
  <c r="C21" i="5"/>
  <c r="Q20" i="5"/>
  <c r="O20" i="5"/>
  <c r="J20" i="5"/>
  <c r="H20" i="5"/>
  <c r="C20" i="5"/>
  <c r="Q19" i="5"/>
  <c r="O19" i="5"/>
  <c r="J19" i="5"/>
  <c r="H19" i="5"/>
  <c r="C19" i="5"/>
  <c r="Q18" i="5"/>
  <c r="O18" i="5"/>
  <c r="J18" i="5"/>
  <c r="H18" i="5"/>
  <c r="C18" i="5"/>
  <c r="Q17" i="5"/>
  <c r="O17" i="5"/>
  <c r="J17" i="5"/>
  <c r="H17" i="5"/>
  <c r="C17" i="5"/>
  <c r="Q16" i="5"/>
  <c r="O16" i="5"/>
  <c r="J16" i="5"/>
  <c r="H16" i="5"/>
  <c r="C16" i="5"/>
  <c r="Q15" i="5"/>
  <c r="O15" i="5"/>
  <c r="J15" i="5"/>
  <c r="H15" i="5"/>
  <c r="C15" i="5"/>
  <c r="Q14" i="5"/>
  <c r="O14" i="5"/>
  <c r="J14" i="5"/>
  <c r="H14" i="5"/>
  <c r="C14" i="5"/>
  <c r="Q13" i="5"/>
  <c r="O13" i="5"/>
  <c r="J13" i="5"/>
  <c r="H13" i="5"/>
  <c r="C13" i="5"/>
  <c r="Q12" i="5"/>
  <c r="O12" i="5"/>
  <c r="J12" i="5"/>
  <c r="H12" i="5"/>
  <c r="C12" i="5"/>
  <c r="Q11" i="5"/>
  <c r="O11" i="5"/>
  <c r="J11" i="5"/>
  <c r="H11" i="5"/>
  <c r="C11" i="5"/>
  <c r="Q10" i="5"/>
  <c r="O10" i="5"/>
  <c r="J10" i="5"/>
  <c r="H10" i="5"/>
  <c r="C10" i="5"/>
  <c r="Q9" i="5"/>
  <c r="O9" i="5"/>
  <c r="J9" i="5"/>
  <c r="H9" i="5"/>
  <c r="C9" i="5"/>
  <c r="Q8" i="5"/>
  <c r="O8" i="5"/>
  <c r="J8" i="5"/>
  <c r="H8" i="5"/>
  <c r="C8" i="5"/>
  <c r="Q7" i="5"/>
  <c r="O7" i="5"/>
  <c r="J7" i="5"/>
  <c r="H7" i="5"/>
  <c r="C7" i="5"/>
  <c r="Q6" i="5"/>
  <c r="O6" i="5"/>
  <c r="J6" i="5"/>
  <c r="H6" i="5"/>
  <c r="C6" i="5"/>
  <c r="Q5" i="5"/>
  <c r="O5" i="5"/>
  <c r="J5" i="5"/>
  <c r="H5" i="5"/>
  <c r="C5" i="5"/>
  <c r="A35" i="16" l="1"/>
  <c r="T35" i="16" s="1"/>
  <c r="A35" i="13"/>
  <c r="A35" i="12"/>
  <c r="A35" i="11"/>
  <c r="A35" i="10"/>
  <c r="A35" i="9"/>
  <c r="A35" i="8"/>
  <c r="A35" i="5"/>
  <c r="A35" i="7"/>
  <c r="C6" i="7" l="1"/>
  <c r="C7" i="7"/>
  <c r="V24" i="13" l="1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24" i="12"/>
  <c r="V23" i="12"/>
  <c r="V22" i="12"/>
  <c r="V21" i="12"/>
  <c r="V20" i="12"/>
  <c r="V19" i="12"/>
  <c r="V18" i="12"/>
  <c r="V17" i="12"/>
  <c r="V16" i="12"/>
  <c r="V15" i="12"/>
  <c r="V14" i="12"/>
  <c r="V13" i="12"/>
  <c r="V12" i="12"/>
  <c r="V11" i="12"/>
  <c r="V10" i="12"/>
  <c r="V9" i="12"/>
  <c r="V8" i="12"/>
  <c r="V7" i="12"/>
  <c r="V6" i="12"/>
  <c r="V5" i="12"/>
  <c r="V24" i="11"/>
  <c r="V23" i="11"/>
  <c r="V22" i="11"/>
  <c r="V21" i="11"/>
  <c r="V20" i="11"/>
  <c r="V19" i="11"/>
  <c r="V18" i="11"/>
  <c r="V17" i="11"/>
  <c r="V16" i="11"/>
  <c r="V15" i="11"/>
  <c r="V14" i="11"/>
  <c r="V13" i="11"/>
  <c r="V12" i="11"/>
  <c r="V11" i="11"/>
  <c r="V10" i="11"/>
  <c r="V9" i="11"/>
  <c r="V8" i="11"/>
  <c r="V7" i="11"/>
  <c r="V6" i="11"/>
  <c r="V5" i="11"/>
  <c r="V24" i="10"/>
  <c r="V23" i="10"/>
  <c r="V22" i="10"/>
  <c r="V21" i="10"/>
  <c r="V20" i="10"/>
  <c r="V19" i="10"/>
  <c r="V18" i="10"/>
  <c r="V17" i="10"/>
  <c r="V16" i="10"/>
  <c r="V15" i="10"/>
  <c r="V14" i="10"/>
  <c r="V13" i="10"/>
  <c r="V12" i="10"/>
  <c r="V11" i="10"/>
  <c r="V10" i="10"/>
  <c r="V9" i="10"/>
  <c r="V8" i="10"/>
  <c r="V7" i="10"/>
  <c r="V6" i="10"/>
  <c r="V5" i="10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11" i="5"/>
  <c r="V10" i="5"/>
  <c r="V9" i="5"/>
  <c r="V8" i="5"/>
  <c r="V7" i="5"/>
  <c r="V6" i="5"/>
  <c r="V5" i="5"/>
  <c r="V24" i="7"/>
  <c r="O24" i="7"/>
  <c r="H24" i="7"/>
  <c r="C24" i="7"/>
  <c r="V23" i="7"/>
  <c r="O23" i="7"/>
  <c r="H23" i="7"/>
  <c r="C23" i="7"/>
  <c r="V22" i="7"/>
  <c r="O22" i="7"/>
  <c r="H22" i="7"/>
  <c r="C22" i="7"/>
  <c r="V21" i="7"/>
  <c r="O21" i="7"/>
  <c r="H21" i="7"/>
  <c r="C21" i="7"/>
  <c r="V20" i="7"/>
  <c r="O20" i="7"/>
  <c r="H20" i="7"/>
  <c r="C20" i="7"/>
  <c r="V19" i="7"/>
  <c r="O19" i="7"/>
  <c r="H19" i="7"/>
  <c r="C19" i="7"/>
  <c r="V18" i="7"/>
  <c r="O18" i="7"/>
  <c r="H18" i="7"/>
  <c r="C18" i="7"/>
  <c r="V17" i="7"/>
  <c r="O17" i="7"/>
  <c r="H17" i="7"/>
  <c r="C17" i="7"/>
  <c r="V16" i="7"/>
  <c r="O16" i="7"/>
  <c r="H16" i="7"/>
  <c r="C16" i="7"/>
  <c r="V15" i="7"/>
  <c r="O15" i="7"/>
  <c r="H15" i="7"/>
  <c r="C15" i="7"/>
  <c r="V14" i="7"/>
  <c r="O14" i="7"/>
  <c r="H14" i="7"/>
  <c r="C14" i="7"/>
  <c r="V13" i="7"/>
  <c r="O13" i="7"/>
  <c r="H13" i="7"/>
  <c r="C13" i="7"/>
  <c r="V12" i="7"/>
  <c r="O12" i="7"/>
  <c r="H12" i="7"/>
  <c r="C12" i="7"/>
  <c r="V11" i="7"/>
  <c r="O11" i="7"/>
  <c r="H11" i="7"/>
  <c r="C11" i="7"/>
  <c r="V10" i="7"/>
  <c r="O10" i="7"/>
  <c r="H10" i="7"/>
  <c r="C10" i="7"/>
  <c r="V9" i="7"/>
  <c r="O9" i="7"/>
  <c r="H9" i="7"/>
  <c r="C9" i="7"/>
  <c r="V8" i="7"/>
  <c r="O8" i="7"/>
  <c r="H8" i="7"/>
  <c r="C8" i="7"/>
  <c r="V7" i="7"/>
  <c r="O7" i="7"/>
  <c r="H7" i="7"/>
  <c r="V6" i="7"/>
  <c r="O6" i="7"/>
  <c r="H6" i="7"/>
  <c r="V5" i="7"/>
  <c r="Q5" i="7"/>
  <c r="O5" i="7"/>
  <c r="J5" i="7"/>
  <c r="H5" i="7"/>
  <c r="C5" i="7"/>
  <c r="V12" i="6"/>
  <c r="Q12" i="6"/>
  <c r="O12" i="6"/>
  <c r="J12" i="6"/>
  <c r="H12" i="6"/>
  <c r="C12" i="6"/>
  <c r="V11" i="6"/>
  <c r="Q11" i="6"/>
  <c r="O11" i="6"/>
  <c r="J11" i="6"/>
  <c r="H11" i="6"/>
  <c r="C11" i="6"/>
  <c r="V10" i="6"/>
  <c r="Q10" i="6"/>
  <c r="O10" i="6"/>
  <c r="J10" i="6"/>
  <c r="H10" i="6"/>
  <c r="C10" i="6"/>
  <c r="V9" i="6"/>
  <c r="Q9" i="6"/>
  <c r="O9" i="6"/>
  <c r="J9" i="6"/>
  <c r="H9" i="6"/>
  <c r="C9" i="6"/>
  <c r="V14" i="6" l="1"/>
  <c r="Q14" i="6"/>
  <c r="O14" i="6"/>
  <c r="J14" i="6"/>
  <c r="H14" i="6"/>
  <c r="C14" i="6"/>
  <c r="V13" i="6"/>
  <c r="Q13" i="6"/>
  <c r="O13" i="6"/>
  <c r="J13" i="6"/>
  <c r="H13" i="6"/>
  <c r="C13" i="6"/>
  <c r="V8" i="6"/>
  <c r="Q8" i="6"/>
  <c r="O8" i="6"/>
  <c r="J8" i="6"/>
  <c r="H8" i="6"/>
  <c r="C8" i="6"/>
  <c r="V7" i="6"/>
  <c r="Q7" i="6"/>
  <c r="O7" i="6"/>
  <c r="J7" i="6"/>
  <c r="H7" i="6"/>
  <c r="C7" i="6"/>
  <c r="V6" i="6"/>
  <c r="Q6" i="6"/>
  <c r="O6" i="6"/>
  <c r="J6" i="6"/>
  <c r="H6" i="6"/>
  <c r="V5" i="6"/>
  <c r="Q5" i="6"/>
  <c r="O5" i="6"/>
  <c r="J5" i="6"/>
  <c r="H5" i="6"/>
  <c r="C5" i="6"/>
  <c r="V22" i="6" l="1"/>
  <c r="Q22" i="6"/>
  <c r="H22" i="6"/>
  <c r="C22" i="6"/>
  <c r="V21" i="6"/>
  <c r="Q21" i="6"/>
  <c r="O21" i="6"/>
  <c r="J21" i="6"/>
  <c r="H21" i="6"/>
  <c r="C21" i="6"/>
  <c r="V20" i="6"/>
  <c r="Q20" i="6"/>
  <c r="O20" i="6"/>
  <c r="J20" i="6"/>
  <c r="H20" i="6"/>
  <c r="C20" i="6"/>
  <c r="V19" i="6"/>
  <c r="Q19" i="6"/>
  <c r="O19" i="6"/>
  <c r="J19" i="6"/>
  <c r="H19" i="6"/>
  <c r="C19" i="6"/>
  <c r="V18" i="6"/>
  <c r="Q18" i="6"/>
  <c r="O18" i="6"/>
  <c r="J18" i="6"/>
  <c r="H18" i="6"/>
  <c r="C18" i="6"/>
  <c r="V17" i="6"/>
  <c r="Q17" i="6"/>
  <c r="O17" i="6"/>
  <c r="J17" i="6"/>
  <c r="H17" i="6"/>
  <c r="C17" i="6"/>
  <c r="V16" i="6"/>
  <c r="Q16" i="6"/>
  <c r="O16" i="6"/>
  <c r="J16" i="6"/>
  <c r="H16" i="6"/>
  <c r="C16" i="6"/>
  <c r="V15" i="6"/>
  <c r="Q15" i="6"/>
  <c r="O15" i="6"/>
  <c r="J15" i="6"/>
  <c r="H15" i="6"/>
  <c r="C15" i="6"/>
  <c r="V35" i="13" l="1"/>
  <c r="V34" i="13"/>
  <c r="V33" i="13"/>
  <c r="V32" i="13"/>
  <c r="V31" i="13"/>
  <c r="V30" i="13"/>
  <c r="V29" i="13"/>
  <c r="V28" i="13"/>
  <c r="V27" i="13"/>
  <c r="V26" i="13"/>
  <c r="V25" i="13"/>
  <c r="V35" i="12"/>
  <c r="V34" i="12"/>
  <c r="V33" i="12"/>
  <c r="V32" i="12"/>
  <c r="V31" i="12"/>
  <c r="V30" i="12"/>
  <c r="V29" i="12"/>
  <c r="V28" i="12"/>
  <c r="V27" i="12"/>
  <c r="V26" i="12"/>
  <c r="V25" i="12"/>
  <c r="V35" i="11"/>
  <c r="V34" i="11"/>
  <c r="V33" i="11"/>
  <c r="V32" i="11"/>
  <c r="V31" i="11"/>
  <c r="V30" i="11"/>
  <c r="V29" i="11"/>
  <c r="V28" i="11"/>
  <c r="V27" i="11"/>
  <c r="V26" i="11"/>
  <c r="V25" i="11"/>
  <c r="V35" i="10"/>
  <c r="V34" i="10"/>
  <c r="V33" i="10"/>
  <c r="V32" i="10"/>
  <c r="V31" i="10"/>
  <c r="V30" i="10"/>
  <c r="V29" i="10"/>
  <c r="V28" i="10"/>
  <c r="V27" i="10"/>
  <c r="V26" i="10"/>
  <c r="V25" i="10"/>
  <c r="V35" i="9"/>
  <c r="V34" i="9"/>
  <c r="V33" i="9"/>
  <c r="V32" i="9"/>
  <c r="V31" i="9"/>
  <c r="V30" i="9"/>
  <c r="V29" i="9"/>
  <c r="V28" i="9"/>
  <c r="V27" i="9"/>
  <c r="V26" i="9"/>
  <c r="V25" i="9"/>
  <c r="V35" i="8"/>
  <c r="V34" i="8"/>
  <c r="V33" i="8"/>
  <c r="V32" i="8"/>
  <c r="V31" i="8"/>
  <c r="V30" i="8"/>
  <c r="V29" i="8"/>
  <c r="V28" i="8"/>
  <c r="V27" i="8"/>
  <c r="V26" i="8"/>
  <c r="V25" i="8"/>
  <c r="V35" i="5"/>
  <c r="V34" i="5"/>
  <c r="V33" i="5"/>
  <c r="V32" i="5"/>
  <c r="V31" i="5"/>
  <c r="V30" i="5"/>
  <c r="V29" i="5"/>
  <c r="V28" i="5"/>
  <c r="V27" i="5"/>
  <c r="V26" i="5"/>
  <c r="V25" i="5"/>
  <c r="V35" i="7"/>
  <c r="Q35" i="7"/>
  <c r="O35" i="7"/>
  <c r="J35" i="7"/>
  <c r="H35" i="7"/>
  <c r="C35" i="7"/>
  <c r="V34" i="7"/>
  <c r="Q34" i="7"/>
  <c r="O34" i="7"/>
  <c r="J34" i="7"/>
  <c r="H34" i="7"/>
  <c r="C34" i="7"/>
  <c r="V33" i="7"/>
  <c r="Q33" i="7"/>
  <c r="O33" i="7"/>
  <c r="J33" i="7"/>
  <c r="H33" i="7"/>
  <c r="C33" i="7"/>
  <c r="V32" i="7"/>
  <c r="Q32" i="7"/>
  <c r="O32" i="7"/>
  <c r="J32" i="7"/>
  <c r="H32" i="7"/>
  <c r="C32" i="7"/>
  <c r="V31" i="7"/>
  <c r="Q31" i="7"/>
  <c r="O31" i="7"/>
  <c r="J31" i="7"/>
  <c r="H31" i="7"/>
  <c r="C31" i="7"/>
  <c r="V30" i="7"/>
  <c r="Q30" i="7"/>
  <c r="O30" i="7"/>
  <c r="J30" i="7"/>
  <c r="H30" i="7"/>
  <c r="C30" i="7"/>
  <c r="V29" i="7"/>
  <c r="Q29" i="7"/>
  <c r="O29" i="7"/>
  <c r="J29" i="7"/>
  <c r="H29" i="7"/>
  <c r="C29" i="7"/>
  <c r="V28" i="7"/>
  <c r="Q28" i="7"/>
  <c r="O28" i="7"/>
  <c r="J28" i="7"/>
  <c r="H28" i="7"/>
  <c r="C28" i="7"/>
  <c r="V27" i="7"/>
  <c r="Q27" i="7"/>
  <c r="O27" i="7"/>
  <c r="J27" i="7"/>
  <c r="H27" i="7"/>
  <c r="C27" i="7"/>
  <c r="V26" i="7"/>
  <c r="O26" i="7"/>
  <c r="H26" i="7"/>
  <c r="C26" i="7"/>
  <c r="V25" i="7"/>
  <c r="O25" i="7"/>
  <c r="H25" i="7"/>
  <c r="C25" i="7"/>
  <c r="V30" i="6"/>
  <c r="Q30" i="6"/>
  <c r="O30" i="6"/>
  <c r="J30" i="6"/>
  <c r="H30" i="6"/>
  <c r="C30" i="6"/>
  <c r="V29" i="6"/>
  <c r="Q29" i="6"/>
  <c r="O29" i="6"/>
  <c r="J29" i="6"/>
  <c r="H29" i="6"/>
  <c r="C29" i="6"/>
  <c r="V28" i="6"/>
  <c r="Q28" i="6"/>
  <c r="O28" i="6"/>
  <c r="J28" i="6"/>
  <c r="H28" i="6"/>
  <c r="C28" i="6"/>
  <c r="V27" i="6"/>
  <c r="Q27" i="6"/>
  <c r="O27" i="6"/>
  <c r="J27" i="6"/>
  <c r="H27" i="6"/>
  <c r="C27" i="6"/>
  <c r="V26" i="6"/>
  <c r="Q26" i="6"/>
  <c r="O26" i="6"/>
  <c r="J26" i="6"/>
  <c r="H26" i="6"/>
  <c r="C26" i="6"/>
  <c r="V25" i="6"/>
  <c r="Q25" i="6"/>
  <c r="O25" i="6"/>
  <c r="J25" i="6"/>
  <c r="H25" i="6"/>
  <c r="C25" i="6"/>
  <c r="V24" i="6"/>
  <c r="Q24" i="6"/>
  <c r="O24" i="6"/>
  <c r="J24" i="6"/>
  <c r="H24" i="6"/>
  <c r="C24" i="6"/>
  <c r="V23" i="6"/>
  <c r="Q23" i="6"/>
  <c r="O23" i="6"/>
  <c r="J23" i="6"/>
  <c r="H23" i="6"/>
  <c r="C23" i="6"/>
  <c r="A99" i="32" l="1"/>
  <c r="AC99" i="32" s="1"/>
  <c r="J99" i="32"/>
  <c r="V33" i="6"/>
  <c r="Q33" i="6"/>
  <c r="O33" i="6"/>
  <c r="J33" i="6"/>
  <c r="H33" i="6"/>
  <c r="C33" i="6"/>
  <c r="V32" i="6"/>
  <c r="Q32" i="6"/>
  <c r="O32" i="6"/>
  <c r="J32" i="6"/>
  <c r="H32" i="6"/>
  <c r="C32" i="6"/>
  <c r="V31" i="6"/>
  <c r="Q31" i="6"/>
  <c r="O31" i="6"/>
  <c r="J31" i="6"/>
  <c r="H31" i="6"/>
  <c r="C31" i="6"/>
  <c r="J35" i="6" l="1"/>
  <c r="J34" i="6"/>
  <c r="I36" i="6"/>
  <c r="Q76" i="32" l="1"/>
  <c r="Q80" i="32"/>
  <c r="Q84" i="32"/>
  <c r="Q88" i="32"/>
  <c r="Q92" i="32"/>
  <c r="Q96" i="32"/>
  <c r="Q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83" i="32"/>
  <c r="J84" i="32"/>
  <c r="J85" i="32"/>
  <c r="J86" i="32"/>
  <c r="J87" i="32"/>
  <c r="J88" i="32"/>
  <c r="J89" i="32"/>
  <c r="J90" i="32"/>
  <c r="J91" i="32"/>
  <c r="J92" i="32"/>
  <c r="J93" i="32"/>
  <c r="J94" i="32"/>
  <c r="J95" i="32"/>
  <c r="J96" i="32"/>
  <c r="J97" i="32"/>
  <c r="J98" i="32"/>
  <c r="AF70" i="32"/>
  <c r="AF71" i="32"/>
  <c r="AF74" i="32"/>
  <c r="AF75" i="32"/>
  <c r="AF78" i="32"/>
  <c r="AF79" i="32"/>
  <c r="AF82" i="32"/>
  <c r="AF83" i="32"/>
  <c r="AF86" i="32"/>
  <c r="AF87" i="32"/>
  <c r="AF90" i="32"/>
  <c r="AF91" i="32"/>
  <c r="AF94" i="32"/>
  <c r="AF95" i="32"/>
  <c r="AF98" i="32"/>
  <c r="AF99" i="32"/>
  <c r="A98" i="32"/>
  <c r="AC98" i="32" s="1"/>
  <c r="A97" i="32"/>
  <c r="AC97" i="32" s="1"/>
  <c r="A96" i="32"/>
  <c r="AC96" i="32" s="1"/>
  <c r="A95" i="32"/>
  <c r="AC95" i="32" s="1"/>
  <c r="A94" i="32"/>
  <c r="AC94" i="32" s="1"/>
  <c r="A93" i="32"/>
  <c r="AC93" i="32" s="1"/>
  <c r="A92" i="32"/>
  <c r="AC92" i="32" s="1"/>
  <c r="A91" i="32"/>
  <c r="AC91" i="32" s="1"/>
  <c r="A90" i="32"/>
  <c r="AC90" i="32" s="1"/>
  <c r="A89" i="32"/>
  <c r="AC89" i="32" s="1"/>
  <c r="A88" i="32"/>
  <c r="AC88" i="32" s="1"/>
  <c r="A87" i="32"/>
  <c r="AC87" i="32" s="1"/>
  <c r="A86" i="32"/>
  <c r="AC86" i="32" s="1"/>
  <c r="A85" i="32"/>
  <c r="AC85" i="32" s="1"/>
  <c r="A84" i="32"/>
  <c r="AC84" i="32" s="1"/>
  <c r="A83" i="32"/>
  <c r="AC83" i="32" s="1"/>
  <c r="A82" i="32"/>
  <c r="AC82" i="32" s="1"/>
  <c r="A81" i="32"/>
  <c r="AC81" i="32" s="1"/>
  <c r="A80" i="32"/>
  <c r="AC80" i="32" s="1"/>
  <c r="A79" i="32"/>
  <c r="AC79" i="32" s="1"/>
  <c r="A78" i="32"/>
  <c r="AC78" i="32" s="1"/>
  <c r="A77" i="32"/>
  <c r="AC77" i="32" s="1"/>
  <c r="A76" i="32"/>
  <c r="AC76" i="32" s="1"/>
  <c r="A75" i="32"/>
  <c r="AC75" i="32" s="1"/>
  <c r="A74" i="32"/>
  <c r="AC74" i="32" s="1"/>
  <c r="A73" i="32"/>
  <c r="AC73" i="32" s="1"/>
  <c r="A72" i="32"/>
  <c r="AC72" i="32" s="1"/>
  <c r="A71" i="32"/>
  <c r="AC71" i="32" s="1"/>
  <c r="A70" i="32"/>
  <c r="AC70" i="32" s="1"/>
  <c r="A69" i="32"/>
  <c r="AC69" i="32" s="1"/>
  <c r="AF96" i="32" l="1"/>
  <c r="AF92" i="32"/>
  <c r="AF88" i="32"/>
  <c r="AF84" i="32"/>
  <c r="AF80" i="32"/>
  <c r="AF76" i="32"/>
  <c r="AF72" i="32"/>
  <c r="AG94" i="32"/>
  <c r="AJ94" i="32" s="1"/>
  <c r="H94" i="32"/>
  <c r="AG82" i="32"/>
  <c r="AJ82" i="32" s="1"/>
  <c r="H82" i="32"/>
  <c r="AG97" i="32"/>
  <c r="H97" i="32"/>
  <c r="AG93" i="32"/>
  <c r="H93" i="32"/>
  <c r="AG89" i="32"/>
  <c r="H89" i="32"/>
  <c r="AG85" i="32"/>
  <c r="H85" i="32"/>
  <c r="AG81" i="32"/>
  <c r="H81" i="32"/>
  <c r="AG77" i="32"/>
  <c r="H77" i="32"/>
  <c r="AG73" i="32"/>
  <c r="H73" i="32"/>
  <c r="AI69" i="32"/>
  <c r="Q99" i="32"/>
  <c r="Q95" i="32"/>
  <c r="Q91" i="32"/>
  <c r="Q87" i="32"/>
  <c r="Q83" i="32"/>
  <c r="Q79" i="32"/>
  <c r="Q75" i="32"/>
  <c r="Q71" i="32"/>
  <c r="AG98" i="32"/>
  <c r="AJ98" i="32" s="1"/>
  <c r="H98" i="32"/>
  <c r="AG86" i="32"/>
  <c r="AJ86" i="32" s="1"/>
  <c r="H86" i="32"/>
  <c r="AG74" i="32"/>
  <c r="AJ74" i="32" s="1"/>
  <c r="H74" i="32"/>
  <c r="AF97" i="32"/>
  <c r="AF93" i="32"/>
  <c r="AF89" i="32"/>
  <c r="AF85" i="32"/>
  <c r="AF81" i="32"/>
  <c r="AF77" i="32"/>
  <c r="AF73" i="32"/>
  <c r="AG96" i="32"/>
  <c r="H96" i="32"/>
  <c r="AG92" i="32"/>
  <c r="H92" i="32"/>
  <c r="AG88" i="32"/>
  <c r="H88" i="32"/>
  <c r="AG84" i="32"/>
  <c r="H84" i="32"/>
  <c r="AG80" i="32"/>
  <c r="H80" i="32"/>
  <c r="AG76" i="32"/>
  <c r="H76" i="32"/>
  <c r="AG72" i="32"/>
  <c r="H72" i="32"/>
  <c r="Q98" i="32"/>
  <c r="Q94" i="32"/>
  <c r="Q90" i="32"/>
  <c r="Q86" i="32"/>
  <c r="Q82" i="32"/>
  <c r="Q78" i="32"/>
  <c r="Q74" i="32"/>
  <c r="Q70" i="32"/>
  <c r="AG90" i="32"/>
  <c r="AJ90" i="32" s="1"/>
  <c r="H90" i="32"/>
  <c r="AG78" i="32"/>
  <c r="AJ78" i="32" s="1"/>
  <c r="H78" i="32"/>
  <c r="AG70" i="32"/>
  <c r="AJ70" i="32" s="1"/>
  <c r="H70" i="32"/>
  <c r="AG99" i="32"/>
  <c r="AJ99" i="32" s="1"/>
  <c r="H99" i="32"/>
  <c r="AG95" i="32"/>
  <c r="AJ95" i="32" s="1"/>
  <c r="H95" i="32"/>
  <c r="H91" i="32"/>
  <c r="AG91" i="32"/>
  <c r="AJ91" i="32" s="1"/>
  <c r="H87" i="32"/>
  <c r="AG87" i="32"/>
  <c r="AJ87" i="32" s="1"/>
  <c r="H83" i="32"/>
  <c r="AG83" i="32"/>
  <c r="AJ83" i="32" s="1"/>
  <c r="H79" i="32"/>
  <c r="AG79" i="32"/>
  <c r="AJ79" i="32" s="1"/>
  <c r="H75" i="32"/>
  <c r="AG75" i="32"/>
  <c r="AJ75" i="32" s="1"/>
  <c r="H71" i="32"/>
  <c r="AG71" i="32"/>
  <c r="AJ71" i="32" s="1"/>
  <c r="Q97" i="32"/>
  <c r="Q93" i="32"/>
  <c r="Q89" i="32"/>
  <c r="Q85" i="32"/>
  <c r="Q81" i="32"/>
  <c r="Q77" i="32"/>
  <c r="Q73" i="32"/>
  <c r="P71" i="32"/>
  <c r="P81" i="32"/>
  <c r="P85" i="32"/>
  <c r="O100" i="32"/>
  <c r="G97" i="32"/>
  <c r="P97" i="32"/>
  <c r="P99" i="32"/>
  <c r="P98" i="32"/>
  <c r="G98" i="32"/>
  <c r="G93" i="32"/>
  <c r="P95" i="32"/>
  <c r="G96" i="32"/>
  <c r="P90" i="32"/>
  <c r="G94" i="32"/>
  <c r="G90" i="32"/>
  <c r="P96" i="32"/>
  <c r="P92" i="32"/>
  <c r="P91" i="32"/>
  <c r="G92" i="32"/>
  <c r="P94" i="32"/>
  <c r="G95" i="32"/>
  <c r="G91" i="32"/>
  <c r="P93" i="32"/>
  <c r="G89" i="32"/>
  <c r="P89" i="32"/>
  <c r="G88" i="32"/>
  <c r="P88" i="32"/>
  <c r="P78" i="32"/>
  <c r="P79" i="32"/>
  <c r="G80" i="32"/>
  <c r="P80" i="32"/>
  <c r="P76" i="32"/>
  <c r="G79" i="32"/>
  <c r="P77" i="32"/>
  <c r="G77" i="32"/>
  <c r="G76" i="32"/>
  <c r="P75" i="32"/>
  <c r="P74" i="32"/>
  <c r="G74" i="32"/>
  <c r="P73" i="32"/>
  <c r="P70" i="32"/>
  <c r="G70" i="32"/>
  <c r="G71" i="32"/>
  <c r="G72" i="32"/>
  <c r="P84" i="32"/>
  <c r="P87" i="32"/>
  <c r="P83" i="32"/>
  <c r="G84" i="32"/>
  <c r="G86" i="32"/>
  <c r="G78" i="32"/>
  <c r="G82" i="32"/>
  <c r="G85" i="32"/>
  <c r="G81" i="32"/>
  <c r="G87" i="32"/>
  <c r="G83" i="32"/>
  <c r="P72" i="32"/>
  <c r="K100" i="32"/>
  <c r="P86" i="32"/>
  <c r="P82" i="32"/>
  <c r="N100" i="32"/>
  <c r="G73" i="32"/>
  <c r="G75" i="32"/>
  <c r="F100" i="32"/>
  <c r="E100" i="32"/>
  <c r="M100" i="32"/>
  <c r="D100" i="32"/>
  <c r="AJ84" i="32" l="1"/>
  <c r="AJ76" i="32"/>
  <c r="AJ92" i="32"/>
  <c r="H100" i="32"/>
  <c r="AF100" i="32"/>
  <c r="Q100" i="32"/>
  <c r="AJ85" i="32"/>
  <c r="AJ72" i="32"/>
  <c r="AJ80" i="32"/>
  <c r="AJ88" i="32"/>
  <c r="AJ96" i="32"/>
  <c r="AH100" i="32"/>
  <c r="AJ77" i="32"/>
  <c r="AJ93" i="32"/>
  <c r="AG100" i="32"/>
  <c r="AJ69" i="32"/>
  <c r="AJ73" i="32"/>
  <c r="AJ81" i="32"/>
  <c r="AJ89" i="32"/>
  <c r="AJ97" i="32"/>
  <c r="P100" i="32"/>
  <c r="AJ100" i="32" l="1"/>
  <c r="A32" i="16"/>
  <c r="T32" i="16" s="1"/>
  <c r="A33" i="16"/>
  <c r="T33" i="16" s="1"/>
  <c r="A34" i="16"/>
  <c r="T34" i="16" s="1"/>
  <c r="A33" i="13"/>
  <c r="A34" i="13"/>
  <c r="A33" i="12"/>
  <c r="A34" i="12"/>
  <c r="A33" i="11"/>
  <c r="A34" i="11"/>
  <c r="A33" i="10"/>
  <c r="A34" i="10"/>
  <c r="A33" i="9"/>
  <c r="A34" i="9"/>
  <c r="A33" i="8"/>
  <c r="A34" i="8"/>
  <c r="A32" i="5"/>
  <c r="A33" i="5"/>
  <c r="A34" i="5"/>
  <c r="A33" i="7"/>
  <c r="A34" i="7"/>
  <c r="L100" i="32" l="1"/>
  <c r="A6" i="16" l="1"/>
  <c r="T6" i="16" s="1"/>
  <c r="A7" i="16"/>
  <c r="T7" i="16" s="1"/>
  <c r="A8" i="16"/>
  <c r="T8" i="16" s="1"/>
  <c r="A9" i="16"/>
  <c r="T9" i="16" s="1"/>
  <c r="A10" i="16"/>
  <c r="T10" i="16" s="1"/>
  <c r="A11" i="16"/>
  <c r="T11" i="16" s="1"/>
  <c r="A12" i="16"/>
  <c r="T12" i="16" s="1"/>
  <c r="A13" i="16"/>
  <c r="T13" i="16" s="1"/>
  <c r="A14" i="16"/>
  <c r="T14" i="16" s="1"/>
  <c r="A15" i="16"/>
  <c r="T15" i="16" s="1"/>
  <c r="A16" i="16"/>
  <c r="T16" i="16" s="1"/>
  <c r="A17" i="16"/>
  <c r="T17" i="16" s="1"/>
  <c r="A18" i="16"/>
  <c r="T18" i="16" s="1"/>
  <c r="A19" i="16"/>
  <c r="T19" i="16" s="1"/>
  <c r="A20" i="16"/>
  <c r="T20" i="16" s="1"/>
  <c r="A21" i="16"/>
  <c r="T21" i="16" s="1"/>
  <c r="A22" i="16"/>
  <c r="T22" i="16" s="1"/>
  <c r="A23" i="16"/>
  <c r="T23" i="16" s="1"/>
  <c r="A24" i="16"/>
  <c r="T24" i="16" s="1"/>
  <c r="A25" i="16"/>
  <c r="T25" i="16" s="1"/>
  <c r="A26" i="16"/>
  <c r="T26" i="16" s="1"/>
  <c r="A27" i="16"/>
  <c r="T27" i="16" s="1"/>
  <c r="A28" i="16"/>
  <c r="T28" i="16" s="1"/>
  <c r="A29" i="16"/>
  <c r="T29" i="16" s="1"/>
  <c r="A30" i="16"/>
  <c r="T30" i="16" s="1"/>
  <c r="A31" i="16"/>
  <c r="T31" i="16" s="1"/>
  <c r="A5" i="16"/>
  <c r="T5" i="16" s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5" i="13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5" i="12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5" i="11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5" i="10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5" i="9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5" i="8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5" i="5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5" i="7"/>
  <c r="Q34" i="6" l="1"/>
  <c r="C34" i="6"/>
  <c r="C35" i="6"/>
  <c r="C100" i="32" l="1"/>
  <c r="L6" i="29" l="1"/>
  <c r="D9" i="29" l="1"/>
  <c r="D36" i="5" l="1"/>
  <c r="E36" i="5"/>
  <c r="F36" i="5"/>
  <c r="G36" i="5"/>
  <c r="J39" i="29" l="1"/>
  <c r="V35" i="6" l="1"/>
  <c r="Q35" i="6"/>
  <c r="V34" i="6"/>
  <c r="O35" i="6"/>
  <c r="O34" i="6"/>
  <c r="H34" i="6"/>
  <c r="AE100" i="32" l="1"/>
  <c r="U100" i="32"/>
  <c r="J36" i="8" l="1"/>
  <c r="J36" i="10"/>
  <c r="B36" i="10"/>
  <c r="C36" i="10"/>
  <c r="D36" i="10"/>
  <c r="E36" i="10"/>
  <c r="F36" i="10"/>
  <c r="G36" i="10"/>
  <c r="AB25" i="6" l="1"/>
  <c r="AB26" i="6"/>
  <c r="AB27" i="6"/>
  <c r="AB28" i="6"/>
  <c r="AB29" i="6"/>
  <c r="AB30" i="6"/>
  <c r="AB31" i="6"/>
  <c r="AB32" i="6"/>
  <c r="AB33" i="6"/>
  <c r="AB34" i="6"/>
  <c r="AB3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A27" i="6"/>
  <c r="AA28" i="6"/>
  <c r="AA29" i="6"/>
  <c r="AA30" i="6"/>
  <c r="AA31" i="6"/>
  <c r="AA32" i="6"/>
  <c r="AA33" i="6"/>
  <c r="AA34" i="6"/>
  <c r="AA3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Z26" i="6"/>
  <c r="Z27" i="6"/>
  <c r="Z28" i="6"/>
  <c r="Z29" i="6"/>
  <c r="Z30" i="6"/>
  <c r="Z31" i="6"/>
  <c r="Z32" i="6"/>
  <c r="Z33" i="6"/>
  <c r="Z34" i="6"/>
  <c r="Z3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AE27" i="6" l="1"/>
  <c r="AE20" i="6"/>
  <c r="AE16" i="6"/>
  <c r="AE12" i="6"/>
  <c r="AE8" i="6"/>
  <c r="AE34" i="6"/>
  <c r="AE30" i="6"/>
  <c r="AE26" i="6"/>
  <c r="AE22" i="6"/>
  <c r="AE18" i="6"/>
  <c r="AE14" i="6"/>
  <c r="AE10" i="6"/>
  <c r="AE6" i="6"/>
  <c r="AE32" i="6"/>
  <c r="AE28" i="6"/>
  <c r="AE25" i="6"/>
  <c r="AE21" i="6"/>
  <c r="AE17" i="6"/>
  <c r="AE13" i="6"/>
  <c r="AE9" i="6"/>
  <c r="AE35" i="6"/>
  <c r="AE31" i="6"/>
  <c r="AE24" i="6"/>
  <c r="AE23" i="6"/>
  <c r="AE19" i="6"/>
  <c r="AE15" i="6"/>
  <c r="AE11" i="6"/>
  <c r="AE7" i="6"/>
  <c r="AE33" i="6"/>
  <c r="AE29" i="6"/>
  <c r="R36" i="13"/>
  <c r="P36" i="13"/>
  <c r="K36" i="13"/>
  <c r="I36" i="13"/>
  <c r="D36" i="13"/>
  <c r="B36" i="13"/>
  <c r="R36" i="12"/>
  <c r="P36" i="12"/>
  <c r="K36" i="12"/>
  <c r="I36" i="12"/>
  <c r="D36" i="12"/>
  <c r="B36" i="12"/>
  <c r="R36" i="11"/>
  <c r="P36" i="11"/>
  <c r="K36" i="11"/>
  <c r="I36" i="11"/>
  <c r="D36" i="11"/>
  <c r="B36" i="11"/>
  <c r="R36" i="10"/>
  <c r="P36" i="10"/>
  <c r="K36" i="10"/>
  <c r="I36" i="10"/>
  <c r="R36" i="9"/>
  <c r="P36" i="9"/>
  <c r="K36" i="9"/>
  <c r="I36" i="9"/>
  <c r="D36" i="9"/>
  <c r="B36" i="9"/>
  <c r="R36" i="8"/>
  <c r="P36" i="8"/>
  <c r="K36" i="8"/>
  <c r="I36" i="8"/>
  <c r="D36" i="8"/>
  <c r="B36" i="8"/>
  <c r="R36" i="5"/>
  <c r="P36" i="5"/>
  <c r="K36" i="5"/>
  <c r="I36" i="5"/>
  <c r="B36" i="5"/>
  <c r="R36" i="7"/>
  <c r="P36" i="7"/>
  <c r="K36" i="7"/>
  <c r="I36" i="7"/>
  <c r="D36" i="7"/>
  <c r="B36" i="7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34" i="13"/>
  <c r="Y35" i="13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5" i="13"/>
  <c r="Y5" i="12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5" i="11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5" i="10"/>
  <c r="Y26" i="9"/>
  <c r="Y27" i="9"/>
  <c r="Y28" i="9"/>
  <c r="Y29" i="9"/>
  <c r="Y30" i="9"/>
  <c r="Y31" i="9"/>
  <c r="Y32" i="9"/>
  <c r="Y33" i="9"/>
  <c r="Y34" i="9"/>
  <c r="Y35" i="9"/>
  <c r="Y6" i="9"/>
  <c r="Y7" i="9"/>
  <c r="Y8" i="9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5" i="9"/>
  <c r="Y30" i="8"/>
  <c r="Y31" i="8"/>
  <c r="Y32" i="8"/>
  <c r="Y33" i="8"/>
  <c r="Y34" i="8"/>
  <c r="Y3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5" i="8"/>
  <c r="Y33" i="5"/>
  <c r="Y34" i="5"/>
  <c r="Y35" i="5"/>
  <c r="Y22" i="5"/>
  <c r="Y23" i="5"/>
  <c r="Y24" i="5"/>
  <c r="Y25" i="5"/>
  <c r="Y26" i="5"/>
  <c r="Y27" i="5"/>
  <c r="Y28" i="5"/>
  <c r="Y29" i="5"/>
  <c r="Y30" i="5"/>
  <c r="Y31" i="5"/>
  <c r="Y32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5" i="5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5" i="7"/>
  <c r="W31" i="13"/>
  <c r="W32" i="13"/>
  <c r="W33" i="13"/>
  <c r="W34" i="13"/>
  <c r="W3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5" i="13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5" i="12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5" i="11"/>
  <c r="W6" i="10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5" i="10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5" i="9"/>
  <c r="W35" i="8"/>
  <c r="W29" i="8"/>
  <c r="W30" i="8"/>
  <c r="W31" i="8"/>
  <c r="W32" i="8"/>
  <c r="W33" i="8"/>
  <c r="W34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5" i="8"/>
  <c r="W28" i="5"/>
  <c r="W29" i="5"/>
  <c r="W30" i="5"/>
  <c r="W31" i="5"/>
  <c r="W32" i="5"/>
  <c r="W33" i="5"/>
  <c r="W34" i="5"/>
  <c r="W35" i="5"/>
  <c r="W16" i="5"/>
  <c r="W17" i="5"/>
  <c r="W18" i="5"/>
  <c r="W19" i="5"/>
  <c r="W20" i="5"/>
  <c r="W21" i="5"/>
  <c r="W22" i="5"/>
  <c r="W23" i="5"/>
  <c r="W24" i="5"/>
  <c r="W25" i="5"/>
  <c r="W26" i="5"/>
  <c r="W27" i="5"/>
  <c r="W6" i="5"/>
  <c r="W7" i="5"/>
  <c r="W8" i="5"/>
  <c r="W9" i="5"/>
  <c r="W10" i="5"/>
  <c r="W11" i="5"/>
  <c r="W12" i="5"/>
  <c r="W13" i="5"/>
  <c r="W14" i="5"/>
  <c r="W15" i="5"/>
  <c r="W5" i="5"/>
  <c r="W32" i="7"/>
  <c r="W33" i="7"/>
  <c r="W34" i="7"/>
  <c r="W3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5" i="7"/>
  <c r="Z10" i="7"/>
  <c r="Z11" i="7"/>
  <c r="Z12" i="7"/>
  <c r="Z13" i="7"/>
  <c r="Z14" i="7"/>
  <c r="Y36" i="8" l="1"/>
  <c r="Y36" i="10"/>
  <c r="Y36" i="9"/>
  <c r="Y36" i="5"/>
  <c r="Y36" i="12"/>
  <c r="Y36" i="11"/>
  <c r="Y36" i="13"/>
  <c r="Y36" i="7"/>
  <c r="W36" i="13"/>
  <c r="W36" i="12"/>
  <c r="W36" i="11"/>
  <c r="W36" i="8"/>
  <c r="W36" i="10"/>
  <c r="W36" i="9"/>
  <c r="W36" i="5"/>
  <c r="W36" i="7"/>
  <c r="H35" i="6"/>
  <c r="Y27" i="6"/>
  <c r="D27" i="16" s="1"/>
  <c r="Y28" i="6"/>
  <c r="D28" i="16" s="1"/>
  <c r="Y29" i="6"/>
  <c r="D29" i="16" s="1"/>
  <c r="Y30" i="6"/>
  <c r="D30" i="16" s="1"/>
  <c r="Y31" i="6"/>
  <c r="D31" i="16" s="1"/>
  <c r="Y32" i="6"/>
  <c r="D32" i="16" s="1"/>
  <c r="Y33" i="6"/>
  <c r="D33" i="16" s="1"/>
  <c r="Y34" i="6"/>
  <c r="D34" i="16" s="1"/>
  <c r="Y35" i="6"/>
  <c r="D35" i="16" s="1"/>
  <c r="Y6" i="6"/>
  <c r="D6" i="16" s="1"/>
  <c r="Y7" i="6"/>
  <c r="D7" i="16" s="1"/>
  <c r="Y8" i="6"/>
  <c r="D8" i="16" s="1"/>
  <c r="Y9" i="6"/>
  <c r="D9" i="16" s="1"/>
  <c r="Y10" i="6"/>
  <c r="D10" i="16" s="1"/>
  <c r="Y11" i="6"/>
  <c r="D11" i="16" s="1"/>
  <c r="Y12" i="6"/>
  <c r="D12" i="16" s="1"/>
  <c r="Y13" i="6"/>
  <c r="D13" i="16" s="1"/>
  <c r="Y14" i="6"/>
  <c r="D14" i="16" s="1"/>
  <c r="Y15" i="6"/>
  <c r="D15" i="16" s="1"/>
  <c r="Y16" i="6"/>
  <c r="D16" i="16" s="1"/>
  <c r="Y17" i="6"/>
  <c r="D17" i="16" s="1"/>
  <c r="Y18" i="6"/>
  <c r="D18" i="16" s="1"/>
  <c r="Y19" i="6"/>
  <c r="D19" i="16" s="1"/>
  <c r="Y20" i="6"/>
  <c r="D20" i="16" s="1"/>
  <c r="Y21" i="6"/>
  <c r="D21" i="16" s="1"/>
  <c r="Y22" i="6"/>
  <c r="D22" i="16" s="1"/>
  <c r="Y23" i="6"/>
  <c r="D23" i="16" s="1"/>
  <c r="Y24" i="6"/>
  <c r="D24" i="16" s="1"/>
  <c r="Y25" i="6"/>
  <c r="D25" i="16" s="1"/>
  <c r="Y26" i="6"/>
  <c r="D26" i="16" s="1"/>
  <c r="Y5" i="6"/>
  <c r="D5" i="16" s="1"/>
  <c r="D36" i="16" s="1"/>
  <c r="W27" i="6"/>
  <c r="W28" i="6"/>
  <c r="W29" i="6"/>
  <c r="W30" i="6"/>
  <c r="W31" i="6"/>
  <c r="W32" i="6"/>
  <c r="W33" i="6"/>
  <c r="W34" i="6"/>
  <c r="W35" i="6"/>
  <c r="W6" i="6"/>
  <c r="B6" i="16" s="1"/>
  <c r="W7" i="6"/>
  <c r="B7" i="16" s="1"/>
  <c r="W8" i="6"/>
  <c r="W9" i="6"/>
  <c r="W10" i="6"/>
  <c r="B10" i="16" s="1"/>
  <c r="W11" i="6"/>
  <c r="B11" i="16" s="1"/>
  <c r="W12" i="6"/>
  <c r="B12" i="16" s="1"/>
  <c r="W13" i="6"/>
  <c r="B13" i="16" s="1"/>
  <c r="W14" i="6"/>
  <c r="B14" i="16" s="1"/>
  <c r="W15" i="6"/>
  <c r="B15" i="16" s="1"/>
  <c r="W16" i="6"/>
  <c r="B16" i="16" s="1"/>
  <c r="W17" i="6"/>
  <c r="B17" i="16" s="1"/>
  <c r="W18" i="6"/>
  <c r="B18" i="16" s="1"/>
  <c r="W19" i="6"/>
  <c r="B19" i="16" s="1"/>
  <c r="W20" i="6"/>
  <c r="B20" i="16" s="1"/>
  <c r="W21" i="6"/>
  <c r="W22" i="6"/>
  <c r="W23" i="6"/>
  <c r="W24" i="6"/>
  <c r="W25" i="6"/>
  <c r="W26" i="6"/>
  <c r="W5" i="6"/>
  <c r="R36" i="6"/>
  <c r="P36" i="6"/>
  <c r="K36" i="6"/>
  <c r="D36" i="6"/>
  <c r="B36" i="6"/>
  <c r="AD34" i="6" l="1"/>
  <c r="B34" i="16"/>
  <c r="B5" i="16"/>
  <c r="V5" i="16" s="1"/>
  <c r="AD26" i="6"/>
  <c r="B26" i="16"/>
  <c r="AD22" i="6"/>
  <c r="B22" i="16"/>
  <c r="AD25" i="6"/>
  <c r="B25" i="16"/>
  <c r="V25" i="16" s="1"/>
  <c r="AD21" i="6"/>
  <c r="B21" i="16"/>
  <c r="AD9" i="6"/>
  <c r="B9" i="16"/>
  <c r="AD35" i="6"/>
  <c r="B35" i="16"/>
  <c r="V35" i="16" s="1"/>
  <c r="AD31" i="6"/>
  <c r="B31" i="16"/>
  <c r="AD27" i="6"/>
  <c r="B27" i="16"/>
  <c r="V27" i="16" s="1"/>
  <c r="AD24" i="6"/>
  <c r="B24" i="16"/>
  <c r="AD8" i="6"/>
  <c r="B8" i="16"/>
  <c r="AD23" i="6"/>
  <c r="B23" i="16"/>
  <c r="V23" i="16" s="1"/>
  <c r="AD33" i="6"/>
  <c r="B33" i="16"/>
  <c r="V33" i="16" s="1"/>
  <c r="AD29" i="6"/>
  <c r="B29" i="16"/>
  <c r="V29" i="16" s="1"/>
  <c r="AD30" i="6"/>
  <c r="B30" i="16"/>
  <c r="V30" i="16" s="1"/>
  <c r="AD32" i="6"/>
  <c r="B32" i="16"/>
  <c r="V32" i="16" s="1"/>
  <c r="AD28" i="6"/>
  <c r="B28" i="16"/>
  <c r="V28" i="16" s="1"/>
  <c r="V17" i="16"/>
  <c r="AD17" i="6"/>
  <c r="V16" i="16"/>
  <c r="AD16" i="6"/>
  <c r="V13" i="16"/>
  <c r="AD13" i="6"/>
  <c r="V12" i="16"/>
  <c r="AD12" i="6"/>
  <c r="V7" i="16"/>
  <c r="AD7" i="6"/>
  <c r="V20" i="16"/>
  <c r="AD20" i="6"/>
  <c r="V19" i="16"/>
  <c r="AD19" i="6"/>
  <c r="V15" i="16"/>
  <c r="AD15" i="6"/>
  <c r="V11" i="16"/>
  <c r="AD11" i="6"/>
  <c r="V18" i="16"/>
  <c r="AD18" i="6"/>
  <c r="V14" i="16"/>
  <c r="AD14" i="6"/>
  <c r="V10" i="16"/>
  <c r="AD10" i="6"/>
  <c r="AC6" i="6"/>
  <c r="AD6" i="6"/>
  <c r="V6" i="16"/>
  <c r="AC35" i="6"/>
  <c r="AC29" i="6"/>
  <c r="AC22" i="6"/>
  <c r="V22" i="16"/>
  <c r="AC34" i="6"/>
  <c r="V34" i="16"/>
  <c r="AC28" i="6"/>
  <c r="AC23" i="6"/>
  <c r="AC21" i="6"/>
  <c r="V21" i="16"/>
  <c r="AC9" i="6"/>
  <c r="V9" i="16"/>
  <c r="AC33" i="6"/>
  <c r="AC26" i="6"/>
  <c r="V26" i="16"/>
  <c r="AC32" i="6"/>
  <c r="AC31" i="6"/>
  <c r="V31" i="16"/>
  <c r="AC27" i="6"/>
  <c r="AC8" i="6"/>
  <c r="V8" i="16"/>
  <c r="AC25" i="6"/>
  <c r="AC24" i="6"/>
  <c r="V24" i="16"/>
  <c r="AC30" i="6"/>
  <c r="AC20" i="6"/>
  <c r="AC19" i="6"/>
  <c r="AC18" i="6"/>
  <c r="AC17" i="6"/>
  <c r="AC16" i="6"/>
  <c r="AC15" i="6"/>
  <c r="AC14" i="6"/>
  <c r="AC13" i="6"/>
  <c r="AC12" i="6"/>
  <c r="AC11" i="6"/>
  <c r="AC10" i="6"/>
  <c r="AC7" i="6"/>
  <c r="W36" i="6"/>
  <c r="Y36" i="6"/>
  <c r="AA29" i="9"/>
  <c r="AA30" i="9"/>
  <c r="AA31" i="9"/>
  <c r="AA32" i="9"/>
  <c r="AA33" i="9"/>
  <c r="AA34" i="9"/>
  <c r="AA35" i="9"/>
  <c r="AD35" i="9" l="1"/>
  <c r="AD31" i="9"/>
  <c r="AD34" i="9"/>
  <c r="AD30" i="9"/>
  <c r="AD33" i="9"/>
  <c r="AD29" i="9"/>
  <c r="AD32" i="9"/>
  <c r="V36" i="16"/>
  <c r="G99" i="32"/>
  <c r="B100" i="32"/>
  <c r="B36" i="16"/>
  <c r="AA26" i="11"/>
  <c r="AA27" i="11"/>
  <c r="AA28" i="11"/>
  <c r="AA29" i="11"/>
  <c r="AA30" i="11"/>
  <c r="AA31" i="11"/>
  <c r="AA32" i="11"/>
  <c r="AA33" i="11"/>
  <c r="AA34" i="11"/>
  <c r="AA35" i="11"/>
  <c r="AD34" i="11" l="1"/>
  <c r="AD30" i="11"/>
  <c r="AD33" i="11"/>
  <c r="AD29" i="11"/>
  <c r="AD32" i="11"/>
  <c r="AD35" i="11"/>
  <c r="AD31" i="11"/>
  <c r="AD28" i="11"/>
  <c r="AD27" i="11"/>
  <c r="AD26" i="11"/>
  <c r="G100" i="32"/>
  <c r="AA32" i="10"/>
  <c r="AA33" i="10"/>
  <c r="AA34" i="10"/>
  <c r="AA3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D31" i="10" l="1"/>
  <c r="AD27" i="10"/>
  <c r="AD35" i="10"/>
  <c r="AD29" i="10"/>
  <c r="AD33" i="10"/>
  <c r="AD28" i="10"/>
  <c r="AD32" i="10"/>
  <c r="AD30" i="10"/>
  <c r="AD34" i="10"/>
  <c r="AD26" i="10"/>
  <c r="AD21" i="10"/>
  <c r="AD22" i="10"/>
  <c r="AD25" i="10"/>
  <c r="AD24" i="10"/>
  <c r="AD16" i="10"/>
  <c r="AD18" i="10"/>
  <c r="AD17" i="10"/>
  <c r="AD20" i="10"/>
  <c r="AD23" i="10"/>
  <c r="AD19" i="10"/>
  <c r="AA31" i="5"/>
  <c r="AA32" i="5"/>
  <c r="AA33" i="5"/>
  <c r="AA34" i="5"/>
  <c r="AA35" i="5"/>
  <c r="AA23" i="5"/>
  <c r="AA24" i="5"/>
  <c r="AA25" i="5"/>
  <c r="AA26" i="5"/>
  <c r="AA27" i="5"/>
  <c r="AA28" i="5"/>
  <c r="AA29" i="5"/>
  <c r="AA30" i="5"/>
  <c r="AD33" i="5" l="1"/>
  <c r="AD32" i="5"/>
  <c r="AD31" i="5"/>
  <c r="AD30" i="5"/>
  <c r="AD35" i="5"/>
  <c r="AD34" i="5"/>
  <c r="AD26" i="5"/>
  <c r="AD25" i="5"/>
  <c r="AD24" i="5"/>
  <c r="AD29" i="5"/>
  <c r="AD28" i="5"/>
  <c r="AD27" i="5"/>
  <c r="AD23" i="5"/>
  <c r="Z35" i="12"/>
  <c r="Z29" i="12"/>
  <c r="Z30" i="12"/>
  <c r="Z31" i="12"/>
  <c r="Z32" i="12"/>
  <c r="Z33" i="12"/>
  <c r="Z34" i="12"/>
  <c r="Z23" i="12"/>
  <c r="Z24" i="12"/>
  <c r="Z25" i="12"/>
  <c r="Z26" i="12"/>
  <c r="Z27" i="12"/>
  <c r="Z28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5" i="12"/>
  <c r="S36" i="12"/>
  <c r="L36" i="12"/>
  <c r="E36" i="12"/>
  <c r="Z36" i="12" l="1"/>
  <c r="S36" i="13"/>
  <c r="L36" i="13"/>
  <c r="E36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5" i="13"/>
  <c r="Z36" i="13" l="1"/>
  <c r="S36" i="11"/>
  <c r="L36" i="11"/>
  <c r="E36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AE26" i="11" s="1"/>
  <c r="Z27" i="11"/>
  <c r="AE27" i="11" s="1"/>
  <c r="Z28" i="11"/>
  <c r="AE28" i="11" s="1"/>
  <c r="Z29" i="11"/>
  <c r="AE29" i="11" s="1"/>
  <c r="Z30" i="11"/>
  <c r="AE30" i="11" s="1"/>
  <c r="Z31" i="11"/>
  <c r="AE31" i="11" s="1"/>
  <c r="Z32" i="11"/>
  <c r="AE32" i="11" s="1"/>
  <c r="Z33" i="11"/>
  <c r="AE33" i="11" s="1"/>
  <c r="Z34" i="11"/>
  <c r="AE34" i="11" s="1"/>
  <c r="Z35" i="11"/>
  <c r="AE35" i="11" s="1"/>
  <c r="Z5" i="11"/>
  <c r="S36" i="10"/>
  <c r="L36" i="10"/>
  <c r="Z6" i="10"/>
  <c r="Z7" i="10"/>
  <c r="Z8" i="10"/>
  <c r="Z9" i="10"/>
  <c r="Z10" i="10"/>
  <c r="Z11" i="10"/>
  <c r="Z12" i="10"/>
  <c r="Z13" i="10"/>
  <c r="Z14" i="10"/>
  <c r="Z15" i="10"/>
  <c r="Z16" i="10"/>
  <c r="AE16" i="10" s="1"/>
  <c r="Z17" i="10"/>
  <c r="AE17" i="10" s="1"/>
  <c r="Z18" i="10"/>
  <c r="AE18" i="10" s="1"/>
  <c r="Z19" i="10"/>
  <c r="AE19" i="10" s="1"/>
  <c r="Z20" i="10"/>
  <c r="AE20" i="10" s="1"/>
  <c r="Z21" i="10"/>
  <c r="AE21" i="10" s="1"/>
  <c r="Z22" i="10"/>
  <c r="AE22" i="10" s="1"/>
  <c r="Z23" i="10"/>
  <c r="AE23" i="10" s="1"/>
  <c r="Z24" i="10"/>
  <c r="AE24" i="10" s="1"/>
  <c r="Z25" i="10"/>
  <c r="AE25" i="10" s="1"/>
  <c r="Z26" i="10"/>
  <c r="AE26" i="10" s="1"/>
  <c r="Z27" i="10"/>
  <c r="AE27" i="10" s="1"/>
  <c r="Z28" i="10"/>
  <c r="AE28" i="10" s="1"/>
  <c r="Z29" i="10"/>
  <c r="AE29" i="10" s="1"/>
  <c r="Z30" i="10"/>
  <c r="AE30" i="10" s="1"/>
  <c r="Z31" i="10"/>
  <c r="AE31" i="10" s="1"/>
  <c r="Z32" i="10"/>
  <c r="AE32" i="10" s="1"/>
  <c r="Z33" i="10"/>
  <c r="AE33" i="10" s="1"/>
  <c r="Z34" i="10"/>
  <c r="AE34" i="10" s="1"/>
  <c r="Z35" i="10"/>
  <c r="AE35" i="10" s="1"/>
  <c r="Z5" i="10"/>
  <c r="S36" i="9"/>
  <c r="L36" i="9"/>
  <c r="E36" i="9"/>
  <c r="Z6" i="9"/>
  <c r="Z7" i="9"/>
  <c r="Z8" i="9"/>
  <c r="Z9" i="9"/>
  <c r="Z10" i="9"/>
  <c r="Z11" i="9"/>
  <c r="Z12" i="9"/>
  <c r="Z13" i="9"/>
  <c r="Z14" i="9"/>
  <c r="Z15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Z29" i="9"/>
  <c r="AE29" i="9" s="1"/>
  <c r="Z30" i="9"/>
  <c r="AE30" i="9" s="1"/>
  <c r="Z31" i="9"/>
  <c r="AE31" i="9" s="1"/>
  <c r="Z32" i="9"/>
  <c r="AE32" i="9" s="1"/>
  <c r="Z33" i="9"/>
  <c r="AE33" i="9" s="1"/>
  <c r="Z34" i="9"/>
  <c r="AE34" i="9" s="1"/>
  <c r="Z35" i="9"/>
  <c r="AE35" i="9" s="1"/>
  <c r="Z5" i="9"/>
  <c r="S36" i="8"/>
  <c r="L36" i="8"/>
  <c r="E36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5" i="8"/>
  <c r="S36" i="5"/>
  <c r="L36" i="5"/>
  <c r="Z6" i="5"/>
  <c r="Z7" i="5"/>
  <c r="Z8" i="5"/>
  <c r="Z9" i="5"/>
  <c r="Z10" i="5"/>
  <c r="E10" i="16" s="1"/>
  <c r="Z11" i="5"/>
  <c r="Z12" i="5"/>
  <c r="Z13" i="5"/>
  <c r="E13" i="16" s="1"/>
  <c r="Z14" i="5"/>
  <c r="E14" i="16" s="1"/>
  <c r="Z15" i="5"/>
  <c r="Z16" i="5"/>
  <c r="Z17" i="5"/>
  <c r="Z18" i="5"/>
  <c r="Z19" i="5"/>
  <c r="Z20" i="5"/>
  <c r="Z21" i="5"/>
  <c r="Z22" i="5"/>
  <c r="Z23" i="5"/>
  <c r="AE23" i="5" s="1"/>
  <c r="Z24" i="5"/>
  <c r="AE24" i="5" s="1"/>
  <c r="Z25" i="5"/>
  <c r="AE25" i="5" s="1"/>
  <c r="Z26" i="5"/>
  <c r="AE26" i="5" s="1"/>
  <c r="Z27" i="5"/>
  <c r="AE27" i="5" s="1"/>
  <c r="Z28" i="5"/>
  <c r="AE28" i="5" s="1"/>
  <c r="Z29" i="5"/>
  <c r="AE29" i="5" s="1"/>
  <c r="Z30" i="5"/>
  <c r="AE30" i="5" s="1"/>
  <c r="Z31" i="5"/>
  <c r="AE31" i="5" s="1"/>
  <c r="Z32" i="5"/>
  <c r="AE32" i="5" s="1"/>
  <c r="Z33" i="5"/>
  <c r="AE33" i="5" s="1"/>
  <c r="Z34" i="5"/>
  <c r="AE34" i="5" s="1"/>
  <c r="Z35" i="5"/>
  <c r="AE35" i="5" s="1"/>
  <c r="Z5" i="5"/>
  <c r="AI75" i="32" l="1"/>
  <c r="E11" i="16"/>
  <c r="E12" i="16"/>
  <c r="AI74" i="32"/>
  <c r="AI78" i="32"/>
  <c r="AI77" i="32"/>
  <c r="AI76" i="32"/>
  <c r="Z36" i="11"/>
  <c r="Z36" i="10"/>
  <c r="Z36" i="9"/>
  <c r="Z36" i="8"/>
  <c r="Z36" i="5"/>
  <c r="S36" i="7"/>
  <c r="L36" i="7"/>
  <c r="E36" i="7"/>
  <c r="Z35" i="7"/>
  <c r="E35" i="16" s="1"/>
  <c r="Z6" i="7"/>
  <c r="E6" i="16" s="1"/>
  <c r="Z7" i="7"/>
  <c r="E7" i="16" s="1"/>
  <c r="Z8" i="7"/>
  <c r="E8" i="16" s="1"/>
  <c r="Z9" i="7"/>
  <c r="E9" i="16" s="1"/>
  <c r="Z15" i="7"/>
  <c r="E15" i="16" s="1"/>
  <c r="Z16" i="7"/>
  <c r="E16" i="16" s="1"/>
  <c r="Z17" i="7"/>
  <c r="E17" i="16" s="1"/>
  <c r="Z18" i="7"/>
  <c r="E18" i="16" s="1"/>
  <c r="Z19" i="7"/>
  <c r="E19" i="16" s="1"/>
  <c r="Z20" i="7"/>
  <c r="E20" i="16" s="1"/>
  <c r="Z21" i="7"/>
  <c r="E21" i="16" s="1"/>
  <c r="Z22" i="7"/>
  <c r="E22" i="16" s="1"/>
  <c r="Z23" i="7"/>
  <c r="E23" i="16" s="1"/>
  <c r="Z24" i="7"/>
  <c r="E24" i="16" s="1"/>
  <c r="Z25" i="7"/>
  <c r="E25" i="16" s="1"/>
  <c r="Z26" i="7"/>
  <c r="E26" i="16" s="1"/>
  <c r="Z27" i="7"/>
  <c r="E27" i="16" s="1"/>
  <c r="Z28" i="7"/>
  <c r="E28" i="16" s="1"/>
  <c r="Z29" i="7"/>
  <c r="E29" i="16" s="1"/>
  <c r="Z30" i="7"/>
  <c r="E30" i="16" s="1"/>
  <c r="Z31" i="7"/>
  <c r="E31" i="16" s="1"/>
  <c r="Z32" i="7"/>
  <c r="E32" i="16" s="1"/>
  <c r="Z33" i="7"/>
  <c r="E33" i="16" s="1"/>
  <c r="Z34" i="7"/>
  <c r="E34" i="16" s="1"/>
  <c r="Z5" i="7"/>
  <c r="S36" i="6"/>
  <c r="L36" i="6"/>
  <c r="E36" i="6"/>
  <c r="Z5" i="6"/>
  <c r="E5" i="16" s="1"/>
  <c r="AI96" i="32" l="1"/>
  <c r="AI88" i="32"/>
  <c r="AI80" i="32"/>
  <c r="AI95" i="32"/>
  <c r="AI87" i="32"/>
  <c r="AI98" i="32"/>
  <c r="AI94" i="32"/>
  <c r="AI90" i="32"/>
  <c r="AI86" i="32"/>
  <c r="AI82" i="32"/>
  <c r="AI73" i="32"/>
  <c r="AI99" i="32"/>
  <c r="AI92" i="32"/>
  <c r="AI84" i="32"/>
  <c r="AI71" i="32"/>
  <c r="AI91" i="32"/>
  <c r="AI83" i="32"/>
  <c r="AI79" i="32"/>
  <c r="AI97" i="32"/>
  <c r="AI93" i="32"/>
  <c r="AI89" i="32"/>
  <c r="AI85" i="32"/>
  <c r="AI81" i="32"/>
  <c r="AI72" i="32"/>
  <c r="Z36" i="7"/>
  <c r="Z36" i="6"/>
  <c r="AD100" i="32" l="1"/>
  <c r="AI100" i="32" s="1"/>
  <c r="AI70" i="32"/>
  <c r="E36" i="16"/>
  <c r="AA20" i="5" l="1"/>
  <c r="AE20" i="5" l="1"/>
  <c r="AD20" i="5"/>
  <c r="E39" i="29"/>
  <c r="P41" i="26" l="1"/>
  <c r="X8" i="13" l="1"/>
  <c r="X9" i="13"/>
  <c r="X10" i="13"/>
  <c r="J11" i="29" l="1"/>
  <c r="X6" i="5" l="1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5" i="5"/>
  <c r="AA8" i="13"/>
  <c r="AA9" i="13"/>
  <c r="AA10" i="13"/>
  <c r="AE10" i="13" s="1"/>
  <c r="AA13" i="13"/>
  <c r="AA14" i="13"/>
  <c r="AA15" i="13"/>
  <c r="X35" i="9"/>
  <c r="X34" i="9"/>
  <c r="AB19" i="5"/>
  <c r="AC19" i="5" s="1"/>
  <c r="AB20" i="5"/>
  <c r="AC20" i="5" s="1"/>
  <c r="AB21" i="5"/>
  <c r="AC21" i="5" s="1"/>
  <c r="AB22" i="5"/>
  <c r="AC22" i="5" s="1"/>
  <c r="AE8" i="13" l="1"/>
  <c r="AD8" i="13"/>
  <c r="AD10" i="13"/>
  <c r="AE14" i="13"/>
  <c r="AD14" i="13"/>
  <c r="AE13" i="13"/>
  <c r="AD13" i="13"/>
  <c r="AE15" i="13"/>
  <c r="AD15" i="13"/>
  <c r="AE9" i="13"/>
  <c r="AD9" i="13"/>
  <c r="AB35" i="13"/>
  <c r="AC35" i="13" s="1"/>
  <c r="AA35" i="13"/>
  <c r="X35" i="13"/>
  <c r="AB35" i="9"/>
  <c r="AC35" i="9" s="1"/>
  <c r="AB35" i="8"/>
  <c r="AC35" i="8" s="1"/>
  <c r="AA35" i="8"/>
  <c r="X35" i="8"/>
  <c r="AE35" i="8" l="1"/>
  <c r="AD35" i="8"/>
  <c r="AE35" i="13"/>
  <c r="AD35" i="13"/>
  <c r="X23" i="10" l="1"/>
  <c r="AB35" i="10" l="1"/>
  <c r="AC35" i="10" s="1"/>
  <c r="X35" i="10"/>
  <c r="AB35" i="7"/>
  <c r="AA35" i="7"/>
  <c r="X35" i="7"/>
  <c r="AE35" i="7" l="1"/>
  <c r="AD35" i="7"/>
  <c r="AC35" i="7"/>
  <c r="L5" i="27" l="1"/>
  <c r="L5" i="28" s="1"/>
  <c r="J18" i="29" l="1"/>
  <c r="J12" i="29" l="1"/>
  <c r="J16" i="29"/>
  <c r="J17" i="29"/>
  <c r="J15" i="29" l="1"/>
  <c r="J14" i="29"/>
  <c r="J13" i="29"/>
  <c r="J24" i="29"/>
  <c r="J19" i="29"/>
  <c r="J10" i="29"/>
  <c r="J22" i="29"/>
  <c r="J20" i="29"/>
  <c r="J23" i="29"/>
  <c r="J21" i="29"/>
  <c r="AB26" i="11" l="1"/>
  <c r="AC26" i="11" s="1"/>
  <c r="AB34" i="5" l="1"/>
  <c r="AC34" i="5" l="1"/>
  <c r="X28" i="11" l="1"/>
  <c r="AB28" i="11"/>
  <c r="AC28" i="11" s="1"/>
  <c r="X29" i="11"/>
  <c r="AB29" i="11"/>
  <c r="AC29" i="11" s="1"/>
  <c r="X30" i="11"/>
  <c r="AB30" i="11"/>
  <c r="AC30" i="11" s="1"/>
  <c r="X31" i="11"/>
  <c r="AB31" i="11"/>
  <c r="AC31" i="11" s="1"/>
  <c r="X32" i="11"/>
  <c r="AB32" i="11"/>
  <c r="AC32" i="11" s="1"/>
  <c r="X33" i="11"/>
  <c r="AB33" i="11"/>
  <c r="AC33" i="11" s="1"/>
  <c r="X34" i="11"/>
  <c r="AB34" i="11"/>
  <c r="AC34" i="11" s="1"/>
  <c r="X35" i="11"/>
  <c r="AB35" i="11"/>
  <c r="AC35" i="11" s="1"/>
  <c r="X28" i="10"/>
  <c r="AB28" i="10"/>
  <c r="AC28" i="10" s="1"/>
  <c r="X29" i="10"/>
  <c r="AB29" i="10"/>
  <c r="AC29" i="10" s="1"/>
  <c r="X30" i="10"/>
  <c r="AB30" i="10"/>
  <c r="AC30" i="10" s="1"/>
  <c r="X31" i="10"/>
  <c r="AB31" i="10"/>
  <c r="AC31" i="10" s="1"/>
  <c r="X32" i="10"/>
  <c r="AB32" i="10"/>
  <c r="AC32" i="10" s="1"/>
  <c r="X33" i="10"/>
  <c r="AB33" i="10"/>
  <c r="AC33" i="10" s="1"/>
  <c r="X34" i="10"/>
  <c r="AB34" i="10"/>
  <c r="AC34" i="10" s="1"/>
  <c r="X28" i="6"/>
  <c r="X29" i="6"/>
  <c r="X30" i="6"/>
  <c r="X31" i="6"/>
  <c r="X32" i="6"/>
  <c r="X33" i="6"/>
  <c r="X34" i="6"/>
  <c r="X35" i="6"/>
  <c r="E26" i="29" l="1"/>
  <c r="E25" i="29"/>
  <c r="AH40" i="27"/>
  <c r="AF40" i="27"/>
  <c r="BC37" i="27"/>
  <c r="BC38" i="27" s="1"/>
  <c r="BC39" i="27" s="1"/>
  <c r="G9" i="27"/>
  <c r="G10" i="27" s="1"/>
  <c r="E27" i="29"/>
  <c r="E28" i="29"/>
  <c r="E29" i="29"/>
  <c r="E30" i="29"/>
  <c r="E31" i="29"/>
  <c r="G11" i="27" l="1"/>
  <c r="G12" i="27" s="1"/>
  <c r="G13" i="27" l="1"/>
  <c r="J25" i="29"/>
  <c r="J26" i="29"/>
  <c r="J27" i="29"/>
  <c r="J28" i="29"/>
  <c r="J29" i="29"/>
  <c r="J30" i="29"/>
  <c r="J31" i="29"/>
  <c r="J32" i="29"/>
  <c r="J33" i="29"/>
  <c r="J34" i="29"/>
  <c r="J35" i="29"/>
  <c r="J36" i="29"/>
  <c r="J37" i="29"/>
  <c r="J38" i="29"/>
  <c r="E18" i="29"/>
  <c r="E32" i="29"/>
  <c r="E33" i="29"/>
  <c r="E34" i="29"/>
  <c r="E35" i="29"/>
  <c r="E36" i="29"/>
  <c r="E37" i="29"/>
  <c r="E38" i="29"/>
  <c r="G14" i="27" l="1"/>
  <c r="E20" i="29"/>
  <c r="E21" i="29"/>
  <c r="E22" i="29"/>
  <c r="E23" i="29"/>
  <c r="E24" i="29"/>
  <c r="E19" i="29"/>
  <c r="G15" i="27" l="1"/>
  <c r="E11" i="29"/>
  <c r="L41" i="28"/>
  <c r="AI40" i="28"/>
  <c r="BC37" i="28"/>
  <c r="BC38" i="28" s="1"/>
  <c r="BC39" i="28" s="1"/>
  <c r="G9" i="28"/>
  <c r="G10" i="28" s="1"/>
  <c r="G11" i="28" s="1"/>
  <c r="G12" i="28" s="1"/>
  <c r="X6" i="8"/>
  <c r="AA6" i="8"/>
  <c r="AB6" i="8"/>
  <c r="AC6" i="8" s="1"/>
  <c r="X7" i="8"/>
  <c r="AA7" i="8"/>
  <c r="AB7" i="8"/>
  <c r="AC7" i="8" s="1"/>
  <c r="X8" i="8"/>
  <c r="AA8" i="8"/>
  <c r="AB8" i="8"/>
  <c r="AC8" i="8" s="1"/>
  <c r="X9" i="8"/>
  <c r="AA9" i="8"/>
  <c r="AB9" i="8"/>
  <c r="AC9" i="8" s="1"/>
  <c r="X10" i="8"/>
  <c r="AA10" i="8"/>
  <c r="AB10" i="8"/>
  <c r="AC10" i="8" s="1"/>
  <c r="X11" i="8"/>
  <c r="AA11" i="8"/>
  <c r="AB11" i="8"/>
  <c r="AC11" i="8" s="1"/>
  <c r="X12" i="8"/>
  <c r="AA12" i="8"/>
  <c r="AB12" i="8"/>
  <c r="AC12" i="8" s="1"/>
  <c r="X13" i="8"/>
  <c r="AA13" i="8"/>
  <c r="AB13" i="8"/>
  <c r="AC13" i="8" s="1"/>
  <c r="X14" i="8"/>
  <c r="AA14" i="8"/>
  <c r="AB14" i="8"/>
  <c r="AC14" i="8" s="1"/>
  <c r="X15" i="8"/>
  <c r="AA15" i="8"/>
  <c r="AB15" i="8"/>
  <c r="AC15" i="8" s="1"/>
  <c r="X16" i="8"/>
  <c r="AA16" i="8"/>
  <c r="AB16" i="8"/>
  <c r="AC16" i="8" s="1"/>
  <c r="X17" i="8"/>
  <c r="AA17" i="8"/>
  <c r="AB17" i="8"/>
  <c r="AC17" i="8" s="1"/>
  <c r="X18" i="8"/>
  <c r="AA18" i="8"/>
  <c r="AB18" i="8"/>
  <c r="AC18" i="8" s="1"/>
  <c r="X19" i="8"/>
  <c r="AA19" i="8"/>
  <c r="AB19" i="8"/>
  <c r="AC19" i="8" s="1"/>
  <c r="X20" i="8"/>
  <c r="AA20" i="8"/>
  <c r="AB20" i="8"/>
  <c r="AC20" i="8" s="1"/>
  <c r="X21" i="8"/>
  <c r="AA21" i="8"/>
  <c r="AB21" i="8"/>
  <c r="AC21" i="8" s="1"/>
  <c r="X22" i="8"/>
  <c r="AA22" i="8"/>
  <c r="AB22" i="8"/>
  <c r="AC22" i="8" s="1"/>
  <c r="X23" i="8"/>
  <c r="AA23" i="8"/>
  <c r="AB23" i="8"/>
  <c r="AC23" i="8" s="1"/>
  <c r="X24" i="8"/>
  <c r="AA24" i="8"/>
  <c r="AB24" i="8"/>
  <c r="AC24" i="8" s="1"/>
  <c r="X25" i="8"/>
  <c r="AA25" i="8"/>
  <c r="AB25" i="8"/>
  <c r="AC25" i="8" s="1"/>
  <c r="X26" i="8"/>
  <c r="AA26" i="8"/>
  <c r="AB26" i="8"/>
  <c r="AC26" i="8" s="1"/>
  <c r="X27" i="8"/>
  <c r="AA27" i="8"/>
  <c r="AB27" i="8"/>
  <c r="AC27" i="8" s="1"/>
  <c r="X28" i="8"/>
  <c r="AA28" i="8"/>
  <c r="AB28" i="8"/>
  <c r="AC28" i="8" s="1"/>
  <c r="X29" i="8"/>
  <c r="AA29" i="8"/>
  <c r="AB29" i="8"/>
  <c r="AC29" i="8" s="1"/>
  <c r="X30" i="8"/>
  <c r="AA30" i="8"/>
  <c r="AB30" i="8"/>
  <c r="AC30" i="8" s="1"/>
  <c r="X31" i="8"/>
  <c r="AA31" i="8"/>
  <c r="AB31" i="8"/>
  <c r="AC31" i="8" s="1"/>
  <c r="X32" i="8"/>
  <c r="AA32" i="8"/>
  <c r="AB32" i="8"/>
  <c r="AC32" i="8" s="1"/>
  <c r="X33" i="8"/>
  <c r="AA33" i="8"/>
  <c r="AB33" i="8"/>
  <c r="AC33" i="8" s="1"/>
  <c r="X34" i="8"/>
  <c r="AA34" i="8"/>
  <c r="AB34" i="8"/>
  <c r="X6" i="9"/>
  <c r="AA6" i="9"/>
  <c r="AB6" i="9"/>
  <c r="AC6" i="9" s="1"/>
  <c r="X7" i="9"/>
  <c r="AA7" i="9"/>
  <c r="AB7" i="9"/>
  <c r="AC7" i="9" s="1"/>
  <c r="X8" i="9"/>
  <c r="AA8" i="9"/>
  <c r="AB8" i="9"/>
  <c r="AC8" i="9" s="1"/>
  <c r="X9" i="9"/>
  <c r="AA9" i="9"/>
  <c r="AB9" i="9"/>
  <c r="AC9" i="9" s="1"/>
  <c r="X10" i="9"/>
  <c r="AA10" i="9"/>
  <c r="AB10" i="9"/>
  <c r="AC10" i="9" s="1"/>
  <c r="X11" i="9"/>
  <c r="AA11" i="9"/>
  <c r="AB11" i="9"/>
  <c r="AC11" i="9" s="1"/>
  <c r="X12" i="9"/>
  <c r="AA12" i="9"/>
  <c r="AB12" i="9"/>
  <c r="AC12" i="9" s="1"/>
  <c r="X13" i="9"/>
  <c r="AA13" i="9"/>
  <c r="AB13" i="9"/>
  <c r="AC13" i="9" s="1"/>
  <c r="X14" i="9"/>
  <c r="AA14" i="9"/>
  <c r="AB14" i="9"/>
  <c r="AC14" i="9" s="1"/>
  <c r="X15" i="9"/>
  <c r="AA15" i="9"/>
  <c r="AB15" i="9"/>
  <c r="X16" i="9"/>
  <c r="AA16" i="9"/>
  <c r="AB16" i="9"/>
  <c r="AC16" i="9" s="1"/>
  <c r="X17" i="9"/>
  <c r="AA17" i="9"/>
  <c r="AB17" i="9"/>
  <c r="AC17" i="9" s="1"/>
  <c r="X18" i="9"/>
  <c r="AA18" i="9"/>
  <c r="AB18" i="9"/>
  <c r="AC18" i="9" s="1"/>
  <c r="X19" i="9"/>
  <c r="AA19" i="9"/>
  <c r="AB19" i="9"/>
  <c r="AC19" i="9" s="1"/>
  <c r="X20" i="9"/>
  <c r="AA20" i="9"/>
  <c r="AB20" i="9"/>
  <c r="AC20" i="9" s="1"/>
  <c r="X21" i="9"/>
  <c r="AA21" i="9"/>
  <c r="AB21" i="9"/>
  <c r="AC21" i="9" s="1"/>
  <c r="X22" i="9"/>
  <c r="AA22" i="9"/>
  <c r="AB22" i="9"/>
  <c r="AC22" i="9" s="1"/>
  <c r="X23" i="9"/>
  <c r="AA23" i="9"/>
  <c r="AB23" i="9"/>
  <c r="AC23" i="9" s="1"/>
  <c r="X24" i="9"/>
  <c r="AA24" i="9"/>
  <c r="AB24" i="9"/>
  <c r="AC24" i="9" s="1"/>
  <c r="X25" i="9"/>
  <c r="AA25" i="9"/>
  <c r="AB25" i="9"/>
  <c r="AC25" i="9" s="1"/>
  <c r="X26" i="9"/>
  <c r="AA26" i="9"/>
  <c r="AB26" i="9"/>
  <c r="AC26" i="9" s="1"/>
  <c r="X27" i="9"/>
  <c r="AA27" i="9"/>
  <c r="AB27" i="9"/>
  <c r="AC27" i="9" s="1"/>
  <c r="X28" i="9"/>
  <c r="AA28" i="9"/>
  <c r="AB28" i="9"/>
  <c r="AC28" i="9" s="1"/>
  <c r="X29" i="9"/>
  <c r="AB29" i="9"/>
  <c r="AC29" i="9" s="1"/>
  <c r="X30" i="9"/>
  <c r="AB30" i="9"/>
  <c r="AC30" i="9" s="1"/>
  <c r="X31" i="9"/>
  <c r="AB31" i="9"/>
  <c r="AC31" i="9" s="1"/>
  <c r="X32" i="9"/>
  <c r="AB32" i="9"/>
  <c r="X33" i="9"/>
  <c r="AB33" i="9"/>
  <c r="AC33" i="9" s="1"/>
  <c r="AB34" i="9"/>
  <c r="AC34" i="9" s="1"/>
  <c r="X6" i="10"/>
  <c r="AA6" i="10"/>
  <c r="AB6" i="10"/>
  <c r="AC6" i="10" s="1"/>
  <c r="X7" i="10"/>
  <c r="AA7" i="10"/>
  <c r="AB7" i="10"/>
  <c r="AC7" i="10" s="1"/>
  <c r="X8" i="10"/>
  <c r="AA8" i="10"/>
  <c r="AB8" i="10"/>
  <c r="AC8" i="10" s="1"/>
  <c r="X9" i="10"/>
  <c r="AA9" i="10"/>
  <c r="AB9" i="10"/>
  <c r="AC9" i="10" s="1"/>
  <c r="X10" i="10"/>
  <c r="AA10" i="10"/>
  <c r="AB10" i="10"/>
  <c r="AC10" i="10" s="1"/>
  <c r="X11" i="10"/>
  <c r="AA11" i="10"/>
  <c r="AB11" i="10"/>
  <c r="AC11" i="10" s="1"/>
  <c r="X12" i="10"/>
  <c r="AA12" i="10"/>
  <c r="AB12" i="10"/>
  <c r="AC12" i="10" s="1"/>
  <c r="X13" i="10"/>
  <c r="AA13" i="10"/>
  <c r="AB13" i="10"/>
  <c r="AC13" i="10" s="1"/>
  <c r="X14" i="10"/>
  <c r="AA14" i="10"/>
  <c r="AB14" i="10"/>
  <c r="AC14" i="10" s="1"/>
  <c r="X15" i="10"/>
  <c r="AA15" i="10"/>
  <c r="AB15" i="10"/>
  <c r="AC15" i="10" s="1"/>
  <c r="X16" i="10"/>
  <c r="AB16" i="10"/>
  <c r="AC16" i="10" s="1"/>
  <c r="X17" i="10"/>
  <c r="AB17" i="10"/>
  <c r="AC17" i="10" s="1"/>
  <c r="X18" i="10"/>
  <c r="AB18" i="10"/>
  <c r="AC18" i="10" s="1"/>
  <c r="X19" i="10"/>
  <c r="AB19" i="10"/>
  <c r="AC19" i="10" s="1"/>
  <c r="X20" i="10"/>
  <c r="AB20" i="10"/>
  <c r="AC20" i="10" s="1"/>
  <c r="X21" i="10"/>
  <c r="AB21" i="10"/>
  <c r="AC21" i="10" s="1"/>
  <c r="X22" i="10"/>
  <c r="AB22" i="10"/>
  <c r="AC22" i="10" s="1"/>
  <c r="AB23" i="10"/>
  <c r="AC23" i="10" s="1"/>
  <c r="X24" i="10"/>
  <c r="AB24" i="10"/>
  <c r="X25" i="10"/>
  <c r="AB25" i="10"/>
  <c r="AC25" i="10" s="1"/>
  <c r="X26" i="10"/>
  <c r="AB26" i="10"/>
  <c r="AC26" i="10" s="1"/>
  <c r="X27" i="10"/>
  <c r="AB27" i="10"/>
  <c r="AC27" i="10" s="1"/>
  <c r="X6" i="11"/>
  <c r="AA6" i="11"/>
  <c r="AB6" i="11"/>
  <c r="AC6" i="11" s="1"/>
  <c r="X7" i="11"/>
  <c r="AA7" i="11"/>
  <c r="AB7" i="11"/>
  <c r="AC7" i="11" s="1"/>
  <c r="X8" i="11"/>
  <c r="AA8" i="11"/>
  <c r="AB8" i="11"/>
  <c r="AC8" i="11" s="1"/>
  <c r="X9" i="11"/>
  <c r="AA9" i="11"/>
  <c r="AB9" i="11"/>
  <c r="AC9" i="11" s="1"/>
  <c r="X10" i="11"/>
  <c r="AA10" i="11"/>
  <c r="AB10" i="11"/>
  <c r="AC10" i="11" s="1"/>
  <c r="X11" i="11"/>
  <c r="AA11" i="11"/>
  <c r="AB11" i="11"/>
  <c r="AC11" i="11" s="1"/>
  <c r="X12" i="11"/>
  <c r="AA12" i="11"/>
  <c r="AB12" i="11"/>
  <c r="AC12" i="11" s="1"/>
  <c r="X13" i="11"/>
  <c r="AA13" i="11"/>
  <c r="AB13" i="11"/>
  <c r="AC13" i="11" s="1"/>
  <c r="X14" i="11"/>
  <c r="AA14" i="11"/>
  <c r="AB14" i="11"/>
  <c r="AC14" i="11" s="1"/>
  <c r="X15" i="11"/>
  <c r="AA15" i="11"/>
  <c r="AB15" i="11"/>
  <c r="AC15" i="11" s="1"/>
  <c r="X16" i="11"/>
  <c r="AA16" i="11"/>
  <c r="AB16" i="11"/>
  <c r="AC16" i="11" s="1"/>
  <c r="X17" i="11"/>
  <c r="AA17" i="11"/>
  <c r="AB17" i="11"/>
  <c r="AC17" i="11" s="1"/>
  <c r="X18" i="11"/>
  <c r="AA18" i="11"/>
  <c r="AB18" i="11"/>
  <c r="AC18" i="11" s="1"/>
  <c r="X19" i="11"/>
  <c r="AA19" i="11"/>
  <c r="AB19" i="11"/>
  <c r="AC19" i="11" s="1"/>
  <c r="X20" i="11"/>
  <c r="AA20" i="11"/>
  <c r="AB20" i="11"/>
  <c r="AC20" i="11" s="1"/>
  <c r="X21" i="11"/>
  <c r="AA21" i="11"/>
  <c r="AB21" i="11"/>
  <c r="AC21" i="11" s="1"/>
  <c r="X22" i="11"/>
  <c r="AA22" i="11"/>
  <c r="AB22" i="11"/>
  <c r="AC22" i="11" s="1"/>
  <c r="X23" i="11"/>
  <c r="AA23" i="11"/>
  <c r="AB23" i="11"/>
  <c r="AC23" i="11" s="1"/>
  <c r="X24" i="11"/>
  <c r="AA24" i="11"/>
  <c r="AB24" i="11"/>
  <c r="AC24" i="11" s="1"/>
  <c r="X25" i="11"/>
  <c r="AA25" i="11"/>
  <c r="AB25" i="11"/>
  <c r="AC25" i="11" s="1"/>
  <c r="X26" i="11"/>
  <c r="X27" i="11"/>
  <c r="AB27" i="11"/>
  <c r="AC27" i="11" s="1"/>
  <c r="X6" i="12"/>
  <c r="AA6" i="12"/>
  <c r="AB6" i="12"/>
  <c r="AC6" i="12" s="1"/>
  <c r="X7" i="12"/>
  <c r="AA7" i="12"/>
  <c r="AB7" i="12"/>
  <c r="AC7" i="12" s="1"/>
  <c r="X8" i="12"/>
  <c r="AA8" i="12"/>
  <c r="AB8" i="12"/>
  <c r="AC8" i="12" s="1"/>
  <c r="X9" i="12"/>
  <c r="AA9" i="12"/>
  <c r="AB9" i="12"/>
  <c r="AC9" i="12" s="1"/>
  <c r="X10" i="12"/>
  <c r="AA10" i="12"/>
  <c r="AB10" i="12"/>
  <c r="AC10" i="12" s="1"/>
  <c r="X11" i="12"/>
  <c r="AA11" i="12"/>
  <c r="AB11" i="12"/>
  <c r="AC11" i="12" s="1"/>
  <c r="X12" i="12"/>
  <c r="AA12" i="12"/>
  <c r="AB12" i="12"/>
  <c r="AC12" i="12" s="1"/>
  <c r="X13" i="12"/>
  <c r="AA13" i="12"/>
  <c r="AB13" i="12"/>
  <c r="AC13" i="12" s="1"/>
  <c r="X14" i="12"/>
  <c r="AA14" i="12"/>
  <c r="AB14" i="12"/>
  <c r="AC14" i="12" s="1"/>
  <c r="X15" i="12"/>
  <c r="AA15" i="12"/>
  <c r="AB15" i="12"/>
  <c r="AC15" i="12" s="1"/>
  <c r="X16" i="12"/>
  <c r="AA16" i="12"/>
  <c r="AB16" i="12"/>
  <c r="AC16" i="12" s="1"/>
  <c r="X17" i="12"/>
  <c r="AA17" i="12"/>
  <c r="AB17" i="12"/>
  <c r="AC17" i="12" s="1"/>
  <c r="X18" i="12"/>
  <c r="AA18" i="12"/>
  <c r="AB18" i="12"/>
  <c r="AC18" i="12" s="1"/>
  <c r="X19" i="12"/>
  <c r="AA19" i="12"/>
  <c r="AB19" i="12"/>
  <c r="AC19" i="12" s="1"/>
  <c r="X20" i="12"/>
  <c r="AA20" i="12"/>
  <c r="AB20" i="12"/>
  <c r="AC20" i="12" s="1"/>
  <c r="X21" i="12"/>
  <c r="AA21" i="12"/>
  <c r="AB21" i="12"/>
  <c r="AC21" i="12" s="1"/>
  <c r="X22" i="12"/>
  <c r="AA22" i="12"/>
  <c r="AB22" i="12"/>
  <c r="AC22" i="12" s="1"/>
  <c r="X23" i="12"/>
  <c r="AA23" i="12"/>
  <c r="AB23" i="12"/>
  <c r="AC23" i="12" s="1"/>
  <c r="X24" i="12"/>
  <c r="AA24" i="12"/>
  <c r="AB24" i="12"/>
  <c r="AC24" i="12" s="1"/>
  <c r="X25" i="12"/>
  <c r="AA25" i="12"/>
  <c r="AB25" i="12"/>
  <c r="AC25" i="12" s="1"/>
  <c r="X26" i="12"/>
  <c r="AA26" i="12"/>
  <c r="AB26" i="12"/>
  <c r="AC26" i="12" s="1"/>
  <c r="X27" i="12"/>
  <c r="AA27" i="12"/>
  <c r="AB27" i="12"/>
  <c r="AC27" i="12" s="1"/>
  <c r="X28" i="12"/>
  <c r="AA28" i="12"/>
  <c r="AB28" i="12"/>
  <c r="AC28" i="12" s="1"/>
  <c r="X29" i="12"/>
  <c r="AA29" i="12"/>
  <c r="AB29" i="12"/>
  <c r="AC29" i="12" s="1"/>
  <c r="X30" i="12"/>
  <c r="AA30" i="12"/>
  <c r="AB30" i="12"/>
  <c r="AC30" i="12" s="1"/>
  <c r="X31" i="12"/>
  <c r="AA31" i="12"/>
  <c r="AB31" i="12"/>
  <c r="AC31" i="12" s="1"/>
  <c r="X32" i="12"/>
  <c r="AA32" i="12"/>
  <c r="AB32" i="12"/>
  <c r="AC32" i="12" s="1"/>
  <c r="X33" i="12"/>
  <c r="AA33" i="12"/>
  <c r="AB33" i="12"/>
  <c r="AC33" i="12" s="1"/>
  <c r="X34" i="12"/>
  <c r="AA34" i="12"/>
  <c r="AB34" i="12"/>
  <c r="AC34" i="12" s="1"/>
  <c r="X35" i="12"/>
  <c r="C35" i="16" s="1"/>
  <c r="AA35" i="12"/>
  <c r="F35" i="16" s="1"/>
  <c r="AB35" i="12"/>
  <c r="AC35" i="12" s="1"/>
  <c r="X6" i="13"/>
  <c r="AA6" i="13"/>
  <c r="AB6" i="13"/>
  <c r="AC6" i="13" s="1"/>
  <c r="X7" i="13"/>
  <c r="AA7" i="13"/>
  <c r="AD7" i="13" s="1"/>
  <c r="AB7" i="13"/>
  <c r="AC7" i="13" s="1"/>
  <c r="AB8" i="13"/>
  <c r="AC8" i="13" s="1"/>
  <c r="AB9" i="13"/>
  <c r="AC9" i="13" s="1"/>
  <c r="AB10" i="13"/>
  <c r="AC10" i="13" s="1"/>
  <c r="X11" i="13"/>
  <c r="AA11" i="13"/>
  <c r="AB11" i="13"/>
  <c r="AC11" i="13" s="1"/>
  <c r="X12" i="13"/>
  <c r="AA12" i="13"/>
  <c r="AB12" i="13"/>
  <c r="AC12" i="13" s="1"/>
  <c r="X13" i="13"/>
  <c r="AB13" i="13"/>
  <c r="AC13" i="13" s="1"/>
  <c r="X14" i="13"/>
  <c r="AB14" i="13"/>
  <c r="AC14" i="13" s="1"/>
  <c r="X15" i="13"/>
  <c r="AB15" i="13"/>
  <c r="AC15" i="13" s="1"/>
  <c r="X16" i="13"/>
  <c r="AA16" i="13"/>
  <c r="AB16" i="13"/>
  <c r="AC16" i="13" s="1"/>
  <c r="X17" i="13"/>
  <c r="AA17" i="13"/>
  <c r="AB17" i="13"/>
  <c r="X18" i="13"/>
  <c r="AA18" i="13"/>
  <c r="AB18" i="13"/>
  <c r="AC18" i="13" s="1"/>
  <c r="X19" i="13"/>
  <c r="AA19" i="13"/>
  <c r="AB19" i="13"/>
  <c r="AC19" i="13" s="1"/>
  <c r="X20" i="13"/>
  <c r="AA20" i="13"/>
  <c r="AB20" i="13"/>
  <c r="AC20" i="13" s="1"/>
  <c r="X21" i="13"/>
  <c r="AA21" i="13"/>
  <c r="AB21" i="13"/>
  <c r="AC21" i="13" s="1"/>
  <c r="X22" i="13"/>
  <c r="AA22" i="13"/>
  <c r="AB22" i="13"/>
  <c r="AC22" i="13" s="1"/>
  <c r="X23" i="13"/>
  <c r="AA23" i="13"/>
  <c r="AB23" i="13"/>
  <c r="AC23" i="13" s="1"/>
  <c r="X24" i="13"/>
  <c r="AA24" i="13"/>
  <c r="AB24" i="13"/>
  <c r="AC24" i="13" s="1"/>
  <c r="X25" i="13"/>
  <c r="AA25" i="13"/>
  <c r="AB25" i="13"/>
  <c r="AC25" i="13" s="1"/>
  <c r="X26" i="13"/>
  <c r="AA26" i="13"/>
  <c r="AB26" i="13"/>
  <c r="AC26" i="13" s="1"/>
  <c r="X27" i="13"/>
  <c r="AA27" i="13"/>
  <c r="AB27" i="13"/>
  <c r="AC27" i="13" s="1"/>
  <c r="X28" i="13"/>
  <c r="AA28" i="13"/>
  <c r="AB28" i="13"/>
  <c r="AC28" i="13" s="1"/>
  <c r="X29" i="13"/>
  <c r="AA29" i="13"/>
  <c r="AB29" i="13"/>
  <c r="AC29" i="13" s="1"/>
  <c r="X30" i="13"/>
  <c r="AA30" i="13"/>
  <c r="AB30" i="13"/>
  <c r="AC30" i="13" s="1"/>
  <c r="X31" i="13"/>
  <c r="AA31" i="13"/>
  <c r="AB31" i="13"/>
  <c r="AC31" i="13" s="1"/>
  <c r="X32" i="13"/>
  <c r="AA32" i="13"/>
  <c r="AB32" i="13"/>
  <c r="AC32" i="13" s="1"/>
  <c r="X33" i="13"/>
  <c r="AA33" i="13"/>
  <c r="AB33" i="13"/>
  <c r="AC33" i="13" s="1"/>
  <c r="X34" i="13"/>
  <c r="AA34" i="13"/>
  <c r="AB34" i="13"/>
  <c r="AC34" i="13" s="1"/>
  <c r="AB5" i="13"/>
  <c r="AC5" i="13" s="1"/>
  <c r="AA5" i="13"/>
  <c r="X5" i="13"/>
  <c r="AB5" i="12"/>
  <c r="AC5" i="12" s="1"/>
  <c r="AA5" i="12"/>
  <c r="X5" i="12"/>
  <c r="AB5" i="11"/>
  <c r="AC5" i="11" s="1"/>
  <c r="AA5" i="11"/>
  <c r="X5" i="11"/>
  <c r="AB5" i="10"/>
  <c r="AC5" i="10" s="1"/>
  <c r="AA5" i="10"/>
  <c r="X5" i="10"/>
  <c r="AB5" i="9"/>
  <c r="AC5" i="9" s="1"/>
  <c r="AA5" i="9"/>
  <c r="X5" i="9"/>
  <c r="AB5" i="8"/>
  <c r="AC5" i="8" s="1"/>
  <c r="AA5" i="8"/>
  <c r="X5" i="8"/>
  <c r="AA6" i="5"/>
  <c r="AB6" i="5"/>
  <c r="AC6" i="5" s="1"/>
  <c r="AA7" i="5"/>
  <c r="AB7" i="5"/>
  <c r="AC7" i="5" s="1"/>
  <c r="AA8" i="5"/>
  <c r="AB8" i="5"/>
  <c r="AC8" i="5" s="1"/>
  <c r="AA9" i="5"/>
  <c r="AB9" i="5"/>
  <c r="AC9" i="5" s="1"/>
  <c r="AA10" i="5"/>
  <c r="AB10" i="5"/>
  <c r="AC10" i="5" s="1"/>
  <c r="AA11" i="5"/>
  <c r="AB11" i="5"/>
  <c r="AC11" i="5" s="1"/>
  <c r="AA12" i="5"/>
  <c r="AB12" i="5"/>
  <c r="AC12" i="5" s="1"/>
  <c r="AA13" i="5"/>
  <c r="AB13" i="5"/>
  <c r="AC13" i="5" s="1"/>
  <c r="AA14" i="5"/>
  <c r="AB14" i="5"/>
  <c r="AA15" i="5"/>
  <c r="AB15" i="5"/>
  <c r="AC15" i="5" s="1"/>
  <c r="AA16" i="5"/>
  <c r="AB16" i="5"/>
  <c r="AC16" i="5" s="1"/>
  <c r="AA17" i="5"/>
  <c r="AB17" i="5"/>
  <c r="AC17" i="5" s="1"/>
  <c r="AA18" i="5"/>
  <c r="AB18" i="5"/>
  <c r="AC18" i="5" s="1"/>
  <c r="AA19" i="5"/>
  <c r="AA21" i="5"/>
  <c r="AA22" i="5"/>
  <c r="AB23" i="5"/>
  <c r="AC23" i="5" s="1"/>
  <c r="AB24" i="5"/>
  <c r="AC24" i="5" s="1"/>
  <c r="AB25" i="5"/>
  <c r="AC25" i="5" s="1"/>
  <c r="AB26" i="5"/>
  <c r="AC26" i="5" s="1"/>
  <c r="AB27" i="5"/>
  <c r="AC27" i="5" s="1"/>
  <c r="AB28" i="5"/>
  <c r="AC28" i="5" s="1"/>
  <c r="AB29" i="5"/>
  <c r="AC29" i="5" s="1"/>
  <c r="AB30" i="5"/>
  <c r="AC30" i="5" s="1"/>
  <c r="AB31" i="5"/>
  <c r="AC31" i="5" s="1"/>
  <c r="AB32" i="5"/>
  <c r="AC32" i="5" s="1"/>
  <c r="AB33" i="5"/>
  <c r="AC33" i="5" s="1"/>
  <c r="AB35" i="5"/>
  <c r="G35" i="16" s="1"/>
  <c r="AB5" i="5"/>
  <c r="AC5" i="5" s="1"/>
  <c r="AA5" i="5"/>
  <c r="X6" i="7"/>
  <c r="AA6" i="7"/>
  <c r="F6" i="16" s="1"/>
  <c r="AB6" i="7"/>
  <c r="G6" i="16" s="1"/>
  <c r="X7" i="7"/>
  <c r="AA7" i="7"/>
  <c r="F7" i="16" s="1"/>
  <c r="AB7" i="7"/>
  <c r="X8" i="7"/>
  <c r="AA8" i="7"/>
  <c r="F8" i="16" s="1"/>
  <c r="AB8" i="7"/>
  <c r="G8" i="16" s="1"/>
  <c r="X9" i="7"/>
  <c r="AA9" i="7"/>
  <c r="AB9" i="7"/>
  <c r="G9" i="16" s="1"/>
  <c r="X10" i="7"/>
  <c r="AA10" i="7"/>
  <c r="F10" i="16" s="1"/>
  <c r="AB10" i="7"/>
  <c r="G10" i="16" s="1"/>
  <c r="X11" i="7"/>
  <c r="AA11" i="7"/>
  <c r="F11" i="16" s="1"/>
  <c r="AB11" i="7"/>
  <c r="G11" i="16" s="1"/>
  <c r="X12" i="7"/>
  <c r="AA12" i="7"/>
  <c r="F12" i="16" s="1"/>
  <c r="AB12" i="7"/>
  <c r="G12" i="16" s="1"/>
  <c r="X13" i="7"/>
  <c r="AA13" i="7"/>
  <c r="F13" i="16" s="1"/>
  <c r="AB13" i="7"/>
  <c r="G13" i="16" s="1"/>
  <c r="X14" i="7"/>
  <c r="AA14" i="7"/>
  <c r="F14" i="16" s="1"/>
  <c r="AB14" i="7"/>
  <c r="X15" i="7"/>
  <c r="AA15" i="7"/>
  <c r="F15" i="16" s="1"/>
  <c r="AB15" i="7"/>
  <c r="X16" i="7"/>
  <c r="AA16" i="7"/>
  <c r="F16" i="16" s="1"/>
  <c r="AB16" i="7"/>
  <c r="G16" i="16" s="1"/>
  <c r="X17" i="7"/>
  <c r="AA17" i="7"/>
  <c r="F17" i="16" s="1"/>
  <c r="AB17" i="7"/>
  <c r="G17" i="16" s="1"/>
  <c r="X18" i="7"/>
  <c r="AA18" i="7"/>
  <c r="F18" i="16" s="1"/>
  <c r="AB18" i="7"/>
  <c r="G18" i="16" s="1"/>
  <c r="X19" i="7"/>
  <c r="AA19" i="7"/>
  <c r="F19" i="16" s="1"/>
  <c r="AB19" i="7"/>
  <c r="G19" i="16" s="1"/>
  <c r="X20" i="7"/>
  <c r="AA20" i="7"/>
  <c r="F20" i="16" s="1"/>
  <c r="AB20" i="7"/>
  <c r="G20" i="16" s="1"/>
  <c r="X21" i="7"/>
  <c r="AA21" i="7"/>
  <c r="F21" i="16" s="1"/>
  <c r="AB21" i="7"/>
  <c r="G21" i="16" s="1"/>
  <c r="X22" i="7"/>
  <c r="AA22" i="7"/>
  <c r="F22" i="16" s="1"/>
  <c r="AB22" i="7"/>
  <c r="G22" i="16" s="1"/>
  <c r="X23" i="7"/>
  <c r="AA23" i="7"/>
  <c r="F23" i="16" s="1"/>
  <c r="AB23" i="7"/>
  <c r="G23" i="16" s="1"/>
  <c r="X24" i="7"/>
  <c r="AA24" i="7"/>
  <c r="F24" i="16" s="1"/>
  <c r="AB24" i="7"/>
  <c r="G24" i="16" s="1"/>
  <c r="X25" i="7"/>
  <c r="AA25" i="7"/>
  <c r="F25" i="16" s="1"/>
  <c r="AB25" i="7"/>
  <c r="G25" i="16" s="1"/>
  <c r="X26" i="7"/>
  <c r="AA26" i="7"/>
  <c r="F26" i="16" s="1"/>
  <c r="AB26" i="7"/>
  <c r="G26" i="16" s="1"/>
  <c r="X27" i="7"/>
  <c r="AA27" i="7"/>
  <c r="F27" i="16" s="1"/>
  <c r="AB27" i="7"/>
  <c r="G27" i="16" s="1"/>
  <c r="X28" i="7"/>
  <c r="C28" i="16" s="1"/>
  <c r="AA28" i="7"/>
  <c r="F28" i="16" s="1"/>
  <c r="AB28" i="7"/>
  <c r="G28" i="16" s="1"/>
  <c r="X29" i="7"/>
  <c r="C29" i="16" s="1"/>
  <c r="AA29" i="7"/>
  <c r="F29" i="16" s="1"/>
  <c r="AB29" i="7"/>
  <c r="G29" i="16" s="1"/>
  <c r="X30" i="7"/>
  <c r="C30" i="16" s="1"/>
  <c r="AA30" i="7"/>
  <c r="F30" i="16" s="1"/>
  <c r="AB30" i="7"/>
  <c r="G30" i="16" s="1"/>
  <c r="X31" i="7"/>
  <c r="C31" i="16" s="1"/>
  <c r="AA31" i="7"/>
  <c r="F31" i="16" s="1"/>
  <c r="AB31" i="7"/>
  <c r="G31" i="16" s="1"/>
  <c r="X32" i="7"/>
  <c r="C32" i="16" s="1"/>
  <c r="AA32" i="7"/>
  <c r="F32" i="16" s="1"/>
  <c r="AB32" i="7"/>
  <c r="G32" i="16" s="1"/>
  <c r="X33" i="7"/>
  <c r="C33" i="16" s="1"/>
  <c r="AA33" i="7"/>
  <c r="F33" i="16" s="1"/>
  <c r="AB33" i="7"/>
  <c r="G33" i="16" s="1"/>
  <c r="X34" i="7"/>
  <c r="C34" i="16" s="1"/>
  <c r="AA34" i="7"/>
  <c r="F34" i="16" s="1"/>
  <c r="AB34" i="7"/>
  <c r="G34" i="16" s="1"/>
  <c r="AB5" i="7"/>
  <c r="AC5" i="7" s="1"/>
  <c r="AA5" i="7"/>
  <c r="X5" i="7"/>
  <c r="X6" i="6"/>
  <c r="C6" i="16" s="1"/>
  <c r="X7" i="6"/>
  <c r="C7" i="16" s="1"/>
  <c r="X8" i="6"/>
  <c r="C8" i="16" s="1"/>
  <c r="X9" i="6"/>
  <c r="C9" i="16" s="1"/>
  <c r="X10" i="6"/>
  <c r="C10" i="16" s="1"/>
  <c r="X11" i="6"/>
  <c r="C11" i="16" s="1"/>
  <c r="X12" i="6"/>
  <c r="C12" i="16" s="1"/>
  <c r="X13" i="6"/>
  <c r="C13" i="16" s="1"/>
  <c r="X14" i="6"/>
  <c r="C14" i="16" s="1"/>
  <c r="X15" i="6"/>
  <c r="C15" i="16" s="1"/>
  <c r="X16" i="6"/>
  <c r="C16" i="16" s="1"/>
  <c r="X17" i="6"/>
  <c r="C17" i="16" s="1"/>
  <c r="X18" i="6"/>
  <c r="C18" i="16" s="1"/>
  <c r="X19" i="6"/>
  <c r="C19" i="16" s="1"/>
  <c r="X20" i="6"/>
  <c r="C20" i="16" s="1"/>
  <c r="X21" i="6"/>
  <c r="C21" i="16" s="1"/>
  <c r="X22" i="6"/>
  <c r="C22" i="16" s="1"/>
  <c r="X23" i="6"/>
  <c r="C23" i="16" s="1"/>
  <c r="X24" i="6"/>
  <c r="C24" i="16" s="1"/>
  <c r="X25" i="6"/>
  <c r="C25" i="16" s="1"/>
  <c r="X26" i="6"/>
  <c r="C26" i="16" s="1"/>
  <c r="X27" i="6"/>
  <c r="C27" i="16" s="1"/>
  <c r="AA5" i="6"/>
  <c r="F5" i="16" s="1"/>
  <c r="AB5" i="6"/>
  <c r="X5" i="6"/>
  <c r="C5" i="16" s="1"/>
  <c r="AC5" i="6" l="1"/>
  <c r="G5" i="16"/>
  <c r="AC15" i="7"/>
  <c r="G15" i="16"/>
  <c r="G7" i="16"/>
  <c r="AC14" i="7"/>
  <c r="G14" i="16"/>
  <c r="F9" i="16"/>
  <c r="AD32" i="12"/>
  <c r="AE32" i="12"/>
  <c r="AE33" i="8"/>
  <c r="AD33" i="8"/>
  <c r="AD5" i="10"/>
  <c r="AE5" i="10"/>
  <c r="AD34" i="13"/>
  <c r="AE34" i="13"/>
  <c r="AD30" i="13"/>
  <c r="AE30" i="13"/>
  <c r="AE33" i="12"/>
  <c r="AD33" i="12"/>
  <c r="AE29" i="12"/>
  <c r="AD29" i="12"/>
  <c r="AE6" i="11"/>
  <c r="AD6" i="11"/>
  <c r="AE34" i="8"/>
  <c r="AD34" i="8"/>
  <c r="AE30" i="8"/>
  <c r="AD30" i="8"/>
  <c r="AD5" i="11"/>
  <c r="AE5" i="11"/>
  <c r="AE33" i="13"/>
  <c r="AD33" i="13"/>
  <c r="AE29" i="13"/>
  <c r="AD29" i="13"/>
  <c r="AD28" i="9"/>
  <c r="AE28" i="9"/>
  <c r="AD5" i="9"/>
  <c r="AE5" i="9"/>
  <c r="AD5" i="13"/>
  <c r="AE5" i="13"/>
  <c r="AE31" i="13"/>
  <c r="AD31" i="13"/>
  <c r="AD34" i="12"/>
  <c r="AE34" i="12"/>
  <c r="AD30" i="12"/>
  <c r="AE30" i="12"/>
  <c r="AE31" i="8"/>
  <c r="AD31" i="8"/>
  <c r="AE29" i="8"/>
  <c r="AD29" i="8"/>
  <c r="AE5" i="6"/>
  <c r="AD5" i="6"/>
  <c r="AD5" i="5"/>
  <c r="AE5" i="5"/>
  <c r="AE5" i="8"/>
  <c r="AD5" i="8"/>
  <c r="AD5" i="12"/>
  <c r="AE5" i="12"/>
  <c r="AD32" i="13"/>
  <c r="AE32" i="13"/>
  <c r="U35" i="16"/>
  <c r="AE35" i="12"/>
  <c r="AD35" i="12"/>
  <c r="AE31" i="12"/>
  <c r="AD31" i="12"/>
  <c r="AE27" i="9"/>
  <c r="AD27" i="9"/>
  <c r="AD32" i="8"/>
  <c r="AE32" i="8"/>
  <c r="AD28" i="8"/>
  <c r="AE28" i="8"/>
  <c r="AE33" i="7"/>
  <c r="AD33" i="7"/>
  <c r="AE29" i="7"/>
  <c r="AD29" i="7"/>
  <c r="AE34" i="7"/>
  <c r="AD34" i="7"/>
  <c r="AE30" i="7"/>
  <c r="AD30" i="7"/>
  <c r="AE31" i="7"/>
  <c r="AD31" i="7"/>
  <c r="AE32" i="7"/>
  <c r="AD32" i="7"/>
  <c r="AE28" i="7"/>
  <c r="AD28" i="7"/>
  <c r="AE5" i="7"/>
  <c r="AD5" i="7"/>
  <c r="AE25" i="7"/>
  <c r="AD25" i="7"/>
  <c r="AE9" i="7"/>
  <c r="AD9" i="7"/>
  <c r="AD26" i="7"/>
  <c r="AE26" i="7"/>
  <c r="AD22" i="7"/>
  <c r="AE22" i="7"/>
  <c r="AE18" i="7"/>
  <c r="AD18" i="7"/>
  <c r="AE10" i="7"/>
  <c r="AD10" i="7"/>
  <c r="AD6" i="7"/>
  <c r="AE6" i="7"/>
  <c r="AE21" i="7"/>
  <c r="AD21" i="7"/>
  <c r="AE17" i="7"/>
  <c r="AD17" i="7"/>
  <c r="AE23" i="7"/>
  <c r="AD23" i="7"/>
  <c r="AE19" i="7"/>
  <c r="AD19" i="7"/>
  <c r="AE15" i="7"/>
  <c r="AD15" i="7"/>
  <c r="AE11" i="7"/>
  <c r="AD11" i="7"/>
  <c r="AE7" i="7"/>
  <c r="AD7" i="7"/>
  <c r="AE27" i="7"/>
  <c r="AD27" i="7"/>
  <c r="AE24" i="7"/>
  <c r="AD24" i="7"/>
  <c r="AD20" i="7"/>
  <c r="AE20" i="7"/>
  <c r="AD16" i="7"/>
  <c r="AE16" i="7"/>
  <c r="AD12" i="7"/>
  <c r="AE12" i="7"/>
  <c r="AD8" i="7"/>
  <c r="AE8" i="7"/>
  <c r="AE13" i="7"/>
  <c r="AD13" i="7"/>
  <c r="AD14" i="7"/>
  <c r="AE14" i="7"/>
  <c r="AE22" i="5"/>
  <c r="AD22" i="5"/>
  <c r="AE18" i="5"/>
  <c r="AD18" i="5"/>
  <c r="AE16" i="5"/>
  <c r="AD16" i="5"/>
  <c r="AE14" i="5"/>
  <c r="AD14" i="5"/>
  <c r="AE12" i="5"/>
  <c r="AD12" i="5"/>
  <c r="AE10" i="5"/>
  <c r="AD10" i="5"/>
  <c r="AE8" i="5"/>
  <c r="AD8" i="5"/>
  <c r="AE6" i="5"/>
  <c r="AD6" i="5"/>
  <c r="AE21" i="5"/>
  <c r="AD21" i="5"/>
  <c r="AE19" i="5"/>
  <c r="AD19" i="5"/>
  <c r="AE17" i="5"/>
  <c r="AD17" i="5"/>
  <c r="AE15" i="5"/>
  <c r="AD15" i="5"/>
  <c r="AE13" i="5"/>
  <c r="AD13" i="5"/>
  <c r="AE11" i="5"/>
  <c r="AD11" i="5"/>
  <c r="AE9" i="5"/>
  <c r="AD9" i="5"/>
  <c r="AE7" i="5"/>
  <c r="AD7" i="5"/>
  <c r="AD25" i="8"/>
  <c r="AE25" i="8"/>
  <c r="AD17" i="8"/>
  <c r="AE17" i="8"/>
  <c r="AD13" i="8"/>
  <c r="AE13" i="8"/>
  <c r="AE9" i="8"/>
  <c r="AD9" i="8"/>
  <c r="AE26" i="8"/>
  <c r="AD26" i="8"/>
  <c r="AE22" i="8"/>
  <c r="AD22" i="8"/>
  <c r="AE18" i="8"/>
  <c r="AD18" i="8"/>
  <c r="AE14" i="8"/>
  <c r="AD14" i="8"/>
  <c r="AE10" i="8"/>
  <c r="AD10" i="8"/>
  <c r="AE6" i="8"/>
  <c r="AD6" i="8"/>
  <c r="AE27" i="8"/>
  <c r="AD27" i="8"/>
  <c r="AD23" i="8"/>
  <c r="AE23" i="8"/>
  <c r="AD19" i="8"/>
  <c r="AE19" i="8"/>
  <c r="AE15" i="8"/>
  <c r="AD15" i="8"/>
  <c r="AD11" i="8"/>
  <c r="AE11" i="8"/>
  <c r="AD7" i="8"/>
  <c r="AE7" i="8"/>
  <c r="AE21" i="8"/>
  <c r="AD21" i="8"/>
  <c r="AE24" i="8"/>
  <c r="AD24" i="8"/>
  <c r="AE20" i="8"/>
  <c r="AD20" i="8"/>
  <c r="AE16" i="8"/>
  <c r="AD16" i="8"/>
  <c r="AE12" i="8"/>
  <c r="AD12" i="8"/>
  <c r="AE8" i="8"/>
  <c r="AD8" i="8"/>
  <c r="AE24" i="9"/>
  <c r="AD24" i="9"/>
  <c r="AE20" i="9"/>
  <c r="AD20" i="9"/>
  <c r="AE16" i="9"/>
  <c r="AD16" i="9"/>
  <c r="AE12" i="9"/>
  <c r="AD12" i="9"/>
  <c r="AE8" i="9"/>
  <c r="AD8" i="9"/>
  <c r="AE25" i="9"/>
  <c r="AD25" i="9"/>
  <c r="AE21" i="9"/>
  <c r="AD21" i="9"/>
  <c r="AE17" i="9"/>
  <c r="AD17" i="9"/>
  <c r="AE13" i="9"/>
  <c r="AD13" i="9"/>
  <c r="AE9" i="9"/>
  <c r="AD9" i="9"/>
  <c r="AE26" i="9"/>
  <c r="AD26" i="9"/>
  <c r="AE22" i="9"/>
  <c r="AD22" i="9"/>
  <c r="AE18" i="9"/>
  <c r="AD18" i="9"/>
  <c r="AE14" i="9"/>
  <c r="AD14" i="9"/>
  <c r="AE10" i="9"/>
  <c r="AD10" i="9"/>
  <c r="AE6" i="9"/>
  <c r="AD6" i="9"/>
  <c r="AE23" i="9"/>
  <c r="AD23" i="9"/>
  <c r="AE19" i="9"/>
  <c r="AD19" i="9"/>
  <c r="AE15" i="9"/>
  <c r="AD15" i="9"/>
  <c r="AE11" i="9"/>
  <c r="AD11" i="9"/>
  <c r="AE7" i="9"/>
  <c r="AD7" i="9"/>
  <c r="AE9" i="10"/>
  <c r="AD9" i="10"/>
  <c r="AE14" i="10"/>
  <c r="AD14" i="10"/>
  <c r="AE10" i="10"/>
  <c r="AD10" i="10"/>
  <c r="AE6" i="10"/>
  <c r="AD6" i="10"/>
  <c r="AE12" i="10"/>
  <c r="AD12" i="10"/>
  <c r="AE8" i="10"/>
  <c r="AD8" i="10"/>
  <c r="AE13" i="10"/>
  <c r="AD13" i="10"/>
  <c r="AE15" i="10"/>
  <c r="AD15" i="10"/>
  <c r="AE11" i="10"/>
  <c r="AD11" i="10"/>
  <c r="AE7" i="10"/>
  <c r="AD7" i="10"/>
  <c r="AE22" i="11"/>
  <c r="AD22" i="11"/>
  <c r="AE18" i="11"/>
  <c r="AD18" i="11"/>
  <c r="AE14" i="11"/>
  <c r="AD14" i="11"/>
  <c r="AE10" i="11"/>
  <c r="AD10" i="11"/>
  <c r="AE25" i="11"/>
  <c r="AD25" i="11"/>
  <c r="AD23" i="11"/>
  <c r="AE23" i="11"/>
  <c r="AE19" i="11"/>
  <c r="AD19" i="11"/>
  <c r="AE15" i="11"/>
  <c r="AD15" i="11"/>
  <c r="AD11" i="11"/>
  <c r="AE11" i="11"/>
  <c r="AE7" i="11"/>
  <c r="AD7" i="11"/>
  <c r="AD21" i="11"/>
  <c r="AE21" i="11"/>
  <c r="AD17" i="11"/>
  <c r="AE17" i="11"/>
  <c r="AD13" i="11"/>
  <c r="AE13" i="11"/>
  <c r="AD9" i="11"/>
  <c r="AE9" i="11"/>
  <c r="AE24" i="11"/>
  <c r="AD24" i="11"/>
  <c r="AE20" i="11"/>
  <c r="AD20" i="11"/>
  <c r="AE16" i="11"/>
  <c r="AD16" i="11"/>
  <c r="AE12" i="11"/>
  <c r="AD12" i="11"/>
  <c r="AE8" i="11"/>
  <c r="AD8" i="11"/>
  <c r="AE28" i="12"/>
  <c r="AD28" i="12"/>
  <c r="AE24" i="12"/>
  <c r="AD24" i="12"/>
  <c r="AE20" i="12"/>
  <c r="AD20" i="12"/>
  <c r="AE16" i="12"/>
  <c r="AD16" i="12"/>
  <c r="AE12" i="12"/>
  <c r="AD12" i="12"/>
  <c r="AE8" i="12"/>
  <c r="AD8" i="12"/>
  <c r="AE25" i="12"/>
  <c r="AD25" i="12"/>
  <c r="AE21" i="12"/>
  <c r="AD21" i="12"/>
  <c r="AE17" i="12"/>
  <c r="AD17" i="12"/>
  <c r="AE13" i="12"/>
  <c r="AD13" i="12"/>
  <c r="AE9" i="12"/>
  <c r="AD9" i="12"/>
  <c r="AE26" i="12"/>
  <c r="AD26" i="12"/>
  <c r="AE22" i="12"/>
  <c r="AD22" i="12"/>
  <c r="AE18" i="12"/>
  <c r="AD18" i="12"/>
  <c r="AE14" i="12"/>
  <c r="AD14" i="12"/>
  <c r="AE10" i="12"/>
  <c r="AD10" i="12"/>
  <c r="AE6" i="12"/>
  <c r="AD6" i="12"/>
  <c r="AE27" i="12"/>
  <c r="AD27" i="12"/>
  <c r="AE23" i="12"/>
  <c r="AD23" i="12"/>
  <c r="AE19" i="12"/>
  <c r="AD19" i="12"/>
  <c r="AE15" i="12"/>
  <c r="AD15" i="12"/>
  <c r="AE11" i="12"/>
  <c r="AD11" i="12"/>
  <c r="AE7" i="12"/>
  <c r="AD7" i="12"/>
  <c r="AE26" i="13"/>
  <c r="AD26" i="13"/>
  <c r="AD27" i="13"/>
  <c r="AE27" i="13"/>
  <c r="AE6" i="13"/>
  <c r="AD6" i="13"/>
  <c r="AE28" i="13"/>
  <c r="AD28" i="13"/>
  <c r="AE25" i="13"/>
  <c r="AD25" i="13"/>
  <c r="AE21" i="13"/>
  <c r="AD21" i="13"/>
  <c r="AE17" i="13"/>
  <c r="AD17" i="13"/>
  <c r="AE12" i="13"/>
  <c r="AD12" i="13"/>
  <c r="AE22" i="13"/>
  <c r="AD22" i="13"/>
  <c r="AE18" i="13"/>
  <c r="AD18" i="13"/>
  <c r="AE7" i="13"/>
  <c r="AE23" i="13"/>
  <c r="AD23" i="13"/>
  <c r="AE19" i="13"/>
  <c r="AD19" i="13"/>
  <c r="AE24" i="13"/>
  <c r="AD24" i="13"/>
  <c r="AE20" i="13"/>
  <c r="AD20" i="13"/>
  <c r="AE16" i="13"/>
  <c r="AD16" i="13"/>
  <c r="AE11" i="13"/>
  <c r="AD11" i="13"/>
  <c r="AC24" i="10"/>
  <c r="U16" i="16"/>
  <c r="U19" i="16"/>
  <c r="U17" i="16"/>
  <c r="U18" i="16"/>
  <c r="AC17" i="13"/>
  <c r="U11" i="16"/>
  <c r="U31" i="16"/>
  <c r="AC34" i="8"/>
  <c r="U12" i="16"/>
  <c r="U14" i="16"/>
  <c r="U13" i="16"/>
  <c r="U6" i="16"/>
  <c r="U9" i="16"/>
  <c r="U5" i="16"/>
  <c r="U7" i="16"/>
  <c r="U8" i="16"/>
  <c r="AC6" i="7"/>
  <c r="AC8" i="7"/>
  <c r="AC7" i="7"/>
  <c r="AC9" i="7"/>
  <c r="U22" i="16"/>
  <c r="AC22" i="7"/>
  <c r="AC34" i="7"/>
  <c r="AC30" i="7"/>
  <c r="AC26" i="7"/>
  <c r="U25" i="16"/>
  <c r="U33" i="16"/>
  <c r="AC31" i="7"/>
  <c r="U26" i="16"/>
  <c r="U34" i="16"/>
  <c r="AC32" i="7"/>
  <c r="AC24" i="7"/>
  <c r="U27" i="16"/>
  <c r="U23" i="16"/>
  <c r="U29" i="16"/>
  <c r="AC27" i="7"/>
  <c r="AC23" i="7"/>
  <c r="U30" i="16"/>
  <c r="AC33" i="7"/>
  <c r="AC29" i="7"/>
  <c r="AC25" i="7"/>
  <c r="U32" i="16"/>
  <c r="U28" i="16"/>
  <c r="U24" i="16"/>
  <c r="U21" i="16"/>
  <c r="AC21" i="7"/>
  <c r="U20" i="16"/>
  <c r="AC20" i="7"/>
  <c r="AC19" i="7"/>
  <c r="AC18" i="7"/>
  <c r="AC17" i="7"/>
  <c r="U15" i="16"/>
  <c r="AC15" i="9"/>
  <c r="AC16" i="7"/>
  <c r="AC14" i="5"/>
  <c r="AC13" i="7"/>
  <c r="AC12" i="7"/>
  <c r="AC11" i="7"/>
  <c r="U10" i="16"/>
  <c r="AC10" i="7"/>
  <c r="AC28" i="7"/>
  <c r="AC35" i="5"/>
  <c r="AC32" i="9"/>
  <c r="G16" i="27"/>
  <c r="E15" i="29"/>
  <c r="E13" i="29"/>
  <c r="E12" i="29"/>
  <c r="E14" i="29"/>
  <c r="E9" i="29"/>
  <c r="J9" i="29"/>
  <c r="E10" i="29"/>
  <c r="E17" i="29"/>
  <c r="E16" i="29"/>
  <c r="G13" i="28"/>
  <c r="L41" i="29"/>
  <c r="AZ39" i="29"/>
  <c r="AX39" i="29"/>
  <c r="AW39" i="29"/>
  <c r="AV39" i="29"/>
  <c r="AT39" i="29"/>
  <c r="AU39" i="29" s="1"/>
  <c r="AS39" i="29"/>
  <c r="AM39" i="29"/>
  <c r="AL39" i="29"/>
  <c r="AK39" i="29"/>
  <c r="AJ39" i="29"/>
  <c r="AI39" i="29"/>
  <c r="AH39" i="29"/>
  <c r="AG39" i="29"/>
  <c r="AF39" i="29"/>
  <c r="AE39" i="29"/>
  <c r="AD39" i="29"/>
  <c r="AO39" i="29" s="1"/>
  <c r="AC39" i="29"/>
  <c r="AN39" i="29" s="1"/>
  <c r="AA39" i="29"/>
  <c r="Z39" i="29"/>
  <c r="Y39" i="29"/>
  <c r="X39" i="29"/>
  <c r="W39" i="29"/>
  <c r="T39" i="29"/>
  <c r="S39" i="29"/>
  <c r="Q39" i="29"/>
  <c r="P39" i="29"/>
  <c r="N39" i="29"/>
  <c r="V39" i="29" s="1"/>
  <c r="L39" i="29"/>
  <c r="AZ38" i="29"/>
  <c r="AX38" i="29"/>
  <c r="AW38" i="29"/>
  <c r="AV38" i="29"/>
  <c r="AT38" i="29"/>
  <c r="AS38" i="29"/>
  <c r="AM38" i="29"/>
  <c r="AL38" i="29"/>
  <c r="AK38" i="29"/>
  <c r="AJ38" i="29"/>
  <c r="AI38" i="29"/>
  <c r="AH38" i="29"/>
  <c r="AG38" i="29"/>
  <c r="AF38" i="29"/>
  <c r="AE38" i="29"/>
  <c r="AD38" i="29"/>
  <c r="AO38" i="29" s="1"/>
  <c r="AC38" i="29"/>
  <c r="AN38" i="29" s="1"/>
  <c r="AA38" i="29"/>
  <c r="Z38" i="29"/>
  <c r="Y38" i="29"/>
  <c r="X38" i="29"/>
  <c r="W38" i="29"/>
  <c r="AB38" i="29" s="1"/>
  <c r="T38" i="29"/>
  <c r="S38" i="29"/>
  <c r="Q38" i="29"/>
  <c r="P38" i="29"/>
  <c r="N38" i="29"/>
  <c r="V38" i="29" s="1"/>
  <c r="L38" i="29"/>
  <c r="BC37" i="29"/>
  <c r="BC38" i="29" s="1"/>
  <c r="BC39" i="29" s="1"/>
  <c r="AZ37" i="29"/>
  <c r="AX37" i="29"/>
  <c r="AW37" i="29"/>
  <c r="AV37" i="29"/>
  <c r="AT37" i="29"/>
  <c r="AS37" i="29"/>
  <c r="AM37" i="29"/>
  <c r="AL37" i="29"/>
  <c r="AK37" i="29"/>
  <c r="AQ37" i="29" s="1"/>
  <c r="AJ37" i="29"/>
  <c r="AI37" i="29"/>
  <c r="AH37" i="29"/>
  <c r="AG37" i="29"/>
  <c r="AF37" i="29"/>
  <c r="AE37" i="29"/>
  <c r="AD37" i="29"/>
  <c r="AO37" i="29" s="1"/>
  <c r="AC37" i="29"/>
  <c r="AN37" i="29" s="1"/>
  <c r="AA37" i="29"/>
  <c r="Z37" i="29"/>
  <c r="Y37" i="29"/>
  <c r="X37" i="29"/>
  <c r="W37" i="29"/>
  <c r="T37" i="29"/>
  <c r="S37" i="29"/>
  <c r="U37" i="29" s="1"/>
  <c r="Q37" i="29"/>
  <c r="P37" i="29"/>
  <c r="N37" i="29"/>
  <c r="V37" i="29" s="1"/>
  <c r="L37" i="29"/>
  <c r="AZ36" i="29"/>
  <c r="AX36" i="29"/>
  <c r="AW36" i="29"/>
  <c r="AV36" i="29"/>
  <c r="AT36" i="29"/>
  <c r="AS36" i="29"/>
  <c r="AM36" i="29"/>
  <c r="AL36" i="29"/>
  <c r="AK36" i="29"/>
  <c r="AJ36" i="29"/>
  <c r="AI36" i="29"/>
  <c r="AH36" i="29"/>
  <c r="AG36" i="29"/>
  <c r="AF36" i="29"/>
  <c r="AE36" i="29"/>
  <c r="AD36" i="29"/>
  <c r="AO36" i="29" s="1"/>
  <c r="AC36" i="29"/>
  <c r="AN36" i="29" s="1"/>
  <c r="AA36" i="29"/>
  <c r="Z36" i="29"/>
  <c r="Y36" i="29"/>
  <c r="X36" i="29"/>
  <c r="W36" i="29"/>
  <c r="T36" i="29"/>
  <c r="S36" i="29"/>
  <c r="U36" i="29" s="1"/>
  <c r="Q36" i="29"/>
  <c r="P36" i="29"/>
  <c r="N36" i="29"/>
  <c r="V36" i="29" s="1"/>
  <c r="L36" i="29"/>
  <c r="AZ35" i="29"/>
  <c r="AX35" i="29"/>
  <c r="AW35" i="29"/>
  <c r="AV35" i="29"/>
  <c r="AT35" i="29"/>
  <c r="AS35" i="29"/>
  <c r="AM35" i="29"/>
  <c r="AL35" i="29"/>
  <c r="AK35" i="29"/>
  <c r="AJ35" i="29"/>
  <c r="AI35" i="29"/>
  <c r="AH35" i="29"/>
  <c r="AG35" i="29"/>
  <c r="AF35" i="29"/>
  <c r="AE35" i="29"/>
  <c r="AD35" i="29"/>
  <c r="AO35" i="29" s="1"/>
  <c r="AC35" i="29"/>
  <c r="AN35" i="29" s="1"/>
  <c r="AA35" i="29"/>
  <c r="Z35" i="29"/>
  <c r="Y35" i="29"/>
  <c r="X35" i="29"/>
  <c r="W35" i="29"/>
  <c r="T35" i="29"/>
  <c r="S35" i="29"/>
  <c r="Q35" i="29"/>
  <c r="P35" i="29"/>
  <c r="N35" i="29"/>
  <c r="L35" i="29"/>
  <c r="M49" i="29"/>
  <c r="AZ34" i="29"/>
  <c r="AX34" i="29"/>
  <c r="AW34" i="29"/>
  <c r="AV34" i="29"/>
  <c r="AT34" i="29"/>
  <c r="AS34" i="29"/>
  <c r="AM34" i="29"/>
  <c r="AL34" i="29"/>
  <c r="AK34" i="29"/>
  <c r="AJ34" i="29"/>
  <c r="AI34" i="29"/>
  <c r="AH34" i="29"/>
  <c r="AG34" i="29"/>
  <c r="AF34" i="29"/>
  <c r="AE34" i="29"/>
  <c r="AD34" i="29"/>
  <c r="AO34" i="29" s="1"/>
  <c r="AC34" i="29"/>
  <c r="AN34" i="29" s="1"/>
  <c r="AA34" i="29"/>
  <c r="Z34" i="29"/>
  <c r="Y34" i="29"/>
  <c r="X34" i="29"/>
  <c r="W34" i="29"/>
  <c r="T34" i="29"/>
  <c r="S34" i="29"/>
  <c r="Q34" i="29"/>
  <c r="P34" i="29"/>
  <c r="N34" i="29"/>
  <c r="V34" i="29" s="1"/>
  <c r="L34" i="29"/>
  <c r="AZ33" i="29"/>
  <c r="AX33" i="29"/>
  <c r="AW33" i="29"/>
  <c r="AV33" i="29"/>
  <c r="AT33" i="29"/>
  <c r="AS33" i="29"/>
  <c r="AM33" i="29"/>
  <c r="AL33" i="29"/>
  <c r="AK33" i="29"/>
  <c r="AJ33" i="29"/>
  <c r="AI33" i="29"/>
  <c r="AH33" i="29"/>
  <c r="AG33" i="29"/>
  <c r="AF33" i="29"/>
  <c r="AE33" i="29"/>
  <c r="AD33" i="29"/>
  <c r="AO33" i="29" s="1"/>
  <c r="AC33" i="29"/>
  <c r="AN33" i="29" s="1"/>
  <c r="AA33" i="29"/>
  <c r="Z33" i="29"/>
  <c r="Y33" i="29"/>
  <c r="X33" i="29"/>
  <c r="W33" i="29"/>
  <c r="T33" i="29"/>
  <c r="S33" i="29"/>
  <c r="U33" i="29" s="1"/>
  <c r="Q33" i="29"/>
  <c r="P33" i="29"/>
  <c r="N33" i="29"/>
  <c r="V33" i="29" s="1"/>
  <c r="L33" i="29"/>
  <c r="AZ32" i="29"/>
  <c r="AX32" i="29"/>
  <c r="AW32" i="29"/>
  <c r="AV32" i="29"/>
  <c r="AT32" i="29"/>
  <c r="AS32" i="29"/>
  <c r="AM32" i="29"/>
  <c r="AL32" i="29"/>
  <c r="AK32" i="29"/>
  <c r="AJ32" i="29"/>
  <c r="AI32" i="29"/>
  <c r="AH32" i="29"/>
  <c r="AG32" i="29"/>
  <c r="AF32" i="29"/>
  <c r="AE32" i="29"/>
  <c r="AD32" i="29"/>
  <c r="AO32" i="29" s="1"/>
  <c r="AC32" i="29"/>
  <c r="AN32" i="29" s="1"/>
  <c r="AA32" i="29"/>
  <c r="Z32" i="29"/>
  <c r="Y32" i="29"/>
  <c r="X32" i="29"/>
  <c r="W32" i="29"/>
  <c r="T32" i="29"/>
  <c r="S32" i="29"/>
  <c r="Q32" i="29"/>
  <c r="P32" i="29"/>
  <c r="N32" i="29"/>
  <c r="V32" i="29" s="1"/>
  <c r="L32" i="29"/>
  <c r="AZ31" i="29"/>
  <c r="AX31" i="29"/>
  <c r="AW31" i="29"/>
  <c r="AV31" i="29"/>
  <c r="AT31" i="29"/>
  <c r="AS31" i="29"/>
  <c r="AM31" i="29"/>
  <c r="AL31" i="29"/>
  <c r="AK31" i="29"/>
  <c r="AJ31" i="29"/>
  <c r="AI31" i="29"/>
  <c r="AH31" i="29"/>
  <c r="AG31" i="29"/>
  <c r="AF31" i="29"/>
  <c r="AE31" i="29"/>
  <c r="AD31" i="29"/>
  <c r="AO31" i="29" s="1"/>
  <c r="AC31" i="29"/>
  <c r="AN31" i="29" s="1"/>
  <c r="AA31" i="29"/>
  <c r="Z31" i="29"/>
  <c r="Y31" i="29"/>
  <c r="X31" i="29"/>
  <c r="W31" i="29"/>
  <c r="T31" i="29"/>
  <c r="S31" i="29"/>
  <c r="U31" i="29" s="1"/>
  <c r="Q31" i="29"/>
  <c r="P31" i="29"/>
  <c r="N31" i="29"/>
  <c r="V31" i="29" s="1"/>
  <c r="L31" i="29"/>
  <c r="AZ30" i="29"/>
  <c r="AX30" i="29"/>
  <c r="AW30" i="29"/>
  <c r="AV30" i="29"/>
  <c r="AT30" i="29"/>
  <c r="AS30" i="29"/>
  <c r="AM30" i="29"/>
  <c r="AL30" i="29"/>
  <c r="AK30" i="29"/>
  <c r="AJ30" i="29"/>
  <c r="AI30" i="29"/>
  <c r="AH30" i="29"/>
  <c r="AG30" i="29"/>
  <c r="AF30" i="29"/>
  <c r="AE30" i="29"/>
  <c r="AD30" i="29"/>
  <c r="AO30" i="29" s="1"/>
  <c r="AC30" i="29"/>
  <c r="AN30" i="29" s="1"/>
  <c r="AA30" i="29"/>
  <c r="Z30" i="29"/>
  <c r="Y30" i="29"/>
  <c r="X30" i="29"/>
  <c r="W30" i="29"/>
  <c r="T30" i="29"/>
  <c r="S30" i="29"/>
  <c r="Q30" i="29"/>
  <c r="P30" i="29"/>
  <c r="N30" i="29"/>
  <c r="V30" i="29" s="1"/>
  <c r="L30" i="29"/>
  <c r="AZ29" i="29"/>
  <c r="AX29" i="29"/>
  <c r="AW29" i="29"/>
  <c r="AV29" i="29"/>
  <c r="AT29" i="29"/>
  <c r="AS29" i="29"/>
  <c r="AM29" i="29"/>
  <c r="AL29" i="29"/>
  <c r="AK29" i="29"/>
  <c r="AJ29" i="29"/>
  <c r="AI29" i="29"/>
  <c r="AH29" i="29"/>
  <c r="AG29" i="29"/>
  <c r="AF29" i="29"/>
  <c r="AE29" i="29"/>
  <c r="AD29" i="29"/>
  <c r="AO29" i="29" s="1"/>
  <c r="AC29" i="29"/>
  <c r="AN29" i="29" s="1"/>
  <c r="AA29" i="29"/>
  <c r="Z29" i="29"/>
  <c r="Y29" i="29"/>
  <c r="X29" i="29"/>
  <c r="W29" i="29"/>
  <c r="T29" i="29"/>
  <c r="S29" i="29"/>
  <c r="U29" i="29" s="1"/>
  <c r="Q29" i="29"/>
  <c r="P29" i="29"/>
  <c r="N29" i="29"/>
  <c r="V29" i="29" s="1"/>
  <c r="L29" i="29"/>
  <c r="AZ28" i="29"/>
  <c r="AX28" i="29"/>
  <c r="AW28" i="29"/>
  <c r="AV28" i="29"/>
  <c r="AT28" i="29"/>
  <c r="AS28" i="29"/>
  <c r="AM28" i="29"/>
  <c r="AL28" i="29"/>
  <c r="AK28" i="29"/>
  <c r="AJ28" i="29"/>
  <c r="AI28" i="29"/>
  <c r="AH28" i="29"/>
  <c r="AG28" i="29"/>
  <c r="AF28" i="29"/>
  <c r="AE28" i="29"/>
  <c r="AD28" i="29"/>
  <c r="AO28" i="29" s="1"/>
  <c r="AC28" i="29"/>
  <c r="AN28" i="29" s="1"/>
  <c r="AA28" i="29"/>
  <c r="Z28" i="29"/>
  <c r="Y28" i="29"/>
  <c r="X28" i="29"/>
  <c r="W28" i="29"/>
  <c r="T28" i="29"/>
  <c r="S28" i="29"/>
  <c r="Q28" i="29"/>
  <c r="P28" i="29"/>
  <c r="N28" i="29"/>
  <c r="V28" i="29" s="1"/>
  <c r="M48" i="29"/>
  <c r="AZ27" i="29"/>
  <c r="AX27" i="29"/>
  <c r="AW27" i="29"/>
  <c r="AV27" i="29"/>
  <c r="AT27" i="29"/>
  <c r="AS27" i="29"/>
  <c r="AM27" i="29"/>
  <c r="AL27" i="29"/>
  <c r="AK27" i="29"/>
  <c r="AJ27" i="29"/>
  <c r="AI27" i="29"/>
  <c r="AH27" i="29"/>
  <c r="AG27" i="29"/>
  <c r="AF27" i="29"/>
  <c r="AE27" i="29"/>
  <c r="AD27" i="29"/>
  <c r="AO27" i="29" s="1"/>
  <c r="AC27" i="29"/>
  <c r="AN27" i="29" s="1"/>
  <c r="AA27" i="29"/>
  <c r="Z27" i="29"/>
  <c r="Y27" i="29"/>
  <c r="X27" i="29"/>
  <c r="W27" i="29"/>
  <c r="T27" i="29"/>
  <c r="S27" i="29"/>
  <c r="U27" i="29" s="1"/>
  <c r="Q27" i="29"/>
  <c r="P27" i="29"/>
  <c r="N27" i="29"/>
  <c r="V27" i="29" s="1"/>
  <c r="L27" i="29"/>
  <c r="AZ26" i="29"/>
  <c r="AX26" i="29"/>
  <c r="AW26" i="29"/>
  <c r="AV26" i="29"/>
  <c r="AT26" i="29"/>
  <c r="AS26" i="29"/>
  <c r="AM26" i="29"/>
  <c r="AL26" i="29"/>
  <c r="AK26" i="29"/>
  <c r="AJ26" i="29"/>
  <c r="AI26" i="29"/>
  <c r="AH26" i="29"/>
  <c r="AG26" i="29"/>
  <c r="AF26" i="29"/>
  <c r="AE26" i="29"/>
  <c r="AD26" i="29"/>
  <c r="AO26" i="29" s="1"/>
  <c r="AC26" i="29"/>
  <c r="AN26" i="29" s="1"/>
  <c r="AA26" i="29"/>
  <c r="Z26" i="29"/>
  <c r="Y26" i="29"/>
  <c r="X26" i="29"/>
  <c r="W26" i="29"/>
  <c r="T26" i="29"/>
  <c r="S26" i="29"/>
  <c r="Q26" i="29"/>
  <c r="P26" i="29"/>
  <c r="N26" i="29"/>
  <c r="V26" i="29" s="1"/>
  <c r="L26" i="29"/>
  <c r="AZ25" i="29"/>
  <c r="AX25" i="29"/>
  <c r="AW25" i="29"/>
  <c r="AV25" i="29"/>
  <c r="AT25" i="29"/>
  <c r="AS25" i="29"/>
  <c r="AM25" i="29"/>
  <c r="AL25" i="29"/>
  <c r="AK25" i="29"/>
  <c r="AJ25" i="29"/>
  <c r="AI25" i="29"/>
  <c r="AH25" i="29"/>
  <c r="AG25" i="29"/>
  <c r="AF25" i="29"/>
  <c r="AE25" i="29"/>
  <c r="AD25" i="29"/>
  <c r="AO25" i="29" s="1"/>
  <c r="AC25" i="29"/>
  <c r="AN25" i="29" s="1"/>
  <c r="AA25" i="29"/>
  <c r="Z25" i="29"/>
  <c r="Y25" i="29"/>
  <c r="X25" i="29"/>
  <c r="W25" i="29"/>
  <c r="T25" i="29"/>
  <c r="S25" i="29"/>
  <c r="U25" i="29" s="1"/>
  <c r="Q25" i="29"/>
  <c r="P25" i="29"/>
  <c r="N25" i="29"/>
  <c r="V25" i="29" s="1"/>
  <c r="L25" i="29"/>
  <c r="AZ24" i="29"/>
  <c r="AX24" i="29"/>
  <c r="AW24" i="29"/>
  <c r="AV24" i="29"/>
  <c r="AT24" i="29"/>
  <c r="AS24" i="29"/>
  <c r="AM24" i="29"/>
  <c r="AL24" i="29"/>
  <c r="AK24" i="29"/>
  <c r="AJ24" i="29"/>
  <c r="AI24" i="29"/>
  <c r="AH24" i="29"/>
  <c r="AG24" i="29"/>
  <c r="AF24" i="29"/>
  <c r="AE24" i="29"/>
  <c r="AD24" i="29"/>
  <c r="AO24" i="29" s="1"/>
  <c r="AC24" i="29"/>
  <c r="AN24" i="29" s="1"/>
  <c r="AA24" i="29"/>
  <c r="Z24" i="29"/>
  <c r="Y24" i="29"/>
  <c r="X24" i="29"/>
  <c r="W24" i="29"/>
  <c r="T24" i="29"/>
  <c r="S24" i="29"/>
  <c r="Q24" i="29"/>
  <c r="P24" i="29"/>
  <c r="N24" i="29"/>
  <c r="V24" i="29" s="1"/>
  <c r="L24" i="29"/>
  <c r="AZ23" i="29"/>
  <c r="AX23" i="29"/>
  <c r="AW23" i="29"/>
  <c r="AV23" i="29"/>
  <c r="AT23" i="29"/>
  <c r="AS23" i="29"/>
  <c r="AM23" i="29"/>
  <c r="AL23" i="29"/>
  <c r="AK23" i="29"/>
  <c r="AJ23" i="29"/>
  <c r="AI23" i="29"/>
  <c r="AH23" i="29"/>
  <c r="AG23" i="29"/>
  <c r="AF23" i="29"/>
  <c r="AE23" i="29"/>
  <c r="AD23" i="29"/>
  <c r="AO23" i="29" s="1"/>
  <c r="AC23" i="29"/>
  <c r="AN23" i="29" s="1"/>
  <c r="AA23" i="29"/>
  <c r="Z23" i="29"/>
  <c r="Y23" i="29"/>
  <c r="X23" i="29"/>
  <c r="W23" i="29"/>
  <c r="T23" i="29"/>
  <c r="S23" i="29"/>
  <c r="U23" i="29" s="1"/>
  <c r="Q23" i="29"/>
  <c r="P23" i="29"/>
  <c r="N23" i="29"/>
  <c r="V23" i="29" s="1"/>
  <c r="L23" i="29"/>
  <c r="AZ22" i="29"/>
  <c r="AX22" i="29"/>
  <c r="AW22" i="29"/>
  <c r="AV22" i="29"/>
  <c r="AT22" i="29"/>
  <c r="AS22" i="29"/>
  <c r="AM22" i="29"/>
  <c r="AL22" i="29"/>
  <c r="AK22" i="29"/>
  <c r="AJ22" i="29"/>
  <c r="AI22" i="29"/>
  <c r="AH22" i="29"/>
  <c r="AG22" i="29"/>
  <c r="AF22" i="29"/>
  <c r="AE22" i="29"/>
  <c r="AD22" i="29"/>
  <c r="AO22" i="29" s="1"/>
  <c r="AC22" i="29"/>
  <c r="AN22" i="29" s="1"/>
  <c r="AA22" i="29"/>
  <c r="Z22" i="29"/>
  <c r="Y22" i="29"/>
  <c r="X22" i="29"/>
  <c r="W22" i="29"/>
  <c r="T22" i="29"/>
  <c r="S22" i="29"/>
  <c r="Q22" i="29"/>
  <c r="P22" i="29"/>
  <c r="N22" i="29"/>
  <c r="V22" i="29" s="1"/>
  <c r="L22" i="29"/>
  <c r="AZ21" i="29"/>
  <c r="AX21" i="29"/>
  <c r="AW21" i="29"/>
  <c r="AV21" i="29"/>
  <c r="AT21" i="29"/>
  <c r="AS21" i="29"/>
  <c r="AM21" i="29"/>
  <c r="AL21" i="29"/>
  <c r="AK21" i="29"/>
  <c r="AJ21" i="29"/>
  <c r="AI21" i="29"/>
  <c r="AH21" i="29"/>
  <c r="AG21" i="29"/>
  <c r="AF21" i="29"/>
  <c r="AE21" i="29"/>
  <c r="AD21" i="29"/>
  <c r="AO21" i="29" s="1"/>
  <c r="AC21" i="29"/>
  <c r="AN21" i="29" s="1"/>
  <c r="AA21" i="29"/>
  <c r="Z21" i="29"/>
  <c r="Y21" i="29"/>
  <c r="X21" i="29"/>
  <c r="W21" i="29"/>
  <c r="T21" i="29"/>
  <c r="S21" i="29"/>
  <c r="Q21" i="29"/>
  <c r="P21" i="29"/>
  <c r="N21" i="29"/>
  <c r="V21" i="29" s="1"/>
  <c r="M47" i="29"/>
  <c r="AZ20" i="29"/>
  <c r="AX20" i="29"/>
  <c r="AW20" i="29"/>
  <c r="AV20" i="29"/>
  <c r="AT20" i="29"/>
  <c r="AS20" i="29"/>
  <c r="AM20" i="29"/>
  <c r="AL20" i="29"/>
  <c r="AK20" i="29"/>
  <c r="AJ20" i="29"/>
  <c r="AI20" i="29"/>
  <c r="AH20" i="29"/>
  <c r="AG20" i="29"/>
  <c r="AF20" i="29"/>
  <c r="AE20" i="29"/>
  <c r="AD20" i="29"/>
  <c r="AO20" i="29" s="1"/>
  <c r="AC20" i="29"/>
  <c r="AN20" i="29" s="1"/>
  <c r="AA20" i="29"/>
  <c r="Z20" i="29"/>
  <c r="Y20" i="29"/>
  <c r="X20" i="29"/>
  <c r="W20" i="29"/>
  <c r="T20" i="29"/>
  <c r="S20" i="29"/>
  <c r="Q20" i="29"/>
  <c r="P20" i="29"/>
  <c r="N20" i="29"/>
  <c r="V20" i="29" s="1"/>
  <c r="L20" i="29"/>
  <c r="AZ19" i="29"/>
  <c r="AX19" i="29"/>
  <c r="AW19" i="29"/>
  <c r="AV19" i="29"/>
  <c r="AT19" i="29"/>
  <c r="AS19" i="29"/>
  <c r="AM19" i="29"/>
  <c r="AL19" i="29"/>
  <c r="AK19" i="29"/>
  <c r="AJ19" i="29"/>
  <c r="AI19" i="29"/>
  <c r="AH19" i="29"/>
  <c r="AG19" i="29"/>
  <c r="AF19" i="29"/>
  <c r="AE19" i="29"/>
  <c r="AD19" i="29"/>
  <c r="AO19" i="29" s="1"/>
  <c r="AC19" i="29"/>
  <c r="AN19" i="29" s="1"/>
  <c r="AA19" i="29"/>
  <c r="Z19" i="29"/>
  <c r="Y19" i="29"/>
  <c r="X19" i="29"/>
  <c r="W19" i="29"/>
  <c r="T19" i="29"/>
  <c r="S19" i="29"/>
  <c r="Q19" i="29"/>
  <c r="P19" i="29"/>
  <c r="N19" i="29"/>
  <c r="V19" i="29" s="1"/>
  <c r="L19" i="29"/>
  <c r="AZ18" i="29"/>
  <c r="AX18" i="29"/>
  <c r="AW18" i="29"/>
  <c r="AV18" i="29"/>
  <c r="AT18" i="29"/>
  <c r="AS18" i="29"/>
  <c r="AM18" i="29"/>
  <c r="AL18" i="29"/>
  <c r="AK18" i="29"/>
  <c r="AJ18" i="29"/>
  <c r="AI18" i="29"/>
  <c r="AH18" i="29"/>
  <c r="AG18" i="29"/>
  <c r="AF18" i="29"/>
  <c r="AE18" i="29"/>
  <c r="AD18" i="29"/>
  <c r="AO18" i="29" s="1"/>
  <c r="AC18" i="29"/>
  <c r="AN18" i="29" s="1"/>
  <c r="AA18" i="29"/>
  <c r="Z18" i="29"/>
  <c r="Y18" i="29"/>
  <c r="X18" i="29"/>
  <c r="W18" i="29"/>
  <c r="T18" i="29"/>
  <c r="S18" i="29"/>
  <c r="Q18" i="29"/>
  <c r="P18" i="29"/>
  <c r="N18" i="29"/>
  <c r="V18" i="29" s="1"/>
  <c r="L18" i="29"/>
  <c r="AZ17" i="29"/>
  <c r="AX17" i="29"/>
  <c r="AW17" i="29"/>
  <c r="AV17" i="29"/>
  <c r="AT17" i="29"/>
  <c r="AS17" i="29"/>
  <c r="AM17" i="29"/>
  <c r="AL17" i="29"/>
  <c r="AK17" i="29"/>
  <c r="AJ17" i="29"/>
  <c r="AI17" i="29"/>
  <c r="AH17" i="29"/>
  <c r="AG17" i="29"/>
  <c r="AF17" i="29"/>
  <c r="AE17" i="29"/>
  <c r="AD17" i="29"/>
  <c r="AO17" i="29" s="1"/>
  <c r="AC17" i="29"/>
  <c r="AN17" i="29" s="1"/>
  <c r="AA17" i="29"/>
  <c r="Z17" i="29"/>
  <c r="Y17" i="29"/>
  <c r="X17" i="29"/>
  <c r="W17" i="29"/>
  <c r="T17" i="29"/>
  <c r="S17" i="29"/>
  <c r="Q17" i="29"/>
  <c r="P17" i="29"/>
  <c r="N17" i="29"/>
  <c r="AZ16" i="29"/>
  <c r="AX16" i="29"/>
  <c r="AW16" i="29"/>
  <c r="AV16" i="29"/>
  <c r="AT16" i="29"/>
  <c r="AS16" i="29"/>
  <c r="AU16" i="29" s="1"/>
  <c r="AM16" i="29"/>
  <c r="AL16" i="29"/>
  <c r="AK16" i="29"/>
  <c r="AJ16" i="29"/>
  <c r="AI16" i="29"/>
  <c r="AH16" i="29"/>
  <c r="AG16" i="29"/>
  <c r="AF16" i="29"/>
  <c r="AE16" i="29"/>
  <c r="AD16" i="29"/>
  <c r="AO16" i="29" s="1"/>
  <c r="AC16" i="29"/>
  <c r="AN16" i="29" s="1"/>
  <c r="AA16" i="29"/>
  <c r="Z16" i="29"/>
  <c r="Y16" i="29"/>
  <c r="X16" i="29"/>
  <c r="W16" i="29"/>
  <c r="T16" i="29"/>
  <c r="S16" i="29"/>
  <c r="Q16" i="29"/>
  <c r="P16" i="29"/>
  <c r="N16" i="29"/>
  <c r="AZ15" i="29"/>
  <c r="AX15" i="29"/>
  <c r="AW15" i="29"/>
  <c r="AV15" i="29"/>
  <c r="AT15" i="29"/>
  <c r="AS15" i="29"/>
  <c r="AM15" i="29"/>
  <c r="AL15" i="29"/>
  <c r="AK15" i="29"/>
  <c r="AJ15" i="29"/>
  <c r="AI15" i="29"/>
  <c r="AH15" i="29"/>
  <c r="AG15" i="29"/>
  <c r="AF15" i="29"/>
  <c r="AE15" i="29"/>
  <c r="AD15" i="29"/>
  <c r="AO15" i="29" s="1"/>
  <c r="AC15" i="29"/>
  <c r="AN15" i="29" s="1"/>
  <c r="AA15" i="29"/>
  <c r="Z15" i="29"/>
  <c r="Y15" i="29"/>
  <c r="X15" i="29"/>
  <c r="W15" i="29"/>
  <c r="T15" i="29"/>
  <c r="S15" i="29"/>
  <c r="Q15" i="29"/>
  <c r="P15" i="29"/>
  <c r="N15" i="29"/>
  <c r="AZ14" i="29"/>
  <c r="AX14" i="29"/>
  <c r="AW14" i="29"/>
  <c r="AV14" i="29"/>
  <c r="AT14" i="29"/>
  <c r="AS14" i="29"/>
  <c r="AM14" i="29"/>
  <c r="AL14" i="29"/>
  <c r="AK14" i="29"/>
  <c r="AQ14" i="29" s="1"/>
  <c r="AJ14" i="29"/>
  <c r="AI14" i="29"/>
  <c r="AH14" i="29"/>
  <c r="AG14" i="29"/>
  <c r="AF14" i="29"/>
  <c r="AE14" i="29"/>
  <c r="AD14" i="29"/>
  <c r="AO14" i="29" s="1"/>
  <c r="AC14" i="29"/>
  <c r="AN14" i="29" s="1"/>
  <c r="AA14" i="29"/>
  <c r="Z14" i="29"/>
  <c r="Y14" i="29"/>
  <c r="X14" i="29"/>
  <c r="W14" i="29"/>
  <c r="T14" i="29"/>
  <c r="S14" i="29"/>
  <c r="Q14" i="29"/>
  <c r="P14" i="29"/>
  <c r="N14" i="29"/>
  <c r="AZ13" i="29"/>
  <c r="AX13" i="29"/>
  <c r="AW13" i="29"/>
  <c r="AV13" i="29"/>
  <c r="AT13" i="29"/>
  <c r="AS13" i="29"/>
  <c r="AU13" i="29" s="1"/>
  <c r="AM13" i="29"/>
  <c r="AL13" i="29"/>
  <c r="AK13" i="29"/>
  <c r="AJ13" i="29"/>
  <c r="AI13" i="29"/>
  <c r="AH13" i="29"/>
  <c r="AG13" i="29"/>
  <c r="AF13" i="29"/>
  <c r="AE13" i="29"/>
  <c r="AD13" i="29"/>
  <c r="AO13" i="29" s="1"/>
  <c r="AC13" i="29"/>
  <c r="AN13" i="29" s="1"/>
  <c r="AA13" i="29"/>
  <c r="Z13" i="29"/>
  <c r="Y13" i="29"/>
  <c r="X13" i="29"/>
  <c r="W13" i="29"/>
  <c r="T13" i="29"/>
  <c r="S13" i="29"/>
  <c r="Q13" i="29"/>
  <c r="P13" i="29"/>
  <c r="N13" i="29"/>
  <c r="AZ12" i="29"/>
  <c r="AX12" i="29"/>
  <c r="AW12" i="29"/>
  <c r="AV12" i="29"/>
  <c r="AT12" i="29"/>
  <c r="AS12" i="29"/>
  <c r="AM12" i="29"/>
  <c r="AL12" i="29"/>
  <c r="AK12" i="29"/>
  <c r="AJ12" i="29"/>
  <c r="AI12" i="29"/>
  <c r="AH12" i="29"/>
  <c r="AG12" i="29"/>
  <c r="AF12" i="29"/>
  <c r="AE12" i="29"/>
  <c r="AD12" i="29"/>
  <c r="AO12" i="29" s="1"/>
  <c r="AC12" i="29"/>
  <c r="AN12" i="29" s="1"/>
  <c r="AA12" i="29"/>
  <c r="Z12" i="29"/>
  <c r="Y12" i="29"/>
  <c r="X12" i="29"/>
  <c r="W12" i="29"/>
  <c r="T12" i="29"/>
  <c r="S12" i="29"/>
  <c r="Q12" i="29"/>
  <c r="P12" i="29"/>
  <c r="N12" i="29"/>
  <c r="AZ11" i="29"/>
  <c r="AX11" i="29"/>
  <c r="AW11" i="29"/>
  <c r="AV11" i="29"/>
  <c r="AT11" i="29"/>
  <c r="AS11" i="29"/>
  <c r="AM11" i="29"/>
  <c r="AL11" i="29"/>
  <c r="AK11" i="29"/>
  <c r="AJ11" i="29"/>
  <c r="AI11" i="29"/>
  <c r="AH11" i="29"/>
  <c r="AG11" i="29"/>
  <c r="AF11" i="29"/>
  <c r="AE11" i="29"/>
  <c r="AD11" i="29"/>
  <c r="AO11" i="29" s="1"/>
  <c r="AC11" i="29"/>
  <c r="AN11" i="29" s="1"/>
  <c r="AA11" i="29"/>
  <c r="Z11" i="29"/>
  <c r="Y11" i="29"/>
  <c r="X11" i="29"/>
  <c r="W11" i="29"/>
  <c r="T11" i="29"/>
  <c r="S11" i="29"/>
  <c r="U11" i="29" s="1"/>
  <c r="Q11" i="29"/>
  <c r="P11" i="29"/>
  <c r="N11" i="29"/>
  <c r="V11" i="29" s="1"/>
  <c r="L11" i="29"/>
  <c r="AZ10" i="29"/>
  <c r="AX10" i="29"/>
  <c r="AW10" i="29"/>
  <c r="AV10" i="29"/>
  <c r="AT10" i="29"/>
  <c r="AS10" i="29"/>
  <c r="AM10" i="29"/>
  <c r="AL10" i="29"/>
  <c r="AK10" i="29"/>
  <c r="AJ10" i="29"/>
  <c r="AI10" i="29"/>
  <c r="AH10" i="29"/>
  <c r="AG10" i="29"/>
  <c r="AF10" i="29"/>
  <c r="AE10" i="29"/>
  <c r="AD10" i="29"/>
  <c r="AO10" i="29" s="1"/>
  <c r="AC10" i="29"/>
  <c r="AN10" i="29" s="1"/>
  <c r="AA10" i="29"/>
  <c r="Z10" i="29"/>
  <c r="Y10" i="29"/>
  <c r="X10" i="29"/>
  <c r="W10" i="29"/>
  <c r="T10" i="29"/>
  <c r="S10" i="29"/>
  <c r="Q10" i="29"/>
  <c r="P10" i="29"/>
  <c r="N10" i="29"/>
  <c r="AZ9" i="29"/>
  <c r="AX9" i="29"/>
  <c r="AW9" i="29"/>
  <c r="AV9" i="29"/>
  <c r="AT9" i="29"/>
  <c r="AS9" i="29"/>
  <c r="AM9" i="29"/>
  <c r="AL9" i="29"/>
  <c r="AK9" i="29"/>
  <c r="AJ9" i="29"/>
  <c r="AI9" i="29"/>
  <c r="AH9" i="29"/>
  <c r="AG9" i="29"/>
  <c r="AG40" i="29" s="1"/>
  <c r="AF9" i="29"/>
  <c r="AE9" i="29"/>
  <c r="AD9" i="29"/>
  <c r="AC9" i="29"/>
  <c r="AA9" i="29"/>
  <c r="Z9" i="29"/>
  <c r="Y9" i="29"/>
  <c r="X9" i="29"/>
  <c r="W9" i="29"/>
  <c r="T9" i="29"/>
  <c r="S9" i="29"/>
  <c r="Q9" i="29"/>
  <c r="Q40" i="29" s="1"/>
  <c r="P9" i="29"/>
  <c r="N9" i="29"/>
  <c r="G9" i="29"/>
  <c r="G10" i="29" s="1"/>
  <c r="G11" i="29" s="1"/>
  <c r="F9" i="29"/>
  <c r="M49" i="28"/>
  <c r="M48" i="28"/>
  <c r="M47" i="28"/>
  <c r="M46" i="28"/>
  <c r="M45" i="28"/>
  <c r="AZ40" i="28"/>
  <c r="AW40" i="28"/>
  <c r="AV40" i="28"/>
  <c r="AT40" i="28"/>
  <c r="AS40" i="28"/>
  <c r="AQ40" i="28"/>
  <c r="AP40" i="28"/>
  <c r="AO40" i="28"/>
  <c r="AN40" i="28"/>
  <c r="AM40" i="28"/>
  <c r="AL40" i="28"/>
  <c r="AK40" i="28"/>
  <c r="AJ40" i="28"/>
  <c r="AH40" i="28"/>
  <c r="AG40" i="28"/>
  <c r="AF40" i="28"/>
  <c r="AE40" i="28"/>
  <c r="AD40" i="28"/>
  <c r="AC40" i="28"/>
  <c r="AB40" i="28"/>
  <c r="AA40" i="28"/>
  <c r="Z40" i="28"/>
  <c r="Y40" i="28"/>
  <c r="X40" i="28"/>
  <c r="W40" i="28"/>
  <c r="S40" i="28"/>
  <c r="R40" i="28"/>
  <c r="Q40" i="28"/>
  <c r="P40" i="28"/>
  <c r="N40" i="28"/>
  <c r="J40" i="28"/>
  <c r="D40" i="28"/>
  <c r="BF39" i="28"/>
  <c r="BD39" i="28"/>
  <c r="O39" i="28"/>
  <c r="L39" i="28"/>
  <c r="BF38" i="28"/>
  <c r="BD38" i="28"/>
  <c r="O38" i="28"/>
  <c r="L38" i="28"/>
  <c r="BF37" i="28"/>
  <c r="BD37" i="28"/>
  <c r="O37" i="28"/>
  <c r="L37" i="28"/>
  <c r="BF36" i="28"/>
  <c r="BD36" i="28"/>
  <c r="O36" i="28"/>
  <c r="L36" i="28"/>
  <c r="BF35" i="28"/>
  <c r="BD35" i="28"/>
  <c r="O35" i="28"/>
  <c r="L35" i="28"/>
  <c r="BF34" i="28"/>
  <c r="BD34" i="28"/>
  <c r="O34" i="28"/>
  <c r="L34" i="28"/>
  <c r="BF33" i="28"/>
  <c r="BD33" i="28"/>
  <c r="O33" i="28"/>
  <c r="L33" i="28"/>
  <c r="BF32" i="28"/>
  <c r="BD32" i="28"/>
  <c r="O32" i="28"/>
  <c r="L32" i="28"/>
  <c r="BF31" i="28"/>
  <c r="BD31" i="28"/>
  <c r="O31" i="28"/>
  <c r="L31" i="28"/>
  <c r="BF30" i="28"/>
  <c r="BD30" i="28"/>
  <c r="O30" i="28"/>
  <c r="L30" i="28"/>
  <c r="BF29" i="28"/>
  <c r="BD29" i="28"/>
  <c r="O29" i="28"/>
  <c r="L29" i="28"/>
  <c r="BF28" i="28"/>
  <c r="BD28" i="28"/>
  <c r="O28" i="28"/>
  <c r="L28" i="28"/>
  <c r="BF27" i="28"/>
  <c r="BD27" i="28"/>
  <c r="O27" i="28"/>
  <c r="L27" i="28"/>
  <c r="BF26" i="28"/>
  <c r="BD26" i="28"/>
  <c r="O26" i="28"/>
  <c r="L26" i="28"/>
  <c r="BF25" i="28"/>
  <c r="BD25" i="28"/>
  <c r="O25" i="28"/>
  <c r="L25" i="28"/>
  <c r="BF24" i="28"/>
  <c r="BD24" i="28"/>
  <c r="O24" i="28"/>
  <c r="L24" i="28"/>
  <c r="BF23" i="28"/>
  <c r="BD23" i="28"/>
  <c r="O23" i="28"/>
  <c r="L23" i="28"/>
  <c r="BF22" i="28"/>
  <c r="BD22" i="28"/>
  <c r="O22" i="28"/>
  <c r="L22" i="28"/>
  <c r="BF21" i="28"/>
  <c r="BD21" i="28"/>
  <c r="O21" i="28"/>
  <c r="L21" i="28"/>
  <c r="BF20" i="28"/>
  <c r="BD20" i="28"/>
  <c r="O20" i="28"/>
  <c r="L20" i="28"/>
  <c r="BF19" i="28"/>
  <c r="BD19" i="28"/>
  <c r="O19" i="28"/>
  <c r="L19" i="28"/>
  <c r="BF18" i="28"/>
  <c r="BD18" i="28"/>
  <c r="O18" i="28"/>
  <c r="L18" i="28"/>
  <c r="BF17" i="28"/>
  <c r="BD17" i="28"/>
  <c r="O17" i="28"/>
  <c r="L17" i="28"/>
  <c r="BF16" i="28"/>
  <c r="BD16" i="28"/>
  <c r="O16" i="28"/>
  <c r="L16" i="28"/>
  <c r="BF15" i="28"/>
  <c r="BD15" i="28"/>
  <c r="O15" i="28"/>
  <c r="L15" i="28"/>
  <c r="BF14" i="28"/>
  <c r="BD14" i="28"/>
  <c r="O14" i="28"/>
  <c r="L14" i="28"/>
  <c r="BF13" i="28"/>
  <c r="BD13" i="28"/>
  <c r="O13" i="28"/>
  <c r="L13" i="28"/>
  <c r="BF12" i="28"/>
  <c r="BD12" i="28"/>
  <c r="O12" i="28"/>
  <c r="L12" i="28"/>
  <c r="BF11" i="28"/>
  <c r="BD11" i="28"/>
  <c r="O11" i="28"/>
  <c r="L11" i="28"/>
  <c r="BF10" i="28"/>
  <c r="BD10" i="28"/>
  <c r="O10" i="28"/>
  <c r="L10" i="28"/>
  <c r="BF9" i="28"/>
  <c r="BG9" i="28" s="1"/>
  <c r="BD9" i="28"/>
  <c r="BE9" i="28" s="1"/>
  <c r="O9" i="28"/>
  <c r="L9" i="28"/>
  <c r="K9" i="28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H9" i="28"/>
  <c r="F9" i="28"/>
  <c r="F10" i="28" s="1"/>
  <c r="F11" i="28" s="1"/>
  <c r="F12" i="28" s="1"/>
  <c r="F13" i="28" s="1"/>
  <c r="F14" i="28" s="1"/>
  <c r="F15" i="28" s="1"/>
  <c r="F16" i="28" s="1"/>
  <c r="F17" i="28" s="1"/>
  <c r="F18" i="28" s="1"/>
  <c r="F19" i="28" s="1"/>
  <c r="F20" i="28" s="1"/>
  <c r="F21" i="28" s="1"/>
  <c r="F22" i="28" s="1"/>
  <c r="F23" i="28" s="1"/>
  <c r="F24" i="28" s="1"/>
  <c r="F25" i="28" s="1"/>
  <c r="F26" i="28" s="1"/>
  <c r="F27" i="28" s="1"/>
  <c r="F28" i="28" s="1"/>
  <c r="F29" i="28" s="1"/>
  <c r="F30" i="28" s="1"/>
  <c r="F31" i="28" s="1"/>
  <c r="F32" i="28" s="1"/>
  <c r="F33" i="28" s="1"/>
  <c r="F34" i="28" s="1"/>
  <c r="F35" i="28" s="1"/>
  <c r="F36" i="28" s="1"/>
  <c r="F37" i="28" s="1"/>
  <c r="F38" i="28" s="1"/>
  <c r="F39" i="28" s="1"/>
  <c r="U6" i="28"/>
  <c r="V6" i="28" s="1"/>
  <c r="L6" i="28"/>
  <c r="M49" i="27"/>
  <c r="M48" i="27"/>
  <c r="M47" i="27"/>
  <c r="M46" i="27"/>
  <c r="M45" i="27"/>
  <c r="AZ40" i="27"/>
  <c r="AW40" i="27"/>
  <c r="AV40" i="27"/>
  <c r="AT40" i="27"/>
  <c r="AS40" i="27"/>
  <c r="AQ40" i="27"/>
  <c r="AP40" i="27"/>
  <c r="AO40" i="27"/>
  <c r="AN40" i="27"/>
  <c r="AM40" i="27"/>
  <c r="AL40" i="27"/>
  <c r="AK40" i="27"/>
  <c r="AJ40" i="27"/>
  <c r="AI40" i="27"/>
  <c r="AG40" i="27"/>
  <c r="AE40" i="27"/>
  <c r="AD40" i="27"/>
  <c r="AC40" i="27"/>
  <c r="AB40" i="27"/>
  <c r="AA40" i="27"/>
  <c r="Z40" i="27"/>
  <c r="Y40" i="27"/>
  <c r="X40" i="27"/>
  <c r="W40" i="27"/>
  <c r="S40" i="27"/>
  <c r="R40" i="27"/>
  <c r="Q40" i="27"/>
  <c r="P40" i="27"/>
  <c r="N40" i="27"/>
  <c r="J40" i="27"/>
  <c r="E40" i="27"/>
  <c r="BF39" i="27"/>
  <c r="BF39" i="29" s="1"/>
  <c r="BD39" i="27"/>
  <c r="O39" i="27"/>
  <c r="L39" i="27"/>
  <c r="BF38" i="27"/>
  <c r="BD38" i="27"/>
  <c r="O38" i="27"/>
  <c r="L38" i="27"/>
  <c r="BF37" i="27"/>
  <c r="BD37" i="27"/>
  <c r="O37" i="27"/>
  <c r="L37" i="27"/>
  <c r="BF36" i="27"/>
  <c r="BD36" i="27"/>
  <c r="O36" i="27"/>
  <c r="L36" i="27"/>
  <c r="BF35" i="27"/>
  <c r="BD35" i="27"/>
  <c r="O35" i="27"/>
  <c r="L35" i="27"/>
  <c r="BF34" i="27"/>
  <c r="BD34" i="27"/>
  <c r="O34" i="27"/>
  <c r="L34" i="27"/>
  <c r="BF33" i="27"/>
  <c r="BD33" i="27"/>
  <c r="O33" i="27"/>
  <c r="L33" i="27"/>
  <c r="BF32" i="27"/>
  <c r="BD32" i="27"/>
  <c r="O32" i="27"/>
  <c r="L32" i="27"/>
  <c r="BF31" i="27"/>
  <c r="BD31" i="27"/>
  <c r="O31" i="27"/>
  <c r="L31" i="27"/>
  <c r="BF30" i="27"/>
  <c r="BD30" i="27"/>
  <c r="O30" i="27"/>
  <c r="L30" i="27"/>
  <c r="BF29" i="27"/>
  <c r="BD29" i="27"/>
  <c r="O29" i="27"/>
  <c r="L29" i="27"/>
  <c r="BF28" i="27"/>
  <c r="BD28" i="27"/>
  <c r="O28" i="27"/>
  <c r="L28" i="27"/>
  <c r="BF27" i="27"/>
  <c r="BD27" i="27"/>
  <c r="O27" i="27"/>
  <c r="L27" i="27"/>
  <c r="BF26" i="27"/>
  <c r="BD26" i="27"/>
  <c r="O26" i="27"/>
  <c r="L26" i="27"/>
  <c r="BF25" i="27"/>
  <c r="BD25" i="27"/>
  <c r="O25" i="27"/>
  <c r="L25" i="27"/>
  <c r="BF24" i="27"/>
  <c r="BD24" i="27"/>
  <c r="O24" i="27"/>
  <c r="L24" i="27"/>
  <c r="BF23" i="27"/>
  <c r="BD23" i="27"/>
  <c r="O23" i="27"/>
  <c r="L23" i="27"/>
  <c r="BF22" i="27"/>
  <c r="BD22" i="27"/>
  <c r="O22" i="27"/>
  <c r="L22" i="27"/>
  <c r="BF21" i="27"/>
  <c r="BD21" i="27"/>
  <c r="O21" i="27"/>
  <c r="L21" i="27"/>
  <c r="BF20" i="27"/>
  <c r="BD20" i="27"/>
  <c r="O20" i="27"/>
  <c r="L20" i="27"/>
  <c r="BF19" i="27"/>
  <c r="BD19" i="27"/>
  <c r="O19" i="27"/>
  <c r="L19" i="27"/>
  <c r="BF18" i="27"/>
  <c r="BD18" i="27"/>
  <c r="O18" i="27"/>
  <c r="L18" i="27"/>
  <c r="BF17" i="27"/>
  <c r="BD17" i="27"/>
  <c r="O17" i="27"/>
  <c r="L17" i="27"/>
  <c r="BF16" i="27"/>
  <c r="BD16" i="27"/>
  <c r="O16" i="27"/>
  <c r="L16" i="27"/>
  <c r="BF15" i="27"/>
  <c r="BD15" i="27"/>
  <c r="O15" i="27"/>
  <c r="L15" i="27"/>
  <c r="BF14" i="27"/>
  <c r="BD14" i="27"/>
  <c r="O14" i="27"/>
  <c r="L14" i="27"/>
  <c r="BF13" i="27"/>
  <c r="BD13" i="27"/>
  <c r="O13" i="27"/>
  <c r="L13" i="27"/>
  <c r="BF12" i="27"/>
  <c r="BD12" i="27"/>
  <c r="O12" i="27"/>
  <c r="L12" i="27"/>
  <c r="BF11" i="27"/>
  <c r="BD11" i="27"/>
  <c r="O11" i="27"/>
  <c r="L11" i="27"/>
  <c r="BF10" i="27"/>
  <c r="BD10" i="27"/>
  <c r="O10" i="27"/>
  <c r="L10" i="27"/>
  <c r="BG9" i="27"/>
  <c r="BD9" i="27"/>
  <c r="O9" i="27"/>
  <c r="L9" i="27"/>
  <c r="K9" i="27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H9" i="27"/>
  <c r="F9" i="27"/>
  <c r="L6" i="27"/>
  <c r="M50" i="26"/>
  <c r="M49" i="26"/>
  <c r="M48" i="26"/>
  <c r="M47" i="26"/>
  <c r="M46" i="26"/>
  <c r="L42" i="26"/>
  <c r="AZ41" i="26"/>
  <c r="AW41" i="26"/>
  <c r="AV41" i="26"/>
  <c r="AT41" i="26"/>
  <c r="AS41" i="26"/>
  <c r="AQ41" i="26"/>
  <c r="AP41" i="26"/>
  <c r="AO41" i="26"/>
  <c r="AN41" i="26"/>
  <c r="AM41" i="26"/>
  <c r="AL41" i="26"/>
  <c r="AK41" i="26"/>
  <c r="AJ41" i="26"/>
  <c r="AI41" i="26"/>
  <c r="AH41" i="26"/>
  <c r="AG41" i="26"/>
  <c r="AF41" i="26"/>
  <c r="AE41" i="26"/>
  <c r="AD41" i="26"/>
  <c r="AC41" i="26"/>
  <c r="AB41" i="26"/>
  <c r="AA41" i="26"/>
  <c r="Z41" i="26"/>
  <c r="Y41" i="26"/>
  <c r="X41" i="26"/>
  <c r="W41" i="26"/>
  <c r="S41" i="26"/>
  <c r="R41" i="26"/>
  <c r="Q41" i="26"/>
  <c r="N41" i="26"/>
  <c r="J41" i="26"/>
  <c r="E41" i="26"/>
  <c r="BD40" i="26"/>
  <c r="BD39" i="29" s="1"/>
  <c r="BH39" i="29" s="1"/>
  <c r="O40" i="26"/>
  <c r="L40" i="26"/>
  <c r="BF39" i="26"/>
  <c r="BF38" i="29" s="1"/>
  <c r="BD39" i="26"/>
  <c r="BD38" i="29" s="1"/>
  <c r="O39" i="26"/>
  <c r="L39" i="26"/>
  <c r="BF38" i="26"/>
  <c r="BF37" i="29" s="1"/>
  <c r="BD38" i="26"/>
  <c r="BD37" i="29" s="1"/>
  <c r="BC38" i="26"/>
  <c r="BC39" i="26" s="1"/>
  <c r="BC40" i="26" s="1"/>
  <c r="O38" i="26"/>
  <c r="L38" i="26"/>
  <c r="BF37" i="26"/>
  <c r="BF36" i="29" s="1"/>
  <c r="BD37" i="26"/>
  <c r="BD36" i="29" s="1"/>
  <c r="O37" i="26"/>
  <c r="L37" i="26"/>
  <c r="BF36" i="26"/>
  <c r="BF35" i="29" s="1"/>
  <c r="BD36" i="26"/>
  <c r="BD35" i="29" s="1"/>
  <c r="O36" i="26"/>
  <c r="L36" i="26"/>
  <c r="BF35" i="26"/>
  <c r="BF34" i="29" s="1"/>
  <c r="BD35" i="26"/>
  <c r="BD34" i="29" s="1"/>
  <c r="O35" i="26"/>
  <c r="L35" i="26"/>
  <c r="BF34" i="26"/>
  <c r="BF33" i="29" s="1"/>
  <c r="BD34" i="26"/>
  <c r="BD33" i="29" s="1"/>
  <c r="O34" i="26"/>
  <c r="L34" i="26"/>
  <c r="BF33" i="26"/>
  <c r="BF32" i="29" s="1"/>
  <c r="BD33" i="26"/>
  <c r="BD32" i="29" s="1"/>
  <c r="O33" i="26"/>
  <c r="L33" i="26"/>
  <c r="BF32" i="26"/>
  <c r="BF31" i="29" s="1"/>
  <c r="BD32" i="26"/>
  <c r="BD31" i="29" s="1"/>
  <c r="O32" i="26"/>
  <c r="L32" i="26"/>
  <c r="BF31" i="26"/>
  <c r="BF30" i="29" s="1"/>
  <c r="BD31" i="26"/>
  <c r="BD30" i="29" s="1"/>
  <c r="O31" i="26"/>
  <c r="L31" i="26"/>
  <c r="BF30" i="26"/>
  <c r="BF29" i="29" s="1"/>
  <c r="BD30" i="26"/>
  <c r="BD29" i="29" s="1"/>
  <c r="O30" i="26"/>
  <c r="L30" i="26"/>
  <c r="BF29" i="26"/>
  <c r="BF28" i="29" s="1"/>
  <c r="BD29" i="26"/>
  <c r="BD28" i="29" s="1"/>
  <c r="O29" i="26"/>
  <c r="L29" i="26"/>
  <c r="BF28" i="26"/>
  <c r="BF27" i="29" s="1"/>
  <c r="BD28" i="26"/>
  <c r="BD27" i="29" s="1"/>
  <c r="O28" i="26"/>
  <c r="L28" i="26"/>
  <c r="BF27" i="26"/>
  <c r="BF26" i="29" s="1"/>
  <c r="BD27" i="26"/>
  <c r="BD26" i="29" s="1"/>
  <c r="O27" i="26"/>
  <c r="L27" i="26"/>
  <c r="BF26" i="26"/>
  <c r="BF25" i="29" s="1"/>
  <c r="BD26" i="26"/>
  <c r="BD25" i="29" s="1"/>
  <c r="O26" i="26"/>
  <c r="L26" i="26"/>
  <c r="BF25" i="26"/>
  <c r="BF24" i="29" s="1"/>
  <c r="BD25" i="26"/>
  <c r="BD24" i="29" s="1"/>
  <c r="O25" i="26"/>
  <c r="L25" i="26"/>
  <c r="BF24" i="26"/>
  <c r="BF23" i="29" s="1"/>
  <c r="BD24" i="26"/>
  <c r="BD23" i="29" s="1"/>
  <c r="O24" i="26"/>
  <c r="L24" i="26"/>
  <c r="BF23" i="26"/>
  <c r="BF22" i="29" s="1"/>
  <c r="BD23" i="26"/>
  <c r="BD22" i="29" s="1"/>
  <c r="O23" i="26"/>
  <c r="L23" i="26"/>
  <c r="BF22" i="26"/>
  <c r="BF21" i="29" s="1"/>
  <c r="BD22" i="26"/>
  <c r="BD21" i="29" s="1"/>
  <c r="O22" i="26"/>
  <c r="L22" i="26"/>
  <c r="BF21" i="26"/>
  <c r="BF20" i="29" s="1"/>
  <c r="BD21" i="26"/>
  <c r="BD20" i="29" s="1"/>
  <c r="O21" i="26"/>
  <c r="L21" i="26"/>
  <c r="BF20" i="26"/>
  <c r="BF19" i="29" s="1"/>
  <c r="BD20" i="26"/>
  <c r="BD19" i="29" s="1"/>
  <c r="O20" i="26"/>
  <c r="L20" i="26"/>
  <c r="BF19" i="26"/>
  <c r="BF18" i="29" s="1"/>
  <c r="BD19" i="26"/>
  <c r="BD18" i="29" s="1"/>
  <c r="O19" i="26"/>
  <c r="L19" i="26"/>
  <c r="BF18" i="26"/>
  <c r="BF17" i="29" s="1"/>
  <c r="BD18" i="26"/>
  <c r="BD17" i="29" s="1"/>
  <c r="O18" i="26"/>
  <c r="L18" i="26"/>
  <c r="BF17" i="26"/>
  <c r="BF16" i="29" s="1"/>
  <c r="BD17" i="26"/>
  <c r="BD16" i="29" s="1"/>
  <c r="O17" i="26"/>
  <c r="L17" i="26"/>
  <c r="BF16" i="26"/>
  <c r="BF15" i="29" s="1"/>
  <c r="BD16" i="26"/>
  <c r="BD15" i="29" s="1"/>
  <c r="O16" i="26"/>
  <c r="L16" i="26"/>
  <c r="BF15" i="26"/>
  <c r="BF14" i="29" s="1"/>
  <c r="BD15" i="26"/>
  <c r="BD14" i="29" s="1"/>
  <c r="O15" i="26"/>
  <c r="L15" i="26"/>
  <c r="BF14" i="26"/>
  <c r="BF13" i="29" s="1"/>
  <c r="BD14" i="26"/>
  <c r="BD13" i="29" s="1"/>
  <c r="O14" i="26"/>
  <c r="L14" i="26"/>
  <c r="BF13" i="26"/>
  <c r="BF12" i="29" s="1"/>
  <c r="BD13" i="26"/>
  <c r="BD12" i="29" s="1"/>
  <c r="O13" i="26"/>
  <c r="L13" i="26"/>
  <c r="BF12" i="26"/>
  <c r="BF11" i="29" s="1"/>
  <c r="BD12" i="26"/>
  <c r="BD11" i="29" s="1"/>
  <c r="O12" i="26"/>
  <c r="L12" i="26"/>
  <c r="BF11" i="26"/>
  <c r="BF10" i="29" s="1"/>
  <c r="BD11" i="26"/>
  <c r="BD10" i="29" s="1"/>
  <c r="O11" i="26"/>
  <c r="L11" i="26"/>
  <c r="BF10" i="26"/>
  <c r="BF9" i="29" s="1"/>
  <c r="BD10" i="26"/>
  <c r="BD9" i="29" s="1"/>
  <c r="BE9" i="29" s="1"/>
  <c r="O10" i="26"/>
  <c r="L10" i="26"/>
  <c r="K10" i="26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H10" i="26"/>
  <c r="H11" i="26" s="1"/>
  <c r="G10" i="26"/>
  <c r="G11" i="26" s="1"/>
  <c r="G12" i="26" s="1"/>
  <c r="G13" i="26" s="1"/>
  <c r="G14" i="26" s="1"/>
  <c r="G15" i="26" s="1"/>
  <c r="G16" i="26" s="1"/>
  <c r="G17" i="26" s="1"/>
  <c r="G18" i="26" s="1"/>
  <c r="G19" i="26" s="1"/>
  <c r="G20" i="26" s="1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F10" i="26"/>
  <c r="L6" i="26"/>
  <c r="S70" i="25"/>
  <c r="R70" i="25"/>
  <c r="Q70" i="25"/>
  <c r="X1" i="25"/>
  <c r="D1" i="25"/>
  <c r="S70" i="24"/>
  <c r="R70" i="24"/>
  <c r="Q70" i="24"/>
  <c r="X1" i="24"/>
  <c r="D1" i="24"/>
  <c r="S70" i="23"/>
  <c r="R70" i="23"/>
  <c r="Q70" i="23"/>
  <c r="X1" i="23"/>
  <c r="D1" i="23"/>
  <c r="G178" i="22"/>
  <c r="E178" i="22"/>
  <c r="B117" i="22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F178" i="22"/>
  <c r="B81" i="22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T1" i="22"/>
  <c r="H9" i="29" l="1"/>
  <c r="M45" i="29"/>
  <c r="O37" i="29"/>
  <c r="AU15" i="29"/>
  <c r="K9" i="29"/>
  <c r="J40" i="29"/>
  <c r="M46" i="29"/>
  <c r="G12" i="29"/>
  <c r="G13" i="29" s="1"/>
  <c r="G14" i="29" s="1"/>
  <c r="G15" i="29" s="1"/>
  <c r="G16" i="29" s="1"/>
  <c r="G17" i="29" s="1"/>
  <c r="G18" i="29" s="1"/>
  <c r="G19" i="29" s="1"/>
  <c r="G20" i="29" s="1"/>
  <c r="G21" i="29" s="1"/>
  <c r="G22" i="29" s="1"/>
  <c r="G23" i="29" s="1"/>
  <c r="G24" i="29" s="1"/>
  <c r="G25" i="29" s="1"/>
  <c r="G26" i="29" s="1"/>
  <c r="G27" i="29" s="1"/>
  <c r="G28" i="29" s="1"/>
  <c r="G29" i="29" s="1"/>
  <c r="G30" i="29" s="1"/>
  <c r="G31" i="29" s="1"/>
  <c r="G32" i="29" s="1"/>
  <c r="G33" i="29" s="1"/>
  <c r="G34" i="29" s="1"/>
  <c r="G35" i="29" s="1"/>
  <c r="G36" i="29" s="1"/>
  <c r="G37" i="29" s="1"/>
  <c r="G38" i="29" s="1"/>
  <c r="G39" i="29" s="1"/>
  <c r="W32" i="16"/>
  <c r="X32" i="16"/>
  <c r="W33" i="16"/>
  <c r="X33" i="16"/>
  <c r="W5" i="16"/>
  <c r="W36" i="16" s="1"/>
  <c r="X5" i="16"/>
  <c r="X36" i="16" s="1"/>
  <c r="W30" i="16"/>
  <c r="X30" i="16"/>
  <c r="V70" i="24"/>
  <c r="Y40" i="29"/>
  <c r="AL40" i="29"/>
  <c r="AP11" i="29"/>
  <c r="AP15" i="29"/>
  <c r="AB17" i="29"/>
  <c r="AB18" i="29"/>
  <c r="AB19" i="29"/>
  <c r="AB20" i="29"/>
  <c r="AB21" i="29"/>
  <c r="AB22" i="29"/>
  <c r="AB23" i="29"/>
  <c r="AB24" i="29"/>
  <c r="AB25" i="29"/>
  <c r="AB26" i="29"/>
  <c r="AB27" i="29"/>
  <c r="AB28" i="29"/>
  <c r="AB29" i="29"/>
  <c r="AB30" i="29"/>
  <c r="AB31" i="29"/>
  <c r="AB32" i="29"/>
  <c r="AB33" i="29"/>
  <c r="AB34" i="29"/>
  <c r="AP39" i="29"/>
  <c r="AQ39" i="29"/>
  <c r="W34" i="16"/>
  <c r="X34" i="16"/>
  <c r="Z40" i="29"/>
  <c r="AQ10" i="29"/>
  <c r="AQ35" i="29"/>
  <c r="AP37" i="29"/>
  <c r="W27" i="16"/>
  <c r="X27" i="16"/>
  <c r="W31" i="16"/>
  <c r="X31" i="16"/>
  <c r="W29" i="16"/>
  <c r="X29" i="16"/>
  <c r="AM40" i="29"/>
  <c r="V70" i="23"/>
  <c r="V70" i="25"/>
  <c r="AU41" i="26"/>
  <c r="U40" i="27"/>
  <c r="AU40" i="27"/>
  <c r="AF40" i="29"/>
  <c r="AX40" i="29"/>
  <c r="AU10" i="29"/>
  <c r="AP13" i="29"/>
  <c r="AU14" i="29"/>
  <c r="AQ15" i="29"/>
  <c r="AU35" i="29"/>
  <c r="AB36" i="29"/>
  <c r="AU36" i="29"/>
  <c r="W28" i="16"/>
  <c r="X28" i="16"/>
  <c r="W35" i="16"/>
  <c r="X35" i="16"/>
  <c r="W10" i="16"/>
  <c r="X10" i="16"/>
  <c r="X21" i="16"/>
  <c r="W21" i="16"/>
  <c r="W25" i="16"/>
  <c r="X25" i="16"/>
  <c r="X13" i="16"/>
  <c r="W13" i="16"/>
  <c r="X24" i="16"/>
  <c r="W24" i="16"/>
  <c r="U36" i="16"/>
  <c r="X6" i="16"/>
  <c r="W6" i="16"/>
  <c r="X20" i="16"/>
  <c r="W20" i="16"/>
  <c r="W22" i="16"/>
  <c r="X22" i="16"/>
  <c r="X7" i="16"/>
  <c r="W7" i="16"/>
  <c r="X12" i="16"/>
  <c r="W12" i="16"/>
  <c r="W17" i="16"/>
  <c r="X17" i="16"/>
  <c r="W16" i="16"/>
  <c r="X16" i="16"/>
  <c r="X15" i="16"/>
  <c r="W15" i="16"/>
  <c r="X23" i="16"/>
  <c r="W23" i="16"/>
  <c r="X9" i="16"/>
  <c r="W9" i="16"/>
  <c r="W11" i="16"/>
  <c r="X11" i="16"/>
  <c r="W19" i="16"/>
  <c r="X19" i="16"/>
  <c r="W26" i="16"/>
  <c r="X26" i="16"/>
  <c r="X8" i="16"/>
  <c r="W8" i="16"/>
  <c r="X14" i="16"/>
  <c r="W14" i="16"/>
  <c r="W18" i="16"/>
  <c r="X18" i="16"/>
  <c r="AR40" i="27"/>
  <c r="U40" i="28"/>
  <c r="S40" i="29"/>
  <c r="AA40" i="29"/>
  <c r="AH40" i="29"/>
  <c r="AS40" i="29"/>
  <c r="AP10" i="29"/>
  <c r="AB12" i="29"/>
  <c r="AQ12" i="29"/>
  <c r="AB14" i="29"/>
  <c r="AB16" i="29"/>
  <c r="AP35" i="29"/>
  <c r="T40" i="28"/>
  <c r="AC41" i="28"/>
  <c r="AC40" i="29"/>
  <c r="AI40" i="29"/>
  <c r="AT40" i="29"/>
  <c r="AU40" i="29" s="1"/>
  <c r="AP12" i="29"/>
  <c r="AP14" i="29"/>
  <c r="AP16" i="29"/>
  <c r="AQ16" i="29"/>
  <c r="W40" i="29"/>
  <c r="AD40" i="29"/>
  <c r="AJ40" i="29"/>
  <c r="AV40" i="29"/>
  <c r="AU11" i="29"/>
  <c r="AR15" i="29"/>
  <c r="AR37" i="29"/>
  <c r="AU37" i="29"/>
  <c r="U41" i="26"/>
  <c r="AR41" i="26"/>
  <c r="O40" i="27"/>
  <c r="AC41" i="27"/>
  <c r="AU40" i="28"/>
  <c r="N40" i="29"/>
  <c r="X40" i="29"/>
  <c r="AE40" i="29"/>
  <c r="AK40" i="29"/>
  <c r="AW40" i="29"/>
  <c r="AB11" i="29"/>
  <c r="AQ11" i="29"/>
  <c r="AR11" i="29" s="1"/>
  <c r="AB13" i="29"/>
  <c r="AQ13" i="29"/>
  <c r="AR13" i="29" s="1"/>
  <c r="AB15" i="29"/>
  <c r="AU17" i="29"/>
  <c r="AU18" i="29"/>
  <c r="AU19" i="29"/>
  <c r="AU20" i="29"/>
  <c r="AU21" i="29"/>
  <c r="AU22" i="29"/>
  <c r="AU23" i="29"/>
  <c r="AU24" i="29"/>
  <c r="AU25" i="29"/>
  <c r="AU26" i="29"/>
  <c r="AU27" i="29"/>
  <c r="AU28" i="29"/>
  <c r="AU29" i="29"/>
  <c r="AU30" i="29"/>
  <c r="AU31" i="29"/>
  <c r="AU32" i="29"/>
  <c r="AU33" i="29"/>
  <c r="AU34" i="29"/>
  <c r="AB37" i="29"/>
  <c r="AU38" i="29"/>
  <c r="AR10" i="29"/>
  <c r="AC42" i="26"/>
  <c r="AR40" i="28"/>
  <c r="AZ40" i="29"/>
  <c r="AB10" i="29"/>
  <c r="AR12" i="29"/>
  <c r="AU12" i="29"/>
  <c r="AR14" i="29"/>
  <c r="AP17" i="29"/>
  <c r="AQ17" i="29"/>
  <c r="O18" i="29"/>
  <c r="AP18" i="29"/>
  <c r="AQ18" i="29"/>
  <c r="O19" i="29"/>
  <c r="AP19" i="29"/>
  <c r="AQ19" i="29"/>
  <c r="O20" i="29"/>
  <c r="AP20" i="29"/>
  <c r="AQ20" i="29"/>
  <c r="AR20" i="29" s="1"/>
  <c r="O21" i="29"/>
  <c r="AP21" i="29"/>
  <c r="AQ21" i="29"/>
  <c r="O22" i="29"/>
  <c r="AP22" i="29"/>
  <c r="AQ22" i="29"/>
  <c r="O23" i="29"/>
  <c r="AP23" i="29"/>
  <c r="AQ23" i="29"/>
  <c r="O24" i="29"/>
  <c r="AP24" i="29"/>
  <c r="AQ24" i="29"/>
  <c r="O25" i="29"/>
  <c r="AP25" i="29"/>
  <c r="AQ25" i="29"/>
  <c r="O26" i="29"/>
  <c r="AP26" i="29"/>
  <c r="AQ26" i="29"/>
  <c r="O27" i="29"/>
  <c r="AP27" i="29"/>
  <c r="AQ27" i="29"/>
  <c r="O28" i="29"/>
  <c r="AP28" i="29"/>
  <c r="AQ28" i="29"/>
  <c r="O29" i="29"/>
  <c r="AP29" i="29"/>
  <c r="AQ29" i="29"/>
  <c r="O30" i="29"/>
  <c r="AP30" i="29"/>
  <c r="AQ30" i="29"/>
  <c r="O31" i="29"/>
  <c r="AP31" i="29"/>
  <c r="AQ31" i="29"/>
  <c r="O32" i="29"/>
  <c r="AP32" i="29"/>
  <c r="AQ32" i="29"/>
  <c r="AR32" i="29" s="1"/>
  <c r="O33" i="29"/>
  <c r="AP33" i="29"/>
  <c r="AQ33" i="29"/>
  <c r="O34" i="29"/>
  <c r="AP34" i="29"/>
  <c r="AQ34" i="29"/>
  <c r="AB35" i="29"/>
  <c r="AP36" i="29"/>
  <c r="O38" i="29"/>
  <c r="AP38" i="29"/>
  <c r="AQ38" i="29"/>
  <c r="AB39" i="29"/>
  <c r="V16" i="29"/>
  <c r="BE10" i="28"/>
  <c r="BE11" i="28" s="1"/>
  <c r="BG10" i="28"/>
  <c r="BG11" i="28" s="1"/>
  <c r="BG12" i="28" s="1"/>
  <c r="BG13" i="28" s="1"/>
  <c r="BG14" i="28" s="1"/>
  <c r="BG15" i="28" s="1"/>
  <c r="BG16" i="28" s="1"/>
  <c r="BG17" i="28" s="1"/>
  <c r="BG18" i="28" s="1"/>
  <c r="BG19" i="28" s="1"/>
  <c r="BG20" i="28" s="1"/>
  <c r="BG21" i="28" s="1"/>
  <c r="BG22" i="28" s="1"/>
  <c r="BG23" i="28" s="1"/>
  <c r="BG24" i="28" s="1"/>
  <c r="BG25" i="28" s="1"/>
  <c r="BG26" i="28" s="1"/>
  <c r="BG27" i="28" s="1"/>
  <c r="BG28" i="28" s="1"/>
  <c r="BG29" i="28" s="1"/>
  <c r="BG30" i="28" s="1"/>
  <c r="BG31" i="28" s="1"/>
  <c r="BG32" i="28" s="1"/>
  <c r="BG33" i="28" s="1"/>
  <c r="BG34" i="28" s="1"/>
  <c r="BG35" i="28" s="1"/>
  <c r="BG36" i="28" s="1"/>
  <c r="BG37" i="28" s="1"/>
  <c r="BG38" i="28" s="1"/>
  <c r="BG39" i="28" s="1"/>
  <c r="BG10" i="27"/>
  <c r="BG11" i="27" s="1"/>
  <c r="BG12" i="27" s="1"/>
  <c r="BG13" i="27" s="1"/>
  <c r="BG14" i="27" s="1"/>
  <c r="BG15" i="27" s="1"/>
  <c r="BG16" i="27" s="1"/>
  <c r="BG17" i="27" s="1"/>
  <c r="BG18" i="27" s="1"/>
  <c r="BG19" i="27" s="1"/>
  <c r="BG20" i="27" s="1"/>
  <c r="BG21" i="27" s="1"/>
  <c r="BG22" i="27" s="1"/>
  <c r="BG23" i="27" s="1"/>
  <c r="BG24" i="27" s="1"/>
  <c r="BG25" i="27" s="1"/>
  <c r="BG26" i="27" s="1"/>
  <c r="BG27" i="27" s="1"/>
  <c r="BG28" i="27" s="1"/>
  <c r="BG29" i="27" s="1"/>
  <c r="BG30" i="27" s="1"/>
  <c r="BG31" i="27" s="1"/>
  <c r="BG32" i="27" s="1"/>
  <c r="BG33" i="27" s="1"/>
  <c r="BG34" i="27" s="1"/>
  <c r="BG35" i="27" s="1"/>
  <c r="BG36" i="27" s="1"/>
  <c r="BG37" i="27" s="1"/>
  <c r="BG38" i="27" s="1"/>
  <c r="BG39" i="27" s="1"/>
  <c r="V15" i="29"/>
  <c r="AQ36" i="29"/>
  <c r="BH39" i="27"/>
  <c r="L16" i="29"/>
  <c r="L15" i="29"/>
  <c r="I11" i="26"/>
  <c r="BH40" i="26"/>
  <c r="BH11" i="28"/>
  <c r="BH18" i="28"/>
  <c r="BH39" i="28"/>
  <c r="BH11" i="27"/>
  <c r="BH18" i="27"/>
  <c r="V10" i="29"/>
  <c r="L17" i="29"/>
  <c r="BH32" i="27"/>
  <c r="BH34" i="27"/>
  <c r="BH35" i="27"/>
  <c r="BH38" i="27"/>
  <c r="BH37" i="27"/>
  <c r="BH36" i="27"/>
  <c r="BH32" i="28"/>
  <c r="BH33" i="28"/>
  <c r="BH34" i="28"/>
  <c r="BH35" i="28"/>
  <c r="BH36" i="28"/>
  <c r="BH37" i="28"/>
  <c r="BH38" i="28"/>
  <c r="BH33" i="27"/>
  <c r="BH9" i="27"/>
  <c r="BH10" i="27"/>
  <c r="BH12" i="27"/>
  <c r="BH13" i="27"/>
  <c r="BH14" i="27"/>
  <c r="BH15" i="27"/>
  <c r="BH16" i="27"/>
  <c r="BH17" i="27"/>
  <c r="BH27" i="27"/>
  <c r="BH29" i="27"/>
  <c r="V13" i="29"/>
  <c r="L14" i="29"/>
  <c r="V12" i="29"/>
  <c r="BH30" i="27"/>
  <c r="BH31" i="27"/>
  <c r="BH25" i="28"/>
  <c r="BH26" i="28"/>
  <c r="BH27" i="28"/>
  <c r="BH28" i="28"/>
  <c r="BH29" i="28"/>
  <c r="BH30" i="28"/>
  <c r="BH31" i="28"/>
  <c r="H10" i="27"/>
  <c r="M9" i="27"/>
  <c r="BH20" i="27"/>
  <c r="BH21" i="27"/>
  <c r="BH22" i="27"/>
  <c r="BH23" i="27"/>
  <c r="BH24" i="27"/>
  <c r="I9" i="27"/>
  <c r="BH28" i="27"/>
  <c r="BH25" i="27"/>
  <c r="BH26" i="27"/>
  <c r="BF40" i="27"/>
  <c r="BH19" i="27"/>
  <c r="G17" i="27"/>
  <c r="K20" i="27"/>
  <c r="V14" i="29"/>
  <c r="E40" i="29"/>
  <c r="L10" i="29"/>
  <c r="L12" i="29"/>
  <c r="J178" i="22"/>
  <c r="H10" i="29"/>
  <c r="I10" i="29" s="1"/>
  <c r="V17" i="29"/>
  <c r="BH19" i="28"/>
  <c r="BH20" i="28"/>
  <c r="BH21" i="28"/>
  <c r="BH22" i="28"/>
  <c r="BH23" i="28"/>
  <c r="BH24" i="28"/>
  <c r="BH17" i="28"/>
  <c r="BH16" i="28"/>
  <c r="BD40" i="28"/>
  <c r="I9" i="29"/>
  <c r="T41" i="26"/>
  <c r="I10" i="26"/>
  <c r="BH10" i="28"/>
  <c r="K10" i="29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1" i="29" s="1"/>
  <c r="H10" i="28"/>
  <c r="I10" i="28" s="1"/>
  <c r="I9" i="28"/>
  <c r="U10" i="29"/>
  <c r="BD40" i="27"/>
  <c r="BE9" i="27"/>
  <c r="BE10" i="27" s="1"/>
  <c r="BE11" i="27" s="1"/>
  <c r="U13" i="29"/>
  <c r="U15" i="29"/>
  <c r="U18" i="29"/>
  <c r="U20" i="29"/>
  <c r="U19" i="29"/>
  <c r="U21" i="29"/>
  <c r="U22" i="29"/>
  <c r="U24" i="29"/>
  <c r="U26" i="29"/>
  <c r="U28" i="29"/>
  <c r="U30" i="29"/>
  <c r="U32" i="29"/>
  <c r="U34" i="29"/>
  <c r="U38" i="29"/>
  <c r="U39" i="29"/>
  <c r="U14" i="29"/>
  <c r="U16" i="29"/>
  <c r="U17" i="29"/>
  <c r="P40" i="29"/>
  <c r="R41" i="29"/>
  <c r="U12" i="29"/>
  <c r="O17" i="29"/>
  <c r="O16" i="29"/>
  <c r="G14" i="28"/>
  <c r="BH13" i="28"/>
  <c r="BH14" i="28"/>
  <c r="BH15" i="28"/>
  <c r="O14" i="29"/>
  <c r="O15" i="29"/>
  <c r="BF40" i="28"/>
  <c r="BH12" i="28"/>
  <c r="B161" i="22"/>
  <c r="B162" i="22" s="1"/>
  <c r="B163" i="22" s="1"/>
  <c r="B152" i="22"/>
  <c r="B153" i="22" s="1"/>
  <c r="B154" i="22" s="1"/>
  <c r="H12" i="26"/>
  <c r="I12" i="26" s="1"/>
  <c r="M11" i="26"/>
  <c r="M10" i="26"/>
  <c r="BD41" i="26"/>
  <c r="BE10" i="26"/>
  <c r="BH10" i="26"/>
  <c r="BH11" i="26"/>
  <c r="BH12" i="26"/>
  <c r="BH13" i="26"/>
  <c r="BF41" i="26"/>
  <c r="BG10" i="26"/>
  <c r="BG11" i="26" s="1"/>
  <c r="BG12" i="26" s="1"/>
  <c r="BG13" i="26" s="1"/>
  <c r="BG14" i="26" s="1"/>
  <c r="BG15" i="26" s="1"/>
  <c r="BG16" i="26" s="1"/>
  <c r="BG17" i="26" s="1"/>
  <c r="BG18" i="26" s="1"/>
  <c r="BG19" i="26" s="1"/>
  <c r="BG20" i="26" s="1"/>
  <c r="BG21" i="26" s="1"/>
  <c r="BG22" i="26" s="1"/>
  <c r="BG23" i="26" s="1"/>
  <c r="BG24" i="26" s="1"/>
  <c r="BG25" i="26" s="1"/>
  <c r="BG26" i="26" s="1"/>
  <c r="BG27" i="26" s="1"/>
  <c r="BG28" i="26" s="1"/>
  <c r="BG29" i="26" s="1"/>
  <c r="BG30" i="26" s="1"/>
  <c r="BG31" i="26" s="1"/>
  <c r="BG32" i="26" s="1"/>
  <c r="BG33" i="26" s="1"/>
  <c r="BG34" i="26" s="1"/>
  <c r="BG35" i="26" s="1"/>
  <c r="BG36" i="26" s="1"/>
  <c r="BG37" i="26" s="1"/>
  <c r="BG38" i="26" s="1"/>
  <c r="BG39" i="26" s="1"/>
  <c r="BG40" i="26" s="1"/>
  <c r="BH38" i="26"/>
  <c r="O41" i="26"/>
  <c r="T40" i="27"/>
  <c r="M9" i="28"/>
  <c r="BH9" i="28"/>
  <c r="BH14" i="26"/>
  <c r="BH15" i="26"/>
  <c r="BH16" i="26"/>
  <c r="BH17" i="26"/>
  <c r="BH18" i="26"/>
  <c r="BH19" i="26"/>
  <c r="BH20" i="26"/>
  <c r="BH21" i="26"/>
  <c r="BH22" i="26"/>
  <c r="BH23" i="26"/>
  <c r="BH24" i="26"/>
  <c r="BH25" i="26"/>
  <c r="BH26" i="26"/>
  <c r="BH27" i="26"/>
  <c r="BH28" i="26"/>
  <c r="BH29" i="26"/>
  <c r="BH30" i="26"/>
  <c r="BH31" i="26"/>
  <c r="BH32" i="26"/>
  <c r="BH33" i="26"/>
  <c r="BH34" i="26"/>
  <c r="BH35" i="26"/>
  <c r="BH36" i="26"/>
  <c r="BH37" i="26"/>
  <c r="BH39" i="26"/>
  <c r="BI9" i="28"/>
  <c r="O40" i="28"/>
  <c r="M9" i="29"/>
  <c r="O9" i="29"/>
  <c r="U9" i="29"/>
  <c r="AC41" i="29"/>
  <c r="AO9" i="29"/>
  <c r="AO40" i="29" s="1"/>
  <c r="AQ9" i="29"/>
  <c r="AU9" i="29"/>
  <c r="AY9" i="29"/>
  <c r="AY10" i="29" s="1"/>
  <c r="AY11" i="29" s="1"/>
  <c r="AY12" i="29" s="1"/>
  <c r="AY13" i="29" s="1"/>
  <c r="AY14" i="29" s="1"/>
  <c r="AY15" i="29" s="1"/>
  <c r="AY16" i="29" s="1"/>
  <c r="AY17" i="29" s="1"/>
  <c r="AY18" i="29" s="1"/>
  <c r="AY19" i="29" s="1"/>
  <c r="AY20" i="29" s="1"/>
  <c r="AY21" i="29" s="1"/>
  <c r="AY22" i="29" s="1"/>
  <c r="AY23" i="29" s="1"/>
  <c r="AY24" i="29" s="1"/>
  <c r="AY25" i="29" s="1"/>
  <c r="AY26" i="29" s="1"/>
  <c r="AY27" i="29" s="1"/>
  <c r="AY28" i="29" s="1"/>
  <c r="AY29" i="29" s="1"/>
  <c r="AY30" i="29" s="1"/>
  <c r="AY31" i="29" s="1"/>
  <c r="AY32" i="29" s="1"/>
  <c r="AY33" i="29" s="1"/>
  <c r="AY34" i="29" s="1"/>
  <c r="AY35" i="29" s="1"/>
  <c r="AY36" i="29" s="1"/>
  <c r="AY37" i="29" s="1"/>
  <c r="AY38" i="29" s="1"/>
  <c r="AY39" i="29" s="1"/>
  <c r="O10" i="29"/>
  <c r="O11" i="29"/>
  <c r="O12" i="29"/>
  <c r="O13" i="29"/>
  <c r="I5" i="29"/>
  <c r="L9" i="29"/>
  <c r="N41" i="29"/>
  <c r="V9" i="29"/>
  <c r="AB9" i="29"/>
  <c r="AN9" i="29"/>
  <c r="AP9" i="29"/>
  <c r="AP40" i="29" s="1"/>
  <c r="L13" i="29"/>
  <c r="AR29" i="29"/>
  <c r="AR31" i="29"/>
  <c r="AR33" i="29"/>
  <c r="AR35" i="29"/>
  <c r="AR36" i="29"/>
  <c r="L21" i="29"/>
  <c r="AR28" i="29"/>
  <c r="AR30" i="29"/>
  <c r="AR34" i="29"/>
  <c r="L28" i="29"/>
  <c r="O35" i="29"/>
  <c r="U35" i="29"/>
  <c r="V35" i="29"/>
  <c r="AR39" i="29"/>
  <c r="O36" i="29"/>
  <c r="O39" i="29"/>
  <c r="AR18" i="29" l="1"/>
  <c r="AR27" i="29"/>
  <c r="AR23" i="29"/>
  <c r="AR19" i="29"/>
  <c r="AR16" i="29"/>
  <c r="AR24" i="29"/>
  <c r="AR38" i="29"/>
  <c r="AR26" i="29"/>
  <c r="AR25" i="29"/>
  <c r="AR22" i="29"/>
  <c r="AR21" i="29"/>
  <c r="AR17" i="29"/>
  <c r="AB40" i="29"/>
  <c r="BI10" i="28"/>
  <c r="BH36" i="29"/>
  <c r="BH35" i="29"/>
  <c r="BH11" i="29"/>
  <c r="BH34" i="29"/>
  <c r="BH33" i="29"/>
  <c r="BH32" i="29"/>
  <c r="BH18" i="29"/>
  <c r="AQ40" i="29"/>
  <c r="BH27" i="29"/>
  <c r="BH10" i="29"/>
  <c r="BH30" i="29"/>
  <c r="BH14" i="29"/>
  <c r="BH16" i="29"/>
  <c r="BH20" i="29"/>
  <c r="BH29" i="29"/>
  <c r="BI10" i="27"/>
  <c r="BH23" i="29"/>
  <c r="BH17" i="29"/>
  <c r="H11" i="28"/>
  <c r="BH12" i="29"/>
  <c r="BH26" i="29"/>
  <c r="BH15" i="29"/>
  <c r="H11" i="29"/>
  <c r="BH28" i="29"/>
  <c r="BH13" i="29"/>
  <c r="BH38" i="29"/>
  <c r="BH25" i="29"/>
  <c r="BH21" i="29"/>
  <c r="BH19" i="29"/>
  <c r="BH37" i="29"/>
  <c r="BH31" i="29"/>
  <c r="M10" i="27"/>
  <c r="H11" i="27"/>
  <c r="I11" i="27" s="1"/>
  <c r="I10" i="27"/>
  <c r="G18" i="27"/>
  <c r="G19" i="27" s="1"/>
  <c r="K21" i="27"/>
  <c r="BH22" i="29"/>
  <c r="M10" i="29"/>
  <c r="BH24" i="29"/>
  <c r="BI9" i="27"/>
  <c r="M10" i="28"/>
  <c r="T40" i="29"/>
  <c r="U40" i="29"/>
  <c r="G15" i="28"/>
  <c r="K40" i="29"/>
  <c r="BE11" i="26"/>
  <c r="BI10" i="26"/>
  <c r="BD40" i="29"/>
  <c r="BH9" i="29"/>
  <c r="B155" i="22"/>
  <c r="B156" i="22" s="1"/>
  <c r="B157" i="22" s="1"/>
  <c r="B164" i="22"/>
  <c r="B165" i="22" s="1"/>
  <c r="B166" i="22" s="1"/>
  <c r="AN40" i="29"/>
  <c r="AR9" i="29"/>
  <c r="O40" i="29"/>
  <c r="T41" i="29"/>
  <c r="BF40" i="29"/>
  <c r="BG9" i="29"/>
  <c r="BG10" i="29" s="1"/>
  <c r="BG11" i="29" s="1"/>
  <c r="BE12" i="28"/>
  <c r="BI11" i="28"/>
  <c r="BE12" i="27"/>
  <c r="BI11" i="27"/>
  <c r="H13" i="26"/>
  <c r="I13" i="26" s="1"/>
  <c r="M12" i="26"/>
  <c r="BG12" i="29" l="1"/>
  <c r="BG13" i="29" s="1"/>
  <c r="BG14" i="29" s="1"/>
  <c r="BG15" i="29" s="1"/>
  <c r="BG16" i="29" s="1"/>
  <c r="BG17" i="29" s="1"/>
  <c r="BG18" i="29" s="1"/>
  <c r="BG19" i="29" s="1"/>
  <c r="BG20" i="29" s="1"/>
  <c r="BG21" i="29" s="1"/>
  <c r="BG22" i="29" s="1"/>
  <c r="BG23" i="29" s="1"/>
  <c r="BG24" i="29" s="1"/>
  <c r="BG25" i="29" s="1"/>
  <c r="BG26" i="29" s="1"/>
  <c r="BG27" i="29" s="1"/>
  <c r="BG28" i="29" s="1"/>
  <c r="BG29" i="29" s="1"/>
  <c r="BG30" i="29" s="1"/>
  <c r="BG31" i="29" s="1"/>
  <c r="BG32" i="29" s="1"/>
  <c r="BG33" i="29" s="1"/>
  <c r="BG34" i="29" s="1"/>
  <c r="BG35" i="29" s="1"/>
  <c r="BG36" i="29" s="1"/>
  <c r="BG37" i="29" s="1"/>
  <c r="BG38" i="29" s="1"/>
  <c r="BG39" i="29" s="1"/>
  <c r="I11" i="29"/>
  <c r="H12" i="29"/>
  <c r="AR40" i="29"/>
  <c r="H12" i="28"/>
  <c r="H13" i="28" s="1"/>
  <c r="I13" i="28" s="1"/>
  <c r="I11" i="28"/>
  <c r="I12" i="29"/>
  <c r="M11" i="28"/>
  <c r="M11" i="29"/>
  <c r="H12" i="27"/>
  <c r="M11" i="27"/>
  <c r="G20" i="27"/>
  <c r="K22" i="27"/>
  <c r="G16" i="28"/>
  <c r="H14" i="26"/>
  <c r="I14" i="26" s="1"/>
  <c r="M13" i="26"/>
  <c r="BE13" i="27"/>
  <c r="BI12" i="27"/>
  <c r="BE13" i="28"/>
  <c r="BI12" i="28"/>
  <c r="B167" i="22"/>
  <c r="B168" i="22" s="1"/>
  <c r="B169" i="22" s="1"/>
  <c r="B170" i="22" s="1"/>
  <c r="B171" i="22" s="1"/>
  <c r="B158" i="22"/>
  <c r="B159" i="22" s="1"/>
  <c r="B160" i="22" s="1"/>
  <c r="BE10" i="29"/>
  <c r="BI9" i="29"/>
  <c r="BE12" i="26"/>
  <c r="BI11" i="26"/>
  <c r="M12" i="28" l="1"/>
  <c r="I12" i="28"/>
  <c r="M12" i="29"/>
  <c r="H13" i="29"/>
  <c r="I13" i="29" s="1"/>
  <c r="H13" i="27"/>
  <c r="M12" i="27"/>
  <c r="I12" i="27"/>
  <c r="G21" i="27"/>
  <c r="K23" i="27"/>
  <c r="G17" i="28"/>
  <c r="BE13" i="26"/>
  <c r="BI12" i="26"/>
  <c r="BE11" i="29"/>
  <c r="BE12" i="29" s="1"/>
  <c r="BI10" i="29"/>
  <c r="BE14" i="28"/>
  <c r="BI13" i="28"/>
  <c r="H14" i="28"/>
  <c r="I14" i="28" s="1"/>
  <c r="M13" i="28"/>
  <c r="BE14" i="27"/>
  <c r="BI13" i="27"/>
  <c r="H15" i="26"/>
  <c r="I15" i="26" s="1"/>
  <c r="M14" i="26"/>
  <c r="M13" i="29" l="1"/>
  <c r="H14" i="29"/>
  <c r="I14" i="29" s="1"/>
  <c r="M13" i="27"/>
  <c r="H14" i="27"/>
  <c r="I13" i="27"/>
  <c r="G22" i="27"/>
  <c r="K24" i="27"/>
  <c r="G18" i="28"/>
  <c r="G19" i="28" s="1"/>
  <c r="G20" i="28" s="1"/>
  <c r="G21" i="28" s="1"/>
  <c r="G22" i="28" s="1"/>
  <c r="G23" i="28" s="1"/>
  <c r="G24" i="28" s="1"/>
  <c r="G25" i="28" s="1"/>
  <c r="G26" i="28" s="1"/>
  <c r="G27" i="28" s="1"/>
  <c r="G28" i="28" s="1"/>
  <c r="G29" i="28" s="1"/>
  <c r="G30" i="28" s="1"/>
  <c r="G31" i="28" s="1"/>
  <c r="G32" i="28" s="1"/>
  <c r="G33" i="28" s="1"/>
  <c r="G34" i="28" s="1"/>
  <c r="G35" i="28" s="1"/>
  <c r="G36" i="28" s="1"/>
  <c r="G37" i="28" s="1"/>
  <c r="G38" i="28" s="1"/>
  <c r="G39" i="28" s="1"/>
  <c r="H16" i="26"/>
  <c r="I16" i="26" s="1"/>
  <c r="M15" i="26"/>
  <c r="BE15" i="27"/>
  <c r="BI14" i="27"/>
  <c r="H15" i="28"/>
  <c r="I15" i="28" s="1"/>
  <c r="M14" i="28"/>
  <c r="BI14" i="28"/>
  <c r="BE15" i="28"/>
  <c r="BI11" i="29"/>
  <c r="BE14" i="26"/>
  <c r="BI13" i="26"/>
  <c r="M14" i="29" l="1"/>
  <c r="H15" i="29"/>
  <c r="I15" i="29" s="1"/>
  <c r="H15" i="27"/>
  <c r="M14" i="27"/>
  <c r="I14" i="27"/>
  <c r="G23" i="27"/>
  <c r="K25" i="27"/>
  <c r="BE15" i="26"/>
  <c r="BI14" i="26"/>
  <c r="BE13" i="29"/>
  <c r="BI12" i="29"/>
  <c r="H16" i="28"/>
  <c r="I16" i="28" s="1"/>
  <c r="M15" i="28"/>
  <c r="BE16" i="27"/>
  <c r="BI15" i="27"/>
  <c r="H17" i="26"/>
  <c r="I17" i="26" s="1"/>
  <c r="M16" i="26"/>
  <c r="BE16" i="28"/>
  <c r="BI15" i="28"/>
  <c r="M15" i="29" l="1"/>
  <c r="H16" i="29"/>
  <c r="I16" i="29" s="1"/>
  <c r="M15" i="27"/>
  <c r="H16" i="27"/>
  <c r="I15" i="27"/>
  <c r="G24" i="27"/>
  <c r="K26" i="27"/>
  <c r="BE17" i="28"/>
  <c r="BI16" i="28"/>
  <c r="H18" i="26"/>
  <c r="I18" i="26" s="1"/>
  <c r="M17" i="26"/>
  <c r="BE17" i="27"/>
  <c r="BI16" i="27"/>
  <c r="H17" i="28"/>
  <c r="I17" i="28" s="1"/>
  <c r="M16" i="28"/>
  <c r="BE14" i="29"/>
  <c r="BI13" i="29"/>
  <c r="BE16" i="26"/>
  <c r="BI15" i="26"/>
  <c r="H17" i="29" l="1"/>
  <c r="I17" i="29" s="1"/>
  <c r="M16" i="29"/>
  <c r="I16" i="27"/>
  <c r="H17" i="27"/>
  <c r="M16" i="27"/>
  <c r="G25" i="27"/>
  <c r="K27" i="27"/>
  <c r="BE17" i="26"/>
  <c r="BI16" i="26"/>
  <c r="BE15" i="29"/>
  <c r="BI14" i="29"/>
  <c r="H18" i="28"/>
  <c r="I18" i="28" s="1"/>
  <c r="M17" i="28"/>
  <c r="BE18" i="27"/>
  <c r="BI17" i="27"/>
  <c r="H19" i="26"/>
  <c r="I19" i="26" s="1"/>
  <c r="M18" i="26"/>
  <c r="BE18" i="28"/>
  <c r="BI17" i="28"/>
  <c r="M17" i="29" l="1"/>
  <c r="H18" i="29"/>
  <c r="I18" i="29" s="1"/>
  <c r="M17" i="27"/>
  <c r="I17" i="27"/>
  <c r="H18" i="27"/>
  <c r="I18" i="27" s="1"/>
  <c r="G26" i="27"/>
  <c r="K28" i="27"/>
  <c r="BE19" i="28"/>
  <c r="BI18" i="28"/>
  <c r="H20" i="26"/>
  <c r="I20" i="26" s="1"/>
  <c r="M19" i="26"/>
  <c r="BE19" i="27"/>
  <c r="BI18" i="27"/>
  <c r="H19" i="28"/>
  <c r="I19" i="28" s="1"/>
  <c r="M18" i="28"/>
  <c r="BE16" i="29"/>
  <c r="BI15" i="29"/>
  <c r="BE18" i="26"/>
  <c r="BI17" i="26"/>
  <c r="H19" i="29" l="1"/>
  <c r="I19" i="29" s="1"/>
  <c r="M18" i="29"/>
  <c r="M18" i="27"/>
  <c r="H19" i="27"/>
  <c r="G27" i="27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K29" i="27"/>
  <c r="BE19" i="26"/>
  <c r="BI18" i="26"/>
  <c r="BE17" i="29"/>
  <c r="BI16" i="29"/>
  <c r="H20" i="28"/>
  <c r="I20" i="28" s="1"/>
  <c r="M19" i="28"/>
  <c r="BE20" i="27"/>
  <c r="BI19" i="27"/>
  <c r="H21" i="26"/>
  <c r="I21" i="26" s="1"/>
  <c r="M20" i="26"/>
  <c r="BE20" i="28"/>
  <c r="BI19" i="28"/>
  <c r="M19" i="29" l="1"/>
  <c r="H20" i="29"/>
  <c r="I20" i="29" s="1"/>
  <c r="M19" i="27"/>
  <c r="H20" i="27"/>
  <c r="I19" i="27"/>
  <c r="K30" i="27"/>
  <c r="BE21" i="28"/>
  <c r="BI20" i="28"/>
  <c r="H22" i="26"/>
  <c r="I22" i="26" s="1"/>
  <c r="M21" i="26"/>
  <c r="BE21" i="27"/>
  <c r="BI20" i="27"/>
  <c r="H21" i="28"/>
  <c r="I21" i="28" s="1"/>
  <c r="M20" i="28"/>
  <c r="BE18" i="29"/>
  <c r="BI17" i="29"/>
  <c r="BE20" i="26"/>
  <c r="BI19" i="26"/>
  <c r="H21" i="29" l="1"/>
  <c r="I21" i="29" s="1"/>
  <c r="M20" i="29"/>
  <c r="H21" i="27"/>
  <c r="I20" i="27"/>
  <c r="M20" i="27"/>
  <c r="K31" i="27"/>
  <c r="BE21" i="26"/>
  <c r="BI20" i="26"/>
  <c r="BE19" i="29"/>
  <c r="BI18" i="29"/>
  <c r="H22" i="28"/>
  <c r="I22" i="28" s="1"/>
  <c r="M21" i="28"/>
  <c r="BE22" i="27"/>
  <c r="BI21" i="27"/>
  <c r="H23" i="26"/>
  <c r="I23" i="26" s="1"/>
  <c r="M22" i="26"/>
  <c r="BE22" i="28"/>
  <c r="BI21" i="28"/>
  <c r="H22" i="29" l="1"/>
  <c r="I22" i="29" s="1"/>
  <c r="M21" i="29"/>
  <c r="M21" i="27"/>
  <c r="H22" i="27"/>
  <c r="I21" i="27"/>
  <c r="K32" i="27"/>
  <c r="BE23" i="28"/>
  <c r="BI22" i="28"/>
  <c r="H24" i="26"/>
  <c r="M23" i="26"/>
  <c r="BE23" i="27"/>
  <c r="BI22" i="27"/>
  <c r="H23" i="28"/>
  <c r="I23" i="28" s="1"/>
  <c r="M22" i="28"/>
  <c r="BE20" i="29"/>
  <c r="BI19" i="29"/>
  <c r="BE22" i="26"/>
  <c r="BI21" i="26"/>
  <c r="F36" i="13"/>
  <c r="G36" i="13"/>
  <c r="H36" i="13" s="1"/>
  <c r="J36" i="13"/>
  <c r="M36" i="13"/>
  <c r="N36" i="13"/>
  <c r="O36" i="13" s="1"/>
  <c r="Q36" i="13"/>
  <c r="T36" i="13"/>
  <c r="U36" i="13"/>
  <c r="V36" i="13" s="1"/>
  <c r="F36" i="12"/>
  <c r="G36" i="12"/>
  <c r="H36" i="12" s="1"/>
  <c r="J36" i="12"/>
  <c r="M36" i="12"/>
  <c r="N36" i="12"/>
  <c r="O36" i="12" s="1"/>
  <c r="Q36" i="12"/>
  <c r="T36" i="12"/>
  <c r="U36" i="12"/>
  <c r="V36" i="12" s="1"/>
  <c r="F36" i="11"/>
  <c r="G36" i="11"/>
  <c r="H36" i="11" s="1"/>
  <c r="J36" i="11"/>
  <c r="M36" i="11"/>
  <c r="N36" i="11"/>
  <c r="O36" i="11" s="1"/>
  <c r="Q36" i="11"/>
  <c r="T36" i="11"/>
  <c r="U36" i="11"/>
  <c r="V36" i="11" s="1"/>
  <c r="H36" i="10"/>
  <c r="M36" i="10"/>
  <c r="N36" i="10"/>
  <c r="O36" i="10" s="1"/>
  <c r="Q36" i="10"/>
  <c r="T36" i="10"/>
  <c r="U36" i="10"/>
  <c r="V36" i="10" s="1"/>
  <c r="F36" i="9"/>
  <c r="G36" i="9"/>
  <c r="H36" i="9" s="1"/>
  <c r="J36" i="9"/>
  <c r="M36" i="9"/>
  <c r="N36" i="9"/>
  <c r="O36" i="9" s="1"/>
  <c r="Q36" i="9"/>
  <c r="T36" i="9"/>
  <c r="U36" i="9"/>
  <c r="V36" i="9" s="1"/>
  <c r="F36" i="8"/>
  <c r="G36" i="8"/>
  <c r="H36" i="8" s="1"/>
  <c r="M36" i="8"/>
  <c r="N36" i="8"/>
  <c r="O36" i="8" s="1"/>
  <c r="Q36" i="8"/>
  <c r="T36" i="8"/>
  <c r="U36" i="8"/>
  <c r="V36" i="8" s="1"/>
  <c r="H36" i="5"/>
  <c r="J36" i="5"/>
  <c r="M36" i="5"/>
  <c r="N36" i="5"/>
  <c r="O36" i="5" s="1"/>
  <c r="Q36" i="5"/>
  <c r="T36" i="5"/>
  <c r="U36" i="5"/>
  <c r="V36" i="5" s="1"/>
  <c r="F36" i="7"/>
  <c r="G36" i="7"/>
  <c r="H36" i="7" s="1"/>
  <c r="J36" i="7"/>
  <c r="M36" i="7"/>
  <c r="N36" i="7"/>
  <c r="O36" i="7" s="1"/>
  <c r="Q36" i="7"/>
  <c r="T36" i="7"/>
  <c r="U36" i="7"/>
  <c r="V36" i="7" s="1"/>
  <c r="F36" i="6"/>
  <c r="G36" i="6"/>
  <c r="H36" i="6" s="1"/>
  <c r="J36" i="6"/>
  <c r="M36" i="6"/>
  <c r="N36" i="6"/>
  <c r="Q36" i="6"/>
  <c r="T36" i="6"/>
  <c r="U36" i="6"/>
  <c r="V36" i="6" s="1"/>
  <c r="O36" i="6" l="1"/>
  <c r="I24" i="26"/>
  <c r="H25" i="26"/>
  <c r="H26" i="26" s="1"/>
  <c r="H27" i="26" s="1"/>
  <c r="H28" i="26" s="1"/>
  <c r="H29" i="26" s="1"/>
  <c r="H30" i="26" s="1"/>
  <c r="H31" i="26" s="1"/>
  <c r="H32" i="26" s="1"/>
  <c r="H33" i="26" s="1"/>
  <c r="H34" i="26" s="1"/>
  <c r="H35" i="26" s="1"/>
  <c r="H36" i="26" s="1"/>
  <c r="H37" i="26" s="1"/>
  <c r="H38" i="26" s="1"/>
  <c r="H39" i="26" s="1"/>
  <c r="H40" i="26" s="1"/>
  <c r="M22" i="29"/>
  <c r="H23" i="29"/>
  <c r="I23" i="29" s="1"/>
  <c r="H23" i="27"/>
  <c r="I22" i="27"/>
  <c r="M22" i="27"/>
  <c r="K33" i="27"/>
  <c r="BE23" i="26"/>
  <c r="BI22" i="26"/>
  <c r="BE21" i="29"/>
  <c r="BI20" i="29"/>
  <c r="H24" i="28"/>
  <c r="I24" i="28" s="1"/>
  <c r="M23" i="28"/>
  <c r="BE24" i="27"/>
  <c r="BI23" i="27"/>
  <c r="M24" i="26"/>
  <c r="BE24" i="28"/>
  <c r="BI23" i="28"/>
  <c r="I25" i="26" l="1"/>
  <c r="M23" i="29"/>
  <c r="H24" i="29"/>
  <c r="I24" i="29" s="1"/>
  <c r="M23" i="27"/>
  <c r="H24" i="27"/>
  <c r="I23" i="27"/>
  <c r="K34" i="27"/>
  <c r="BE25" i="28"/>
  <c r="BI24" i="28"/>
  <c r="I26" i="26"/>
  <c r="M25" i="26"/>
  <c r="BE25" i="27"/>
  <c r="BI24" i="27"/>
  <c r="H25" i="28"/>
  <c r="I25" i="28" s="1"/>
  <c r="M24" i="28"/>
  <c r="BE22" i="29"/>
  <c r="BI21" i="29"/>
  <c r="BE24" i="26"/>
  <c r="BI23" i="26"/>
  <c r="M24" i="29" l="1"/>
  <c r="H25" i="29"/>
  <c r="I25" i="29" s="1"/>
  <c r="H25" i="27"/>
  <c r="I24" i="27"/>
  <c r="M24" i="27"/>
  <c r="K35" i="27"/>
  <c r="BE25" i="26"/>
  <c r="BI24" i="26"/>
  <c r="BE23" i="29"/>
  <c r="BI22" i="29"/>
  <c r="H26" i="28"/>
  <c r="I26" i="28" s="1"/>
  <c r="M25" i="28"/>
  <c r="BE26" i="27"/>
  <c r="BI25" i="27"/>
  <c r="I27" i="26"/>
  <c r="M26" i="26"/>
  <c r="BE26" i="28"/>
  <c r="BI25" i="28"/>
  <c r="AA36" i="9"/>
  <c r="AE36" i="9" s="1"/>
  <c r="X36" i="11"/>
  <c r="AB36" i="7"/>
  <c r="AB36" i="11"/>
  <c r="X36" i="10"/>
  <c r="AB36" i="10"/>
  <c r="AA36" i="10"/>
  <c r="AE36" i="10" s="1"/>
  <c r="AB36" i="8"/>
  <c r="X36" i="8"/>
  <c r="AB36" i="5"/>
  <c r="X36" i="7"/>
  <c r="AA36" i="13"/>
  <c r="AE36" i="13" s="1"/>
  <c r="X36" i="13"/>
  <c r="X36" i="12"/>
  <c r="AA36" i="12"/>
  <c r="AE36" i="12" s="1"/>
  <c r="AA36" i="11"/>
  <c r="AE36" i="11" s="1"/>
  <c r="X36" i="9"/>
  <c r="AB36" i="9"/>
  <c r="AA36" i="8"/>
  <c r="AE36" i="8" s="1"/>
  <c r="AA36" i="5"/>
  <c r="AE36" i="5" s="1"/>
  <c r="X36" i="5"/>
  <c r="AA36" i="7"/>
  <c r="AE36" i="7" s="1"/>
  <c r="AB36" i="6"/>
  <c r="AA36" i="6"/>
  <c r="AE36" i="6" s="1"/>
  <c r="X36" i="6"/>
  <c r="AB36" i="12"/>
  <c r="AB36" i="13"/>
  <c r="AC36" i="11" l="1"/>
  <c r="AC36" i="8"/>
  <c r="AC36" i="13"/>
  <c r="AC36" i="12"/>
  <c r="AC36" i="10"/>
  <c r="AC36" i="9"/>
  <c r="AC36" i="5"/>
  <c r="AC36" i="7"/>
  <c r="AC36" i="6"/>
  <c r="F36" i="16"/>
  <c r="C36" i="16"/>
  <c r="G36" i="16"/>
  <c r="F39" i="16" s="1"/>
  <c r="H26" i="29"/>
  <c r="I26" i="29" s="1"/>
  <c r="M25" i="29"/>
  <c r="H26" i="27"/>
  <c r="I25" i="27"/>
  <c r="M25" i="27"/>
  <c r="K36" i="27"/>
  <c r="BE27" i="28"/>
  <c r="BI26" i="28"/>
  <c r="I28" i="26"/>
  <c r="M27" i="26"/>
  <c r="BE27" i="27"/>
  <c r="BI26" i="27"/>
  <c r="H27" i="28"/>
  <c r="I27" i="28" s="1"/>
  <c r="M26" i="28"/>
  <c r="BE24" i="29"/>
  <c r="BI23" i="29"/>
  <c r="BE26" i="26"/>
  <c r="BI25" i="26"/>
  <c r="F38" i="16" l="1"/>
  <c r="F40" i="16"/>
  <c r="M26" i="29"/>
  <c r="H27" i="29"/>
  <c r="I27" i="29" s="1"/>
  <c r="H27" i="27"/>
  <c r="M26" i="27"/>
  <c r="I26" i="27"/>
  <c r="K37" i="27"/>
  <c r="BE27" i="26"/>
  <c r="BI26" i="26"/>
  <c r="BE25" i="29"/>
  <c r="BI24" i="29"/>
  <c r="H28" i="28"/>
  <c r="I28" i="28" s="1"/>
  <c r="M27" i="28"/>
  <c r="BE28" i="27"/>
  <c r="BI27" i="27"/>
  <c r="I29" i="26"/>
  <c r="M28" i="26"/>
  <c r="BE28" i="28"/>
  <c r="BI27" i="28"/>
  <c r="M27" i="29" l="1"/>
  <c r="H28" i="29"/>
  <c r="I28" i="29" s="1"/>
  <c r="I27" i="27"/>
  <c r="H28" i="27"/>
  <c r="M27" i="27"/>
  <c r="K38" i="27"/>
  <c r="BE29" i="28"/>
  <c r="BI28" i="28"/>
  <c r="I30" i="26"/>
  <c r="M29" i="26"/>
  <c r="BE29" i="27"/>
  <c r="BI28" i="27"/>
  <c r="H29" i="28"/>
  <c r="I29" i="28" s="1"/>
  <c r="M28" i="28"/>
  <c r="BE26" i="29"/>
  <c r="BI25" i="29"/>
  <c r="BE28" i="26"/>
  <c r="BI27" i="26"/>
  <c r="M28" i="29" l="1"/>
  <c r="H29" i="29"/>
  <c r="I29" i="29" s="1"/>
  <c r="I28" i="27"/>
  <c r="M28" i="27"/>
  <c r="H29" i="27"/>
  <c r="K39" i="27"/>
  <c r="BE29" i="26"/>
  <c r="BI28" i="26"/>
  <c r="BE27" i="29"/>
  <c r="BI26" i="29"/>
  <c r="H30" i="28"/>
  <c r="I30" i="28" s="1"/>
  <c r="M29" i="28"/>
  <c r="BE30" i="27"/>
  <c r="BI29" i="27"/>
  <c r="I31" i="26"/>
  <c r="M30" i="26"/>
  <c r="BE30" i="28"/>
  <c r="BI29" i="28"/>
  <c r="M29" i="29" l="1"/>
  <c r="H30" i="29"/>
  <c r="I30" i="29" s="1"/>
  <c r="I29" i="27"/>
  <c r="H30" i="27"/>
  <c r="M29" i="27"/>
  <c r="BE31" i="28"/>
  <c r="BI30" i="28"/>
  <c r="I32" i="26"/>
  <c r="M31" i="26"/>
  <c r="BE31" i="27"/>
  <c r="BI30" i="27"/>
  <c r="H31" i="28"/>
  <c r="I31" i="28" s="1"/>
  <c r="M30" i="28"/>
  <c r="BE28" i="29"/>
  <c r="BI27" i="29"/>
  <c r="BE30" i="26"/>
  <c r="BI29" i="26"/>
  <c r="H31" i="29" l="1"/>
  <c r="I31" i="29" s="1"/>
  <c r="M30" i="29"/>
  <c r="I30" i="27"/>
  <c r="M30" i="27"/>
  <c r="H31" i="27"/>
  <c r="BE31" i="26"/>
  <c r="BI30" i="26"/>
  <c r="BE29" i="29"/>
  <c r="BI28" i="29"/>
  <c r="H32" i="28"/>
  <c r="I32" i="28" s="1"/>
  <c r="M31" i="28"/>
  <c r="BE32" i="27"/>
  <c r="BI31" i="27"/>
  <c r="I33" i="26"/>
  <c r="M32" i="26"/>
  <c r="BE32" i="28"/>
  <c r="BI31" i="28"/>
  <c r="M31" i="29" l="1"/>
  <c r="H32" i="29"/>
  <c r="I32" i="29" s="1"/>
  <c r="I31" i="27"/>
  <c r="H32" i="27"/>
  <c r="I32" i="27" s="1"/>
  <c r="M31" i="27"/>
  <c r="BE33" i="28"/>
  <c r="BI32" i="28"/>
  <c r="I34" i="26"/>
  <c r="M33" i="26"/>
  <c r="BE33" i="27"/>
  <c r="BI32" i="27"/>
  <c r="H33" i="28"/>
  <c r="I33" i="28" s="1"/>
  <c r="M32" i="28"/>
  <c r="BE30" i="29"/>
  <c r="BE31" i="29" s="1"/>
  <c r="BI29" i="29"/>
  <c r="BE32" i="26"/>
  <c r="BI31" i="26"/>
  <c r="M32" i="29" l="1"/>
  <c r="H33" i="29"/>
  <c r="I33" i="29" s="1"/>
  <c r="M32" i="27"/>
  <c r="H33" i="27"/>
  <c r="I33" i="27" s="1"/>
  <c r="BE33" i="26"/>
  <c r="BI32" i="26"/>
  <c r="BI30" i="29"/>
  <c r="H34" i="28"/>
  <c r="I34" i="28" s="1"/>
  <c r="M33" i="28"/>
  <c r="BE34" i="27"/>
  <c r="BI33" i="27"/>
  <c r="I35" i="26"/>
  <c r="M34" i="26"/>
  <c r="BE34" i="28"/>
  <c r="BI33" i="28"/>
  <c r="M33" i="29" l="1"/>
  <c r="H34" i="29"/>
  <c r="I34" i="29" s="1"/>
  <c r="H34" i="27"/>
  <c r="I34" i="27" s="1"/>
  <c r="M33" i="27"/>
  <c r="BE35" i="28"/>
  <c r="BI34" i="28"/>
  <c r="I36" i="26"/>
  <c r="M35" i="26"/>
  <c r="BE35" i="27"/>
  <c r="BI34" i="27"/>
  <c r="H35" i="28"/>
  <c r="I35" i="28" s="1"/>
  <c r="M34" i="28"/>
  <c r="BE32" i="29"/>
  <c r="BI31" i="29"/>
  <c r="BE34" i="26"/>
  <c r="BI33" i="26"/>
  <c r="M34" i="29" l="1"/>
  <c r="H35" i="29"/>
  <c r="I35" i="29" s="1"/>
  <c r="M34" i="27"/>
  <c r="H35" i="27"/>
  <c r="I35" i="27" s="1"/>
  <c r="BE35" i="26"/>
  <c r="BI34" i="26"/>
  <c r="BE33" i="29"/>
  <c r="BI32" i="29"/>
  <c r="H36" i="28"/>
  <c r="I36" i="28" s="1"/>
  <c r="M35" i="28"/>
  <c r="BE36" i="27"/>
  <c r="BI35" i="27"/>
  <c r="I37" i="26"/>
  <c r="M36" i="26"/>
  <c r="BE36" i="28"/>
  <c r="BI35" i="28"/>
  <c r="M35" i="29" l="1"/>
  <c r="H36" i="29"/>
  <c r="I36" i="29" s="1"/>
  <c r="H36" i="27"/>
  <c r="I36" i="27" s="1"/>
  <c r="M35" i="27"/>
  <c r="BE37" i="28"/>
  <c r="BI36" i="28"/>
  <c r="I38" i="26"/>
  <c r="M37" i="26"/>
  <c r="BI36" i="27"/>
  <c r="BE37" i="27"/>
  <c r="H37" i="28"/>
  <c r="I37" i="28" s="1"/>
  <c r="M36" i="28"/>
  <c r="BE34" i="29"/>
  <c r="BI33" i="29"/>
  <c r="BE36" i="26"/>
  <c r="BI35" i="26"/>
  <c r="M36" i="29" l="1"/>
  <c r="H37" i="29"/>
  <c r="I37" i="29" s="1"/>
  <c r="H37" i="27"/>
  <c r="I37" i="27" s="1"/>
  <c r="M36" i="27"/>
  <c r="BE38" i="27"/>
  <c r="BI37" i="27"/>
  <c r="BE37" i="26"/>
  <c r="BI36" i="26"/>
  <c r="BE35" i="29"/>
  <c r="BI34" i="29"/>
  <c r="M37" i="28"/>
  <c r="H38" i="28"/>
  <c r="I38" i="28" s="1"/>
  <c r="M38" i="26"/>
  <c r="I39" i="26"/>
  <c r="BI37" i="28"/>
  <c r="BE38" i="28"/>
  <c r="C36" i="13"/>
  <c r="C36" i="12"/>
  <c r="C36" i="11"/>
  <c r="C36" i="8"/>
  <c r="C36" i="5"/>
  <c r="C36" i="7"/>
  <c r="C36" i="6"/>
  <c r="H38" i="29" l="1"/>
  <c r="I38" i="29" s="1"/>
  <c r="M37" i="29"/>
  <c r="M37" i="27"/>
  <c r="H38" i="27"/>
  <c r="I38" i="27" s="1"/>
  <c r="BE39" i="28"/>
  <c r="BI39" i="28" s="1"/>
  <c r="BI38" i="28"/>
  <c r="M39" i="26"/>
  <c r="H39" i="28"/>
  <c r="M38" i="28"/>
  <c r="BE36" i="29"/>
  <c r="BI35" i="29"/>
  <c r="BE38" i="26"/>
  <c r="BI37" i="26"/>
  <c r="BE39" i="27"/>
  <c r="BI39" i="27" s="1"/>
  <c r="BI38" i="27"/>
  <c r="M38" i="29" l="1"/>
  <c r="H39" i="29"/>
  <c r="H39" i="27"/>
  <c r="M38" i="27"/>
  <c r="BI38" i="26"/>
  <c r="BE39" i="26"/>
  <c r="BE37" i="29"/>
  <c r="BI36" i="29"/>
  <c r="H40" i="28"/>
  <c r="V40" i="28" s="1"/>
  <c r="M39" i="28"/>
  <c r="H41" i="26"/>
  <c r="V41" i="26" s="1"/>
  <c r="M40" i="26"/>
  <c r="C36" i="9"/>
  <c r="H40" i="29" l="1"/>
  <c r="E47" i="29" s="1"/>
  <c r="I39" i="29"/>
  <c r="M39" i="29"/>
  <c r="M40" i="29" s="1"/>
  <c r="F47" i="29" s="1"/>
  <c r="H40" i="27"/>
  <c r="V40" i="27" s="1"/>
  <c r="M39" i="27"/>
  <c r="BE40" i="26"/>
  <c r="BI40" i="26" s="1"/>
  <c r="BI39" i="26"/>
  <c r="BE38" i="29"/>
  <c r="BI37" i="29"/>
  <c r="BI38" i="29" l="1"/>
  <c r="BE39" i="29"/>
  <c r="BI39" i="29" s="1"/>
  <c r="V40" i="29"/>
  <c r="D33" i="29" l="1"/>
  <c r="D26" i="29"/>
  <c r="D20" i="29"/>
  <c r="D13" i="29"/>
  <c r="D34" i="29"/>
  <c r="D27" i="29"/>
  <c r="D19" i="29"/>
  <c r="F11" i="26" l="1"/>
  <c r="F12" i="26" s="1"/>
  <c r="F13" i="26" s="1"/>
  <c r="F14" i="26" s="1"/>
  <c r="F15" i="26" s="1"/>
  <c r="F16" i="26" s="1"/>
  <c r="F17" i="26" s="1"/>
  <c r="F18" i="26" s="1"/>
  <c r="F19" i="26" s="1"/>
  <c r="F20" i="26" s="1"/>
  <c r="F21" i="26" s="1"/>
  <c r="F22" i="26" s="1"/>
  <c r="F23" i="26" s="1"/>
  <c r="F24" i="26" s="1"/>
  <c r="F25" i="26" s="1"/>
  <c r="F26" i="26" s="1"/>
  <c r="F27" i="26" s="1"/>
  <c r="F28" i="26" s="1"/>
  <c r="F29" i="26" s="1"/>
  <c r="F30" i="26" s="1"/>
  <c r="F31" i="26" s="1"/>
  <c r="F32" i="26" s="1"/>
  <c r="F33" i="26" s="1"/>
  <c r="F34" i="26" s="1"/>
  <c r="F35" i="26" s="1"/>
  <c r="F36" i="26" s="1"/>
  <c r="F37" i="26" s="1"/>
  <c r="F38" i="26" s="1"/>
  <c r="F39" i="26" s="1"/>
  <c r="F40" i="26" s="1"/>
  <c r="D41" i="26"/>
  <c r="D11" i="29"/>
  <c r="D18" i="29"/>
  <c r="D29" i="29"/>
  <c r="D32" i="29"/>
  <c r="D24" i="29"/>
  <c r="D37" i="29"/>
  <c r="D23" i="29"/>
  <c r="D36" i="29"/>
  <c r="D16" i="29"/>
  <c r="D35" i="29"/>
  <c r="D22" i="29"/>
  <c r="D15" i="29"/>
  <c r="D38" i="29"/>
  <c r="D28" i="29"/>
  <c r="D30" i="29"/>
  <c r="D31" i="29"/>
  <c r="D25" i="29"/>
  <c r="D14" i="29"/>
  <c r="D39" i="29"/>
  <c r="D21" i="29"/>
  <c r="D17" i="29"/>
  <c r="D12" i="29"/>
  <c r="F10" i="27"/>
  <c r="F11" i="27" s="1"/>
  <c r="F12" i="27" s="1"/>
  <c r="F13" i="27" s="1"/>
  <c r="F14" i="27" s="1"/>
  <c r="F15" i="27" s="1"/>
  <c r="F16" i="27" s="1"/>
  <c r="F17" i="27" s="1"/>
  <c r="F18" i="27" s="1"/>
  <c r="F19" i="27" s="1"/>
  <c r="F20" i="27" s="1"/>
  <c r="F21" i="27" s="1"/>
  <c r="F22" i="27" s="1"/>
  <c r="F23" i="27" s="1"/>
  <c r="F24" i="27" s="1"/>
  <c r="F25" i="27" s="1"/>
  <c r="F26" i="27" s="1"/>
  <c r="F27" i="27" s="1"/>
  <c r="F28" i="27" s="1"/>
  <c r="F29" i="27" s="1"/>
  <c r="F30" i="27" s="1"/>
  <c r="F31" i="27" s="1"/>
  <c r="F32" i="27" s="1"/>
  <c r="F33" i="27" s="1"/>
  <c r="F34" i="27" s="1"/>
  <c r="F35" i="27" s="1"/>
  <c r="F36" i="27" s="1"/>
  <c r="F37" i="27" s="1"/>
  <c r="F38" i="27" s="1"/>
  <c r="F39" i="27" s="1"/>
  <c r="D40" i="27"/>
  <c r="D10" i="29"/>
  <c r="F10" i="29" s="1"/>
  <c r="D40" i="29" l="1"/>
  <c r="D47" i="29" s="1"/>
  <c r="F11" i="29"/>
  <c r="F12" i="29" s="1"/>
  <c r="F13" i="29" s="1"/>
  <c r="F14" i="29" s="1"/>
  <c r="F15" i="29" s="1"/>
  <c r="F16" i="29" s="1"/>
  <c r="F17" i="29" s="1"/>
  <c r="F18" i="29" s="1"/>
  <c r="F19" i="29" s="1"/>
  <c r="F20" i="29" s="1"/>
  <c r="F21" i="29" s="1"/>
  <c r="F22" i="29" s="1"/>
  <c r="F23" i="29" s="1"/>
  <c r="F24" i="29" s="1"/>
  <c r="F25" i="29" s="1"/>
  <c r="F26" i="29" s="1"/>
  <c r="F27" i="29" s="1"/>
  <c r="F28" i="29" s="1"/>
  <c r="F29" i="29" s="1"/>
  <c r="F30" i="29" s="1"/>
  <c r="F31" i="29" s="1"/>
  <c r="F32" i="29" s="1"/>
  <c r="F33" i="29" s="1"/>
  <c r="F34" i="29" s="1"/>
  <c r="F35" i="29" s="1"/>
  <c r="F36" i="29" s="1"/>
  <c r="F37" i="29" s="1"/>
  <c r="F38" i="29" s="1"/>
  <c r="F39" i="29" s="1"/>
</calcChain>
</file>

<file path=xl/sharedStrings.xml><?xml version="1.0" encoding="utf-8"?>
<sst xmlns="http://schemas.openxmlformats.org/spreadsheetml/2006/main" count="1034" uniqueCount="232">
  <si>
    <t>DATE</t>
  </si>
  <si>
    <t>Total cuts</t>
  </si>
  <si>
    <t>GSPH</t>
  </si>
  <si>
    <t>TOTAL</t>
  </si>
  <si>
    <t>SQ-1 DAILY PRODUCTION DETAILS</t>
  </si>
  <si>
    <t>SQ-2 DAILY PRODUCTION DETAILS</t>
  </si>
  <si>
    <t>SQ-3 DAILY PRODUCTION DETAILS</t>
  </si>
  <si>
    <t>SQ-4 DAILY PRODUCTION DETAILS</t>
  </si>
  <si>
    <t>SQ-5 DAILY PRODUCTION DETAILS</t>
  </si>
  <si>
    <t>SQ-6 DAILY PRODUCTION DETAILS</t>
  </si>
  <si>
    <t>SQ-7 DAILY PRODUCTION DETAILS</t>
  </si>
  <si>
    <t>SQ-8 DAILY PRODUCTION DETAILS</t>
  </si>
  <si>
    <t>SQ-9 DAILY PRODUCTION DETAILS</t>
  </si>
  <si>
    <t>T/hr</t>
  </si>
  <si>
    <t xml:space="preserve"> </t>
    <phoneticPr fontId="5"/>
  </si>
  <si>
    <t>Actual　（実績）</t>
  </si>
  <si>
    <r>
      <t>【ＧＳＰＨ】Actual　</t>
    </r>
    <r>
      <rPr>
        <sz val="10"/>
        <rFont val="ＭＳ Ｐゴシック"/>
        <family val="2"/>
      </rPr>
      <t>【実績GSPH】</t>
    </r>
  </si>
  <si>
    <r>
      <t>【</t>
    </r>
    <r>
      <rPr>
        <b/>
        <sz val="14"/>
        <rFont val="Arial"/>
        <family val="2"/>
      </rPr>
      <t>Number of Strokes</t>
    </r>
    <r>
      <rPr>
        <b/>
        <sz val="14"/>
        <rFont val="ＭＳ Ｐゴシック"/>
        <family val="2"/>
      </rPr>
      <t>】　</t>
    </r>
    <r>
      <rPr>
        <sz val="10"/>
        <rFont val="ＭＳ Ｐゴシック"/>
        <family val="2"/>
      </rPr>
      <t>【累積ストローク数】</t>
    </r>
  </si>
  <si>
    <r>
      <t>【Transition of results GSPH every week】　</t>
    </r>
    <r>
      <rPr>
        <sz val="10"/>
        <rFont val="ＭＳ Ｐゴシック"/>
        <family val="2"/>
      </rPr>
      <t>【週単位の実績GSPHの推移】</t>
    </r>
  </si>
  <si>
    <r>
      <t>【Transition of line stop time】　</t>
    </r>
    <r>
      <rPr>
        <sz val="10"/>
        <rFont val="ＭＳ Ｐゴシック"/>
        <family val="2"/>
      </rPr>
      <t>【ライン停止時間の推移】</t>
    </r>
  </si>
  <si>
    <r>
      <t>【Number of Strokes/Month】　</t>
    </r>
    <r>
      <rPr>
        <sz val="10"/>
        <rFont val="ＭＳ Ｐゴシック"/>
        <family val="2"/>
      </rPr>
      <t>【月間ストローク数】</t>
    </r>
  </si>
  <si>
    <r>
      <t>【Ｃｏｍｍｅｔ of Ｔｏｄａｙ】　</t>
    </r>
    <r>
      <rPr>
        <sz val="12"/>
        <rFont val="ＭＳ Ｐゴシック"/>
        <family val="2"/>
      </rPr>
      <t>【コメント欄】</t>
    </r>
  </si>
  <si>
    <t>Ｓｔｏｐ　Ｔｉｍｅ　（ｍｉｎ）</t>
    <phoneticPr fontId="5"/>
  </si>
  <si>
    <t>№</t>
    <phoneticPr fontId="5"/>
  </si>
  <si>
    <t>Date</t>
    <phoneticPr fontId="5"/>
  </si>
  <si>
    <t>Team</t>
    <phoneticPr fontId="5"/>
  </si>
  <si>
    <t>Machine</t>
    <phoneticPr fontId="5"/>
  </si>
  <si>
    <t>Opn</t>
  </si>
  <si>
    <t>Wait</t>
    <phoneticPr fontId="5"/>
  </si>
  <si>
    <t>Detail</t>
    <phoneticPr fontId="5"/>
  </si>
  <si>
    <t>停止時間合計(Total stop time (min))</t>
    <rPh sb="0" eb="2">
      <t>テイシ</t>
    </rPh>
    <rPh sb="2" eb="4">
      <t>ジカン</t>
    </rPh>
    <rPh sb="4" eb="6">
      <t>ゴウケイ</t>
    </rPh>
    <phoneticPr fontId="5"/>
  </si>
  <si>
    <t>Actual　（実績）</t>
    <rPh sb="8" eb="10">
      <t>ジッセキ</t>
    </rPh>
    <phoneticPr fontId="5"/>
  </si>
  <si>
    <t>Ｎｏ</t>
    <phoneticPr fontId="5"/>
  </si>
  <si>
    <r>
      <t>D</t>
    </r>
    <r>
      <rPr>
        <sz val="11"/>
        <color theme="1"/>
        <rFont val="Calibri"/>
        <family val="2"/>
        <scheme val="minor"/>
      </rPr>
      <t>ate</t>
    </r>
  </si>
  <si>
    <t>停止内容</t>
    <rPh sb="0" eb="2">
      <t>テイシ</t>
    </rPh>
    <rPh sb="2" eb="4">
      <t>ナイヨウ</t>
    </rPh>
    <phoneticPr fontId="5"/>
  </si>
  <si>
    <t>対策状況</t>
    <rPh sb="0" eb="2">
      <t>タイサク</t>
    </rPh>
    <rPh sb="2" eb="4">
      <t>ジョウキョウ</t>
    </rPh>
    <phoneticPr fontId="5"/>
  </si>
  <si>
    <t>設備</t>
    <rPh sb="0" eb="2">
      <t>セツビ</t>
    </rPh>
    <phoneticPr fontId="5"/>
  </si>
  <si>
    <t>作業</t>
    <rPh sb="0" eb="2">
      <t>サギョウ</t>
    </rPh>
    <phoneticPr fontId="5"/>
  </si>
  <si>
    <t>待ち</t>
    <rPh sb="0" eb="1">
      <t>マ</t>
    </rPh>
    <phoneticPr fontId="5"/>
  </si>
  <si>
    <t>（３０ｍｉｎ　ｏｒ　ｍｏｒｅ）</t>
    <phoneticPr fontId="5"/>
  </si>
  <si>
    <t>予定日</t>
    <rPh sb="0" eb="2">
      <t>ヨテイ</t>
    </rPh>
    <rPh sb="2" eb="3">
      <t>ヒ</t>
    </rPh>
    <phoneticPr fontId="5"/>
  </si>
  <si>
    <t>完了日</t>
    <rPh sb="0" eb="2">
      <t>カンリョウ</t>
    </rPh>
    <rPh sb="2" eb="3">
      <t>ヒ</t>
    </rPh>
    <phoneticPr fontId="5"/>
  </si>
  <si>
    <r>
      <t>【Ｃｏｍｍｅｔ of Ｔｏｄａｙ】　</t>
    </r>
    <r>
      <rPr>
        <sz val="10"/>
        <rFont val="ＭＳ Ｐゴシック"/>
        <family val="2"/>
      </rPr>
      <t>【コメント欄】</t>
    </r>
  </si>
  <si>
    <t>停止時間合計(min)</t>
    <rPh sb="0" eb="2">
      <t>テイシ</t>
    </rPh>
    <rPh sb="2" eb="4">
      <t>ジカン</t>
    </rPh>
    <rPh sb="4" eb="6">
      <t>ゴウケイ</t>
    </rPh>
    <phoneticPr fontId="5"/>
  </si>
  <si>
    <t>：毎日、データの入力</t>
    <rPh sb="1" eb="3">
      <t>マイニチ</t>
    </rPh>
    <rPh sb="8" eb="10">
      <t>ニュウリョク</t>
    </rPh>
    <phoneticPr fontId="5"/>
  </si>
  <si>
    <r>
      <t>(</t>
    </r>
    <r>
      <rPr>
        <sz val="11"/>
        <color theme="1"/>
        <rFont val="Calibri"/>
        <family val="2"/>
        <scheme val="minor"/>
      </rPr>
      <t>Items to input</t>
    </r>
    <r>
      <rPr>
        <sz val="11"/>
        <color theme="1"/>
        <rFont val="Calibri"/>
        <family val="2"/>
        <scheme val="minor"/>
      </rPr>
      <t>/day)</t>
    </r>
  </si>
  <si>
    <t>：月末に次月計画データの入力</t>
    <rPh sb="1" eb="3">
      <t>ゲツマツ</t>
    </rPh>
    <rPh sb="4" eb="6">
      <t>ジゲツ</t>
    </rPh>
    <rPh sb="6" eb="8">
      <t>ケイカク</t>
    </rPh>
    <rPh sb="12" eb="14">
      <t>ニュウリョク</t>
    </rPh>
    <phoneticPr fontId="5"/>
  </si>
  <si>
    <r>
      <t>(</t>
    </r>
    <r>
      <rPr>
        <sz val="11"/>
        <color theme="1"/>
        <rFont val="Calibri"/>
        <family val="2"/>
        <scheme val="minor"/>
      </rPr>
      <t>Items to input　</t>
    </r>
    <r>
      <rPr>
        <sz val="11"/>
        <color theme="1"/>
        <rFont val="Calibri"/>
        <family val="2"/>
        <scheme val="minor"/>
      </rPr>
      <t>of next mouth/mouth end)</t>
    </r>
  </si>
  <si>
    <r>
      <t>：月末に次月の休日を変更(休日⇒</t>
    </r>
    <r>
      <rPr>
        <sz val="11"/>
        <color theme="1"/>
        <rFont val="Calibri"/>
        <family val="2"/>
        <scheme val="minor"/>
      </rPr>
      <t>* 、日付なし⇒- をそれぞれ入力)</t>
    </r>
  </si>
  <si>
    <r>
      <t>(</t>
    </r>
    <r>
      <rPr>
        <sz val="11"/>
        <color theme="1"/>
        <rFont val="Calibri"/>
        <family val="2"/>
        <scheme val="minor"/>
      </rPr>
      <t xml:space="preserve">Items to </t>
    </r>
    <r>
      <rPr>
        <sz val="11"/>
        <color theme="1"/>
        <rFont val="Calibri"/>
        <family val="2"/>
        <scheme val="minor"/>
      </rPr>
      <t>change holiday/mouth end(holiday⇒* , date none⇒- ))</t>
    </r>
  </si>
  <si>
    <t>備考欄</t>
    <rPh sb="0" eb="2">
      <t>ビコウ</t>
    </rPh>
    <rPh sb="2" eb="3">
      <t>ラン</t>
    </rPh>
    <phoneticPr fontId="5"/>
  </si>
  <si>
    <t>：その日の大きな出来事を記入（故障やトラブルなど）</t>
    <rPh sb="3" eb="4">
      <t>ヒ</t>
    </rPh>
    <rPh sb="5" eb="6">
      <t>オオ</t>
    </rPh>
    <rPh sb="8" eb="11">
      <t>デキゴト</t>
    </rPh>
    <rPh sb="12" eb="14">
      <t>キニュウ</t>
    </rPh>
    <rPh sb="15" eb="17">
      <t>コショウ</t>
    </rPh>
    <phoneticPr fontId="5"/>
  </si>
  <si>
    <r>
      <t>U</t>
    </r>
    <r>
      <rPr>
        <sz val="11"/>
        <color theme="1"/>
        <rFont val="Calibri"/>
        <family val="2"/>
        <scheme val="minor"/>
      </rPr>
      <t>p Date</t>
    </r>
  </si>
  <si>
    <t>段取り時間（分）</t>
    <rPh sb="0" eb="2">
      <t>ダンド</t>
    </rPh>
    <rPh sb="3" eb="5">
      <t>ジカン</t>
    </rPh>
    <rPh sb="6" eb="7">
      <t>フン</t>
    </rPh>
    <phoneticPr fontId="5"/>
  </si>
  <si>
    <t>トラブル停止時間（分）</t>
    <rPh sb="4" eb="6">
      <t>テイシ</t>
    </rPh>
    <rPh sb="6" eb="8">
      <t>ジカン</t>
    </rPh>
    <rPh sb="9" eb="10">
      <t>フン</t>
    </rPh>
    <phoneticPr fontId="5"/>
  </si>
  <si>
    <t>Attendance</t>
  </si>
  <si>
    <t>Quality Performance</t>
  </si>
  <si>
    <t>Overtime (Hour)</t>
    <phoneticPr fontId="5"/>
  </si>
  <si>
    <t>備考</t>
    <rPh sb="0" eb="2">
      <t>ビコウ</t>
    </rPh>
    <phoneticPr fontId="5"/>
  </si>
  <si>
    <t>仮想ＧＳＰＨのデータ</t>
    <rPh sb="0" eb="2">
      <t>カソウ</t>
    </rPh>
    <phoneticPr fontId="5"/>
  </si>
  <si>
    <t>休日チェック↓</t>
    <rPh sb="0" eb="2">
      <t>キュウジツ</t>
    </rPh>
    <phoneticPr fontId="5"/>
  </si>
  <si>
    <t>計画　　　　　　ＳＴ数/日</t>
  </si>
  <si>
    <t>実績　　　　　　ＳＴ数/日</t>
  </si>
  <si>
    <t>計画累積 　　ＳＴ数/日</t>
  </si>
  <si>
    <t>稼働日</t>
    <rPh sb="0" eb="3">
      <t>カドウビ</t>
    </rPh>
    <phoneticPr fontId="5"/>
  </si>
  <si>
    <t>実績累積　　　ＳＴ数</t>
    <phoneticPr fontId="5"/>
  </si>
  <si>
    <t>実績平均ＳＴ数/日</t>
    <rPh sb="2" eb="4">
      <t>ヘイキン</t>
    </rPh>
    <phoneticPr fontId="5"/>
  </si>
  <si>
    <t>稼動時間/日</t>
    <phoneticPr fontId="5"/>
  </si>
  <si>
    <t>累積稼働　　時間</t>
    <phoneticPr fontId="5"/>
  </si>
  <si>
    <t>ＧＳＰＨ</t>
  </si>
  <si>
    <t>累計          ＧＳＰＨ</t>
    <phoneticPr fontId="5"/>
  </si>
  <si>
    <t>自動加工時間</t>
    <rPh sb="0" eb="2">
      <t>ジドウ</t>
    </rPh>
    <rPh sb="2" eb="4">
      <t>カコウ</t>
    </rPh>
    <rPh sb="4" eb="6">
      <t>ジカン</t>
    </rPh>
    <phoneticPr fontId="5"/>
  </si>
  <si>
    <t>自動運転率（％）</t>
    <rPh sb="0" eb="2">
      <t>ジドウ</t>
    </rPh>
    <rPh sb="2" eb="4">
      <t>ウンテン</t>
    </rPh>
    <rPh sb="4" eb="5">
      <t>リツ</t>
    </rPh>
    <phoneticPr fontId="5"/>
  </si>
  <si>
    <t>段取り　　　　回数/日</t>
  </si>
  <si>
    <t>必要段取り　　回数/日</t>
  </si>
  <si>
    <t>投入母材</t>
  </si>
  <si>
    <t>巻き戻し母材</t>
  </si>
  <si>
    <t>段取り時間/母材</t>
  </si>
  <si>
    <t>巻き戻し率</t>
  </si>
  <si>
    <t>実績ＳＰＭ</t>
    <rPh sb="0" eb="2">
      <t>ジッセキ</t>
    </rPh>
    <phoneticPr fontId="5"/>
  </si>
  <si>
    <t>コイルフィード段取り（型/セグメント交換を含む）</t>
    <rPh sb="7" eb="9">
      <t>ダンド</t>
    </rPh>
    <rPh sb="11" eb="12">
      <t>カタ</t>
    </rPh>
    <rPh sb="18" eb="20">
      <t>コウカン</t>
    </rPh>
    <rPh sb="21" eb="22">
      <t>フク</t>
    </rPh>
    <phoneticPr fontId="5"/>
  </si>
  <si>
    <t>段取りデータセット(ティーチ含む）</t>
    <rPh sb="0" eb="2">
      <t>ダンド</t>
    </rPh>
    <rPh sb="14" eb="15">
      <t>フク</t>
    </rPh>
    <phoneticPr fontId="5"/>
  </si>
  <si>
    <t>サイドパイラーセット</t>
    <phoneticPr fontId="5"/>
  </si>
  <si>
    <t>品質確認（清掃含む）</t>
    <rPh sb="0" eb="2">
      <t>ヒンシツ</t>
    </rPh>
    <rPh sb="2" eb="4">
      <t>カクニン</t>
    </rPh>
    <rPh sb="5" eb="7">
      <t>セイソウ</t>
    </rPh>
    <rPh sb="7" eb="8">
      <t>フク</t>
    </rPh>
    <phoneticPr fontId="5"/>
  </si>
  <si>
    <t>スクラップＢｏｘ交換</t>
    <rPh sb="8" eb="10">
      <t>コウカン</t>
    </rPh>
    <phoneticPr fontId="5"/>
  </si>
  <si>
    <t>段取り時間合計（分）</t>
    <rPh sb="0" eb="2">
      <t>ダンド</t>
    </rPh>
    <rPh sb="3" eb="5">
      <t>ジカン</t>
    </rPh>
    <rPh sb="5" eb="7">
      <t>ゴウケイ</t>
    </rPh>
    <rPh sb="8" eb="9">
      <t>フン</t>
    </rPh>
    <phoneticPr fontId="5"/>
  </si>
  <si>
    <t>操作ミス</t>
    <rPh sb="0" eb="2">
      <t>ソウサ</t>
    </rPh>
    <phoneticPr fontId="5"/>
  </si>
  <si>
    <t>設備故障</t>
    <rPh sb="0" eb="2">
      <t>セツビ</t>
    </rPh>
    <rPh sb="2" eb="4">
      <t>コショウ</t>
    </rPh>
    <phoneticPr fontId="5"/>
  </si>
  <si>
    <t>型、ガイド調整及びトラブル</t>
    <rPh sb="0" eb="1">
      <t>カタ</t>
    </rPh>
    <rPh sb="5" eb="7">
      <t>チョウセイ</t>
    </rPh>
    <rPh sb="7" eb="8">
      <t>オヨ</t>
    </rPh>
    <phoneticPr fontId="5"/>
  </si>
  <si>
    <t>プレストラブル　</t>
    <phoneticPr fontId="5"/>
  </si>
  <si>
    <t>コイルフィードトラブル</t>
    <phoneticPr fontId="5"/>
  </si>
  <si>
    <t xml:space="preserve">パイラートラブル、パレット調整 </t>
    <rPh sb="13" eb="15">
      <t>チョウセイ</t>
    </rPh>
    <phoneticPr fontId="5"/>
  </si>
  <si>
    <t>品質トラブル</t>
    <rPh sb="0" eb="2">
      <t>ヒンシツ</t>
    </rPh>
    <phoneticPr fontId="5"/>
  </si>
  <si>
    <t>パイラーセット待ち　</t>
    <rPh sb="7" eb="8">
      <t>マ</t>
    </rPh>
    <phoneticPr fontId="5"/>
  </si>
  <si>
    <t>リフト待ち</t>
    <rPh sb="3" eb="4">
      <t>マ</t>
    </rPh>
    <phoneticPr fontId="5"/>
  </si>
  <si>
    <t>母材待ち</t>
    <rPh sb="0" eb="1">
      <t>ハハ</t>
    </rPh>
    <rPh sb="1" eb="2">
      <t>ザイ</t>
    </rPh>
    <rPh sb="2" eb="3">
      <t>マ</t>
    </rPh>
    <phoneticPr fontId="5"/>
  </si>
  <si>
    <t>朝礼、打合せ</t>
    <rPh sb="0" eb="2">
      <t>チョウレイ</t>
    </rPh>
    <rPh sb="3" eb="5">
      <t>ウチアワ</t>
    </rPh>
    <phoneticPr fontId="5"/>
  </si>
  <si>
    <t>SUMMARY FOR GRAPH</t>
  </si>
  <si>
    <t>①人員（母材の３直人員はBL２直にカウントする）　　　　　　　②９月５日より３直稼働となる</t>
    <rPh sb="1" eb="3">
      <t>ジンイン</t>
    </rPh>
    <rPh sb="4" eb="6">
      <t>ボザイ</t>
    </rPh>
    <rPh sb="8" eb="9">
      <t>チョク</t>
    </rPh>
    <rPh sb="9" eb="11">
      <t>ジンイン</t>
    </rPh>
    <rPh sb="15" eb="16">
      <t>チョク</t>
    </rPh>
    <rPh sb="33" eb="34">
      <t>ガツ</t>
    </rPh>
    <rPh sb="35" eb="36">
      <t>ヒ</t>
    </rPh>
    <rPh sb="39" eb="40">
      <t>チョク</t>
    </rPh>
    <rPh sb="40" eb="42">
      <t>カドウ</t>
    </rPh>
    <phoneticPr fontId="5"/>
  </si>
  <si>
    <t>時間外</t>
    <rPh sb="0" eb="3">
      <t>ジカンガイ</t>
    </rPh>
    <phoneticPr fontId="5"/>
  </si>
  <si>
    <t>時間外　　累計</t>
    <rPh sb="0" eb="3">
      <t>ジカンガイ</t>
    </rPh>
    <rPh sb="5" eb="7">
      <t>ルイケイ</t>
    </rPh>
    <phoneticPr fontId="5"/>
  </si>
  <si>
    <t>計画停止時間</t>
    <rPh sb="0" eb="2">
      <t>ケイカク</t>
    </rPh>
    <rPh sb="2" eb="4">
      <t>テイシ</t>
    </rPh>
    <rPh sb="4" eb="6">
      <t>ジカン</t>
    </rPh>
    <phoneticPr fontId="5"/>
  </si>
  <si>
    <t>故障内容、加工内及びトラブル等</t>
    <rPh sb="0" eb="2">
      <t>コショウ</t>
    </rPh>
    <rPh sb="2" eb="4">
      <t>ナイヨウ</t>
    </rPh>
    <rPh sb="5" eb="7">
      <t>カコウ</t>
    </rPh>
    <rPh sb="7" eb="8">
      <t>ナイ</t>
    </rPh>
    <rPh sb="8" eb="9">
      <t>オヨ</t>
    </rPh>
    <rPh sb="14" eb="15">
      <t>トウ</t>
    </rPh>
    <phoneticPr fontId="5"/>
  </si>
  <si>
    <t>仮想　　　　　　ＳＴ数/日</t>
    <rPh sb="0" eb="2">
      <t>カソウ</t>
    </rPh>
    <phoneticPr fontId="5"/>
  </si>
  <si>
    <t>仮想ＳＴ数の累積/日</t>
    <rPh sb="0" eb="2">
      <t>カソウ</t>
    </rPh>
    <rPh sb="6" eb="8">
      <t>ルイセキ</t>
    </rPh>
    <phoneticPr fontId="5"/>
  </si>
  <si>
    <t>稼動時間/日（時間）</t>
    <rPh sb="7" eb="9">
      <t>ジカン</t>
    </rPh>
    <phoneticPr fontId="5"/>
  </si>
  <si>
    <t>仮想稼働時間の累積</t>
    <rPh sb="0" eb="2">
      <t>カソウ</t>
    </rPh>
    <rPh sb="7" eb="9">
      <t>ルイセキ</t>
    </rPh>
    <phoneticPr fontId="5"/>
  </si>
  <si>
    <t>仮想
ＧＳＰＨ</t>
    <rPh sb="0" eb="2">
      <t>カソウ</t>
    </rPh>
    <phoneticPr fontId="5"/>
  </si>
  <si>
    <r>
      <t>check</t>
    </r>
    <r>
      <rPr>
        <sz val="11"/>
        <color theme="1"/>
        <rFont val="Calibri"/>
        <family val="2"/>
        <scheme val="minor"/>
      </rPr>
      <t xml:space="preserve"> on holiday ↓</t>
    </r>
  </si>
  <si>
    <t>No of Cuts /Day (Planned)</t>
  </si>
  <si>
    <t>No of Strokes/Day (Actual)</t>
  </si>
  <si>
    <t>Accumulated Strokes/Day (Planned)</t>
  </si>
  <si>
    <t>working days</t>
    <phoneticPr fontId="5"/>
  </si>
  <si>
    <t>Accumulated Strokes (Actual)</t>
    <phoneticPr fontId="5"/>
  </si>
  <si>
    <t>Accumulated AV.Strokes/Day (Actual)</t>
    <phoneticPr fontId="5"/>
  </si>
  <si>
    <t>Work (Operation) Time/Day (hours）</t>
    <phoneticPr fontId="5"/>
  </si>
  <si>
    <t>Accumulated Work (Operation) Time (Actual) hours</t>
    <phoneticPr fontId="5"/>
  </si>
  <si>
    <t>Accumulated ＧＳＰＨ</t>
  </si>
  <si>
    <t>Auto run time     (hours)</t>
    <phoneticPr fontId="5"/>
  </si>
  <si>
    <t>Auto run time      (%)</t>
    <phoneticPr fontId="5"/>
  </si>
  <si>
    <t>No of  F.G case</t>
  </si>
  <si>
    <t>No of work order</t>
  </si>
  <si>
    <t>Preparation time/Mother coil</t>
    <phoneticPr fontId="5"/>
  </si>
  <si>
    <t>Riwind ratio</t>
    <phoneticPr fontId="5"/>
  </si>
  <si>
    <t>Actuar SPM</t>
    <phoneticPr fontId="5"/>
  </si>
  <si>
    <t>Coil Setup Time　(Die Change)</t>
    <phoneticPr fontId="5"/>
  </si>
  <si>
    <t>Data setup</t>
  </si>
  <si>
    <t>Side Piler set up</t>
  </si>
  <si>
    <t>Prodn-Quality Check</t>
  </si>
  <si>
    <t xml:space="preserve"> scrap bin　Change</t>
    <phoneticPr fontId="5"/>
  </si>
  <si>
    <t>Setups　Total　Time　(min)</t>
    <phoneticPr fontId="5"/>
  </si>
  <si>
    <t>Due to operation error</t>
  </si>
  <si>
    <t>Equipment Trouble</t>
    <phoneticPr fontId="5"/>
  </si>
  <si>
    <t>Die and guide-adjust,trouble</t>
    <phoneticPr fontId="5"/>
  </si>
  <si>
    <t>Equip-trouble - Press Fault</t>
  </si>
  <si>
    <t>Equip-COIL FEEDING PROBLEM</t>
  </si>
  <si>
    <t>Build Plts/ Pallet adjust</t>
  </si>
  <si>
    <t>Quality Trouble</t>
    <phoneticPr fontId="5"/>
  </si>
  <si>
    <t>Waiting instruction sheet</t>
  </si>
  <si>
    <t>Waiting-Forklift</t>
    <phoneticPr fontId="5"/>
  </si>
  <si>
    <t>power cut</t>
  </si>
  <si>
    <t>Meeting / 4S</t>
  </si>
  <si>
    <t>Due to operation error</t>
    <phoneticPr fontId="5"/>
  </si>
  <si>
    <t>Equipment</t>
    <phoneticPr fontId="5"/>
  </si>
  <si>
    <t>Trouble</t>
    <phoneticPr fontId="5"/>
  </si>
  <si>
    <t>Waiting</t>
    <phoneticPr fontId="5"/>
  </si>
  <si>
    <t>Operation Ｓｔｏｐ　Ｔｏｔａｌ　Time　　（ｍｉｎ）</t>
    <phoneticPr fontId="5"/>
  </si>
  <si>
    <t xml:space="preserve"># Of Team members employed </t>
  </si>
  <si>
    <t xml:space="preserve"># Of Team members attended </t>
  </si>
  <si>
    <t>% Attendance</t>
  </si>
  <si>
    <t>Internal Defect</t>
  </si>
  <si>
    <t xml:space="preserve">Customer (Return) Defects </t>
  </si>
  <si>
    <t>Daily           Result</t>
    <phoneticPr fontId="5"/>
  </si>
  <si>
    <t>Accumulation</t>
    <phoneticPr fontId="5"/>
  </si>
  <si>
    <t>Plan stop time</t>
    <phoneticPr fontId="5"/>
  </si>
  <si>
    <t>Content of breakdown and Troble etc.</t>
    <phoneticPr fontId="5"/>
  </si>
  <si>
    <t>No of Strokes（Virtual）/Day (Planned)</t>
    <phoneticPr fontId="5"/>
  </si>
  <si>
    <t>Accumulated Strokes（Virtual）/Day (Planned)</t>
    <phoneticPr fontId="5"/>
  </si>
  <si>
    <t>Accumulated Work (Operation) Time (Virtual) hours</t>
    <phoneticPr fontId="5"/>
  </si>
  <si>
    <t>Virtual
ＧＳＰＨ</t>
    <phoneticPr fontId="5"/>
  </si>
  <si>
    <t>Accumulated 
ＧＳＰＨ</t>
    <phoneticPr fontId="5"/>
  </si>
  <si>
    <t xml:space="preserve"> </t>
  </si>
  <si>
    <t>←計画停止時間合計</t>
    <rPh sb="1" eb="3">
      <t>ケイカク</t>
    </rPh>
    <rPh sb="3" eb="5">
      <t>テイシ</t>
    </rPh>
    <rPh sb="5" eb="7">
      <t>ジカン</t>
    </rPh>
    <rPh sb="7" eb="9">
      <t>ゴウケイ</t>
    </rPh>
    <phoneticPr fontId="5"/>
  </si>
  <si>
    <t>年間（月間推移）の加工枚数とＧＳＰＨの計画、実績データ</t>
    <rPh sb="0" eb="2">
      <t>ネンカン</t>
    </rPh>
    <rPh sb="3" eb="5">
      <t>ゲッカン</t>
    </rPh>
    <rPh sb="5" eb="7">
      <t>スイイ</t>
    </rPh>
    <rPh sb="9" eb="11">
      <t>カコウ</t>
    </rPh>
    <rPh sb="11" eb="13">
      <t>マイスウ</t>
    </rPh>
    <rPh sb="19" eb="21">
      <t>ケイカク</t>
    </rPh>
    <rPh sb="22" eb="24">
      <t>ジッセキ</t>
    </rPh>
    <phoneticPr fontId="5"/>
  </si>
  <si>
    <t>週毎のＧＳＰＨ推移データ（月代わりには計算式を修正必要）</t>
    <rPh sb="0" eb="1">
      <t>シュウ</t>
    </rPh>
    <rPh sb="1" eb="2">
      <t>ゴト</t>
    </rPh>
    <rPh sb="7" eb="9">
      <t>スイイ</t>
    </rPh>
    <rPh sb="13" eb="14">
      <t>ツキ</t>
    </rPh>
    <rPh sb="14" eb="15">
      <t>ガ</t>
    </rPh>
    <rPh sb="19" eb="21">
      <t>ケイサン</t>
    </rPh>
    <rPh sb="21" eb="22">
      <t>シキ</t>
    </rPh>
    <rPh sb="23" eb="25">
      <t>シュウセイ</t>
    </rPh>
    <rPh sb="25" eb="27">
      <t>ヒツヨウ</t>
    </rPh>
    <phoneticPr fontId="5"/>
  </si>
  <si>
    <t>No of Strokes (Planned)</t>
  </si>
  <si>
    <t>No of Strokes/Month (Actual)</t>
    <phoneticPr fontId="5"/>
  </si>
  <si>
    <t>Target       ＧＳＰＨ</t>
    <phoneticPr fontId="5"/>
  </si>
  <si>
    <t>Actual ＧＳＰＨ</t>
  </si>
  <si>
    <t>Required       ＧＳＰＨ</t>
    <phoneticPr fontId="5"/>
  </si>
  <si>
    <t>AVE GSPH(Week)</t>
    <phoneticPr fontId="5"/>
  </si>
  <si>
    <r>
      <t>1</t>
    </r>
    <r>
      <rPr>
        <sz val="11"/>
        <color theme="1"/>
        <rFont val="Calibri"/>
        <family val="2"/>
        <scheme val="minor"/>
      </rPr>
      <t>w</t>
    </r>
  </si>
  <si>
    <t>2w</t>
    <phoneticPr fontId="5"/>
  </si>
  <si>
    <t>3w</t>
    <phoneticPr fontId="5"/>
  </si>
  <si>
    <t>4w</t>
    <phoneticPr fontId="5"/>
  </si>
  <si>
    <t>5w</t>
    <phoneticPr fontId="5"/>
  </si>
  <si>
    <t>6w</t>
    <phoneticPr fontId="5"/>
  </si>
  <si>
    <t>更新日：</t>
    <rPh sb="0" eb="3">
      <t>コウシンビ</t>
    </rPh>
    <phoneticPr fontId="5"/>
  </si>
  <si>
    <t>No of Strokes/Day (Planned)</t>
  </si>
  <si>
    <r>
      <t>必要G</t>
    </r>
    <r>
      <rPr>
        <sz val="11"/>
        <color theme="1"/>
        <rFont val="Calibri"/>
        <family val="2"/>
        <scheme val="minor"/>
      </rPr>
      <t>SPH</t>
    </r>
  </si>
  <si>
    <t>更新日：</t>
  </si>
  <si>
    <t>３tｅａｍ Total</t>
    <phoneticPr fontId="5"/>
  </si>
  <si>
    <t>累計稼働日</t>
    <rPh sb="0" eb="2">
      <t>ルイケイ</t>
    </rPh>
    <rPh sb="2" eb="5">
      <t>カドウビ</t>
    </rPh>
    <phoneticPr fontId="5"/>
  </si>
  <si>
    <t>実績累計平均ＳＴ数/日</t>
    <rPh sb="2" eb="4">
      <t>ルイケイ</t>
    </rPh>
    <rPh sb="4" eb="6">
      <t>ヘイキン</t>
    </rPh>
    <phoneticPr fontId="5"/>
  </si>
  <si>
    <t>コイルフィード段取り（型交換を含む）</t>
    <rPh sb="7" eb="9">
      <t>ダンド</t>
    </rPh>
    <rPh sb="11" eb="12">
      <t>カタ</t>
    </rPh>
    <rPh sb="12" eb="14">
      <t>コウカン</t>
    </rPh>
    <rPh sb="15" eb="16">
      <t>フク</t>
    </rPh>
    <phoneticPr fontId="5"/>
  </si>
  <si>
    <t>段取りデータセット</t>
    <rPh sb="0" eb="2">
      <t>ダンド</t>
    </rPh>
    <phoneticPr fontId="5"/>
  </si>
  <si>
    <t>人員（母材の３直人員はBL２直にカウントする）</t>
    <rPh sb="0" eb="2">
      <t>ジンイン</t>
    </rPh>
    <rPh sb="3" eb="5">
      <t>ボザイ</t>
    </rPh>
    <rPh sb="7" eb="8">
      <t>チョク</t>
    </rPh>
    <rPh sb="8" eb="10">
      <t>ジンイン</t>
    </rPh>
    <rPh sb="14" eb="15">
      <t>チョク</t>
    </rPh>
    <phoneticPr fontId="5"/>
  </si>
  <si>
    <t>Accumulated AV.Strokes/Day (Actual)</t>
  </si>
  <si>
    <t>Work (Operation) Time/Day (hours）</t>
  </si>
  <si>
    <t>No of Change Over (Set up)/day</t>
  </si>
  <si>
    <t>Required No of Change over (Set up) /day</t>
  </si>
  <si>
    <t>Equipment</t>
  </si>
  <si>
    <t>Waiting</t>
  </si>
  <si>
    <t>Accumulated 
ＧＳＰＨ
（Virtual）</t>
    <phoneticPr fontId="5"/>
  </si>
  <si>
    <t>（除く停止時間）</t>
    <rPh sb="1" eb="2">
      <t>ノゾ</t>
    </rPh>
    <rPh sb="3" eb="5">
      <t>テイシ</t>
    </rPh>
    <rPh sb="5" eb="7">
      <t>ジカン</t>
    </rPh>
    <phoneticPr fontId="5"/>
  </si>
  <si>
    <t>AVG GSPH(Month)</t>
    <phoneticPr fontId="5"/>
  </si>
  <si>
    <t>KGS</t>
  </si>
  <si>
    <t>F.G (Kgs)</t>
  </si>
  <si>
    <t>【TOPIX】</t>
    <phoneticPr fontId="2"/>
  </si>
  <si>
    <t>Line pass wgt (Kgs)</t>
  </si>
  <si>
    <t>Kgs</t>
  </si>
  <si>
    <t>インドＴＴSS　　SQ</t>
  </si>
  <si>
    <t xml:space="preserve">Kgs </t>
  </si>
  <si>
    <t>Actual  Prod. hrs (A)</t>
  </si>
  <si>
    <t>(A-B)</t>
  </si>
  <si>
    <t>Brk down time  (B)</t>
  </si>
  <si>
    <t>Actual prod hrs</t>
  </si>
  <si>
    <t>TEAM A</t>
  </si>
  <si>
    <t>TEAM B</t>
  </si>
  <si>
    <t>TEAM C</t>
  </si>
  <si>
    <t>ACTUAL GSPH</t>
  </si>
  <si>
    <t>TEAM  A</t>
  </si>
  <si>
    <t>２０20/</t>
  </si>
  <si>
    <t>２０20　TTSS  SQ　Production status (Internal)</t>
  </si>
  <si>
    <t>２０20  TTSS  SQ Production status (Internal)</t>
  </si>
  <si>
    <t>２０20  TTSS  SQ　Production status (Internal)</t>
  </si>
  <si>
    <t>２０20　 TTSS SQ Production status (Internal)</t>
  </si>
  <si>
    <t>2019-20</t>
  </si>
  <si>
    <t xml:space="preserve">YEILD </t>
  </si>
  <si>
    <t>YEILD</t>
  </si>
  <si>
    <t>FG MT</t>
  </si>
  <si>
    <t>FG IN MT</t>
  </si>
  <si>
    <t>PROCESS TIME  HRS</t>
  </si>
  <si>
    <t>MT / HR</t>
  </si>
  <si>
    <t>MAN HR /MT</t>
  </si>
  <si>
    <t># OF TMS</t>
  </si>
  <si>
    <t>F.G (kgs)</t>
  </si>
  <si>
    <t>BD</t>
  </si>
  <si>
    <t>F.G ( kg)</t>
  </si>
  <si>
    <t>Team A</t>
  </si>
  <si>
    <t>Team B</t>
  </si>
  <si>
    <t>Team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</si>
</sst>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[$-409]d/mmm;@"/>
    <numFmt numFmtId="166" formatCode="[$-409]d\-mmm\-yyyy;@"/>
    <numFmt numFmtId="167" formatCode="d/m/yyyy;@"/>
    <numFmt numFmtId="168" formatCode="[$-409]d\-mmm;@"/>
    <numFmt numFmtId="169" formatCode="#,##0_ "/>
    <numFmt numFmtId="170" formatCode="0_ "/>
    <numFmt numFmtId="171" formatCode="#,##0.0_ ;[Red]\-#,##0.0\ "/>
    <numFmt numFmtId="172" formatCode="0.0%"/>
    <numFmt numFmtId="173" formatCode="0.0_ "/>
    <numFmt numFmtId="174" formatCode="#,##0.0;[Red]\-#,##0.0"/>
    <numFmt numFmtId="175" formatCode="0.00_);[Red]\(0.00\)"/>
    <numFmt numFmtId="176" formatCode="0.0_);[Red]\(0.0\)"/>
    <numFmt numFmtId="177" formatCode="0_);[Red]\(0\)"/>
    <numFmt numFmtId="178" formatCode="0.00_ "/>
    <numFmt numFmtId="179" formatCode="[$-409]mmm\-yy;@"/>
    <numFmt numFmtId="180" formatCode="#,###"/>
    <numFmt numFmtId="181" formatCode="0_)"/>
    <numFmt numFmtId="182" formatCode="0.0000;&quot;▲ &quot;0.0000"/>
    <numFmt numFmtId="183" formatCode="&quot;¥&quot;#,##0;[Red]&quot;¥&quot;\-#,##0"/>
    <numFmt numFmtId="184" formatCode="&quot;¥&quot;#,##0.00;[Red]&quot;¥&quot;\-#,##0.00"/>
    <numFmt numFmtId="185" formatCode="0.00;[Red]0.00"/>
  </numFmts>
  <fonts count="8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1"/>
      <name val="ＭＳ Ｐゴシック"/>
    </font>
    <font>
      <sz val="11"/>
      <name val="Calibri"/>
      <family val="2"/>
      <scheme val="minor"/>
    </font>
    <font>
      <sz val="11"/>
      <name val="ＭＳ Ｐゴシック"/>
      <family val="2"/>
    </font>
    <font>
      <b/>
      <sz val="20"/>
      <name val="ＭＳ Ｐゴシック"/>
      <family val="2"/>
    </font>
    <font>
      <sz val="20"/>
      <name val="ＭＳ Ｐゴシック"/>
      <family val="2"/>
    </font>
    <font>
      <b/>
      <sz val="24"/>
      <name val="Arial"/>
      <family val="2"/>
    </font>
    <font>
      <b/>
      <sz val="14"/>
      <name val="ＭＳ Ｐゴシック"/>
      <family val="2"/>
    </font>
    <font>
      <sz val="10"/>
      <name val="ＭＳ Ｐゴシック"/>
      <family val="2"/>
    </font>
    <font>
      <b/>
      <sz val="18"/>
      <name val="ＭＳ Ｐゴシック"/>
      <family val="2"/>
    </font>
    <font>
      <b/>
      <sz val="16"/>
      <name val="ＭＳ Ｐゴシック"/>
      <family val="2"/>
    </font>
    <font>
      <b/>
      <sz val="12"/>
      <name val="ＭＳ Ｐゴシック"/>
      <family val="2"/>
    </font>
    <font>
      <b/>
      <sz val="14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3"/>
      <name val="ＭＳ Ｐゴシック"/>
      <family val="2"/>
    </font>
    <font>
      <b/>
      <sz val="18"/>
      <name val="Arial"/>
      <family val="2"/>
    </font>
    <font>
      <sz val="11"/>
      <name val="Arial"/>
      <family val="2"/>
    </font>
    <font>
      <sz val="9"/>
      <name val="ＭＳ Ｐゴシック"/>
      <family val="2"/>
    </font>
    <font>
      <sz val="16"/>
      <name val="ＭＳ Ｐゴシック"/>
      <family val="2"/>
    </font>
    <font>
      <sz val="10"/>
      <color rgb="FFFF0000"/>
      <name val="ＭＳ Ｐゴシック"/>
      <family val="2"/>
    </font>
    <font>
      <sz val="12"/>
      <name val="ＭＳ Ｐゴシック"/>
      <family val="2"/>
    </font>
    <font>
      <sz val="10"/>
      <color rgb="FF00B050"/>
      <name val="ＭＳ Ｐゴシック"/>
      <family val="2"/>
    </font>
    <font>
      <sz val="11"/>
      <color rgb="FFFF0000"/>
      <name val="ＭＳ Ｐゴシック"/>
      <family val="2"/>
    </font>
    <font>
      <sz val="10"/>
      <color rgb="FFFF0000"/>
      <name val="ＭＳ Ｐゴシック"/>
    </font>
    <font>
      <b/>
      <sz val="10"/>
      <name val="ＭＳ Ｐゴシック"/>
      <family val="2"/>
    </font>
    <font>
      <sz val="10"/>
      <color rgb="FF00B050"/>
      <name val="ＭＳ Ｐゴシック"/>
    </font>
    <font>
      <sz val="10"/>
      <name val="ＭＳ Ｐゴシック"/>
    </font>
    <font>
      <sz val="11"/>
      <color rgb="FF00B050"/>
      <name val="ＭＳ Ｐゴシック"/>
      <family val="2"/>
    </font>
    <font>
      <b/>
      <sz val="10"/>
      <name val="Arial"/>
      <family val="2"/>
    </font>
    <font>
      <sz val="10"/>
      <color rgb="FF000000"/>
      <name val="ＭＳ Ｐゴシック"/>
      <family val="2"/>
    </font>
    <font>
      <sz val="8"/>
      <name val="ＭＳ Ｐゴシック"/>
      <family val="2"/>
    </font>
    <font>
      <b/>
      <sz val="11"/>
      <name val="ＭＳ Ｐゴシック"/>
      <family val="2"/>
    </font>
    <font>
      <b/>
      <sz val="9"/>
      <name val="ＭＳ Ｐゴシック"/>
      <family val="2"/>
    </font>
    <font>
      <sz val="9"/>
      <color rgb="FFFF0000"/>
      <name val="ＭＳ Ｐゴシック"/>
      <family val="2"/>
    </font>
    <font>
      <sz val="8"/>
      <color rgb="FFFF0000"/>
      <name val="ＭＳ Ｐゴシック"/>
      <family val="2"/>
    </font>
    <font>
      <sz val="8"/>
      <color indexed="10"/>
      <name val="ＭＳ Ｐゴシック"/>
      <family val="2"/>
    </font>
    <font>
      <sz val="11"/>
      <color indexed="10"/>
      <name val="ＭＳ Ｐゴシック"/>
      <family val="2"/>
    </font>
    <font>
      <sz val="11"/>
      <color indexed="12"/>
      <name val="ＭＳ Ｐゴシック"/>
      <family val="2"/>
    </font>
    <font>
      <sz val="12"/>
      <name val="Times New Roman"/>
      <family val="1"/>
    </font>
    <font>
      <sz val="12"/>
      <color indexed="8"/>
      <name val="新細明體"/>
      <family val="1"/>
    </font>
    <font>
      <sz val="10"/>
      <name val="ｲﾓｩ愰 "/>
      <family val="3"/>
      <charset val="128"/>
    </font>
    <font>
      <sz val="11"/>
      <name val="?"/>
      <family val="3"/>
      <charset val="128"/>
    </font>
    <font>
      <sz val="10"/>
      <name val="2OcuA "/>
      <family val="1"/>
    </font>
    <font>
      <sz val="11"/>
      <color indexed="8"/>
      <name val="ＭＳ Ｐゴシック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2"/>
    </font>
    <font>
      <sz val="10"/>
      <name val="Arial"/>
      <family val="2"/>
    </font>
    <font>
      <sz val="10"/>
      <name val="Courier"/>
      <family val="3"/>
    </font>
    <font>
      <sz val="8"/>
      <name val="Arial"/>
      <family val="2"/>
    </font>
    <font>
      <sz val="10"/>
      <name val="MS Sans Serif"/>
      <family val="2"/>
    </font>
    <font>
      <b/>
      <sz val="9"/>
      <color indexed="9"/>
      <name val="ＭＳ 明朝"/>
      <family val="3"/>
      <charset val="128"/>
    </font>
    <font>
      <sz val="9"/>
      <name val="ＭＳ 明朝"/>
      <family val="3"/>
      <charset val="128"/>
    </font>
    <font>
      <sz val="10"/>
      <name val="中ゴシックＢＢＢ－等幅"/>
      <family val="3"/>
      <charset val="128"/>
    </font>
    <font>
      <b/>
      <sz val="18"/>
      <color indexed="56"/>
      <name val="ＭＳ Ｐゴシック"/>
      <family val="2"/>
    </font>
    <font>
      <b/>
      <sz val="11"/>
      <color indexed="9"/>
      <name val="ＭＳ Ｐゴシック"/>
      <family val="2"/>
    </font>
    <font>
      <sz val="11"/>
      <color indexed="60"/>
      <name val="ＭＳ Ｐゴシック"/>
      <family val="2"/>
    </font>
    <font>
      <sz val="11"/>
      <color indexed="52"/>
      <name val="ＭＳ Ｐゴシック"/>
      <family val="2"/>
    </font>
    <font>
      <sz val="11"/>
      <name val="?? ?????"/>
      <family val="3"/>
    </font>
    <font>
      <b/>
      <sz val="9"/>
      <name val="ＭＳ 明朝"/>
      <family val="3"/>
      <charset val="128"/>
    </font>
    <font>
      <sz val="11"/>
      <color indexed="62"/>
      <name val="ＭＳ Ｐゴシック"/>
      <family val="2"/>
    </font>
    <font>
      <b/>
      <sz val="11"/>
      <color indexed="63"/>
      <name val="ＭＳ Ｐゴシック"/>
      <family val="2"/>
    </font>
    <font>
      <sz val="11"/>
      <color indexed="20"/>
      <name val="ＭＳ Ｐゴシック"/>
      <family val="2"/>
    </font>
    <font>
      <sz val="8"/>
      <name val="ＭＳ 明朝"/>
      <family val="3"/>
      <charset val="128"/>
    </font>
    <font>
      <sz val="11"/>
      <color indexed="17"/>
      <name val="ＭＳ Ｐゴシック"/>
      <family val="2"/>
    </font>
    <font>
      <b/>
      <sz val="15"/>
      <color indexed="56"/>
      <name val="ＭＳ Ｐゴシック"/>
      <family val="2"/>
    </font>
    <font>
      <b/>
      <sz val="13"/>
      <color indexed="56"/>
      <name val="ＭＳ Ｐゴシック"/>
      <family val="2"/>
    </font>
    <font>
      <b/>
      <sz val="11"/>
      <color indexed="56"/>
      <name val="ＭＳ Ｐゴシック"/>
      <family val="2"/>
    </font>
    <font>
      <b/>
      <sz val="11"/>
      <color indexed="52"/>
      <name val="ＭＳ Ｐゴシック"/>
      <family val="2"/>
    </font>
    <font>
      <i/>
      <sz val="11"/>
      <color indexed="23"/>
      <name val="ＭＳ Ｐゴシック"/>
      <family val="2"/>
    </font>
    <font>
      <b/>
      <sz val="11"/>
      <color indexed="8"/>
      <name val="ＭＳ Ｐゴシック"/>
      <family val="2"/>
    </font>
    <font>
      <sz val="11"/>
      <name val="ＭＳ Ｐゴシック"/>
      <family val="3"/>
    </font>
    <font>
      <b/>
      <sz val="18"/>
      <name val="ＭＳ Ｐゴシック"/>
      <family val="3"/>
      <charset val="128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dotted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9">
    <xf numFmtId="0" fontId="0" fillId="0" borderId="0"/>
    <xf numFmtId="0" fontId="6" fillId="0" borderId="0"/>
    <xf numFmtId="38" fontId="6" fillId="0" borderId="0" applyFont="0" applyFill="0" applyBorder="0" applyAlignment="0" applyProtection="0"/>
    <xf numFmtId="0" fontId="6" fillId="0" borderId="0"/>
    <xf numFmtId="0" fontId="9" fillId="0" borderId="0"/>
    <xf numFmtId="0" fontId="9" fillId="0" borderId="0">
      <alignment vertical="center"/>
    </xf>
    <xf numFmtId="38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45" fillId="0" borderId="0"/>
    <xf numFmtId="180" fontId="46" fillId="0" borderId="0"/>
    <xf numFmtId="0" fontId="47" fillId="0" borderId="0"/>
    <xf numFmtId="43" fontId="45" fillId="0" borderId="0" applyFont="0" applyFill="0" applyBorder="0" applyAlignment="0" applyProtection="0"/>
    <xf numFmtId="41" fontId="45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48" fillId="0" borderId="0"/>
    <xf numFmtId="43" fontId="45" fillId="0" borderId="0" applyFont="0" applyFill="0" applyBorder="0" applyAlignment="0" applyProtection="0"/>
    <xf numFmtId="41" fontId="45" fillId="0" borderId="0" applyFont="0" applyFill="0" applyBorder="0" applyAlignment="0" applyProtection="0"/>
    <xf numFmtId="0" fontId="45" fillId="0" borderId="0"/>
    <xf numFmtId="0" fontId="49" fillId="0" borderId="0"/>
    <xf numFmtId="0" fontId="45" fillId="0" borderId="0"/>
    <xf numFmtId="0" fontId="49" fillId="0" borderId="0"/>
    <xf numFmtId="43" fontId="45" fillId="0" borderId="0" applyFont="0" applyFill="0" applyBorder="0" applyAlignment="0" applyProtection="0"/>
    <xf numFmtId="41" fontId="45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5" fillId="0" borderId="0" applyFont="0" applyFill="0" applyBorder="0" applyAlignment="0" applyProtection="0"/>
    <xf numFmtId="41" fontId="45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50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42" fontId="45" fillId="0" borderId="0" applyFont="0" applyFill="0" applyBorder="0" applyAlignment="0" applyProtection="0"/>
    <xf numFmtId="42" fontId="45" fillId="0" borderId="0" applyFont="0" applyFill="0" applyBorder="0" applyAlignment="0" applyProtection="0"/>
    <xf numFmtId="44" fontId="45" fillId="0" borderId="0" applyFont="0" applyFill="0" applyBorder="0" applyAlignment="0" applyProtection="0"/>
    <xf numFmtId="0" fontId="50" fillId="24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1" fillId="0" borderId="0"/>
    <xf numFmtId="0" fontId="52" fillId="28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6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0" fontId="52" fillId="30" borderId="0" applyNumberFormat="0" applyBorder="0" applyAlignment="0" applyProtection="0">
      <alignment vertical="center"/>
    </xf>
    <xf numFmtId="0" fontId="52" fillId="31" borderId="0" applyNumberFormat="0" applyBorder="0" applyAlignment="0" applyProtection="0">
      <alignment vertical="center"/>
    </xf>
    <xf numFmtId="3" fontId="53" fillId="0" borderId="0" applyFont="0" applyFill="0" applyBorder="0" applyAlignment="0" applyProtection="0">
      <alignment vertical="top"/>
    </xf>
    <xf numFmtId="5" fontId="53" fillId="0" borderId="0" applyFont="0" applyFill="0" applyBorder="0" applyAlignment="0" applyProtection="0">
      <alignment vertical="top"/>
    </xf>
    <xf numFmtId="0" fontId="53" fillId="0" borderId="0" applyFont="0" applyFill="0" applyBorder="0" applyAlignment="0" applyProtection="0">
      <alignment vertical="top"/>
    </xf>
    <xf numFmtId="181" fontId="54" fillId="0" borderId="0"/>
    <xf numFmtId="2" fontId="53" fillId="0" borderId="0" applyFont="0" applyFill="0" applyBorder="0" applyAlignment="0" applyProtection="0">
      <alignment vertical="top"/>
    </xf>
    <xf numFmtId="38" fontId="55" fillId="32" borderId="0" applyNumberFormat="0" applyBorder="0" applyAlignment="0" applyProtection="0"/>
    <xf numFmtId="10" fontId="55" fillId="33" borderId="1" applyNumberFormat="0" applyBorder="0" applyAlignment="0" applyProtection="0"/>
    <xf numFmtId="38" fontId="56" fillId="0" borderId="0" applyFont="0" applyFill="0" applyBorder="0" applyAlignment="0" applyProtection="0"/>
    <xf numFmtId="40" fontId="56" fillId="0" borderId="0" applyFont="0" applyFill="0" applyBorder="0" applyAlignment="0" applyProtection="0"/>
    <xf numFmtId="6" fontId="56" fillId="0" borderId="0" applyFont="0" applyFill="0" applyBorder="0" applyAlignment="0" applyProtection="0"/>
    <xf numFmtId="8" fontId="56" fillId="0" borderId="0" applyFont="0" applyFill="0" applyBorder="0" applyAlignment="0" applyProtection="0"/>
    <xf numFmtId="0" fontId="57" fillId="34" borderId="66" applyNumberFormat="0" applyBorder="0" applyAlignment="0">
      <alignment vertical="top"/>
    </xf>
    <xf numFmtId="182" fontId="46" fillId="0" borderId="0"/>
    <xf numFmtId="0" fontId="58" fillId="32" borderId="66" applyNumberFormat="0" applyBorder="0" applyAlignment="0">
      <alignment vertical="top"/>
    </xf>
    <xf numFmtId="10" fontId="53" fillId="0" borderId="0" applyFont="0" applyFill="0" applyBorder="0" applyAlignment="0" applyProtection="0"/>
    <xf numFmtId="0" fontId="58" fillId="0" borderId="66" applyNumberFormat="0" applyBorder="0" applyAlignment="0">
      <alignment vertical="top"/>
    </xf>
    <xf numFmtId="164" fontId="59" fillId="0" borderId="67" applyNumberFormat="0" applyFont="0" applyFill="0" applyBorder="0" applyAlignment="0"/>
    <xf numFmtId="0" fontId="58" fillId="0" borderId="66" applyNumberFormat="0" applyAlignment="0"/>
    <xf numFmtId="0" fontId="58" fillId="32" borderId="66" applyNumberFormat="0"/>
    <xf numFmtId="0" fontId="52" fillId="35" borderId="0" applyNumberFormat="0" applyBorder="0" applyAlignment="0" applyProtection="0">
      <alignment vertical="center"/>
    </xf>
    <xf numFmtId="0" fontId="52" fillId="36" borderId="0" applyNumberFormat="0" applyBorder="0" applyAlignment="0" applyProtection="0">
      <alignment vertical="center"/>
    </xf>
    <xf numFmtId="0" fontId="52" fillId="37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0" fontId="52" fillId="30" borderId="0" applyNumberFormat="0" applyBorder="0" applyAlignment="0" applyProtection="0">
      <alignment vertical="center"/>
    </xf>
    <xf numFmtId="0" fontId="52" fillId="38" borderId="0" applyNumberFormat="0" applyBorder="0" applyAlignment="0" applyProtection="0">
      <alignment vertical="center"/>
    </xf>
    <xf numFmtId="42" fontId="45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47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center"/>
    </xf>
    <xf numFmtId="0" fontId="61" fillId="39" borderId="68" applyNumberFormat="0" applyAlignment="0" applyProtection="0">
      <alignment vertical="center"/>
    </xf>
    <xf numFmtId="0" fontId="62" fillId="40" borderId="0" applyNumberFormat="0" applyBorder="0" applyAlignment="0" applyProtection="0">
      <alignment vertical="center"/>
    </xf>
    <xf numFmtId="0" fontId="9" fillId="41" borderId="69" applyNumberFormat="0" applyFont="0" applyAlignment="0" applyProtection="0">
      <alignment vertical="center"/>
    </xf>
    <xf numFmtId="0" fontId="63" fillId="0" borderId="70" applyNumberFormat="0" applyFill="0" applyAlignment="0" applyProtection="0">
      <alignment vertical="center"/>
    </xf>
    <xf numFmtId="44" fontId="45" fillId="0" borderId="0" applyFont="0" applyFill="0" applyBorder="0" applyAlignment="0" applyProtection="0"/>
    <xf numFmtId="42" fontId="45" fillId="0" borderId="0" applyFont="0" applyFill="0" applyBorder="0" applyAlignment="0" applyProtection="0"/>
    <xf numFmtId="0" fontId="64" fillId="0" borderId="0"/>
    <xf numFmtId="0" fontId="65" fillId="42" borderId="66" applyNumberFormat="0" applyAlignment="0"/>
    <xf numFmtId="0" fontId="66" fillId="23" borderId="71" applyNumberFormat="0" applyAlignment="0" applyProtection="0">
      <alignment vertical="center"/>
    </xf>
    <xf numFmtId="0" fontId="67" fillId="43" borderId="72" applyNumberFormat="0" applyAlignment="0" applyProtection="0">
      <alignment vertical="center"/>
    </xf>
    <xf numFmtId="38" fontId="64" fillId="0" borderId="0" applyFont="0" applyFill="0" applyBorder="0" applyAlignment="0" applyProtection="0"/>
    <xf numFmtId="40" fontId="64" fillId="0" borderId="0" applyFont="0" applyFill="0" applyBorder="0" applyAlignment="0" applyProtection="0"/>
    <xf numFmtId="0" fontId="58" fillId="32" borderId="66" applyNumberFormat="0" applyAlignment="0"/>
    <xf numFmtId="0" fontId="68" fillId="19" borderId="0" applyNumberFormat="0" applyBorder="0" applyAlignment="0" applyProtection="0">
      <alignment vertical="center"/>
    </xf>
    <xf numFmtId="43" fontId="45" fillId="0" borderId="0" applyFont="0" applyFill="0" applyBorder="0" applyAlignment="0" applyProtection="0"/>
    <xf numFmtId="41" fontId="45" fillId="0" borderId="0" applyFont="0" applyFill="0" applyBorder="0" applyAlignment="0" applyProtection="0"/>
    <xf numFmtId="0" fontId="69" fillId="0" borderId="0"/>
    <xf numFmtId="44" fontId="45" fillId="0" borderId="0" applyFont="0" applyFill="0" applyBorder="0" applyAlignment="0" applyProtection="0"/>
    <xf numFmtId="42" fontId="45" fillId="0" borderId="0" applyFont="0" applyFill="0" applyBorder="0" applyAlignment="0" applyProtection="0"/>
    <xf numFmtId="0" fontId="70" fillId="20" borderId="0" applyNumberFormat="0" applyBorder="0" applyAlignment="0" applyProtection="0">
      <alignment vertical="center"/>
    </xf>
    <xf numFmtId="0" fontId="71" fillId="0" borderId="73" applyNumberFormat="0" applyFill="0" applyAlignment="0" applyProtection="0">
      <alignment vertical="center"/>
    </xf>
    <xf numFmtId="0" fontId="72" fillId="0" borderId="74" applyNumberFormat="0" applyFill="0" applyAlignment="0" applyProtection="0">
      <alignment vertical="center"/>
    </xf>
    <xf numFmtId="0" fontId="73" fillId="0" borderId="75" applyNumberFormat="0" applyFill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43" borderId="71" applyNumberFormat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183" fontId="64" fillId="0" borderId="0" applyFont="0" applyFill="0" applyBorder="0" applyAlignment="0" applyProtection="0"/>
    <xf numFmtId="184" fontId="64" fillId="0" borderId="0" applyFont="0" applyFill="0" applyBorder="0" applyAlignment="0" applyProtection="0"/>
    <xf numFmtId="0" fontId="76" fillId="0" borderId="76" applyNumberFormat="0" applyFill="0" applyAlignment="0" applyProtection="0">
      <alignment vertical="center"/>
    </xf>
    <xf numFmtId="9" fontId="79" fillId="0" borderId="0" applyFont="0" applyFill="0" applyBorder="0" applyAlignment="0" applyProtection="0"/>
  </cellStyleXfs>
  <cellXfs count="628">
    <xf numFmtId="0" fontId="0" fillId="0" borderId="0" xfId="0"/>
    <xf numFmtId="0" fontId="0" fillId="0" borderId="0" xfId="0" applyAlignment="1">
      <alignment horizontal="center"/>
    </xf>
    <xf numFmtId="0" fontId="1" fillId="0" borderId="5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" fontId="0" fillId="3" borderId="16" xfId="0" applyNumberForma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1" fontId="0" fillId="0" borderId="0" xfId="0" applyNumberFormat="1"/>
    <xf numFmtId="0" fontId="2" fillId="0" borderId="9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0" fillId="0" borderId="0" xfId="4" applyFont="1" applyAlignment="1">
      <alignment horizontal="left" vertical="center" shrinkToFit="1"/>
    </xf>
    <xf numFmtId="0" fontId="10" fillId="0" borderId="0" xfId="4" applyFont="1" applyAlignment="1">
      <alignment vertical="center" shrinkToFit="1"/>
    </xf>
    <xf numFmtId="0" fontId="9" fillId="0" borderId="0" xfId="4"/>
    <xf numFmtId="0" fontId="12" fillId="0" borderId="0" xfId="4" applyFont="1" applyAlignment="1">
      <alignment horizontal="left" vertical="center" shrinkToFit="1"/>
    </xf>
    <xf numFmtId="0" fontId="13" fillId="0" borderId="0" xfId="4" applyFont="1" applyAlignment="1"/>
    <xf numFmtId="0" fontId="14" fillId="0" borderId="0" xfId="4" applyFont="1" applyAlignment="1">
      <alignment horizontal="left" vertical="center"/>
    </xf>
    <xf numFmtId="167" fontId="15" fillId="0" borderId="0" xfId="4" applyNumberFormat="1" applyFont="1" applyAlignment="1"/>
    <xf numFmtId="0" fontId="16" fillId="0" borderId="0" xfId="4" applyFont="1" applyAlignment="1"/>
    <xf numFmtId="0" fontId="17" fillId="0" borderId="0" xfId="4" applyFont="1" applyAlignment="1"/>
    <xf numFmtId="16" fontId="9" fillId="0" borderId="0" xfId="4" applyNumberFormat="1"/>
    <xf numFmtId="0" fontId="19" fillId="0" borderId="0" xfId="4" applyFont="1" applyAlignment="1"/>
    <xf numFmtId="0" fontId="20" fillId="0" borderId="0" xfId="4" applyFont="1" applyAlignment="1"/>
    <xf numFmtId="0" fontId="21" fillId="0" borderId="0" xfId="4" applyFont="1" applyAlignment="1"/>
    <xf numFmtId="0" fontId="22" fillId="0" borderId="0" xfId="4" applyFont="1" applyAlignment="1"/>
    <xf numFmtId="0" fontId="23" fillId="0" borderId="0" xfId="4" applyFont="1" applyAlignment="1"/>
    <xf numFmtId="0" fontId="24" fillId="0" borderId="0" xfId="4" applyFont="1"/>
    <xf numFmtId="0" fontId="9" fillId="0" borderId="0" xfId="4" applyFont="1" applyBorder="1" applyAlignment="1">
      <alignment horizontal="center"/>
    </xf>
    <xf numFmtId="0" fontId="9" fillId="0" borderId="0" xfId="4" applyBorder="1" applyAlignment="1">
      <alignment horizontal="center"/>
    </xf>
    <xf numFmtId="0" fontId="14" fillId="0" borderId="0" xfId="4" applyFont="1" applyBorder="1" applyAlignment="1"/>
    <xf numFmtId="0" fontId="9" fillId="0" borderId="0" xfId="4" applyBorder="1"/>
    <xf numFmtId="0" fontId="0" fillId="0" borderId="0" xfId="4" applyFont="1" applyBorder="1" applyAlignment="1">
      <alignment horizontal="right"/>
    </xf>
    <xf numFmtId="0" fontId="9" fillId="0" borderId="0" xfId="4" applyFont="1" applyBorder="1" applyAlignment="1"/>
    <xf numFmtId="0" fontId="25" fillId="0" borderId="0" xfId="4" applyFont="1" applyAlignment="1"/>
    <xf numFmtId="0" fontId="0" fillId="0" borderId="0" xfId="4" applyFont="1" applyBorder="1" applyAlignment="1">
      <alignment horizontal="center"/>
    </xf>
    <xf numFmtId="0" fontId="14" fillId="0" borderId="0" xfId="4" applyFont="1" applyBorder="1" applyAlignment="1">
      <alignment horizontal="center"/>
    </xf>
    <xf numFmtId="0" fontId="24" fillId="0" borderId="0" xfId="4" applyFont="1" applyBorder="1" applyAlignment="1">
      <alignment horizontal="center"/>
    </xf>
    <xf numFmtId="0" fontId="24" fillId="0" borderId="0" xfId="4" applyFont="1" applyBorder="1"/>
    <xf numFmtId="0" fontId="14" fillId="0" borderId="0" xfId="4" applyFont="1" applyBorder="1"/>
    <xf numFmtId="0" fontId="14" fillId="0" borderId="0" xfId="4" applyFont="1" applyBorder="1" applyAlignment="1">
      <alignment horizontal="right"/>
    </xf>
    <xf numFmtId="0" fontId="14" fillId="0" borderId="0" xfId="4" applyFont="1" applyBorder="1" applyAlignment="1">
      <alignment vertical="center"/>
    </xf>
    <xf numFmtId="168" fontId="14" fillId="0" borderId="0" xfId="4" applyNumberFormat="1" applyFont="1" applyBorder="1"/>
    <xf numFmtId="14" fontId="14" fillId="0" borderId="0" xfId="4" applyNumberFormat="1" applyFont="1" applyBorder="1" applyAlignment="1">
      <alignment horizontal="center" vertical="center"/>
    </xf>
    <xf numFmtId="0" fontId="14" fillId="0" borderId="0" xfId="4" applyFont="1" applyFill="1" applyBorder="1" applyAlignment="1">
      <alignment vertical="center"/>
    </xf>
    <xf numFmtId="0" fontId="26" fillId="0" borderId="0" xfId="4" applyFont="1" applyBorder="1"/>
    <xf numFmtId="168" fontId="14" fillId="0" borderId="0" xfId="4" applyNumberFormat="1" applyFont="1" applyBorder="1" applyAlignment="1">
      <alignment vertical="center"/>
    </xf>
    <xf numFmtId="0" fontId="14" fillId="0" borderId="0" xfId="4" applyFont="1" applyFill="1" applyBorder="1"/>
    <xf numFmtId="0" fontId="22" fillId="0" borderId="0" xfId="4" applyFont="1" applyAlignment="1">
      <alignment horizontal="left"/>
    </xf>
    <xf numFmtId="0" fontId="14" fillId="0" borderId="29" xfId="4" applyFont="1" applyBorder="1"/>
    <xf numFmtId="0" fontId="14" fillId="0" borderId="30" xfId="4" applyFont="1" applyBorder="1"/>
    <xf numFmtId="0" fontId="14" fillId="0" borderId="33" xfId="4" applyFont="1" applyBorder="1"/>
    <xf numFmtId="0" fontId="9" fillId="0" borderId="33" xfId="4" applyBorder="1"/>
    <xf numFmtId="0" fontId="14" fillId="0" borderId="33" xfId="4" applyFont="1" applyBorder="1" applyAlignment="1">
      <alignment vertical="center"/>
    </xf>
    <xf numFmtId="168" fontId="14" fillId="0" borderId="33" xfId="4" applyNumberFormat="1" applyFont="1" applyBorder="1"/>
    <xf numFmtId="14" fontId="14" fillId="0" borderId="33" xfId="4" applyNumberFormat="1" applyFont="1" applyBorder="1" applyAlignment="1">
      <alignment horizontal="center" vertical="center"/>
    </xf>
    <xf numFmtId="0" fontId="14" fillId="0" borderId="33" xfId="4" applyFont="1" applyFill="1" applyBorder="1" applyAlignment="1">
      <alignment vertical="center"/>
    </xf>
    <xf numFmtId="0" fontId="14" fillId="0" borderId="34" xfId="4" applyFont="1" applyBorder="1"/>
    <xf numFmtId="0" fontId="14" fillId="0" borderId="2" xfId="4" applyFont="1" applyBorder="1" applyAlignment="1">
      <alignment horizontal="center"/>
    </xf>
    <xf numFmtId="0" fontId="14" fillId="0" borderId="35" xfId="4" applyFont="1" applyBorder="1" applyAlignment="1">
      <alignment horizontal="center"/>
    </xf>
    <xf numFmtId="0" fontId="14" fillId="0" borderId="28" xfId="4" applyFont="1" applyBorder="1" applyAlignment="1">
      <alignment horizontal="center"/>
    </xf>
    <xf numFmtId="0" fontId="14" fillId="0" borderId="36" xfId="4" applyFont="1" applyBorder="1" applyAlignment="1">
      <alignment horizontal="center"/>
    </xf>
    <xf numFmtId="0" fontId="14" fillId="0" borderId="20" xfId="4" applyFont="1" applyBorder="1" applyAlignment="1">
      <alignment horizontal="center"/>
    </xf>
    <xf numFmtId="0" fontId="9" fillId="0" borderId="28" xfId="4" applyBorder="1"/>
    <xf numFmtId="0" fontId="14" fillId="0" borderId="28" xfId="4" applyFont="1" applyBorder="1" applyAlignment="1">
      <alignment vertical="center"/>
    </xf>
    <xf numFmtId="168" fontId="14" fillId="0" borderId="28" xfId="4" applyNumberFormat="1" applyFont="1" applyBorder="1" applyAlignment="1">
      <alignment vertical="center"/>
    </xf>
    <xf numFmtId="14" fontId="14" fillId="0" borderId="28" xfId="4" applyNumberFormat="1" applyFont="1" applyBorder="1" applyAlignment="1">
      <alignment horizontal="center" vertical="center"/>
    </xf>
    <xf numFmtId="0" fontId="14" fillId="0" borderId="28" xfId="4" applyFont="1" applyFill="1" applyBorder="1" applyAlignment="1">
      <alignment vertical="center"/>
    </xf>
    <xf numFmtId="0" fontId="28" fillId="0" borderId="28" xfId="4" applyFont="1" applyBorder="1" applyAlignment="1">
      <alignment vertical="center"/>
    </xf>
    <xf numFmtId="0" fontId="14" fillId="0" borderId="28" xfId="4" applyFont="1" applyBorder="1"/>
    <xf numFmtId="0" fontId="14" fillId="0" borderId="20" xfId="4" applyFont="1" applyBorder="1"/>
    <xf numFmtId="0" fontId="14" fillId="0" borderId="37" xfId="4" applyFont="1" applyBorder="1"/>
    <xf numFmtId="168" fontId="14" fillId="0" borderId="26" xfId="4" applyNumberFormat="1" applyFont="1" applyBorder="1" applyAlignment="1">
      <alignment horizontal="center"/>
    </xf>
    <xf numFmtId="0" fontId="14" fillId="0" borderId="38" xfId="4" applyFont="1" applyBorder="1" applyAlignment="1">
      <alignment horizontal="center"/>
    </xf>
    <xf numFmtId="0" fontId="14" fillId="0" borderId="0" xfId="4" applyFont="1"/>
    <xf numFmtId="0" fontId="14" fillId="0" borderId="39" xfId="4" applyFont="1" applyBorder="1"/>
    <xf numFmtId="0" fontId="14" fillId="0" borderId="27" xfId="4" applyFont="1" applyBorder="1"/>
    <xf numFmtId="0" fontId="0" fillId="0" borderId="0" xfId="4" applyFont="1"/>
    <xf numFmtId="0" fontId="14" fillId="0" borderId="40" xfId="4" applyFont="1" applyBorder="1"/>
    <xf numFmtId="0" fontId="9" fillId="0" borderId="41" xfId="4" applyBorder="1"/>
    <xf numFmtId="0" fontId="14" fillId="0" borderId="41" xfId="4" applyFont="1" applyBorder="1" applyAlignment="1">
      <alignment vertical="center"/>
    </xf>
    <xf numFmtId="168" fontId="14" fillId="0" borderId="41" xfId="4" applyNumberFormat="1" applyFont="1" applyBorder="1" applyAlignment="1">
      <alignment vertical="center"/>
    </xf>
    <xf numFmtId="14" fontId="14" fillId="0" borderId="41" xfId="4" applyNumberFormat="1" applyFont="1" applyBorder="1" applyAlignment="1">
      <alignment horizontal="center" vertical="center"/>
    </xf>
    <xf numFmtId="0" fontId="14" fillId="0" borderId="41" xfId="4" applyFont="1" applyFill="1" applyBorder="1" applyAlignment="1">
      <alignment vertical="center"/>
    </xf>
    <xf numFmtId="0" fontId="14" fillId="0" borderId="41" xfId="4" applyFont="1" applyBorder="1"/>
    <xf numFmtId="0" fontId="14" fillId="0" borderId="42" xfId="4" applyFont="1" applyBorder="1"/>
    <xf numFmtId="0" fontId="14" fillId="0" borderId="43" xfId="4" applyFont="1" applyBorder="1"/>
    <xf numFmtId="168" fontId="14" fillId="0" borderId="44" xfId="4" applyNumberFormat="1" applyFont="1" applyBorder="1"/>
    <xf numFmtId="0" fontId="14" fillId="0" borderId="45" xfId="4" applyFont="1" applyBorder="1" applyAlignment="1">
      <alignment horizontal="center"/>
    </xf>
    <xf numFmtId="0" fontId="14" fillId="0" borderId="46" xfId="4" applyFont="1" applyBorder="1"/>
    <xf numFmtId="0" fontId="14" fillId="0" borderId="47" xfId="4" applyFont="1" applyBorder="1"/>
    <xf numFmtId="0" fontId="14" fillId="0" borderId="48" xfId="4" applyFont="1" applyBorder="1"/>
    <xf numFmtId="0" fontId="9" fillId="0" borderId="48" xfId="4" applyBorder="1"/>
    <xf numFmtId="0" fontId="14" fillId="0" borderId="48" xfId="4" applyFont="1" applyBorder="1" applyAlignment="1">
      <alignment vertical="center"/>
    </xf>
    <xf numFmtId="168" fontId="14" fillId="0" borderId="48" xfId="4" applyNumberFormat="1" applyFont="1" applyBorder="1"/>
    <xf numFmtId="14" fontId="14" fillId="0" borderId="48" xfId="4" applyNumberFormat="1" applyFont="1" applyBorder="1" applyAlignment="1">
      <alignment horizontal="center" vertical="center"/>
    </xf>
    <xf numFmtId="0" fontId="14" fillId="0" borderId="48" xfId="4" applyFont="1" applyFill="1" applyBorder="1" applyAlignment="1">
      <alignment vertical="center"/>
    </xf>
    <xf numFmtId="168" fontId="14" fillId="0" borderId="48" xfId="4" applyNumberFormat="1" applyFont="1" applyBorder="1" applyAlignment="1">
      <alignment vertical="center"/>
    </xf>
    <xf numFmtId="0" fontId="28" fillId="0" borderId="0" xfId="4" applyFont="1"/>
    <xf numFmtId="0" fontId="26" fillId="0" borderId="0" xfId="4" applyFont="1"/>
    <xf numFmtId="0" fontId="28" fillId="0" borderId="48" xfId="4" applyFont="1" applyBorder="1" applyAlignment="1">
      <alignment vertical="center"/>
    </xf>
    <xf numFmtId="0" fontId="29" fillId="0" borderId="0" xfId="4" applyFont="1"/>
    <xf numFmtId="0" fontId="26" fillId="0" borderId="40" xfId="4" applyFont="1" applyBorder="1"/>
    <xf numFmtId="0" fontId="28" fillId="0" borderId="40" xfId="4" applyFont="1" applyBorder="1"/>
    <xf numFmtId="16" fontId="14" fillId="0" borderId="43" xfId="4" applyNumberFormat="1" applyFont="1" applyBorder="1"/>
    <xf numFmtId="0" fontId="26" fillId="0" borderId="48" xfId="4" applyFont="1" applyBorder="1"/>
    <xf numFmtId="16" fontId="14" fillId="0" borderId="48" xfId="4" applyNumberFormat="1" applyFont="1" applyBorder="1"/>
    <xf numFmtId="0" fontId="26" fillId="0" borderId="48" xfId="4" applyFont="1" applyBorder="1" applyAlignment="1">
      <alignment vertical="center"/>
    </xf>
    <xf numFmtId="0" fontId="14" fillId="0" borderId="48" xfId="4" applyFont="1" applyFill="1" applyBorder="1"/>
    <xf numFmtId="0" fontId="26" fillId="0" borderId="48" xfId="4" applyFont="1" applyFill="1" applyBorder="1" applyAlignment="1">
      <alignment vertical="center"/>
    </xf>
    <xf numFmtId="0" fontId="30" fillId="0" borderId="40" xfId="4" applyFont="1" applyBorder="1"/>
    <xf numFmtId="0" fontId="7" fillId="0" borderId="0" xfId="4" applyFont="1"/>
    <xf numFmtId="0" fontId="14" fillId="0" borderId="49" xfId="4" applyFont="1" applyBorder="1"/>
    <xf numFmtId="0" fontId="14" fillId="0" borderId="50" xfId="4" applyFont="1" applyBorder="1" applyAlignment="1">
      <alignment vertical="center"/>
    </xf>
    <xf numFmtId="14" fontId="14" fillId="0" borderId="51" xfId="4" applyNumberFormat="1" applyFont="1" applyBorder="1" applyAlignment="1">
      <alignment horizontal="center" vertical="center"/>
    </xf>
    <xf numFmtId="0" fontId="14" fillId="0" borderId="52" xfId="4" applyFont="1" applyFill="1" applyBorder="1" applyAlignment="1">
      <alignment vertical="center"/>
    </xf>
    <xf numFmtId="0" fontId="14" fillId="0" borderId="53" xfId="4" applyFont="1" applyFill="1" applyBorder="1" applyAlignment="1">
      <alignment vertical="center"/>
    </xf>
    <xf numFmtId="0" fontId="14" fillId="0" borderId="51" xfId="4" applyFont="1" applyFill="1" applyBorder="1" applyAlignment="1">
      <alignment vertical="center"/>
    </xf>
    <xf numFmtId="0" fontId="14" fillId="0" borderId="48" xfId="4" applyFont="1" applyBorder="1" applyAlignment="1">
      <alignment horizontal="center"/>
    </xf>
    <xf numFmtId="169" fontId="26" fillId="0" borderId="48" xfId="4" applyNumberFormat="1" applyFont="1" applyBorder="1"/>
    <xf numFmtId="169" fontId="14" fillId="0" borderId="48" xfId="4" applyNumberFormat="1" applyFont="1" applyBorder="1"/>
    <xf numFmtId="0" fontId="14" fillId="0" borderId="48" xfId="4" applyFont="1" applyFill="1" applyBorder="1" applyAlignment="1"/>
    <xf numFmtId="169" fontId="31" fillId="0" borderId="48" xfId="4" applyNumberFormat="1" applyFont="1" applyFill="1" applyBorder="1"/>
    <xf numFmtId="0" fontId="14" fillId="0" borderId="49" xfId="4" applyFont="1" applyBorder="1" applyAlignment="1">
      <alignment vertical="center"/>
    </xf>
    <xf numFmtId="168" fontId="14" fillId="0" borderId="43" xfId="4" applyNumberFormat="1" applyFont="1" applyBorder="1" applyAlignment="1">
      <alignment vertical="center"/>
    </xf>
    <xf numFmtId="14" fontId="14" fillId="0" borderId="45" xfId="4" applyNumberFormat="1" applyFont="1" applyBorder="1" applyAlignment="1">
      <alignment horizontal="center" vertical="center"/>
    </xf>
    <xf numFmtId="0" fontId="14" fillId="0" borderId="54" xfId="4" applyFont="1" applyFill="1" applyBorder="1" applyAlignment="1">
      <alignment vertical="center"/>
    </xf>
    <xf numFmtId="0" fontId="14" fillId="0" borderId="39" xfId="4" applyFont="1" applyFill="1" applyBorder="1" applyAlignment="1">
      <alignment vertical="center"/>
    </xf>
    <xf numFmtId="0" fontId="14" fillId="0" borderId="38" xfId="4" applyFont="1" applyFill="1" applyBorder="1" applyAlignment="1">
      <alignment vertical="center"/>
    </xf>
    <xf numFmtId="49" fontId="14" fillId="0" borderId="48" xfId="4" applyNumberFormat="1" applyFont="1" applyBorder="1" applyAlignment="1">
      <alignment horizontal="right"/>
    </xf>
    <xf numFmtId="0" fontId="14" fillId="0" borderId="44" xfId="4" applyFont="1" applyFill="1" applyBorder="1" applyAlignment="1">
      <alignment vertical="center"/>
    </xf>
    <xf numFmtId="0" fontId="14" fillId="0" borderId="46" xfId="4" applyFont="1" applyFill="1" applyBorder="1" applyAlignment="1">
      <alignment vertical="center"/>
    </xf>
    <xf numFmtId="0" fontId="14" fillId="0" borderId="45" xfId="4" applyFont="1" applyFill="1" applyBorder="1" applyAlignment="1">
      <alignment vertical="center"/>
    </xf>
    <xf numFmtId="0" fontId="9" fillId="0" borderId="47" xfId="4" applyBorder="1"/>
    <xf numFmtId="0" fontId="9" fillId="0" borderId="0" xfId="4" applyFont="1"/>
    <xf numFmtId="0" fontId="32" fillId="0" borderId="48" xfId="4" applyFont="1" applyBorder="1" applyAlignment="1">
      <alignment vertical="center"/>
    </xf>
    <xf numFmtId="0" fontId="14" fillId="0" borderId="0" xfId="4" applyFont="1" applyFill="1"/>
    <xf numFmtId="168" fontId="14" fillId="0" borderId="44" xfId="4" applyNumberFormat="1" applyFont="1" applyBorder="1" applyAlignment="1">
      <alignment horizontal="center"/>
    </xf>
    <xf numFmtId="0" fontId="14" fillId="0" borderId="43" xfId="4" applyFont="1" applyFill="1" applyBorder="1" applyAlignment="1">
      <alignment vertical="center"/>
    </xf>
    <xf numFmtId="0" fontId="33" fillId="0" borderId="48" xfId="4" applyFont="1" applyBorder="1" applyAlignment="1">
      <alignment vertical="center"/>
    </xf>
    <xf numFmtId="0" fontId="34" fillId="0" borderId="0" xfId="4" applyFont="1"/>
    <xf numFmtId="0" fontId="28" fillId="0" borderId="48" xfId="4" applyFont="1" applyBorder="1"/>
    <xf numFmtId="0" fontId="28" fillId="0" borderId="43" xfId="4" applyFont="1" applyFill="1" applyBorder="1" applyAlignment="1">
      <alignment vertical="center"/>
    </xf>
    <xf numFmtId="0" fontId="26" fillId="0" borderId="43" xfId="4" applyFont="1" applyFill="1" applyBorder="1" applyAlignment="1">
      <alignment vertical="center"/>
    </xf>
    <xf numFmtId="0" fontId="9" fillId="0" borderId="1" xfId="4" applyBorder="1" applyAlignment="1">
      <alignment horizontal="center"/>
    </xf>
    <xf numFmtId="0" fontId="14" fillId="0" borderId="25" xfId="4" applyFont="1" applyBorder="1" applyAlignment="1">
      <alignment horizontal="center"/>
    </xf>
    <xf numFmtId="14" fontId="14" fillId="0" borderId="55" xfId="4" applyNumberFormat="1" applyFont="1" applyBorder="1" applyAlignment="1">
      <alignment horizontal="center" vertical="center"/>
    </xf>
    <xf numFmtId="169" fontId="26" fillId="0" borderId="25" xfId="4" applyNumberFormat="1" applyFont="1" applyBorder="1"/>
    <xf numFmtId="169" fontId="26" fillId="0" borderId="56" xfId="4" applyNumberFormat="1" applyFont="1" applyBorder="1"/>
    <xf numFmtId="169" fontId="26" fillId="0" borderId="57" xfId="4" applyNumberFormat="1" applyFont="1" applyBorder="1"/>
    <xf numFmtId="169" fontId="31" fillId="7" borderId="1" xfId="4" applyNumberFormat="1" applyFont="1" applyFill="1" applyBorder="1"/>
    <xf numFmtId="0" fontId="14" fillId="0" borderId="57" xfId="4" applyFont="1" applyBorder="1"/>
    <xf numFmtId="0" fontId="9" fillId="0" borderId="57" xfId="4" applyBorder="1"/>
    <xf numFmtId="0" fontId="9" fillId="0" borderId="21" xfId="4" applyBorder="1"/>
    <xf numFmtId="0" fontId="9" fillId="0" borderId="3" xfId="4" applyFont="1" applyBorder="1" applyAlignment="1">
      <alignment horizontal="center"/>
    </xf>
    <xf numFmtId="0" fontId="9" fillId="0" borderId="29" xfId="4" applyFont="1" applyBorder="1" applyAlignment="1">
      <alignment horizontal="center"/>
    </xf>
    <xf numFmtId="0" fontId="9" fillId="0" borderId="33" xfId="4" applyBorder="1" applyAlignment="1">
      <alignment horizontal="center"/>
    </xf>
    <xf numFmtId="0" fontId="9" fillId="0" borderId="33" xfId="4" applyFont="1" applyBorder="1"/>
    <xf numFmtId="0" fontId="9" fillId="0" borderId="24" xfId="4" applyBorder="1" applyAlignment="1">
      <alignment horizontal="center"/>
    </xf>
    <xf numFmtId="0" fontId="24" fillId="0" borderId="58" xfId="4" applyFont="1" applyBorder="1" applyAlignment="1">
      <alignment horizontal="center"/>
    </xf>
    <xf numFmtId="0" fontId="24" fillId="0" borderId="56" xfId="4" applyFont="1" applyBorder="1" applyAlignment="1">
      <alignment horizontal="center"/>
    </xf>
    <xf numFmtId="0" fontId="24" fillId="0" borderId="55" xfId="4" applyFont="1" applyBorder="1" applyAlignment="1">
      <alignment horizontal="center"/>
    </xf>
    <xf numFmtId="0" fontId="24" fillId="0" borderId="28" xfId="4" applyFont="1" applyBorder="1"/>
    <xf numFmtId="0" fontId="14" fillId="0" borderId="55" xfId="4" applyFont="1" applyBorder="1" applyAlignment="1">
      <alignment horizontal="center"/>
    </xf>
    <xf numFmtId="0" fontId="9" fillId="0" borderId="59" xfId="4" applyBorder="1" applyAlignment="1">
      <alignment vertical="center"/>
    </xf>
    <xf numFmtId="168" fontId="14" fillId="0" borderId="60" xfId="4" applyNumberFormat="1" applyFont="1" applyBorder="1" applyAlignment="1">
      <alignment vertical="center"/>
    </xf>
    <xf numFmtId="14" fontId="14" fillId="0" borderId="0" xfId="4" applyNumberFormat="1" applyFont="1" applyBorder="1" applyAlignment="1">
      <alignment vertical="center"/>
    </xf>
    <xf numFmtId="0" fontId="14" fillId="0" borderId="54" xfId="4" applyFont="1" applyBorder="1" applyAlignment="1">
      <alignment vertical="center"/>
    </xf>
    <xf numFmtId="0" fontId="14" fillId="0" borderId="39" xfId="4" applyFont="1" applyBorder="1" applyAlignment="1">
      <alignment vertical="center"/>
    </xf>
    <xf numFmtId="0" fontId="14" fillId="0" borderId="38" xfId="4" applyFont="1" applyBorder="1" applyAlignment="1">
      <alignment vertical="center"/>
    </xf>
    <xf numFmtId="0" fontId="24" fillId="0" borderId="0" xfId="4" applyFont="1" applyBorder="1" applyAlignment="1">
      <alignment vertical="center"/>
    </xf>
    <xf numFmtId="0" fontId="14" fillId="0" borderId="26" xfId="4" applyFont="1" applyBorder="1"/>
    <xf numFmtId="0" fontId="9" fillId="0" borderId="49" xfId="4" applyBorder="1" applyAlignment="1">
      <alignment vertical="center"/>
    </xf>
    <xf numFmtId="14" fontId="14" fillId="0" borderId="48" xfId="4" applyNumberFormat="1" applyFont="1" applyBorder="1" applyAlignment="1">
      <alignment vertical="center"/>
    </xf>
    <xf numFmtId="0" fontId="14" fillId="0" borderId="44" xfId="4" applyFont="1" applyBorder="1" applyAlignment="1">
      <alignment vertical="center"/>
    </xf>
    <xf numFmtId="0" fontId="14" fillId="0" borderId="46" xfId="4" applyFont="1" applyBorder="1" applyAlignment="1">
      <alignment vertical="center"/>
    </xf>
    <xf numFmtId="0" fontId="14" fillId="0" borderId="45" xfId="4" applyFont="1" applyBorder="1" applyAlignment="1">
      <alignment vertical="center"/>
    </xf>
    <xf numFmtId="0" fontId="24" fillId="0" borderId="48" xfId="4" applyFont="1" applyBorder="1" applyAlignment="1">
      <alignment vertical="center"/>
    </xf>
    <xf numFmtId="0" fontId="14" fillId="0" borderId="45" xfId="4" applyFont="1" applyBorder="1"/>
    <xf numFmtId="0" fontId="0" fillId="0" borderId="29" xfId="4" applyFont="1" applyBorder="1"/>
    <xf numFmtId="0" fontId="9" fillId="0" borderId="34" xfId="4" applyBorder="1"/>
    <xf numFmtId="0" fontId="0" fillId="0" borderId="43" xfId="4" applyFont="1" applyBorder="1"/>
    <xf numFmtId="0" fontId="9" fillId="0" borderId="48" xfId="4" applyFont="1" applyBorder="1"/>
    <xf numFmtId="0" fontId="9" fillId="0" borderId="43" xfId="4" applyFont="1" applyBorder="1"/>
    <xf numFmtId="168" fontId="14" fillId="0" borderId="43" xfId="4" applyNumberFormat="1" applyFont="1" applyBorder="1" applyAlignment="1">
      <alignment horizontal="center"/>
    </xf>
    <xf numFmtId="0" fontId="14" fillId="0" borderId="44" xfId="4" applyFont="1" applyBorder="1"/>
    <xf numFmtId="168" fontId="14" fillId="0" borderId="61" xfId="4" applyNumberFormat="1" applyFont="1" applyBorder="1" applyAlignment="1">
      <alignment horizontal="center"/>
    </xf>
    <xf numFmtId="0" fontId="14" fillId="0" borderId="62" xfId="4" applyFont="1" applyBorder="1" applyAlignment="1">
      <alignment horizontal="center"/>
    </xf>
    <xf numFmtId="0" fontId="14" fillId="0" borderId="63" xfId="4" applyFont="1" applyBorder="1"/>
    <xf numFmtId="0" fontId="14" fillId="0" borderId="64" xfId="4" applyFont="1" applyBorder="1"/>
    <xf numFmtId="0" fontId="14" fillId="0" borderId="65" xfId="4" applyFont="1" applyBorder="1"/>
    <xf numFmtId="0" fontId="14" fillId="0" borderId="62" xfId="4" applyFont="1" applyBorder="1"/>
    <xf numFmtId="0" fontId="14" fillId="0" borderId="61" xfId="4" applyFont="1" applyBorder="1"/>
    <xf numFmtId="0" fontId="9" fillId="0" borderId="43" xfId="4" applyBorder="1"/>
    <xf numFmtId="0" fontId="35" fillId="0" borderId="65" xfId="4" applyFont="1" applyBorder="1" applyAlignment="1">
      <alignment horizontal="left"/>
    </xf>
    <xf numFmtId="0" fontId="35" fillId="0" borderId="62" xfId="4" applyFont="1" applyBorder="1" applyAlignment="1">
      <alignment horizontal="left"/>
    </xf>
    <xf numFmtId="0" fontId="9" fillId="0" borderId="2" xfId="4" applyBorder="1"/>
    <xf numFmtId="0" fontId="9" fillId="0" borderId="20" xfId="4" applyBorder="1"/>
    <xf numFmtId="0" fontId="14" fillId="0" borderId="57" xfId="4" applyFont="1" applyBorder="1" applyAlignment="1">
      <alignment horizontal="center"/>
    </xf>
    <xf numFmtId="169" fontId="14" fillId="0" borderId="25" xfId="4" applyNumberFormat="1" applyFont="1" applyBorder="1"/>
    <xf numFmtId="169" fontId="14" fillId="0" borderId="56" xfId="4" applyNumberFormat="1" applyFont="1" applyBorder="1"/>
    <xf numFmtId="169" fontId="14" fillId="0" borderId="55" xfId="4" applyNumberFormat="1" applyFont="1" applyBorder="1"/>
    <xf numFmtId="0" fontId="14" fillId="0" borderId="25" xfId="4" applyFont="1" applyBorder="1"/>
    <xf numFmtId="0" fontId="14" fillId="0" borderId="55" xfId="4" applyFont="1" applyBorder="1"/>
    <xf numFmtId="0" fontId="15" fillId="0" borderId="0" xfId="4" applyFont="1" applyAlignment="1">
      <alignment horizontal="center"/>
    </xf>
    <xf numFmtId="0" fontId="36" fillId="0" borderId="0" xfId="5" applyFont="1" applyAlignment="1">
      <alignment horizontal="center" vertical="center" readingOrder="1"/>
    </xf>
    <xf numFmtId="168" fontId="14" fillId="0" borderId="26" xfId="4" applyNumberFormat="1" applyFont="1" applyBorder="1" applyAlignment="1">
      <alignment vertical="center"/>
    </xf>
    <xf numFmtId="0" fontId="24" fillId="0" borderId="43" xfId="4" applyFont="1" applyBorder="1" applyAlignment="1">
      <alignment vertical="center"/>
    </xf>
    <xf numFmtId="0" fontId="24" fillId="0" borderId="43" xfId="4" applyFont="1" applyBorder="1"/>
    <xf numFmtId="0" fontId="37" fillId="0" borderId="43" xfId="4" applyFont="1" applyBorder="1"/>
    <xf numFmtId="0" fontId="24" fillId="0" borderId="43" xfId="4" applyFont="1" applyFill="1" applyBorder="1" applyAlignment="1"/>
    <xf numFmtId="0" fontId="9" fillId="0" borderId="48" xfId="4" applyBorder="1" applyAlignment="1"/>
    <xf numFmtId="0" fontId="14" fillId="0" borderId="48" xfId="4" applyFont="1" applyBorder="1" applyAlignment="1"/>
    <xf numFmtId="0" fontId="24" fillId="0" borderId="43" xfId="4" applyFont="1" applyFill="1" applyBorder="1" applyAlignment="1">
      <alignment wrapText="1"/>
    </xf>
    <xf numFmtId="0" fontId="24" fillId="0" borderId="40" xfId="4" applyFont="1" applyBorder="1" applyAlignment="1">
      <alignment vertical="center"/>
    </xf>
    <xf numFmtId="0" fontId="9" fillId="0" borderId="0" xfId="4" applyFill="1"/>
    <xf numFmtId="0" fontId="9" fillId="4" borderId="1" xfId="4" applyFill="1" applyBorder="1"/>
    <xf numFmtId="0" fontId="0" fillId="0" borderId="0" xfId="4" applyFont="1" applyFill="1"/>
    <xf numFmtId="0" fontId="9" fillId="7" borderId="1" xfId="4" applyFill="1" applyBorder="1"/>
    <xf numFmtId="0" fontId="9" fillId="8" borderId="1" xfId="4" applyFill="1" applyBorder="1"/>
    <xf numFmtId="0" fontId="9" fillId="0" borderId="0" xfId="4" applyFont="1" applyAlignment="1">
      <alignment horizontal="right"/>
    </xf>
    <xf numFmtId="170" fontId="9" fillId="0" borderId="0" xfId="4" applyNumberFormat="1" applyFill="1"/>
    <xf numFmtId="0" fontId="9" fillId="0" borderId="0" xfId="4" applyFont="1" applyFill="1"/>
    <xf numFmtId="0" fontId="13" fillId="0" borderId="0" xfId="4" applyFont="1"/>
    <xf numFmtId="0" fontId="13" fillId="0" borderId="0" xfId="4" applyFont="1" applyFill="1" applyAlignment="1">
      <alignment horizontal="right"/>
    </xf>
    <xf numFmtId="0" fontId="17" fillId="0" borderId="0" xfId="4" applyFont="1"/>
    <xf numFmtId="0" fontId="13" fillId="0" borderId="28" xfId="4" applyFont="1" applyFill="1" applyBorder="1" applyAlignment="1"/>
    <xf numFmtId="0" fontId="9" fillId="0" borderId="20" xfId="5" applyFill="1" applyBorder="1" applyAlignment="1"/>
    <xf numFmtId="0" fontId="9" fillId="0" borderId="28" xfId="5" applyFill="1" applyBorder="1" applyAlignment="1"/>
    <xf numFmtId="0" fontId="9" fillId="9" borderId="25" xfId="4" applyFill="1" applyBorder="1" applyAlignment="1">
      <alignment horizontal="center"/>
    </xf>
    <xf numFmtId="0" fontId="9" fillId="9" borderId="57" xfId="4" applyFill="1" applyBorder="1" applyAlignment="1">
      <alignment horizontal="center"/>
    </xf>
    <xf numFmtId="0" fontId="9" fillId="0" borderId="57" xfId="4" applyBorder="1" applyAlignment="1">
      <alignment horizontal="center"/>
    </xf>
    <xf numFmtId="0" fontId="9" fillId="0" borderId="21" xfId="4" applyBorder="1" applyAlignment="1">
      <alignment horizontal="center"/>
    </xf>
    <xf numFmtId="0" fontId="39" fillId="11" borderId="25" xfId="4" applyFont="1" applyFill="1" applyBorder="1" applyAlignment="1">
      <alignment horizontal="left"/>
    </xf>
    <xf numFmtId="0" fontId="38" fillId="11" borderId="57" xfId="4" applyFont="1" applyFill="1" applyBorder="1" applyAlignment="1">
      <alignment horizontal="left"/>
    </xf>
    <xf numFmtId="0" fontId="9" fillId="12" borderId="25" xfId="4" applyFill="1" applyBorder="1" applyAlignment="1">
      <alignment vertical="center"/>
    </xf>
    <xf numFmtId="0" fontId="9" fillId="12" borderId="57" xfId="4" applyFill="1" applyBorder="1" applyAlignment="1">
      <alignment vertical="center"/>
    </xf>
    <xf numFmtId="0" fontId="9" fillId="12" borderId="21" xfId="4" applyFill="1" applyBorder="1" applyAlignment="1">
      <alignment horizontal="center" vertical="center"/>
    </xf>
    <xf numFmtId="0" fontId="27" fillId="0" borderId="21" xfId="4" applyFont="1" applyBorder="1" applyAlignment="1">
      <alignment horizontal="center"/>
    </xf>
    <xf numFmtId="0" fontId="9" fillId="5" borderId="25" xfId="4" applyFont="1" applyFill="1" applyBorder="1" applyAlignment="1">
      <alignment horizontal="center"/>
    </xf>
    <xf numFmtId="0" fontId="9" fillId="5" borderId="57" xfId="4" applyFont="1" applyFill="1" applyBorder="1" applyAlignment="1">
      <alignment horizontal="center"/>
    </xf>
    <xf numFmtId="0" fontId="9" fillId="5" borderId="21" xfId="4" applyFont="1" applyFill="1" applyBorder="1" applyAlignment="1">
      <alignment horizontal="center"/>
    </xf>
    <xf numFmtId="0" fontId="9" fillId="9" borderId="57" xfId="4" applyFont="1" applyFill="1" applyBorder="1" applyAlignment="1">
      <alignment horizontal="center"/>
    </xf>
    <xf numFmtId="0" fontId="38" fillId="10" borderId="25" xfId="4" applyFont="1" applyFill="1" applyBorder="1" applyAlignment="1">
      <alignment horizontal="center"/>
    </xf>
    <xf numFmtId="0" fontId="38" fillId="10" borderId="57" xfId="4" applyFont="1" applyFill="1" applyBorder="1" applyAlignment="1">
      <alignment horizontal="center"/>
    </xf>
    <xf numFmtId="0" fontId="38" fillId="10" borderId="21" xfId="4" applyFont="1" applyFill="1" applyBorder="1" applyAlignment="1">
      <alignment horizontal="center"/>
    </xf>
    <xf numFmtId="0" fontId="9" fillId="0" borderId="0" xfId="4" applyFont="1" applyAlignment="1">
      <alignment wrapText="1"/>
    </xf>
    <xf numFmtId="0" fontId="14" fillId="0" borderId="1" xfId="4" applyFont="1" applyFill="1" applyBorder="1"/>
    <xf numFmtId="0" fontId="14" fillId="0" borderId="1" xfId="4" applyFont="1" applyBorder="1" applyAlignment="1">
      <alignment wrapText="1"/>
    </xf>
    <xf numFmtId="0" fontId="14" fillId="0" borderId="1" xfId="4" applyFont="1" applyFill="1" applyBorder="1" applyAlignment="1">
      <alignment horizontal="center" wrapText="1"/>
    </xf>
    <xf numFmtId="0" fontId="14" fillId="12" borderId="1" xfId="4" applyFont="1" applyFill="1" applyBorder="1" applyAlignment="1">
      <alignment wrapText="1"/>
    </xf>
    <xf numFmtId="0" fontId="14" fillId="0" borderId="25" xfId="4" applyFont="1" applyBorder="1" applyAlignment="1">
      <alignment wrapText="1"/>
    </xf>
    <xf numFmtId="0" fontId="14" fillId="0" borderId="1" xfId="4" applyFont="1" applyBorder="1" applyAlignment="1">
      <alignment wrapText="1" shrinkToFit="1"/>
    </xf>
    <xf numFmtId="0" fontId="14" fillId="13" borderId="25" xfId="4" applyFont="1" applyFill="1" applyBorder="1" applyAlignment="1">
      <alignment wrapText="1"/>
    </xf>
    <xf numFmtId="0" fontId="14" fillId="5" borderId="25" xfId="4" applyFont="1" applyFill="1" applyBorder="1" applyAlignment="1">
      <alignment wrapText="1"/>
    </xf>
    <xf numFmtId="0" fontId="14" fillId="7" borderId="25" xfId="4" applyFont="1" applyFill="1" applyBorder="1" applyAlignment="1">
      <alignment wrapText="1"/>
    </xf>
    <xf numFmtId="0" fontId="14" fillId="14" borderId="25" xfId="4" applyFont="1" applyFill="1" applyBorder="1" applyAlignment="1">
      <alignment wrapText="1"/>
    </xf>
    <xf numFmtId="0" fontId="14" fillId="14" borderId="1" xfId="4" applyFont="1" applyFill="1" applyBorder="1" applyAlignment="1">
      <alignment wrapText="1"/>
    </xf>
    <xf numFmtId="0" fontId="14" fillId="0" borderId="25" xfId="4" applyFont="1" applyFill="1" applyBorder="1" applyAlignment="1">
      <alignment wrapText="1"/>
    </xf>
    <xf numFmtId="0" fontId="24" fillId="12" borderId="1" xfId="4" applyFont="1" applyFill="1" applyBorder="1" applyAlignment="1">
      <alignment horizontal="center" vertical="center" wrapText="1"/>
    </xf>
    <xf numFmtId="0" fontId="24" fillId="0" borderId="21" xfId="4" applyFont="1" applyFill="1" applyBorder="1" applyAlignment="1">
      <alignment horizontal="center" vertical="center" wrapText="1"/>
    </xf>
    <xf numFmtId="0" fontId="27" fillId="0" borderId="21" xfId="4" applyFont="1" applyBorder="1" applyAlignment="1">
      <alignment horizontal="center" vertical="center" wrapText="1"/>
    </xf>
    <xf numFmtId="0" fontId="9" fillId="0" borderId="1" xfId="4" applyFill="1" applyBorder="1"/>
    <xf numFmtId="0" fontId="14" fillId="0" borderId="1" xfId="4" applyFont="1" applyBorder="1" applyAlignment="1">
      <alignment horizontal="center" wrapText="1"/>
    </xf>
    <xf numFmtId="0" fontId="14" fillId="0" borderId="1" xfId="4" applyFont="1" applyBorder="1" applyAlignment="1">
      <alignment horizontal="right" wrapText="1"/>
    </xf>
    <xf numFmtId="0" fontId="14" fillId="0" borderId="1" xfId="4" applyFont="1" applyFill="1" applyBorder="1" applyAlignment="1">
      <alignment horizontal="right" wrapText="1"/>
    </xf>
    <xf numFmtId="0" fontId="14" fillId="0" borderId="4" xfId="4" applyFont="1" applyBorder="1" applyAlignment="1">
      <alignment horizontal="right" wrapText="1"/>
    </xf>
    <xf numFmtId="0" fontId="14" fillId="0" borderId="4" xfId="4" applyFont="1" applyFill="1" applyBorder="1" applyAlignment="1">
      <alignment horizontal="right" wrapText="1"/>
    </xf>
    <xf numFmtId="0" fontId="14" fillId="13" borderId="4" xfId="4" applyFont="1" applyFill="1" applyBorder="1" applyAlignment="1">
      <alignment horizontal="right" wrapText="1"/>
    </xf>
    <xf numFmtId="0" fontId="14" fillId="5" borderId="1" xfId="4" applyFont="1" applyFill="1" applyBorder="1" applyAlignment="1">
      <alignment wrapText="1"/>
    </xf>
    <xf numFmtId="0" fontId="14" fillId="7" borderId="1" xfId="4" applyFont="1" applyFill="1" applyBorder="1" applyAlignment="1">
      <alignment wrapText="1"/>
    </xf>
    <xf numFmtId="0" fontId="14" fillId="0" borderId="1" xfId="4" applyFont="1" applyFill="1" applyBorder="1" applyAlignment="1">
      <alignment wrapText="1"/>
    </xf>
    <xf numFmtId="0" fontId="14" fillId="0" borderId="1" xfId="4" applyFont="1" applyBorder="1" applyAlignment="1">
      <alignment vertical="center" wrapText="1"/>
    </xf>
    <xf numFmtId="0" fontId="24" fillId="12" borderId="1" xfId="4" applyFont="1" applyFill="1" applyBorder="1" applyAlignment="1">
      <alignment horizontal="center" vertical="top" wrapText="1"/>
    </xf>
    <xf numFmtId="0" fontId="24" fillId="0" borderId="21" xfId="4" applyFont="1" applyFill="1" applyBorder="1" applyAlignment="1">
      <alignment horizontal="center" vertical="top" wrapText="1"/>
    </xf>
    <xf numFmtId="0" fontId="14" fillId="0" borderId="21" xfId="4" applyFont="1" applyFill="1" applyBorder="1" applyAlignment="1">
      <alignment vertical="center" wrapText="1"/>
    </xf>
    <xf numFmtId="38" fontId="29" fillId="2" borderId="1" xfId="6" applyFont="1" applyFill="1" applyBorder="1">
      <alignment vertical="center"/>
    </xf>
    <xf numFmtId="38" fontId="29" fillId="4" borderId="1" xfId="6" applyFont="1" applyFill="1" applyBorder="1" applyAlignment="1"/>
    <xf numFmtId="38" fontId="29" fillId="0" borderId="1" xfId="6" applyFont="1" applyBorder="1" applyAlignment="1"/>
    <xf numFmtId="0" fontId="29" fillId="0" borderId="1" xfId="4" applyFont="1" applyFill="1" applyBorder="1" applyAlignment="1">
      <alignment horizontal="right"/>
    </xf>
    <xf numFmtId="40" fontId="29" fillId="4" borderId="1" xfId="6" applyNumberFormat="1" applyFont="1" applyFill="1" applyBorder="1" applyAlignment="1"/>
    <xf numFmtId="171" fontId="29" fillId="6" borderId="1" xfId="6" applyNumberFormat="1" applyFont="1" applyFill="1" applyBorder="1" applyAlignment="1"/>
    <xf numFmtId="172" fontId="29" fillId="0" borderId="1" xfId="6" applyNumberFormat="1" applyFont="1" applyFill="1" applyBorder="1" applyAlignment="1"/>
    <xf numFmtId="38" fontId="29" fillId="2" borderId="1" xfId="6" applyFont="1" applyFill="1" applyBorder="1" applyAlignment="1"/>
    <xf numFmtId="173" fontId="29" fillId="7" borderId="1" xfId="5" applyNumberFormat="1" applyFont="1" applyFill="1" applyBorder="1" applyAlignment="1">
      <alignment horizontal="right"/>
    </xf>
    <xf numFmtId="9" fontId="29" fillId="7" borderId="1" xfId="7" applyFont="1" applyFill="1" applyBorder="1" applyAlignment="1">
      <alignment horizontal="right"/>
    </xf>
    <xf numFmtId="174" fontId="29" fillId="7" borderId="1" xfId="6" applyNumberFormat="1" applyFont="1" applyFill="1" applyBorder="1" applyAlignment="1"/>
    <xf numFmtId="1" fontId="29" fillId="0" borderId="1" xfId="4" applyNumberFormat="1" applyFont="1" applyFill="1" applyBorder="1"/>
    <xf numFmtId="1" fontId="29" fillId="4" borderId="1" xfId="4" applyNumberFormat="1" applyFont="1" applyFill="1" applyBorder="1"/>
    <xf numFmtId="38" fontId="29" fillId="0" borderId="1" xfId="4" applyNumberFormat="1" applyFont="1" applyFill="1" applyBorder="1"/>
    <xf numFmtId="170" fontId="29" fillId="0" borderId="1" xfId="7" applyNumberFormat="1" applyFont="1" applyBorder="1" applyAlignment="1"/>
    <xf numFmtId="9" fontId="29" fillId="0" borderId="1" xfId="4" applyNumberFormat="1" applyFont="1" applyFill="1" applyBorder="1"/>
    <xf numFmtId="173" fontId="29" fillId="4" borderId="1" xfId="4" applyNumberFormat="1" applyFont="1" applyFill="1" applyBorder="1"/>
    <xf numFmtId="173" fontId="29" fillId="0" borderId="1" xfId="4" applyNumberFormat="1" applyFont="1" applyFill="1" applyBorder="1"/>
    <xf numFmtId="175" fontId="29" fillId="4" borderId="1" xfId="4" applyNumberFormat="1" applyFont="1" applyFill="1" applyBorder="1" applyAlignment="1">
      <alignment horizontal="right"/>
    </xf>
    <xf numFmtId="0" fontId="40" fillId="0" borderId="1" xfId="4" applyFont="1" applyFill="1" applyBorder="1"/>
    <xf numFmtId="0" fontId="41" fillId="0" borderId="0" xfId="4" applyFont="1" applyFill="1" applyBorder="1" applyAlignment="1">
      <alignment wrapText="1"/>
    </xf>
    <xf numFmtId="0" fontId="0" fillId="8" borderId="1" xfId="4" applyFont="1" applyFill="1" applyBorder="1" applyAlignment="1">
      <alignment horizontal="center"/>
    </xf>
    <xf numFmtId="0" fontId="9" fillId="0" borderId="1" xfId="4" applyFill="1" applyBorder="1" applyAlignment="1">
      <alignment horizontal="right"/>
    </xf>
    <xf numFmtId="38" fontId="9" fillId="4" borderId="1" xfId="6" applyFont="1" applyFill="1" applyBorder="1" applyAlignment="1"/>
    <xf numFmtId="38" fontId="9" fillId="0" borderId="1" xfId="6" applyFont="1" applyBorder="1" applyAlignment="1"/>
    <xf numFmtId="40" fontId="9" fillId="4" borderId="1" xfId="6" applyNumberFormat="1" applyFont="1" applyFill="1" applyBorder="1" applyAlignment="1"/>
    <xf numFmtId="171" fontId="9" fillId="6" borderId="1" xfId="6" applyNumberFormat="1" applyFont="1" applyFill="1" applyBorder="1" applyAlignment="1"/>
    <xf numFmtId="172" fontId="9" fillId="0" borderId="1" xfId="6" applyNumberFormat="1" applyFont="1" applyFill="1" applyBorder="1" applyAlignment="1"/>
    <xf numFmtId="38" fontId="9" fillId="2" borderId="1" xfId="6" applyFont="1" applyFill="1" applyBorder="1" applyAlignment="1"/>
    <xf numFmtId="173" fontId="9" fillId="7" borderId="1" xfId="5" applyNumberFormat="1" applyFill="1" applyBorder="1" applyAlignment="1">
      <alignment horizontal="right"/>
    </xf>
    <xf numFmtId="9" fontId="0" fillId="7" borderId="1" xfId="7" applyFont="1" applyFill="1" applyBorder="1" applyAlignment="1">
      <alignment horizontal="right"/>
    </xf>
    <xf numFmtId="174" fontId="9" fillId="7" borderId="1" xfId="6" applyNumberFormat="1" applyFont="1" applyFill="1" applyBorder="1" applyAlignment="1"/>
    <xf numFmtId="0" fontId="9" fillId="4" borderId="1" xfId="4" applyFont="1" applyFill="1" applyBorder="1"/>
    <xf numFmtId="1" fontId="9" fillId="0" borderId="1" xfId="4" applyNumberFormat="1" applyFont="1" applyFill="1" applyBorder="1"/>
    <xf numFmtId="1" fontId="9" fillId="4" borderId="1" xfId="4" applyNumberFormat="1" applyFont="1" applyFill="1" applyBorder="1"/>
    <xf numFmtId="1" fontId="9" fillId="0" borderId="1" xfId="4" applyNumberFormat="1" applyFill="1" applyBorder="1"/>
    <xf numFmtId="38" fontId="9" fillId="0" borderId="1" xfId="4" applyNumberFormat="1" applyFill="1" applyBorder="1"/>
    <xf numFmtId="170" fontId="9" fillId="0" borderId="1" xfId="7" applyNumberFormat="1" applyFont="1" applyBorder="1" applyAlignment="1"/>
    <xf numFmtId="9" fontId="9" fillId="0" borderId="1" xfId="4" applyNumberFormat="1" applyFont="1" applyFill="1" applyBorder="1"/>
    <xf numFmtId="173" fontId="9" fillId="4" borderId="1" xfId="4" applyNumberFormat="1" applyFont="1" applyFill="1" applyBorder="1"/>
    <xf numFmtId="173" fontId="9" fillId="0" borderId="1" xfId="4" applyNumberFormat="1" applyFont="1" applyFill="1" applyBorder="1"/>
    <xf numFmtId="175" fontId="9" fillId="4" borderId="1" xfId="4" applyNumberFormat="1" applyFont="1" applyFill="1" applyBorder="1" applyAlignment="1">
      <alignment horizontal="right"/>
    </xf>
    <xf numFmtId="0" fontId="24" fillId="0" borderId="1" xfId="4" applyFont="1" applyFill="1" applyBorder="1"/>
    <xf numFmtId="0" fontId="42" fillId="0" borderId="0" xfId="4" applyFont="1" applyFill="1" applyBorder="1" applyAlignment="1">
      <alignment wrapText="1"/>
    </xf>
    <xf numFmtId="38" fontId="9" fillId="0" borderId="1" xfId="6" applyFont="1" applyFill="1" applyBorder="1" applyAlignment="1"/>
    <xf numFmtId="40" fontId="9" fillId="0" borderId="1" xfId="6" applyNumberFormat="1" applyFont="1" applyFill="1" applyBorder="1" applyAlignment="1"/>
    <xf numFmtId="1" fontId="9" fillId="4" borderId="1" xfId="4" applyNumberFormat="1" applyFill="1" applyBorder="1"/>
    <xf numFmtId="0" fontId="24" fillId="0" borderId="1" xfId="4" applyFont="1" applyFill="1" applyBorder="1" applyAlignment="1">
      <alignment wrapText="1"/>
    </xf>
    <xf numFmtId="0" fontId="9" fillId="0" borderId="0" xfId="4" applyFont="1" applyBorder="1"/>
    <xf numFmtId="171" fontId="9" fillId="0" borderId="1" xfId="6" applyNumberFormat="1" applyFont="1" applyFill="1" applyBorder="1" applyAlignment="1"/>
    <xf numFmtId="170" fontId="9" fillId="0" borderId="1" xfId="7" applyNumberFormat="1" applyFont="1" applyFill="1" applyBorder="1" applyAlignment="1"/>
    <xf numFmtId="1" fontId="43" fillId="4" borderId="1" xfId="4" applyNumberFormat="1" applyFont="1" applyFill="1" applyBorder="1"/>
    <xf numFmtId="0" fontId="24" fillId="0" borderId="1" xfId="4" applyFont="1" applyBorder="1"/>
    <xf numFmtId="0" fontId="43" fillId="4" borderId="1" xfId="4" applyFont="1" applyFill="1" applyBorder="1"/>
    <xf numFmtId="9" fontId="9" fillId="7" borderId="1" xfId="7" applyFont="1" applyFill="1" applyBorder="1" applyAlignment="1"/>
    <xf numFmtId="38" fontId="9" fillId="0" borderId="1" xfId="4" applyNumberFormat="1" applyFont="1" applyFill="1" applyBorder="1"/>
    <xf numFmtId="0" fontId="24" fillId="0" borderId="1" xfId="4" applyFont="1" applyFill="1" applyBorder="1" applyAlignment="1"/>
    <xf numFmtId="0" fontId="24" fillId="0" borderId="1" xfId="4" applyFont="1" applyFill="1" applyBorder="1" applyAlignment="1">
      <alignment shrinkToFit="1"/>
    </xf>
    <xf numFmtId="38" fontId="43" fillId="4" borderId="1" xfId="6" applyFont="1" applyFill="1" applyBorder="1" applyAlignment="1"/>
    <xf numFmtId="173" fontId="9" fillId="4" borderId="1" xfId="4" applyNumberFormat="1" applyFill="1" applyBorder="1"/>
    <xf numFmtId="175" fontId="9" fillId="4" borderId="1" xfId="4" applyNumberFormat="1" applyFill="1" applyBorder="1" applyAlignment="1">
      <alignment horizontal="right"/>
    </xf>
    <xf numFmtId="38" fontId="9" fillId="7" borderId="1" xfId="6" applyFont="1" applyFill="1" applyBorder="1" applyAlignment="1"/>
    <xf numFmtId="175" fontId="0" fillId="4" borderId="1" xfId="4" applyNumberFormat="1" applyFont="1" applyFill="1" applyBorder="1" applyAlignment="1">
      <alignment horizontal="right"/>
    </xf>
    <xf numFmtId="0" fontId="37" fillId="0" borderId="1" xfId="4" applyFont="1" applyFill="1" applyBorder="1" applyAlignment="1">
      <alignment wrapText="1"/>
    </xf>
    <xf numFmtId="38" fontId="9" fillId="0" borderId="1" xfId="4" applyNumberFormat="1" applyBorder="1"/>
    <xf numFmtId="38" fontId="9" fillId="0" borderId="0" xfId="4" applyNumberFormat="1"/>
    <xf numFmtId="38" fontId="9" fillId="0" borderId="0" xfId="4" applyNumberFormat="1" applyFill="1"/>
    <xf numFmtId="171" fontId="9" fillId="0" borderId="1" xfId="4" applyNumberFormat="1" applyBorder="1"/>
    <xf numFmtId="40" fontId="9" fillId="0" borderId="1" xfId="4" applyNumberFormat="1" applyBorder="1"/>
    <xf numFmtId="174" fontId="9" fillId="0" borderId="1" xfId="4" applyNumberFormat="1" applyBorder="1"/>
    <xf numFmtId="9" fontId="9" fillId="0" borderId="1" xfId="7" applyBorder="1" applyAlignment="1"/>
    <xf numFmtId="0" fontId="9" fillId="0" borderId="1" xfId="4" applyBorder="1"/>
    <xf numFmtId="175" fontId="38" fillId="0" borderId="1" xfId="4" applyNumberFormat="1" applyFont="1" applyBorder="1" applyAlignment="1">
      <alignment horizontal="right"/>
    </xf>
    <xf numFmtId="0" fontId="14" fillId="0" borderId="1" xfId="4" applyFont="1" applyBorder="1" applyAlignment="1">
      <alignment horizontal="left"/>
    </xf>
    <xf numFmtId="172" fontId="14" fillId="0" borderId="0" xfId="4" applyNumberFormat="1" applyFont="1" applyFill="1" applyBorder="1"/>
    <xf numFmtId="0" fontId="9" fillId="0" borderId="0" xfId="4" applyFill="1" applyBorder="1"/>
    <xf numFmtId="0" fontId="9" fillId="0" borderId="0" xfId="4" applyFont="1" applyFill="1" applyBorder="1"/>
    <xf numFmtId="0" fontId="9" fillId="0" borderId="0" xfId="4" applyFill="1" applyBorder="1" applyAlignment="1">
      <alignment horizontal="right"/>
    </xf>
    <xf numFmtId="38" fontId="9" fillId="0" borderId="0" xfId="6" applyFont="1" applyFill="1" applyBorder="1" applyAlignment="1"/>
    <xf numFmtId="172" fontId="9" fillId="0" borderId="0" xfId="6" applyNumberFormat="1" applyFont="1" applyFill="1" applyBorder="1" applyAlignment="1"/>
    <xf numFmtId="1" fontId="9" fillId="0" borderId="0" xfId="4" applyNumberFormat="1" applyFont="1" applyFill="1" applyBorder="1"/>
    <xf numFmtId="9" fontId="9" fillId="0" borderId="0" xfId="7" applyFont="1" applyFill="1" applyBorder="1" applyAlignment="1"/>
    <xf numFmtId="10" fontId="9" fillId="0" borderId="0" xfId="4" applyNumberFormat="1" applyFill="1" applyBorder="1"/>
    <xf numFmtId="176" fontId="9" fillId="0" borderId="0" xfId="4" applyNumberFormat="1" applyFont="1" applyFill="1" applyBorder="1"/>
    <xf numFmtId="0" fontId="24" fillId="0" borderId="0" xfId="4" applyFont="1" applyFill="1" applyBorder="1"/>
    <xf numFmtId="0" fontId="14" fillId="0" borderId="1" xfId="4" applyFont="1" applyBorder="1" applyAlignment="1">
      <alignment horizontal="left" wrapText="1"/>
    </xf>
    <xf numFmtId="0" fontId="14" fillId="0" borderId="1" xfId="4" applyFont="1" applyFill="1" applyBorder="1" applyAlignment="1">
      <alignment horizontal="left" wrapText="1"/>
    </xf>
    <xf numFmtId="0" fontId="9" fillId="0" borderId="1" xfId="4" applyFont="1" applyFill="1" applyBorder="1" applyAlignment="1">
      <alignment horizontal="center"/>
    </xf>
    <xf numFmtId="0" fontId="14" fillId="0" borderId="0" xfId="4" applyFont="1" applyFill="1" applyBorder="1" applyAlignment="1">
      <alignment wrapText="1"/>
    </xf>
    <xf numFmtId="38" fontId="9" fillId="7" borderId="1" xfId="4" applyNumberFormat="1" applyFont="1" applyFill="1" applyBorder="1"/>
    <xf numFmtId="38" fontId="9" fillId="7" borderId="1" xfId="4" applyNumberFormat="1" applyFill="1" applyBorder="1"/>
    <xf numFmtId="38" fontId="9" fillId="4" borderId="1" xfId="6" applyNumberFormat="1" applyFont="1" applyFill="1" applyBorder="1" applyAlignment="1"/>
    <xf numFmtId="38" fontId="44" fillId="7" borderId="1" xfId="4" applyNumberFormat="1" applyFont="1" applyFill="1" applyBorder="1"/>
    <xf numFmtId="38" fontId="9" fillId="4" borderId="1" xfId="4" applyNumberFormat="1" applyFill="1" applyBorder="1"/>
    <xf numFmtId="38" fontId="9" fillId="7" borderId="1" xfId="4" applyNumberFormat="1" applyFont="1" applyFill="1" applyBorder="1" applyAlignment="1">
      <alignment horizontal="right" wrapText="1"/>
    </xf>
    <xf numFmtId="49" fontId="9" fillId="0" borderId="1" xfId="4" applyNumberFormat="1" applyFont="1" applyFill="1" applyBorder="1" applyAlignment="1">
      <alignment horizontal="center"/>
    </xf>
    <xf numFmtId="177" fontId="9" fillId="4" borderId="1" xfId="4" applyNumberFormat="1" applyFill="1" applyBorder="1"/>
    <xf numFmtId="0" fontId="14" fillId="0" borderId="0" xfId="4" applyFont="1" applyFill="1" applyBorder="1" applyAlignment="1">
      <alignment horizontal="right" wrapText="1"/>
    </xf>
    <xf numFmtId="49" fontId="0" fillId="0" borderId="1" xfId="4" applyNumberFormat="1" applyFont="1" applyFill="1" applyBorder="1" applyAlignment="1">
      <alignment horizontal="center"/>
    </xf>
    <xf numFmtId="0" fontId="9" fillId="0" borderId="0" xfId="5" applyFill="1" applyBorder="1">
      <alignment vertical="center"/>
    </xf>
    <xf numFmtId="40" fontId="9" fillId="0" borderId="0" xfId="6" applyNumberFormat="1" applyFont="1" applyFill="1" applyBorder="1" applyAlignment="1"/>
    <xf numFmtId="171" fontId="9" fillId="0" borderId="0" xfId="6" applyNumberFormat="1" applyFont="1" applyFill="1" applyBorder="1" applyAlignment="1"/>
    <xf numFmtId="38" fontId="9" fillId="7" borderId="1" xfId="6" applyNumberFormat="1" applyFont="1" applyFill="1" applyBorder="1" applyAlignment="1"/>
    <xf numFmtId="0" fontId="0" fillId="0" borderId="1" xfId="4" applyFont="1" applyFill="1" applyBorder="1" applyAlignment="1">
      <alignment horizontal="right"/>
    </xf>
    <xf numFmtId="38" fontId="0" fillId="0" borderId="0" xfId="6" applyFont="1" applyFill="1" applyBorder="1" applyAlignment="1"/>
    <xf numFmtId="177" fontId="9" fillId="0" borderId="1" xfId="4" applyNumberFormat="1" applyFont="1" applyFill="1" applyBorder="1"/>
    <xf numFmtId="172" fontId="9" fillId="0" borderId="0" xfId="4" applyNumberFormat="1" applyBorder="1"/>
    <xf numFmtId="38" fontId="9" fillId="4" borderId="1" xfId="4" applyNumberFormat="1" applyFont="1" applyFill="1" applyBorder="1"/>
    <xf numFmtId="0" fontId="0" fillId="0" borderId="0" xfId="4" applyFont="1" applyFill="1" applyBorder="1" applyAlignment="1">
      <alignment horizontal="center"/>
    </xf>
    <xf numFmtId="177" fontId="9" fillId="0" borderId="0" xfId="4" applyNumberFormat="1" applyFill="1" applyBorder="1"/>
    <xf numFmtId="177" fontId="9" fillId="0" borderId="0" xfId="4" applyNumberFormat="1" applyFont="1" applyFill="1" applyBorder="1"/>
    <xf numFmtId="38" fontId="9" fillId="16" borderId="1" xfId="6" applyFont="1" applyFill="1" applyBorder="1" applyAlignment="1"/>
    <xf numFmtId="0" fontId="9" fillId="0" borderId="0" xfId="4" applyFill="1" applyBorder="1" applyAlignment="1">
      <alignment horizontal="center"/>
    </xf>
    <xf numFmtId="38" fontId="9" fillId="0" borderId="0" xfId="4" applyNumberFormat="1" applyFill="1" applyBorder="1"/>
    <xf numFmtId="171" fontId="9" fillId="0" borderId="0" xfId="4" applyNumberFormat="1" applyFill="1" applyBorder="1"/>
    <xf numFmtId="17" fontId="17" fillId="0" borderId="0" xfId="4" applyNumberFormat="1" applyFont="1"/>
    <xf numFmtId="175" fontId="9" fillId="0" borderId="0" xfId="4" applyNumberFormat="1"/>
    <xf numFmtId="175" fontId="9" fillId="0" borderId="0" xfId="4" applyNumberFormat="1" applyFont="1" applyFill="1" applyBorder="1"/>
    <xf numFmtId="0" fontId="9" fillId="0" borderId="33" xfId="4" applyFont="1" applyFill="1" applyBorder="1" applyAlignment="1">
      <alignment horizontal="center"/>
    </xf>
    <xf numFmtId="177" fontId="9" fillId="0" borderId="33" xfId="4" applyNumberFormat="1" applyFill="1" applyBorder="1"/>
    <xf numFmtId="0" fontId="9" fillId="0" borderId="0" xfId="4" applyFont="1" applyFill="1" applyBorder="1" applyAlignment="1">
      <alignment horizontal="center"/>
    </xf>
    <xf numFmtId="170" fontId="9" fillId="13" borderId="0" xfId="4" applyNumberFormat="1" applyFill="1"/>
    <xf numFmtId="0" fontId="24" fillId="12" borderId="1" xfId="4" applyFont="1" applyFill="1" applyBorder="1" applyAlignment="1">
      <alignment horizontal="center" wrapText="1"/>
    </xf>
    <xf numFmtId="0" fontId="24" fillId="0" borderId="21" xfId="4" applyFont="1" applyFill="1" applyBorder="1" applyAlignment="1">
      <alignment horizontal="center" wrapText="1"/>
    </xf>
    <xf numFmtId="0" fontId="27" fillId="0" borderId="21" xfId="4" applyFont="1" applyBorder="1" applyAlignment="1">
      <alignment horizontal="center" wrapText="1"/>
    </xf>
    <xf numFmtId="0" fontId="14" fillId="0" borderId="21" xfId="4" applyFont="1" applyFill="1" applyBorder="1" applyAlignment="1">
      <alignment wrapText="1"/>
    </xf>
    <xf numFmtId="38" fontId="0" fillId="7" borderId="1" xfId="6" applyFont="1" applyFill="1" applyBorder="1">
      <alignment vertical="center"/>
    </xf>
    <xf numFmtId="38" fontId="0" fillId="4" borderId="1" xfId="6" applyFont="1" applyFill="1" applyBorder="1">
      <alignment vertical="center"/>
    </xf>
    <xf numFmtId="40" fontId="0" fillId="4" borderId="1" xfId="6" applyNumberFormat="1" applyFont="1" applyFill="1" applyBorder="1">
      <alignment vertical="center"/>
    </xf>
    <xf numFmtId="38" fontId="0" fillId="4" borderId="1" xfId="6" applyNumberFormat="1" applyFont="1" applyFill="1" applyBorder="1">
      <alignment vertical="center"/>
    </xf>
    <xf numFmtId="38" fontId="9" fillId="7" borderId="1" xfId="5" applyNumberFormat="1" applyFill="1" applyBorder="1">
      <alignment vertical="center"/>
    </xf>
    <xf numFmtId="9" fontId="0" fillId="7" borderId="1" xfId="7" applyFont="1" applyFill="1" applyBorder="1">
      <alignment vertical="center"/>
    </xf>
    <xf numFmtId="173" fontId="0" fillId="7" borderId="1" xfId="7" applyNumberFormat="1" applyFont="1" applyFill="1" applyBorder="1">
      <alignment vertical="center"/>
    </xf>
    <xf numFmtId="38" fontId="9" fillId="4" borderId="1" xfId="5" applyNumberFormat="1" applyFill="1" applyBorder="1">
      <alignment vertical="center"/>
    </xf>
    <xf numFmtId="0" fontId="9" fillId="4" borderId="1" xfId="5" applyFill="1" applyBorder="1">
      <alignment vertical="center"/>
    </xf>
    <xf numFmtId="0" fontId="9" fillId="7" borderId="1" xfId="5" applyFill="1" applyBorder="1">
      <alignment vertical="center"/>
    </xf>
    <xf numFmtId="174" fontId="9" fillId="0" borderId="0" xfId="4" applyNumberFormat="1"/>
    <xf numFmtId="178" fontId="9" fillId="0" borderId="1" xfId="4" applyNumberFormat="1" applyBorder="1"/>
    <xf numFmtId="173" fontId="9" fillId="0" borderId="1" xfId="7" applyNumberFormat="1" applyBorder="1" applyAlignment="1"/>
    <xf numFmtId="38" fontId="9" fillId="17" borderId="1" xfId="4" applyNumberFormat="1" applyFill="1" applyBorder="1"/>
    <xf numFmtId="38" fontId="9" fillId="2" borderId="1" xfId="4" applyNumberFormat="1" applyFill="1" applyBorder="1"/>
    <xf numFmtId="171" fontId="29" fillId="0" borderId="0" xfId="4" applyNumberFormat="1" applyFont="1"/>
    <xf numFmtId="173" fontId="29" fillId="0" borderId="0" xfId="4" applyNumberFormat="1" applyFont="1"/>
    <xf numFmtId="38" fontId="29" fillId="0" borderId="0" xfId="4" applyNumberFormat="1" applyFont="1"/>
    <xf numFmtId="0" fontId="9" fillId="0" borderId="0" xfId="4" applyAlignment="1">
      <alignment horizontal="left"/>
    </xf>
    <xf numFmtId="0" fontId="9" fillId="0" borderId="1" xfId="4" applyFont="1" applyFill="1" applyBorder="1" applyAlignment="1">
      <alignment horizontal="left"/>
    </xf>
    <xf numFmtId="179" fontId="0" fillId="0" borderId="0" xfId="4" applyNumberFormat="1" applyFont="1" applyFill="1" applyBorder="1" applyAlignment="1">
      <alignment horizontal="center"/>
    </xf>
    <xf numFmtId="0" fontId="0" fillId="0" borderId="33" xfId="4" applyFont="1" applyFill="1" applyBorder="1" applyAlignment="1">
      <alignment horizontal="right"/>
    </xf>
    <xf numFmtId="38" fontId="9" fillId="0" borderId="33" xfId="6" applyNumberFormat="1" applyFont="1" applyFill="1" applyBorder="1" applyAlignment="1"/>
    <xf numFmtId="0" fontId="9" fillId="0" borderId="0" xfId="4" applyAlignment="1">
      <alignment horizontal="center"/>
    </xf>
    <xf numFmtId="0" fontId="77" fillId="0" borderId="0" xfId="4" applyFont="1"/>
    <xf numFmtId="0" fontId="0" fillId="3" borderId="0" xfId="0" applyFill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165" fontId="6" fillId="3" borderId="2" xfId="1" applyNumberFormat="1" applyFill="1" applyBorder="1" applyAlignment="1">
      <alignment horizontal="center"/>
    </xf>
    <xf numFmtId="38" fontId="9" fillId="7" borderId="1" xfId="4" applyNumberFormat="1" applyFont="1" applyFill="1" applyBorder="1"/>
    <xf numFmtId="38" fontId="9" fillId="7" borderId="1" xfId="4" applyNumberFormat="1" applyFill="1" applyBorder="1"/>
    <xf numFmtId="38" fontId="9" fillId="4" borderId="1" xfId="4" applyNumberFormat="1" applyFill="1" applyBorder="1"/>
    <xf numFmtId="38" fontId="9" fillId="2" borderId="1" xfId="4" applyNumberFormat="1" applyFill="1" applyBorder="1"/>
    <xf numFmtId="17" fontId="0" fillId="0" borderId="1" xfId="4" applyNumberFormat="1" applyFont="1" applyFill="1" applyBorder="1" applyAlignment="1">
      <alignment horizontal="right"/>
    </xf>
    <xf numFmtId="38" fontId="9" fillId="2" borderId="33" xfId="6" applyNumberFormat="1" applyFont="1" applyFill="1" applyBorder="1" applyAlignment="1"/>
    <xf numFmtId="38" fontId="9" fillId="2" borderId="1" xfId="6" applyNumberFormat="1" applyFont="1" applyFill="1" applyBorder="1" applyAlignment="1"/>
    <xf numFmtId="1" fontId="2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64" fontId="2" fillId="3" borderId="5" xfId="0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2" fontId="2" fillId="0" borderId="17" xfId="0" applyNumberFormat="1" applyFont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1" fontId="2" fillId="0" borderId="17" xfId="0" applyNumberFormat="1" applyFont="1" applyBorder="1" applyAlignment="1">
      <alignment horizontal="center"/>
    </xf>
    <xf numFmtId="0" fontId="2" fillId="0" borderId="86" xfId="0" applyFont="1" applyBorder="1" applyAlignment="1">
      <alignment horizontal="center"/>
    </xf>
    <xf numFmtId="1" fontId="0" fillId="3" borderId="95" xfId="0" applyNumberFormat="1" applyFill="1" applyBorder="1" applyAlignment="1">
      <alignment horizontal="center"/>
    </xf>
    <xf numFmtId="9" fontId="0" fillId="0" borderId="0" xfId="108" applyFont="1"/>
    <xf numFmtId="164" fontId="2" fillId="0" borderId="5" xfId="0" applyNumberFormat="1" applyFont="1" applyBorder="1" applyAlignment="1">
      <alignment horizontal="center"/>
    </xf>
    <xf numFmtId="2" fontId="2" fillId="0" borderId="21" xfId="0" applyNumberFormat="1" applyFont="1" applyFill="1" applyBorder="1" applyAlignment="1">
      <alignment horizontal="center"/>
    </xf>
    <xf numFmtId="38" fontId="9" fillId="7" borderId="1" xfId="4" applyNumberFormat="1" applyFont="1" applyFill="1" applyBorder="1"/>
    <xf numFmtId="38" fontId="9" fillId="4" borderId="1" xfId="6" applyNumberFormat="1" applyFont="1" applyFill="1" applyBorder="1" applyAlignment="1"/>
    <xf numFmtId="38" fontId="29" fillId="4" borderId="1" xfId="6" applyFont="1" applyFill="1" applyBorder="1" applyAlignment="1"/>
    <xf numFmtId="40" fontId="29" fillId="4" borderId="1" xfId="6" applyNumberFormat="1" applyFont="1" applyFill="1" applyBorder="1" applyAlignment="1"/>
    <xf numFmtId="164" fontId="2" fillId="3" borderId="17" xfId="0" applyNumberFormat="1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5" fontId="6" fillId="3" borderId="1" xfId="1" applyNumberForma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38" fontId="9" fillId="2" borderId="1" xfId="4" applyNumberFormat="1" applyFont="1" applyFill="1" applyBorder="1"/>
    <xf numFmtId="9" fontId="0" fillId="0" borderId="1" xfId="108" applyFont="1" applyBorder="1"/>
    <xf numFmtId="10" fontId="0" fillId="0" borderId="1" xfId="108" applyNumberFormat="1" applyFont="1" applyBorder="1"/>
    <xf numFmtId="0" fontId="1" fillId="2" borderId="21" xfId="0" applyFont="1" applyFill="1" applyBorder="1" applyAlignment="1">
      <alignment vertical="center" wrapText="1"/>
    </xf>
    <xf numFmtId="164" fontId="1" fillId="44" borderId="20" xfId="0" applyNumberFormat="1" applyFont="1" applyFill="1" applyBorder="1" applyAlignment="1">
      <alignment horizontal="center"/>
    </xf>
    <xf numFmtId="2" fontId="0" fillId="44" borderId="4" xfId="0" applyNumberFormat="1" applyFill="1" applyBorder="1" applyAlignment="1">
      <alignment horizontal="center"/>
    </xf>
    <xf numFmtId="2" fontId="0" fillId="44" borderId="20" xfId="0" applyNumberFormat="1" applyFill="1" applyBorder="1" applyAlignment="1">
      <alignment horizontal="center"/>
    </xf>
    <xf numFmtId="1" fontId="0" fillId="44" borderId="4" xfId="0" applyNumberFormat="1" applyFill="1" applyBorder="1" applyAlignment="1">
      <alignment horizontal="center"/>
    </xf>
    <xf numFmtId="2" fontId="0" fillId="44" borderId="1" xfId="0" applyNumberFormat="1" applyFill="1" applyBorder="1" applyAlignment="1">
      <alignment horizontal="center"/>
    </xf>
    <xf numFmtId="10" fontId="0" fillId="44" borderId="1" xfId="108" applyNumberFormat="1" applyFont="1" applyFill="1" applyBorder="1"/>
    <xf numFmtId="164" fontId="1" fillId="44" borderId="21" xfId="0" applyNumberFormat="1" applyFont="1" applyFill="1" applyBorder="1" applyAlignment="1">
      <alignment horizontal="center"/>
    </xf>
    <xf numFmtId="2" fontId="0" fillId="44" borderId="21" xfId="0" applyNumberFormat="1" applyFill="1" applyBorder="1" applyAlignment="1">
      <alignment horizontal="center"/>
    </xf>
    <xf numFmtId="1" fontId="0" fillId="44" borderId="1" xfId="0" applyNumberFormat="1" applyFill="1" applyBorder="1" applyAlignment="1">
      <alignment horizontal="center"/>
    </xf>
    <xf numFmtId="164" fontId="1" fillId="44" borderId="34" xfId="0" applyNumberFormat="1" applyFont="1" applyFill="1" applyBorder="1" applyAlignment="1">
      <alignment horizontal="center"/>
    </xf>
    <xf numFmtId="2" fontId="0" fillId="44" borderId="3" xfId="0" applyNumberFormat="1" applyFill="1" applyBorder="1" applyAlignment="1">
      <alignment horizontal="center"/>
    </xf>
    <xf numFmtId="2" fontId="0" fillId="44" borderId="34" xfId="0" applyNumberFormat="1" applyFill="1" applyBorder="1" applyAlignment="1">
      <alignment horizontal="center"/>
    </xf>
    <xf numFmtId="1" fontId="0" fillId="44" borderId="3" xfId="0" applyNumberFormat="1" applyFill="1" applyBorder="1" applyAlignment="1">
      <alignment horizontal="center"/>
    </xf>
    <xf numFmtId="10" fontId="0" fillId="44" borderId="4" xfId="108" applyNumberFormat="1" applyFont="1" applyFill="1" applyBorder="1"/>
    <xf numFmtId="0" fontId="1" fillId="2" borderId="34" xfId="0" applyFont="1" applyFill="1" applyBorder="1" applyAlignment="1">
      <alignment horizontal="center"/>
    </xf>
    <xf numFmtId="164" fontId="0" fillId="44" borderId="4" xfId="0" applyNumberFormat="1" applyFill="1" applyBorder="1" applyAlignment="1">
      <alignment horizontal="center"/>
    </xf>
    <xf numFmtId="164" fontId="0" fillId="44" borderId="1" xfId="0" applyNumberFormat="1" applyFill="1" applyBorder="1" applyAlignment="1">
      <alignment horizontal="center"/>
    </xf>
    <xf numFmtId="164" fontId="1" fillId="44" borderId="6" xfId="0" applyNumberFormat="1" applyFont="1" applyFill="1" applyBorder="1" applyAlignment="1">
      <alignment horizontal="center"/>
    </xf>
    <xf numFmtId="1" fontId="0" fillId="44" borderId="91" xfId="0" applyNumberFormat="1" applyFill="1" applyBorder="1" applyAlignment="1">
      <alignment horizontal="center"/>
    </xf>
    <xf numFmtId="164" fontId="1" fillId="44" borderId="18" xfId="0" applyNumberFormat="1" applyFont="1" applyFill="1" applyBorder="1" applyAlignment="1">
      <alignment horizontal="center"/>
    </xf>
    <xf numFmtId="2" fontId="0" fillId="44" borderId="19" xfId="0" applyNumberFormat="1" applyFill="1" applyBorder="1" applyAlignment="1">
      <alignment horizontal="center"/>
    </xf>
    <xf numFmtId="2" fontId="0" fillId="44" borderId="22" xfId="0" applyNumberFormat="1" applyFill="1" applyBorder="1" applyAlignment="1">
      <alignment horizontal="center"/>
    </xf>
    <xf numFmtId="1" fontId="0" fillId="44" borderId="19" xfId="0" applyNumberFormat="1" applyFill="1" applyBorder="1" applyAlignment="1">
      <alignment horizontal="center"/>
    </xf>
    <xf numFmtId="1" fontId="0" fillId="44" borderId="92" xfId="0" applyNumberFormat="1" applyFill="1" applyBorder="1" applyAlignment="1">
      <alignment horizontal="center"/>
    </xf>
    <xf numFmtId="164" fontId="0" fillId="44" borderId="19" xfId="0" applyNumberFormat="1" applyFill="1" applyBorder="1" applyAlignment="1">
      <alignment horizontal="center"/>
    </xf>
    <xf numFmtId="2" fontId="0" fillId="44" borderId="2" xfId="0" applyNumberFormat="1" applyFill="1" applyBorder="1" applyAlignment="1">
      <alignment horizontal="center"/>
    </xf>
    <xf numFmtId="2" fontId="0" fillId="44" borderId="26" xfId="0" applyNumberFormat="1" applyFill="1" applyBorder="1" applyAlignment="1">
      <alignment horizontal="center"/>
    </xf>
    <xf numFmtId="10" fontId="0" fillId="44" borderId="1" xfId="108" applyNumberFormat="1" applyFont="1" applyFill="1" applyBorder="1" applyAlignment="1">
      <alignment horizontal="center"/>
    </xf>
    <xf numFmtId="10" fontId="0" fillId="0" borderId="1" xfId="108" applyNumberFormat="1" applyFont="1" applyBorder="1" applyAlignment="1">
      <alignment horizontal="center"/>
    </xf>
    <xf numFmtId="2" fontId="8" fillId="44" borderId="6" xfId="0" applyNumberFormat="1" applyFont="1" applyFill="1" applyBorder="1" applyAlignment="1">
      <alignment horizontal="center"/>
    </xf>
    <xf numFmtId="1" fontId="8" fillId="44" borderId="1" xfId="0" applyNumberFormat="1" applyFont="1" applyFill="1" applyBorder="1" applyAlignment="1">
      <alignment horizontal="center"/>
    </xf>
    <xf numFmtId="1" fontId="8" fillId="44" borderId="91" xfId="0" applyNumberFormat="1" applyFont="1" applyFill="1" applyBorder="1" applyAlignment="1">
      <alignment horizontal="center"/>
    </xf>
    <xf numFmtId="2" fontId="1" fillId="44" borderId="20" xfId="0" applyNumberFormat="1" applyFont="1" applyFill="1" applyBorder="1" applyAlignment="1">
      <alignment horizontal="center"/>
    </xf>
    <xf numFmtId="2" fontId="1" fillId="44" borderId="21" xfId="0" applyNumberFormat="1" applyFont="1" applyFill="1" applyBorder="1" applyAlignment="1">
      <alignment horizontal="center"/>
    </xf>
    <xf numFmtId="2" fontId="1" fillId="44" borderId="34" xfId="0" applyNumberFormat="1" applyFont="1" applyFill="1" applyBorder="1" applyAlignment="1">
      <alignment horizontal="center"/>
    </xf>
    <xf numFmtId="164" fontId="0" fillId="44" borderId="3" xfId="0" applyNumberFormat="1" applyFill="1" applyBorder="1" applyAlignment="1">
      <alignment horizontal="center"/>
    </xf>
    <xf numFmtId="2" fontId="1" fillId="44" borderId="27" xfId="0" applyNumberFormat="1" applyFont="1" applyFill="1" applyBorder="1" applyAlignment="1">
      <alignment horizontal="center"/>
    </xf>
    <xf numFmtId="1" fontId="0" fillId="44" borderId="24" xfId="0" applyNumberFormat="1" applyFill="1" applyBorder="1" applyAlignment="1">
      <alignment horizontal="center"/>
    </xf>
    <xf numFmtId="0" fontId="1" fillId="0" borderId="1" xfId="0" applyFont="1" applyBorder="1"/>
    <xf numFmtId="0" fontId="1" fillId="45" borderId="1" xfId="0" applyFont="1" applyFill="1" applyBorder="1"/>
    <xf numFmtId="0" fontId="5" fillId="0" borderId="0" xfId="0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/>
    <xf numFmtId="1" fontId="0" fillId="0" borderId="1" xfId="0" applyNumberForma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/>
    </xf>
    <xf numFmtId="0" fontId="0" fillId="47" borderId="1" xfId="0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2" fontId="80" fillId="3" borderId="15" xfId="4" applyNumberFormat="1" applyFont="1" applyFill="1" applyBorder="1" applyAlignment="1">
      <alignment horizontal="center"/>
    </xf>
    <xf numFmtId="2" fontId="80" fillId="3" borderId="81" xfId="4" applyNumberFormat="1" applyFont="1" applyFill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2" fontId="80" fillId="0" borderId="18" xfId="4" applyNumberFormat="1" applyFont="1" applyFill="1" applyBorder="1" applyAlignment="1">
      <alignment horizontal="center"/>
    </xf>
    <xf numFmtId="185" fontId="80" fillId="3" borderId="15" xfId="4" applyNumberFormat="1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40" fontId="9" fillId="4" borderId="1" xfId="5" applyNumberFormat="1" applyFill="1" applyBorder="1">
      <alignment vertical="center"/>
    </xf>
    <xf numFmtId="0" fontId="14" fillId="7" borderId="25" xfId="4" applyFont="1" applyFill="1" applyBorder="1" applyAlignment="1">
      <alignment horizontal="center"/>
    </xf>
    <xf numFmtId="0" fontId="14" fillId="7" borderId="21" xfId="4" applyFont="1" applyFill="1" applyBorder="1" applyAlignment="1">
      <alignment horizontal="center"/>
    </xf>
    <xf numFmtId="0" fontId="10" fillId="0" borderId="0" xfId="4" applyFont="1" applyAlignment="1">
      <alignment horizontal="right" shrinkToFit="1"/>
    </xf>
    <xf numFmtId="0" fontId="10" fillId="0" borderId="0" xfId="4" applyFont="1" applyAlignment="1">
      <alignment horizontal="center" vertical="center" shrinkToFit="1"/>
    </xf>
    <xf numFmtId="0" fontId="11" fillId="0" borderId="0" xfId="4" applyFont="1" applyAlignment="1">
      <alignment horizontal="center" vertical="center" shrinkToFit="1"/>
    </xf>
    <xf numFmtId="166" fontId="11" fillId="0" borderId="0" xfId="4" applyNumberFormat="1" applyFont="1" applyAlignment="1">
      <alignment horizontal="left"/>
    </xf>
    <xf numFmtId="0" fontId="14" fillId="0" borderId="31" xfId="4" applyFont="1" applyBorder="1" applyAlignment="1">
      <alignment horizontal="center"/>
    </xf>
    <xf numFmtId="0" fontId="14" fillId="0" borderId="32" xfId="4" applyFont="1" applyBorder="1" applyAlignment="1">
      <alignment horizontal="center"/>
    </xf>
    <xf numFmtId="0" fontId="14" fillId="0" borderId="30" xfId="4" applyFont="1" applyBorder="1" applyAlignment="1">
      <alignment horizontal="center"/>
    </xf>
    <xf numFmtId="0" fontId="14" fillId="0" borderId="28" xfId="4" applyFont="1" applyBorder="1" applyAlignment="1">
      <alignment horizontal="center"/>
    </xf>
    <xf numFmtId="0" fontId="78" fillId="0" borderId="0" xfId="3" applyFont="1" applyAlignment="1">
      <alignment horizontal="left"/>
    </xf>
    <xf numFmtId="0" fontId="27" fillId="15" borderId="25" xfId="4" applyFont="1" applyFill="1" applyBorder="1" applyAlignment="1">
      <alignment horizontal="center"/>
    </xf>
    <xf numFmtId="0" fontId="9" fillId="0" borderId="57" xfId="4" applyBorder="1"/>
    <xf numFmtId="0" fontId="9" fillId="0" borderId="21" xfId="4" applyBorder="1"/>
    <xf numFmtId="0" fontId="27" fillId="0" borderId="25" xfId="4" applyFont="1" applyBorder="1" applyAlignment="1">
      <alignment horizontal="center" wrapText="1"/>
    </xf>
    <xf numFmtId="0" fontId="9" fillId="0" borderId="57" xfId="4" applyBorder="1" applyAlignment="1">
      <alignment horizontal="center" wrapText="1"/>
    </xf>
    <xf numFmtId="0" fontId="9" fillId="0" borderId="21" xfId="4" applyBorder="1" applyAlignment="1">
      <alignment horizontal="center" wrapText="1"/>
    </xf>
    <xf numFmtId="14" fontId="0" fillId="4" borderId="0" xfId="4" applyNumberFormat="1" applyFont="1" applyFill="1" applyAlignment="1">
      <alignment horizontal="left"/>
    </xf>
    <xf numFmtId="0" fontId="9" fillId="0" borderId="0" xfId="5" applyAlignment="1">
      <alignment horizontal="left"/>
    </xf>
    <xf numFmtId="0" fontId="17" fillId="0" borderId="28" xfId="4" applyFont="1" applyFill="1" applyBorder="1" applyAlignment="1"/>
    <xf numFmtId="0" fontId="9" fillId="5" borderId="25" xfId="4" applyFont="1" applyFill="1" applyBorder="1" applyAlignment="1">
      <alignment horizontal="center"/>
    </xf>
    <xf numFmtId="0" fontId="9" fillId="5" borderId="57" xfId="4" applyFont="1" applyFill="1" applyBorder="1" applyAlignment="1">
      <alignment horizontal="center"/>
    </xf>
    <xf numFmtId="0" fontId="9" fillId="5" borderId="21" xfId="4" applyFont="1" applyFill="1" applyBorder="1" applyAlignment="1">
      <alignment horizontal="center"/>
    </xf>
    <xf numFmtId="0" fontId="9" fillId="9" borderId="57" xfId="4" applyFont="1" applyFill="1" applyBorder="1" applyAlignment="1">
      <alignment horizontal="center"/>
    </xf>
    <xf numFmtId="0" fontId="9" fillId="9" borderId="57" xfId="4" applyFill="1" applyBorder="1" applyAlignment="1">
      <alignment horizontal="center"/>
    </xf>
    <xf numFmtId="0" fontId="38" fillId="10" borderId="25" xfId="4" applyFont="1" applyFill="1" applyBorder="1" applyAlignment="1">
      <alignment horizontal="center"/>
    </xf>
    <xf numFmtId="0" fontId="38" fillId="10" borderId="57" xfId="4" applyFont="1" applyFill="1" applyBorder="1" applyAlignment="1">
      <alignment horizontal="center"/>
    </xf>
    <xf numFmtId="0" fontId="38" fillId="10" borderId="21" xfId="4" applyFont="1" applyFill="1" applyBorder="1" applyAlignment="1">
      <alignment horizontal="center"/>
    </xf>
    <xf numFmtId="166" fontId="15" fillId="0" borderId="0" xfId="4" applyNumberFormat="1" applyFont="1" applyAlignment="1">
      <alignment horizontal="center"/>
    </xf>
    <xf numFmtId="0" fontId="9" fillId="0" borderId="25" xfId="4" applyFont="1" applyBorder="1" applyAlignment="1">
      <alignment horizontal="center"/>
    </xf>
    <xf numFmtId="0" fontId="9" fillId="0" borderId="21" xfId="4" applyFont="1" applyBorder="1" applyAlignment="1">
      <alignment horizontal="center"/>
    </xf>
    <xf numFmtId="0" fontId="14" fillId="7" borderId="1" xfId="4" applyFont="1" applyFill="1" applyBorder="1" applyAlignment="1">
      <alignment horizontal="center"/>
    </xf>
    <xf numFmtId="0" fontId="10" fillId="0" borderId="0" xfId="4" applyFont="1" applyAlignment="1">
      <alignment horizontal="left" vertical="center" shrinkToFit="1"/>
    </xf>
    <xf numFmtId="0" fontId="27" fillId="15" borderId="57" xfId="4" applyFont="1" applyFill="1" applyBorder="1" applyAlignment="1">
      <alignment horizontal="center"/>
    </xf>
    <xf numFmtId="0" fontId="27" fillId="15" borderId="21" xfId="4" applyFont="1" applyFill="1" applyBorder="1" applyAlignment="1">
      <alignment horizontal="center"/>
    </xf>
    <xf numFmtId="0" fontId="0" fillId="0" borderId="25" xfId="4" applyFont="1" applyBorder="1" applyAlignment="1">
      <alignment horizontal="center" wrapText="1"/>
    </xf>
    <xf numFmtId="0" fontId="9" fillId="0" borderId="57" xfId="4" applyFont="1" applyBorder="1" applyAlignment="1">
      <alignment horizontal="center" wrapText="1"/>
    </xf>
    <xf numFmtId="0" fontId="9" fillId="0" borderId="21" xfId="4" applyFont="1" applyBorder="1" applyAlignment="1">
      <alignment horizontal="center" wrapText="1"/>
    </xf>
    <xf numFmtId="14" fontId="9" fillId="4" borderId="0" xfId="4" applyNumberFormat="1" applyFill="1" applyAlignment="1">
      <alignment horizontal="left"/>
    </xf>
    <xf numFmtId="0" fontId="1" fillId="2" borderId="81" xfId="0" applyFont="1" applyFill="1" applyBorder="1" applyAlignment="1">
      <alignment horizontal="center" vertical="center" wrapText="1"/>
    </xf>
    <xf numFmtId="0" fontId="1" fillId="2" borderId="80" xfId="0" applyFont="1" applyFill="1" applyBorder="1" applyAlignment="1">
      <alignment horizontal="center" vertical="center" wrapText="1"/>
    </xf>
    <xf numFmtId="0" fontId="1" fillId="2" borderId="82" xfId="0" applyFont="1" applyFill="1" applyBorder="1" applyAlignment="1">
      <alignment horizontal="center"/>
    </xf>
    <xf numFmtId="0" fontId="1" fillId="2" borderId="83" xfId="0" applyFont="1" applyFill="1" applyBorder="1" applyAlignment="1">
      <alignment horizontal="center"/>
    </xf>
    <xf numFmtId="0" fontId="1" fillId="2" borderId="84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93" xfId="0" applyFont="1" applyFill="1" applyBorder="1" applyAlignment="1">
      <alignment horizontal="center"/>
    </xf>
    <xf numFmtId="0" fontId="1" fillId="2" borderId="78" xfId="0" applyFont="1" applyFill="1" applyBorder="1" applyAlignment="1">
      <alignment horizontal="center" vertical="center" wrapText="1"/>
    </xf>
    <xf numFmtId="0" fontId="1" fillId="2" borderId="79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89" xfId="0" applyFont="1" applyFill="1" applyBorder="1" applyAlignment="1">
      <alignment horizontal="center" vertical="center" wrapText="1"/>
    </xf>
    <xf numFmtId="0" fontId="1" fillId="2" borderId="8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94" xfId="0" applyFont="1" applyFill="1" applyBorder="1" applyAlignment="1">
      <alignment horizontal="center" vertical="center" wrapText="1"/>
    </xf>
    <xf numFmtId="0" fontId="1" fillId="2" borderId="90" xfId="0" applyFont="1" applyFill="1" applyBorder="1" applyAlignment="1">
      <alignment horizontal="center" vertical="center" wrapText="1"/>
    </xf>
    <xf numFmtId="0" fontId="1" fillId="2" borderId="9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4" xfId="0" applyFont="1" applyFill="1" applyBorder="1" applyAlignment="1">
      <alignment horizontal="center" vertical="center"/>
    </xf>
    <xf numFmtId="0" fontId="1" fillId="2" borderId="80" xfId="0" applyFont="1" applyFill="1" applyBorder="1" applyAlignment="1">
      <alignment horizontal="center" vertical="center"/>
    </xf>
    <xf numFmtId="0" fontId="1" fillId="2" borderId="101" xfId="0" applyFont="1" applyFill="1" applyBorder="1" applyAlignment="1">
      <alignment horizontal="center" vertical="center"/>
    </xf>
    <xf numFmtId="0" fontId="1" fillId="2" borderId="102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2" borderId="90" xfId="0" applyFont="1" applyFill="1" applyBorder="1" applyAlignment="1">
      <alignment horizontal="center" vertical="center"/>
    </xf>
    <xf numFmtId="0" fontId="1" fillId="2" borderId="9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85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87" xfId="0" applyFont="1" applyFill="1" applyBorder="1" applyAlignment="1">
      <alignment horizontal="center" vertical="center" wrapText="1"/>
    </xf>
    <xf numFmtId="0" fontId="1" fillId="2" borderId="86" xfId="0" applyFont="1" applyFill="1" applyBorder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 wrapText="1"/>
    </xf>
    <xf numFmtId="0" fontId="1" fillId="2" borderId="97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6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85" xfId="0" applyFont="1" applyFill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98" xfId="0" applyFont="1" applyFill="1" applyBorder="1" applyAlignment="1">
      <alignment horizontal="center" vertical="center" wrapText="1"/>
    </xf>
    <xf numFmtId="0" fontId="1" fillId="2" borderId="99" xfId="0" applyFont="1" applyFill="1" applyBorder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/>
    </xf>
    <xf numFmtId="0" fontId="1" fillId="2" borderId="97" xfId="0" applyFont="1" applyFill="1" applyBorder="1" applyAlignment="1">
      <alignment horizontal="center" vertical="center"/>
    </xf>
    <xf numFmtId="0" fontId="1" fillId="2" borderId="87" xfId="0" applyFont="1" applyFill="1" applyBorder="1" applyAlignment="1">
      <alignment horizontal="center"/>
    </xf>
    <xf numFmtId="0" fontId="1" fillId="2" borderId="88" xfId="0" applyFont="1" applyFill="1" applyBorder="1" applyAlignment="1">
      <alignment horizontal="center"/>
    </xf>
    <xf numFmtId="0" fontId="1" fillId="2" borderId="85" xfId="0" applyFont="1" applyFill="1" applyBorder="1" applyAlignment="1">
      <alignment horizontal="center"/>
    </xf>
    <xf numFmtId="0" fontId="0" fillId="46" borderId="1" xfId="0" applyFill="1" applyBorder="1" applyAlignment="1">
      <alignment horizontal="center" vertical="center"/>
    </xf>
    <xf numFmtId="0" fontId="0" fillId="46" borderId="1" xfId="0" applyFill="1" applyBorder="1" applyAlignment="1">
      <alignment horizontal="center" vertical="center" wrapText="1"/>
    </xf>
    <xf numFmtId="0" fontId="81" fillId="2" borderId="1" xfId="0" applyFont="1" applyFill="1" applyBorder="1" applyAlignment="1">
      <alignment horizontal="center" vertical="center"/>
    </xf>
    <xf numFmtId="0" fontId="81" fillId="2" borderId="1" xfId="0" applyFont="1" applyFill="1" applyBorder="1" applyAlignment="1">
      <alignment horizontal="center" vertical="center" wrapText="1"/>
    </xf>
    <xf numFmtId="0" fontId="81" fillId="2" borderId="1" xfId="0" applyFont="1" applyFill="1" applyBorder="1" applyAlignment="1">
      <alignment horizontal="center"/>
    </xf>
  </cellXfs>
  <cellStyles count="109">
    <cellStyle name="､@ｯ・､ｭ､ " xfId="8" xr:uid="{00000000-0005-0000-0000-000000000000}"/>
    <cellStyle name="､@ｯ・ｰl･[ｨ｣ｿn" xfId="9" xr:uid="{00000000-0005-0000-0000-000001000000}"/>
    <cellStyle name="､@ｯ・Sheet1" xfId="10" xr:uid="{00000000-0005-0000-0000-000002000000}"/>
    <cellStyle name="､d､ﾀｦ・､ｭ､ " xfId="11" xr:uid="{00000000-0005-0000-0000-000003000000}"/>
    <cellStyle name="､d､ﾀｦ・0]_､ｭ､ " xfId="12" xr:uid="{00000000-0005-0000-0000-000004000000}"/>
    <cellStyle name="､d､ﾀｦ・Sheet1" xfId="13" xr:uid="{00000000-0005-0000-0000-000005000000}"/>
    <cellStyle name="??_???????" xfId="14" xr:uid="{00000000-0005-0000-0000-000006000000}"/>
    <cellStyle name="??? [0.00]_076WEPD" xfId="15" xr:uid="{00000000-0005-0000-0000-000007000000}"/>
    <cellStyle name="???_076WEPD" xfId="16" xr:uid="{00000000-0005-0000-0000-000008000000}"/>
    <cellStyle name="?@???-? " xfId="17" xr:uid="{00000000-0005-0000-0000-000009000000}"/>
    <cellStyle name="?@??Sheet1" xfId="18" xr:uid="{00000000-0005-0000-0000-00000A000000}"/>
    <cellStyle name="?@￣・?-? " xfId="19" xr:uid="{00000000-0005-0000-0000-00000B000000}"/>
    <cellStyle name="?@￣・Sheet1" xfId="20" xr:uid="{00000000-0005-0000-0000-00000C000000}"/>
    <cellStyle name="?d?A|??-? " xfId="21" xr:uid="{00000000-0005-0000-0000-00000D000000}"/>
    <cellStyle name="?d?A|?0]_?-? " xfId="22" xr:uid="{00000000-0005-0000-0000-00000E000000}"/>
    <cellStyle name="?d?A|?Sheet1" xfId="23" xr:uid="{00000000-0005-0000-0000-00000F000000}"/>
    <cellStyle name="?d?A|・?-? " xfId="24" xr:uid="{00000000-0005-0000-0000-000010000000}"/>
    <cellStyle name="?d?A|・0]_?-? " xfId="25" xr:uid="{00000000-0005-0000-0000-000011000000}"/>
    <cellStyle name="?d?A|・Sheet1" xfId="26" xr:uid="{00000000-0005-0000-0000-000012000000}"/>
    <cellStyle name="20% - アクセント 1" xfId="27" xr:uid="{00000000-0005-0000-0000-000013000000}"/>
    <cellStyle name="20% - アクセント 2" xfId="28" xr:uid="{00000000-0005-0000-0000-000014000000}"/>
    <cellStyle name="20% - アクセント 3" xfId="29" xr:uid="{00000000-0005-0000-0000-000015000000}"/>
    <cellStyle name="20% - アクセント 4" xfId="30" xr:uid="{00000000-0005-0000-0000-000016000000}"/>
    <cellStyle name="20% - アクセント 5" xfId="31" xr:uid="{00000000-0005-0000-0000-000017000000}"/>
    <cellStyle name="20% - アクセント 6" xfId="32" xr:uid="{00000000-0005-0000-0000-000018000000}"/>
    <cellStyle name="3f1?[0]_?-? " xfId="33" xr:uid="{00000000-0005-0000-0000-000019000000}"/>
    <cellStyle name="3f1・[0]_?-? " xfId="34" xr:uid="{00000000-0005-0000-0000-00001A000000}"/>
    <cellStyle name="3f1o_?-? " xfId="35" xr:uid="{00000000-0005-0000-0000-00001B000000}"/>
    <cellStyle name="40% - アクセント 1" xfId="36" xr:uid="{00000000-0005-0000-0000-00001C000000}"/>
    <cellStyle name="40% - アクセント 2" xfId="37" xr:uid="{00000000-0005-0000-0000-00001D000000}"/>
    <cellStyle name="40% - アクセント 3" xfId="38" xr:uid="{00000000-0005-0000-0000-00001E000000}"/>
    <cellStyle name="40% - アクセント 4" xfId="39" xr:uid="{00000000-0005-0000-0000-00001F000000}"/>
    <cellStyle name="40% - アクセント 5" xfId="40" xr:uid="{00000000-0005-0000-0000-000020000000}"/>
    <cellStyle name="40% - アクセント 6" xfId="41" xr:uid="{00000000-0005-0000-0000-000021000000}"/>
    <cellStyle name="510T" xfId="42" xr:uid="{00000000-0005-0000-0000-000022000000}"/>
    <cellStyle name="60% - アクセント 1" xfId="43" xr:uid="{00000000-0005-0000-0000-000023000000}"/>
    <cellStyle name="60% - アクセント 2" xfId="44" xr:uid="{00000000-0005-0000-0000-000024000000}"/>
    <cellStyle name="60% - アクセント 3" xfId="45" xr:uid="{00000000-0005-0000-0000-000025000000}"/>
    <cellStyle name="60% - アクセント 4" xfId="46" xr:uid="{00000000-0005-0000-0000-000026000000}"/>
    <cellStyle name="60% - アクセント 5" xfId="47" xr:uid="{00000000-0005-0000-0000-000027000000}"/>
    <cellStyle name="60% - アクセント 6" xfId="48" xr:uid="{00000000-0005-0000-0000-000028000000}"/>
    <cellStyle name="Comma [0] 2" xfId="2" xr:uid="{00000000-0005-0000-0000-000029000000}"/>
    <cellStyle name="Comma [0] 3" xfId="6" xr:uid="{00000000-0005-0000-0000-00002A000000}"/>
    <cellStyle name="Comma0" xfId="49" xr:uid="{00000000-0005-0000-0000-00002B000000}"/>
    <cellStyle name="Currency0" xfId="50" xr:uid="{00000000-0005-0000-0000-00002C000000}"/>
    <cellStyle name="Date" xfId="51" xr:uid="{00000000-0005-0000-0000-00002D000000}"/>
    <cellStyle name="Excel.Chart" xfId="52" xr:uid="{00000000-0005-0000-0000-00002E000000}"/>
    <cellStyle name="Fixed" xfId="53" xr:uid="{00000000-0005-0000-0000-00002F000000}"/>
    <cellStyle name="Grey" xfId="54" xr:uid="{00000000-0005-0000-0000-000030000000}"/>
    <cellStyle name="Input [yellow]" xfId="55" xr:uid="{00000000-0005-0000-0000-000031000000}"/>
    <cellStyle name="Milliers [0]_AR1194" xfId="56" xr:uid="{00000000-0005-0000-0000-000032000000}"/>
    <cellStyle name="Milliers_AR1194" xfId="57" xr:uid="{00000000-0005-0000-0000-000033000000}"/>
    <cellStyle name="Mon騁aire [0]_AR1194" xfId="58" xr:uid="{00000000-0005-0000-0000-000034000000}"/>
    <cellStyle name="Mon騁aire_AR1194" xfId="59" xr:uid="{00000000-0005-0000-0000-000035000000}"/>
    <cellStyle name="Non" xfId="60" xr:uid="{00000000-0005-0000-0000-000036000000}"/>
    <cellStyle name="Normal" xfId="0" builtinId="0"/>
    <cellStyle name="Normal - Style1" xfId="61" xr:uid="{00000000-0005-0000-0000-000038000000}"/>
    <cellStyle name="Normal 2" xfId="1" xr:uid="{00000000-0005-0000-0000-000039000000}"/>
    <cellStyle name="Normal 3" xfId="5" xr:uid="{00000000-0005-0000-0000-00003A000000}"/>
    <cellStyle name="P1D" xfId="62" xr:uid="{00000000-0005-0000-0000-00003B000000}"/>
    <cellStyle name="Percent" xfId="108" builtinId="5"/>
    <cellStyle name="Percent [2]" xfId="63" xr:uid="{00000000-0005-0000-0000-00003D000000}"/>
    <cellStyle name="Percent 2" xfId="7" xr:uid="{00000000-0005-0000-0000-00003E000000}"/>
    <cellStyle name="S1D" xfId="64" xr:uid="{00000000-0005-0000-0000-00003F000000}"/>
    <cellStyle name="siki" xfId="65" xr:uid="{00000000-0005-0000-0000-000040000000}"/>
    <cellStyle name="STEP1" xfId="66" xr:uid="{00000000-0005-0000-0000-000041000000}"/>
    <cellStyle name="STEP2" xfId="67" xr:uid="{00000000-0005-0000-0000-000042000000}"/>
    <cellStyle name="アクセント 1" xfId="68" xr:uid="{00000000-0005-0000-0000-000043000000}"/>
    <cellStyle name="アクセント 2" xfId="69" xr:uid="{00000000-0005-0000-0000-000044000000}"/>
    <cellStyle name="アクセント 3" xfId="70" xr:uid="{00000000-0005-0000-0000-000045000000}"/>
    <cellStyle name="アクセント 4" xfId="71" xr:uid="{00000000-0005-0000-0000-000046000000}"/>
    <cellStyle name="アクセント 5" xfId="72" xr:uid="{00000000-0005-0000-0000-000047000000}"/>
    <cellStyle name="アクセント 6" xfId="73" xr:uid="{00000000-0005-0000-0000-000048000000}"/>
    <cellStyle name="ｳfｹ・[0]_､ｭ､ " xfId="74" xr:uid="{00000000-0005-0000-0000-000049000000}"/>
    <cellStyle name="ｳfｹ､ｭ､ " xfId="75" xr:uid="{00000000-0005-0000-0000-00004A000000}"/>
    <cellStyle name="ｳfｹSheet1" xfId="76" xr:uid="{00000000-0005-0000-0000-00004B000000}"/>
    <cellStyle name="タイトル" xfId="77" xr:uid="{00000000-0005-0000-0000-00004C000000}"/>
    <cellStyle name="チェック セル" xfId="78" xr:uid="{00000000-0005-0000-0000-00004D000000}"/>
    <cellStyle name="どちらでもない" xfId="79" xr:uid="{00000000-0005-0000-0000-00004E000000}"/>
    <cellStyle name="メモ" xfId="80" xr:uid="{00000000-0005-0000-0000-00004F000000}"/>
    <cellStyle name="リンク セル" xfId="81" xr:uid="{00000000-0005-0000-0000-000050000000}"/>
    <cellStyle name="? [0.00]_076WEPD" xfId="82" xr:uid="{00000000-0005-0000-0000-000051000000}"/>
    <cellStyle name="?_076WEPD" xfId="83" xr:uid="{00000000-0005-0000-0000-000052000000}"/>
    <cellStyle name="一般_428Npress(000307)list-song" xfId="84" xr:uid="{00000000-0005-0000-0000-000053000000}"/>
    <cellStyle name="不要処理" xfId="85" xr:uid="{00000000-0005-0000-0000-000054000000}"/>
    <cellStyle name="入力" xfId="86" xr:uid="{00000000-0005-0000-0000-000055000000}"/>
    <cellStyle name="出力" xfId="87" xr:uid="{00000000-0005-0000-0000-000056000000}"/>
    <cellStyle name="千分位[0]_428Npress(000307)list-song" xfId="88" xr:uid="{00000000-0005-0000-0000-000057000000}"/>
    <cellStyle name="千分位_428Npress(000307)list-song" xfId="89" xr:uid="{00000000-0005-0000-0000-000058000000}"/>
    <cellStyle name="帳票" xfId="90" xr:uid="{00000000-0005-0000-0000-000059000000}"/>
    <cellStyle name="悪い" xfId="91" xr:uid="{00000000-0005-0000-0000-00005A000000}"/>
    <cellStyle name="桁蟻唇Ｆ [0.00]_076WEPD" xfId="92" xr:uid="{00000000-0005-0000-0000-00005B000000}"/>
    <cellStyle name="桁蟻唇Ｆ_076WEPD" xfId="93" xr:uid="{00000000-0005-0000-0000-00005C000000}"/>
    <cellStyle name="標準_☆★ＴＴＳＣＡ生産グラフ２００６・６ (2)" xfId="3" xr:uid="{00000000-0005-0000-0000-00005D000000}"/>
    <cellStyle name="標準_TTSAP BL（2010年08月度） (10)" xfId="4" xr:uid="{00000000-0005-0000-0000-00005E000000}"/>
    <cellStyle name="標準8" xfId="94" xr:uid="{00000000-0005-0000-0000-00005F000000}"/>
    <cellStyle name="脱浦 [0.00]_076WEPD" xfId="95" xr:uid="{00000000-0005-0000-0000-000060000000}"/>
    <cellStyle name="脱浦_076WEPD" xfId="96" xr:uid="{00000000-0005-0000-0000-000061000000}"/>
    <cellStyle name="良い" xfId="97" xr:uid="{00000000-0005-0000-0000-000062000000}"/>
    <cellStyle name="見出し 1" xfId="98" xr:uid="{00000000-0005-0000-0000-000063000000}"/>
    <cellStyle name="見出し 2" xfId="99" xr:uid="{00000000-0005-0000-0000-000064000000}"/>
    <cellStyle name="見出し 3" xfId="100" xr:uid="{00000000-0005-0000-0000-000065000000}"/>
    <cellStyle name="見出し 4" xfId="101" xr:uid="{00000000-0005-0000-0000-000066000000}"/>
    <cellStyle name="計算" xfId="102" xr:uid="{00000000-0005-0000-0000-000067000000}"/>
    <cellStyle name="説明文" xfId="103" xr:uid="{00000000-0005-0000-0000-000068000000}"/>
    <cellStyle name="警告文" xfId="104" xr:uid="{00000000-0005-0000-0000-000069000000}"/>
    <cellStyle name="貨幣 [0]_428Npress(000307)list-song" xfId="105" xr:uid="{00000000-0005-0000-0000-00006A000000}"/>
    <cellStyle name="貨幣_428Npress(000307)list-song" xfId="106" xr:uid="{00000000-0005-0000-0000-00006B000000}"/>
    <cellStyle name="集計" xfId="107" xr:uid="{00000000-0005-0000-0000-00006C000000}"/>
  </cellStyles>
  <dxfs count="874"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</dxfs>
  <tableStyles count="0" defaultTableStyle="TableStyleMedium2" defaultPivotStyle="PivotStyleLight16"/>
  <colors>
    <mruColors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305828019846261E-2"/>
          <c:y val="0.1047370280637997"/>
          <c:w val="0.89835280479536839"/>
          <c:h val="0.72397103224853776"/>
        </c:manualLayout>
      </c:layout>
      <c:lineChart>
        <c:grouping val="standard"/>
        <c:varyColors val="0"/>
        <c:ser>
          <c:idx val="2"/>
          <c:order val="0"/>
          <c:tx>
            <c:strRef>
              <c:f>'SQ(Total) Data'!$F$8</c:f>
              <c:strCache>
                <c:ptCount val="1"/>
                <c:pt idx="0">
                  <c:v>Accumulated Strokes/Day (Planned)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3.3287101248266296E-2"/>
                  <c:y val="-5.7971014492753575E-2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rgbClr val="0000FF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9A-427F-9E94-42F8529FB08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'SQ(Total)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'SQ(Total) Data'!$F$9:$F$39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9A-427F-9E94-42F8529FB086}"/>
            </c:ext>
          </c:extLst>
        </c:ser>
        <c:ser>
          <c:idx val="4"/>
          <c:order val="1"/>
          <c:tx>
            <c:strRef>
              <c:f>'SQ(Total) Data'!$H$8</c:f>
              <c:strCache>
                <c:ptCount val="1"/>
                <c:pt idx="0">
                  <c:v>Accumulated Strokes (Actual)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2.9759775173734352E-2"/>
                  <c:y val="0.1081107549303372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9A-427F-9E94-42F8529FB08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'SQ(Total)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'SQ(Total) Data'!$H$9:$H$39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9A-427F-9E94-42F8529FB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67168"/>
        <c:axId val="35697792"/>
      </c:lineChart>
      <c:catAx>
        <c:axId val="405671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5697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792"/>
        <c:scaling>
          <c:orientation val="minMax"/>
          <c:max val="2500000"/>
          <c:min val="0"/>
        </c:scaling>
        <c:delete val="0"/>
        <c:axPos val="l"/>
        <c:majorGridlines/>
        <c:minorGridlines/>
        <c:title>
          <c:tx>
            <c:rich>
              <a:bodyPr rot="0" vert="horz"/>
              <a:lstStyle/>
              <a:p>
                <a:pPr algn="ctr">
                  <a:defRPr sz="9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(ST/M)</a:t>
                </a:r>
              </a:p>
            </c:rich>
          </c:tx>
          <c:layout>
            <c:manualLayout>
              <c:xMode val="edge"/>
              <c:yMode val="edge"/>
              <c:x val="6.7141673341030526E-3"/>
              <c:y val="2.479355945891379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4056716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805362921867774E-2"/>
          <c:y val="0.10604794953990436"/>
          <c:w val="0.30594078652789758"/>
          <c:h val="0.217948717948717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000000000000078" r="0.75000000000000078" t="1" header="0.51200000000000001" footer="0.51200000000000001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918169690221382E-2"/>
          <c:y val="0.140192011030733"/>
          <c:w val="0.91296994653192853"/>
          <c:h val="0.7009600551536651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'SQ(Total) Data'!$L$8</c:f>
              <c:strCache>
                <c:ptCount val="1"/>
                <c:pt idx="0">
                  <c:v>ＧＳＰＨ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-3.013603882039017E-3"/>
                  <c:y val="1.966420208667180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C-4B8E-A364-010A660C1E4B}"/>
                </c:ext>
              </c:extLst>
            </c:dLbl>
            <c:dLbl>
              <c:idx val="1"/>
              <c:layout>
                <c:manualLayout>
                  <c:x val="-1.8492834026814608E-3"/>
                  <c:y val="1.69312112881852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C-4B8E-A364-010A660C1E4B}"/>
                </c:ext>
              </c:extLst>
            </c:dLbl>
            <c:dLbl>
              <c:idx val="3"/>
              <c:layout>
                <c:manualLayout>
                  <c:x val="-1.7636630372659728E-3"/>
                  <c:y val="-3.493228848650969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C-4B8E-A364-010A660C1E4B}"/>
                </c:ext>
              </c:extLst>
            </c:dLbl>
            <c:dLbl>
              <c:idx val="4"/>
              <c:layout>
                <c:manualLayout>
                  <c:x val="-1.7383746197305533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C-4B8E-A364-010A660C1E4B}"/>
                </c:ext>
              </c:extLst>
            </c:dLbl>
            <c:dLbl>
              <c:idx val="5"/>
              <c:layout>
                <c:manualLayout>
                  <c:x val="5.5478502080443829E-3"/>
                  <c:y val="-4.23280282204630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C-4B8E-A364-010A660C1E4B}"/>
                </c:ext>
              </c:extLst>
            </c:dLbl>
            <c:dLbl>
              <c:idx val="6"/>
              <c:layout>
                <c:manualLayout>
                  <c:x val="3.3903137397223838E-17"/>
                  <c:y val="2.1164014110231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C-4B8E-A364-010A660C1E4B}"/>
                </c:ext>
              </c:extLst>
            </c:dLbl>
            <c:dLbl>
              <c:idx val="8"/>
              <c:layout>
                <c:manualLayout>
                  <c:x val="-3.6985668053629217E-3"/>
                  <c:y val="8.46560564409260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C-4B8E-A364-010A660C1E4B}"/>
                </c:ext>
              </c:extLst>
            </c:dLbl>
            <c:dLbl>
              <c:idx val="9"/>
              <c:layout>
                <c:manualLayout>
                  <c:x val="1.8492834026814608E-3"/>
                  <c:y val="-4.23280282204630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C-4B8E-A364-010A660C1E4B}"/>
                </c:ext>
              </c:extLst>
            </c:dLbl>
            <c:dLbl>
              <c:idx val="10"/>
              <c:layout>
                <c:manualLayout>
                  <c:x val="0"/>
                  <c:y val="2.1164014110231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C-4B8E-A364-010A660C1E4B}"/>
                </c:ext>
              </c:extLst>
            </c:dLbl>
            <c:dLbl>
              <c:idx val="11"/>
              <c:layout>
                <c:manualLayout>
                  <c:x val="0"/>
                  <c:y val="-1.69312112881852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C-4B8E-A364-010A660C1E4B}"/>
                </c:ext>
              </c:extLst>
            </c:dLbl>
            <c:dLbl>
              <c:idx val="12"/>
              <c:layout>
                <c:manualLayout>
                  <c:x val="0"/>
                  <c:y val="-4.23280282204630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C-4B8E-A364-010A660C1E4B}"/>
                </c:ext>
              </c:extLst>
            </c:dLbl>
            <c:dLbl>
              <c:idx val="15"/>
              <c:layout>
                <c:manualLayout>
                  <c:x val="-1.8494290155478138E-3"/>
                  <c:y val="-4.082854948846411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C-4B8E-A364-010A660C1E4B}"/>
                </c:ext>
              </c:extLst>
            </c:dLbl>
            <c:dLbl>
              <c:idx val="16"/>
              <c:layout>
                <c:manualLayout>
                  <c:x val="0"/>
                  <c:y val="-8.46560564409260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C-4B8E-A364-010A660C1E4B}"/>
                </c:ext>
              </c:extLst>
            </c:dLbl>
            <c:dLbl>
              <c:idx val="17"/>
              <c:layout>
                <c:manualLayout>
                  <c:x val="3.4417057091164576E-3"/>
                  <c:y val="5.979250600591392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C-4B8E-A364-010A660C1E4B}"/>
                </c:ext>
              </c:extLst>
            </c:dLbl>
            <c:dLbl>
              <c:idx val="18"/>
              <c:layout>
                <c:manualLayout>
                  <c:x val="-1.4561286635287095E-7"/>
                  <c:y val="-1.2698408466138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C-4B8E-A364-010A660C1E4B}"/>
                </c:ext>
              </c:extLst>
            </c:dLbl>
            <c:dLbl>
              <c:idx val="19"/>
              <c:layout>
                <c:manualLayout>
                  <c:x val="3.5273260745319456E-3"/>
                  <c:y val="-2.365036915373273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C-4B8E-A364-010A660C1E4B}"/>
                </c:ext>
              </c:extLst>
            </c:dLbl>
            <c:dLbl>
              <c:idx val="20"/>
              <c:layout>
                <c:manualLayout>
                  <c:x val="-2.0205241335124373E-3"/>
                  <c:y val="-7.3957397339533448E-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C-4B8E-A364-010A660C1E4B}"/>
                </c:ext>
              </c:extLst>
            </c:dLbl>
            <c:dLbl>
              <c:idx val="21"/>
              <c:layout>
                <c:manualLayout>
                  <c:x val="0"/>
                  <c:y val="-1.69312112881852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C-4B8E-A364-010A660C1E4B}"/>
                </c:ext>
              </c:extLst>
            </c:dLbl>
            <c:dLbl>
              <c:idx val="22"/>
              <c:layout>
                <c:manualLayout>
                  <c:x val="1.7636630372659728E-3"/>
                  <c:y val="4.47943857703167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C-4B8E-A364-010A660C1E4B}"/>
                </c:ext>
              </c:extLst>
            </c:dLbl>
            <c:dLbl>
              <c:idx val="23"/>
              <c:layout>
                <c:manualLayout>
                  <c:x val="0"/>
                  <c:y val="-2.5396816932277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35C-4B8E-A364-010A660C1E4B}"/>
                </c:ext>
              </c:extLst>
            </c:dLbl>
            <c:dLbl>
              <c:idx val="24"/>
              <c:layout>
                <c:manualLayout>
                  <c:x val="3.6985668053629217E-3"/>
                  <c:y val="-1.195883449274357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35C-4B8E-A364-010A660C1E4B}"/>
                </c:ext>
              </c:extLst>
            </c:dLbl>
            <c:dLbl>
              <c:idx val="25"/>
              <c:layout>
                <c:manualLayout>
                  <c:x val="0"/>
                  <c:y val="-2.46572429588824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35C-4B8E-A364-010A660C1E4B}"/>
                </c:ext>
              </c:extLst>
            </c:dLbl>
            <c:dLbl>
              <c:idx val="26"/>
              <c:layout>
                <c:manualLayout>
                  <c:x val="1.8492834026814608E-3"/>
                  <c:y val="-3.493228848650969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35C-4B8E-A364-010A660C1E4B}"/>
                </c:ext>
              </c:extLst>
            </c:dLbl>
            <c:dLbl>
              <c:idx val="27"/>
              <c:layout>
                <c:manualLayout>
                  <c:x val="0"/>
                  <c:y val="2.73299079848658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35C-4B8E-A364-010A660C1E4B}"/>
                </c:ext>
              </c:extLst>
            </c:dLbl>
            <c:dLbl>
              <c:idx val="29"/>
              <c:layout>
                <c:manualLayout>
                  <c:x val="0"/>
                  <c:y val="-2.5396816932277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35C-4B8E-A364-010A660C1E4B}"/>
                </c:ext>
              </c:extLst>
            </c:dLbl>
            <c:dLbl>
              <c:idx val="30"/>
              <c:layout>
                <c:manualLayout>
                  <c:x val="0"/>
                  <c:y val="-1.021205342263769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935C-4B8E-A364-010A660C1E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'SQ(Total)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'SQ(Total) Data'!$L$9:$L$39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35C-4B8E-A364-010A660C1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05024"/>
        <c:axId val="36706560"/>
      </c:barChart>
      <c:lineChart>
        <c:grouping val="standard"/>
        <c:varyColors val="0"/>
        <c:ser>
          <c:idx val="0"/>
          <c:order val="1"/>
          <c:tx>
            <c:strRef>
              <c:f>'SQ(Total) Data'!$M$8</c:f>
              <c:strCache>
                <c:ptCount val="1"/>
                <c:pt idx="0">
                  <c:v>Accumulated ＧＳＰＨ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29"/>
              <c:layout>
                <c:manualLayout>
                  <c:x val="-7.1180228685006605E-2"/>
                  <c:y val="-0.27629703743797446"/>
                </c:manualLayout>
              </c:layout>
              <c:spPr/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35C-4B8E-A364-010A660C1E4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'SQ(Total)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'SQ(Total) Data'!$M$9:$M$39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35C-4B8E-A364-010A660C1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1984"/>
        <c:axId val="36763520"/>
      </c:lineChart>
      <c:catAx>
        <c:axId val="367050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6706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6706560"/>
        <c:scaling>
          <c:orientation val="minMax"/>
          <c:max val="8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(GSPH)</a:t>
                </a:r>
              </a:p>
            </c:rich>
          </c:tx>
          <c:layout>
            <c:manualLayout>
              <c:xMode val="edge"/>
              <c:yMode val="edge"/>
              <c:x val="4.033745781777278E-2"/>
              <c:y val="3.004102642509492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6705024"/>
        <c:crosses val="autoZero"/>
        <c:crossBetween val="between"/>
        <c:majorUnit val="100"/>
        <c:minorUnit val="10"/>
      </c:valAx>
      <c:catAx>
        <c:axId val="36761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763520"/>
        <c:crosses val="autoZero"/>
        <c:auto val="0"/>
        <c:lblAlgn val="ctr"/>
        <c:lblOffset val="100"/>
        <c:noMultiLvlLbl val="0"/>
      </c:catAx>
      <c:valAx>
        <c:axId val="36763520"/>
        <c:scaling>
          <c:orientation val="minMax"/>
        </c:scaling>
        <c:delete val="1"/>
        <c:axPos val="r"/>
        <c:numFmt formatCode="#,##0_);[Red]\(#,##0\)" sourceLinked="1"/>
        <c:majorTickMark val="out"/>
        <c:minorTickMark val="none"/>
        <c:tickLblPos val="nextTo"/>
        <c:crossAx val="36761984"/>
        <c:crosses val="max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1"/>
        <c:txPr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</c:legendEntry>
      <c:layout>
        <c:manualLayout>
          <c:xMode val="edge"/>
          <c:yMode val="edge"/>
          <c:x val="0.20657223672283684"/>
          <c:y val="4.765502723658635E-2"/>
          <c:w val="0.23356143588847511"/>
          <c:h val="0.141141310289110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500392727379707E-2"/>
          <c:y val="0.14620389895980448"/>
          <c:w val="0.92616891579848704"/>
          <c:h val="0.692590475031932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'SQ(Total) Data'!$D$44</c:f>
              <c:strCache>
                <c:ptCount val="1"/>
                <c:pt idx="0">
                  <c:v>No of Strokes (Planned)</c:v>
                </c:pt>
              </c:strCache>
            </c:strRef>
          </c:tx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'SQ(Total) Data'!$C$45:$C$59</c:f>
              <c:strCache>
                <c:ptCount val="13"/>
                <c:pt idx="0">
                  <c:v>2019-20</c:v>
                </c:pt>
                <c:pt idx="1">
                  <c:v>Apr-20</c:v>
                </c:pt>
                <c:pt idx="2">
                  <c:v>May-20</c:v>
                </c:pt>
                <c:pt idx="3">
                  <c:v>Jun-20</c:v>
                </c:pt>
                <c:pt idx="4">
                  <c:v>Jul-20</c:v>
                </c:pt>
                <c:pt idx="5">
                  <c:v>Aug-20</c:v>
                </c:pt>
                <c:pt idx="6">
                  <c:v>Sep-20</c:v>
                </c:pt>
                <c:pt idx="7">
                  <c:v>Oct-20</c:v>
                </c:pt>
                <c:pt idx="8">
                  <c:v>Nov-20</c:v>
                </c:pt>
                <c:pt idx="9">
                  <c:v>Dec-20</c:v>
                </c:pt>
                <c:pt idx="10">
                  <c:v>Jan-21</c:v>
                </c:pt>
                <c:pt idx="11">
                  <c:v>Feb-21</c:v>
                </c:pt>
                <c:pt idx="12">
                  <c:v>Mar-21</c:v>
                </c:pt>
              </c:strCache>
            </c:strRef>
          </c:cat>
          <c:val>
            <c:numRef>
              <c:f>'SQ(Total) Data'!$D$45:$D$59</c:f>
              <c:numCache>
                <c:formatCode>#,##0_);[Red]\(#,##0\)</c:formatCode>
                <c:ptCount val="1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2-4B9D-BC82-D637A27962CF}"/>
            </c:ext>
          </c:extLst>
        </c:ser>
        <c:ser>
          <c:idx val="0"/>
          <c:order val="1"/>
          <c:tx>
            <c:strRef>
              <c:f>'SQ(Total) Data'!$E$44</c:f>
              <c:strCache>
                <c:ptCount val="1"/>
                <c:pt idx="0">
                  <c:v>No of Strokes/Month (Actual)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'SQ(Total) Data'!$C$45:$C$59</c:f>
              <c:strCache>
                <c:ptCount val="13"/>
                <c:pt idx="0">
                  <c:v>2019-20</c:v>
                </c:pt>
                <c:pt idx="1">
                  <c:v>Apr-20</c:v>
                </c:pt>
                <c:pt idx="2">
                  <c:v>May-20</c:v>
                </c:pt>
                <c:pt idx="3">
                  <c:v>Jun-20</c:v>
                </c:pt>
                <c:pt idx="4">
                  <c:v>Jul-20</c:v>
                </c:pt>
                <c:pt idx="5">
                  <c:v>Aug-20</c:v>
                </c:pt>
                <c:pt idx="6">
                  <c:v>Sep-20</c:v>
                </c:pt>
                <c:pt idx="7">
                  <c:v>Oct-20</c:v>
                </c:pt>
                <c:pt idx="8">
                  <c:v>Nov-20</c:v>
                </c:pt>
                <c:pt idx="9">
                  <c:v>Dec-20</c:v>
                </c:pt>
                <c:pt idx="10">
                  <c:v>Jan-21</c:v>
                </c:pt>
                <c:pt idx="11">
                  <c:v>Feb-21</c:v>
                </c:pt>
                <c:pt idx="12">
                  <c:v>Mar-21</c:v>
                </c:pt>
              </c:strCache>
            </c:strRef>
          </c:cat>
          <c:val>
            <c:numRef>
              <c:f>'SQ(Total) Data'!$E$45:$E$59</c:f>
              <c:numCache>
                <c:formatCode>#,##0_);[Red]\(#,##0\)</c:formatCode>
                <c:ptCount val="1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92-4B9D-BC82-D637A2796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99616"/>
        <c:axId val="36801152"/>
      </c:barChart>
      <c:lineChart>
        <c:grouping val="standard"/>
        <c:varyColors val="0"/>
        <c:ser>
          <c:idx val="2"/>
          <c:order val="2"/>
          <c:tx>
            <c:strRef>
              <c:f>'SQ(Total) Data'!$F$44</c:f>
              <c:strCache>
                <c:ptCount val="1"/>
                <c:pt idx="0">
                  <c:v>Actual ＧＳＰＨ</c:v>
                </c:pt>
              </c:strCache>
            </c:strRef>
          </c:tx>
          <c:spPr>
            <a:ln w="19050">
              <a:solidFill>
                <a:schemeClr val="accent3">
                  <a:lumMod val="50000"/>
                </a:schemeClr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accent3">
                    <a:lumMod val="50000"/>
                  </a:schemeClr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8607134730263285E-2"/>
                  <c:y val="5.844979522487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92-4B9D-BC82-D637A27962CF}"/>
                </c:ext>
              </c:extLst>
            </c:dLbl>
            <c:dLbl>
              <c:idx val="1"/>
              <c:layout>
                <c:manualLayout>
                  <c:x val="-1.3730063578355385E-2"/>
                  <c:y val="4.8896283541952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92-4B9D-BC82-D637A27962CF}"/>
                </c:ext>
              </c:extLst>
            </c:dLbl>
            <c:dLbl>
              <c:idx val="2"/>
              <c:layout>
                <c:manualLayout>
                  <c:x val="-1.2459044479467312E-2"/>
                  <c:y val="7.40082673940941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92-4B9D-BC82-D637A27962CF}"/>
                </c:ext>
              </c:extLst>
            </c:dLbl>
            <c:dLbl>
              <c:idx val="3"/>
              <c:layout>
                <c:manualLayout>
                  <c:x val="-1.7258805432407844E-2"/>
                  <c:y val="6.10412273404399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592-4B9D-BC82-D637A27962CF}"/>
                </c:ext>
              </c:extLst>
            </c:dLbl>
            <c:dLbl>
              <c:idx val="4"/>
              <c:layout>
                <c:manualLayout>
                  <c:x val="-1.2482695370965314E-2"/>
                  <c:y val="5.99457008905827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92-4B9D-BC82-D637A27962CF}"/>
                </c:ext>
              </c:extLst>
            </c:dLbl>
            <c:dLbl>
              <c:idx val="5"/>
              <c:layout>
                <c:manualLayout>
                  <c:x val="-1.7440369288480955E-2"/>
                  <c:y val="5.32564633352034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92-4B9D-BC82-D637A27962CF}"/>
                </c:ext>
              </c:extLst>
            </c:dLbl>
            <c:dLbl>
              <c:idx val="6"/>
              <c:layout>
                <c:manualLayout>
                  <c:x val="-1.766144743888606E-2"/>
                  <c:y val="7.1953413685697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92-4B9D-BC82-D637A27962CF}"/>
                </c:ext>
              </c:extLst>
            </c:dLbl>
            <c:dLbl>
              <c:idx val="7"/>
              <c:layout>
                <c:manualLayout>
                  <c:x val="-1.7464092286355475E-2"/>
                  <c:y val="-4.28439319777902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592-4B9D-BC82-D637A27962CF}"/>
                </c:ext>
              </c:extLst>
            </c:dLbl>
            <c:dLbl>
              <c:idx val="8"/>
              <c:layout>
                <c:manualLayout>
                  <c:x val="-1.9595546110723755E-2"/>
                  <c:y val="-5.5200343226618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92-4B9D-BC82-D637A27962CF}"/>
                </c:ext>
              </c:extLst>
            </c:dLbl>
            <c:dLbl>
              <c:idx val="9"/>
              <c:layout>
                <c:manualLayout>
                  <c:x val="-2.031389855932977E-2"/>
                  <c:y val="-5.5200343226618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92-4B9D-BC82-D637A27962CF}"/>
                </c:ext>
              </c:extLst>
            </c:dLbl>
            <c:dLbl>
              <c:idx val="10"/>
              <c:layout>
                <c:manualLayout>
                  <c:x val="-1.5695683402244195E-2"/>
                  <c:y val="-3.54618851991326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92-4B9D-BC82-D637A27962CF}"/>
                </c:ext>
              </c:extLst>
            </c:dLbl>
            <c:dLbl>
              <c:idx val="11"/>
              <c:layout>
                <c:manualLayout>
                  <c:x val="-2.3916203387962336E-2"/>
                  <c:y val="-3.843179022911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592-4B9D-BC82-D637A27962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'SQ(Total) Data'!$C$45:$C$59</c:f>
              <c:strCache>
                <c:ptCount val="13"/>
                <c:pt idx="0">
                  <c:v>2019-20</c:v>
                </c:pt>
                <c:pt idx="1">
                  <c:v>Apr-20</c:v>
                </c:pt>
                <c:pt idx="2">
                  <c:v>May-20</c:v>
                </c:pt>
                <c:pt idx="3">
                  <c:v>Jun-20</c:v>
                </c:pt>
                <c:pt idx="4">
                  <c:v>Jul-20</c:v>
                </c:pt>
                <c:pt idx="5">
                  <c:v>Aug-20</c:v>
                </c:pt>
                <c:pt idx="6">
                  <c:v>Sep-20</c:v>
                </c:pt>
                <c:pt idx="7">
                  <c:v>Oct-20</c:v>
                </c:pt>
                <c:pt idx="8">
                  <c:v>Nov-20</c:v>
                </c:pt>
                <c:pt idx="9">
                  <c:v>Dec-20</c:v>
                </c:pt>
                <c:pt idx="10">
                  <c:v>Jan-21</c:v>
                </c:pt>
                <c:pt idx="11">
                  <c:v>Feb-21</c:v>
                </c:pt>
                <c:pt idx="12">
                  <c:v>Mar-21</c:v>
                </c:pt>
              </c:strCache>
            </c:strRef>
          </c:cat>
          <c:val>
            <c:numRef>
              <c:f>'SQ(Total) Data'!$F$45:$F$59</c:f>
              <c:numCache>
                <c:formatCode>#,##0_);[Red]\(#,##0\)</c:formatCode>
                <c:ptCount val="13"/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592-4B9D-BC82-D637A2796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96"/>
        <c:axId val="36837632"/>
      </c:lineChart>
      <c:catAx>
        <c:axId val="367996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68011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6801152"/>
        <c:scaling>
          <c:orientation val="minMax"/>
          <c:max val="250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IN"/>
                  <a:t>(ST/M)</a:t>
                </a:r>
              </a:p>
            </c:rich>
          </c:tx>
          <c:layout>
            <c:manualLayout>
              <c:xMode val="edge"/>
              <c:yMode val="edge"/>
              <c:x val="5.5094749637537223E-2"/>
              <c:y val="1.203088744341739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6799616"/>
        <c:crosses val="autoZero"/>
        <c:crossBetween val="between"/>
        <c:majorUnit val="300000"/>
      </c:valAx>
      <c:catAx>
        <c:axId val="36836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32"/>
        <c:crosses val="autoZero"/>
        <c:auto val="0"/>
        <c:lblAlgn val="ctr"/>
        <c:lblOffset val="100"/>
        <c:noMultiLvlLbl val="0"/>
      </c:catAx>
      <c:valAx>
        <c:axId val="36837632"/>
        <c:scaling>
          <c:orientation val="minMax"/>
          <c:max val="100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IN"/>
                  <a:t>(GSPH)</a:t>
                </a:r>
              </a:p>
            </c:rich>
          </c:tx>
          <c:layout>
            <c:manualLayout>
              <c:xMode val="edge"/>
              <c:yMode val="edge"/>
              <c:x val="0.93416786355780557"/>
              <c:y val="2.49133351084737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6836096"/>
        <c:crosses val="max"/>
        <c:crossBetween val="between"/>
        <c:majorUnit val="200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69246518829391"/>
          <c:y val="1.2882447665056361E-2"/>
          <c:w val="0.65516329606611401"/>
          <c:h val="0.106409017713365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795698924731242E-2"/>
          <c:y val="0.13942307692307687"/>
          <c:w val="0.93682795698924748"/>
          <c:h val="0.6971153846153846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4"/>
              <c:layout>
                <c:manualLayout>
                  <c:x val="-5.8889811010127665E-4"/>
                  <c:y val="2.33363618009287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C-4315-BBF5-26B582155E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t>610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EDC-4315-BBF5-26B582155E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t>581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C-4315-BBF5-26B582155E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t>614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C-4315-BBF5-26B582155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'SQ(Total) Data'!$L$45:$L$50</c:f>
              <c:strCache>
                <c:ptCount val="6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4w</c:v>
                </c:pt>
                <c:pt idx="4">
                  <c:v>5w</c:v>
                </c:pt>
                <c:pt idx="5">
                  <c:v>6w</c:v>
                </c:pt>
              </c:strCache>
            </c:strRef>
          </c:cat>
          <c:val>
            <c:numRef>
              <c:f>'SQ(Total) Data'!$M$45:$M$50</c:f>
              <c:numCache>
                <c:formatCode>0_);[Red]\(0\)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DC-4315-BBF5-26B582155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9264"/>
        <c:axId val="36873344"/>
      </c:barChart>
      <c:catAx>
        <c:axId val="368592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6873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6873344"/>
        <c:scaling>
          <c:orientation val="minMax"/>
          <c:max val="1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_);[Red]\(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6859264"/>
        <c:crosses val="autoZero"/>
        <c:crossBetween val="between"/>
        <c:majorUnit val="100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072072072072071E-2"/>
          <c:y val="0.13440860215053771"/>
          <c:w val="0.9117117117117115"/>
          <c:h val="0.6505376344086026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'SQ(Total) Data'!$AP$8</c:f>
              <c:strCache>
                <c:ptCount val="1"/>
                <c:pt idx="0">
                  <c:v>Trouble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'SQ(Total)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'SQ(Total) Data'!$AP$9:$AP$39</c:f>
            </c:numRef>
          </c:val>
          <c:extLst>
            <c:ext xmlns:c16="http://schemas.microsoft.com/office/drawing/2014/chart" uri="{C3380CC4-5D6E-409C-BE32-E72D297353CC}">
              <c16:uniqueId val="{00000000-2DE5-4EDE-ACC4-EA98BA1A7070}"/>
            </c:ext>
          </c:extLst>
        </c:ser>
        <c:ser>
          <c:idx val="0"/>
          <c:order val="1"/>
          <c:tx>
            <c:strRef>
              <c:f>'SQ(Total) Data'!$AQ$8</c:f>
              <c:strCache>
                <c:ptCount val="1"/>
                <c:pt idx="0">
                  <c:v>Waiting</c:v>
                </c:pt>
              </c:strCache>
            </c:strRef>
          </c:tx>
          <c:spPr>
            <a:pattFill prst="smGrid">
              <a:fgClr>
                <a:srgbClr val="0000FF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'SQ(Total)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'SQ(Total) Data'!$AQ$9:$AQ$39</c:f>
            </c:numRef>
          </c:val>
          <c:extLst>
            <c:ext xmlns:c16="http://schemas.microsoft.com/office/drawing/2014/chart" uri="{C3380CC4-5D6E-409C-BE32-E72D297353CC}">
              <c16:uniqueId val="{00000001-2DE5-4EDE-ACC4-EA98BA1A7070}"/>
            </c:ext>
          </c:extLst>
        </c:ser>
        <c:ser>
          <c:idx val="2"/>
          <c:order val="2"/>
          <c:tx>
            <c:strRef>
              <c:f>'SQ(Total) Data'!$AN$8</c:f>
              <c:strCache>
                <c:ptCount val="1"/>
                <c:pt idx="0">
                  <c:v>Due to operation error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'SQ(Total)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'SQ(Total) Data'!$AN$9:$AN$39</c:f>
            </c:numRef>
          </c:val>
          <c:extLst>
            <c:ext xmlns:c16="http://schemas.microsoft.com/office/drawing/2014/chart" uri="{C3380CC4-5D6E-409C-BE32-E72D297353CC}">
              <c16:uniqueId val="{00000002-2DE5-4EDE-ACC4-EA98BA1A7070}"/>
            </c:ext>
          </c:extLst>
        </c:ser>
        <c:ser>
          <c:idx val="3"/>
          <c:order val="3"/>
          <c:tx>
            <c:strRef>
              <c:f>'SQ(Total) Data'!$AO$8</c:f>
              <c:strCache>
                <c:ptCount val="1"/>
                <c:pt idx="0">
                  <c:v>Equipment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'SQ(Total)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'SQ(Total) Data'!$AO$9:$AO$39</c:f>
            </c:numRef>
          </c:val>
          <c:extLst>
            <c:ext xmlns:c16="http://schemas.microsoft.com/office/drawing/2014/chart" uri="{C3380CC4-5D6E-409C-BE32-E72D297353CC}">
              <c16:uniqueId val="{00000003-2DE5-4EDE-ACC4-EA98BA1A7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55872"/>
        <c:axId val="37078144"/>
      </c:barChart>
      <c:catAx>
        <c:axId val="3705587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707814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7078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(min)</a:t>
                </a:r>
              </a:p>
            </c:rich>
          </c:tx>
          <c:layout>
            <c:manualLayout>
              <c:xMode val="edge"/>
              <c:yMode val="edge"/>
              <c:x val="4.1459601333617084E-2"/>
              <c:y val="3.327180876583975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705587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122863020500817"/>
          <c:y val="3.2258064516129031E-2"/>
          <c:w val="0.7972724220283276"/>
          <c:h val="0.168460474698727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78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Operation Ｓｔｏｐ　Ｔｏｔａｌ　Time （ｍｉｎ）</a:t>
            </a:r>
          </a:p>
        </c:rich>
      </c:tx>
      <c:layout>
        <c:manualLayout>
          <c:xMode val="edge"/>
          <c:yMode val="edge"/>
          <c:x val="0.20740671003081138"/>
          <c:y val="2.74317306081420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16751060626797"/>
          <c:y val="0.26882832298402914"/>
          <c:w val="0.63343095661694271"/>
          <c:h val="0.61995103055500633"/>
        </c:manualLayout>
      </c:layout>
      <c:doughnutChart>
        <c:varyColors val="1"/>
        <c:ser>
          <c:idx val="0"/>
          <c:order val="0"/>
          <c:tx>
            <c:strRef>
              <c:f>'SQ(Total) Data'!$AR$8</c:f>
              <c:strCache>
                <c:ptCount val="1"/>
                <c:pt idx="0">
                  <c:v>Operation Ｓｔｏｐ　Ｔｏｔａｌ　Time　　（ｍｉｎ）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pattFill prst="wdUpDiag">
                <a:fgClr>
                  <a:srgbClr val="FF0000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C68-44F9-A573-48B0D1E5AC1F}"/>
              </c:ext>
            </c:extLst>
          </c:dPt>
          <c:dPt>
            <c:idx val="1"/>
            <c:bubble3D val="0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C68-44F9-A573-48B0D1E5AC1F}"/>
              </c:ext>
            </c:extLst>
          </c:dPt>
          <c:dPt>
            <c:idx val="2"/>
            <c:bubble3D val="0"/>
            <c:spPr>
              <a:pattFill prst="lgGrid">
                <a:fgClr>
                  <a:srgbClr val="0000FF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C68-44F9-A573-48B0D1E5AC1F}"/>
              </c:ext>
            </c:extLst>
          </c:dPt>
          <c:dPt>
            <c:idx val="3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C68-44F9-A573-48B0D1E5AC1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('SQ(Total) Data'!$AO$8,'SQ(Total) Data'!$AN$8,'SQ(Total) Data'!$AQ$8,'SQ(Total) Data'!$AP$8)</c:f>
            </c:multiLvlStrRef>
          </c:cat>
          <c:val>
            <c:numRef>
              <c:f>('SQ(Total) Data'!$AO$40,'SQ(Total) Data'!$AN$40,'SQ(Total) Data'!$AQ$40,'SQ(Total) Data'!$AP$40)</c:f>
            </c:numRef>
          </c:val>
          <c:extLst>
            <c:ext xmlns:c16="http://schemas.microsoft.com/office/drawing/2014/chart" uri="{C3380CC4-5D6E-409C-BE32-E72D297353CC}">
              <c16:uniqueId val="{00000008-DC68-44F9-A573-48B0D1E5A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000000000000078" r="0.75000000000000078" t="1" header="0.51200000000000001" footer="0.51200000000000001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51278244985053E-2"/>
          <c:y val="0.12396764250831106"/>
          <c:w val="0.9064097806231306"/>
          <c:h val="0.72397103224853776"/>
        </c:manualLayout>
      </c:layout>
      <c:lineChart>
        <c:grouping val="standard"/>
        <c:varyColors val="0"/>
        <c:ser>
          <c:idx val="2"/>
          <c:order val="0"/>
          <c:tx>
            <c:strRef>
              <c:f>'SQ(Team A) Data'!$F$9</c:f>
              <c:strCache>
                <c:ptCount val="1"/>
                <c:pt idx="0">
                  <c:v>Accumulated Strokes/Day (Planned)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6.7022193936406571E-2"/>
                  <c:y val="-9.6627749117567191E-2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rgbClr val="0000FF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DD-4296-98F4-32275A0679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'SQ(Team A) Data'!$C$10:$C$40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'SQ(Team A) Data'!$F$10:$F$40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DD-4296-98F4-32275A06790D}"/>
            </c:ext>
          </c:extLst>
        </c:ser>
        <c:ser>
          <c:idx val="4"/>
          <c:order val="1"/>
          <c:tx>
            <c:strRef>
              <c:f>'SQ(Team A) Data'!$H$9</c:f>
              <c:strCache>
                <c:ptCount val="1"/>
                <c:pt idx="0">
                  <c:v>Accumulated Strokes (Actual)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0.26124999999999998"/>
                  <c:y val="-6.318695739955582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DD-4296-98F4-32275A0679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'SQ(Team A) Data'!$C$10:$C$40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'SQ(Team A) Data'!$H$10:$H$40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DD-4296-98F4-32275A06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66880"/>
        <c:axId val="37753984"/>
      </c:lineChart>
      <c:catAx>
        <c:axId val="378668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7753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53984"/>
        <c:scaling>
          <c:orientation val="minMax"/>
          <c:min val="0"/>
        </c:scaling>
        <c:delete val="0"/>
        <c:axPos val="l"/>
        <c:minorGridlines/>
        <c:title>
          <c:tx>
            <c:rich>
              <a:bodyPr rot="0" vert="horz"/>
              <a:lstStyle/>
              <a:p>
                <a:pPr algn="ctr">
                  <a:defRPr sz="9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(ST/M)</a:t>
                </a:r>
              </a:p>
            </c:rich>
          </c:tx>
          <c:layout>
            <c:manualLayout>
              <c:xMode val="edge"/>
              <c:yMode val="edge"/>
              <c:x val="6.7141021434820643E-3"/>
              <c:y val="2.479355945891379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7866880"/>
        <c:crosses val="autoZero"/>
        <c:crossBetween val="midCat"/>
        <c:minorUnit val="30000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927083333333334"/>
          <c:y val="6.25E-2"/>
          <c:w val="0.55164930555555558"/>
          <c:h val="0.113782051282051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000000000000078" r="0.75000000000000078" t="1" header="0.51200000000000001" footer="0.51200000000000001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918169690221382E-2"/>
          <c:y val="0.140192011030733"/>
          <c:w val="0.91296994653192853"/>
          <c:h val="0.7009600551536651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'SQ(Team A) Data'!$L$9</c:f>
              <c:strCache>
                <c:ptCount val="1"/>
                <c:pt idx="0">
                  <c:v>ＧＳＰＨ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-5.2151238591916574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EC-4383-B9F2-4A4EF1F2E042}"/>
                </c:ext>
              </c:extLst>
            </c:dLbl>
            <c:dLbl>
              <c:idx val="3"/>
              <c:layout>
                <c:manualLayout>
                  <c:x val="-6.9534984789222177E-3"/>
                  <c:y val="1.294498381877022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EC-4383-B9F2-4A4EF1F2E042}"/>
                </c:ext>
              </c:extLst>
            </c:dLbl>
            <c:dLbl>
              <c:idx val="4"/>
              <c:layout>
                <c:manualLayout>
                  <c:x val="0"/>
                  <c:y val="3.236245954692556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EC-4383-B9F2-4A4EF1F2E042}"/>
                </c:ext>
              </c:extLst>
            </c:dLbl>
            <c:dLbl>
              <c:idx val="8"/>
              <c:layout>
                <c:manualLayout>
                  <c:x val="-5.7553956834532375E-3"/>
                  <c:y val="2.58899676375404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EC-4383-B9F2-4A4EF1F2E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'SQ(Team A) Data'!$C$10:$C$40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'SQ(Team A) Data'!$L$10:$L$40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EC-4383-B9F2-4A4EF1F2E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04672"/>
        <c:axId val="37880192"/>
      </c:barChart>
      <c:lineChart>
        <c:grouping val="standard"/>
        <c:varyColors val="0"/>
        <c:ser>
          <c:idx val="0"/>
          <c:order val="1"/>
          <c:tx>
            <c:strRef>
              <c:f>'SQ(Team A) Data'!$M$9</c:f>
              <c:strCache>
                <c:ptCount val="1"/>
                <c:pt idx="0">
                  <c:v>Accumulated ＧＳＰＨ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2.9094658131762308E-2"/>
                  <c:y val="-0.2838294727722142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EC-4383-B9F2-4A4EF1F2E04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'SQ(Team A) Data'!$C$10:$C$40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'SQ(Team A) Data'!$M$10:$M$40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EC-4383-B9F2-4A4EF1F2E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82112"/>
        <c:axId val="37904384"/>
      </c:lineChart>
      <c:catAx>
        <c:axId val="3780467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78801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880192"/>
        <c:scaling>
          <c:orientation val="minMax"/>
          <c:max val="8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(GSPH)</a:t>
                </a:r>
              </a:p>
            </c:rich>
          </c:tx>
          <c:layout>
            <c:manualLayout>
              <c:xMode val="edge"/>
              <c:yMode val="edge"/>
              <c:x val="4.0337408932097307E-2"/>
              <c:y val="3.004102642509492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7804672"/>
        <c:crosses val="autoZero"/>
        <c:crossBetween val="between"/>
        <c:majorUnit val="100"/>
      </c:valAx>
      <c:catAx>
        <c:axId val="37882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904384"/>
        <c:crosses val="autoZero"/>
        <c:auto val="0"/>
        <c:lblAlgn val="ctr"/>
        <c:lblOffset val="100"/>
        <c:noMultiLvlLbl val="0"/>
      </c:catAx>
      <c:valAx>
        <c:axId val="37904384"/>
        <c:scaling>
          <c:orientation val="minMax"/>
        </c:scaling>
        <c:delete val="1"/>
        <c:axPos val="r"/>
        <c:numFmt formatCode="#,##0_);[Red]\(#,##0\)" sourceLinked="1"/>
        <c:majorTickMark val="out"/>
        <c:minorTickMark val="none"/>
        <c:tickLblPos val="nextTo"/>
        <c:crossAx val="37882112"/>
        <c:crosses val="max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665797479356805"/>
          <c:y val="2.1035598705501618E-2"/>
          <c:w val="0.24511082138200779"/>
          <c:h val="0.103559870550161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3.1813587568906072E-2"/>
          <c:y val="2.479355945891379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952834890401295E-2"/>
          <c:y val="0.14380246530964066"/>
          <c:w val="0.92789764129144503"/>
          <c:h val="0.699177503746873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4"/>
              <c:layout>
                <c:manualLayout>
                  <c:x val="-6.7439746760214444E-3"/>
                  <c:y val="-3.554726243119208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9E-4EA0-A918-5934B578DF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'SQ(Team A) Data'!$L$46:$L$50</c:f>
              <c:strCache>
                <c:ptCount val="5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4w</c:v>
                </c:pt>
                <c:pt idx="4">
                  <c:v>5w</c:v>
                </c:pt>
              </c:strCache>
            </c:strRef>
          </c:cat>
          <c:val>
            <c:numRef>
              <c:f>'SQ(Team A) Data'!$M$46:$M$50</c:f>
              <c:numCache>
                <c:formatCode>0_);[Red]\(0\)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E-4EA0-A918-5934B578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20768"/>
        <c:axId val="37922304"/>
      </c:barChart>
      <c:catAx>
        <c:axId val="37920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79223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922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_);[Red]\(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792076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926298157453935E-2"/>
          <c:y val="0.13440860215053771"/>
          <c:w val="0.9329983249581244"/>
          <c:h val="0.6505376344086026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'SQ(Team A) Data'!$AP$9</c:f>
              <c:strCache>
                <c:ptCount val="1"/>
                <c:pt idx="0">
                  <c:v>Trouble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'SQ(Team A) Data'!$C$10:$C$40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'SQ(Team A) Data'!$AP$10:$AP$40</c:f>
            </c:numRef>
          </c:val>
          <c:extLst>
            <c:ext xmlns:c16="http://schemas.microsoft.com/office/drawing/2014/chart" uri="{C3380CC4-5D6E-409C-BE32-E72D297353CC}">
              <c16:uniqueId val="{00000000-03E8-4AE7-895E-106E7BCF8FFB}"/>
            </c:ext>
          </c:extLst>
        </c:ser>
        <c:ser>
          <c:idx val="0"/>
          <c:order val="1"/>
          <c:tx>
            <c:strRef>
              <c:f>'SQ(Team A) Data'!$AQ$9</c:f>
              <c:strCache>
                <c:ptCount val="1"/>
                <c:pt idx="0">
                  <c:v>Waiting</c:v>
                </c:pt>
              </c:strCache>
            </c:strRef>
          </c:tx>
          <c:spPr>
            <a:pattFill prst="smGrid">
              <a:fgClr>
                <a:srgbClr val="0000FF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'SQ(Team A) Data'!$C$10:$C$40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'SQ(Team A) Data'!$AQ$10:$AQ$40</c:f>
            </c:numRef>
          </c:val>
          <c:extLst>
            <c:ext xmlns:c16="http://schemas.microsoft.com/office/drawing/2014/chart" uri="{C3380CC4-5D6E-409C-BE32-E72D297353CC}">
              <c16:uniqueId val="{00000001-03E8-4AE7-895E-106E7BCF8FFB}"/>
            </c:ext>
          </c:extLst>
        </c:ser>
        <c:ser>
          <c:idx val="2"/>
          <c:order val="2"/>
          <c:tx>
            <c:strRef>
              <c:f>'SQ(Team A) Data'!$AN$9</c:f>
              <c:strCache>
                <c:ptCount val="1"/>
                <c:pt idx="0">
                  <c:v>Due to operation error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'SQ(Team A) Data'!$AN$10:$AN$40</c:f>
            </c:numRef>
          </c:val>
          <c:extLst>
            <c:ext xmlns:c16="http://schemas.microsoft.com/office/drawing/2014/chart" uri="{C3380CC4-5D6E-409C-BE32-E72D297353CC}">
              <c16:uniqueId val="{00000002-03E8-4AE7-895E-106E7BCF8FFB}"/>
            </c:ext>
          </c:extLst>
        </c:ser>
        <c:ser>
          <c:idx val="3"/>
          <c:order val="3"/>
          <c:tx>
            <c:strRef>
              <c:f>'SQ(Team A) Data'!$AO$9</c:f>
              <c:strCache>
                <c:ptCount val="1"/>
                <c:pt idx="0">
                  <c:v>Equipment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'SQ(Team A) Data'!$AO$10:$AO$40</c:f>
            </c:numRef>
          </c:val>
          <c:extLst>
            <c:ext xmlns:c16="http://schemas.microsoft.com/office/drawing/2014/chart" uri="{C3380CC4-5D6E-409C-BE32-E72D297353CC}">
              <c16:uniqueId val="{00000003-03E8-4AE7-895E-106E7BCF8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955072"/>
        <c:axId val="77956608"/>
      </c:barChart>
      <c:catAx>
        <c:axId val="7795507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795660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77956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(min)</a:t>
                </a:r>
              </a:p>
            </c:rich>
          </c:tx>
          <c:layout>
            <c:manualLayout>
              <c:xMode val="edge"/>
              <c:yMode val="edge"/>
              <c:x val="4.1459616542907016E-2"/>
              <c:y val="3.327180876583975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795507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184377706555523"/>
          <c:y val="2.6881720430107527E-2"/>
          <c:w val="0.2881077302523114"/>
          <c:h val="0.473120537352185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Operation Ｓｔｏｐ　Ｔｏｔａｌ　Time （ｍｉｎ）</a:t>
            </a:r>
          </a:p>
        </c:rich>
      </c:tx>
      <c:layout>
        <c:manualLayout>
          <c:xMode val="edge"/>
          <c:yMode val="edge"/>
          <c:x val="0.20740671003081138"/>
          <c:y val="2.77266954533909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16751060626797"/>
          <c:y val="0.26617423278331626"/>
          <c:w val="0.63343095661694271"/>
          <c:h val="0.62661850634405825"/>
        </c:manualLayout>
      </c:layout>
      <c:doughnutChart>
        <c:varyColors val="1"/>
        <c:ser>
          <c:idx val="0"/>
          <c:order val="0"/>
          <c:tx>
            <c:strRef>
              <c:f>'SQ(Team A) Data'!$AR$9</c:f>
              <c:strCache>
                <c:ptCount val="1"/>
                <c:pt idx="0">
                  <c:v>Operation Ｓｔｏｐ　Ｔｏｔａｌ　Time　　（ｍｉｎ）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pattFill prst="wdUpDiag">
                <a:fgClr>
                  <a:srgbClr val="FF0000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D7C-4236-9474-9BC53235E4D1}"/>
              </c:ext>
            </c:extLst>
          </c:dPt>
          <c:dPt>
            <c:idx val="1"/>
            <c:bubble3D val="0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D7C-4236-9474-9BC53235E4D1}"/>
              </c:ext>
            </c:extLst>
          </c:dPt>
          <c:dPt>
            <c:idx val="2"/>
            <c:bubble3D val="0"/>
            <c:spPr>
              <a:pattFill prst="lgGrid">
                <a:fgClr>
                  <a:srgbClr val="0000FF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D7C-4236-9474-9BC53235E4D1}"/>
              </c:ext>
            </c:extLst>
          </c:dPt>
          <c:dPt>
            <c:idx val="3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6D7C-4236-9474-9BC53235E4D1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('SQ(Team A) Data'!$AO$9,'SQ(Team A) Data'!$AN$9,'SQ(Team A) Data'!$AQ$9,'SQ(Team A) Data'!$AP$9)</c:f>
            </c:multiLvlStrRef>
          </c:cat>
          <c:val>
            <c:numRef>
              <c:f>('SQ(Team A) Data'!$AO$41,'SQ(Team A) Data'!$AN$41,'SQ(Team A) Data'!$AQ$41,'SQ(Team A) Data'!$AP$41)</c:f>
            </c:numRef>
          </c:val>
          <c:extLst>
            <c:ext xmlns:c16="http://schemas.microsoft.com/office/drawing/2014/chart" uri="{C3380CC4-5D6E-409C-BE32-E72D297353CC}">
              <c16:uniqueId val="{00000008-6D7C-4236-9474-9BC53235E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000000000000078" r="0.75000000000000078" t="1" header="0.51200000000000001" footer="0.51200000000000001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317279147446021E-2"/>
          <c:y val="8.5506258833030507E-2"/>
          <c:w val="0.89835280479536839"/>
          <c:h val="0.72397103224853776"/>
        </c:manualLayout>
      </c:layout>
      <c:lineChart>
        <c:grouping val="standard"/>
        <c:varyColors val="0"/>
        <c:ser>
          <c:idx val="2"/>
          <c:order val="0"/>
          <c:tx>
            <c:strRef>
              <c:f>'SQ(Team B ) Data'!$F$8</c:f>
              <c:strCache>
                <c:ptCount val="1"/>
                <c:pt idx="0">
                  <c:v>Accumulated Strokes/Day (Planned)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1271895734063287E-2"/>
                  <c:y val="-3.10771249747627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1" i="0" u="none" strike="noStrike" baseline="0">
                      <a:solidFill>
                        <a:srgbClr val="0000FF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94-48F7-8AC6-278EA116B1F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'SQ(Team B ) Data'!$F$9:$F$39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4-48F7-8AC6-278EA116B1F1}"/>
            </c:ext>
          </c:extLst>
        </c:ser>
        <c:ser>
          <c:idx val="0"/>
          <c:order val="1"/>
          <c:tx>
            <c:strRef>
              <c:f>'SQ(Team B ) Data'!$H$8</c:f>
              <c:strCache>
                <c:ptCount val="1"/>
                <c:pt idx="0">
                  <c:v>Accumulated Strokes (Actual)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94-48F7-8AC6-278EA116B1F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94-48F7-8AC6-278EA116B1F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94-48F7-8AC6-278EA116B1F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94-48F7-8AC6-278EA116B1F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94-48F7-8AC6-278EA116B1F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94-48F7-8AC6-278EA116B1F1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94-48F7-8AC6-278EA116B1F1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B94-48F7-8AC6-278EA116B1F1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94-48F7-8AC6-278EA116B1F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94-48F7-8AC6-278EA116B1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94-48F7-8AC6-278EA116B1F1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B94-48F7-8AC6-278EA116B1F1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B94-48F7-8AC6-278EA116B1F1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B94-48F7-8AC6-278EA116B1F1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B94-48F7-8AC6-278EA116B1F1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B94-48F7-8AC6-278EA116B1F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B94-48F7-8AC6-278EA116B1F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B94-48F7-8AC6-278EA116B1F1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B94-48F7-8AC6-278EA116B1F1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B94-48F7-8AC6-278EA116B1F1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B94-48F7-8AC6-278EA116B1F1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B94-48F7-8AC6-278EA116B1F1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B94-48F7-8AC6-278EA116B1F1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B94-48F7-8AC6-278EA116B1F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B94-48F7-8AC6-278EA116B1F1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B94-48F7-8AC6-278EA116B1F1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B94-48F7-8AC6-278EA116B1F1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B94-48F7-8AC6-278EA116B1F1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B94-48F7-8AC6-278EA116B1F1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B94-48F7-8AC6-278EA116B1F1}"/>
                </c:ext>
              </c:extLst>
            </c:dLbl>
            <c:dLbl>
              <c:idx val="30"/>
              <c:layout>
                <c:manualLayout>
                  <c:x val="-0.25513338355641324"/>
                  <c:y val="-5.7695840904502319E-2"/>
                </c:manualLayout>
              </c:layout>
              <c:spPr/>
              <c:txPr>
                <a:bodyPr/>
                <a:lstStyle/>
                <a:p>
                  <a:pPr>
                    <a:defRPr sz="925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B94-48F7-8AC6-278EA116B1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'SQ(Team B ) Data'!$H$9:$H$39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94-48F7-8AC6-278EA116B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48192"/>
        <c:axId val="77733888"/>
      </c:lineChart>
      <c:catAx>
        <c:axId val="782481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7733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733888"/>
        <c:scaling>
          <c:orientation val="minMax"/>
          <c:min val="0"/>
        </c:scaling>
        <c:delete val="0"/>
        <c:axPos val="l"/>
        <c:minorGridlines/>
        <c:title>
          <c:tx>
            <c:rich>
              <a:bodyPr rot="0" vert="horz"/>
              <a:lstStyle/>
              <a:p>
                <a:pPr algn="ctr">
                  <a:defRPr sz="9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(ST/M)</a:t>
                </a:r>
              </a:p>
            </c:rich>
          </c:tx>
          <c:layout>
            <c:manualLayout>
              <c:xMode val="edge"/>
              <c:yMode val="edge"/>
              <c:x val="7.3118612467019603E-2"/>
              <c:y val="2.479355945891379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8248192"/>
        <c:crosses val="autoZero"/>
        <c:crossBetween val="midCat"/>
        <c:minorUnit val="30000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3372651813018785"/>
          <c:y val="5.4487179487179488E-2"/>
          <c:w val="0.22034956639594361"/>
          <c:h val="0.1568837068443367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000000000000078" r="0.75000000000000078" t="1" header="0.51200000000000001" footer="0.51200000000000001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918169690221382E-2"/>
          <c:y val="0.140192011030733"/>
          <c:w val="0.91296994653192853"/>
          <c:h val="0.7009600551536651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'SQ(Team B ) Data'!$L$8</c:f>
              <c:strCache>
                <c:ptCount val="1"/>
                <c:pt idx="0">
                  <c:v>ＧＳＰＨ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0"/>
                  <c:y val="4.53074433656958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07-430F-B978-5AE3D898776F}"/>
                </c:ext>
              </c:extLst>
            </c:dLbl>
            <c:dLbl>
              <c:idx val="2"/>
              <c:layout>
                <c:manualLayout>
                  <c:x val="0"/>
                  <c:y val="2.58899676375404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507-430F-B978-5AE3D898776F}"/>
                </c:ext>
              </c:extLst>
            </c:dLbl>
            <c:dLbl>
              <c:idx val="19"/>
              <c:layout>
                <c:manualLayout>
                  <c:x val="7.0040578978218872E-17"/>
                  <c:y val="-3.23624595469255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07-430F-B978-5AE3D898776F}"/>
                </c:ext>
              </c:extLst>
            </c:dLbl>
            <c:dLbl>
              <c:idx val="30"/>
              <c:layout>
                <c:manualLayout>
                  <c:x val="0"/>
                  <c:y val="2.58899676375404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07-430F-B978-5AE3D8987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'SQ(Team B ) Data'!$L$9:$L$39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07-430F-B978-5AE3D898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875840"/>
        <c:axId val="77894016"/>
      </c:barChart>
      <c:lineChart>
        <c:grouping val="standard"/>
        <c:varyColors val="0"/>
        <c:ser>
          <c:idx val="0"/>
          <c:order val="1"/>
          <c:tx>
            <c:strRef>
              <c:f>'SQ(Team B ) Data'!$M$8</c:f>
              <c:strCache>
                <c:ptCount val="1"/>
                <c:pt idx="0">
                  <c:v>Accumulated ＧＳＰＨ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4.1321015975365284E-2"/>
                  <c:y val="-0.2038855337257600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507-430F-B978-5AE3D898776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'SQ(Team B ) Data'!$M$9:$M$39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07-430F-B978-5AE3D898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95936"/>
        <c:axId val="77897728"/>
      </c:lineChart>
      <c:catAx>
        <c:axId val="778758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78940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7894016"/>
        <c:scaling>
          <c:orientation val="minMax"/>
          <c:max val="8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(GSPH)</a:t>
                </a:r>
              </a:p>
            </c:rich>
          </c:tx>
          <c:layout>
            <c:manualLayout>
              <c:xMode val="edge"/>
              <c:yMode val="edge"/>
              <c:x val="4.0337418452614689E-2"/>
              <c:y val="3.004102642509492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7875840"/>
        <c:crosses val="autoZero"/>
        <c:crossBetween val="between"/>
        <c:majorUnit val="100"/>
      </c:valAx>
      <c:catAx>
        <c:axId val="77895936"/>
        <c:scaling>
          <c:orientation val="minMax"/>
        </c:scaling>
        <c:delete val="1"/>
        <c:axPos val="b"/>
        <c:majorTickMark val="out"/>
        <c:minorTickMark val="none"/>
        <c:tickLblPos val="nextTo"/>
        <c:crossAx val="77897728"/>
        <c:crosses val="autoZero"/>
        <c:auto val="0"/>
        <c:lblAlgn val="ctr"/>
        <c:lblOffset val="100"/>
        <c:noMultiLvlLbl val="0"/>
      </c:catAx>
      <c:valAx>
        <c:axId val="77897728"/>
        <c:scaling>
          <c:orientation val="minMax"/>
        </c:scaling>
        <c:delete val="1"/>
        <c:axPos val="r"/>
        <c:numFmt formatCode="#,##0_);[Red]\(#,##0\)" sourceLinked="1"/>
        <c:majorTickMark val="out"/>
        <c:minorTickMark val="none"/>
        <c:tickLblPos val="nextTo"/>
        <c:crossAx val="77895936"/>
        <c:crosses val="max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478578957157923"/>
          <c:y val="4.0453074433656956E-2"/>
          <c:w val="0.24671943566109356"/>
          <c:h val="8.414239482200647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3.1813587568906072E-2"/>
          <c:y val="2.479355945891379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69922879177383E-2"/>
          <c:y val="0.13942307692307687"/>
          <c:w val="0.94344473007712082"/>
          <c:h val="0.6971153846153846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4"/>
              <c:layout>
                <c:manualLayout>
                  <c:x val="1.9890996150304086E-2"/>
                  <c:y val="1.08683845382969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54-45C3-9A1C-2A7276381A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'SQ(Team B ) Data'!$L$45:$L$49</c:f>
              <c:strCache>
                <c:ptCount val="5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4w</c:v>
                </c:pt>
                <c:pt idx="4">
                  <c:v>5w</c:v>
                </c:pt>
              </c:strCache>
            </c:strRef>
          </c:cat>
          <c:val>
            <c:numRef>
              <c:f>'SQ(Team B ) Data'!$M$45:$M$49</c:f>
              <c:numCache>
                <c:formatCode>0_);[Red]\(0\)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4-45C3-9A1C-2A7276381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966208"/>
        <c:axId val="79967744"/>
      </c:barChart>
      <c:catAx>
        <c:axId val="799662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99677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9967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_);[Red]\(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99662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926298157453935E-2"/>
          <c:y val="0.13440860215053771"/>
          <c:w val="0.9329983249581244"/>
          <c:h val="0.6505376344086026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'SQ (Team C) Data'!$AP$8</c:f>
              <c:strCache>
                <c:ptCount val="1"/>
                <c:pt idx="0">
                  <c:v>Trouble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Data'!$AP$9:$AP$39</c:f>
            </c:numRef>
          </c:val>
          <c:extLst>
            <c:ext xmlns:c16="http://schemas.microsoft.com/office/drawing/2014/chart" uri="{C3380CC4-5D6E-409C-BE32-E72D297353CC}">
              <c16:uniqueId val="{00000000-7A45-4295-B31A-018126F71440}"/>
            </c:ext>
          </c:extLst>
        </c:ser>
        <c:ser>
          <c:idx val="0"/>
          <c:order val="1"/>
          <c:tx>
            <c:strRef>
              <c:f>'SQ (Team C) Data'!$AQ$8</c:f>
              <c:strCache>
                <c:ptCount val="1"/>
                <c:pt idx="0">
                  <c:v>Waiting</c:v>
                </c:pt>
              </c:strCache>
            </c:strRef>
          </c:tx>
          <c:spPr>
            <a:pattFill prst="smGrid">
              <a:fgClr>
                <a:srgbClr val="0000FF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Data'!$AQ$9:$AQ$39</c:f>
            </c:numRef>
          </c:val>
          <c:extLst>
            <c:ext xmlns:c16="http://schemas.microsoft.com/office/drawing/2014/chart" uri="{C3380CC4-5D6E-409C-BE32-E72D297353CC}">
              <c16:uniqueId val="{00000001-7A45-4295-B31A-018126F71440}"/>
            </c:ext>
          </c:extLst>
        </c:ser>
        <c:ser>
          <c:idx val="2"/>
          <c:order val="2"/>
          <c:tx>
            <c:strRef>
              <c:f>'SQ (Team C) Data'!$AN$8</c:f>
              <c:strCache>
                <c:ptCount val="1"/>
                <c:pt idx="0">
                  <c:v>Due to operation error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Data'!$AN$9:$AN$39</c:f>
            </c:numRef>
          </c:val>
          <c:extLst>
            <c:ext xmlns:c16="http://schemas.microsoft.com/office/drawing/2014/chart" uri="{C3380CC4-5D6E-409C-BE32-E72D297353CC}">
              <c16:uniqueId val="{00000002-7A45-4295-B31A-018126F71440}"/>
            </c:ext>
          </c:extLst>
        </c:ser>
        <c:ser>
          <c:idx val="3"/>
          <c:order val="3"/>
          <c:tx>
            <c:strRef>
              <c:f>'SQ (Team C) Data'!$AO$8</c:f>
              <c:strCache>
                <c:ptCount val="1"/>
                <c:pt idx="0">
                  <c:v>Equipment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Data'!$AO$9:$AO$39</c:f>
            </c:numRef>
          </c:val>
          <c:extLst>
            <c:ext xmlns:c16="http://schemas.microsoft.com/office/drawing/2014/chart" uri="{C3380CC4-5D6E-409C-BE32-E72D297353CC}">
              <c16:uniqueId val="{00000003-7A45-4295-B31A-018126F71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887936"/>
        <c:axId val="78897920"/>
      </c:barChart>
      <c:catAx>
        <c:axId val="7888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889792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78897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(min)</a:t>
                </a:r>
              </a:p>
            </c:rich>
          </c:tx>
          <c:layout>
            <c:manualLayout>
              <c:xMode val="edge"/>
              <c:yMode val="edge"/>
              <c:x val="4.1459616542907016E-2"/>
              <c:y val="3.327180876583975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88879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01687351895084"/>
          <c:y val="4.8387096774193547E-2"/>
          <c:w val="0.2881077302523114"/>
          <c:h val="0.4301097846640137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Operation Ｓｔｏｐ　Ｔｏｔａｌ　Time （ｍｉｎ）</a:t>
            </a:r>
          </a:p>
        </c:rich>
      </c:tx>
      <c:layout>
        <c:manualLayout>
          <c:xMode val="edge"/>
          <c:yMode val="edge"/>
          <c:x val="0.20740671003081138"/>
          <c:y val="2.77266954533909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16751060626797"/>
          <c:y val="0.26617423278331626"/>
          <c:w val="0.63343095661694271"/>
          <c:h val="0.62661850634405825"/>
        </c:manualLayout>
      </c:layout>
      <c:doughnutChart>
        <c:varyColors val="1"/>
        <c:ser>
          <c:idx val="0"/>
          <c:order val="0"/>
          <c:tx>
            <c:strRef>
              <c:f>'SQ (Team C) Data'!$AR$8</c:f>
              <c:strCache>
                <c:ptCount val="1"/>
                <c:pt idx="0">
                  <c:v>Operation Ｓｔｏｐ　Ｔｏｔａｌ　Time　　（ｍｉｎ）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pattFill prst="wdUpDiag">
                <a:fgClr>
                  <a:srgbClr val="FF0000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1AD-4762-9A81-9420FD72B5A1}"/>
              </c:ext>
            </c:extLst>
          </c:dPt>
          <c:dPt>
            <c:idx val="1"/>
            <c:bubble3D val="0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1AD-4762-9A81-9420FD72B5A1}"/>
              </c:ext>
            </c:extLst>
          </c:dPt>
          <c:dPt>
            <c:idx val="2"/>
            <c:bubble3D val="0"/>
            <c:spPr>
              <a:pattFill prst="lgGrid">
                <a:fgClr>
                  <a:srgbClr val="0000FF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1AD-4762-9A81-9420FD72B5A1}"/>
              </c:ext>
            </c:extLst>
          </c:dPt>
          <c:dPt>
            <c:idx val="3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1AD-4762-9A81-9420FD72B5A1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('SQ (Team C) Data'!$AO$8,'SQ (Team C) Data'!$AN$8,'SQ (Team C) Data'!$AQ$8,'SQ (Team C) Data'!$AP$8)</c:f>
            </c:multiLvlStrRef>
          </c:cat>
          <c:val>
            <c:numRef>
              <c:f>('SQ (Team C) Data'!$AO$40,'SQ (Team C) Data'!$AN$40,'SQ (Team C) Data'!$AQ$40,'SQ (Team C) Data'!$AP$40)</c:f>
            </c:numRef>
          </c:val>
          <c:extLst>
            <c:ext xmlns:c16="http://schemas.microsoft.com/office/drawing/2014/chart" uri="{C3380CC4-5D6E-409C-BE32-E72D297353CC}">
              <c16:uniqueId val="{00000008-F1AD-4762-9A81-9420FD72B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000000000000078" r="0.75000000000000078" t="1" header="0.51200000000000001" footer="0.51200000000000001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317279147446021E-2"/>
          <c:y val="0.12396779729456885"/>
          <c:w val="0.89835280479536817"/>
          <c:h val="0.72397103224853843"/>
        </c:manualLayout>
      </c:layout>
      <c:lineChart>
        <c:grouping val="standard"/>
        <c:varyColors val="0"/>
        <c:ser>
          <c:idx val="2"/>
          <c:order val="0"/>
          <c:tx>
            <c:strRef>
              <c:f>'SQ (Team C) Data'!$F$8</c:f>
              <c:strCache>
                <c:ptCount val="1"/>
                <c:pt idx="0">
                  <c:v>Accumulated Strokes/Day (Planned)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1.6771756741417816E-3"/>
                  <c:y val="-5.67176458711891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5-44E7-AA3A-B8A4BA93323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Data'!$F$9:$F$39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5-44E7-AA3A-B8A4BA933230}"/>
            </c:ext>
          </c:extLst>
        </c:ser>
        <c:ser>
          <c:idx val="4"/>
          <c:order val="1"/>
          <c:tx>
            <c:strRef>
              <c:f>'SQ (Team C) Data'!$H$8</c:f>
              <c:strCache>
                <c:ptCount val="1"/>
                <c:pt idx="0">
                  <c:v>Accumulated Strokes (Actual)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0.6715683016687134"/>
                  <c:y val="-0.12063547345043414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5-44E7-AA3A-B8A4BA93323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Data'!$H$9:$H$39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5-44E7-AA3A-B8A4BA933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75264"/>
        <c:axId val="80476800"/>
      </c:lineChart>
      <c:catAx>
        <c:axId val="804752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80476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476800"/>
        <c:scaling>
          <c:orientation val="minMax"/>
          <c:max val="700000"/>
          <c:min val="0"/>
        </c:scaling>
        <c:delete val="0"/>
        <c:axPos val="l"/>
        <c:minorGridlines/>
        <c:title>
          <c:tx>
            <c:rich>
              <a:bodyPr rot="0" vert="horz"/>
              <a:lstStyle/>
              <a:p>
                <a:pPr algn="ctr">
                  <a:defRPr sz="9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(ST/M)</a:t>
                </a:r>
              </a:p>
            </c:rich>
          </c:tx>
          <c:layout>
            <c:manualLayout>
              <c:xMode val="edge"/>
              <c:yMode val="edge"/>
              <c:x val="6.714068998255952E-3"/>
              <c:y val="2.479355945891379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80475264"/>
        <c:crosses val="autoZero"/>
        <c:crossBetween val="midCat"/>
        <c:minorUnit val="30000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091743119266056"/>
          <c:y val="2.8846153846153848E-2"/>
          <c:w val="0.57623416339012667"/>
          <c:h val="0.1458333333333333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0000000000001" r="0.750000000000001" t="1" header="0.51200000000000001" footer="0.51200000000000001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918169690221382E-2"/>
          <c:y val="0.140192011030733"/>
          <c:w val="0.91296994653192853"/>
          <c:h val="0.7009600551536651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'SQ (Team C) Data'!$L$8</c:f>
              <c:strCache>
                <c:ptCount val="1"/>
                <c:pt idx="0">
                  <c:v>ＧＳＰＨ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5"/>
              <c:layout>
                <c:manualLayout>
                  <c:x val="6.4157905678211329E-17"/>
                  <c:y val="3.88349514563106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D7-420D-8788-C504F176DC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Data'!$L$9:$L$39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7-420D-8788-C504F176D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629696"/>
        <c:axId val="80134144"/>
      </c:barChart>
      <c:lineChart>
        <c:grouping val="standard"/>
        <c:varyColors val="0"/>
        <c:ser>
          <c:idx val="0"/>
          <c:order val="1"/>
          <c:tx>
            <c:strRef>
              <c:f>'SQ (Team C) Data'!$M$8</c:f>
              <c:strCache>
                <c:ptCount val="1"/>
                <c:pt idx="0">
                  <c:v>Accumulated ＧＳＰＨ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3.4322028644057291E-2"/>
                  <c:y val="-0.2195372423107305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D7-420D-8788-C504F176DC6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Data'!$M$9:$M$39</c:f>
              <c:numCache>
                <c:formatCode>#,##0_);[Red]\(#,##0\)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D7-420D-8788-C504F176D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36064"/>
        <c:axId val="80137600"/>
      </c:lineChart>
      <c:catAx>
        <c:axId val="776296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801341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80134144"/>
        <c:scaling>
          <c:orientation val="minMax"/>
          <c:max val="8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(GSPH)</a:t>
                </a:r>
              </a:p>
            </c:rich>
          </c:tx>
          <c:layout>
            <c:manualLayout>
              <c:xMode val="edge"/>
              <c:yMode val="edge"/>
              <c:x val="4.0337418452614689E-2"/>
              <c:y val="3.004102642509492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7629696"/>
        <c:crosses val="autoZero"/>
        <c:crossBetween val="between"/>
        <c:majorUnit val="100"/>
      </c:valAx>
      <c:catAx>
        <c:axId val="80136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137600"/>
        <c:crosses val="autoZero"/>
        <c:auto val="0"/>
        <c:lblAlgn val="ctr"/>
        <c:lblOffset val="100"/>
        <c:noMultiLvlLbl val="0"/>
      </c:catAx>
      <c:valAx>
        <c:axId val="80137600"/>
        <c:scaling>
          <c:orientation val="minMax"/>
        </c:scaling>
        <c:delete val="1"/>
        <c:axPos val="r"/>
        <c:numFmt formatCode="#,##0_);[Red]\(#,##0\)" sourceLinked="1"/>
        <c:majorTickMark val="out"/>
        <c:minorTickMark val="none"/>
        <c:tickLblPos val="nextTo"/>
        <c:crossAx val="80136064"/>
        <c:crosses val="max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953644573955821"/>
          <c:y val="2.7508090614886731E-2"/>
          <c:w val="0.24671943566109356"/>
          <c:h val="8.414239482200647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" r="0.750000000000001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3.1813587568906072E-2"/>
          <c:y val="2.479355945891379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69922879177383E-2"/>
          <c:y val="0.13942307692307687"/>
          <c:w val="0.94344473007712082"/>
          <c:h val="0.6971153846153846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4"/>
              <c:layout>
                <c:manualLayout>
                  <c:x val="1.9890996150304086E-2"/>
                  <c:y val="1.086838453829691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48-4F73-8218-78888FEAB8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'SQ (Team C) Data'!$L$45:$L$49</c:f>
              <c:strCache>
                <c:ptCount val="5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4w</c:v>
                </c:pt>
                <c:pt idx="4">
                  <c:v>5w</c:v>
                </c:pt>
              </c:strCache>
            </c:strRef>
          </c:cat>
          <c:val>
            <c:numRef>
              <c:f>'SQ (Team C) Data'!$M$45:$M$49</c:f>
              <c:numCache>
                <c:formatCode>0_);[Red]\(0\)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48-4F73-8218-78888FEAB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428416"/>
        <c:axId val="90256512"/>
      </c:barChart>
      <c:catAx>
        <c:axId val="804284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90256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0256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_);[Red]\(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8042841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" r="0.750000000000001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926298157453935E-2"/>
          <c:y val="0.13440860215053771"/>
          <c:w val="0.9329983249581244"/>
          <c:h val="0.6505376344086026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'SQ (Team C) Data'!$AP$8</c:f>
              <c:strCache>
                <c:ptCount val="1"/>
                <c:pt idx="0">
                  <c:v>Trouble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92-4356-83D3-C1D242D6411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Data'!$AP$9:$AP$39</c:f>
            </c:numRef>
          </c:val>
          <c:extLst>
            <c:ext xmlns:c16="http://schemas.microsoft.com/office/drawing/2014/chart" uri="{C3380CC4-5D6E-409C-BE32-E72D297353CC}">
              <c16:uniqueId val="{00000001-F992-4356-83D3-C1D242D64115}"/>
            </c:ext>
          </c:extLst>
        </c:ser>
        <c:ser>
          <c:idx val="0"/>
          <c:order val="1"/>
          <c:tx>
            <c:strRef>
              <c:f>'SQ (Team C) Data'!$AQ$8</c:f>
              <c:strCache>
                <c:ptCount val="1"/>
                <c:pt idx="0">
                  <c:v>Waiting</c:v>
                </c:pt>
              </c:strCache>
            </c:strRef>
          </c:tx>
          <c:spPr>
            <a:pattFill prst="smGrid">
              <a:fgClr>
                <a:srgbClr val="0000FF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Data'!$AQ$9:$AQ$39</c:f>
            </c:numRef>
          </c:val>
          <c:extLst>
            <c:ext xmlns:c16="http://schemas.microsoft.com/office/drawing/2014/chart" uri="{C3380CC4-5D6E-409C-BE32-E72D297353CC}">
              <c16:uniqueId val="{00000002-F992-4356-83D3-C1D242D64115}"/>
            </c:ext>
          </c:extLst>
        </c:ser>
        <c:ser>
          <c:idx val="2"/>
          <c:order val="2"/>
          <c:tx>
            <c:strRef>
              <c:f>'SQ (Team C) Data'!$AN$8</c:f>
              <c:strCache>
                <c:ptCount val="1"/>
                <c:pt idx="0">
                  <c:v>Due to operation error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Data'!$AN$9:$AN$39</c:f>
            </c:numRef>
          </c:val>
          <c:extLst>
            <c:ext xmlns:c16="http://schemas.microsoft.com/office/drawing/2014/chart" uri="{C3380CC4-5D6E-409C-BE32-E72D297353CC}">
              <c16:uniqueId val="{00000003-F992-4356-83D3-C1D242D64115}"/>
            </c:ext>
          </c:extLst>
        </c:ser>
        <c:ser>
          <c:idx val="3"/>
          <c:order val="3"/>
          <c:tx>
            <c:strRef>
              <c:f>'SQ (Team C) Data'!$AO$8</c:f>
              <c:strCache>
                <c:ptCount val="1"/>
                <c:pt idx="0">
                  <c:v>Equipment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'SQ (Team C) Data'!$C$9:$C$39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'SQ (Team C) Data'!$AO$9:$AO$39</c:f>
            </c:numRef>
          </c:val>
          <c:extLst>
            <c:ext xmlns:c16="http://schemas.microsoft.com/office/drawing/2014/chart" uri="{C3380CC4-5D6E-409C-BE32-E72D297353CC}">
              <c16:uniqueId val="{00000004-F992-4356-83D3-C1D242D64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919872"/>
        <c:axId val="89921408"/>
      </c:barChart>
      <c:catAx>
        <c:axId val="8991987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8992140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89921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(min)</a:t>
                </a:r>
              </a:p>
            </c:rich>
          </c:tx>
          <c:layout>
            <c:manualLayout>
              <c:xMode val="edge"/>
              <c:yMode val="edge"/>
              <c:x val="4.1459616542907016E-2"/>
              <c:y val="3.327180876583975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8991987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783484350888301"/>
          <c:y val="3.4050179211469536E-2"/>
          <c:w val="0.2881077302523114"/>
          <c:h val="0.351256738069031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" r="0.750000000000001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Operation Ｓｔｏｐ　Ｔｏｔａｌ　Time （ｍｉｎ）</a:t>
            </a:r>
          </a:p>
        </c:rich>
      </c:tx>
      <c:layout>
        <c:manualLayout>
          <c:xMode val="edge"/>
          <c:yMode val="edge"/>
          <c:x val="0.20740671003081138"/>
          <c:y val="2.77266954533909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16751060626797"/>
          <c:y val="0.26617423278331626"/>
          <c:w val="0.63343095661694271"/>
          <c:h val="0.62661850634405858"/>
        </c:manualLayout>
      </c:layout>
      <c:doughnutChart>
        <c:varyColors val="1"/>
        <c:ser>
          <c:idx val="0"/>
          <c:order val="0"/>
          <c:tx>
            <c:strRef>
              <c:f>'SQ (Team C) Data'!$AR$8</c:f>
              <c:strCache>
                <c:ptCount val="1"/>
                <c:pt idx="0">
                  <c:v>Operation Ｓｔｏｐ　Ｔｏｔａｌ　Time　　（ｍｉｎ）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pattFill prst="wdUpDiag">
                <a:fgClr>
                  <a:srgbClr val="FF0000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B0B-484F-9C84-9E4448F02822}"/>
              </c:ext>
            </c:extLst>
          </c:dPt>
          <c:dPt>
            <c:idx val="1"/>
            <c:bubble3D val="0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B0B-484F-9C84-9E4448F02822}"/>
              </c:ext>
            </c:extLst>
          </c:dPt>
          <c:dPt>
            <c:idx val="2"/>
            <c:bubble3D val="0"/>
            <c:spPr>
              <a:pattFill prst="lgGrid">
                <a:fgClr>
                  <a:srgbClr val="0000FF"/>
                </a:fgClr>
                <a:bgClr>
                  <a:srgbClr val="FFFFFF"/>
                </a:bgClr>
              </a:patt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B0B-484F-9C84-9E4448F02822}"/>
              </c:ext>
            </c:extLst>
          </c:dPt>
          <c:dPt>
            <c:idx val="3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B0B-484F-9C84-9E4448F02822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multiLvlStrRef>
              <c:f>('SQ (Team C) Data'!$AO$8,'SQ (Team C) Data'!$AN$8,'SQ (Team C) Data'!$AQ$8,'SQ (Team C) Data'!$AP$8)</c:f>
            </c:multiLvlStrRef>
          </c:cat>
          <c:val>
            <c:numRef>
              <c:f>('SQ (Team C) Data'!$AO$40,'SQ (Team C) Data'!$AN$40,'SQ (Team C) Data'!$AQ$40,'SQ (Team C) Data'!$AP$40)</c:f>
            </c:numRef>
          </c:val>
          <c:extLst>
            <c:ext xmlns:c16="http://schemas.microsoft.com/office/drawing/2014/chart" uri="{C3380CC4-5D6E-409C-BE32-E72D297353CC}">
              <c16:uniqueId val="{00000008-FB0B-484F-9C84-9E4448F02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0000000000001" r="0.750000000000001" t="1" header="0.51200000000000001" footer="0.51200000000000001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'TOTAL SQ'!$W$3</c:f>
              <c:strCache>
                <c:ptCount val="1"/>
                <c:pt idx="0">
                  <c:v>MT / 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'TOTAL SQ'!$W$5:$W$35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'TOTAL SQ'!$T$5:$T$35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A5B-4F87-ADC7-320003DDD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934552"/>
        <c:axId val="542934880"/>
      </c:barChart>
      <c:catAx>
        <c:axId val="542934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/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34880"/>
        <c:crosses val="autoZero"/>
        <c:auto val="1"/>
        <c:lblAlgn val="ctr"/>
        <c:lblOffset val="100"/>
        <c:noMultiLvlLbl val="0"/>
      </c:catAx>
      <c:valAx>
        <c:axId val="5429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34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'TOTAL SQ'!$X$3:$X$4</c:f>
              <c:strCache>
                <c:ptCount val="2"/>
                <c:pt idx="0">
                  <c:v>MAN HR /MT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'TOTAL SQ'!$X$5:$X$35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'TOTAL SQ'!$T$5:$T$35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AFF-4489-8B57-DA5754B0E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934552"/>
        <c:axId val="542934880"/>
      </c:barChart>
      <c:catAx>
        <c:axId val="542934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/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34880"/>
        <c:crosses val="autoZero"/>
        <c:auto val="1"/>
        <c:lblAlgn val="ctr"/>
        <c:lblOffset val="100"/>
        <c:noMultiLvlLbl val="0"/>
      </c:catAx>
      <c:valAx>
        <c:axId val="5429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34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TEAM A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4960171963689129E-2"/>
          <c:y val="0.11421523366427298"/>
          <c:w val="0.91475114705978877"/>
          <c:h val="0.6850488796665155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'TEAM WISE GRAPH'!$F$67:$F$68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'TEAM WISE GRAPH'!$A$69:$A$99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'TEAM WISE GRAPH'!$F$69:$F$99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3B-4454-8928-E76689F43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1"/>
        <c:axId val="98383360"/>
        <c:axId val="98384896"/>
      </c:barChart>
      <c:lineChart>
        <c:grouping val="standard"/>
        <c:varyColors val="0"/>
        <c:ser>
          <c:idx val="0"/>
          <c:order val="1"/>
          <c:tx>
            <c:strRef>
              <c:f>'TEAM WISE GRAPH'!$G$67:$G$68</c:f>
              <c:strCache>
                <c:ptCount val="2"/>
                <c:pt idx="0">
                  <c:v>ACTUAL GSPH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'TEAM WISE GRAPH'!$G$69:$G$99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A-47F4-8F07-6C6D2C119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76888"/>
        <c:axId val="463473608"/>
      </c:lineChart>
      <c:dateAx>
        <c:axId val="98383360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8384896"/>
        <c:crosses val="autoZero"/>
        <c:auto val="0"/>
        <c:lblOffset val="100"/>
        <c:baseTimeUnit val="days"/>
      </c:dateAx>
      <c:valAx>
        <c:axId val="9838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98383360"/>
        <c:crosses val="autoZero"/>
        <c:crossBetween val="between"/>
      </c:valAx>
      <c:valAx>
        <c:axId val="4634736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GSPH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63476888"/>
        <c:crosses val="max"/>
        <c:crossBetween val="between"/>
      </c:valAx>
      <c:dateAx>
        <c:axId val="463476888"/>
        <c:scaling>
          <c:orientation val="minMax"/>
        </c:scaling>
        <c:delete val="1"/>
        <c:axPos val="b"/>
        <c:majorTickMark val="out"/>
        <c:minorTickMark val="none"/>
        <c:tickLblPos val="nextTo"/>
        <c:crossAx val="463473608"/>
        <c:crosses val="autoZero"/>
        <c:auto val="0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0.36111166069104345"/>
          <c:y val="0.93756056260827858"/>
          <c:w val="0.17717191773726654"/>
          <c:h val="6.243943739172139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TEAM 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124774379455289E-2"/>
          <c:y val="0.10843766081157973"/>
          <c:w val="0.89933484618796489"/>
          <c:h val="0.6817372444907481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'TEAM WISE GRAPH'!$O$67:$O$68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'TEAM WISE GRAPH'!$J$69:$J$99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'TEAM WISE GRAPH'!$O$69:$O$99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09-4790-B3DC-D0F06BAFB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8517760"/>
        <c:axId val="98519296"/>
      </c:barChart>
      <c:lineChart>
        <c:grouping val="standard"/>
        <c:varyColors val="0"/>
        <c:ser>
          <c:idx val="0"/>
          <c:order val="1"/>
          <c:tx>
            <c:strRef>
              <c:f>'TEAM WISE GRAPH'!$P$67:$P$68</c:f>
              <c:strCache>
                <c:ptCount val="2"/>
                <c:pt idx="0">
                  <c:v>ACTUAL GSPH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'TEAM WISE GRAPH'!$P$69:$P$99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21-4299-B536-44A43001D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55176"/>
        <c:axId val="550552880"/>
      </c:lineChart>
      <c:dateAx>
        <c:axId val="98517760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8519296"/>
        <c:crosses val="autoZero"/>
        <c:auto val="0"/>
        <c:lblOffset val="100"/>
        <c:baseTimeUnit val="days"/>
      </c:dateAx>
      <c:valAx>
        <c:axId val="9851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98517760"/>
        <c:crosses val="autoZero"/>
        <c:crossBetween val="between"/>
      </c:valAx>
      <c:valAx>
        <c:axId val="5505528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GSPH</a:t>
                </a:r>
              </a:p>
            </c:rich>
          </c:tx>
          <c:layout>
            <c:manualLayout>
              <c:xMode val="edge"/>
              <c:yMode val="edge"/>
              <c:x val="0.96792968408517477"/>
              <c:y val="0.4166381618911895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550555176"/>
        <c:crosses val="max"/>
        <c:crossBetween val="between"/>
      </c:valAx>
      <c:dateAx>
        <c:axId val="550555176"/>
        <c:scaling>
          <c:orientation val="minMax"/>
        </c:scaling>
        <c:delete val="1"/>
        <c:axPos val="b"/>
        <c:majorTickMark val="out"/>
        <c:minorTickMark val="none"/>
        <c:tickLblPos val="nextTo"/>
        <c:crossAx val="550552880"/>
        <c:crosses val="autoZero"/>
        <c:auto val="0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0.39024134601613292"/>
          <c:y val="0.93341476769913012"/>
          <c:w val="0.17748757897467773"/>
          <c:h val="6.309597303764195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TEAM 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124774379455289E-2"/>
          <c:y val="0.10843766081157973"/>
          <c:w val="0.91385932818359161"/>
          <c:h val="0.6817372444907481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'TEAM WISE GRAPH'!$X$67:$X$68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'TEAM WISE GRAPH'!$S$69:$S$99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'TEAM WISE GRAPH'!$X$69:$X$99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C-47F6-BABC-4BBD52746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8517760"/>
        <c:axId val="98519296"/>
      </c:barChart>
      <c:lineChart>
        <c:grouping val="standard"/>
        <c:varyColors val="0"/>
        <c:ser>
          <c:idx val="0"/>
          <c:order val="1"/>
          <c:tx>
            <c:strRef>
              <c:f>'TEAM WISE GRAPH'!$Y$67:$Y$68</c:f>
              <c:strCache>
                <c:ptCount val="2"/>
                <c:pt idx="0">
                  <c:v>ACTUAL GSPH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'TEAM WISE GRAPH'!$Y$69:$Y$99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C-47F6-BABC-4BBD52746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084624"/>
        <c:axId val="576086592"/>
      </c:lineChart>
      <c:dateAx>
        <c:axId val="98517760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8519296"/>
        <c:crosses val="autoZero"/>
        <c:auto val="0"/>
        <c:lblOffset val="100"/>
        <c:baseTimeUnit val="days"/>
      </c:dateAx>
      <c:valAx>
        <c:axId val="9851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98517760"/>
        <c:crosses val="autoZero"/>
        <c:crossBetween val="between"/>
      </c:valAx>
      <c:valAx>
        <c:axId val="5760865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GSPH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76084624"/>
        <c:crosses val="max"/>
        <c:crossBetween val="between"/>
      </c:valAx>
      <c:dateAx>
        <c:axId val="576084624"/>
        <c:scaling>
          <c:orientation val="minMax"/>
        </c:scaling>
        <c:delete val="1"/>
        <c:axPos val="b"/>
        <c:majorTickMark val="out"/>
        <c:minorTickMark val="none"/>
        <c:tickLblPos val="nextTo"/>
        <c:crossAx val="576086592"/>
        <c:crosses val="autoZero"/>
        <c:auto val="0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0.39024134601613292"/>
          <c:y val="0.93341476769913012"/>
          <c:w val="0.17615980341886631"/>
          <c:h val="6.618581587182281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TOTAL  CUTS &amp; </a:t>
            </a:r>
            <a:r>
              <a:rPr lang="en-IN" baseline="0"/>
              <a:t> ACTUAL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124774379455289E-2"/>
          <c:y val="0.10843766081157973"/>
          <c:w val="0.89354739445871256"/>
          <c:h val="0.6817372444907481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'TEAM WISE GRAPH'!$AH$67:$AH$68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'TEAM WISE GRAPH'!$S$69:$S$99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'TEAM WISE GRAPH'!$AH$69:$AH$99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D-4755-9FF7-014F9EA9E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98517760"/>
        <c:axId val="98519296"/>
      </c:barChart>
      <c:lineChart>
        <c:grouping val="standard"/>
        <c:varyColors val="0"/>
        <c:ser>
          <c:idx val="0"/>
          <c:order val="1"/>
          <c:tx>
            <c:strRef>
              <c:f>'TEAM WISE GRAPH'!$AI$67:$AI$68</c:f>
              <c:strCache>
                <c:ptCount val="2"/>
                <c:pt idx="0">
                  <c:v>ACTUAL GSPH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'TEAM WISE GRAPH'!$AC$69:$AC$99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'TEAM WISE GRAPH'!$AI$69:$AI$99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5D-4755-9FF7-014F9EA9E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084624"/>
        <c:axId val="576086592"/>
      </c:lineChart>
      <c:dateAx>
        <c:axId val="98517760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8519296"/>
        <c:crosses val="autoZero"/>
        <c:auto val="0"/>
        <c:lblOffset val="100"/>
        <c:baseTimeUnit val="days"/>
      </c:dateAx>
      <c:valAx>
        <c:axId val="9851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CUTS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98517760"/>
        <c:crosses val="autoZero"/>
        <c:crossBetween val="between"/>
      </c:valAx>
      <c:valAx>
        <c:axId val="5760865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GSPH</a:t>
                </a:r>
              </a:p>
            </c:rich>
          </c:tx>
          <c:layout>
            <c:manualLayout>
              <c:xMode val="edge"/>
              <c:yMode val="edge"/>
              <c:x val="0.97107708586766028"/>
              <c:y val="0.46782143300950935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576084624"/>
        <c:crosses val="max"/>
        <c:crossBetween val="between"/>
      </c:valAx>
      <c:dateAx>
        <c:axId val="576084624"/>
        <c:scaling>
          <c:orientation val="minMax"/>
        </c:scaling>
        <c:delete val="1"/>
        <c:axPos val="b"/>
        <c:numFmt formatCode="[$-409]d/mmm;@" sourceLinked="1"/>
        <c:majorTickMark val="out"/>
        <c:minorTickMark val="none"/>
        <c:tickLblPos val="nextTo"/>
        <c:crossAx val="576086592"/>
        <c:crosses val="autoZero"/>
        <c:auto val="0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0.39024134601613292"/>
          <c:y val="0.93341476769913012"/>
          <c:w val="0.17615980341886631"/>
          <c:h val="6.618581587182281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 -1</a:t>
            </a:r>
          </a:p>
          <a:p>
            <a:pPr>
              <a:defRPr/>
            </a:pPr>
            <a:endParaRPr lang="en-I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'SQ-1'!$AB$3:$AB$4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CD-44AB-96D8-D836DD831E57}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'SQ-1'!$AB$5:$AB$35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CD-44AB-96D8-D836DD83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436992"/>
        <c:axId val="98438528"/>
      </c:barChart>
      <c:lineChart>
        <c:grouping val="standard"/>
        <c:varyColors val="0"/>
        <c:ser>
          <c:idx val="0"/>
          <c:order val="1"/>
          <c:tx>
            <c:strRef>
              <c:f>'SQ-1'!$AC$3:$AC$4</c:f>
              <c:strCache>
                <c:ptCount val="2"/>
                <c:pt idx="0">
                  <c:v>GSPH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'SQ-1'!$AC$5:$AC$35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CD-44AB-96D8-D836DD83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445952"/>
        <c:axId val="98444416"/>
      </c:lineChart>
      <c:dateAx>
        <c:axId val="98436992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8438528"/>
        <c:crosses val="autoZero"/>
        <c:auto val="1"/>
        <c:lblOffset val="100"/>
        <c:baseTimeUnit val="days"/>
      </c:dateAx>
      <c:valAx>
        <c:axId val="98438528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98436992"/>
        <c:crosses val="autoZero"/>
        <c:crossBetween val="between"/>
      </c:valAx>
      <c:valAx>
        <c:axId val="9844441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98445952"/>
        <c:crosses val="max"/>
        <c:crossBetween val="between"/>
      </c:valAx>
      <c:catAx>
        <c:axId val="98445952"/>
        <c:scaling>
          <c:orientation val="minMax"/>
        </c:scaling>
        <c:delete val="1"/>
        <c:axPos val="b"/>
        <c:majorTickMark val="out"/>
        <c:minorTickMark val="none"/>
        <c:tickLblPos val="nextTo"/>
        <c:crossAx val="98444416"/>
        <c:crossesAt val="0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 -2</a:t>
            </a:r>
          </a:p>
          <a:p>
            <a:pPr>
              <a:defRPr/>
            </a:pPr>
            <a:endParaRPr lang="en-I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'SQ-2'!$AB$3:$AB$4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</c:spPr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'SQ-2'!$A$5:$A$35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'SQ-2'!$AB$5:$AB$35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B2-4B06-8301-05E5ABF63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490240"/>
        <c:axId val="98491776"/>
      </c:barChart>
      <c:lineChart>
        <c:grouping val="standard"/>
        <c:varyColors val="0"/>
        <c:ser>
          <c:idx val="0"/>
          <c:order val="1"/>
          <c:tx>
            <c:strRef>
              <c:f>'SQ-2'!$AC$3:$AC$4</c:f>
              <c:strCache>
                <c:ptCount val="2"/>
                <c:pt idx="0">
                  <c:v>GSPH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'SQ-2'!$AC$5:$AC$35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2-4B06-8301-05E5ABF63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495104"/>
        <c:axId val="98493568"/>
      </c:lineChart>
      <c:dateAx>
        <c:axId val="98490240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8491776"/>
        <c:crosses val="autoZero"/>
        <c:auto val="1"/>
        <c:lblOffset val="100"/>
        <c:baseTimeUnit val="days"/>
      </c:dateAx>
      <c:valAx>
        <c:axId val="98491776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98490240"/>
        <c:crosses val="autoZero"/>
        <c:crossBetween val="between"/>
      </c:valAx>
      <c:valAx>
        <c:axId val="98493568"/>
        <c:scaling>
          <c:orientation val="minMax"/>
          <c:max val="600"/>
        </c:scaling>
        <c:delete val="0"/>
        <c:axPos val="r"/>
        <c:numFmt formatCode="0" sourceLinked="1"/>
        <c:majorTickMark val="out"/>
        <c:minorTickMark val="none"/>
        <c:tickLblPos val="nextTo"/>
        <c:crossAx val="98495104"/>
        <c:crosses val="max"/>
        <c:crossBetween val="between"/>
      </c:valAx>
      <c:catAx>
        <c:axId val="98495104"/>
        <c:scaling>
          <c:orientation val="minMax"/>
        </c:scaling>
        <c:delete val="1"/>
        <c:axPos val="b"/>
        <c:majorTickMark val="out"/>
        <c:minorTickMark val="none"/>
        <c:tickLblPos val="nextTo"/>
        <c:crossAx val="9849356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 -3</a:t>
            </a:r>
          </a:p>
          <a:p>
            <a:pPr>
              <a:defRPr/>
            </a:pPr>
            <a:endParaRPr lang="en-I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'SQ-3'!$AB$3:$AB$4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</c:spPr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'SQ-3'!$A$5:$A$35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'SQ-3'!$AB$5:$AB$35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B2-4D58-9E07-5099585C0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87968"/>
        <c:axId val="99589504"/>
      </c:barChart>
      <c:lineChart>
        <c:grouping val="standard"/>
        <c:varyColors val="0"/>
        <c:ser>
          <c:idx val="0"/>
          <c:order val="1"/>
          <c:tx>
            <c:strRef>
              <c:f>'SQ-3'!$AC$3:$AC$4</c:f>
              <c:strCache>
                <c:ptCount val="2"/>
                <c:pt idx="0">
                  <c:v>GSPH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'SQ-3'!$AC$5:$AC$35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2-4D58-9E07-5099585C0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605120"/>
        <c:axId val="99603584"/>
      </c:lineChart>
      <c:dateAx>
        <c:axId val="99587968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9589504"/>
        <c:crosses val="autoZero"/>
        <c:auto val="1"/>
        <c:lblOffset val="100"/>
        <c:baseTimeUnit val="days"/>
      </c:dateAx>
      <c:valAx>
        <c:axId val="99589504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99587968"/>
        <c:crosses val="autoZero"/>
        <c:crossBetween val="between"/>
      </c:valAx>
      <c:valAx>
        <c:axId val="9960358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99605120"/>
        <c:crosses val="max"/>
        <c:crossBetween val="between"/>
      </c:valAx>
      <c:catAx>
        <c:axId val="99605120"/>
        <c:scaling>
          <c:orientation val="minMax"/>
        </c:scaling>
        <c:delete val="1"/>
        <c:axPos val="b"/>
        <c:majorTickMark val="out"/>
        <c:minorTickMark val="none"/>
        <c:tickLblPos val="nextTo"/>
        <c:crossAx val="9960358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 -4</a:t>
            </a:r>
          </a:p>
          <a:p>
            <a:pPr>
              <a:defRPr/>
            </a:pPr>
            <a:endParaRPr lang="en-I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'SQ-4'!$AB$3:$AB$4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dLbl>
              <c:idx val="2"/>
              <c:layout>
                <c:manualLayout>
                  <c:x val="0"/>
                  <c:y val="0.270640650385945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C6-4242-8C48-599BD591BAB7}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'SQ-4'!$A$5:$A$35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'SQ-4'!$AB$5:$AB$35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6-4242-8C48-599BD591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379072"/>
        <c:axId val="99380608"/>
      </c:barChart>
      <c:lineChart>
        <c:grouping val="standard"/>
        <c:varyColors val="0"/>
        <c:ser>
          <c:idx val="0"/>
          <c:order val="1"/>
          <c:tx>
            <c:strRef>
              <c:f>'SQ-4'!$AC$3:$AC$4</c:f>
              <c:strCache>
                <c:ptCount val="2"/>
                <c:pt idx="0">
                  <c:v>GSPH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'SQ-4'!$AC$5:$AC$35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C6-4242-8C48-599BD591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392128"/>
        <c:axId val="99390592"/>
      </c:lineChart>
      <c:dateAx>
        <c:axId val="99379072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9380608"/>
        <c:crosses val="autoZero"/>
        <c:auto val="1"/>
        <c:lblOffset val="100"/>
        <c:baseTimeUnit val="days"/>
      </c:dateAx>
      <c:valAx>
        <c:axId val="99380608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99379072"/>
        <c:crossesAt val="1"/>
        <c:crossBetween val="between"/>
      </c:valAx>
      <c:valAx>
        <c:axId val="99390592"/>
        <c:scaling>
          <c:orientation val="minMax"/>
          <c:max val="700"/>
        </c:scaling>
        <c:delete val="0"/>
        <c:axPos val="r"/>
        <c:numFmt formatCode="0" sourceLinked="1"/>
        <c:majorTickMark val="out"/>
        <c:minorTickMark val="none"/>
        <c:tickLblPos val="nextTo"/>
        <c:crossAx val="99392128"/>
        <c:crosses val="max"/>
        <c:crossBetween val="between"/>
      </c:valAx>
      <c:catAx>
        <c:axId val="99392128"/>
        <c:scaling>
          <c:orientation val="minMax"/>
        </c:scaling>
        <c:delete val="1"/>
        <c:axPos val="b"/>
        <c:majorTickMark val="out"/>
        <c:minorTickMark val="none"/>
        <c:tickLblPos val="nextTo"/>
        <c:crossAx val="9939059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 -5</a:t>
            </a:r>
          </a:p>
          <a:p>
            <a:pPr>
              <a:defRPr/>
            </a:pPr>
            <a:endParaRPr lang="en-I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'SQ-5'!$AB$3:$AB$4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</c:spPr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'SQ-5'!$A$5:$A$35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'SQ-5'!$AB$5:$AB$35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E-4E5A-8E20-78AB2D85F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424128"/>
        <c:axId val="99425664"/>
      </c:barChart>
      <c:lineChart>
        <c:grouping val="standard"/>
        <c:varyColors val="0"/>
        <c:ser>
          <c:idx val="0"/>
          <c:order val="1"/>
          <c:tx>
            <c:strRef>
              <c:f>'SQ-5'!$AC$3:$AC$4</c:f>
              <c:strCache>
                <c:ptCount val="2"/>
                <c:pt idx="0">
                  <c:v>GSPH</c:v>
                </c:pt>
              </c:strCache>
            </c:strRef>
          </c:tx>
          <c:marker>
            <c:symbol val="none"/>
          </c:marker>
          <c:dLbls>
            <c:dLbl>
              <c:idx val="2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EE-4E5A-8E20-78AB2D85F67D}"/>
                </c:ext>
              </c:extLst>
            </c:dLbl>
            <c:dLbl>
              <c:idx val="29"/>
              <c:layout>
                <c:manualLayout>
                  <c:x val="-1.8005851476394753E-2"/>
                  <c:y val="-3.15412257593149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EE-4E5A-8E20-78AB2D85F67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'SQ-5'!$A$5:$A$35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'SQ-5'!$AC$5:$AC$35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EE-4E5A-8E20-78AB2D85F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37184"/>
        <c:axId val="99435648"/>
      </c:lineChart>
      <c:dateAx>
        <c:axId val="99424128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9425664"/>
        <c:crosses val="autoZero"/>
        <c:auto val="1"/>
        <c:lblOffset val="100"/>
        <c:baseTimeUnit val="days"/>
      </c:dateAx>
      <c:valAx>
        <c:axId val="99425664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99424128"/>
        <c:crosses val="autoZero"/>
        <c:crossBetween val="between"/>
      </c:valAx>
      <c:valAx>
        <c:axId val="9943564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99437184"/>
        <c:crosses val="max"/>
        <c:crossBetween val="between"/>
      </c:valAx>
      <c:dateAx>
        <c:axId val="99437184"/>
        <c:scaling>
          <c:orientation val="minMax"/>
        </c:scaling>
        <c:delete val="1"/>
        <c:axPos val="b"/>
        <c:numFmt formatCode="[$-409]d/mmm;@" sourceLinked="1"/>
        <c:majorTickMark val="out"/>
        <c:minorTickMark val="none"/>
        <c:tickLblPos val="nextTo"/>
        <c:crossAx val="9943564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 -6</a:t>
            </a:r>
          </a:p>
          <a:p>
            <a:pPr>
              <a:defRPr/>
            </a:pPr>
            <a:endParaRPr lang="en-I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'SQ-6'!$AB$3:$AB$4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</c:spPr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'SQ-6'!$A$5:$A$35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'SQ-6'!$AB$5:$AB$35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C-4376-AB43-12FD2F7DC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473280"/>
        <c:axId val="99474816"/>
      </c:barChart>
      <c:lineChart>
        <c:grouping val="standard"/>
        <c:varyColors val="0"/>
        <c:ser>
          <c:idx val="0"/>
          <c:order val="1"/>
          <c:tx>
            <c:strRef>
              <c:f>'SQ-6'!$AC$3:$AC$4</c:f>
              <c:strCache>
                <c:ptCount val="2"/>
                <c:pt idx="0">
                  <c:v>GSPH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'SQ-6'!$A$5:$A$35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'SQ-6'!$AC$5:$AC$35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6C-4376-AB43-12FD2F7DC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82240"/>
        <c:axId val="99480704"/>
      </c:lineChart>
      <c:dateAx>
        <c:axId val="99473280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9474816"/>
        <c:crosses val="autoZero"/>
        <c:auto val="1"/>
        <c:lblOffset val="100"/>
        <c:baseTimeUnit val="days"/>
      </c:dateAx>
      <c:valAx>
        <c:axId val="99474816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99473280"/>
        <c:crosses val="autoZero"/>
        <c:crossBetween val="between"/>
      </c:valAx>
      <c:valAx>
        <c:axId val="9948070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99482240"/>
        <c:crosses val="max"/>
        <c:crossBetween val="between"/>
      </c:valAx>
      <c:dateAx>
        <c:axId val="99482240"/>
        <c:scaling>
          <c:orientation val="minMax"/>
        </c:scaling>
        <c:delete val="1"/>
        <c:axPos val="b"/>
        <c:numFmt formatCode="[$-409]d/mmm;@" sourceLinked="1"/>
        <c:majorTickMark val="out"/>
        <c:minorTickMark val="none"/>
        <c:tickLblPos val="nextTo"/>
        <c:crossAx val="9948070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 -7</a:t>
            </a:r>
          </a:p>
          <a:p>
            <a:pPr>
              <a:defRPr/>
            </a:pPr>
            <a:endParaRPr lang="en-I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'SQ-7'!$AB$3:$AB$4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</c:spPr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'SQ-7'!$A$5:$A$35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'SQ-7'!$AB$5:$AB$35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3A-4AB5-AABD-32FD28EF2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26528"/>
        <c:axId val="99528064"/>
      </c:barChart>
      <c:lineChart>
        <c:grouping val="standard"/>
        <c:varyColors val="0"/>
        <c:ser>
          <c:idx val="0"/>
          <c:order val="1"/>
          <c:tx>
            <c:strRef>
              <c:f>'SQ-7'!$AC$3:$AC$4</c:f>
              <c:strCache>
                <c:ptCount val="2"/>
                <c:pt idx="0">
                  <c:v>GSPH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'SQ-7'!$A$5:$A$35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'SQ-7'!$AC$5:$AC$35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3A-4AB5-AABD-32FD28EF2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879552"/>
        <c:axId val="99878016"/>
      </c:lineChart>
      <c:dateAx>
        <c:axId val="99526528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9528064"/>
        <c:crosses val="autoZero"/>
        <c:auto val="1"/>
        <c:lblOffset val="100"/>
        <c:baseTimeUnit val="days"/>
      </c:dateAx>
      <c:valAx>
        <c:axId val="99528064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99526528"/>
        <c:crosses val="autoZero"/>
        <c:crossBetween val="between"/>
      </c:valAx>
      <c:valAx>
        <c:axId val="9987801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99879552"/>
        <c:crosses val="max"/>
        <c:crossBetween val="between"/>
      </c:valAx>
      <c:dateAx>
        <c:axId val="99879552"/>
        <c:scaling>
          <c:orientation val="minMax"/>
        </c:scaling>
        <c:delete val="1"/>
        <c:axPos val="b"/>
        <c:numFmt formatCode="[$-409]d/mmm;@" sourceLinked="1"/>
        <c:majorTickMark val="out"/>
        <c:minorTickMark val="none"/>
        <c:tickLblPos val="nextTo"/>
        <c:crossAx val="99878016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 -8</a:t>
            </a:r>
          </a:p>
          <a:p>
            <a:pPr>
              <a:defRPr/>
            </a:pPr>
            <a:endParaRPr lang="en-I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'SQ-8'!$AB$3:$AB$4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</c:spPr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'SQ-8'!$A$5:$A$35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'SQ-8'!$AB$5:$AB$35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C8-4689-9DE6-5993A0431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11552"/>
        <c:axId val="99913088"/>
      </c:barChart>
      <c:lineChart>
        <c:grouping val="standard"/>
        <c:varyColors val="0"/>
        <c:ser>
          <c:idx val="0"/>
          <c:order val="1"/>
          <c:tx>
            <c:strRef>
              <c:f>'SQ-8'!$AC$3:$AC$4</c:f>
              <c:strCache>
                <c:ptCount val="2"/>
                <c:pt idx="0">
                  <c:v>GSPH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'SQ-8'!$A$5:$A$35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'SQ-8'!$AC$5:$AC$35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C8-4689-9DE6-5993A0431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920512"/>
        <c:axId val="99918976"/>
      </c:lineChart>
      <c:dateAx>
        <c:axId val="99911552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9913088"/>
        <c:crosses val="autoZero"/>
        <c:auto val="1"/>
        <c:lblOffset val="100"/>
        <c:baseTimeUnit val="days"/>
      </c:dateAx>
      <c:valAx>
        <c:axId val="99913088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99911552"/>
        <c:crosses val="autoZero"/>
        <c:crossBetween val="between"/>
      </c:valAx>
      <c:valAx>
        <c:axId val="9991897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99920512"/>
        <c:crosses val="max"/>
        <c:crossBetween val="between"/>
      </c:valAx>
      <c:dateAx>
        <c:axId val="99920512"/>
        <c:scaling>
          <c:orientation val="minMax"/>
        </c:scaling>
        <c:delete val="1"/>
        <c:axPos val="b"/>
        <c:numFmt formatCode="[$-409]d/mmm;@" sourceLinked="1"/>
        <c:majorTickMark val="out"/>
        <c:minorTickMark val="none"/>
        <c:tickLblPos val="nextTo"/>
        <c:crossAx val="99918976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 -9</a:t>
            </a:r>
          </a:p>
          <a:p>
            <a:pPr>
              <a:defRPr/>
            </a:pPr>
            <a:endParaRPr lang="en-IN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'SQ-9'!$AB$3:$AB$4</c:f>
              <c:strCache>
                <c:ptCount val="2"/>
                <c:pt idx="0">
                  <c:v>Total cuts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</c:spPr>
            <c:txPr>
              <a:bodyPr/>
              <a:lstStyle/>
              <a:p>
                <a:pPr>
                  <a:defRPr b="1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'SQ-9'!$A$5:$A$35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'SQ-9'!$AB$5:$AB$35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26-4DF5-B154-A87757C63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776384"/>
        <c:axId val="99777920"/>
      </c:barChart>
      <c:lineChart>
        <c:grouping val="standard"/>
        <c:varyColors val="0"/>
        <c:ser>
          <c:idx val="0"/>
          <c:order val="1"/>
          <c:tx>
            <c:strRef>
              <c:f>'SQ-9'!$AC$3:$AC$4</c:f>
              <c:strCache>
                <c:ptCount val="2"/>
                <c:pt idx="0">
                  <c:v>GSPH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'SQ-9'!$A$5:$A$35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'SQ-9'!$AC$5:$AC$35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6-4DF5-B154-A87757C63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789440"/>
        <c:axId val="99787904"/>
      </c:lineChart>
      <c:dateAx>
        <c:axId val="99776384"/>
        <c:scaling>
          <c:orientation val="minMax"/>
        </c:scaling>
        <c:delete val="0"/>
        <c:axPos val="b"/>
        <c:numFmt formatCode="[$-409]d/mmm;@" sourceLinked="1"/>
        <c:majorTickMark val="none"/>
        <c:minorTickMark val="none"/>
        <c:tickLblPos val="nextTo"/>
        <c:crossAx val="99777920"/>
        <c:crosses val="autoZero"/>
        <c:auto val="1"/>
        <c:lblOffset val="100"/>
        <c:baseTimeUnit val="days"/>
      </c:dateAx>
      <c:valAx>
        <c:axId val="99777920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99776384"/>
        <c:crosses val="autoZero"/>
        <c:crossBetween val="between"/>
      </c:valAx>
      <c:valAx>
        <c:axId val="9978790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99789440"/>
        <c:crosses val="max"/>
        <c:crossBetween val="between"/>
      </c:valAx>
      <c:dateAx>
        <c:axId val="99789440"/>
        <c:scaling>
          <c:orientation val="minMax"/>
        </c:scaling>
        <c:delete val="1"/>
        <c:axPos val="b"/>
        <c:numFmt formatCode="[$-409]d/mmm;@" sourceLinked="1"/>
        <c:majorTickMark val="out"/>
        <c:minorTickMark val="none"/>
        <c:tickLblPos val="nextTo"/>
        <c:crossAx val="9978790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-1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551187299934629E-2"/>
          <c:y val="7.5688494912978646E-2"/>
          <c:w val="0.8435006368005652"/>
          <c:h val="0.76198660702003451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'SQ-1'!$AD$5:$AD$35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6-40B1-9235-FADBCD0FA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078912"/>
        <c:axId val="99080448"/>
      </c:lineChart>
      <c:dateAx>
        <c:axId val="99078912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99080448"/>
        <c:crosses val="autoZero"/>
        <c:auto val="1"/>
        <c:lblOffset val="100"/>
        <c:baseTimeUnit val="days"/>
      </c:dateAx>
      <c:valAx>
        <c:axId val="99080448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9078912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-1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9854218240498205E-2"/>
          <c:y val="0.1424757574759222"/>
          <c:w val="0.87952797446719444"/>
          <c:h val="0.7686212236022798"/>
        </c:manualLayout>
      </c:layout>
      <c:lineChart>
        <c:grouping val="standard"/>
        <c:varyColors val="0"/>
        <c:ser>
          <c:idx val="0"/>
          <c:order val="0"/>
          <c:tx>
            <c:v>GSPH</c:v>
          </c:tx>
          <c:dLbls>
            <c:dLbl>
              <c:idx val="5"/>
              <c:layout>
                <c:manualLayout>
                  <c:x val="-1.3937280530509232E-2"/>
                  <c:y val="-2.78940027894003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E7-41E7-A216-97A9C4346A46}"/>
                </c:ext>
              </c:extLst>
            </c:dLbl>
            <c:dLbl>
              <c:idx val="9"/>
              <c:layout>
                <c:manualLayout>
                  <c:x val="-2.7874561061018464E-2"/>
                  <c:y val="-2.78940027894003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E7-41E7-A216-97A9C4346A46}"/>
                </c:ext>
              </c:extLst>
            </c:dLbl>
            <c:dLbl>
              <c:idx val="11"/>
              <c:layout>
                <c:manualLayout>
                  <c:x val="-2.013162743295778E-2"/>
                  <c:y val="-3.3472803347280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E7-41E7-A216-97A9C4346A46}"/>
                </c:ext>
              </c:extLst>
            </c:dLbl>
            <c:dLbl>
              <c:idx val="18"/>
              <c:layout>
                <c:manualLayout>
                  <c:x val="-3.0971734512242735E-2"/>
                  <c:y val="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E7-41E7-A216-97A9C4346A46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'SQ-1'!$AC$5:$AC$35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E7-41E7-A216-97A9C4346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093888"/>
        <c:axId val="99099776"/>
      </c:lineChart>
      <c:dateAx>
        <c:axId val="99093888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99099776"/>
        <c:crosses val="autoZero"/>
        <c:auto val="1"/>
        <c:lblOffset val="100"/>
        <c:baseTimeUnit val="days"/>
      </c:dateAx>
      <c:valAx>
        <c:axId val="99099776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990938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558764230904258"/>
          <c:y val="0.49276029826815582"/>
          <c:w val="0.17441235769095742"/>
          <c:h val="0.1008809672849471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-2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254439185975289E-2"/>
          <c:y val="0.11761721608698283"/>
          <c:w val="0.86698599073100746"/>
          <c:h val="0.68986920660074724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'SQ-2'!$AD$5:$AD$35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7-48FA-A658-EDCCA04F2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117312"/>
        <c:axId val="99131392"/>
      </c:lineChart>
      <c:dateAx>
        <c:axId val="99117312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99131392"/>
        <c:crosses val="autoZero"/>
        <c:auto val="1"/>
        <c:lblOffset val="100"/>
        <c:baseTimeUnit val="days"/>
      </c:dateAx>
      <c:valAx>
        <c:axId val="9913139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91173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80479548132491"/>
          <c:y val="0.42006878071058723"/>
          <c:w val="0.15787097017044968"/>
          <c:h val="0.10109245778239984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-2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517495205828708E-2"/>
          <c:y val="0.11737119458874656"/>
          <c:w val="0.87410809644026921"/>
          <c:h val="0.71436578350163127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3"/>
              <c:layout>
                <c:manualLayout>
                  <c:x val="-2.7016289233214145E-2"/>
                  <c:y val="-1.320132287649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3D-4D53-9A41-4DBE5049C206}"/>
                </c:ext>
              </c:extLst>
            </c:dLbl>
            <c:dLbl>
              <c:idx val="4"/>
              <c:layout>
                <c:manualLayout>
                  <c:x val="-3.1783869686134288E-2"/>
                  <c:y val="2.3762381177699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3D-4D53-9A41-4DBE5049C206}"/>
                </c:ext>
              </c:extLst>
            </c:dLbl>
            <c:dLbl>
              <c:idx val="5"/>
              <c:layout>
                <c:manualLayout>
                  <c:x val="-2.3837902264600714E-2"/>
                  <c:y val="-2.3762381177699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3D-4D53-9A41-4DBE5049C206}"/>
                </c:ext>
              </c:extLst>
            </c:dLbl>
            <c:dLbl>
              <c:idx val="6"/>
              <c:layout>
                <c:manualLayout>
                  <c:x val="-2.3837902264600714E-2"/>
                  <c:y val="-3.96039686294989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3D-4D53-9A41-4DBE5049C206}"/>
                </c:ext>
              </c:extLst>
            </c:dLbl>
            <c:dLbl>
              <c:idx val="8"/>
              <c:layout>
                <c:manualLayout>
                  <c:x val="-2.5427095748907429E-2"/>
                  <c:y val="-3.16831749035991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3D-4D53-9A41-4DBE5049C206}"/>
                </c:ext>
              </c:extLst>
            </c:dLbl>
            <c:dLbl>
              <c:idx val="10"/>
              <c:layout>
                <c:manualLayout>
                  <c:x val="-3.1783869686134288E-2"/>
                  <c:y val="3.432343947889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3D-4D53-9A41-4DBE5049C206}"/>
                </c:ext>
              </c:extLst>
            </c:dLbl>
            <c:dLbl>
              <c:idx val="15"/>
              <c:layout>
                <c:manualLayout>
                  <c:x val="-2.8605482717520857E-2"/>
                  <c:y val="-2.11221166023994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3D-4D53-9A41-4DBE5049C206}"/>
                </c:ext>
              </c:extLst>
            </c:dLbl>
            <c:dLbl>
              <c:idx val="17"/>
              <c:layout>
                <c:manualLayout>
                  <c:x val="-3.9729837107667858E-2"/>
                  <c:y val="1.8481852027099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3D-4D53-9A41-4DBE5049C206}"/>
                </c:ext>
              </c:extLst>
            </c:dLbl>
            <c:dLbl>
              <c:idx val="18"/>
              <c:layout>
                <c:manualLayout>
                  <c:x val="-2.5427095748907429E-2"/>
                  <c:y val="2.37623811776993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3D-4D53-9A41-4DBE5049C20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'SQ-2'!$AC$5:$AC$35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3D-4D53-9A41-4DBE5049C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251328"/>
        <c:axId val="99252864"/>
      </c:lineChart>
      <c:dateAx>
        <c:axId val="99251328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99252864"/>
        <c:crosses val="autoZero"/>
        <c:auto val="1"/>
        <c:lblOffset val="100"/>
        <c:baseTimeUnit val="days"/>
      </c:dateAx>
      <c:valAx>
        <c:axId val="99252864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992513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836256761111048"/>
          <c:y val="0.37103742024114134"/>
          <c:w val="0.17897215789202819"/>
          <c:h val="0.1008809672849471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-3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254439185975289E-2"/>
          <c:y val="0.11761721608698283"/>
          <c:w val="0.85862679665041874"/>
          <c:h val="0.69921964156996097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'SQ-3'!#REF!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A-473E-B1D0-7AC9EF583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466688"/>
        <c:axId val="100468224"/>
      </c:lineChart>
      <c:dateAx>
        <c:axId val="100466688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468224"/>
        <c:crosses val="autoZero"/>
        <c:auto val="1"/>
        <c:lblOffset val="100"/>
        <c:baseTimeUnit val="days"/>
      </c:dateAx>
      <c:valAx>
        <c:axId val="100468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466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149818772653427"/>
          <c:y val="0.37254956338004913"/>
          <c:w val="0.15787097017044968"/>
          <c:h val="0.10109245778239984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-3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4005798294820988E-2"/>
          <c:y val="0.11737115496546195"/>
          <c:w val="0.90971494989119139"/>
          <c:h val="0.687728615513019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4"/>
              <c:layout>
                <c:manualLayout>
                  <c:x val="-2.8880866425992781E-2"/>
                  <c:y val="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FA-45A4-89FF-643E28D439FA}"/>
                </c:ext>
              </c:extLst>
            </c:dLbl>
            <c:dLbl>
              <c:idx val="11"/>
              <c:layout>
                <c:manualLayout>
                  <c:x val="-2.0858403529883673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FA-45A4-89FF-643E28D439FA}"/>
                </c:ext>
              </c:extLst>
            </c:dLbl>
            <c:dLbl>
              <c:idx val="13"/>
              <c:layout>
                <c:manualLayout>
                  <c:x val="-2.8880866425992781E-2"/>
                  <c:y val="-2.78940027894002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FA-45A4-89FF-643E28D439FA}"/>
                </c:ext>
              </c:extLst>
            </c:dLbl>
            <c:dLbl>
              <c:idx val="14"/>
              <c:layout>
                <c:manualLayout>
                  <c:x val="-2.0858403529883673E-2"/>
                  <c:y val="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FA-45A4-89FF-643E28D439F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'SQ-3'!$AC$5:$AC$35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FA-45A4-89FF-643E28D43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489856"/>
        <c:axId val="100520320"/>
      </c:lineChart>
      <c:dateAx>
        <c:axId val="100489856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520320"/>
        <c:crosses val="autoZero"/>
        <c:auto val="1"/>
        <c:lblOffset val="100"/>
        <c:baseTimeUnit val="days"/>
      </c:dateAx>
      <c:valAx>
        <c:axId val="100520320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004898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326520556771563"/>
          <c:y val="0.35886908487903446"/>
          <c:w val="0.17897215789202819"/>
          <c:h val="0.1008809672849471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-4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254439185975289E-2"/>
          <c:y val="0.11761721608698283"/>
          <c:w val="0.89226965705116246"/>
          <c:h val="0.70943594314861591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'SQ-4'!$AD$5:$AD$35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3-45F2-9810-3EB6C73C3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681216"/>
        <c:axId val="100682752"/>
      </c:lineChart>
      <c:dateAx>
        <c:axId val="100681216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682752"/>
        <c:crosses val="autoZero"/>
        <c:auto val="1"/>
        <c:lblOffset val="100"/>
        <c:baseTimeUnit val="days"/>
      </c:dateAx>
      <c:valAx>
        <c:axId val="10068275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06812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070169546342266"/>
          <c:y val="0.41168303647578641"/>
          <c:w val="0.15787097017044968"/>
          <c:h val="0.10109245778239984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-4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7034120734908133E-2"/>
          <c:y val="0.1117923544075819"/>
          <c:w val="0.89076932050160396"/>
          <c:h val="0.70725441746559925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3"/>
              <c:layout>
                <c:manualLayout>
                  <c:x val="-3.1372549019607843E-2"/>
                  <c:y val="-3.6262203626220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98-4657-8004-8A3C42C447AE}"/>
                </c:ext>
              </c:extLst>
            </c:dLbl>
            <c:dLbl>
              <c:idx val="4"/>
              <c:layout>
                <c:manualLayout>
                  <c:x val="-2.6143790849673203E-2"/>
                  <c:y val="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698-4657-8004-8A3C42C447AE}"/>
                </c:ext>
              </c:extLst>
            </c:dLbl>
            <c:dLbl>
              <c:idx val="8"/>
              <c:layout>
                <c:manualLayout>
                  <c:x val="-3.8344226579520732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98-4657-8004-8A3C42C447AE}"/>
                </c:ext>
              </c:extLst>
            </c:dLbl>
            <c:dLbl>
              <c:idx val="9"/>
              <c:layout>
                <c:manualLayout>
                  <c:x val="-2.6143790849673203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98-4657-8004-8A3C42C447AE}"/>
                </c:ext>
              </c:extLst>
            </c:dLbl>
            <c:dLbl>
              <c:idx val="11"/>
              <c:layout>
                <c:manualLayout>
                  <c:x val="-5.2287581699346407E-2"/>
                  <c:y val="8.36820083682008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98-4657-8004-8A3C42C447AE}"/>
                </c:ext>
              </c:extLst>
            </c:dLbl>
            <c:dLbl>
              <c:idx val="12"/>
              <c:layout>
                <c:manualLayout>
                  <c:x val="-2.2657952069716776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698-4657-8004-8A3C42C447AE}"/>
                </c:ext>
              </c:extLst>
            </c:dLbl>
            <c:dLbl>
              <c:idx val="14"/>
              <c:layout>
                <c:manualLayout>
                  <c:x val="-2.6143790849673203E-2"/>
                  <c:y val="-1.67364016736401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98-4657-8004-8A3C42C447AE}"/>
                </c:ext>
              </c:extLst>
            </c:dLbl>
            <c:dLbl>
              <c:idx val="15"/>
              <c:layout>
                <c:manualLayout>
                  <c:x val="-5.2287581699346402E-3"/>
                  <c:y val="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98-4657-8004-8A3C42C447AE}"/>
                </c:ext>
              </c:extLst>
            </c:dLbl>
            <c:dLbl>
              <c:idx val="16"/>
              <c:layout>
                <c:manualLayout>
                  <c:x val="-2.7886710239651415E-2"/>
                  <c:y val="-3.068340306834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98-4657-8004-8A3C42C447AE}"/>
                </c:ext>
              </c:extLst>
            </c:dLbl>
            <c:dLbl>
              <c:idx val="18"/>
              <c:layout>
                <c:manualLayout>
                  <c:x val="-2.4400871459694926E-2"/>
                  <c:y val="1.9525801952580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698-4657-8004-8A3C42C447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'SQ-4'!$AC$5:$AC$35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698-4657-8004-8A3C42C44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712832"/>
        <c:axId val="100714368"/>
      </c:lineChart>
      <c:dateAx>
        <c:axId val="100712832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714368"/>
        <c:crosses val="autoZero"/>
        <c:auto val="1"/>
        <c:lblOffset val="100"/>
        <c:baseTimeUnit val="days"/>
      </c:dateAx>
      <c:valAx>
        <c:axId val="100714368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00712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159429090971472"/>
          <c:y val="0.4230252912946551"/>
          <c:w val="0.15317695092035064"/>
          <c:h val="0.1008809672849471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-5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3446357482826605E-2"/>
          <c:y val="0.11761721608698283"/>
          <c:w val="0.89900136884803261"/>
          <c:h val="0.71599113003956272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'SQ-5'!$AD$5:$AD$35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A4-4E6F-A520-9A6F81AD8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625408"/>
        <c:axId val="100643584"/>
      </c:lineChart>
      <c:dateAx>
        <c:axId val="100625408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643584"/>
        <c:crosses val="autoZero"/>
        <c:auto val="1"/>
        <c:lblOffset val="100"/>
        <c:baseTimeUnit val="days"/>
      </c:dateAx>
      <c:valAx>
        <c:axId val="10064358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06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5515905009481474"/>
          <c:y val="0.33341609028431191"/>
          <c:w val="0.14484094990518528"/>
          <c:h val="0.10109245778239984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-5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390942308682003E-2"/>
          <c:y val="0.11737115496546195"/>
          <c:w val="0.8542154975726074"/>
          <c:h val="0.71391317717084524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2"/>
              <c:layout>
                <c:manualLayout>
                  <c:x val="-3.6601307189542485E-2"/>
                  <c:y val="-1.9525801952580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6B-4074-8416-F75AC90D1EA2}"/>
                </c:ext>
              </c:extLst>
            </c:dLbl>
            <c:dLbl>
              <c:idx val="3"/>
              <c:layout>
                <c:manualLayout>
                  <c:x val="-3.1372549019607843E-2"/>
                  <c:y val="2.2315202231520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6B-4074-8416-F75AC90D1EA2}"/>
                </c:ext>
              </c:extLst>
            </c:dLbl>
            <c:dLbl>
              <c:idx val="4"/>
              <c:layout>
                <c:manualLayout>
                  <c:x val="-1.7429193899782137E-2"/>
                  <c:y val="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6B-4074-8416-F75AC90D1EA2}"/>
                </c:ext>
              </c:extLst>
            </c:dLbl>
            <c:dLbl>
              <c:idx val="8"/>
              <c:layout>
                <c:manualLayout>
                  <c:x val="-3.1372549019607843E-2"/>
                  <c:y val="-1.67364016736401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6B-4074-8416-F75AC90D1EA2}"/>
                </c:ext>
              </c:extLst>
            </c:dLbl>
            <c:dLbl>
              <c:idx val="9"/>
              <c:layout>
                <c:manualLayout>
                  <c:x val="-2.9629629629629631E-2"/>
                  <c:y val="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6B-4074-8416-F75AC90D1EA2}"/>
                </c:ext>
              </c:extLst>
            </c:dLbl>
            <c:dLbl>
              <c:idx val="11"/>
              <c:layout>
                <c:manualLayout>
                  <c:x val="-3.8344226579520697E-2"/>
                  <c:y val="1.39470013947001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6B-4074-8416-F75AC90D1EA2}"/>
                </c:ext>
              </c:extLst>
            </c:dLbl>
            <c:dLbl>
              <c:idx val="15"/>
              <c:layout>
                <c:manualLayout>
                  <c:x val="-3.1372549019607905E-2"/>
                  <c:y val="-4.18410041841004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B-4074-8416-F75AC90D1EA2}"/>
                </c:ext>
              </c:extLst>
            </c:dLbl>
            <c:dLbl>
              <c:idx val="17"/>
              <c:layout>
                <c:manualLayout>
                  <c:x val="-2.9629629629629565E-2"/>
                  <c:y val="-3.3472803347280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6B-4074-8416-F75AC90D1EA2}"/>
                </c:ext>
              </c:extLst>
            </c:dLbl>
            <c:dLbl>
              <c:idx val="18"/>
              <c:layout>
                <c:manualLayout>
                  <c:x val="-1.7429193899782137E-2"/>
                  <c:y val="8.36820083682008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6B-4074-8416-F75AC90D1EA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'SQ-5'!$AC$5:$AC$35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B6B-4074-8416-F75AC90D1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808576"/>
        <c:axId val="100810112"/>
      </c:lineChart>
      <c:dateAx>
        <c:axId val="100808576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810112"/>
        <c:crosses val="autoZero"/>
        <c:auto val="1"/>
        <c:lblOffset val="100"/>
        <c:baseTimeUnit val="days"/>
      </c:dateAx>
      <c:valAx>
        <c:axId val="100810112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00808576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-6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254439185975296E-2"/>
          <c:y val="0.12879820840005063"/>
          <c:w val="0.87253169624983318"/>
          <c:h val="0.69266445467901416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'SQ-6'!$AD$5:$AD$35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52-412B-83E6-04F139D0F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848384"/>
        <c:axId val="100849920"/>
      </c:lineChart>
      <c:dateAx>
        <c:axId val="100848384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849920"/>
        <c:crosses val="autoZero"/>
        <c:auto val="1"/>
        <c:lblOffset val="100"/>
        <c:baseTimeUnit val="days"/>
      </c:dateAx>
      <c:valAx>
        <c:axId val="10084992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0848384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-6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463314634690266E-2"/>
          <c:y val="0.12852875608122208"/>
          <c:w val="0.89251223989158213"/>
          <c:h val="0.70446501718665921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1"/>
              <c:layout>
                <c:manualLayout>
                  <c:x val="-5.751633986928105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B9-4481-A993-ED363894CD0F}"/>
                </c:ext>
              </c:extLst>
            </c:dLbl>
            <c:dLbl>
              <c:idx val="2"/>
              <c:layout>
                <c:manualLayout>
                  <c:x val="-2.9629629629629613E-2"/>
                  <c:y val="-3.3472803347280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B9-4481-A993-ED363894CD0F}"/>
                </c:ext>
              </c:extLst>
            </c:dLbl>
            <c:dLbl>
              <c:idx val="3"/>
              <c:layout>
                <c:manualLayout>
                  <c:x val="-1.5686274509803921E-2"/>
                  <c:y val="-1.67364016736401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9-4481-A993-ED363894CD0F}"/>
                </c:ext>
              </c:extLst>
            </c:dLbl>
            <c:dLbl>
              <c:idx val="5"/>
              <c:layout>
                <c:manualLayout>
                  <c:x val="-2.9629629629629631E-2"/>
                  <c:y val="2.7894002789400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9-4481-A993-ED363894CD0F}"/>
                </c:ext>
              </c:extLst>
            </c:dLbl>
            <c:dLbl>
              <c:idx val="6"/>
              <c:layout>
                <c:manualLayout>
                  <c:x val="-2.0915032679738561E-2"/>
                  <c:y val="-2.7894002789400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B9-4481-A993-ED363894CD0F}"/>
                </c:ext>
              </c:extLst>
            </c:dLbl>
            <c:dLbl>
              <c:idx val="8"/>
              <c:layout>
                <c:manualLayout>
                  <c:x val="-2.7886710239651415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BB9-4481-A993-ED363894CD0F}"/>
                </c:ext>
              </c:extLst>
            </c:dLbl>
            <c:dLbl>
              <c:idx val="11"/>
              <c:layout>
                <c:manualLayout>
                  <c:x val="-4.357298474945534E-2"/>
                  <c:y val="-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9-4481-A993-ED363894CD0F}"/>
                </c:ext>
              </c:extLst>
            </c:dLbl>
            <c:dLbl>
              <c:idx val="12"/>
              <c:layout>
                <c:manualLayout>
                  <c:x val="-3.4858387799564274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9-4481-A993-ED363894CD0F}"/>
                </c:ext>
              </c:extLst>
            </c:dLbl>
            <c:dLbl>
              <c:idx val="13"/>
              <c:layout>
                <c:manualLayout>
                  <c:x val="-3.6601307189542485E-2"/>
                  <c:y val="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B9-4481-A993-ED363894CD0F}"/>
                </c:ext>
              </c:extLst>
            </c:dLbl>
            <c:dLbl>
              <c:idx val="14"/>
              <c:layout>
                <c:manualLayout>
                  <c:x val="-2.7886710239651415E-2"/>
                  <c:y val="-3.068340306834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9-4481-A993-ED363894CD0F}"/>
                </c:ext>
              </c:extLst>
            </c:dLbl>
            <c:dLbl>
              <c:idx val="15"/>
              <c:layout>
                <c:manualLayout>
                  <c:x val="-2.9629629629629631E-2"/>
                  <c:y val="-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B9-4481-A993-ED363894CD0F}"/>
                </c:ext>
              </c:extLst>
            </c:dLbl>
            <c:dLbl>
              <c:idx val="16"/>
              <c:layout>
                <c:manualLayout>
                  <c:x val="-3.6601307189542423E-2"/>
                  <c:y val="2.51046025104603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9-4481-A993-ED363894CD0F}"/>
                </c:ext>
              </c:extLst>
            </c:dLbl>
            <c:dLbl>
              <c:idx val="17"/>
              <c:layout>
                <c:manualLayout>
                  <c:x val="-3.1372686257355085E-2"/>
                  <c:y val="-3.3472803347280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9-4481-A993-ED363894CD0F}"/>
                </c:ext>
              </c:extLst>
            </c:dLbl>
            <c:dLbl>
              <c:idx val="18"/>
              <c:layout>
                <c:manualLayout>
                  <c:x val="-3.1372549019607843E-2"/>
                  <c:y val="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BB9-4481-A993-ED363894CD0F}"/>
                </c:ext>
              </c:extLst>
            </c:dLbl>
            <c:dLbl>
              <c:idx val="19"/>
              <c:layout>
                <c:manualLayout>
                  <c:x val="-2.4400871459694988E-2"/>
                  <c:y val="-2.51046025104602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9-4481-A993-ED363894CD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'SQ-6'!$AC$5:$AC$35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B9-4481-A993-ED363894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744576"/>
        <c:axId val="100783232"/>
      </c:lineChart>
      <c:dateAx>
        <c:axId val="100744576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783232"/>
        <c:crosses val="autoZero"/>
        <c:auto val="1"/>
        <c:lblOffset val="100"/>
        <c:baseTimeUnit val="days"/>
      </c:dateAx>
      <c:valAx>
        <c:axId val="100783232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00744576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-7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254439185975289E-2"/>
          <c:y val="0.11761721608698283"/>
          <c:w val="0.83428745461576104"/>
          <c:h val="0.70664069507034888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'SQ-7'!$AD$5:$AD$35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6-41CB-92AE-6D095ADBE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4144"/>
        <c:axId val="101015936"/>
      </c:lineChart>
      <c:dateAx>
        <c:axId val="101014144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1015936"/>
        <c:crosses val="autoZero"/>
        <c:auto val="1"/>
        <c:lblOffset val="100"/>
        <c:baseTimeUnit val="days"/>
      </c:dateAx>
      <c:valAx>
        <c:axId val="10101593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1014144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-7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4005798294820988E-2"/>
          <c:y val="0.11737115496546195"/>
          <c:w val="0.86811136843188719"/>
          <c:h val="0.71841201858135939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8"/>
              <c:layout>
                <c:manualLayout>
                  <c:x val="-2.0915032679738529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B2-47B4-85F0-E2AE42EA42A6}"/>
                </c:ext>
              </c:extLst>
            </c:dLbl>
            <c:dLbl>
              <c:idx val="11"/>
              <c:layout>
                <c:manualLayout>
                  <c:x val="-3.3115468409586055E-2"/>
                  <c:y val="3.068340306834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2-47B4-85F0-E2AE42EA42A6}"/>
                </c:ext>
              </c:extLst>
            </c:dLbl>
            <c:dLbl>
              <c:idx val="16"/>
              <c:layout>
                <c:manualLayout>
                  <c:x val="-1.045751633986928E-2"/>
                  <c:y val="-1.67364016736402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2-47B4-85F0-E2AE42EA42A6}"/>
                </c:ext>
              </c:extLst>
            </c:dLbl>
            <c:dLbl>
              <c:idx val="17"/>
              <c:layout>
                <c:manualLayout>
                  <c:x val="-2.2657952069716776E-2"/>
                  <c:y val="3.068340306834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B2-47B4-85F0-E2AE42EA42A6}"/>
                </c:ext>
              </c:extLst>
            </c:dLbl>
            <c:dLbl>
              <c:idx val="18"/>
              <c:layout>
                <c:manualLayout>
                  <c:x val="-1.0457516339869345E-2"/>
                  <c:y val="8.36820083682008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B2-47B4-85F0-E2AE42EA42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'SQ-7'!$AC$5:$AC$35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B2-47B4-85F0-E2AE42EA4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41664"/>
        <c:axId val="101043200"/>
      </c:lineChart>
      <c:dateAx>
        <c:axId val="101041664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1043200"/>
        <c:crosses val="autoZero"/>
        <c:auto val="1"/>
        <c:lblOffset val="100"/>
        <c:baseTimeUnit val="days"/>
      </c:dateAx>
      <c:valAx>
        <c:axId val="101043200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01041664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-8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5022158593812147E-2"/>
          <c:y val="0.11482196800871589"/>
          <c:w val="0.88115612821124634"/>
          <c:h val="0.72061693546168359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dLbl>
              <c:idx val="1"/>
              <c:layout>
                <c:manualLayout>
                  <c:x val="-2.5858585858585845E-2"/>
                  <c:y val="-2.5157232704402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D68-4116-9103-70A452A91E4A}"/>
                </c:ext>
              </c:extLst>
            </c:dLbl>
            <c:dLbl>
              <c:idx val="2"/>
              <c:layout>
                <c:manualLayout>
                  <c:x val="-2.5858585858585872E-2"/>
                  <c:y val="3.07477288609364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68-4116-9103-70A452A91E4A}"/>
                </c:ext>
              </c:extLst>
            </c:dLbl>
            <c:dLbl>
              <c:idx val="4"/>
              <c:layout>
                <c:manualLayout>
                  <c:x val="-3.717171717171714E-2"/>
                  <c:y val="-2.23619846261355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D68-4116-9103-70A452A91E4A}"/>
                </c:ext>
              </c:extLst>
            </c:dLbl>
            <c:dLbl>
              <c:idx val="10"/>
              <c:layout>
                <c:manualLayout>
                  <c:x val="-1.9393939393939394E-2"/>
                  <c:y val="-1.95667365478686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D68-4116-9103-70A452A91E4A}"/>
                </c:ext>
              </c:extLst>
            </c:dLbl>
            <c:dLbl>
              <c:idx val="15"/>
              <c:layout>
                <c:manualLayout>
                  <c:x val="-4.0404040404040463E-2"/>
                  <c:y val="-2.5157232704402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68-4116-9103-70A452A91E4A}"/>
                </c:ext>
              </c:extLst>
            </c:dLbl>
            <c:dLbl>
              <c:idx val="17"/>
              <c:layout>
                <c:manualLayout>
                  <c:x val="-3.0707070707070707E-2"/>
                  <c:y val="-1.95667365478686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D68-4116-9103-70A452A91E4A}"/>
                </c:ext>
              </c:extLst>
            </c:dLbl>
            <c:dLbl>
              <c:idx val="22"/>
              <c:layout>
                <c:manualLayout>
                  <c:x val="-3.2323232323232323E-2"/>
                  <c:y val="-2.23619846261355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D68-4116-9103-70A452A91E4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'SQ-8'!$AD$5:$AD$35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D68-4116-9103-70A452A91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974976"/>
        <c:axId val="100976512"/>
      </c:lineChart>
      <c:dateAx>
        <c:axId val="100974976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976512"/>
        <c:crosses val="autoZero"/>
        <c:auto val="1"/>
        <c:lblOffset val="100"/>
        <c:baseTimeUnit val="days"/>
      </c:dateAx>
      <c:valAx>
        <c:axId val="10097651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0974976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- 9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376125409356432E-2"/>
          <c:y val="9.8050479539114221E-2"/>
          <c:w val="0.86905494701037211"/>
          <c:h val="0.73738842393128534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dLbl>
              <c:idx val="1"/>
              <c:layout>
                <c:manualLayout>
                  <c:x val="-2.9411764705882353E-2"/>
                  <c:y val="-1.6771488469601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EF-4ED0-A170-0BEF8EA947DE}"/>
                </c:ext>
              </c:extLst>
            </c:dLbl>
            <c:dLbl>
              <c:idx val="3"/>
              <c:layout>
                <c:manualLayout>
                  <c:x val="-2.2875816993464051E-2"/>
                  <c:y val="2.79524807826694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EF-4ED0-A170-0BEF8EA947DE}"/>
                </c:ext>
              </c:extLst>
            </c:dLbl>
            <c:dLbl>
              <c:idx val="4"/>
              <c:layout>
                <c:manualLayout>
                  <c:x val="-2.2875816993464051E-2"/>
                  <c:y val="-1.95667365478686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EF-4ED0-A170-0BEF8EA947DE}"/>
                </c:ext>
              </c:extLst>
            </c:dLbl>
            <c:dLbl>
              <c:idx val="8"/>
              <c:layout>
                <c:manualLayout>
                  <c:x val="-3.4313725490196081E-2"/>
                  <c:y val="-2.5157232704402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EF-4ED0-A170-0BEF8EA947DE}"/>
                </c:ext>
              </c:extLst>
            </c:dLbl>
            <c:dLbl>
              <c:idx val="9"/>
              <c:layout>
                <c:manualLayout>
                  <c:x val="-2.9411764705882353E-2"/>
                  <c:y val="3.35429769392033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EF-4ED0-A170-0BEF8EA947DE}"/>
                </c:ext>
              </c:extLst>
            </c:dLbl>
            <c:dLbl>
              <c:idx val="10"/>
              <c:layout>
                <c:manualLayout>
                  <c:x val="-2.6143790849673203E-2"/>
                  <c:y val="-2.5157232704402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3EF-4ED0-A170-0BEF8EA947DE}"/>
                </c:ext>
              </c:extLst>
            </c:dLbl>
            <c:dLbl>
              <c:idx val="16"/>
              <c:layout>
                <c:manualLayout>
                  <c:x val="-5.0653594771241893E-2"/>
                  <c:y val="-1.6771488469601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EF-4ED0-A170-0BEF8EA947DE}"/>
                </c:ext>
              </c:extLst>
            </c:dLbl>
            <c:dLbl>
              <c:idx val="17"/>
              <c:layout>
                <c:manualLayout>
                  <c:x val="-1.9607843137254902E-2"/>
                  <c:y val="1.6771488469601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EF-4ED0-A170-0BEF8EA947DE}"/>
                </c:ext>
              </c:extLst>
            </c:dLbl>
            <c:dLbl>
              <c:idx val="19"/>
              <c:layout>
                <c:manualLayout>
                  <c:x val="-4.9019607843137254E-3"/>
                  <c:y val="8.38574423480083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EF-4ED0-A170-0BEF8EA947D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'SQ-9'!$AD$5:$AD$35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3EF-4ED0-A170-0BEF8EA94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405440"/>
        <c:axId val="105407232"/>
      </c:lineChart>
      <c:dateAx>
        <c:axId val="105405440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5407232"/>
        <c:crosses val="autoZero"/>
        <c:auto val="1"/>
        <c:lblOffset val="100"/>
        <c:baseTimeUnit val="days"/>
      </c:dateAx>
      <c:valAx>
        <c:axId val="10540723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5405440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- 9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317791158458134E-2"/>
          <c:y val="0.11737115496546195"/>
          <c:w val="0.87856888477175643"/>
          <c:h val="0.71283321802347932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1"/>
              <c:layout>
                <c:manualLayout>
                  <c:x val="-3.6601307189542499E-2"/>
                  <c:y val="-2.7894002789400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AF-4AB1-86F3-227BAF47F243}"/>
                </c:ext>
              </c:extLst>
            </c:dLbl>
            <c:dLbl>
              <c:idx val="2"/>
              <c:layout>
                <c:manualLayout>
                  <c:x val="-4.1830065359477121E-2"/>
                  <c:y val="-1.9525801952580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AF-4AB1-86F3-227BAF47F243}"/>
                </c:ext>
              </c:extLst>
            </c:dLbl>
            <c:dLbl>
              <c:idx val="3"/>
              <c:layout>
                <c:manualLayout>
                  <c:x val="-4.1830065359477121E-2"/>
                  <c:y val="-1.9525801952580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AF-4AB1-86F3-227BAF47F243}"/>
                </c:ext>
              </c:extLst>
            </c:dLbl>
            <c:dLbl>
              <c:idx val="5"/>
              <c:layout>
                <c:manualLayout>
                  <c:x val="1.045751633986928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AF-4AB1-86F3-227BAF47F243}"/>
                </c:ext>
              </c:extLst>
            </c:dLbl>
            <c:dLbl>
              <c:idx val="6"/>
              <c:layout>
                <c:manualLayout>
                  <c:x val="-1.0457516339869313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AF-4AB1-86F3-227BAF47F243}"/>
                </c:ext>
              </c:extLst>
            </c:dLbl>
            <c:dLbl>
              <c:idx val="8"/>
              <c:layout>
                <c:manualLayout>
                  <c:x val="-2.4400871459694988E-2"/>
                  <c:y val="-2.51046025104601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AF-4AB1-86F3-227BAF47F243}"/>
                </c:ext>
              </c:extLst>
            </c:dLbl>
            <c:dLbl>
              <c:idx val="9"/>
              <c:layout>
                <c:manualLayout>
                  <c:x val="-1.3943355119825708E-2"/>
                  <c:y val="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AF-4AB1-86F3-227BAF47F243}"/>
                </c:ext>
              </c:extLst>
            </c:dLbl>
            <c:dLbl>
              <c:idx val="10"/>
              <c:layout>
                <c:manualLayout>
                  <c:x val="-2.7886710239651415E-2"/>
                  <c:y val="-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AF-4AB1-86F3-227BAF47F243}"/>
                </c:ext>
              </c:extLst>
            </c:dLbl>
            <c:dLbl>
              <c:idx val="11"/>
              <c:layout>
                <c:manualLayout>
                  <c:x val="-5.2287581699346402E-3"/>
                  <c:y val="-1.39470013947001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AF-4AB1-86F3-227BAF47F243}"/>
                </c:ext>
              </c:extLst>
            </c:dLbl>
            <c:dLbl>
              <c:idx val="12"/>
              <c:layout>
                <c:manualLayout>
                  <c:x val="-2.6143790849673203E-2"/>
                  <c:y val="3.3472803347280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AAF-4AB1-86F3-227BAF47F243}"/>
                </c:ext>
              </c:extLst>
            </c:dLbl>
            <c:dLbl>
              <c:idx val="13"/>
              <c:layout>
                <c:manualLayout>
                  <c:x val="-8.7145969498910684E-3"/>
                  <c:y val="1.39470013947000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AF-4AB1-86F3-227BAF47F243}"/>
                </c:ext>
              </c:extLst>
            </c:dLbl>
            <c:dLbl>
              <c:idx val="14"/>
              <c:layout>
                <c:manualLayout>
                  <c:x val="-1.045751633986928E-2"/>
                  <c:y val="1.67364016736401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AF-4AB1-86F3-227BAF47F243}"/>
                </c:ext>
              </c:extLst>
            </c:dLbl>
            <c:dLbl>
              <c:idx val="15"/>
              <c:layout>
                <c:manualLayout>
                  <c:x val="-3.3115468409586055E-2"/>
                  <c:y val="-2.2315202231520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AF-4AB1-86F3-227BAF47F243}"/>
                </c:ext>
              </c:extLst>
            </c:dLbl>
            <c:dLbl>
              <c:idx val="16"/>
              <c:layout>
                <c:manualLayout>
                  <c:x val="-1.3943355119825643E-2"/>
                  <c:y val="-1.9525801952580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AAF-4AB1-86F3-227BAF47F243}"/>
                </c:ext>
              </c:extLst>
            </c:dLbl>
            <c:dLbl>
              <c:idx val="17"/>
              <c:layout>
                <c:manualLayout>
                  <c:x val="-4.8801742919389976E-2"/>
                  <c:y val="-5.578800557880055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AAF-4AB1-86F3-227BAF47F243}"/>
                </c:ext>
              </c:extLst>
            </c:dLbl>
            <c:dLbl>
              <c:idx val="18"/>
              <c:layout>
                <c:manualLayout>
                  <c:x val="-3.6601307189542485E-2"/>
                  <c:y val="1.3947001394700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AAF-4AB1-86F3-227BAF47F24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'SQ-9'!$AC$5:$AC$35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AAF-4AB1-86F3-227BAF47F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449344"/>
        <c:axId val="105450880"/>
      </c:lineChart>
      <c:dateAx>
        <c:axId val="105449344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5450880"/>
        <c:crosses val="autoZero"/>
        <c:auto val="1"/>
        <c:lblOffset val="100"/>
        <c:baseTimeUnit val="days"/>
      </c:dateAx>
      <c:valAx>
        <c:axId val="105450880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05449344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- 10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254439185975289E-2"/>
          <c:y val="0.11761721608698283"/>
          <c:w val="0.86905494701037211"/>
          <c:h val="0.71502643930514975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dLbl>
              <c:idx val="4"/>
              <c:layout>
                <c:manualLayout>
                  <c:x val="-4.8134777376654635E-2"/>
                  <c:y val="-2.23619846261355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C4-4F2C-AA9F-6DB5F5160092}"/>
                </c:ext>
              </c:extLst>
            </c:dLbl>
            <c:dLbl>
              <c:idx val="5"/>
              <c:layout>
                <c:manualLayout>
                  <c:x val="-2.7276373846770958E-2"/>
                  <c:y val="-2.5157232704402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C4-4F2C-AA9F-6DB5F5160092}"/>
                </c:ext>
              </c:extLst>
            </c:dLbl>
            <c:dLbl>
              <c:idx val="9"/>
              <c:layout>
                <c:manualLayout>
                  <c:x val="-2.7276373846770958E-2"/>
                  <c:y val="-2.5157232704402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C4-4F2C-AA9F-6DB5F5160092}"/>
                </c:ext>
              </c:extLst>
            </c:dLbl>
            <c:dLbl>
              <c:idx val="10"/>
              <c:layout>
                <c:manualLayout>
                  <c:x val="-2.7276373846770958E-2"/>
                  <c:y val="1.6771488469601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C4-4F2C-AA9F-6DB5F5160092}"/>
                </c:ext>
              </c:extLst>
            </c:dLbl>
            <c:dLbl>
              <c:idx val="12"/>
              <c:layout>
                <c:manualLayout>
                  <c:x val="-2.4067388688327317E-2"/>
                  <c:y val="-2.5157232704402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C4-4F2C-AA9F-6DB5F5160092}"/>
                </c:ext>
              </c:extLst>
            </c:dLbl>
            <c:dLbl>
              <c:idx val="15"/>
              <c:layout>
                <c:manualLayout>
                  <c:x val="-1.2835940633774568E-2"/>
                  <c:y val="2.79524807826694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C4-4F2C-AA9F-6DB5F5160092}"/>
                </c:ext>
              </c:extLst>
            </c:dLbl>
            <c:dLbl>
              <c:idx val="16"/>
              <c:layout>
                <c:manualLayout>
                  <c:x val="-5.2948255114320039E-2"/>
                  <c:y val="-1.95667365478686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C4-4F2C-AA9F-6DB5F5160092}"/>
                </c:ext>
              </c:extLst>
            </c:dLbl>
            <c:dLbl>
              <c:idx val="19"/>
              <c:layout>
                <c:manualLayout>
                  <c:x val="-3.5298836742880063E-2"/>
                  <c:y val="-4.19287211740041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C4-4F2C-AA9F-6DB5F5160092}"/>
                </c:ext>
              </c:extLst>
            </c:dLbl>
            <c:dLbl>
              <c:idx val="22"/>
              <c:layout>
                <c:manualLayout>
                  <c:x val="-3.3694344163658241E-2"/>
                  <c:y val="-3.63382250174702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C4-4F2C-AA9F-6DB5F516009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3C4-4F2C-AA9F-6DB5F5160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09632"/>
        <c:axId val="105511168"/>
      </c:lineChart>
      <c:dateAx>
        <c:axId val="105509632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5511168"/>
        <c:crosses val="autoZero"/>
        <c:auto val="1"/>
        <c:lblOffset val="100"/>
        <c:baseTimeUnit val="days"/>
      </c:dateAx>
      <c:valAx>
        <c:axId val="10551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509632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- 11  </a:t>
            </a:r>
            <a:r>
              <a:rPr lang="en-IN"/>
              <a:t>Ton / Hr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254439185975289E-2"/>
          <c:y val="0.11761721608698283"/>
          <c:w val="0.86905494701037211"/>
          <c:h val="0.71782168738341667"/>
        </c:manualLayout>
      </c:layout>
      <c:lineChart>
        <c:grouping val="standard"/>
        <c:varyColors val="0"/>
        <c:ser>
          <c:idx val="0"/>
          <c:order val="0"/>
          <c:tx>
            <c:v>T  /  Hr</c:v>
          </c:tx>
          <c:dLbls>
            <c:dLbl>
              <c:idx val="3"/>
              <c:layout>
                <c:manualLayout>
                  <c:x val="-2.9702970297029702E-2"/>
                  <c:y val="-2.79524807826694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78-4676-846F-D35689D709AA}"/>
                </c:ext>
              </c:extLst>
            </c:dLbl>
            <c:dLbl>
              <c:idx val="4"/>
              <c:layout>
                <c:manualLayout>
                  <c:x val="-3.6303630363036306E-2"/>
                  <c:y val="1.95667365478686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78-4676-846F-D35689D709AA}"/>
                </c:ext>
              </c:extLst>
            </c:dLbl>
            <c:dLbl>
              <c:idx val="8"/>
              <c:layout>
                <c:manualLayout>
                  <c:x val="-2.8052805280528052E-2"/>
                  <c:y val="-2.5157232704402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78-4676-846F-D35689D709AA}"/>
                </c:ext>
              </c:extLst>
            </c:dLbl>
            <c:dLbl>
              <c:idx val="9"/>
              <c:layout>
                <c:manualLayout>
                  <c:x val="-1.9801980198019802E-2"/>
                  <c:y val="1.6771488469601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78-4676-846F-D35689D709AA}"/>
                </c:ext>
              </c:extLst>
            </c:dLbl>
            <c:dLbl>
              <c:idx val="10"/>
              <c:layout>
                <c:manualLayout>
                  <c:x val="-3.3003300330033E-2"/>
                  <c:y val="-2.79524807826694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78-4676-846F-D35689D709AA}"/>
                </c:ext>
              </c:extLst>
            </c:dLbl>
            <c:dLbl>
              <c:idx val="11"/>
              <c:layout>
                <c:manualLayout>
                  <c:x val="-2.8052805280528052E-2"/>
                  <c:y val="3.35429769392033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78-4676-846F-D35689D709AA}"/>
                </c:ext>
              </c:extLst>
            </c:dLbl>
            <c:dLbl>
              <c:idx val="12"/>
              <c:layout>
                <c:manualLayout>
                  <c:x val="-2.4752475247524754E-2"/>
                  <c:y val="-2.5157232704402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78-4676-846F-D35689D709AA}"/>
                </c:ext>
              </c:extLst>
            </c:dLbl>
            <c:dLbl>
              <c:idx val="16"/>
              <c:layout>
                <c:manualLayout>
                  <c:x val="-3.1353135313531351E-2"/>
                  <c:y val="-3.07479489592102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78-4676-846F-D35689D709AA}"/>
                </c:ext>
              </c:extLst>
            </c:dLbl>
            <c:dLbl>
              <c:idx val="22"/>
              <c:layout>
                <c:manualLayout>
                  <c:x val="-2.4752475247524754E-2"/>
                  <c:y val="-3.07477288609364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78-4676-846F-D35689D709A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578-4676-846F-D35689D7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53920"/>
        <c:axId val="105555456"/>
      </c:lineChart>
      <c:dateAx>
        <c:axId val="105553920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5555456"/>
        <c:crosses val="autoZero"/>
        <c:auto val="1"/>
        <c:lblOffset val="100"/>
        <c:baseTimeUnit val="days"/>
      </c:dateAx>
      <c:valAx>
        <c:axId val="10555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553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169878211116699"/>
          <c:y val="0.4815642384324601"/>
          <c:w val="0.15787097017044968"/>
          <c:h val="0.10109245778239984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- 10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317791158458134E-2"/>
          <c:y val="0.11737115496546195"/>
          <c:w val="0.87856888477175643"/>
          <c:h val="0.71283321802347932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4"/>
              <c:layout>
                <c:manualLayout>
                  <c:x val="-4.5315904139433552E-2"/>
                  <c:y val="-1.11576011157601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4-4A98-9AEA-F7D760922945}"/>
                </c:ext>
              </c:extLst>
            </c:dLbl>
            <c:dLbl>
              <c:idx val="5"/>
              <c:layout>
                <c:manualLayout>
                  <c:x val="-2.9629629629629631E-2"/>
                  <c:y val="-2.7894002789400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D4-4A98-9AEA-F7D760922945}"/>
                </c:ext>
              </c:extLst>
            </c:dLbl>
            <c:dLbl>
              <c:idx val="8"/>
              <c:layout>
                <c:manualLayout>
                  <c:x val="-3.1372549019607843E-2"/>
                  <c:y val="-1.67364016736402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4-4A98-9AEA-F7D760922945}"/>
                </c:ext>
              </c:extLst>
            </c:dLbl>
            <c:dLbl>
              <c:idx val="9"/>
              <c:layout>
                <c:manualLayout>
                  <c:x val="-2.6143790849673203E-2"/>
                  <c:y val="2.51046025104601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4-4A98-9AEA-F7D760922945}"/>
                </c:ext>
              </c:extLst>
            </c:dLbl>
            <c:dLbl>
              <c:idx val="10"/>
              <c:layout>
                <c:manualLayout>
                  <c:x val="-2.9629629629629631E-2"/>
                  <c:y val="-4.18410041841004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4-4A98-9AEA-F7D760922945}"/>
                </c:ext>
              </c:extLst>
            </c:dLbl>
            <c:dLbl>
              <c:idx val="11"/>
              <c:layout>
                <c:manualLayout>
                  <c:x val="-3.3115468409586055E-2"/>
                  <c:y val="2.7894002789400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D4-4A98-9AEA-F7D760922945}"/>
                </c:ext>
              </c:extLst>
            </c:dLbl>
            <c:dLbl>
              <c:idx val="12"/>
              <c:layout>
                <c:manualLayout>
                  <c:x val="-2.0915032679738561E-2"/>
                  <c:y val="-3.068340306834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4-4A98-9AEA-F7D760922945}"/>
                </c:ext>
              </c:extLst>
            </c:dLbl>
            <c:dLbl>
              <c:idx val="16"/>
              <c:layout>
                <c:manualLayout>
                  <c:x val="-3.137254901960778E-2"/>
                  <c:y val="-3.6262203626220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4-4A98-9AEA-F7D760922945}"/>
                </c:ext>
              </c:extLst>
            </c:dLbl>
            <c:dLbl>
              <c:idx val="17"/>
              <c:layout>
                <c:manualLayout>
                  <c:x val="-1.220043572984743E-2"/>
                  <c:y val="1.67364016736401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4-4A98-9AEA-F7D760922945}"/>
                </c:ext>
              </c:extLst>
            </c:dLbl>
            <c:dLbl>
              <c:idx val="18"/>
              <c:layout>
                <c:manualLayout>
                  <c:x val="-5.2287581699346402E-3"/>
                  <c:y val="-5.11384143585740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4D4-4A98-9AEA-F7D760922945}"/>
                </c:ext>
              </c:extLst>
            </c:dLbl>
            <c:dLbl>
              <c:idx val="22"/>
              <c:layout>
                <c:manualLayout>
                  <c:x val="-3.3115468409586055E-2"/>
                  <c:y val="-3.3472803347280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4-4A98-9AEA-F7D7609229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4D4-4A98-9AEA-F7D760922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19520"/>
        <c:axId val="100241792"/>
      </c:lineChart>
      <c:dateAx>
        <c:axId val="100219520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241792"/>
        <c:crosses val="autoZero"/>
        <c:auto val="1"/>
        <c:lblOffset val="100"/>
        <c:baseTimeUnit val="days"/>
      </c:dateAx>
      <c:valAx>
        <c:axId val="10024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219520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- 11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6206234024668478E-2"/>
          <c:y val="0.11458175468652193"/>
          <c:w val="0.87856888477175643"/>
          <c:h val="0.71283321802347932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1"/>
              <c:layout>
                <c:manualLayout>
                  <c:x val="-4.0087145969498923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7E-4F93-A82F-E4A5C2BF5115}"/>
                </c:ext>
              </c:extLst>
            </c:dLbl>
            <c:dLbl>
              <c:idx val="2"/>
              <c:layout>
                <c:manualLayout>
                  <c:x val="-2.4400871459694988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7E-4F93-A82F-E4A5C2BF5115}"/>
                </c:ext>
              </c:extLst>
            </c:dLbl>
            <c:dLbl>
              <c:idx val="3"/>
              <c:layout>
                <c:manualLayout>
                  <c:x val="-1.7429193899782137E-2"/>
                  <c:y val="-2.7894002789400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7E-4F93-A82F-E4A5C2BF5115}"/>
                </c:ext>
              </c:extLst>
            </c:dLbl>
            <c:dLbl>
              <c:idx val="4"/>
              <c:layout>
                <c:manualLayout>
                  <c:x val="-6.9716775599128538E-3"/>
                  <c:y val="-1.67364016736401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7E-4F93-A82F-E4A5C2BF5115}"/>
                </c:ext>
              </c:extLst>
            </c:dLbl>
            <c:dLbl>
              <c:idx val="8"/>
              <c:layout>
                <c:manualLayout>
                  <c:x val="-2.6143790849673203E-2"/>
                  <c:y val="-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7E-4F93-A82F-E4A5C2BF5115}"/>
                </c:ext>
              </c:extLst>
            </c:dLbl>
            <c:dLbl>
              <c:idx val="10"/>
              <c:layout>
                <c:manualLayout>
                  <c:x val="-2.9629629629629631E-2"/>
                  <c:y val="-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7E-4F93-A82F-E4A5C2BF5115}"/>
                </c:ext>
              </c:extLst>
            </c:dLbl>
            <c:dLbl>
              <c:idx val="11"/>
              <c:layout>
                <c:manualLayout>
                  <c:x val="-2.4400871459694988E-2"/>
                  <c:y val="2.2315202231520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7E-4F93-A82F-E4A5C2BF5115}"/>
                </c:ext>
              </c:extLst>
            </c:dLbl>
            <c:dLbl>
              <c:idx val="12"/>
              <c:layout>
                <c:manualLayout>
                  <c:x val="-1.2200435729847494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7E-4F93-A82F-E4A5C2BF5115}"/>
                </c:ext>
              </c:extLst>
            </c:dLbl>
            <c:dLbl>
              <c:idx val="15"/>
              <c:layout>
                <c:manualLayout>
                  <c:x val="-3.1372549019607843E-2"/>
                  <c:y val="-3.34728033472803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7E-4F93-A82F-E4A5C2BF5115}"/>
                </c:ext>
              </c:extLst>
            </c:dLbl>
            <c:dLbl>
              <c:idx val="16"/>
              <c:layout>
                <c:manualLayout>
                  <c:x val="-3.8344226579520635E-2"/>
                  <c:y val="2.51046025104603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27E-4F93-A82F-E4A5C2BF5115}"/>
                </c:ext>
              </c:extLst>
            </c:dLbl>
            <c:dLbl>
              <c:idx val="17"/>
              <c:layout>
                <c:manualLayout>
                  <c:x val="-1.7429193899782071E-2"/>
                  <c:y val="8.36820083682008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7E-4F93-A82F-E4A5C2BF5115}"/>
                </c:ext>
              </c:extLst>
            </c:dLbl>
            <c:dLbl>
              <c:idx val="22"/>
              <c:layout>
                <c:manualLayout>
                  <c:x val="-2.6143790849673203E-2"/>
                  <c:y val="-2.7894002789400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7E-4F93-A82F-E4A5C2BF511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27E-4F93-A82F-E4A5C2BF5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340864"/>
        <c:axId val="100342400"/>
      </c:lineChart>
      <c:dateAx>
        <c:axId val="100340864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342400"/>
        <c:crosses val="autoZero"/>
        <c:auto val="1"/>
        <c:lblOffset val="100"/>
        <c:baseTimeUnit val="days"/>
      </c:dateAx>
      <c:valAx>
        <c:axId val="10034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340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508012968967117"/>
          <c:y val="0.4230252912946551"/>
          <c:w val="0.15317695092035064"/>
          <c:h val="0.1008809672849471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SQ</a:t>
            </a:r>
            <a:r>
              <a:rPr lang="en-IN" baseline="0"/>
              <a:t> -8  GSPH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4005798294820988E-2"/>
          <c:y val="0.11737115496546195"/>
          <c:w val="0.86811136843188719"/>
          <c:h val="0.71841201858135939"/>
        </c:manualLayout>
      </c:layout>
      <c:lineChart>
        <c:grouping val="standard"/>
        <c:varyColors val="0"/>
        <c:ser>
          <c:idx val="0"/>
          <c:order val="0"/>
          <c:tx>
            <c:v> GSPH</c:v>
          </c:tx>
          <c:dLbls>
            <c:dLbl>
              <c:idx val="1"/>
              <c:layout>
                <c:manualLayout>
                  <c:x val="-1.2200435729847494E-2"/>
                  <c:y val="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D-4F6F-9DDD-A85034367C6C}"/>
                </c:ext>
              </c:extLst>
            </c:dLbl>
            <c:dLbl>
              <c:idx val="4"/>
              <c:layout>
                <c:manualLayout>
                  <c:x val="-2.4400871459694988E-2"/>
                  <c:y val="-1.95258019525801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BD-4F6F-9DDD-A85034367C6C}"/>
                </c:ext>
              </c:extLst>
            </c:dLbl>
            <c:dLbl>
              <c:idx val="8"/>
              <c:layout>
                <c:manualLayout>
                  <c:x val="-2.0915032679738529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BD-4F6F-9DDD-A85034367C6C}"/>
                </c:ext>
              </c:extLst>
            </c:dLbl>
            <c:dLbl>
              <c:idx val="11"/>
              <c:layout>
                <c:manualLayout>
                  <c:x val="-3.3115468409586055E-2"/>
                  <c:y val="3.0683403068340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BD-4F6F-9DDD-A85034367C6C}"/>
                </c:ext>
              </c:extLst>
            </c:dLbl>
            <c:dLbl>
              <c:idx val="16"/>
              <c:layout>
                <c:manualLayout>
                  <c:x val="-3.4858387799564274E-2"/>
                  <c:y val="2.7894002789400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BD-4F6F-9DDD-A85034367C6C}"/>
                </c:ext>
              </c:extLst>
            </c:dLbl>
            <c:dLbl>
              <c:idx val="17"/>
              <c:layout>
                <c:manualLayout>
                  <c:x val="-3.3115468409586055E-2"/>
                  <c:y val="-3.3472803347280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BD-4F6F-9DDD-A85034367C6C}"/>
                </c:ext>
              </c:extLst>
            </c:dLbl>
            <c:dLbl>
              <c:idx val="18"/>
              <c:layout>
                <c:manualLayout>
                  <c:x val="-1.0457516339869345E-2"/>
                  <c:y val="8.36820083682008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BD-4F6F-9DDD-A85034367C6C}"/>
                </c:ext>
              </c:extLst>
            </c:dLbl>
            <c:dLbl>
              <c:idx val="22"/>
              <c:layout>
                <c:manualLayout>
                  <c:x val="-2.0915032679738561E-2"/>
                  <c:y val="-2.51046025104602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BD-4F6F-9DDD-A85034367C6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cat>
            <c:numRef>
              <c:f>'SQ-1'!$A$5:$A$35</c:f>
              <c:numCache>
                <c:formatCode>[$-409]d/mmm;@</c:formatCode>
                <c:ptCount val="31"/>
                <c:pt idx="0">
                  <c:v>43952</c:v>
                </c:pt>
                <c:pt idx="1">
                  <c:v>43953</c:v>
                </c:pt>
                <c:pt idx="2">
                  <c:v>43954</c:v>
                </c:pt>
                <c:pt idx="3">
                  <c:v>43955</c:v>
                </c:pt>
                <c:pt idx="4">
                  <c:v>43956</c:v>
                </c:pt>
                <c:pt idx="5">
                  <c:v>43957</c:v>
                </c:pt>
                <c:pt idx="6">
                  <c:v>43958</c:v>
                </c:pt>
                <c:pt idx="7">
                  <c:v>43959</c:v>
                </c:pt>
                <c:pt idx="8">
                  <c:v>43960</c:v>
                </c:pt>
                <c:pt idx="9">
                  <c:v>43961</c:v>
                </c:pt>
                <c:pt idx="10">
                  <c:v>43962</c:v>
                </c:pt>
                <c:pt idx="11">
                  <c:v>43963</c:v>
                </c:pt>
                <c:pt idx="12">
                  <c:v>43964</c:v>
                </c:pt>
                <c:pt idx="13">
                  <c:v>43965</c:v>
                </c:pt>
                <c:pt idx="14">
                  <c:v>43966</c:v>
                </c:pt>
                <c:pt idx="15">
                  <c:v>43967</c:v>
                </c:pt>
                <c:pt idx="16">
                  <c:v>43968</c:v>
                </c:pt>
                <c:pt idx="17">
                  <c:v>43969</c:v>
                </c:pt>
                <c:pt idx="18">
                  <c:v>43970</c:v>
                </c:pt>
                <c:pt idx="19">
                  <c:v>43971</c:v>
                </c:pt>
                <c:pt idx="20">
                  <c:v>43972</c:v>
                </c:pt>
                <c:pt idx="21">
                  <c:v>43973</c:v>
                </c:pt>
                <c:pt idx="22">
                  <c:v>43974</c:v>
                </c:pt>
                <c:pt idx="23">
                  <c:v>43975</c:v>
                </c:pt>
                <c:pt idx="24">
                  <c:v>43976</c:v>
                </c:pt>
                <c:pt idx="25">
                  <c:v>43977</c:v>
                </c:pt>
                <c:pt idx="26">
                  <c:v>43978</c:v>
                </c:pt>
                <c:pt idx="27">
                  <c:v>43979</c:v>
                </c:pt>
                <c:pt idx="28">
                  <c:v>43980</c:v>
                </c:pt>
                <c:pt idx="29">
                  <c:v>43981</c:v>
                </c:pt>
                <c:pt idx="30">
                  <c:v>43982</c:v>
                </c:pt>
              </c:numCache>
            </c:numRef>
          </c:cat>
          <c:val>
            <c:numRef>
              <c:f>'SQ-8'!$AC$5:$AC$35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CBD-4F6F-9DDD-A85034367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392960"/>
        <c:axId val="100394496"/>
      </c:lineChart>
      <c:dateAx>
        <c:axId val="100392960"/>
        <c:scaling>
          <c:orientation val="minMax"/>
        </c:scaling>
        <c:delete val="0"/>
        <c:axPos val="b"/>
        <c:numFmt formatCode="[$-409]d/mmm;@" sourceLinked="1"/>
        <c:majorTickMark val="out"/>
        <c:minorTickMark val="none"/>
        <c:tickLblPos val="nextTo"/>
        <c:crossAx val="100394496"/>
        <c:crosses val="autoZero"/>
        <c:auto val="1"/>
        <c:lblOffset val="100"/>
        <c:baseTimeUnit val="days"/>
      </c:dateAx>
      <c:valAx>
        <c:axId val="100394496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00392960"/>
        <c:crosses val="autoZero"/>
        <c:crossBetween val="between"/>
      </c:valAx>
    </c:plotArea>
    <c:legend>
      <c:legendPos val="r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</xdr:row>
      <xdr:rowOff>171449</xdr:rowOff>
    </xdr:from>
    <xdr:to>
      <xdr:col>11</xdr:col>
      <xdr:colOff>361950</xdr:colOff>
      <xdr:row>39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</xdr:row>
      <xdr:rowOff>142874</xdr:rowOff>
    </xdr:from>
    <xdr:to>
      <xdr:col>11</xdr:col>
      <xdr:colOff>361950</xdr:colOff>
      <xdr:row>23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42</xdr:row>
      <xdr:rowOff>38101</xdr:rowOff>
    </xdr:from>
    <xdr:to>
      <xdr:col>24</xdr:col>
      <xdr:colOff>581024</xdr:colOff>
      <xdr:row>62</xdr:row>
      <xdr:rowOff>114301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447675</xdr:colOff>
      <xdr:row>17</xdr:row>
      <xdr:rowOff>9525</xdr:rowOff>
    </xdr:from>
    <xdr:to>
      <xdr:col>26</xdr:col>
      <xdr:colOff>9525</xdr:colOff>
      <xdr:row>28</xdr:row>
      <xdr:rowOff>85725</xdr:rowOff>
    </xdr:to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590550</xdr:colOff>
      <xdr:row>1</xdr:row>
      <xdr:rowOff>85725</xdr:rowOff>
    </xdr:from>
    <xdr:to>
      <xdr:col>7</xdr:col>
      <xdr:colOff>66675</xdr:colOff>
      <xdr:row>3</xdr:row>
      <xdr:rowOff>19050</xdr:rowOff>
    </xdr:to>
    <xdr:sp macro="" textlink="">
      <xdr:nvSpPr>
        <xdr:cNvPr id="6" name="Rectangle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2628900" y="352425"/>
          <a:ext cx="1533525" cy="266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447675</xdr:colOff>
      <xdr:row>30</xdr:row>
      <xdr:rowOff>9525</xdr:rowOff>
    </xdr:from>
    <xdr:to>
      <xdr:col>23</xdr:col>
      <xdr:colOff>0</xdr:colOff>
      <xdr:row>40</xdr:row>
      <xdr:rowOff>66675</xdr:rowOff>
    </xdr:to>
    <xdr:graphicFrame macro="">
      <xdr:nvGraphicFramePr>
        <xdr:cNvPr id="7" name="Chart 1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9525</xdr:colOff>
      <xdr:row>29</xdr:row>
      <xdr:rowOff>190500</xdr:rowOff>
    </xdr:from>
    <xdr:to>
      <xdr:col>25</xdr:col>
      <xdr:colOff>466725</xdr:colOff>
      <xdr:row>40</xdr:row>
      <xdr:rowOff>66675</xdr:rowOff>
    </xdr:to>
    <xdr:graphicFrame macro="">
      <xdr:nvGraphicFramePr>
        <xdr:cNvPr id="8" name="Chart 1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23</xdr:col>
      <xdr:colOff>0</xdr:colOff>
      <xdr:row>29</xdr:row>
      <xdr:rowOff>38100</xdr:rowOff>
    </xdr:from>
    <xdr:ext cx="1514774" cy="168508"/>
    <xdr:sp macro="" textlink="">
      <xdr:nvSpPr>
        <xdr:cNvPr id="9" name="Text Box 1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12982575" y="5191125"/>
          <a:ext cx="1514774" cy="1685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各停止時間ごとの合計（分）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】 </a:t>
          </a:r>
        </a:p>
      </xdr:txBody>
    </xdr:sp>
    <xdr:clientData/>
  </xdr:oneCellAnchor>
  <xdr:twoCellAnchor>
    <xdr:from>
      <xdr:col>8</xdr:col>
      <xdr:colOff>95249</xdr:colOff>
      <xdr:row>4</xdr:row>
      <xdr:rowOff>28574</xdr:rowOff>
    </xdr:from>
    <xdr:to>
      <xdr:col>10</xdr:col>
      <xdr:colOff>314325</xdr:colOff>
      <xdr:row>5</xdr:row>
      <xdr:rowOff>57149</xdr:rowOff>
    </xdr:to>
    <xdr:sp macro="" textlink="">
      <xdr:nvSpPr>
        <xdr:cNvPr id="14" name="フローチャート: 処理 19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4876799" y="838199"/>
          <a:ext cx="1590676" cy="200025"/>
        </a:xfrm>
        <a:prstGeom prst="flowChartProcess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36576" tIns="18288" rIns="36576" bIns="18288" rtlCol="0" anchor="ctr" upright="1"/>
        <a:lstStyle/>
        <a:p>
          <a:pPr algn="ctr"/>
          <a:r>
            <a:rPr kumimoji="1" lang="en-US" altLang="ja-JP" sz="1100"/>
            <a:t>Total  planing GSPH </a:t>
          </a:r>
          <a:r>
            <a:rPr kumimoji="1" lang="en-US" altLang="ja-JP" sz="1100" baseline="0"/>
            <a:t> </a:t>
          </a:r>
        </a:p>
        <a:p>
          <a:pPr algn="ctr"/>
          <a:r>
            <a:rPr kumimoji="1" lang="en-US" altLang="ja-JP" sz="1100"/>
            <a:t> </a:t>
          </a:r>
        </a:p>
        <a:p>
          <a:pPr algn="ctr"/>
          <a:r>
            <a:rPr kumimoji="1" lang="en-US" altLang="ja-JP" sz="1100"/>
            <a:t>  </a:t>
          </a:r>
        </a:p>
        <a:p>
          <a:pPr algn="ctr"/>
          <a:endParaRPr kumimoji="1" lang="en-US" altLang="ja-JP" sz="1100"/>
        </a:p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85724</xdr:colOff>
      <xdr:row>65</xdr:row>
      <xdr:rowOff>104775</xdr:rowOff>
    </xdr:from>
    <xdr:to>
      <xdr:col>17</xdr:col>
      <xdr:colOff>457199</xdr:colOff>
      <xdr:row>74</xdr:row>
      <xdr:rowOff>95250</xdr:rowOff>
    </xdr:to>
    <xdr:sp macro="" textlink="">
      <xdr:nvSpPr>
        <xdr:cNvPr id="15" name="Text Box 1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95249" y="10153650"/>
          <a:ext cx="9629775" cy="1533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①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SAFETY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②QUALITY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 baseline="0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                 </a:t>
          </a: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③PRODUCTION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④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MAINTENANCE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ja-JP" altLang="en-US" sz="10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0.39515</cdr:x>
      <cdr:y>0.1721</cdr:y>
    </cdr:from>
    <cdr:to>
      <cdr:x>0.54296</cdr:x>
      <cdr:y>0.26069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80034" y="603250"/>
          <a:ext cx="2050012" cy="310506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200" b="1" dirty="0">
              <a:solidFill>
                <a:srgbClr val="FF0000"/>
              </a:solidFill>
            </a:rPr>
            <a:t>TTSS</a:t>
          </a:r>
          <a:r>
            <a:rPr lang="en-IN" sz="1200" b="1" baseline="0" dirty="0">
              <a:solidFill>
                <a:srgbClr val="FF0000"/>
              </a:solidFill>
            </a:rPr>
            <a:t> TARGET GSPH = 418</a:t>
          </a:r>
          <a:endParaRPr lang="en-IN" sz="1200" b="1" dirty="0">
            <a:solidFill>
              <a:srgbClr val="FF0000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0.37917</cdr:x>
      <cdr:y>0.51798</cdr:y>
    </cdr:from>
    <cdr:to>
      <cdr:x>0.41226</cdr:x>
      <cdr:y>0.63478</cdr:y>
    </cdr:to>
    <cdr:sp macro="" textlink="'[1]SQ(Total) Data'!$AR$40">
      <cdr:nvSpPr>
        <cdr:cNvPr id="4505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635641" y="927544"/>
          <a:ext cx="55464" cy="209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18288" rIns="27432" bIns="18288" anchor="ctr" upright="1">
          <a:spAutoFit/>
        </a:bodyPr>
        <a:lstStyle xmlns:a="http://schemas.openxmlformats.org/drawingml/2006/main"/>
        <a:p xmlns:a="http://schemas.openxmlformats.org/drawingml/2006/main">
          <a:endParaRPr lang="en-IN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628650" y="1971675"/>
          <a:ext cx="447675" cy="1276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180975</xdr:rowOff>
    </xdr:from>
    <xdr:ext cx="228600" cy="15240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628650" y="2152650"/>
          <a:ext cx="2286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2</xdr:col>
      <xdr:colOff>180975</xdr:colOff>
      <xdr:row>7</xdr:row>
      <xdr:rowOff>19050</xdr:rowOff>
    </xdr:from>
    <xdr:ext cx="263187" cy="151836"/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09625" y="1990725"/>
          <a:ext cx="2631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" textlink="">
      <xdr:nvSpPr>
        <xdr:cNvPr id="5" name="Line 6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628650" y="1076325"/>
          <a:ext cx="4476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0</xdr:rowOff>
    </xdr:from>
    <xdr:ext cx="228600" cy="152400"/>
    <xdr:sp macro="" textlink="">
      <xdr:nvSpPr>
        <xdr:cNvPr id="6" name="Text Box 6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628650" y="1971675"/>
          <a:ext cx="2286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2</xdr:col>
      <xdr:colOff>180975</xdr:colOff>
      <xdr:row>6</xdr:row>
      <xdr:rowOff>19050</xdr:rowOff>
    </xdr:from>
    <xdr:ext cx="228600" cy="151873"/>
    <xdr:sp macro="" textlink="">
      <xdr:nvSpPr>
        <xdr:cNvPr id="7" name="Text Box 6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809625" y="1095375"/>
          <a:ext cx="228600" cy="1518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8" name="Line 8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>
          <a:off x="628650" y="1079182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9" name="Line 84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628650" y="1079182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10" name="Line 8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>
          <a:off x="628650" y="1079182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11" name="Line 9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>
          <a:off x="628650" y="1079182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>
          <a:off x="22450425" y="1971675"/>
          <a:ext cx="371475" cy="1276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180975</xdr:rowOff>
    </xdr:from>
    <xdr:ext cx="228600" cy="152400"/>
    <xdr:sp macro="" textlink="">
      <xdr:nvSpPr>
        <xdr:cNvPr id="13" name="Text Box 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22450425" y="2152650"/>
          <a:ext cx="2286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180975</xdr:colOff>
      <xdr:row>7</xdr:row>
      <xdr:rowOff>19050</xdr:rowOff>
    </xdr:from>
    <xdr:ext cx="263187" cy="151836"/>
    <xdr:sp macro="" textlink="">
      <xdr:nvSpPr>
        <xdr:cNvPr id="14" name="Text Box 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22631400" y="1990725"/>
          <a:ext cx="2631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15" name="Line 6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>
          <a:off x="22450425" y="1076325"/>
          <a:ext cx="3714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8600" cy="152400"/>
    <xdr:sp macro="" textlink="">
      <xdr:nvSpPr>
        <xdr:cNvPr id="16" name="Text Box 6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22450425" y="1971675"/>
          <a:ext cx="2286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180975</xdr:colOff>
      <xdr:row>6</xdr:row>
      <xdr:rowOff>19050</xdr:rowOff>
    </xdr:from>
    <xdr:ext cx="230020" cy="151873"/>
    <xdr:sp macro="" textlink="">
      <xdr:nvSpPr>
        <xdr:cNvPr id="17" name="Text Box 6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22631400" y="1095375"/>
          <a:ext cx="230020" cy="1518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18" name="Line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ShapeType="1"/>
        </xdr:cNvSpPr>
      </xdr:nvSpPr>
      <xdr:spPr bwMode="auto">
        <a:xfrm>
          <a:off x="22450425" y="1971675"/>
          <a:ext cx="371475" cy="1276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180975</xdr:rowOff>
    </xdr:from>
    <xdr:ext cx="228600" cy="152400"/>
    <xdr:sp macro="" textlink="">
      <xdr:nvSpPr>
        <xdr:cNvPr id="19" name="Text Box 3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22450425" y="2152650"/>
          <a:ext cx="2286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180975</xdr:colOff>
      <xdr:row>7</xdr:row>
      <xdr:rowOff>19050</xdr:rowOff>
    </xdr:from>
    <xdr:ext cx="263187" cy="151836"/>
    <xdr:sp macro="" textlink="">
      <xdr:nvSpPr>
        <xdr:cNvPr id="20" name="Text Box 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22631400" y="1990725"/>
          <a:ext cx="2631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21" name="Line 65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ShapeType="1"/>
        </xdr:cNvSpPr>
      </xdr:nvSpPr>
      <xdr:spPr bwMode="auto">
        <a:xfrm>
          <a:off x="22450425" y="1076325"/>
          <a:ext cx="3714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8600" cy="152400"/>
    <xdr:sp macro="" textlink="">
      <xdr:nvSpPr>
        <xdr:cNvPr id="22" name="Text Box 66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>
          <a:spLocks noChangeArrowheads="1"/>
        </xdr:cNvSpPr>
      </xdr:nvSpPr>
      <xdr:spPr bwMode="auto">
        <a:xfrm>
          <a:off x="22450425" y="1971675"/>
          <a:ext cx="2286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180975</xdr:colOff>
      <xdr:row>6</xdr:row>
      <xdr:rowOff>19050</xdr:rowOff>
    </xdr:from>
    <xdr:ext cx="230020" cy="151873"/>
    <xdr:sp macro="" textlink="">
      <xdr:nvSpPr>
        <xdr:cNvPr id="23" name="Text Box 67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>
          <a:spLocks noChangeArrowheads="1"/>
        </xdr:cNvSpPr>
      </xdr:nvSpPr>
      <xdr:spPr bwMode="auto">
        <a:xfrm>
          <a:off x="22631400" y="1095375"/>
          <a:ext cx="230020" cy="1518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17</xdr:row>
      <xdr:rowOff>9525</xdr:rowOff>
    </xdr:from>
    <xdr:to>
      <xdr:col>11</xdr:col>
      <xdr:colOff>647700</xdr:colOff>
      <xdr:row>28</xdr:row>
      <xdr:rowOff>85725</xdr:rowOff>
    </xdr:to>
    <xdr:graphicFrame macro="">
      <xdr:nvGraphicFramePr>
        <xdr:cNvPr id="2" name="Chart 4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3</xdr:row>
      <xdr:rowOff>190500</xdr:rowOff>
    </xdr:from>
    <xdr:to>
      <xdr:col>12</xdr:col>
      <xdr:colOff>28575</xdr:colOff>
      <xdr:row>15</xdr:row>
      <xdr:rowOff>57150</xdr:rowOff>
    </xdr:to>
    <xdr:graphicFrame macro="">
      <xdr:nvGraphicFramePr>
        <xdr:cNvPr id="3" name="Chart 4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447675</xdr:colOff>
      <xdr:row>17</xdr:row>
      <xdr:rowOff>9525</xdr:rowOff>
    </xdr:from>
    <xdr:to>
      <xdr:col>26</xdr:col>
      <xdr:colOff>333375</xdr:colOff>
      <xdr:row>28</xdr:row>
      <xdr:rowOff>85725</xdr:rowOff>
    </xdr:to>
    <xdr:graphicFrame macro="">
      <xdr:nvGraphicFramePr>
        <xdr:cNvPr id="5" name="Chart 60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590550</xdr:colOff>
      <xdr:row>1</xdr:row>
      <xdr:rowOff>85725</xdr:rowOff>
    </xdr:from>
    <xdr:to>
      <xdr:col>7</xdr:col>
      <xdr:colOff>66675</xdr:colOff>
      <xdr:row>3</xdr:row>
      <xdr:rowOff>19050</xdr:rowOff>
    </xdr:to>
    <xdr:sp macro="" textlink="">
      <xdr:nvSpPr>
        <xdr:cNvPr id="6" name="Rectangle 6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2867025" y="352425"/>
          <a:ext cx="1533525" cy="266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447675</xdr:colOff>
      <xdr:row>30</xdr:row>
      <xdr:rowOff>9525</xdr:rowOff>
    </xdr:from>
    <xdr:to>
      <xdr:col>23</xdr:col>
      <xdr:colOff>400050</xdr:colOff>
      <xdr:row>40</xdr:row>
      <xdr:rowOff>66675</xdr:rowOff>
    </xdr:to>
    <xdr:graphicFrame macro="">
      <xdr:nvGraphicFramePr>
        <xdr:cNvPr id="7" name="Chart 6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476250</xdr:colOff>
      <xdr:row>30</xdr:row>
      <xdr:rowOff>0</xdr:rowOff>
    </xdr:from>
    <xdr:to>
      <xdr:col>27</xdr:col>
      <xdr:colOff>0</xdr:colOff>
      <xdr:row>40</xdr:row>
      <xdr:rowOff>57150</xdr:rowOff>
    </xdr:to>
    <xdr:graphicFrame macro="">
      <xdr:nvGraphicFramePr>
        <xdr:cNvPr id="8" name="Chart 6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23</xdr:col>
      <xdr:colOff>542925</xdr:colOff>
      <xdr:row>29</xdr:row>
      <xdr:rowOff>28575</xdr:rowOff>
    </xdr:from>
    <xdr:ext cx="1514774" cy="168508"/>
    <xdr:sp macro="" textlink="">
      <xdr:nvSpPr>
        <xdr:cNvPr id="9" name="Text Box 70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13630275" y="5181600"/>
          <a:ext cx="1514774" cy="1685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各停止時間ごとの合計（分）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】 </a:t>
          </a:r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0.39557</cdr:x>
      <cdr:y>0</cdr:y>
    </cdr:from>
    <cdr:to>
      <cdr:x>0.42861</cdr:x>
      <cdr:y>1</cdr:y>
    </cdr:to>
    <cdr:sp macro="" textlink="'[2]SQ(Team A kumar'!$AR$41">
      <cdr:nvSpPr>
        <cdr:cNvPr id="23553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664075" y="-104580"/>
          <a:ext cx="55464" cy="209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18288" rIns="27432" bIns="18288" anchor="ctr" upright="1">
          <a:spAutoFit/>
        </a:bodyPr>
        <a:lstStyle xmlns:a="http://schemas.openxmlformats.org/drawingml/2006/main"/>
        <a:p xmlns:a="http://schemas.openxmlformats.org/drawingml/2006/main">
          <a:endParaRPr lang="en-IN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17</xdr:row>
      <xdr:rowOff>9525</xdr:rowOff>
    </xdr:from>
    <xdr:to>
      <xdr:col>11</xdr:col>
      <xdr:colOff>647700</xdr:colOff>
      <xdr:row>28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4</xdr:row>
      <xdr:rowOff>0</xdr:rowOff>
    </xdr:from>
    <xdr:to>
      <xdr:col>12</xdr:col>
      <xdr:colOff>0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419100</xdr:colOff>
      <xdr:row>16</xdr:row>
      <xdr:rowOff>200025</xdr:rowOff>
    </xdr:from>
    <xdr:to>
      <xdr:col>26</xdr:col>
      <xdr:colOff>304800</xdr:colOff>
      <xdr:row>28</xdr:row>
      <xdr:rowOff>66675</xdr:rowOff>
    </xdr:to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590550</xdr:colOff>
      <xdr:row>1</xdr:row>
      <xdr:rowOff>85725</xdr:rowOff>
    </xdr:from>
    <xdr:to>
      <xdr:col>7</xdr:col>
      <xdr:colOff>66675</xdr:colOff>
      <xdr:row>3</xdr:row>
      <xdr:rowOff>19050</xdr:rowOff>
    </xdr:to>
    <xdr:sp macro="" textlink="">
      <xdr:nvSpPr>
        <xdr:cNvPr id="7" name="Rectangle 9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2819400" y="352425"/>
          <a:ext cx="1533525" cy="266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447675</xdr:colOff>
      <xdr:row>30</xdr:row>
      <xdr:rowOff>9525</xdr:rowOff>
    </xdr:from>
    <xdr:to>
      <xdr:col>23</xdr:col>
      <xdr:colOff>400050</xdr:colOff>
      <xdr:row>40</xdr:row>
      <xdr:rowOff>66675</xdr:rowOff>
    </xdr:to>
    <xdr:graphicFrame macro="">
      <xdr:nvGraphicFramePr>
        <xdr:cNvPr id="8" name="Chart 1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476250</xdr:colOff>
      <xdr:row>30</xdr:row>
      <xdr:rowOff>9525</xdr:rowOff>
    </xdr:from>
    <xdr:to>
      <xdr:col>27</xdr:col>
      <xdr:colOff>0</xdr:colOff>
      <xdr:row>40</xdr:row>
      <xdr:rowOff>66675</xdr:rowOff>
    </xdr:to>
    <xdr:graphicFrame macro="">
      <xdr:nvGraphicFramePr>
        <xdr:cNvPr id="9" name="Chart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14</xdr:col>
      <xdr:colOff>523875</xdr:colOff>
      <xdr:row>30</xdr:row>
      <xdr:rowOff>47625</xdr:rowOff>
    </xdr:from>
    <xdr:ext cx="1514774" cy="168508"/>
    <xdr:sp macro="" textlink="">
      <xdr:nvSpPr>
        <xdr:cNvPr id="10" name="Text Box 1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8562975" y="5400675"/>
          <a:ext cx="1514774" cy="1685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各停止時間ごとの合計（分）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】 </a:t>
          </a:r>
        </a:p>
      </xdr:txBody>
    </xdr:sp>
    <xdr:clientData/>
  </xdr:one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0.352</cdr:x>
      <cdr:y>0</cdr:y>
    </cdr:from>
    <cdr:to>
      <cdr:x>0.38504</cdr:x>
      <cdr:y>1</cdr:y>
    </cdr:to>
    <cdr:sp macro="" textlink="'[3]SQ (Team Cbabu) Data'!$AR$40">
      <cdr:nvSpPr>
        <cdr:cNvPr id="3993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90931" y="-104580"/>
          <a:ext cx="55464" cy="209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18288" rIns="27432" bIns="18288" anchor="ctr" upright="1">
          <a:spAutoFit/>
        </a:bodyPr>
        <a:lstStyle xmlns:a="http://schemas.openxmlformats.org/drawingml/2006/main"/>
        <a:p xmlns:a="http://schemas.openxmlformats.org/drawingml/2006/main">
          <a:endParaRPr lang="en-IN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17</xdr:row>
      <xdr:rowOff>9525</xdr:rowOff>
    </xdr:from>
    <xdr:to>
      <xdr:col>11</xdr:col>
      <xdr:colOff>647700</xdr:colOff>
      <xdr:row>28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4</xdr:row>
      <xdr:rowOff>0</xdr:rowOff>
    </xdr:from>
    <xdr:to>
      <xdr:col>11</xdr:col>
      <xdr:colOff>657225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447675</xdr:colOff>
      <xdr:row>17</xdr:row>
      <xdr:rowOff>9525</xdr:rowOff>
    </xdr:from>
    <xdr:to>
      <xdr:col>26</xdr:col>
      <xdr:colOff>333375</xdr:colOff>
      <xdr:row>28</xdr:row>
      <xdr:rowOff>85725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590550</xdr:colOff>
      <xdr:row>1</xdr:row>
      <xdr:rowOff>85725</xdr:rowOff>
    </xdr:from>
    <xdr:to>
      <xdr:col>7</xdr:col>
      <xdr:colOff>66675</xdr:colOff>
      <xdr:row>3</xdr:row>
      <xdr:rowOff>19050</xdr:rowOff>
    </xdr:to>
    <xdr:sp macro="" textlink="">
      <xdr:nvSpPr>
        <xdr:cNvPr id="5" name="Rectangle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2819400" y="352425"/>
          <a:ext cx="1533525" cy="266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447675</xdr:colOff>
      <xdr:row>30</xdr:row>
      <xdr:rowOff>9525</xdr:rowOff>
    </xdr:from>
    <xdr:to>
      <xdr:col>23</xdr:col>
      <xdr:colOff>400050</xdr:colOff>
      <xdr:row>40</xdr:row>
      <xdr:rowOff>66675</xdr:rowOff>
    </xdr:to>
    <xdr:graphicFrame macro="">
      <xdr:nvGraphicFramePr>
        <xdr:cNvPr id="6" name="Chart 1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476250</xdr:colOff>
      <xdr:row>30</xdr:row>
      <xdr:rowOff>9525</xdr:rowOff>
    </xdr:from>
    <xdr:to>
      <xdr:col>27</xdr:col>
      <xdr:colOff>0</xdr:colOff>
      <xdr:row>40</xdr:row>
      <xdr:rowOff>66675</xdr:rowOff>
    </xdr:to>
    <xdr:graphicFrame macro="">
      <xdr:nvGraphicFramePr>
        <xdr:cNvPr id="7" name="Chart 1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14</xdr:col>
      <xdr:colOff>400050</xdr:colOff>
      <xdr:row>30</xdr:row>
      <xdr:rowOff>47625</xdr:rowOff>
    </xdr:from>
    <xdr:ext cx="1514774" cy="168508"/>
    <xdr:sp macro="" textlink="">
      <xdr:nvSpPr>
        <xdr:cNvPr id="8" name="Text Box 16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8439150" y="5400675"/>
          <a:ext cx="1514774" cy="1685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各停止時間ごとの合計（分）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】 </a:t>
          </a:r>
        </a:p>
      </xdr:txBody>
    </xdr:sp>
    <xdr:clientData/>
  </xdr:one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0.352</cdr:x>
      <cdr:y>0</cdr:y>
    </cdr:from>
    <cdr:to>
      <cdr:x>0.38509</cdr:x>
      <cdr:y>1</cdr:y>
    </cdr:to>
    <cdr:sp macro="" textlink="'[3]SQ (Team Cbabu) Data'!$AR$40">
      <cdr:nvSpPr>
        <cdr:cNvPr id="3993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90093" y="-104580"/>
          <a:ext cx="55464" cy="209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18288" rIns="27432" bIns="18288" anchor="ctr" upright="1">
          <a:spAutoFit/>
        </a:bodyPr>
        <a:lstStyle xmlns:a="http://schemas.openxmlformats.org/drawingml/2006/main"/>
        <a:p xmlns:a="http://schemas.openxmlformats.org/drawingml/2006/main">
          <a:endParaRPr lang="en-IN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7</xdr:row>
      <xdr:rowOff>400050</xdr:rowOff>
    </xdr:from>
    <xdr:to>
      <xdr:col>2</xdr:col>
      <xdr:colOff>409575</xdr:colOff>
      <xdr:row>8</xdr:row>
      <xdr:rowOff>457200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742950" y="1009650"/>
          <a:ext cx="447675" cy="952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8</xdr:row>
      <xdr:rowOff>190500</xdr:rowOff>
    </xdr:from>
    <xdr:ext cx="221343" cy="151836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781050" y="1695450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2</xdr:col>
      <xdr:colOff>190500</xdr:colOff>
      <xdr:row>8</xdr:row>
      <xdr:rowOff>9525</xdr:rowOff>
    </xdr:from>
    <xdr:ext cx="253787" cy="151836"/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971550" y="1514475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5" name="Line 6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781050" y="609600"/>
          <a:ext cx="4476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8</xdr:row>
      <xdr:rowOff>0</xdr:rowOff>
    </xdr:from>
    <xdr:ext cx="223651" cy="151836"/>
    <xdr:sp macro="" textlink="">
      <xdr:nvSpPr>
        <xdr:cNvPr id="6" name="Text Box 6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781050" y="150495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2</xdr:col>
      <xdr:colOff>190500</xdr:colOff>
      <xdr:row>7</xdr:row>
      <xdr:rowOff>9525</xdr:rowOff>
    </xdr:from>
    <xdr:ext cx="223651" cy="151836"/>
    <xdr:sp macro="" textlink="">
      <xdr:nvSpPr>
        <xdr:cNvPr id="7" name="Text Box 67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971550" y="619125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2</xdr:col>
      <xdr:colOff>0</xdr:colOff>
      <xdr:row>42</xdr:row>
      <xdr:rowOff>0</xdr:rowOff>
    </xdr:from>
    <xdr:to>
      <xdr:col>3</xdr:col>
      <xdr:colOff>0</xdr:colOff>
      <xdr:row>42</xdr:row>
      <xdr:rowOff>0</xdr:rowOff>
    </xdr:to>
    <xdr:sp macro="" textlink="">
      <xdr:nvSpPr>
        <xdr:cNvPr id="8" name="Line 8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>
          <a:off x="781050" y="10001250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3</xdr:col>
      <xdr:colOff>0</xdr:colOff>
      <xdr:row>42</xdr:row>
      <xdr:rowOff>0</xdr:rowOff>
    </xdr:to>
    <xdr:sp macro="" textlink="">
      <xdr:nvSpPr>
        <xdr:cNvPr id="9" name="Line 84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>
          <a:off x="781050" y="10001250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3</xdr:col>
      <xdr:colOff>0</xdr:colOff>
      <xdr:row>42</xdr:row>
      <xdr:rowOff>0</xdr:rowOff>
    </xdr:to>
    <xdr:sp macro="" textlink="">
      <xdr:nvSpPr>
        <xdr:cNvPr id="10" name="Line 87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ShapeType="1"/>
        </xdr:cNvSpPr>
      </xdr:nvSpPr>
      <xdr:spPr bwMode="auto">
        <a:xfrm>
          <a:off x="781050" y="10001250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3</xdr:col>
      <xdr:colOff>0</xdr:colOff>
      <xdr:row>42</xdr:row>
      <xdr:rowOff>0</xdr:rowOff>
    </xdr:to>
    <xdr:sp macro="" textlink="">
      <xdr:nvSpPr>
        <xdr:cNvPr id="11" name="Line 9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ShapeType="1"/>
        </xdr:cNvSpPr>
      </xdr:nvSpPr>
      <xdr:spPr bwMode="auto">
        <a:xfrm>
          <a:off x="781050" y="10001250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8</xdr:row>
      <xdr:rowOff>0</xdr:rowOff>
    </xdr:from>
    <xdr:to>
      <xdr:col>55</xdr:col>
      <xdr:colOff>0</xdr:colOff>
      <xdr:row>9</xdr:row>
      <xdr:rowOff>0</xdr:rowOff>
    </xdr:to>
    <xdr:sp macro="" textlink="">
      <xdr:nvSpPr>
        <xdr:cNvPr id="13" name="Line 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ShapeType="1"/>
        </xdr:cNvSpPr>
      </xdr:nvSpPr>
      <xdr:spPr bwMode="auto">
        <a:xfrm>
          <a:off x="20945475" y="1504950"/>
          <a:ext cx="371475" cy="952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8</xdr:row>
      <xdr:rowOff>190500</xdr:rowOff>
    </xdr:from>
    <xdr:ext cx="221343" cy="151836"/>
    <xdr:sp macro="" textlink="">
      <xdr:nvSpPr>
        <xdr:cNvPr id="14" name="Text Box 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>
          <a:spLocks noChangeArrowheads="1"/>
        </xdr:cNvSpPr>
      </xdr:nvSpPr>
      <xdr:spPr bwMode="auto">
        <a:xfrm>
          <a:off x="20945475" y="1695450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8</xdr:row>
      <xdr:rowOff>9525</xdr:rowOff>
    </xdr:from>
    <xdr:ext cx="253787" cy="151836"/>
    <xdr:sp macro="" textlink="">
      <xdr:nvSpPr>
        <xdr:cNvPr id="15" name="Text Box 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>
          <a:spLocks noChangeArrowheads="1"/>
        </xdr:cNvSpPr>
      </xdr:nvSpPr>
      <xdr:spPr bwMode="auto">
        <a:xfrm>
          <a:off x="21135975" y="1514475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16" name="Line 6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ShapeType="1"/>
        </xdr:cNvSpPr>
      </xdr:nvSpPr>
      <xdr:spPr bwMode="auto">
        <a:xfrm>
          <a:off x="20945475" y="609600"/>
          <a:ext cx="3714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8</xdr:row>
      <xdr:rowOff>0</xdr:rowOff>
    </xdr:from>
    <xdr:ext cx="223651" cy="151836"/>
    <xdr:sp macro="" textlink="">
      <xdr:nvSpPr>
        <xdr:cNvPr id="17" name="Text Box 6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>
          <a:spLocks noChangeArrowheads="1"/>
        </xdr:cNvSpPr>
      </xdr:nvSpPr>
      <xdr:spPr bwMode="auto">
        <a:xfrm>
          <a:off x="20945475" y="150495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23651" cy="151836"/>
    <xdr:sp macro="" textlink="">
      <xdr:nvSpPr>
        <xdr:cNvPr id="18" name="Text Box 6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>
          <a:spLocks noChangeArrowheads="1"/>
        </xdr:cNvSpPr>
      </xdr:nvSpPr>
      <xdr:spPr bwMode="auto">
        <a:xfrm>
          <a:off x="21135975" y="619125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54</xdr:col>
      <xdr:colOff>0</xdr:colOff>
      <xdr:row>8</xdr:row>
      <xdr:rowOff>0</xdr:rowOff>
    </xdr:from>
    <xdr:to>
      <xdr:col>55</xdr:col>
      <xdr:colOff>0</xdr:colOff>
      <xdr:row>9</xdr:row>
      <xdr:rowOff>0</xdr:rowOff>
    </xdr:to>
    <xdr:sp macro="" textlink="">
      <xdr:nvSpPr>
        <xdr:cNvPr id="19" name="Line 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ShapeType="1"/>
        </xdr:cNvSpPr>
      </xdr:nvSpPr>
      <xdr:spPr bwMode="auto">
        <a:xfrm>
          <a:off x="20945475" y="1504950"/>
          <a:ext cx="371475" cy="952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8</xdr:row>
      <xdr:rowOff>190500</xdr:rowOff>
    </xdr:from>
    <xdr:ext cx="221343" cy="151836"/>
    <xdr:sp macro="" textlink="">
      <xdr:nvSpPr>
        <xdr:cNvPr id="20" name="Text Box 3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>
          <a:spLocks noChangeArrowheads="1"/>
        </xdr:cNvSpPr>
      </xdr:nvSpPr>
      <xdr:spPr bwMode="auto">
        <a:xfrm>
          <a:off x="20945475" y="1695450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8</xdr:row>
      <xdr:rowOff>9525</xdr:rowOff>
    </xdr:from>
    <xdr:ext cx="253787" cy="151836"/>
    <xdr:sp macro="" textlink="">
      <xdr:nvSpPr>
        <xdr:cNvPr id="21" name="Text Box 4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>
          <a:spLocks noChangeArrowheads="1"/>
        </xdr:cNvSpPr>
      </xdr:nvSpPr>
      <xdr:spPr bwMode="auto">
        <a:xfrm>
          <a:off x="21135975" y="1514475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22" name="Line 65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ShapeType="1"/>
        </xdr:cNvSpPr>
      </xdr:nvSpPr>
      <xdr:spPr bwMode="auto">
        <a:xfrm>
          <a:off x="20945475" y="609600"/>
          <a:ext cx="3714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8</xdr:row>
      <xdr:rowOff>0</xdr:rowOff>
    </xdr:from>
    <xdr:ext cx="223651" cy="151836"/>
    <xdr:sp macro="" textlink="">
      <xdr:nvSpPr>
        <xdr:cNvPr id="23" name="Text Box 66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>
          <a:spLocks noChangeArrowheads="1"/>
        </xdr:cNvSpPr>
      </xdr:nvSpPr>
      <xdr:spPr bwMode="auto">
        <a:xfrm>
          <a:off x="20945475" y="150495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23651" cy="151836"/>
    <xdr:sp macro="" textlink="">
      <xdr:nvSpPr>
        <xdr:cNvPr id="24" name="Text Box 6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>
          <a:spLocks noChangeArrowheads="1"/>
        </xdr:cNvSpPr>
      </xdr:nvSpPr>
      <xdr:spPr bwMode="auto">
        <a:xfrm>
          <a:off x="21135975" y="619125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581025</xdr:colOff>
      <xdr:row>6</xdr:row>
      <xdr:rowOff>552450</xdr:rowOff>
    </xdr:from>
    <xdr:to>
      <xdr:col>2</xdr:col>
      <xdr:colOff>314325</xdr:colOff>
      <xdr:row>7</xdr:row>
      <xdr:rowOff>619125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ShapeType="1"/>
        </xdr:cNvSpPr>
      </xdr:nvSpPr>
      <xdr:spPr bwMode="auto">
        <a:xfrm>
          <a:off x="704850" y="1628775"/>
          <a:ext cx="390525" cy="962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190500</xdr:rowOff>
    </xdr:from>
    <xdr:ext cx="221343" cy="151836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781050" y="2162175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2</xdr:col>
      <xdr:colOff>190500</xdr:colOff>
      <xdr:row>7</xdr:row>
      <xdr:rowOff>9525</xdr:rowOff>
    </xdr:from>
    <xdr:ext cx="253787" cy="151836"/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971550" y="1981200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" textlink="">
      <xdr:nvSpPr>
        <xdr:cNvPr id="5" name="Line 6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ShapeType="1"/>
        </xdr:cNvSpPr>
      </xdr:nvSpPr>
      <xdr:spPr bwMode="auto">
        <a:xfrm>
          <a:off x="781050" y="1076325"/>
          <a:ext cx="4476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0</xdr:rowOff>
    </xdr:from>
    <xdr:ext cx="223651" cy="151836"/>
    <xdr:sp macro="" textlink="">
      <xdr:nvSpPr>
        <xdr:cNvPr id="6" name="Text Box 66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781050" y="1971675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2</xdr:col>
      <xdr:colOff>190500</xdr:colOff>
      <xdr:row>6</xdr:row>
      <xdr:rowOff>9525</xdr:rowOff>
    </xdr:from>
    <xdr:ext cx="223651" cy="151836"/>
    <xdr:sp macro="" textlink="">
      <xdr:nvSpPr>
        <xdr:cNvPr id="7" name="Text Box 67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/>
        </xdr:cNvSpPr>
      </xdr:nvSpPr>
      <xdr:spPr bwMode="auto">
        <a:xfrm>
          <a:off x="971550" y="108585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8" name="Line 8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>
          <a:off x="781050" y="1046797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9" name="Line 84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ShapeType="1"/>
        </xdr:cNvSpPr>
      </xdr:nvSpPr>
      <xdr:spPr bwMode="auto">
        <a:xfrm>
          <a:off x="781050" y="1046797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10" name="Line 87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ShapeType="1"/>
        </xdr:cNvSpPr>
      </xdr:nvSpPr>
      <xdr:spPr bwMode="auto">
        <a:xfrm>
          <a:off x="781050" y="1046797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11" name="Line 9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ShapeType="1"/>
        </xdr:cNvSpPr>
      </xdr:nvSpPr>
      <xdr:spPr bwMode="auto">
        <a:xfrm>
          <a:off x="781050" y="1046797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>
          <a:off x="21050250" y="1971675"/>
          <a:ext cx="371475" cy="952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190500</xdr:rowOff>
    </xdr:from>
    <xdr:ext cx="221343" cy="151836"/>
    <xdr:sp macro="" textlink="">
      <xdr:nvSpPr>
        <xdr:cNvPr id="13" name="Text Box 3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>
          <a:spLocks noChangeArrowheads="1"/>
        </xdr:cNvSpPr>
      </xdr:nvSpPr>
      <xdr:spPr bwMode="auto">
        <a:xfrm>
          <a:off x="21050250" y="2162175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53787" cy="151836"/>
    <xdr:sp macro="" textlink="">
      <xdr:nvSpPr>
        <xdr:cNvPr id="14" name="Text Box 4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>
          <a:spLocks noChangeArrowheads="1"/>
        </xdr:cNvSpPr>
      </xdr:nvSpPr>
      <xdr:spPr bwMode="auto">
        <a:xfrm>
          <a:off x="21240750" y="1981200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15" name="Line 65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ShapeType="1"/>
        </xdr:cNvSpPr>
      </xdr:nvSpPr>
      <xdr:spPr bwMode="auto">
        <a:xfrm>
          <a:off x="21050250" y="1076325"/>
          <a:ext cx="3714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3651" cy="151836"/>
    <xdr:sp macro="" textlink="">
      <xdr:nvSpPr>
        <xdr:cNvPr id="16" name="Text Box 66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>
          <a:spLocks noChangeArrowheads="1"/>
        </xdr:cNvSpPr>
      </xdr:nvSpPr>
      <xdr:spPr bwMode="auto">
        <a:xfrm>
          <a:off x="21050250" y="1971675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6</xdr:row>
      <xdr:rowOff>9525</xdr:rowOff>
    </xdr:from>
    <xdr:ext cx="223651" cy="151836"/>
    <xdr:sp macro="" textlink="">
      <xdr:nvSpPr>
        <xdr:cNvPr id="17" name="Text Box 67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>
          <a:spLocks noChangeArrowheads="1"/>
        </xdr:cNvSpPr>
      </xdr:nvSpPr>
      <xdr:spPr bwMode="auto">
        <a:xfrm>
          <a:off x="21240750" y="108585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18" name="Line 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21050250" y="1971675"/>
          <a:ext cx="371475" cy="952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190500</xdr:rowOff>
    </xdr:from>
    <xdr:ext cx="221343" cy="151836"/>
    <xdr:sp macro="" textlink="">
      <xdr:nvSpPr>
        <xdr:cNvPr id="19" name="Text Box 3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>
          <a:spLocks noChangeArrowheads="1"/>
        </xdr:cNvSpPr>
      </xdr:nvSpPr>
      <xdr:spPr bwMode="auto">
        <a:xfrm>
          <a:off x="21050250" y="2162175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53787" cy="151836"/>
    <xdr:sp macro="" textlink="">
      <xdr:nvSpPr>
        <xdr:cNvPr id="20" name="Text Box 4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>
          <a:spLocks noChangeArrowheads="1"/>
        </xdr:cNvSpPr>
      </xdr:nvSpPr>
      <xdr:spPr bwMode="auto">
        <a:xfrm>
          <a:off x="21240750" y="1981200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21" name="Line 65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ShapeType="1"/>
        </xdr:cNvSpPr>
      </xdr:nvSpPr>
      <xdr:spPr bwMode="auto">
        <a:xfrm>
          <a:off x="21050250" y="1076325"/>
          <a:ext cx="3714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3651" cy="151836"/>
    <xdr:sp macro="" textlink="">
      <xdr:nvSpPr>
        <xdr:cNvPr id="22" name="Text Box 66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>
          <a:spLocks noChangeArrowheads="1"/>
        </xdr:cNvSpPr>
      </xdr:nvSpPr>
      <xdr:spPr bwMode="auto">
        <a:xfrm>
          <a:off x="21050250" y="1971675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6</xdr:row>
      <xdr:rowOff>9525</xdr:rowOff>
    </xdr:from>
    <xdr:ext cx="223651" cy="151836"/>
    <xdr:sp macro="" textlink="">
      <xdr:nvSpPr>
        <xdr:cNvPr id="23" name="Text Box 67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>
          <a:spLocks noChangeArrowheads="1"/>
        </xdr:cNvSpPr>
      </xdr:nvSpPr>
      <xdr:spPr bwMode="auto">
        <a:xfrm>
          <a:off x="21240750" y="108585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1</xdr:col>
      <xdr:colOff>619125</xdr:colOff>
      <xdr:row>6</xdr:row>
      <xdr:rowOff>400050</xdr:rowOff>
    </xdr:from>
    <xdr:to>
      <xdr:col>2</xdr:col>
      <xdr:colOff>409575</xdr:colOff>
      <xdr:row>7</xdr:row>
      <xdr:rowOff>457200</xdr:rowOff>
    </xdr:to>
    <xdr:sp macro="" textlink="">
      <xdr:nvSpPr>
        <xdr:cNvPr id="24" name="Line 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742950" y="1476375"/>
          <a:ext cx="447675" cy="952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190500</xdr:rowOff>
    </xdr:from>
    <xdr:ext cx="221343" cy="151836"/>
    <xdr:sp macro="" textlink="">
      <xdr:nvSpPr>
        <xdr:cNvPr id="25" name="Text Box 3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>
          <a:spLocks noChangeArrowheads="1"/>
        </xdr:cNvSpPr>
      </xdr:nvSpPr>
      <xdr:spPr bwMode="auto">
        <a:xfrm>
          <a:off x="781050" y="2162175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2</xdr:col>
      <xdr:colOff>190500</xdr:colOff>
      <xdr:row>7</xdr:row>
      <xdr:rowOff>9525</xdr:rowOff>
    </xdr:from>
    <xdr:ext cx="253787" cy="151836"/>
    <xdr:sp macro="" textlink="">
      <xdr:nvSpPr>
        <xdr:cNvPr id="26" name="Text Box 4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>
          <a:spLocks noChangeArrowheads="1"/>
        </xdr:cNvSpPr>
      </xdr:nvSpPr>
      <xdr:spPr bwMode="auto">
        <a:xfrm>
          <a:off x="971550" y="1981200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" textlink="">
      <xdr:nvSpPr>
        <xdr:cNvPr id="27" name="Line 65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781050" y="1076325"/>
          <a:ext cx="4476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0</xdr:rowOff>
    </xdr:from>
    <xdr:ext cx="223651" cy="151836"/>
    <xdr:sp macro="" textlink="">
      <xdr:nvSpPr>
        <xdr:cNvPr id="28" name="Text Box 66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>
          <a:spLocks noChangeArrowheads="1"/>
        </xdr:cNvSpPr>
      </xdr:nvSpPr>
      <xdr:spPr bwMode="auto">
        <a:xfrm>
          <a:off x="781050" y="1971675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2</xdr:col>
      <xdr:colOff>190500</xdr:colOff>
      <xdr:row>6</xdr:row>
      <xdr:rowOff>9525</xdr:rowOff>
    </xdr:from>
    <xdr:ext cx="223651" cy="151836"/>
    <xdr:sp macro="" textlink="">
      <xdr:nvSpPr>
        <xdr:cNvPr id="29" name="Text Box 67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>
          <a:spLocks noChangeArrowheads="1"/>
        </xdr:cNvSpPr>
      </xdr:nvSpPr>
      <xdr:spPr bwMode="auto">
        <a:xfrm>
          <a:off x="971550" y="108585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31" name="Line 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21050250" y="1971675"/>
          <a:ext cx="371475" cy="952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190500</xdr:rowOff>
    </xdr:from>
    <xdr:ext cx="221343" cy="151836"/>
    <xdr:sp macro="" textlink="">
      <xdr:nvSpPr>
        <xdr:cNvPr id="32" name="Text Box 3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>
          <a:spLocks noChangeArrowheads="1"/>
        </xdr:cNvSpPr>
      </xdr:nvSpPr>
      <xdr:spPr bwMode="auto">
        <a:xfrm>
          <a:off x="21050250" y="2162175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53787" cy="151836"/>
    <xdr:sp macro="" textlink="">
      <xdr:nvSpPr>
        <xdr:cNvPr id="33" name="Text Box 4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>
          <a:spLocks noChangeArrowheads="1"/>
        </xdr:cNvSpPr>
      </xdr:nvSpPr>
      <xdr:spPr bwMode="auto">
        <a:xfrm>
          <a:off x="21240750" y="1981200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34" name="Line 65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1050250" y="1076325"/>
          <a:ext cx="3714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3651" cy="151836"/>
    <xdr:sp macro="" textlink="">
      <xdr:nvSpPr>
        <xdr:cNvPr id="35" name="Text Box 66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>
          <a:spLocks noChangeArrowheads="1"/>
        </xdr:cNvSpPr>
      </xdr:nvSpPr>
      <xdr:spPr bwMode="auto">
        <a:xfrm>
          <a:off x="21050250" y="1971675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6</xdr:row>
      <xdr:rowOff>9525</xdr:rowOff>
    </xdr:from>
    <xdr:ext cx="223651" cy="151836"/>
    <xdr:sp macro="" textlink="">
      <xdr:nvSpPr>
        <xdr:cNvPr id="36" name="Text Box 67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>
          <a:spLocks noChangeArrowheads="1"/>
        </xdr:cNvSpPr>
      </xdr:nvSpPr>
      <xdr:spPr bwMode="auto">
        <a:xfrm>
          <a:off x="21240750" y="108585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37" name="Line 1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21050250" y="1971675"/>
          <a:ext cx="371475" cy="952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190500</xdr:rowOff>
    </xdr:from>
    <xdr:ext cx="221343" cy="151836"/>
    <xdr:sp macro="" textlink="">
      <xdr:nvSpPr>
        <xdr:cNvPr id="38" name="Text Box 3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>
          <a:spLocks noChangeArrowheads="1"/>
        </xdr:cNvSpPr>
      </xdr:nvSpPr>
      <xdr:spPr bwMode="auto">
        <a:xfrm>
          <a:off x="21050250" y="2162175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53787" cy="151836"/>
    <xdr:sp macro="" textlink="">
      <xdr:nvSpPr>
        <xdr:cNvPr id="39" name="Text Box 4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>
          <a:spLocks noChangeArrowheads="1"/>
        </xdr:cNvSpPr>
      </xdr:nvSpPr>
      <xdr:spPr bwMode="auto">
        <a:xfrm>
          <a:off x="21240750" y="1981200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40" name="Line 65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>
          <a:off x="21050250" y="1076325"/>
          <a:ext cx="371475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3651" cy="151836"/>
    <xdr:sp macro="" textlink="">
      <xdr:nvSpPr>
        <xdr:cNvPr id="41" name="Text Box 66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>
          <a:spLocks noChangeArrowheads="1"/>
        </xdr:cNvSpPr>
      </xdr:nvSpPr>
      <xdr:spPr bwMode="auto">
        <a:xfrm>
          <a:off x="21050250" y="1971675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6</xdr:row>
      <xdr:rowOff>9525</xdr:rowOff>
    </xdr:from>
    <xdr:ext cx="223651" cy="151836"/>
    <xdr:sp macro="" textlink="">
      <xdr:nvSpPr>
        <xdr:cNvPr id="42" name="Text Box 67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>
          <a:spLocks noChangeArrowheads="1"/>
        </xdr:cNvSpPr>
      </xdr:nvSpPr>
      <xdr:spPr bwMode="auto">
        <a:xfrm>
          <a:off x="21240750" y="108585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561975</xdr:colOff>
      <xdr:row>6</xdr:row>
      <xdr:rowOff>866775</xdr:rowOff>
    </xdr:from>
    <xdr:to>
      <xdr:col>2</xdr:col>
      <xdr:colOff>333375</xdr:colOff>
      <xdr:row>7</xdr:row>
      <xdr:rowOff>695325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ShapeType="1"/>
        </xdr:cNvSpPr>
      </xdr:nvSpPr>
      <xdr:spPr bwMode="auto">
        <a:xfrm>
          <a:off x="685800" y="2076450"/>
          <a:ext cx="409575" cy="904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190500</xdr:rowOff>
    </xdr:from>
    <xdr:ext cx="221343" cy="151836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762000" y="2476500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2</xdr:col>
      <xdr:colOff>190500</xdr:colOff>
      <xdr:row>7</xdr:row>
      <xdr:rowOff>9525</xdr:rowOff>
    </xdr:from>
    <xdr:ext cx="253787" cy="151836"/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952500" y="2295525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1</xdr:col>
      <xdr:colOff>514350</xdr:colOff>
      <xdr:row>5</xdr:row>
      <xdr:rowOff>9525</xdr:rowOff>
    </xdr:from>
    <xdr:to>
      <xdr:col>2</xdr:col>
      <xdr:colOff>323850</xdr:colOff>
      <xdr:row>6</xdr:row>
      <xdr:rowOff>866775</xdr:rowOff>
    </xdr:to>
    <xdr:sp macro="" textlink="">
      <xdr:nvSpPr>
        <xdr:cNvPr id="5" name="Line 65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ShapeType="1"/>
        </xdr:cNvSpPr>
      </xdr:nvSpPr>
      <xdr:spPr bwMode="auto">
        <a:xfrm>
          <a:off x="638175" y="866775"/>
          <a:ext cx="447675" cy="1209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0</xdr:rowOff>
    </xdr:from>
    <xdr:ext cx="223651" cy="151836"/>
    <xdr:sp macro="" textlink="">
      <xdr:nvSpPr>
        <xdr:cNvPr id="6" name="Text Box 6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762000" y="22860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2</xdr:col>
      <xdr:colOff>190500</xdr:colOff>
      <xdr:row>6</xdr:row>
      <xdr:rowOff>9525</xdr:rowOff>
    </xdr:from>
    <xdr:ext cx="223651" cy="151836"/>
    <xdr:sp macro="" textlink="">
      <xdr:nvSpPr>
        <xdr:cNvPr id="7" name="Text Box 67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952500" y="12192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8" name="Line 8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ShapeType="1"/>
        </xdr:cNvSpPr>
      </xdr:nvSpPr>
      <xdr:spPr bwMode="auto">
        <a:xfrm>
          <a:off x="762000" y="1082992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9" name="Line 84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ShapeType="1"/>
        </xdr:cNvSpPr>
      </xdr:nvSpPr>
      <xdr:spPr bwMode="auto">
        <a:xfrm>
          <a:off x="762000" y="1082992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10" name="Line 87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ShapeType="1"/>
        </xdr:cNvSpPr>
      </xdr:nvSpPr>
      <xdr:spPr bwMode="auto">
        <a:xfrm>
          <a:off x="762000" y="1082992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41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11" name="Line 9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ShapeType="1"/>
        </xdr:cNvSpPr>
      </xdr:nvSpPr>
      <xdr:spPr bwMode="auto">
        <a:xfrm>
          <a:off x="762000" y="10829925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ShapeType="1"/>
        </xdr:cNvSpPr>
      </xdr:nvSpPr>
      <xdr:spPr bwMode="auto">
        <a:xfrm>
          <a:off x="21288375" y="2286000"/>
          <a:ext cx="371475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190500</xdr:rowOff>
    </xdr:from>
    <xdr:ext cx="221343" cy="151836"/>
    <xdr:sp macro="" textlink="">
      <xdr:nvSpPr>
        <xdr:cNvPr id="13" name="Text Box 3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>
          <a:spLocks noChangeArrowheads="1"/>
        </xdr:cNvSpPr>
      </xdr:nvSpPr>
      <xdr:spPr bwMode="auto">
        <a:xfrm>
          <a:off x="21288375" y="2476500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53787" cy="151836"/>
    <xdr:sp macro="" textlink="">
      <xdr:nvSpPr>
        <xdr:cNvPr id="14" name="Text Box 4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>
          <a:spLocks noChangeArrowheads="1"/>
        </xdr:cNvSpPr>
      </xdr:nvSpPr>
      <xdr:spPr bwMode="auto">
        <a:xfrm>
          <a:off x="21478875" y="2295525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15" name="Line 65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ShapeType="1"/>
        </xdr:cNvSpPr>
      </xdr:nvSpPr>
      <xdr:spPr bwMode="auto">
        <a:xfrm>
          <a:off x="21288375" y="1209675"/>
          <a:ext cx="371475" cy="107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3651" cy="151836"/>
    <xdr:sp macro="" textlink="">
      <xdr:nvSpPr>
        <xdr:cNvPr id="16" name="Text Box 66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>
          <a:spLocks noChangeArrowheads="1"/>
        </xdr:cNvSpPr>
      </xdr:nvSpPr>
      <xdr:spPr bwMode="auto">
        <a:xfrm>
          <a:off x="21288375" y="22860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6</xdr:row>
      <xdr:rowOff>9525</xdr:rowOff>
    </xdr:from>
    <xdr:ext cx="223651" cy="151836"/>
    <xdr:sp macro="" textlink="">
      <xdr:nvSpPr>
        <xdr:cNvPr id="17" name="Text Box 67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>
          <a:spLocks noChangeArrowheads="1"/>
        </xdr:cNvSpPr>
      </xdr:nvSpPr>
      <xdr:spPr bwMode="auto">
        <a:xfrm>
          <a:off x="21478875" y="12192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18" name="Line 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ShapeType="1"/>
        </xdr:cNvSpPr>
      </xdr:nvSpPr>
      <xdr:spPr bwMode="auto">
        <a:xfrm>
          <a:off x="21288375" y="2286000"/>
          <a:ext cx="371475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190500</xdr:rowOff>
    </xdr:from>
    <xdr:ext cx="221343" cy="151836"/>
    <xdr:sp macro="" textlink="">
      <xdr:nvSpPr>
        <xdr:cNvPr id="19" name="Text Box 3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>
          <a:spLocks noChangeArrowheads="1"/>
        </xdr:cNvSpPr>
      </xdr:nvSpPr>
      <xdr:spPr bwMode="auto">
        <a:xfrm>
          <a:off x="21288375" y="2476500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53787" cy="151836"/>
    <xdr:sp macro="" textlink="">
      <xdr:nvSpPr>
        <xdr:cNvPr id="20" name="Text Box 4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>
          <a:spLocks noChangeArrowheads="1"/>
        </xdr:cNvSpPr>
      </xdr:nvSpPr>
      <xdr:spPr bwMode="auto">
        <a:xfrm>
          <a:off x="21478875" y="2295525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21" name="Line 65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ShapeType="1"/>
        </xdr:cNvSpPr>
      </xdr:nvSpPr>
      <xdr:spPr bwMode="auto">
        <a:xfrm>
          <a:off x="21288375" y="1209675"/>
          <a:ext cx="371475" cy="107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3651" cy="151836"/>
    <xdr:sp macro="" textlink="">
      <xdr:nvSpPr>
        <xdr:cNvPr id="22" name="Text Box 66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>
          <a:spLocks noChangeArrowheads="1"/>
        </xdr:cNvSpPr>
      </xdr:nvSpPr>
      <xdr:spPr bwMode="auto">
        <a:xfrm>
          <a:off x="21288375" y="22860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6</xdr:row>
      <xdr:rowOff>9525</xdr:rowOff>
    </xdr:from>
    <xdr:ext cx="223651" cy="151836"/>
    <xdr:sp macro="" textlink="">
      <xdr:nvSpPr>
        <xdr:cNvPr id="23" name="Text Box 67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>
          <a:spLocks noChangeArrowheads="1"/>
        </xdr:cNvSpPr>
      </xdr:nvSpPr>
      <xdr:spPr bwMode="auto">
        <a:xfrm>
          <a:off x="21478875" y="12192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1</xdr:col>
      <xdr:colOff>619125</xdr:colOff>
      <xdr:row>6</xdr:row>
      <xdr:rowOff>400050</xdr:rowOff>
    </xdr:from>
    <xdr:to>
      <xdr:col>2</xdr:col>
      <xdr:colOff>409575</xdr:colOff>
      <xdr:row>7</xdr:row>
      <xdr:rowOff>457200</xdr:rowOff>
    </xdr:to>
    <xdr:sp macro="" textlink="">
      <xdr:nvSpPr>
        <xdr:cNvPr id="24" name="Line 1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ShapeType="1"/>
        </xdr:cNvSpPr>
      </xdr:nvSpPr>
      <xdr:spPr bwMode="auto">
        <a:xfrm>
          <a:off x="742950" y="1609725"/>
          <a:ext cx="428625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190500</xdr:rowOff>
    </xdr:from>
    <xdr:ext cx="221343" cy="151836"/>
    <xdr:sp macro="" textlink="">
      <xdr:nvSpPr>
        <xdr:cNvPr id="25" name="Text Box 3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>
          <a:spLocks noChangeArrowheads="1"/>
        </xdr:cNvSpPr>
      </xdr:nvSpPr>
      <xdr:spPr bwMode="auto">
        <a:xfrm>
          <a:off x="762000" y="2476500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2</xdr:col>
      <xdr:colOff>190500</xdr:colOff>
      <xdr:row>7</xdr:row>
      <xdr:rowOff>9525</xdr:rowOff>
    </xdr:from>
    <xdr:ext cx="253787" cy="151836"/>
    <xdr:sp macro="" textlink="">
      <xdr:nvSpPr>
        <xdr:cNvPr id="26" name="Text Box 4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>
          <a:spLocks noChangeArrowheads="1"/>
        </xdr:cNvSpPr>
      </xdr:nvSpPr>
      <xdr:spPr bwMode="auto">
        <a:xfrm>
          <a:off x="952500" y="2295525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" textlink="">
      <xdr:nvSpPr>
        <xdr:cNvPr id="27" name="Line 65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ShapeType="1"/>
        </xdr:cNvSpPr>
      </xdr:nvSpPr>
      <xdr:spPr bwMode="auto">
        <a:xfrm>
          <a:off x="762000" y="1209675"/>
          <a:ext cx="447675" cy="107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</xdr:col>
      <xdr:colOff>0</xdr:colOff>
      <xdr:row>7</xdr:row>
      <xdr:rowOff>0</xdr:rowOff>
    </xdr:from>
    <xdr:ext cx="223651" cy="151836"/>
    <xdr:sp macro="" textlink="">
      <xdr:nvSpPr>
        <xdr:cNvPr id="28" name="Text Box 66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>
          <a:spLocks noChangeArrowheads="1"/>
        </xdr:cNvSpPr>
      </xdr:nvSpPr>
      <xdr:spPr bwMode="auto">
        <a:xfrm>
          <a:off x="762000" y="22860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2</xdr:col>
      <xdr:colOff>190500</xdr:colOff>
      <xdr:row>6</xdr:row>
      <xdr:rowOff>9525</xdr:rowOff>
    </xdr:from>
    <xdr:ext cx="223651" cy="151836"/>
    <xdr:sp macro="" textlink="">
      <xdr:nvSpPr>
        <xdr:cNvPr id="29" name="Text Box 67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>
          <a:spLocks noChangeArrowheads="1"/>
        </xdr:cNvSpPr>
      </xdr:nvSpPr>
      <xdr:spPr bwMode="auto">
        <a:xfrm>
          <a:off x="952500" y="12192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31" name="Line 1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ShapeType="1"/>
        </xdr:cNvSpPr>
      </xdr:nvSpPr>
      <xdr:spPr bwMode="auto">
        <a:xfrm>
          <a:off x="21288375" y="2286000"/>
          <a:ext cx="371475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190500</xdr:rowOff>
    </xdr:from>
    <xdr:ext cx="221343" cy="151836"/>
    <xdr:sp macro="" textlink="">
      <xdr:nvSpPr>
        <xdr:cNvPr id="32" name="Text Box 3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>
          <a:spLocks noChangeArrowheads="1"/>
        </xdr:cNvSpPr>
      </xdr:nvSpPr>
      <xdr:spPr bwMode="auto">
        <a:xfrm>
          <a:off x="21288375" y="2476500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53787" cy="151836"/>
    <xdr:sp macro="" textlink="">
      <xdr:nvSpPr>
        <xdr:cNvPr id="33" name="Text Box 4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>
          <a:spLocks noChangeArrowheads="1"/>
        </xdr:cNvSpPr>
      </xdr:nvSpPr>
      <xdr:spPr bwMode="auto">
        <a:xfrm>
          <a:off x="21478875" y="2295525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34" name="Line 65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21288375" y="1209675"/>
          <a:ext cx="371475" cy="107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3651" cy="151836"/>
    <xdr:sp macro="" textlink="">
      <xdr:nvSpPr>
        <xdr:cNvPr id="35" name="Text Box 66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>
          <a:spLocks noChangeArrowheads="1"/>
        </xdr:cNvSpPr>
      </xdr:nvSpPr>
      <xdr:spPr bwMode="auto">
        <a:xfrm>
          <a:off x="21288375" y="22860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6</xdr:row>
      <xdr:rowOff>9525</xdr:rowOff>
    </xdr:from>
    <xdr:ext cx="223651" cy="151836"/>
    <xdr:sp macro="" textlink="">
      <xdr:nvSpPr>
        <xdr:cNvPr id="36" name="Text Box 67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>
          <a:spLocks noChangeArrowheads="1"/>
        </xdr:cNvSpPr>
      </xdr:nvSpPr>
      <xdr:spPr bwMode="auto">
        <a:xfrm>
          <a:off x="21478875" y="12192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  <xdr:twoCellAnchor>
    <xdr:from>
      <xdr:col>54</xdr:col>
      <xdr:colOff>0</xdr:colOff>
      <xdr:row>7</xdr:row>
      <xdr:rowOff>0</xdr:rowOff>
    </xdr:from>
    <xdr:to>
      <xdr:col>55</xdr:col>
      <xdr:colOff>0</xdr:colOff>
      <xdr:row>8</xdr:row>
      <xdr:rowOff>0</xdr:rowOff>
    </xdr:to>
    <xdr:sp macro="" textlink="">
      <xdr:nvSpPr>
        <xdr:cNvPr id="37" name="Line 1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21288375" y="2286000"/>
          <a:ext cx="371475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190500</xdr:rowOff>
    </xdr:from>
    <xdr:ext cx="221343" cy="151836"/>
    <xdr:sp macro="" textlink="">
      <xdr:nvSpPr>
        <xdr:cNvPr id="38" name="Text Box 3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>
          <a:spLocks noChangeArrowheads="1"/>
        </xdr:cNvSpPr>
      </xdr:nvSpPr>
      <xdr:spPr bwMode="auto">
        <a:xfrm>
          <a:off x="21288375" y="2476500"/>
          <a:ext cx="221343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Date</a:t>
          </a:r>
        </a:p>
      </xdr:txBody>
    </xdr:sp>
    <xdr:clientData/>
  </xdr:oneCellAnchor>
  <xdr:oneCellAnchor>
    <xdr:from>
      <xdr:col>54</xdr:col>
      <xdr:colOff>190500</xdr:colOff>
      <xdr:row>7</xdr:row>
      <xdr:rowOff>9525</xdr:rowOff>
    </xdr:from>
    <xdr:ext cx="253787" cy="151836"/>
    <xdr:sp macro="" textlink="">
      <xdr:nvSpPr>
        <xdr:cNvPr id="39" name="Text Box 4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 txBox="1">
          <a:spLocks noChangeArrowheads="1"/>
        </xdr:cNvSpPr>
      </xdr:nvSpPr>
      <xdr:spPr bwMode="auto">
        <a:xfrm>
          <a:off x="21478875" y="2295525"/>
          <a:ext cx="253787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Items</a:t>
          </a:r>
        </a:p>
      </xdr:txBody>
    </xdr:sp>
    <xdr:clientData/>
  </xdr:oneCellAnchor>
  <xdr:twoCellAnchor>
    <xdr:from>
      <xdr:col>54</xdr:col>
      <xdr:colOff>0</xdr:colOff>
      <xdr:row>6</xdr:row>
      <xdr:rowOff>0</xdr:rowOff>
    </xdr:from>
    <xdr:to>
      <xdr:col>55</xdr:col>
      <xdr:colOff>0</xdr:colOff>
      <xdr:row>7</xdr:row>
      <xdr:rowOff>0</xdr:rowOff>
    </xdr:to>
    <xdr:sp macro="" textlink="">
      <xdr:nvSpPr>
        <xdr:cNvPr id="40" name="Line 65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>
          <a:spLocks noChangeShapeType="1"/>
        </xdr:cNvSpPr>
      </xdr:nvSpPr>
      <xdr:spPr bwMode="auto">
        <a:xfrm>
          <a:off x="21288375" y="1209675"/>
          <a:ext cx="371475" cy="107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54</xdr:col>
      <xdr:colOff>0</xdr:colOff>
      <xdr:row>7</xdr:row>
      <xdr:rowOff>0</xdr:rowOff>
    </xdr:from>
    <xdr:ext cx="223651" cy="151836"/>
    <xdr:sp macro="" textlink="">
      <xdr:nvSpPr>
        <xdr:cNvPr id="41" name="Text Box 66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 txBox="1">
          <a:spLocks noChangeArrowheads="1"/>
        </xdr:cNvSpPr>
      </xdr:nvSpPr>
      <xdr:spPr bwMode="auto">
        <a:xfrm>
          <a:off x="21288375" y="22860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日付</a:t>
          </a:r>
        </a:p>
      </xdr:txBody>
    </xdr:sp>
    <xdr:clientData/>
  </xdr:oneCellAnchor>
  <xdr:oneCellAnchor>
    <xdr:from>
      <xdr:col>54</xdr:col>
      <xdr:colOff>190500</xdr:colOff>
      <xdr:row>6</xdr:row>
      <xdr:rowOff>9525</xdr:rowOff>
    </xdr:from>
    <xdr:ext cx="223651" cy="151836"/>
    <xdr:sp macro="" textlink="">
      <xdr:nvSpPr>
        <xdr:cNvPr id="42" name="Text Box 67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 txBox="1">
          <a:spLocks noChangeArrowheads="1"/>
        </xdr:cNvSpPr>
      </xdr:nvSpPr>
      <xdr:spPr bwMode="auto">
        <a:xfrm>
          <a:off x="21478875" y="1219200"/>
          <a:ext cx="223651" cy="151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項目</a:t>
          </a: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309562</xdr:colOff>
      <xdr:row>4</xdr:row>
      <xdr:rowOff>95250</xdr:rowOff>
    </xdr:from>
    <xdr:to>
      <xdr:col>37</xdr:col>
      <xdr:colOff>95250</xdr:colOff>
      <xdr:row>21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273845</xdr:colOff>
      <xdr:row>22</xdr:row>
      <xdr:rowOff>95250</xdr:rowOff>
    </xdr:from>
    <xdr:to>
      <xdr:col>37</xdr:col>
      <xdr:colOff>59533</xdr:colOff>
      <xdr:row>37</xdr:row>
      <xdr:rowOff>169068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357186</xdr:colOff>
      <xdr:row>2</xdr:row>
      <xdr:rowOff>123483</xdr:rowOff>
    </xdr:from>
    <xdr:to>
      <xdr:col>19</xdr:col>
      <xdr:colOff>13607</xdr:colOff>
      <xdr:row>21</xdr:row>
      <xdr:rowOff>181995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392905</xdr:colOff>
      <xdr:row>24</xdr:row>
      <xdr:rowOff>27383</xdr:rowOff>
    </xdr:from>
    <xdr:to>
      <xdr:col>19</xdr:col>
      <xdr:colOff>27213</xdr:colOff>
      <xdr:row>43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394607</xdr:colOff>
      <xdr:row>44</xdr:row>
      <xdr:rowOff>68036</xdr:rowOff>
    </xdr:from>
    <xdr:to>
      <xdr:col>19</xdr:col>
      <xdr:colOff>122464</xdr:colOff>
      <xdr:row>62</xdr:row>
      <xdr:rowOff>108858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13607</xdr:colOff>
      <xdr:row>2</xdr:row>
      <xdr:rowOff>176892</xdr:rowOff>
    </xdr:from>
    <xdr:to>
      <xdr:col>40</xdr:col>
      <xdr:colOff>231321</xdr:colOff>
      <xdr:row>30</xdr:row>
      <xdr:rowOff>81643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123825</xdr:rowOff>
    </xdr:from>
    <xdr:to>
      <xdr:col>17</xdr:col>
      <xdr:colOff>514350</xdr:colOff>
      <xdr:row>23</xdr:row>
      <xdr:rowOff>171449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314325</xdr:colOff>
      <xdr:row>25</xdr:row>
      <xdr:rowOff>66675</xdr:rowOff>
    </xdr:from>
    <xdr:to>
      <xdr:col>17</xdr:col>
      <xdr:colOff>571500</xdr:colOff>
      <xdr:row>48</xdr:row>
      <xdr:rowOff>114299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419100</xdr:colOff>
      <xdr:row>50</xdr:row>
      <xdr:rowOff>47625</xdr:rowOff>
    </xdr:from>
    <xdr:to>
      <xdr:col>18</xdr:col>
      <xdr:colOff>66675</xdr:colOff>
      <xdr:row>73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457200</xdr:colOff>
      <xdr:row>74</xdr:row>
      <xdr:rowOff>180975</xdr:rowOff>
    </xdr:from>
    <xdr:to>
      <xdr:col>18</xdr:col>
      <xdr:colOff>104775</xdr:colOff>
      <xdr:row>98</xdr:row>
      <xdr:rowOff>38099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100</xdr:row>
      <xdr:rowOff>0</xdr:rowOff>
    </xdr:from>
    <xdr:to>
      <xdr:col>18</xdr:col>
      <xdr:colOff>257175</xdr:colOff>
      <xdr:row>123</xdr:row>
      <xdr:rowOff>47624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125</xdr:row>
      <xdr:rowOff>0</xdr:rowOff>
    </xdr:from>
    <xdr:to>
      <xdr:col>18</xdr:col>
      <xdr:colOff>257175</xdr:colOff>
      <xdr:row>148</xdr:row>
      <xdr:rowOff>47624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18</xdr:col>
      <xdr:colOff>257175</xdr:colOff>
      <xdr:row>173</xdr:row>
      <xdr:rowOff>47624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18</xdr:col>
      <xdr:colOff>257175</xdr:colOff>
      <xdr:row>198</xdr:row>
      <xdr:rowOff>47624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200</xdr:row>
      <xdr:rowOff>0</xdr:rowOff>
    </xdr:from>
    <xdr:to>
      <xdr:col>18</xdr:col>
      <xdr:colOff>257175</xdr:colOff>
      <xdr:row>223</xdr:row>
      <xdr:rowOff>47624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190499</xdr:rowOff>
    </xdr:from>
    <xdr:to>
      <xdr:col>13</xdr:col>
      <xdr:colOff>266700</xdr:colOff>
      <xdr:row>24</xdr:row>
      <xdr:rowOff>161924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609599</xdr:colOff>
      <xdr:row>1</xdr:row>
      <xdr:rowOff>0</xdr:rowOff>
    </xdr:from>
    <xdr:to>
      <xdr:col>27</xdr:col>
      <xdr:colOff>85725</xdr:colOff>
      <xdr:row>24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26</xdr:row>
      <xdr:rowOff>95250</xdr:rowOff>
    </xdr:from>
    <xdr:to>
      <xdr:col>13</xdr:col>
      <xdr:colOff>247650</xdr:colOff>
      <xdr:row>50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27</xdr:row>
      <xdr:rowOff>1</xdr:rowOff>
    </xdr:from>
    <xdr:to>
      <xdr:col>27</xdr:col>
      <xdr:colOff>66675</xdr:colOff>
      <xdr:row>52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152400</xdr:colOff>
      <xdr:row>51</xdr:row>
      <xdr:rowOff>133350</xdr:rowOff>
    </xdr:from>
    <xdr:to>
      <xdr:col>13</xdr:col>
      <xdr:colOff>228600</xdr:colOff>
      <xdr:row>75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53</xdr:row>
      <xdr:rowOff>1</xdr:rowOff>
    </xdr:from>
    <xdr:to>
      <xdr:col>26</xdr:col>
      <xdr:colOff>276225</xdr:colOff>
      <xdr:row>76</xdr:row>
      <xdr:rowOff>171451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152400</xdr:colOff>
      <xdr:row>78</xdr:row>
      <xdr:rowOff>76200</xdr:rowOff>
    </xdr:from>
    <xdr:to>
      <xdr:col>13</xdr:col>
      <xdr:colOff>266700</xdr:colOff>
      <xdr:row>102</xdr:row>
      <xdr:rowOff>47625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79</xdr:row>
      <xdr:rowOff>1</xdr:rowOff>
    </xdr:from>
    <xdr:to>
      <xdr:col>25</xdr:col>
      <xdr:colOff>581025</xdr:colOff>
      <xdr:row>102</xdr:row>
      <xdr:rowOff>171451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190500</xdr:colOff>
      <xdr:row>104</xdr:row>
      <xdr:rowOff>38100</xdr:rowOff>
    </xdr:from>
    <xdr:to>
      <xdr:col>13</xdr:col>
      <xdr:colOff>228600</xdr:colOff>
      <xdr:row>128</xdr:row>
      <xdr:rowOff>9525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0</xdr:colOff>
      <xdr:row>105</xdr:row>
      <xdr:rowOff>1</xdr:rowOff>
    </xdr:from>
    <xdr:to>
      <xdr:col>25</xdr:col>
      <xdr:colOff>581025</xdr:colOff>
      <xdr:row>128</xdr:row>
      <xdr:rowOff>171451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200025</xdr:colOff>
      <xdr:row>130</xdr:row>
      <xdr:rowOff>0</xdr:rowOff>
    </xdr:from>
    <xdr:to>
      <xdr:col>13</xdr:col>
      <xdr:colOff>180975</xdr:colOff>
      <xdr:row>153</xdr:row>
      <xdr:rowOff>161925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130</xdr:row>
      <xdr:rowOff>1</xdr:rowOff>
    </xdr:from>
    <xdr:to>
      <xdr:col>25</xdr:col>
      <xdr:colOff>581025</xdr:colOff>
      <xdr:row>153</xdr:row>
      <xdr:rowOff>171451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155</xdr:row>
      <xdr:rowOff>47625</xdr:rowOff>
    </xdr:from>
    <xdr:to>
      <xdr:col>13</xdr:col>
      <xdr:colOff>152400</xdr:colOff>
      <xdr:row>179</xdr:row>
      <xdr:rowOff>19050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155</xdr:row>
      <xdr:rowOff>1</xdr:rowOff>
    </xdr:from>
    <xdr:to>
      <xdr:col>25</xdr:col>
      <xdr:colOff>581025</xdr:colOff>
      <xdr:row>178</xdr:row>
      <xdr:rowOff>171451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180975</xdr:colOff>
      <xdr:row>180</xdr:row>
      <xdr:rowOff>123825</xdr:rowOff>
    </xdr:from>
    <xdr:to>
      <xdr:col>13</xdr:col>
      <xdr:colOff>114300</xdr:colOff>
      <xdr:row>204</xdr:row>
      <xdr:rowOff>95250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304800</xdr:colOff>
      <xdr:row>207</xdr:row>
      <xdr:rowOff>76200</xdr:rowOff>
    </xdr:from>
    <xdr:to>
      <xdr:col>13</xdr:col>
      <xdr:colOff>152400</xdr:colOff>
      <xdr:row>231</xdr:row>
      <xdr:rowOff>47625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0</xdr:colOff>
      <xdr:row>207</xdr:row>
      <xdr:rowOff>1</xdr:rowOff>
    </xdr:from>
    <xdr:to>
      <xdr:col>25</xdr:col>
      <xdr:colOff>581025</xdr:colOff>
      <xdr:row>230</xdr:row>
      <xdr:rowOff>171451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257175</xdr:colOff>
      <xdr:row>233</xdr:row>
      <xdr:rowOff>180975</xdr:rowOff>
    </xdr:from>
    <xdr:to>
      <xdr:col>13</xdr:col>
      <xdr:colOff>247650</xdr:colOff>
      <xdr:row>257</xdr:row>
      <xdr:rowOff>152400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238125</xdr:colOff>
      <xdr:row>259</xdr:row>
      <xdr:rowOff>104775</xdr:rowOff>
    </xdr:from>
    <xdr:to>
      <xdr:col>13</xdr:col>
      <xdr:colOff>9525</xdr:colOff>
      <xdr:row>283</xdr:row>
      <xdr:rowOff>76200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14</xdr:col>
      <xdr:colOff>38100</xdr:colOff>
      <xdr:row>234</xdr:row>
      <xdr:rowOff>9525</xdr:rowOff>
    </xdr:from>
    <xdr:to>
      <xdr:col>26</xdr:col>
      <xdr:colOff>9525</xdr:colOff>
      <xdr:row>257</xdr:row>
      <xdr:rowOff>180975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14</xdr:col>
      <xdr:colOff>0</xdr:colOff>
      <xdr:row>260</xdr:row>
      <xdr:rowOff>0</xdr:rowOff>
    </xdr:from>
    <xdr:to>
      <xdr:col>25</xdr:col>
      <xdr:colOff>581025</xdr:colOff>
      <xdr:row>283</xdr:row>
      <xdr:rowOff>171450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762000</xdr:colOff>
      <xdr:row>180</xdr:row>
      <xdr:rowOff>171450</xdr:rowOff>
    </xdr:from>
    <xdr:to>
      <xdr:col>25</xdr:col>
      <xdr:colOff>542925</xdr:colOff>
      <xdr:row>204</xdr:row>
      <xdr:rowOff>152400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Q(Total)%20Dat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Q(Team%20A%20kumar.c)%20Dat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Q%20(Team%20Cbabu)%20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(Total) 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(Team A kumar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 (Team Cbabu) 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B1:AA179"/>
  <sheetViews>
    <sheetView zoomScaleSheetLayoutView="75" workbookViewId="0">
      <selection activeCell="O10" sqref="O10"/>
    </sheetView>
  </sheetViews>
  <sheetFormatPr defaultRowHeight="13.5"/>
  <cols>
    <col min="1" max="1" width="0.140625" style="19" customWidth="1"/>
    <col min="2" max="2" width="9.140625" style="19"/>
    <col min="3" max="3" width="10.7109375" style="19" bestFit="1" customWidth="1"/>
    <col min="4" max="4" width="9.42578125" style="19" customWidth="1"/>
    <col min="5" max="8" width="9.140625" style="19"/>
    <col min="9" max="9" width="13.28515625" style="19" customWidth="1"/>
    <col min="10" max="11" width="9.140625" style="19"/>
    <col min="12" max="12" width="6.140625" style="19" customWidth="1"/>
    <col min="13" max="13" width="7" style="19" customWidth="1"/>
    <col min="14" max="14" width="7.42578125" style="19" customWidth="1"/>
    <col min="15" max="15" width="8.140625" style="19" customWidth="1"/>
    <col min="16" max="16" width="6.28515625" style="19" customWidth="1"/>
    <col min="17" max="17" width="6.42578125" style="19" customWidth="1"/>
    <col min="18" max="18" width="7" style="19" customWidth="1"/>
    <col min="19" max="19" width="7.140625" style="19" customWidth="1"/>
    <col min="20" max="20" width="7" style="19" customWidth="1"/>
    <col min="21" max="21" width="9.140625" style="19"/>
    <col min="22" max="22" width="12.42578125" style="19" customWidth="1"/>
    <col min="23" max="24" width="9.140625" style="19"/>
    <col min="25" max="25" width="9.140625" style="19" customWidth="1"/>
    <col min="26" max="26" width="7.42578125" style="19" customWidth="1"/>
    <col min="27" max="27" width="6.5703125" style="19" customWidth="1"/>
    <col min="28" max="28" width="0.140625" style="19" customWidth="1"/>
    <col min="29" max="29" width="2.85546875" style="19" customWidth="1"/>
    <col min="30" max="256" width="9.140625" style="19"/>
    <col min="257" max="257" width="0.140625" style="19" customWidth="1"/>
    <col min="258" max="258" width="9.140625" style="19"/>
    <col min="259" max="259" width="10.7109375" style="19" bestFit="1" customWidth="1"/>
    <col min="260" max="260" width="9.42578125" style="19" customWidth="1"/>
    <col min="261" max="267" width="9.140625" style="19"/>
    <col min="268" max="268" width="6.140625" style="19" customWidth="1"/>
    <col min="269" max="269" width="7" style="19" customWidth="1"/>
    <col min="270" max="270" width="4" style="19" customWidth="1"/>
    <col min="271" max="271" width="8.140625" style="19" customWidth="1"/>
    <col min="272" max="272" width="6.28515625" style="19" customWidth="1"/>
    <col min="273" max="273" width="6.42578125" style="19" customWidth="1"/>
    <col min="274" max="274" width="7" style="19" customWidth="1"/>
    <col min="275" max="275" width="7.140625" style="19" customWidth="1"/>
    <col min="276" max="276" width="7" style="19" customWidth="1"/>
    <col min="277" max="277" width="9.140625" style="19"/>
    <col min="278" max="278" width="12.42578125" style="19" customWidth="1"/>
    <col min="279" max="280" width="9.140625" style="19"/>
    <col min="281" max="281" width="9.140625" style="19" customWidth="1"/>
    <col min="282" max="282" width="7.42578125" style="19" customWidth="1"/>
    <col min="283" max="283" width="6.5703125" style="19" customWidth="1"/>
    <col min="284" max="284" width="0.140625" style="19" customWidth="1"/>
    <col min="285" max="285" width="2.85546875" style="19" customWidth="1"/>
    <col min="286" max="512" width="9.140625" style="19"/>
    <col min="513" max="513" width="0.140625" style="19" customWidth="1"/>
    <col min="514" max="514" width="9.140625" style="19"/>
    <col min="515" max="515" width="10.7109375" style="19" bestFit="1" customWidth="1"/>
    <col min="516" max="516" width="9.42578125" style="19" customWidth="1"/>
    <col min="517" max="523" width="9.140625" style="19"/>
    <col min="524" max="524" width="6.140625" style="19" customWidth="1"/>
    <col min="525" max="525" width="7" style="19" customWidth="1"/>
    <col min="526" max="526" width="4" style="19" customWidth="1"/>
    <col min="527" max="527" width="8.140625" style="19" customWidth="1"/>
    <col min="528" max="528" width="6.28515625" style="19" customWidth="1"/>
    <col min="529" max="529" width="6.42578125" style="19" customWidth="1"/>
    <col min="530" max="530" width="7" style="19" customWidth="1"/>
    <col min="531" max="531" width="7.140625" style="19" customWidth="1"/>
    <col min="532" max="532" width="7" style="19" customWidth="1"/>
    <col min="533" max="533" width="9.140625" style="19"/>
    <col min="534" max="534" width="12.42578125" style="19" customWidth="1"/>
    <col min="535" max="536" width="9.140625" style="19"/>
    <col min="537" max="537" width="9.140625" style="19" customWidth="1"/>
    <col min="538" max="538" width="7.42578125" style="19" customWidth="1"/>
    <col min="539" max="539" width="6.5703125" style="19" customWidth="1"/>
    <col min="540" max="540" width="0.140625" style="19" customWidth="1"/>
    <col min="541" max="541" width="2.85546875" style="19" customWidth="1"/>
    <col min="542" max="768" width="9.140625" style="19"/>
    <col min="769" max="769" width="0.140625" style="19" customWidth="1"/>
    <col min="770" max="770" width="9.140625" style="19"/>
    <col min="771" max="771" width="10.7109375" style="19" bestFit="1" customWidth="1"/>
    <col min="772" max="772" width="9.42578125" style="19" customWidth="1"/>
    <col min="773" max="779" width="9.140625" style="19"/>
    <col min="780" max="780" width="6.140625" style="19" customWidth="1"/>
    <col min="781" max="781" width="7" style="19" customWidth="1"/>
    <col min="782" max="782" width="4" style="19" customWidth="1"/>
    <col min="783" max="783" width="8.140625" style="19" customWidth="1"/>
    <col min="784" max="784" width="6.28515625" style="19" customWidth="1"/>
    <col min="785" max="785" width="6.42578125" style="19" customWidth="1"/>
    <col min="786" max="786" width="7" style="19" customWidth="1"/>
    <col min="787" max="787" width="7.140625" style="19" customWidth="1"/>
    <col min="788" max="788" width="7" style="19" customWidth="1"/>
    <col min="789" max="789" width="9.140625" style="19"/>
    <col min="790" max="790" width="12.42578125" style="19" customWidth="1"/>
    <col min="791" max="792" width="9.140625" style="19"/>
    <col min="793" max="793" width="9.140625" style="19" customWidth="1"/>
    <col min="794" max="794" width="7.42578125" style="19" customWidth="1"/>
    <col min="795" max="795" width="6.5703125" style="19" customWidth="1"/>
    <col min="796" max="796" width="0.140625" style="19" customWidth="1"/>
    <col min="797" max="797" width="2.85546875" style="19" customWidth="1"/>
    <col min="798" max="1024" width="9.140625" style="19"/>
    <col min="1025" max="1025" width="0.140625" style="19" customWidth="1"/>
    <col min="1026" max="1026" width="9.140625" style="19"/>
    <col min="1027" max="1027" width="10.7109375" style="19" bestFit="1" customWidth="1"/>
    <col min="1028" max="1028" width="9.42578125" style="19" customWidth="1"/>
    <col min="1029" max="1035" width="9.140625" style="19"/>
    <col min="1036" max="1036" width="6.140625" style="19" customWidth="1"/>
    <col min="1037" max="1037" width="7" style="19" customWidth="1"/>
    <col min="1038" max="1038" width="4" style="19" customWidth="1"/>
    <col min="1039" max="1039" width="8.140625" style="19" customWidth="1"/>
    <col min="1040" max="1040" width="6.28515625" style="19" customWidth="1"/>
    <col min="1041" max="1041" width="6.42578125" style="19" customWidth="1"/>
    <col min="1042" max="1042" width="7" style="19" customWidth="1"/>
    <col min="1043" max="1043" width="7.140625" style="19" customWidth="1"/>
    <col min="1044" max="1044" width="7" style="19" customWidth="1"/>
    <col min="1045" max="1045" width="9.140625" style="19"/>
    <col min="1046" max="1046" width="12.42578125" style="19" customWidth="1"/>
    <col min="1047" max="1048" width="9.140625" style="19"/>
    <col min="1049" max="1049" width="9.140625" style="19" customWidth="1"/>
    <col min="1050" max="1050" width="7.42578125" style="19" customWidth="1"/>
    <col min="1051" max="1051" width="6.5703125" style="19" customWidth="1"/>
    <col min="1052" max="1052" width="0.140625" style="19" customWidth="1"/>
    <col min="1053" max="1053" width="2.85546875" style="19" customWidth="1"/>
    <col min="1054" max="1280" width="9.140625" style="19"/>
    <col min="1281" max="1281" width="0.140625" style="19" customWidth="1"/>
    <col min="1282" max="1282" width="9.140625" style="19"/>
    <col min="1283" max="1283" width="10.7109375" style="19" bestFit="1" customWidth="1"/>
    <col min="1284" max="1284" width="9.42578125" style="19" customWidth="1"/>
    <col min="1285" max="1291" width="9.140625" style="19"/>
    <col min="1292" max="1292" width="6.140625" style="19" customWidth="1"/>
    <col min="1293" max="1293" width="7" style="19" customWidth="1"/>
    <col min="1294" max="1294" width="4" style="19" customWidth="1"/>
    <col min="1295" max="1295" width="8.140625" style="19" customWidth="1"/>
    <col min="1296" max="1296" width="6.28515625" style="19" customWidth="1"/>
    <col min="1297" max="1297" width="6.42578125" style="19" customWidth="1"/>
    <col min="1298" max="1298" width="7" style="19" customWidth="1"/>
    <col min="1299" max="1299" width="7.140625" style="19" customWidth="1"/>
    <col min="1300" max="1300" width="7" style="19" customWidth="1"/>
    <col min="1301" max="1301" width="9.140625" style="19"/>
    <col min="1302" max="1302" width="12.42578125" style="19" customWidth="1"/>
    <col min="1303" max="1304" width="9.140625" style="19"/>
    <col min="1305" max="1305" width="9.140625" style="19" customWidth="1"/>
    <col min="1306" max="1306" width="7.42578125" style="19" customWidth="1"/>
    <col min="1307" max="1307" width="6.5703125" style="19" customWidth="1"/>
    <col min="1308" max="1308" width="0.140625" style="19" customWidth="1"/>
    <col min="1309" max="1309" width="2.85546875" style="19" customWidth="1"/>
    <col min="1310" max="1536" width="9.140625" style="19"/>
    <col min="1537" max="1537" width="0.140625" style="19" customWidth="1"/>
    <col min="1538" max="1538" width="9.140625" style="19"/>
    <col min="1539" max="1539" width="10.7109375" style="19" bestFit="1" customWidth="1"/>
    <col min="1540" max="1540" width="9.42578125" style="19" customWidth="1"/>
    <col min="1541" max="1547" width="9.140625" style="19"/>
    <col min="1548" max="1548" width="6.140625" style="19" customWidth="1"/>
    <col min="1549" max="1549" width="7" style="19" customWidth="1"/>
    <col min="1550" max="1550" width="4" style="19" customWidth="1"/>
    <col min="1551" max="1551" width="8.140625" style="19" customWidth="1"/>
    <col min="1552" max="1552" width="6.28515625" style="19" customWidth="1"/>
    <col min="1553" max="1553" width="6.42578125" style="19" customWidth="1"/>
    <col min="1554" max="1554" width="7" style="19" customWidth="1"/>
    <col min="1555" max="1555" width="7.140625" style="19" customWidth="1"/>
    <col min="1556" max="1556" width="7" style="19" customWidth="1"/>
    <col min="1557" max="1557" width="9.140625" style="19"/>
    <col min="1558" max="1558" width="12.42578125" style="19" customWidth="1"/>
    <col min="1559" max="1560" width="9.140625" style="19"/>
    <col min="1561" max="1561" width="9.140625" style="19" customWidth="1"/>
    <col min="1562" max="1562" width="7.42578125" style="19" customWidth="1"/>
    <col min="1563" max="1563" width="6.5703125" style="19" customWidth="1"/>
    <col min="1564" max="1564" width="0.140625" style="19" customWidth="1"/>
    <col min="1565" max="1565" width="2.85546875" style="19" customWidth="1"/>
    <col min="1566" max="1792" width="9.140625" style="19"/>
    <col min="1793" max="1793" width="0.140625" style="19" customWidth="1"/>
    <col min="1794" max="1794" width="9.140625" style="19"/>
    <col min="1795" max="1795" width="10.7109375" style="19" bestFit="1" customWidth="1"/>
    <col min="1796" max="1796" width="9.42578125" style="19" customWidth="1"/>
    <col min="1797" max="1803" width="9.140625" style="19"/>
    <col min="1804" max="1804" width="6.140625" style="19" customWidth="1"/>
    <col min="1805" max="1805" width="7" style="19" customWidth="1"/>
    <col min="1806" max="1806" width="4" style="19" customWidth="1"/>
    <col min="1807" max="1807" width="8.140625" style="19" customWidth="1"/>
    <col min="1808" max="1808" width="6.28515625" style="19" customWidth="1"/>
    <col min="1809" max="1809" width="6.42578125" style="19" customWidth="1"/>
    <col min="1810" max="1810" width="7" style="19" customWidth="1"/>
    <col min="1811" max="1811" width="7.140625" style="19" customWidth="1"/>
    <col min="1812" max="1812" width="7" style="19" customWidth="1"/>
    <col min="1813" max="1813" width="9.140625" style="19"/>
    <col min="1814" max="1814" width="12.42578125" style="19" customWidth="1"/>
    <col min="1815" max="1816" width="9.140625" style="19"/>
    <col min="1817" max="1817" width="9.140625" style="19" customWidth="1"/>
    <col min="1818" max="1818" width="7.42578125" style="19" customWidth="1"/>
    <col min="1819" max="1819" width="6.5703125" style="19" customWidth="1"/>
    <col min="1820" max="1820" width="0.140625" style="19" customWidth="1"/>
    <col min="1821" max="1821" width="2.85546875" style="19" customWidth="1"/>
    <col min="1822" max="2048" width="9.140625" style="19"/>
    <col min="2049" max="2049" width="0.140625" style="19" customWidth="1"/>
    <col min="2050" max="2050" width="9.140625" style="19"/>
    <col min="2051" max="2051" width="10.7109375" style="19" bestFit="1" customWidth="1"/>
    <col min="2052" max="2052" width="9.42578125" style="19" customWidth="1"/>
    <col min="2053" max="2059" width="9.140625" style="19"/>
    <col min="2060" max="2060" width="6.140625" style="19" customWidth="1"/>
    <col min="2061" max="2061" width="7" style="19" customWidth="1"/>
    <col min="2062" max="2062" width="4" style="19" customWidth="1"/>
    <col min="2063" max="2063" width="8.140625" style="19" customWidth="1"/>
    <col min="2064" max="2064" width="6.28515625" style="19" customWidth="1"/>
    <col min="2065" max="2065" width="6.42578125" style="19" customWidth="1"/>
    <col min="2066" max="2066" width="7" style="19" customWidth="1"/>
    <col min="2067" max="2067" width="7.140625" style="19" customWidth="1"/>
    <col min="2068" max="2068" width="7" style="19" customWidth="1"/>
    <col min="2069" max="2069" width="9.140625" style="19"/>
    <col min="2070" max="2070" width="12.42578125" style="19" customWidth="1"/>
    <col min="2071" max="2072" width="9.140625" style="19"/>
    <col min="2073" max="2073" width="9.140625" style="19" customWidth="1"/>
    <col min="2074" max="2074" width="7.42578125" style="19" customWidth="1"/>
    <col min="2075" max="2075" width="6.5703125" style="19" customWidth="1"/>
    <col min="2076" max="2076" width="0.140625" style="19" customWidth="1"/>
    <col min="2077" max="2077" width="2.85546875" style="19" customWidth="1"/>
    <col min="2078" max="2304" width="9.140625" style="19"/>
    <col min="2305" max="2305" width="0.140625" style="19" customWidth="1"/>
    <col min="2306" max="2306" width="9.140625" style="19"/>
    <col min="2307" max="2307" width="10.7109375" style="19" bestFit="1" customWidth="1"/>
    <col min="2308" max="2308" width="9.42578125" style="19" customWidth="1"/>
    <col min="2309" max="2315" width="9.140625" style="19"/>
    <col min="2316" max="2316" width="6.140625" style="19" customWidth="1"/>
    <col min="2317" max="2317" width="7" style="19" customWidth="1"/>
    <col min="2318" max="2318" width="4" style="19" customWidth="1"/>
    <col min="2319" max="2319" width="8.140625" style="19" customWidth="1"/>
    <col min="2320" max="2320" width="6.28515625" style="19" customWidth="1"/>
    <col min="2321" max="2321" width="6.42578125" style="19" customWidth="1"/>
    <col min="2322" max="2322" width="7" style="19" customWidth="1"/>
    <col min="2323" max="2323" width="7.140625" style="19" customWidth="1"/>
    <col min="2324" max="2324" width="7" style="19" customWidth="1"/>
    <col min="2325" max="2325" width="9.140625" style="19"/>
    <col min="2326" max="2326" width="12.42578125" style="19" customWidth="1"/>
    <col min="2327" max="2328" width="9.140625" style="19"/>
    <col min="2329" max="2329" width="9.140625" style="19" customWidth="1"/>
    <col min="2330" max="2330" width="7.42578125" style="19" customWidth="1"/>
    <col min="2331" max="2331" width="6.5703125" style="19" customWidth="1"/>
    <col min="2332" max="2332" width="0.140625" style="19" customWidth="1"/>
    <col min="2333" max="2333" width="2.85546875" style="19" customWidth="1"/>
    <col min="2334" max="2560" width="9.140625" style="19"/>
    <col min="2561" max="2561" width="0.140625" style="19" customWidth="1"/>
    <col min="2562" max="2562" width="9.140625" style="19"/>
    <col min="2563" max="2563" width="10.7109375" style="19" bestFit="1" customWidth="1"/>
    <col min="2564" max="2564" width="9.42578125" style="19" customWidth="1"/>
    <col min="2565" max="2571" width="9.140625" style="19"/>
    <col min="2572" max="2572" width="6.140625" style="19" customWidth="1"/>
    <col min="2573" max="2573" width="7" style="19" customWidth="1"/>
    <col min="2574" max="2574" width="4" style="19" customWidth="1"/>
    <col min="2575" max="2575" width="8.140625" style="19" customWidth="1"/>
    <col min="2576" max="2576" width="6.28515625" style="19" customWidth="1"/>
    <col min="2577" max="2577" width="6.42578125" style="19" customWidth="1"/>
    <col min="2578" max="2578" width="7" style="19" customWidth="1"/>
    <col min="2579" max="2579" width="7.140625" style="19" customWidth="1"/>
    <col min="2580" max="2580" width="7" style="19" customWidth="1"/>
    <col min="2581" max="2581" width="9.140625" style="19"/>
    <col min="2582" max="2582" width="12.42578125" style="19" customWidth="1"/>
    <col min="2583" max="2584" width="9.140625" style="19"/>
    <col min="2585" max="2585" width="9.140625" style="19" customWidth="1"/>
    <col min="2586" max="2586" width="7.42578125" style="19" customWidth="1"/>
    <col min="2587" max="2587" width="6.5703125" style="19" customWidth="1"/>
    <col min="2588" max="2588" width="0.140625" style="19" customWidth="1"/>
    <col min="2589" max="2589" width="2.85546875" style="19" customWidth="1"/>
    <col min="2590" max="2816" width="9.140625" style="19"/>
    <col min="2817" max="2817" width="0.140625" style="19" customWidth="1"/>
    <col min="2818" max="2818" width="9.140625" style="19"/>
    <col min="2819" max="2819" width="10.7109375" style="19" bestFit="1" customWidth="1"/>
    <col min="2820" max="2820" width="9.42578125" style="19" customWidth="1"/>
    <col min="2821" max="2827" width="9.140625" style="19"/>
    <col min="2828" max="2828" width="6.140625" style="19" customWidth="1"/>
    <col min="2829" max="2829" width="7" style="19" customWidth="1"/>
    <col min="2830" max="2830" width="4" style="19" customWidth="1"/>
    <col min="2831" max="2831" width="8.140625" style="19" customWidth="1"/>
    <col min="2832" max="2832" width="6.28515625" style="19" customWidth="1"/>
    <col min="2833" max="2833" width="6.42578125" style="19" customWidth="1"/>
    <col min="2834" max="2834" width="7" style="19" customWidth="1"/>
    <col min="2835" max="2835" width="7.140625" style="19" customWidth="1"/>
    <col min="2836" max="2836" width="7" style="19" customWidth="1"/>
    <col min="2837" max="2837" width="9.140625" style="19"/>
    <col min="2838" max="2838" width="12.42578125" style="19" customWidth="1"/>
    <col min="2839" max="2840" width="9.140625" style="19"/>
    <col min="2841" max="2841" width="9.140625" style="19" customWidth="1"/>
    <col min="2842" max="2842" width="7.42578125" style="19" customWidth="1"/>
    <col min="2843" max="2843" width="6.5703125" style="19" customWidth="1"/>
    <col min="2844" max="2844" width="0.140625" style="19" customWidth="1"/>
    <col min="2845" max="2845" width="2.85546875" style="19" customWidth="1"/>
    <col min="2846" max="3072" width="9.140625" style="19"/>
    <col min="3073" max="3073" width="0.140625" style="19" customWidth="1"/>
    <col min="3074" max="3074" width="9.140625" style="19"/>
    <col min="3075" max="3075" width="10.7109375" style="19" bestFit="1" customWidth="1"/>
    <col min="3076" max="3076" width="9.42578125" style="19" customWidth="1"/>
    <col min="3077" max="3083" width="9.140625" style="19"/>
    <col min="3084" max="3084" width="6.140625" style="19" customWidth="1"/>
    <col min="3085" max="3085" width="7" style="19" customWidth="1"/>
    <col min="3086" max="3086" width="4" style="19" customWidth="1"/>
    <col min="3087" max="3087" width="8.140625" style="19" customWidth="1"/>
    <col min="3088" max="3088" width="6.28515625" style="19" customWidth="1"/>
    <col min="3089" max="3089" width="6.42578125" style="19" customWidth="1"/>
    <col min="3090" max="3090" width="7" style="19" customWidth="1"/>
    <col min="3091" max="3091" width="7.140625" style="19" customWidth="1"/>
    <col min="3092" max="3092" width="7" style="19" customWidth="1"/>
    <col min="3093" max="3093" width="9.140625" style="19"/>
    <col min="3094" max="3094" width="12.42578125" style="19" customWidth="1"/>
    <col min="3095" max="3096" width="9.140625" style="19"/>
    <col min="3097" max="3097" width="9.140625" style="19" customWidth="1"/>
    <col min="3098" max="3098" width="7.42578125" style="19" customWidth="1"/>
    <col min="3099" max="3099" width="6.5703125" style="19" customWidth="1"/>
    <col min="3100" max="3100" width="0.140625" style="19" customWidth="1"/>
    <col min="3101" max="3101" width="2.85546875" style="19" customWidth="1"/>
    <col min="3102" max="3328" width="9.140625" style="19"/>
    <col min="3329" max="3329" width="0.140625" style="19" customWidth="1"/>
    <col min="3330" max="3330" width="9.140625" style="19"/>
    <col min="3331" max="3331" width="10.7109375" style="19" bestFit="1" customWidth="1"/>
    <col min="3332" max="3332" width="9.42578125" style="19" customWidth="1"/>
    <col min="3333" max="3339" width="9.140625" style="19"/>
    <col min="3340" max="3340" width="6.140625" style="19" customWidth="1"/>
    <col min="3341" max="3341" width="7" style="19" customWidth="1"/>
    <col min="3342" max="3342" width="4" style="19" customWidth="1"/>
    <col min="3343" max="3343" width="8.140625" style="19" customWidth="1"/>
    <col min="3344" max="3344" width="6.28515625" style="19" customWidth="1"/>
    <col min="3345" max="3345" width="6.42578125" style="19" customWidth="1"/>
    <col min="3346" max="3346" width="7" style="19" customWidth="1"/>
    <col min="3347" max="3347" width="7.140625" style="19" customWidth="1"/>
    <col min="3348" max="3348" width="7" style="19" customWidth="1"/>
    <col min="3349" max="3349" width="9.140625" style="19"/>
    <col min="3350" max="3350" width="12.42578125" style="19" customWidth="1"/>
    <col min="3351" max="3352" width="9.140625" style="19"/>
    <col min="3353" max="3353" width="9.140625" style="19" customWidth="1"/>
    <col min="3354" max="3354" width="7.42578125" style="19" customWidth="1"/>
    <col min="3355" max="3355" width="6.5703125" style="19" customWidth="1"/>
    <col min="3356" max="3356" width="0.140625" style="19" customWidth="1"/>
    <col min="3357" max="3357" width="2.85546875" style="19" customWidth="1"/>
    <col min="3358" max="3584" width="9.140625" style="19"/>
    <col min="3585" max="3585" width="0.140625" style="19" customWidth="1"/>
    <col min="3586" max="3586" width="9.140625" style="19"/>
    <col min="3587" max="3587" width="10.7109375" style="19" bestFit="1" customWidth="1"/>
    <col min="3588" max="3588" width="9.42578125" style="19" customWidth="1"/>
    <col min="3589" max="3595" width="9.140625" style="19"/>
    <col min="3596" max="3596" width="6.140625" style="19" customWidth="1"/>
    <col min="3597" max="3597" width="7" style="19" customWidth="1"/>
    <col min="3598" max="3598" width="4" style="19" customWidth="1"/>
    <col min="3599" max="3599" width="8.140625" style="19" customWidth="1"/>
    <col min="3600" max="3600" width="6.28515625" style="19" customWidth="1"/>
    <col min="3601" max="3601" width="6.42578125" style="19" customWidth="1"/>
    <col min="3602" max="3602" width="7" style="19" customWidth="1"/>
    <col min="3603" max="3603" width="7.140625" style="19" customWidth="1"/>
    <col min="3604" max="3604" width="7" style="19" customWidth="1"/>
    <col min="3605" max="3605" width="9.140625" style="19"/>
    <col min="3606" max="3606" width="12.42578125" style="19" customWidth="1"/>
    <col min="3607" max="3608" width="9.140625" style="19"/>
    <col min="3609" max="3609" width="9.140625" style="19" customWidth="1"/>
    <col min="3610" max="3610" width="7.42578125" style="19" customWidth="1"/>
    <col min="3611" max="3611" width="6.5703125" style="19" customWidth="1"/>
    <col min="3612" max="3612" width="0.140625" style="19" customWidth="1"/>
    <col min="3613" max="3613" width="2.85546875" style="19" customWidth="1"/>
    <col min="3614" max="3840" width="9.140625" style="19"/>
    <col min="3841" max="3841" width="0.140625" style="19" customWidth="1"/>
    <col min="3842" max="3842" width="9.140625" style="19"/>
    <col min="3843" max="3843" width="10.7109375" style="19" bestFit="1" customWidth="1"/>
    <col min="3844" max="3844" width="9.42578125" style="19" customWidth="1"/>
    <col min="3845" max="3851" width="9.140625" style="19"/>
    <col min="3852" max="3852" width="6.140625" style="19" customWidth="1"/>
    <col min="3853" max="3853" width="7" style="19" customWidth="1"/>
    <col min="3854" max="3854" width="4" style="19" customWidth="1"/>
    <col min="3855" max="3855" width="8.140625" style="19" customWidth="1"/>
    <col min="3856" max="3856" width="6.28515625" style="19" customWidth="1"/>
    <col min="3857" max="3857" width="6.42578125" style="19" customWidth="1"/>
    <col min="3858" max="3858" width="7" style="19" customWidth="1"/>
    <col min="3859" max="3859" width="7.140625" style="19" customWidth="1"/>
    <col min="3860" max="3860" width="7" style="19" customWidth="1"/>
    <col min="3861" max="3861" width="9.140625" style="19"/>
    <col min="3862" max="3862" width="12.42578125" style="19" customWidth="1"/>
    <col min="3863" max="3864" width="9.140625" style="19"/>
    <col min="3865" max="3865" width="9.140625" style="19" customWidth="1"/>
    <col min="3866" max="3866" width="7.42578125" style="19" customWidth="1"/>
    <col min="3867" max="3867" width="6.5703125" style="19" customWidth="1"/>
    <col min="3868" max="3868" width="0.140625" style="19" customWidth="1"/>
    <col min="3869" max="3869" width="2.85546875" style="19" customWidth="1"/>
    <col min="3870" max="4096" width="9.140625" style="19"/>
    <col min="4097" max="4097" width="0.140625" style="19" customWidth="1"/>
    <col min="4098" max="4098" width="9.140625" style="19"/>
    <col min="4099" max="4099" width="10.7109375" style="19" bestFit="1" customWidth="1"/>
    <col min="4100" max="4100" width="9.42578125" style="19" customWidth="1"/>
    <col min="4101" max="4107" width="9.140625" style="19"/>
    <col min="4108" max="4108" width="6.140625" style="19" customWidth="1"/>
    <col min="4109" max="4109" width="7" style="19" customWidth="1"/>
    <col min="4110" max="4110" width="4" style="19" customWidth="1"/>
    <col min="4111" max="4111" width="8.140625" style="19" customWidth="1"/>
    <col min="4112" max="4112" width="6.28515625" style="19" customWidth="1"/>
    <col min="4113" max="4113" width="6.42578125" style="19" customWidth="1"/>
    <col min="4114" max="4114" width="7" style="19" customWidth="1"/>
    <col min="4115" max="4115" width="7.140625" style="19" customWidth="1"/>
    <col min="4116" max="4116" width="7" style="19" customWidth="1"/>
    <col min="4117" max="4117" width="9.140625" style="19"/>
    <col min="4118" max="4118" width="12.42578125" style="19" customWidth="1"/>
    <col min="4119" max="4120" width="9.140625" style="19"/>
    <col min="4121" max="4121" width="9.140625" style="19" customWidth="1"/>
    <col min="4122" max="4122" width="7.42578125" style="19" customWidth="1"/>
    <col min="4123" max="4123" width="6.5703125" style="19" customWidth="1"/>
    <col min="4124" max="4124" width="0.140625" style="19" customWidth="1"/>
    <col min="4125" max="4125" width="2.85546875" style="19" customWidth="1"/>
    <col min="4126" max="4352" width="9.140625" style="19"/>
    <col min="4353" max="4353" width="0.140625" style="19" customWidth="1"/>
    <col min="4354" max="4354" width="9.140625" style="19"/>
    <col min="4355" max="4355" width="10.7109375" style="19" bestFit="1" customWidth="1"/>
    <col min="4356" max="4356" width="9.42578125" style="19" customWidth="1"/>
    <col min="4357" max="4363" width="9.140625" style="19"/>
    <col min="4364" max="4364" width="6.140625" style="19" customWidth="1"/>
    <col min="4365" max="4365" width="7" style="19" customWidth="1"/>
    <col min="4366" max="4366" width="4" style="19" customWidth="1"/>
    <col min="4367" max="4367" width="8.140625" style="19" customWidth="1"/>
    <col min="4368" max="4368" width="6.28515625" style="19" customWidth="1"/>
    <col min="4369" max="4369" width="6.42578125" style="19" customWidth="1"/>
    <col min="4370" max="4370" width="7" style="19" customWidth="1"/>
    <col min="4371" max="4371" width="7.140625" style="19" customWidth="1"/>
    <col min="4372" max="4372" width="7" style="19" customWidth="1"/>
    <col min="4373" max="4373" width="9.140625" style="19"/>
    <col min="4374" max="4374" width="12.42578125" style="19" customWidth="1"/>
    <col min="4375" max="4376" width="9.140625" style="19"/>
    <col min="4377" max="4377" width="9.140625" style="19" customWidth="1"/>
    <col min="4378" max="4378" width="7.42578125" style="19" customWidth="1"/>
    <col min="4379" max="4379" width="6.5703125" style="19" customWidth="1"/>
    <col min="4380" max="4380" width="0.140625" style="19" customWidth="1"/>
    <col min="4381" max="4381" width="2.85546875" style="19" customWidth="1"/>
    <col min="4382" max="4608" width="9.140625" style="19"/>
    <col min="4609" max="4609" width="0.140625" style="19" customWidth="1"/>
    <col min="4610" max="4610" width="9.140625" style="19"/>
    <col min="4611" max="4611" width="10.7109375" style="19" bestFit="1" customWidth="1"/>
    <col min="4612" max="4612" width="9.42578125" style="19" customWidth="1"/>
    <col min="4613" max="4619" width="9.140625" style="19"/>
    <col min="4620" max="4620" width="6.140625" style="19" customWidth="1"/>
    <col min="4621" max="4621" width="7" style="19" customWidth="1"/>
    <col min="4622" max="4622" width="4" style="19" customWidth="1"/>
    <col min="4623" max="4623" width="8.140625" style="19" customWidth="1"/>
    <col min="4624" max="4624" width="6.28515625" style="19" customWidth="1"/>
    <col min="4625" max="4625" width="6.42578125" style="19" customWidth="1"/>
    <col min="4626" max="4626" width="7" style="19" customWidth="1"/>
    <col min="4627" max="4627" width="7.140625" style="19" customWidth="1"/>
    <col min="4628" max="4628" width="7" style="19" customWidth="1"/>
    <col min="4629" max="4629" width="9.140625" style="19"/>
    <col min="4630" max="4630" width="12.42578125" style="19" customWidth="1"/>
    <col min="4631" max="4632" width="9.140625" style="19"/>
    <col min="4633" max="4633" width="9.140625" style="19" customWidth="1"/>
    <col min="4634" max="4634" width="7.42578125" style="19" customWidth="1"/>
    <col min="4635" max="4635" width="6.5703125" style="19" customWidth="1"/>
    <col min="4636" max="4636" width="0.140625" style="19" customWidth="1"/>
    <col min="4637" max="4637" width="2.85546875" style="19" customWidth="1"/>
    <col min="4638" max="4864" width="9.140625" style="19"/>
    <col min="4865" max="4865" width="0.140625" style="19" customWidth="1"/>
    <col min="4866" max="4866" width="9.140625" style="19"/>
    <col min="4867" max="4867" width="10.7109375" style="19" bestFit="1" customWidth="1"/>
    <col min="4868" max="4868" width="9.42578125" style="19" customWidth="1"/>
    <col min="4869" max="4875" width="9.140625" style="19"/>
    <col min="4876" max="4876" width="6.140625" style="19" customWidth="1"/>
    <col min="4877" max="4877" width="7" style="19" customWidth="1"/>
    <col min="4878" max="4878" width="4" style="19" customWidth="1"/>
    <col min="4879" max="4879" width="8.140625" style="19" customWidth="1"/>
    <col min="4880" max="4880" width="6.28515625" style="19" customWidth="1"/>
    <col min="4881" max="4881" width="6.42578125" style="19" customWidth="1"/>
    <col min="4882" max="4882" width="7" style="19" customWidth="1"/>
    <col min="4883" max="4883" width="7.140625" style="19" customWidth="1"/>
    <col min="4884" max="4884" width="7" style="19" customWidth="1"/>
    <col min="4885" max="4885" width="9.140625" style="19"/>
    <col min="4886" max="4886" width="12.42578125" style="19" customWidth="1"/>
    <col min="4887" max="4888" width="9.140625" style="19"/>
    <col min="4889" max="4889" width="9.140625" style="19" customWidth="1"/>
    <col min="4890" max="4890" width="7.42578125" style="19" customWidth="1"/>
    <col min="4891" max="4891" width="6.5703125" style="19" customWidth="1"/>
    <col min="4892" max="4892" width="0.140625" style="19" customWidth="1"/>
    <col min="4893" max="4893" width="2.85546875" style="19" customWidth="1"/>
    <col min="4894" max="5120" width="9.140625" style="19"/>
    <col min="5121" max="5121" width="0.140625" style="19" customWidth="1"/>
    <col min="5122" max="5122" width="9.140625" style="19"/>
    <col min="5123" max="5123" width="10.7109375" style="19" bestFit="1" customWidth="1"/>
    <col min="5124" max="5124" width="9.42578125" style="19" customWidth="1"/>
    <col min="5125" max="5131" width="9.140625" style="19"/>
    <col min="5132" max="5132" width="6.140625" style="19" customWidth="1"/>
    <col min="5133" max="5133" width="7" style="19" customWidth="1"/>
    <col min="5134" max="5134" width="4" style="19" customWidth="1"/>
    <col min="5135" max="5135" width="8.140625" style="19" customWidth="1"/>
    <col min="5136" max="5136" width="6.28515625" style="19" customWidth="1"/>
    <col min="5137" max="5137" width="6.42578125" style="19" customWidth="1"/>
    <col min="5138" max="5138" width="7" style="19" customWidth="1"/>
    <col min="5139" max="5139" width="7.140625" style="19" customWidth="1"/>
    <col min="5140" max="5140" width="7" style="19" customWidth="1"/>
    <col min="5141" max="5141" width="9.140625" style="19"/>
    <col min="5142" max="5142" width="12.42578125" style="19" customWidth="1"/>
    <col min="5143" max="5144" width="9.140625" style="19"/>
    <col min="5145" max="5145" width="9.140625" style="19" customWidth="1"/>
    <col min="5146" max="5146" width="7.42578125" style="19" customWidth="1"/>
    <col min="5147" max="5147" width="6.5703125" style="19" customWidth="1"/>
    <col min="5148" max="5148" width="0.140625" style="19" customWidth="1"/>
    <col min="5149" max="5149" width="2.85546875" style="19" customWidth="1"/>
    <col min="5150" max="5376" width="9.140625" style="19"/>
    <col min="5377" max="5377" width="0.140625" style="19" customWidth="1"/>
    <col min="5378" max="5378" width="9.140625" style="19"/>
    <col min="5379" max="5379" width="10.7109375" style="19" bestFit="1" customWidth="1"/>
    <col min="5380" max="5380" width="9.42578125" style="19" customWidth="1"/>
    <col min="5381" max="5387" width="9.140625" style="19"/>
    <col min="5388" max="5388" width="6.140625" style="19" customWidth="1"/>
    <col min="5389" max="5389" width="7" style="19" customWidth="1"/>
    <col min="5390" max="5390" width="4" style="19" customWidth="1"/>
    <col min="5391" max="5391" width="8.140625" style="19" customWidth="1"/>
    <col min="5392" max="5392" width="6.28515625" style="19" customWidth="1"/>
    <col min="5393" max="5393" width="6.42578125" style="19" customWidth="1"/>
    <col min="5394" max="5394" width="7" style="19" customWidth="1"/>
    <col min="5395" max="5395" width="7.140625" style="19" customWidth="1"/>
    <col min="5396" max="5396" width="7" style="19" customWidth="1"/>
    <col min="5397" max="5397" width="9.140625" style="19"/>
    <col min="5398" max="5398" width="12.42578125" style="19" customWidth="1"/>
    <col min="5399" max="5400" width="9.140625" style="19"/>
    <col min="5401" max="5401" width="9.140625" style="19" customWidth="1"/>
    <col min="5402" max="5402" width="7.42578125" style="19" customWidth="1"/>
    <col min="5403" max="5403" width="6.5703125" style="19" customWidth="1"/>
    <col min="5404" max="5404" width="0.140625" style="19" customWidth="1"/>
    <col min="5405" max="5405" width="2.85546875" style="19" customWidth="1"/>
    <col min="5406" max="5632" width="9.140625" style="19"/>
    <col min="5633" max="5633" width="0.140625" style="19" customWidth="1"/>
    <col min="5634" max="5634" width="9.140625" style="19"/>
    <col min="5635" max="5635" width="10.7109375" style="19" bestFit="1" customWidth="1"/>
    <col min="5636" max="5636" width="9.42578125" style="19" customWidth="1"/>
    <col min="5637" max="5643" width="9.140625" style="19"/>
    <col min="5644" max="5644" width="6.140625" style="19" customWidth="1"/>
    <col min="5645" max="5645" width="7" style="19" customWidth="1"/>
    <col min="5646" max="5646" width="4" style="19" customWidth="1"/>
    <col min="5647" max="5647" width="8.140625" style="19" customWidth="1"/>
    <col min="5648" max="5648" width="6.28515625" style="19" customWidth="1"/>
    <col min="5649" max="5649" width="6.42578125" style="19" customWidth="1"/>
    <col min="5650" max="5650" width="7" style="19" customWidth="1"/>
    <col min="5651" max="5651" width="7.140625" style="19" customWidth="1"/>
    <col min="5652" max="5652" width="7" style="19" customWidth="1"/>
    <col min="5653" max="5653" width="9.140625" style="19"/>
    <col min="5654" max="5654" width="12.42578125" style="19" customWidth="1"/>
    <col min="5655" max="5656" width="9.140625" style="19"/>
    <col min="5657" max="5657" width="9.140625" style="19" customWidth="1"/>
    <col min="5658" max="5658" width="7.42578125" style="19" customWidth="1"/>
    <col min="5659" max="5659" width="6.5703125" style="19" customWidth="1"/>
    <col min="5660" max="5660" width="0.140625" style="19" customWidth="1"/>
    <col min="5661" max="5661" width="2.85546875" style="19" customWidth="1"/>
    <col min="5662" max="5888" width="9.140625" style="19"/>
    <col min="5889" max="5889" width="0.140625" style="19" customWidth="1"/>
    <col min="5890" max="5890" width="9.140625" style="19"/>
    <col min="5891" max="5891" width="10.7109375" style="19" bestFit="1" customWidth="1"/>
    <col min="5892" max="5892" width="9.42578125" style="19" customWidth="1"/>
    <col min="5893" max="5899" width="9.140625" style="19"/>
    <col min="5900" max="5900" width="6.140625" style="19" customWidth="1"/>
    <col min="5901" max="5901" width="7" style="19" customWidth="1"/>
    <col min="5902" max="5902" width="4" style="19" customWidth="1"/>
    <col min="5903" max="5903" width="8.140625" style="19" customWidth="1"/>
    <col min="5904" max="5904" width="6.28515625" style="19" customWidth="1"/>
    <col min="5905" max="5905" width="6.42578125" style="19" customWidth="1"/>
    <col min="5906" max="5906" width="7" style="19" customWidth="1"/>
    <col min="5907" max="5907" width="7.140625" style="19" customWidth="1"/>
    <col min="5908" max="5908" width="7" style="19" customWidth="1"/>
    <col min="5909" max="5909" width="9.140625" style="19"/>
    <col min="5910" max="5910" width="12.42578125" style="19" customWidth="1"/>
    <col min="5911" max="5912" width="9.140625" style="19"/>
    <col min="5913" max="5913" width="9.140625" style="19" customWidth="1"/>
    <col min="5914" max="5914" width="7.42578125" style="19" customWidth="1"/>
    <col min="5915" max="5915" width="6.5703125" style="19" customWidth="1"/>
    <col min="5916" max="5916" width="0.140625" style="19" customWidth="1"/>
    <col min="5917" max="5917" width="2.85546875" style="19" customWidth="1"/>
    <col min="5918" max="6144" width="9.140625" style="19"/>
    <col min="6145" max="6145" width="0.140625" style="19" customWidth="1"/>
    <col min="6146" max="6146" width="9.140625" style="19"/>
    <col min="6147" max="6147" width="10.7109375" style="19" bestFit="1" customWidth="1"/>
    <col min="6148" max="6148" width="9.42578125" style="19" customWidth="1"/>
    <col min="6149" max="6155" width="9.140625" style="19"/>
    <col min="6156" max="6156" width="6.140625" style="19" customWidth="1"/>
    <col min="6157" max="6157" width="7" style="19" customWidth="1"/>
    <col min="6158" max="6158" width="4" style="19" customWidth="1"/>
    <col min="6159" max="6159" width="8.140625" style="19" customWidth="1"/>
    <col min="6160" max="6160" width="6.28515625" style="19" customWidth="1"/>
    <col min="6161" max="6161" width="6.42578125" style="19" customWidth="1"/>
    <col min="6162" max="6162" width="7" style="19" customWidth="1"/>
    <col min="6163" max="6163" width="7.140625" style="19" customWidth="1"/>
    <col min="6164" max="6164" width="7" style="19" customWidth="1"/>
    <col min="6165" max="6165" width="9.140625" style="19"/>
    <col min="6166" max="6166" width="12.42578125" style="19" customWidth="1"/>
    <col min="6167" max="6168" width="9.140625" style="19"/>
    <col min="6169" max="6169" width="9.140625" style="19" customWidth="1"/>
    <col min="6170" max="6170" width="7.42578125" style="19" customWidth="1"/>
    <col min="6171" max="6171" width="6.5703125" style="19" customWidth="1"/>
    <col min="6172" max="6172" width="0.140625" style="19" customWidth="1"/>
    <col min="6173" max="6173" width="2.85546875" style="19" customWidth="1"/>
    <col min="6174" max="6400" width="9.140625" style="19"/>
    <col min="6401" max="6401" width="0.140625" style="19" customWidth="1"/>
    <col min="6402" max="6402" width="9.140625" style="19"/>
    <col min="6403" max="6403" width="10.7109375" style="19" bestFit="1" customWidth="1"/>
    <col min="6404" max="6404" width="9.42578125" style="19" customWidth="1"/>
    <col min="6405" max="6411" width="9.140625" style="19"/>
    <col min="6412" max="6412" width="6.140625" style="19" customWidth="1"/>
    <col min="6413" max="6413" width="7" style="19" customWidth="1"/>
    <col min="6414" max="6414" width="4" style="19" customWidth="1"/>
    <col min="6415" max="6415" width="8.140625" style="19" customWidth="1"/>
    <col min="6416" max="6416" width="6.28515625" style="19" customWidth="1"/>
    <col min="6417" max="6417" width="6.42578125" style="19" customWidth="1"/>
    <col min="6418" max="6418" width="7" style="19" customWidth="1"/>
    <col min="6419" max="6419" width="7.140625" style="19" customWidth="1"/>
    <col min="6420" max="6420" width="7" style="19" customWidth="1"/>
    <col min="6421" max="6421" width="9.140625" style="19"/>
    <col min="6422" max="6422" width="12.42578125" style="19" customWidth="1"/>
    <col min="6423" max="6424" width="9.140625" style="19"/>
    <col min="6425" max="6425" width="9.140625" style="19" customWidth="1"/>
    <col min="6426" max="6426" width="7.42578125" style="19" customWidth="1"/>
    <col min="6427" max="6427" width="6.5703125" style="19" customWidth="1"/>
    <col min="6428" max="6428" width="0.140625" style="19" customWidth="1"/>
    <col min="6429" max="6429" width="2.85546875" style="19" customWidth="1"/>
    <col min="6430" max="6656" width="9.140625" style="19"/>
    <col min="6657" max="6657" width="0.140625" style="19" customWidth="1"/>
    <col min="6658" max="6658" width="9.140625" style="19"/>
    <col min="6659" max="6659" width="10.7109375" style="19" bestFit="1" customWidth="1"/>
    <col min="6660" max="6660" width="9.42578125" style="19" customWidth="1"/>
    <col min="6661" max="6667" width="9.140625" style="19"/>
    <col min="6668" max="6668" width="6.140625" style="19" customWidth="1"/>
    <col min="6669" max="6669" width="7" style="19" customWidth="1"/>
    <col min="6670" max="6670" width="4" style="19" customWidth="1"/>
    <col min="6671" max="6671" width="8.140625" style="19" customWidth="1"/>
    <col min="6672" max="6672" width="6.28515625" style="19" customWidth="1"/>
    <col min="6673" max="6673" width="6.42578125" style="19" customWidth="1"/>
    <col min="6674" max="6674" width="7" style="19" customWidth="1"/>
    <col min="6675" max="6675" width="7.140625" style="19" customWidth="1"/>
    <col min="6676" max="6676" width="7" style="19" customWidth="1"/>
    <col min="6677" max="6677" width="9.140625" style="19"/>
    <col min="6678" max="6678" width="12.42578125" style="19" customWidth="1"/>
    <col min="6679" max="6680" width="9.140625" style="19"/>
    <col min="6681" max="6681" width="9.140625" style="19" customWidth="1"/>
    <col min="6682" max="6682" width="7.42578125" style="19" customWidth="1"/>
    <col min="6683" max="6683" width="6.5703125" style="19" customWidth="1"/>
    <col min="6684" max="6684" width="0.140625" style="19" customWidth="1"/>
    <col min="6685" max="6685" width="2.85546875" style="19" customWidth="1"/>
    <col min="6686" max="6912" width="9.140625" style="19"/>
    <col min="6913" max="6913" width="0.140625" style="19" customWidth="1"/>
    <col min="6914" max="6914" width="9.140625" style="19"/>
    <col min="6915" max="6915" width="10.7109375" style="19" bestFit="1" customWidth="1"/>
    <col min="6916" max="6916" width="9.42578125" style="19" customWidth="1"/>
    <col min="6917" max="6923" width="9.140625" style="19"/>
    <col min="6924" max="6924" width="6.140625" style="19" customWidth="1"/>
    <col min="6925" max="6925" width="7" style="19" customWidth="1"/>
    <col min="6926" max="6926" width="4" style="19" customWidth="1"/>
    <col min="6927" max="6927" width="8.140625" style="19" customWidth="1"/>
    <col min="6928" max="6928" width="6.28515625" style="19" customWidth="1"/>
    <col min="6929" max="6929" width="6.42578125" style="19" customWidth="1"/>
    <col min="6930" max="6930" width="7" style="19" customWidth="1"/>
    <col min="6931" max="6931" width="7.140625" style="19" customWidth="1"/>
    <col min="6932" max="6932" width="7" style="19" customWidth="1"/>
    <col min="6933" max="6933" width="9.140625" style="19"/>
    <col min="6934" max="6934" width="12.42578125" style="19" customWidth="1"/>
    <col min="6935" max="6936" width="9.140625" style="19"/>
    <col min="6937" max="6937" width="9.140625" style="19" customWidth="1"/>
    <col min="6938" max="6938" width="7.42578125" style="19" customWidth="1"/>
    <col min="6939" max="6939" width="6.5703125" style="19" customWidth="1"/>
    <col min="6940" max="6940" width="0.140625" style="19" customWidth="1"/>
    <col min="6941" max="6941" width="2.85546875" style="19" customWidth="1"/>
    <col min="6942" max="7168" width="9.140625" style="19"/>
    <col min="7169" max="7169" width="0.140625" style="19" customWidth="1"/>
    <col min="7170" max="7170" width="9.140625" style="19"/>
    <col min="7171" max="7171" width="10.7109375" style="19" bestFit="1" customWidth="1"/>
    <col min="7172" max="7172" width="9.42578125" style="19" customWidth="1"/>
    <col min="7173" max="7179" width="9.140625" style="19"/>
    <col min="7180" max="7180" width="6.140625" style="19" customWidth="1"/>
    <col min="7181" max="7181" width="7" style="19" customWidth="1"/>
    <col min="7182" max="7182" width="4" style="19" customWidth="1"/>
    <col min="7183" max="7183" width="8.140625" style="19" customWidth="1"/>
    <col min="7184" max="7184" width="6.28515625" style="19" customWidth="1"/>
    <col min="7185" max="7185" width="6.42578125" style="19" customWidth="1"/>
    <col min="7186" max="7186" width="7" style="19" customWidth="1"/>
    <col min="7187" max="7187" width="7.140625" style="19" customWidth="1"/>
    <col min="7188" max="7188" width="7" style="19" customWidth="1"/>
    <col min="7189" max="7189" width="9.140625" style="19"/>
    <col min="7190" max="7190" width="12.42578125" style="19" customWidth="1"/>
    <col min="7191" max="7192" width="9.140625" style="19"/>
    <col min="7193" max="7193" width="9.140625" style="19" customWidth="1"/>
    <col min="7194" max="7194" width="7.42578125" style="19" customWidth="1"/>
    <col min="7195" max="7195" width="6.5703125" style="19" customWidth="1"/>
    <col min="7196" max="7196" width="0.140625" style="19" customWidth="1"/>
    <col min="7197" max="7197" width="2.85546875" style="19" customWidth="1"/>
    <col min="7198" max="7424" width="9.140625" style="19"/>
    <col min="7425" max="7425" width="0.140625" style="19" customWidth="1"/>
    <col min="7426" max="7426" width="9.140625" style="19"/>
    <col min="7427" max="7427" width="10.7109375" style="19" bestFit="1" customWidth="1"/>
    <col min="7428" max="7428" width="9.42578125" style="19" customWidth="1"/>
    <col min="7429" max="7435" width="9.140625" style="19"/>
    <col min="7436" max="7436" width="6.140625" style="19" customWidth="1"/>
    <col min="7437" max="7437" width="7" style="19" customWidth="1"/>
    <col min="7438" max="7438" width="4" style="19" customWidth="1"/>
    <col min="7439" max="7439" width="8.140625" style="19" customWidth="1"/>
    <col min="7440" max="7440" width="6.28515625" style="19" customWidth="1"/>
    <col min="7441" max="7441" width="6.42578125" style="19" customWidth="1"/>
    <col min="7442" max="7442" width="7" style="19" customWidth="1"/>
    <col min="7443" max="7443" width="7.140625" style="19" customWidth="1"/>
    <col min="7444" max="7444" width="7" style="19" customWidth="1"/>
    <col min="7445" max="7445" width="9.140625" style="19"/>
    <col min="7446" max="7446" width="12.42578125" style="19" customWidth="1"/>
    <col min="7447" max="7448" width="9.140625" style="19"/>
    <col min="7449" max="7449" width="9.140625" style="19" customWidth="1"/>
    <col min="7450" max="7450" width="7.42578125" style="19" customWidth="1"/>
    <col min="7451" max="7451" width="6.5703125" style="19" customWidth="1"/>
    <col min="7452" max="7452" width="0.140625" style="19" customWidth="1"/>
    <col min="7453" max="7453" width="2.85546875" style="19" customWidth="1"/>
    <col min="7454" max="7680" width="9.140625" style="19"/>
    <col min="7681" max="7681" width="0.140625" style="19" customWidth="1"/>
    <col min="7682" max="7682" width="9.140625" style="19"/>
    <col min="7683" max="7683" width="10.7109375" style="19" bestFit="1" customWidth="1"/>
    <col min="7684" max="7684" width="9.42578125" style="19" customWidth="1"/>
    <col min="7685" max="7691" width="9.140625" style="19"/>
    <col min="7692" max="7692" width="6.140625" style="19" customWidth="1"/>
    <col min="7693" max="7693" width="7" style="19" customWidth="1"/>
    <col min="7694" max="7694" width="4" style="19" customWidth="1"/>
    <col min="7695" max="7695" width="8.140625" style="19" customWidth="1"/>
    <col min="7696" max="7696" width="6.28515625" style="19" customWidth="1"/>
    <col min="7697" max="7697" width="6.42578125" style="19" customWidth="1"/>
    <col min="7698" max="7698" width="7" style="19" customWidth="1"/>
    <col min="7699" max="7699" width="7.140625" style="19" customWidth="1"/>
    <col min="7700" max="7700" width="7" style="19" customWidth="1"/>
    <col min="7701" max="7701" width="9.140625" style="19"/>
    <col min="7702" max="7702" width="12.42578125" style="19" customWidth="1"/>
    <col min="7703" max="7704" width="9.140625" style="19"/>
    <col min="7705" max="7705" width="9.140625" style="19" customWidth="1"/>
    <col min="7706" max="7706" width="7.42578125" style="19" customWidth="1"/>
    <col min="7707" max="7707" width="6.5703125" style="19" customWidth="1"/>
    <col min="7708" max="7708" width="0.140625" style="19" customWidth="1"/>
    <col min="7709" max="7709" width="2.85546875" style="19" customWidth="1"/>
    <col min="7710" max="7936" width="9.140625" style="19"/>
    <col min="7937" max="7937" width="0.140625" style="19" customWidth="1"/>
    <col min="7938" max="7938" width="9.140625" style="19"/>
    <col min="7939" max="7939" width="10.7109375" style="19" bestFit="1" customWidth="1"/>
    <col min="7940" max="7940" width="9.42578125" style="19" customWidth="1"/>
    <col min="7941" max="7947" width="9.140625" style="19"/>
    <col min="7948" max="7948" width="6.140625" style="19" customWidth="1"/>
    <col min="7949" max="7949" width="7" style="19" customWidth="1"/>
    <col min="7950" max="7950" width="4" style="19" customWidth="1"/>
    <col min="7951" max="7951" width="8.140625" style="19" customWidth="1"/>
    <col min="7952" max="7952" width="6.28515625" style="19" customWidth="1"/>
    <col min="7953" max="7953" width="6.42578125" style="19" customWidth="1"/>
    <col min="7954" max="7954" width="7" style="19" customWidth="1"/>
    <col min="7955" max="7955" width="7.140625" style="19" customWidth="1"/>
    <col min="7956" max="7956" width="7" style="19" customWidth="1"/>
    <col min="7957" max="7957" width="9.140625" style="19"/>
    <col min="7958" max="7958" width="12.42578125" style="19" customWidth="1"/>
    <col min="7959" max="7960" width="9.140625" style="19"/>
    <col min="7961" max="7961" width="9.140625" style="19" customWidth="1"/>
    <col min="7962" max="7962" width="7.42578125" style="19" customWidth="1"/>
    <col min="7963" max="7963" width="6.5703125" style="19" customWidth="1"/>
    <col min="7964" max="7964" width="0.140625" style="19" customWidth="1"/>
    <col min="7965" max="7965" width="2.85546875" style="19" customWidth="1"/>
    <col min="7966" max="8192" width="9.140625" style="19"/>
    <col min="8193" max="8193" width="0.140625" style="19" customWidth="1"/>
    <col min="8194" max="8194" width="9.140625" style="19"/>
    <col min="8195" max="8195" width="10.7109375" style="19" bestFit="1" customWidth="1"/>
    <col min="8196" max="8196" width="9.42578125" style="19" customWidth="1"/>
    <col min="8197" max="8203" width="9.140625" style="19"/>
    <col min="8204" max="8204" width="6.140625" style="19" customWidth="1"/>
    <col min="8205" max="8205" width="7" style="19" customWidth="1"/>
    <col min="8206" max="8206" width="4" style="19" customWidth="1"/>
    <col min="8207" max="8207" width="8.140625" style="19" customWidth="1"/>
    <col min="8208" max="8208" width="6.28515625" style="19" customWidth="1"/>
    <col min="8209" max="8209" width="6.42578125" style="19" customWidth="1"/>
    <col min="8210" max="8210" width="7" style="19" customWidth="1"/>
    <col min="8211" max="8211" width="7.140625" style="19" customWidth="1"/>
    <col min="8212" max="8212" width="7" style="19" customWidth="1"/>
    <col min="8213" max="8213" width="9.140625" style="19"/>
    <col min="8214" max="8214" width="12.42578125" style="19" customWidth="1"/>
    <col min="8215" max="8216" width="9.140625" style="19"/>
    <col min="8217" max="8217" width="9.140625" style="19" customWidth="1"/>
    <col min="8218" max="8218" width="7.42578125" style="19" customWidth="1"/>
    <col min="8219" max="8219" width="6.5703125" style="19" customWidth="1"/>
    <col min="8220" max="8220" width="0.140625" style="19" customWidth="1"/>
    <col min="8221" max="8221" width="2.85546875" style="19" customWidth="1"/>
    <col min="8222" max="8448" width="9.140625" style="19"/>
    <col min="8449" max="8449" width="0.140625" style="19" customWidth="1"/>
    <col min="8450" max="8450" width="9.140625" style="19"/>
    <col min="8451" max="8451" width="10.7109375" style="19" bestFit="1" customWidth="1"/>
    <col min="8452" max="8452" width="9.42578125" style="19" customWidth="1"/>
    <col min="8453" max="8459" width="9.140625" style="19"/>
    <col min="8460" max="8460" width="6.140625" style="19" customWidth="1"/>
    <col min="8461" max="8461" width="7" style="19" customWidth="1"/>
    <col min="8462" max="8462" width="4" style="19" customWidth="1"/>
    <col min="8463" max="8463" width="8.140625" style="19" customWidth="1"/>
    <col min="8464" max="8464" width="6.28515625" style="19" customWidth="1"/>
    <col min="8465" max="8465" width="6.42578125" style="19" customWidth="1"/>
    <col min="8466" max="8466" width="7" style="19" customWidth="1"/>
    <col min="8467" max="8467" width="7.140625" style="19" customWidth="1"/>
    <col min="8468" max="8468" width="7" style="19" customWidth="1"/>
    <col min="8469" max="8469" width="9.140625" style="19"/>
    <col min="8470" max="8470" width="12.42578125" style="19" customWidth="1"/>
    <col min="8471" max="8472" width="9.140625" style="19"/>
    <col min="8473" max="8473" width="9.140625" style="19" customWidth="1"/>
    <col min="8474" max="8474" width="7.42578125" style="19" customWidth="1"/>
    <col min="8475" max="8475" width="6.5703125" style="19" customWidth="1"/>
    <col min="8476" max="8476" width="0.140625" style="19" customWidth="1"/>
    <col min="8477" max="8477" width="2.85546875" style="19" customWidth="1"/>
    <col min="8478" max="8704" width="9.140625" style="19"/>
    <col min="8705" max="8705" width="0.140625" style="19" customWidth="1"/>
    <col min="8706" max="8706" width="9.140625" style="19"/>
    <col min="8707" max="8707" width="10.7109375" style="19" bestFit="1" customWidth="1"/>
    <col min="8708" max="8708" width="9.42578125" style="19" customWidth="1"/>
    <col min="8709" max="8715" width="9.140625" style="19"/>
    <col min="8716" max="8716" width="6.140625" style="19" customWidth="1"/>
    <col min="8717" max="8717" width="7" style="19" customWidth="1"/>
    <col min="8718" max="8718" width="4" style="19" customWidth="1"/>
    <col min="8719" max="8719" width="8.140625" style="19" customWidth="1"/>
    <col min="8720" max="8720" width="6.28515625" style="19" customWidth="1"/>
    <col min="8721" max="8721" width="6.42578125" style="19" customWidth="1"/>
    <col min="8722" max="8722" width="7" style="19" customWidth="1"/>
    <col min="8723" max="8723" width="7.140625" style="19" customWidth="1"/>
    <col min="8724" max="8724" width="7" style="19" customWidth="1"/>
    <col min="8725" max="8725" width="9.140625" style="19"/>
    <col min="8726" max="8726" width="12.42578125" style="19" customWidth="1"/>
    <col min="8727" max="8728" width="9.140625" style="19"/>
    <col min="8729" max="8729" width="9.140625" style="19" customWidth="1"/>
    <col min="8730" max="8730" width="7.42578125" style="19" customWidth="1"/>
    <col min="8731" max="8731" width="6.5703125" style="19" customWidth="1"/>
    <col min="8732" max="8732" width="0.140625" style="19" customWidth="1"/>
    <col min="8733" max="8733" width="2.85546875" style="19" customWidth="1"/>
    <col min="8734" max="8960" width="9.140625" style="19"/>
    <col min="8961" max="8961" width="0.140625" style="19" customWidth="1"/>
    <col min="8962" max="8962" width="9.140625" style="19"/>
    <col min="8963" max="8963" width="10.7109375" style="19" bestFit="1" customWidth="1"/>
    <col min="8964" max="8964" width="9.42578125" style="19" customWidth="1"/>
    <col min="8965" max="8971" width="9.140625" style="19"/>
    <col min="8972" max="8972" width="6.140625" style="19" customWidth="1"/>
    <col min="8973" max="8973" width="7" style="19" customWidth="1"/>
    <col min="8974" max="8974" width="4" style="19" customWidth="1"/>
    <col min="8975" max="8975" width="8.140625" style="19" customWidth="1"/>
    <col min="8976" max="8976" width="6.28515625" style="19" customWidth="1"/>
    <col min="8977" max="8977" width="6.42578125" style="19" customWidth="1"/>
    <col min="8978" max="8978" width="7" style="19" customWidth="1"/>
    <col min="8979" max="8979" width="7.140625" style="19" customWidth="1"/>
    <col min="8980" max="8980" width="7" style="19" customWidth="1"/>
    <col min="8981" max="8981" width="9.140625" style="19"/>
    <col min="8982" max="8982" width="12.42578125" style="19" customWidth="1"/>
    <col min="8983" max="8984" width="9.140625" style="19"/>
    <col min="8985" max="8985" width="9.140625" style="19" customWidth="1"/>
    <col min="8986" max="8986" width="7.42578125" style="19" customWidth="1"/>
    <col min="8987" max="8987" width="6.5703125" style="19" customWidth="1"/>
    <col min="8988" max="8988" width="0.140625" style="19" customWidth="1"/>
    <col min="8989" max="8989" width="2.85546875" style="19" customWidth="1"/>
    <col min="8990" max="9216" width="9.140625" style="19"/>
    <col min="9217" max="9217" width="0.140625" style="19" customWidth="1"/>
    <col min="9218" max="9218" width="9.140625" style="19"/>
    <col min="9219" max="9219" width="10.7109375" style="19" bestFit="1" customWidth="1"/>
    <col min="9220" max="9220" width="9.42578125" style="19" customWidth="1"/>
    <col min="9221" max="9227" width="9.140625" style="19"/>
    <col min="9228" max="9228" width="6.140625" style="19" customWidth="1"/>
    <col min="9229" max="9229" width="7" style="19" customWidth="1"/>
    <col min="9230" max="9230" width="4" style="19" customWidth="1"/>
    <col min="9231" max="9231" width="8.140625" style="19" customWidth="1"/>
    <col min="9232" max="9232" width="6.28515625" style="19" customWidth="1"/>
    <col min="9233" max="9233" width="6.42578125" style="19" customWidth="1"/>
    <col min="9234" max="9234" width="7" style="19" customWidth="1"/>
    <col min="9235" max="9235" width="7.140625" style="19" customWidth="1"/>
    <col min="9236" max="9236" width="7" style="19" customWidth="1"/>
    <col min="9237" max="9237" width="9.140625" style="19"/>
    <col min="9238" max="9238" width="12.42578125" style="19" customWidth="1"/>
    <col min="9239" max="9240" width="9.140625" style="19"/>
    <col min="9241" max="9241" width="9.140625" style="19" customWidth="1"/>
    <col min="9242" max="9242" width="7.42578125" style="19" customWidth="1"/>
    <col min="9243" max="9243" width="6.5703125" style="19" customWidth="1"/>
    <col min="9244" max="9244" width="0.140625" style="19" customWidth="1"/>
    <col min="9245" max="9245" width="2.85546875" style="19" customWidth="1"/>
    <col min="9246" max="9472" width="9.140625" style="19"/>
    <col min="9473" max="9473" width="0.140625" style="19" customWidth="1"/>
    <col min="9474" max="9474" width="9.140625" style="19"/>
    <col min="9475" max="9475" width="10.7109375" style="19" bestFit="1" customWidth="1"/>
    <col min="9476" max="9476" width="9.42578125" style="19" customWidth="1"/>
    <col min="9477" max="9483" width="9.140625" style="19"/>
    <col min="9484" max="9484" width="6.140625" style="19" customWidth="1"/>
    <col min="9485" max="9485" width="7" style="19" customWidth="1"/>
    <col min="9486" max="9486" width="4" style="19" customWidth="1"/>
    <col min="9487" max="9487" width="8.140625" style="19" customWidth="1"/>
    <col min="9488" max="9488" width="6.28515625" style="19" customWidth="1"/>
    <col min="9489" max="9489" width="6.42578125" style="19" customWidth="1"/>
    <col min="9490" max="9490" width="7" style="19" customWidth="1"/>
    <col min="9491" max="9491" width="7.140625" style="19" customWidth="1"/>
    <col min="9492" max="9492" width="7" style="19" customWidth="1"/>
    <col min="9493" max="9493" width="9.140625" style="19"/>
    <col min="9494" max="9494" width="12.42578125" style="19" customWidth="1"/>
    <col min="9495" max="9496" width="9.140625" style="19"/>
    <col min="9497" max="9497" width="9.140625" style="19" customWidth="1"/>
    <col min="9498" max="9498" width="7.42578125" style="19" customWidth="1"/>
    <col min="9499" max="9499" width="6.5703125" style="19" customWidth="1"/>
    <col min="9500" max="9500" width="0.140625" style="19" customWidth="1"/>
    <col min="9501" max="9501" width="2.85546875" style="19" customWidth="1"/>
    <col min="9502" max="9728" width="9.140625" style="19"/>
    <col min="9729" max="9729" width="0.140625" style="19" customWidth="1"/>
    <col min="9730" max="9730" width="9.140625" style="19"/>
    <col min="9731" max="9731" width="10.7109375" style="19" bestFit="1" customWidth="1"/>
    <col min="9732" max="9732" width="9.42578125" style="19" customWidth="1"/>
    <col min="9733" max="9739" width="9.140625" style="19"/>
    <col min="9740" max="9740" width="6.140625" style="19" customWidth="1"/>
    <col min="9741" max="9741" width="7" style="19" customWidth="1"/>
    <col min="9742" max="9742" width="4" style="19" customWidth="1"/>
    <col min="9743" max="9743" width="8.140625" style="19" customWidth="1"/>
    <col min="9744" max="9744" width="6.28515625" style="19" customWidth="1"/>
    <col min="9745" max="9745" width="6.42578125" style="19" customWidth="1"/>
    <col min="9746" max="9746" width="7" style="19" customWidth="1"/>
    <col min="9747" max="9747" width="7.140625" style="19" customWidth="1"/>
    <col min="9748" max="9748" width="7" style="19" customWidth="1"/>
    <col min="9749" max="9749" width="9.140625" style="19"/>
    <col min="9750" max="9750" width="12.42578125" style="19" customWidth="1"/>
    <col min="9751" max="9752" width="9.140625" style="19"/>
    <col min="9753" max="9753" width="9.140625" style="19" customWidth="1"/>
    <col min="9754" max="9754" width="7.42578125" style="19" customWidth="1"/>
    <col min="9755" max="9755" width="6.5703125" style="19" customWidth="1"/>
    <col min="9756" max="9756" width="0.140625" style="19" customWidth="1"/>
    <col min="9757" max="9757" width="2.85546875" style="19" customWidth="1"/>
    <col min="9758" max="9984" width="9.140625" style="19"/>
    <col min="9985" max="9985" width="0.140625" style="19" customWidth="1"/>
    <col min="9986" max="9986" width="9.140625" style="19"/>
    <col min="9987" max="9987" width="10.7109375" style="19" bestFit="1" customWidth="1"/>
    <col min="9988" max="9988" width="9.42578125" style="19" customWidth="1"/>
    <col min="9989" max="9995" width="9.140625" style="19"/>
    <col min="9996" max="9996" width="6.140625" style="19" customWidth="1"/>
    <col min="9997" max="9997" width="7" style="19" customWidth="1"/>
    <col min="9998" max="9998" width="4" style="19" customWidth="1"/>
    <col min="9999" max="9999" width="8.140625" style="19" customWidth="1"/>
    <col min="10000" max="10000" width="6.28515625" style="19" customWidth="1"/>
    <col min="10001" max="10001" width="6.42578125" style="19" customWidth="1"/>
    <col min="10002" max="10002" width="7" style="19" customWidth="1"/>
    <col min="10003" max="10003" width="7.140625" style="19" customWidth="1"/>
    <col min="10004" max="10004" width="7" style="19" customWidth="1"/>
    <col min="10005" max="10005" width="9.140625" style="19"/>
    <col min="10006" max="10006" width="12.42578125" style="19" customWidth="1"/>
    <col min="10007" max="10008" width="9.140625" style="19"/>
    <col min="10009" max="10009" width="9.140625" style="19" customWidth="1"/>
    <col min="10010" max="10010" width="7.42578125" style="19" customWidth="1"/>
    <col min="10011" max="10011" width="6.5703125" style="19" customWidth="1"/>
    <col min="10012" max="10012" width="0.140625" style="19" customWidth="1"/>
    <col min="10013" max="10013" width="2.85546875" style="19" customWidth="1"/>
    <col min="10014" max="10240" width="9.140625" style="19"/>
    <col min="10241" max="10241" width="0.140625" style="19" customWidth="1"/>
    <col min="10242" max="10242" width="9.140625" style="19"/>
    <col min="10243" max="10243" width="10.7109375" style="19" bestFit="1" customWidth="1"/>
    <col min="10244" max="10244" width="9.42578125" style="19" customWidth="1"/>
    <col min="10245" max="10251" width="9.140625" style="19"/>
    <col min="10252" max="10252" width="6.140625" style="19" customWidth="1"/>
    <col min="10253" max="10253" width="7" style="19" customWidth="1"/>
    <col min="10254" max="10254" width="4" style="19" customWidth="1"/>
    <col min="10255" max="10255" width="8.140625" style="19" customWidth="1"/>
    <col min="10256" max="10256" width="6.28515625" style="19" customWidth="1"/>
    <col min="10257" max="10257" width="6.42578125" style="19" customWidth="1"/>
    <col min="10258" max="10258" width="7" style="19" customWidth="1"/>
    <col min="10259" max="10259" width="7.140625" style="19" customWidth="1"/>
    <col min="10260" max="10260" width="7" style="19" customWidth="1"/>
    <col min="10261" max="10261" width="9.140625" style="19"/>
    <col min="10262" max="10262" width="12.42578125" style="19" customWidth="1"/>
    <col min="10263" max="10264" width="9.140625" style="19"/>
    <col min="10265" max="10265" width="9.140625" style="19" customWidth="1"/>
    <col min="10266" max="10266" width="7.42578125" style="19" customWidth="1"/>
    <col min="10267" max="10267" width="6.5703125" style="19" customWidth="1"/>
    <col min="10268" max="10268" width="0.140625" style="19" customWidth="1"/>
    <col min="10269" max="10269" width="2.85546875" style="19" customWidth="1"/>
    <col min="10270" max="10496" width="9.140625" style="19"/>
    <col min="10497" max="10497" width="0.140625" style="19" customWidth="1"/>
    <col min="10498" max="10498" width="9.140625" style="19"/>
    <col min="10499" max="10499" width="10.7109375" style="19" bestFit="1" customWidth="1"/>
    <col min="10500" max="10500" width="9.42578125" style="19" customWidth="1"/>
    <col min="10501" max="10507" width="9.140625" style="19"/>
    <col min="10508" max="10508" width="6.140625" style="19" customWidth="1"/>
    <col min="10509" max="10509" width="7" style="19" customWidth="1"/>
    <col min="10510" max="10510" width="4" style="19" customWidth="1"/>
    <col min="10511" max="10511" width="8.140625" style="19" customWidth="1"/>
    <col min="10512" max="10512" width="6.28515625" style="19" customWidth="1"/>
    <col min="10513" max="10513" width="6.42578125" style="19" customWidth="1"/>
    <col min="10514" max="10514" width="7" style="19" customWidth="1"/>
    <col min="10515" max="10515" width="7.140625" style="19" customWidth="1"/>
    <col min="10516" max="10516" width="7" style="19" customWidth="1"/>
    <col min="10517" max="10517" width="9.140625" style="19"/>
    <col min="10518" max="10518" width="12.42578125" style="19" customWidth="1"/>
    <col min="10519" max="10520" width="9.140625" style="19"/>
    <col min="10521" max="10521" width="9.140625" style="19" customWidth="1"/>
    <col min="10522" max="10522" width="7.42578125" style="19" customWidth="1"/>
    <col min="10523" max="10523" width="6.5703125" style="19" customWidth="1"/>
    <col min="10524" max="10524" width="0.140625" style="19" customWidth="1"/>
    <col min="10525" max="10525" width="2.85546875" style="19" customWidth="1"/>
    <col min="10526" max="10752" width="9.140625" style="19"/>
    <col min="10753" max="10753" width="0.140625" style="19" customWidth="1"/>
    <col min="10754" max="10754" width="9.140625" style="19"/>
    <col min="10755" max="10755" width="10.7109375" style="19" bestFit="1" customWidth="1"/>
    <col min="10756" max="10756" width="9.42578125" style="19" customWidth="1"/>
    <col min="10757" max="10763" width="9.140625" style="19"/>
    <col min="10764" max="10764" width="6.140625" style="19" customWidth="1"/>
    <col min="10765" max="10765" width="7" style="19" customWidth="1"/>
    <col min="10766" max="10766" width="4" style="19" customWidth="1"/>
    <col min="10767" max="10767" width="8.140625" style="19" customWidth="1"/>
    <col min="10768" max="10768" width="6.28515625" style="19" customWidth="1"/>
    <col min="10769" max="10769" width="6.42578125" style="19" customWidth="1"/>
    <col min="10770" max="10770" width="7" style="19" customWidth="1"/>
    <col min="10771" max="10771" width="7.140625" style="19" customWidth="1"/>
    <col min="10772" max="10772" width="7" style="19" customWidth="1"/>
    <col min="10773" max="10773" width="9.140625" style="19"/>
    <col min="10774" max="10774" width="12.42578125" style="19" customWidth="1"/>
    <col min="10775" max="10776" width="9.140625" style="19"/>
    <col min="10777" max="10777" width="9.140625" style="19" customWidth="1"/>
    <col min="10778" max="10778" width="7.42578125" style="19" customWidth="1"/>
    <col min="10779" max="10779" width="6.5703125" style="19" customWidth="1"/>
    <col min="10780" max="10780" width="0.140625" style="19" customWidth="1"/>
    <col min="10781" max="10781" width="2.85546875" style="19" customWidth="1"/>
    <col min="10782" max="11008" width="9.140625" style="19"/>
    <col min="11009" max="11009" width="0.140625" style="19" customWidth="1"/>
    <col min="11010" max="11010" width="9.140625" style="19"/>
    <col min="11011" max="11011" width="10.7109375" style="19" bestFit="1" customWidth="1"/>
    <col min="11012" max="11012" width="9.42578125" style="19" customWidth="1"/>
    <col min="11013" max="11019" width="9.140625" style="19"/>
    <col min="11020" max="11020" width="6.140625" style="19" customWidth="1"/>
    <col min="11021" max="11021" width="7" style="19" customWidth="1"/>
    <col min="11022" max="11022" width="4" style="19" customWidth="1"/>
    <col min="11023" max="11023" width="8.140625" style="19" customWidth="1"/>
    <col min="11024" max="11024" width="6.28515625" style="19" customWidth="1"/>
    <col min="11025" max="11025" width="6.42578125" style="19" customWidth="1"/>
    <col min="11026" max="11026" width="7" style="19" customWidth="1"/>
    <col min="11027" max="11027" width="7.140625" style="19" customWidth="1"/>
    <col min="11028" max="11028" width="7" style="19" customWidth="1"/>
    <col min="11029" max="11029" width="9.140625" style="19"/>
    <col min="11030" max="11030" width="12.42578125" style="19" customWidth="1"/>
    <col min="11031" max="11032" width="9.140625" style="19"/>
    <col min="11033" max="11033" width="9.140625" style="19" customWidth="1"/>
    <col min="11034" max="11034" width="7.42578125" style="19" customWidth="1"/>
    <col min="11035" max="11035" width="6.5703125" style="19" customWidth="1"/>
    <col min="11036" max="11036" width="0.140625" style="19" customWidth="1"/>
    <col min="11037" max="11037" width="2.85546875" style="19" customWidth="1"/>
    <col min="11038" max="11264" width="9.140625" style="19"/>
    <col min="11265" max="11265" width="0.140625" style="19" customWidth="1"/>
    <col min="11266" max="11266" width="9.140625" style="19"/>
    <col min="11267" max="11267" width="10.7109375" style="19" bestFit="1" customWidth="1"/>
    <col min="11268" max="11268" width="9.42578125" style="19" customWidth="1"/>
    <col min="11269" max="11275" width="9.140625" style="19"/>
    <col min="11276" max="11276" width="6.140625" style="19" customWidth="1"/>
    <col min="11277" max="11277" width="7" style="19" customWidth="1"/>
    <col min="11278" max="11278" width="4" style="19" customWidth="1"/>
    <col min="11279" max="11279" width="8.140625" style="19" customWidth="1"/>
    <col min="11280" max="11280" width="6.28515625" style="19" customWidth="1"/>
    <col min="11281" max="11281" width="6.42578125" style="19" customWidth="1"/>
    <col min="11282" max="11282" width="7" style="19" customWidth="1"/>
    <col min="11283" max="11283" width="7.140625" style="19" customWidth="1"/>
    <col min="11284" max="11284" width="7" style="19" customWidth="1"/>
    <col min="11285" max="11285" width="9.140625" style="19"/>
    <col min="11286" max="11286" width="12.42578125" style="19" customWidth="1"/>
    <col min="11287" max="11288" width="9.140625" style="19"/>
    <col min="11289" max="11289" width="9.140625" style="19" customWidth="1"/>
    <col min="11290" max="11290" width="7.42578125" style="19" customWidth="1"/>
    <col min="11291" max="11291" width="6.5703125" style="19" customWidth="1"/>
    <col min="11292" max="11292" width="0.140625" style="19" customWidth="1"/>
    <col min="11293" max="11293" width="2.85546875" style="19" customWidth="1"/>
    <col min="11294" max="11520" width="9.140625" style="19"/>
    <col min="11521" max="11521" width="0.140625" style="19" customWidth="1"/>
    <col min="11522" max="11522" width="9.140625" style="19"/>
    <col min="11523" max="11523" width="10.7109375" style="19" bestFit="1" customWidth="1"/>
    <col min="11524" max="11524" width="9.42578125" style="19" customWidth="1"/>
    <col min="11525" max="11531" width="9.140625" style="19"/>
    <col min="11532" max="11532" width="6.140625" style="19" customWidth="1"/>
    <col min="11533" max="11533" width="7" style="19" customWidth="1"/>
    <col min="11534" max="11534" width="4" style="19" customWidth="1"/>
    <col min="11535" max="11535" width="8.140625" style="19" customWidth="1"/>
    <col min="11536" max="11536" width="6.28515625" style="19" customWidth="1"/>
    <col min="11537" max="11537" width="6.42578125" style="19" customWidth="1"/>
    <col min="11538" max="11538" width="7" style="19" customWidth="1"/>
    <col min="11539" max="11539" width="7.140625" style="19" customWidth="1"/>
    <col min="11540" max="11540" width="7" style="19" customWidth="1"/>
    <col min="11541" max="11541" width="9.140625" style="19"/>
    <col min="11542" max="11542" width="12.42578125" style="19" customWidth="1"/>
    <col min="11543" max="11544" width="9.140625" style="19"/>
    <col min="11545" max="11545" width="9.140625" style="19" customWidth="1"/>
    <col min="11546" max="11546" width="7.42578125" style="19" customWidth="1"/>
    <col min="11547" max="11547" width="6.5703125" style="19" customWidth="1"/>
    <col min="11548" max="11548" width="0.140625" style="19" customWidth="1"/>
    <col min="11549" max="11549" width="2.85546875" style="19" customWidth="1"/>
    <col min="11550" max="11776" width="9.140625" style="19"/>
    <col min="11777" max="11777" width="0.140625" style="19" customWidth="1"/>
    <col min="11778" max="11778" width="9.140625" style="19"/>
    <col min="11779" max="11779" width="10.7109375" style="19" bestFit="1" customWidth="1"/>
    <col min="11780" max="11780" width="9.42578125" style="19" customWidth="1"/>
    <col min="11781" max="11787" width="9.140625" style="19"/>
    <col min="11788" max="11788" width="6.140625" style="19" customWidth="1"/>
    <col min="11789" max="11789" width="7" style="19" customWidth="1"/>
    <col min="11790" max="11790" width="4" style="19" customWidth="1"/>
    <col min="11791" max="11791" width="8.140625" style="19" customWidth="1"/>
    <col min="11792" max="11792" width="6.28515625" style="19" customWidth="1"/>
    <col min="11793" max="11793" width="6.42578125" style="19" customWidth="1"/>
    <col min="11794" max="11794" width="7" style="19" customWidth="1"/>
    <col min="11795" max="11795" width="7.140625" style="19" customWidth="1"/>
    <col min="11796" max="11796" width="7" style="19" customWidth="1"/>
    <col min="11797" max="11797" width="9.140625" style="19"/>
    <col min="11798" max="11798" width="12.42578125" style="19" customWidth="1"/>
    <col min="11799" max="11800" width="9.140625" style="19"/>
    <col min="11801" max="11801" width="9.140625" style="19" customWidth="1"/>
    <col min="11802" max="11802" width="7.42578125" style="19" customWidth="1"/>
    <col min="11803" max="11803" width="6.5703125" style="19" customWidth="1"/>
    <col min="11804" max="11804" width="0.140625" style="19" customWidth="1"/>
    <col min="11805" max="11805" width="2.85546875" style="19" customWidth="1"/>
    <col min="11806" max="12032" width="9.140625" style="19"/>
    <col min="12033" max="12033" width="0.140625" style="19" customWidth="1"/>
    <col min="12034" max="12034" width="9.140625" style="19"/>
    <col min="12035" max="12035" width="10.7109375" style="19" bestFit="1" customWidth="1"/>
    <col min="12036" max="12036" width="9.42578125" style="19" customWidth="1"/>
    <col min="12037" max="12043" width="9.140625" style="19"/>
    <col min="12044" max="12044" width="6.140625" style="19" customWidth="1"/>
    <col min="12045" max="12045" width="7" style="19" customWidth="1"/>
    <col min="12046" max="12046" width="4" style="19" customWidth="1"/>
    <col min="12047" max="12047" width="8.140625" style="19" customWidth="1"/>
    <col min="12048" max="12048" width="6.28515625" style="19" customWidth="1"/>
    <col min="12049" max="12049" width="6.42578125" style="19" customWidth="1"/>
    <col min="12050" max="12050" width="7" style="19" customWidth="1"/>
    <col min="12051" max="12051" width="7.140625" style="19" customWidth="1"/>
    <col min="12052" max="12052" width="7" style="19" customWidth="1"/>
    <col min="12053" max="12053" width="9.140625" style="19"/>
    <col min="12054" max="12054" width="12.42578125" style="19" customWidth="1"/>
    <col min="12055" max="12056" width="9.140625" style="19"/>
    <col min="12057" max="12057" width="9.140625" style="19" customWidth="1"/>
    <col min="12058" max="12058" width="7.42578125" style="19" customWidth="1"/>
    <col min="12059" max="12059" width="6.5703125" style="19" customWidth="1"/>
    <col min="12060" max="12060" width="0.140625" style="19" customWidth="1"/>
    <col min="12061" max="12061" width="2.85546875" style="19" customWidth="1"/>
    <col min="12062" max="12288" width="9.140625" style="19"/>
    <col min="12289" max="12289" width="0.140625" style="19" customWidth="1"/>
    <col min="12290" max="12290" width="9.140625" style="19"/>
    <col min="12291" max="12291" width="10.7109375" style="19" bestFit="1" customWidth="1"/>
    <col min="12292" max="12292" width="9.42578125" style="19" customWidth="1"/>
    <col min="12293" max="12299" width="9.140625" style="19"/>
    <col min="12300" max="12300" width="6.140625" style="19" customWidth="1"/>
    <col min="12301" max="12301" width="7" style="19" customWidth="1"/>
    <col min="12302" max="12302" width="4" style="19" customWidth="1"/>
    <col min="12303" max="12303" width="8.140625" style="19" customWidth="1"/>
    <col min="12304" max="12304" width="6.28515625" style="19" customWidth="1"/>
    <col min="12305" max="12305" width="6.42578125" style="19" customWidth="1"/>
    <col min="12306" max="12306" width="7" style="19" customWidth="1"/>
    <col min="12307" max="12307" width="7.140625" style="19" customWidth="1"/>
    <col min="12308" max="12308" width="7" style="19" customWidth="1"/>
    <col min="12309" max="12309" width="9.140625" style="19"/>
    <col min="12310" max="12310" width="12.42578125" style="19" customWidth="1"/>
    <col min="12311" max="12312" width="9.140625" style="19"/>
    <col min="12313" max="12313" width="9.140625" style="19" customWidth="1"/>
    <col min="12314" max="12314" width="7.42578125" style="19" customWidth="1"/>
    <col min="12315" max="12315" width="6.5703125" style="19" customWidth="1"/>
    <col min="12316" max="12316" width="0.140625" style="19" customWidth="1"/>
    <col min="12317" max="12317" width="2.85546875" style="19" customWidth="1"/>
    <col min="12318" max="12544" width="9.140625" style="19"/>
    <col min="12545" max="12545" width="0.140625" style="19" customWidth="1"/>
    <col min="12546" max="12546" width="9.140625" style="19"/>
    <col min="12547" max="12547" width="10.7109375" style="19" bestFit="1" customWidth="1"/>
    <col min="12548" max="12548" width="9.42578125" style="19" customWidth="1"/>
    <col min="12549" max="12555" width="9.140625" style="19"/>
    <col min="12556" max="12556" width="6.140625" style="19" customWidth="1"/>
    <col min="12557" max="12557" width="7" style="19" customWidth="1"/>
    <col min="12558" max="12558" width="4" style="19" customWidth="1"/>
    <col min="12559" max="12559" width="8.140625" style="19" customWidth="1"/>
    <col min="12560" max="12560" width="6.28515625" style="19" customWidth="1"/>
    <col min="12561" max="12561" width="6.42578125" style="19" customWidth="1"/>
    <col min="12562" max="12562" width="7" style="19" customWidth="1"/>
    <col min="12563" max="12563" width="7.140625" style="19" customWidth="1"/>
    <col min="12564" max="12564" width="7" style="19" customWidth="1"/>
    <col min="12565" max="12565" width="9.140625" style="19"/>
    <col min="12566" max="12566" width="12.42578125" style="19" customWidth="1"/>
    <col min="12567" max="12568" width="9.140625" style="19"/>
    <col min="12569" max="12569" width="9.140625" style="19" customWidth="1"/>
    <col min="12570" max="12570" width="7.42578125" style="19" customWidth="1"/>
    <col min="12571" max="12571" width="6.5703125" style="19" customWidth="1"/>
    <col min="12572" max="12572" width="0.140625" style="19" customWidth="1"/>
    <col min="12573" max="12573" width="2.85546875" style="19" customWidth="1"/>
    <col min="12574" max="12800" width="9.140625" style="19"/>
    <col min="12801" max="12801" width="0.140625" style="19" customWidth="1"/>
    <col min="12802" max="12802" width="9.140625" style="19"/>
    <col min="12803" max="12803" width="10.7109375" style="19" bestFit="1" customWidth="1"/>
    <col min="12804" max="12804" width="9.42578125" style="19" customWidth="1"/>
    <col min="12805" max="12811" width="9.140625" style="19"/>
    <col min="12812" max="12812" width="6.140625" style="19" customWidth="1"/>
    <col min="12813" max="12813" width="7" style="19" customWidth="1"/>
    <col min="12814" max="12814" width="4" style="19" customWidth="1"/>
    <col min="12815" max="12815" width="8.140625" style="19" customWidth="1"/>
    <col min="12816" max="12816" width="6.28515625" style="19" customWidth="1"/>
    <col min="12817" max="12817" width="6.42578125" style="19" customWidth="1"/>
    <col min="12818" max="12818" width="7" style="19" customWidth="1"/>
    <col min="12819" max="12819" width="7.140625" style="19" customWidth="1"/>
    <col min="12820" max="12820" width="7" style="19" customWidth="1"/>
    <col min="12821" max="12821" width="9.140625" style="19"/>
    <col min="12822" max="12822" width="12.42578125" style="19" customWidth="1"/>
    <col min="12823" max="12824" width="9.140625" style="19"/>
    <col min="12825" max="12825" width="9.140625" style="19" customWidth="1"/>
    <col min="12826" max="12826" width="7.42578125" style="19" customWidth="1"/>
    <col min="12827" max="12827" width="6.5703125" style="19" customWidth="1"/>
    <col min="12828" max="12828" width="0.140625" style="19" customWidth="1"/>
    <col min="12829" max="12829" width="2.85546875" style="19" customWidth="1"/>
    <col min="12830" max="13056" width="9.140625" style="19"/>
    <col min="13057" max="13057" width="0.140625" style="19" customWidth="1"/>
    <col min="13058" max="13058" width="9.140625" style="19"/>
    <col min="13059" max="13059" width="10.7109375" style="19" bestFit="1" customWidth="1"/>
    <col min="13060" max="13060" width="9.42578125" style="19" customWidth="1"/>
    <col min="13061" max="13067" width="9.140625" style="19"/>
    <col min="13068" max="13068" width="6.140625" style="19" customWidth="1"/>
    <col min="13069" max="13069" width="7" style="19" customWidth="1"/>
    <col min="13070" max="13070" width="4" style="19" customWidth="1"/>
    <col min="13071" max="13071" width="8.140625" style="19" customWidth="1"/>
    <col min="13072" max="13072" width="6.28515625" style="19" customWidth="1"/>
    <col min="13073" max="13073" width="6.42578125" style="19" customWidth="1"/>
    <col min="13074" max="13074" width="7" style="19" customWidth="1"/>
    <col min="13075" max="13075" width="7.140625" style="19" customWidth="1"/>
    <col min="13076" max="13076" width="7" style="19" customWidth="1"/>
    <col min="13077" max="13077" width="9.140625" style="19"/>
    <col min="13078" max="13078" width="12.42578125" style="19" customWidth="1"/>
    <col min="13079" max="13080" width="9.140625" style="19"/>
    <col min="13081" max="13081" width="9.140625" style="19" customWidth="1"/>
    <col min="13082" max="13082" width="7.42578125" style="19" customWidth="1"/>
    <col min="13083" max="13083" width="6.5703125" style="19" customWidth="1"/>
    <col min="13084" max="13084" width="0.140625" style="19" customWidth="1"/>
    <col min="13085" max="13085" width="2.85546875" style="19" customWidth="1"/>
    <col min="13086" max="13312" width="9.140625" style="19"/>
    <col min="13313" max="13313" width="0.140625" style="19" customWidth="1"/>
    <col min="13314" max="13314" width="9.140625" style="19"/>
    <col min="13315" max="13315" width="10.7109375" style="19" bestFit="1" customWidth="1"/>
    <col min="13316" max="13316" width="9.42578125" style="19" customWidth="1"/>
    <col min="13317" max="13323" width="9.140625" style="19"/>
    <col min="13324" max="13324" width="6.140625" style="19" customWidth="1"/>
    <col min="13325" max="13325" width="7" style="19" customWidth="1"/>
    <col min="13326" max="13326" width="4" style="19" customWidth="1"/>
    <col min="13327" max="13327" width="8.140625" style="19" customWidth="1"/>
    <col min="13328" max="13328" width="6.28515625" style="19" customWidth="1"/>
    <col min="13329" max="13329" width="6.42578125" style="19" customWidth="1"/>
    <col min="13330" max="13330" width="7" style="19" customWidth="1"/>
    <col min="13331" max="13331" width="7.140625" style="19" customWidth="1"/>
    <col min="13332" max="13332" width="7" style="19" customWidth="1"/>
    <col min="13333" max="13333" width="9.140625" style="19"/>
    <col min="13334" max="13334" width="12.42578125" style="19" customWidth="1"/>
    <col min="13335" max="13336" width="9.140625" style="19"/>
    <col min="13337" max="13337" width="9.140625" style="19" customWidth="1"/>
    <col min="13338" max="13338" width="7.42578125" style="19" customWidth="1"/>
    <col min="13339" max="13339" width="6.5703125" style="19" customWidth="1"/>
    <col min="13340" max="13340" width="0.140625" style="19" customWidth="1"/>
    <col min="13341" max="13341" width="2.85546875" style="19" customWidth="1"/>
    <col min="13342" max="13568" width="9.140625" style="19"/>
    <col min="13569" max="13569" width="0.140625" style="19" customWidth="1"/>
    <col min="13570" max="13570" width="9.140625" style="19"/>
    <col min="13571" max="13571" width="10.7109375" style="19" bestFit="1" customWidth="1"/>
    <col min="13572" max="13572" width="9.42578125" style="19" customWidth="1"/>
    <col min="13573" max="13579" width="9.140625" style="19"/>
    <col min="13580" max="13580" width="6.140625" style="19" customWidth="1"/>
    <col min="13581" max="13581" width="7" style="19" customWidth="1"/>
    <col min="13582" max="13582" width="4" style="19" customWidth="1"/>
    <col min="13583" max="13583" width="8.140625" style="19" customWidth="1"/>
    <col min="13584" max="13584" width="6.28515625" style="19" customWidth="1"/>
    <col min="13585" max="13585" width="6.42578125" style="19" customWidth="1"/>
    <col min="13586" max="13586" width="7" style="19" customWidth="1"/>
    <col min="13587" max="13587" width="7.140625" style="19" customWidth="1"/>
    <col min="13588" max="13588" width="7" style="19" customWidth="1"/>
    <col min="13589" max="13589" width="9.140625" style="19"/>
    <col min="13590" max="13590" width="12.42578125" style="19" customWidth="1"/>
    <col min="13591" max="13592" width="9.140625" style="19"/>
    <col min="13593" max="13593" width="9.140625" style="19" customWidth="1"/>
    <col min="13594" max="13594" width="7.42578125" style="19" customWidth="1"/>
    <col min="13595" max="13595" width="6.5703125" style="19" customWidth="1"/>
    <col min="13596" max="13596" width="0.140625" style="19" customWidth="1"/>
    <col min="13597" max="13597" width="2.85546875" style="19" customWidth="1"/>
    <col min="13598" max="13824" width="9.140625" style="19"/>
    <col min="13825" max="13825" width="0.140625" style="19" customWidth="1"/>
    <col min="13826" max="13826" width="9.140625" style="19"/>
    <col min="13827" max="13827" width="10.7109375" style="19" bestFit="1" customWidth="1"/>
    <col min="13828" max="13828" width="9.42578125" style="19" customWidth="1"/>
    <col min="13829" max="13835" width="9.140625" style="19"/>
    <col min="13836" max="13836" width="6.140625" style="19" customWidth="1"/>
    <col min="13837" max="13837" width="7" style="19" customWidth="1"/>
    <col min="13838" max="13838" width="4" style="19" customWidth="1"/>
    <col min="13839" max="13839" width="8.140625" style="19" customWidth="1"/>
    <col min="13840" max="13840" width="6.28515625" style="19" customWidth="1"/>
    <col min="13841" max="13841" width="6.42578125" style="19" customWidth="1"/>
    <col min="13842" max="13842" width="7" style="19" customWidth="1"/>
    <col min="13843" max="13843" width="7.140625" style="19" customWidth="1"/>
    <col min="13844" max="13844" width="7" style="19" customWidth="1"/>
    <col min="13845" max="13845" width="9.140625" style="19"/>
    <col min="13846" max="13846" width="12.42578125" style="19" customWidth="1"/>
    <col min="13847" max="13848" width="9.140625" style="19"/>
    <col min="13849" max="13849" width="9.140625" style="19" customWidth="1"/>
    <col min="13850" max="13850" width="7.42578125" style="19" customWidth="1"/>
    <col min="13851" max="13851" width="6.5703125" style="19" customWidth="1"/>
    <col min="13852" max="13852" width="0.140625" style="19" customWidth="1"/>
    <col min="13853" max="13853" width="2.85546875" style="19" customWidth="1"/>
    <col min="13854" max="14080" width="9.140625" style="19"/>
    <col min="14081" max="14081" width="0.140625" style="19" customWidth="1"/>
    <col min="14082" max="14082" width="9.140625" style="19"/>
    <col min="14083" max="14083" width="10.7109375" style="19" bestFit="1" customWidth="1"/>
    <col min="14084" max="14084" width="9.42578125" style="19" customWidth="1"/>
    <col min="14085" max="14091" width="9.140625" style="19"/>
    <col min="14092" max="14092" width="6.140625" style="19" customWidth="1"/>
    <col min="14093" max="14093" width="7" style="19" customWidth="1"/>
    <col min="14094" max="14094" width="4" style="19" customWidth="1"/>
    <col min="14095" max="14095" width="8.140625" style="19" customWidth="1"/>
    <col min="14096" max="14096" width="6.28515625" style="19" customWidth="1"/>
    <col min="14097" max="14097" width="6.42578125" style="19" customWidth="1"/>
    <col min="14098" max="14098" width="7" style="19" customWidth="1"/>
    <col min="14099" max="14099" width="7.140625" style="19" customWidth="1"/>
    <col min="14100" max="14100" width="7" style="19" customWidth="1"/>
    <col min="14101" max="14101" width="9.140625" style="19"/>
    <col min="14102" max="14102" width="12.42578125" style="19" customWidth="1"/>
    <col min="14103" max="14104" width="9.140625" style="19"/>
    <col min="14105" max="14105" width="9.140625" style="19" customWidth="1"/>
    <col min="14106" max="14106" width="7.42578125" style="19" customWidth="1"/>
    <col min="14107" max="14107" width="6.5703125" style="19" customWidth="1"/>
    <col min="14108" max="14108" width="0.140625" style="19" customWidth="1"/>
    <col min="14109" max="14109" width="2.85546875" style="19" customWidth="1"/>
    <col min="14110" max="14336" width="9.140625" style="19"/>
    <col min="14337" max="14337" width="0.140625" style="19" customWidth="1"/>
    <col min="14338" max="14338" width="9.140625" style="19"/>
    <col min="14339" max="14339" width="10.7109375" style="19" bestFit="1" customWidth="1"/>
    <col min="14340" max="14340" width="9.42578125" style="19" customWidth="1"/>
    <col min="14341" max="14347" width="9.140625" style="19"/>
    <col min="14348" max="14348" width="6.140625" style="19" customWidth="1"/>
    <col min="14349" max="14349" width="7" style="19" customWidth="1"/>
    <col min="14350" max="14350" width="4" style="19" customWidth="1"/>
    <col min="14351" max="14351" width="8.140625" style="19" customWidth="1"/>
    <col min="14352" max="14352" width="6.28515625" style="19" customWidth="1"/>
    <col min="14353" max="14353" width="6.42578125" style="19" customWidth="1"/>
    <col min="14354" max="14354" width="7" style="19" customWidth="1"/>
    <col min="14355" max="14355" width="7.140625" style="19" customWidth="1"/>
    <col min="14356" max="14356" width="7" style="19" customWidth="1"/>
    <col min="14357" max="14357" width="9.140625" style="19"/>
    <col min="14358" max="14358" width="12.42578125" style="19" customWidth="1"/>
    <col min="14359" max="14360" width="9.140625" style="19"/>
    <col min="14361" max="14361" width="9.140625" style="19" customWidth="1"/>
    <col min="14362" max="14362" width="7.42578125" style="19" customWidth="1"/>
    <col min="14363" max="14363" width="6.5703125" style="19" customWidth="1"/>
    <col min="14364" max="14364" width="0.140625" style="19" customWidth="1"/>
    <col min="14365" max="14365" width="2.85546875" style="19" customWidth="1"/>
    <col min="14366" max="14592" width="9.140625" style="19"/>
    <col min="14593" max="14593" width="0.140625" style="19" customWidth="1"/>
    <col min="14594" max="14594" width="9.140625" style="19"/>
    <col min="14595" max="14595" width="10.7109375" style="19" bestFit="1" customWidth="1"/>
    <col min="14596" max="14596" width="9.42578125" style="19" customWidth="1"/>
    <col min="14597" max="14603" width="9.140625" style="19"/>
    <col min="14604" max="14604" width="6.140625" style="19" customWidth="1"/>
    <col min="14605" max="14605" width="7" style="19" customWidth="1"/>
    <col min="14606" max="14606" width="4" style="19" customWidth="1"/>
    <col min="14607" max="14607" width="8.140625" style="19" customWidth="1"/>
    <col min="14608" max="14608" width="6.28515625" style="19" customWidth="1"/>
    <col min="14609" max="14609" width="6.42578125" style="19" customWidth="1"/>
    <col min="14610" max="14610" width="7" style="19" customWidth="1"/>
    <col min="14611" max="14611" width="7.140625" style="19" customWidth="1"/>
    <col min="14612" max="14612" width="7" style="19" customWidth="1"/>
    <col min="14613" max="14613" width="9.140625" style="19"/>
    <col min="14614" max="14614" width="12.42578125" style="19" customWidth="1"/>
    <col min="14615" max="14616" width="9.140625" style="19"/>
    <col min="14617" max="14617" width="9.140625" style="19" customWidth="1"/>
    <col min="14618" max="14618" width="7.42578125" style="19" customWidth="1"/>
    <col min="14619" max="14619" width="6.5703125" style="19" customWidth="1"/>
    <col min="14620" max="14620" width="0.140625" style="19" customWidth="1"/>
    <col min="14621" max="14621" width="2.85546875" style="19" customWidth="1"/>
    <col min="14622" max="14848" width="9.140625" style="19"/>
    <col min="14849" max="14849" width="0.140625" style="19" customWidth="1"/>
    <col min="14850" max="14850" width="9.140625" style="19"/>
    <col min="14851" max="14851" width="10.7109375" style="19" bestFit="1" customWidth="1"/>
    <col min="14852" max="14852" width="9.42578125" style="19" customWidth="1"/>
    <col min="14853" max="14859" width="9.140625" style="19"/>
    <col min="14860" max="14860" width="6.140625" style="19" customWidth="1"/>
    <col min="14861" max="14861" width="7" style="19" customWidth="1"/>
    <col min="14862" max="14862" width="4" style="19" customWidth="1"/>
    <col min="14863" max="14863" width="8.140625" style="19" customWidth="1"/>
    <col min="14864" max="14864" width="6.28515625" style="19" customWidth="1"/>
    <col min="14865" max="14865" width="6.42578125" style="19" customWidth="1"/>
    <col min="14866" max="14866" width="7" style="19" customWidth="1"/>
    <col min="14867" max="14867" width="7.140625" style="19" customWidth="1"/>
    <col min="14868" max="14868" width="7" style="19" customWidth="1"/>
    <col min="14869" max="14869" width="9.140625" style="19"/>
    <col min="14870" max="14870" width="12.42578125" style="19" customWidth="1"/>
    <col min="14871" max="14872" width="9.140625" style="19"/>
    <col min="14873" max="14873" width="9.140625" style="19" customWidth="1"/>
    <col min="14874" max="14874" width="7.42578125" style="19" customWidth="1"/>
    <col min="14875" max="14875" width="6.5703125" style="19" customWidth="1"/>
    <col min="14876" max="14876" width="0.140625" style="19" customWidth="1"/>
    <col min="14877" max="14877" width="2.85546875" style="19" customWidth="1"/>
    <col min="14878" max="15104" width="9.140625" style="19"/>
    <col min="15105" max="15105" width="0.140625" style="19" customWidth="1"/>
    <col min="15106" max="15106" width="9.140625" style="19"/>
    <col min="15107" max="15107" width="10.7109375" style="19" bestFit="1" customWidth="1"/>
    <col min="15108" max="15108" width="9.42578125" style="19" customWidth="1"/>
    <col min="15109" max="15115" width="9.140625" style="19"/>
    <col min="15116" max="15116" width="6.140625" style="19" customWidth="1"/>
    <col min="15117" max="15117" width="7" style="19" customWidth="1"/>
    <col min="15118" max="15118" width="4" style="19" customWidth="1"/>
    <col min="15119" max="15119" width="8.140625" style="19" customWidth="1"/>
    <col min="15120" max="15120" width="6.28515625" style="19" customWidth="1"/>
    <col min="15121" max="15121" width="6.42578125" style="19" customWidth="1"/>
    <col min="15122" max="15122" width="7" style="19" customWidth="1"/>
    <col min="15123" max="15123" width="7.140625" style="19" customWidth="1"/>
    <col min="15124" max="15124" width="7" style="19" customWidth="1"/>
    <col min="15125" max="15125" width="9.140625" style="19"/>
    <col min="15126" max="15126" width="12.42578125" style="19" customWidth="1"/>
    <col min="15127" max="15128" width="9.140625" style="19"/>
    <col min="15129" max="15129" width="9.140625" style="19" customWidth="1"/>
    <col min="15130" max="15130" width="7.42578125" style="19" customWidth="1"/>
    <col min="15131" max="15131" width="6.5703125" style="19" customWidth="1"/>
    <col min="15132" max="15132" width="0.140625" style="19" customWidth="1"/>
    <col min="15133" max="15133" width="2.85546875" style="19" customWidth="1"/>
    <col min="15134" max="15360" width="9.140625" style="19"/>
    <col min="15361" max="15361" width="0.140625" style="19" customWidth="1"/>
    <col min="15362" max="15362" width="9.140625" style="19"/>
    <col min="15363" max="15363" width="10.7109375" style="19" bestFit="1" customWidth="1"/>
    <col min="15364" max="15364" width="9.42578125" style="19" customWidth="1"/>
    <col min="15365" max="15371" width="9.140625" style="19"/>
    <col min="15372" max="15372" width="6.140625" style="19" customWidth="1"/>
    <col min="15373" max="15373" width="7" style="19" customWidth="1"/>
    <col min="15374" max="15374" width="4" style="19" customWidth="1"/>
    <col min="15375" max="15375" width="8.140625" style="19" customWidth="1"/>
    <col min="15376" max="15376" width="6.28515625" style="19" customWidth="1"/>
    <col min="15377" max="15377" width="6.42578125" style="19" customWidth="1"/>
    <col min="15378" max="15378" width="7" style="19" customWidth="1"/>
    <col min="15379" max="15379" width="7.140625" style="19" customWidth="1"/>
    <col min="15380" max="15380" width="7" style="19" customWidth="1"/>
    <col min="15381" max="15381" width="9.140625" style="19"/>
    <col min="15382" max="15382" width="12.42578125" style="19" customWidth="1"/>
    <col min="15383" max="15384" width="9.140625" style="19"/>
    <col min="15385" max="15385" width="9.140625" style="19" customWidth="1"/>
    <col min="15386" max="15386" width="7.42578125" style="19" customWidth="1"/>
    <col min="15387" max="15387" width="6.5703125" style="19" customWidth="1"/>
    <col min="15388" max="15388" width="0.140625" style="19" customWidth="1"/>
    <col min="15389" max="15389" width="2.85546875" style="19" customWidth="1"/>
    <col min="15390" max="15616" width="9.140625" style="19"/>
    <col min="15617" max="15617" width="0.140625" style="19" customWidth="1"/>
    <col min="15618" max="15618" width="9.140625" style="19"/>
    <col min="15619" max="15619" width="10.7109375" style="19" bestFit="1" customWidth="1"/>
    <col min="15620" max="15620" width="9.42578125" style="19" customWidth="1"/>
    <col min="15621" max="15627" width="9.140625" style="19"/>
    <col min="15628" max="15628" width="6.140625" style="19" customWidth="1"/>
    <col min="15629" max="15629" width="7" style="19" customWidth="1"/>
    <col min="15630" max="15630" width="4" style="19" customWidth="1"/>
    <col min="15631" max="15631" width="8.140625" style="19" customWidth="1"/>
    <col min="15632" max="15632" width="6.28515625" style="19" customWidth="1"/>
    <col min="15633" max="15633" width="6.42578125" style="19" customWidth="1"/>
    <col min="15634" max="15634" width="7" style="19" customWidth="1"/>
    <col min="15635" max="15635" width="7.140625" style="19" customWidth="1"/>
    <col min="15636" max="15636" width="7" style="19" customWidth="1"/>
    <col min="15637" max="15637" width="9.140625" style="19"/>
    <col min="15638" max="15638" width="12.42578125" style="19" customWidth="1"/>
    <col min="15639" max="15640" width="9.140625" style="19"/>
    <col min="15641" max="15641" width="9.140625" style="19" customWidth="1"/>
    <col min="15642" max="15642" width="7.42578125" style="19" customWidth="1"/>
    <col min="15643" max="15643" width="6.5703125" style="19" customWidth="1"/>
    <col min="15644" max="15644" width="0.140625" style="19" customWidth="1"/>
    <col min="15645" max="15645" width="2.85546875" style="19" customWidth="1"/>
    <col min="15646" max="15872" width="9.140625" style="19"/>
    <col min="15873" max="15873" width="0.140625" style="19" customWidth="1"/>
    <col min="15874" max="15874" width="9.140625" style="19"/>
    <col min="15875" max="15875" width="10.7109375" style="19" bestFit="1" customWidth="1"/>
    <col min="15876" max="15876" width="9.42578125" style="19" customWidth="1"/>
    <col min="15877" max="15883" width="9.140625" style="19"/>
    <col min="15884" max="15884" width="6.140625" style="19" customWidth="1"/>
    <col min="15885" max="15885" width="7" style="19" customWidth="1"/>
    <col min="15886" max="15886" width="4" style="19" customWidth="1"/>
    <col min="15887" max="15887" width="8.140625" style="19" customWidth="1"/>
    <col min="15888" max="15888" width="6.28515625" style="19" customWidth="1"/>
    <col min="15889" max="15889" width="6.42578125" style="19" customWidth="1"/>
    <col min="15890" max="15890" width="7" style="19" customWidth="1"/>
    <col min="15891" max="15891" width="7.140625" style="19" customWidth="1"/>
    <col min="15892" max="15892" width="7" style="19" customWidth="1"/>
    <col min="15893" max="15893" width="9.140625" style="19"/>
    <col min="15894" max="15894" width="12.42578125" style="19" customWidth="1"/>
    <col min="15895" max="15896" width="9.140625" style="19"/>
    <col min="15897" max="15897" width="9.140625" style="19" customWidth="1"/>
    <col min="15898" max="15898" width="7.42578125" style="19" customWidth="1"/>
    <col min="15899" max="15899" width="6.5703125" style="19" customWidth="1"/>
    <col min="15900" max="15900" width="0.140625" style="19" customWidth="1"/>
    <col min="15901" max="15901" width="2.85546875" style="19" customWidth="1"/>
    <col min="15902" max="16128" width="9.140625" style="19"/>
    <col min="16129" max="16129" width="0.140625" style="19" customWidth="1"/>
    <col min="16130" max="16130" width="9.140625" style="19"/>
    <col min="16131" max="16131" width="10.7109375" style="19" bestFit="1" customWidth="1"/>
    <col min="16132" max="16132" width="9.42578125" style="19" customWidth="1"/>
    <col min="16133" max="16139" width="9.140625" style="19"/>
    <col min="16140" max="16140" width="6.140625" style="19" customWidth="1"/>
    <col min="16141" max="16141" width="7" style="19" customWidth="1"/>
    <col min="16142" max="16142" width="4" style="19" customWidth="1"/>
    <col min="16143" max="16143" width="8.140625" style="19" customWidth="1"/>
    <col min="16144" max="16144" width="6.28515625" style="19" customWidth="1"/>
    <col min="16145" max="16145" width="6.42578125" style="19" customWidth="1"/>
    <col min="16146" max="16146" width="7" style="19" customWidth="1"/>
    <col min="16147" max="16147" width="7.140625" style="19" customWidth="1"/>
    <col min="16148" max="16148" width="7" style="19" customWidth="1"/>
    <col min="16149" max="16149" width="9.140625" style="19"/>
    <col min="16150" max="16150" width="12.42578125" style="19" customWidth="1"/>
    <col min="16151" max="16152" width="9.140625" style="19"/>
    <col min="16153" max="16153" width="9.140625" style="19" customWidth="1"/>
    <col min="16154" max="16154" width="7.42578125" style="19" customWidth="1"/>
    <col min="16155" max="16155" width="6.5703125" style="19" customWidth="1"/>
    <col min="16156" max="16156" width="0.140625" style="19" customWidth="1"/>
    <col min="16157" max="16157" width="2.85546875" style="19" customWidth="1"/>
    <col min="16158" max="16384" width="9.140625" style="19"/>
  </cols>
  <sheetData>
    <row r="1" spans="2:24" ht="21.4" customHeight="1">
      <c r="B1" s="17"/>
      <c r="C1" s="528"/>
      <c r="D1" s="528"/>
      <c r="E1" s="529" t="s">
        <v>213</v>
      </c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18"/>
      <c r="Q1" s="530" t="s">
        <v>14</v>
      </c>
      <c r="R1" s="530"/>
      <c r="S1" s="530"/>
      <c r="T1" s="531">
        <f>'SQ(Team A) Data'!L5</f>
        <v>43952</v>
      </c>
      <c r="U1" s="531"/>
      <c r="V1" s="531"/>
    </row>
    <row r="2" spans="2:24" ht="20.25" customHeight="1"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2:24" ht="15.95" customHeight="1">
      <c r="B3" s="20"/>
      <c r="C3" s="20"/>
      <c r="D3" s="20"/>
      <c r="E3" s="20"/>
      <c r="F3" s="21" t="s">
        <v>15</v>
      </c>
      <c r="G3" s="20"/>
      <c r="H3" s="20"/>
      <c r="I3" s="20"/>
      <c r="J3" s="20"/>
      <c r="L3" s="20"/>
      <c r="M3" s="20"/>
      <c r="N3" s="22"/>
      <c r="O3" s="20"/>
      <c r="P3" s="20"/>
      <c r="Q3" s="20"/>
      <c r="R3" s="20"/>
      <c r="V3" s="23"/>
    </row>
    <row r="4" spans="2:24" ht="16.5" customHeight="1">
      <c r="B4" s="21" t="s">
        <v>16</v>
      </c>
      <c r="C4" s="24"/>
      <c r="D4" s="24"/>
      <c r="N4" s="21"/>
      <c r="O4" s="21"/>
      <c r="Q4" s="25"/>
      <c r="R4" s="25"/>
      <c r="U4" s="26"/>
    </row>
    <row r="17" spans="2:25" ht="16.5" customHeight="1">
      <c r="B17" s="21"/>
      <c r="C17" s="27"/>
      <c r="D17" s="27"/>
      <c r="E17" s="28"/>
      <c r="N17" s="29" t="s">
        <v>18</v>
      </c>
      <c r="O17" s="21"/>
      <c r="P17" s="21"/>
    </row>
    <row r="25" spans="2:25" ht="18">
      <c r="B25" s="21" t="s">
        <v>17</v>
      </c>
    </row>
    <row r="26" spans="2:25" ht="14.25" customHeight="1">
      <c r="C26" s="30"/>
      <c r="D26" s="30"/>
      <c r="E26" s="31"/>
      <c r="F26" s="31"/>
      <c r="G26" s="31"/>
      <c r="H26" s="31"/>
    </row>
    <row r="27" spans="2:25" ht="14.25" customHeight="1">
      <c r="C27" s="30"/>
      <c r="D27" s="30"/>
      <c r="E27" s="31"/>
      <c r="F27" s="31"/>
      <c r="G27" s="31"/>
      <c r="H27" s="31"/>
    </row>
    <row r="30" spans="2:25" ht="15.95" customHeight="1">
      <c r="B30" s="21"/>
      <c r="N30" s="29" t="s">
        <v>19</v>
      </c>
      <c r="Y30" s="32"/>
    </row>
    <row r="42" spans="2:27" ht="18">
      <c r="B42" s="21" t="s">
        <v>20</v>
      </c>
      <c r="N42" s="33"/>
      <c r="O42" s="33"/>
      <c r="P42" s="34"/>
      <c r="Q42" s="35"/>
      <c r="R42" s="35"/>
      <c r="S42" s="35"/>
      <c r="T42" s="36"/>
      <c r="U42" s="36"/>
      <c r="V42" s="37"/>
      <c r="W42" s="36"/>
      <c r="X42" s="36"/>
      <c r="Y42" s="36"/>
      <c r="Z42" s="38"/>
      <c r="AA42" s="38"/>
    </row>
    <row r="43" spans="2:27" ht="13.5" customHeight="1">
      <c r="C43" s="24"/>
      <c r="D43" s="24"/>
      <c r="E43" s="39"/>
      <c r="N43" s="40"/>
      <c r="O43" s="41"/>
      <c r="P43" s="41"/>
      <c r="Q43" s="42"/>
      <c r="R43" s="42"/>
      <c r="S43" s="42"/>
      <c r="T43" s="43"/>
      <c r="U43" s="44"/>
      <c r="V43" s="45"/>
      <c r="W43" s="41"/>
      <c r="X43" s="44"/>
      <c r="Y43" s="44"/>
      <c r="Z43" s="41"/>
      <c r="AA43" s="41"/>
    </row>
    <row r="44" spans="2:27" ht="13.5" customHeight="1">
      <c r="C44" s="24"/>
      <c r="D44" s="24"/>
      <c r="E44" s="39"/>
      <c r="N44" s="46"/>
      <c r="O44" s="47"/>
      <c r="P44" s="48"/>
      <c r="Q44" s="49"/>
      <c r="R44" s="49"/>
      <c r="S44" s="49"/>
      <c r="T44" s="50"/>
      <c r="U44" s="44"/>
      <c r="V44" s="44"/>
      <c r="W44" s="44"/>
      <c r="X44" s="44"/>
      <c r="Y44" s="44"/>
      <c r="Z44" s="44"/>
      <c r="AA44" s="41"/>
    </row>
    <row r="45" spans="2:27">
      <c r="N45" s="46"/>
      <c r="O45" s="51"/>
      <c r="P45" s="48"/>
      <c r="Q45" s="49"/>
      <c r="R45" s="49"/>
      <c r="S45" s="49"/>
      <c r="T45" s="44"/>
      <c r="U45" s="44"/>
      <c r="V45" s="44"/>
      <c r="W45" s="44"/>
      <c r="X45" s="44"/>
      <c r="Y45" s="44"/>
      <c r="Z45" s="44"/>
      <c r="AA45" s="44"/>
    </row>
    <row r="46" spans="2:27">
      <c r="N46" s="46"/>
      <c r="O46" s="51"/>
      <c r="P46" s="48"/>
      <c r="Q46" s="49"/>
      <c r="R46" s="49"/>
      <c r="S46" s="49"/>
      <c r="T46" s="50"/>
      <c r="U46" s="44"/>
      <c r="V46" s="44"/>
      <c r="W46" s="44"/>
      <c r="X46" s="44"/>
      <c r="Y46" s="44"/>
      <c r="Z46" s="44"/>
      <c r="AA46" s="44"/>
    </row>
    <row r="47" spans="2:27">
      <c r="N47" s="46"/>
      <c r="O47" s="47"/>
      <c r="P47" s="48"/>
      <c r="Q47" s="49"/>
      <c r="R47" s="49"/>
      <c r="S47" s="49"/>
      <c r="T47" s="52"/>
      <c r="U47" s="44"/>
      <c r="V47" s="44"/>
      <c r="W47" s="44"/>
      <c r="X47" s="44"/>
      <c r="Y47" s="44"/>
      <c r="Z47" s="44"/>
      <c r="AA47" s="41"/>
    </row>
    <row r="48" spans="2:27">
      <c r="N48" s="46"/>
      <c r="O48" s="51"/>
      <c r="P48" s="48"/>
      <c r="Q48" s="49"/>
      <c r="R48" s="49"/>
      <c r="S48" s="49"/>
      <c r="T48" s="50"/>
      <c r="U48" s="44"/>
      <c r="V48" s="44"/>
      <c r="W48" s="44"/>
      <c r="X48" s="44"/>
      <c r="Y48" s="44"/>
      <c r="Z48" s="44"/>
      <c r="AA48" s="41"/>
    </row>
    <row r="49" spans="2:27">
      <c r="N49" s="46"/>
      <c r="O49" s="51"/>
      <c r="P49" s="48"/>
      <c r="Q49" s="49"/>
      <c r="R49" s="49"/>
      <c r="S49" s="49"/>
      <c r="T49" s="50"/>
      <c r="U49" s="44"/>
      <c r="V49" s="44"/>
      <c r="W49" s="44"/>
      <c r="X49" s="44"/>
      <c r="Y49" s="44"/>
      <c r="Z49" s="44"/>
      <c r="AA49" s="44"/>
    </row>
    <row r="50" spans="2:27">
      <c r="N50" s="46"/>
      <c r="O50" s="47"/>
      <c r="P50" s="48"/>
      <c r="Q50" s="49"/>
      <c r="R50" s="49"/>
      <c r="S50" s="49"/>
      <c r="T50" s="44"/>
      <c r="U50" s="44"/>
      <c r="V50" s="44"/>
      <c r="W50" s="44"/>
      <c r="X50" s="44"/>
      <c r="Y50" s="44"/>
      <c r="Z50" s="44"/>
      <c r="AA50" s="44"/>
    </row>
    <row r="51" spans="2:27" ht="13.5" customHeight="1">
      <c r="C51" s="53"/>
      <c r="D51" s="53"/>
      <c r="E51" s="31"/>
      <c r="N51" s="46"/>
      <c r="O51" s="51"/>
      <c r="P51" s="48"/>
      <c r="Q51" s="49"/>
      <c r="R51" s="49"/>
      <c r="S51" s="49"/>
      <c r="T51" s="46"/>
      <c r="U51" s="44"/>
      <c r="V51" s="44"/>
      <c r="W51" s="44"/>
      <c r="X51" s="44"/>
      <c r="Y51" s="44"/>
      <c r="Z51" s="44"/>
      <c r="AA51" s="44"/>
    </row>
    <row r="52" spans="2:27" ht="13.5" customHeight="1">
      <c r="B52" s="53"/>
      <c r="C52" s="53"/>
      <c r="D52" s="53"/>
      <c r="E52" s="31"/>
      <c r="N52" s="46"/>
      <c r="O52" s="51"/>
      <c r="P52" s="48"/>
      <c r="Q52" s="49"/>
      <c r="R52" s="49"/>
      <c r="S52" s="49"/>
      <c r="T52" s="44"/>
      <c r="U52" s="44"/>
      <c r="V52" s="44"/>
      <c r="W52" s="44"/>
      <c r="X52" s="44"/>
      <c r="Y52" s="44"/>
      <c r="Z52" s="44"/>
      <c r="AA52" s="44"/>
    </row>
    <row r="53" spans="2:27" ht="13.5" customHeight="1">
      <c r="N53" s="46"/>
      <c r="O53" s="47"/>
      <c r="P53" s="48"/>
      <c r="Q53" s="49"/>
      <c r="R53" s="49"/>
      <c r="S53" s="49"/>
      <c r="T53" s="44"/>
      <c r="U53" s="44"/>
      <c r="V53" s="44"/>
      <c r="W53" s="44"/>
      <c r="X53" s="44"/>
      <c r="Y53" s="44"/>
      <c r="Z53" s="44"/>
      <c r="AA53" s="44"/>
    </row>
    <row r="54" spans="2:27">
      <c r="N54" s="46"/>
      <c r="O54" s="51"/>
      <c r="P54" s="48"/>
      <c r="Q54" s="49"/>
      <c r="R54" s="49"/>
      <c r="S54" s="49"/>
      <c r="T54" s="46"/>
      <c r="U54" s="44"/>
      <c r="V54" s="44"/>
      <c r="W54" s="44"/>
      <c r="X54" s="44"/>
      <c r="Y54" s="44"/>
      <c r="Z54" s="44"/>
      <c r="AA54" s="44"/>
    </row>
    <row r="55" spans="2:27">
      <c r="N55" s="46"/>
      <c r="O55" s="51"/>
      <c r="P55" s="48"/>
      <c r="Q55" s="49"/>
      <c r="R55" s="49"/>
      <c r="S55" s="49"/>
      <c r="T55" s="46"/>
      <c r="U55" s="44"/>
      <c r="V55" s="44"/>
      <c r="W55" s="44"/>
      <c r="X55" s="44"/>
      <c r="Y55" s="44"/>
      <c r="Z55" s="44"/>
      <c r="AA55" s="44"/>
    </row>
    <row r="56" spans="2:27">
      <c r="N56" s="46"/>
      <c r="O56" s="51"/>
      <c r="P56" s="48"/>
      <c r="Q56" s="49"/>
      <c r="R56" s="49"/>
      <c r="S56" s="49"/>
      <c r="T56" s="46"/>
      <c r="U56" s="44"/>
      <c r="V56" s="44"/>
      <c r="W56" s="44"/>
      <c r="X56" s="44"/>
      <c r="Y56" s="44"/>
      <c r="Z56" s="44"/>
      <c r="AA56" s="44"/>
    </row>
    <row r="57" spans="2:27">
      <c r="N57" s="46"/>
      <c r="O57" s="51"/>
      <c r="P57" s="48"/>
      <c r="Q57" s="49"/>
      <c r="R57" s="49"/>
      <c r="S57" s="49"/>
      <c r="T57" s="46"/>
      <c r="U57" s="44"/>
      <c r="V57" s="44"/>
      <c r="W57" s="44"/>
      <c r="X57" s="44"/>
      <c r="Y57" s="44"/>
      <c r="Z57" s="44"/>
      <c r="AA57" s="44"/>
    </row>
    <row r="58" spans="2:27">
      <c r="N58" s="46"/>
      <c r="O58" s="51"/>
      <c r="P58" s="48"/>
      <c r="Q58" s="49"/>
      <c r="R58" s="49"/>
      <c r="S58" s="49"/>
      <c r="T58" s="46"/>
      <c r="U58" s="44"/>
      <c r="V58" s="44"/>
      <c r="W58" s="44"/>
      <c r="X58" s="44"/>
      <c r="Y58" s="44"/>
      <c r="Z58" s="44"/>
      <c r="AA58" s="44"/>
    </row>
    <row r="59" spans="2:27">
      <c r="N59" s="46"/>
      <c r="O59" s="51"/>
      <c r="P59" s="48"/>
      <c r="Q59" s="49"/>
      <c r="R59" s="49"/>
      <c r="S59" s="49"/>
      <c r="T59" s="46"/>
      <c r="U59" s="44"/>
      <c r="V59" s="44"/>
      <c r="W59" s="44"/>
      <c r="X59" s="44"/>
      <c r="Y59" s="44"/>
      <c r="Z59" s="44"/>
      <c r="AA59" s="44"/>
    </row>
    <row r="60" spans="2:27">
      <c r="N60" s="46"/>
      <c r="O60" s="51"/>
      <c r="P60" s="48"/>
      <c r="Q60" s="49"/>
      <c r="R60" s="49"/>
      <c r="S60" s="49"/>
      <c r="T60" s="46"/>
      <c r="U60" s="44"/>
      <c r="V60" s="44"/>
      <c r="W60" s="44"/>
      <c r="X60" s="44"/>
      <c r="Y60" s="44"/>
      <c r="Z60" s="44"/>
      <c r="AA60" s="44"/>
    </row>
    <row r="61" spans="2:27">
      <c r="N61" s="46"/>
      <c r="O61" s="51"/>
      <c r="P61" s="48"/>
      <c r="Q61" s="49"/>
      <c r="R61" s="49"/>
      <c r="S61" s="49"/>
      <c r="T61" s="46"/>
      <c r="U61" s="44"/>
      <c r="V61" s="44"/>
      <c r="W61" s="44"/>
      <c r="X61" s="44"/>
      <c r="Y61" s="44"/>
      <c r="Z61" s="44"/>
      <c r="AA61" s="44"/>
    </row>
    <row r="62" spans="2:27">
      <c r="N62" s="46"/>
      <c r="O62" s="51"/>
      <c r="P62" s="48"/>
      <c r="Q62" s="49"/>
      <c r="R62" s="49"/>
      <c r="S62" s="49"/>
      <c r="T62" s="46"/>
      <c r="U62" s="44"/>
      <c r="V62" s="44"/>
      <c r="W62" s="44"/>
      <c r="X62" s="44"/>
      <c r="Y62" s="44"/>
      <c r="Z62" s="44"/>
      <c r="AA62" s="44"/>
    </row>
    <row r="63" spans="2:27">
      <c r="N63" s="46"/>
      <c r="O63" s="51"/>
      <c r="P63" s="48"/>
      <c r="Q63" s="49"/>
      <c r="R63" s="49"/>
      <c r="S63" s="49"/>
      <c r="T63" s="46"/>
      <c r="U63" s="44"/>
      <c r="V63" s="44"/>
      <c r="W63" s="44"/>
      <c r="X63" s="44"/>
      <c r="Y63" s="44"/>
      <c r="Z63" s="44"/>
      <c r="AA63" s="44"/>
    </row>
    <row r="64" spans="2:27">
      <c r="B64" s="536" t="s">
        <v>198</v>
      </c>
      <c r="C64" s="536"/>
      <c r="D64" s="536"/>
      <c r="N64" s="46"/>
      <c r="O64" s="51"/>
      <c r="P64" s="48"/>
      <c r="Q64" s="49"/>
      <c r="R64" s="49"/>
      <c r="S64" s="49"/>
      <c r="T64" s="46"/>
      <c r="U64" s="44"/>
      <c r="V64" s="44"/>
      <c r="W64" s="44"/>
      <c r="X64" s="44"/>
      <c r="Y64" s="44"/>
      <c r="Z64" s="44"/>
      <c r="AA64" s="44"/>
    </row>
    <row r="65" spans="2:27">
      <c r="B65" s="536"/>
      <c r="C65" s="536"/>
      <c r="D65" s="536"/>
      <c r="N65" s="46"/>
      <c r="O65" s="51"/>
      <c r="P65" s="48"/>
      <c r="Q65" s="49"/>
      <c r="R65" s="49"/>
      <c r="S65" s="49"/>
      <c r="T65" s="46"/>
      <c r="U65" s="44"/>
      <c r="V65" s="44"/>
      <c r="W65" s="44"/>
      <c r="X65" s="44"/>
      <c r="Y65" s="44"/>
      <c r="Z65" s="44"/>
      <c r="AA65" s="44"/>
    </row>
    <row r="66" spans="2:27">
      <c r="N66" s="46"/>
      <c r="O66" s="51"/>
      <c r="P66" s="48"/>
      <c r="Q66" s="49"/>
      <c r="R66" s="49"/>
      <c r="S66" s="49"/>
      <c r="T66" s="46"/>
      <c r="U66" s="44"/>
      <c r="V66" s="44"/>
      <c r="W66" s="44"/>
      <c r="X66" s="44"/>
      <c r="Y66" s="44"/>
      <c r="Z66" s="44"/>
      <c r="AA66" s="44"/>
    </row>
    <row r="67" spans="2:27">
      <c r="N67" s="46"/>
      <c r="O67" s="51"/>
      <c r="P67" s="48"/>
      <c r="Q67" s="49"/>
      <c r="R67" s="49"/>
      <c r="S67" s="49"/>
      <c r="T67" s="46"/>
      <c r="U67" s="44"/>
      <c r="V67" s="44"/>
      <c r="W67" s="44"/>
      <c r="X67" s="44"/>
      <c r="Y67" s="44"/>
      <c r="Z67" s="44"/>
      <c r="AA67" s="44"/>
    </row>
    <row r="68" spans="2:27">
      <c r="N68" s="46"/>
      <c r="O68" s="51"/>
      <c r="P68" s="48"/>
      <c r="Q68" s="49"/>
      <c r="R68" s="49"/>
      <c r="S68" s="49"/>
      <c r="T68" s="46"/>
      <c r="U68" s="44"/>
      <c r="V68" s="44"/>
      <c r="W68" s="44"/>
      <c r="X68" s="44"/>
      <c r="Y68" s="44"/>
      <c r="Z68" s="44"/>
      <c r="AA68" s="44"/>
    </row>
    <row r="69" spans="2:27">
      <c r="N69" s="46"/>
      <c r="O69" s="51"/>
      <c r="P69" s="48"/>
      <c r="Q69" s="49"/>
      <c r="R69" s="49"/>
      <c r="S69" s="49"/>
      <c r="T69" s="46"/>
      <c r="U69" s="44"/>
      <c r="V69" s="44"/>
      <c r="W69" s="44"/>
      <c r="X69" s="44"/>
      <c r="Y69" s="44"/>
      <c r="Z69" s="44"/>
      <c r="AA69" s="44"/>
    </row>
    <row r="70" spans="2:27">
      <c r="N70" s="46"/>
      <c r="O70" s="51"/>
      <c r="P70" s="48"/>
      <c r="Q70" s="49"/>
      <c r="R70" s="49"/>
      <c r="S70" s="49"/>
      <c r="T70" s="46"/>
      <c r="U70" s="44"/>
      <c r="V70" s="44"/>
      <c r="W70" s="44"/>
      <c r="X70" s="44"/>
      <c r="Y70" s="44"/>
      <c r="Z70" s="44"/>
      <c r="AA70" s="44"/>
    </row>
    <row r="71" spans="2:27">
      <c r="N71" s="46"/>
      <c r="O71" s="51"/>
      <c r="P71" s="48"/>
      <c r="Q71" s="49"/>
      <c r="R71" s="49"/>
      <c r="S71" s="49"/>
      <c r="T71" s="46"/>
      <c r="U71" s="44"/>
      <c r="V71" s="44"/>
      <c r="W71" s="44"/>
      <c r="X71" s="44"/>
      <c r="Y71" s="44"/>
      <c r="Z71" s="44"/>
      <c r="AA71" s="44"/>
    </row>
    <row r="72" spans="2:27">
      <c r="N72" s="46"/>
      <c r="O72" s="51"/>
      <c r="P72" s="48"/>
      <c r="Q72" s="49"/>
      <c r="R72" s="49"/>
      <c r="S72" s="49"/>
      <c r="T72" s="46"/>
      <c r="U72" s="44"/>
      <c r="V72" s="44"/>
      <c r="W72" s="44"/>
      <c r="X72" s="44"/>
      <c r="Y72" s="44"/>
      <c r="Z72" s="44"/>
      <c r="AA72" s="44"/>
    </row>
    <row r="73" spans="2:27">
      <c r="N73" s="46"/>
      <c r="O73" s="51"/>
      <c r="P73" s="48"/>
      <c r="Q73" s="49"/>
      <c r="R73" s="49"/>
      <c r="S73" s="49"/>
      <c r="T73" s="46"/>
      <c r="U73" s="44"/>
      <c r="V73" s="44"/>
      <c r="W73" s="44"/>
      <c r="X73" s="44"/>
      <c r="Y73" s="44"/>
      <c r="Z73" s="44"/>
      <c r="AA73" s="44"/>
    </row>
    <row r="74" spans="2:27">
      <c r="N74" s="46"/>
      <c r="O74" s="51"/>
      <c r="P74" s="48"/>
      <c r="Q74" s="49"/>
      <c r="R74" s="49"/>
      <c r="S74" s="49"/>
      <c r="T74" s="46"/>
      <c r="U74" s="44"/>
      <c r="V74" s="44"/>
      <c r="W74" s="44"/>
      <c r="X74" s="44"/>
      <c r="Y74" s="44"/>
      <c r="Z74" s="44"/>
      <c r="AA74" s="44"/>
    </row>
    <row r="75" spans="2:27">
      <c r="N75" s="46"/>
      <c r="O75" s="51"/>
      <c r="P75" s="48"/>
      <c r="Q75" s="49"/>
      <c r="R75" s="49"/>
      <c r="S75" s="49"/>
      <c r="T75" s="46"/>
      <c r="U75" s="44"/>
      <c r="V75" s="44"/>
      <c r="W75" s="44"/>
      <c r="X75" s="44"/>
      <c r="Y75" s="44"/>
      <c r="Z75" s="44"/>
      <c r="AA75" s="44"/>
    </row>
    <row r="76" spans="2:27">
      <c r="N76" s="46"/>
      <c r="O76" s="51"/>
      <c r="P76" s="48"/>
      <c r="Q76" s="49"/>
      <c r="R76" s="49"/>
      <c r="S76" s="49"/>
      <c r="T76" s="46"/>
      <c r="U76" s="44"/>
      <c r="V76" s="44"/>
      <c r="W76" s="44"/>
      <c r="X76" s="44"/>
      <c r="Y76" s="44"/>
      <c r="Z76" s="44"/>
      <c r="AA76" s="44"/>
    </row>
    <row r="77" spans="2:27" ht="14.25">
      <c r="B77" s="25" t="s">
        <v>21</v>
      </c>
      <c r="N77" s="46"/>
      <c r="O77" s="51"/>
      <c r="P77" s="48"/>
      <c r="Q77" s="49"/>
      <c r="R77" s="49"/>
      <c r="S77" s="49"/>
      <c r="T77" s="46"/>
      <c r="U77" s="44"/>
      <c r="V77" s="44"/>
      <c r="W77" s="44"/>
      <c r="X77" s="44"/>
      <c r="Y77" s="44"/>
      <c r="Z77" s="44"/>
      <c r="AA77" s="44"/>
    </row>
    <row r="78" spans="2:27">
      <c r="B78" s="54"/>
      <c r="C78" s="54"/>
      <c r="D78" s="55"/>
      <c r="E78" s="532" t="s">
        <v>22</v>
      </c>
      <c r="F78" s="533"/>
      <c r="G78" s="534"/>
      <c r="H78" s="56"/>
      <c r="I78" s="56"/>
      <c r="J78" s="56"/>
      <c r="K78" s="56"/>
      <c r="L78" s="56"/>
      <c r="M78" s="57"/>
      <c r="N78" s="58"/>
      <c r="O78" s="59"/>
      <c r="P78" s="60"/>
      <c r="Q78" s="61"/>
      <c r="R78" s="61"/>
      <c r="S78" s="61"/>
      <c r="T78" s="58"/>
      <c r="U78" s="56"/>
      <c r="V78" s="56"/>
      <c r="W78" s="56"/>
      <c r="X78" s="56"/>
      <c r="Y78" s="56"/>
      <c r="Z78" s="62"/>
      <c r="AA78" s="44"/>
    </row>
    <row r="79" spans="2:27">
      <c r="B79" s="63" t="s">
        <v>23</v>
      </c>
      <c r="C79" s="63" t="s">
        <v>24</v>
      </c>
      <c r="D79" s="64" t="s">
        <v>25</v>
      </c>
      <c r="E79" s="65" t="s">
        <v>26</v>
      </c>
      <c r="F79" s="66" t="s">
        <v>27</v>
      </c>
      <c r="G79" s="67" t="s">
        <v>28</v>
      </c>
      <c r="H79" s="535" t="s">
        <v>29</v>
      </c>
      <c r="I79" s="535"/>
      <c r="J79" s="535"/>
      <c r="K79" s="535"/>
      <c r="L79" s="535"/>
      <c r="M79" s="68"/>
      <c r="N79" s="69"/>
      <c r="O79" s="70"/>
      <c r="P79" s="71"/>
      <c r="Q79" s="72"/>
      <c r="R79" s="72"/>
      <c r="S79" s="72"/>
      <c r="T79" s="73"/>
      <c r="U79" s="74"/>
      <c r="V79" s="74"/>
      <c r="W79" s="74"/>
      <c r="X79" s="74"/>
      <c r="Y79" s="74"/>
      <c r="Z79" s="75"/>
      <c r="AA79" s="44"/>
    </row>
    <row r="80" spans="2:27" ht="15">
      <c r="B80" s="76">
        <v>1</v>
      </c>
      <c r="C80" s="77"/>
      <c r="D80" s="78"/>
      <c r="E80" s="79"/>
      <c r="F80" s="80"/>
      <c r="G80" s="81"/>
      <c r="H80" s="82"/>
      <c r="I80" s="83"/>
      <c r="J80" s="83"/>
      <c r="K80" s="83"/>
      <c r="L80" s="83"/>
      <c r="M80" s="84"/>
      <c r="N80" s="85"/>
      <c r="O80" s="86"/>
      <c r="P80" s="87"/>
      <c r="Q80" s="88"/>
      <c r="R80" s="88"/>
      <c r="S80" s="88"/>
      <c r="T80" s="89"/>
      <c r="U80" s="89"/>
      <c r="V80" s="89"/>
      <c r="W80" s="89"/>
      <c r="X80" s="89"/>
      <c r="Y80" s="89"/>
      <c r="Z80" s="90"/>
      <c r="AA80" s="44"/>
    </row>
    <row r="81" spans="2:27" ht="15">
      <c r="B81" s="91">
        <f>B80+1</f>
        <v>2</v>
      </c>
      <c r="C81" s="92"/>
      <c r="D81" s="93"/>
      <c r="E81" s="82"/>
      <c r="F81" s="94"/>
      <c r="G81" s="95"/>
      <c r="H81" s="82"/>
      <c r="I81" s="96"/>
      <c r="J81" s="96"/>
      <c r="K81" s="96"/>
      <c r="L81" s="96"/>
      <c r="M81" s="97"/>
      <c r="N81" s="98"/>
      <c r="O81" s="99"/>
      <c r="P81" s="100"/>
      <c r="Q81" s="101"/>
      <c r="R81" s="101"/>
      <c r="S81" s="101"/>
      <c r="T81" s="96"/>
      <c r="U81" s="96"/>
      <c r="V81" s="96"/>
      <c r="W81" s="96"/>
      <c r="X81" s="96"/>
      <c r="Y81" s="96"/>
      <c r="Z81" s="95"/>
      <c r="AA81" s="44"/>
    </row>
    <row r="82" spans="2:27" ht="15">
      <c r="B82" s="91">
        <f t="shared" ref="B82:B115" si="0">B81+1</f>
        <v>3</v>
      </c>
      <c r="C82" s="91"/>
      <c r="D82" s="93"/>
      <c r="F82" s="94"/>
      <c r="G82" s="95"/>
      <c r="H82" s="82"/>
      <c r="I82" s="96"/>
      <c r="J82" s="96"/>
      <c r="K82" s="96"/>
      <c r="L82" s="96"/>
      <c r="M82" s="97"/>
      <c r="N82" s="98"/>
      <c r="O82" s="102"/>
      <c r="P82" s="100"/>
      <c r="Q82" s="101"/>
      <c r="R82" s="101"/>
      <c r="S82" s="101"/>
      <c r="T82" s="98"/>
      <c r="U82" s="96"/>
      <c r="V82" s="96"/>
      <c r="W82" s="96"/>
      <c r="X82" s="96"/>
      <c r="Y82" s="96"/>
      <c r="Z82" s="95"/>
      <c r="AA82" s="44"/>
    </row>
    <row r="83" spans="2:27">
      <c r="B83" s="91">
        <f t="shared" si="0"/>
        <v>4</v>
      </c>
      <c r="C83" s="77"/>
      <c r="D83" s="93"/>
      <c r="E83" s="96"/>
      <c r="F83" s="94"/>
      <c r="G83" s="95"/>
      <c r="H83" s="103"/>
      <c r="I83" s="96"/>
      <c r="J83" s="96"/>
      <c r="K83" s="96"/>
      <c r="L83" s="96"/>
      <c r="M83" s="97"/>
      <c r="N83" s="98"/>
      <c r="O83" s="102"/>
      <c r="P83" s="100"/>
      <c r="Q83" s="101"/>
      <c r="R83" s="101"/>
      <c r="S83" s="101"/>
      <c r="T83" s="98"/>
      <c r="U83" s="96"/>
      <c r="V83" s="96"/>
      <c r="W83" s="96"/>
      <c r="X83" s="96"/>
      <c r="Y83" s="96"/>
      <c r="Z83" s="95"/>
      <c r="AA83" s="44"/>
    </row>
    <row r="84" spans="2:27">
      <c r="B84" s="91">
        <f t="shared" si="0"/>
        <v>5</v>
      </c>
      <c r="C84" s="91"/>
      <c r="D84" s="93"/>
      <c r="E84" s="96"/>
      <c r="F84" s="94"/>
      <c r="G84" s="95"/>
      <c r="H84" s="104"/>
      <c r="I84" s="96"/>
      <c r="J84" s="96"/>
      <c r="K84" s="96"/>
      <c r="L84" s="96"/>
      <c r="M84" s="97"/>
      <c r="N84" s="98"/>
      <c r="O84" s="99"/>
      <c r="P84" s="100"/>
      <c r="Q84" s="101"/>
      <c r="R84" s="101"/>
      <c r="S84" s="101"/>
      <c r="T84" s="105"/>
      <c r="U84" s="96"/>
      <c r="V84" s="96"/>
      <c r="W84" s="96"/>
      <c r="X84" s="96"/>
      <c r="Y84" s="96"/>
      <c r="Z84" s="95"/>
      <c r="AA84" s="44"/>
    </row>
    <row r="85" spans="2:27">
      <c r="B85" s="91">
        <f t="shared" si="0"/>
        <v>6</v>
      </c>
      <c r="C85" s="91"/>
      <c r="D85" s="93"/>
      <c r="E85" s="96"/>
      <c r="F85" s="94"/>
      <c r="G85" s="95"/>
      <c r="H85" s="106"/>
      <c r="I85" s="96"/>
      <c r="J85" s="96"/>
      <c r="K85" s="96"/>
      <c r="L85" s="96"/>
      <c r="M85" s="97"/>
      <c r="N85" s="98"/>
      <c r="O85" s="102"/>
      <c r="P85" s="100"/>
      <c r="Q85" s="101"/>
      <c r="R85" s="101"/>
      <c r="S85" s="101"/>
      <c r="T85" s="98"/>
      <c r="U85" s="96"/>
      <c r="V85" s="96"/>
      <c r="W85" s="96"/>
      <c r="X85" s="96"/>
      <c r="Y85" s="96"/>
      <c r="Z85" s="95"/>
      <c r="AA85" s="44"/>
    </row>
    <row r="86" spans="2:27">
      <c r="B86" s="91">
        <f t="shared" si="0"/>
        <v>7</v>
      </c>
      <c r="C86" s="77"/>
      <c r="D86" s="93"/>
      <c r="E86" s="96"/>
      <c r="F86" s="94"/>
      <c r="G86" s="95"/>
      <c r="H86" s="107"/>
      <c r="I86" s="96"/>
      <c r="J86" s="96"/>
      <c r="K86" s="96"/>
      <c r="L86" s="96"/>
      <c r="M86" s="97"/>
      <c r="N86" s="98"/>
      <c r="O86" s="102"/>
      <c r="P86" s="100"/>
      <c r="Q86" s="101"/>
      <c r="R86" s="101"/>
      <c r="S86" s="101"/>
      <c r="T86" s="98"/>
      <c r="U86" s="96"/>
      <c r="V86" s="96"/>
      <c r="W86" s="96"/>
      <c r="X86" s="96"/>
      <c r="Y86" s="96"/>
      <c r="Z86" s="95"/>
      <c r="AA86" s="44"/>
    </row>
    <row r="87" spans="2:27">
      <c r="B87" s="91">
        <f t="shared" si="0"/>
        <v>8</v>
      </c>
      <c r="C87" s="91"/>
      <c r="D87" s="93"/>
      <c r="E87" s="96"/>
      <c r="F87" s="94"/>
      <c r="G87" s="95"/>
      <c r="H87" s="108"/>
      <c r="I87" s="96"/>
      <c r="J87" s="96"/>
      <c r="K87" s="96"/>
      <c r="L87" s="96"/>
      <c r="M87" s="97"/>
      <c r="N87" s="98"/>
      <c r="O87" s="99"/>
      <c r="P87" s="100"/>
      <c r="Q87" s="101"/>
      <c r="R87" s="101"/>
      <c r="S87" s="101"/>
      <c r="T87" s="98"/>
      <c r="U87" s="96"/>
      <c r="V87" s="96"/>
      <c r="W87" s="96"/>
      <c r="X87" s="96"/>
      <c r="Y87" s="96"/>
      <c r="Z87" s="95"/>
      <c r="AA87" s="44"/>
    </row>
    <row r="88" spans="2:27" ht="15">
      <c r="B88" s="91">
        <f t="shared" si="0"/>
        <v>9</v>
      </c>
      <c r="C88" s="109"/>
      <c r="D88" s="93"/>
      <c r="E88" s="82"/>
      <c r="F88" s="94"/>
      <c r="G88" s="95"/>
      <c r="H88" s="110"/>
      <c r="I88" s="96"/>
      <c r="J88" s="96"/>
      <c r="K88" s="96"/>
      <c r="L88" s="96"/>
      <c r="M88" s="97"/>
      <c r="N88" s="98"/>
      <c r="O88" s="102"/>
      <c r="P88" s="100"/>
      <c r="Q88" s="101"/>
      <c r="R88" s="101"/>
      <c r="S88" s="101"/>
      <c r="T88" s="110"/>
      <c r="U88" s="96"/>
      <c r="V88" s="96"/>
      <c r="W88" s="96"/>
      <c r="X88" s="96"/>
      <c r="Y88" s="96"/>
      <c r="Z88" s="95"/>
      <c r="AA88" s="44"/>
    </row>
    <row r="89" spans="2:27">
      <c r="B89" s="91">
        <f t="shared" si="0"/>
        <v>10</v>
      </c>
      <c r="C89" s="77"/>
      <c r="D89" s="93"/>
      <c r="E89" s="96"/>
      <c r="F89" s="94"/>
      <c r="G89" s="95"/>
      <c r="H89" s="104"/>
      <c r="I89" s="96"/>
      <c r="J89" s="96"/>
      <c r="K89" s="96"/>
      <c r="L89" s="96"/>
      <c r="M89" s="97"/>
      <c r="N89" s="98"/>
      <c r="O89" s="102"/>
      <c r="P89" s="100"/>
      <c r="Q89" s="101"/>
      <c r="R89" s="101"/>
      <c r="S89" s="101"/>
      <c r="T89" s="110"/>
      <c r="U89" s="96"/>
      <c r="V89" s="96"/>
      <c r="W89" s="96"/>
      <c r="X89" s="96"/>
      <c r="Y89" s="96"/>
      <c r="Z89" s="95"/>
      <c r="AA89" s="44"/>
    </row>
    <row r="90" spans="2:27">
      <c r="B90" s="91">
        <f t="shared" si="0"/>
        <v>11</v>
      </c>
      <c r="C90" s="91"/>
      <c r="D90" s="93"/>
      <c r="E90" s="96"/>
      <c r="F90" s="94"/>
      <c r="G90" s="95"/>
      <c r="H90" s="104"/>
      <c r="I90" s="96"/>
      <c r="J90" s="96"/>
      <c r="K90" s="96"/>
      <c r="L90" s="96"/>
      <c r="M90" s="97"/>
      <c r="N90" s="98"/>
      <c r="O90" s="111"/>
      <c r="P90" s="100"/>
      <c r="Q90" s="101"/>
      <c r="R90" s="101"/>
      <c r="S90" s="101"/>
      <c r="T90" s="98"/>
      <c r="U90" s="96"/>
      <c r="V90" s="96"/>
      <c r="W90" s="96"/>
      <c r="X90" s="96"/>
      <c r="Y90" s="96"/>
      <c r="Z90" s="95"/>
      <c r="AA90" s="44"/>
    </row>
    <row r="91" spans="2:27">
      <c r="B91" s="91">
        <f t="shared" si="0"/>
        <v>12</v>
      </c>
      <c r="C91" s="91"/>
      <c r="D91" s="93"/>
      <c r="E91" s="96"/>
      <c r="F91" s="94"/>
      <c r="G91" s="95"/>
      <c r="H91" s="104"/>
      <c r="I91" s="96"/>
      <c r="J91" s="96"/>
      <c r="K91" s="96"/>
      <c r="L91" s="96"/>
      <c r="M91" s="97"/>
      <c r="N91" s="98"/>
      <c r="O91" s="102"/>
      <c r="P91" s="100"/>
      <c r="Q91" s="101"/>
      <c r="R91" s="101"/>
      <c r="S91" s="101"/>
      <c r="T91" s="112"/>
      <c r="U91" s="98"/>
      <c r="V91" s="96"/>
      <c r="W91" s="96"/>
      <c r="X91" s="96"/>
      <c r="Y91" s="96"/>
      <c r="Z91" s="95"/>
      <c r="AA91" s="44"/>
    </row>
    <row r="92" spans="2:27" ht="15">
      <c r="B92" s="91">
        <f t="shared" si="0"/>
        <v>13</v>
      </c>
      <c r="C92" s="77"/>
      <c r="D92" s="93"/>
      <c r="E92" s="96"/>
      <c r="F92" s="94"/>
      <c r="G92" s="95"/>
      <c r="H92" s="82"/>
      <c r="I92" s="96"/>
      <c r="J92" s="96"/>
      <c r="K92" s="96"/>
      <c r="L92" s="96"/>
      <c r="M92" s="97"/>
      <c r="N92" s="98"/>
      <c r="O92" s="102"/>
      <c r="P92" s="100"/>
      <c r="Q92" s="101"/>
      <c r="R92" s="101"/>
      <c r="S92" s="101"/>
      <c r="T92" s="98"/>
      <c r="U92" s="96"/>
      <c r="V92" s="96"/>
      <c r="W92" s="96"/>
      <c r="X92" s="96"/>
      <c r="Y92" s="96"/>
      <c r="Z92" s="95"/>
      <c r="AA92" s="44"/>
    </row>
    <row r="93" spans="2:27">
      <c r="B93" s="91">
        <f t="shared" si="0"/>
        <v>14</v>
      </c>
      <c r="C93" s="109"/>
      <c r="D93" s="93"/>
      <c r="E93" s="96"/>
      <c r="F93" s="94"/>
      <c r="G93" s="95"/>
      <c r="H93" s="107"/>
      <c r="I93" s="96"/>
      <c r="J93" s="96"/>
      <c r="K93" s="96"/>
      <c r="L93" s="96"/>
      <c r="M93" s="97"/>
      <c r="N93" s="98"/>
      <c r="O93" s="111"/>
      <c r="P93" s="100"/>
      <c r="Q93" s="101"/>
      <c r="R93" s="113"/>
      <c r="S93" s="101"/>
      <c r="T93" s="114"/>
      <c r="U93" s="96"/>
      <c r="V93" s="96"/>
      <c r="W93" s="96"/>
      <c r="X93" s="96"/>
      <c r="Y93" s="96"/>
      <c r="Z93" s="95"/>
      <c r="AA93" s="44"/>
    </row>
    <row r="94" spans="2:27">
      <c r="B94" s="91">
        <f t="shared" si="0"/>
        <v>15</v>
      </c>
      <c r="C94" s="91"/>
      <c r="D94" s="93"/>
      <c r="E94" s="96"/>
      <c r="F94" s="94"/>
      <c r="G94" s="95"/>
      <c r="H94" s="110"/>
      <c r="I94" s="96"/>
      <c r="J94" s="96"/>
      <c r="K94" s="96"/>
      <c r="L94" s="96"/>
      <c r="M94" s="97"/>
      <c r="N94" s="98"/>
      <c r="O94" s="102"/>
      <c r="P94" s="100"/>
      <c r="Q94" s="101"/>
      <c r="R94" s="101"/>
      <c r="S94" s="101"/>
      <c r="T94" s="114"/>
      <c r="U94" s="96"/>
      <c r="V94" s="96"/>
      <c r="W94" s="96"/>
      <c r="X94" s="96"/>
      <c r="Y94" s="96"/>
      <c r="Z94" s="95"/>
      <c r="AA94" s="44"/>
    </row>
    <row r="95" spans="2:27" ht="15">
      <c r="B95" s="91">
        <f t="shared" si="0"/>
        <v>16</v>
      </c>
      <c r="C95" s="77"/>
      <c r="D95" s="93"/>
      <c r="E95" s="96"/>
      <c r="F95" s="94"/>
      <c r="G95" s="95"/>
      <c r="H95" s="82"/>
      <c r="I95" s="96"/>
      <c r="J95" s="96"/>
      <c r="K95" s="96"/>
      <c r="L95" s="96"/>
      <c r="M95" s="97"/>
      <c r="N95" s="98"/>
      <c r="O95" s="102"/>
      <c r="P95" s="100"/>
      <c r="Q95" s="101"/>
      <c r="R95" s="101"/>
      <c r="S95" s="101"/>
      <c r="T95" s="98"/>
      <c r="U95" s="96"/>
      <c r="V95" s="96"/>
      <c r="W95" s="96"/>
      <c r="X95" s="96"/>
      <c r="Y95" s="96"/>
      <c r="Z95" s="95"/>
      <c r="AA95" s="44"/>
    </row>
    <row r="96" spans="2:27" ht="15">
      <c r="B96" s="91">
        <f t="shared" si="0"/>
        <v>17</v>
      </c>
      <c r="C96" s="91"/>
      <c r="D96" s="93"/>
      <c r="E96" s="96"/>
      <c r="F96" s="94"/>
      <c r="G96" s="95"/>
      <c r="H96" s="82"/>
      <c r="I96" s="96"/>
      <c r="J96" s="96"/>
      <c r="K96" s="96"/>
      <c r="L96" s="96"/>
      <c r="M96" s="97"/>
      <c r="N96" s="98"/>
      <c r="O96" s="111"/>
      <c r="P96" s="100"/>
      <c r="Q96" s="101"/>
      <c r="R96" s="101"/>
      <c r="S96" s="101"/>
      <c r="T96" s="98"/>
      <c r="U96" s="96"/>
      <c r="V96" s="96"/>
      <c r="W96" s="96"/>
      <c r="X96" s="96"/>
      <c r="Y96" s="96"/>
      <c r="Z96" s="95"/>
      <c r="AA96" s="44"/>
    </row>
    <row r="97" spans="2:27" ht="15">
      <c r="B97" s="91">
        <f t="shared" si="0"/>
        <v>18</v>
      </c>
      <c r="C97" s="109"/>
      <c r="D97" s="93"/>
      <c r="E97" s="96"/>
      <c r="F97" s="94"/>
      <c r="G97" s="95"/>
      <c r="H97" s="82"/>
      <c r="I97" s="96"/>
      <c r="J97" s="96"/>
      <c r="K97" s="96"/>
      <c r="L97" s="96"/>
      <c r="M97" s="97"/>
      <c r="N97" s="98"/>
      <c r="O97" s="102"/>
      <c r="P97" s="100"/>
      <c r="Q97" s="101"/>
      <c r="R97" s="101"/>
      <c r="S97" s="101"/>
      <c r="T97" s="112"/>
      <c r="U97" s="96"/>
      <c r="V97" s="96"/>
      <c r="W97" s="96"/>
      <c r="X97" s="96"/>
      <c r="Y97" s="96"/>
      <c r="Z97" s="95"/>
      <c r="AA97" s="44"/>
    </row>
    <row r="98" spans="2:27">
      <c r="B98" s="91">
        <f t="shared" si="0"/>
        <v>19</v>
      </c>
      <c r="C98" s="77"/>
      <c r="D98" s="93"/>
      <c r="E98" s="96"/>
      <c r="F98" s="94"/>
      <c r="G98" s="95"/>
      <c r="H98" s="110"/>
      <c r="I98" s="96"/>
      <c r="J98" s="96"/>
      <c r="K98" s="96"/>
      <c r="L98" s="96"/>
      <c r="M98" s="97"/>
      <c r="N98" s="98"/>
      <c r="O98" s="102"/>
      <c r="P98" s="100"/>
      <c r="Q98" s="101"/>
      <c r="R98" s="101"/>
      <c r="S98" s="101"/>
      <c r="T98" s="114"/>
      <c r="U98" s="96"/>
      <c r="V98" s="96"/>
      <c r="W98" s="96"/>
      <c r="X98" s="96"/>
      <c r="Y98" s="96"/>
      <c r="Z98" s="95"/>
      <c r="AA98" s="44"/>
    </row>
    <row r="99" spans="2:27">
      <c r="B99" s="91">
        <f t="shared" si="0"/>
        <v>20</v>
      </c>
      <c r="C99" s="91"/>
      <c r="D99" s="93"/>
      <c r="E99" s="96"/>
      <c r="F99" s="94"/>
      <c r="G99" s="95"/>
      <c r="H99" s="110"/>
      <c r="I99" s="96"/>
      <c r="J99" s="96"/>
      <c r="K99" s="96"/>
      <c r="L99" s="96"/>
      <c r="M99" s="97"/>
      <c r="N99" s="98"/>
      <c r="O99" s="102"/>
      <c r="P99" s="100"/>
      <c r="Q99" s="101"/>
      <c r="R99" s="101"/>
      <c r="S99" s="101"/>
      <c r="T99" s="112"/>
      <c r="U99" s="96"/>
      <c r="V99" s="96"/>
      <c r="W99" s="96"/>
      <c r="X99" s="96"/>
      <c r="Y99" s="96"/>
      <c r="Z99" s="95"/>
      <c r="AA99" s="44"/>
    </row>
    <row r="100" spans="2:27">
      <c r="B100" s="91">
        <f t="shared" si="0"/>
        <v>21</v>
      </c>
      <c r="C100" s="91"/>
      <c r="D100" s="93"/>
      <c r="E100" s="96"/>
      <c r="F100" s="94"/>
      <c r="G100" s="95"/>
      <c r="H100" s="110"/>
      <c r="I100" s="96"/>
      <c r="J100" s="96"/>
      <c r="K100" s="96"/>
      <c r="L100" s="96"/>
      <c r="M100" s="97"/>
      <c r="N100" s="98"/>
      <c r="O100" s="102"/>
      <c r="P100" s="100"/>
      <c r="Q100" s="101"/>
      <c r="R100" s="101"/>
      <c r="S100" s="101"/>
      <c r="T100" s="98"/>
      <c r="U100" s="96"/>
      <c r="V100" s="96"/>
      <c r="W100" s="96"/>
      <c r="X100" s="96"/>
      <c r="Y100" s="96"/>
      <c r="Z100" s="95"/>
      <c r="AA100" s="44"/>
    </row>
    <row r="101" spans="2:27">
      <c r="B101" s="91">
        <f t="shared" si="0"/>
        <v>22</v>
      </c>
      <c r="C101" s="77"/>
      <c r="D101" s="93"/>
      <c r="E101" s="96"/>
      <c r="F101" s="94"/>
      <c r="G101" s="95"/>
      <c r="H101" s="107"/>
      <c r="I101" s="96"/>
      <c r="J101" s="96"/>
      <c r="K101" s="96"/>
      <c r="L101" s="96"/>
      <c r="M101" s="97"/>
      <c r="N101" s="98"/>
      <c r="O101" s="102"/>
      <c r="P101" s="100"/>
      <c r="Q101" s="101"/>
      <c r="R101" s="101"/>
      <c r="S101" s="101"/>
      <c r="T101" s="98"/>
      <c r="U101" s="96"/>
      <c r="V101" s="96"/>
      <c r="W101" s="96"/>
      <c r="X101" s="96"/>
      <c r="Y101" s="96"/>
      <c r="Z101" s="95"/>
      <c r="AA101" s="44"/>
    </row>
    <row r="102" spans="2:27">
      <c r="B102" s="91">
        <f t="shared" si="0"/>
        <v>23</v>
      </c>
      <c r="C102" s="109"/>
      <c r="D102" s="93"/>
      <c r="E102" s="96"/>
      <c r="F102" s="94"/>
      <c r="G102" s="95"/>
      <c r="H102" s="107"/>
      <c r="I102" s="96"/>
      <c r="J102" s="96"/>
      <c r="K102" s="96"/>
      <c r="L102" s="96"/>
      <c r="M102" s="97"/>
      <c r="N102" s="98"/>
      <c r="O102" s="102"/>
      <c r="P102" s="100"/>
      <c r="Q102" s="101"/>
      <c r="R102" s="101"/>
      <c r="S102" s="101"/>
      <c r="T102" s="114"/>
      <c r="U102" s="96"/>
      <c r="V102" s="96"/>
      <c r="W102" s="96"/>
      <c r="X102" s="96"/>
      <c r="Y102" s="96"/>
      <c r="Z102" s="95"/>
      <c r="AA102" s="44"/>
    </row>
    <row r="103" spans="2:27">
      <c r="B103" s="91">
        <f t="shared" si="0"/>
        <v>24</v>
      </c>
      <c r="C103" s="91"/>
      <c r="D103" s="93"/>
      <c r="E103" s="96"/>
      <c r="F103" s="94"/>
      <c r="G103" s="95"/>
      <c r="H103" s="107"/>
      <c r="I103" s="96"/>
      <c r="J103" s="96"/>
      <c r="K103" s="96"/>
      <c r="L103" s="96"/>
      <c r="M103" s="97"/>
      <c r="N103" s="98"/>
      <c r="O103" s="102"/>
      <c r="P103" s="100"/>
      <c r="Q103" s="101"/>
      <c r="R103" s="101"/>
      <c r="S103" s="101"/>
      <c r="T103" s="98"/>
      <c r="U103" s="96"/>
      <c r="V103" s="96"/>
      <c r="W103" s="96"/>
      <c r="X103" s="96"/>
      <c r="Y103" s="96"/>
      <c r="Z103" s="95"/>
      <c r="AA103" s="44"/>
    </row>
    <row r="104" spans="2:27">
      <c r="B104" s="91">
        <f t="shared" si="0"/>
        <v>25</v>
      </c>
      <c r="C104" s="77"/>
      <c r="D104" s="93"/>
      <c r="E104" s="96"/>
      <c r="F104" s="94"/>
      <c r="G104" s="95"/>
      <c r="H104" s="107"/>
      <c r="I104" s="96"/>
      <c r="J104" s="96"/>
      <c r="K104" s="96"/>
      <c r="L104" s="96"/>
      <c r="M104" s="97"/>
      <c r="N104" s="98"/>
      <c r="O104" s="102"/>
      <c r="P104" s="100"/>
      <c r="Q104" s="101"/>
      <c r="R104" s="101"/>
      <c r="S104" s="101"/>
      <c r="T104" s="114"/>
      <c r="U104" s="96"/>
      <c r="V104" s="96"/>
      <c r="W104" s="96"/>
      <c r="X104" s="96"/>
      <c r="Y104" s="96"/>
      <c r="Z104" s="95"/>
      <c r="AA104" s="44"/>
    </row>
    <row r="105" spans="2:27">
      <c r="B105" s="91">
        <f t="shared" si="0"/>
        <v>26</v>
      </c>
      <c r="C105" s="91"/>
      <c r="D105" s="93"/>
      <c r="E105" s="96"/>
      <c r="F105" s="94"/>
      <c r="G105" s="95"/>
      <c r="H105" s="106"/>
      <c r="I105" s="96"/>
      <c r="J105" s="96"/>
      <c r="K105" s="96"/>
      <c r="L105" s="96"/>
      <c r="M105" s="97"/>
      <c r="N105" s="98"/>
      <c r="O105" s="102"/>
      <c r="P105" s="100"/>
      <c r="Q105" s="101"/>
      <c r="R105" s="101"/>
      <c r="S105" s="101"/>
      <c r="T105" s="98"/>
      <c r="U105" s="96"/>
      <c r="V105" s="96"/>
      <c r="W105" s="96"/>
      <c r="X105" s="96"/>
      <c r="Y105" s="96"/>
      <c r="Z105" s="95"/>
      <c r="AA105" s="44"/>
    </row>
    <row r="106" spans="2:27">
      <c r="B106" s="91">
        <f t="shared" si="0"/>
        <v>27</v>
      </c>
      <c r="C106" s="91"/>
      <c r="D106" s="93"/>
      <c r="E106" s="96"/>
      <c r="F106" s="94"/>
      <c r="G106" s="95"/>
      <c r="H106" s="107"/>
      <c r="I106" s="96"/>
      <c r="J106" s="96"/>
      <c r="K106" s="96"/>
      <c r="L106" s="96"/>
      <c r="M106" s="97"/>
      <c r="N106" s="98"/>
      <c r="O106" s="102"/>
      <c r="P106" s="100"/>
      <c r="Q106" s="101"/>
      <c r="R106" s="101"/>
      <c r="S106" s="101"/>
      <c r="T106" s="98"/>
      <c r="U106" s="96"/>
      <c r="V106" s="96"/>
      <c r="W106" s="96"/>
      <c r="X106" s="96"/>
      <c r="Y106" s="96"/>
      <c r="Z106" s="95"/>
      <c r="AA106" s="44"/>
    </row>
    <row r="107" spans="2:27">
      <c r="B107" s="91">
        <f t="shared" si="0"/>
        <v>28</v>
      </c>
      <c r="C107" s="77"/>
      <c r="D107" s="93"/>
      <c r="E107" s="96"/>
      <c r="F107" s="94"/>
      <c r="G107" s="95"/>
      <c r="H107" s="106"/>
      <c r="I107" s="96"/>
      <c r="J107" s="96"/>
      <c r="K107" s="96"/>
      <c r="L107" s="96"/>
      <c r="M107" s="97"/>
      <c r="N107" s="98"/>
      <c r="O107" s="102"/>
      <c r="P107" s="100"/>
      <c r="Q107" s="101"/>
      <c r="R107" s="101"/>
      <c r="S107" s="101"/>
      <c r="T107" s="98"/>
      <c r="U107" s="96"/>
      <c r="V107" s="96"/>
      <c r="W107" s="96"/>
      <c r="X107" s="96"/>
      <c r="Y107" s="96"/>
      <c r="Z107" s="95"/>
      <c r="AA107" s="44"/>
    </row>
    <row r="108" spans="2:27">
      <c r="B108" s="91">
        <f t="shared" si="0"/>
        <v>29</v>
      </c>
      <c r="C108" s="91"/>
      <c r="D108" s="93"/>
      <c r="E108" s="96"/>
      <c r="F108" s="94"/>
      <c r="G108" s="95"/>
      <c r="H108" s="107"/>
      <c r="I108" s="96"/>
      <c r="J108" s="96"/>
      <c r="K108" s="96"/>
      <c r="L108" s="96"/>
      <c r="M108" s="97"/>
      <c r="N108" s="98"/>
      <c r="O108" s="102"/>
      <c r="P108" s="100"/>
      <c r="Q108" s="101"/>
      <c r="R108" s="101"/>
      <c r="S108" s="101"/>
      <c r="T108" s="114"/>
      <c r="U108" s="96"/>
      <c r="V108" s="96"/>
      <c r="W108" s="96"/>
      <c r="X108" s="96"/>
      <c r="Y108" s="96"/>
      <c r="Z108" s="95"/>
      <c r="AA108" s="44"/>
    </row>
    <row r="109" spans="2:27">
      <c r="B109" s="91">
        <f t="shared" si="0"/>
        <v>30</v>
      </c>
      <c r="C109" s="109"/>
      <c r="D109" s="93"/>
      <c r="E109" s="96"/>
      <c r="F109" s="94"/>
      <c r="G109" s="95"/>
      <c r="H109" s="107"/>
      <c r="I109" s="96"/>
      <c r="J109" s="96"/>
      <c r="K109" s="96"/>
      <c r="L109" s="96"/>
      <c r="M109" s="97"/>
      <c r="N109" s="98"/>
      <c r="O109" s="102"/>
      <c r="P109" s="100"/>
      <c r="Q109" s="101"/>
      <c r="R109" s="101"/>
      <c r="S109" s="101"/>
      <c r="T109" s="98"/>
      <c r="U109" s="96"/>
      <c r="V109" s="96"/>
      <c r="W109" s="96"/>
      <c r="X109" s="96"/>
      <c r="Y109" s="96"/>
      <c r="Z109" s="95"/>
      <c r="AA109" s="44"/>
    </row>
    <row r="110" spans="2:27">
      <c r="B110" s="91">
        <f t="shared" si="0"/>
        <v>31</v>
      </c>
      <c r="C110" s="77"/>
      <c r="D110" s="93"/>
      <c r="E110" s="96"/>
      <c r="F110" s="94"/>
      <c r="G110" s="95"/>
      <c r="H110" s="107"/>
      <c r="I110" s="96"/>
      <c r="J110" s="96"/>
      <c r="K110" s="96"/>
      <c r="L110" s="96"/>
      <c r="M110" s="97"/>
      <c r="N110" s="98"/>
      <c r="O110" s="102"/>
      <c r="P110" s="100"/>
      <c r="Q110" s="101"/>
      <c r="R110" s="101"/>
      <c r="S110" s="101"/>
      <c r="T110" s="112"/>
      <c r="U110" s="96"/>
      <c r="V110" s="96"/>
      <c r="W110" s="96"/>
      <c r="X110" s="96"/>
      <c r="Y110" s="96"/>
      <c r="Z110" s="95"/>
      <c r="AA110" s="44"/>
    </row>
    <row r="111" spans="2:27">
      <c r="B111" s="91">
        <f t="shared" si="0"/>
        <v>32</v>
      </c>
      <c r="C111" s="109"/>
      <c r="D111" s="93"/>
      <c r="E111" s="96"/>
      <c r="F111" s="94"/>
      <c r="G111" s="95"/>
      <c r="H111" s="115"/>
      <c r="I111" s="96"/>
      <c r="J111" s="96"/>
      <c r="K111" s="96"/>
      <c r="L111" s="96"/>
      <c r="M111" s="97"/>
      <c r="N111" s="98"/>
      <c r="O111" s="102"/>
      <c r="P111" s="100"/>
      <c r="Q111" s="101"/>
      <c r="R111" s="101"/>
      <c r="S111" s="101"/>
      <c r="T111" s="114"/>
      <c r="U111" s="96"/>
      <c r="V111" s="96"/>
      <c r="W111" s="96"/>
      <c r="X111" s="96"/>
      <c r="Y111" s="96"/>
      <c r="Z111" s="95"/>
      <c r="AA111" s="44"/>
    </row>
    <row r="112" spans="2:27">
      <c r="B112" s="91">
        <f t="shared" si="0"/>
        <v>33</v>
      </c>
      <c r="C112" s="91"/>
      <c r="D112" s="93"/>
      <c r="E112" s="96"/>
      <c r="F112" s="94"/>
      <c r="G112" s="95"/>
      <c r="H112" s="83"/>
      <c r="I112" s="96"/>
      <c r="J112" s="96"/>
      <c r="K112" s="96"/>
      <c r="L112" s="96"/>
      <c r="M112" s="97"/>
      <c r="N112" s="98"/>
      <c r="O112" s="102"/>
      <c r="P112" s="100"/>
      <c r="Q112" s="101"/>
      <c r="R112" s="101"/>
      <c r="S112" s="101"/>
      <c r="T112" s="114"/>
      <c r="U112" s="96"/>
      <c r="V112" s="96"/>
      <c r="W112" s="96"/>
      <c r="X112" s="96"/>
      <c r="Y112" s="96"/>
      <c r="Z112" s="95"/>
      <c r="AA112" s="44"/>
    </row>
    <row r="113" spans="2:27">
      <c r="B113" s="91">
        <f t="shared" si="0"/>
        <v>34</v>
      </c>
      <c r="C113" s="77"/>
      <c r="D113" s="93"/>
      <c r="E113" s="96"/>
      <c r="F113" s="94"/>
      <c r="G113" s="95"/>
      <c r="H113" s="116"/>
      <c r="I113" s="96"/>
      <c r="J113" s="96"/>
      <c r="K113" s="96"/>
      <c r="L113" s="96"/>
      <c r="M113" s="97"/>
      <c r="N113" s="98"/>
      <c r="O113" s="102"/>
      <c r="P113" s="100"/>
      <c r="Q113" s="101"/>
      <c r="R113" s="101"/>
      <c r="S113" s="101"/>
      <c r="T113" s="98"/>
      <c r="U113" s="96"/>
      <c r="V113" s="96"/>
      <c r="W113" s="96"/>
      <c r="X113" s="96"/>
      <c r="Y113" s="96"/>
      <c r="Z113" s="95"/>
      <c r="AA113" s="44"/>
    </row>
    <row r="114" spans="2:27">
      <c r="B114" s="91">
        <f t="shared" si="0"/>
        <v>35</v>
      </c>
      <c r="C114" s="91"/>
      <c r="D114" s="93"/>
      <c r="E114" s="96"/>
      <c r="F114" s="94"/>
      <c r="G114" s="95"/>
      <c r="H114" s="83"/>
      <c r="I114" s="96"/>
      <c r="J114" s="96"/>
      <c r="K114" s="96"/>
      <c r="L114" s="96"/>
      <c r="M114" s="97"/>
      <c r="N114" s="98"/>
      <c r="O114" s="102"/>
      <c r="P114" s="100"/>
      <c r="Q114" s="101"/>
      <c r="R114" s="101"/>
      <c r="S114" s="101"/>
      <c r="T114" s="114"/>
      <c r="U114" s="96"/>
      <c r="V114" s="96"/>
      <c r="W114" s="96"/>
      <c r="X114" s="96"/>
      <c r="Y114" s="96"/>
      <c r="Z114" s="95"/>
      <c r="AA114" s="44"/>
    </row>
    <row r="115" spans="2:27">
      <c r="B115" s="117">
        <f t="shared" si="0"/>
        <v>36</v>
      </c>
      <c r="C115" s="109"/>
      <c r="D115" s="93"/>
      <c r="E115" s="96"/>
      <c r="F115" s="94"/>
      <c r="G115" s="95"/>
      <c r="H115" s="108"/>
      <c r="I115" s="96"/>
      <c r="J115" s="96"/>
      <c r="K115" s="96"/>
      <c r="L115" s="96"/>
      <c r="M115" s="97"/>
      <c r="N115" s="98"/>
      <c r="O115" s="102"/>
      <c r="P115" s="100"/>
      <c r="Q115" s="101"/>
      <c r="R115" s="101"/>
      <c r="S115" s="101"/>
      <c r="T115" s="98"/>
      <c r="U115" s="96"/>
      <c r="V115" s="96"/>
      <c r="W115" s="96"/>
      <c r="X115" s="96"/>
      <c r="Y115" s="96"/>
      <c r="Z115" s="95"/>
      <c r="AA115" s="44"/>
    </row>
    <row r="116" spans="2:27">
      <c r="B116" s="118">
        <v>37</v>
      </c>
      <c r="C116" s="77"/>
      <c r="D116" s="119"/>
      <c r="E116" s="120"/>
      <c r="F116" s="121"/>
      <c r="G116" s="122"/>
      <c r="H116" s="83"/>
      <c r="I116" s="44"/>
      <c r="J116" s="44"/>
      <c r="K116" s="44"/>
      <c r="L116" s="44"/>
      <c r="M116" s="96"/>
      <c r="N116" s="96"/>
      <c r="O116" s="123"/>
      <c r="P116" s="100"/>
      <c r="Q116" s="124"/>
      <c r="R116" s="125"/>
      <c r="S116" s="125"/>
      <c r="T116" s="126"/>
      <c r="U116" s="126"/>
      <c r="V116" s="127"/>
      <c r="W116" s="96"/>
      <c r="X116" s="96"/>
      <c r="Y116" s="96"/>
      <c r="Z116" s="95"/>
      <c r="AA116" s="44"/>
    </row>
    <row r="117" spans="2:27">
      <c r="B117" s="128">
        <f>B116+1</f>
        <v>38</v>
      </c>
      <c r="C117" s="129"/>
      <c r="D117" s="130"/>
      <c r="E117" s="131"/>
      <c r="F117" s="132"/>
      <c r="G117" s="133"/>
      <c r="H117" s="83"/>
      <c r="I117" s="96"/>
      <c r="J117" s="96"/>
      <c r="K117" s="96"/>
      <c r="L117" s="96"/>
      <c r="M117" s="96"/>
      <c r="N117" s="96"/>
      <c r="O117" s="96"/>
      <c r="P117" s="96"/>
      <c r="Q117" s="96"/>
      <c r="R117" s="96"/>
      <c r="S117" s="96"/>
      <c r="T117" s="96"/>
      <c r="U117" s="96"/>
      <c r="V117" s="134"/>
      <c r="W117" s="96"/>
      <c r="X117" s="96"/>
      <c r="Y117" s="96"/>
      <c r="Z117" s="95"/>
      <c r="AA117" s="79"/>
    </row>
    <row r="118" spans="2:27">
      <c r="B118" s="128">
        <f t="shared" ref="B118:B171" si="1">B117+1</f>
        <v>39</v>
      </c>
      <c r="C118" s="129"/>
      <c r="D118" s="130"/>
      <c r="E118" s="135"/>
      <c r="F118" s="136"/>
      <c r="G118" s="137"/>
      <c r="H118" s="83"/>
      <c r="I118" s="83"/>
      <c r="J118" s="96"/>
      <c r="K118" s="96"/>
      <c r="L118" s="96"/>
      <c r="M118" s="96"/>
      <c r="N118" s="96"/>
      <c r="O118" s="96"/>
      <c r="P118" s="96"/>
      <c r="Q118" s="96"/>
      <c r="R118" s="96"/>
      <c r="S118" s="96"/>
      <c r="T118" s="96"/>
      <c r="U118" s="96"/>
      <c r="V118" s="96"/>
      <c r="W118" s="96"/>
      <c r="X118" s="96"/>
      <c r="Y118" s="96"/>
      <c r="Z118" s="95"/>
      <c r="AA118" s="79"/>
    </row>
    <row r="119" spans="2:27">
      <c r="B119" s="128">
        <f t="shared" si="1"/>
        <v>40</v>
      </c>
      <c r="C119" s="77"/>
      <c r="D119" s="130"/>
      <c r="E119" s="120"/>
      <c r="F119" s="121"/>
      <c r="G119" s="122"/>
      <c r="H119" s="83"/>
      <c r="I119" s="96"/>
      <c r="J119" s="96"/>
      <c r="K119" s="96"/>
      <c r="L119" s="96"/>
      <c r="M119" s="96"/>
      <c r="N119" s="96"/>
      <c r="O119" s="123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Z119" s="95"/>
      <c r="AA119" s="79"/>
    </row>
    <row r="120" spans="2:27">
      <c r="B120" s="128">
        <f t="shared" si="1"/>
        <v>41</v>
      </c>
      <c r="C120" s="129"/>
      <c r="D120" s="130"/>
      <c r="E120" s="135"/>
      <c r="F120" s="136"/>
      <c r="G120" s="137"/>
      <c r="H120" s="83"/>
      <c r="I120" s="96"/>
      <c r="J120" s="96"/>
      <c r="K120" s="96"/>
      <c r="L120" s="96"/>
      <c r="M120" s="96"/>
      <c r="N120" s="96"/>
      <c r="O120" s="123"/>
      <c r="P120" s="96"/>
      <c r="Q120" s="96"/>
      <c r="R120" s="96"/>
      <c r="S120" s="96"/>
      <c r="T120" s="96"/>
      <c r="U120" s="96"/>
      <c r="V120" s="96"/>
      <c r="W120" s="96"/>
      <c r="X120" s="96"/>
      <c r="Y120" s="96"/>
      <c r="Z120" s="95"/>
      <c r="AA120" s="79"/>
    </row>
    <row r="121" spans="2:27">
      <c r="B121" s="128">
        <f t="shared" si="1"/>
        <v>42</v>
      </c>
      <c r="C121" s="129"/>
      <c r="D121" s="130"/>
      <c r="E121" s="135"/>
      <c r="F121" s="136"/>
      <c r="G121" s="137"/>
      <c r="H121" s="83"/>
      <c r="I121" s="96"/>
      <c r="J121" s="96"/>
      <c r="K121" s="96"/>
      <c r="L121" s="96"/>
      <c r="M121" s="96"/>
      <c r="N121" s="96"/>
      <c r="O121" s="96"/>
      <c r="P121" s="96"/>
      <c r="Q121" s="96"/>
      <c r="R121" s="96"/>
      <c r="S121" s="96"/>
      <c r="T121" s="96"/>
      <c r="U121" s="96"/>
      <c r="V121" s="96"/>
      <c r="W121" s="96"/>
      <c r="X121" s="96"/>
      <c r="Y121" s="96"/>
      <c r="Z121" s="95"/>
      <c r="AA121" s="79"/>
    </row>
    <row r="122" spans="2:27">
      <c r="B122" s="128">
        <f t="shared" si="1"/>
        <v>43</v>
      </c>
      <c r="C122" s="77"/>
      <c r="D122" s="130"/>
      <c r="E122" s="135"/>
      <c r="F122" s="136"/>
      <c r="G122" s="137"/>
      <c r="H122" s="107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  <c r="T122" s="96"/>
      <c r="U122" s="96"/>
      <c r="V122" s="96"/>
      <c r="W122" s="96"/>
      <c r="X122" s="96"/>
      <c r="Y122" s="96"/>
      <c r="Z122" s="95"/>
      <c r="AA122" s="79"/>
    </row>
    <row r="123" spans="2:27">
      <c r="B123" s="128">
        <f t="shared" si="1"/>
        <v>44</v>
      </c>
      <c r="C123" s="77"/>
      <c r="D123" s="130"/>
      <c r="E123" s="135"/>
      <c r="F123" s="136"/>
      <c r="G123" s="137"/>
      <c r="H123" s="108"/>
      <c r="I123" s="96"/>
      <c r="J123" s="96"/>
      <c r="K123" s="96"/>
      <c r="L123" s="96"/>
      <c r="M123" s="96"/>
      <c r="N123" s="96"/>
      <c r="O123" s="96"/>
      <c r="P123" s="96"/>
      <c r="Q123" s="96"/>
      <c r="R123" s="96"/>
      <c r="S123" s="96"/>
      <c r="T123" s="96"/>
      <c r="U123" s="96"/>
      <c r="V123" s="96"/>
      <c r="W123" s="96"/>
      <c r="X123" s="96"/>
      <c r="Y123" s="96"/>
      <c r="Z123" s="95"/>
      <c r="AA123" s="79"/>
    </row>
    <row r="124" spans="2:27">
      <c r="B124" s="128">
        <f t="shared" si="1"/>
        <v>45</v>
      </c>
      <c r="C124" s="129"/>
      <c r="D124" s="130"/>
      <c r="E124" s="135"/>
      <c r="F124" s="136"/>
      <c r="G124" s="137"/>
      <c r="H124" s="108"/>
      <c r="I124" s="96"/>
      <c r="J124" s="96"/>
      <c r="K124" s="96"/>
      <c r="L124" s="96"/>
      <c r="M124" s="96"/>
      <c r="N124" s="96"/>
      <c r="O124" s="96"/>
      <c r="P124" s="96"/>
      <c r="Q124" s="96"/>
      <c r="R124" s="96"/>
      <c r="S124" s="96"/>
      <c r="T124" s="96"/>
      <c r="U124" s="96"/>
      <c r="V124" s="96"/>
      <c r="W124" s="96"/>
      <c r="X124" s="96"/>
      <c r="Y124" s="96"/>
      <c r="Z124" s="95"/>
      <c r="AA124" s="79"/>
    </row>
    <row r="125" spans="2:27">
      <c r="B125" s="128">
        <f t="shared" si="1"/>
        <v>46</v>
      </c>
      <c r="C125" s="77"/>
      <c r="D125" s="130"/>
      <c r="E125" s="135"/>
      <c r="F125" s="136"/>
      <c r="G125" s="137"/>
      <c r="H125" s="108"/>
      <c r="I125" s="96"/>
      <c r="J125" s="96"/>
      <c r="K125" s="96"/>
      <c r="L125" s="96"/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5"/>
      <c r="AA125" s="79"/>
    </row>
    <row r="126" spans="2:27">
      <c r="B126" s="128">
        <f t="shared" si="1"/>
        <v>47</v>
      </c>
      <c r="C126" s="129"/>
      <c r="D126" s="130"/>
      <c r="E126" s="135"/>
      <c r="F126" s="136"/>
      <c r="G126" s="137"/>
      <c r="H126" s="108"/>
      <c r="I126" s="96"/>
      <c r="J126" s="96"/>
      <c r="K126" s="96"/>
      <c r="L126" s="96"/>
      <c r="M126" s="96"/>
      <c r="N126" s="96"/>
      <c r="O126" s="96"/>
      <c r="P126" s="96"/>
      <c r="Q126" s="96"/>
      <c r="R126" s="96"/>
      <c r="S126" s="96"/>
      <c r="T126" s="96"/>
      <c r="U126" s="96"/>
      <c r="V126" s="96"/>
      <c r="W126" s="96"/>
      <c r="X126" s="96"/>
      <c r="Y126" s="96"/>
      <c r="Z126" s="95"/>
      <c r="AA126" s="79"/>
    </row>
    <row r="127" spans="2:27">
      <c r="B127" s="128">
        <f t="shared" si="1"/>
        <v>48</v>
      </c>
      <c r="C127" s="129"/>
      <c r="D127" s="130"/>
      <c r="E127" s="135"/>
      <c r="F127" s="136"/>
      <c r="G127" s="137"/>
      <c r="H127" s="107"/>
      <c r="I127" s="96"/>
      <c r="J127" s="96"/>
      <c r="K127" s="96"/>
      <c r="L127" s="96"/>
      <c r="M127" s="96"/>
      <c r="N127" s="96"/>
      <c r="O127" s="96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138"/>
    </row>
    <row r="128" spans="2:27">
      <c r="B128" s="128">
        <f t="shared" si="1"/>
        <v>49</v>
      </c>
      <c r="C128" s="77"/>
      <c r="D128" s="130"/>
      <c r="E128" s="135"/>
      <c r="F128" s="136"/>
      <c r="G128" s="137"/>
      <c r="H128" s="107"/>
      <c r="I128" s="96"/>
      <c r="J128" s="96"/>
      <c r="K128" s="96"/>
      <c r="L128" s="96"/>
      <c r="M128" s="96"/>
      <c r="N128" s="96"/>
      <c r="O128" s="96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138"/>
    </row>
    <row r="129" spans="2:26">
      <c r="B129" s="128">
        <f t="shared" si="1"/>
        <v>50</v>
      </c>
      <c r="C129" s="129"/>
      <c r="D129" s="130"/>
      <c r="E129" s="135"/>
      <c r="F129" s="136"/>
      <c r="G129" s="137"/>
      <c r="H129" s="107"/>
      <c r="I129" s="96"/>
      <c r="J129" s="96"/>
      <c r="K129" s="96"/>
      <c r="L129" s="96"/>
      <c r="M129" s="96"/>
      <c r="N129" s="96"/>
      <c r="O129" s="96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138"/>
    </row>
    <row r="130" spans="2:26">
      <c r="B130" s="128">
        <f t="shared" si="1"/>
        <v>51</v>
      </c>
      <c r="C130" s="129"/>
      <c r="D130" s="130"/>
      <c r="E130" s="135"/>
      <c r="F130" s="136"/>
      <c r="G130" s="137"/>
      <c r="H130" s="107"/>
      <c r="I130" s="96"/>
      <c r="J130" s="96"/>
      <c r="K130" s="96"/>
      <c r="L130" s="96"/>
      <c r="M130" s="96"/>
      <c r="N130" s="96"/>
      <c r="O130" s="96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138"/>
    </row>
    <row r="131" spans="2:26">
      <c r="B131" s="128">
        <f t="shared" si="1"/>
        <v>52</v>
      </c>
      <c r="C131" s="77"/>
      <c r="D131" s="130"/>
      <c r="E131" s="135"/>
      <c r="F131" s="136"/>
      <c r="G131" s="137"/>
      <c r="H131" s="108"/>
      <c r="I131" s="96"/>
      <c r="J131" s="96"/>
      <c r="K131" s="96"/>
      <c r="L131" s="96"/>
      <c r="M131" s="96"/>
      <c r="N131" s="96"/>
      <c r="O131" s="96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138"/>
    </row>
    <row r="132" spans="2:26">
      <c r="B132" s="128">
        <f t="shared" si="1"/>
        <v>53</v>
      </c>
      <c r="C132" s="129"/>
      <c r="D132" s="130"/>
      <c r="E132" s="135"/>
      <c r="F132" s="136"/>
      <c r="G132" s="137"/>
      <c r="H132" s="108"/>
      <c r="I132" s="96"/>
      <c r="J132" s="96"/>
      <c r="K132" s="96"/>
      <c r="L132" s="96"/>
      <c r="M132" s="96"/>
      <c r="N132" s="96"/>
      <c r="O132" s="96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138"/>
    </row>
    <row r="133" spans="2:26">
      <c r="B133" s="128">
        <f t="shared" si="1"/>
        <v>54</v>
      </c>
      <c r="C133" s="129"/>
      <c r="D133" s="130"/>
      <c r="E133" s="135"/>
      <c r="F133" s="136"/>
      <c r="G133" s="137"/>
      <c r="H133" s="83"/>
      <c r="I133" s="96"/>
      <c r="J133" s="96"/>
      <c r="K133" s="96"/>
      <c r="L133" s="96"/>
      <c r="M133" s="96"/>
      <c r="N133" s="96"/>
      <c r="O133" s="96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138"/>
    </row>
    <row r="134" spans="2:26">
      <c r="B134" s="128">
        <f t="shared" si="1"/>
        <v>55</v>
      </c>
      <c r="C134" s="77"/>
      <c r="D134" s="130"/>
      <c r="E134" s="135"/>
      <c r="F134" s="136"/>
      <c r="G134" s="137"/>
      <c r="H134" s="107"/>
      <c r="J134" s="96"/>
      <c r="K134" s="96"/>
      <c r="L134" s="96"/>
      <c r="M134" s="96"/>
      <c r="N134" s="96"/>
      <c r="O134" s="96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138"/>
    </row>
    <row r="135" spans="2:26">
      <c r="B135" s="128">
        <f t="shared" si="1"/>
        <v>56</v>
      </c>
      <c r="C135" s="129"/>
      <c r="D135" s="130"/>
      <c r="E135" s="135"/>
      <c r="F135" s="136"/>
      <c r="G135" s="137"/>
      <c r="H135" s="107"/>
      <c r="I135" s="96"/>
      <c r="J135" s="96"/>
      <c r="K135" s="96"/>
      <c r="L135" s="96"/>
      <c r="M135" s="96"/>
      <c r="N135" s="96"/>
      <c r="O135" s="96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138"/>
    </row>
    <row r="136" spans="2:26">
      <c r="B136" s="128">
        <f t="shared" si="1"/>
        <v>57</v>
      </c>
      <c r="C136" s="129"/>
      <c r="D136" s="130"/>
      <c r="E136" s="135"/>
      <c r="F136" s="136"/>
      <c r="G136" s="137"/>
      <c r="H136" s="83"/>
      <c r="I136" s="96"/>
      <c r="J136" s="96"/>
      <c r="K136" s="96"/>
      <c r="L136" s="96"/>
      <c r="M136" s="96"/>
      <c r="N136" s="96"/>
      <c r="O136" s="96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138"/>
    </row>
    <row r="137" spans="2:26">
      <c r="B137" s="128">
        <f t="shared" si="1"/>
        <v>58</v>
      </c>
      <c r="C137" s="77"/>
      <c r="D137" s="130"/>
      <c r="E137" s="135"/>
      <c r="F137" s="136"/>
      <c r="G137" s="137"/>
      <c r="H137" s="83"/>
      <c r="I137" s="96"/>
      <c r="J137" s="96"/>
      <c r="K137" s="96"/>
      <c r="L137" s="96"/>
      <c r="M137" s="96"/>
      <c r="N137" s="96"/>
      <c r="O137" s="96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138"/>
    </row>
    <row r="138" spans="2:26">
      <c r="B138" s="128">
        <f t="shared" si="1"/>
        <v>59</v>
      </c>
      <c r="C138" s="129"/>
      <c r="D138" s="130"/>
      <c r="E138" s="135"/>
      <c r="F138" s="136"/>
      <c r="G138" s="137"/>
      <c r="H138" s="96"/>
      <c r="I138" s="96"/>
      <c r="J138" s="96"/>
      <c r="K138" s="96"/>
      <c r="L138" s="96"/>
      <c r="M138" s="96"/>
      <c r="N138" s="96"/>
      <c r="O138" s="96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138"/>
    </row>
    <row r="139" spans="2:26">
      <c r="B139" s="128">
        <f t="shared" si="1"/>
        <v>60</v>
      </c>
      <c r="C139" s="129"/>
      <c r="D139" s="130"/>
      <c r="E139" s="135"/>
      <c r="F139" s="136"/>
      <c r="G139" s="137"/>
      <c r="H139" s="139"/>
      <c r="I139" s="96"/>
      <c r="J139" s="96"/>
      <c r="K139" s="96"/>
      <c r="L139" s="96"/>
      <c r="M139" s="96"/>
      <c r="N139" s="96"/>
      <c r="O139" s="96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138"/>
    </row>
    <row r="140" spans="2:26">
      <c r="B140" s="128">
        <f t="shared" si="1"/>
        <v>61</v>
      </c>
      <c r="C140" s="77"/>
      <c r="D140" s="130"/>
      <c r="E140" s="135"/>
      <c r="F140" s="136"/>
      <c r="G140" s="137"/>
      <c r="H140" s="112"/>
      <c r="I140" s="96"/>
      <c r="J140" s="96"/>
      <c r="K140" s="96"/>
      <c r="L140" s="96"/>
      <c r="M140" s="96"/>
      <c r="N140" s="96"/>
      <c r="O140" s="96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138"/>
    </row>
    <row r="141" spans="2:26">
      <c r="B141" s="128">
        <f t="shared" si="1"/>
        <v>62</v>
      </c>
      <c r="C141" s="129"/>
      <c r="D141" s="130"/>
      <c r="E141" s="135"/>
      <c r="F141" s="136"/>
      <c r="G141" s="137"/>
      <c r="H141" s="105"/>
      <c r="I141" s="98"/>
      <c r="J141" s="96"/>
      <c r="K141" s="96"/>
      <c r="L141" s="96"/>
      <c r="M141" s="96"/>
      <c r="N141" s="96"/>
      <c r="O141" s="96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138"/>
    </row>
    <row r="142" spans="2:26">
      <c r="B142" s="128">
        <f t="shared" si="1"/>
        <v>63</v>
      </c>
      <c r="C142" s="129"/>
      <c r="D142" s="130"/>
      <c r="E142" s="135"/>
      <c r="F142" s="136"/>
      <c r="G142" s="137"/>
      <c r="H142" s="140"/>
      <c r="I142" s="96"/>
      <c r="J142" s="96"/>
      <c r="K142" s="96"/>
      <c r="L142" s="96"/>
      <c r="M142" s="96"/>
      <c r="N142" s="96"/>
      <c r="O142" s="96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138"/>
    </row>
    <row r="143" spans="2:26">
      <c r="B143" s="128">
        <f t="shared" si="1"/>
        <v>64</v>
      </c>
      <c r="C143" s="77"/>
      <c r="D143" s="130"/>
      <c r="E143" s="135"/>
      <c r="F143" s="141"/>
      <c r="G143" s="137"/>
      <c r="H143" s="112"/>
      <c r="I143" s="96"/>
      <c r="J143" s="96"/>
      <c r="K143" s="96"/>
      <c r="L143" s="96"/>
      <c r="M143" s="96"/>
      <c r="N143" s="96"/>
      <c r="O143" s="96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138"/>
    </row>
    <row r="144" spans="2:26">
      <c r="B144" s="128">
        <f t="shared" si="1"/>
        <v>65</v>
      </c>
      <c r="C144" s="142"/>
      <c r="D144" s="130"/>
      <c r="E144" s="135"/>
      <c r="F144" s="136"/>
      <c r="G144" s="137"/>
      <c r="H144" s="112"/>
      <c r="I144" s="96"/>
      <c r="J144" s="96"/>
      <c r="K144" s="96"/>
      <c r="L144" s="96"/>
      <c r="M144" s="96"/>
      <c r="N144" s="96"/>
      <c r="O144" s="96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138"/>
    </row>
    <row r="145" spans="2:26">
      <c r="B145" s="128">
        <f t="shared" si="1"/>
        <v>66</v>
      </c>
      <c r="C145" s="129"/>
      <c r="D145" s="130"/>
      <c r="E145" s="135"/>
      <c r="F145" s="136"/>
      <c r="G145" s="137"/>
      <c r="H145" s="105"/>
      <c r="I145" s="96"/>
      <c r="J145" s="96"/>
      <c r="K145" s="96"/>
      <c r="L145" s="96"/>
      <c r="M145" s="96"/>
      <c r="N145" s="96"/>
      <c r="O145" s="96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138"/>
    </row>
    <row r="146" spans="2:26">
      <c r="B146" s="128">
        <f t="shared" si="1"/>
        <v>67</v>
      </c>
      <c r="C146" s="77"/>
      <c r="D146" s="130"/>
      <c r="E146" s="135"/>
      <c r="F146" s="136"/>
      <c r="G146" s="137"/>
      <c r="H146" s="112"/>
      <c r="I146" s="96"/>
      <c r="J146" s="96"/>
      <c r="K146" s="96"/>
      <c r="L146" s="96"/>
      <c r="M146" s="96"/>
      <c r="N146" s="96"/>
      <c r="O146" s="96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138"/>
    </row>
    <row r="147" spans="2:26">
      <c r="B147" s="128">
        <f t="shared" si="1"/>
        <v>68</v>
      </c>
      <c r="C147" s="129"/>
      <c r="D147" s="130"/>
      <c r="E147" s="143"/>
      <c r="F147" s="136"/>
      <c r="G147" s="137"/>
      <c r="H147" s="144"/>
      <c r="I147" s="96"/>
      <c r="J147" s="96"/>
      <c r="K147" s="96"/>
      <c r="L147" s="96"/>
      <c r="M147" s="96"/>
      <c r="N147" s="96"/>
      <c r="O147" s="96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138"/>
    </row>
    <row r="148" spans="2:26">
      <c r="B148" s="128">
        <f t="shared" si="1"/>
        <v>69</v>
      </c>
      <c r="C148" s="129"/>
      <c r="D148" s="130"/>
      <c r="E148" s="143"/>
      <c r="F148" s="136"/>
      <c r="G148" s="137"/>
      <c r="H148" s="105"/>
      <c r="I148" s="96"/>
      <c r="J148" s="96"/>
      <c r="K148" s="96"/>
      <c r="L148" s="96"/>
      <c r="M148" s="96"/>
      <c r="N148" s="96"/>
      <c r="O148" s="96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138"/>
    </row>
    <row r="149" spans="2:26">
      <c r="B149" s="128">
        <f t="shared" si="1"/>
        <v>70</v>
      </c>
      <c r="C149" s="77"/>
      <c r="D149" s="130"/>
      <c r="E149" s="143"/>
      <c r="F149" s="136"/>
      <c r="G149" s="137"/>
      <c r="H149" s="112"/>
      <c r="I149" s="96"/>
      <c r="J149" s="96"/>
      <c r="K149" s="96"/>
      <c r="L149" s="96"/>
      <c r="M149" s="96"/>
      <c r="N149" s="96"/>
      <c r="O149" s="96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138"/>
    </row>
    <row r="150" spans="2:26">
      <c r="B150" s="128">
        <f t="shared" si="1"/>
        <v>71</v>
      </c>
      <c r="C150" s="129"/>
      <c r="D150" s="130"/>
      <c r="E150" s="143"/>
      <c r="F150" s="136"/>
      <c r="G150" s="137"/>
      <c r="H150" s="105"/>
      <c r="I150" s="96"/>
      <c r="J150" s="96"/>
      <c r="K150" s="96"/>
      <c r="L150" s="96"/>
      <c r="M150" s="96"/>
      <c r="N150" s="96"/>
      <c r="O150" s="96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138"/>
    </row>
    <row r="151" spans="2:26">
      <c r="B151" s="128">
        <f t="shared" si="1"/>
        <v>72</v>
      </c>
      <c r="C151" s="129"/>
      <c r="D151" s="130"/>
      <c r="E151" s="143"/>
      <c r="F151" s="136"/>
      <c r="G151" s="137"/>
      <c r="H151" s="98"/>
      <c r="I151" s="96"/>
      <c r="J151" s="96"/>
      <c r="K151" s="96"/>
      <c r="L151" s="96"/>
      <c r="M151" s="96"/>
      <c r="N151" s="96"/>
      <c r="O151" s="96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138"/>
    </row>
    <row r="152" spans="2:26">
      <c r="B152" s="128">
        <f t="shared" si="1"/>
        <v>73</v>
      </c>
      <c r="C152" s="77"/>
      <c r="D152" s="130"/>
      <c r="E152" s="143"/>
      <c r="F152" s="136"/>
      <c r="G152" s="137"/>
      <c r="H152" s="96"/>
      <c r="I152" s="96"/>
      <c r="J152" s="96"/>
      <c r="K152" s="96"/>
      <c r="L152" s="96"/>
      <c r="M152" s="96"/>
      <c r="N152" s="96"/>
      <c r="O152" s="96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138"/>
    </row>
    <row r="153" spans="2:26">
      <c r="B153" s="128">
        <f t="shared" si="1"/>
        <v>74</v>
      </c>
      <c r="C153" s="129"/>
      <c r="D153" s="130"/>
      <c r="E153" s="143"/>
      <c r="F153" s="136"/>
      <c r="G153" s="137"/>
      <c r="H153" s="96"/>
      <c r="I153" s="96"/>
      <c r="J153" s="96"/>
      <c r="K153" s="96"/>
      <c r="L153" s="96"/>
      <c r="M153" s="96"/>
      <c r="N153" s="96"/>
      <c r="O153" s="96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138"/>
    </row>
    <row r="154" spans="2:26">
      <c r="B154" s="128">
        <f t="shared" si="1"/>
        <v>75</v>
      </c>
      <c r="C154" s="129"/>
      <c r="D154" s="130"/>
      <c r="E154" s="143"/>
      <c r="F154" s="136"/>
      <c r="G154" s="137"/>
      <c r="H154" s="96"/>
      <c r="I154" s="96"/>
      <c r="J154" s="96"/>
      <c r="K154" s="96"/>
      <c r="L154" s="96"/>
      <c r="M154" s="96"/>
      <c r="N154" s="96"/>
      <c r="O154" s="96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138"/>
    </row>
    <row r="155" spans="2:26">
      <c r="B155" s="128">
        <f t="shared" si="1"/>
        <v>76</v>
      </c>
      <c r="C155" s="77"/>
      <c r="D155" s="130"/>
      <c r="E155" s="143"/>
      <c r="F155" s="136"/>
      <c r="G155" s="137"/>
      <c r="H155" s="107"/>
      <c r="I155" s="96"/>
      <c r="J155" s="96"/>
      <c r="K155" s="96"/>
      <c r="L155" s="96"/>
      <c r="M155" s="96"/>
      <c r="N155" s="96"/>
      <c r="O155" s="96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138"/>
    </row>
    <row r="156" spans="2:26">
      <c r="B156" s="128">
        <f t="shared" si="1"/>
        <v>77</v>
      </c>
      <c r="C156" s="129"/>
      <c r="D156" s="130"/>
      <c r="E156" s="143"/>
      <c r="F156" s="136"/>
      <c r="G156" s="137"/>
      <c r="H156" s="110"/>
      <c r="I156" s="96"/>
      <c r="J156" s="96"/>
      <c r="K156" s="96"/>
      <c r="L156" s="96"/>
      <c r="M156" s="96"/>
      <c r="N156" s="96"/>
      <c r="O156" s="96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138"/>
    </row>
    <row r="157" spans="2:26">
      <c r="B157" s="128">
        <f t="shared" si="1"/>
        <v>78</v>
      </c>
      <c r="C157" s="129"/>
      <c r="D157" s="130"/>
      <c r="E157" s="143"/>
      <c r="F157" s="136"/>
      <c r="G157" s="137"/>
      <c r="H157" s="110"/>
      <c r="I157" s="96"/>
      <c r="J157" s="96"/>
      <c r="K157" s="96"/>
      <c r="L157" s="96"/>
      <c r="M157" s="96"/>
      <c r="N157" s="96"/>
      <c r="O157" s="96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138"/>
    </row>
    <row r="158" spans="2:26">
      <c r="B158" s="128">
        <f t="shared" si="1"/>
        <v>79</v>
      </c>
      <c r="C158" s="77"/>
      <c r="D158" s="130"/>
      <c r="E158" s="143"/>
      <c r="F158" s="136"/>
      <c r="G158" s="137"/>
      <c r="H158" s="145"/>
      <c r="I158" s="96"/>
      <c r="J158" s="96"/>
      <c r="K158" s="96"/>
      <c r="L158" s="96"/>
      <c r="M158" s="96"/>
      <c r="N158" s="96"/>
      <c r="O158" s="96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138"/>
    </row>
    <row r="159" spans="2:26">
      <c r="B159" s="128">
        <f t="shared" si="1"/>
        <v>80</v>
      </c>
      <c r="C159" s="142"/>
      <c r="D159" s="130"/>
      <c r="E159" s="143"/>
      <c r="F159" s="136"/>
      <c r="G159" s="137"/>
      <c r="H159" s="146"/>
      <c r="I159" s="96"/>
      <c r="J159" s="96"/>
      <c r="K159" s="96"/>
      <c r="L159" s="96"/>
      <c r="M159" s="96"/>
      <c r="N159" s="96"/>
      <c r="O159" s="96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138"/>
    </row>
    <row r="160" spans="2:26">
      <c r="B160" s="128">
        <f t="shared" si="1"/>
        <v>81</v>
      </c>
      <c r="C160" s="129"/>
      <c r="D160" s="130"/>
      <c r="E160" s="143"/>
      <c r="F160" s="136"/>
      <c r="G160" s="137"/>
      <c r="H160" s="146"/>
      <c r="I160" s="96"/>
      <c r="J160" s="96"/>
      <c r="K160" s="96"/>
      <c r="L160" s="96"/>
      <c r="M160" s="96"/>
      <c r="N160" s="96"/>
      <c r="O160" s="96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138"/>
    </row>
    <row r="161" spans="2:26">
      <c r="B161" s="128">
        <f>B151+1</f>
        <v>73</v>
      </c>
      <c r="C161" s="77"/>
      <c r="D161" s="130"/>
      <c r="E161" s="143"/>
      <c r="F161" s="136"/>
      <c r="G161" s="137"/>
      <c r="H161" s="106"/>
      <c r="I161" s="96"/>
      <c r="J161" s="96"/>
      <c r="K161" s="96"/>
      <c r="L161" s="96"/>
      <c r="M161" s="96"/>
      <c r="N161" s="96"/>
      <c r="O161" s="96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138"/>
    </row>
    <row r="162" spans="2:26">
      <c r="B162" s="128">
        <f t="shared" si="1"/>
        <v>74</v>
      </c>
      <c r="C162" s="129"/>
      <c r="D162" s="130"/>
      <c r="F162" s="136"/>
      <c r="G162" s="137"/>
      <c r="H162" s="145"/>
      <c r="I162" s="96"/>
      <c r="J162" s="96"/>
      <c r="K162" s="96"/>
      <c r="L162" s="96"/>
      <c r="M162" s="96"/>
      <c r="N162" s="96"/>
      <c r="O162" s="96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138"/>
    </row>
    <row r="163" spans="2:26">
      <c r="B163" s="128">
        <f t="shared" si="1"/>
        <v>75</v>
      </c>
      <c r="C163" s="129"/>
      <c r="D163" s="130"/>
      <c r="E163" s="143"/>
      <c r="F163" s="136"/>
      <c r="G163" s="137"/>
      <c r="H163" s="145"/>
      <c r="I163" s="96"/>
      <c r="J163" s="96"/>
      <c r="K163" s="96"/>
      <c r="L163" s="96"/>
      <c r="M163" s="96"/>
      <c r="N163" s="96"/>
      <c r="O163" s="96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138"/>
    </row>
    <row r="164" spans="2:26">
      <c r="B164" s="128">
        <f>B154+1</f>
        <v>76</v>
      </c>
      <c r="C164" s="77"/>
      <c r="D164" s="130"/>
      <c r="E164" s="143"/>
      <c r="F164" s="136"/>
      <c r="G164" s="137"/>
      <c r="H164" s="147"/>
      <c r="I164" s="96"/>
      <c r="J164" s="96"/>
      <c r="K164" s="96"/>
      <c r="L164" s="96"/>
      <c r="M164" s="96"/>
      <c r="N164" s="96"/>
      <c r="O164" s="96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138"/>
    </row>
    <row r="165" spans="2:26">
      <c r="B165" s="128">
        <f t="shared" si="1"/>
        <v>77</v>
      </c>
      <c r="C165" s="129"/>
      <c r="D165" s="130"/>
      <c r="E165" s="143"/>
      <c r="F165" s="136"/>
      <c r="G165" s="137"/>
      <c r="H165" s="147"/>
      <c r="I165" s="96"/>
      <c r="J165" s="96"/>
      <c r="K165" s="96"/>
      <c r="L165" s="96"/>
      <c r="M165" s="96"/>
      <c r="N165" s="96"/>
      <c r="O165" s="96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138"/>
    </row>
    <row r="166" spans="2:26">
      <c r="B166" s="128">
        <f t="shared" si="1"/>
        <v>78</v>
      </c>
      <c r="C166" s="129"/>
      <c r="D166" s="130"/>
      <c r="E166" s="143"/>
      <c r="F166" s="136"/>
      <c r="G166" s="137"/>
      <c r="H166" s="148"/>
      <c r="I166" s="96"/>
      <c r="J166" s="96"/>
      <c r="K166" s="96"/>
      <c r="L166" s="96"/>
      <c r="M166" s="96"/>
      <c r="N166" s="96"/>
      <c r="O166" s="96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138"/>
    </row>
    <row r="167" spans="2:26">
      <c r="B167" s="128">
        <f>B157+1</f>
        <v>79</v>
      </c>
      <c r="C167" s="77"/>
      <c r="D167" s="130"/>
      <c r="E167" s="143"/>
      <c r="F167" s="136"/>
      <c r="G167" s="137"/>
      <c r="H167" s="96"/>
      <c r="I167" s="96"/>
      <c r="J167" s="96"/>
      <c r="K167" s="96"/>
      <c r="L167" s="96"/>
      <c r="M167" s="96"/>
      <c r="N167" s="96"/>
      <c r="O167" s="96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138"/>
    </row>
    <row r="168" spans="2:26">
      <c r="B168" s="128">
        <f t="shared" si="1"/>
        <v>80</v>
      </c>
      <c r="C168" s="77"/>
      <c r="D168" s="130"/>
      <c r="E168" s="143"/>
      <c r="F168" s="136"/>
      <c r="G168" s="137"/>
      <c r="H168" s="96"/>
      <c r="I168" s="96"/>
      <c r="J168" s="96"/>
      <c r="K168" s="96"/>
      <c r="L168" s="96"/>
      <c r="M168" s="96"/>
      <c r="N168" s="96"/>
      <c r="O168" s="96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138"/>
    </row>
    <row r="169" spans="2:26">
      <c r="B169" s="128">
        <f t="shared" si="1"/>
        <v>81</v>
      </c>
      <c r="C169" s="77"/>
      <c r="D169" s="130"/>
      <c r="E169" s="143"/>
      <c r="F169" s="136"/>
      <c r="G169" s="137"/>
      <c r="H169" s="143"/>
      <c r="I169" s="96"/>
      <c r="J169" s="96"/>
      <c r="K169" s="96"/>
      <c r="L169" s="96"/>
      <c r="M169" s="96"/>
      <c r="N169" s="96"/>
      <c r="O169" s="96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138"/>
    </row>
    <row r="170" spans="2:26">
      <c r="B170" s="128">
        <f t="shared" si="1"/>
        <v>82</v>
      </c>
      <c r="C170" s="77"/>
      <c r="D170" s="130"/>
      <c r="E170" s="143"/>
      <c r="F170" s="136"/>
      <c r="G170" s="137"/>
      <c r="H170" s="110"/>
      <c r="I170" s="96"/>
      <c r="J170" s="96"/>
      <c r="K170" s="96"/>
      <c r="L170" s="96"/>
      <c r="M170" s="96"/>
      <c r="N170" s="96"/>
      <c r="O170" s="96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138"/>
    </row>
    <row r="171" spans="2:26">
      <c r="B171" s="128">
        <f t="shared" si="1"/>
        <v>83</v>
      </c>
      <c r="C171" s="77"/>
      <c r="D171" s="130"/>
      <c r="E171" s="143"/>
      <c r="F171" s="136"/>
      <c r="G171" s="137"/>
      <c r="H171" s="148"/>
      <c r="I171" s="96"/>
      <c r="J171" s="96"/>
      <c r="K171" s="96"/>
      <c r="L171" s="96"/>
      <c r="M171" s="96"/>
      <c r="N171" s="96"/>
      <c r="O171" s="96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138"/>
    </row>
    <row r="172" spans="2:26">
      <c r="B172" s="128"/>
      <c r="C172" s="77"/>
      <c r="D172" s="130"/>
      <c r="E172" s="143"/>
      <c r="F172" s="136"/>
      <c r="G172" s="137"/>
      <c r="H172" s="108"/>
      <c r="I172" s="96"/>
      <c r="J172" s="96"/>
      <c r="K172" s="96"/>
      <c r="L172" s="96"/>
      <c r="M172" s="96"/>
      <c r="N172" s="96"/>
      <c r="O172" s="96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138"/>
    </row>
    <row r="173" spans="2:26">
      <c r="B173" s="128"/>
      <c r="C173" s="77"/>
      <c r="D173" s="130"/>
      <c r="E173" s="143"/>
      <c r="F173" s="136"/>
      <c r="G173" s="137"/>
      <c r="H173" s="110"/>
      <c r="I173" s="96"/>
      <c r="J173" s="96"/>
      <c r="K173" s="96"/>
      <c r="L173" s="96"/>
      <c r="M173" s="96"/>
      <c r="N173" s="96"/>
      <c r="O173" s="96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138"/>
    </row>
    <row r="174" spans="2:26">
      <c r="B174" s="128"/>
      <c r="C174" s="77"/>
      <c r="D174" s="130"/>
      <c r="E174" s="143"/>
      <c r="F174" s="136"/>
      <c r="G174" s="137"/>
      <c r="H174" s="110"/>
      <c r="I174" s="96"/>
      <c r="J174" s="96"/>
      <c r="K174" s="96"/>
      <c r="L174" s="96"/>
      <c r="M174" s="96"/>
      <c r="N174" s="96"/>
      <c r="O174" s="96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138"/>
    </row>
    <row r="175" spans="2:26">
      <c r="B175" s="128"/>
      <c r="C175" s="77"/>
      <c r="D175" s="130"/>
      <c r="E175" s="143"/>
      <c r="F175" s="136"/>
      <c r="G175" s="137"/>
      <c r="H175" s="110"/>
      <c r="I175" s="96"/>
      <c r="J175" s="96"/>
      <c r="K175" s="96"/>
      <c r="L175" s="96"/>
      <c r="M175" s="96"/>
      <c r="N175" s="96"/>
      <c r="O175" s="96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138"/>
    </row>
    <row r="176" spans="2:26">
      <c r="B176" s="128"/>
      <c r="C176" s="77"/>
      <c r="D176" s="430"/>
      <c r="K176" s="96"/>
      <c r="L176" s="96"/>
      <c r="M176" s="96"/>
      <c r="N176" s="96"/>
      <c r="O176" s="96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138"/>
    </row>
    <row r="177" spans="2:26">
      <c r="B177" s="128"/>
      <c r="C177" s="77"/>
      <c r="D177" s="430"/>
      <c r="K177" s="96"/>
      <c r="L177" s="96"/>
      <c r="M177" s="96"/>
      <c r="N177" s="96"/>
      <c r="O177" s="96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138"/>
    </row>
    <row r="178" spans="2:26">
      <c r="B178" s="149"/>
      <c r="C178" s="150"/>
      <c r="D178" s="151"/>
      <c r="E178" s="152">
        <f>SUM(E80:E175)</f>
        <v>0</v>
      </c>
      <c r="F178" s="153">
        <f>SUM(F80:F175)</f>
        <v>0</v>
      </c>
      <c r="G178" s="154">
        <f>SUM(G80:G175)</f>
        <v>0</v>
      </c>
      <c r="H178" s="526" t="s">
        <v>30</v>
      </c>
      <c r="I178" s="527"/>
      <c r="J178" s="155">
        <f>SUM(E178:G178)</f>
        <v>0</v>
      </c>
      <c r="K178" s="156"/>
      <c r="L178" s="156"/>
      <c r="M178" s="156"/>
      <c r="N178" s="156"/>
      <c r="O178" s="156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8"/>
    </row>
    <row r="179" spans="2:26">
      <c r="C179" s="26"/>
    </row>
  </sheetData>
  <mergeCells count="8">
    <mergeCell ref="H178:I178"/>
    <mergeCell ref="C1:D1"/>
    <mergeCell ref="E1:O1"/>
    <mergeCell ref="Q1:S1"/>
    <mergeCell ref="T1:V1"/>
    <mergeCell ref="E78:G78"/>
    <mergeCell ref="H79:L79"/>
    <mergeCell ref="B64:D65"/>
  </mergeCells>
  <conditionalFormatting sqref="T93">
    <cfRule type="expression" dxfId="873" priority="29" stopIfTrue="1">
      <formula>$B93="*"</formula>
    </cfRule>
    <cfRule type="expression" dxfId="872" priority="30" stopIfTrue="1">
      <formula>$B93="-"</formula>
    </cfRule>
  </conditionalFormatting>
  <conditionalFormatting sqref="T94">
    <cfRule type="expression" dxfId="871" priority="27" stopIfTrue="1">
      <formula>$B94="*"</formula>
    </cfRule>
    <cfRule type="expression" dxfId="870" priority="28" stopIfTrue="1">
      <formula>$B94="-"</formula>
    </cfRule>
  </conditionalFormatting>
  <conditionalFormatting sqref="T98">
    <cfRule type="expression" dxfId="869" priority="25" stopIfTrue="1">
      <formula>$B98="*"</formula>
    </cfRule>
    <cfRule type="expression" dxfId="868" priority="26" stopIfTrue="1">
      <formula>$B98="-"</formula>
    </cfRule>
  </conditionalFormatting>
  <conditionalFormatting sqref="T102">
    <cfRule type="expression" dxfId="867" priority="23" stopIfTrue="1">
      <formula>$B102="*"</formula>
    </cfRule>
    <cfRule type="expression" dxfId="866" priority="24" stopIfTrue="1">
      <formula>$B102="-"</formula>
    </cfRule>
  </conditionalFormatting>
  <conditionalFormatting sqref="T104">
    <cfRule type="expression" dxfId="865" priority="21" stopIfTrue="1">
      <formula>$B104="*"</formula>
    </cfRule>
    <cfRule type="expression" dxfId="864" priority="22" stopIfTrue="1">
      <formula>$B104="-"</formula>
    </cfRule>
  </conditionalFormatting>
  <conditionalFormatting sqref="T108">
    <cfRule type="expression" dxfId="863" priority="19" stopIfTrue="1">
      <formula>$B108="*"</formula>
    </cfRule>
    <cfRule type="expression" dxfId="862" priority="20" stopIfTrue="1">
      <formula>$B108="-"</formula>
    </cfRule>
  </conditionalFormatting>
  <conditionalFormatting sqref="T111">
    <cfRule type="expression" dxfId="861" priority="17" stopIfTrue="1">
      <formula>$B111="*"</formula>
    </cfRule>
    <cfRule type="expression" dxfId="860" priority="18" stopIfTrue="1">
      <formula>$B111="-"</formula>
    </cfRule>
  </conditionalFormatting>
  <conditionalFormatting sqref="T112">
    <cfRule type="expression" dxfId="859" priority="15" stopIfTrue="1">
      <formula>$B112="*"</formula>
    </cfRule>
    <cfRule type="expression" dxfId="858" priority="16" stopIfTrue="1">
      <formula>$B112="-"</formula>
    </cfRule>
  </conditionalFormatting>
  <conditionalFormatting sqref="T114">
    <cfRule type="expression" dxfId="857" priority="13" stopIfTrue="1">
      <formula>$B114="*"</formula>
    </cfRule>
    <cfRule type="expression" dxfId="856" priority="14" stopIfTrue="1">
      <formula>$B114="-"</formula>
    </cfRule>
  </conditionalFormatting>
  <conditionalFormatting sqref="T47">
    <cfRule type="expression" dxfId="855" priority="11" stopIfTrue="1">
      <formula>$B47="*"</formula>
    </cfRule>
    <cfRule type="expression" dxfId="854" priority="12" stopIfTrue="1">
      <formula>$B47="-"</formula>
    </cfRule>
  </conditionalFormatting>
  <conditionalFormatting sqref="H171">
    <cfRule type="expression" dxfId="853" priority="9" stopIfTrue="1">
      <formula>$B176="*"</formula>
    </cfRule>
    <cfRule type="expression" dxfId="852" priority="10" stopIfTrue="1">
      <formula>$B176="-"</formula>
    </cfRule>
  </conditionalFormatting>
  <conditionalFormatting sqref="H165:H166">
    <cfRule type="expression" dxfId="851" priority="7" stopIfTrue="1">
      <formula>$B162="*"</formula>
    </cfRule>
    <cfRule type="expression" dxfId="850" priority="8" stopIfTrue="1">
      <formula>$B162="-"</formula>
    </cfRule>
  </conditionalFormatting>
  <conditionalFormatting sqref="H169">
    <cfRule type="expression" dxfId="849" priority="5" stopIfTrue="1">
      <formula>$B169="*"</formula>
    </cfRule>
    <cfRule type="expression" dxfId="848" priority="6" stopIfTrue="1">
      <formula>$B169="-"</formula>
    </cfRule>
  </conditionalFormatting>
  <conditionalFormatting sqref="H164">
    <cfRule type="expression" dxfId="847" priority="3" stopIfTrue="1">
      <formula>$B161="*"</formula>
    </cfRule>
    <cfRule type="expression" dxfId="846" priority="4" stopIfTrue="1">
      <formula>$B161="-"</formula>
    </cfRule>
  </conditionalFormatting>
  <conditionalFormatting sqref="H164">
    <cfRule type="expression" dxfId="845" priority="1" stopIfTrue="1">
      <formula>$B161="*"</formula>
    </cfRule>
    <cfRule type="expression" dxfId="844" priority="2" stopIfTrue="1">
      <formula>$B161="-"</formula>
    </cfRule>
  </conditionalFormatting>
  <printOptions horizontalCentered="1"/>
  <pageMargins left="0.35433070866141736" right="0" top="0.47244094488188981" bottom="0.23622047244094491" header="0.15748031496062992" footer="0.19685039370078741"/>
  <pageSetup paperSize="8" scale="6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BI78"/>
  <sheetViews>
    <sheetView topLeftCell="A5" zoomScale="80" zoomScaleNormal="80" workbookViewId="0">
      <pane xSplit="3" ySplit="4" topLeftCell="D9" activePane="bottomRight" state="frozen"/>
      <selection activeCell="G18" sqref="G18"/>
      <selection pane="topRight" activeCell="G18" sqref="G18"/>
      <selection pane="bottomLeft" activeCell="G18" sqref="G18"/>
      <selection pane="bottomRight" activeCell="G16" sqref="G16"/>
    </sheetView>
  </sheetViews>
  <sheetFormatPr defaultRowHeight="13.5"/>
  <cols>
    <col min="1" max="1" width="1.85546875" style="19" customWidth="1"/>
    <col min="2" max="2" width="7.5703125" style="19" customWidth="1"/>
    <col min="3" max="3" width="8" style="220" customWidth="1"/>
    <col min="4" max="4" width="13.7109375" style="19" customWidth="1"/>
    <col min="5" max="5" width="15.140625" style="19" customWidth="1"/>
    <col min="6" max="6" width="15.42578125" style="19" customWidth="1"/>
    <col min="7" max="7" width="7.42578125" style="220" bestFit="1" customWidth="1"/>
    <col min="8" max="8" width="14.42578125" style="19" bestFit="1" customWidth="1"/>
    <col min="9" max="9" width="12.28515625" style="19" customWidth="1"/>
    <col min="10" max="10" width="9.140625" style="19"/>
    <col min="11" max="11" width="9.5703125" style="19" customWidth="1"/>
    <col min="12" max="12" width="9.28515625" style="19" customWidth="1"/>
    <col min="13" max="13" width="9.85546875" style="19" customWidth="1"/>
    <col min="14" max="15" width="8.140625" style="19" hidden="1" customWidth="1"/>
    <col min="16" max="16" width="7.5703125" style="19" hidden="1" customWidth="1"/>
    <col min="17" max="17" width="16.28515625" style="19" hidden="1" customWidth="1"/>
    <col min="18" max="18" width="11.5703125" style="19" customWidth="1"/>
    <col min="19" max="19" width="7.140625" style="19" hidden="1" customWidth="1"/>
    <col min="20" max="20" width="7.28515625" style="19" hidden="1" customWidth="1"/>
    <col min="21" max="22" width="7.140625" style="19" hidden="1" customWidth="1"/>
    <col min="23" max="23" width="6.85546875" style="19" hidden="1" customWidth="1"/>
    <col min="24" max="28" width="5.85546875" style="19" hidden="1" customWidth="1"/>
    <col min="29" max="30" width="6.5703125" style="19" hidden="1" customWidth="1"/>
    <col min="31" max="39" width="5.85546875" style="19" hidden="1" customWidth="1"/>
    <col min="40" max="40" width="7.7109375" style="19" hidden="1" customWidth="1"/>
    <col min="41" max="41" width="9.7109375" style="19" hidden="1" customWidth="1"/>
    <col min="42" max="43" width="8.5703125" style="19" hidden="1" customWidth="1"/>
    <col min="44" max="44" width="8.85546875" style="19" hidden="1" customWidth="1"/>
    <col min="45" max="46" width="9.28515625" style="19" hidden="1" customWidth="1"/>
    <col min="47" max="47" width="10.140625" style="19" hidden="1" customWidth="1"/>
    <col min="48" max="49" width="7.85546875" style="19" hidden="1" customWidth="1"/>
    <col min="50" max="51" width="6.42578125" style="19" hidden="1" customWidth="1"/>
    <col min="52" max="52" width="8.42578125" style="19" hidden="1" customWidth="1"/>
    <col min="53" max="53" width="40.7109375" style="19" hidden="1" customWidth="1"/>
    <col min="54" max="54" width="5" style="19" customWidth="1"/>
    <col min="55" max="55" width="5.5703125" style="19" customWidth="1"/>
    <col min="56" max="59" width="9.140625" style="19"/>
    <col min="60" max="61" width="8.7109375" style="19" customWidth="1"/>
    <col min="62" max="256" width="9.140625" style="19"/>
    <col min="257" max="257" width="1.85546875" style="19" customWidth="1"/>
    <col min="258" max="258" width="7.5703125" style="19" customWidth="1"/>
    <col min="259" max="259" width="6.7109375" style="19" bestFit="1" customWidth="1"/>
    <col min="260" max="260" width="13.7109375" style="19" customWidth="1"/>
    <col min="261" max="261" width="10.140625" style="19" customWidth="1"/>
    <col min="262" max="262" width="12.28515625" style="19" customWidth="1"/>
    <col min="263" max="263" width="6.42578125" style="19" customWidth="1"/>
    <col min="264" max="264" width="9.85546875" style="19" customWidth="1"/>
    <col min="265" max="265" width="12.28515625" style="19" customWidth="1"/>
    <col min="266" max="266" width="9.140625" style="19"/>
    <col min="267" max="267" width="9.5703125" style="19" customWidth="1"/>
    <col min="268" max="268" width="9.28515625" style="19" customWidth="1"/>
    <col min="269" max="269" width="9.85546875" style="19" customWidth="1"/>
    <col min="270" max="273" width="0" style="19" hidden="1" customWidth="1"/>
    <col min="274" max="274" width="11.5703125" style="19" customWidth="1"/>
    <col min="275" max="275" width="7.140625" style="19" customWidth="1"/>
    <col min="276" max="276" width="7.28515625" style="19" customWidth="1"/>
    <col min="277" max="284" width="0" style="19" hidden="1" customWidth="1"/>
    <col min="285" max="286" width="6.5703125" style="19" customWidth="1"/>
    <col min="287" max="290" width="0" style="19" hidden="1" customWidth="1"/>
    <col min="291" max="291" width="5.85546875" style="19" customWidth="1"/>
    <col min="292" max="292" width="0" style="19" hidden="1" customWidth="1"/>
    <col min="293" max="295" width="5.85546875" style="19" customWidth="1"/>
    <col min="296" max="296" width="7.7109375" style="19" customWidth="1"/>
    <col min="297" max="297" width="9.140625" style="19" bestFit="1" customWidth="1"/>
    <col min="298" max="299" width="8.5703125" style="19" bestFit="1" customWidth="1"/>
    <col min="300" max="300" width="8.85546875" style="19" customWidth="1"/>
    <col min="301" max="302" width="9.28515625" style="19" customWidth="1"/>
    <col min="303" max="303" width="10.140625" style="19" customWidth="1"/>
    <col min="304" max="305" width="7.85546875" style="19" customWidth="1"/>
    <col min="306" max="307" width="6.42578125" style="19" customWidth="1"/>
    <col min="308" max="308" width="8.42578125" style="19" customWidth="1"/>
    <col min="309" max="309" width="40.7109375" style="19" customWidth="1"/>
    <col min="310" max="310" width="5" style="19" customWidth="1"/>
    <col min="311" max="311" width="5.5703125" style="19" customWidth="1"/>
    <col min="312" max="315" width="9.140625" style="19"/>
    <col min="316" max="317" width="8.7109375" style="19" customWidth="1"/>
    <col min="318" max="512" width="9.140625" style="19"/>
    <col min="513" max="513" width="1.85546875" style="19" customWidth="1"/>
    <col min="514" max="514" width="7.5703125" style="19" customWidth="1"/>
    <col min="515" max="515" width="6.7109375" style="19" bestFit="1" customWidth="1"/>
    <col min="516" max="516" width="13.7109375" style="19" customWidth="1"/>
    <col min="517" max="517" width="10.140625" style="19" customWidth="1"/>
    <col min="518" max="518" width="12.28515625" style="19" customWidth="1"/>
    <col min="519" max="519" width="6.42578125" style="19" customWidth="1"/>
    <col min="520" max="520" width="9.85546875" style="19" customWidth="1"/>
    <col min="521" max="521" width="12.28515625" style="19" customWidth="1"/>
    <col min="522" max="522" width="9.140625" style="19"/>
    <col min="523" max="523" width="9.5703125" style="19" customWidth="1"/>
    <col min="524" max="524" width="9.28515625" style="19" customWidth="1"/>
    <col min="525" max="525" width="9.85546875" style="19" customWidth="1"/>
    <col min="526" max="529" width="0" style="19" hidden="1" customWidth="1"/>
    <col min="530" max="530" width="11.5703125" style="19" customWidth="1"/>
    <col min="531" max="531" width="7.140625" style="19" customWidth="1"/>
    <col min="532" max="532" width="7.28515625" style="19" customWidth="1"/>
    <col min="533" max="540" width="0" style="19" hidden="1" customWidth="1"/>
    <col min="541" max="542" width="6.5703125" style="19" customWidth="1"/>
    <col min="543" max="546" width="0" style="19" hidden="1" customWidth="1"/>
    <col min="547" max="547" width="5.85546875" style="19" customWidth="1"/>
    <col min="548" max="548" width="0" style="19" hidden="1" customWidth="1"/>
    <col min="549" max="551" width="5.85546875" style="19" customWidth="1"/>
    <col min="552" max="552" width="7.7109375" style="19" customWidth="1"/>
    <col min="553" max="553" width="9.140625" style="19" bestFit="1" customWidth="1"/>
    <col min="554" max="555" width="8.5703125" style="19" bestFit="1" customWidth="1"/>
    <col min="556" max="556" width="8.85546875" style="19" customWidth="1"/>
    <col min="557" max="558" width="9.28515625" style="19" customWidth="1"/>
    <col min="559" max="559" width="10.140625" style="19" customWidth="1"/>
    <col min="560" max="561" width="7.85546875" style="19" customWidth="1"/>
    <col min="562" max="563" width="6.42578125" style="19" customWidth="1"/>
    <col min="564" max="564" width="8.42578125" style="19" customWidth="1"/>
    <col min="565" max="565" width="40.7109375" style="19" customWidth="1"/>
    <col min="566" max="566" width="5" style="19" customWidth="1"/>
    <col min="567" max="567" width="5.5703125" style="19" customWidth="1"/>
    <col min="568" max="571" width="9.140625" style="19"/>
    <col min="572" max="573" width="8.7109375" style="19" customWidth="1"/>
    <col min="574" max="768" width="9.140625" style="19"/>
    <col min="769" max="769" width="1.85546875" style="19" customWidth="1"/>
    <col min="770" max="770" width="7.5703125" style="19" customWidth="1"/>
    <col min="771" max="771" width="6.7109375" style="19" bestFit="1" customWidth="1"/>
    <col min="772" max="772" width="13.7109375" style="19" customWidth="1"/>
    <col min="773" max="773" width="10.140625" style="19" customWidth="1"/>
    <col min="774" max="774" width="12.28515625" style="19" customWidth="1"/>
    <col min="775" max="775" width="6.42578125" style="19" customWidth="1"/>
    <col min="776" max="776" width="9.85546875" style="19" customWidth="1"/>
    <col min="777" max="777" width="12.28515625" style="19" customWidth="1"/>
    <col min="778" max="778" width="9.140625" style="19"/>
    <col min="779" max="779" width="9.5703125" style="19" customWidth="1"/>
    <col min="780" max="780" width="9.28515625" style="19" customWidth="1"/>
    <col min="781" max="781" width="9.85546875" style="19" customWidth="1"/>
    <col min="782" max="785" width="0" style="19" hidden="1" customWidth="1"/>
    <col min="786" max="786" width="11.5703125" style="19" customWidth="1"/>
    <col min="787" max="787" width="7.140625" style="19" customWidth="1"/>
    <col min="788" max="788" width="7.28515625" style="19" customWidth="1"/>
    <col min="789" max="796" width="0" style="19" hidden="1" customWidth="1"/>
    <col min="797" max="798" width="6.5703125" style="19" customWidth="1"/>
    <col min="799" max="802" width="0" style="19" hidden="1" customWidth="1"/>
    <col min="803" max="803" width="5.85546875" style="19" customWidth="1"/>
    <col min="804" max="804" width="0" style="19" hidden="1" customWidth="1"/>
    <col min="805" max="807" width="5.85546875" style="19" customWidth="1"/>
    <col min="808" max="808" width="7.7109375" style="19" customWidth="1"/>
    <col min="809" max="809" width="9.140625" style="19" bestFit="1" customWidth="1"/>
    <col min="810" max="811" width="8.5703125" style="19" bestFit="1" customWidth="1"/>
    <col min="812" max="812" width="8.85546875" style="19" customWidth="1"/>
    <col min="813" max="814" width="9.28515625" style="19" customWidth="1"/>
    <col min="815" max="815" width="10.140625" style="19" customWidth="1"/>
    <col min="816" max="817" width="7.85546875" style="19" customWidth="1"/>
    <col min="818" max="819" width="6.42578125" style="19" customWidth="1"/>
    <col min="820" max="820" width="8.42578125" style="19" customWidth="1"/>
    <col min="821" max="821" width="40.7109375" style="19" customWidth="1"/>
    <col min="822" max="822" width="5" style="19" customWidth="1"/>
    <col min="823" max="823" width="5.5703125" style="19" customWidth="1"/>
    <col min="824" max="827" width="9.140625" style="19"/>
    <col min="828" max="829" width="8.7109375" style="19" customWidth="1"/>
    <col min="830" max="1024" width="9.140625" style="19"/>
    <col min="1025" max="1025" width="1.85546875" style="19" customWidth="1"/>
    <col min="1026" max="1026" width="7.5703125" style="19" customWidth="1"/>
    <col min="1027" max="1027" width="6.7109375" style="19" bestFit="1" customWidth="1"/>
    <col min="1028" max="1028" width="13.7109375" style="19" customWidth="1"/>
    <col min="1029" max="1029" width="10.140625" style="19" customWidth="1"/>
    <col min="1030" max="1030" width="12.28515625" style="19" customWidth="1"/>
    <col min="1031" max="1031" width="6.42578125" style="19" customWidth="1"/>
    <col min="1032" max="1032" width="9.85546875" style="19" customWidth="1"/>
    <col min="1033" max="1033" width="12.28515625" style="19" customWidth="1"/>
    <col min="1034" max="1034" width="9.140625" style="19"/>
    <col min="1035" max="1035" width="9.5703125" style="19" customWidth="1"/>
    <col min="1036" max="1036" width="9.28515625" style="19" customWidth="1"/>
    <col min="1037" max="1037" width="9.85546875" style="19" customWidth="1"/>
    <col min="1038" max="1041" width="0" style="19" hidden="1" customWidth="1"/>
    <col min="1042" max="1042" width="11.5703125" style="19" customWidth="1"/>
    <col min="1043" max="1043" width="7.140625" style="19" customWidth="1"/>
    <col min="1044" max="1044" width="7.28515625" style="19" customWidth="1"/>
    <col min="1045" max="1052" width="0" style="19" hidden="1" customWidth="1"/>
    <col min="1053" max="1054" width="6.5703125" style="19" customWidth="1"/>
    <col min="1055" max="1058" width="0" style="19" hidden="1" customWidth="1"/>
    <col min="1059" max="1059" width="5.85546875" style="19" customWidth="1"/>
    <col min="1060" max="1060" width="0" style="19" hidden="1" customWidth="1"/>
    <col min="1061" max="1063" width="5.85546875" style="19" customWidth="1"/>
    <col min="1064" max="1064" width="7.7109375" style="19" customWidth="1"/>
    <col min="1065" max="1065" width="9.140625" style="19" bestFit="1" customWidth="1"/>
    <col min="1066" max="1067" width="8.5703125" style="19" bestFit="1" customWidth="1"/>
    <col min="1068" max="1068" width="8.85546875" style="19" customWidth="1"/>
    <col min="1069" max="1070" width="9.28515625" style="19" customWidth="1"/>
    <col min="1071" max="1071" width="10.140625" style="19" customWidth="1"/>
    <col min="1072" max="1073" width="7.85546875" style="19" customWidth="1"/>
    <col min="1074" max="1075" width="6.42578125" style="19" customWidth="1"/>
    <col min="1076" max="1076" width="8.42578125" style="19" customWidth="1"/>
    <col min="1077" max="1077" width="40.7109375" style="19" customWidth="1"/>
    <col min="1078" max="1078" width="5" style="19" customWidth="1"/>
    <col min="1079" max="1079" width="5.5703125" style="19" customWidth="1"/>
    <col min="1080" max="1083" width="9.140625" style="19"/>
    <col min="1084" max="1085" width="8.7109375" style="19" customWidth="1"/>
    <col min="1086" max="1280" width="9.140625" style="19"/>
    <col min="1281" max="1281" width="1.85546875" style="19" customWidth="1"/>
    <col min="1282" max="1282" width="7.5703125" style="19" customWidth="1"/>
    <col min="1283" max="1283" width="6.7109375" style="19" bestFit="1" customWidth="1"/>
    <col min="1284" max="1284" width="13.7109375" style="19" customWidth="1"/>
    <col min="1285" max="1285" width="10.140625" style="19" customWidth="1"/>
    <col min="1286" max="1286" width="12.28515625" style="19" customWidth="1"/>
    <col min="1287" max="1287" width="6.42578125" style="19" customWidth="1"/>
    <col min="1288" max="1288" width="9.85546875" style="19" customWidth="1"/>
    <col min="1289" max="1289" width="12.28515625" style="19" customWidth="1"/>
    <col min="1290" max="1290" width="9.140625" style="19"/>
    <col min="1291" max="1291" width="9.5703125" style="19" customWidth="1"/>
    <col min="1292" max="1292" width="9.28515625" style="19" customWidth="1"/>
    <col min="1293" max="1293" width="9.85546875" style="19" customWidth="1"/>
    <col min="1294" max="1297" width="0" style="19" hidden="1" customWidth="1"/>
    <col min="1298" max="1298" width="11.5703125" style="19" customWidth="1"/>
    <col min="1299" max="1299" width="7.140625" style="19" customWidth="1"/>
    <col min="1300" max="1300" width="7.28515625" style="19" customWidth="1"/>
    <col min="1301" max="1308" width="0" style="19" hidden="1" customWidth="1"/>
    <col min="1309" max="1310" width="6.5703125" style="19" customWidth="1"/>
    <col min="1311" max="1314" width="0" style="19" hidden="1" customWidth="1"/>
    <col min="1315" max="1315" width="5.85546875" style="19" customWidth="1"/>
    <col min="1316" max="1316" width="0" style="19" hidden="1" customWidth="1"/>
    <col min="1317" max="1319" width="5.85546875" style="19" customWidth="1"/>
    <col min="1320" max="1320" width="7.7109375" style="19" customWidth="1"/>
    <col min="1321" max="1321" width="9.140625" style="19" bestFit="1" customWidth="1"/>
    <col min="1322" max="1323" width="8.5703125" style="19" bestFit="1" customWidth="1"/>
    <col min="1324" max="1324" width="8.85546875" style="19" customWidth="1"/>
    <col min="1325" max="1326" width="9.28515625" style="19" customWidth="1"/>
    <col min="1327" max="1327" width="10.140625" style="19" customWidth="1"/>
    <col min="1328" max="1329" width="7.85546875" style="19" customWidth="1"/>
    <col min="1330" max="1331" width="6.42578125" style="19" customWidth="1"/>
    <col min="1332" max="1332" width="8.42578125" style="19" customWidth="1"/>
    <col min="1333" max="1333" width="40.7109375" style="19" customWidth="1"/>
    <col min="1334" max="1334" width="5" style="19" customWidth="1"/>
    <col min="1335" max="1335" width="5.5703125" style="19" customWidth="1"/>
    <col min="1336" max="1339" width="9.140625" style="19"/>
    <col min="1340" max="1341" width="8.7109375" style="19" customWidth="1"/>
    <col min="1342" max="1536" width="9.140625" style="19"/>
    <col min="1537" max="1537" width="1.85546875" style="19" customWidth="1"/>
    <col min="1538" max="1538" width="7.5703125" style="19" customWidth="1"/>
    <col min="1539" max="1539" width="6.7109375" style="19" bestFit="1" customWidth="1"/>
    <col min="1540" max="1540" width="13.7109375" style="19" customWidth="1"/>
    <col min="1541" max="1541" width="10.140625" style="19" customWidth="1"/>
    <col min="1542" max="1542" width="12.28515625" style="19" customWidth="1"/>
    <col min="1543" max="1543" width="6.42578125" style="19" customWidth="1"/>
    <col min="1544" max="1544" width="9.85546875" style="19" customWidth="1"/>
    <col min="1545" max="1545" width="12.28515625" style="19" customWidth="1"/>
    <col min="1546" max="1546" width="9.140625" style="19"/>
    <col min="1547" max="1547" width="9.5703125" style="19" customWidth="1"/>
    <col min="1548" max="1548" width="9.28515625" style="19" customWidth="1"/>
    <col min="1549" max="1549" width="9.85546875" style="19" customWidth="1"/>
    <col min="1550" max="1553" width="0" style="19" hidden="1" customWidth="1"/>
    <col min="1554" max="1554" width="11.5703125" style="19" customWidth="1"/>
    <col min="1555" max="1555" width="7.140625" style="19" customWidth="1"/>
    <col min="1556" max="1556" width="7.28515625" style="19" customWidth="1"/>
    <col min="1557" max="1564" width="0" style="19" hidden="1" customWidth="1"/>
    <col min="1565" max="1566" width="6.5703125" style="19" customWidth="1"/>
    <col min="1567" max="1570" width="0" style="19" hidden="1" customWidth="1"/>
    <col min="1571" max="1571" width="5.85546875" style="19" customWidth="1"/>
    <col min="1572" max="1572" width="0" style="19" hidden="1" customWidth="1"/>
    <col min="1573" max="1575" width="5.85546875" style="19" customWidth="1"/>
    <col min="1576" max="1576" width="7.7109375" style="19" customWidth="1"/>
    <col min="1577" max="1577" width="9.140625" style="19" bestFit="1" customWidth="1"/>
    <col min="1578" max="1579" width="8.5703125" style="19" bestFit="1" customWidth="1"/>
    <col min="1580" max="1580" width="8.85546875" style="19" customWidth="1"/>
    <col min="1581" max="1582" width="9.28515625" style="19" customWidth="1"/>
    <col min="1583" max="1583" width="10.140625" style="19" customWidth="1"/>
    <col min="1584" max="1585" width="7.85546875" style="19" customWidth="1"/>
    <col min="1586" max="1587" width="6.42578125" style="19" customWidth="1"/>
    <col min="1588" max="1588" width="8.42578125" style="19" customWidth="1"/>
    <col min="1589" max="1589" width="40.7109375" style="19" customWidth="1"/>
    <col min="1590" max="1590" width="5" style="19" customWidth="1"/>
    <col min="1591" max="1591" width="5.5703125" style="19" customWidth="1"/>
    <col min="1592" max="1595" width="9.140625" style="19"/>
    <col min="1596" max="1597" width="8.7109375" style="19" customWidth="1"/>
    <col min="1598" max="1792" width="9.140625" style="19"/>
    <col min="1793" max="1793" width="1.85546875" style="19" customWidth="1"/>
    <col min="1794" max="1794" width="7.5703125" style="19" customWidth="1"/>
    <col min="1795" max="1795" width="6.7109375" style="19" bestFit="1" customWidth="1"/>
    <col min="1796" max="1796" width="13.7109375" style="19" customWidth="1"/>
    <col min="1797" max="1797" width="10.140625" style="19" customWidth="1"/>
    <col min="1798" max="1798" width="12.28515625" style="19" customWidth="1"/>
    <col min="1799" max="1799" width="6.42578125" style="19" customWidth="1"/>
    <col min="1800" max="1800" width="9.85546875" style="19" customWidth="1"/>
    <col min="1801" max="1801" width="12.28515625" style="19" customWidth="1"/>
    <col min="1802" max="1802" width="9.140625" style="19"/>
    <col min="1803" max="1803" width="9.5703125" style="19" customWidth="1"/>
    <col min="1804" max="1804" width="9.28515625" style="19" customWidth="1"/>
    <col min="1805" max="1805" width="9.85546875" style="19" customWidth="1"/>
    <col min="1806" max="1809" width="0" style="19" hidden="1" customWidth="1"/>
    <col min="1810" max="1810" width="11.5703125" style="19" customWidth="1"/>
    <col min="1811" max="1811" width="7.140625" style="19" customWidth="1"/>
    <col min="1812" max="1812" width="7.28515625" style="19" customWidth="1"/>
    <col min="1813" max="1820" width="0" style="19" hidden="1" customWidth="1"/>
    <col min="1821" max="1822" width="6.5703125" style="19" customWidth="1"/>
    <col min="1823" max="1826" width="0" style="19" hidden="1" customWidth="1"/>
    <col min="1827" max="1827" width="5.85546875" style="19" customWidth="1"/>
    <col min="1828" max="1828" width="0" style="19" hidden="1" customWidth="1"/>
    <col min="1829" max="1831" width="5.85546875" style="19" customWidth="1"/>
    <col min="1832" max="1832" width="7.7109375" style="19" customWidth="1"/>
    <col min="1833" max="1833" width="9.140625" style="19" bestFit="1" customWidth="1"/>
    <col min="1834" max="1835" width="8.5703125" style="19" bestFit="1" customWidth="1"/>
    <col min="1836" max="1836" width="8.85546875" style="19" customWidth="1"/>
    <col min="1837" max="1838" width="9.28515625" style="19" customWidth="1"/>
    <col min="1839" max="1839" width="10.140625" style="19" customWidth="1"/>
    <col min="1840" max="1841" width="7.85546875" style="19" customWidth="1"/>
    <col min="1842" max="1843" width="6.42578125" style="19" customWidth="1"/>
    <col min="1844" max="1844" width="8.42578125" style="19" customWidth="1"/>
    <col min="1845" max="1845" width="40.7109375" style="19" customWidth="1"/>
    <col min="1846" max="1846" width="5" style="19" customWidth="1"/>
    <col min="1847" max="1847" width="5.5703125" style="19" customWidth="1"/>
    <col min="1848" max="1851" width="9.140625" style="19"/>
    <col min="1852" max="1853" width="8.7109375" style="19" customWidth="1"/>
    <col min="1854" max="2048" width="9.140625" style="19"/>
    <col min="2049" max="2049" width="1.85546875" style="19" customWidth="1"/>
    <col min="2050" max="2050" width="7.5703125" style="19" customWidth="1"/>
    <col min="2051" max="2051" width="6.7109375" style="19" bestFit="1" customWidth="1"/>
    <col min="2052" max="2052" width="13.7109375" style="19" customWidth="1"/>
    <col min="2053" max="2053" width="10.140625" style="19" customWidth="1"/>
    <col min="2054" max="2054" width="12.28515625" style="19" customWidth="1"/>
    <col min="2055" max="2055" width="6.42578125" style="19" customWidth="1"/>
    <col min="2056" max="2056" width="9.85546875" style="19" customWidth="1"/>
    <col min="2057" max="2057" width="12.28515625" style="19" customWidth="1"/>
    <col min="2058" max="2058" width="9.140625" style="19"/>
    <col min="2059" max="2059" width="9.5703125" style="19" customWidth="1"/>
    <col min="2060" max="2060" width="9.28515625" style="19" customWidth="1"/>
    <col min="2061" max="2061" width="9.85546875" style="19" customWidth="1"/>
    <col min="2062" max="2065" width="0" style="19" hidden="1" customWidth="1"/>
    <col min="2066" max="2066" width="11.5703125" style="19" customWidth="1"/>
    <col min="2067" max="2067" width="7.140625" style="19" customWidth="1"/>
    <col min="2068" max="2068" width="7.28515625" style="19" customWidth="1"/>
    <col min="2069" max="2076" width="0" style="19" hidden="1" customWidth="1"/>
    <col min="2077" max="2078" width="6.5703125" style="19" customWidth="1"/>
    <col min="2079" max="2082" width="0" style="19" hidden="1" customWidth="1"/>
    <col min="2083" max="2083" width="5.85546875" style="19" customWidth="1"/>
    <col min="2084" max="2084" width="0" style="19" hidden="1" customWidth="1"/>
    <col min="2085" max="2087" width="5.85546875" style="19" customWidth="1"/>
    <col min="2088" max="2088" width="7.7109375" style="19" customWidth="1"/>
    <col min="2089" max="2089" width="9.140625" style="19" bestFit="1" customWidth="1"/>
    <col min="2090" max="2091" width="8.5703125" style="19" bestFit="1" customWidth="1"/>
    <col min="2092" max="2092" width="8.85546875" style="19" customWidth="1"/>
    <col min="2093" max="2094" width="9.28515625" style="19" customWidth="1"/>
    <col min="2095" max="2095" width="10.140625" style="19" customWidth="1"/>
    <col min="2096" max="2097" width="7.85546875" style="19" customWidth="1"/>
    <col min="2098" max="2099" width="6.42578125" style="19" customWidth="1"/>
    <col min="2100" max="2100" width="8.42578125" style="19" customWidth="1"/>
    <col min="2101" max="2101" width="40.7109375" style="19" customWidth="1"/>
    <col min="2102" max="2102" width="5" style="19" customWidth="1"/>
    <col min="2103" max="2103" width="5.5703125" style="19" customWidth="1"/>
    <col min="2104" max="2107" width="9.140625" style="19"/>
    <col min="2108" max="2109" width="8.7109375" style="19" customWidth="1"/>
    <col min="2110" max="2304" width="9.140625" style="19"/>
    <col min="2305" max="2305" width="1.85546875" style="19" customWidth="1"/>
    <col min="2306" max="2306" width="7.5703125" style="19" customWidth="1"/>
    <col min="2307" max="2307" width="6.7109375" style="19" bestFit="1" customWidth="1"/>
    <col min="2308" max="2308" width="13.7109375" style="19" customWidth="1"/>
    <col min="2309" max="2309" width="10.140625" style="19" customWidth="1"/>
    <col min="2310" max="2310" width="12.28515625" style="19" customWidth="1"/>
    <col min="2311" max="2311" width="6.42578125" style="19" customWidth="1"/>
    <col min="2312" max="2312" width="9.85546875" style="19" customWidth="1"/>
    <col min="2313" max="2313" width="12.28515625" style="19" customWidth="1"/>
    <col min="2314" max="2314" width="9.140625" style="19"/>
    <col min="2315" max="2315" width="9.5703125" style="19" customWidth="1"/>
    <col min="2316" max="2316" width="9.28515625" style="19" customWidth="1"/>
    <col min="2317" max="2317" width="9.85546875" style="19" customWidth="1"/>
    <col min="2318" max="2321" width="0" style="19" hidden="1" customWidth="1"/>
    <col min="2322" max="2322" width="11.5703125" style="19" customWidth="1"/>
    <col min="2323" max="2323" width="7.140625" style="19" customWidth="1"/>
    <col min="2324" max="2324" width="7.28515625" style="19" customWidth="1"/>
    <col min="2325" max="2332" width="0" style="19" hidden="1" customWidth="1"/>
    <col min="2333" max="2334" width="6.5703125" style="19" customWidth="1"/>
    <col min="2335" max="2338" width="0" style="19" hidden="1" customWidth="1"/>
    <col min="2339" max="2339" width="5.85546875" style="19" customWidth="1"/>
    <col min="2340" max="2340" width="0" style="19" hidden="1" customWidth="1"/>
    <col min="2341" max="2343" width="5.85546875" style="19" customWidth="1"/>
    <col min="2344" max="2344" width="7.7109375" style="19" customWidth="1"/>
    <col min="2345" max="2345" width="9.140625" style="19" bestFit="1" customWidth="1"/>
    <col min="2346" max="2347" width="8.5703125" style="19" bestFit="1" customWidth="1"/>
    <col min="2348" max="2348" width="8.85546875" style="19" customWidth="1"/>
    <col min="2349" max="2350" width="9.28515625" style="19" customWidth="1"/>
    <col min="2351" max="2351" width="10.140625" style="19" customWidth="1"/>
    <col min="2352" max="2353" width="7.85546875" style="19" customWidth="1"/>
    <col min="2354" max="2355" width="6.42578125" style="19" customWidth="1"/>
    <col min="2356" max="2356" width="8.42578125" style="19" customWidth="1"/>
    <col min="2357" max="2357" width="40.7109375" style="19" customWidth="1"/>
    <col min="2358" max="2358" width="5" style="19" customWidth="1"/>
    <col min="2359" max="2359" width="5.5703125" style="19" customWidth="1"/>
    <col min="2360" max="2363" width="9.140625" style="19"/>
    <col min="2364" max="2365" width="8.7109375" style="19" customWidth="1"/>
    <col min="2366" max="2560" width="9.140625" style="19"/>
    <col min="2561" max="2561" width="1.85546875" style="19" customWidth="1"/>
    <col min="2562" max="2562" width="7.5703125" style="19" customWidth="1"/>
    <col min="2563" max="2563" width="6.7109375" style="19" bestFit="1" customWidth="1"/>
    <col min="2564" max="2564" width="13.7109375" style="19" customWidth="1"/>
    <col min="2565" max="2565" width="10.140625" style="19" customWidth="1"/>
    <col min="2566" max="2566" width="12.28515625" style="19" customWidth="1"/>
    <col min="2567" max="2567" width="6.42578125" style="19" customWidth="1"/>
    <col min="2568" max="2568" width="9.85546875" style="19" customWidth="1"/>
    <col min="2569" max="2569" width="12.28515625" style="19" customWidth="1"/>
    <col min="2570" max="2570" width="9.140625" style="19"/>
    <col min="2571" max="2571" width="9.5703125" style="19" customWidth="1"/>
    <col min="2572" max="2572" width="9.28515625" style="19" customWidth="1"/>
    <col min="2573" max="2573" width="9.85546875" style="19" customWidth="1"/>
    <col min="2574" max="2577" width="0" style="19" hidden="1" customWidth="1"/>
    <col min="2578" max="2578" width="11.5703125" style="19" customWidth="1"/>
    <col min="2579" max="2579" width="7.140625" style="19" customWidth="1"/>
    <col min="2580" max="2580" width="7.28515625" style="19" customWidth="1"/>
    <col min="2581" max="2588" width="0" style="19" hidden="1" customWidth="1"/>
    <col min="2589" max="2590" width="6.5703125" style="19" customWidth="1"/>
    <col min="2591" max="2594" width="0" style="19" hidden="1" customWidth="1"/>
    <col min="2595" max="2595" width="5.85546875" style="19" customWidth="1"/>
    <col min="2596" max="2596" width="0" style="19" hidden="1" customWidth="1"/>
    <col min="2597" max="2599" width="5.85546875" style="19" customWidth="1"/>
    <col min="2600" max="2600" width="7.7109375" style="19" customWidth="1"/>
    <col min="2601" max="2601" width="9.140625" style="19" bestFit="1" customWidth="1"/>
    <col min="2602" max="2603" width="8.5703125" style="19" bestFit="1" customWidth="1"/>
    <col min="2604" max="2604" width="8.85546875" style="19" customWidth="1"/>
    <col min="2605" max="2606" width="9.28515625" style="19" customWidth="1"/>
    <col min="2607" max="2607" width="10.140625" style="19" customWidth="1"/>
    <col min="2608" max="2609" width="7.85546875" style="19" customWidth="1"/>
    <col min="2610" max="2611" width="6.42578125" style="19" customWidth="1"/>
    <col min="2612" max="2612" width="8.42578125" style="19" customWidth="1"/>
    <col min="2613" max="2613" width="40.7109375" style="19" customWidth="1"/>
    <col min="2614" max="2614" width="5" style="19" customWidth="1"/>
    <col min="2615" max="2615" width="5.5703125" style="19" customWidth="1"/>
    <col min="2616" max="2619" width="9.140625" style="19"/>
    <col min="2620" max="2621" width="8.7109375" style="19" customWidth="1"/>
    <col min="2622" max="2816" width="9.140625" style="19"/>
    <col min="2817" max="2817" width="1.85546875" style="19" customWidth="1"/>
    <col min="2818" max="2818" width="7.5703125" style="19" customWidth="1"/>
    <col min="2819" max="2819" width="6.7109375" style="19" bestFit="1" customWidth="1"/>
    <col min="2820" max="2820" width="13.7109375" style="19" customWidth="1"/>
    <col min="2821" max="2821" width="10.140625" style="19" customWidth="1"/>
    <col min="2822" max="2822" width="12.28515625" style="19" customWidth="1"/>
    <col min="2823" max="2823" width="6.42578125" style="19" customWidth="1"/>
    <col min="2824" max="2824" width="9.85546875" style="19" customWidth="1"/>
    <col min="2825" max="2825" width="12.28515625" style="19" customWidth="1"/>
    <col min="2826" max="2826" width="9.140625" style="19"/>
    <col min="2827" max="2827" width="9.5703125" style="19" customWidth="1"/>
    <col min="2828" max="2828" width="9.28515625" style="19" customWidth="1"/>
    <col min="2829" max="2829" width="9.85546875" style="19" customWidth="1"/>
    <col min="2830" max="2833" width="0" style="19" hidden="1" customWidth="1"/>
    <col min="2834" max="2834" width="11.5703125" style="19" customWidth="1"/>
    <col min="2835" max="2835" width="7.140625" style="19" customWidth="1"/>
    <col min="2836" max="2836" width="7.28515625" style="19" customWidth="1"/>
    <col min="2837" max="2844" width="0" style="19" hidden="1" customWidth="1"/>
    <col min="2845" max="2846" width="6.5703125" style="19" customWidth="1"/>
    <col min="2847" max="2850" width="0" style="19" hidden="1" customWidth="1"/>
    <col min="2851" max="2851" width="5.85546875" style="19" customWidth="1"/>
    <col min="2852" max="2852" width="0" style="19" hidden="1" customWidth="1"/>
    <col min="2853" max="2855" width="5.85546875" style="19" customWidth="1"/>
    <col min="2856" max="2856" width="7.7109375" style="19" customWidth="1"/>
    <col min="2857" max="2857" width="9.140625" style="19" bestFit="1" customWidth="1"/>
    <col min="2858" max="2859" width="8.5703125" style="19" bestFit="1" customWidth="1"/>
    <col min="2860" max="2860" width="8.85546875" style="19" customWidth="1"/>
    <col min="2861" max="2862" width="9.28515625" style="19" customWidth="1"/>
    <col min="2863" max="2863" width="10.140625" style="19" customWidth="1"/>
    <col min="2864" max="2865" width="7.85546875" style="19" customWidth="1"/>
    <col min="2866" max="2867" width="6.42578125" style="19" customWidth="1"/>
    <col min="2868" max="2868" width="8.42578125" style="19" customWidth="1"/>
    <col min="2869" max="2869" width="40.7109375" style="19" customWidth="1"/>
    <col min="2870" max="2870" width="5" style="19" customWidth="1"/>
    <col min="2871" max="2871" width="5.5703125" style="19" customWidth="1"/>
    <col min="2872" max="2875" width="9.140625" style="19"/>
    <col min="2876" max="2877" width="8.7109375" style="19" customWidth="1"/>
    <col min="2878" max="3072" width="9.140625" style="19"/>
    <col min="3073" max="3073" width="1.85546875" style="19" customWidth="1"/>
    <col min="3074" max="3074" width="7.5703125" style="19" customWidth="1"/>
    <col min="3075" max="3075" width="6.7109375" style="19" bestFit="1" customWidth="1"/>
    <col min="3076" max="3076" width="13.7109375" style="19" customWidth="1"/>
    <col min="3077" max="3077" width="10.140625" style="19" customWidth="1"/>
    <col min="3078" max="3078" width="12.28515625" style="19" customWidth="1"/>
    <col min="3079" max="3079" width="6.42578125" style="19" customWidth="1"/>
    <col min="3080" max="3080" width="9.85546875" style="19" customWidth="1"/>
    <col min="3081" max="3081" width="12.28515625" style="19" customWidth="1"/>
    <col min="3082" max="3082" width="9.140625" style="19"/>
    <col min="3083" max="3083" width="9.5703125" style="19" customWidth="1"/>
    <col min="3084" max="3084" width="9.28515625" style="19" customWidth="1"/>
    <col min="3085" max="3085" width="9.85546875" style="19" customWidth="1"/>
    <col min="3086" max="3089" width="0" style="19" hidden="1" customWidth="1"/>
    <col min="3090" max="3090" width="11.5703125" style="19" customWidth="1"/>
    <col min="3091" max="3091" width="7.140625" style="19" customWidth="1"/>
    <col min="3092" max="3092" width="7.28515625" style="19" customWidth="1"/>
    <col min="3093" max="3100" width="0" style="19" hidden="1" customWidth="1"/>
    <col min="3101" max="3102" width="6.5703125" style="19" customWidth="1"/>
    <col min="3103" max="3106" width="0" style="19" hidden="1" customWidth="1"/>
    <col min="3107" max="3107" width="5.85546875" style="19" customWidth="1"/>
    <col min="3108" max="3108" width="0" style="19" hidden="1" customWidth="1"/>
    <col min="3109" max="3111" width="5.85546875" style="19" customWidth="1"/>
    <col min="3112" max="3112" width="7.7109375" style="19" customWidth="1"/>
    <col min="3113" max="3113" width="9.140625" style="19" bestFit="1" customWidth="1"/>
    <col min="3114" max="3115" width="8.5703125" style="19" bestFit="1" customWidth="1"/>
    <col min="3116" max="3116" width="8.85546875" style="19" customWidth="1"/>
    <col min="3117" max="3118" width="9.28515625" style="19" customWidth="1"/>
    <col min="3119" max="3119" width="10.140625" style="19" customWidth="1"/>
    <col min="3120" max="3121" width="7.85546875" style="19" customWidth="1"/>
    <col min="3122" max="3123" width="6.42578125" style="19" customWidth="1"/>
    <col min="3124" max="3124" width="8.42578125" style="19" customWidth="1"/>
    <col min="3125" max="3125" width="40.7109375" style="19" customWidth="1"/>
    <col min="3126" max="3126" width="5" style="19" customWidth="1"/>
    <col min="3127" max="3127" width="5.5703125" style="19" customWidth="1"/>
    <col min="3128" max="3131" width="9.140625" style="19"/>
    <col min="3132" max="3133" width="8.7109375" style="19" customWidth="1"/>
    <col min="3134" max="3328" width="9.140625" style="19"/>
    <col min="3329" max="3329" width="1.85546875" style="19" customWidth="1"/>
    <col min="3330" max="3330" width="7.5703125" style="19" customWidth="1"/>
    <col min="3331" max="3331" width="6.7109375" style="19" bestFit="1" customWidth="1"/>
    <col min="3332" max="3332" width="13.7109375" style="19" customWidth="1"/>
    <col min="3333" max="3333" width="10.140625" style="19" customWidth="1"/>
    <col min="3334" max="3334" width="12.28515625" style="19" customWidth="1"/>
    <col min="3335" max="3335" width="6.42578125" style="19" customWidth="1"/>
    <col min="3336" max="3336" width="9.85546875" style="19" customWidth="1"/>
    <col min="3337" max="3337" width="12.28515625" style="19" customWidth="1"/>
    <col min="3338" max="3338" width="9.140625" style="19"/>
    <col min="3339" max="3339" width="9.5703125" style="19" customWidth="1"/>
    <col min="3340" max="3340" width="9.28515625" style="19" customWidth="1"/>
    <col min="3341" max="3341" width="9.85546875" style="19" customWidth="1"/>
    <col min="3342" max="3345" width="0" style="19" hidden="1" customWidth="1"/>
    <col min="3346" max="3346" width="11.5703125" style="19" customWidth="1"/>
    <col min="3347" max="3347" width="7.140625" style="19" customWidth="1"/>
    <col min="3348" max="3348" width="7.28515625" style="19" customWidth="1"/>
    <col min="3349" max="3356" width="0" style="19" hidden="1" customWidth="1"/>
    <col min="3357" max="3358" width="6.5703125" style="19" customWidth="1"/>
    <col min="3359" max="3362" width="0" style="19" hidden="1" customWidth="1"/>
    <col min="3363" max="3363" width="5.85546875" style="19" customWidth="1"/>
    <col min="3364" max="3364" width="0" style="19" hidden="1" customWidth="1"/>
    <col min="3365" max="3367" width="5.85546875" style="19" customWidth="1"/>
    <col min="3368" max="3368" width="7.7109375" style="19" customWidth="1"/>
    <col min="3369" max="3369" width="9.140625" style="19" bestFit="1" customWidth="1"/>
    <col min="3370" max="3371" width="8.5703125" style="19" bestFit="1" customWidth="1"/>
    <col min="3372" max="3372" width="8.85546875" style="19" customWidth="1"/>
    <col min="3373" max="3374" width="9.28515625" style="19" customWidth="1"/>
    <col min="3375" max="3375" width="10.140625" style="19" customWidth="1"/>
    <col min="3376" max="3377" width="7.85546875" style="19" customWidth="1"/>
    <col min="3378" max="3379" width="6.42578125" style="19" customWidth="1"/>
    <col min="3380" max="3380" width="8.42578125" style="19" customWidth="1"/>
    <col min="3381" max="3381" width="40.7109375" style="19" customWidth="1"/>
    <col min="3382" max="3382" width="5" style="19" customWidth="1"/>
    <col min="3383" max="3383" width="5.5703125" style="19" customWidth="1"/>
    <col min="3384" max="3387" width="9.140625" style="19"/>
    <col min="3388" max="3389" width="8.7109375" style="19" customWidth="1"/>
    <col min="3390" max="3584" width="9.140625" style="19"/>
    <col min="3585" max="3585" width="1.85546875" style="19" customWidth="1"/>
    <col min="3586" max="3586" width="7.5703125" style="19" customWidth="1"/>
    <col min="3587" max="3587" width="6.7109375" style="19" bestFit="1" customWidth="1"/>
    <col min="3588" max="3588" width="13.7109375" style="19" customWidth="1"/>
    <col min="3589" max="3589" width="10.140625" style="19" customWidth="1"/>
    <col min="3590" max="3590" width="12.28515625" style="19" customWidth="1"/>
    <col min="3591" max="3591" width="6.42578125" style="19" customWidth="1"/>
    <col min="3592" max="3592" width="9.85546875" style="19" customWidth="1"/>
    <col min="3593" max="3593" width="12.28515625" style="19" customWidth="1"/>
    <col min="3594" max="3594" width="9.140625" style="19"/>
    <col min="3595" max="3595" width="9.5703125" style="19" customWidth="1"/>
    <col min="3596" max="3596" width="9.28515625" style="19" customWidth="1"/>
    <col min="3597" max="3597" width="9.85546875" style="19" customWidth="1"/>
    <col min="3598" max="3601" width="0" style="19" hidden="1" customWidth="1"/>
    <col min="3602" max="3602" width="11.5703125" style="19" customWidth="1"/>
    <col min="3603" max="3603" width="7.140625" style="19" customWidth="1"/>
    <col min="3604" max="3604" width="7.28515625" style="19" customWidth="1"/>
    <col min="3605" max="3612" width="0" style="19" hidden="1" customWidth="1"/>
    <col min="3613" max="3614" width="6.5703125" style="19" customWidth="1"/>
    <col min="3615" max="3618" width="0" style="19" hidden="1" customWidth="1"/>
    <col min="3619" max="3619" width="5.85546875" style="19" customWidth="1"/>
    <col min="3620" max="3620" width="0" style="19" hidden="1" customWidth="1"/>
    <col min="3621" max="3623" width="5.85546875" style="19" customWidth="1"/>
    <col min="3624" max="3624" width="7.7109375" style="19" customWidth="1"/>
    <col min="3625" max="3625" width="9.140625" style="19" bestFit="1" customWidth="1"/>
    <col min="3626" max="3627" width="8.5703125" style="19" bestFit="1" customWidth="1"/>
    <col min="3628" max="3628" width="8.85546875" style="19" customWidth="1"/>
    <col min="3629" max="3630" width="9.28515625" style="19" customWidth="1"/>
    <col min="3631" max="3631" width="10.140625" style="19" customWidth="1"/>
    <col min="3632" max="3633" width="7.85546875" style="19" customWidth="1"/>
    <col min="3634" max="3635" width="6.42578125" style="19" customWidth="1"/>
    <col min="3636" max="3636" width="8.42578125" style="19" customWidth="1"/>
    <col min="3637" max="3637" width="40.7109375" style="19" customWidth="1"/>
    <col min="3638" max="3638" width="5" style="19" customWidth="1"/>
    <col min="3639" max="3639" width="5.5703125" style="19" customWidth="1"/>
    <col min="3640" max="3643" width="9.140625" style="19"/>
    <col min="3644" max="3645" width="8.7109375" style="19" customWidth="1"/>
    <col min="3646" max="3840" width="9.140625" style="19"/>
    <col min="3841" max="3841" width="1.85546875" style="19" customWidth="1"/>
    <col min="3842" max="3842" width="7.5703125" style="19" customWidth="1"/>
    <col min="3843" max="3843" width="6.7109375" style="19" bestFit="1" customWidth="1"/>
    <col min="3844" max="3844" width="13.7109375" style="19" customWidth="1"/>
    <col min="3845" max="3845" width="10.140625" style="19" customWidth="1"/>
    <col min="3846" max="3846" width="12.28515625" style="19" customWidth="1"/>
    <col min="3847" max="3847" width="6.42578125" style="19" customWidth="1"/>
    <col min="3848" max="3848" width="9.85546875" style="19" customWidth="1"/>
    <col min="3849" max="3849" width="12.28515625" style="19" customWidth="1"/>
    <col min="3850" max="3850" width="9.140625" style="19"/>
    <col min="3851" max="3851" width="9.5703125" style="19" customWidth="1"/>
    <col min="3852" max="3852" width="9.28515625" style="19" customWidth="1"/>
    <col min="3853" max="3853" width="9.85546875" style="19" customWidth="1"/>
    <col min="3854" max="3857" width="0" style="19" hidden="1" customWidth="1"/>
    <col min="3858" max="3858" width="11.5703125" style="19" customWidth="1"/>
    <col min="3859" max="3859" width="7.140625" style="19" customWidth="1"/>
    <col min="3860" max="3860" width="7.28515625" style="19" customWidth="1"/>
    <col min="3861" max="3868" width="0" style="19" hidden="1" customWidth="1"/>
    <col min="3869" max="3870" width="6.5703125" style="19" customWidth="1"/>
    <col min="3871" max="3874" width="0" style="19" hidden="1" customWidth="1"/>
    <col min="3875" max="3875" width="5.85546875" style="19" customWidth="1"/>
    <col min="3876" max="3876" width="0" style="19" hidden="1" customWidth="1"/>
    <col min="3877" max="3879" width="5.85546875" style="19" customWidth="1"/>
    <col min="3880" max="3880" width="7.7109375" style="19" customWidth="1"/>
    <col min="3881" max="3881" width="9.140625" style="19" bestFit="1" customWidth="1"/>
    <col min="3882" max="3883" width="8.5703125" style="19" bestFit="1" customWidth="1"/>
    <col min="3884" max="3884" width="8.85546875" style="19" customWidth="1"/>
    <col min="3885" max="3886" width="9.28515625" style="19" customWidth="1"/>
    <col min="3887" max="3887" width="10.140625" style="19" customWidth="1"/>
    <col min="3888" max="3889" width="7.85546875" style="19" customWidth="1"/>
    <col min="3890" max="3891" width="6.42578125" style="19" customWidth="1"/>
    <col min="3892" max="3892" width="8.42578125" style="19" customWidth="1"/>
    <col min="3893" max="3893" width="40.7109375" style="19" customWidth="1"/>
    <col min="3894" max="3894" width="5" style="19" customWidth="1"/>
    <col min="3895" max="3895" width="5.5703125" style="19" customWidth="1"/>
    <col min="3896" max="3899" width="9.140625" style="19"/>
    <col min="3900" max="3901" width="8.7109375" style="19" customWidth="1"/>
    <col min="3902" max="4096" width="9.140625" style="19"/>
    <col min="4097" max="4097" width="1.85546875" style="19" customWidth="1"/>
    <col min="4098" max="4098" width="7.5703125" style="19" customWidth="1"/>
    <col min="4099" max="4099" width="6.7109375" style="19" bestFit="1" customWidth="1"/>
    <col min="4100" max="4100" width="13.7109375" style="19" customWidth="1"/>
    <col min="4101" max="4101" width="10.140625" style="19" customWidth="1"/>
    <col min="4102" max="4102" width="12.28515625" style="19" customWidth="1"/>
    <col min="4103" max="4103" width="6.42578125" style="19" customWidth="1"/>
    <col min="4104" max="4104" width="9.85546875" style="19" customWidth="1"/>
    <col min="4105" max="4105" width="12.28515625" style="19" customWidth="1"/>
    <col min="4106" max="4106" width="9.140625" style="19"/>
    <col min="4107" max="4107" width="9.5703125" style="19" customWidth="1"/>
    <col min="4108" max="4108" width="9.28515625" style="19" customWidth="1"/>
    <col min="4109" max="4109" width="9.85546875" style="19" customWidth="1"/>
    <col min="4110" max="4113" width="0" style="19" hidden="1" customWidth="1"/>
    <col min="4114" max="4114" width="11.5703125" style="19" customWidth="1"/>
    <col min="4115" max="4115" width="7.140625" style="19" customWidth="1"/>
    <col min="4116" max="4116" width="7.28515625" style="19" customWidth="1"/>
    <col min="4117" max="4124" width="0" style="19" hidden="1" customWidth="1"/>
    <col min="4125" max="4126" width="6.5703125" style="19" customWidth="1"/>
    <col min="4127" max="4130" width="0" style="19" hidden="1" customWidth="1"/>
    <col min="4131" max="4131" width="5.85546875" style="19" customWidth="1"/>
    <col min="4132" max="4132" width="0" style="19" hidden="1" customWidth="1"/>
    <col min="4133" max="4135" width="5.85546875" style="19" customWidth="1"/>
    <col min="4136" max="4136" width="7.7109375" style="19" customWidth="1"/>
    <col min="4137" max="4137" width="9.140625" style="19" bestFit="1" customWidth="1"/>
    <col min="4138" max="4139" width="8.5703125" style="19" bestFit="1" customWidth="1"/>
    <col min="4140" max="4140" width="8.85546875" style="19" customWidth="1"/>
    <col min="4141" max="4142" width="9.28515625" style="19" customWidth="1"/>
    <col min="4143" max="4143" width="10.140625" style="19" customWidth="1"/>
    <col min="4144" max="4145" width="7.85546875" style="19" customWidth="1"/>
    <col min="4146" max="4147" width="6.42578125" style="19" customWidth="1"/>
    <col min="4148" max="4148" width="8.42578125" style="19" customWidth="1"/>
    <col min="4149" max="4149" width="40.7109375" style="19" customWidth="1"/>
    <col min="4150" max="4150" width="5" style="19" customWidth="1"/>
    <col min="4151" max="4151" width="5.5703125" style="19" customWidth="1"/>
    <col min="4152" max="4155" width="9.140625" style="19"/>
    <col min="4156" max="4157" width="8.7109375" style="19" customWidth="1"/>
    <col min="4158" max="4352" width="9.140625" style="19"/>
    <col min="4353" max="4353" width="1.85546875" style="19" customWidth="1"/>
    <col min="4354" max="4354" width="7.5703125" style="19" customWidth="1"/>
    <col min="4355" max="4355" width="6.7109375" style="19" bestFit="1" customWidth="1"/>
    <col min="4356" max="4356" width="13.7109375" style="19" customWidth="1"/>
    <col min="4357" max="4357" width="10.140625" style="19" customWidth="1"/>
    <col min="4358" max="4358" width="12.28515625" style="19" customWidth="1"/>
    <col min="4359" max="4359" width="6.42578125" style="19" customWidth="1"/>
    <col min="4360" max="4360" width="9.85546875" style="19" customWidth="1"/>
    <col min="4361" max="4361" width="12.28515625" style="19" customWidth="1"/>
    <col min="4362" max="4362" width="9.140625" style="19"/>
    <col min="4363" max="4363" width="9.5703125" style="19" customWidth="1"/>
    <col min="4364" max="4364" width="9.28515625" style="19" customWidth="1"/>
    <col min="4365" max="4365" width="9.85546875" style="19" customWidth="1"/>
    <col min="4366" max="4369" width="0" style="19" hidden="1" customWidth="1"/>
    <col min="4370" max="4370" width="11.5703125" style="19" customWidth="1"/>
    <col min="4371" max="4371" width="7.140625" style="19" customWidth="1"/>
    <col min="4372" max="4372" width="7.28515625" style="19" customWidth="1"/>
    <col min="4373" max="4380" width="0" style="19" hidden="1" customWidth="1"/>
    <col min="4381" max="4382" width="6.5703125" style="19" customWidth="1"/>
    <col min="4383" max="4386" width="0" style="19" hidden="1" customWidth="1"/>
    <col min="4387" max="4387" width="5.85546875" style="19" customWidth="1"/>
    <col min="4388" max="4388" width="0" style="19" hidden="1" customWidth="1"/>
    <col min="4389" max="4391" width="5.85546875" style="19" customWidth="1"/>
    <col min="4392" max="4392" width="7.7109375" style="19" customWidth="1"/>
    <col min="4393" max="4393" width="9.140625" style="19" bestFit="1" customWidth="1"/>
    <col min="4394" max="4395" width="8.5703125" style="19" bestFit="1" customWidth="1"/>
    <col min="4396" max="4396" width="8.85546875" style="19" customWidth="1"/>
    <col min="4397" max="4398" width="9.28515625" style="19" customWidth="1"/>
    <col min="4399" max="4399" width="10.140625" style="19" customWidth="1"/>
    <col min="4400" max="4401" width="7.85546875" style="19" customWidth="1"/>
    <col min="4402" max="4403" width="6.42578125" style="19" customWidth="1"/>
    <col min="4404" max="4404" width="8.42578125" style="19" customWidth="1"/>
    <col min="4405" max="4405" width="40.7109375" style="19" customWidth="1"/>
    <col min="4406" max="4406" width="5" style="19" customWidth="1"/>
    <col min="4407" max="4407" width="5.5703125" style="19" customWidth="1"/>
    <col min="4408" max="4411" width="9.140625" style="19"/>
    <col min="4412" max="4413" width="8.7109375" style="19" customWidth="1"/>
    <col min="4414" max="4608" width="9.140625" style="19"/>
    <col min="4609" max="4609" width="1.85546875" style="19" customWidth="1"/>
    <col min="4610" max="4610" width="7.5703125" style="19" customWidth="1"/>
    <col min="4611" max="4611" width="6.7109375" style="19" bestFit="1" customWidth="1"/>
    <col min="4612" max="4612" width="13.7109375" style="19" customWidth="1"/>
    <col min="4613" max="4613" width="10.140625" style="19" customWidth="1"/>
    <col min="4614" max="4614" width="12.28515625" style="19" customWidth="1"/>
    <col min="4615" max="4615" width="6.42578125" style="19" customWidth="1"/>
    <col min="4616" max="4616" width="9.85546875" style="19" customWidth="1"/>
    <col min="4617" max="4617" width="12.28515625" style="19" customWidth="1"/>
    <col min="4618" max="4618" width="9.140625" style="19"/>
    <col min="4619" max="4619" width="9.5703125" style="19" customWidth="1"/>
    <col min="4620" max="4620" width="9.28515625" style="19" customWidth="1"/>
    <col min="4621" max="4621" width="9.85546875" style="19" customWidth="1"/>
    <col min="4622" max="4625" width="0" style="19" hidden="1" customWidth="1"/>
    <col min="4626" max="4626" width="11.5703125" style="19" customWidth="1"/>
    <col min="4627" max="4627" width="7.140625" style="19" customWidth="1"/>
    <col min="4628" max="4628" width="7.28515625" style="19" customWidth="1"/>
    <col min="4629" max="4636" width="0" style="19" hidden="1" customWidth="1"/>
    <col min="4637" max="4638" width="6.5703125" style="19" customWidth="1"/>
    <col min="4639" max="4642" width="0" style="19" hidden="1" customWidth="1"/>
    <col min="4643" max="4643" width="5.85546875" style="19" customWidth="1"/>
    <col min="4644" max="4644" width="0" style="19" hidden="1" customWidth="1"/>
    <col min="4645" max="4647" width="5.85546875" style="19" customWidth="1"/>
    <col min="4648" max="4648" width="7.7109375" style="19" customWidth="1"/>
    <col min="4649" max="4649" width="9.140625" style="19" bestFit="1" customWidth="1"/>
    <col min="4650" max="4651" width="8.5703125" style="19" bestFit="1" customWidth="1"/>
    <col min="4652" max="4652" width="8.85546875" style="19" customWidth="1"/>
    <col min="4653" max="4654" width="9.28515625" style="19" customWidth="1"/>
    <col min="4655" max="4655" width="10.140625" style="19" customWidth="1"/>
    <col min="4656" max="4657" width="7.85546875" style="19" customWidth="1"/>
    <col min="4658" max="4659" width="6.42578125" style="19" customWidth="1"/>
    <col min="4660" max="4660" width="8.42578125" style="19" customWidth="1"/>
    <col min="4661" max="4661" width="40.7109375" style="19" customWidth="1"/>
    <col min="4662" max="4662" width="5" style="19" customWidth="1"/>
    <col min="4663" max="4663" width="5.5703125" style="19" customWidth="1"/>
    <col min="4664" max="4667" width="9.140625" style="19"/>
    <col min="4668" max="4669" width="8.7109375" style="19" customWidth="1"/>
    <col min="4670" max="4864" width="9.140625" style="19"/>
    <col min="4865" max="4865" width="1.85546875" style="19" customWidth="1"/>
    <col min="4866" max="4866" width="7.5703125" style="19" customWidth="1"/>
    <col min="4867" max="4867" width="6.7109375" style="19" bestFit="1" customWidth="1"/>
    <col min="4868" max="4868" width="13.7109375" style="19" customWidth="1"/>
    <col min="4869" max="4869" width="10.140625" style="19" customWidth="1"/>
    <col min="4870" max="4870" width="12.28515625" style="19" customWidth="1"/>
    <col min="4871" max="4871" width="6.42578125" style="19" customWidth="1"/>
    <col min="4872" max="4872" width="9.85546875" style="19" customWidth="1"/>
    <col min="4873" max="4873" width="12.28515625" style="19" customWidth="1"/>
    <col min="4874" max="4874" width="9.140625" style="19"/>
    <col min="4875" max="4875" width="9.5703125" style="19" customWidth="1"/>
    <col min="4876" max="4876" width="9.28515625" style="19" customWidth="1"/>
    <col min="4877" max="4877" width="9.85546875" style="19" customWidth="1"/>
    <col min="4878" max="4881" width="0" style="19" hidden="1" customWidth="1"/>
    <col min="4882" max="4882" width="11.5703125" style="19" customWidth="1"/>
    <col min="4883" max="4883" width="7.140625" style="19" customWidth="1"/>
    <col min="4884" max="4884" width="7.28515625" style="19" customWidth="1"/>
    <col min="4885" max="4892" width="0" style="19" hidden="1" customWidth="1"/>
    <col min="4893" max="4894" width="6.5703125" style="19" customWidth="1"/>
    <col min="4895" max="4898" width="0" style="19" hidden="1" customWidth="1"/>
    <col min="4899" max="4899" width="5.85546875" style="19" customWidth="1"/>
    <col min="4900" max="4900" width="0" style="19" hidden="1" customWidth="1"/>
    <col min="4901" max="4903" width="5.85546875" style="19" customWidth="1"/>
    <col min="4904" max="4904" width="7.7109375" style="19" customWidth="1"/>
    <col min="4905" max="4905" width="9.140625" style="19" bestFit="1" customWidth="1"/>
    <col min="4906" max="4907" width="8.5703125" style="19" bestFit="1" customWidth="1"/>
    <col min="4908" max="4908" width="8.85546875" style="19" customWidth="1"/>
    <col min="4909" max="4910" width="9.28515625" style="19" customWidth="1"/>
    <col min="4911" max="4911" width="10.140625" style="19" customWidth="1"/>
    <col min="4912" max="4913" width="7.85546875" style="19" customWidth="1"/>
    <col min="4914" max="4915" width="6.42578125" style="19" customWidth="1"/>
    <col min="4916" max="4916" width="8.42578125" style="19" customWidth="1"/>
    <col min="4917" max="4917" width="40.7109375" style="19" customWidth="1"/>
    <col min="4918" max="4918" width="5" style="19" customWidth="1"/>
    <col min="4919" max="4919" width="5.5703125" style="19" customWidth="1"/>
    <col min="4920" max="4923" width="9.140625" style="19"/>
    <col min="4924" max="4925" width="8.7109375" style="19" customWidth="1"/>
    <col min="4926" max="5120" width="9.140625" style="19"/>
    <col min="5121" max="5121" width="1.85546875" style="19" customWidth="1"/>
    <col min="5122" max="5122" width="7.5703125" style="19" customWidth="1"/>
    <col min="5123" max="5123" width="6.7109375" style="19" bestFit="1" customWidth="1"/>
    <col min="5124" max="5124" width="13.7109375" style="19" customWidth="1"/>
    <col min="5125" max="5125" width="10.140625" style="19" customWidth="1"/>
    <col min="5126" max="5126" width="12.28515625" style="19" customWidth="1"/>
    <col min="5127" max="5127" width="6.42578125" style="19" customWidth="1"/>
    <col min="5128" max="5128" width="9.85546875" style="19" customWidth="1"/>
    <col min="5129" max="5129" width="12.28515625" style="19" customWidth="1"/>
    <col min="5130" max="5130" width="9.140625" style="19"/>
    <col min="5131" max="5131" width="9.5703125" style="19" customWidth="1"/>
    <col min="5132" max="5132" width="9.28515625" style="19" customWidth="1"/>
    <col min="5133" max="5133" width="9.85546875" style="19" customWidth="1"/>
    <col min="5134" max="5137" width="0" style="19" hidden="1" customWidth="1"/>
    <col min="5138" max="5138" width="11.5703125" style="19" customWidth="1"/>
    <col min="5139" max="5139" width="7.140625" style="19" customWidth="1"/>
    <col min="5140" max="5140" width="7.28515625" style="19" customWidth="1"/>
    <col min="5141" max="5148" width="0" style="19" hidden="1" customWidth="1"/>
    <col min="5149" max="5150" width="6.5703125" style="19" customWidth="1"/>
    <col min="5151" max="5154" width="0" style="19" hidden="1" customWidth="1"/>
    <col min="5155" max="5155" width="5.85546875" style="19" customWidth="1"/>
    <col min="5156" max="5156" width="0" style="19" hidden="1" customWidth="1"/>
    <col min="5157" max="5159" width="5.85546875" style="19" customWidth="1"/>
    <col min="5160" max="5160" width="7.7109375" style="19" customWidth="1"/>
    <col min="5161" max="5161" width="9.140625" style="19" bestFit="1" customWidth="1"/>
    <col min="5162" max="5163" width="8.5703125" style="19" bestFit="1" customWidth="1"/>
    <col min="5164" max="5164" width="8.85546875" style="19" customWidth="1"/>
    <col min="5165" max="5166" width="9.28515625" style="19" customWidth="1"/>
    <col min="5167" max="5167" width="10.140625" style="19" customWidth="1"/>
    <col min="5168" max="5169" width="7.85546875" style="19" customWidth="1"/>
    <col min="5170" max="5171" width="6.42578125" style="19" customWidth="1"/>
    <col min="5172" max="5172" width="8.42578125" style="19" customWidth="1"/>
    <col min="5173" max="5173" width="40.7109375" style="19" customWidth="1"/>
    <col min="5174" max="5174" width="5" style="19" customWidth="1"/>
    <col min="5175" max="5175" width="5.5703125" style="19" customWidth="1"/>
    <col min="5176" max="5179" width="9.140625" style="19"/>
    <col min="5180" max="5181" width="8.7109375" style="19" customWidth="1"/>
    <col min="5182" max="5376" width="9.140625" style="19"/>
    <col min="5377" max="5377" width="1.85546875" style="19" customWidth="1"/>
    <col min="5378" max="5378" width="7.5703125" style="19" customWidth="1"/>
    <col min="5379" max="5379" width="6.7109375" style="19" bestFit="1" customWidth="1"/>
    <col min="5380" max="5380" width="13.7109375" style="19" customWidth="1"/>
    <col min="5381" max="5381" width="10.140625" style="19" customWidth="1"/>
    <col min="5382" max="5382" width="12.28515625" style="19" customWidth="1"/>
    <col min="5383" max="5383" width="6.42578125" style="19" customWidth="1"/>
    <col min="5384" max="5384" width="9.85546875" style="19" customWidth="1"/>
    <col min="5385" max="5385" width="12.28515625" style="19" customWidth="1"/>
    <col min="5386" max="5386" width="9.140625" style="19"/>
    <col min="5387" max="5387" width="9.5703125" style="19" customWidth="1"/>
    <col min="5388" max="5388" width="9.28515625" style="19" customWidth="1"/>
    <col min="5389" max="5389" width="9.85546875" style="19" customWidth="1"/>
    <col min="5390" max="5393" width="0" style="19" hidden="1" customWidth="1"/>
    <col min="5394" max="5394" width="11.5703125" style="19" customWidth="1"/>
    <col min="5395" max="5395" width="7.140625" style="19" customWidth="1"/>
    <col min="5396" max="5396" width="7.28515625" style="19" customWidth="1"/>
    <col min="5397" max="5404" width="0" style="19" hidden="1" customWidth="1"/>
    <col min="5405" max="5406" width="6.5703125" style="19" customWidth="1"/>
    <col min="5407" max="5410" width="0" style="19" hidden="1" customWidth="1"/>
    <col min="5411" max="5411" width="5.85546875" style="19" customWidth="1"/>
    <col min="5412" max="5412" width="0" style="19" hidden="1" customWidth="1"/>
    <col min="5413" max="5415" width="5.85546875" style="19" customWidth="1"/>
    <col min="5416" max="5416" width="7.7109375" style="19" customWidth="1"/>
    <col min="5417" max="5417" width="9.140625" style="19" bestFit="1" customWidth="1"/>
    <col min="5418" max="5419" width="8.5703125" style="19" bestFit="1" customWidth="1"/>
    <col min="5420" max="5420" width="8.85546875" style="19" customWidth="1"/>
    <col min="5421" max="5422" width="9.28515625" style="19" customWidth="1"/>
    <col min="5423" max="5423" width="10.140625" style="19" customWidth="1"/>
    <col min="5424" max="5425" width="7.85546875" style="19" customWidth="1"/>
    <col min="5426" max="5427" width="6.42578125" style="19" customWidth="1"/>
    <col min="5428" max="5428" width="8.42578125" style="19" customWidth="1"/>
    <col min="5429" max="5429" width="40.7109375" style="19" customWidth="1"/>
    <col min="5430" max="5430" width="5" style="19" customWidth="1"/>
    <col min="5431" max="5431" width="5.5703125" style="19" customWidth="1"/>
    <col min="5432" max="5435" width="9.140625" style="19"/>
    <col min="5436" max="5437" width="8.7109375" style="19" customWidth="1"/>
    <col min="5438" max="5632" width="9.140625" style="19"/>
    <col min="5633" max="5633" width="1.85546875" style="19" customWidth="1"/>
    <col min="5634" max="5634" width="7.5703125" style="19" customWidth="1"/>
    <col min="5635" max="5635" width="6.7109375" style="19" bestFit="1" customWidth="1"/>
    <col min="5636" max="5636" width="13.7109375" style="19" customWidth="1"/>
    <col min="5637" max="5637" width="10.140625" style="19" customWidth="1"/>
    <col min="5638" max="5638" width="12.28515625" style="19" customWidth="1"/>
    <col min="5639" max="5639" width="6.42578125" style="19" customWidth="1"/>
    <col min="5640" max="5640" width="9.85546875" style="19" customWidth="1"/>
    <col min="5641" max="5641" width="12.28515625" style="19" customWidth="1"/>
    <col min="5642" max="5642" width="9.140625" style="19"/>
    <col min="5643" max="5643" width="9.5703125" style="19" customWidth="1"/>
    <col min="5644" max="5644" width="9.28515625" style="19" customWidth="1"/>
    <col min="5645" max="5645" width="9.85546875" style="19" customWidth="1"/>
    <col min="5646" max="5649" width="0" style="19" hidden="1" customWidth="1"/>
    <col min="5650" max="5650" width="11.5703125" style="19" customWidth="1"/>
    <col min="5651" max="5651" width="7.140625" style="19" customWidth="1"/>
    <col min="5652" max="5652" width="7.28515625" style="19" customWidth="1"/>
    <col min="5653" max="5660" width="0" style="19" hidden="1" customWidth="1"/>
    <col min="5661" max="5662" width="6.5703125" style="19" customWidth="1"/>
    <col min="5663" max="5666" width="0" style="19" hidden="1" customWidth="1"/>
    <col min="5667" max="5667" width="5.85546875" style="19" customWidth="1"/>
    <col min="5668" max="5668" width="0" style="19" hidden="1" customWidth="1"/>
    <col min="5669" max="5671" width="5.85546875" style="19" customWidth="1"/>
    <col min="5672" max="5672" width="7.7109375" style="19" customWidth="1"/>
    <col min="5673" max="5673" width="9.140625" style="19" bestFit="1" customWidth="1"/>
    <col min="5674" max="5675" width="8.5703125" style="19" bestFit="1" customWidth="1"/>
    <col min="5676" max="5676" width="8.85546875" style="19" customWidth="1"/>
    <col min="5677" max="5678" width="9.28515625" style="19" customWidth="1"/>
    <col min="5679" max="5679" width="10.140625" style="19" customWidth="1"/>
    <col min="5680" max="5681" width="7.85546875" style="19" customWidth="1"/>
    <col min="5682" max="5683" width="6.42578125" style="19" customWidth="1"/>
    <col min="5684" max="5684" width="8.42578125" style="19" customWidth="1"/>
    <col min="5685" max="5685" width="40.7109375" style="19" customWidth="1"/>
    <col min="5686" max="5686" width="5" style="19" customWidth="1"/>
    <col min="5687" max="5687" width="5.5703125" style="19" customWidth="1"/>
    <col min="5688" max="5691" width="9.140625" style="19"/>
    <col min="5692" max="5693" width="8.7109375" style="19" customWidth="1"/>
    <col min="5694" max="5888" width="9.140625" style="19"/>
    <col min="5889" max="5889" width="1.85546875" style="19" customWidth="1"/>
    <col min="5890" max="5890" width="7.5703125" style="19" customWidth="1"/>
    <col min="5891" max="5891" width="6.7109375" style="19" bestFit="1" customWidth="1"/>
    <col min="5892" max="5892" width="13.7109375" style="19" customWidth="1"/>
    <col min="5893" max="5893" width="10.140625" style="19" customWidth="1"/>
    <col min="5894" max="5894" width="12.28515625" style="19" customWidth="1"/>
    <col min="5895" max="5895" width="6.42578125" style="19" customWidth="1"/>
    <col min="5896" max="5896" width="9.85546875" style="19" customWidth="1"/>
    <col min="5897" max="5897" width="12.28515625" style="19" customWidth="1"/>
    <col min="5898" max="5898" width="9.140625" style="19"/>
    <col min="5899" max="5899" width="9.5703125" style="19" customWidth="1"/>
    <col min="5900" max="5900" width="9.28515625" style="19" customWidth="1"/>
    <col min="5901" max="5901" width="9.85546875" style="19" customWidth="1"/>
    <col min="5902" max="5905" width="0" style="19" hidden="1" customWidth="1"/>
    <col min="5906" max="5906" width="11.5703125" style="19" customWidth="1"/>
    <col min="5907" max="5907" width="7.140625" style="19" customWidth="1"/>
    <col min="5908" max="5908" width="7.28515625" style="19" customWidth="1"/>
    <col min="5909" max="5916" width="0" style="19" hidden="1" customWidth="1"/>
    <col min="5917" max="5918" width="6.5703125" style="19" customWidth="1"/>
    <col min="5919" max="5922" width="0" style="19" hidden="1" customWidth="1"/>
    <col min="5923" max="5923" width="5.85546875" style="19" customWidth="1"/>
    <col min="5924" max="5924" width="0" style="19" hidden="1" customWidth="1"/>
    <col min="5925" max="5927" width="5.85546875" style="19" customWidth="1"/>
    <col min="5928" max="5928" width="7.7109375" style="19" customWidth="1"/>
    <col min="5929" max="5929" width="9.140625" style="19" bestFit="1" customWidth="1"/>
    <col min="5930" max="5931" width="8.5703125" style="19" bestFit="1" customWidth="1"/>
    <col min="5932" max="5932" width="8.85546875" style="19" customWidth="1"/>
    <col min="5933" max="5934" width="9.28515625" style="19" customWidth="1"/>
    <col min="5935" max="5935" width="10.140625" style="19" customWidth="1"/>
    <col min="5936" max="5937" width="7.85546875" style="19" customWidth="1"/>
    <col min="5938" max="5939" width="6.42578125" style="19" customWidth="1"/>
    <col min="5940" max="5940" width="8.42578125" style="19" customWidth="1"/>
    <col min="5941" max="5941" width="40.7109375" style="19" customWidth="1"/>
    <col min="5942" max="5942" width="5" style="19" customWidth="1"/>
    <col min="5943" max="5943" width="5.5703125" style="19" customWidth="1"/>
    <col min="5944" max="5947" width="9.140625" style="19"/>
    <col min="5948" max="5949" width="8.7109375" style="19" customWidth="1"/>
    <col min="5950" max="6144" width="9.140625" style="19"/>
    <col min="6145" max="6145" width="1.85546875" style="19" customWidth="1"/>
    <col min="6146" max="6146" width="7.5703125" style="19" customWidth="1"/>
    <col min="6147" max="6147" width="6.7109375" style="19" bestFit="1" customWidth="1"/>
    <col min="6148" max="6148" width="13.7109375" style="19" customWidth="1"/>
    <col min="6149" max="6149" width="10.140625" style="19" customWidth="1"/>
    <col min="6150" max="6150" width="12.28515625" style="19" customWidth="1"/>
    <col min="6151" max="6151" width="6.42578125" style="19" customWidth="1"/>
    <col min="6152" max="6152" width="9.85546875" style="19" customWidth="1"/>
    <col min="6153" max="6153" width="12.28515625" style="19" customWidth="1"/>
    <col min="6154" max="6154" width="9.140625" style="19"/>
    <col min="6155" max="6155" width="9.5703125" style="19" customWidth="1"/>
    <col min="6156" max="6156" width="9.28515625" style="19" customWidth="1"/>
    <col min="6157" max="6157" width="9.85546875" style="19" customWidth="1"/>
    <col min="6158" max="6161" width="0" style="19" hidden="1" customWidth="1"/>
    <col min="6162" max="6162" width="11.5703125" style="19" customWidth="1"/>
    <col min="6163" max="6163" width="7.140625" style="19" customWidth="1"/>
    <col min="6164" max="6164" width="7.28515625" style="19" customWidth="1"/>
    <col min="6165" max="6172" width="0" style="19" hidden="1" customWidth="1"/>
    <col min="6173" max="6174" width="6.5703125" style="19" customWidth="1"/>
    <col min="6175" max="6178" width="0" style="19" hidden="1" customWidth="1"/>
    <col min="6179" max="6179" width="5.85546875" style="19" customWidth="1"/>
    <col min="6180" max="6180" width="0" style="19" hidden="1" customWidth="1"/>
    <col min="6181" max="6183" width="5.85546875" style="19" customWidth="1"/>
    <col min="6184" max="6184" width="7.7109375" style="19" customWidth="1"/>
    <col min="6185" max="6185" width="9.140625" style="19" bestFit="1" customWidth="1"/>
    <col min="6186" max="6187" width="8.5703125" style="19" bestFit="1" customWidth="1"/>
    <col min="6188" max="6188" width="8.85546875" style="19" customWidth="1"/>
    <col min="6189" max="6190" width="9.28515625" style="19" customWidth="1"/>
    <col min="6191" max="6191" width="10.140625" style="19" customWidth="1"/>
    <col min="6192" max="6193" width="7.85546875" style="19" customWidth="1"/>
    <col min="6194" max="6195" width="6.42578125" style="19" customWidth="1"/>
    <col min="6196" max="6196" width="8.42578125" style="19" customWidth="1"/>
    <col min="6197" max="6197" width="40.7109375" style="19" customWidth="1"/>
    <col min="6198" max="6198" width="5" style="19" customWidth="1"/>
    <col min="6199" max="6199" width="5.5703125" style="19" customWidth="1"/>
    <col min="6200" max="6203" width="9.140625" style="19"/>
    <col min="6204" max="6205" width="8.7109375" style="19" customWidth="1"/>
    <col min="6206" max="6400" width="9.140625" style="19"/>
    <col min="6401" max="6401" width="1.85546875" style="19" customWidth="1"/>
    <col min="6402" max="6402" width="7.5703125" style="19" customWidth="1"/>
    <col min="6403" max="6403" width="6.7109375" style="19" bestFit="1" customWidth="1"/>
    <col min="6404" max="6404" width="13.7109375" style="19" customWidth="1"/>
    <col min="6405" max="6405" width="10.140625" style="19" customWidth="1"/>
    <col min="6406" max="6406" width="12.28515625" style="19" customWidth="1"/>
    <col min="6407" max="6407" width="6.42578125" style="19" customWidth="1"/>
    <col min="6408" max="6408" width="9.85546875" style="19" customWidth="1"/>
    <col min="6409" max="6409" width="12.28515625" style="19" customWidth="1"/>
    <col min="6410" max="6410" width="9.140625" style="19"/>
    <col min="6411" max="6411" width="9.5703125" style="19" customWidth="1"/>
    <col min="6412" max="6412" width="9.28515625" style="19" customWidth="1"/>
    <col min="6413" max="6413" width="9.85546875" style="19" customWidth="1"/>
    <col min="6414" max="6417" width="0" style="19" hidden="1" customWidth="1"/>
    <col min="6418" max="6418" width="11.5703125" style="19" customWidth="1"/>
    <col min="6419" max="6419" width="7.140625" style="19" customWidth="1"/>
    <col min="6420" max="6420" width="7.28515625" style="19" customWidth="1"/>
    <col min="6421" max="6428" width="0" style="19" hidden="1" customWidth="1"/>
    <col min="6429" max="6430" width="6.5703125" style="19" customWidth="1"/>
    <col min="6431" max="6434" width="0" style="19" hidden="1" customWidth="1"/>
    <col min="6435" max="6435" width="5.85546875" style="19" customWidth="1"/>
    <col min="6436" max="6436" width="0" style="19" hidden="1" customWidth="1"/>
    <col min="6437" max="6439" width="5.85546875" style="19" customWidth="1"/>
    <col min="6440" max="6440" width="7.7109375" style="19" customWidth="1"/>
    <col min="6441" max="6441" width="9.140625" style="19" bestFit="1" customWidth="1"/>
    <col min="6442" max="6443" width="8.5703125" style="19" bestFit="1" customWidth="1"/>
    <col min="6444" max="6444" width="8.85546875" style="19" customWidth="1"/>
    <col min="6445" max="6446" width="9.28515625" style="19" customWidth="1"/>
    <col min="6447" max="6447" width="10.140625" style="19" customWidth="1"/>
    <col min="6448" max="6449" width="7.85546875" style="19" customWidth="1"/>
    <col min="6450" max="6451" width="6.42578125" style="19" customWidth="1"/>
    <col min="6452" max="6452" width="8.42578125" style="19" customWidth="1"/>
    <col min="6453" max="6453" width="40.7109375" style="19" customWidth="1"/>
    <col min="6454" max="6454" width="5" style="19" customWidth="1"/>
    <col min="6455" max="6455" width="5.5703125" style="19" customWidth="1"/>
    <col min="6456" max="6459" width="9.140625" style="19"/>
    <col min="6460" max="6461" width="8.7109375" style="19" customWidth="1"/>
    <col min="6462" max="6656" width="9.140625" style="19"/>
    <col min="6657" max="6657" width="1.85546875" style="19" customWidth="1"/>
    <col min="6658" max="6658" width="7.5703125" style="19" customWidth="1"/>
    <col min="6659" max="6659" width="6.7109375" style="19" bestFit="1" customWidth="1"/>
    <col min="6660" max="6660" width="13.7109375" style="19" customWidth="1"/>
    <col min="6661" max="6661" width="10.140625" style="19" customWidth="1"/>
    <col min="6662" max="6662" width="12.28515625" style="19" customWidth="1"/>
    <col min="6663" max="6663" width="6.42578125" style="19" customWidth="1"/>
    <col min="6664" max="6664" width="9.85546875" style="19" customWidth="1"/>
    <col min="6665" max="6665" width="12.28515625" style="19" customWidth="1"/>
    <col min="6666" max="6666" width="9.140625" style="19"/>
    <col min="6667" max="6667" width="9.5703125" style="19" customWidth="1"/>
    <col min="6668" max="6668" width="9.28515625" style="19" customWidth="1"/>
    <col min="6669" max="6669" width="9.85546875" style="19" customWidth="1"/>
    <col min="6670" max="6673" width="0" style="19" hidden="1" customWidth="1"/>
    <col min="6674" max="6674" width="11.5703125" style="19" customWidth="1"/>
    <col min="6675" max="6675" width="7.140625" style="19" customWidth="1"/>
    <col min="6676" max="6676" width="7.28515625" style="19" customWidth="1"/>
    <col min="6677" max="6684" width="0" style="19" hidden="1" customWidth="1"/>
    <col min="6685" max="6686" width="6.5703125" style="19" customWidth="1"/>
    <col min="6687" max="6690" width="0" style="19" hidden="1" customWidth="1"/>
    <col min="6691" max="6691" width="5.85546875" style="19" customWidth="1"/>
    <col min="6692" max="6692" width="0" style="19" hidden="1" customWidth="1"/>
    <col min="6693" max="6695" width="5.85546875" style="19" customWidth="1"/>
    <col min="6696" max="6696" width="7.7109375" style="19" customWidth="1"/>
    <col min="6697" max="6697" width="9.140625" style="19" bestFit="1" customWidth="1"/>
    <col min="6698" max="6699" width="8.5703125" style="19" bestFit="1" customWidth="1"/>
    <col min="6700" max="6700" width="8.85546875" style="19" customWidth="1"/>
    <col min="6701" max="6702" width="9.28515625" style="19" customWidth="1"/>
    <col min="6703" max="6703" width="10.140625" style="19" customWidth="1"/>
    <col min="6704" max="6705" width="7.85546875" style="19" customWidth="1"/>
    <col min="6706" max="6707" width="6.42578125" style="19" customWidth="1"/>
    <col min="6708" max="6708" width="8.42578125" style="19" customWidth="1"/>
    <col min="6709" max="6709" width="40.7109375" style="19" customWidth="1"/>
    <col min="6710" max="6710" width="5" style="19" customWidth="1"/>
    <col min="6711" max="6711" width="5.5703125" style="19" customWidth="1"/>
    <col min="6712" max="6715" width="9.140625" style="19"/>
    <col min="6716" max="6717" width="8.7109375" style="19" customWidth="1"/>
    <col min="6718" max="6912" width="9.140625" style="19"/>
    <col min="6913" max="6913" width="1.85546875" style="19" customWidth="1"/>
    <col min="6914" max="6914" width="7.5703125" style="19" customWidth="1"/>
    <col min="6915" max="6915" width="6.7109375" style="19" bestFit="1" customWidth="1"/>
    <col min="6916" max="6916" width="13.7109375" style="19" customWidth="1"/>
    <col min="6917" max="6917" width="10.140625" style="19" customWidth="1"/>
    <col min="6918" max="6918" width="12.28515625" style="19" customWidth="1"/>
    <col min="6919" max="6919" width="6.42578125" style="19" customWidth="1"/>
    <col min="6920" max="6920" width="9.85546875" style="19" customWidth="1"/>
    <col min="6921" max="6921" width="12.28515625" style="19" customWidth="1"/>
    <col min="6922" max="6922" width="9.140625" style="19"/>
    <col min="6923" max="6923" width="9.5703125" style="19" customWidth="1"/>
    <col min="6924" max="6924" width="9.28515625" style="19" customWidth="1"/>
    <col min="6925" max="6925" width="9.85546875" style="19" customWidth="1"/>
    <col min="6926" max="6929" width="0" style="19" hidden="1" customWidth="1"/>
    <col min="6930" max="6930" width="11.5703125" style="19" customWidth="1"/>
    <col min="6931" max="6931" width="7.140625" style="19" customWidth="1"/>
    <col min="6932" max="6932" width="7.28515625" style="19" customWidth="1"/>
    <col min="6933" max="6940" width="0" style="19" hidden="1" customWidth="1"/>
    <col min="6941" max="6942" width="6.5703125" style="19" customWidth="1"/>
    <col min="6943" max="6946" width="0" style="19" hidden="1" customWidth="1"/>
    <col min="6947" max="6947" width="5.85546875" style="19" customWidth="1"/>
    <col min="6948" max="6948" width="0" style="19" hidden="1" customWidth="1"/>
    <col min="6949" max="6951" width="5.85546875" style="19" customWidth="1"/>
    <col min="6952" max="6952" width="7.7109375" style="19" customWidth="1"/>
    <col min="6953" max="6953" width="9.140625" style="19" bestFit="1" customWidth="1"/>
    <col min="6954" max="6955" width="8.5703125" style="19" bestFit="1" customWidth="1"/>
    <col min="6956" max="6956" width="8.85546875" style="19" customWidth="1"/>
    <col min="6957" max="6958" width="9.28515625" style="19" customWidth="1"/>
    <col min="6959" max="6959" width="10.140625" style="19" customWidth="1"/>
    <col min="6960" max="6961" width="7.85546875" style="19" customWidth="1"/>
    <col min="6962" max="6963" width="6.42578125" style="19" customWidth="1"/>
    <col min="6964" max="6964" width="8.42578125" style="19" customWidth="1"/>
    <col min="6965" max="6965" width="40.7109375" style="19" customWidth="1"/>
    <col min="6966" max="6966" width="5" style="19" customWidth="1"/>
    <col min="6967" max="6967" width="5.5703125" style="19" customWidth="1"/>
    <col min="6968" max="6971" width="9.140625" style="19"/>
    <col min="6972" max="6973" width="8.7109375" style="19" customWidth="1"/>
    <col min="6974" max="7168" width="9.140625" style="19"/>
    <col min="7169" max="7169" width="1.85546875" style="19" customWidth="1"/>
    <col min="7170" max="7170" width="7.5703125" style="19" customWidth="1"/>
    <col min="7171" max="7171" width="6.7109375" style="19" bestFit="1" customWidth="1"/>
    <col min="7172" max="7172" width="13.7109375" style="19" customWidth="1"/>
    <col min="7173" max="7173" width="10.140625" style="19" customWidth="1"/>
    <col min="7174" max="7174" width="12.28515625" style="19" customWidth="1"/>
    <col min="7175" max="7175" width="6.42578125" style="19" customWidth="1"/>
    <col min="7176" max="7176" width="9.85546875" style="19" customWidth="1"/>
    <col min="7177" max="7177" width="12.28515625" style="19" customWidth="1"/>
    <col min="7178" max="7178" width="9.140625" style="19"/>
    <col min="7179" max="7179" width="9.5703125" style="19" customWidth="1"/>
    <col min="7180" max="7180" width="9.28515625" style="19" customWidth="1"/>
    <col min="7181" max="7181" width="9.85546875" style="19" customWidth="1"/>
    <col min="7182" max="7185" width="0" style="19" hidden="1" customWidth="1"/>
    <col min="7186" max="7186" width="11.5703125" style="19" customWidth="1"/>
    <col min="7187" max="7187" width="7.140625" style="19" customWidth="1"/>
    <col min="7188" max="7188" width="7.28515625" style="19" customWidth="1"/>
    <col min="7189" max="7196" width="0" style="19" hidden="1" customWidth="1"/>
    <col min="7197" max="7198" width="6.5703125" style="19" customWidth="1"/>
    <col min="7199" max="7202" width="0" style="19" hidden="1" customWidth="1"/>
    <col min="7203" max="7203" width="5.85546875" style="19" customWidth="1"/>
    <col min="7204" max="7204" width="0" style="19" hidden="1" customWidth="1"/>
    <col min="7205" max="7207" width="5.85546875" style="19" customWidth="1"/>
    <col min="7208" max="7208" width="7.7109375" style="19" customWidth="1"/>
    <col min="7209" max="7209" width="9.140625" style="19" bestFit="1" customWidth="1"/>
    <col min="7210" max="7211" width="8.5703125" style="19" bestFit="1" customWidth="1"/>
    <col min="7212" max="7212" width="8.85546875" style="19" customWidth="1"/>
    <col min="7213" max="7214" width="9.28515625" style="19" customWidth="1"/>
    <col min="7215" max="7215" width="10.140625" style="19" customWidth="1"/>
    <col min="7216" max="7217" width="7.85546875" style="19" customWidth="1"/>
    <col min="7218" max="7219" width="6.42578125" style="19" customWidth="1"/>
    <col min="7220" max="7220" width="8.42578125" style="19" customWidth="1"/>
    <col min="7221" max="7221" width="40.7109375" style="19" customWidth="1"/>
    <col min="7222" max="7222" width="5" style="19" customWidth="1"/>
    <col min="7223" max="7223" width="5.5703125" style="19" customWidth="1"/>
    <col min="7224" max="7227" width="9.140625" style="19"/>
    <col min="7228" max="7229" width="8.7109375" style="19" customWidth="1"/>
    <col min="7230" max="7424" width="9.140625" style="19"/>
    <col min="7425" max="7425" width="1.85546875" style="19" customWidth="1"/>
    <col min="7426" max="7426" width="7.5703125" style="19" customWidth="1"/>
    <col min="7427" max="7427" width="6.7109375" style="19" bestFit="1" customWidth="1"/>
    <col min="7428" max="7428" width="13.7109375" style="19" customWidth="1"/>
    <col min="7429" max="7429" width="10.140625" style="19" customWidth="1"/>
    <col min="7430" max="7430" width="12.28515625" style="19" customWidth="1"/>
    <col min="7431" max="7431" width="6.42578125" style="19" customWidth="1"/>
    <col min="7432" max="7432" width="9.85546875" style="19" customWidth="1"/>
    <col min="7433" max="7433" width="12.28515625" style="19" customWidth="1"/>
    <col min="7434" max="7434" width="9.140625" style="19"/>
    <col min="7435" max="7435" width="9.5703125" style="19" customWidth="1"/>
    <col min="7436" max="7436" width="9.28515625" style="19" customWidth="1"/>
    <col min="7437" max="7437" width="9.85546875" style="19" customWidth="1"/>
    <col min="7438" max="7441" width="0" style="19" hidden="1" customWidth="1"/>
    <col min="7442" max="7442" width="11.5703125" style="19" customWidth="1"/>
    <col min="7443" max="7443" width="7.140625" style="19" customWidth="1"/>
    <col min="7444" max="7444" width="7.28515625" style="19" customWidth="1"/>
    <col min="7445" max="7452" width="0" style="19" hidden="1" customWidth="1"/>
    <col min="7453" max="7454" width="6.5703125" style="19" customWidth="1"/>
    <col min="7455" max="7458" width="0" style="19" hidden="1" customWidth="1"/>
    <col min="7459" max="7459" width="5.85546875" style="19" customWidth="1"/>
    <col min="7460" max="7460" width="0" style="19" hidden="1" customWidth="1"/>
    <col min="7461" max="7463" width="5.85546875" style="19" customWidth="1"/>
    <col min="7464" max="7464" width="7.7109375" style="19" customWidth="1"/>
    <col min="7465" max="7465" width="9.140625" style="19" bestFit="1" customWidth="1"/>
    <col min="7466" max="7467" width="8.5703125" style="19" bestFit="1" customWidth="1"/>
    <col min="7468" max="7468" width="8.85546875" style="19" customWidth="1"/>
    <col min="7469" max="7470" width="9.28515625" style="19" customWidth="1"/>
    <col min="7471" max="7471" width="10.140625" style="19" customWidth="1"/>
    <col min="7472" max="7473" width="7.85546875" style="19" customWidth="1"/>
    <col min="7474" max="7475" width="6.42578125" style="19" customWidth="1"/>
    <col min="7476" max="7476" width="8.42578125" style="19" customWidth="1"/>
    <col min="7477" max="7477" width="40.7109375" style="19" customWidth="1"/>
    <col min="7478" max="7478" width="5" style="19" customWidth="1"/>
    <col min="7479" max="7479" width="5.5703125" style="19" customWidth="1"/>
    <col min="7480" max="7483" width="9.140625" style="19"/>
    <col min="7484" max="7485" width="8.7109375" style="19" customWidth="1"/>
    <col min="7486" max="7680" width="9.140625" style="19"/>
    <col min="7681" max="7681" width="1.85546875" style="19" customWidth="1"/>
    <col min="7682" max="7682" width="7.5703125" style="19" customWidth="1"/>
    <col min="7683" max="7683" width="6.7109375" style="19" bestFit="1" customWidth="1"/>
    <col min="7684" max="7684" width="13.7109375" style="19" customWidth="1"/>
    <col min="7685" max="7685" width="10.140625" style="19" customWidth="1"/>
    <col min="7686" max="7686" width="12.28515625" style="19" customWidth="1"/>
    <col min="7687" max="7687" width="6.42578125" style="19" customWidth="1"/>
    <col min="7688" max="7688" width="9.85546875" style="19" customWidth="1"/>
    <col min="7689" max="7689" width="12.28515625" style="19" customWidth="1"/>
    <col min="7690" max="7690" width="9.140625" style="19"/>
    <col min="7691" max="7691" width="9.5703125" style="19" customWidth="1"/>
    <col min="7692" max="7692" width="9.28515625" style="19" customWidth="1"/>
    <col min="7693" max="7693" width="9.85546875" style="19" customWidth="1"/>
    <col min="7694" max="7697" width="0" style="19" hidden="1" customWidth="1"/>
    <col min="7698" max="7698" width="11.5703125" style="19" customWidth="1"/>
    <col min="7699" max="7699" width="7.140625" style="19" customWidth="1"/>
    <col min="7700" max="7700" width="7.28515625" style="19" customWidth="1"/>
    <col min="7701" max="7708" width="0" style="19" hidden="1" customWidth="1"/>
    <col min="7709" max="7710" width="6.5703125" style="19" customWidth="1"/>
    <col min="7711" max="7714" width="0" style="19" hidden="1" customWidth="1"/>
    <col min="7715" max="7715" width="5.85546875" style="19" customWidth="1"/>
    <col min="7716" max="7716" width="0" style="19" hidden="1" customWidth="1"/>
    <col min="7717" max="7719" width="5.85546875" style="19" customWidth="1"/>
    <col min="7720" max="7720" width="7.7109375" style="19" customWidth="1"/>
    <col min="7721" max="7721" width="9.140625" style="19" bestFit="1" customWidth="1"/>
    <col min="7722" max="7723" width="8.5703125" style="19" bestFit="1" customWidth="1"/>
    <col min="7724" max="7724" width="8.85546875" style="19" customWidth="1"/>
    <col min="7725" max="7726" width="9.28515625" style="19" customWidth="1"/>
    <col min="7727" max="7727" width="10.140625" style="19" customWidth="1"/>
    <col min="7728" max="7729" width="7.85546875" style="19" customWidth="1"/>
    <col min="7730" max="7731" width="6.42578125" style="19" customWidth="1"/>
    <col min="7732" max="7732" width="8.42578125" style="19" customWidth="1"/>
    <col min="7733" max="7733" width="40.7109375" style="19" customWidth="1"/>
    <col min="7734" max="7734" width="5" style="19" customWidth="1"/>
    <col min="7735" max="7735" width="5.5703125" style="19" customWidth="1"/>
    <col min="7736" max="7739" width="9.140625" style="19"/>
    <col min="7740" max="7741" width="8.7109375" style="19" customWidth="1"/>
    <col min="7742" max="7936" width="9.140625" style="19"/>
    <col min="7937" max="7937" width="1.85546875" style="19" customWidth="1"/>
    <col min="7938" max="7938" width="7.5703125" style="19" customWidth="1"/>
    <col min="7939" max="7939" width="6.7109375" style="19" bestFit="1" customWidth="1"/>
    <col min="7940" max="7940" width="13.7109375" style="19" customWidth="1"/>
    <col min="7941" max="7941" width="10.140625" style="19" customWidth="1"/>
    <col min="7942" max="7942" width="12.28515625" style="19" customWidth="1"/>
    <col min="7943" max="7943" width="6.42578125" style="19" customWidth="1"/>
    <col min="7944" max="7944" width="9.85546875" style="19" customWidth="1"/>
    <col min="7945" max="7945" width="12.28515625" style="19" customWidth="1"/>
    <col min="7946" max="7946" width="9.140625" style="19"/>
    <col min="7947" max="7947" width="9.5703125" style="19" customWidth="1"/>
    <col min="7948" max="7948" width="9.28515625" style="19" customWidth="1"/>
    <col min="7949" max="7949" width="9.85546875" style="19" customWidth="1"/>
    <col min="7950" max="7953" width="0" style="19" hidden="1" customWidth="1"/>
    <col min="7954" max="7954" width="11.5703125" style="19" customWidth="1"/>
    <col min="7955" max="7955" width="7.140625" style="19" customWidth="1"/>
    <col min="7956" max="7956" width="7.28515625" style="19" customWidth="1"/>
    <col min="7957" max="7964" width="0" style="19" hidden="1" customWidth="1"/>
    <col min="7965" max="7966" width="6.5703125" style="19" customWidth="1"/>
    <col min="7967" max="7970" width="0" style="19" hidden="1" customWidth="1"/>
    <col min="7971" max="7971" width="5.85546875" style="19" customWidth="1"/>
    <col min="7972" max="7972" width="0" style="19" hidden="1" customWidth="1"/>
    <col min="7973" max="7975" width="5.85546875" style="19" customWidth="1"/>
    <col min="7976" max="7976" width="7.7109375" style="19" customWidth="1"/>
    <col min="7977" max="7977" width="9.140625" style="19" bestFit="1" customWidth="1"/>
    <col min="7978" max="7979" width="8.5703125" style="19" bestFit="1" customWidth="1"/>
    <col min="7980" max="7980" width="8.85546875" style="19" customWidth="1"/>
    <col min="7981" max="7982" width="9.28515625" style="19" customWidth="1"/>
    <col min="7983" max="7983" width="10.140625" style="19" customWidth="1"/>
    <col min="7984" max="7985" width="7.85546875" style="19" customWidth="1"/>
    <col min="7986" max="7987" width="6.42578125" style="19" customWidth="1"/>
    <col min="7988" max="7988" width="8.42578125" style="19" customWidth="1"/>
    <col min="7989" max="7989" width="40.7109375" style="19" customWidth="1"/>
    <col min="7990" max="7990" width="5" style="19" customWidth="1"/>
    <col min="7991" max="7991" width="5.5703125" style="19" customWidth="1"/>
    <col min="7992" max="7995" width="9.140625" style="19"/>
    <col min="7996" max="7997" width="8.7109375" style="19" customWidth="1"/>
    <col min="7998" max="8192" width="9.140625" style="19"/>
    <col min="8193" max="8193" width="1.85546875" style="19" customWidth="1"/>
    <col min="8194" max="8194" width="7.5703125" style="19" customWidth="1"/>
    <col min="8195" max="8195" width="6.7109375" style="19" bestFit="1" customWidth="1"/>
    <col min="8196" max="8196" width="13.7109375" style="19" customWidth="1"/>
    <col min="8197" max="8197" width="10.140625" style="19" customWidth="1"/>
    <col min="8198" max="8198" width="12.28515625" style="19" customWidth="1"/>
    <col min="8199" max="8199" width="6.42578125" style="19" customWidth="1"/>
    <col min="8200" max="8200" width="9.85546875" style="19" customWidth="1"/>
    <col min="8201" max="8201" width="12.28515625" style="19" customWidth="1"/>
    <col min="8202" max="8202" width="9.140625" style="19"/>
    <col min="8203" max="8203" width="9.5703125" style="19" customWidth="1"/>
    <col min="8204" max="8204" width="9.28515625" style="19" customWidth="1"/>
    <col min="8205" max="8205" width="9.85546875" style="19" customWidth="1"/>
    <col min="8206" max="8209" width="0" style="19" hidden="1" customWidth="1"/>
    <col min="8210" max="8210" width="11.5703125" style="19" customWidth="1"/>
    <col min="8211" max="8211" width="7.140625" style="19" customWidth="1"/>
    <col min="8212" max="8212" width="7.28515625" style="19" customWidth="1"/>
    <col min="8213" max="8220" width="0" style="19" hidden="1" customWidth="1"/>
    <col min="8221" max="8222" width="6.5703125" style="19" customWidth="1"/>
    <col min="8223" max="8226" width="0" style="19" hidden="1" customWidth="1"/>
    <col min="8227" max="8227" width="5.85546875" style="19" customWidth="1"/>
    <col min="8228" max="8228" width="0" style="19" hidden="1" customWidth="1"/>
    <col min="8229" max="8231" width="5.85546875" style="19" customWidth="1"/>
    <col min="8232" max="8232" width="7.7109375" style="19" customWidth="1"/>
    <col min="8233" max="8233" width="9.140625" style="19" bestFit="1" customWidth="1"/>
    <col min="8234" max="8235" width="8.5703125" style="19" bestFit="1" customWidth="1"/>
    <col min="8236" max="8236" width="8.85546875" style="19" customWidth="1"/>
    <col min="8237" max="8238" width="9.28515625" style="19" customWidth="1"/>
    <col min="8239" max="8239" width="10.140625" style="19" customWidth="1"/>
    <col min="8240" max="8241" width="7.85546875" style="19" customWidth="1"/>
    <col min="8242" max="8243" width="6.42578125" style="19" customWidth="1"/>
    <col min="8244" max="8244" width="8.42578125" style="19" customWidth="1"/>
    <col min="8245" max="8245" width="40.7109375" style="19" customWidth="1"/>
    <col min="8246" max="8246" width="5" style="19" customWidth="1"/>
    <col min="8247" max="8247" width="5.5703125" style="19" customWidth="1"/>
    <col min="8248" max="8251" width="9.140625" style="19"/>
    <col min="8252" max="8253" width="8.7109375" style="19" customWidth="1"/>
    <col min="8254" max="8448" width="9.140625" style="19"/>
    <col min="8449" max="8449" width="1.85546875" style="19" customWidth="1"/>
    <col min="8450" max="8450" width="7.5703125" style="19" customWidth="1"/>
    <col min="8451" max="8451" width="6.7109375" style="19" bestFit="1" customWidth="1"/>
    <col min="8452" max="8452" width="13.7109375" style="19" customWidth="1"/>
    <col min="8453" max="8453" width="10.140625" style="19" customWidth="1"/>
    <col min="8454" max="8454" width="12.28515625" style="19" customWidth="1"/>
    <col min="8455" max="8455" width="6.42578125" style="19" customWidth="1"/>
    <col min="8456" max="8456" width="9.85546875" style="19" customWidth="1"/>
    <col min="8457" max="8457" width="12.28515625" style="19" customWidth="1"/>
    <col min="8458" max="8458" width="9.140625" style="19"/>
    <col min="8459" max="8459" width="9.5703125" style="19" customWidth="1"/>
    <col min="8460" max="8460" width="9.28515625" style="19" customWidth="1"/>
    <col min="8461" max="8461" width="9.85546875" style="19" customWidth="1"/>
    <col min="8462" max="8465" width="0" style="19" hidden="1" customWidth="1"/>
    <col min="8466" max="8466" width="11.5703125" style="19" customWidth="1"/>
    <col min="8467" max="8467" width="7.140625" style="19" customWidth="1"/>
    <col min="8468" max="8468" width="7.28515625" style="19" customWidth="1"/>
    <col min="8469" max="8476" width="0" style="19" hidden="1" customWidth="1"/>
    <col min="8477" max="8478" width="6.5703125" style="19" customWidth="1"/>
    <col min="8479" max="8482" width="0" style="19" hidden="1" customWidth="1"/>
    <col min="8483" max="8483" width="5.85546875" style="19" customWidth="1"/>
    <col min="8484" max="8484" width="0" style="19" hidden="1" customWidth="1"/>
    <col min="8485" max="8487" width="5.85546875" style="19" customWidth="1"/>
    <col min="8488" max="8488" width="7.7109375" style="19" customWidth="1"/>
    <col min="8489" max="8489" width="9.140625" style="19" bestFit="1" customWidth="1"/>
    <col min="8490" max="8491" width="8.5703125" style="19" bestFit="1" customWidth="1"/>
    <col min="8492" max="8492" width="8.85546875" style="19" customWidth="1"/>
    <col min="8493" max="8494" width="9.28515625" style="19" customWidth="1"/>
    <col min="8495" max="8495" width="10.140625" style="19" customWidth="1"/>
    <col min="8496" max="8497" width="7.85546875" style="19" customWidth="1"/>
    <col min="8498" max="8499" width="6.42578125" style="19" customWidth="1"/>
    <col min="8500" max="8500" width="8.42578125" style="19" customWidth="1"/>
    <col min="8501" max="8501" width="40.7109375" style="19" customWidth="1"/>
    <col min="8502" max="8502" width="5" style="19" customWidth="1"/>
    <col min="8503" max="8503" width="5.5703125" style="19" customWidth="1"/>
    <col min="8504" max="8507" width="9.140625" style="19"/>
    <col min="8508" max="8509" width="8.7109375" style="19" customWidth="1"/>
    <col min="8510" max="8704" width="9.140625" style="19"/>
    <col min="8705" max="8705" width="1.85546875" style="19" customWidth="1"/>
    <col min="8706" max="8706" width="7.5703125" style="19" customWidth="1"/>
    <col min="8707" max="8707" width="6.7109375" style="19" bestFit="1" customWidth="1"/>
    <col min="8708" max="8708" width="13.7109375" style="19" customWidth="1"/>
    <col min="8709" max="8709" width="10.140625" style="19" customWidth="1"/>
    <col min="8710" max="8710" width="12.28515625" style="19" customWidth="1"/>
    <col min="8711" max="8711" width="6.42578125" style="19" customWidth="1"/>
    <col min="8712" max="8712" width="9.85546875" style="19" customWidth="1"/>
    <col min="8713" max="8713" width="12.28515625" style="19" customWidth="1"/>
    <col min="8714" max="8714" width="9.140625" style="19"/>
    <col min="8715" max="8715" width="9.5703125" style="19" customWidth="1"/>
    <col min="8716" max="8716" width="9.28515625" style="19" customWidth="1"/>
    <col min="8717" max="8717" width="9.85546875" style="19" customWidth="1"/>
    <col min="8718" max="8721" width="0" style="19" hidden="1" customWidth="1"/>
    <col min="8722" max="8722" width="11.5703125" style="19" customWidth="1"/>
    <col min="8723" max="8723" width="7.140625" style="19" customWidth="1"/>
    <col min="8724" max="8724" width="7.28515625" style="19" customWidth="1"/>
    <col min="8725" max="8732" width="0" style="19" hidden="1" customWidth="1"/>
    <col min="8733" max="8734" width="6.5703125" style="19" customWidth="1"/>
    <col min="8735" max="8738" width="0" style="19" hidden="1" customWidth="1"/>
    <col min="8739" max="8739" width="5.85546875" style="19" customWidth="1"/>
    <col min="8740" max="8740" width="0" style="19" hidden="1" customWidth="1"/>
    <col min="8741" max="8743" width="5.85546875" style="19" customWidth="1"/>
    <col min="8744" max="8744" width="7.7109375" style="19" customWidth="1"/>
    <col min="8745" max="8745" width="9.140625" style="19" bestFit="1" customWidth="1"/>
    <col min="8746" max="8747" width="8.5703125" style="19" bestFit="1" customWidth="1"/>
    <col min="8748" max="8748" width="8.85546875" style="19" customWidth="1"/>
    <col min="8749" max="8750" width="9.28515625" style="19" customWidth="1"/>
    <col min="8751" max="8751" width="10.140625" style="19" customWidth="1"/>
    <col min="8752" max="8753" width="7.85546875" style="19" customWidth="1"/>
    <col min="8754" max="8755" width="6.42578125" style="19" customWidth="1"/>
    <col min="8756" max="8756" width="8.42578125" style="19" customWidth="1"/>
    <col min="8757" max="8757" width="40.7109375" style="19" customWidth="1"/>
    <col min="8758" max="8758" width="5" style="19" customWidth="1"/>
    <col min="8759" max="8759" width="5.5703125" style="19" customWidth="1"/>
    <col min="8760" max="8763" width="9.140625" style="19"/>
    <col min="8764" max="8765" width="8.7109375" style="19" customWidth="1"/>
    <col min="8766" max="8960" width="9.140625" style="19"/>
    <col min="8961" max="8961" width="1.85546875" style="19" customWidth="1"/>
    <col min="8962" max="8962" width="7.5703125" style="19" customWidth="1"/>
    <col min="8963" max="8963" width="6.7109375" style="19" bestFit="1" customWidth="1"/>
    <col min="8964" max="8964" width="13.7109375" style="19" customWidth="1"/>
    <col min="8965" max="8965" width="10.140625" style="19" customWidth="1"/>
    <col min="8966" max="8966" width="12.28515625" style="19" customWidth="1"/>
    <col min="8967" max="8967" width="6.42578125" style="19" customWidth="1"/>
    <col min="8968" max="8968" width="9.85546875" style="19" customWidth="1"/>
    <col min="8969" max="8969" width="12.28515625" style="19" customWidth="1"/>
    <col min="8970" max="8970" width="9.140625" style="19"/>
    <col min="8971" max="8971" width="9.5703125" style="19" customWidth="1"/>
    <col min="8972" max="8972" width="9.28515625" style="19" customWidth="1"/>
    <col min="8973" max="8973" width="9.85546875" style="19" customWidth="1"/>
    <col min="8974" max="8977" width="0" style="19" hidden="1" customWidth="1"/>
    <col min="8978" max="8978" width="11.5703125" style="19" customWidth="1"/>
    <col min="8979" max="8979" width="7.140625" style="19" customWidth="1"/>
    <col min="8980" max="8980" width="7.28515625" style="19" customWidth="1"/>
    <col min="8981" max="8988" width="0" style="19" hidden="1" customWidth="1"/>
    <col min="8989" max="8990" width="6.5703125" style="19" customWidth="1"/>
    <col min="8991" max="8994" width="0" style="19" hidden="1" customWidth="1"/>
    <col min="8995" max="8995" width="5.85546875" style="19" customWidth="1"/>
    <col min="8996" max="8996" width="0" style="19" hidden="1" customWidth="1"/>
    <col min="8997" max="8999" width="5.85546875" style="19" customWidth="1"/>
    <col min="9000" max="9000" width="7.7109375" style="19" customWidth="1"/>
    <col min="9001" max="9001" width="9.140625" style="19" bestFit="1" customWidth="1"/>
    <col min="9002" max="9003" width="8.5703125" style="19" bestFit="1" customWidth="1"/>
    <col min="9004" max="9004" width="8.85546875" style="19" customWidth="1"/>
    <col min="9005" max="9006" width="9.28515625" style="19" customWidth="1"/>
    <col min="9007" max="9007" width="10.140625" style="19" customWidth="1"/>
    <col min="9008" max="9009" width="7.85546875" style="19" customWidth="1"/>
    <col min="9010" max="9011" width="6.42578125" style="19" customWidth="1"/>
    <col min="9012" max="9012" width="8.42578125" style="19" customWidth="1"/>
    <col min="9013" max="9013" width="40.7109375" style="19" customWidth="1"/>
    <col min="9014" max="9014" width="5" style="19" customWidth="1"/>
    <col min="9015" max="9015" width="5.5703125" style="19" customWidth="1"/>
    <col min="9016" max="9019" width="9.140625" style="19"/>
    <col min="9020" max="9021" width="8.7109375" style="19" customWidth="1"/>
    <col min="9022" max="9216" width="9.140625" style="19"/>
    <col min="9217" max="9217" width="1.85546875" style="19" customWidth="1"/>
    <col min="9218" max="9218" width="7.5703125" style="19" customWidth="1"/>
    <col min="9219" max="9219" width="6.7109375" style="19" bestFit="1" customWidth="1"/>
    <col min="9220" max="9220" width="13.7109375" style="19" customWidth="1"/>
    <col min="9221" max="9221" width="10.140625" style="19" customWidth="1"/>
    <col min="9222" max="9222" width="12.28515625" style="19" customWidth="1"/>
    <col min="9223" max="9223" width="6.42578125" style="19" customWidth="1"/>
    <col min="9224" max="9224" width="9.85546875" style="19" customWidth="1"/>
    <col min="9225" max="9225" width="12.28515625" style="19" customWidth="1"/>
    <col min="9226" max="9226" width="9.140625" style="19"/>
    <col min="9227" max="9227" width="9.5703125" style="19" customWidth="1"/>
    <col min="9228" max="9228" width="9.28515625" style="19" customWidth="1"/>
    <col min="9229" max="9229" width="9.85546875" style="19" customWidth="1"/>
    <col min="9230" max="9233" width="0" style="19" hidden="1" customWidth="1"/>
    <col min="9234" max="9234" width="11.5703125" style="19" customWidth="1"/>
    <col min="9235" max="9235" width="7.140625" style="19" customWidth="1"/>
    <col min="9236" max="9236" width="7.28515625" style="19" customWidth="1"/>
    <col min="9237" max="9244" width="0" style="19" hidden="1" customWidth="1"/>
    <col min="9245" max="9246" width="6.5703125" style="19" customWidth="1"/>
    <col min="9247" max="9250" width="0" style="19" hidden="1" customWidth="1"/>
    <col min="9251" max="9251" width="5.85546875" style="19" customWidth="1"/>
    <col min="9252" max="9252" width="0" style="19" hidden="1" customWidth="1"/>
    <col min="9253" max="9255" width="5.85546875" style="19" customWidth="1"/>
    <col min="9256" max="9256" width="7.7109375" style="19" customWidth="1"/>
    <col min="9257" max="9257" width="9.140625" style="19" bestFit="1" customWidth="1"/>
    <col min="9258" max="9259" width="8.5703125" style="19" bestFit="1" customWidth="1"/>
    <col min="9260" max="9260" width="8.85546875" style="19" customWidth="1"/>
    <col min="9261" max="9262" width="9.28515625" style="19" customWidth="1"/>
    <col min="9263" max="9263" width="10.140625" style="19" customWidth="1"/>
    <col min="9264" max="9265" width="7.85546875" style="19" customWidth="1"/>
    <col min="9266" max="9267" width="6.42578125" style="19" customWidth="1"/>
    <col min="9268" max="9268" width="8.42578125" style="19" customWidth="1"/>
    <col min="9269" max="9269" width="40.7109375" style="19" customWidth="1"/>
    <col min="9270" max="9270" width="5" style="19" customWidth="1"/>
    <col min="9271" max="9271" width="5.5703125" style="19" customWidth="1"/>
    <col min="9272" max="9275" width="9.140625" style="19"/>
    <col min="9276" max="9277" width="8.7109375" style="19" customWidth="1"/>
    <col min="9278" max="9472" width="9.140625" style="19"/>
    <col min="9473" max="9473" width="1.85546875" style="19" customWidth="1"/>
    <col min="9474" max="9474" width="7.5703125" style="19" customWidth="1"/>
    <col min="9475" max="9475" width="6.7109375" style="19" bestFit="1" customWidth="1"/>
    <col min="9476" max="9476" width="13.7109375" style="19" customWidth="1"/>
    <col min="9477" max="9477" width="10.140625" style="19" customWidth="1"/>
    <col min="9478" max="9478" width="12.28515625" style="19" customWidth="1"/>
    <col min="9479" max="9479" width="6.42578125" style="19" customWidth="1"/>
    <col min="9480" max="9480" width="9.85546875" style="19" customWidth="1"/>
    <col min="9481" max="9481" width="12.28515625" style="19" customWidth="1"/>
    <col min="9482" max="9482" width="9.140625" style="19"/>
    <col min="9483" max="9483" width="9.5703125" style="19" customWidth="1"/>
    <col min="9484" max="9484" width="9.28515625" style="19" customWidth="1"/>
    <col min="9485" max="9485" width="9.85546875" style="19" customWidth="1"/>
    <col min="9486" max="9489" width="0" style="19" hidden="1" customWidth="1"/>
    <col min="9490" max="9490" width="11.5703125" style="19" customWidth="1"/>
    <col min="9491" max="9491" width="7.140625" style="19" customWidth="1"/>
    <col min="9492" max="9492" width="7.28515625" style="19" customWidth="1"/>
    <col min="9493" max="9500" width="0" style="19" hidden="1" customWidth="1"/>
    <col min="9501" max="9502" width="6.5703125" style="19" customWidth="1"/>
    <col min="9503" max="9506" width="0" style="19" hidden="1" customWidth="1"/>
    <col min="9507" max="9507" width="5.85546875" style="19" customWidth="1"/>
    <col min="9508" max="9508" width="0" style="19" hidden="1" customWidth="1"/>
    <col min="9509" max="9511" width="5.85546875" style="19" customWidth="1"/>
    <col min="9512" max="9512" width="7.7109375" style="19" customWidth="1"/>
    <col min="9513" max="9513" width="9.140625" style="19" bestFit="1" customWidth="1"/>
    <col min="9514" max="9515" width="8.5703125" style="19" bestFit="1" customWidth="1"/>
    <col min="9516" max="9516" width="8.85546875" style="19" customWidth="1"/>
    <col min="9517" max="9518" width="9.28515625" style="19" customWidth="1"/>
    <col min="9519" max="9519" width="10.140625" style="19" customWidth="1"/>
    <col min="9520" max="9521" width="7.85546875" style="19" customWidth="1"/>
    <col min="9522" max="9523" width="6.42578125" style="19" customWidth="1"/>
    <col min="9524" max="9524" width="8.42578125" style="19" customWidth="1"/>
    <col min="9525" max="9525" width="40.7109375" style="19" customWidth="1"/>
    <col min="9526" max="9526" width="5" style="19" customWidth="1"/>
    <col min="9527" max="9527" width="5.5703125" style="19" customWidth="1"/>
    <col min="9528" max="9531" width="9.140625" style="19"/>
    <col min="9532" max="9533" width="8.7109375" style="19" customWidth="1"/>
    <col min="9534" max="9728" width="9.140625" style="19"/>
    <col min="9729" max="9729" width="1.85546875" style="19" customWidth="1"/>
    <col min="9730" max="9730" width="7.5703125" style="19" customWidth="1"/>
    <col min="9731" max="9731" width="6.7109375" style="19" bestFit="1" customWidth="1"/>
    <col min="9732" max="9732" width="13.7109375" style="19" customWidth="1"/>
    <col min="9733" max="9733" width="10.140625" style="19" customWidth="1"/>
    <col min="9734" max="9734" width="12.28515625" style="19" customWidth="1"/>
    <col min="9735" max="9735" width="6.42578125" style="19" customWidth="1"/>
    <col min="9736" max="9736" width="9.85546875" style="19" customWidth="1"/>
    <col min="9737" max="9737" width="12.28515625" style="19" customWidth="1"/>
    <col min="9738" max="9738" width="9.140625" style="19"/>
    <col min="9739" max="9739" width="9.5703125" style="19" customWidth="1"/>
    <col min="9740" max="9740" width="9.28515625" style="19" customWidth="1"/>
    <col min="9741" max="9741" width="9.85546875" style="19" customWidth="1"/>
    <col min="9742" max="9745" width="0" style="19" hidden="1" customWidth="1"/>
    <col min="9746" max="9746" width="11.5703125" style="19" customWidth="1"/>
    <col min="9747" max="9747" width="7.140625" style="19" customWidth="1"/>
    <col min="9748" max="9748" width="7.28515625" style="19" customWidth="1"/>
    <col min="9749" max="9756" width="0" style="19" hidden="1" customWidth="1"/>
    <col min="9757" max="9758" width="6.5703125" style="19" customWidth="1"/>
    <col min="9759" max="9762" width="0" style="19" hidden="1" customWidth="1"/>
    <col min="9763" max="9763" width="5.85546875" style="19" customWidth="1"/>
    <col min="9764" max="9764" width="0" style="19" hidden="1" customWidth="1"/>
    <col min="9765" max="9767" width="5.85546875" style="19" customWidth="1"/>
    <col min="9768" max="9768" width="7.7109375" style="19" customWidth="1"/>
    <col min="9769" max="9769" width="9.140625" style="19" bestFit="1" customWidth="1"/>
    <col min="9770" max="9771" width="8.5703125" style="19" bestFit="1" customWidth="1"/>
    <col min="9772" max="9772" width="8.85546875" style="19" customWidth="1"/>
    <col min="9773" max="9774" width="9.28515625" style="19" customWidth="1"/>
    <col min="9775" max="9775" width="10.140625" style="19" customWidth="1"/>
    <col min="9776" max="9777" width="7.85546875" style="19" customWidth="1"/>
    <col min="9778" max="9779" width="6.42578125" style="19" customWidth="1"/>
    <col min="9780" max="9780" width="8.42578125" style="19" customWidth="1"/>
    <col min="9781" max="9781" width="40.7109375" style="19" customWidth="1"/>
    <col min="9782" max="9782" width="5" style="19" customWidth="1"/>
    <col min="9783" max="9783" width="5.5703125" style="19" customWidth="1"/>
    <col min="9784" max="9787" width="9.140625" style="19"/>
    <col min="9788" max="9789" width="8.7109375" style="19" customWidth="1"/>
    <col min="9790" max="9984" width="9.140625" style="19"/>
    <col min="9985" max="9985" width="1.85546875" style="19" customWidth="1"/>
    <col min="9986" max="9986" width="7.5703125" style="19" customWidth="1"/>
    <col min="9987" max="9987" width="6.7109375" style="19" bestFit="1" customWidth="1"/>
    <col min="9988" max="9988" width="13.7109375" style="19" customWidth="1"/>
    <col min="9989" max="9989" width="10.140625" style="19" customWidth="1"/>
    <col min="9990" max="9990" width="12.28515625" style="19" customWidth="1"/>
    <col min="9991" max="9991" width="6.42578125" style="19" customWidth="1"/>
    <col min="9992" max="9992" width="9.85546875" style="19" customWidth="1"/>
    <col min="9993" max="9993" width="12.28515625" style="19" customWidth="1"/>
    <col min="9994" max="9994" width="9.140625" style="19"/>
    <col min="9995" max="9995" width="9.5703125" style="19" customWidth="1"/>
    <col min="9996" max="9996" width="9.28515625" style="19" customWidth="1"/>
    <col min="9997" max="9997" width="9.85546875" style="19" customWidth="1"/>
    <col min="9998" max="10001" width="0" style="19" hidden="1" customWidth="1"/>
    <col min="10002" max="10002" width="11.5703125" style="19" customWidth="1"/>
    <col min="10003" max="10003" width="7.140625" style="19" customWidth="1"/>
    <col min="10004" max="10004" width="7.28515625" style="19" customWidth="1"/>
    <col min="10005" max="10012" width="0" style="19" hidden="1" customWidth="1"/>
    <col min="10013" max="10014" width="6.5703125" style="19" customWidth="1"/>
    <col min="10015" max="10018" width="0" style="19" hidden="1" customWidth="1"/>
    <col min="10019" max="10019" width="5.85546875" style="19" customWidth="1"/>
    <col min="10020" max="10020" width="0" style="19" hidden="1" customWidth="1"/>
    <col min="10021" max="10023" width="5.85546875" style="19" customWidth="1"/>
    <col min="10024" max="10024" width="7.7109375" style="19" customWidth="1"/>
    <col min="10025" max="10025" width="9.140625" style="19" bestFit="1" customWidth="1"/>
    <col min="10026" max="10027" width="8.5703125" style="19" bestFit="1" customWidth="1"/>
    <col min="10028" max="10028" width="8.85546875" style="19" customWidth="1"/>
    <col min="10029" max="10030" width="9.28515625" style="19" customWidth="1"/>
    <col min="10031" max="10031" width="10.140625" style="19" customWidth="1"/>
    <col min="10032" max="10033" width="7.85546875" style="19" customWidth="1"/>
    <col min="10034" max="10035" width="6.42578125" style="19" customWidth="1"/>
    <col min="10036" max="10036" width="8.42578125" style="19" customWidth="1"/>
    <col min="10037" max="10037" width="40.7109375" style="19" customWidth="1"/>
    <col min="10038" max="10038" width="5" style="19" customWidth="1"/>
    <col min="10039" max="10039" width="5.5703125" style="19" customWidth="1"/>
    <col min="10040" max="10043" width="9.140625" style="19"/>
    <col min="10044" max="10045" width="8.7109375" style="19" customWidth="1"/>
    <col min="10046" max="10240" width="9.140625" style="19"/>
    <col min="10241" max="10241" width="1.85546875" style="19" customWidth="1"/>
    <col min="10242" max="10242" width="7.5703125" style="19" customWidth="1"/>
    <col min="10243" max="10243" width="6.7109375" style="19" bestFit="1" customWidth="1"/>
    <col min="10244" max="10244" width="13.7109375" style="19" customWidth="1"/>
    <col min="10245" max="10245" width="10.140625" style="19" customWidth="1"/>
    <col min="10246" max="10246" width="12.28515625" style="19" customWidth="1"/>
    <col min="10247" max="10247" width="6.42578125" style="19" customWidth="1"/>
    <col min="10248" max="10248" width="9.85546875" style="19" customWidth="1"/>
    <col min="10249" max="10249" width="12.28515625" style="19" customWidth="1"/>
    <col min="10250" max="10250" width="9.140625" style="19"/>
    <col min="10251" max="10251" width="9.5703125" style="19" customWidth="1"/>
    <col min="10252" max="10252" width="9.28515625" style="19" customWidth="1"/>
    <col min="10253" max="10253" width="9.85546875" style="19" customWidth="1"/>
    <col min="10254" max="10257" width="0" style="19" hidden="1" customWidth="1"/>
    <col min="10258" max="10258" width="11.5703125" style="19" customWidth="1"/>
    <col min="10259" max="10259" width="7.140625" style="19" customWidth="1"/>
    <col min="10260" max="10260" width="7.28515625" style="19" customWidth="1"/>
    <col min="10261" max="10268" width="0" style="19" hidden="1" customWidth="1"/>
    <col min="10269" max="10270" width="6.5703125" style="19" customWidth="1"/>
    <col min="10271" max="10274" width="0" style="19" hidden="1" customWidth="1"/>
    <col min="10275" max="10275" width="5.85546875" style="19" customWidth="1"/>
    <col min="10276" max="10276" width="0" style="19" hidden="1" customWidth="1"/>
    <col min="10277" max="10279" width="5.85546875" style="19" customWidth="1"/>
    <col min="10280" max="10280" width="7.7109375" style="19" customWidth="1"/>
    <col min="10281" max="10281" width="9.140625" style="19" bestFit="1" customWidth="1"/>
    <col min="10282" max="10283" width="8.5703125" style="19" bestFit="1" customWidth="1"/>
    <col min="10284" max="10284" width="8.85546875" style="19" customWidth="1"/>
    <col min="10285" max="10286" width="9.28515625" style="19" customWidth="1"/>
    <col min="10287" max="10287" width="10.140625" style="19" customWidth="1"/>
    <col min="10288" max="10289" width="7.85546875" style="19" customWidth="1"/>
    <col min="10290" max="10291" width="6.42578125" style="19" customWidth="1"/>
    <col min="10292" max="10292" width="8.42578125" style="19" customWidth="1"/>
    <col min="10293" max="10293" width="40.7109375" style="19" customWidth="1"/>
    <col min="10294" max="10294" width="5" style="19" customWidth="1"/>
    <col min="10295" max="10295" width="5.5703125" style="19" customWidth="1"/>
    <col min="10296" max="10299" width="9.140625" style="19"/>
    <col min="10300" max="10301" width="8.7109375" style="19" customWidth="1"/>
    <col min="10302" max="10496" width="9.140625" style="19"/>
    <col min="10497" max="10497" width="1.85546875" style="19" customWidth="1"/>
    <col min="10498" max="10498" width="7.5703125" style="19" customWidth="1"/>
    <col min="10499" max="10499" width="6.7109375" style="19" bestFit="1" customWidth="1"/>
    <col min="10500" max="10500" width="13.7109375" style="19" customWidth="1"/>
    <col min="10501" max="10501" width="10.140625" style="19" customWidth="1"/>
    <col min="10502" max="10502" width="12.28515625" style="19" customWidth="1"/>
    <col min="10503" max="10503" width="6.42578125" style="19" customWidth="1"/>
    <col min="10504" max="10504" width="9.85546875" style="19" customWidth="1"/>
    <col min="10505" max="10505" width="12.28515625" style="19" customWidth="1"/>
    <col min="10506" max="10506" width="9.140625" style="19"/>
    <col min="10507" max="10507" width="9.5703125" style="19" customWidth="1"/>
    <col min="10508" max="10508" width="9.28515625" style="19" customWidth="1"/>
    <col min="10509" max="10509" width="9.85546875" style="19" customWidth="1"/>
    <col min="10510" max="10513" width="0" style="19" hidden="1" customWidth="1"/>
    <col min="10514" max="10514" width="11.5703125" style="19" customWidth="1"/>
    <col min="10515" max="10515" width="7.140625" style="19" customWidth="1"/>
    <col min="10516" max="10516" width="7.28515625" style="19" customWidth="1"/>
    <col min="10517" max="10524" width="0" style="19" hidden="1" customWidth="1"/>
    <col min="10525" max="10526" width="6.5703125" style="19" customWidth="1"/>
    <col min="10527" max="10530" width="0" style="19" hidden="1" customWidth="1"/>
    <col min="10531" max="10531" width="5.85546875" style="19" customWidth="1"/>
    <col min="10532" max="10532" width="0" style="19" hidden="1" customWidth="1"/>
    <col min="10533" max="10535" width="5.85546875" style="19" customWidth="1"/>
    <col min="10536" max="10536" width="7.7109375" style="19" customWidth="1"/>
    <col min="10537" max="10537" width="9.140625" style="19" bestFit="1" customWidth="1"/>
    <col min="10538" max="10539" width="8.5703125" style="19" bestFit="1" customWidth="1"/>
    <col min="10540" max="10540" width="8.85546875" style="19" customWidth="1"/>
    <col min="10541" max="10542" width="9.28515625" style="19" customWidth="1"/>
    <col min="10543" max="10543" width="10.140625" style="19" customWidth="1"/>
    <col min="10544" max="10545" width="7.85546875" style="19" customWidth="1"/>
    <col min="10546" max="10547" width="6.42578125" style="19" customWidth="1"/>
    <col min="10548" max="10548" width="8.42578125" style="19" customWidth="1"/>
    <col min="10549" max="10549" width="40.7109375" style="19" customWidth="1"/>
    <col min="10550" max="10550" width="5" style="19" customWidth="1"/>
    <col min="10551" max="10551" width="5.5703125" style="19" customWidth="1"/>
    <col min="10552" max="10555" width="9.140625" style="19"/>
    <col min="10556" max="10557" width="8.7109375" style="19" customWidth="1"/>
    <col min="10558" max="10752" width="9.140625" style="19"/>
    <col min="10753" max="10753" width="1.85546875" style="19" customWidth="1"/>
    <col min="10754" max="10754" width="7.5703125" style="19" customWidth="1"/>
    <col min="10755" max="10755" width="6.7109375" style="19" bestFit="1" customWidth="1"/>
    <col min="10756" max="10756" width="13.7109375" style="19" customWidth="1"/>
    <col min="10757" max="10757" width="10.140625" style="19" customWidth="1"/>
    <col min="10758" max="10758" width="12.28515625" style="19" customWidth="1"/>
    <col min="10759" max="10759" width="6.42578125" style="19" customWidth="1"/>
    <col min="10760" max="10760" width="9.85546875" style="19" customWidth="1"/>
    <col min="10761" max="10761" width="12.28515625" style="19" customWidth="1"/>
    <col min="10762" max="10762" width="9.140625" style="19"/>
    <col min="10763" max="10763" width="9.5703125" style="19" customWidth="1"/>
    <col min="10764" max="10764" width="9.28515625" style="19" customWidth="1"/>
    <col min="10765" max="10765" width="9.85546875" style="19" customWidth="1"/>
    <col min="10766" max="10769" width="0" style="19" hidden="1" customWidth="1"/>
    <col min="10770" max="10770" width="11.5703125" style="19" customWidth="1"/>
    <col min="10771" max="10771" width="7.140625" style="19" customWidth="1"/>
    <col min="10772" max="10772" width="7.28515625" style="19" customWidth="1"/>
    <col min="10773" max="10780" width="0" style="19" hidden="1" customWidth="1"/>
    <col min="10781" max="10782" width="6.5703125" style="19" customWidth="1"/>
    <col min="10783" max="10786" width="0" style="19" hidden="1" customWidth="1"/>
    <col min="10787" max="10787" width="5.85546875" style="19" customWidth="1"/>
    <col min="10788" max="10788" width="0" style="19" hidden="1" customWidth="1"/>
    <col min="10789" max="10791" width="5.85546875" style="19" customWidth="1"/>
    <col min="10792" max="10792" width="7.7109375" style="19" customWidth="1"/>
    <col min="10793" max="10793" width="9.140625" style="19" bestFit="1" customWidth="1"/>
    <col min="10794" max="10795" width="8.5703125" style="19" bestFit="1" customWidth="1"/>
    <col min="10796" max="10796" width="8.85546875" style="19" customWidth="1"/>
    <col min="10797" max="10798" width="9.28515625" style="19" customWidth="1"/>
    <col min="10799" max="10799" width="10.140625" style="19" customWidth="1"/>
    <col min="10800" max="10801" width="7.85546875" style="19" customWidth="1"/>
    <col min="10802" max="10803" width="6.42578125" style="19" customWidth="1"/>
    <col min="10804" max="10804" width="8.42578125" style="19" customWidth="1"/>
    <col min="10805" max="10805" width="40.7109375" style="19" customWidth="1"/>
    <col min="10806" max="10806" width="5" style="19" customWidth="1"/>
    <col min="10807" max="10807" width="5.5703125" style="19" customWidth="1"/>
    <col min="10808" max="10811" width="9.140625" style="19"/>
    <col min="10812" max="10813" width="8.7109375" style="19" customWidth="1"/>
    <col min="10814" max="11008" width="9.140625" style="19"/>
    <col min="11009" max="11009" width="1.85546875" style="19" customWidth="1"/>
    <col min="11010" max="11010" width="7.5703125" style="19" customWidth="1"/>
    <col min="11011" max="11011" width="6.7109375" style="19" bestFit="1" customWidth="1"/>
    <col min="11012" max="11012" width="13.7109375" style="19" customWidth="1"/>
    <col min="11013" max="11013" width="10.140625" style="19" customWidth="1"/>
    <col min="11014" max="11014" width="12.28515625" style="19" customWidth="1"/>
    <col min="11015" max="11015" width="6.42578125" style="19" customWidth="1"/>
    <col min="11016" max="11016" width="9.85546875" style="19" customWidth="1"/>
    <col min="11017" max="11017" width="12.28515625" style="19" customWidth="1"/>
    <col min="11018" max="11018" width="9.140625" style="19"/>
    <col min="11019" max="11019" width="9.5703125" style="19" customWidth="1"/>
    <col min="11020" max="11020" width="9.28515625" style="19" customWidth="1"/>
    <col min="11021" max="11021" width="9.85546875" style="19" customWidth="1"/>
    <col min="11022" max="11025" width="0" style="19" hidden="1" customWidth="1"/>
    <col min="11026" max="11026" width="11.5703125" style="19" customWidth="1"/>
    <col min="11027" max="11027" width="7.140625" style="19" customWidth="1"/>
    <col min="11028" max="11028" width="7.28515625" style="19" customWidth="1"/>
    <col min="11029" max="11036" width="0" style="19" hidden="1" customWidth="1"/>
    <col min="11037" max="11038" width="6.5703125" style="19" customWidth="1"/>
    <col min="11039" max="11042" width="0" style="19" hidden="1" customWidth="1"/>
    <col min="11043" max="11043" width="5.85546875" style="19" customWidth="1"/>
    <col min="11044" max="11044" width="0" style="19" hidden="1" customWidth="1"/>
    <col min="11045" max="11047" width="5.85546875" style="19" customWidth="1"/>
    <col min="11048" max="11048" width="7.7109375" style="19" customWidth="1"/>
    <col min="11049" max="11049" width="9.140625" style="19" bestFit="1" customWidth="1"/>
    <col min="11050" max="11051" width="8.5703125" style="19" bestFit="1" customWidth="1"/>
    <col min="11052" max="11052" width="8.85546875" style="19" customWidth="1"/>
    <col min="11053" max="11054" width="9.28515625" style="19" customWidth="1"/>
    <col min="11055" max="11055" width="10.140625" style="19" customWidth="1"/>
    <col min="11056" max="11057" width="7.85546875" style="19" customWidth="1"/>
    <col min="11058" max="11059" width="6.42578125" style="19" customWidth="1"/>
    <col min="11060" max="11060" width="8.42578125" style="19" customWidth="1"/>
    <col min="11061" max="11061" width="40.7109375" style="19" customWidth="1"/>
    <col min="11062" max="11062" width="5" style="19" customWidth="1"/>
    <col min="11063" max="11063" width="5.5703125" style="19" customWidth="1"/>
    <col min="11064" max="11067" width="9.140625" style="19"/>
    <col min="11068" max="11069" width="8.7109375" style="19" customWidth="1"/>
    <col min="11070" max="11264" width="9.140625" style="19"/>
    <col min="11265" max="11265" width="1.85546875" style="19" customWidth="1"/>
    <col min="11266" max="11266" width="7.5703125" style="19" customWidth="1"/>
    <col min="11267" max="11267" width="6.7109375" style="19" bestFit="1" customWidth="1"/>
    <col min="11268" max="11268" width="13.7109375" style="19" customWidth="1"/>
    <col min="11269" max="11269" width="10.140625" style="19" customWidth="1"/>
    <col min="11270" max="11270" width="12.28515625" style="19" customWidth="1"/>
    <col min="11271" max="11271" width="6.42578125" style="19" customWidth="1"/>
    <col min="11272" max="11272" width="9.85546875" style="19" customWidth="1"/>
    <col min="11273" max="11273" width="12.28515625" style="19" customWidth="1"/>
    <col min="11274" max="11274" width="9.140625" style="19"/>
    <col min="11275" max="11275" width="9.5703125" style="19" customWidth="1"/>
    <col min="11276" max="11276" width="9.28515625" style="19" customWidth="1"/>
    <col min="11277" max="11277" width="9.85546875" style="19" customWidth="1"/>
    <col min="11278" max="11281" width="0" style="19" hidden="1" customWidth="1"/>
    <col min="11282" max="11282" width="11.5703125" style="19" customWidth="1"/>
    <col min="11283" max="11283" width="7.140625" style="19" customWidth="1"/>
    <col min="11284" max="11284" width="7.28515625" style="19" customWidth="1"/>
    <col min="11285" max="11292" width="0" style="19" hidden="1" customWidth="1"/>
    <col min="11293" max="11294" width="6.5703125" style="19" customWidth="1"/>
    <col min="11295" max="11298" width="0" style="19" hidden="1" customWidth="1"/>
    <col min="11299" max="11299" width="5.85546875" style="19" customWidth="1"/>
    <col min="11300" max="11300" width="0" style="19" hidden="1" customWidth="1"/>
    <col min="11301" max="11303" width="5.85546875" style="19" customWidth="1"/>
    <col min="11304" max="11304" width="7.7109375" style="19" customWidth="1"/>
    <col min="11305" max="11305" width="9.140625" style="19" bestFit="1" customWidth="1"/>
    <col min="11306" max="11307" width="8.5703125" style="19" bestFit="1" customWidth="1"/>
    <col min="11308" max="11308" width="8.85546875" style="19" customWidth="1"/>
    <col min="11309" max="11310" width="9.28515625" style="19" customWidth="1"/>
    <col min="11311" max="11311" width="10.140625" style="19" customWidth="1"/>
    <col min="11312" max="11313" width="7.85546875" style="19" customWidth="1"/>
    <col min="11314" max="11315" width="6.42578125" style="19" customWidth="1"/>
    <col min="11316" max="11316" width="8.42578125" style="19" customWidth="1"/>
    <col min="11317" max="11317" width="40.7109375" style="19" customWidth="1"/>
    <col min="11318" max="11318" width="5" style="19" customWidth="1"/>
    <col min="11319" max="11319" width="5.5703125" style="19" customWidth="1"/>
    <col min="11320" max="11323" width="9.140625" style="19"/>
    <col min="11324" max="11325" width="8.7109375" style="19" customWidth="1"/>
    <col min="11326" max="11520" width="9.140625" style="19"/>
    <col min="11521" max="11521" width="1.85546875" style="19" customWidth="1"/>
    <col min="11522" max="11522" width="7.5703125" style="19" customWidth="1"/>
    <col min="11523" max="11523" width="6.7109375" style="19" bestFit="1" customWidth="1"/>
    <col min="11524" max="11524" width="13.7109375" style="19" customWidth="1"/>
    <col min="11525" max="11525" width="10.140625" style="19" customWidth="1"/>
    <col min="11526" max="11526" width="12.28515625" style="19" customWidth="1"/>
    <col min="11527" max="11527" width="6.42578125" style="19" customWidth="1"/>
    <col min="11528" max="11528" width="9.85546875" style="19" customWidth="1"/>
    <col min="11529" max="11529" width="12.28515625" style="19" customWidth="1"/>
    <col min="11530" max="11530" width="9.140625" style="19"/>
    <col min="11531" max="11531" width="9.5703125" style="19" customWidth="1"/>
    <col min="11532" max="11532" width="9.28515625" style="19" customWidth="1"/>
    <col min="11533" max="11533" width="9.85546875" style="19" customWidth="1"/>
    <col min="11534" max="11537" width="0" style="19" hidden="1" customWidth="1"/>
    <col min="11538" max="11538" width="11.5703125" style="19" customWidth="1"/>
    <col min="11539" max="11539" width="7.140625" style="19" customWidth="1"/>
    <col min="11540" max="11540" width="7.28515625" style="19" customWidth="1"/>
    <col min="11541" max="11548" width="0" style="19" hidden="1" customWidth="1"/>
    <col min="11549" max="11550" width="6.5703125" style="19" customWidth="1"/>
    <col min="11551" max="11554" width="0" style="19" hidden="1" customWidth="1"/>
    <col min="11555" max="11555" width="5.85546875" style="19" customWidth="1"/>
    <col min="11556" max="11556" width="0" style="19" hidden="1" customWidth="1"/>
    <col min="11557" max="11559" width="5.85546875" style="19" customWidth="1"/>
    <col min="11560" max="11560" width="7.7109375" style="19" customWidth="1"/>
    <col min="11561" max="11561" width="9.140625" style="19" bestFit="1" customWidth="1"/>
    <col min="11562" max="11563" width="8.5703125" style="19" bestFit="1" customWidth="1"/>
    <col min="11564" max="11564" width="8.85546875" style="19" customWidth="1"/>
    <col min="11565" max="11566" width="9.28515625" style="19" customWidth="1"/>
    <col min="11567" max="11567" width="10.140625" style="19" customWidth="1"/>
    <col min="11568" max="11569" width="7.85546875" style="19" customWidth="1"/>
    <col min="11570" max="11571" width="6.42578125" style="19" customWidth="1"/>
    <col min="11572" max="11572" width="8.42578125" style="19" customWidth="1"/>
    <col min="11573" max="11573" width="40.7109375" style="19" customWidth="1"/>
    <col min="11574" max="11574" width="5" style="19" customWidth="1"/>
    <col min="11575" max="11575" width="5.5703125" style="19" customWidth="1"/>
    <col min="11576" max="11579" width="9.140625" style="19"/>
    <col min="11580" max="11581" width="8.7109375" style="19" customWidth="1"/>
    <col min="11582" max="11776" width="9.140625" style="19"/>
    <col min="11777" max="11777" width="1.85546875" style="19" customWidth="1"/>
    <col min="11778" max="11778" width="7.5703125" style="19" customWidth="1"/>
    <col min="11779" max="11779" width="6.7109375" style="19" bestFit="1" customWidth="1"/>
    <col min="11780" max="11780" width="13.7109375" style="19" customWidth="1"/>
    <col min="11781" max="11781" width="10.140625" style="19" customWidth="1"/>
    <col min="11782" max="11782" width="12.28515625" style="19" customWidth="1"/>
    <col min="11783" max="11783" width="6.42578125" style="19" customWidth="1"/>
    <col min="11784" max="11784" width="9.85546875" style="19" customWidth="1"/>
    <col min="11785" max="11785" width="12.28515625" style="19" customWidth="1"/>
    <col min="11786" max="11786" width="9.140625" style="19"/>
    <col min="11787" max="11787" width="9.5703125" style="19" customWidth="1"/>
    <col min="11788" max="11788" width="9.28515625" style="19" customWidth="1"/>
    <col min="11789" max="11789" width="9.85546875" style="19" customWidth="1"/>
    <col min="11790" max="11793" width="0" style="19" hidden="1" customWidth="1"/>
    <col min="11794" max="11794" width="11.5703125" style="19" customWidth="1"/>
    <col min="11795" max="11795" width="7.140625" style="19" customWidth="1"/>
    <col min="11796" max="11796" width="7.28515625" style="19" customWidth="1"/>
    <col min="11797" max="11804" width="0" style="19" hidden="1" customWidth="1"/>
    <col min="11805" max="11806" width="6.5703125" style="19" customWidth="1"/>
    <col min="11807" max="11810" width="0" style="19" hidden="1" customWidth="1"/>
    <col min="11811" max="11811" width="5.85546875" style="19" customWidth="1"/>
    <col min="11812" max="11812" width="0" style="19" hidden="1" customWidth="1"/>
    <col min="11813" max="11815" width="5.85546875" style="19" customWidth="1"/>
    <col min="11816" max="11816" width="7.7109375" style="19" customWidth="1"/>
    <col min="11817" max="11817" width="9.140625" style="19" bestFit="1" customWidth="1"/>
    <col min="11818" max="11819" width="8.5703125" style="19" bestFit="1" customWidth="1"/>
    <col min="11820" max="11820" width="8.85546875" style="19" customWidth="1"/>
    <col min="11821" max="11822" width="9.28515625" style="19" customWidth="1"/>
    <col min="11823" max="11823" width="10.140625" style="19" customWidth="1"/>
    <col min="11824" max="11825" width="7.85546875" style="19" customWidth="1"/>
    <col min="11826" max="11827" width="6.42578125" style="19" customWidth="1"/>
    <col min="11828" max="11828" width="8.42578125" style="19" customWidth="1"/>
    <col min="11829" max="11829" width="40.7109375" style="19" customWidth="1"/>
    <col min="11830" max="11830" width="5" style="19" customWidth="1"/>
    <col min="11831" max="11831" width="5.5703125" style="19" customWidth="1"/>
    <col min="11832" max="11835" width="9.140625" style="19"/>
    <col min="11836" max="11837" width="8.7109375" style="19" customWidth="1"/>
    <col min="11838" max="12032" width="9.140625" style="19"/>
    <col min="12033" max="12033" width="1.85546875" style="19" customWidth="1"/>
    <col min="12034" max="12034" width="7.5703125" style="19" customWidth="1"/>
    <col min="12035" max="12035" width="6.7109375" style="19" bestFit="1" customWidth="1"/>
    <col min="12036" max="12036" width="13.7109375" style="19" customWidth="1"/>
    <col min="12037" max="12037" width="10.140625" style="19" customWidth="1"/>
    <col min="12038" max="12038" width="12.28515625" style="19" customWidth="1"/>
    <col min="12039" max="12039" width="6.42578125" style="19" customWidth="1"/>
    <col min="12040" max="12040" width="9.85546875" style="19" customWidth="1"/>
    <col min="12041" max="12041" width="12.28515625" style="19" customWidth="1"/>
    <col min="12042" max="12042" width="9.140625" style="19"/>
    <col min="12043" max="12043" width="9.5703125" style="19" customWidth="1"/>
    <col min="12044" max="12044" width="9.28515625" style="19" customWidth="1"/>
    <col min="12045" max="12045" width="9.85546875" style="19" customWidth="1"/>
    <col min="12046" max="12049" width="0" style="19" hidden="1" customWidth="1"/>
    <col min="12050" max="12050" width="11.5703125" style="19" customWidth="1"/>
    <col min="12051" max="12051" width="7.140625" style="19" customWidth="1"/>
    <col min="12052" max="12052" width="7.28515625" style="19" customWidth="1"/>
    <col min="12053" max="12060" width="0" style="19" hidden="1" customWidth="1"/>
    <col min="12061" max="12062" width="6.5703125" style="19" customWidth="1"/>
    <col min="12063" max="12066" width="0" style="19" hidden="1" customWidth="1"/>
    <col min="12067" max="12067" width="5.85546875" style="19" customWidth="1"/>
    <col min="12068" max="12068" width="0" style="19" hidden="1" customWidth="1"/>
    <col min="12069" max="12071" width="5.85546875" style="19" customWidth="1"/>
    <col min="12072" max="12072" width="7.7109375" style="19" customWidth="1"/>
    <col min="12073" max="12073" width="9.140625" style="19" bestFit="1" customWidth="1"/>
    <col min="12074" max="12075" width="8.5703125" style="19" bestFit="1" customWidth="1"/>
    <col min="12076" max="12076" width="8.85546875" style="19" customWidth="1"/>
    <col min="12077" max="12078" width="9.28515625" style="19" customWidth="1"/>
    <col min="12079" max="12079" width="10.140625" style="19" customWidth="1"/>
    <col min="12080" max="12081" width="7.85546875" style="19" customWidth="1"/>
    <col min="12082" max="12083" width="6.42578125" style="19" customWidth="1"/>
    <col min="12084" max="12084" width="8.42578125" style="19" customWidth="1"/>
    <col min="12085" max="12085" width="40.7109375" style="19" customWidth="1"/>
    <col min="12086" max="12086" width="5" style="19" customWidth="1"/>
    <col min="12087" max="12087" width="5.5703125" style="19" customWidth="1"/>
    <col min="12088" max="12091" width="9.140625" style="19"/>
    <col min="12092" max="12093" width="8.7109375" style="19" customWidth="1"/>
    <col min="12094" max="12288" width="9.140625" style="19"/>
    <col min="12289" max="12289" width="1.85546875" style="19" customWidth="1"/>
    <col min="12290" max="12290" width="7.5703125" style="19" customWidth="1"/>
    <col min="12291" max="12291" width="6.7109375" style="19" bestFit="1" customWidth="1"/>
    <col min="12292" max="12292" width="13.7109375" style="19" customWidth="1"/>
    <col min="12293" max="12293" width="10.140625" style="19" customWidth="1"/>
    <col min="12294" max="12294" width="12.28515625" style="19" customWidth="1"/>
    <col min="12295" max="12295" width="6.42578125" style="19" customWidth="1"/>
    <col min="12296" max="12296" width="9.85546875" style="19" customWidth="1"/>
    <col min="12297" max="12297" width="12.28515625" style="19" customWidth="1"/>
    <col min="12298" max="12298" width="9.140625" style="19"/>
    <col min="12299" max="12299" width="9.5703125" style="19" customWidth="1"/>
    <col min="12300" max="12300" width="9.28515625" style="19" customWidth="1"/>
    <col min="12301" max="12301" width="9.85546875" style="19" customWidth="1"/>
    <col min="12302" max="12305" width="0" style="19" hidden="1" customWidth="1"/>
    <col min="12306" max="12306" width="11.5703125" style="19" customWidth="1"/>
    <col min="12307" max="12307" width="7.140625" style="19" customWidth="1"/>
    <col min="12308" max="12308" width="7.28515625" style="19" customWidth="1"/>
    <col min="12309" max="12316" width="0" style="19" hidden="1" customWidth="1"/>
    <col min="12317" max="12318" width="6.5703125" style="19" customWidth="1"/>
    <col min="12319" max="12322" width="0" style="19" hidden="1" customWidth="1"/>
    <col min="12323" max="12323" width="5.85546875" style="19" customWidth="1"/>
    <col min="12324" max="12324" width="0" style="19" hidden="1" customWidth="1"/>
    <col min="12325" max="12327" width="5.85546875" style="19" customWidth="1"/>
    <col min="12328" max="12328" width="7.7109375" style="19" customWidth="1"/>
    <col min="12329" max="12329" width="9.140625" style="19" bestFit="1" customWidth="1"/>
    <col min="12330" max="12331" width="8.5703125" style="19" bestFit="1" customWidth="1"/>
    <col min="12332" max="12332" width="8.85546875" style="19" customWidth="1"/>
    <col min="12333" max="12334" width="9.28515625" style="19" customWidth="1"/>
    <col min="12335" max="12335" width="10.140625" style="19" customWidth="1"/>
    <col min="12336" max="12337" width="7.85546875" style="19" customWidth="1"/>
    <col min="12338" max="12339" width="6.42578125" style="19" customWidth="1"/>
    <col min="12340" max="12340" width="8.42578125" style="19" customWidth="1"/>
    <col min="12341" max="12341" width="40.7109375" style="19" customWidth="1"/>
    <col min="12342" max="12342" width="5" style="19" customWidth="1"/>
    <col min="12343" max="12343" width="5.5703125" style="19" customWidth="1"/>
    <col min="12344" max="12347" width="9.140625" style="19"/>
    <col min="12348" max="12349" width="8.7109375" style="19" customWidth="1"/>
    <col min="12350" max="12544" width="9.140625" style="19"/>
    <col min="12545" max="12545" width="1.85546875" style="19" customWidth="1"/>
    <col min="12546" max="12546" width="7.5703125" style="19" customWidth="1"/>
    <col min="12547" max="12547" width="6.7109375" style="19" bestFit="1" customWidth="1"/>
    <col min="12548" max="12548" width="13.7109375" style="19" customWidth="1"/>
    <col min="12549" max="12549" width="10.140625" style="19" customWidth="1"/>
    <col min="12550" max="12550" width="12.28515625" style="19" customWidth="1"/>
    <col min="12551" max="12551" width="6.42578125" style="19" customWidth="1"/>
    <col min="12552" max="12552" width="9.85546875" style="19" customWidth="1"/>
    <col min="12553" max="12553" width="12.28515625" style="19" customWidth="1"/>
    <col min="12554" max="12554" width="9.140625" style="19"/>
    <col min="12555" max="12555" width="9.5703125" style="19" customWidth="1"/>
    <col min="12556" max="12556" width="9.28515625" style="19" customWidth="1"/>
    <col min="12557" max="12557" width="9.85546875" style="19" customWidth="1"/>
    <col min="12558" max="12561" width="0" style="19" hidden="1" customWidth="1"/>
    <col min="12562" max="12562" width="11.5703125" style="19" customWidth="1"/>
    <col min="12563" max="12563" width="7.140625" style="19" customWidth="1"/>
    <col min="12564" max="12564" width="7.28515625" style="19" customWidth="1"/>
    <col min="12565" max="12572" width="0" style="19" hidden="1" customWidth="1"/>
    <col min="12573" max="12574" width="6.5703125" style="19" customWidth="1"/>
    <col min="12575" max="12578" width="0" style="19" hidden="1" customWidth="1"/>
    <col min="12579" max="12579" width="5.85546875" style="19" customWidth="1"/>
    <col min="12580" max="12580" width="0" style="19" hidden="1" customWidth="1"/>
    <col min="12581" max="12583" width="5.85546875" style="19" customWidth="1"/>
    <col min="12584" max="12584" width="7.7109375" style="19" customWidth="1"/>
    <col min="12585" max="12585" width="9.140625" style="19" bestFit="1" customWidth="1"/>
    <col min="12586" max="12587" width="8.5703125" style="19" bestFit="1" customWidth="1"/>
    <col min="12588" max="12588" width="8.85546875" style="19" customWidth="1"/>
    <col min="12589" max="12590" width="9.28515625" style="19" customWidth="1"/>
    <col min="12591" max="12591" width="10.140625" style="19" customWidth="1"/>
    <col min="12592" max="12593" width="7.85546875" style="19" customWidth="1"/>
    <col min="12594" max="12595" width="6.42578125" style="19" customWidth="1"/>
    <col min="12596" max="12596" width="8.42578125" style="19" customWidth="1"/>
    <col min="12597" max="12597" width="40.7109375" style="19" customWidth="1"/>
    <col min="12598" max="12598" width="5" style="19" customWidth="1"/>
    <col min="12599" max="12599" width="5.5703125" style="19" customWidth="1"/>
    <col min="12600" max="12603" width="9.140625" style="19"/>
    <col min="12604" max="12605" width="8.7109375" style="19" customWidth="1"/>
    <col min="12606" max="12800" width="9.140625" style="19"/>
    <col min="12801" max="12801" width="1.85546875" style="19" customWidth="1"/>
    <col min="12802" max="12802" width="7.5703125" style="19" customWidth="1"/>
    <col min="12803" max="12803" width="6.7109375" style="19" bestFit="1" customWidth="1"/>
    <col min="12804" max="12804" width="13.7109375" style="19" customWidth="1"/>
    <col min="12805" max="12805" width="10.140625" style="19" customWidth="1"/>
    <col min="12806" max="12806" width="12.28515625" style="19" customWidth="1"/>
    <col min="12807" max="12807" width="6.42578125" style="19" customWidth="1"/>
    <col min="12808" max="12808" width="9.85546875" style="19" customWidth="1"/>
    <col min="12809" max="12809" width="12.28515625" style="19" customWidth="1"/>
    <col min="12810" max="12810" width="9.140625" style="19"/>
    <col min="12811" max="12811" width="9.5703125" style="19" customWidth="1"/>
    <col min="12812" max="12812" width="9.28515625" style="19" customWidth="1"/>
    <col min="12813" max="12813" width="9.85546875" style="19" customWidth="1"/>
    <col min="12814" max="12817" width="0" style="19" hidden="1" customWidth="1"/>
    <col min="12818" max="12818" width="11.5703125" style="19" customWidth="1"/>
    <col min="12819" max="12819" width="7.140625" style="19" customWidth="1"/>
    <col min="12820" max="12820" width="7.28515625" style="19" customWidth="1"/>
    <col min="12821" max="12828" width="0" style="19" hidden="1" customWidth="1"/>
    <col min="12829" max="12830" width="6.5703125" style="19" customWidth="1"/>
    <col min="12831" max="12834" width="0" style="19" hidden="1" customWidth="1"/>
    <col min="12835" max="12835" width="5.85546875" style="19" customWidth="1"/>
    <col min="12836" max="12836" width="0" style="19" hidden="1" customWidth="1"/>
    <col min="12837" max="12839" width="5.85546875" style="19" customWidth="1"/>
    <col min="12840" max="12840" width="7.7109375" style="19" customWidth="1"/>
    <col min="12841" max="12841" width="9.140625" style="19" bestFit="1" customWidth="1"/>
    <col min="12842" max="12843" width="8.5703125" style="19" bestFit="1" customWidth="1"/>
    <col min="12844" max="12844" width="8.85546875" style="19" customWidth="1"/>
    <col min="12845" max="12846" width="9.28515625" style="19" customWidth="1"/>
    <col min="12847" max="12847" width="10.140625" style="19" customWidth="1"/>
    <col min="12848" max="12849" width="7.85546875" style="19" customWidth="1"/>
    <col min="12850" max="12851" width="6.42578125" style="19" customWidth="1"/>
    <col min="12852" max="12852" width="8.42578125" style="19" customWidth="1"/>
    <col min="12853" max="12853" width="40.7109375" style="19" customWidth="1"/>
    <col min="12854" max="12854" width="5" style="19" customWidth="1"/>
    <col min="12855" max="12855" width="5.5703125" style="19" customWidth="1"/>
    <col min="12856" max="12859" width="9.140625" style="19"/>
    <col min="12860" max="12861" width="8.7109375" style="19" customWidth="1"/>
    <col min="12862" max="13056" width="9.140625" style="19"/>
    <col min="13057" max="13057" width="1.85546875" style="19" customWidth="1"/>
    <col min="13058" max="13058" width="7.5703125" style="19" customWidth="1"/>
    <col min="13059" max="13059" width="6.7109375" style="19" bestFit="1" customWidth="1"/>
    <col min="13060" max="13060" width="13.7109375" style="19" customWidth="1"/>
    <col min="13061" max="13061" width="10.140625" style="19" customWidth="1"/>
    <col min="13062" max="13062" width="12.28515625" style="19" customWidth="1"/>
    <col min="13063" max="13063" width="6.42578125" style="19" customWidth="1"/>
    <col min="13064" max="13064" width="9.85546875" style="19" customWidth="1"/>
    <col min="13065" max="13065" width="12.28515625" style="19" customWidth="1"/>
    <col min="13066" max="13066" width="9.140625" style="19"/>
    <col min="13067" max="13067" width="9.5703125" style="19" customWidth="1"/>
    <col min="13068" max="13068" width="9.28515625" style="19" customWidth="1"/>
    <col min="13069" max="13069" width="9.85546875" style="19" customWidth="1"/>
    <col min="13070" max="13073" width="0" style="19" hidden="1" customWidth="1"/>
    <col min="13074" max="13074" width="11.5703125" style="19" customWidth="1"/>
    <col min="13075" max="13075" width="7.140625" style="19" customWidth="1"/>
    <col min="13076" max="13076" width="7.28515625" style="19" customWidth="1"/>
    <col min="13077" max="13084" width="0" style="19" hidden="1" customWidth="1"/>
    <col min="13085" max="13086" width="6.5703125" style="19" customWidth="1"/>
    <col min="13087" max="13090" width="0" style="19" hidden="1" customWidth="1"/>
    <col min="13091" max="13091" width="5.85546875" style="19" customWidth="1"/>
    <col min="13092" max="13092" width="0" style="19" hidden="1" customWidth="1"/>
    <col min="13093" max="13095" width="5.85546875" style="19" customWidth="1"/>
    <col min="13096" max="13096" width="7.7109375" style="19" customWidth="1"/>
    <col min="13097" max="13097" width="9.140625" style="19" bestFit="1" customWidth="1"/>
    <col min="13098" max="13099" width="8.5703125" style="19" bestFit="1" customWidth="1"/>
    <col min="13100" max="13100" width="8.85546875" style="19" customWidth="1"/>
    <col min="13101" max="13102" width="9.28515625" style="19" customWidth="1"/>
    <col min="13103" max="13103" width="10.140625" style="19" customWidth="1"/>
    <col min="13104" max="13105" width="7.85546875" style="19" customWidth="1"/>
    <col min="13106" max="13107" width="6.42578125" style="19" customWidth="1"/>
    <col min="13108" max="13108" width="8.42578125" style="19" customWidth="1"/>
    <col min="13109" max="13109" width="40.7109375" style="19" customWidth="1"/>
    <col min="13110" max="13110" width="5" style="19" customWidth="1"/>
    <col min="13111" max="13111" width="5.5703125" style="19" customWidth="1"/>
    <col min="13112" max="13115" width="9.140625" style="19"/>
    <col min="13116" max="13117" width="8.7109375" style="19" customWidth="1"/>
    <col min="13118" max="13312" width="9.140625" style="19"/>
    <col min="13313" max="13313" width="1.85546875" style="19" customWidth="1"/>
    <col min="13314" max="13314" width="7.5703125" style="19" customWidth="1"/>
    <col min="13315" max="13315" width="6.7109375" style="19" bestFit="1" customWidth="1"/>
    <col min="13316" max="13316" width="13.7109375" style="19" customWidth="1"/>
    <col min="13317" max="13317" width="10.140625" style="19" customWidth="1"/>
    <col min="13318" max="13318" width="12.28515625" style="19" customWidth="1"/>
    <col min="13319" max="13319" width="6.42578125" style="19" customWidth="1"/>
    <col min="13320" max="13320" width="9.85546875" style="19" customWidth="1"/>
    <col min="13321" max="13321" width="12.28515625" style="19" customWidth="1"/>
    <col min="13322" max="13322" width="9.140625" style="19"/>
    <col min="13323" max="13323" width="9.5703125" style="19" customWidth="1"/>
    <col min="13324" max="13324" width="9.28515625" style="19" customWidth="1"/>
    <col min="13325" max="13325" width="9.85546875" style="19" customWidth="1"/>
    <col min="13326" max="13329" width="0" style="19" hidden="1" customWidth="1"/>
    <col min="13330" max="13330" width="11.5703125" style="19" customWidth="1"/>
    <col min="13331" max="13331" width="7.140625" style="19" customWidth="1"/>
    <col min="13332" max="13332" width="7.28515625" style="19" customWidth="1"/>
    <col min="13333" max="13340" width="0" style="19" hidden="1" customWidth="1"/>
    <col min="13341" max="13342" width="6.5703125" style="19" customWidth="1"/>
    <col min="13343" max="13346" width="0" style="19" hidden="1" customWidth="1"/>
    <col min="13347" max="13347" width="5.85546875" style="19" customWidth="1"/>
    <col min="13348" max="13348" width="0" style="19" hidden="1" customWidth="1"/>
    <col min="13349" max="13351" width="5.85546875" style="19" customWidth="1"/>
    <col min="13352" max="13352" width="7.7109375" style="19" customWidth="1"/>
    <col min="13353" max="13353" width="9.140625" style="19" bestFit="1" customWidth="1"/>
    <col min="13354" max="13355" width="8.5703125" style="19" bestFit="1" customWidth="1"/>
    <col min="13356" max="13356" width="8.85546875" style="19" customWidth="1"/>
    <col min="13357" max="13358" width="9.28515625" style="19" customWidth="1"/>
    <col min="13359" max="13359" width="10.140625" style="19" customWidth="1"/>
    <col min="13360" max="13361" width="7.85546875" style="19" customWidth="1"/>
    <col min="13362" max="13363" width="6.42578125" style="19" customWidth="1"/>
    <col min="13364" max="13364" width="8.42578125" style="19" customWidth="1"/>
    <col min="13365" max="13365" width="40.7109375" style="19" customWidth="1"/>
    <col min="13366" max="13366" width="5" style="19" customWidth="1"/>
    <col min="13367" max="13367" width="5.5703125" style="19" customWidth="1"/>
    <col min="13368" max="13371" width="9.140625" style="19"/>
    <col min="13372" max="13373" width="8.7109375" style="19" customWidth="1"/>
    <col min="13374" max="13568" width="9.140625" style="19"/>
    <col min="13569" max="13569" width="1.85546875" style="19" customWidth="1"/>
    <col min="13570" max="13570" width="7.5703125" style="19" customWidth="1"/>
    <col min="13571" max="13571" width="6.7109375" style="19" bestFit="1" customWidth="1"/>
    <col min="13572" max="13572" width="13.7109375" style="19" customWidth="1"/>
    <col min="13573" max="13573" width="10.140625" style="19" customWidth="1"/>
    <col min="13574" max="13574" width="12.28515625" style="19" customWidth="1"/>
    <col min="13575" max="13575" width="6.42578125" style="19" customWidth="1"/>
    <col min="13576" max="13576" width="9.85546875" style="19" customWidth="1"/>
    <col min="13577" max="13577" width="12.28515625" style="19" customWidth="1"/>
    <col min="13578" max="13578" width="9.140625" style="19"/>
    <col min="13579" max="13579" width="9.5703125" style="19" customWidth="1"/>
    <col min="13580" max="13580" width="9.28515625" style="19" customWidth="1"/>
    <col min="13581" max="13581" width="9.85546875" style="19" customWidth="1"/>
    <col min="13582" max="13585" width="0" style="19" hidden="1" customWidth="1"/>
    <col min="13586" max="13586" width="11.5703125" style="19" customWidth="1"/>
    <col min="13587" max="13587" width="7.140625" style="19" customWidth="1"/>
    <col min="13588" max="13588" width="7.28515625" style="19" customWidth="1"/>
    <col min="13589" max="13596" width="0" style="19" hidden="1" customWidth="1"/>
    <col min="13597" max="13598" width="6.5703125" style="19" customWidth="1"/>
    <col min="13599" max="13602" width="0" style="19" hidden="1" customWidth="1"/>
    <col min="13603" max="13603" width="5.85546875" style="19" customWidth="1"/>
    <col min="13604" max="13604" width="0" style="19" hidden="1" customWidth="1"/>
    <col min="13605" max="13607" width="5.85546875" style="19" customWidth="1"/>
    <col min="13608" max="13608" width="7.7109375" style="19" customWidth="1"/>
    <col min="13609" max="13609" width="9.140625" style="19" bestFit="1" customWidth="1"/>
    <col min="13610" max="13611" width="8.5703125" style="19" bestFit="1" customWidth="1"/>
    <col min="13612" max="13612" width="8.85546875" style="19" customWidth="1"/>
    <col min="13613" max="13614" width="9.28515625" style="19" customWidth="1"/>
    <col min="13615" max="13615" width="10.140625" style="19" customWidth="1"/>
    <col min="13616" max="13617" width="7.85546875" style="19" customWidth="1"/>
    <col min="13618" max="13619" width="6.42578125" style="19" customWidth="1"/>
    <col min="13620" max="13620" width="8.42578125" style="19" customWidth="1"/>
    <col min="13621" max="13621" width="40.7109375" style="19" customWidth="1"/>
    <col min="13622" max="13622" width="5" style="19" customWidth="1"/>
    <col min="13623" max="13623" width="5.5703125" style="19" customWidth="1"/>
    <col min="13624" max="13627" width="9.140625" style="19"/>
    <col min="13628" max="13629" width="8.7109375" style="19" customWidth="1"/>
    <col min="13630" max="13824" width="9.140625" style="19"/>
    <col min="13825" max="13825" width="1.85546875" style="19" customWidth="1"/>
    <col min="13826" max="13826" width="7.5703125" style="19" customWidth="1"/>
    <col min="13827" max="13827" width="6.7109375" style="19" bestFit="1" customWidth="1"/>
    <col min="13828" max="13828" width="13.7109375" style="19" customWidth="1"/>
    <col min="13829" max="13829" width="10.140625" style="19" customWidth="1"/>
    <col min="13830" max="13830" width="12.28515625" style="19" customWidth="1"/>
    <col min="13831" max="13831" width="6.42578125" style="19" customWidth="1"/>
    <col min="13832" max="13832" width="9.85546875" style="19" customWidth="1"/>
    <col min="13833" max="13833" width="12.28515625" style="19" customWidth="1"/>
    <col min="13834" max="13834" width="9.140625" style="19"/>
    <col min="13835" max="13835" width="9.5703125" style="19" customWidth="1"/>
    <col min="13836" max="13836" width="9.28515625" style="19" customWidth="1"/>
    <col min="13837" max="13837" width="9.85546875" style="19" customWidth="1"/>
    <col min="13838" max="13841" width="0" style="19" hidden="1" customWidth="1"/>
    <col min="13842" max="13842" width="11.5703125" style="19" customWidth="1"/>
    <col min="13843" max="13843" width="7.140625" style="19" customWidth="1"/>
    <col min="13844" max="13844" width="7.28515625" style="19" customWidth="1"/>
    <col min="13845" max="13852" width="0" style="19" hidden="1" customWidth="1"/>
    <col min="13853" max="13854" width="6.5703125" style="19" customWidth="1"/>
    <col min="13855" max="13858" width="0" style="19" hidden="1" customWidth="1"/>
    <col min="13859" max="13859" width="5.85546875" style="19" customWidth="1"/>
    <col min="13860" max="13860" width="0" style="19" hidden="1" customWidth="1"/>
    <col min="13861" max="13863" width="5.85546875" style="19" customWidth="1"/>
    <col min="13864" max="13864" width="7.7109375" style="19" customWidth="1"/>
    <col min="13865" max="13865" width="9.140625" style="19" bestFit="1" customWidth="1"/>
    <col min="13866" max="13867" width="8.5703125" style="19" bestFit="1" customWidth="1"/>
    <col min="13868" max="13868" width="8.85546875" style="19" customWidth="1"/>
    <col min="13869" max="13870" width="9.28515625" style="19" customWidth="1"/>
    <col min="13871" max="13871" width="10.140625" style="19" customWidth="1"/>
    <col min="13872" max="13873" width="7.85546875" style="19" customWidth="1"/>
    <col min="13874" max="13875" width="6.42578125" style="19" customWidth="1"/>
    <col min="13876" max="13876" width="8.42578125" style="19" customWidth="1"/>
    <col min="13877" max="13877" width="40.7109375" style="19" customWidth="1"/>
    <col min="13878" max="13878" width="5" style="19" customWidth="1"/>
    <col min="13879" max="13879" width="5.5703125" style="19" customWidth="1"/>
    <col min="13880" max="13883" width="9.140625" style="19"/>
    <col min="13884" max="13885" width="8.7109375" style="19" customWidth="1"/>
    <col min="13886" max="14080" width="9.140625" style="19"/>
    <col min="14081" max="14081" width="1.85546875" style="19" customWidth="1"/>
    <col min="14082" max="14082" width="7.5703125" style="19" customWidth="1"/>
    <col min="14083" max="14083" width="6.7109375" style="19" bestFit="1" customWidth="1"/>
    <col min="14084" max="14084" width="13.7109375" style="19" customWidth="1"/>
    <col min="14085" max="14085" width="10.140625" style="19" customWidth="1"/>
    <col min="14086" max="14086" width="12.28515625" style="19" customWidth="1"/>
    <col min="14087" max="14087" width="6.42578125" style="19" customWidth="1"/>
    <col min="14088" max="14088" width="9.85546875" style="19" customWidth="1"/>
    <col min="14089" max="14089" width="12.28515625" style="19" customWidth="1"/>
    <col min="14090" max="14090" width="9.140625" style="19"/>
    <col min="14091" max="14091" width="9.5703125" style="19" customWidth="1"/>
    <col min="14092" max="14092" width="9.28515625" style="19" customWidth="1"/>
    <col min="14093" max="14093" width="9.85546875" style="19" customWidth="1"/>
    <col min="14094" max="14097" width="0" style="19" hidden="1" customWidth="1"/>
    <col min="14098" max="14098" width="11.5703125" style="19" customWidth="1"/>
    <col min="14099" max="14099" width="7.140625" style="19" customWidth="1"/>
    <col min="14100" max="14100" width="7.28515625" style="19" customWidth="1"/>
    <col min="14101" max="14108" width="0" style="19" hidden="1" customWidth="1"/>
    <col min="14109" max="14110" width="6.5703125" style="19" customWidth="1"/>
    <col min="14111" max="14114" width="0" style="19" hidden="1" customWidth="1"/>
    <col min="14115" max="14115" width="5.85546875" style="19" customWidth="1"/>
    <col min="14116" max="14116" width="0" style="19" hidden="1" customWidth="1"/>
    <col min="14117" max="14119" width="5.85546875" style="19" customWidth="1"/>
    <col min="14120" max="14120" width="7.7109375" style="19" customWidth="1"/>
    <col min="14121" max="14121" width="9.140625" style="19" bestFit="1" customWidth="1"/>
    <col min="14122" max="14123" width="8.5703125" style="19" bestFit="1" customWidth="1"/>
    <col min="14124" max="14124" width="8.85546875" style="19" customWidth="1"/>
    <col min="14125" max="14126" width="9.28515625" style="19" customWidth="1"/>
    <col min="14127" max="14127" width="10.140625" style="19" customWidth="1"/>
    <col min="14128" max="14129" width="7.85546875" style="19" customWidth="1"/>
    <col min="14130" max="14131" width="6.42578125" style="19" customWidth="1"/>
    <col min="14132" max="14132" width="8.42578125" style="19" customWidth="1"/>
    <col min="14133" max="14133" width="40.7109375" style="19" customWidth="1"/>
    <col min="14134" max="14134" width="5" style="19" customWidth="1"/>
    <col min="14135" max="14135" width="5.5703125" style="19" customWidth="1"/>
    <col min="14136" max="14139" width="9.140625" style="19"/>
    <col min="14140" max="14141" width="8.7109375" style="19" customWidth="1"/>
    <col min="14142" max="14336" width="9.140625" style="19"/>
    <col min="14337" max="14337" width="1.85546875" style="19" customWidth="1"/>
    <col min="14338" max="14338" width="7.5703125" style="19" customWidth="1"/>
    <col min="14339" max="14339" width="6.7109375" style="19" bestFit="1" customWidth="1"/>
    <col min="14340" max="14340" width="13.7109375" style="19" customWidth="1"/>
    <col min="14341" max="14341" width="10.140625" style="19" customWidth="1"/>
    <col min="14342" max="14342" width="12.28515625" style="19" customWidth="1"/>
    <col min="14343" max="14343" width="6.42578125" style="19" customWidth="1"/>
    <col min="14344" max="14344" width="9.85546875" style="19" customWidth="1"/>
    <col min="14345" max="14345" width="12.28515625" style="19" customWidth="1"/>
    <col min="14346" max="14346" width="9.140625" style="19"/>
    <col min="14347" max="14347" width="9.5703125" style="19" customWidth="1"/>
    <col min="14348" max="14348" width="9.28515625" style="19" customWidth="1"/>
    <col min="14349" max="14349" width="9.85546875" style="19" customWidth="1"/>
    <col min="14350" max="14353" width="0" style="19" hidden="1" customWidth="1"/>
    <col min="14354" max="14354" width="11.5703125" style="19" customWidth="1"/>
    <col min="14355" max="14355" width="7.140625" style="19" customWidth="1"/>
    <col min="14356" max="14356" width="7.28515625" style="19" customWidth="1"/>
    <col min="14357" max="14364" width="0" style="19" hidden="1" customWidth="1"/>
    <col min="14365" max="14366" width="6.5703125" style="19" customWidth="1"/>
    <col min="14367" max="14370" width="0" style="19" hidden="1" customWidth="1"/>
    <col min="14371" max="14371" width="5.85546875" style="19" customWidth="1"/>
    <col min="14372" max="14372" width="0" style="19" hidden="1" customWidth="1"/>
    <col min="14373" max="14375" width="5.85546875" style="19" customWidth="1"/>
    <col min="14376" max="14376" width="7.7109375" style="19" customWidth="1"/>
    <col min="14377" max="14377" width="9.140625" style="19" bestFit="1" customWidth="1"/>
    <col min="14378" max="14379" width="8.5703125" style="19" bestFit="1" customWidth="1"/>
    <col min="14380" max="14380" width="8.85546875" style="19" customWidth="1"/>
    <col min="14381" max="14382" width="9.28515625" style="19" customWidth="1"/>
    <col min="14383" max="14383" width="10.140625" style="19" customWidth="1"/>
    <col min="14384" max="14385" width="7.85546875" style="19" customWidth="1"/>
    <col min="14386" max="14387" width="6.42578125" style="19" customWidth="1"/>
    <col min="14388" max="14388" width="8.42578125" style="19" customWidth="1"/>
    <col min="14389" max="14389" width="40.7109375" style="19" customWidth="1"/>
    <col min="14390" max="14390" width="5" style="19" customWidth="1"/>
    <col min="14391" max="14391" width="5.5703125" style="19" customWidth="1"/>
    <col min="14392" max="14395" width="9.140625" style="19"/>
    <col min="14396" max="14397" width="8.7109375" style="19" customWidth="1"/>
    <col min="14398" max="14592" width="9.140625" style="19"/>
    <col min="14593" max="14593" width="1.85546875" style="19" customWidth="1"/>
    <col min="14594" max="14594" width="7.5703125" style="19" customWidth="1"/>
    <col min="14595" max="14595" width="6.7109375" style="19" bestFit="1" customWidth="1"/>
    <col min="14596" max="14596" width="13.7109375" style="19" customWidth="1"/>
    <col min="14597" max="14597" width="10.140625" style="19" customWidth="1"/>
    <col min="14598" max="14598" width="12.28515625" style="19" customWidth="1"/>
    <col min="14599" max="14599" width="6.42578125" style="19" customWidth="1"/>
    <col min="14600" max="14600" width="9.85546875" style="19" customWidth="1"/>
    <col min="14601" max="14601" width="12.28515625" style="19" customWidth="1"/>
    <col min="14602" max="14602" width="9.140625" style="19"/>
    <col min="14603" max="14603" width="9.5703125" style="19" customWidth="1"/>
    <col min="14604" max="14604" width="9.28515625" style="19" customWidth="1"/>
    <col min="14605" max="14605" width="9.85546875" style="19" customWidth="1"/>
    <col min="14606" max="14609" width="0" style="19" hidden="1" customWidth="1"/>
    <col min="14610" max="14610" width="11.5703125" style="19" customWidth="1"/>
    <col min="14611" max="14611" width="7.140625" style="19" customWidth="1"/>
    <col min="14612" max="14612" width="7.28515625" style="19" customWidth="1"/>
    <col min="14613" max="14620" width="0" style="19" hidden="1" customWidth="1"/>
    <col min="14621" max="14622" width="6.5703125" style="19" customWidth="1"/>
    <col min="14623" max="14626" width="0" style="19" hidden="1" customWidth="1"/>
    <col min="14627" max="14627" width="5.85546875" style="19" customWidth="1"/>
    <col min="14628" max="14628" width="0" style="19" hidden="1" customWidth="1"/>
    <col min="14629" max="14631" width="5.85546875" style="19" customWidth="1"/>
    <col min="14632" max="14632" width="7.7109375" style="19" customWidth="1"/>
    <col min="14633" max="14633" width="9.140625" style="19" bestFit="1" customWidth="1"/>
    <col min="14634" max="14635" width="8.5703125" style="19" bestFit="1" customWidth="1"/>
    <col min="14636" max="14636" width="8.85546875" style="19" customWidth="1"/>
    <col min="14637" max="14638" width="9.28515625" style="19" customWidth="1"/>
    <col min="14639" max="14639" width="10.140625" style="19" customWidth="1"/>
    <col min="14640" max="14641" width="7.85546875" style="19" customWidth="1"/>
    <col min="14642" max="14643" width="6.42578125" style="19" customWidth="1"/>
    <col min="14644" max="14644" width="8.42578125" style="19" customWidth="1"/>
    <col min="14645" max="14645" width="40.7109375" style="19" customWidth="1"/>
    <col min="14646" max="14646" width="5" style="19" customWidth="1"/>
    <col min="14647" max="14647" width="5.5703125" style="19" customWidth="1"/>
    <col min="14648" max="14651" width="9.140625" style="19"/>
    <col min="14652" max="14653" width="8.7109375" style="19" customWidth="1"/>
    <col min="14654" max="14848" width="9.140625" style="19"/>
    <col min="14849" max="14849" width="1.85546875" style="19" customWidth="1"/>
    <col min="14850" max="14850" width="7.5703125" style="19" customWidth="1"/>
    <col min="14851" max="14851" width="6.7109375" style="19" bestFit="1" customWidth="1"/>
    <col min="14852" max="14852" width="13.7109375" style="19" customWidth="1"/>
    <col min="14853" max="14853" width="10.140625" style="19" customWidth="1"/>
    <col min="14854" max="14854" width="12.28515625" style="19" customWidth="1"/>
    <col min="14855" max="14855" width="6.42578125" style="19" customWidth="1"/>
    <col min="14856" max="14856" width="9.85546875" style="19" customWidth="1"/>
    <col min="14857" max="14857" width="12.28515625" style="19" customWidth="1"/>
    <col min="14858" max="14858" width="9.140625" style="19"/>
    <col min="14859" max="14859" width="9.5703125" style="19" customWidth="1"/>
    <col min="14860" max="14860" width="9.28515625" style="19" customWidth="1"/>
    <col min="14861" max="14861" width="9.85546875" style="19" customWidth="1"/>
    <col min="14862" max="14865" width="0" style="19" hidden="1" customWidth="1"/>
    <col min="14866" max="14866" width="11.5703125" style="19" customWidth="1"/>
    <col min="14867" max="14867" width="7.140625" style="19" customWidth="1"/>
    <col min="14868" max="14868" width="7.28515625" style="19" customWidth="1"/>
    <col min="14869" max="14876" width="0" style="19" hidden="1" customWidth="1"/>
    <col min="14877" max="14878" width="6.5703125" style="19" customWidth="1"/>
    <col min="14879" max="14882" width="0" style="19" hidden="1" customWidth="1"/>
    <col min="14883" max="14883" width="5.85546875" style="19" customWidth="1"/>
    <col min="14884" max="14884" width="0" style="19" hidden="1" customWidth="1"/>
    <col min="14885" max="14887" width="5.85546875" style="19" customWidth="1"/>
    <col min="14888" max="14888" width="7.7109375" style="19" customWidth="1"/>
    <col min="14889" max="14889" width="9.140625" style="19" bestFit="1" customWidth="1"/>
    <col min="14890" max="14891" width="8.5703125" style="19" bestFit="1" customWidth="1"/>
    <col min="14892" max="14892" width="8.85546875" style="19" customWidth="1"/>
    <col min="14893" max="14894" width="9.28515625" style="19" customWidth="1"/>
    <col min="14895" max="14895" width="10.140625" style="19" customWidth="1"/>
    <col min="14896" max="14897" width="7.85546875" style="19" customWidth="1"/>
    <col min="14898" max="14899" width="6.42578125" style="19" customWidth="1"/>
    <col min="14900" max="14900" width="8.42578125" style="19" customWidth="1"/>
    <col min="14901" max="14901" width="40.7109375" style="19" customWidth="1"/>
    <col min="14902" max="14902" width="5" style="19" customWidth="1"/>
    <col min="14903" max="14903" width="5.5703125" style="19" customWidth="1"/>
    <col min="14904" max="14907" width="9.140625" style="19"/>
    <col min="14908" max="14909" width="8.7109375" style="19" customWidth="1"/>
    <col min="14910" max="15104" width="9.140625" style="19"/>
    <col min="15105" max="15105" width="1.85546875" style="19" customWidth="1"/>
    <col min="15106" max="15106" width="7.5703125" style="19" customWidth="1"/>
    <col min="15107" max="15107" width="6.7109375" style="19" bestFit="1" customWidth="1"/>
    <col min="15108" max="15108" width="13.7109375" style="19" customWidth="1"/>
    <col min="15109" max="15109" width="10.140625" style="19" customWidth="1"/>
    <col min="15110" max="15110" width="12.28515625" style="19" customWidth="1"/>
    <col min="15111" max="15111" width="6.42578125" style="19" customWidth="1"/>
    <col min="15112" max="15112" width="9.85546875" style="19" customWidth="1"/>
    <col min="15113" max="15113" width="12.28515625" style="19" customWidth="1"/>
    <col min="15114" max="15114" width="9.140625" style="19"/>
    <col min="15115" max="15115" width="9.5703125" style="19" customWidth="1"/>
    <col min="15116" max="15116" width="9.28515625" style="19" customWidth="1"/>
    <col min="15117" max="15117" width="9.85546875" style="19" customWidth="1"/>
    <col min="15118" max="15121" width="0" style="19" hidden="1" customWidth="1"/>
    <col min="15122" max="15122" width="11.5703125" style="19" customWidth="1"/>
    <col min="15123" max="15123" width="7.140625" style="19" customWidth="1"/>
    <col min="15124" max="15124" width="7.28515625" style="19" customWidth="1"/>
    <col min="15125" max="15132" width="0" style="19" hidden="1" customWidth="1"/>
    <col min="15133" max="15134" width="6.5703125" style="19" customWidth="1"/>
    <col min="15135" max="15138" width="0" style="19" hidden="1" customWidth="1"/>
    <col min="15139" max="15139" width="5.85546875" style="19" customWidth="1"/>
    <col min="15140" max="15140" width="0" style="19" hidden="1" customWidth="1"/>
    <col min="15141" max="15143" width="5.85546875" style="19" customWidth="1"/>
    <col min="15144" max="15144" width="7.7109375" style="19" customWidth="1"/>
    <col min="15145" max="15145" width="9.140625" style="19" bestFit="1" customWidth="1"/>
    <col min="15146" max="15147" width="8.5703125" style="19" bestFit="1" customWidth="1"/>
    <col min="15148" max="15148" width="8.85546875" style="19" customWidth="1"/>
    <col min="15149" max="15150" width="9.28515625" style="19" customWidth="1"/>
    <col min="15151" max="15151" width="10.140625" style="19" customWidth="1"/>
    <col min="15152" max="15153" width="7.85546875" style="19" customWidth="1"/>
    <col min="15154" max="15155" width="6.42578125" style="19" customWidth="1"/>
    <col min="15156" max="15156" width="8.42578125" style="19" customWidth="1"/>
    <col min="15157" max="15157" width="40.7109375" style="19" customWidth="1"/>
    <col min="15158" max="15158" width="5" style="19" customWidth="1"/>
    <col min="15159" max="15159" width="5.5703125" style="19" customWidth="1"/>
    <col min="15160" max="15163" width="9.140625" style="19"/>
    <col min="15164" max="15165" width="8.7109375" style="19" customWidth="1"/>
    <col min="15166" max="15360" width="9.140625" style="19"/>
    <col min="15361" max="15361" width="1.85546875" style="19" customWidth="1"/>
    <col min="15362" max="15362" width="7.5703125" style="19" customWidth="1"/>
    <col min="15363" max="15363" width="6.7109375" style="19" bestFit="1" customWidth="1"/>
    <col min="15364" max="15364" width="13.7109375" style="19" customWidth="1"/>
    <col min="15365" max="15365" width="10.140625" style="19" customWidth="1"/>
    <col min="15366" max="15366" width="12.28515625" style="19" customWidth="1"/>
    <col min="15367" max="15367" width="6.42578125" style="19" customWidth="1"/>
    <col min="15368" max="15368" width="9.85546875" style="19" customWidth="1"/>
    <col min="15369" max="15369" width="12.28515625" style="19" customWidth="1"/>
    <col min="15370" max="15370" width="9.140625" style="19"/>
    <col min="15371" max="15371" width="9.5703125" style="19" customWidth="1"/>
    <col min="15372" max="15372" width="9.28515625" style="19" customWidth="1"/>
    <col min="15373" max="15373" width="9.85546875" style="19" customWidth="1"/>
    <col min="15374" max="15377" width="0" style="19" hidden="1" customWidth="1"/>
    <col min="15378" max="15378" width="11.5703125" style="19" customWidth="1"/>
    <col min="15379" max="15379" width="7.140625" style="19" customWidth="1"/>
    <col min="15380" max="15380" width="7.28515625" style="19" customWidth="1"/>
    <col min="15381" max="15388" width="0" style="19" hidden="1" customWidth="1"/>
    <col min="15389" max="15390" width="6.5703125" style="19" customWidth="1"/>
    <col min="15391" max="15394" width="0" style="19" hidden="1" customWidth="1"/>
    <col min="15395" max="15395" width="5.85546875" style="19" customWidth="1"/>
    <col min="15396" max="15396" width="0" style="19" hidden="1" customWidth="1"/>
    <col min="15397" max="15399" width="5.85546875" style="19" customWidth="1"/>
    <col min="15400" max="15400" width="7.7109375" style="19" customWidth="1"/>
    <col min="15401" max="15401" width="9.140625" style="19" bestFit="1" customWidth="1"/>
    <col min="15402" max="15403" width="8.5703125" style="19" bestFit="1" customWidth="1"/>
    <col min="15404" max="15404" width="8.85546875" style="19" customWidth="1"/>
    <col min="15405" max="15406" width="9.28515625" style="19" customWidth="1"/>
    <col min="15407" max="15407" width="10.140625" style="19" customWidth="1"/>
    <col min="15408" max="15409" width="7.85546875" style="19" customWidth="1"/>
    <col min="15410" max="15411" width="6.42578125" style="19" customWidth="1"/>
    <col min="15412" max="15412" width="8.42578125" style="19" customWidth="1"/>
    <col min="15413" max="15413" width="40.7109375" style="19" customWidth="1"/>
    <col min="15414" max="15414" width="5" style="19" customWidth="1"/>
    <col min="15415" max="15415" width="5.5703125" style="19" customWidth="1"/>
    <col min="15416" max="15419" width="9.140625" style="19"/>
    <col min="15420" max="15421" width="8.7109375" style="19" customWidth="1"/>
    <col min="15422" max="15616" width="9.140625" style="19"/>
    <col min="15617" max="15617" width="1.85546875" style="19" customWidth="1"/>
    <col min="15618" max="15618" width="7.5703125" style="19" customWidth="1"/>
    <col min="15619" max="15619" width="6.7109375" style="19" bestFit="1" customWidth="1"/>
    <col min="15620" max="15620" width="13.7109375" style="19" customWidth="1"/>
    <col min="15621" max="15621" width="10.140625" style="19" customWidth="1"/>
    <col min="15622" max="15622" width="12.28515625" style="19" customWidth="1"/>
    <col min="15623" max="15623" width="6.42578125" style="19" customWidth="1"/>
    <col min="15624" max="15624" width="9.85546875" style="19" customWidth="1"/>
    <col min="15625" max="15625" width="12.28515625" style="19" customWidth="1"/>
    <col min="15626" max="15626" width="9.140625" style="19"/>
    <col min="15627" max="15627" width="9.5703125" style="19" customWidth="1"/>
    <col min="15628" max="15628" width="9.28515625" style="19" customWidth="1"/>
    <col min="15629" max="15629" width="9.85546875" style="19" customWidth="1"/>
    <col min="15630" max="15633" width="0" style="19" hidden="1" customWidth="1"/>
    <col min="15634" max="15634" width="11.5703125" style="19" customWidth="1"/>
    <col min="15635" max="15635" width="7.140625" style="19" customWidth="1"/>
    <col min="15636" max="15636" width="7.28515625" style="19" customWidth="1"/>
    <col min="15637" max="15644" width="0" style="19" hidden="1" customWidth="1"/>
    <col min="15645" max="15646" width="6.5703125" style="19" customWidth="1"/>
    <col min="15647" max="15650" width="0" style="19" hidden="1" customWidth="1"/>
    <col min="15651" max="15651" width="5.85546875" style="19" customWidth="1"/>
    <col min="15652" max="15652" width="0" style="19" hidden="1" customWidth="1"/>
    <col min="15653" max="15655" width="5.85546875" style="19" customWidth="1"/>
    <col min="15656" max="15656" width="7.7109375" style="19" customWidth="1"/>
    <col min="15657" max="15657" width="9.140625" style="19" bestFit="1" customWidth="1"/>
    <col min="15658" max="15659" width="8.5703125" style="19" bestFit="1" customWidth="1"/>
    <col min="15660" max="15660" width="8.85546875" style="19" customWidth="1"/>
    <col min="15661" max="15662" width="9.28515625" style="19" customWidth="1"/>
    <col min="15663" max="15663" width="10.140625" style="19" customWidth="1"/>
    <col min="15664" max="15665" width="7.85546875" style="19" customWidth="1"/>
    <col min="15666" max="15667" width="6.42578125" style="19" customWidth="1"/>
    <col min="15668" max="15668" width="8.42578125" style="19" customWidth="1"/>
    <col min="15669" max="15669" width="40.7109375" style="19" customWidth="1"/>
    <col min="15670" max="15670" width="5" style="19" customWidth="1"/>
    <col min="15671" max="15671" width="5.5703125" style="19" customWidth="1"/>
    <col min="15672" max="15675" width="9.140625" style="19"/>
    <col min="15676" max="15677" width="8.7109375" style="19" customWidth="1"/>
    <col min="15678" max="15872" width="9.140625" style="19"/>
    <col min="15873" max="15873" width="1.85546875" style="19" customWidth="1"/>
    <col min="15874" max="15874" width="7.5703125" style="19" customWidth="1"/>
    <col min="15875" max="15875" width="6.7109375" style="19" bestFit="1" customWidth="1"/>
    <col min="15876" max="15876" width="13.7109375" style="19" customWidth="1"/>
    <col min="15877" max="15877" width="10.140625" style="19" customWidth="1"/>
    <col min="15878" max="15878" width="12.28515625" style="19" customWidth="1"/>
    <col min="15879" max="15879" width="6.42578125" style="19" customWidth="1"/>
    <col min="15880" max="15880" width="9.85546875" style="19" customWidth="1"/>
    <col min="15881" max="15881" width="12.28515625" style="19" customWidth="1"/>
    <col min="15882" max="15882" width="9.140625" style="19"/>
    <col min="15883" max="15883" width="9.5703125" style="19" customWidth="1"/>
    <col min="15884" max="15884" width="9.28515625" style="19" customWidth="1"/>
    <col min="15885" max="15885" width="9.85546875" style="19" customWidth="1"/>
    <col min="15886" max="15889" width="0" style="19" hidden="1" customWidth="1"/>
    <col min="15890" max="15890" width="11.5703125" style="19" customWidth="1"/>
    <col min="15891" max="15891" width="7.140625" style="19" customWidth="1"/>
    <col min="15892" max="15892" width="7.28515625" style="19" customWidth="1"/>
    <col min="15893" max="15900" width="0" style="19" hidden="1" customWidth="1"/>
    <col min="15901" max="15902" width="6.5703125" style="19" customWidth="1"/>
    <col min="15903" max="15906" width="0" style="19" hidden="1" customWidth="1"/>
    <col min="15907" max="15907" width="5.85546875" style="19" customWidth="1"/>
    <col min="15908" max="15908" width="0" style="19" hidden="1" customWidth="1"/>
    <col min="15909" max="15911" width="5.85546875" style="19" customWidth="1"/>
    <col min="15912" max="15912" width="7.7109375" style="19" customWidth="1"/>
    <col min="15913" max="15913" width="9.140625" style="19" bestFit="1" customWidth="1"/>
    <col min="15914" max="15915" width="8.5703125" style="19" bestFit="1" customWidth="1"/>
    <col min="15916" max="15916" width="8.85546875" style="19" customWidth="1"/>
    <col min="15917" max="15918" width="9.28515625" style="19" customWidth="1"/>
    <col min="15919" max="15919" width="10.140625" style="19" customWidth="1"/>
    <col min="15920" max="15921" width="7.85546875" style="19" customWidth="1"/>
    <col min="15922" max="15923" width="6.42578125" style="19" customWidth="1"/>
    <col min="15924" max="15924" width="8.42578125" style="19" customWidth="1"/>
    <col min="15925" max="15925" width="40.7109375" style="19" customWidth="1"/>
    <col min="15926" max="15926" width="5" style="19" customWidth="1"/>
    <col min="15927" max="15927" width="5.5703125" style="19" customWidth="1"/>
    <col min="15928" max="15931" width="9.140625" style="19"/>
    <col min="15932" max="15933" width="8.7109375" style="19" customWidth="1"/>
    <col min="15934" max="16128" width="9.140625" style="19"/>
    <col min="16129" max="16129" width="1.85546875" style="19" customWidth="1"/>
    <col min="16130" max="16130" width="7.5703125" style="19" customWidth="1"/>
    <col min="16131" max="16131" width="6.7109375" style="19" bestFit="1" customWidth="1"/>
    <col min="16132" max="16132" width="13.7109375" style="19" customWidth="1"/>
    <col min="16133" max="16133" width="10.140625" style="19" customWidth="1"/>
    <col min="16134" max="16134" width="12.28515625" style="19" customWidth="1"/>
    <col min="16135" max="16135" width="6.42578125" style="19" customWidth="1"/>
    <col min="16136" max="16136" width="9.85546875" style="19" customWidth="1"/>
    <col min="16137" max="16137" width="12.28515625" style="19" customWidth="1"/>
    <col min="16138" max="16138" width="9.140625" style="19"/>
    <col min="16139" max="16139" width="9.5703125" style="19" customWidth="1"/>
    <col min="16140" max="16140" width="9.28515625" style="19" customWidth="1"/>
    <col min="16141" max="16141" width="9.85546875" style="19" customWidth="1"/>
    <col min="16142" max="16145" width="0" style="19" hidden="1" customWidth="1"/>
    <col min="16146" max="16146" width="11.5703125" style="19" customWidth="1"/>
    <col min="16147" max="16147" width="7.140625" style="19" customWidth="1"/>
    <col min="16148" max="16148" width="7.28515625" style="19" customWidth="1"/>
    <col min="16149" max="16156" width="0" style="19" hidden="1" customWidth="1"/>
    <col min="16157" max="16158" width="6.5703125" style="19" customWidth="1"/>
    <col min="16159" max="16162" width="0" style="19" hidden="1" customWidth="1"/>
    <col min="16163" max="16163" width="5.85546875" style="19" customWidth="1"/>
    <col min="16164" max="16164" width="0" style="19" hidden="1" customWidth="1"/>
    <col min="16165" max="16167" width="5.85546875" style="19" customWidth="1"/>
    <col min="16168" max="16168" width="7.7109375" style="19" customWidth="1"/>
    <col min="16169" max="16169" width="9.140625" style="19" bestFit="1" customWidth="1"/>
    <col min="16170" max="16171" width="8.5703125" style="19" bestFit="1" customWidth="1"/>
    <col min="16172" max="16172" width="8.85546875" style="19" customWidth="1"/>
    <col min="16173" max="16174" width="9.28515625" style="19" customWidth="1"/>
    <col min="16175" max="16175" width="10.140625" style="19" customWidth="1"/>
    <col min="16176" max="16177" width="7.85546875" style="19" customWidth="1"/>
    <col min="16178" max="16179" width="6.42578125" style="19" customWidth="1"/>
    <col min="16180" max="16180" width="8.42578125" style="19" customWidth="1"/>
    <col min="16181" max="16181" width="40.7109375" style="19" customWidth="1"/>
    <col min="16182" max="16182" width="5" style="19" customWidth="1"/>
    <col min="16183" max="16183" width="5.5703125" style="19" customWidth="1"/>
    <col min="16184" max="16187" width="9.140625" style="19"/>
    <col min="16188" max="16189" width="8.7109375" style="19" customWidth="1"/>
    <col min="16190" max="16384" width="9.140625" style="19"/>
  </cols>
  <sheetData>
    <row r="1" spans="1:61" ht="15">
      <c r="D1" s="221"/>
      <c r="E1" s="139" t="s">
        <v>44</v>
      </c>
      <c r="I1" s="227" t="s">
        <v>45</v>
      </c>
    </row>
    <row r="2" spans="1:61" ht="15">
      <c r="D2" s="223"/>
      <c r="E2" s="139" t="s">
        <v>46</v>
      </c>
      <c r="I2" s="227" t="s">
        <v>47</v>
      </c>
    </row>
    <row r="3" spans="1:61" ht="15">
      <c r="D3" s="224"/>
      <c r="E3" s="139" t="s">
        <v>48</v>
      </c>
      <c r="L3" s="227" t="s">
        <v>49</v>
      </c>
    </row>
    <row r="4" spans="1:61">
      <c r="D4" s="139" t="s">
        <v>50</v>
      </c>
      <c r="E4" s="139" t="s">
        <v>51</v>
      </c>
    </row>
    <row r="5" spans="1:61" ht="15">
      <c r="H5" s="225" t="s">
        <v>179</v>
      </c>
      <c r="I5" s="402">
        <f>D9/(7.25+7.95)</f>
        <v>0</v>
      </c>
      <c r="K5" s="82" t="s">
        <v>180</v>
      </c>
      <c r="L5" s="543">
        <v>43952</v>
      </c>
      <c r="M5" s="544"/>
    </row>
    <row r="6" spans="1:61" ht="17.25">
      <c r="C6" s="227"/>
      <c r="F6" s="228" t="s">
        <v>201</v>
      </c>
      <c r="G6" s="229"/>
      <c r="H6" s="228"/>
      <c r="I6" s="228"/>
      <c r="K6" s="230" t="s">
        <v>212</v>
      </c>
      <c r="L6" s="545" t="str">
        <f>TEXT(L5,"mmmm")</f>
        <v>May</v>
      </c>
      <c r="M6" s="545"/>
      <c r="N6" s="228"/>
      <c r="O6" s="228"/>
      <c r="P6" s="231" t="s">
        <v>181</v>
      </c>
      <c r="Q6" s="232"/>
      <c r="R6" s="233"/>
      <c r="S6" s="233"/>
      <c r="T6" s="233"/>
      <c r="U6" s="233"/>
      <c r="V6" s="233"/>
      <c r="W6" s="546" t="s">
        <v>53</v>
      </c>
      <c r="X6" s="547"/>
      <c r="Y6" s="547"/>
      <c r="Z6" s="547"/>
      <c r="AA6" s="547"/>
      <c r="AB6" s="548"/>
      <c r="AC6" s="234"/>
      <c r="AD6" s="235"/>
      <c r="AE6" s="549" t="s">
        <v>54</v>
      </c>
      <c r="AF6" s="550"/>
      <c r="AG6" s="550"/>
      <c r="AH6" s="550"/>
      <c r="AI6" s="550"/>
      <c r="AJ6" s="550"/>
      <c r="AK6" s="550"/>
      <c r="AL6" s="550"/>
      <c r="AM6" s="235"/>
      <c r="AN6" s="236"/>
      <c r="AO6" s="236"/>
      <c r="AP6" s="236"/>
      <c r="AQ6" s="236"/>
      <c r="AR6" s="237"/>
      <c r="AS6" s="551" t="s">
        <v>55</v>
      </c>
      <c r="AT6" s="552"/>
      <c r="AU6" s="553"/>
      <c r="AV6" s="238" t="s">
        <v>56</v>
      </c>
      <c r="AW6" s="239"/>
      <c r="AX6" s="240" t="s">
        <v>57</v>
      </c>
      <c r="AY6" s="241"/>
      <c r="AZ6" s="242"/>
      <c r="BA6" s="243" t="s">
        <v>58</v>
      </c>
      <c r="BC6" s="139" t="s">
        <v>59</v>
      </c>
    </row>
    <row r="7" spans="1:61" s="79" customFormat="1" ht="70.5" customHeight="1">
      <c r="B7" s="251" t="s">
        <v>60</v>
      </c>
      <c r="C7" s="252"/>
      <c r="D7" s="253" t="s">
        <v>61</v>
      </c>
      <c r="E7" s="253" t="s">
        <v>62</v>
      </c>
      <c r="F7" s="253" t="s">
        <v>63</v>
      </c>
      <c r="G7" s="254" t="s">
        <v>182</v>
      </c>
      <c r="H7" s="253" t="s">
        <v>65</v>
      </c>
      <c r="I7" s="253" t="s">
        <v>183</v>
      </c>
      <c r="J7" s="253" t="s">
        <v>105</v>
      </c>
      <c r="K7" s="253" t="s">
        <v>68</v>
      </c>
      <c r="L7" s="253" t="s">
        <v>69</v>
      </c>
      <c r="M7" s="253" t="s">
        <v>70</v>
      </c>
      <c r="N7" s="255" t="s">
        <v>71</v>
      </c>
      <c r="O7" s="255" t="s">
        <v>72</v>
      </c>
      <c r="P7" s="253" t="s">
        <v>73</v>
      </c>
      <c r="Q7" s="253" t="s">
        <v>74</v>
      </c>
      <c r="R7" s="256" t="s">
        <v>75</v>
      </c>
      <c r="S7" s="256" t="s">
        <v>76</v>
      </c>
      <c r="T7" s="256" t="s">
        <v>77</v>
      </c>
      <c r="U7" s="256" t="s">
        <v>78</v>
      </c>
      <c r="V7" s="256" t="s">
        <v>79</v>
      </c>
      <c r="W7" s="256" t="s">
        <v>184</v>
      </c>
      <c r="X7" s="256" t="s">
        <v>185</v>
      </c>
      <c r="Y7" s="253" t="s">
        <v>82</v>
      </c>
      <c r="Z7" s="256" t="s">
        <v>83</v>
      </c>
      <c r="AA7" s="256" t="s">
        <v>84</v>
      </c>
      <c r="AB7" s="257" t="s">
        <v>85</v>
      </c>
      <c r="AC7" s="258" t="s">
        <v>86</v>
      </c>
      <c r="AD7" s="259" t="s">
        <v>87</v>
      </c>
      <c r="AE7" s="260" t="s">
        <v>88</v>
      </c>
      <c r="AF7" s="260" t="s">
        <v>89</v>
      </c>
      <c r="AG7" s="260" t="s">
        <v>90</v>
      </c>
      <c r="AH7" s="260" t="s">
        <v>91</v>
      </c>
      <c r="AI7" s="260" t="s">
        <v>92</v>
      </c>
      <c r="AJ7" s="261" t="s">
        <v>93</v>
      </c>
      <c r="AK7" s="261" t="s">
        <v>94</v>
      </c>
      <c r="AL7" s="262" t="s">
        <v>95</v>
      </c>
      <c r="AM7" s="263" t="s">
        <v>96</v>
      </c>
      <c r="AN7" s="537" t="s">
        <v>97</v>
      </c>
      <c r="AO7" s="538"/>
      <c r="AP7" s="538"/>
      <c r="AQ7" s="538"/>
      <c r="AR7" s="539"/>
      <c r="AS7" s="540" t="s">
        <v>186</v>
      </c>
      <c r="AT7" s="541"/>
      <c r="AU7" s="542"/>
      <c r="AV7" s="207"/>
      <c r="AW7" s="156"/>
      <c r="AX7" s="403" t="s">
        <v>99</v>
      </c>
      <c r="AY7" s="403" t="s">
        <v>100</v>
      </c>
      <c r="AZ7" s="404" t="s">
        <v>101</v>
      </c>
      <c r="BA7" s="405" t="s">
        <v>102</v>
      </c>
      <c r="BC7" s="252"/>
      <c r="BD7" s="253" t="s">
        <v>103</v>
      </c>
      <c r="BE7" s="253" t="s">
        <v>104</v>
      </c>
      <c r="BF7" s="253" t="s">
        <v>105</v>
      </c>
      <c r="BG7" s="253" t="s">
        <v>106</v>
      </c>
      <c r="BH7" s="253" t="s">
        <v>107</v>
      </c>
      <c r="BI7" s="253" t="s">
        <v>70</v>
      </c>
    </row>
    <row r="8" spans="1:61" ht="100.5" customHeight="1">
      <c r="B8" s="251" t="s">
        <v>108</v>
      </c>
      <c r="C8" s="267"/>
      <c r="D8" s="269" t="s">
        <v>178</v>
      </c>
      <c r="E8" s="269" t="s">
        <v>110</v>
      </c>
      <c r="F8" s="269" t="s">
        <v>111</v>
      </c>
      <c r="G8" s="270" t="s">
        <v>112</v>
      </c>
      <c r="H8" s="269" t="s">
        <v>113</v>
      </c>
      <c r="I8" s="269" t="s">
        <v>187</v>
      </c>
      <c r="J8" s="269" t="s">
        <v>188</v>
      </c>
      <c r="K8" s="269" t="s">
        <v>116</v>
      </c>
      <c r="L8" s="269" t="s">
        <v>69</v>
      </c>
      <c r="M8" s="269" t="s">
        <v>117</v>
      </c>
      <c r="N8" s="270" t="s">
        <v>118</v>
      </c>
      <c r="O8" s="270" t="s">
        <v>119</v>
      </c>
      <c r="P8" s="269" t="s">
        <v>189</v>
      </c>
      <c r="Q8" s="269" t="s">
        <v>190</v>
      </c>
      <c r="R8" s="82" t="s">
        <v>197</v>
      </c>
      <c r="S8" s="269" t="s">
        <v>120</v>
      </c>
      <c r="T8" s="269" t="s">
        <v>121</v>
      </c>
      <c r="U8" s="271" t="s">
        <v>123</v>
      </c>
      <c r="V8" s="271" t="s">
        <v>124</v>
      </c>
      <c r="W8" s="272" t="s">
        <v>125</v>
      </c>
      <c r="X8" s="272" t="s">
        <v>126</v>
      </c>
      <c r="Y8" s="272" t="s">
        <v>127</v>
      </c>
      <c r="Z8" s="253" t="s">
        <v>128</v>
      </c>
      <c r="AA8" s="253" t="s">
        <v>129</v>
      </c>
      <c r="AB8" s="272" t="s">
        <v>130</v>
      </c>
      <c r="AC8" s="273" t="s">
        <v>131</v>
      </c>
      <c r="AD8" s="274" t="s">
        <v>132</v>
      </c>
      <c r="AE8" s="275" t="s">
        <v>133</v>
      </c>
      <c r="AF8" s="275" t="s">
        <v>134</v>
      </c>
      <c r="AG8" s="275" t="s">
        <v>135</v>
      </c>
      <c r="AH8" s="275" t="s">
        <v>136</v>
      </c>
      <c r="AI8" s="275" t="s">
        <v>137</v>
      </c>
      <c r="AJ8" s="262" t="s">
        <v>138</v>
      </c>
      <c r="AK8" s="262" t="s">
        <v>139</v>
      </c>
      <c r="AL8" s="262" t="s">
        <v>140</v>
      </c>
      <c r="AM8" s="276" t="s">
        <v>141</v>
      </c>
      <c r="AN8" s="273" t="s">
        <v>131</v>
      </c>
      <c r="AO8" s="274" t="s">
        <v>191</v>
      </c>
      <c r="AP8" s="275" t="s">
        <v>144</v>
      </c>
      <c r="AQ8" s="262" t="s">
        <v>192</v>
      </c>
      <c r="AR8" s="253" t="s">
        <v>146</v>
      </c>
      <c r="AS8" s="253" t="s">
        <v>147</v>
      </c>
      <c r="AT8" s="253" t="s">
        <v>148</v>
      </c>
      <c r="AU8" s="253" t="s">
        <v>149</v>
      </c>
      <c r="AV8" s="253" t="s">
        <v>150</v>
      </c>
      <c r="AW8" s="253" t="s">
        <v>151</v>
      </c>
      <c r="AX8" s="403" t="s">
        <v>152</v>
      </c>
      <c r="AY8" s="403" t="s">
        <v>153</v>
      </c>
      <c r="AZ8" s="404" t="s">
        <v>154</v>
      </c>
      <c r="BA8" s="406" t="s">
        <v>155</v>
      </c>
      <c r="BC8" s="267"/>
      <c r="BD8" s="269" t="s">
        <v>156</v>
      </c>
      <c r="BE8" s="269" t="s">
        <v>157</v>
      </c>
      <c r="BF8" s="269" t="s">
        <v>115</v>
      </c>
      <c r="BG8" s="269" t="s">
        <v>158</v>
      </c>
      <c r="BH8" s="269" t="s">
        <v>159</v>
      </c>
      <c r="BI8" s="269" t="s">
        <v>193</v>
      </c>
    </row>
    <row r="9" spans="1:61" ht="18" customHeight="1">
      <c r="B9" s="302"/>
      <c r="C9" s="303">
        <v>1</v>
      </c>
      <c r="D9" s="407">
        <f>'SQ(Team A) Data'!D10+'SQ(Team B ) Data'!D9+'SQ (Team C) Data'!D9</f>
        <v>0</v>
      </c>
      <c r="E9" s="408">
        <f>'SQ(Team A) Data'!E10+'SQ(Team B ) Data'!E9+'SQ (Team C) Data'!E9</f>
        <v>0</v>
      </c>
      <c r="F9" s="305">
        <f>D9</f>
        <v>0</v>
      </c>
      <c r="G9" s="303" t="str">
        <f>IF(B9="*","0","1")</f>
        <v>1</v>
      </c>
      <c r="H9" s="305">
        <f>E9</f>
        <v>0</v>
      </c>
      <c r="I9" s="305">
        <f t="shared" ref="I9:I38" si="0">IF(E9="","",ROUND(H9/G9,0))</f>
        <v>0</v>
      </c>
      <c r="J9" s="408">
        <f>'SQ(Team A) Data'!J10+'SQ(Team B ) Data'!J9+'SQ (Team C) Data'!J9</f>
        <v>0</v>
      </c>
      <c r="K9" s="307">
        <f>J9</f>
        <v>0</v>
      </c>
      <c r="L9" s="305" t="e">
        <f t="shared" ref="L9:L38" si="1">E9/J9</f>
        <v>#DIV/0!</v>
      </c>
      <c r="M9" s="305" t="e">
        <f t="shared" ref="M9:M38" si="2">H9/K9</f>
        <v>#DIV/0!</v>
      </c>
      <c r="N9" s="409">
        <f>'SQ(Team A) Data'!N10+'SQ(Team B ) Data'!N9+'SQ (Team C) Data'!N9</f>
        <v>0</v>
      </c>
      <c r="O9" s="308" t="e">
        <f t="shared" ref="O9:O40" si="3">N9/J9</f>
        <v>#DIV/0!</v>
      </c>
      <c r="P9" s="410">
        <f>'SQ(Team A) Data'!P10+'SQ(Team B ) Data'!P9+'SQ (Team C) Data'!P9</f>
        <v>0</v>
      </c>
      <c r="Q9" s="411">
        <f>'SQ(Team A) Data'!Q10+'SQ(Team B ) Data'!Q9+'SQ (Team C) Data'!Q9</f>
        <v>0</v>
      </c>
      <c r="R9" s="411">
        <f>'SQ(Team A) Data'!P10+'SQ(Team B ) Data'!P9+'SQ (Team C) Data'!P9</f>
        <v>0</v>
      </c>
      <c r="S9" s="411">
        <f>'SQ(Team A) Data'!Q10+'SQ(Team B ) Data'!Q9+'SQ (Team C) Data'!Q9</f>
        <v>0</v>
      </c>
      <c r="T9" s="411">
        <f>'SQ(Team A) Data'!R10+'SQ(Team B ) Data'!R9+'SQ (Team C) Data'!R9</f>
        <v>0</v>
      </c>
      <c r="U9" s="412" t="e">
        <f t="shared" ref="U9:U14" si="4">S9/R9</f>
        <v>#DIV/0!</v>
      </c>
      <c r="V9" s="413" t="e">
        <f>E9/N9/60</f>
        <v>#DIV/0!</v>
      </c>
      <c r="W9" s="414">
        <f>'SQ(Team A) Data'!W10+'SQ(Team B ) Data'!W9+'SQ (Team C) Data'!W9</f>
        <v>0</v>
      </c>
      <c r="X9" s="415">
        <f>'SQ(Team A) Data'!X10+'SQ(Team B ) Data'!X9+'SQ (Team C) Data'!X9</f>
        <v>0</v>
      </c>
      <c r="Y9" s="415">
        <f>'SQ(Team A) Data'!Y10+'SQ(Team B ) Data'!Y9+'SQ (Team C) Data'!Y9</f>
        <v>0</v>
      </c>
      <c r="Z9" s="415">
        <f>'SQ(Team A) Data'!Z10+'SQ(Team B ) Data'!Z9+'SQ (Team C) Data'!Z9</f>
        <v>0</v>
      </c>
      <c r="AA9" s="415">
        <f>'SQ(Team A) Data'!AA10+'SQ(Team B ) Data'!AA9+'SQ (Team C) Data'!AA9</f>
        <v>0</v>
      </c>
      <c r="AB9" s="314">
        <f t="shared" ref="AB9:AB38" si="5">SUM(W9:AA9)</f>
        <v>0</v>
      </c>
      <c r="AC9" s="415">
        <f>'SQ(Team A) Data'!AC10+'SQ(Team B ) Data'!AC9+'SQ (Team C) Data'!AC9</f>
        <v>0</v>
      </c>
      <c r="AD9" s="415">
        <f>'SQ(Team A) Data'!AD10+'SQ(Team B ) Data'!AD9+'SQ (Team C) Data'!AD9</f>
        <v>0</v>
      </c>
      <c r="AE9" s="415">
        <f>'SQ(Team A) Data'!AE10+'SQ(Team B ) Data'!AE9+'SQ (Team C) Data'!AE9</f>
        <v>0</v>
      </c>
      <c r="AF9" s="415">
        <f>'SQ(Team A) Data'!AF10+'SQ(Team B ) Data'!AF9+'SQ (Team C) Data'!AF9</f>
        <v>0</v>
      </c>
      <c r="AG9" s="415">
        <f>'SQ(Team A) Data'!AG10+'SQ(Team B ) Data'!AG9+'SQ (Team C) Data'!AG9</f>
        <v>0</v>
      </c>
      <c r="AH9" s="415">
        <f>'SQ(Team A) Data'!AH10+'SQ(Team B ) Data'!AH9+'SQ (Team C) Data'!AH9</f>
        <v>0</v>
      </c>
      <c r="AI9" s="415">
        <f>'SQ(Team A) Data'!AI10+'SQ(Team B ) Data'!AI9+'SQ (Team C) Data'!AI9</f>
        <v>0</v>
      </c>
      <c r="AJ9" s="415">
        <f>'SQ(Team A) Data'!AJ10+'SQ(Team B ) Data'!AJ9+'SQ (Team C) Data'!AJ9</f>
        <v>0</v>
      </c>
      <c r="AK9" s="415">
        <f>'SQ(Team A) Data'!AK10+'SQ(Team B ) Data'!AK9+'SQ (Team C) Data'!AK9</f>
        <v>0</v>
      </c>
      <c r="AL9" s="415">
        <f>'SQ(Team A) Data'!AL10+'SQ(Team B ) Data'!AL9+'SQ (Team C) Data'!AL9</f>
        <v>0</v>
      </c>
      <c r="AM9" s="415">
        <f>'SQ(Team A) Data'!AM10+'SQ(Team B ) Data'!AM9+'SQ (Team C) Data'!AM9</f>
        <v>0</v>
      </c>
      <c r="AN9" s="316">
        <f t="shared" ref="AN9:AO38" si="6">AC9</f>
        <v>0</v>
      </c>
      <c r="AO9" s="316">
        <f t="shared" si="6"/>
        <v>0</v>
      </c>
      <c r="AP9" s="317">
        <f t="shared" ref="AP9:AP38" si="7">SUM(AE9:AI9)</f>
        <v>0</v>
      </c>
      <c r="AQ9" s="317">
        <f>SUM(AJ9:AL9)</f>
        <v>0</v>
      </c>
      <c r="AR9" s="318">
        <f t="shared" ref="AR9:AR40" si="8">SUM(AN9:AQ9)</f>
        <v>0</v>
      </c>
      <c r="AS9" s="416">
        <f>'SQ(Team A) Data'!AS10+'SQ(Team B ) Data'!AS9+'SQ (Team C) Data'!AS9</f>
        <v>0</v>
      </c>
      <c r="AT9" s="415">
        <f>'SQ(Team A) Data'!AT10+'SQ(Team B ) Data'!AT9+'SQ (Team C) Data'!AT9</f>
        <v>0</v>
      </c>
      <c r="AU9" s="319" t="e">
        <f>1-(AT9/AS9)</f>
        <v>#DIV/0!</v>
      </c>
      <c r="AV9" s="415">
        <f>'SQ(Team A) Data'!AV10+'SQ(Team B ) Data'!AV9+'SQ (Team C) Data'!AV9</f>
        <v>0</v>
      </c>
      <c r="AW9" s="415">
        <f>'SQ(Team A) Data'!AW10+'SQ(Team B ) Data'!AW9+'SQ (Team C) Data'!AW9</f>
        <v>0</v>
      </c>
      <c r="AX9" s="415">
        <f>'SQ(Team A) Data'!AX10+'SQ(Team B ) Data'!AX9+'SQ (Team C) Data'!AX9</f>
        <v>0</v>
      </c>
      <c r="AY9" s="321">
        <f>AX9</f>
        <v>0</v>
      </c>
      <c r="AZ9" s="415">
        <f>'SQ(Team A) Data'!AZ10+'SQ(Team B ) Data'!AZ9+'SQ (Team C) Data'!AZ9</f>
        <v>0</v>
      </c>
      <c r="BA9" s="323"/>
      <c r="BB9" s="324"/>
      <c r="BC9" s="303">
        <v>1</v>
      </c>
      <c r="BD9" s="408">
        <f>'SQ(Team A) Data'!BD10+'SQ(Team B ) Data'!BD9+'SQ (Team C) Data'!BD9</f>
        <v>0</v>
      </c>
      <c r="BE9" s="305">
        <f>BD9</f>
        <v>0</v>
      </c>
      <c r="BF9" s="525">
        <f>'SQ(Team A) Data'!BF10+'SQ(Team B ) Data'!BF9+'SQ (Team C) Data'!BF9</f>
        <v>0</v>
      </c>
      <c r="BG9" s="307">
        <f>BF9</f>
        <v>0</v>
      </c>
      <c r="BH9" s="305" t="e">
        <f t="shared" ref="BH9:BI38" si="9">BD9/BF9</f>
        <v>#DIV/0!</v>
      </c>
      <c r="BI9" s="305" t="e">
        <f t="shared" si="9"/>
        <v>#DIV/0!</v>
      </c>
    </row>
    <row r="10" spans="1:61" s="139" customFormat="1" ht="18" customHeight="1">
      <c r="A10" s="431"/>
      <c r="B10" s="302"/>
      <c r="C10" s="303">
        <v>2</v>
      </c>
      <c r="D10" s="407">
        <f>'SQ(Team A) Data'!D11+'SQ(Team B ) Data'!D10+'SQ (Team C) Data'!D10</f>
        <v>0</v>
      </c>
      <c r="E10" s="408">
        <f>'SQ(Team A) Data'!E11+'SQ(Team B ) Data'!E10+'SQ (Team C) Data'!E10</f>
        <v>0</v>
      </c>
      <c r="F10" s="305">
        <f t="shared" ref="F10:F39" si="10">F9+D10</f>
        <v>0</v>
      </c>
      <c r="G10" s="303">
        <f t="shared" ref="G10:G36" si="11">IF(B10="*",G9,G9+1)</f>
        <v>2</v>
      </c>
      <c r="H10" s="305">
        <f t="shared" ref="H10:H39" si="12">H9+E10</f>
        <v>0</v>
      </c>
      <c r="I10" s="305">
        <f t="shared" si="0"/>
        <v>0</v>
      </c>
      <c r="J10" s="408">
        <f>'SQ(Team A) Data'!J11+'SQ(Team B ) Data'!J10+'SQ (Team C) Data'!J10</f>
        <v>0</v>
      </c>
      <c r="K10" s="307">
        <f t="shared" ref="K10:K38" si="13">+K9+J10</f>
        <v>0</v>
      </c>
      <c r="L10" s="305" t="e">
        <f t="shared" si="1"/>
        <v>#DIV/0!</v>
      </c>
      <c r="M10" s="305" t="e">
        <f t="shared" si="2"/>
        <v>#DIV/0!</v>
      </c>
      <c r="N10" s="409">
        <f>'SQ(Team A) Data'!N11+'SQ(Team B ) Data'!N10+'SQ (Team C) Data'!N10</f>
        <v>6.7799999999999994</v>
      </c>
      <c r="O10" s="308" t="e">
        <f t="shared" si="3"/>
        <v>#DIV/0!</v>
      </c>
      <c r="P10" s="415">
        <f>'SQ(Team A) Data'!P11+'SQ(Team B ) Data'!P10+'SQ (Team C) Data'!P10</f>
        <v>0</v>
      </c>
      <c r="Q10" s="411">
        <f>'SQ(Team A) Data'!Q11+'SQ(Team B ) Data'!Q10+'SQ (Team C) Data'!Q10</f>
        <v>0</v>
      </c>
      <c r="R10" s="411">
        <f>'SQ(Team A) Data'!P11+'SQ(Team B ) Data'!P10+'SQ (Team C) Data'!P10</f>
        <v>0</v>
      </c>
      <c r="S10" s="411">
        <f>'SQ(Team A) Data'!Q11+'SQ(Team B ) Data'!Q10+'SQ (Team C) Data'!Q10</f>
        <v>0</v>
      </c>
      <c r="T10" s="411">
        <f>'SQ(Team A) Data'!R11+'SQ(Team B ) Data'!R10+'SQ (Team C) Data'!R10</f>
        <v>0</v>
      </c>
      <c r="U10" s="412" t="e">
        <f t="shared" si="4"/>
        <v>#DIV/0!</v>
      </c>
      <c r="V10" s="413">
        <f t="shared" ref="V10:V38" si="14">E10/N10/60</f>
        <v>0</v>
      </c>
      <c r="W10" s="415">
        <f>'SQ(Team A) Data'!W11+'SQ(Team B ) Data'!W10+'SQ (Team C) Data'!W10</f>
        <v>0</v>
      </c>
      <c r="X10" s="415">
        <f>'SQ(Team A) Data'!X11+'SQ(Team B ) Data'!X10+'SQ (Team C) Data'!X10</f>
        <v>0</v>
      </c>
      <c r="Y10" s="415">
        <f>'SQ(Team A) Data'!Y11+'SQ(Team B ) Data'!Y10+'SQ (Team C) Data'!Y10</f>
        <v>0</v>
      </c>
      <c r="Z10" s="415">
        <f>'SQ(Team A) Data'!Z11+'SQ(Team B ) Data'!Z10+'SQ (Team C) Data'!Z10</f>
        <v>0</v>
      </c>
      <c r="AA10" s="415">
        <f>'SQ(Team A) Data'!AA11+'SQ(Team B ) Data'!AA10+'SQ (Team C) Data'!AA10</f>
        <v>0</v>
      </c>
      <c r="AB10" s="314">
        <f t="shared" si="5"/>
        <v>0</v>
      </c>
      <c r="AC10" s="415">
        <f>'SQ(Team A) Data'!AC11+'SQ(Team B ) Data'!AC10+'SQ (Team C) Data'!AC10</f>
        <v>0</v>
      </c>
      <c r="AD10" s="415">
        <f>'SQ(Team A) Data'!AD11+'SQ(Team B ) Data'!AD10+'SQ (Team C) Data'!AD10</f>
        <v>0</v>
      </c>
      <c r="AE10" s="415">
        <f>'SQ(Team A) Data'!AE11+'SQ(Team B ) Data'!AE10+'SQ (Team C) Data'!AE10</f>
        <v>0</v>
      </c>
      <c r="AF10" s="415">
        <f>'SQ(Team A) Data'!AF11+'SQ(Team B ) Data'!AF10+'SQ (Team C) Data'!AF10</f>
        <v>0</v>
      </c>
      <c r="AG10" s="415">
        <f>'SQ(Team A) Data'!AG11+'SQ(Team B ) Data'!AG10+'SQ (Team C) Data'!AG10</f>
        <v>0</v>
      </c>
      <c r="AH10" s="415">
        <f>'SQ(Team A) Data'!AH11+'SQ(Team B ) Data'!AH10+'SQ (Team C) Data'!AH10</f>
        <v>0</v>
      </c>
      <c r="AI10" s="415">
        <f>'SQ(Team A) Data'!AI11+'SQ(Team B ) Data'!AI10+'SQ (Team C) Data'!AI10</f>
        <v>0</v>
      </c>
      <c r="AJ10" s="415">
        <f>'SQ(Team A) Data'!AJ11+'SQ(Team B ) Data'!AJ10+'SQ (Team C) Data'!AJ10</f>
        <v>0</v>
      </c>
      <c r="AK10" s="415">
        <f>'SQ(Team A) Data'!AK11+'SQ(Team B ) Data'!AK10+'SQ (Team C) Data'!AK10</f>
        <v>0</v>
      </c>
      <c r="AL10" s="415">
        <f>'SQ(Team A) Data'!AL11+'SQ(Team B ) Data'!AL10+'SQ (Team C) Data'!AL10</f>
        <v>0</v>
      </c>
      <c r="AM10" s="415">
        <f>'SQ(Team A) Data'!AM11+'SQ(Team B ) Data'!AM10+'SQ (Team C) Data'!AM10</f>
        <v>0</v>
      </c>
      <c r="AN10" s="316">
        <f t="shared" si="6"/>
        <v>0</v>
      </c>
      <c r="AO10" s="316">
        <f t="shared" si="6"/>
        <v>0</v>
      </c>
      <c r="AP10" s="317">
        <f t="shared" si="7"/>
        <v>0</v>
      </c>
      <c r="AQ10" s="267">
        <f t="shared" ref="AQ10:AQ38" si="15">+AJ10+AK10+AL10</f>
        <v>0</v>
      </c>
      <c r="AR10" s="318">
        <f t="shared" si="8"/>
        <v>0</v>
      </c>
      <c r="AS10" s="416">
        <f>'SQ(Team A) Data'!AS11+'SQ(Team B ) Data'!AS10+'SQ (Team C) Data'!AS10</f>
        <v>0</v>
      </c>
      <c r="AT10" s="415">
        <f>'SQ(Team A) Data'!AT11+'SQ(Team B ) Data'!AT10+'SQ (Team C) Data'!AT10</f>
        <v>0</v>
      </c>
      <c r="AU10" s="319" t="e">
        <f t="shared" ref="AU10:AU40" si="16">1-(AT10/AS10)</f>
        <v>#DIV/0!</v>
      </c>
      <c r="AV10" s="415">
        <f>'SQ(Team A) Data'!AV11+'SQ(Team B ) Data'!AV10+'SQ (Team C) Data'!AV10</f>
        <v>0</v>
      </c>
      <c r="AW10" s="415">
        <f>'SQ(Team A) Data'!AW11+'SQ(Team B ) Data'!AW10+'SQ (Team C) Data'!AW10</f>
        <v>0</v>
      </c>
      <c r="AX10" s="415">
        <f>'SQ(Team A) Data'!AX11+'SQ(Team B ) Data'!AX10+'SQ (Team C) Data'!AX10</f>
        <v>0</v>
      </c>
      <c r="AY10" s="321">
        <f t="shared" ref="AY10:AY38" si="17">AY9+AX10</f>
        <v>0</v>
      </c>
      <c r="AZ10" s="415">
        <f>'SQ(Team A) Data'!AZ11+'SQ(Team B ) Data'!AZ10+'SQ (Team C) Data'!AZ10</f>
        <v>0</v>
      </c>
      <c r="BA10" s="323"/>
      <c r="BB10" s="324"/>
      <c r="BC10" s="303">
        <v>2</v>
      </c>
      <c r="BD10" s="408">
        <f>'SQ(Team A) Data'!BD11+'SQ(Team B ) Data'!BD10+'SQ (Team C) Data'!BD10</f>
        <v>0</v>
      </c>
      <c r="BE10" s="305">
        <f t="shared" ref="BE10:BE39" si="18">BE9+BD10</f>
        <v>0</v>
      </c>
      <c r="BF10" s="525">
        <f>'SQ(Team A) Data'!BF11+'SQ(Team B ) Data'!BF10+'SQ (Team C) Data'!BF10</f>
        <v>0</v>
      </c>
      <c r="BG10" s="307">
        <f t="shared" ref="BG10:BG38" si="19">+BG9+BF10</f>
        <v>0</v>
      </c>
      <c r="BH10" s="305" t="e">
        <f t="shared" si="9"/>
        <v>#DIV/0!</v>
      </c>
      <c r="BI10" s="305" t="e">
        <f t="shared" si="9"/>
        <v>#DIV/0!</v>
      </c>
    </row>
    <row r="11" spans="1:61" s="139" customFormat="1" ht="18" customHeight="1">
      <c r="A11" s="431"/>
      <c r="B11" s="302"/>
      <c r="C11" s="303">
        <v>3</v>
      </c>
      <c r="D11" s="407">
        <f>'SQ(Team A) Data'!D12+'SQ(Team B ) Data'!D11+'SQ (Team C) Data'!D11</f>
        <v>0</v>
      </c>
      <c r="E11" s="408">
        <f>'SQ(Team A) Data'!E12+'SQ(Team B ) Data'!E11+'SQ (Team C) Data'!E11</f>
        <v>0</v>
      </c>
      <c r="F11" s="305">
        <f t="shared" si="10"/>
        <v>0</v>
      </c>
      <c r="G11" s="303">
        <f t="shared" si="11"/>
        <v>3</v>
      </c>
      <c r="H11" s="305">
        <f t="shared" si="12"/>
        <v>0</v>
      </c>
      <c r="I11" s="305">
        <f t="shared" si="0"/>
        <v>0</v>
      </c>
      <c r="J11" s="408">
        <f>'SQ(Team A) Data'!J12+'SQ(Team B ) Data'!J11+'SQ (Team C) Data'!J11</f>
        <v>0</v>
      </c>
      <c r="K11" s="307">
        <f t="shared" si="13"/>
        <v>0</v>
      </c>
      <c r="L11" s="305" t="e">
        <f t="shared" si="1"/>
        <v>#DIV/0!</v>
      </c>
      <c r="M11" s="305" t="e">
        <f t="shared" si="2"/>
        <v>#DIV/0!</v>
      </c>
      <c r="N11" s="409">
        <f>'SQ(Team A) Data'!N12+'SQ(Team B ) Data'!N11+'SQ (Team C) Data'!N11</f>
        <v>7.1999999999999993</v>
      </c>
      <c r="O11" s="308" t="e">
        <f t="shared" si="3"/>
        <v>#DIV/0!</v>
      </c>
      <c r="P11" s="415">
        <f>'SQ(Team A) Data'!P12+'SQ(Team B ) Data'!P11+'SQ (Team C) Data'!P11</f>
        <v>0</v>
      </c>
      <c r="Q11" s="411">
        <f>'SQ(Team A) Data'!Q12+'SQ(Team B ) Data'!Q11+'SQ (Team C) Data'!Q11</f>
        <v>0</v>
      </c>
      <c r="R11" s="411">
        <f>'SQ(Team A) Data'!P12+'SQ(Team B ) Data'!P11+'SQ (Team C) Data'!P11</f>
        <v>0</v>
      </c>
      <c r="S11" s="411">
        <f>'SQ(Team A) Data'!Q12+'SQ(Team B ) Data'!Q11+'SQ (Team C) Data'!Q11</f>
        <v>0</v>
      </c>
      <c r="T11" s="411">
        <f>'SQ(Team A) Data'!R12+'SQ(Team B ) Data'!R11+'SQ (Team C) Data'!R11</f>
        <v>0</v>
      </c>
      <c r="U11" s="412" t="e">
        <f t="shared" si="4"/>
        <v>#DIV/0!</v>
      </c>
      <c r="V11" s="413">
        <f t="shared" si="14"/>
        <v>0</v>
      </c>
      <c r="W11" s="415">
        <f>'SQ(Team A) Data'!W12+'SQ(Team B ) Data'!W11+'SQ (Team C) Data'!W11</f>
        <v>0</v>
      </c>
      <c r="X11" s="415">
        <f>'SQ(Team A) Data'!X12+'SQ(Team B ) Data'!X11+'SQ (Team C) Data'!X11</f>
        <v>0</v>
      </c>
      <c r="Y11" s="415">
        <f>'SQ(Team A) Data'!Y12+'SQ(Team B ) Data'!Y11+'SQ (Team C) Data'!Y11</f>
        <v>0</v>
      </c>
      <c r="Z11" s="415">
        <f>'SQ(Team A) Data'!Z12+'SQ(Team B ) Data'!Z11+'SQ (Team C) Data'!Z11</f>
        <v>0</v>
      </c>
      <c r="AA11" s="415">
        <f>'SQ(Team A) Data'!AA12+'SQ(Team B ) Data'!AA11+'SQ (Team C) Data'!AA11</f>
        <v>0</v>
      </c>
      <c r="AB11" s="314">
        <f t="shared" si="5"/>
        <v>0</v>
      </c>
      <c r="AC11" s="415">
        <f>'SQ(Team A) Data'!AC12+'SQ(Team B ) Data'!AC11+'SQ (Team C) Data'!AC11</f>
        <v>0</v>
      </c>
      <c r="AD11" s="415">
        <f>'SQ(Team A) Data'!AD12+'SQ(Team B ) Data'!AD11+'SQ (Team C) Data'!AD11</f>
        <v>0</v>
      </c>
      <c r="AE11" s="415">
        <f>'SQ(Team A) Data'!AE12+'SQ(Team B ) Data'!AE11+'SQ (Team C) Data'!AE11</f>
        <v>0</v>
      </c>
      <c r="AF11" s="415">
        <f>'SQ(Team A) Data'!AF12+'SQ(Team B ) Data'!AF11+'SQ (Team C) Data'!AF11</f>
        <v>0</v>
      </c>
      <c r="AG11" s="415">
        <f>'SQ(Team A) Data'!AG12+'SQ(Team B ) Data'!AG11+'SQ (Team C) Data'!AG11</f>
        <v>0</v>
      </c>
      <c r="AH11" s="415">
        <f>'SQ(Team A) Data'!AH12+'SQ(Team B ) Data'!AH11+'SQ (Team C) Data'!AH11</f>
        <v>0</v>
      </c>
      <c r="AI11" s="415">
        <f>'SQ(Team A) Data'!AI12+'SQ(Team B ) Data'!AI11+'SQ (Team C) Data'!AI11</f>
        <v>0</v>
      </c>
      <c r="AJ11" s="415">
        <f>'SQ(Team A) Data'!AJ12+'SQ(Team B ) Data'!AJ11+'SQ (Team C) Data'!AJ11</f>
        <v>0</v>
      </c>
      <c r="AK11" s="415">
        <f>'SQ(Team A) Data'!AK12+'SQ(Team B ) Data'!AK11+'SQ (Team C) Data'!AK11</f>
        <v>0</v>
      </c>
      <c r="AL11" s="415">
        <f>'SQ(Team A) Data'!AL12+'SQ(Team B ) Data'!AL11+'SQ (Team C) Data'!AL11</f>
        <v>0</v>
      </c>
      <c r="AM11" s="415">
        <f>'SQ(Team A) Data'!AM12+'SQ(Team B ) Data'!AM11+'SQ (Team C) Data'!AM11</f>
        <v>0</v>
      </c>
      <c r="AN11" s="316">
        <f t="shared" si="6"/>
        <v>0</v>
      </c>
      <c r="AO11" s="316">
        <f t="shared" si="6"/>
        <v>0</v>
      </c>
      <c r="AP11" s="317">
        <f t="shared" si="7"/>
        <v>0</v>
      </c>
      <c r="AQ11" s="267">
        <f t="shared" si="15"/>
        <v>0</v>
      </c>
      <c r="AR11" s="318">
        <f t="shared" si="8"/>
        <v>0</v>
      </c>
      <c r="AS11" s="416">
        <f>'SQ(Team A) Data'!AS12+'SQ(Team B ) Data'!AS11+'SQ (Team C) Data'!AS11</f>
        <v>0</v>
      </c>
      <c r="AT11" s="415">
        <f>'SQ(Team A) Data'!AT12+'SQ(Team B ) Data'!AT11+'SQ (Team C) Data'!AT11</f>
        <v>0</v>
      </c>
      <c r="AU11" s="319" t="e">
        <f t="shared" si="16"/>
        <v>#DIV/0!</v>
      </c>
      <c r="AV11" s="415">
        <f>'SQ(Team A) Data'!AV12+'SQ(Team B ) Data'!AV11+'SQ (Team C) Data'!AV11</f>
        <v>0</v>
      </c>
      <c r="AW11" s="415">
        <f>'SQ(Team A) Data'!AW12+'SQ(Team B ) Data'!AW11+'SQ (Team C) Data'!AW11</f>
        <v>0</v>
      </c>
      <c r="AX11" s="415">
        <f>'SQ(Team A) Data'!AX12+'SQ(Team B ) Data'!AX11+'SQ (Team C) Data'!AX11</f>
        <v>0</v>
      </c>
      <c r="AY11" s="321">
        <f t="shared" si="17"/>
        <v>0</v>
      </c>
      <c r="AZ11" s="415">
        <f>'SQ(Team A) Data'!AZ12+'SQ(Team B ) Data'!AZ11+'SQ (Team C) Data'!AZ11</f>
        <v>0</v>
      </c>
      <c r="BA11" s="323"/>
      <c r="BB11" s="329"/>
      <c r="BC11" s="303">
        <v>3</v>
      </c>
      <c r="BD11" s="408">
        <f>'SQ(Team A) Data'!BD12+'SQ(Team B ) Data'!BD11+'SQ (Team C) Data'!BD11</f>
        <v>0</v>
      </c>
      <c r="BE11" s="305">
        <f t="shared" si="18"/>
        <v>0</v>
      </c>
      <c r="BF11" s="525">
        <f>'SQ(Team A) Data'!BF12+'SQ(Team B ) Data'!BF11+'SQ (Team C) Data'!BF11</f>
        <v>0</v>
      </c>
      <c r="BG11" s="307">
        <f t="shared" si="19"/>
        <v>0</v>
      </c>
      <c r="BH11" s="305" t="e">
        <f t="shared" si="9"/>
        <v>#DIV/0!</v>
      </c>
      <c r="BI11" s="305" t="e">
        <f t="shared" si="9"/>
        <v>#DIV/0!</v>
      </c>
    </row>
    <row r="12" spans="1:61" s="139" customFormat="1" ht="18" customHeight="1">
      <c r="A12" s="431"/>
      <c r="B12" s="302"/>
      <c r="C12" s="303">
        <v>4</v>
      </c>
      <c r="D12" s="407">
        <f>'SQ(Team A) Data'!D13+'SQ(Team B ) Data'!D12+'SQ (Team C) Data'!D12</f>
        <v>0</v>
      </c>
      <c r="E12" s="408">
        <f>'SQ(Team A) Data'!E13+'SQ(Team B ) Data'!E12+'SQ (Team C) Data'!E12</f>
        <v>0</v>
      </c>
      <c r="F12" s="305">
        <f t="shared" si="10"/>
        <v>0</v>
      </c>
      <c r="G12" s="303">
        <f>IF(B12="*",G11,G11+1)</f>
        <v>4</v>
      </c>
      <c r="H12" s="305">
        <f>H11+E12</f>
        <v>0</v>
      </c>
      <c r="I12" s="305">
        <f t="shared" si="0"/>
        <v>0</v>
      </c>
      <c r="J12" s="408">
        <f>'SQ(Team A) Data'!J13+'SQ(Team B ) Data'!J12+'SQ (Team C) Data'!J12</f>
        <v>0</v>
      </c>
      <c r="K12" s="307">
        <f t="shared" si="13"/>
        <v>0</v>
      </c>
      <c r="L12" s="305" t="e">
        <f t="shared" si="1"/>
        <v>#DIV/0!</v>
      </c>
      <c r="M12" s="305" t="e">
        <f t="shared" si="2"/>
        <v>#DIV/0!</v>
      </c>
      <c r="N12" s="409">
        <f>'SQ(Team A) Data'!N13+'SQ(Team B ) Data'!N12+'SQ (Team C) Data'!N12</f>
        <v>10.5</v>
      </c>
      <c r="O12" s="308" t="e">
        <f t="shared" si="3"/>
        <v>#DIV/0!</v>
      </c>
      <c r="P12" s="415">
        <f>'SQ(Team A) Data'!P13+'SQ(Team B ) Data'!P12+'SQ (Team C) Data'!P12</f>
        <v>0</v>
      </c>
      <c r="Q12" s="411">
        <f>'SQ(Team A) Data'!Q13+'SQ(Team B ) Data'!Q12+'SQ (Team C) Data'!Q12</f>
        <v>0</v>
      </c>
      <c r="R12" s="411">
        <f>'SQ(Team A) Data'!P13+'SQ(Team B ) Data'!P12+'SQ (Team C) Data'!P12</f>
        <v>0</v>
      </c>
      <c r="S12" s="411">
        <f>'SQ(Team A) Data'!Q13+'SQ(Team B ) Data'!Q12+'SQ (Team C) Data'!Q12</f>
        <v>0</v>
      </c>
      <c r="T12" s="411">
        <f>'SQ(Team A) Data'!R13+'SQ(Team B ) Data'!R12+'SQ (Team C) Data'!R12</f>
        <v>0</v>
      </c>
      <c r="U12" s="412" t="e">
        <f t="shared" si="4"/>
        <v>#DIV/0!</v>
      </c>
      <c r="V12" s="413">
        <f t="shared" si="14"/>
        <v>0</v>
      </c>
      <c r="W12" s="415">
        <f>'SQ(Team A) Data'!W13+'SQ(Team B ) Data'!W12+'SQ (Team C) Data'!W12</f>
        <v>0</v>
      </c>
      <c r="X12" s="415">
        <f>'SQ(Team A) Data'!X13+'SQ(Team B ) Data'!X12+'SQ (Team C) Data'!X12</f>
        <v>0</v>
      </c>
      <c r="Y12" s="415">
        <f>'SQ(Team A) Data'!Y13+'SQ(Team B ) Data'!Y12+'SQ (Team C) Data'!Y12</f>
        <v>0</v>
      </c>
      <c r="Z12" s="415">
        <f>'SQ(Team A) Data'!Z13+'SQ(Team B ) Data'!Z12+'SQ (Team C) Data'!Z12</f>
        <v>0</v>
      </c>
      <c r="AA12" s="415">
        <f>'SQ(Team A) Data'!AA13+'SQ(Team B ) Data'!AA12+'SQ (Team C) Data'!AA12</f>
        <v>0</v>
      </c>
      <c r="AB12" s="314">
        <f t="shared" si="5"/>
        <v>0</v>
      </c>
      <c r="AC12" s="415">
        <f>'SQ(Team A) Data'!AC13+'SQ(Team B ) Data'!AC12+'SQ (Team C) Data'!AC12</f>
        <v>0</v>
      </c>
      <c r="AD12" s="415">
        <f>'SQ(Team A) Data'!AD13+'SQ(Team B ) Data'!AD12+'SQ (Team C) Data'!AD12</f>
        <v>0</v>
      </c>
      <c r="AE12" s="415">
        <f>'SQ(Team A) Data'!AE13+'SQ(Team B ) Data'!AE12+'SQ (Team C) Data'!AE12</f>
        <v>0</v>
      </c>
      <c r="AF12" s="415">
        <f>'SQ(Team A) Data'!AF13+'SQ(Team B ) Data'!AF12+'SQ (Team C) Data'!AF12</f>
        <v>0</v>
      </c>
      <c r="AG12" s="415">
        <f>'SQ(Team A) Data'!AG13+'SQ(Team B ) Data'!AG12+'SQ (Team C) Data'!AG12</f>
        <v>0</v>
      </c>
      <c r="AH12" s="415">
        <f>'SQ(Team A) Data'!AH13+'SQ(Team B ) Data'!AH12+'SQ (Team C) Data'!AH12</f>
        <v>0</v>
      </c>
      <c r="AI12" s="415">
        <f>'SQ(Team A) Data'!AI13+'SQ(Team B ) Data'!AI12+'SQ (Team C) Data'!AI12</f>
        <v>0</v>
      </c>
      <c r="AJ12" s="415">
        <f>'SQ(Team A) Data'!AJ13+'SQ(Team B ) Data'!AJ12+'SQ (Team C) Data'!AJ12</f>
        <v>0</v>
      </c>
      <c r="AK12" s="415">
        <f>'SQ(Team A) Data'!AK13+'SQ(Team B ) Data'!AK12+'SQ (Team C) Data'!AK12</f>
        <v>0</v>
      </c>
      <c r="AL12" s="415">
        <f>'SQ(Team A) Data'!AL13+'SQ(Team B ) Data'!AL12+'SQ (Team C) Data'!AL12</f>
        <v>0</v>
      </c>
      <c r="AM12" s="415">
        <f>'SQ(Team A) Data'!AM13+'SQ(Team B ) Data'!AM12+'SQ (Team C) Data'!AM12</f>
        <v>0</v>
      </c>
      <c r="AN12" s="316">
        <f t="shared" si="6"/>
        <v>0</v>
      </c>
      <c r="AO12" s="316">
        <f t="shared" si="6"/>
        <v>0</v>
      </c>
      <c r="AP12" s="317">
        <f t="shared" si="7"/>
        <v>0</v>
      </c>
      <c r="AQ12" s="267">
        <f t="shared" si="15"/>
        <v>0</v>
      </c>
      <c r="AR12" s="318">
        <f t="shared" si="8"/>
        <v>0</v>
      </c>
      <c r="AS12" s="416">
        <f>'SQ(Team A) Data'!AS13+'SQ(Team B ) Data'!AS12+'SQ (Team C) Data'!AS12</f>
        <v>0</v>
      </c>
      <c r="AT12" s="415">
        <f>'SQ(Team A) Data'!AT13+'SQ(Team B ) Data'!AT12+'SQ (Team C) Data'!AT12</f>
        <v>0</v>
      </c>
      <c r="AU12" s="319" t="e">
        <f t="shared" si="16"/>
        <v>#DIV/0!</v>
      </c>
      <c r="AV12" s="415">
        <f>'SQ(Team A) Data'!AV13+'SQ(Team B ) Data'!AV12+'SQ (Team C) Data'!AV12</f>
        <v>0</v>
      </c>
      <c r="AW12" s="415">
        <f>'SQ(Team A) Data'!AW13+'SQ(Team B ) Data'!AW12+'SQ (Team C) Data'!AW12</f>
        <v>0</v>
      </c>
      <c r="AX12" s="415">
        <f>'SQ(Team A) Data'!AX13+'SQ(Team B ) Data'!AX12+'SQ (Team C) Data'!AX12</f>
        <v>0</v>
      </c>
      <c r="AY12" s="321">
        <f t="shared" si="17"/>
        <v>0</v>
      </c>
      <c r="AZ12" s="415">
        <f>'SQ(Team A) Data'!AZ13+'SQ(Team B ) Data'!AZ12+'SQ (Team C) Data'!AZ12</f>
        <v>0</v>
      </c>
      <c r="BA12" s="323"/>
      <c r="BC12" s="303">
        <v>4</v>
      </c>
      <c r="BD12" s="408">
        <f>'SQ(Team A) Data'!BD13+'SQ(Team B ) Data'!BD12+'SQ (Team C) Data'!BD12</f>
        <v>0</v>
      </c>
      <c r="BE12" s="305">
        <f>BE11+BD12</f>
        <v>0</v>
      </c>
      <c r="BF12" s="525">
        <f>'SQ(Team A) Data'!BF13+'SQ(Team B ) Data'!BF12+'SQ (Team C) Data'!BF12</f>
        <v>0</v>
      </c>
      <c r="BG12" s="307">
        <f>+BG11+BF12</f>
        <v>0</v>
      </c>
      <c r="BH12" s="305" t="e">
        <f t="shared" si="9"/>
        <v>#DIV/0!</v>
      </c>
      <c r="BI12" s="305" t="e">
        <f t="shared" si="9"/>
        <v>#DIV/0!</v>
      </c>
    </row>
    <row r="13" spans="1:61" s="139" customFormat="1" ht="18" customHeight="1">
      <c r="A13" s="431"/>
      <c r="B13" s="302"/>
      <c r="C13" s="303">
        <v>5</v>
      </c>
      <c r="D13" s="407">
        <f>'SQ(Team A) Data'!D14+'SQ(Team B ) Data'!D13+'SQ (Team C) Data'!D13</f>
        <v>0</v>
      </c>
      <c r="E13" s="408">
        <f>'SQ(Team A) Data'!E14+'SQ(Team B ) Data'!E13+'SQ (Team C) Data'!E13</f>
        <v>0</v>
      </c>
      <c r="F13" s="305">
        <f t="shared" si="10"/>
        <v>0</v>
      </c>
      <c r="G13" s="303">
        <f t="shared" si="11"/>
        <v>5</v>
      </c>
      <c r="H13" s="305">
        <f t="shared" si="12"/>
        <v>0</v>
      </c>
      <c r="I13" s="305">
        <f t="shared" si="0"/>
        <v>0</v>
      </c>
      <c r="J13" s="408">
        <f>'SQ(Team A) Data'!J14+'SQ(Team B ) Data'!J13+'SQ (Team C) Data'!J13</f>
        <v>0</v>
      </c>
      <c r="K13" s="307">
        <f t="shared" si="13"/>
        <v>0</v>
      </c>
      <c r="L13" s="305" t="e">
        <f t="shared" si="1"/>
        <v>#DIV/0!</v>
      </c>
      <c r="M13" s="305" t="e">
        <f t="shared" si="2"/>
        <v>#DIV/0!</v>
      </c>
      <c r="N13" s="409">
        <f>'SQ(Team A) Data'!N14+'SQ(Team B ) Data'!N13+'SQ (Team C) Data'!N13</f>
        <v>0</v>
      </c>
      <c r="O13" s="308" t="e">
        <f t="shared" si="3"/>
        <v>#DIV/0!</v>
      </c>
      <c r="P13" s="415">
        <f>'SQ(Team A) Data'!P14+'SQ(Team B ) Data'!P13+'SQ (Team C) Data'!P13</f>
        <v>0</v>
      </c>
      <c r="Q13" s="411">
        <f>'SQ(Team A) Data'!Q14+'SQ(Team B ) Data'!Q13+'SQ (Team C) Data'!Q13</f>
        <v>0</v>
      </c>
      <c r="R13" s="411">
        <f>'SQ(Team A) Data'!P14+'SQ(Team B ) Data'!P13+'SQ (Team C) Data'!P13</f>
        <v>0</v>
      </c>
      <c r="S13" s="411">
        <f>'SQ(Team A) Data'!Q14+'SQ(Team B ) Data'!Q13+'SQ (Team C) Data'!Q13</f>
        <v>0</v>
      </c>
      <c r="T13" s="411">
        <f>'SQ(Team A) Data'!R14+'SQ(Team B ) Data'!R13+'SQ (Team C) Data'!R13</f>
        <v>0</v>
      </c>
      <c r="U13" s="412" t="e">
        <f t="shared" si="4"/>
        <v>#DIV/0!</v>
      </c>
      <c r="V13" s="413" t="e">
        <f t="shared" si="14"/>
        <v>#DIV/0!</v>
      </c>
      <c r="W13" s="415">
        <f>'SQ(Team A) Data'!W14+'SQ(Team B ) Data'!W13+'SQ (Team C) Data'!W13</f>
        <v>0</v>
      </c>
      <c r="X13" s="415">
        <f>'SQ(Team A) Data'!X14+'SQ(Team B ) Data'!X13+'SQ (Team C) Data'!X13</f>
        <v>0</v>
      </c>
      <c r="Y13" s="415">
        <f>'SQ(Team A) Data'!Y14+'SQ(Team B ) Data'!Y13+'SQ (Team C) Data'!Y13</f>
        <v>0</v>
      </c>
      <c r="Z13" s="415">
        <f>'SQ(Team A) Data'!Z14+'SQ(Team B ) Data'!Z13+'SQ (Team C) Data'!Z13</f>
        <v>0</v>
      </c>
      <c r="AA13" s="415">
        <f>'SQ(Team A) Data'!AA14+'SQ(Team B ) Data'!AA13+'SQ (Team C) Data'!AA13</f>
        <v>0</v>
      </c>
      <c r="AB13" s="314">
        <f t="shared" si="5"/>
        <v>0</v>
      </c>
      <c r="AC13" s="415">
        <f>'SQ(Team A) Data'!AC14+'SQ(Team B ) Data'!AC13+'SQ (Team C) Data'!AC13</f>
        <v>0</v>
      </c>
      <c r="AD13" s="415">
        <f>'SQ(Team A) Data'!AD14+'SQ(Team B ) Data'!AD13+'SQ (Team C) Data'!AD13</f>
        <v>0</v>
      </c>
      <c r="AE13" s="415">
        <f>'SQ(Team A) Data'!AE14+'SQ(Team B ) Data'!AE13+'SQ (Team C) Data'!AE13</f>
        <v>0</v>
      </c>
      <c r="AF13" s="415">
        <f>'SQ(Team A) Data'!AF14+'SQ(Team B ) Data'!AF13+'SQ (Team C) Data'!AF13</f>
        <v>0</v>
      </c>
      <c r="AG13" s="415">
        <f>'SQ(Team A) Data'!AG14+'SQ(Team B ) Data'!AG13+'SQ (Team C) Data'!AG13</f>
        <v>0</v>
      </c>
      <c r="AH13" s="415">
        <f>'SQ(Team A) Data'!AH14+'SQ(Team B ) Data'!AH13+'SQ (Team C) Data'!AH13</f>
        <v>0</v>
      </c>
      <c r="AI13" s="415">
        <f>'SQ(Team A) Data'!AI14+'SQ(Team B ) Data'!AI13+'SQ (Team C) Data'!AI13</f>
        <v>0</v>
      </c>
      <c r="AJ13" s="415">
        <f>'SQ(Team A) Data'!AJ14+'SQ(Team B ) Data'!AJ13+'SQ (Team C) Data'!AJ13</f>
        <v>0</v>
      </c>
      <c r="AK13" s="415">
        <f>'SQ(Team A) Data'!AK14+'SQ(Team B ) Data'!AK13+'SQ (Team C) Data'!AK13</f>
        <v>0</v>
      </c>
      <c r="AL13" s="415">
        <f>'SQ(Team A) Data'!AL14+'SQ(Team B ) Data'!AL13+'SQ (Team C) Data'!AL13</f>
        <v>0</v>
      </c>
      <c r="AM13" s="415">
        <f>'SQ(Team A) Data'!AM14+'SQ(Team B ) Data'!AM13+'SQ (Team C) Data'!AM13</f>
        <v>0</v>
      </c>
      <c r="AN13" s="316">
        <f t="shared" si="6"/>
        <v>0</v>
      </c>
      <c r="AO13" s="316">
        <f t="shared" si="6"/>
        <v>0</v>
      </c>
      <c r="AP13" s="317">
        <f t="shared" si="7"/>
        <v>0</v>
      </c>
      <c r="AQ13" s="267">
        <f t="shared" si="15"/>
        <v>0</v>
      </c>
      <c r="AR13" s="318">
        <f t="shared" si="8"/>
        <v>0</v>
      </c>
      <c r="AS13" s="416">
        <f>'SQ(Team A) Data'!AS14+'SQ(Team B ) Data'!AS13+'SQ (Team C) Data'!AS13</f>
        <v>0</v>
      </c>
      <c r="AT13" s="415">
        <f>'SQ(Team A) Data'!AT14+'SQ(Team B ) Data'!AT13+'SQ (Team C) Data'!AT13</f>
        <v>0</v>
      </c>
      <c r="AU13" s="319" t="e">
        <f t="shared" si="16"/>
        <v>#DIV/0!</v>
      </c>
      <c r="AV13" s="415">
        <f>'SQ(Team A) Data'!AV14+'SQ(Team B ) Data'!AV13+'SQ (Team C) Data'!AV13</f>
        <v>0</v>
      </c>
      <c r="AW13" s="415">
        <f>'SQ(Team A) Data'!AW14+'SQ(Team B ) Data'!AW13+'SQ (Team C) Data'!AW13</f>
        <v>0</v>
      </c>
      <c r="AX13" s="415">
        <f>'SQ(Team A) Data'!AX14+'SQ(Team B ) Data'!AX13+'SQ (Team C) Data'!AX13</f>
        <v>0</v>
      </c>
      <c r="AY13" s="321">
        <f t="shared" si="17"/>
        <v>0</v>
      </c>
      <c r="AZ13" s="415">
        <f>'SQ(Team A) Data'!AZ14+'SQ(Team B ) Data'!AZ13+'SQ (Team C) Data'!AZ13</f>
        <v>0</v>
      </c>
      <c r="BA13" s="323"/>
      <c r="BC13" s="303">
        <v>5</v>
      </c>
      <c r="BD13" s="408">
        <f>'SQ(Team A) Data'!BD14+'SQ(Team B ) Data'!BD13+'SQ (Team C) Data'!BD13</f>
        <v>0</v>
      </c>
      <c r="BE13" s="305">
        <f t="shared" si="18"/>
        <v>0</v>
      </c>
      <c r="BF13" s="525">
        <f>'SQ(Team A) Data'!BF14+'SQ(Team B ) Data'!BF13+'SQ (Team C) Data'!BF13</f>
        <v>0</v>
      </c>
      <c r="BG13" s="307">
        <f t="shared" si="19"/>
        <v>0</v>
      </c>
      <c r="BH13" s="305" t="e">
        <f t="shared" si="9"/>
        <v>#DIV/0!</v>
      </c>
      <c r="BI13" s="305" t="e">
        <f t="shared" si="9"/>
        <v>#DIV/0!</v>
      </c>
    </row>
    <row r="14" spans="1:61" ht="18" customHeight="1">
      <c r="B14" s="302"/>
      <c r="C14" s="303">
        <v>6</v>
      </c>
      <c r="D14" s="407">
        <f>'SQ(Team A) Data'!D15+'SQ(Team B ) Data'!D14+'SQ (Team C) Data'!D14</f>
        <v>0</v>
      </c>
      <c r="E14" s="408">
        <f>'SQ(Team A) Data'!E15+'SQ(Team B ) Data'!E14+'SQ (Team C) Data'!E14</f>
        <v>0</v>
      </c>
      <c r="F14" s="305">
        <f t="shared" si="10"/>
        <v>0</v>
      </c>
      <c r="G14" s="303">
        <f t="shared" si="11"/>
        <v>6</v>
      </c>
      <c r="H14" s="305">
        <f t="shared" si="12"/>
        <v>0</v>
      </c>
      <c r="I14" s="305">
        <f t="shared" si="0"/>
        <v>0</v>
      </c>
      <c r="J14" s="408">
        <f>'SQ(Team A) Data'!J15+'SQ(Team B ) Data'!J14+'SQ (Team C) Data'!J14</f>
        <v>0</v>
      </c>
      <c r="K14" s="307">
        <f t="shared" si="13"/>
        <v>0</v>
      </c>
      <c r="L14" s="305" t="e">
        <f t="shared" si="1"/>
        <v>#DIV/0!</v>
      </c>
      <c r="M14" s="305" t="e">
        <f t="shared" si="2"/>
        <v>#DIV/0!</v>
      </c>
      <c r="N14" s="409">
        <f>'SQ(Team A) Data'!N15+'SQ(Team B ) Data'!N14+'SQ (Team C) Data'!N14</f>
        <v>0</v>
      </c>
      <c r="O14" s="308" t="e">
        <f t="shared" si="3"/>
        <v>#DIV/0!</v>
      </c>
      <c r="P14" s="415">
        <f>'SQ(Team A) Data'!P15+'SQ(Team B ) Data'!P14+'SQ (Team C) Data'!P14</f>
        <v>0</v>
      </c>
      <c r="Q14" s="411">
        <f>'SQ(Team A) Data'!Q15+'SQ(Team B ) Data'!Q14+'SQ (Team C) Data'!Q14</f>
        <v>0</v>
      </c>
      <c r="R14" s="411">
        <f>'SQ(Team A) Data'!P15+'SQ(Team B ) Data'!P14+'SQ (Team C) Data'!P14</f>
        <v>0</v>
      </c>
      <c r="S14" s="411">
        <f>'SQ(Team A) Data'!Q15+'SQ(Team B ) Data'!Q14+'SQ (Team C) Data'!Q14</f>
        <v>0</v>
      </c>
      <c r="T14" s="411">
        <f>'SQ(Team A) Data'!R15+'SQ(Team B ) Data'!R14+'SQ (Team C) Data'!R14</f>
        <v>0</v>
      </c>
      <c r="U14" s="412" t="e">
        <f t="shared" si="4"/>
        <v>#DIV/0!</v>
      </c>
      <c r="V14" s="413" t="e">
        <f t="shared" si="14"/>
        <v>#DIV/0!</v>
      </c>
      <c r="W14" s="415">
        <f>'SQ(Team A) Data'!W15+'SQ(Team B ) Data'!W14+'SQ (Team C) Data'!W14</f>
        <v>0</v>
      </c>
      <c r="X14" s="415">
        <f>'SQ(Team A) Data'!X15+'SQ(Team B ) Data'!X14+'SQ (Team C) Data'!X14</f>
        <v>0</v>
      </c>
      <c r="Y14" s="415">
        <f>'SQ(Team A) Data'!Y15+'SQ(Team B ) Data'!Y14+'SQ (Team C) Data'!Y14</f>
        <v>0</v>
      </c>
      <c r="Z14" s="415">
        <f>'SQ(Team A) Data'!Z15+'SQ(Team B ) Data'!Z14+'SQ (Team C) Data'!Z14</f>
        <v>0</v>
      </c>
      <c r="AA14" s="415">
        <f>'SQ(Team A) Data'!AA15+'SQ(Team B ) Data'!AA14+'SQ (Team C) Data'!AA14</f>
        <v>0</v>
      </c>
      <c r="AB14" s="314">
        <f t="shared" si="5"/>
        <v>0</v>
      </c>
      <c r="AC14" s="415">
        <f>'SQ(Team A) Data'!AC15+'SQ(Team B ) Data'!AC14+'SQ (Team C) Data'!AC14</f>
        <v>0</v>
      </c>
      <c r="AD14" s="415">
        <f>'SQ(Team A) Data'!AD15+'SQ(Team B ) Data'!AD14+'SQ (Team C) Data'!AD14</f>
        <v>0</v>
      </c>
      <c r="AE14" s="415">
        <f>'SQ(Team A) Data'!AE15+'SQ(Team B ) Data'!AE14+'SQ (Team C) Data'!AE14</f>
        <v>0</v>
      </c>
      <c r="AF14" s="415">
        <f>'SQ(Team A) Data'!AF15+'SQ(Team B ) Data'!AF14+'SQ (Team C) Data'!AF14</f>
        <v>0</v>
      </c>
      <c r="AG14" s="415">
        <f>'SQ(Team A) Data'!AG15+'SQ(Team B ) Data'!AG14+'SQ (Team C) Data'!AG14</f>
        <v>0</v>
      </c>
      <c r="AH14" s="415">
        <f>'SQ(Team A) Data'!AH15+'SQ(Team B ) Data'!AH14+'SQ (Team C) Data'!AH14</f>
        <v>0</v>
      </c>
      <c r="AI14" s="415">
        <f>'SQ(Team A) Data'!AI15+'SQ(Team B ) Data'!AI14+'SQ (Team C) Data'!AI14</f>
        <v>0</v>
      </c>
      <c r="AJ14" s="415">
        <f>'SQ(Team A) Data'!AJ15+'SQ(Team B ) Data'!AJ14+'SQ (Team C) Data'!AJ14</f>
        <v>0</v>
      </c>
      <c r="AK14" s="415">
        <f>'SQ(Team A) Data'!AK15+'SQ(Team B ) Data'!AK14+'SQ (Team C) Data'!AK14</f>
        <v>0</v>
      </c>
      <c r="AL14" s="415">
        <f>'SQ(Team A) Data'!AL15+'SQ(Team B ) Data'!AL14+'SQ (Team C) Data'!AL14</f>
        <v>0</v>
      </c>
      <c r="AM14" s="415">
        <f>'SQ(Team A) Data'!AM15+'SQ(Team B ) Data'!AM14+'SQ (Team C) Data'!AM14</f>
        <v>0</v>
      </c>
      <c r="AN14" s="316">
        <f t="shared" si="6"/>
        <v>0</v>
      </c>
      <c r="AO14" s="316">
        <f t="shared" si="6"/>
        <v>0</v>
      </c>
      <c r="AP14" s="317">
        <f t="shared" si="7"/>
        <v>0</v>
      </c>
      <c r="AQ14" s="267">
        <f t="shared" si="15"/>
        <v>0</v>
      </c>
      <c r="AR14" s="318">
        <f t="shared" si="8"/>
        <v>0</v>
      </c>
      <c r="AS14" s="416">
        <f>'SQ(Team A) Data'!AS15+'SQ(Team B ) Data'!AS14+'SQ (Team C) Data'!AS14</f>
        <v>0</v>
      </c>
      <c r="AT14" s="415">
        <f>'SQ(Team A) Data'!AT15+'SQ(Team B ) Data'!AT14+'SQ (Team C) Data'!AT14</f>
        <v>0</v>
      </c>
      <c r="AU14" s="319" t="e">
        <f t="shared" si="16"/>
        <v>#DIV/0!</v>
      </c>
      <c r="AV14" s="415">
        <f>'SQ(Team A) Data'!AV15+'SQ(Team B ) Data'!AV14+'SQ (Team C) Data'!AV14</f>
        <v>0</v>
      </c>
      <c r="AW14" s="415">
        <f>'SQ(Team A) Data'!AW15+'SQ(Team B ) Data'!AW14+'SQ (Team C) Data'!AW14</f>
        <v>0</v>
      </c>
      <c r="AX14" s="415">
        <f>'SQ(Team A) Data'!AX15+'SQ(Team B ) Data'!AX14+'SQ (Team C) Data'!AX14</f>
        <v>0</v>
      </c>
      <c r="AY14" s="321">
        <f t="shared" si="17"/>
        <v>0</v>
      </c>
      <c r="AZ14" s="415">
        <f>'SQ(Team A) Data'!AZ15+'SQ(Team B ) Data'!AZ14+'SQ (Team C) Data'!AZ14</f>
        <v>0</v>
      </c>
      <c r="BA14" s="323"/>
      <c r="BC14" s="303">
        <v>6</v>
      </c>
      <c r="BD14" s="408">
        <f>'SQ(Team A) Data'!BD15+'SQ(Team B ) Data'!BD14+'SQ (Team C) Data'!BD14</f>
        <v>0</v>
      </c>
      <c r="BE14" s="305">
        <f t="shared" si="18"/>
        <v>0</v>
      </c>
      <c r="BF14" s="525">
        <f>'SQ(Team A) Data'!BF15+'SQ(Team B ) Data'!BF14+'SQ (Team C) Data'!BF14</f>
        <v>0</v>
      </c>
      <c r="BG14" s="307">
        <f t="shared" si="19"/>
        <v>0</v>
      </c>
      <c r="BH14" s="305" t="e">
        <f t="shared" si="9"/>
        <v>#DIV/0!</v>
      </c>
      <c r="BI14" s="305" t="e">
        <f t="shared" si="9"/>
        <v>#DIV/0!</v>
      </c>
    </row>
    <row r="15" spans="1:61" ht="18" customHeight="1">
      <c r="B15" s="302"/>
      <c r="C15" s="303">
        <v>7</v>
      </c>
      <c r="D15" s="407">
        <f>'SQ(Team A) Data'!D16+'SQ(Team B ) Data'!D15+'SQ (Team C) Data'!D15</f>
        <v>0</v>
      </c>
      <c r="E15" s="408">
        <f>'SQ(Team A) Data'!E16+'SQ(Team B ) Data'!E15+'SQ (Team C) Data'!E15</f>
        <v>0</v>
      </c>
      <c r="F15" s="305">
        <f t="shared" si="10"/>
        <v>0</v>
      </c>
      <c r="G15" s="303">
        <f t="shared" si="11"/>
        <v>7</v>
      </c>
      <c r="H15" s="305">
        <f t="shared" si="12"/>
        <v>0</v>
      </c>
      <c r="I15" s="305">
        <f t="shared" si="0"/>
        <v>0</v>
      </c>
      <c r="J15" s="408">
        <f>'SQ(Team A) Data'!J16+'SQ(Team B ) Data'!J15+'SQ (Team C) Data'!J15</f>
        <v>0</v>
      </c>
      <c r="K15" s="307">
        <f t="shared" si="13"/>
        <v>0</v>
      </c>
      <c r="L15" s="305" t="e">
        <f t="shared" si="1"/>
        <v>#DIV/0!</v>
      </c>
      <c r="M15" s="305" t="e">
        <f t="shared" si="2"/>
        <v>#DIV/0!</v>
      </c>
      <c r="N15" s="409">
        <f>'SQ(Team A) Data'!N16+'SQ(Team B ) Data'!N15+'SQ (Team C) Data'!N15</f>
        <v>8.49</v>
      </c>
      <c r="O15" s="308" t="e">
        <f t="shared" si="3"/>
        <v>#DIV/0!</v>
      </c>
      <c r="P15" s="415">
        <f>'SQ(Team A) Data'!P16+'SQ(Team B ) Data'!P15+'SQ (Team C) Data'!P15</f>
        <v>0</v>
      </c>
      <c r="Q15" s="411">
        <f>'SQ(Team A) Data'!Q16+'SQ(Team B ) Data'!Q15+'SQ (Team C) Data'!Q15</f>
        <v>0</v>
      </c>
      <c r="R15" s="411">
        <f>'SQ(Team A) Data'!P16+'SQ(Team B ) Data'!P15+'SQ (Team C) Data'!P15</f>
        <v>0</v>
      </c>
      <c r="S15" s="411">
        <f>'SQ(Team A) Data'!Q16+'SQ(Team B ) Data'!Q15+'SQ (Team C) Data'!Q15</f>
        <v>0</v>
      </c>
      <c r="T15" s="411">
        <f>'SQ(Team A) Data'!R16+'SQ(Team B ) Data'!R15+'SQ (Team C) Data'!R15</f>
        <v>0</v>
      </c>
      <c r="U15" s="412" t="e">
        <f>S15/R15</f>
        <v>#DIV/0!</v>
      </c>
      <c r="V15" s="413">
        <f t="shared" si="14"/>
        <v>0</v>
      </c>
      <c r="W15" s="415">
        <f>'SQ(Team A) Data'!W16+'SQ(Team B ) Data'!W15+'SQ (Team C) Data'!W15</f>
        <v>0</v>
      </c>
      <c r="X15" s="415">
        <f>'SQ(Team A) Data'!X16+'SQ(Team B ) Data'!X15+'SQ (Team C) Data'!X15</f>
        <v>0</v>
      </c>
      <c r="Y15" s="415">
        <f>'SQ(Team A) Data'!Y16+'SQ(Team B ) Data'!Y15+'SQ (Team C) Data'!Y15</f>
        <v>0</v>
      </c>
      <c r="Z15" s="415">
        <f>'SQ(Team A) Data'!Z16+'SQ(Team B ) Data'!Z15+'SQ (Team C) Data'!Z15</f>
        <v>0</v>
      </c>
      <c r="AA15" s="415">
        <f>'SQ(Team A) Data'!AA16+'SQ(Team B ) Data'!AA15+'SQ (Team C) Data'!AA15</f>
        <v>0</v>
      </c>
      <c r="AB15" s="314">
        <f t="shared" si="5"/>
        <v>0</v>
      </c>
      <c r="AC15" s="415">
        <f>'SQ(Team A) Data'!AC16+'SQ(Team B ) Data'!AC15+'SQ (Team C) Data'!AC15</f>
        <v>0</v>
      </c>
      <c r="AD15" s="415">
        <f>'SQ(Team A) Data'!AD16+'SQ(Team B ) Data'!AD15+'SQ (Team C) Data'!AD15</f>
        <v>0</v>
      </c>
      <c r="AE15" s="415">
        <f>'SQ(Team A) Data'!AE16+'SQ(Team B ) Data'!AE15+'SQ (Team C) Data'!AE15</f>
        <v>0</v>
      </c>
      <c r="AF15" s="415">
        <f>'SQ(Team A) Data'!AF16+'SQ(Team B ) Data'!AF15+'SQ (Team C) Data'!AF15</f>
        <v>0</v>
      </c>
      <c r="AG15" s="415">
        <f>'SQ(Team A) Data'!AG16+'SQ(Team B ) Data'!AG15+'SQ (Team C) Data'!AG15</f>
        <v>0</v>
      </c>
      <c r="AH15" s="415">
        <f>'SQ(Team A) Data'!AH16+'SQ(Team B ) Data'!AH15+'SQ (Team C) Data'!AH15</f>
        <v>0</v>
      </c>
      <c r="AI15" s="415">
        <f>'SQ(Team A) Data'!AI16+'SQ(Team B ) Data'!AI15+'SQ (Team C) Data'!AI15</f>
        <v>0</v>
      </c>
      <c r="AJ15" s="415">
        <f>'SQ(Team A) Data'!AJ16+'SQ(Team B ) Data'!AJ15+'SQ (Team C) Data'!AJ15</f>
        <v>0</v>
      </c>
      <c r="AK15" s="415">
        <f>'SQ(Team A) Data'!AK16+'SQ(Team B ) Data'!AK15+'SQ (Team C) Data'!AK15</f>
        <v>0</v>
      </c>
      <c r="AL15" s="415">
        <f>'SQ(Team A) Data'!AL16+'SQ(Team B ) Data'!AL15+'SQ (Team C) Data'!AL15</f>
        <v>0</v>
      </c>
      <c r="AM15" s="415">
        <f>'SQ(Team A) Data'!AM16+'SQ(Team B ) Data'!AM15+'SQ (Team C) Data'!AM15</f>
        <v>0</v>
      </c>
      <c r="AN15" s="316">
        <f t="shared" si="6"/>
        <v>0</v>
      </c>
      <c r="AO15" s="316">
        <f t="shared" si="6"/>
        <v>0</v>
      </c>
      <c r="AP15" s="317">
        <f t="shared" si="7"/>
        <v>0</v>
      </c>
      <c r="AQ15" s="267">
        <f t="shared" si="15"/>
        <v>0</v>
      </c>
      <c r="AR15" s="318">
        <f t="shared" si="8"/>
        <v>0</v>
      </c>
      <c r="AS15" s="416">
        <f>'SQ(Team A) Data'!AS16+'SQ(Team B ) Data'!AS15+'SQ (Team C) Data'!AS15</f>
        <v>0</v>
      </c>
      <c r="AT15" s="415">
        <f>'SQ(Team A) Data'!AT16+'SQ(Team B ) Data'!AT15+'SQ (Team C) Data'!AT15</f>
        <v>0</v>
      </c>
      <c r="AU15" s="319" t="e">
        <f t="shared" si="16"/>
        <v>#DIV/0!</v>
      </c>
      <c r="AV15" s="415">
        <f>'SQ(Team A) Data'!AV16+'SQ(Team B ) Data'!AV15+'SQ (Team C) Data'!AV15</f>
        <v>0</v>
      </c>
      <c r="AW15" s="415">
        <f>'SQ(Team A) Data'!AW16+'SQ(Team B ) Data'!AW15+'SQ (Team C) Data'!AW15</f>
        <v>0</v>
      </c>
      <c r="AX15" s="415">
        <f>'SQ(Team A) Data'!AX16+'SQ(Team B ) Data'!AX15+'SQ (Team C) Data'!AX15</f>
        <v>0</v>
      </c>
      <c r="AY15" s="321">
        <f t="shared" si="17"/>
        <v>0</v>
      </c>
      <c r="AZ15" s="415">
        <f>'SQ(Team A) Data'!AZ16+'SQ(Team B ) Data'!AZ15+'SQ (Team C) Data'!AZ15</f>
        <v>0</v>
      </c>
      <c r="BA15" s="323"/>
      <c r="BC15" s="303">
        <v>7</v>
      </c>
      <c r="BD15" s="408">
        <f>'SQ(Team A) Data'!BD16+'SQ(Team B ) Data'!BD15+'SQ (Team C) Data'!BD15</f>
        <v>0</v>
      </c>
      <c r="BE15" s="305">
        <f t="shared" si="18"/>
        <v>0</v>
      </c>
      <c r="BF15" s="525">
        <f>'SQ(Team A) Data'!BF16+'SQ(Team B ) Data'!BF15+'SQ (Team C) Data'!BF15</f>
        <v>0</v>
      </c>
      <c r="BG15" s="307">
        <f t="shared" si="19"/>
        <v>0</v>
      </c>
      <c r="BH15" s="305" t="e">
        <f t="shared" si="9"/>
        <v>#DIV/0!</v>
      </c>
      <c r="BI15" s="305" t="e">
        <f t="shared" si="9"/>
        <v>#DIV/0!</v>
      </c>
    </row>
    <row r="16" spans="1:61" s="139" customFormat="1" ht="18" customHeight="1">
      <c r="A16" s="431"/>
      <c r="B16" s="302"/>
      <c r="C16" s="303">
        <v>8</v>
      </c>
      <c r="D16" s="407">
        <f>'SQ(Team A) Data'!D17+'SQ(Team B ) Data'!D16+'SQ (Team C) Data'!D16</f>
        <v>0</v>
      </c>
      <c r="E16" s="408">
        <f>'SQ(Team A) Data'!E17+'SQ(Team B ) Data'!E16+'SQ (Team C) Data'!E16</f>
        <v>0</v>
      </c>
      <c r="F16" s="305">
        <f t="shared" si="10"/>
        <v>0</v>
      </c>
      <c r="G16" s="303">
        <f t="shared" si="11"/>
        <v>8</v>
      </c>
      <c r="H16" s="305">
        <f t="shared" si="12"/>
        <v>0</v>
      </c>
      <c r="I16" s="305">
        <f t="shared" si="0"/>
        <v>0</v>
      </c>
      <c r="J16" s="408">
        <f>'SQ(Team A) Data'!J17+'SQ(Team B ) Data'!J16+'SQ (Team C) Data'!J16</f>
        <v>0</v>
      </c>
      <c r="K16" s="307">
        <f t="shared" si="13"/>
        <v>0</v>
      </c>
      <c r="L16" s="305" t="e">
        <f t="shared" si="1"/>
        <v>#DIV/0!</v>
      </c>
      <c r="M16" s="305" t="e">
        <f t="shared" si="2"/>
        <v>#DIV/0!</v>
      </c>
      <c r="N16" s="409">
        <f>'SQ(Team A) Data'!N17+'SQ(Team B ) Data'!N16+'SQ (Team C) Data'!N16</f>
        <v>8.34</v>
      </c>
      <c r="O16" s="308" t="e">
        <f t="shared" si="3"/>
        <v>#DIV/0!</v>
      </c>
      <c r="P16" s="415">
        <f>'SQ(Team A) Data'!P17+'SQ(Team B ) Data'!P16+'SQ (Team C) Data'!P16</f>
        <v>0</v>
      </c>
      <c r="Q16" s="411">
        <f>'SQ(Team A) Data'!Q17+'SQ(Team B ) Data'!Q16+'SQ (Team C) Data'!Q16</f>
        <v>0</v>
      </c>
      <c r="R16" s="411">
        <f>'SQ(Team A) Data'!P17+'SQ(Team B ) Data'!P16+'SQ (Team C) Data'!P16</f>
        <v>0</v>
      </c>
      <c r="S16" s="411">
        <f>'SQ(Team A) Data'!Q17+'SQ(Team B ) Data'!Q16+'SQ (Team C) Data'!Q16</f>
        <v>0</v>
      </c>
      <c r="T16" s="411">
        <f>'SQ(Team A) Data'!R17+'SQ(Team B ) Data'!R16+'SQ (Team C) Data'!R16</f>
        <v>0</v>
      </c>
      <c r="U16" s="412" t="e">
        <f t="shared" ref="U16:U35" si="20">S16/R16</f>
        <v>#DIV/0!</v>
      </c>
      <c r="V16" s="413">
        <f t="shared" si="14"/>
        <v>0</v>
      </c>
      <c r="W16" s="415">
        <f>'SQ(Team A) Data'!W17+'SQ(Team B ) Data'!W16+'SQ (Team C) Data'!W16</f>
        <v>0</v>
      </c>
      <c r="X16" s="415">
        <f>'SQ(Team A) Data'!X17+'SQ(Team B ) Data'!X16+'SQ (Team C) Data'!X16</f>
        <v>0</v>
      </c>
      <c r="Y16" s="415">
        <f>'SQ(Team A) Data'!Y17+'SQ(Team B ) Data'!Y16+'SQ (Team C) Data'!Y16</f>
        <v>0</v>
      </c>
      <c r="Z16" s="415">
        <f>'SQ(Team A) Data'!Z17+'SQ(Team B ) Data'!Z16+'SQ (Team C) Data'!Z16</f>
        <v>0</v>
      </c>
      <c r="AA16" s="415">
        <f>'SQ(Team A) Data'!AA17+'SQ(Team B ) Data'!AA16+'SQ (Team C) Data'!AA16</f>
        <v>0</v>
      </c>
      <c r="AB16" s="314">
        <f t="shared" si="5"/>
        <v>0</v>
      </c>
      <c r="AC16" s="415">
        <f>'SQ(Team A) Data'!AC17+'SQ(Team B ) Data'!AC16+'SQ (Team C) Data'!AC16</f>
        <v>0</v>
      </c>
      <c r="AD16" s="415">
        <f>'SQ(Team A) Data'!AD17+'SQ(Team B ) Data'!AD16+'SQ (Team C) Data'!AD16</f>
        <v>0</v>
      </c>
      <c r="AE16" s="415">
        <f>'SQ(Team A) Data'!AE17+'SQ(Team B ) Data'!AE16+'SQ (Team C) Data'!AE16</f>
        <v>0</v>
      </c>
      <c r="AF16" s="415">
        <f>'SQ(Team A) Data'!AF17+'SQ(Team B ) Data'!AF16+'SQ (Team C) Data'!AF16</f>
        <v>0</v>
      </c>
      <c r="AG16" s="415">
        <f>'SQ(Team A) Data'!AG17+'SQ(Team B ) Data'!AG16+'SQ (Team C) Data'!AG16</f>
        <v>0</v>
      </c>
      <c r="AH16" s="415">
        <f>'SQ(Team A) Data'!AH17+'SQ(Team B ) Data'!AH16+'SQ (Team C) Data'!AH16</f>
        <v>0</v>
      </c>
      <c r="AI16" s="415">
        <f>'SQ(Team A) Data'!AI17+'SQ(Team B ) Data'!AI16+'SQ (Team C) Data'!AI16</f>
        <v>0</v>
      </c>
      <c r="AJ16" s="415">
        <f>'SQ(Team A) Data'!AJ17+'SQ(Team B ) Data'!AJ16+'SQ (Team C) Data'!AJ16</f>
        <v>0</v>
      </c>
      <c r="AK16" s="415">
        <f>'SQ(Team A) Data'!AK17+'SQ(Team B ) Data'!AK16+'SQ (Team C) Data'!AK16</f>
        <v>0</v>
      </c>
      <c r="AL16" s="415">
        <f>'SQ(Team A) Data'!AL17+'SQ(Team B ) Data'!AL16+'SQ (Team C) Data'!AL16</f>
        <v>0</v>
      </c>
      <c r="AM16" s="415">
        <f>'SQ(Team A) Data'!AM17+'SQ(Team B ) Data'!AM16+'SQ (Team C) Data'!AM16</f>
        <v>0</v>
      </c>
      <c r="AN16" s="316">
        <f t="shared" si="6"/>
        <v>0</v>
      </c>
      <c r="AO16" s="316">
        <f t="shared" si="6"/>
        <v>0</v>
      </c>
      <c r="AP16" s="317">
        <f t="shared" si="7"/>
        <v>0</v>
      </c>
      <c r="AQ16" s="267">
        <f t="shared" si="15"/>
        <v>0</v>
      </c>
      <c r="AR16" s="318">
        <f t="shared" si="8"/>
        <v>0</v>
      </c>
      <c r="AS16" s="416">
        <f>'SQ(Team A) Data'!AS17+'SQ(Team B ) Data'!AS16+'SQ (Team C) Data'!AS16</f>
        <v>0</v>
      </c>
      <c r="AT16" s="415">
        <f>'SQ(Team A) Data'!AT17+'SQ(Team B ) Data'!AT16+'SQ (Team C) Data'!AT16</f>
        <v>0</v>
      </c>
      <c r="AU16" s="319" t="e">
        <f t="shared" si="16"/>
        <v>#DIV/0!</v>
      </c>
      <c r="AV16" s="415">
        <f>'SQ(Team A) Data'!AV17+'SQ(Team B ) Data'!AV16+'SQ (Team C) Data'!AV16</f>
        <v>0</v>
      </c>
      <c r="AW16" s="415">
        <f>'SQ(Team A) Data'!AW17+'SQ(Team B ) Data'!AW16+'SQ (Team C) Data'!AW16</f>
        <v>0</v>
      </c>
      <c r="AX16" s="415">
        <f>'SQ(Team A) Data'!AX17+'SQ(Team B ) Data'!AX16+'SQ (Team C) Data'!AX16</f>
        <v>0</v>
      </c>
      <c r="AY16" s="321">
        <f t="shared" si="17"/>
        <v>0</v>
      </c>
      <c r="AZ16" s="415">
        <f>'SQ(Team A) Data'!AZ17+'SQ(Team B ) Data'!AZ16+'SQ (Team C) Data'!AZ16</f>
        <v>0</v>
      </c>
      <c r="BA16" s="323"/>
      <c r="BC16" s="303">
        <v>8</v>
      </c>
      <c r="BD16" s="408">
        <f>'SQ(Team A) Data'!BD17+'SQ(Team B ) Data'!BD16+'SQ (Team C) Data'!BD16</f>
        <v>0</v>
      </c>
      <c r="BE16" s="305">
        <f t="shared" si="18"/>
        <v>0</v>
      </c>
      <c r="BF16" s="525">
        <f>'SQ(Team A) Data'!BF17+'SQ(Team B ) Data'!BF16+'SQ (Team C) Data'!BF16</f>
        <v>0</v>
      </c>
      <c r="BG16" s="307">
        <f t="shared" si="19"/>
        <v>0</v>
      </c>
      <c r="BH16" s="305" t="e">
        <f t="shared" si="9"/>
        <v>#DIV/0!</v>
      </c>
      <c r="BI16" s="305" t="e">
        <f t="shared" si="9"/>
        <v>#DIV/0!</v>
      </c>
    </row>
    <row r="17" spans="1:61" s="139" customFormat="1" ht="18" customHeight="1">
      <c r="A17" s="431"/>
      <c r="B17" s="302"/>
      <c r="C17" s="303">
        <v>9</v>
      </c>
      <c r="D17" s="407">
        <f>'SQ(Team A) Data'!D18+'SQ(Team B ) Data'!D17+'SQ (Team C) Data'!D17</f>
        <v>0</v>
      </c>
      <c r="E17" s="408">
        <f>'SQ(Team A) Data'!E18+'SQ(Team B ) Data'!E17+'SQ (Team C) Data'!E17</f>
        <v>0</v>
      </c>
      <c r="F17" s="305">
        <f t="shared" si="10"/>
        <v>0</v>
      </c>
      <c r="G17" s="303">
        <f t="shared" si="11"/>
        <v>9</v>
      </c>
      <c r="H17" s="305">
        <f t="shared" si="12"/>
        <v>0</v>
      </c>
      <c r="I17" s="305">
        <f t="shared" si="0"/>
        <v>0</v>
      </c>
      <c r="J17" s="408">
        <f>'SQ(Team A) Data'!J18+'SQ(Team B ) Data'!J17+'SQ (Team C) Data'!J17</f>
        <v>0</v>
      </c>
      <c r="K17" s="307">
        <f t="shared" si="13"/>
        <v>0</v>
      </c>
      <c r="L17" s="305" t="e">
        <f t="shared" si="1"/>
        <v>#DIV/0!</v>
      </c>
      <c r="M17" s="305" t="e">
        <f t="shared" si="2"/>
        <v>#DIV/0!</v>
      </c>
      <c r="N17" s="409">
        <f>'SQ(Team A) Data'!N18+'SQ(Team B ) Data'!N17+'SQ (Team C) Data'!N17</f>
        <v>9.99</v>
      </c>
      <c r="O17" s="308" t="e">
        <f t="shared" si="3"/>
        <v>#DIV/0!</v>
      </c>
      <c r="P17" s="415">
        <f>'SQ(Team A) Data'!P18+'SQ(Team B ) Data'!P17+'SQ (Team C) Data'!P17</f>
        <v>0</v>
      </c>
      <c r="Q17" s="411">
        <f>'SQ(Team A) Data'!Q18+'SQ(Team B ) Data'!Q17+'SQ (Team C) Data'!Q17</f>
        <v>0</v>
      </c>
      <c r="R17" s="411">
        <f>'SQ(Team A) Data'!P18+'SQ(Team B ) Data'!P17+'SQ (Team C) Data'!P17</f>
        <v>0</v>
      </c>
      <c r="S17" s="411">
        <f>'SQ(Team A) Data'!Q18+'SQ(Team B ) Data'!Q17+'SQ (Team C) Data'!Q17</f>
        <v>0</v>
      </c>
      <c r="T17" s="411">
        <f>'SQ(Team A) Data'!R18+'SQ(Team B ) Data'!R17+'SQ (Team C) Data'!R17</f>
        <v>0</v>
      </c>
      <c r="U17" s="412" t="e">
        <f t="shared" si="20"/>
        <v>#DIV/0!</v>
      </c>
      <c r="V17" s="413">
        <f t="shared" si="14"/>
        <v>0</v>
      </c>
      <c r="W17" s="415">
        <f>'SQ(Team A) Data'!W18+'SQ(Team B ) Data'!W17+'SQ (Team C) Data'!W17</f>
        <v>0</v>
      </c>
      <c r="X17" s="415">
        <f>'SQ(Team A) Data'!X18+'SQ(Team B ) Data'!X17+'SQ (Team C) Data'!X17</f>
        <v>0</v>
      </c>
      <c r="Y17" s="415">
        <f>'SQ(Team A) Data'!Y18+'SQ(Team B ) Data'!Y17+'SQ (Team C) Data'!Y17</f>
        <v>0</v>
      </c>
      <c r="Z17" s="415">
        <f>'SQ(Team A) Data'!Z18+'SQ(Team B ) Data'!Z17+'SQ (Team C) Data'!Z17</f>
        <v>0</v>
      </c>
      <c r="AA17" s="415">
        <f>'SQ(Team A) Data'!AA18+'SQ(Team B ) Data'!AA17+'SQ (Team C) Data'!AA17</f>
        <v>0</v>
      </c>
      <c r="AB17" s="314">
        <f t="shared" si="5"/>
        <v>0</v>
      </c>
      <c r="AC17" s="415">
        <f>'SQ(Team A) Data'!AC18+'SQ(Team B ) Data'!AC17+'SQ (Team C) Data'!AC17</f>
        <v>0</v>
      </c>
      <c r="AD17" s="415">
        <f>'SQ(Team A) Data'!AD18+'SQ(Team B ) Data'!AD17+'SQ (Team C) Data'!AD17</f>
        <v>0</v>
      </c>
      <c r="AE17" s="415">
        <f>'SQ(Team A) Data'!AE18+'SQ(Team B ) Data'!AE17+'SQ (Team C) Data'!AE17</f>
        <v>0</v>
      </c>
      <c r="AF17" s="415">
        <f>'SQ(Team A) Data'!AF18+'SQ(Team B ) Data'!AF17+'SQ (Team C) Data'!AF17</f>
        <v>0</v>
      </c>
      <c r="AG17" s="415">
        <f>'SQ(Team A) Data'!AG18+'SQ(Team B ) Data'!AG17+'SQ (Team C) Data'!AG17</f>
        <v>0</v>
      </c>
      <c r="AH17" s="415">
        <f>'SQ(Team A) Data'!AH18+'SQ(Team B ) Data'!AH17+'SQ (Team C) Data'!AH17</f>
        <v>0</v>
      </c>
      <c r="AI17" s="415">
        <f>'SQ(Team A) Data'!AI18+'SQ(Team B ) Data'!AI17+'SQ (Team C) Data'!AI17</f>
        <v>0</v>
      </c>
      <c r="AJ17" s="415">
        <f>'SQ(Team A) Data'!AJ18+'SQ(Team B ) Data'!AJ17+'SQ (Team C) Data'!AJ17</f>
        <v>0</v>
      </c>
      <c r="AK17" s="415">
        <f>'SQ(Team A) Data'!AK18+'SQ(Team B ) Data'!AK17+'SQ (Team C) Data'!AK17</f>
        <v>0</v>
      </c>
      <c r="AL17" s="415">
        <f>'SQ(Team A) Data'!AL18+'SQ(Team B ) Data'!AL17+'SQ (Team C) Data'!AL17</f>
        <v>0</v>
      </c>
      <c r="AM17" s="415">
        <f>'SQ(Team A) Data'!AM18+'SQ(Team B ) Data'!AM17+'SQ (Team C) Data'!AM17</f>
        <v>0</v>
      </c>
      <c r="AN17" s="316">
        <f t="shared" si="6"/>
        <v>0</v>
      </c>
      <c r="AO17" s="316">
        <f t="shared" si="6"/>
        <v>0</v>
      </c>
      <c r="AP17" s="317">
        <f t="shared" si="7"/>
        <v>0</v>
      </c>
      <c r="AQ17" s="267">
        <f t="shared" si="15"/>
        <v>0</v>
      </c>
      <c r="AR17" s="318">
        <f t="shared" si="8"/>
        <v>0</v>
      </c>
      <c r="AS17" s="416">
        <f>'SQ(Team A) Data'!AS18+'SQ(Team B ) Data'!AS17+'SQ (Team C) Data'!AS17</f>
        <v>0</v>
      </c>
      <c r="AT17" s="415">
        <f>'SQ(Team A) Data'!AT18+'SQ(Team B ) Data'!AT17+'SQ (Team C) Data'!AT17</f>
        <v>0</v>
      </c>
      <c r="AU17" s="319" t="e">
        <f t="shared" si="16"/>
        <v>#DIV/0!</v>
      </c>
      <c r="AV17" s="415">
        <f>'SQ(Team A) Data'!AV18+'SQ(Team B ) Data'!AV17+'SQ (Team C) Data'!AV17</f>
        <v>0</v>
      </c>
      <c r="AW17" s="415">
        <f>'SQ(Team A) Data'!AW18+'SQ(Team B ) Data'!AW17+'SQ (Team C) Data'!AW17</f>
        <v>0</v>
      </c>
      <c r="AX17" s="415">
        <f>'SQ(Team A) Data'!AX18+'SQ(Team B ) Data'!AX17+'SQ (Team C) Data'!AX17</f>
        <v>0</v>
      </c>
      <c r="AY17" s="321">
        <f t="shared" si="17"/>
        <v>0</v>
      </c>
      <c r="AZ17" s="415">
        <f>'SQ(Team A) Data'!AZ18+'SQ(Team B ) Data'!AZ17+'SQ (Team C) Data'!AZ17</f>
        <v>0</v>
      </c>
      <c r="BA17" s="323"/>
      <c r="BC17" s="303">
        <v>9</v>
      </c>
      <c r="BD17" s="408">
        <f>'SQ(Team A) Data'!BD18+'SQ(Team B ) Data'!BD17+'SQ (Team C) Data'!BD17</f>
        <v>0</v>
      </c>
      <c r="BE17" s="305">
        <f t="shared" si="18"/>
        <v>0</v>
      </c>
      <c r="BF17" s="525">
        <f>'SQ(Team A) Data'!BF18+'SQ(Team B ) Data'!BF17+'SQ (Team C) Data'!BF17</f>
        <v>0</v>
      </c>
      <c r="BG17" s="307">
        <f t="shared" si="19"/>
        <v>0</v>
      </c>
      <c r="BH17" s="305" t="e">
        <f t="shared" si="9"/>
        <v>#DIV/0!</v>
      </c>
      <c r="BI17" s="305" t="e">
        <f t="shared" si="9"/>
        <v>#DIV/0!</v>
      </c>
    </row>
    <row r="18" spans="1:61" s="139" customFormat="1" ht="18" customHeight="1">
      <c r="A18" s="431"/>
      <c r="B18" s="302"/>
      <c r="C18" s="303">
        <v>10</v>
      </c>
      <c r="D18" s="407">
        <f>'SQ(Team A) Data'!D19+'SQ(Team B ) Data'!D18+'SQ (Team C) Data'!D18</f>
        <v>0</v>
      </c>
      <c r="E18" s="408">
        <f>'SQ(Team A) Data'!E19+'SQ(Team B ) Data'!E18+'SQ (Team C) Data'!E18</f>
        <v>0</v>
      </c>
      <c r="F18" s="305">
        <f t="shared" si="10"/>
        <v>0</v>
      </c>
      <c r="G18" s="303">
        <f t="shared" si="11"/>
        <v>10</v>
      </c>
      <c r="H18" s="305">
        <f t="shared" si="12"/>
        <v>0</v>
      </c>
      <c r="I18" s="305">
        <f t="shared" si="0"/>
        <v>0</v>
      </c>
      <c r="J18" s="408">
        <f>'SQ(Team A) Data'!J19+'SQ(Team B ) Data'!J18+'SQ (Team C) Data'!J18</f>
        <v>0</v>
      </c>
      <c r="K18" s="307">
        <f t="shared" si="13"/>
        <v>0</v>
      </c>
      <c r="L18" s="305" t="e">
        <f t="shared" si="1"/>
        <v>#DIV/0!</v>
      </c>
      <c r="M18" s="305" t="e">
        <f t="shared" si="2"/>
        <v>#DIV/0!</v>
      </c>
      <c r="N18" s="409">
        <f>'SQ(Team A) Data'!N19+'SQ(Team B ) Data'!N18+'SQ (Team C) Data'!N18</f>
        <v>9.75</v>
      </c>
      <c r="O18" s="308" t="e">
        <f t="shared" si="3"/>
        <v>#DIV/0!</v>
      </c>
      <c r="P18" s="415">
        <f>'SQ(Team A) Data'!P19+'SQ(Team B ) Data'!P18+'SQ (Team C) Data'!P18</f>
        <v>0</v>
      </c>
      <c r="Q18" s="411">
        <f>'SQ(Team A) Data'!Q19+'SQ(Team B ) Data'!Q18+'SQ (Team C) Data'!Q18</f>
        <v>0</v>
      </c>
      <c r="R18" s="411">
        <f>'SQ(Team A) Data'!P19+'SQ(Team B ) Data'!P18+'SQ (Team C) Data'!P18</f>
        <v>0</v>
      </c>
      <c r="S18" s="411">
        <f>'SQ(Team A) Data'!Q19+'SQ(Team B ) Data'!Q18+'SQ (Team C) Data'!Q18</f>
        <v>0</v>
      </c>
      <c r="T18" s="411">
        <f>'SQ(Team A) Data'!R19+'SQ(Team B ) Data'!R18+'SQ (Team C) Data'!R18</f>
        <v>0</v>
      </c>
      <c r="U18" s="412" t="e">
        <f t="shared" si="20"/>
        <v>#DIV/0!</v>
      </c>
      <c r="V18" s="413">
        <f t="shared" si="14"/>
        <v>0</v>
      </c>
      <c r="W18" s="415">
        <f>'SQ(Team A) Data'!W19+'SQ(Team B ) Data'!W18+'SQ (Team C) Data'!W18</f>
        <v>0</v>
      </c>
      <c r="X18" s="415">
        <f>'SQ(Team A) Data'!X19+'SQ(Team B ) Data'!X18+'SQ (Team C) Data'!X18</f>
        <v>0</v>
      </c>
      <c r="Y18" s="415">
        <f>'SQ(Team A) Data'!Y19+'SQ(Team B ) Data'!Y18+'SQ (Team C) Data'!Y18</f>
        <v>0</v>
      </c>
      <c r="Z18" s="415">
        <f>'SQ(Team A) Data'!Z19+'SQ(Team B ) Data'!Z18+'SQ (Team C) Data'!Z18</f>
        <v>0</v>
      </c>
      <c r="AA18" s="415">
        <f>'SQ(Team A) Data'!AA19+'SQ(Team B ) Data'!AA18+'SQ (Team C) Data'!AA18</f>
        <v>0</v>
      </c>
      <c r="AB18" s="314">
        <f t="shared" si="5"/>
        <v>0</v>
      </c>
      <c r="AC18" s="415">
        <f>'SQ(Team A) Data'!AC19+'SQ(Team B ) Data'!AC18+'SQ (Team C) Data'!AC18</f>
        <v>0</v>
      </c>
      <c r="AD18" s="415">
        <f>'SQ(Team A) Data'!AD19+'SQ(Team B ) Data'!AD18+'SQ (Team C) Data'!AD18</f>
        <v>0</v>
      </c>
      <c r="AE18" s="415">
        <f>'SQ(Team A) Data'!AE19+'SQ(Team B ) Data'!AE18+'SQ (Team C) Data'!AE18</f>
        <v>0</v>
      </c>
      <c r="AF18" s="415">
        <f>'SQ(Team A) Data'!AF19+'SQ(Team B ) Data'!AF18+'SQ (Team C) Data'!AF18</f>
        <v>0</v>
      </c>
      <c r="AG18" s="415">
        <f>'SQ(Team A) Data'!AG19+'SQ(Team B ) Data'!AG18+'SQ (Team C) Data'!AG18</f>
        <v>0</v>
      </c>
      <c r="AH18" s="415">
        <f>'SQ(Team A) Data'!AH19+'SQ(Team B ) Data'!AH18+'SQ (Team C) Data'!AH18</f>
        <v>0</v>
      </c>
      <c r="AI18" s="415">
        <f>'SQ(Team A) Data'!AI19+'SQ(Team B ) Data'!AI18+'SQ (Team C) Data'!AI18</f>
        <v>0</v>
      </c>
      <c r="AJ18" s="415">
        <f>'SQ(Team A) Data'!AJ19+'SQ(Team B ) Data'!AJ18+'SQ (Team C) Data'!AJ18</f>
        <v>0</v>
      </c>
      <c r="AK18" s="415">
        <f>'SQ(Team A) Data'!AK19+'SQ(Team B ) Data'!AK18+'SQ (Team C) Data'!AK18</f>
        <v>0</v>
      </c>
      <c r="AL18" s="415">
        <f>'SQ(Team A) Data'!AL19+'SQ(Team B ) Data'!AL18+'SQ (Team C) Data'!AL18</f>
        <v>0</v>
      </c>
      <c r="AM18" s="415">
        <f>'SQ(Team A) Data'!AM19+'SQ(Team B ) Data'!AM18+'SQ (Team C) Data'!AM18</f>
        <v>0</v>
      </c>
      <c r="AN18" s="316">
        <f t="shared" si="6"/>
        <v>0</v>
      </c>
      <c r="AO18" s="316">
        <f t="shared" si="6"/>
        <v>0</v>
      </c>
      <c r="AP18" s="317">
        <f t="shared" si="7"/>
        <v>0</v>
      </c>
      <c r="AQ18" s="267">
        <f t="shared" si="15"/>
        <v>0</v>
      </c>
      <c r="AR18" s="318">
        <f t="shared" si="8"/>
        <v>0</v>
      </c>
      <c r="AS18" s="416">
        <f>'SQ(Team A) Data'!AS19+'SQ(Team B ) Data'!AS18+'SQ (Team C) Data'!AS18</f>
        <v>0</v>
      </c>
      <c r="AT18" s="415">
        <f>'SQ(Team A) Data'!AT19+'SQ(Team B ) Data'!AT18+'SQ (Team C) Data'!AT18</f>
        <v>0</v>
      </c>
      <c r="AU18" s="319" t="e">
        <f t="shared" si="16"/>
        <v>#DIV/0!</v>
      </c>
      <c r="AV18" s="415">
        <f>'SQ(Team A) Data'!AV19+'SQ(Team B ) Data'!AV18+'SQ (Team C) Data'!AV18</f>
        <v>0</v>
      </c>
      <c r="AW18" s="415">
        <f>'SQ(Team A) Data'!AW19+'SQ(Team B ) Data'!AW18+'SQ (Team C) Data'!AW18</f>
        <v>0</v>
      </c>
      <c r="AX18" s="415">
        <f>'SQ(Team A) Data'!AX19+'SQ(Team B ) Data'!AX18+'SQ (Team C) Data'!AX18</f>
        <v>0</v>
      </c>
      <c r="AY18" s="321">
        <f t="shared" si="17"/>
        <v>0</v>
      </c>
      <c r="AZ18" s="415">
        <f>'SQ(Team A) Data'!AZ19+'SQ(Team B ) Data'!AZ18+'SQ (Team C) Data'!AZ18</f>
        <v>0</v>
      </c>
      <c r="BA18" s="323"/>
      <c r="BC18" s="303">
        <v>10</v>
      </c>
      <c r="BD18" s="408">
        <f>'SQ(Team A) Data'!BD19+'SQ(Team B ) Data'!BD18+'SQ (Team C) Data'!BD18</f>
        <v>0</v>
      </c>
      <c r="BE18" s="305">
        <f t="shared" si="18"/>
        <v>0</v>
      </c>
      <c r="BF18" s="525">
        <f>'SQ(Team A) Data'!BF19+'SQ(Team B ) Data'!BF18+'SQ (Team C) Data'!BF18</f>
        <v>0</v>
      </c>
      <c r="BG18" s="307">
        <f t="shared" si="19"/>
        <v>0</v>
      </c>
      <c r="BH18" s="305" t="e">
        <f t="shared" si="9"/>
        <v>#DIV/0!</v>
      </c>
      <c r="BI18" s="305" t="e">
        <f t="shared" si="9"/>
        <v>#DIV/0!</v>
      </c>
    </row>
    <row r="19" spans="1:61" s="139" customFormat="1" ht="18" customHeight="1">
      <c r="A19" s="431"/>
      <c r="B19" s="302"/>
      <c r="C19" s="303">
        <v>11</v>
      </c>
      <c r="D19" s="407">
        <f>'SQ(Team A) Data'!D20+'SQ(Team B ) Data'!D19+'SQ (Team C) Data'!D19</f>
        <v>0</v>
      </c>
      <c r="E19" s="408">
        <f>'SQ(Team A) Data'!E20+'SQ(Team B ) Data'!E19+'SQ (Team C) Data'!E19</f>
        <v>0</v>
      </c>
      <c r="F19" s="305">
        <f t="shared" si="10"/>
        <v>0</v>
      </c>
      <c r="G19" s="303">
        <f t="shared" si="11"/>
        <v>11</v>
      </c>
      <c r="H19" s="305">
        <f t="shared" si="12"/>
        <v>0</v>
      </c>
      <c r="I19" s="305">
        <f t="shared" si="0"/>
        <v>0</v>
      </c>
      <c r="J19" s="408">
        <f>'SQ(Team A) Data'!J20+'SQ(Team B ) Data'!J19+'SQ (Team C) Data'!J19</f>
        <v>0</v>
      </c>
      <c r="K19" s="307">
        <f t="shared" si="13"/>
        <v>0</v>
      </c>
      <c r="L19" s="305" t="e">
        <f t="shared" si="1"/>
        <v>#DIV/0!</v>
      </c>
      <c r="M19" s="305" t="e">
        <f t="shared" si="2"/>
        <v>#DIV/0!</v>
      </c>
      <c r="N19" s="409">
        <f>'SQ(Team A) Data'!N20+'SQ(Team B ) Data'!N19+'SQ (Team C) Data'!N19</f>
        <v>8.129999999999999</v>
      </c>
      <c r="O19" s="308" t="e">
        <f t="shared" si="3"/>
        <v>#DIV/0!</v>
      </c>
      <c r="P19" s="415">
        <f>'SQ(Team A) Data'!P20+'SQ(Team B ) Data'!P19+'SQ (Team C) Data'!P19</f>
        <v>0</v>
      </c>
      <c r="Q19" s="411">
        <f>'SQ(Team A) Data'!Q20+'SQ(Team B ) Data'!Q19+'SQ (Team C) Data'!Q19</f>
        <v>0</v>
      </c>
      <c r="R19" s="411">
        <f>'SQ(Team A) Data'!P20+'SQ(Team B ) Data'!P19+'SQ (Team C) Data'!P19</f>
        <v>0</v>
      </c>
      <c r="S19" s="411">
        <f>'SQ(Team A) Data'!Q20+'SQ(Team B ) Data'!Q19+'SQ (Team C) Data'!Q19</f>
        <v>0</v>
      </c>
      <c r="T19" s="411">
        <f>'SQ(Team A) Data'!R20+'SQ(Team B ) Data'!R19+'SQ (Team C) Data'!R19</f>
        <v>0</v>
      </c>
      <c r="U19" s="412" t="e">
        <f t="shared" si="20"/>
        <v>#DIV/0!</v>
      </c>
      <c r="V19" s="413">
        <f t="shared" si="14"/>
        <v>0</v>
      </c>
      <c r="W19" s="415">
        <f>'SQ(Team A) Data'!W20+'SQ(Team B ) Data'!W19+'SQ (Team C) Data'!W19</f>
        <v>0</v>
      </c>
      <c r="X19" s="415">
        <f>'SQ(Team A) Data'!X20+'SQ(Team B ) Data'!X19+'SQ (Team C) Data'!X19</f>
        <v>0</v>
      </c>
      <c r="Y19" s="415">
        <f>'SQ(Team A) Data'!Y20+'SQ(Team B ) Data'!Y19+'SQ (Team C) Data'!Y19</f>
        <v>0</v>
      </c>
      <c r="Z19" s="415">
        <f>'SQ(Team A) Data'!Z20+'SQ(Team B ) Data'!Z19+'SQ (Team C) Data'!Z19</f>
        <v>0</v>
      </c>
      <c r="AA19" s="415">
        <f>'SQ(Team A) Data'!AA20+'SQ(Team B ) Data'!AA19+'SQ (Team C) Data'!AA19</f>
        <v>0</v>
      </c>
      <c r="AB19" s="314">
        <f t="shared" si="5"/>
        <v>0</v>
      </c>
      <c r="AC19" s="415">
        <f>'SQ(Team A) Data'!AC20+'SQ(Team B ) Data'!AC19+'SQ (Team C) Data'!AC19</f>
        <v>0</v>
      </c>
      <c r="AD19" s="415">
        <f>'SQ(Team A) Data'!AD20+'SQ(Team B ) Data'!AD19+'SQ (Team C) Data'!AD19</f>
        <v>0</v>
      </c>
      <c r="AE19" s="415">
        <f>'SQ(Team A) Data'!AE20+'SQ(Team B ) Data'!AE19+'SQ (Team C) Data'!AE19</f>
        <v>0</v>
      </c>
      <c r="AF19" s="415">
        <f>'SQ(Team A) Data'!AF20+'SQ(Team B ) Data'!AF19+'SQ (Team C) Data'!AF19</f>
        <v>0</v>
      </c>
      <c r="AG19" s="415">
        <f>'SQ(Team A) Data'!AG20+'SQ(Team B ) Data'!AG19+'SQ (Team C) Data'!AG19</f>
        <v>0</v>
      </c>
      <c r="AH19" s="415">
        <f>'SQ(Team A) Data'!AH20+'SQ(Team B ) Data'!AH19+'SQ (Team C) Data'!AH19</f>
        <v>0</v>
      </c>
      <c r="AI19" s="415">
        <f>'SQ(Team A) Data'!AI20+'SQ(Team B ) Data'!AI19+'SQ (Team C) Data'!AI19</f>
        <v>0</v>
      </c>
      <c r="AJ19" s="415">
        <f>'SQ(Team A) Data'!AJ20+'SQ(Team B ) Data'!AJ19+'SQ (Team C) Data'!AJ19</f>
        <v>0</v>
      </c>
      <c r="AK19" s="415">
        <f>'SQ(Team A) Data'!AK20+'SQ(Team B ) Data'!AK19+'SQ (Team C) Data'!AK19</f>
        <v>0</v>
      </c>
      <c r="AL19" s="415">
        <f>'SQ(Team A) Data'!AL20+'SQ(Team B ) Data'!AL19+'SQ (Team C) Data'!AL19</f>
        <v>0</v>
      </c>
      <c r="AM19" s="415">
        <f>'SQ(Team A) Data'!AM20+'SQ(Team B ) Data'!AM19+'SQ (Team C) Data'!AM19</f>
        <v>0</v>
      </c>
      <c r="AN19" s="316">
        <f t="shared" si="6"/>
        <v>0</v>
      </c>
      <c r="AO19" s="316">
        <f t="shared" si="6"/>
        <v>0</v>
      </c>
      <c r="AP19" s="317">
        <f t="shared" si="7"/>
        <v>0</v>
      </c>
      <c r="AQ19" s="267">
        <f t="shared" si="15"/>
        <v>0</v>
      </c>
      <c r="AR19" s="318">
        <f t="shared" si="8"/>
        <v>0</v>
      </c>
      <c r="AS19" s="416">
        <f>'SQ(Team A) Data'!AS20+'SQ(Team B ) Data'!AS19+'SQ (Team C) Data'!AS19</f>
        <v>0</v>
      </c>
      <c r="AT19" s="415">
        <f>'SQ(Team A) Data'!AT20+'SQ(Team B ) Data'!AT19+'SQ (Team C) Data'!AT19</f>
        <v>0</v>
      </c>
      <c r="AU19" s="319" t="e">
        <f t="shared" si="16"/>
        <v>#DIV/0!</v>
      </c>
      <c r="AV19" s="415">
        <f>'SQ(Team A) Data'!AV20+'SQ(Team B ) Data'!AV19+'SQ (Team C) Data'!AV19</f>
        <v>0</v>
      </c>
      <c r="AW19" s="415">
        <f>'SQ(Team A) Data'!AW20+'SQ(Team B ) Data'!AW19+'SQ (Team C) Data'!AW19</f>
        <v>0</v>
      </c>
      <c r="AX19" s="415">
        <f>'SQ(Team A) Data'!AX20+'SQ(Team B ) Data'!AX19+'SQ (Team C) Data'!AX19</f>
        <v>0</v>
      </c>
      <c r="AY19" s="321">
        <f t="shared" si="17"/>
        <v>0</v>
      </c>
      <c r="AZ19" s="415">
        <f>'SQ(Team A) Data'!AZ20+'SQ(Team B ) Data'!AZ19+'SQ (Team C) Data'!AZ19</f>
        <v>0</v>
      </c>
      <c r="BA19" s="323"/>
      <c r="BC19" s="303">
        <v>11</v>
      </c>
      <c r="BD19" s="408">
        <f>'SQ(Team A) Data'!BD20+'SQ(Team B ) Data'!BD19+'SQ (Team C) Data'!BD19</f>
        <v>0</v>
      </c>
      <c r="BE19" s="305">
        <f t="shared" si="18"/>
        <v>0</v>
      </c>
      <c r="BF19" s="525">
        <f>'SQ(Team A) Data'!BF20+'SQ(Team B ) Data'!BF19+'SQ (Team C) Data'!BF19</f>
        <v>0</v>
      </c>
      <c r="BG19" s="307">
        <f t="shared" si="19"/>
        <v>0</v>
      </c>
      <c r="BH19" s="305" t="e">
        <f t="shared" si="9"/>
        <v>#DIV/0!</v>
      </c>
      <c r="BI19" s="305" t="e">
        <f t="shared" si="9"/>
        <v>#DIV/0!</v>
      </c>
    </row>
    <row r="20" spans="1:61" s="139" customFormat="1" ht="18" customHeight="1">
      <c r="A20" s="431"/>
      <c r="B20" s="302"/>
      <c r="C20" s="303">
        <v>12</v>
      </c>
      <c r="D20" s="407">
        <f>'SQ(Team A) Data'!D21+'SQ(Team B ) Data'!D20+'SQ (Team C) Data'!D20</f>
        <v>0</v>
      </c>
      <c r="E20" s="408">
        <f>'SQ(Team A) Data'!E21+'SQ(Team B ) Data'!E20+'SQ (Team C) Data'!E20</f>
        <v>0</v>
      </c>
      <c r="F20" s="305">
        <f t="shared" si="10"/>
        <v>0</v>
      </c>
      <c r="G20" s="303">
        <f t="shared" si="11"/>
        <v>12</v>
      </c>
      <c r="H20" s="305">
        <f t="shared" si="12"/>
        <v>0</v>
      </c>
      <c r="I20" s="305">
        <f t="shared" si="0"/>
        <v>0</v>
      </c>
      <c r="J20" s="408">
        <f>'SQ(Team A) Data'!J21+'SQ(Team B ) Data'!J20+'SQ (Team C) Data'!J20</f>
        <v>0</v>
      </c>
      <c r="K20" s="307">
        <f t="shared" si="13"/>
        <v>0</v>
      </c>
      <c r="L20" s="305" t="e">
        <f t="shared" si="1"/>
        <v>#DIV/0!</v>
      </c>
      <c r="M20" s="305" t="e">
        <f t="shared" si="2"/>
        <v>#DIV/0!</v>
      </c>
      <c r="N20" s="409">
        <f>'SQ(Team A) Data'!N21+'SQ(Team B ) Data'!N20+'SQ (Team C) Data'!N20</f>
        <v>7.38</v>
      </c>
      <c r="O20" s="308" t="e">
        <f t="shared" si="3"/>
        <v>#DIV/0!</v>
      </c>
      <c r="P20" s="415">
        <f>'SQ(Team A) Data'!P21+'SQ(Team B ) Data'!P20+'SQ (Team C) Data'!P20</f>
        <v>0</v>
      </c>
      <c r="Q20" s="411">
        <f>'SQ(Team A) Data'!Q21+'SQ(Team B ) Data'!Q20+'SQ (Team C) Data'!Q20</f>
        <v>0</v>
      </c>
      <c r="R20" s="411">
        <f>'SQ(Team A) Data'!P21+'SQ(Team B ) Data'!P20+'SQ (Team C) Data'!P20</f>
        <v>0</v>
      </c>
      <c r="S20" s="411">
        <f>'SQ(Team A) Data'!Q21+'SQ(Team B ) Data'!Q20+'SQ (Team C) Data'!Q20</f>
        <v>0</v>
      </c>
      <c r="T20" s="411">
        <f>'SQ(Team A) Data'!R21+'SQ(Team B ) Data'!R20+'SQ (Team C) Data'!R20</f>
        <v>0</v>
      </c>
      <c r="U20" s="412" t="e">
        <f t="shared" si="20"/>
        <v>#DIV/0!</v>
      </c>
      <c r="V20" s="413">
        <f t="shared" si="14"/>
        <v>0</v>
      </c>
      <c r="W20" s="415">
        <f>'SQ(Team A) Data'!W21+'SQ(Team B ) Data'!W20+'SQ (Team C) Data'!W20</f>
        <v>0</v>
      </c>
      <c r="X20" s="415">
        <f>'SQ(Team A) Data'!X21+'SQ(Team B ) Data'!X20+'SQ (Team C) Data'!X20</f>
        <v>0</v>
      </c>
      <c r="Y20" s="415">
        <f>'SQ(Team A) Data'!Y21+'SQ(Team B ) Data'!Y20+'SQ (Team C) Data'!Y20</f>
        <v>0</v>
      </c>
      <c r="Z20" s="415">
        <f>'SQ(Team A) Data'!Z21+'SQ(Team B ) Data'!Z20+'SQ (Team C) Data'!Z20</f>
        <v>0</v>
      </c>
      <c r="AA20" s="415">
        <f>'SQ(Team A) Data'!AA21+'SQ(Team B ) Data'!AA20+'SQ (Team C) Data'!AA20</f>
        <v>0</v>
      </c>
      <c r="AB20" s="314">
        <f t="shared" si="5"/>
        <v>0</v>
      </c>
      <c r="AC20" s="415">
        <f>'SQ(Team A) Data'!AC21+'SQ(Team B ) Data'!AC20+'SQ (Team C) Data'!AC20</f>
        <v>0</v>
      </c>
      <c r="AD20" s="415">
        <f>'SQ(Team A) Data'!AD21+'SQ(Team B ) Data'!AD20+'SQ (Team C) Data'!AD20</f>
        <v>0</v>
      </c>
      <c r="AE20" s="415">
        <f>'SQ(Team A) Data'!AE21+'SQ(Team B ) Data'!AE20+'SQ (Team C) Data'!AE20</f>
        <v>0</v>
      </c>
      <c r="AF20" s="415">
        <f>'SQ(Team A) Data'!AF21+'SQ(Team B ) Data'!AF20+'SQ (Team C) Data'!AF20</f>
        <v>0</v>
      </c>
      <c r="AG20" s="415">
        <f>'SQ(Team A) Data'!AG21+'SQ(Team B ) Data'!AG20+'SQ (Team C) Data'!AG20</f>
        <v>0</v>
      </c>
      <c r="AH20" s="415">
        <f>'SQ(Team A) Data'!AH21+'SQ(Team B ) Data'!AH20+'SQ (Team C) Data'!AH20</f>
        <v>0</v>
      </c>
      <c r="AI20" s="415">
        <f>'SQ(Team A) Data'!AI21+'SQ(Team B ) Data'!AI20+'SQ (Team C) Data'!AI20</f>
        <v>0</v>
      </c>
      <c r="AJ20" s="415">
        <f>'SQ(Team A) Data'!AJ21+'SQ(Team B ) Data'!AJ20+'SQ (Team C) Data'!AJ20</f>
        <v>0</v>
      </c>
      <c r="AK20" s="415">
        <f>'SQ(Team A) Data'!AK21+'SQ(Team B ) Data'!AK20+'SQ (Team C) Data'!AK20</f>
        <v>0</v>
      </c>
      <c r="AL20" s="415">
        <f>'SQ(Team A) Data'!AL21+'SQ(Team B ) Data'!AL20+'SQ (Team C) Data'!AL20</f>
        <v>0</v>
      </c>
      <c r="AM20" s="415">
        <f>'SQ(Team A) Data'!AM21+'SQ(Team B ) Data'!AM20+'SQ (Team C) Data'!AM20</f>
        <v>0</v>
      </c>
      <c r="AN20" s="316">
        <f t="shared" si="6"/>
        <v>0</v>
      </c>
      <c r="AO20" s="316">
        <f t="shared" si="6"/>
        <v>0</v>
      </c>
      <c r="AP20" s="317">
        <f t="shared" si="7"/>
        <v>0</v>
      </c>
      <c r="AQ20" s="267">
        <f t="shared" si="15"/>
        <v>0</v>
      </c>
      <c r="AR20" s="318">
        <f t="shared" si="8"/>
        <v>0</v>
      </c>
      <c r="AS20" s="416">
        <f>'SQ(Team A) Data'!AS21+'SQ(Team B ) Data'!AS20+'SQ (Team C) Data'!AS20</f>
        <v>0</v>
      </c>
      <c r="AT20" s="415">
        <f>'SQ(Team A) Data'!AT21+'SQ(Team B ) Data'!AT20+'SQ (Team C) Data'!AT20</f>
        <v>0</v>
      </c>
      <c r="AU20" s="319" t="e">
        <f t="shared" si="16"/>
        <v>#DIV/0!</v>
      </c>
      <c r="AV20" s="415">
        <f>'SQ(Team A) Data'!AV21+'SQ(Team B ) Data'!AV20+'SQ (Team C) Data'!AV20</f>
        <v>0</v>
      </c>
      <c r="AW20" s="415">
        <f>'SQ(Team A) Data'!AW21+'SQ(Team B ) Data'!AW20+'SQ (Team C) Data'!AW20</f>
        <v>0</v>
      </c>
      <c r="AX20" s="415">
        <f>'SQ(Team A) Data'!AX21+'SQ(Team B ) Data'!AX20+'SQ (Team C) Data'!AX20</f>
        <v>0</v>
      </c>
      <c r="AY20" s="321">
        <f t="shared" si="17"/>
        <v>0</v>
      </c>
      <c r="AZ20" s="415">
        <f>'SQ(Team A) Data'!AZ21+'SQ(Team B ) Data'!AZ20+'SQ (Team C) Data'!AZ20</f>
        <v>0</v>
      </c>
      <c r="BA20" s="323"/>
      <c r="BC20" s="303">
        <v>12</v>
      </c>
      <c r="BD20" s="408">
        <f>'SQ(Team A) Data'!BD21+'SQ(Team B ) Data'!BD20+'SQ (Team C) Data'!BD20</f>
        <v>0</v>
      </c>
      <c r="BE20" s="305">
        <f t="shared" si="18"/>
        <v>0</v>
      </c>
      <c r="BF20" s="525">
        <f>'SQ(Team A) Data'!BF21+'SQ(Team B ) Data'!BF20+'SQ (Team C) Data'!BF20</f>
        <v>0</v>
      </c>
      <c r="BG20" s="307">
        <f t="shared" si="19"/>
        <v>0</v>
      </c>
      <c r="BH20" s="305" t="e">
        <f t="shared" si="9"/>
        <v>#DIV/0!</v>
      </c>
      <c r="BI20" s="305" t="e">
        <f t="shared" si="9"/>
        <v>#DIV/0!</v>
      </c>
    </row>
    <row r="21" spans="1:61" s="139" customFormat="1" ht="18" customHeight="1">
      <c r="A21" s="431"/>
      <c r="B21" s="302"/>
      <c r="C21" s="303">
        <v>13</v>
      </c>
      <c r="D21" s="407">
        <f>'SQ(Team A) Data'!D22+'SQ(Team B ) Data'!D21+'SQ (Team C) Data'!D21</f>
        <v>0</v>
      </c>
      <c r="E21" s="408">
        <f>'SQ(Team A) Data'!E22+'SQ(Team B ) Data'!E21+'SQ (Team C) Data'!E21</f>
        <v>0</v>
      </c>
      <c r="F21" s="305">
        <f t="shared" si="10"/>
        <v>0</v>
      </c>
      <c r="G21" s="303">
        <f t="shared" si="11"/>
        <v>13</v>
      </c>
      <c r="H21" s="305">
        <f t="shared" si="12"/>
        <v>0</v>
      </c>
      <c r="I21" s="305">
        <f t="shared" si="0"/>
        <v>0</v>
      </c>
      <c r="J21" s="408">
        <f>'SQ(Team A) Data'!J22+'SQ(Team B ) Data'!J21+'SQ (Team C) Data'!J21</f>
        <v>0</v>
      </c>
      <c r="K21" s="307">
        <f t="shared" si="13"/>
        <v>0</v>
      </c>
      <c r="L21" s="305" t="e">
        <f t="shared" si="1"/>
        <v>#DIV/0!</v>
      </c>
      <c r="M21" s="305" t="e">
        <f t="shared" si="2"/>
        <v>#DIV/0!</v>
      </c>
      <c r="N21" s="409">
        <f>'SQ(Team A) Data'!N22+'SQ(Team B ) Data'!N21+'SQ (Team C) Data'!N21</f>
        <v>0</v>
      </c>
      <c r="O21" s="308" t="e">
        <f t="shared" si="3"/>
        <v>#DIV/0!</v>
      </c>
      <c r="P21" s="415">
        <f>'SQ(Team A) Data'!P22+'SQ(Team B ) Data'!P21+'SQ (Team C) Data'!P21</f>
        <v>0</v>
      </c>
      <c r="Q21" s="411">
        <f>'SQ(Team A) Data'!Q22+'SQ(Team B ) Data'!Q21+'SQ (Team C) Data'!Q21</f>
        <v>0</v>
      </c>
      <c r="R21" s="411">
        <f>'SQ(Team A) Data'!P22+'SQ(Team B ) Data'!P21+'SQ (Team C) Data'!P21</f>
        <v>0</v>
      </c>
      <c r="S21" s="411">
        <f>'SQ(Team A) Data'!Q22+'SQ(Team B ) Data'!Q21+'SQ (Team C) Data'!Q21</f>
        <v>0</v>
      </c>
      <c r="T21" s="411">
        <f>'SQ(Team A) Data'!R22+'SQ(Team B ) Data'!R21+'SQ (Team C) Data'!R21</f>
        <v>0</v>
      </c>
      <c r="U21" s="412" t="e">
        <f t="shared" si="20"/>
        <v>#DIV/0!</v>
      </c>
      <c r="V21" s="413" t="e">
        <f t="shared" si="14"/>
        <v>#DIV/0!</v>
      </c>
      <c r="W21" s="415">
        <f>'SQ(Team A) Data'!W22+'SQ(Team B ) Data'!W21+'SQ (Team C) Data'!W21</f>
        <v>0</v>
      </c>
      <c r="X21" s="415">
        <f>'SQ(Team A) Data'!X22+'SQ(Team B ) Data'!X21+'SQ (Team C) Data'!X21</f>
        <v>0</v>
      </c>
      <c r="Y21" s="415">
        <f>'SQ(Team A) Data'!Y22+'SQ(Team B ) Data'!Y21+'SQ (Team C) Data'!Y21</f>
        <v>0</v>
      </c>
      <c r="Z21" s="415">
        <f>'SQ(Team A) Data'!Z22+'SQ(Team B ) Data'!Z21+'SQ (Team C) Data'!Z21</f>
        <v>0</v>
      </c>
      <c r="AA21" s="415">
        <f>'SQ(Team A) Data'!AA22+'SQ(Team B ) Data'!AA21+'SQ (Team C) Data'!AA21</f>
        <v>0</v>
      </c>
      <c r="AB21" s="314">
        <f t="shared" si="5"/>
        <v>0</v>
      </c>
      <c r="AC21" s="415">
        <f>'SQ(Team A) Data'!AC22+'SQ(Team B ) Data'!AC21+'SQ (Team C) Data'!AC21</f>
        <v>0</v>
      </c>
      <c r="AD21" s="415">
        <f>'SQ(Team A) Data'!AD22+'SQ(Team B ) Data'!AD21+'SQ (Team C) Data'!AD21</f>
        <v>0</v>
      </c>
      <c r="AE21" s="415">
        <f>'SQ(Team A) Data'!AE22+'SQ(Team B ) Data'!AE21+'SQ (Team C) Data'!AE21</f>
        <v>0</v>
      </c>
      <c r="AF21" s="415">
        <f>'SQ(Team A) Data'!AF22+'SQ(Team B ) Data'!AF21+'SQ (Team C) Data'!AF21</f>
        <v>0</v>
      </c>
      <c r="AG21" s="415">
        <f>'SQ(Team A) Data'!AG22+'SQ(Team B ) Data'!AG21+'SQ (Team C) Data'!AG21</f>
        <v>0</v>
      </c>
      <c r="AH21" s="415">
        <f>'SQ(Team A) Data'!AH22+'SQ(Team B ) Data'!AH21+'SQ (Team C) Data'!AH21</f>
        <v>0</v>
      </c>
      <c r="AI21" s="415">
        <f>'SQ(Team A) Data'!AI22+'SQ(Team B ) Data'!AI21+'SQ (Team C) Data'!AI21</f>
        <v>0</v>
      </c>
      <c r="AJ21" s="415">
        <f>'SQ(Team A) Data'!AJ22+'SQ(Team B ) Data'!AJ21+'SQ (Team C) Data'!AJ21</f>
        <v>0</v>
      </c>
      <c r="AK21" s="415">
        <f>'SQ(Team A) Data'!AK22+'SQ(Team B ) Data'!AK21+'SQ (Team C) Data'!AK21</f>
        <v>0</v>
      </c>
      <c r="AL21" s="415">
        <f>'SQ(Team A) Data'!AL22+'SQ(Team B ) Data'!AL21+'SQ (Team C) Data'!AL21</f>
        <v>0</v>
      </c>
      <c r="AM21" s="415">
        <f>'SQ(Team A) Data'!AM22+'SQ(Team B ) Data'!AM21+'SQ (Team C) Data'!AM21</f>
        <v>0</v>
      </c>
      <c r="AN21" s="316">
        <f t="shared" si="6"/>
        <v>0</v>
      </c>
      <c r="AO21" s="316">
        <f t="shared" si="6"/>
        <v>0</v>
      </c>
      <c r="AP21" s="317">
        <f t="shared" si="7"/>
        <v>0</v>
      </c>
      <c r="AQ21" s="267">
        <f t="shared" si="15"/>
        <v>0</v>
      </c>
      <c r="AR21" s="318">
        <f t="shared" si="8"/>
        <v>0</v>
      </c>
      <c r="AS21" s="416">
        <f>'SQ(Team A) Data'!AS22+'SQ(Team B ) Data'!AS21+'SQ (Team C) Data'!AS21</f>
        <v>0</v>
      </c>
      <c r="AT21" s="415">
        <f>'SQ(Team A) Data'!AT22+'SQ(Team B ) Data'!AT21+'SQ (Team C) Data'!AT21</f>
        <v>0</v>
      </c>
      <c r="AU21" s="319" t="e">
        <f t="shared" si="16"/>
        <v>#DIV/0!</v>
      </c>
      <c r="AV21" s="415">
        <f>'SQ(Team A) Data'!AV22+'SQ(Team B ) Data'!AV21+'SQ (Team C) Data'!AV21</f>
        <v>0</v>
      </c>
      <c r="AW21" s="415">
        <f>'SQ(Team A) Data'!AW22+'SQ(Team B ) Data'!AW21+'SQ (Team C) Data'!AW21</f>
        <v>0</v>
      </c>
      <c r="AX21" s="415">
        <f>'SQ(Team A) Data'!AX22+'SQ(Team B ) Data'!AX21+'SQ (Team C) Data'!AX21</f>
        <v>0</v>
      </c>
      <c r="AY21" s="321">
        <f t="shared" si="17"/>
        <v>0</v>
      </c>
      <c r="AZ21" s="415">
        <f>'SQ(Team A) Data'!AZ22+'SQ(Team B ) Data'!AZ21+'SQ (Team C) Data'!AZ21</f>
        <v>0</v>
      </c>
      <c r="BA21" s="323"/>
      <c r="BC21" s="303">
        <v>13</v>
      </c>
      <c r="BD21" s="408">
        <f>'SQ(Team A) Data'!BD22+'SQ(Team B ) Data'!BD21+'SQ (Team C) Data'!BD21</f>
        <v>0</v>
      </c>
      <c r="BE21" s="305">
        <f t="shared" si="18"/>
        <v>0</v>
      </c>
      <c r="BF21" s="525">
        <f>'SQ(Team A) Data'!BF22+'SQ(Team B ) Data'!BF21+'SQ (Team C) Data'!BF21</f>
        <v>0</v>
      </c>
      <c r="BG21" s="307">
        <f t="shared" si="19"/>
        <v>0</v>
      </c>
      <c r="BH21" s="305" t="e">
        <f t="shared" si="9"/>
        <v>#DIV/0!</v>
      </c>
      <c r="BI21" s="305" t="e">
        <f t="shared" si="9"/>
        <v>#DIV/0!</v>
      </c>
    </row>
    <row r="22" spans="1:61" s="139" customFormat="1" ht="18" customHeight="1">
      <c r="A22" s="431"/>
      <c r="B22" s="302"/>
      <c r="C22" s="303">
        <v>14</v>
      </c>
      <c r="D22" s="407">
        <f>'SQ(Team A) Data'!D23+'SQ(Team B ) Data'!D22+'SQ (Team C) Data'!D22</f>
        <v>0</v>
      </c>
      <c r="E22" s="408">
        <f>'SQ(Team A) Data'!E23+'SQ(Team B ) Data'!E22+'SQ (Team C) Data'!E22</f>
        <v>0</v>
      </c>
      <c r="F22" s="305">
        <f t="shared" si="10"/>
        <v>0</v>
      </c>
      <c r="G22" s="303">
        <f t="shared" si="11"/>
        <v>14</v>
      </c>
      <c r="H22" s="305">
        <f t="shared" si="12"/>
        <v>0</v>
      </c>
      <c r="I22" s="305">
        <f t="shared" si="0"/>
        <v>0</v>
      </c>
      <c r="J22" s="408">
        <f>'SQ(Team A) Data'!J23+'SQ(Team B ) Data'!J22+'SQ (Team C) Data'!J22</f>
        <v>0</v>
      </c>
      <c r="K22" s="307">
        <f t="shared" si="13"/>
        <v>0</v>
      </c>
      <c r="L22" s="305" t="e">
        <f t="shared" si="1"/>
        <v>#DIV/0!</v>
      </c>
      <c r="M22" s="305" t="e">
        <f t="shared" si="2"/>
        <v>#DIV/0!</v>
      </c>
      <c r="N22" s="409">
        <f>'SQ(Team A) Data'!N23+'SQ(Team B ) Data'!N22+'SQ (Team C) Data'!N22</f>
        <v>0</v>
      </c>
      <c r="O22" s="308" t="e">
        <f t="shared" si="3"/>
        <v>#DIV/0!</v>
      </c>
      <c r="P22" s="415">
        <f>'SQ(Team A) Data'!P23+'SQ(Team B ) Data'!P22+'SQ (Team C) Data'!P22</f>
        <v>0</v>
      </c>
      <c r="Q22" s="411">
        <f>'SQ(Team A) Data'!Q23+'SQ(Team B ) Data'!Q22+'SQ (Team C) Data'!Q22</f>
        <v>0</v>
      </c>
      <c r="R22" s="411">
        <f>'SQ(Team A) Data'!P23+'SQ(Team B ) Data'!P22+'SQ (Team C) Data'!P22</f>
        <v>0</v>
      </c>
      <c r="S22" s="411">
        <f>'SQ(Team A) Data'!Q23+'SQ(Team B ) Data'!Q22+'SQ (Team C) Data'!Q22</f>
        <v>0</v>
      </c>
      <c r="T22" s="411">
        <f>'SQ(Team A) Data'!R23+'SQ(Team B ) Data'!R22+'SQ (Team C) Data'!R22</f>
        <v>0</v>
      </c>
      <c r="U22" s="412" t="e">
        <f t="shared" si="20"/>
        <v>#DIV/0!</v>
      </c>
      <c r="V22" s="413" t="e">
        <f t="shared" si="14"/>
        <v>#DIV/0!</v>
      </c>
      <c r="W22" s="415">
        <f>'SQ(Team A) Data'!W23+'SQ(Team B ) Data'!W22+'SQ (Team C) Data'!W22</f>
        <v>0</v>
      </c>
      <c r="X22" s="415">
        <f>'SQ(Team A) Data'!X23+'SQ(Team B ) Data'!X22+'SQ (Team C) Data'!X22</f>
        <v>0</v>
      </c>
      <c r="Y22" s="415">
        <f>'SQ(Team A) Data'!Y23+'SQ(Team B ) Data'!Y22+'SQ (Team C) Data'!Y22</f>
        <v>0</v>
      </c>
      <c r="Z22" s="415">
        <f>'SQ(Team A) Data'!Z23+'SQ(Team B ) Data'!Z22+'SQ (Team C) Data'!Z22</f>
        <v>0</v>
      </c>
      <c r="AA22" s="415">
        <f>'SQ(Team A) Data'!AA23+'SQ(Team B ) Data'!AA22+'SQ (Team C) Data'!AA22</f>
        <v>0</v>
      </c>
      <c r="AB22" s="314">
        <f t="shared" si="5"/>
        <v>0</v>
      </c>
      <c r="AC22" s="415">
        <f>'SQ(Team A) Data'!AC23+'SQ(Team B ) Data'!AC22+'SQ (Team C) Data'!AC22</f>
        <v>0</v>
      </c>
      <c r="AD22" s="415">
        <f>'SQ(Team A) Data'!AD23+'SQ(Team B ) Data'!AD22+'SQ (Team C) Data'!AD22</f>
        <v>0</v>
      </c>
      <c r="AE22" s="415">
        <f>'SQ(Team A) Data'!AE23+'SQ(Team B ) Data'!AE22+'SQ (Team C) Data'!AE22</f>
        <v>0</v>
      </c>
      <c r="AF22" s="415">
        <f>'SQ(Team A) Data'!AF23+'SQ(Team B ) Data'!AF22+'SQ (Team C) Data'!AF22</f>
        <v>0</v>
      </c>
      <c r="AG22" s="415">
        <f>'SQ(Team A) Data'!AG23+'SQ(Team B ) Data'!AG22+'SQ (Team C) Data'!AG22</f>
        <v>0</v>
      </c>
      <c r="AH22" s="415">
        <f>'SQ(Team A) Data'!AH23+'SQ(Team B ) Data'!AH22+'SQ (Team C) Data'!AH22</f>
        <v>0</v>
      </c>
      <c r="AI22" s="415">
        <f>'SQ(Team A) Data'!AI23+'SQ(Team B ) Data'!AI22+'SQ (Team C) Data'!AI22</f>
        <v>0</v>
      </c>
      <c r="AJ22" s="415">
        <f>'SQ(Team A) Data'!AJ23+'SQ(Team B ) Data'!AJ22+'SQ (Team C) Data'!AJ22</f>
        <v>0</v>
      </c>
      <c r="AK22" s="415">
        <f>'SQ(Team A) Data'!AK23+'SQ(Team B ) Data'!AK22+'SQ (Team C) Data'!AK22</f>
        <v>0</v>
      </c>
      <c r="AL22" s="415">
        <f>'SQ(Team A) Data'!AL23+'SQ(Team B ) Data'!AL22+'SQ (Team C) Data'!AL22</f>
        <v>0</v>
      </c>
      <c r="AM22" s="415">
        <f>'SQ(Team A) Data'!AM23+'SQ(Team B ) Data'!AM22+'SQ (Team C) Data'!AM22</f>
        <v>0</v>
      </c>
      <c r="AN22" s="316">
        <f t="shared" si="6"/>
        <v>0</v>
      </c>
      <c r="AO22" s="316">
        <f t="shared" si="6"/>
        <v>0</v>
      </c>
      <c r="AP22" s="317">
        <f t="shared" si="7"/>
        <v>0</v>
      </c>
      <c r="AQ22" s="267">
        <f t="shared" si="15"/>
        <v>0</v>
      </c>
      <c r="AR22" s="318">
        <f t="shared" si="8"/>
        <v>0</v>
      </c>
      <c r="AS22" s="416">
        <f>'SQ(Team A) Data'!AS23+'SQ(Team B ) Data'!AS22+'SQ (Team C) Data'!AS22</f>
        <v>0</v>
      </c>
      <c r="AT22" s="415">
        <f>'SQ(Team A) Data'!AT23+'SQ(Team B ) Data'!AT22+'SQ (Team C) Data'!AT22</f>
        <v>0</v>
      </c>
      <c r="AU22" s="319" t="e">
        <f t="shared" si="16"/>
        <v>#DIV/0!</v>
      </c>
      <c r="AV22" s="415">
        <f>'SQ(Team A) Data'!AV23+'SQ(Team B ) Data'!AV22+'SQ (Team C) Data'!AV22</f>
        <v>0</v>
      </c>
      <c r="AW22" s="415">
        <f>'SQ(Team A) Data'!AW23+'SQ(Team B ) Data'!AW22+'SQ (Team C) Data'!AW22</f>
        <v>0</v>
      </c>
      <c r="AX22" s="415">
        <f>'SQ(Team A) Data'!AX23+'SQ(Team B ) Data'!AX22+'SQ (Team C) Data'!AX22</f>
        <v>0</v>
      </c>
      <c r="AY22" s="321">
        <f t="shared" si="17"/>
        <v>0</v>
      </c>
      <c r="AZ22" s="415">
        <f>'SQ(Team A) Data'!AZ23+'SQ(Team B ) Data'!AZ22+'SQ (Team C) Data'!AZ22</f>
        <v>0</v>
      </c>
      <c r="BA22" s="323"/>
      <c r="BC22" s="303">
        <v>14</v>
      </c>
      <c r="BD22" s="408">
        <f>'SQ(Team A) Data'!BD23+'SQ(Team B ) Data'!BD22+'SQ (Team C) Data'!BD22</f>
        <v>0</v>
      </c>
      <c r="BE22" s="305">
        <f t="shared" si="18"/>
        <v>0</v>
      </c>
      <c r="BF22" s="525">
        <f>'SQ(Team A) Data'!BF23+'SQ(Team B ) Data'!BF22+'SQ (Team C) Data'!BF22</f>
        <v>0</v>
      </c>
      <c r="BG22" s="307">
        <f t="shared" si="19"/>
        <v>0</v>
      </c>
      <c r="BH22" s="305" t="e">
        <f t="shared" si="9"/>
        <v>#DIV/0!</v>
      </c>
      <c r="BI22" s="305" t="e">
        <f t="shared" si="9"/>
        <v>#DIV/0!</v>
      </c>
    </row>
    <row r="23" spans="1:61" ht="18" customHeight="1">
      <c r="B23" s="302"/>
      <c r="C23" s="303">
        <v>15</v>
      </c>
      <c r="D23" s="407">
        <f>'SQ(Team A) Data'!D24+'SQ(Team B ) Data'!D23+'SQ (Team C) Data'!D23</f>
        <v>0</v>
      </c>
      <c r="E23" s="408">
        <f>'SQ(Team A) Data'!E24+'SQ(Team B ) Data'!E23+'SQ (Team C) Data'!E23</f>
        <v>0</v>
      </c>
      <c r="F23" s="305">
        <f t="shared" si="10"/>
        <v>0</v>
      </c>
      <c r="G23" s="303">
        <f t="shared" si="11"/>
        <v>15</v>
      </c>
      <c r="H23" s="305">
        <f t="shared" si="12"/>
        <v>0</v>
      </c>
      <c r="I23" s="305">
        <f t="shared" si="0"/>
        <v>0</v>
      </c>
      <c r="J23" s="408">
        <f>'SQ(Team A) Data'!J24+'SQ(Team B ) Data'!J23+'SQ (Team C) Data'!J23</f>
        <v>0</v>
      </c>
      <c r="K23" s="307">
        <f t="shared" si="13"/>
        <v>0</v>
      </c>
      <c r="L23" s="305" t="e">
        <f t="shared" si="1"/>
        <v>#DIV/0!</v>
      </c>
      <c r="M23" s="305" t="e">
        <f t="shared" si="2"/>
        <v>#DIV/0!</v>
      </c>
      <c r="N23" s="409">
        <f>'SQ(Team A) Data'!N24+'SQ(Team B ) Data'!N23+'SQ (Team C) Data'!N23</f>
        <v>9.48</v>
      </c>
      <c r="O23" s="308" t="e">
        <f t="shared" si="3"/>
        <v>#DIV/0!</v>
      </c>
      <c r="P23" s="415">
        <f>'SQ(Team A) Data'!P24+'SQ(Team B ) Data'!P23+'SQ (Team C) Data'!P23</f>
        <v>0</v>
      </c>
      <c r="Q23" s="411">
        <f>'SQ(Team A) Data'!Q24+'SQ(Team B ) Data'!Q23+'SQ (Team C) Data'!Q23</f>
        <v>0</v>
      </c>
      <c r="R23" s="411">
        <f>'SQ(Team A) Data'!P24+'SQ(Team B ) Data'!P23+'SQ (Team C) Data'!P23</f>
        <v>0</v>
      </c>
      <c r="S23" s="411">
        <f>'SQ(Team A) Data'!Q24+'SQ(Team B ) Data'!Q23+'SQ (Team C) Data'!Q23</f>
        <v>0</v>
      </c>
      <c r="T23" s="411">
        <f>'SQ(Team A) Data'!R24+'SQ(Team B ) Data'!R23+'SQ (Team C) Data'!R23</f>
        <v>0</v>
      </c>
      <c r="U23" s="412" t="e">
        <f t="shared" si="20"/>
        <v>#DIV/0!</v>
      </c>
      <c r="V23" s="413">
        <f t="shared" si="14"/>
        <v>0</v>
      </c>
      <c r="W23" s="415">
        <f>'SQ(Team A) Data'!W24+'SQ(Team B ) Data'!W23+'SQ (Team C) Data'!W23</f>
        <v>0</v>
      </c>
      <c r="X23" s="415">
        <f>'SQ(Team A) Data'!X24+'SQ(Team B ) Data'!X23+'SQ (Team C) Data'!X23</f>
        <v>0</v>
      </c>
      <c r="Y23" s="415">
        <f>'SQ(Team A) Data'!Y24+'SQ(Team B ) Data'!Y23+'SQ (Team C) Data'!Y23</f>
        <v>0</v>
      </c>
      <c r="Z23" s="415">
        <f>'SQ(Team A) Data'!Z24+'SQ(Team B ) Data'!Z23+'SQ (Team C) Data'!Z23</f>
        <v>0</v>
      </c>
      <c r="AA23" s="415">
        <f>'SQ(Team A) Data'!AA24+'SQ(Team B ) Data'!AA23+'SQ (Team C) Data'!AA23</f>
        <v>0</v>
      </c>
      <c r="AB23" s="314">
        <f t="shared" si="5"/>
        <v>0</v>
      </c>
      <c r="AC23" s="415">
        <f>'SQ(Team A) Data'!AC24+'SQ(Team B ) Data'!AC23+'SQ (Team C) Data'!AC23</f>
        <v>0</v>
      </c>
      <c r="AD23" s="415">
        <f>'SQ(Team A) Data'!AD24+'SQ(Team B ) Data'!AD23+'SQ (Team C) Data'!AD23</f>
        <v>0</v>
      </c>
      <c r="AE23" s="415">
        <f>'SQ(Team A) Data'!AE24+'SQ(Team B ) Data'!AE23+'SQ (Team C) Data'!AE23</f>
        <v>0</v>
      </c>
      <c r="AF23" s="415">
        <f>'SQ(Team A) Data'!AF24+'SQ(Team B ) Data'!AF23+'SQ (Team C) Data'!AF23</f>
        <v>0</v>
      </c>
      <c r="AG23" s="415">
        <f>'SQ(Team A) Data'!AG24+'SQ(Team B ) Data'!AG23+'SQ (Team C) Data'!AG23</f>
        <v>0</v>
      </c>
      <c r="AH23" s="415">
        <f>'SQ(Team A) Data'!AH24+'SQ(Team B ) Data'!AH23+'SQ (Team C) Data'!AH23</f>
        <v>0</v>
      </c>
      <c r="AI23" s="415">
        <f>'SQ(Team A) Data'!AI24+'SQ(Team B ) Data'!AI23+'SQ (Team C) Data'!AI23</f>
        <v>0</v>
      </c>
      <c r="AJ23" s="415">
        <f>'SQ(Team A) Data'!AJ24+'SQ(Team B ) Data'!AJ23+'SQ (Team C) Data'!AJ23</f>
        <v>0</v>
      </c>
      <c r="AK23" s="415">
        <f>'SQ(Team A) Data'!AK24+'SQ(Team B ) Data'!AK23+'SQ (Team C) Data'!AK23</f>
        <v>0</v>
      </c>
      <c r="AL23" s="415">
        <f>'SQ(Team A) Data'!AL24+'SQ(Team B ) Data'!AL23+'SQ (Team C) Data'!AL23</f>
        <v>0</v>
      </c>
      <c r="AM23" s="415">
        <f>'SQ(Team A) Data'!AM24+'SQ(Team B ) Data'!AM23+'SQ (Team C) Data'!AM23</f>
        <v>0</v>
      </c>
      <c r="AN23" s="316">
        <f t="shared" si="6"/>
        <v>0</v>
      </c>
      <c r="AO23" s="316">
        <f t="shared" si="6"/>
        <v>0</v>
      </c>
      <c r="AP23" s="317">
        <f t="shared" si="7"/>
        <v>0</v>
      </c>
      <c r="AQ23" s="267">
        <f t="shared" si="15"/>
        <v>0</v>
      </c>
      <c r="AR23" s="318">
        <f t="shared" si="8"/>
        <v>0</v>
      </c>
      <c r="AS23" s="416">
        <f>'SQ(Team A) Data'!AS24+'SQ(Team B ) Data'!AS23+'SQ (Team C) Data'!AS23</f>
        <v>0</v>
      </c>
      <c r="AT23" s="415">
        <f>'SQ(Team A) Data'!AT24+'SQ(Team B ) Data'!AT23+'SQ (Team C) Data'!AT23</f>
        <v>0</v>
      </c>
      <c r="AU23" s="319" t="e">
        <f t="shared" si="16"/>
        <v>#DIV/0!</v>
      </c>
      <c r="AV23" s="415">
        <f>'SQ(Team A) Data'!AV24+'SQ(Team B ) Data'!AV23+'SQ (Team C) Data'!AV23</f>
        <v>0</v>
      </c>
      <c r="AW23" s="415">
        <f>'SQ(Team A) Data'!AW24+'SQ(Team B ) Data'!AW23+'SQ (Team C) Data'!AW23</f>
        <v>0</v>
      </c>
      <c r="AX23" s="415">
        <f>'SQ(Team A) Data'!AX24+'SQ(Team B ) Data'!AX23+'SQ (Team C) Data'!AX23</f>
        <v>0</v>
      </c>
      <c r="AY23" s="321">
        <f t="shared" si="17"/>
        <v>0</v>
      </c>
      <c r="AZ23" s="415">
        <f>'SQ(Team A) Data'!AZ24+'SQ(Team B ) Data'!AZ23+'SQ (Team C) Data'!AZ23</f>
        <v>0</v>
      </c>
      <c r="BA23" s="323"/>
      <c r="BC23" s="303">
        <v>15</v>
      </c>
      <c r="BD23" s="408">
        <f>'SQ(Team A) Data'!BD24+'SQ(Team B ) Data'!BD23+'SQ (Team C) Data'!BD23</f>
        <v>0</v>
      </c>
      <c r="BE23" s="305">
        <f t="shared" si="18"/>
        <v>0</v>
      </c>
      <c r="BF23" s="525">
        <f>'SQ(Team A) Data'!BF24+'SQ(Team B ) Data'!BF23+'SQ (Team C) Data'!BF23</f>
        <v>0</v>
      </c>
      <c r="BG23" s="307">
        <f t="shared" si="19"/>
        <v>0</v>
      </c>
      <c r="BH23" s="305" t="e">
        <f t="shared" si="9"/>
        <v>#DIV/0!</v>
      </c>
      <c r="BI23" s="305" t="e">
        <f t="shared" si="9"/>
        <v>#DIV/0!</v>
      </c>
    </row>
    <row r="24" spans="1:61" ht="18" customHeight="1">
      <c r="B24" s="302"/>
      <c r="C24" s="303">
        <v>16</v>
      </c>
      <c r="D24" s="407">
        <f>'SQ(Team A) Data'!D25+'SQ(Team B ) Data'!D24+'SQ (Team C) Data'!D24</f>
        <v>0</v>
      </c>
      <c r="E24" s="408">
        <f>'SQ(Team A) Data'!E25+'SQ(Team B ) Data'!E24+'SQ (Team C) Data'!E24</f>
        <v>0</v>
      </c>
      <c r="F24" s="305">
        <f t="shared" si="10"/>
        <v>0</v>
      </c>
      <c r="G24" s="303">
        <f t="shared" si="11"/>
        <v>16</v>
      </c>
      <c r="H24" s="305">
        <f t="shared" si="12"/>
        <v>0</v>
      </c>
      <c r="I24" s="305">
        <f t="shared" si="0"/>
        <v>0</v>
      </c>
      <c r="J24" s="408">
        <f>'SQ(Team A) Data'!J25+'SQ(Team B ) Data'!J24+'SQ (Team C) Data'!J24</f>
        <v>0</v>
      </c>
      <c r="K24" s="307">
        <f t="shared" si="13"/>
        <v>0</v>
      </c>
      <c r="L24" s="305" t="e">
        <f t="shared" si="1"/>
        <v>#DIV/0!</v>
      </c>
      <c r="M24" s="305" t="e">
        <f t="shared" si="2"/>
        <v>#DIV/0!</v>
      </c>
      <c r="N24" s="409">
        <f>'SQ(Team A) Data'!N25+'SQ(Team B ) Data'!N24+'SQ (Team C) Data'!N24</f>
        <v>8.25</v>
      </c>
      <c r="O24" s="308" t="e">
        <f t="shared" si="3"/>
        <v>#DIV/0!</v>
      </c>
      <c r="P24" s="415">
        <f>'SQ(Team A) Data'!P25+'SQ(Team B ) Data'!P24+'SQ (Team C) Data'!P24</f>
        <v>0</v>
      </c>
      <c r="Q24" s="411">
        <f>'SQ(Team A) Data'!Q25+'SQ(Team B ) Data'!Q24+'SQ (Team C) Data'!Q24</f>
        <v>0</v>
      </c>
      <c r="R24" s="411">
        <f>'SQ(Team A) Data'!P25+'SQ(Team B ) Data'!P24+'SQ (Team C) Data'!P24</f>
        <v>0</v>
      </c>
      <c r="S24" s="411">
        <f>'SQ(Team A) Data'!Q25+'SQ(Team B ) Data'!Q24+'SQ (Team C) Data'!Q24</f>
        <v>0</v>
      </c>
      <c r="T24" s="411">
        <f>'SQ(Team A) Data'!R25+'SQ(Team B ) Data'!R24+'SQ (Team C) Data'!R24</f>
        <v>0</v>
      </c>
      <c r="U24" s="412" t="e">
        <f t="shared" si="20"/>
        <v>#DIV/0!</v>
      </c>
      <c r="V24" s="413">
        <f t="shared" si="14"/>
        <v>0</v>
      </c>
      <c r="W24" s="415">
        <f>'SQ(Team A) Data'!W25+'SQ(Team B ) Data'!W24+'SQ (Team C) Data'!W24</f>
        <v>0</v>
      </c>
      <c r="X24" s="415">
        <f>'SQ(Team A) Data'!X25+'SQ(Team B ) Data'!X24+'SQ (Team C) Data'!X24</f>
        <v>0</v>
      </c>
      <c r="Y24" s="415">
        <f>'SQ(Team A) Data'!Y25+'SQ(Team B ) Data'!Y24+'SQ (Team C) Data'!Y24</f>
        <v>0</v>
      </c>
      <c r="Z24" s="415">
        <f>'SQ(Team A) Data'!Z25+'SQ(Team B ) Data'!Z24+'SQ (Team C) Data'!Z24</f>
        <v>0</v>
      </c>
      <c r="AA24" s="415">
        <f>'SQ(Team A) Data'!AA25+'SQ(Team B ) Data'!AA24+'SQ (Team C) Data'!AA24</f>
        <v>0</v>
      </c>
      <c r="AB24" s="314">
        <f t="shared" si="5"/>
        <v>0</v>
      </c>
      <c r="AC24" s="415">
        <f>'SQ(Team A) Data'!AC25+'SQ(Team B ) Data'!AC24+'SQ (Team C) Data'!AC24</f>
        <v>0</v>
      </c>
      <c r="AD24" s="415">
        <f>'SQ(Team A) Data'!AD25+'SQ(Team B ) Data'!AD24+'SQ (Team C) Data'!AD24</f>
        <v>0</v>
      </c>
      <c r="AE24" s="415">
        <f>'SQ(Team A) Data'!AE25+'SQ(Team B ) Data'!AE24+'SQ (Team C) Data'!AE24</f>
        <v>0</v>
      </c>
      <c r="AF24" s="415">
        <f>'SQ(Team A) Data'!AF25+'SQ(Team B ) Data'!AF24+'SQ (Team C) Data'!AF24</f>
        <v>0</v>
      </c>
      <c r="AG24" s="415">
        <f>'SQ(Team A) Data'!AG25+'SQ(Team B ) Data'!AG24+'SQ (Team C) Data'!AG24</f>
        <v>0</v>
      </c>
      <c r="AH24" s="415">
        <f>'SQ(Team A) Data'!AH25+'SQ(Team B ) Data'!AH24+'SQ (Team C) Data'!AH24</f>
        <v>0</v>
      </c>
      <c r="AI24" s="415">
        <f>'SQ(Team A) Data'!AI25+'SQ(Team B ) Data'!AI24+'SQ (Team C) Data'!AI24</f>
        <v>0</v>
      </c>
      <c r="AJ24" s="415">
        <f>'SQ(Team A) Data'!AJ25+'SQ(Team B ) Data'!AJ24+'SQ (Team C) Data'!AJ24</f>
        <v>0</v>
      </c>
      <c r="AK24" s="415">
        <f>'SQ(Team A) Data'!AK25+'SQ(Team B ) Data'!AK24+'SQ (Team C) Data'!AK24</f>
        <v>0</v>
      </c>
      <c r="AL24" s="415">
        <f>'SQ(Team A) Data'!AL25+'SQ(Team B ) Data'!AL24+'SQ (Team C) Data'!AL24</f>
        <v>0</v>
      </c>
      <c r="AM24" s="415">
        <f>'SQ(Team A) Data'!AM25+'SQ(Team B ) Data'!AM24+'SQ (Team C) Data'!AM24</f>
        <v>0</v>
      </c>
      <c r="AN24" s="316">
        <f t="shared" si="6"/>
        <v>0</v>
      </c>
      <c r="AO24" s="316">
        <f t="shared" si="6"/>
        <v>0</v>
      </c>
      <c r="AP24" s="317">
        <f t="shared" si="7"/>
        <v>0</v>
      </c>
      <c r="AQ24" s="267">
        <f t="shared" si="15"/>
        <v>0</v>
      </c>
      <c r="AR24" s="318">
        <f t="shared" si="8"/>
        <v>0</v>
      </c>
      <c r="AS24" s="416">
        <f>'SQ(Team A) Data'!AS25+'SQ(Team B ) Data'!AS24+'SQ (Team C) Data'!AS24</f>
        <v>0</v>
      </c>
      <c r="AT24" s="415">
        <f>'SQ(Team A) Data'!AT25+'SQ(Team B ) Data'!AT24+'SQ (Team C) Data'!AT24</f>
        <v>0</v>
      </c>
      <c r="AU24" s="319" t="e">
        <f t="shared" si="16"/>
        <v>#DIV/0!</v>
      </c>
      <c r="AV24" s="415">
        <f>'SQ(Team A) Data'!AV25+'SQ(Team B ) Data'!AV24+'SQ (Team C) Data'!AV24</f>
        <v>0</v>
      </c>
      <c r="AW24" s="415">
        <f>'SQ(Team A) Data'!AW25+'SQ(Team B ) Data'!AW24+'SQ (Team C) Data'!AW24</f>
        <v>0</v>
      </c>
      <c r="AX24" s="415">
        <f>'SQ(Team A) Data'!AX25+'SQ(Team B ) Data'!AX24+'SQ (Team C) Data'!AX24</f>
        <v>0</v>
      </c>
      <c r="AY24" s="321">
        <f t="shared" si="17"/>
        <v>0</v>
      </c>
      <c r="AZ24" s="415">
        <f>'SQ(Team A) Data'!AZ25+'SQ(Team B ) Data'!AZ24+'SQ (Team C) Data'!AZ24</f>
        <v>0</v>
      </c>
      <c r="BA24" s="323"/>
      <c r="BC24" s="303">
        <v>16</v>
      </c>
      <c r="BD24" s="408">
        <f>'SQ(Team A) Data'!BD25+'SQ(Team B ) Data'!BD24+'SQ (Team C) Data'!BD24</f>
        <v>0</v>
      </c>
      <c r="BE24" s="305">
        <f t="shared" si="18"/>
        <v>0</v>
      </c>
      <c r="BF24" s="525">
        <f>'SQ(Team A) Data'!BF25+'SQ(Team B ) Data'!BF24+'SQ (Team C) Data'!BF24</f>
        <v>0</v>
      </c>
      <c r="BG24" s="307">
        <f t="shared" si="19"/>
        <v>0</v>
      </c>
      <c r="BH24" s="305" t="e">
        <f t="shared" si="9"/>
        <v>#DIV/0!</v>
      </c>
      <c r="BI24" s="305" t="e">
        <f t="shared" si="9"/>
        <v>#DIV/0!</v>
      </c>
    </row>
    <row r="25" spans="1:61" ht="18" customHeight="1">
      <c r="B25" s="302"/>
      <c r="C25" s="303">
        <v>17</v>
      </c>
      <c r="D25" s="407">
        <f>'SQ(Team A) Data'!D26+'SQ(Team B ) Data'!D25+'SQ (Team C) Data'!D25</f>
        <v>0</v>
      </c>
      <c r="E25" s="408">
        <f>'SQ(Team A) Data'!E26+'SQ(Team B ) Data'!E25+'SQ (Team C) Data'!E25</f>
        <v>0</v>
      </c>
      <c r="F25" s="305">
        <f t="shared" si="10"/>
        <v>0</v>
      </c>
      <c r="G25" s="303">
        <f t="shared" si="11"/>
        <v>17</v>
      </c>
      <c r="H25" s="305">
        <f t="shared" si="12"/>
        <v>0</v>
      </c>
      <c r="I25" s="305">
        <f t="shared" si="0"/>
        <v>0</v>
      </c>
      <c r="J25" s="408">
        <f>'SQ(Team A) Data'!J26+'SQ(Team B ) Data'!J25+'SQ (Team C) Data'!J25</f>
        <v>0</v>
      </c>
      <c r="K25" s="307">
        <f t="shared" si="13"/>
        <v>0</v>
      </c>
      <c r="L25" s="305" t="e">
        <f t="shared" si="1"/>
        <v>#DIV/0!</v>
      </c>
      <c r="M25" s="305" t="e">
        <f t="shared" si="2"/>
        <v>#DIV/0!</v>
      </c>
      <c r="N25" s="409">
        <f>'SQ(Team A) Data'!N26+'SQ(Team B ) Data'!N25+'SQ (Team C) Data'!N25</f>
        <v>9.24</v>
      </c>
      <c r="O25" s="308" t="e">
        <f t="shared" si="3"/>
        <v>#DIV/0!</v>
      </c>
      <c r="P25" s="415">
        <f>'SQ(Team A) Data'!P26+'SQ(Team B ) Data'!P25+'SQ (Team C) Data'!P25</f>
        <v>0</v>
      </c>
      <c r="Q25" s="411">
        <f>'SQ(Team A) Data'!Q26+'SQ(Team B ) Data'!Q25+'SQ (Team C) Data'!Q25</f>
        <v>0</v>
      </c>
      <c r="R25" s="411">
        <f>'SQ(Team A) Data'!P26+'SQ(Team B ) Data'!P25+'SQ (Team C) Data'!P25</f>
        <v>0</v>
      </c>
      <c r="S25" s="411">
        <f>'SQ(Team A) Data'!Q26+'SQ(Team B ) Data'!Q25+'SQ (Team C) Data'!Q25</f>
        <v>0</v>
      </c>
      <c r="T25" s="411">
        <f>'SQ(Team A) Data'!R26+'SQ(Team B ) Data'!R25+'SQ (Team C) Data'!R25</f>
        <v>0</v>
      </c>
      <c r="U25" s="412" t="e">
        <f t="shared" si="20"/>
        <v>#DIV/0!</v>
      </c>
      <c r="V25" s="413">
        <f t="shared" si="14"/>
        <v>0</v>
      </c>
      <c r="W25" s="415">
        <f>'SQ(Team A) Data'!W26+'SQ(Team B ) Data'!W25+'SQ (Team C) Data'!W25</f>
        <v>0</v>
      </c>
      <c r="X25" s="415">
        <f>'SQ(Team A) Data'!X26+'SQ(Team B ) Data'!X25+'SQ (Team C) Data'!X25</f>
        <v>0</v>
      </c>
      <c r="Y25" s="415">
        <f>'SQ(Team A) Data'!Y26+'SQ(Team B ) Data'!Y25+'SQ (Team C) Data'!Y25</f>
        <v>0</v>
      </c>
      <c r="Z25" s="415">
        <f>'SQ(Team A) Data'!Z26+'SQ(Team B ) Data'!Z25+'SQ (Team C) Data'!Z25</f>
        <v>0</v>
      </c>
      <c r="AA25" s="415">
        <f>'SQ(Team A) Data'!AA26+'SQ(Team B ) Data'!AA25+'SQ (Team C) Data'!AA25</f>
        <v>0</v>
      </c>
      <c r="AB25" s="314">
        <f t="shared" si="5"/>
        <v>0</v>
      </c>
      <c r="AC25" s="415">
        <f>'SQ(Team A) Data'!AC26+'SQ(Team B ) Data'!AC25+'SQ (Team C) Data'!AC25</f>
        <v>0</v>
      </c>
      <c r="AD25" s="415">
        <f>'SQ(Team A) Data'!AD26+'SQ(Team B ) Data'!AD25+'SQ (Team C) Data'!AD25</f>
        <v>0</v>
      </c>
      <c r="AE25" s="415">
        <f>'SQ(Team A) Data'!AE26+'SQ(Team B ) Data'!AE25+'SQ (Team C) Data'!AE25</f>
        <v>0</v>
      </c>
      <c r="AF25" s="415">
        <f>'SQ(Team A) Data'!AF26+'SQ(Team B ) Data'!AF25+'SQ (Team C) Data'!AF25</f>
        <v>0</v>
      </c>
      <c r="AG25" s="415">
        <f>'SQ(Team A) Data'!AG26+'SQ(Team B ) Data'!AG25+'SQ (Team C) Data'!AG25</f>
        <v>0</v>
      </c>
      <c r="AH25" s="415">
        <f>'SQ(Team A) Data'!AH26+'SQ(Team B ) Data'!AH25+'SQ (Team C) Data'!AH25</f>
        <v>0</v>
      </c>
      <c r="AI25" s="415">
        <f>'SQ(Team A) Data'!AI26+'SQ(Team B ) Data'!AI25+'SQ (Team C) Data'!AI25</f>
        <v>0</v>
      </c>
      <c r="AJ25" s="415">
        <f>'SQ(Team A) Data'!AJ26+'SQ(Team B ) Data'!AJ25+'SQ (Team C) Data'!AJ25</f>
        <v>0</v>
      </c>
      <c r="AK25" s="415">
        <f>'SQ(Team A) Data'!AK26+'SQ(Team B ) Data'!AK25+'SQ (Team C) Data'!AK25</f>
        <v>0</v>
      </c>
      <c r="AL25" s="415">
        <f>'SQ(Team A) Data'!AL26+'SQ(Team B ) Data'!AL25+'SQ (Team C) Data'!AL25</f>
        <v>0</v>
      </c>
      <c r="AM25" s="415">
        <f>'SQ(Team A) Data'!AM26+'SQ(Team B ) Data'!AM25+'SQ (Team C) Data'!AM25</f>
        <v>0</v>
      </c>
      <c r="AN25" s="316">
        <f t="shared" si="6"/>
        <v>0</v>
      </c>
      <c r="AO25" s="316">
        <f t="shared" si="6"/>
        <v>0</v>
      </c>
      <c r="AP25" s="317">
        <f t="shared" si="7"/>
        <v>0</v>
      </c>
      <c r="AQ25" s="267">
        <f t="shared" si="15"/>
        <v>0</v>
      </c>
      <c r="AR25" s="318">
        <f t="shared" si="8"/>
        <v>0</v>
      </c>
      <c r="AS25" s="416">
        <f>'SQ(Team A) Data'!AS26+'SQ(Team B ) Data'!AS25+'SQ (Team C) Data'!AS25</f>
        <v>0</v>
      </c>
      <c r="AT25" s="415">
        <f>'SQ(Team A) Data'!AT26+'SQ(Team B ) Data'!AT25+'SQ (Team C) Data'!AT25</f>
        <v>0</v>
      </c>
      <c r="AU25" s="319" t="e">
        <f t="shared" si="16"/>
        <v>#DIV/0!</v>
      </c>
      <c r="AV25" s="415">
        <f>'SQ(Team A) Data'!AV26+'SQ(Team B ) Data'!AV25+'SQ (Team C) Data'!AV25</f>
        <v>0</v>
      </c>
      <c r="AW25" s="415">
        <f>'SQ(Team A) Data'!AW26+'SQ(Team B ) Data'!AW25+'SQ (Team C) Data'!AW25</f>
        <v>0</v>
      </c>
      <c r="AX25" s="415">
        <f>'SQ(Team A) Data'!AX26+'SQ(Team B ) Data'!AX25+'SQ (Team C) Data'!AX25</f>
        <v>0</v>
      </c>
      <c r="AY25" s="321">
        <f t="shared" si="17"/>
        <v>0</v>
      </c>
      <c r="AZ25" s="415">
        <f>'SQ(Team A) Data'!AZ26+'SQ(Team B ) Data'!AZ25+'SQ (Team C) Data'!AZ25</f>
        <v>0</v>
      </c>
      <c r="BA25" s="323"/>
      <c r="BC25" s="303">
        <v>17</v>
      </c>
      <c r="BD25" s="408">
        <f>'SQ(Team A) Data'!BD26+'SQ(Team B ) Data'!BD25+'SQ (Team C) Data'!BD25</f>
        <v>0</v>
      </c>
      <c r="BE25" s="305">
        <f t="shared" si="18"/>
        <v>0</v>
      </c>
      <c r="BF25" s="525">
        <f>'SQ(Team A) Data'!BF26+'SQ(Team B ) Data'!BF25+'SQ (Team C) Data'!BF25</f>
        <v>0</v>
      </c>
      <c r="BG25" s="307">
        <f t="shared" si="19"/>
        <v>0</v>
      </c>
      <c r="BH25" s="305" t="e">
        <f t="shared" si="9"/>
        <v>#DIV/0!</v>
      </c>
      <c r="BI25" s="305" t="e">
        <f t="shared" si="9"/>
        <v>#DIV/0!</v>
      </c>
    </row>
    <row r="26" spans="1:61" ht="18" customHeight="1">
      <c r="B26" s="302"/>
      <c r="C26" s="303">
        <v>18</v>
      </c>
      <c r="D26" s="407">
        <f>'SQ(Team A) Data'!D27+'SQ(Team B ) Data'!D26+'SQ (Team C) Data'!D26</f>
        <v>0</v>
      </c>
      <c r="E26" s="408">
        <f>'SQ(Team A) Data'!E27+'SQ(Team B ) Data'!E26+'SQ (Team C) Data'!E26</f>
        <v>0</v>
      </c>
      <c r="F26" s="305">
        <f t="shared" si="10"/>
        <v>0</v>
      </c>
      <c r="G26" s="303">
        <f t="shared" si="11"/>
        <v>18</v>
      </c>
      <c r="H26" s="305">
        <f t="shared" si="12"/>
        <v>0</v>
      </c>
      <c r="I26" s="305">
        <f t="shared" si="0"/>
        <v>0</v>
      </c>
      <c r="J26" s="408">
        <f>'SQ(Team A) Data'!J27+'SQ(Team B ) Data'!J26+'SQ (Team C) Data'!J26</f>
        <v>0</v>
      </c>
      <c r="K26" s="307">
        <f t="shared" si="13"/>
        <v>0</v>
      </c>
      <c r="L26" s="305" t="e">
        <f t="shared" si="1"/>
        <v>#DIV/0!</v>
      </c>
      <c r="M26" s="305" t="e">
        <f t="shared" si="2"/>
        <v>#DIV/0!</v>
      </c>
      <c r="N26" s="409">
        <f>'SQ(Team A) Data'!N27+'SQ(Team B ) Data'!N26+'SQ (Team C) Data'!N26</f>
        <v>10.14</v>
      </c>
      <c r="O26" s="308" t="e">
        <f t="shared" si="3"/>
        <v>#DIV/0!</v>
      </c>
      <c r="P26" s="415">
        <f>'SQ(Team A) Data'!P27+'SQ(Team B ) Data'!P26+'SQ (Team C) Data'!P26</f>
        <v>0</v>
      </c>
      <c r="Q26" s="411">
        <f>'SQ(Team A) Data'!Q27+'SQ(Team B ) Data'!Q26+'SQ (Team C) Data'!Q26</f>
        <v>0</v>
      </c>
      <c r="R26" s="411">
        <f>'SQ(Team A) Data'!P27+'SQ(Team B ) Data'!P26+'SQ (Team C) Data'!P26</f>
        <v>0</v>
      </c>
      <c r="S26" s="411">
        <f>'SQ(Team A) Data'!Q27+'SQ(Team B ) Data'!Q26+'SQ (Team C) Data'!Q26</f>
        <v>0</v>
      </c>
      <c r="T26" s="411">
        <f>'SQ(Team A) Data'!R27+'SQ(Team B ) Data'!R26+'SQ (Team C) Data'!R26</f>
        <v>0</v>
      </c>
      <c r="U26" s="412" t="e">
        <f t="shared" si="20"/>
        <v>#DIV/0!</v>
      </c>
      <c r="V26" s="413">
        <f t="shared" si="14"/>
        <v>0</v>
      </c>
      <c r="W26" s="415">
        <f>'SQ(Team A) Data'!W27+'SQ(Team B ) Data'!W26+'SQ (Team C) Data'!W26</f>
        <v>0</v>
      </c>
      <c r="X26" s="415">
        <f>'SQ(Team A) Data'!X27+'SQ(Team B ) Data'!X26+'SQ (Team C) Data'!X26</f>
        <v>0</v>
      </c>
      <c r="Y26" s="415">
        <f>'SQ(Team A) Data'!Y27+'SQ(Team B ) Data'!Y26+'SQ (Team C) Data'!Y26</f>
        <v>0</v>
      </c>
      <c r="Z26" s="415">
        <f>'SQ(Team A) Data'!Z27+'SQ(Team B ) Data'!Z26+'SQ (Team C) Data'!Z26</f>
        <v>0</v>
      </c>
      <c r="AA26" s="415">
        <f>'SQ(Team A) Data'!AA27+'SQ(Team B ) Data'!AA26+'SQ (Team C) Data'!AA26</f>
        <v>0</v>
      </c>
      <c r="AB26" s="314">
        <f t="shared" si="5"/>
        <v>0</v>
      </c>
      <c r="AC26" s="415">
        <f>'SQ(Team A) Data'!AC27+'SQ(Team B ) Data'!AC26+'SQ (Team C) Data'!AC26</f>
        <v>0</v>
      </c>
      <c r="AD26" s="415">
        <f>'SQ(Team A) Data'!AD27+'SQ(Team B ) Data'!AD26+'SQ (Team C) Data'!AD26</f>
        <v>0</v>
      </c>
      <c r="AE26" s="415">
        <f>'SQ(Team A) Data'!AE27+'SQ(Team B ) Data'!AE26+'SQ (Team C) Data'!AE26</f>
        <v>0</v>
      </c>
      <c r="AF26" s="415">
        <f>'SQ(Team A) Data'!AF27+'SQ(Team B ) Data'!AF26+'SQ (Team C) Data'!AF26</f>
        <v>0</v>
      </c>
      <c r="AG26" s="415">
        <f>'SQ(Team A) Data'!AG27+'SQ(Team B ) Data'!AG26+'SQ (Team C) Data'!AG26</f>
        <v>0</v>
      </c>
      <c r="AH26" s="415">
        <f>'SQ(Team A) Data'!AH27+'SQ(Team B ) Data'!AH26+'SQ (Team C) Data'!AH26</f>
        <v>0</v>
      </c>
      <c r="AI26" s="415">
        <f>'SQ(Team A) Data'!AI27+'SQ(Team B ) Data'!AI26+'SQ (Team C) Data'!AI26</f>
        <v>0</v>
      </c>
      <c r="AJ26" s="415">
        <f>'SQ(Team A) Data'!AJ27+'SQ(Team B ) Data'!AJ26+'SQ (Team C) Data'!AJ26</f>
        <v>0</v>
      </c>
      <c r="AK26" s="415">
        <f>'SQ(Team A) Data'!AK27+'SQ(Team B ) Data'!AK26+'SQ (Team C) Data'!AK26</f>
        <v>0</v>
      </c>
      <c r="AL26" s="415">
        <f>'SQ(Team A) Data'!AL27+'SQ(Team B ) Data'!AL26+'SQ (Team C) Data'!AL26</f>
        <v>0</v>
      </c>
      <c r="AM26" s="415">
        <f>'SQ(Team A) Data'!AM27+'SQ(Team B ) Data'!AM26+'SQ (Team C) Data'!AM26</f>
        <v>0</v>
      </c>
      <c r="AN26" s="316">
        <f t="shared" si="6"/>
        <v>0</v>
      </c>
      <c r="AO26" s="316">
        <f t="shared" si="6"/>
        <v>0</v>
      </c>
      <c r="AP26" s="317">
        <f t="shared" si="7"/>
        <v>0</v>
      </c>
      <c r="AQ26" s="267">
        <f t="shared" si="15"/>
        <v>0</v>
      </c>
      <c r="AR26" s="318">
        <f t="shared" si="8"/>
        <v>0</v>
      </c>
      <c r="AS26" s="416">
        <f>'SQ(Team A) Data'!AS27+'SQ(Team B ) Data'!AS26+'SQ (Team C) Data'!AS26</f>
        <v>0</v>
      </c>
      <c r="AT26" s="415">
        <f>'SQ(Team A) Data'!AT27+'SQ(Team B ) Data'!AT26+'SQ (Team C) Data'!AT26</f>
        <v>0</v>
      </c>
      <c r="AU26" s="319" t="e">
        <f t="shared" si="16"/>
        <v>#DIV/0!</v>
      </c>
      <c r="AV26" s="415">
        <f>'SQ(Team A) Data'!AV27+'SQ(Team B ) Data'!AV26+'SQ (Team C) Data'!AV26</f>
        <v>0</v>
      </c>
      <c r="AW26" s="415">
        <f>'SQ(Team A) Data'!AW27+'SQ(Team B ) Data'!AW26+'SQ (Team C) Data'!AW26</f>
        <v>0</v>
      </c>
      <c r="AX26" s="415">
        <f>'SQ(Team A) Data'!AX27+'SQ(Team B ) Data'!AX26+'SQ (Team C) Data'!AX26</f>
        <v>0</v>
      </c>
      <c r="AY26" s="321">
        <f t="shared" si="17"/>
        <v>0</v>
      </c>
      <c r="AZ26" s="415">
        <f>'SQ(Team A) Data'!AZ27+'SQ(Team B ) Data'!AZ26+'SQ (Team C) Data'!AZ26</f>
        <v>0</v>
      </c>
      <c r="BA26" s="323"/>
      <c r="BC26" s="303">
        <v>18</v>
      </c>
      <c r="BD26" s="408">
        <f>'SQ(Team A) Data'!BD27+'SQ(Team B ) Data'!BD26+'SQ (Team C) Data'!BD26</f>
        <v>0</v>
      </c>
      <c r="BE26" s="305">
        <f t="shared" si="18"/>
        <v>0</v>
      </c>
      <c r="BF26" s="525">
        <f>'SQ(Team A) Data'!BF27+'SQ(Team B ) Data'!BF26+'SQ (Team C) Data'!BF26</f>
        <v>0</v>
      </c>
      <c r="BG26" s="307">
        <f t="shared" si="19"/>
        <v>0</v>
      </c>
      <c r="BH26" s="305" t="e">
        <f t="shared" si="9"/>
        <v>#DIV/0!</v>
      </c>
      <c r="BI26" s="305" t="e">
        <f t="shared" si="9"/>
        <v>#DIV/0!</v>
      </c>
    </row>
    <row r="27" spans="1:61" ht="18" customHeight="1">
      <c r="B27" s="302"/>
      <c r="C27" s="303">
        <v>19</v>
      </c>
      <c r="D27" s="407">
        <f>'SQ(Team A) Data'!D28+'SQ(Team B ) Data'!D27+'SQ (Team C) Data'!D27</f>
        <v>0</v>
      </c>
      <c r="E27" s="408">
        <f>'SQ(Team A) Data'!E28+'SQ(Team B ) Data'!E27+'SQ (Team C) Data'!E27</f>
        <v>0</v>
      </c>
      <c r="F27" s="305">
        <f t="shared" si="10"/>
        <v>0</v>
      </c>
      <c r="G27" s="303">
        <f t="shared" si="11"/>
        <v>19</v>
      </c>
      <c r="H27" s="305">
        <f t="shared" si="12"/>
        <v>0</v>
      </c>
      <c r="I27" s="305">
        <f t="shared" si="0"/>
        <v>0</v>
      </c>
      <c r="J27" s="408">
        <f>'SQ(Team A) Data'!J28+'SQ(Team B ) Data'!J27+'SQ (Team C) Data'!J27</f>
        <v>0</v>
      </c>
      <c r="K27" s="307">
        <f t="shared" si="13"/>
        <v>0</v>
      </c>
      <c r="L27" s="305" t="e">
        <f t="shared" si="1"/>
        <v>#DIV/0!</v>
      </c>
      <c r="M27" s="305" t="e">
        <f t="shared" si="2"/>
        <v>#DIV/0!</v>
      </c>
      <c r="N27" s="409">
        <f>'SQ(Team A) Data'!N28+'SQ(Team B ) Data'!N27+'SQ (Team C) Data'!N27</f>
        <v>11.25</v>
      </c>
      <c r="O27" s="308" t="e">
        <f t="shared" si="3"/>
        <v>#DIV/0!</v>
      </c>
      <c r="P27" s="415">
        <f>'SQ(Team A) Data'!P28+'SQ(Team B ) Data'!P27+'SQ (Team C) Data'!P27</f>
        <v>0</v>
      </c>
      <c r="Q27" s="411">
        <f>'SQ(Team A) Data'!Q28+'SQ(Team B ) Data'!Q27+'SQ (Team C) Data'!Q27</f>
        <v>0</v>
      </c>
      <c r="R27" s="411">
        <f>'SQ(Team A) Data'!P28+'SQ(Team B ) Data'!P27+'SQ (Team C) Data'!P27</f>
        <v>0</v>
      </c>
      <c r="S27" s="411">
        <f>'SQ(Team A) Data'!Q28+'SQ(Team B ) Data'!Q27+'SQ (Team C) Data'!Q27</f>
        <v>0</v>
      </c>
      <c r="T27" s="411">
        <f>'SQ(Team A) Data'!R28+'SQ(Team B ) Data'!R27+'SQ (Team C) Data'!R27</f>
        <v>0</v>
      </c>
      <c r="U27" s="412" t="e">
        <f t="shared" si="20"/>
        <v>#DIV/0!</v>
      </c>
      <c r="V27" s="413">
        <f t="shared" si="14"/>
        <v>0</v>
      </c>
      <c r="W27" s="415">
        <f>'SQ(Team A) Data'!W28+'SQ(Team B ) Data'!W27+'SQ (Team C) Data'!W27</f>
        <v>0</v>
      </c>
      <c r="X27" s="415">
        <f>'SQ(Team A) Data'!X28+'SQ(Team B ) Data'!X27+'SQ (Team C) Data'!X27</f>
        <v>0</v>
      </c>
      <c r="Y27" s="415">
        <f>'SQ(Team A) Data'!Y28+'SQ(Team B ) Data'!Y27+'SQ (Team C) Data'!Y27</f>
        <v>0</v>
      </c>
      <c r="Z27" s="415">
        <f>'SQ(Team A) Data'!Z28+'SQ(Team B ) Data'!Z27+'SQ (Team C) Data'!Z27</f>
        <v>0</v>
      </c>
      <c r="AA27" s="415">
        <f>'SQ(Team A) Data'!AA28+'SQ(Team B ) Data'!AA27+'SQ (Team C) Data'!AA27</f>
        <v>0</v>
      </c>
      <c r="AB27" s="314">
        <f t="shared" si="5"/>
        <v>0</v>
      </c>
      <c r="AC27" s="415">
        <f>'SQ(Team A) Data'!AC28+'SQ(Team B ) Data'!AC27+'SQ (Team C) Data'!AC27</f>
        <v>0</v>
      </c>
      <c r="AD27" s="415">
        <f>'SQ(Team A) Data'!AD28+'SQ(Team B ) Data'!AD27+'SQ (Team C) Data'!AD27</f>
        <v>0</v>
      </c>
      <c r="AE27" s="415">
        <f>'SQ(Team A) Data'!AE28+'SQ(Team B ) Data'!AE27+'SQ (Team C) Data'!AE27</f>
        <v>0</v>
      </c>
      <c r="AF27" s="415">
        <f>'SQ(Team A) Data'!AF28+'SQ(Team B ) Data'!AF27+'SQ (Team C) Data'!AF27</f>
        <v>0</v>
      </c>
      <c r="AG27" s="415">
        <f>'SQ(Team A) Data'!AG28+'SQ(Team B ) Data'!AG27+'SQ (Team C) Data'!AG27</f>
        <v>0</v>
      </c>
      <c r="AH27" s="415">
        <f>'SQ(Team A) Data'!AH28+'SQ(Team B ) Data'!AH27+'SQ (Team C) Data'!AH27</f>
        <v>0</v>
      </c>
      <c r="AI27" s="415">
        <f>'SQ(Team A) Data'!AI28+'SQ(Team B ) Data'!AI27+'SQ (Team C) Data'!AI27</f>
        <v>0</v>
      </c>
      <c r="AJ27" s="415">
        <f>'SQ(Team A) Data'!AJ28+'SQ(Team B ) Data'!AJ27+'SQ (Team C) Data'!AJ27</f>
        <v>0</v>
      </c>
      <c r="AK27" s="415">
        <f>'SQ(Team A) Data'!AK28+'SQ(Team B ) Data'!AK27+'SQ (Team C) Data'!AK27</f>
        <v>0</v>
      </c>
      <c r="AL27" s="415">
        <f>'SQ(Team A) Data'!AL28+'SQ(Team B ) Data'!AL27+'SQ (Team C) Data'!AL27</f>
        <v>0</v>
      </c>
      <c r="AM27" s="415">
        <f>'SQ(Team A) Data'!AM28+'SQ(Team B ) Data'!AM27+'SQ (Team C) Data'!AM27</f>
        <v>0</v>
      </c>
      <c r="AN27" s="316">
        <f t="shared" si="6"/>
        <v>0</v>
      </c>
      <c r="AO27" s="316">
        <f t="shared" si="6"/>
        <v>0</v>
      </c>
      <c r="AP27" s="317">
        <f t="shared" si="7"/>
        <v>0</v>
      </c>
      <c r="AQ27" s="267">
        <f t="shared" si="15"/>
        <v>0</v>
      </c>
      <c r="AR27" s="318">
        <f t="shared" si="8"/>
        <v>0</v>
      </c>
      <c r="AS27" s="416">
        <f>'SQ(Team A) Data'!AS28+'SQ(Team B ) Data'!AS27+'SQ (Team C) Data'!AS27</f>
        <v>0</v>
      </c>
      <c r="AT27" s="415">
        <f>'SQ(Team A) Data'!AT28+'SQ(Team B ) Data'!AT27+'SQ (Team C) Data'!AT27</f>
        <v>0</v>
      </c>
      <c r="AU27" s="319" t="e">
        <f t="shared" si="16"/>
        <v>#DIV/0!</v>
      </c>
      <c r="AV27" s="415">
        <f>'SQ(Team A) Data'!AV28+'SQ(Team B ) Data'!AV27+'SQ (Team C) Data'!AV27</f>
        <v>0</v>
      </c>
      <c r="AW27" s="415">
        <f>'SQ(Team A) Data'!AW28+'SQ(Team B ) Data'!AW27+'SQ (Team C) Data'!AW27</f>
        <v>0</v>
      </c>
      <c r="AX27" s="415">
        <f>'SQ(Team A) Data'!AX28+'SQ(Team B ) Data'!AX27+'SQ (Team C) Data'!AX27</f>
        <v>0</v>
      </c>
      <c r="AY27" s="321">
        <f t="shared" si="17"/>
        <v>0</v>
      </c>
      <c r="AZ27" s="415">
        <f>'SQ(Team A) Data'!AZ28+'SQ(Team B ) Data'!AZ27+'SQ (Team C) Data'!AZ27</f>
        <v>0</v>
      </c>
      <c r="BA27" s="323"/>
      <c r="BC27" s="303">
        <v>19</v>
      </c>
      <c r="BD27" s="408">
        <f>'SQ(Team A) Data'!BD28+'SQ(Team B ) Data'!BD27+'SQ (Team C) Data'!BD27</f>
        <v>0</v>
      </c>
      <c r="BE27" s="305">
        <f t="shared" si="18"/>
        <v>0</v>
      </c>
      <c r="BF27" s="525">
        <f>'SQ(Team A) Data'!BF28+'SQ(Team B ) Data'!BF27+'SQ (Team C) Data'!BF27</f>
        <v>0</v>
      </c>
      <c r="BG27" s="307">
        <f t="shared" si="19"/>
        <v>0</v>
      </c>
      <c r="BH27" s="305" t="e">
        <f t="shared" si="9"/>
        <v>#DIV/0!</v>
      </c>
      <c r="BI27" s="305" t="e">
        <f t="shared" si="9"/>
        <v>#DIV/0!</v>
      </c>
    </row>
    <row r="28" spans="1:61" ht="18" customHeight="1">
      <c r="B28" s="302"/>
      <c r="C28" s="303">
        <v>20</v>
      </c>
      <c r="D28" s="407">
        <f>'SQ(Team A) Data'!D29+'SQ(Team B ) Data'!D28+'SQ (Team C) Data'!D28</f>
        <v>0</v>
      </c>
      <c r="E28" s="408">
        <f>'SQ(Team A) Data'!E29+'SQ(Team B ) Data'!E28+'SQ (Team C) Data'!E28</f>
        <v>0</v>
      </c>
      <c r="F28" s="305">
        <f t="shared" si="10"/>
        <v>0</v>
      </c>
      <c r="G28" s="303">
        <f t="shared" si="11"/>
        <v>20</v>
      </c>
      <c r="H28" s="305">
        <f t="shared" si="12"/>
        <v>0</v>
      </c>
      <c r="I28" s="305">
        <f t="shared" si="0"/>
        <v>0</v>
      </c>
      <c r="J28" s="408">
        <f>'SQ(Team A) Data'!J29+'SQ(Team B ) Data'!J28+'SQ (Team C) Data'!J28</f>
        <v>0</v>
      </c>
      <c r="K28" s="307">
        <f t="shared" si="13"/>
        <v>0</v>
      </c>
      <c r="L28" s="305" t="e">
        <f t="shared" si="1"/>
        <v>#DIV/0!</v>
      </c>
      <c r="M28" s="305" t="e">
        <f t="shared" si="2"/>
        <v>#DIV/0!</v>
      </c>
      <c r="N28" s="409">
        <f>'SQ(Team A) Data'!N29+'SQ(Team B ) Data'!N28+'SQ (Team C) Data'!N28</f>
        <v>0</v>
      </c>
      <c r="O28" s="308" t="e">
        <f t="shared" si="3"/>
        <v>#DIV/0!</v>
      </c>
      <c r="P28" s="415">
        <f>'SQ(Team A) Data'!P29+'SQ(Team B ) Data'!P28+'SQ (Team C) Data'!P28</f>
        <v>0</v>
      </c>
      <c r="Q28" s="411">
        <f>'SQ(Team A) Data'!Q29+'SQ(Team B ) Data'!Q28+'SQ (Team C) Data'!Q28</f>
        <v>0</v>
      </c>
      <c r="R28" s="411">
        <f>'SQ(Team A) Data'!P29+'SQ(Team B ) Data'!P28+'SQ (Team C) Data'!P28</f>
        <v>0</v>
      </c>
      <c r="S28" s="411">
        <f>'SQ(Team A) Data'!Q29+'SQ(Team B ) Data'!Q28+'SQ (Team C) Data'!Q28</f>
        <v>0</v>
      </c>
      <c r="T28" s="411">
        <f>'SQ(Team A) Data'!R29+'SQ(Team B ) Data'!R28+'SQ (Team C) Data'!R28</f>
        <v>0</v>
      </c>
      <c r="U28" s="412" t="e">
        <f t="shared" si="20"/>
        <v>#DIV/0!</v>
      </c>
      <c r="V28" s="413" t="e">
        <f t="shared" si="14"/>
        <v>#DIV/0!</v>
      </c>
      <c r="W28" s="415">
        <f>'SQ(Team A) Data'!W29+'SQ(Team B ) Data'!W28+'SQ (Team C) Data'!W28</f>
        <v>0</v>
      </c>
      <c r="X28" s="415">
        <f>'SQ(Team A) Data'!X29+'SQ(Team B ) Data'!X28+'SQ (Team C) Data'!X28</f>
        <v>0</v>
      </c>
      <c r="Y28" s="415">
        <f>'SQ(Team A) Data'!Y29+'SQ(Team B ) Data'!Y28+'SQ (Team C) Data'!Y28</f>
        <v>0</v>
      </c>
      <c r="Z28" s="415">
        <f>'SQ(Team A) Data'!Z29+'SQ(Team B ) Data'!Z28+'SQ (Team C) Data'!Z28</f>
        <v>0</v>
      </c>
      <c r="AA28" s="415">
        <f>'SQ(Team A) Data'!AA29+'SQ(Team B ) Data'!AA28+'SQ (Team C) Data'!AA28</f>
        <v>0</v>
      </c>
      <c r="AB28" s="314">
        <f t="shared" si="5"/>
        <v>0</v>
      </c>
      <c r="AC28" s="415">
        <f>'SQ(Team A) Data'!AC29+'SQ(Team B ) Data'!AC28+'SQ (Team C) Data'!AC28</f>
        <v>0</v>
      </c>
      <c r="AD28" s="415">
        <f>'SQ(Team A) Data'!AD29+'SQ(Team B ) Data'!AD28+'SQ (Team C) Data'!AD28</f>
        <v>0</v>
      </c>
      <c r="AE28" s="415">
        <f>'SQ(Team A) Data'!AE29+'SQ(Team B ) Data'!AE28+'SQ (Team C) Data'!AE28</f>
        <v>0</v>
      </c>
      <c r="AF28" s="415">
        <f>'SQ(Team A) Data'!AF29+'SQ(Team B ) Data'!AF28+'SQ (Team C) Data'!AF28</f>
        <v>0</v>
      </c>
      <c r="AG28" s="415">
        <f>'SQ(Team A) Data'!AG29+'SQ(Team B ) Data'!AG28+'SQ (Team C) Data'!AG28</f>
        <v>0</v>
      </c>
      <c r="AH28" s="415">
        <f>'SQ(Team A) Data'!AH29+'SQ(Team B ) Data'!AH28+'SQ (Team C) Data'!AH28</f>
        <v>0</v>
      </c>
      <c r="AI28" s="415">
        <f>'SQ(Team A) Data'!AI29+'SQ(Team B ) Data'!AI28+'SQ (Team C) Data'!AI28</f>
        <v>0</v>
      </c>
      <c r="AJ28" s="415">
        <f>'SQ(Team A) Data'!AJ29+'SQ(Team B ) Data'!AJ28+'SQ (Team C) Data'!AJ28</f>
        <v>0</v>
      </c>
      <c r="AK28" s="415">
        <f>'SQ(Team A) Data'!AK29+'SQ(Team B ) Data'!AK28+'SQ (Team C) Data'!AK28</f>
        <v>0</v>
      </c>
      <c r="AL28" s="415">
        <f>'SQ(Team A) Data'!AL29+'SQ(Team B ) Data'!AL28+'SQ (Team C) Data'!AL28</f>
        <v>0</v>
      </c>
      <c r="AM28" s="415">
        <f>'SQ(Team A) Data'!AM29+'SQ(Team B ) Data'!AM28+'SQ (Team C) Data'!AM28</f>
        <v>0</v>
      </c>
      <c r="AN28" s="316">
        <f t="shared" si="6"/>
        <v>0</v>
      </c>
      <c r="AO28" s="316">
        <f t="shared" si="6"/>
        <v>0</v>
      </c>
      <c r="AP28" s="317">
        <f t="shared" si="7"/>
        <v>0</v>
      </c>
      <c r="AQ28" s="267">
        <f t="shared" si="15"/>
        <v>0</v>
      </c>
      <c r="AR28" s="318">
        <f t="shared" si="8"/>
        <v>0</v>
      </c>
      <c r="AS28" s="416">
        <f>'SQ(Team A) Data'!AS29+'SQ(Team B ) Data'!AS28+'SQ (Team C) Data'!AS28</f>
        <v>0</v>
      </c>
      <c r="AT28" s="415">
        <f>'SQ(Team A) Data'!AT29+'SQ(Team B ) Data'!AT28+'SQ (Team C) Data'!AT28</f>
        <v>0</v>
      </c>
      <c r="AU28" s="319" t="e">
        <f t="shared" si="16"/>
        <v>#DIV/0!</v>
      </c>
      <c r="AV28" s="415">
        <f>'SQ(Team A) Data'!AV29+'SQ(Team B ) Data'!AV28+'SQ (Team C) Data'!AV28</f>
        <v>0</v>
      </c>
      <c r="AW28" s="415">
        <f>'SQ(Team A) Data'!AW29+'SQ(Team B ) Data'!AW28+'SQ (Team C) Data'!AW28</f>
        <v>0</v>
      </c>
      <c r="AX28" s="415">
        <f>'SQ(Team A) Data'!AX29+'SQ(Team B ) Data'!AX28+'SQ (Team C) Data'!AX28</f>
        <v>0</v>
      </c>
      <c r="AY28" s="321">
        <f t="shared" si="17"/>
        <v>0</v>
      </c>
      <c r="AZ28" s="415">
        <f>'SQ(Team A) Data'!AZ29+'SQ(Team B ) Data'!AZ28+'SQ (Team C) Data'!AZ28</f>
        <v>0</v>
      </c>
      <c r="BA28" s="323"/>
      <c r="BC28" s="303">
        <v>20</v>
      </c>
      <c r="BD28" s="408">
        <f>'SQ(Team A) Data'!BD29+'SQ(Team B ) Data'!BD28+'SQ (Team C) Data'!BD28</f>
        <v>0</v>
      </c>
      <c r="BE28" s="305">
        <f t="shared" si="18"/>
        <v>0</v>
      </c>
      <c r="BF28" s="525">
        <f>'SQ(Team A) Data'!BF29+'SQ(Team B ) Data'!BF28+'SQ (Team C) Data'!BF28</f>
        <v>0</v>
      </c>
      <c r="BG28" s="307">
        <f t="shared" si="19"/>
        <v>0</v>
      </c>
      <c r="BH28" s="305" t="e">
        <f t="shared" si="9"/>
        <v>#DIV/0!</v>
      </c>
      <c r="BI28" s="305" t="e">
        <f t="shared" si="9"/>
        <v>#DIV/0!</v>
      </c>
    </row>
    <row r="29" spans="1:61" ht="18" customHeight="1">
      <c r="B29" s="302"/>
      <c r="C29" s="303">
        <v>21</v>
      </c>
      <c r="D29" s="407">
        <f>'SQ(Team A) Data'!D30+'SQ(Team B ) Data'!D29+'SQ (Team C) Data'!D29</f>
        <v>0</v>
      </c>
      <c r="E29" s="408">
        <f>'SQ(Team A) Data'!E30+'SQ(Team B ) Data'!E29+'SQ (Team C) Data'!E29</f>
        <v>0</v>
      </c>
      <c r="F29" s="305">
        <f t="shared" si="10"/>
        <v>0</v>
      </c>
      <c r="G29" s="303">
        <f t="shared" si="11"/>
        <v>21</v>
      </c>
      <c r="H29" s="305">
        <f t="shared" si="12"/>
        <v>0</v>
      </c>
      <c r="I29" s="305">
        <f t="shared" si="0"/>
        <v>0</v>
      </c>
      <c r="J29" s="408">
        <f>'SQ(Team A) Data'!J30+'SQ(Team B ) Data'!J29+'SQ (Team C) Data'!J29</f>
        <v>0</v>
      </c>
      <c r="K29" s="307">
        <f t="shared" si="13"/>
        <v>0</v>
      </c>
      <c r="L29" s="305" t="e">
        <f t="shared" si="1"/>
        <v>#DIV/0!</v>
      </c>
      <c r="M29" s="305" t="e">
        <f t="shared" si="2"/>
        <v>#DIV/0!</v>
      </c>
      <c r="N29" s="409">
        <f>'SQ(Team A) Data'!N30+'SQ(Team B ) Data'!N29+'SQ (Team C) Data'!N29</f>
        <v>7.98</v>
      </c>
      <c r="O29" s="308" t="e">
        <f t="shared" si="3"/>
        <v>#DIV/0!</v>
      </c>
      <c r="P29" s="415">
        <f>'SQ(Team A) Data'!P30+'SQ(Team B ) Data'!P29+'SQ (Team C) Data'!P29</f>
        <v>0</v>
      </c>
      <c r="Q29" s="411">
        <f>'SQ(Team A) Data'!Q30+'SQ(Team B ) Data'!Q29+'SQ (Team C) Data'!Q29</f>
        <v>0</v>
      </c>
      <c r="R29" s="411">
        <f>'SQ(Team A) Data'!P30+'SQ(Team B ) Data'!P29+'SQ (Team C) Data'!P29</f>
        <v>0</v>
      </c>
      <c r="S29" s="411">
        <f>'SQ(Team A) Data'!Q30+'SQ(Team B ) Data'!Q29+'SQ (Team C) Data'!Q29</f>
        <v>0</v>
      </c>
      <c r="T29" s="411">
        <f>'SQ(Team A) Data'!R30+'SQ(Team B ) Data'!R29+'SQ (Team C) Data'!R29</f>
        <v>0</v>
      </c>
      <c r="U29" s="412" t="e">
        <f t="shared" si="20"/>
        <v>#DIV/0!</v>
      </c>
      <c r="V29" s="413">
        <f t="shared" si="14"/>
        <v>0</v>
      </c>
      <c r="W29" s="415">
        <f>'SQ(Team A) Data'!W30+'SQ(Team B ) Data'!W29+'SQ (Team C) Data'!W29</f>
        <v>0</v>
      </c>
      <c r="X29" s="415">
        <f>'SQ(Team A) Data'!X30+'SQ(Team B ) Data'!X29+'SQ (Team C) Data'!X29</f>
        <v>0</v>
      </c>
      <c r="Y29" s="415">
        <f>'SQ(Team A) Data'!Y30+'SQ(Team B ) Data'!Y29+'SQ (Team C) Data'!Y29</f>
        <v>0</v>
      </c>
      <c r="Z29" s="415">
        <f>'SQ(Team A) Data'!Z30+'SQ(Team B ) Data'!Z29+'SQ (Team C) Data'!Z29</f>
        <v>0</v>
      </c>
      <c r="AA29" s="415">
        <f>'SQ(Team A) Data'!AA30+'SQ(Team B ) Data'!AA29+'SQ (Team C) Data'!AA29</f>
        <v>0</v>
      </c>
      <c r="AB29" s="314">
        <f t="shared" si="5"/>
        <v>0</v>
      </c>
      <c r="AC29" s="415">
        <f>'SQ(Team A) Data'!AC30+'SQ(Team B ) Data'!AC29+'SQ (Team C) Data'!AC29</f>
        <v>0</v>
      </c>
      <c r="AD29" s="415">
        <f>'SQ(Team A) Data'!AD30+'SQ(Team B ) Data'!AD29+'SQ (Team C) Data'!AD29</f>
        <v>0</v>
      </c>
      <c r="AE29" s="415">
        <f>'SQ(Team A) Data'!AE30+'SQ(Team B ) Data'!AE29+'SQ (Team C) Data'!AE29</f>
        <v>0</v>
      </c>
      <c r="AF29" s="415">
        <f>'SQ(Team A) Data'!AF30+'SQ(Team B ) Data'!AF29+'SQ (Team C) Data'!AF29</f>
        <v>0</v>
      </c>
      <c r="AG29" s="415">
        <f>'SQ(Team A) Data'!AG30+'SQ(Team B ) Data'!AG29+'SQ (Team C) Data'!AG29</f>
        <v>0</v>
      </c>
      <c r="AH29" s="415">
        <f>'SQ(Team A) Data'!AH30+'SQ(Team B ) Data'!AH29+'SQ (Team C) Data'!AH29</f>
        <v>0</v>
      </c>
      <c r="AI29" s="415">
        <f>'SQ(Team A) Data'!AI30+'SQ(Team B ) Data'!AI29+'SQ (Team C) Data'!AI29</f>
        <v>0</v>
      </c>
      <c r="AJ29" s="415">
        <f>'SQ(Team A) Data'!AJ30+'SQ(Team B ) Data'!AJ29+'SQ (Team C) Data'!AJ29</f>
        <v>0</v>
      </c>
      <c r="AK29" s="415">
        <f>'SQ(Team A) Data'!AK30+'SQ(Team B ) Data'!AK29+'SQ (Team C) Data'!AK29</f>
        <v>0</v>
      </c>
      <c r="AL29" s="415">
        <f>'SQ(Team A) Data'!AL30+'SQ(Team B ) Data'!AL29+'SQ (Team C) Data'!AL29</f>
        <v>0</v>
      </c>
      <c r="AM29" s="415">
        <f>'SQ(Team A) Data'!AM30+'SQ(Team B ) Data'!AM29+'SQ (Team C) Data'!AM29</f>
        <v>0</v>
      </c>
      <c r="AN29" s="316">
        <f t="shared" si="6"/>
        <v>0</v>
      </c>
      <c r="AO29" s="316">
        <f t="shared" si="6"/>
        <v>0</v>
      </c>
      <c r="AP29" s="317">
        <f t="shared" si="7"/>
        <v>0</v>
      </c>
      <c r="AQ29" s="267">
        <f t="shared" si="15"/>
        <v>0</v>
      </c>
      <c r="AR29" s="318">
        <f t="shared" si="8"/>
        <v>0</v>
      </c>
      <c r="AS29" s="416">
        <f>'SQ(Team A) Data'!AS30+'SQ(Team B ) Data'!AS29+'SQ (Team C) Data'!AS29</f>
        <v>0</v>
      </c>
      <c r="AT29" s="415">
        <f>'SQ(Team A) Data'!AT30+'SQ(Team B ) Data'!AT29+'SQ (Team C) Data'!AT29</f>
        <v>0</v>
      </c>
      <c r="AU29" s="319" t="e">
        <f t="shared" si="16"/>
        <v>#DIV/0!</v>
      </c>
      <c r="AV29" s="415">
        <f>'SQ(Team A) Data'!AV30+'SQ(Team B ) Data'!AV29+'SQ (Team C) Data'!AV29</f>
        <v>0</v>
      </c>
      <c r="AW29" s="415">
        <f>'SQ(Team A) Data'!AW30+'SQ(Team B ) Data'!AW29+'SQ (Team C) Data'!AW29</f>
        <v>0</v>
      </c>
      <c r="AX29" s="415">
        <f>'SQ(Team A) Data'!AX30+'SQ(Team B ) Data'!AX29+'SQ (Team C) Data'!AX29</f>
        <v>0</v>
      </c>
      <c r="AY29" s="321">
        <f t="shared" si="17"/>
        <v>0</v>
      </c>
      <c r="AZ29" s="415">
        <f>'SQ(Team A) Data'!AZ30+'SQ(Team B ) Data'!AZ29+'SQ (Team C) Data'!AZ29</f>
        <v>0</v>
      </c>
      <c r="BA29" s="323"/>
      <c r="BC29" s="303">
        <v>21</v>
      </c>
      <c r="BD29" s="408">
        <f>'SQ(Team A) Data'!BD30+'SQ(Team B ) Data'!BD29+'SQ (Team C) Data'!BD29</f>
        <v>0</v>
      </c>
      <c r="BE29" s="305">
        <f t="shared" si="18"/>
        <v>0</v>
      </c>
      <c r="BF29" s="525">
        <f>'SQ(Team A) Data'!BF30+'SQ(Team B ) Data'!BF29+'SQ (Team C) Data'!BF29</f>
        <v>0</v>
      </c>
      <c r="BG29" s="307">
        <f t="shared" si="19"/>
        <v>0</v>
      </c>
      <c r="BH29" s="305" t="e">
        <f t="shared" si="9"/>
        <v>#DIV/0!</v>
      </c>
      <c r="BI29" s="305" t="e">
        <f t="shared" si="9"/>
        <v>#DIV/0!</v>
      </c>
    </row>
    <row r="30" spans="1:61" ht="18" customHeight="1">
      <c r="B30" s="302"/>
      <c r="C30" s="303">
        <v>22</v>
      </c>
      <c r="D30" s="407">
        <f>'SQ(Team A) Data'!D31+'SQ(Team B ) Data'!D30+'SQ (Team C) Data'!D30</f>
        <v>0</v>
      </c>
      <c r="E30" s="408">
        <f>'SQ(Team A) Data'!E31+'SQ(Team B ) Data'!E30+'SQ (Team C) Data'!E30</f>
        <v>0</v>
      </c>
      <c r="F30" s="305">
        <f t="shared" si="10"/>
        <v>0</v>
      </c>
      <c r="G30" s="303">
        <f t="shared" si="11"/>
        <v>22</v>
      </c>
      <c r="H30" s="305">
        <f t="shared" si="12"/>
        <v>0</v>
      </c>
      <c r="I30" s="305">
        <f t="shared" si="0"/>
        <v>0</v>
      </c>
      <c r="J30" s="408">
        <f>'SQ(Team A) Data'!J31+'SQ(Team B ) Data'!J30+'SQ (Team C) Data'!J30</f>
        <v>0</v>
      </c>
      <c r="K30" s="307">
        <f t="shared" si="13"/>
        <v>0</v>
      </c>
      <c r="L30" s="305" t="e">
        <f t="shared" si="1"/>
        <v>#DIV/0!</v>
      </c>
      <c r="M30" s="305" t="e">
        <f t="shared" si="2"/>
        <v>#DIV/0!</v>
      </c>
      <c r="N30" s="409">
        <f>'SQ(Team A) Data'!N31+'SQ(Team B ) Data'!N30+'SQ (Team C) Data'!N30</f>
        <v>6.5400000000000009</v>
      </c>
      <c r="O30" s="308" t="e">
        <f t="shared" si="3"/>
        <v>#DIV/0!</v>
      </c>
      <c r="P30" s="415">
        <f>'SQ(Team A) Data'!P31+'SQ(Team B ) Data'!P30+'SQ (Team C) Data'!P30</f>
        <v>0</v>
      </c>
      <c r="Q30" s="411">
        <f>'SQ(Team A) Data'!Q31+'SQ(Team B ) Data'!Q30+'SQ (Team C) Data'!Q30</f>
        <v>0</v>
      </c>
      <c r="R30" s="411">
        <f>'SQ(Team A) Data'!P31+'SQ(Team B ) Data'!P30+'SQ (Team C) Data'!P30</f>
        <v>0</v>
      </c>
      <c r="S30" s="411">
        <f>'SQ(Team A) Data'!Q31+'SQ(Team B ) Data'!Q30+'SQ (Team C) Data'!Q30</f>
        <v>0</v>
      </c>
      <c r="T30" s="411">
        <f>'SQ(Team A) Data'!R31+'SQ(Team B ) Data'!R30+'SQ (Team C) Data'!R30</f>
        <v>0</v>
      </c>
      <c r="U30" s="412" t="e">
        <f t="shared" si="20"/>
        <v>#DIV/0!</v>
      </c>
      <c r="V30" s="413">
        <f t="shared" si="14"/>
        <v>0</v>
      </c>
      <c r="W30" s="415">
        <f>'SQ(Team A) Data'!W31+'SQ(Team B ) Data'!W30+'SQ (Team C) Data'!W30</f>
        <v>0</v>
      </c>
      <c r="X30" s="415">
        <f>'SQ(Team A) Data'!X31+'SQ(Team B ) Data'!X30+'SQ (Team C) Data'!X30</f>
        <v>0</v>
      </c>
      <c r="Y30" s="415">
        <f>'SQ(Team A) Data'!Y31+'SQ(Team B ) Data'!Y30+'SQ (Team C) Data'!Y30</f>
        <v>0</v>
      </c>
      <c r="Z30" s="415">
        <f>'SQ(Team A) Data'!Z31+'SQ(Team B ) Data'!Z30+'SQ (Team C) Data'!Z30</f>
        <v>0</v>
      </c>
      <c r="AA30" s="415">
        <f>'SQ(Team A) Data'!AA31+'SQ(Team B ) Data'!AA30+'SQ (Team C) Data'!AA30</f>
        <v>0</v>
      </c>
      <c r="AB30" s="314">
        <f t="shared" si="5"/>
        <v>0</v>
      </c>
      <c r="AC30" s="415">
        <f>'SQ(Team A) Data'!AC31+'SQ(Team B ) Data'!AC30+'SQ (Team C) Data'!AC30</f>
        <v>0</v>
      </c>
      <c r="AD30" s="415">
        <f>'SQ(Team A) Data'!AD31+'SQ(Team B ) Data'!AD30+'SQ (Team C) Data'!AD30</f>
        <v>0</v>
      </c>
      <c r="AE30" s="415">
        <f>'SQ(Team A) Data'!AE31+'SQ(Team B ) Data'!AE30+'SQ (Team C) Data'!AE30</f>
        <v>0</v>
      </c>
      <c r="AF30" s="415">
        <f>'SQ(Team A) Data'!AF31+'SQ(Team B ) Data'!AF30+'SQ (Team C) Data'!AF30</f>
        <v>0</v>
      </c>
      <c r="AG30" s="415">
        <f>'SQ(Team A) Data'!AG31+'SQ(Team B ) Data'!AG30+'SQ (Team C) Data'!AG30</f>
        <v>0</v>
      </c>
      <c r="AH30" s="415">
        <f>'SQ(Team A) Data'!AH31+'SQ(Team B ) Data'!AH30+'SQ (Team C) Data'!AH30</f>
        <v>0</v>
      </c>
      <c r="AI30" s="415">
        <f>'SQ(Team A) Data'!AI31+'SQ(Team B ) Data'!AI30+'SQ (Team C) Data'!AI30</f>
        <v>0</v>
      </c>
      <c r="AJ30" s="415">
        <f>'SQ(Team A) Data'!AJ31+'SQ(Team B ) Data'!AJ30+'SQ (Team C) Data'!AJ30</f>
        <v>0</v>
      </c>
      <c r="AK30" s="415">
        <f>'SQ(Team A) Data'!AK31+'SQ(Team B ) Data'!AK30+'SQ (Team C) Data'!AK30</f>
        <v>0</v>
      </c>
      <c r="AL30" s="415">
        <f>'SQ(Team A) Data'!AL31+'SQ(Team B ) Data'!AL30+'SQ (Team C) Data'!AL30</f>
        <v>0</v>
      </c>
      <c r="AM30" s="415">
        <f>'SQ(Team A) Data'!AM31+'SQ(Team B ) Data'!AM30+'SQ (Team C) Data'!AM30</f>
        <v>0</v>
      </c>
      <c r="AN30" s="316">
        <f t="shared" si="6"/>
        <v>0</v>
      </c>
      <c r="AO30" s="316">
        <f t="shared" si="6"/>
        <v>0</v>
      </c>
      <c r="AP30" s="317">
        <f t="shared" si="7"/>
        <v>0</v>
      </c>
      <c r="AQ30" s="267">
        <f t="shared" si="15"/>
        <v>0</v>
      </c>
      <c r="AR30" s="318">
        <f t="shared" si="8"/>
        <v>0</v>
      </c>
      <c r="AS30" s="416">
        <f>'SQ(Team A) Data'!AS31+'SQ(Team B ) Data'!AS30+'SQ (Team C) Data'!AS30</f>
        <v>0</v>
      </c>
      <c r="AT30" s="415">
        <f>'SQ(Team A) Data'!AT31+'SQ(Team B ) Data'!AT30+'SQ (Team C) Data'!AT30</f>
        <v>0</v>
      </c>
      <c r="AU30" s="319" t="e">
        <f t="shared" si="16"/>
        <v>#DIV/0!</v>
      </c>
      <c r="AV30" s="415">
        <f>'SQ(Team A) Data'!AV31+'SQ(Team B ) Data'!AV30+'SQ (Team C) Data'!AV30</f>
        <v>0</v>
      </c>
      <c r="AW30" s="415">
        <f>'SQ(Team A) Data'!AW31+'SQ(Team B ) Data'!AW30+'SQ (Team C) Data'!AW30</f>
        <v>0</v>
      </c>
      <c r="AX30" s="415">
        <f>'SQ(Team A) Data'!AX31+'SQ(Team B ) Data'!AX30+'SQ (Team C) Data'!AX30</f>
        <v>0</v>
      </c>
      <c r="AY30" s="321">
        <f t="shared" si="17"/>
        <v>0</v>
      </c>
      <c r="AZ30" s="415">
        <f>'SQ(Team A) Data'!AZ31+'SQ(Team B ) Data'!AZ30+'SQ (Team C) Data'!AZ30</f>
        <v>0</v>
      </c>
      <c r="BA30" s="323"/>
      <c r="BC30" s="303">
        <v>22</v>
      </c>
      <c r="BD30" s="408">
        <f>'SQ(Team A) Data'!BD31+'SQ(Team B ) Data'!BD30+'SQ (Team C) Data'!BD30</f>
        <v>0</v>
      </c>
      <c r="BE30" s="305">
        <f t="shared" si="18"/>
        <v>0</v>
      </c>
      <c r="BF30" s="525">
        <f>'SQ(Team A) Data'!BF31+'SQ(Team B ) Data'!BF30+'SQ (Team C) Data'!BF30</f>
        <v>0</v>
      </c>
      <c r="BG30" s="307">
        <f t="shared" si="19"/>
        <v>0</v>
      </c>
      <c r="BH30" s="305" t="e">
        <f t="shared" si="9"/>
        <v>#DIV/0!</v>
      </c>
      <c r="BI30" s="305" t="e">
        <f t="shared" si="9"/>
        <v>#DIV/0!</v>
      </c>
    </row>
    <row r="31" spans="1:61" ht="18" customHeight="1">
      <c r="B31" s="302"/>
      <c r="C31" s="303">
        <v>23</v>
      </c>
      <c r="D31" s="407">
        <f>'SQ(Team A) Data'!D32+'SQ(Team B ) Data'!D31+'SQ (Team C) Data'!D31</f>
        <v>0</v>
      </c>
      <c r="E31" s="408">
        <f>'SQ(Team A) Data'!E32+'SQ(Team B ) Data'!E31+'SQ (Team C) Data'!E31</f>
        <v>0</v>
      </c>
      <c r="F31" s="305">
        <f t="shared" si="10"/>
        <v>0</v>
      </c>
      <c r="G31" s="303">
        <f t="shared" si="11"/>
        <v>23</v>
      </c>
      <c r="H31" s="305">
        <f t="shared" si="12"/>
        <v>0</v>
      </c>
      <c r="I31" s="305">
        <f t="shared" si="0"/>
        <v>0</v>
      </c>
      <c r="J31" s="408">
        <f>'SQ(Team A) Data'!J32+'SQ(Team B ) Data'!J31+'SQ (Team C) Data'!J31</f>
        <v>0</v>
      </c>
      <c r="K31" s="307">
        <f t="shared" si="13"/>
        <v>0</v>
      </c>
      <c r="L31" s="305" t="e">
        <f t="shared" si="1"/>
        <v>#DIV/0!</v>
      </c>
      <c r="M31" s="305" t="e">
        <f t="shared" si="2"/>
        <v>#DIV/0!</v>
      </c>
      <c r="N31" s="409">
        <f>'SQ(Team A) Data'!N32+'SQ(Team B ) Data'!N31+'SQ (Team C) Data'!N31</f>
        <v>9</v>
      </c>
      <c r="O31" s="308" t="e">
        <f t="shared" si="3"/>
        <v>#DIV/0!</v>
      </c>
      <c r="P31" s="415">
        <f>'SQ(Team A) Data'!P32+'SQ(Team B ) Data'!P31+'SQ (Team C) Data'!P31</f>
        <v>0</v>
      </c>
      <c r="Q31" s="411">
        <f>'SQ(Team A) Data'!Q32+'SQ(Team B ) Data'!Q31+'SQ (Team C) Data'!Q31</f>
        <v>0</v>
      </c>
      <c r="R31" s="411">
        <f>'SQ(Team A) Data'!P32+'SQ(Team B ) Data'!P31+'SQ (Team C) Data'!P31</f>
        <v>0</v>
      </c>
      <c r="S31" s="411">
        <f>'SQ(Team A) Data'!Q32+'SQ(Team B ) Data'!Q31+'SQ (Team C) Data'!Q31</f>
        <v>0</v>
      </c>
      <c r="T31" s="411">
        <f>'SQ(Team A) Data'!R32+'SQ(Team B ) Data'!R31+'SQ (Team C) Data'!R31</f>
        <v>0</v>
      </c>
      <c r="U31" s="412" t="e">
        <f t="shared" si="20"/>
        <v>#DIV/0!</v>
      </c>
      <c r="V31" s="413">
        <f t="shared" si="14"/>
        <v>0</v>
      </c>
      <c r="W31" s="415">
        <f>'SQ(Team A) Data'!W32+'SQ(Team B ) Data'!W31+'SQ (Team C) Data'!W31</f>
        <v>0</v>
      </c>
      <c r="X31" s="415">
        <f>'SQ(Team A) Data'!X32+'SQ(Team B ) Data'!X31+'SQ (Team C) Data'!X31</f>
        <v>0</v>
      </c>
      <c r="Y31" s="415">
        <f>'SQ(Team A) Data'!Y32+'SQ(Team B ) Data'!Y31+'SQ (Team C) Data'!Y31</f>
        <v>0</v>
      </c>
      <c r="Z31" s="415">
        <f>'SQ(Team A) Data'!Z32+'SQ(Team B ) Data'!Z31+'SQ (Team C) Data'!Z31</f>
        <v>0</v>
      </c>
      <c r="AA31" s="415">
        <f>'SQ(Team A) Data'!AA32+'SQ(Team B ) Data'!AA31+'SQ (Team C) Data'!AA31</f>
        <v>0</v>
      </c>
      <c r="AB31" s="314">
        <f t="shared" si="5"/>
        <v>0</v>
      </c>
      <c r="AC31" s="415">
        <f>'SQ(Team A) Data'!AC32+'SQ(Team B ) Data'!AC31+'SQ (Team C) Data'!AC31</f>
        <v>0</v>
      </c>
      <c r="AD31" s="415">
        <f>'SQ(Team A) Data'!AD32+'SQ(Team B ) Data'!AD31+'SQ (Team C) Data'!AD31</f>
        <v>0</v>
      </c>
      <c r="AE31" s="415">
        <f>'SQ(Team A) Data'!AE32+'SQ(Team B ) Data'!AE31+'SQ (Team C) Data'!AE31</f>
        <v>0</v>
      </c>
      <c r="AF31" s="415">
        <f>'SQ(Team A) Data'!AF32+'SQ(Team B ) Data'!AF31+'SQ (Team C) Data'!AF31</f>
        <v>0</v>
      </c>
      <c r="AG31" s="415">
        <f>'SQ(Team A) Data'!AG32+'SQ(Team B ) Data'!AG31+'SQ (Team C) Data'!AG31</f>
        <v>0</v>
      </c>
      <c r="AH31" s="415">
        <f>'SQ(Team A) Data'!AH32+'SQ(Team B ) Data'!AH31+'SQ (Team C) Data'!AH31</f>
        <v>0</v>
      </c>
      <c r="AI31" s="415">
        <f>'SQ(Team A) Data'!AI32+'SQ(Team B ) Data'!AI31+'SQ (Team C) Data'!AI31</f>
        <v>0</v>
      </c>
      <c r="AJ31" s="415">
        <f>'SQ(Team A) Data'!AJ32+'SQ(Team B ) Data'!AJ31+'SQ (Team C) Data'!AJ31</f>
        <v>0</v>
      </c>
      <c r="AK31" s="415">
        <f>'SQ(Team A) Data'!AK32+'SQ(Team B ) Data'!AK31+'SQ (Team C) Data'!AK31</f>
        <v>0</v>
      </c>
      <c r="AL31" s="415">
        <f>'SQ(Team A) Data'!AL32+'SQ(Team B ) Data'!AL31+'SQ (Team C) Data'!AL31</f>
        <v>0</v>
      </c>
      <c r="AM31" s="415">
        <f>'SQ(Team A) Data'!AM32+'SQ(Team B ) Data'!AM31+'SQ (Team C) Data'!AM31</f>
        <v>0</v>
      </c>
      <c r="AN31" s="316">
        <f t="shared" si="6"/>
        <v>0</v>
      </c>
      <c r="AO31" s="316">
        <f t="shared" si="6"/>
        <v>0</v>
      </c>
      <c r="AP31" s="317">
        <f t="shared" si="7"/>
        <v>0</v>
      </c>
      <c r="AQ31" s="267">
        <f t="shared" si="15"/>
        <v>0</v>
      </c>
      <c r="AR31" s="318">
        <f t="shared" si="8"/>
        <v>0</v>
      </c>
      <c r="AS31" s="416">
        <f>'SQ(Team A) Data'!AS32+'SQ(Team B ) Data'!AS31+'SQ (Team C) Data'!AS31</f>
        <v>0</v>
      </c>
      <c r="AT31" s="415">
        <f>'SQ(Team A) Data'!AT32+'SQ(Team B ) Data'!AT31+'SQ (Team C) Data'!AT31</f>
        <v>0</v>
      </c>
      <c r="AU31" s="319" t="e">
        <f t="shared" si="16"/>
        <v>#DIV/0!</v>
      </c>
      <c r="AV31" s="415">
        <f>'SQ(Team A) Data'!AV32+'SQ(Team B ) Data'!AV31+'SQ (Team C) Data'!AV31</f>
        <v>0</v>
      </c>
      <c r="AW31" s="415">
        <f>'SQ(Team A) Data'!AW32+'SQ(Team B ) Data'!AW31+'SQ (Team C) Data'!AW31</f>
        <v>0</v>
      </c>
      <c r="AX31" s="415">
        <f>'SQ(Team A) Data'!AX32+'SQ(Team B ) Data'!AX31+'SQ (Team C) Data'!AX31</f>
        <v>0</v>
      </c>
      <c r="AY31" s="321">
        <f t="shared" si="17"/>
        <v>0</v>
      </c>
      <c r="AZ31" s="415">
        <f>'SQ(Team A) Data'!AZ32+'SQ(Team B ) Data'!AZ31+'SQ (Team C) Data'!AZ31</f>
        <v>0</v>
      </c>
      <c r="BA31" s="323"/>
      <c r="BC31" s="303">
        <v>23</v>
      </c>
      <c r="BD31" s="408">
        <f>'SQ(Team A) Data'!BD32+'SQ(Team B ) Data'!BD31+'SQ (Team C) Data'!BD31</f>
        <v>0</v>
      </c>
      <c r="BE31" s="305">
        <f>BE30+BD31</f>
        <v>0</v>
      </c>
      <c r="BF31" s="525">
        <f>'SQ(Team A) Data'!BF32+'SQ(Team B ) Data'!BF31+'SQ (Team C) Data'!BF31</f>
        <v>0</v>
      </c>
      <c r="BG31" s="307">
        <f t="shared" si="19"/>
        <v>0</v>
      </c>
      <c r="BH31" s="305" t="e">
        <f t="shared" si="9"/>
        <v>#DIV/0!</v>
      </c>
      <c r="BI31" s="305" t="e">
        <f t="shared" si="9"/>
        <v>#DIV/0!</v>
      </c>
    </row>
    <row r="32" spans="1:61" s="220" customFormat="1" ht="18" customHeight="1">
      <c r="B32" s="302"/>
      <c r="C32" s="303">
        <v>24</v>
      </c>
      <c r="D32" s="407">
        <f>'SQ(Team A) Data'!D33+'SQ(Team B ) Data'!D32+'SQ (Team C) Data'!D32</f>
        <v>0</v>
      </c>
      <c r="E32" s="408">
        <f>'SQ(Team A) Data'!E33+'SQ(Team B ) Data'!E32+'SQ (Team C) Data'!E32</f>
        <v>0</v>
      </c>
      <c r="F32" s="305">
        <f t="shared" si="10"/>
        <v>0</v>
      </c>
      <c r="G32" s="303">
        <f t="shared" si="11"/>
        <v>24</v>
      </c>
      <c r="H32" s="305">
        <f t="shared" si="12"/>
        <v>0</v>
      </c>
      <c r="I32" s="305">
        <f t="shared" si="0"/>
        <v>0</v>
      </c>
      <c r="J32" s="408">
        <f>'SQ(Team A) Data'!J33+'SQ(Team B ) Data'!J32+'SQ (Team C) Data'!J32</f>
        <v>0</v>
      </c>
      <c r="K32" s="307">
        <f t="shared" si="13"/>
        <v>0</v>
      </c>
      <c r="L32" s="305" t="e">
        <f t="shared" si="1"/>
        <v>#DIV/0!</v>
      </c>
      <c r="M32" s="305" t="e">
        <f t="shared" si="2"/>
        <v>#DIV/0!</v>
      </c>
      <c r="N32" s="409">
        <f>'SQ(Team A) Data'!N33+'SQ(Team B ) Data'!N32+'SQ (Team C) Data'!N32</f>
        <v>0</v>
      </c>
      <c r="O32" s="308" t="e">
        <f t="shared" si="3"/>
        <v>#DIV/0!</v>
      </c>
      <c r="P32" s="415">
        <f>'SQ(Team A) Data'!P33+'SQ(Team B ) Data'!P32+'SQ (Team C) Data'!P32</f>
        <v>0</v>
      </c>
      <c r="Q32" s="411">
        <f>'SQ(Team A) Data'!Q33+'SQ(Team B ) Data'!Q32+'SQ (Team C) Data'!Q32</f>
        <v>0</v>
      </c>
      <c r="R32" s="411">
        <f>'SQ(Team A) Data'!P33+'SQ(Team B ) Data'!P32+'SQ (Team C) Data'!P32</f>
        <v>0</v>
      </c>
      <c r="S32" s="411">
        <f>'SQ(Team A) Data'!Q33+'SQ(Team B ) Data'!Q32+'SQ (Team C) Data'!Q32</f>
        <v>0</v>
      </c>
      <c r="T32" s="411">
        <f>'SQ(Team A) Data'!R33+'SQ(Team B ) Data'!R32+'SQ (Team C) Data'!R32</f>
        <v>0</v>
      </c>
      <c r="U32" s="412" t="e">
        <f t="shared" si="20"/>
        <v>#DIV/0!</v>
      </c>
      <c r="V32" s="413" t="e">
        <f t="shared" si="14"/>
        <v>#DIV/0!</v>
      </c>
      <c r="W32" s="415">
        <f>'SQ(Team A) Data'!W33+'SQ(Team B ) Data'!W32+'SQ (Team C) Data'!W32</f>
        <v>0</v>
      </c>
      <c r="X32" s="415">
        <f>'SQ(Team A) Data'!X33+'SQ(Team B ) Data'!X32+'SQ (Team C) Data'!X32</f>
        <v>0</v>
      </c>
      <c r="Y32" s="415">
        <f>'SQ(Team A) Data'!Y33+'SQ(Team B ) Data'!Y32+'SQ (Team C) Data'!Y32</f>
        <v>0</v>
      </c>
      <c r="Z32" s="415">
        <f>'SQ(Team A) Data'!Z33+'SQ(Team B ) Data'!Z32+'SQ (Team C) Data'!Z32</f>
        <v>0</v>
      </c>
      <c r="AA32" s="415">
        <f>'SQ(Team A) Data'!AA33+'SQ(Team B ) Data'!AA32+'SQ (Team C) Data'!AA32</f>
        <v>0</v>
      </c>
      <c r="AB32" s="314">
        <f t="shared" si="5"/>
        <v>0</v>
      </c>
      <c r="AC32" s="415">
        <f>'SQ(Team A) Data'!AC33+'SQ(Team B ) Data'!AC32+'SQ (Team C) Data'!AC32</f>
        <v>0</v>
      </c>
      <c r="AD32" s="415">
        <f>'SQ(Team A) Data'!AD33+'SQ(Team B ) Data'!AD32+'SQ (Team C) Data'!AD32</f>
        <v>0</v>
      </c>
      <c r="AE32" s="415">
        <f>'SQ(Team A) Data'!AE33+'SQ(Team B ) Data'!AE32+'SQ (Team C) Data'!AE32</f>
        <v>0</v>
      </c>
      <c r="AF32" s="415">
        <f>'SQ(Team A) Data'!AF33+'SQ(Team B ) Data'!AF32+'SQ (Team C) Data'!AF32</f>
        <v>0</v>
      </c>
      <c r="AG32" s="415">
        <f>'SQ(Team A) Data'!AG33+'SQ(Team B ) Data'!AG32+'SQ (Team C) Data'!AG32</f>
        <v>0</v>
      </c>
      <c r="AH32" s="415">
        <f>'SQ(Team A) Data'!AH33+'SQ(Team B ) Data'!AH32+'SQ (Team C) Data'!AH32</f>
        <v>0</v>
      </c>
      <c r="AI32" s="415">
        <f>'SQ(Team A) Data'!AI33+'SQ(Team B ) Data'!AI32+'SQ (Team C) Data'!AI32</f>
        <v>0</v>
      </c>
      <c r="AJ32" s="415">
        <f>'SQ(Team A) Data'!AJ33+'SQ(Team B ) Data'!AJ32+'SQ (Team C) Data'!AJ32</f>
        <v>0</v>
      </c>
      <c r="AK32" s="415">
        <f>'SQ(Team A) Data'!AK33+'SQ(Team B ) Data'!AK32+'SQ (Team C) Data'!AK32</f>
        <v>0</v>
      </c>
      <c r="AL32" s="415">
        <f>'SQ(Team A) Data'!AL33+'SQ(Team B ) Data'!AL32+'SQ (Team C) Data'!AL32</f>
        <v>0</v>
      </c>
      <c r="AM32" s="415">
        <f>'SQ(Team A) Data'!AM33+'SQ(Team B ) Data'!AM32+'SQ (Team C) Data'!AM32</f>
        <v>0</v>
      </c>
      <c r="AN32" s="316">
        <f t="shared" si="6"/>
        <v>0</v>
      </c>
      <c r="AO32" s="316">
        <f t="shared" si="6"/>
        <v>0</v>
      </c>
      <c r="AP32" s="317">
        <f t="shared" si="7"/>
        <v>0</v>
      </c>
      <c r="AQ32" s="267">
        <f t="shared" si="15"/>
        <v>0</v>
      </c>
      <c r="AR32" s="318">
        <f t="shared" si="8"/>
        <v>0</v>
      </c>
      <c r="AS32" s="416">
        <f>'SQ(Team A) Data'!AS33+'SQ(Team B ) Data'!AS32+'SQ (Team C) Data'!AS32</f>
        <v>0</v>
      </c>
      <c r="AT32" s="415">
        <f>'SQ(Team A) Data'!AT33+'SQ(Team B ) Data'!AT32+'SQ (Team C) Data'!AT32</f>
        <v>0</v>
      </c>
      <c r="AU32" s="319" t="e">
        <f t="shared" si="16"/>
        <v>#DIV/0!</v>
      </c>
      <c r="AV32" s="415">
        <f>'SQ(Team A) Data'!AV33+'SQ(Team B ) Data'!AV32+'SQ (Team C) Data'!AV32</f>
        <v>0</v>
      </c>
      <c r="AW32" s="415">
        <f>'SQ(Team A) Data'!AW33+'SQ(Team B ) Data'!AW32+'SQ (Team C) Data'!AW32</f>
        <v>0</v>
      </c>
      <c r="AX32" s="415">
        <f>'SQ(Team A) Data'!AX33+'SQ(Team B ) Data'!AX32+'SQ (Team C) Data'!AX32</f>
        <v>0</v>
      </c>
      <c r="AY32" s="321">
        <f t="shared" si="17"/>
        <v>0</v>
      </c>
      <c r="AZ32" s="415">
        <f>'SQ(Team A) Data'!AZ33+'SQ(Team B ) Data'!AZ32+'SQ (Team C) Data'!AZ32</f>
        <v>0</v>
      </c>
      <c r="BA32" s="323"/>
      <c r="BC32" s="303">
        <v>24</v>
      </c>
      <c r="BD32" s="408">
        <f>'SQ(Team A) Data'!BD33+'SQ(Team B ) Data'!BD32+'SQ (Team C) Data'!BD32</f>
        <v>0</v>
      </c>
      <c r="BE32" s="305">
        <f t="shared" si="18"/>
        <v>0</v>
      </c>
      <c r="BF32" s="525">
        <f>'SQ(Team A) Data'!BF33+'SQ(Team B ) Data'!BF32+'SQ (Team C) Data'!BF32</f>
        <v>0</v>
      </c>
      <c r="BG32" s="307">
        <f t="shared" si="19"/>
        <v>0</v>
      </c>
      <c r="BH32" s="305" t="e">
        <f t="shared" si="9"/>
        <v>#DIV/0!</v>
      </c>
      <c r="BI32" s="305" t="e">
        <f t="shared" si="9"/>
        <v>#DIV/0!</v>
      </c>
    </row>
    <row r="33" spans="1:61" ht="18" customHeight="1">
      <c r="B33" s="302"/>
      <c r="C33" s="303">
        <v>25</v>
      </c>
      <c r="D33" s="407">
        <f>'SQ(Team A) Data'!D34+'SQ(Team B ) Data'!D33+'SQ (Team C) Data'!D33</f>
        <v>0</v>
      </c>
      <c r="E33" s="408">
        <f>'SQ(Team A) Data'!E34+'SQ(Team B ) Data'!E33+'SQ (Team C) Data'!E33</f>
        <v>0</v>
      </c>
      <c r="F33" s="305">
        <f t="shared" si="10"/>
        <v>0</v>
      </c>
      <c r="G33" s="303">
        <f t="shared" si="11"/>
        <v>25</v>
      </c>
      <c r="H33" s="305">
        <f t="shared" si="12"/>
        <v>0</v>
      </c>
      <c r="I33" s="305">
        <f t="shared" si="0"/>
        <v>0</v>
      </c>
      <c r="J33" s="408">
        <f>'SQ(Team A) Data'!J34+'SQ(Team B ) Data'!J33+'SQ (Team C) Data'!J33</f>
        <v>0</v>
      </c>
      <c r="K33" s="307">
        <f t="shared" si="13"/>
        <v>0</v>
      </c>
      <c r="L33" s="305" t="e">
        <f t="shared" si="1"/>
        <v>#DIV/0!</v>
      </c>
      <c r="M33" s="305" t="e">
        <f t="shared" si="2"/>
        <v>#DIV/0!</v>
      </c>
      <c r="N33" s="409">
        <f>'SQ(Team A) Data'!N34+'SQ(Team B ) Data'!N33+'SQ (Team C) Data'!N33</f>
        <v>0</v>
      </c>
      <c r="O33" s="308" t="e">
        <f t="shared" si="3"/>
        <v>#DIV/0!</v>
      </c>
      <c r="P33" s="415">
        <f>'SQ(Team A) Data'!P34+'SQ(Team B ) Data'!P33+'SQ (Team C) Data'!P33</f>
        <v>0</v>
      </c>
      <c r="Q33" s="411">
        <f>'SQ(Team A) Data'!Q34+'SQ(Team B ) Data'!Q33+'SQ (Team C) Data'!Q33</f>
        <v>0</v>
      </c>
      <c r="R33" s="411">
        <f>'SQ(Team A) Data'!P34+'SQ(Team B ) Data'!P33+'SQ (Team C) Data'!P33</f>
        <v>0</v>
      </c>
      <c r="S33" s="411">
        <f>'SQ(Team A) Data'!Q34+'SQ(Team B ) Data'!Q33+'SQ (Team C) Data'!Q33</f>
        <v>0</v>
      </c>
      <c r="T33" s="411">
        <f>'SQ(Team A) Data'!R34+'SQ(Team B ) Data'!R33+'SQ (Team C) Data'!R33</f>
        <v>0</v>
      </c>
      <c r="U33" s="412" t="e">
        <f t="shared" si="20"/>
        <v>#DIV/0!</v>
      </c>
      <c r="V33" s="413" t="e">
        <f t="shared" si="14"/>
        <v>#DIV/0!</v>
      </c>
      <c r="W33" s="415">
        <f>'SQ(Team A) Data'!W34+'SQ(Team B ) Data'!W33+'SQ (Team C) Data'!W33</f>
        <v>0</v>
      </c>
      <c r="X33" s="415">
        <f>'SQ(Team A) Data'!X34+'SQ(Team B ) Data'!X33+'SQ (Team C) Data'!X33</f>
        <v>0</v>
      </c>
      <c r="Y33" s="415">
        <f>'SQ(Team A) Data'!Y34+'SQ(Team B ) Data'!Y33+'SQ (Team C) Data'!Y33</f>
        <v>0</v>
      </c>
      <c r="Z33" s="415">
        <f>'SQ(Team A) Data'!Z34+'SQ(Team B ) Data'!Z33+'SQ (Team C) Data'!Z33</f>
        <v>0</v>
      </c>
      <c r="AA33" s="415">
        <f>'SQ(Team A) Data'!AA34+'SQ(Team B ) Data'!AA33+'SQ (Team C) Data'!AA33</f>
        <v>0</v>
      </c>
      <c r="AB33" s="314">
        <f t="shared" si="5"/>
        <v>0</v>
      </c>
      <c r="AC33" s="415">
        <f>'SQ(Team A) Data'!AC34+'SQ(Team B ) Data'!AC33+'SQ (Team C) Data'!AC33</f>
        <v>0</v>
      </c>
      <c r="AD33" s="415">
        <f>'SQ(Team A) Data'!AD34+'SQ(Team B ) Data'!AD33+'SQ (Team C) Data'!AD33</f>
        <v>0</v>
      </c>
      <c r="AE33" s="415">
        <f>'SQ(Team A) Data'!AE34+'SQ(Team B ) Data'!AE33+'SQ (Team C) Data'!AE33</f>
        <v>0</v>
      </c>
      <c r="AF33" s="415">
        <f>'SQ(Team A) Data'!AF34+'SQ(Team B ) Data'!AF33+'SQ (Team C) Data'!AF33</f>
        <v>0</v>
      </c>
      <c r="AG33" s="415">
        <f>'SQ(Team A) Data'!AG34+'SQ(Team B ) Data'!AG33+'SQ (Team C) Data'!AG33</f>
        <v>0</v>
      </c>
      <c r="AH33" s="415">
        <f>'SQ(Team A) Data'!AH34+'SQ(Team B ) Data'!AH33+'SQ (Team C) Data'!AH33</f>
        <v>0</v>
      </c>
      <c r="AI33" s="415">
        <f>'SQ(Team A) Data'!AI34+'SQ(Team B ) Data'!AI33+'SQ (Team C) Data'!AI33</f>
        <v>0</v>
      </c>
      <c r="AJ33" s="415">
        <f>'SQ(Team A) Data'!AJ34+'SQ(Team B ) Data'!AJ33+'SQ (Team C) Data'!AJ33</f>
        <v>0</v>
      </c>
      <c r="AK33" s="415">
        <f>'SQ(Team A) Data'!AK34+'SQ(Team B ) Data'!AK33+'SQ (Team C) Data'!AK33</f>
        <v>0</v>
      </c>
      <c r="AL33" s="415">
        <f>'SQ(Team A) Data'!AL34+'SQ(Team B ) Data'!AL33+'SQ (Team C) Data'!AL33</f>
        <v>0</v>
      </c>
      <c r="AM33" s="415">
        <f>'SQ(Team A) Data'!AM34+'SQ(Team B ) Data'!AM33+'SQ (Team C) Data'!AM33</f>
        <v>0</v>
      </c>
      <c r="AN33" s="316">
        <f t="shared" si="6"/>
        <v>0</v>
      </c>
      <c r="AO33" s="316">
        <f t="shared" si="6"/>
        <v>0</v>
      </c>
      <c r="AP33" s="317">
        <f t="shared" si="7"/>
        <v>0</v>
      </c>
      <c r="AQ33" s="267">
        <f t="shared" si="15"/>
        <v>0</v>
      </c>
      <c r="AR33" s="318">
        <f t="shared" si="8"/>
        <v>0</v>
      </c>
      <c r="AS33" s="416">
        <f>'SQ(Team A) Data'!AS34+'SQ(Team B ) Data'!AS33+'SQ (Team C) Data'!AS33</f>
        <v>0</v>
      </c>
      <c r="AT33" s="415">
        <f>'SQ(Team A) Data'!AT34+'SQ(Team B ) Data'!AT33+'SQ (Team C) Data'!AT33</f>
        <v>0</v>
      </c>
      <c r="AU33" s="319" t="e">
        <f t="shared" si="16"/>
        <v>#DIV/0!</v>
      </c>
      <c r="AV33" s="415">
        <f>'SQ(Team A) Data'!AV34+'SQ(Team B ) Data'!AV33+'SQ (Team C) Data'!AV33</f>
        <v>0</v>
      </c>
      <c r="AW33" s="415">
        <f>'SQ(Team A) Data'!AW34+'SQ(Team B ) Data'!AW33+'SQ (Team C) Data'!AW33</f>
        <v>0</v>
      </c>
      <c r="AX33" s="415">
        <f>'SQ(Team A) Data'!AX34+'SQ(Team B ) Data'!AX33+'SQ (Team C) Data'!AX33</f>
        <v>0</v>
      </c>
      <c r="AY33" s="321">
        <f t="shared" si="17"/>
        <v>0</v>
      </c>
      <c r="AZ33" s="415">
        <f>'SQ(Team A) Data'!AZ34+'SQ(Team B ) Data'!AZ33+'SQ (Team C) Data'!AZ33</f>
        <v>0</v>
      </c>
      <c r="BA33" s="323"/>
      <c r="BC33" s="303">
        <v>25</v>
      </c>
      <c r="BD33" s="408">
        <f>'SQ(Team A) Data'!BD34+'SQ(Team B ) Data'!BD33+'SQ (Team C) Data'!BD33</f>
        <v>0</v>
      </c>
      <c r="BE33" s="305">
        <f t="shared" si="18"/>
        <v>0</v>
      </c>
      <c r="BF33" s="525">
        <f>'SQ(Team A) Data'!BF34+'SQ(Team B ) Data'!BF33+'SQ (Team C) Data'!BF33</f>
        <v>0</v>
      </c>
      <c r="BG33" s="307">
        <f t="shared" si="19"/>
        <v>0</v>
      </c>
      <c r="BH33" s="305" t="e">
        <f t="shared" si="9"/>
        <v>#DIV/0!</v>
      </c>
      <c r="BI33" s="305" t="e">
        <f t="shared" si="9"/>
        <v>#DIV/0!</v>
      </c>
    </row>
    <row r="34" spans="1:61" ht="18" customHeight="1">
      <c r="B34" s="302"/>
      <c r="C34" s="303">
        <v>26</v>
      </c>
      <c r="D34" s="407">
        <f>'SQ(Team A) Data'!D35+'SQ(Team B ) Data'!D34+'SQ (Team C) Data'!D34</f>
        <v>0</v>
      </c>
      <c r="E34" s="408">
        <f>'SQ(Team A) Data'!E35+'SQ(Team B ) Data'!E34+'SQ (Team C) Data'!E34</f>
        <v>0</v>
      </c>
      <c r="F34" s="305">
        <f t="shared" si="10"/>
        <v>0</v>
      </c>
      <c r="G34" s="303">
        <f t="shared" si="11"/>
        <v>26</v>
      </c>
      <c r="H34" s="305">
        <f t="shared" si="12"/>
        <v>0</v>
      </c>
      <c r="I34" s="305">
        <f t="shared" si="0"/>
        <v>0</v>
      </c>
      <c r="J34" s="408">
        <f>'SQ(Team A) Data'!J35+'SQ(Team B ) Data'!J34+'SQ (Team C) Data'!J34</f>
        <v>0</v>
      </c>
      <c r="K34" s="307">
        <f t="shared" si="13"/>
        <v>0</v>
      </c>
      <c r="L34" s="305" t="e">
        <f t="shared" si="1"/>
        <v>#DIV/0!</v>
      </c>
      <c r="M34" s="305" t="e">
        <f t="shared" si="2"/>
        <v>#DIV/0!</v>
      </c>
      <c r="N34" s="409">
        <f>'SQ(Team A) Data'!N35+'SQ(Team B ) Data'!N34+'SQ (Team C) Data'!N34</f>
        <v>0</v>
      </c>
      <c r="O34" s="308" t="e">
        <f t="shared" si="3"/>
        <v>#DIV/0!</v>
      </c>
      <c r="P34" s="415">
        <f>'SQ(Team A) Data'!P35+'SQ(Team B ) Data'!P34+'SQ (Team C) Data'!P34</f>
        <v>0</v>
      </c>
      <c r="Q34" s="411">
        <f>'SQ(Team A) Data'!Q35+'SQ(Team B ) Data'!Q34+'SQ (Team C) Data'!Q34</f>
        <v>0</v>
      </c>
      <c r="R34" s="411">
        <f>'SQ(Team A) Data'!P35+'SQ(Team B ) Data'!P34+'SQ (Team C) Data'!P34</f>
        <v>0</v>
      </c>
      <c r="S34" s="411">
        <f>'SQ(Team A) Data'!Q35+'SQ(Team B ) Data'!Q34+'SQ (Team C) Data'!Q34</f>
        <v>0</v>
      </c>
      <c r="T34" s="411">
        <f>'SQ(Team A) Data'!R35+'SQ(Team B ) Data'!R34+'SQ (Team C) Data'!R34</f>
        <v>0</v>
      </c>
      <c r="U34" s="412" t="e">
        <f t="shared" si="20"/>
        <v>#DIV/0!</v>
      </c>
      <c r="V34" s="413" t="e">
        <f t="shared" si="14"/>
        <v>#DIV/0!</v>
      </c>
      <c r="W34" s="415">
        <f>'SQ(Team A) Data'!W35+'SQ(Team B ) Data'!W34+'SQ (Team C) Data'!W34</f>
        <v>0</v>
      </c>
      <c r="X34" s="415">
        <f>'SQ(Team A) Data'!X35+'SQ(Team B ) Data'!X34+'SQ (Team C) Data'!X34</f>
        <v>0</v>
      </c>
      <c r="Y34" s="415">
        <f>'SQ(Team A) Data'!Y35+'SQ(Team B ) Data'!Y34+'SQ (Team C) Data'!Y34</f>
        <v>0</v>
      </c>
      <c r="Z34" s="415">
        <f>'SQ(Team A) Data'!Z35+'SQ(Team B ) Data'!Z34+'SQ (Team C) Data'!Z34</f>
        <v>0</v>
      </c>
      <c r="AA34" s="415">
        <f>'SQ(Team A) Data'!AA35+'SQ(Team B ) Data'!AA34+'SQ (Team C) Data'!AA34</f>
        <v>0</v>
      </c>
      <c r="AB34" s="314">
        <f t="shared" si="5"/>
        <v>0</v>
      </c>
      <c r="AC34" s="415">
        <f>'SQ(Team A) Data'!AC35+'SQ(Team B ) Data'!AC34+'SQ (Team C) Data'!AC34</f>
        <v>0</v>
      </c>
      <c r="AD34" s="415">
        <f>'SQ(Team A) Data'!AD35+'SQ(Team B ) Data'!AD34+'SQ (Team C) Data'!AD34</f>
        <v>0</v>
      </c>
      <c r="AE34" s="415">
        <f>'SQ(Team A) Data'!AE35+'SQ(Team B ) Data'!AE34+'SQ (Team C) Data'!AE34</f>
        <v>0</v>
      </c>
      <c r="AF34" s="415">
        <f>'SQ(Team A) Data'!AF35+'SQ(Team B ) Data'!AF34+'SQ (Team C) Data'!AF34</f>
        <v>0</v>
      </c>
      <c r="AG34" s="415">
        <f>'SQ(Team A) Data'!AG35+'SQ(Team B ) Data'!AG34+'SQ (Team C) Data'!AG34</f>
        <v>0</v>
      </c>
      <c r="AH34" s="415">
        <f>'SQ(Team A) Data'!AH35+'SQ(Team B ) Data'!AH34+'SQ (Team C) Data'!AH34</f>
        <v>0</v>
      </c>
      <c r="AI34" s="415">
        <f>'SQ(Team A) Data'!AI35+'SQ(Team B ) Data'!AI34+'SQ (Team C) Data'!AI34</f>
        <v>0</v>
      </c>
      <c r="AJ34" s="415">
        <f>'SQ(Team A) Data'!AJ35+'SQ(Team B ) Data'!AJ34+'SQ (Team C) Data'!AJ34</f>
        <v>0</v>
      </c>
      <c r="AK34" s="415">
        <f>'SQ(Team A) Data'!AK35+'SQ(Team B ) Data'!AK34+'SQ (Team C) Data'!AK34</f>
        <v>0</v>
      </c>
      <c r="AL34" s="415">
        <f>'SQ(Team A) Data'!AL35+'SQ(Team B ) Data'!AL34+'SQ (Team C) Data'!AL34</f>
        <v>0</v>
      </c>
      <c r="AM34" s="415">
        <f>'SQ(Team A) Data'!AM35+'SQ(Team B ) Data'!AM34+'SQ (Team C) Data'!AM34</f>
        <v>0</v>
      </c>
      <c r="AN34" s="316">
        <f t="shared" si="6"/>
        <v>0</v>
      </c>
      <c r="AO34" s="316">
        <f t="shared" si="6"/>
        <v>0</v>
      </c>
      <c r="AP34" s="317">
        <f t="shared" si="7"/>
        <v>0</v>
      </c>
      <c r="AQ34" s="267">
        <f t="shared" si="15"/>
        <v>0</v>
      </c>
      <c r="AR34" s="318">
        <f t="shared" si="8"/>
        <v>0</v>
      </c>
      <c r="AS34" s="416">
        <f>'SQ(Team A) Data'!AS35+'SQ(Team B ) Data'!AS34+'SQ (Team C) Data'!AS34</f>
        <v>0</v>
      </c>
      <c r="AT34" s="415">
        <f>'SQ(Team A) Data'!AT35+'SQ(Team B ) Data'!AT34+'SQ (Team C) Data'!AT34</f>
        <v>0</v>
      </c>
      <c r="AU34" s="319" t="e">
        <f t="shared" si="16"/>
        <v>#DIV/0!</v>
      </c>
      <c r="AV34" s="415">
        <f>'SQ(Team A) Data'!AV35+'SQ(Team B ) Data'!AV34+'SQ (Team C) Data'!AV34</f>
        <v>0</v>
      </c>
      <c r="AW34" s="415">
        <f>'SQ(Team A) Data'!AW35+'SQ(Team B ) Data'!AW34+'SQ (Team C) Data'!AW34</f>
        <v>0</v>
      </c>
      <c r="AX34" s="415">
        <f>'SQ(Team A) Data'!AX35+'SQ(Team B ) Data'!AX34+'SQ (Team C) Data'!AX34</f>
        <v>0</v>
      </c>
      <c r="AY34" s="321">
        <f t="shared" si="17"/>
        <v>0</v>
      </c>
      <c r="AZ34" s="415">
        <f>'SQ(Team A) Data'!AZ35+'SQ(Team B ) Data'!AZ34+'SQ (Team C) Data'!AZ34</f>
        <v>0</v>
      </c>
      <c r="BA34" s="323"/>
      <c r="BC34" s="303">
        <v>26</v>
      </c>
      <c r="BD34" s="408">
        <f>'SQ(Team A) Data'!BD35+'SQ(Team B ) Data'!BD34+'SQ (Team C) Data'!BD34</f>
        <v>0</v>
      </c>
      <c r="BE34" s="305">
        <f t="shared" si="18"/>
        <v>0</v>
      </c>
      <c r="BF34" s="525">
        <f>'SQ(Team A) Data'!BF35+'SQ(Team B ) Data'!BF34+'SQ (Team C) Data'!BF34</f>
        <v>0</v>
      </c>
      <c r="BG34" s="307">
        <f t="shared" si="19"/>
        <v>0</v>
      </c>
      <c r="BH34" s="305" t="e">
        <f t="shared" si="9"/>
        <v>#DIV/0!</v>
      </c>
      <c r="BI34" s="305" t="e">
        <f t="shared" si="9"/>
        <v>#DIV/0!</v>
      </c>
    </row>
    <row r="35" spans="1:61" ht="18" customHeight="1">
      <c r="B35" s="302"/>
      <c r="C35" s="303">
        <v>27</v>
      </c>
      <c r="D35" s="407">
        <f>'SQ(Team A) Data'!D36+'SQ(Team B ) Data'!D35+'SQ (Team C) Data'!D35</f>
        <v>0</v>
      </c>
      <c r="E35" s="408">
        <f>'SQ(Team A) Data'!E36+'SQ(Team B ) Data'!E35+'SQ (Team C) Data'!E35</f>
        <v>0</v>
      </c>
      <c r="F35" s="305">
        <f t="shared" si="10"/>
        <v>0</v>
      </c>
      <c r="G35" s="303">
        <f t="shared" si="11"/>
        <v>27</v>
      </c>
      <c r="H35" s="305">
        <f t="shared" si="12"/>
        <v>0</v>
      </c>
      <c r="I35" s="305">
        <f t="shared" si="0"/>
        <v>0</v>
      </c>
      <c r="J35" s="408">
        <f>'SQ(Team A) Data'!J36+'SQ(Team B ) Data'!J35+'SQ (Team C) Data'!J35</f>
        <v>0</v>
      </c>
      <c r="K35" s="307">
        <f t="shared" si="13"/>
        <v>0</v>
      </c>
      <c r="L35" s="305" t="e">
        <f t="shared" si="1"/>
        <v>#DIV/0!</v>
      </c>
      <c r="M35" s="305" t="e">
        <f t="shared" si="2"/>
        <v>#DIV/0!</v>
      </c>
      <c r="N35" s="409">
        <f>'SQ(Team A) Data'!N36+'SQ(Team B ) Data'!N35+'SQ (Team C) Data'!N35</f>
        <v>0</v>
      </c>
      <c r="O35" s="308" t="e">
        <f t="shared" si="3"/>
        <v>#DIV/0!</v>
      </c>
      <c r="P35" s="415">
        <f>'SQ(Team A) Data'!P36+'SQ(Team B ) Data'!P35+'SQ (Team C) Data'!P35</f>
        <v>0</v>
      </c>
      <c r="Q35" s="411">
        <f>'SQ(Team A) Data'!Q36+'SQ(Team B ) Data'!Q35+'SQ (Team C) Data'!Q35</f>
        <v>0</v>
      </c>
      <c r="R35" s="411">
        <f>'SQ(Team A) Data'!P36+'SQ(Team B ) Data'!P35+'SQ (Team C) Data'!P35</f>
        <v>0</v>
      </c>
      <c r="S35" s="411">
        <f>'SQ(Team A) Data'!Q36+'SQ(Team B ) Data'!Q35+'SQ (Team C) Data'!Q35</f>
        <v>0</v>
      </c>
      <c r="T35" s="411">
        <f>'SQ(Team A) Data'!R36+'SQ(Team B ) Data'!R35+'SQ (Team C) Data'!R35</f>
        <v>0</v>
      </c>
      <c r="U35" s="412" t="e">
        <f t="shared" si="20"/>
        <v>#DIV/0!</v>
      </c>
      <c r="V35" s="413" t="e">
        <f t="shared" si="14"/>
        <v>#DIV/0!</v>
      </c>
      <c r="W35" s="415">
        <f>'SQ(Team A) Data'!W36+'SQ(Team B ) Data'!W35+'SQ (Team C) Data'!W35</f>
        <v>0</v>
      </c>
      <c r="X35" s="415">
        <f>'SQ(Team A) Data'!X36+'SQ(Team B ) Data'!X35+'SQ (Team C) Data'!X35</f>
        <v>0</v>
      </c>
      <c r="Y35" s="415">
        <f>'SQ(Team A) Data'!Y36+'SQ(Team B ) Data'!Y35+'SQ (Team C) Data'!Y35</f>
        <v>0</v>
      </c>
      <c r="Z35" s="415">
        <f>'SQ(Team A) Data'!Z36+'SQ(Team B ) Data'!Z35+'SQ (Team C) Data'!Z35</f>
        <v>0</v>
      </c>
      <c r="AA35" s="415">
        <f>'SQ(Team A) Data'!AA36+'SQ(Team B ) Data'!AA35+'SQ (Team C) Data'!AA35</f>
        <v>0</v>
      </c>
      <c r="AB35" s="314">
        <f t="shared" si="5"/>
        <v>0</v>
      </c>
      <c r="AC35" s="415">
        <f>'SQ(Team A) Data'!AC36+'SQ(Team B ) Data'!AC35+'SQ (Team C) Data'!AC35</f>
        <v>0</v>
      </c>
      <c r="AD35" s="415">
        <f>'SQ(Team A) Data'!AD36+'SQ(Team B ) Data'!AD35+'SQ (Team C) Data'!AD35</f>
        <v>0</v>
      </c>
      <c r="AE35" s="415">
        <f>'SQ(Team A) Data'!AE36+'SQ(Team B ) Data'!AE35+'SQ (Team C) Data'!AE35</f>
        <v>0</v>
      </c>
      <c r="AF35" s="415">
        <f>'SQ(Team A) Data'!AF36+'SQ(Team B ) Data'!AF35+'SQ (Team C) Data'!AF35</f>
        <v>0</v>
      </c>
      <c r="AG35" s="415">
        <f>'SQ(Team A) Data'!AG36+'SQ(Team B ) Data'!AG35+'SQ (Team C) Data'!AG35</f>
        <v>0</v>
      </c>
      <c r="AH35" s="415">
        <f>'SQ(Team A) Data'!AH36+'SQ(Team B ) Data'!AH35+'SQ (Team C) Data'!AH35</f>
        <v>0</v>
      </c>
      <c r="AI35" s="415">
        <f>'SQ(Team A) Data'!AI36+'SQ(Team B ) Data'!AI35+'SQ (Team C) Data'!AI35</f>
        <v>0</v>
      </c>
      <c r="AJ35" s="415">
        <f>'SQ(Team A) Data'!AJ36+'SQ(Team B ) Data'!AJ35+'SQ (Team C) Data'!AJ35</f>
        <v>0</v>
      </c>
      <c r="AK35" s="415">
        <f>'SQ(Team A) Data'!AK36+'SQ(Team B ) Data'!AK35+'SQ (Team C) Data'!AK35</f>
        <v>0</v>
      </c>
      <c r="AL35" s="415">
        <f>'SQ(Team A) Data'!AL36+'SQ(Team B ) Data'!AL35+'SQ (Team C) Data'!AL35</f>
        <v>0</v>
      </c>
      <c r="AM35" s="415">
        <f>'SQ(Team A) Data'!AM36+'SQ(Team B ) Data'!AM35+'SQ (Team C) Data'!AM35</f>
        <v>0</v>
      </c>
      <c r="AN35" s="316">
        <f t="shared" si="6"/>
        <v>0</v>
      </c>
      <c r="AO35" s="316">
        <f t="shared" si="6"/>
        <v>0</v>
      </c>
      <c r="AP35" s="317">
        <f t="shared" si="7"/>
        <v>0</v>
      </c>
      <c r="AQ35" s="267">
        <f t="shared" si="15"/>
        <v>0</v>
      </c>
      <c r="AR35" s="318">
        <f t="shared" si="8"/>
        <v>0</v>
      </c>
      <c r="AS35" s="416">
        <f>'SQ(Team A) Data'!AS36+'SQ(Team B ) Data'!AS35+'SQ (Team C) Data'!AS35</f>
        <v>0</v>
      </c>
      <c r="AT35" s="415">
        <f>'SQ(Team A) Data'!AT36+'SQ(Team B ) Data'!AT35+'SQ (Team C) Data'!AT35</f>
        <v>0</v>
      </c>
      <c r="AU35" s="319" t="e">
        <f t="shared" si="16"/>
        <v>#DIV/0!</v>
      </c>
      <c r="AV35" s="415">
        <f>'SQ(Team A) Data'!AV36+'SQ(Team B ) Data'!AV35+'SQ (Team C) Data'!AV35</f>
        <v>0</v>
      </c>
      <c r="AW35" s="415">
        <f>'SQ(Team A) Data'!AW36+'SQ(Team B ) Data'!AW35+'SQ (Team C) Data'!AW35</f>
        <v>0</v>
      </c>
      <c r="AX35" s="415">
        <f>'SQ(Team A) Data'!AX36+'SQ(Team B ) Data'!AX35+'SQ (Team C) Data'!AX35</f>
        <v>0</v>
      </c>
      <c r="AY35" s="321">
        <f t="shared" si="17"/>
        <v>0</v>
      </c>
      <c r="AZ35" s="415">
        <f>'SQ(Team A) Data'!AZ36+'SQ(Team B ) Data'!AZ35+'SQ (Team C) Data'!AZ35</f>
        <v>0</v>
      </c>
      <c r="BA35" s="323"/>
      <c r="BC35" s="303">
        <v>27</v>
      </c>
      <c r="BD35" s="408">
        <f>'SQ(Team A) Data'!BD36+'SQ(Team B ) Data'!BD35+'SQ (Team C) Data'!BD35</f>
        <v>0</v>
      </c>
      <c r="BE35" s="305">
        <f t="shared" si="18"/>
        <v>0</v>
      </c>
      <c r="BF35" s="525">
        <f>'SQ(Team A) Data'!BF36+'SQ(Team B ) Data'!BF35+'SQ (Team C) Data'!BF35</f>
        <v>0</v>
      </c>
      <c r="BG35" s="307">
        <f t="shared" si="19"/>
        <v>0</v>
      </c>
      <c r="BH35" s="305" t="e">
        <f t="shared" si="9"/>
        <v>#DIV/0!</v>
      </c>
      <c r="BI35" s="305" t="e">
        <f t="shared" si="9"/>
        <v>#DIV/0!</v>
      </c>
    </row>
    <row r="36" spans="1:61" ht="18" customHeight="1">
      <c r="A36" s="19" t="s">
        <v>161</v>
      </c>
      <c r="B36" s="302"/>
      <c r="C36" s="303">
        <v>28</v>
      </c>
      <c r="D36" s="407">
        <f>'SQ(Team A) Data'!D37+'SQ(Team B ) Data'!D36+'SQ (Team C) Data'!D36</f>
        <v>0</v>
      </c>
      <c r="E36" s="408">
        <f>'SQ(Team A) Data'!E37+'SQ(Team B ) Data'!E36+'SQ (Team C) Data'!E36</f>
        <v>0</v>
      </c>
      <c r="F36" s="305">
        <f t="shared" si="10"/>
        <v>0</v>
      </c>
      <c r="G36" s="303">
        <f t="shared" si="11"/>
        <v>28</v>
      </c>
      <c r="H36" s="305">
        <f t="shared" si="12"/>
        <v>0</v>
      </c>
      <c r="I36" s="305">
        <f t="shared" si="0"/>
        <v>0</v>
      </c>
      <c r="J36" s="408">
        <f>'SQ(Team A) Data'!J37+'SQ(Team B ) Data'!J36+'SQ (Team C) Data'!J36</f>
        <v>0</v>
      </c>
      <c r="K36" s="307">
        <f t="shared" si="13"/>
        <v>0</v>
      </c>
      <c r="L36" s="305" t="e">
        <f t="shared" si="1"/>
        <v>#DIV/0!</v>
      </c>
      <c r="M36" s="305" t="e">
        <f t="shared" si="2"/>
        <v>#DIV/0!</v>
      </c>
      <c r="N36" s="409">
        <f>'SQ(Team A) Data'!N37+'SQ(Team B ) Data'!N36+'SQ (Team C) Data'!N36</f>
        <v>0</v>
      </c>
      <c r="O36" s="308" t="e">
        <f t="shared" si="3"/>
        <v>#DIV/0!</v>
      </c>
      <c r="P36" s="415">
        <f>'SQ(Team A) Data'!P37+'SQ(Team B ) Data'!P36+'SQ (Team C) Data'!P36</f>
        <v>0</v>
      </c>
      <c r="Q36" s="411">
        <f>'SQ(Team A) Data'!Q37+'SQ(Team B ) Data'!Q36+'SQ (Team C) Data'!Q36</f>
        <v>0</v>
      </c>
      <c r="R36" s="411">
        <f>'SQ(Team A) Data'!P37+'SQ(Team B ) Data'!P36+'SQ (Team C) Data'!P36</f>
        <v>0</v>
      </c>
      <c r="S36" s="411">
        <f>'SQ(Team A) Data'!Q37+'SQ(Team B ) Data'!Q36+'SQ (Team C) Data'!Q36</f>
        <v>0</v>
      </c>
      <c r="T36" s="411">
        <f>'SQ(Team A) Data'!R37+'SQ(Team B ) Data'!R36+'SQ (Team C) Data'!R36</f>
        <v>0</v>
      </c>
      <c r="U36" s="412" t="e">
        <f>S36/R36</f>
        <v>#DIV/0!</v>
      </c>
      <c r="V36" s="413" t="e">
        <f t="shared" si="14"/>
        <v>#DIV/0!</v>
      </c>
      <c r="W36" s="415">
        <f>'SQ(Team A) Data'!W37+'SQ(Team B ) Data'!W36+'SQ (Team C) Data'!W36</f>
        <v>0</v>
      </c>
      <c r="X36" s="415">
        <f>'SQ(Team A) Data'!X37+'SQ(Team B ) Data'!X36+'SQ (Team C) Data'!X36</f>
        <v>0</v>
      </c>
      <c r="Y36" s="415">
        <f>'SQ(Team A) Data'!Y37+'SQ(Team B ) Data'!Y36+'SQ (Team C) Data'!Y36</f>
        <v>0</v>
      </c>
      <c r="Z36" s="415">
        <f>'SQ(Team A) Data'!Z37+'SQ(Team B ) Data'!Z36+'SQ (Team C) Data'!Z36</f>
        <v>0</v>
      </c>
      <c r="AA36" s="415">
        <f>'SQ(Team A) Data'!AA37+'SQ(Team B ) Data'!AA36+'SQ (Team C) Data'!AA36</f>
        <v>0</v>
      </c>
      <c r="AB36" s="314">
        <f t="shared" si="5"/>
        <v>0</v>
      </c>
      <c r="AC36" s="415">
        <f>'SQ(Team A) Data'!AC37+'SQ(Team B ) Data'!AC36+'SQ (Team C) Data'!AC36</f>
        <v>0</v>
      </c>
      <c r="AD36" s="415">
        <f>'SQ(Team A) Data'!AD37+'SQ(Team B ) Data'!AD36+'SQ (Team C) Data'!AD36</f>
        <v>0</v>
      </c>
      <c r="AE36" s="415">
        <f>'SQ(Team A) Data'!AE37+'SQ(Team B ) Data'!AE36+'SQ (Team C) Data'!AE36</f>
        <v>0</v>
      </c>
      <c r="AF36" s="415">
        <f>'SQ(Team A) Data'!AF37+'SQ(Team B ) Data'!AF36+'SQ (Team C) Data'!AF36</f>
        <v>0</v>
      </c>
      <c r="AG36" s="415">
        <f>'SQ(Team A) Data'!AG37+'SQ(Team B ) Data'!AG36+'SQ (Team C) Data'!AG36</f>
        <v>0</v>
      </c>
      <c r="AH36" s="415">
        <f>'SQ(Team A) Data'!AH37+'SQ(Team B ) Data'!AH36+'SQ (Team C) Data'!AH36</f>
        <v>0</v>
      </c>
      <c r="AI36" s="415">
        <f>'SQ(Team A) Data'!AI37+'SQ(Team B ) Data'!AI36+'SQ (Team C) Data'!AI36</f>
        <v>0</v>
      </c>
      <c r="AJ36" s="415">
        <f>'SQ(Team A) Data'!AJ37+'SQ(Team B ) Data'!AJ36+'SQ (Team C) Data'!AJ36</f>
        <v>0</v>
      </c>
      <c r="AK36" s="415">
        <f>'SQ(Team A) Data'!AK37+'SQ(Team B ) Data'!AK36+'SQ (Team C) Data'!AK36</f>
        <v>0</v>
      </c>
      <c r="AL36" s="415">
        <f>'SQ(Team A) Data'!AL37+'SQ(Team B ) Data'!AL36+'SQ (Team C) Data'!AL36</f>
        <v>0</v>
      </c>
      <c r="AM36" s="415">
        <f>'SQ(Team A) Data'!AM37+'SQ(Team B ) Data'!AM36+'SQ (Team C) Data'!AM36</f>
        <v>0</v>
      </c>
      <c r="AN36" s="316">
        <f t="shared" si="6"/>
        <v>0</v>
      </c>
      <c r="AO36" s="316">
        <f t="shared" si="6"/>
        <v>0</v>
      </c>
      <c r="AP36" s="317">
        <f t="shared" si="7"/>
        <v>0</v>
      </c>
      <c r="AQ36" s="267">
        <f t="shared" si="15"/>
        <v>0</v>
      </c>
      <c r="AR36" s="318">
        <f t="shared" si="8"/>
        <v>0</v>
      </c>
      <c r="AS36" s="416">
        <f>'SQ(Team A) Data'!AS37+'SQ(Team B ) Data'!AS36+'SQ (Team C) Data'!AS36</f>
        <v>0</v>
      </c>
      <c r="AT36" s="415">
        <f>'SQ(Team A) Data'!AT37+'SQ(Team B ) Data'!AT36+'SQ (Team C) Data'!AT36</f>
        <v>0</v>
      </c>
      <c r="AU36" s="319" t="e">
        <f t="shared" si="16"/>
        <v>#DIV/0!</v>
      </c>
      <c r="AV36" s="415">
        <f>'SQ(Team A) Data'!AV37+'SQ(Team B ) Data'!AV36+'SQ (Team C) Data'!AV36</f>
        <v>0</v>
      </c>
      <c r="AW36" s="415">
        <f>'SQ(Team A) Data'!AW37+'SQ(Team B ) Data'!AW36+'SQ (Team C) Data'!AW36</f>
        <v>0</v>
      </c>
      <c r="AX36" s="415">
        <f>'SQ(Team A) Data'!AX37+'SQ(Team B ) Data'!AX36+'SQ (Team C) Data'!AX36</f>
        <v>0</v>
      </c>
      <c r="AY36" s="321">
        <f t="shared" si="17"/>
        <v>0</v>
      </c>
      <c r="AZ36" s="415">
        <f>'SQ(Team A) Data'!AZ37+'SQ(Team B ) Data'!AZ36+'SQ (Team C) Data'!AZ36</f>
        <v>0</v>
      </c>
      <c r="BA36" s="323"/>
      <c r="BC36" s="303">
        <v>28</v>
      </c>
      <c r="BD36" s="408">
        <f>'SQ(Team A) Data'!BD37+'SQ(Team B ) Data'!BD36+'SQ (Team C) Data'!BD36</f>
        <v>0</v>
      </c>
      <c r="BE36" s="305">
        <f t="shared" si="18"/>
        <v>0</v>
      </c>
      <c r="BF36" s="525">
        <f>'SQ(Team A) Data'!BF37+'SQ(Team B ) Data'!BF36+'SQ (Team C) Data'!BF36</f>
        <v>0</v>
      </c>
      <c r="BG36" s="307">
        <f t="shared" si="19"/>
        <v>0</v>
      </c>
      <c r="BH36" s="305" t="e">
        <f t="shared" si="9"/>
        <v>#DIV/0!</v>
      </c>
      <c r="BI36" s="305" t="e">
        <f t="shared" si="9"/>
        <v>#DIV/0!</v>
      </c>
    </row>
    <row r="37" spans="1:61" ht="18" customHeight="1">
      <c r="B37" s="302"/>
      <c r="C37" s="303">
        <v>29</v>
      </c>
      <c r="D37" s="407">
        <f>'SQ(Team A) Data'!D38+'SQ(Team B ) Data'!D37+'SQ (Team C) Data'!D37</f>
        <v>0</v>
      </c>
      <c r="E37" s="408">
        <f>'SQ(Team A) Data'!E38+'SQ(Team B ) Data'!E37+'SQ (Team C) Data'!E37</f>
        <v>0</v>
      </c>
      <c r="F37" s="305">
        <f t="shared" si="10"/>
        <v>0</v>
      </c>
      <c r="G37" s="303">
        <f>IF(B37="-",G36,IF(B37="*",G36,G36+1))</f>
        <v>29</v>
      </c>
      <c r="H37" s="305">
        <f t="shared" si="12"/>
        <v>0</v>
      </c>
      <c r="I37" s="305">
        <f t="shared" si="0"/>
        <v>0</v>
      </c>
      <c r="J37" s="408">
        <f>'SQ(Team A) Data'!J38+'SQ(Team B ) Data'!J37+'SQ (Team C) Data'!J37</f>
        <v>0</v>
      </c>
      <c r="K37" s="307">
        <f t="shared" si="13"/>
        <v>0</v>
      </c>
      <c r="L37" s="305" t="e">
        <f t="shared" si="1"/>
        <v>#DIV/0!</v>
      </c>
      <c r="M37" s="305" t="e">
        <f t="shared" si="2"/>
        <v>#DIV/0!</v>
      </c>
      <c r="N37" s="409">
        <f>'SQ(Team A) Data'!N38+'SQ(Team B ) Data'!N37+'SQ (Team C) Data'!N37</f>
        <v>0</v>
      </c>
      <c r="O37" s="308" t="e">
        <f t="shared" si="3"/>
        <v>#DIV/0!</v>
      </c>
      <c r="P37" s="415">
        <f>'SQ(Team A) Data'!P38+'SQ(Team B ) Data'!P37+'SQ (Team C) Data'!P37</f>
        <v>0</v>
      </c>
      <c r="Q37" s="411">
        <f>'SQ(Team A) Data'!Q38+'SQ(Team B ) Data'!Q37+'SQ (Team C) Data'!Q37</f>
        <v>0</v>
      </c>
      <c r="R37" s="411">
        <f>'SQ(Team A) Data'!P38+'SQ(Team B ) Data'!P37+'SQ (Team C) Data'!P37</f>
        <v>0</v>
      </c>
      <c r="S37" s="411">
        <f>'SQ(Team A) Data'!Q38+'SQ(Team B ) Data'!Q37+'SQ (Team C) Data'!Q37</f>
        <v>0</v>
      </c>
      <c r="T37" s="411">
        <f>'SQ(Team A) Data'!R38+'SQ(Team B ) Data'!R37+'SQ (Team C) Data'!R37</f>
        <v>0</v>
      </c>
      <c r="U37" s="412" t="e">
        <f>S37/R37</f>
        <v>#DIV/0!</v>
      </c>
      <c r="V37" s="413" t="e">
        <f t="shared" si="14"/>
        <v>#DIV/0!</v>
      </c>
      <c r="W37" s="415">
        <f>'SQ(Team A) Data'!W38+'SQ(Team B ) Data'!W37+'SQ (Team C) Data'!W37</f>
        <v>0</v>
      </c>
      <c r="X37" s="415">
        <f>'SQ(Team A) Data'!X38+'SQ(Team B ) Data'!X37+'SQ (Team C) Data'!X37</f>
        <v>0</v>
      </c>
      <c r="Y37" s="415">
        <f>'SQ(Team A) Data'!Y38+'SQ(Team B ) Data'!Y37+'SQ (Team C) Data'!Y37</f>
        <v>0</v>
      </c>
      <c r="Z37" s="415">
        <f>'SQ(Team A) Data'!Z38+'SQ(Team B ) Data'!Z37+'SQ (Team C) Data'!Z37</f>
        <v>0</v>
      </c>
      <c r="AA37" s="415">
        <f>'SQ(Team A) Data'!AA38+'SQ(Team B ) Data'!AA37+'SQ (Team C) Data'!AA37</f>
        <v>0</v>
      </c>
      <c r="AB37" s="314">
        <f t="shared" si="5"/>
        <v>0</v>
      </c>
      <c r="AC37" s="415">
        <f>'SQ(Team A) Data'!AC38+'SQ(Team B ) Data'!AC37+'SQ (Team C) Data'!AC37</f>
        <v>0</v>
      </c>
      <c r="AD37" s="415">
        <f>'SQ(Team A) Data'!AD38+'SQ(Team B ) Data'!AD37+'SQ (Team C) Data'!AD37</f>
        <v>0</v>
      </c>
      <c r="AE37" s="415">
        <f>'SQ(Team A) Data'!AE38+'SQ(Team B ) Data'!AE37+'SQ (Team C) Data'!AE37</f>
        <v>0</v>
      </c>
      <c r="AF37" s="415">
        <f>'SQ(Team A) Data'!AF38+'SQ(Team B ) Data'!AF37+'SQ (Team C) Data'!AF37</f>
        <v>0</v>
      </c>
      <c r="AG37" s="415">
        <f>'SQ(Team A) Data'!AG38+'SQ(Team B ) Data'!AG37+'SQ (Team C) Data'!AG37</f>
        <v>0</v>
      </c>
      <c r="AH37" s="415">
        <f>'SQ(Team A) Data'!AH38+'SQ(Team B ) Data'!AH37+'SQ (Team C) Data'!AH37</f>
        <v>0</v>
      </c>
      <c r="AI37" s="415">
        <f>'SQ(Team A) Data'!AI38+'SQ(Team B ) Data'!AI37+'SQ (Team C) Data'!AI37</f>
        <v>0</v>
      </c>
      <c r="AJ37" s="415">
        <f>'SQ(Team A) Data'!AJ38+'SQ(Team B ) Data'!AJ37+'SQ (Team C) Data'!AJ37</f>
        <v>0</v>
      </c>
      <c r="AK37" s="415">
        <f>'SQ(Team A) Data'!AK38+'SQ(Team B ) Data'!AK37+'SQ (Team C) Data'!AK37</f>
        <v>0</v>
      </c>
      <c r="AL37" s="415">
        <f>'SQ(Team A) Data'!AL38+'SQ(Team B ) Data'!AL37+'SQ (Team C) Data'!AL37</f>
        <v>0</v>
      </c>
      <c r="AM37" s="415">
        <f>'SQ(Team A) Data'!AM38+'SQ(Team B ) Data'!AM37+'SQ (Team C) Data'!AM37</f>
        <v>0</v>
      </c>
      <c r="AN37" s="316">
        <f t="shared" si="6"/>
        <v>0</v>
      </c>
      <c r="AO37" s="316">
        <f t="shared" si="6"/>
        <v>0</v>
      </c>
      <c r="AP37" s="317">
        <f t="shared" si="7"/>
        <v>0</v>
      </c>
      <c r="AQ37" s="267">
        <f t="shared" si="15"/>
        <v>0</v>
      </c>
      <c r="AR37" s="318">
        <f t="shared" si="8"/>
        <v>0</v>
      </c>
      <c r="AS37" s="416">
        <f>'SQ(Team A) Data'!AS38+'SQ(Team B ) Data'!AS37+'SQ (Team C) Data'!AS37</f>
        <v>0</v>
      </c>
      <c r="AT37" s="415">
        <f>'SQ(Team A) Data'!AT38+'SQ(Team B ) Data'!AT37+'SQ (Team C) Data'!AT37</f>
        <v>0</v>
      </c>
      <c r="AU37" s="319" t="e">
        <f t="shared" si="16"/>
        <v>#DIV/0!</v>
      </c>
      <c r="AV37" s="415">
        <f>'SQ(Team A) Data'!AV38+'SQ(Team B ) Data'!AV37+'SQ (Team C) Data'!AV37</f>
        <v>0</v>
      </c>
      <c r="AW37" s="415">
        <f>'SQ(Team A) Data'!AW38+'SQ(Team B ) Data'!AW37+'SQ (Team C) Data'!AW37</f>
        <v>0</v>
      </c>
      <c r="AX37" s="415">
        <f>'SQ(Team A) Data'!AX38+'SQ(Team B ) Data'!AX37+'SQ (Team C) Data'!AX37</f>
        <v>0</v>
      </c>
      <c r="AY37" s="321">
        <f t="shared" si="17"/>
        <v>0</v>
      </c>
      <c r="AZ37" s="415">
        <f>'SQ(Team A) Data'!AZ38+'SQ(Team B ) Data'!AZ37+'SQ (Team C) Data'!AZ37</f>
        <v>0</v>
      </c>
      <c r="BA37" s="323"/>
      <c r="BC37" s="303">
        <f>IF($B37="-","",BC36+1)</f>
        <v>29</v>
      </c>
      <c r="BD37" s="408">
        <f>'SQ(Team A) Data'!BD38+'SQ(Team B ) Data'!BD37+'SQ (Team C) Data'!BD37</f>
        <v>0</v>
      </c>
      <c r="BE37" s="305">
        <f t="shared" si="18"/>
        <v>0</v>
      </c>
      <c r="BF37" s="525">
        <f>'SQ(Team A) Data'!BF38+'SQ(Team B ) Data'!BF37+'SQ (Team C) Data'!BF37</f>
        <v>0</v>
      </c>
      <c r="BG37" s="307">
        <f t="shared" si="19"/>
        <v>0</v>
      </c>
      <c r="BH37" s="305" t="e">
        <f t="shared" si="9"/>
        <v>#DIV/0!</v>
      </c>
      <c r="BI37" s="305" t="e">
        <f t="shared" si="9"/>
        <v>#DIV/0!</v>
      </c>
    </row>
    <row r="38" spans="1:61" ht="18" customHeight="1">
      <c r="A38" s="19" t="s">
        <v>161</v>
      </c>
      <c r="B38" s="302"/>
      <c r="C38" s="303">
        <v>30</v>
      </c>
      <c r="D38" s="407">
        <f>'SQ(Team A) Data'!D39+'SQ(Team B ) Data'!D38+'SQ (Team C) Data'!D38</f>
        <v>0</v>
      </c>
      <c r="E38" s="408">
        <f>'SQ(Team A) Data'!E39+'SQ(Team B ) Data'!E38+'SQ (Team C) Data'!E38</f>
        <v>0</v>
      </c>
      <c r="F38" s="305">
        <f t="shared" si="10"/>
        <v>0</v>
      </c>
      <c r="G38" s="303">
        <f>IF(B38="-",G37,IF(B38="*",G37,G37+1))</f>
        <v>30</v>
      </c>
      <c r="H38" s="305">
        <f t="shared" si="12"/>
        <v>0</v>
      </c>
      <c r="I38" s="305">
        <f t="shared" si="0"/>
        <v>0</v>
      </c>
      <c r="J38" s="408">
        <f>'SQ(Team A) Data'!J39+'SQ(Team B ) Data'!J38+'SQ (Team C) Data'!J38</f>
        <v>0</v>
      </c>
      <c r="K38" s="307">
        <f t="shared" si="13"/>
        <v>0</v>
      </c>
      <c r="L38" s="305" t="e">
        <f t="shared" si="1"/>
        <v>#DIV/0!</v>
      </c>
      <c r="M38" s="305" t="e">
        <f t="shared" si="2"/>
        <v>#DIV/0!</v>
      </c>
      <c r="N38" s="409">
        <f>'SQ(Team A) Data'!N39+'SQ(Team B ) Data'!N38+'SQ (Team C) Data'!N38</f>
        <v>0</v>
      </c>
      <c r="O38" s="308" t="e">
        <f t="shared" si="3"/>
        <v>#DIV/0!</v>
      </c>
      <c r="P38" s="415">
        <f>'SQ(Team A) Data'!P39+'SQ(Team B ) Data'!P38+'SQ (Team C) Data'!P38</f>
        <v>0</v>
      </c>
      <c r="Q38" s="411">
        <f>'SQ(Team A) Data'!Q39+'SQ(Team B ) Data'!Q38+'SQ (Team C) Data'!Q38</f>
        <v>0</v>
      </c>
      <c r="R38" s="411">
        <f>'SQ(Team A) Data'!P39+'SQ(Team B ) Data'!P38+'SQ (Team C) Data'!P38</f>
        <v>0</v>
      </c>
      <c r="S38" s="411">
        <f>'SQ(Team A) Data'!Q39+'SQ(Team B ) Data'!Q38+'SQ (Team C) Data'!Q38</f>
        <v>0</v>
      </c>
      <c r="T38" s="411">
        <f>'SQ(Team A) Data'!R39+'SQ(Team B ) Data'!R38+'SQ (Team C) Data'!R38</f>
        <v>0</v>
      </c>
      <c r="U38" s="412" t="e">
        <f>S38/R38</f>
        <v>#DIV/0!</v>
      </c>
      <c r="V38" s="413" t="e">
        <f t="shared" si="14"/>
        <v>#DIV/0!</v>
      </c>
      <c r="W38" s="415">
        <f>'SQ(Team A) Data'!W39+'SQ(Team B ) Data'!W38+'SQ (Team C) Data'!W38</f>
        <v>0</v>
      </c>
      <c r="X38" s="415">
        <f>'SQ(Team A) Data'!X39+'SQ(Team B ) Data'!X38+'SQ (Team C) Data'!X38</f>
        <v>0</v>
      </c>
      <c r="Y38" s="415">
        <f>'SQ(Team A) Data'!Y39+'SQ(Team B ) Data'!Y38+'SQ (Team C) Data'!Y38</f>
        <v>0</v>
      </c>
      <c r="Z38" s="415">
        <f>'SQ(Team A) Data'!Z39+'SQ(Team B ) Data'!Z38+'SQ (Team C) Data'!Z38</f>
        <v>0</v>
      </c>
      <c r="AA38" s="415">
        <f>'SQ(Team A) Data'!AA39+'SQ(Team B ) Data'!AA38+'SQ (Team C) Data'!AA38</f>
        <v>0</v>
      </c>
      <c r="AB38" s="314">
        <f t="shared" si="5"/>
        <v>0</v>
      </c>
      <c r="AC38" s="415">
        <f>'SQ(Team A) Data'!AC39+'SQ(Team B ) Data'!AC38+'SQ (Team C) Data'!AC38</f>
        <v>0</v>
      </c>
      <c r="AD38" s="415">
        <f>'SQ(Team A) Data'!AD39+'SQ(Team B ) Data'!AD38+'SQ (Team C) Data'!AD38</f>
        <v>0</v>
      </c>
      <c r="AE38" s="415">
        <f>'SQ(Team A) Data'!AE39+'SQ(Team B ) Data'!AE38+'SQ (Team C) Data'!AE38</f>
        <v>0</v>
      </c>
      <c r="AF38" s="415">
        <f>'SQ(Team A) Data'!AF39+'SQ(Team B ) Data'!AF38+'SQ (Team C) Data'!AF38</f>
        <v>0</v>
      </c>
      <c r="AG38" s="415">
        <f>'SQ(Team A) Data'!AG39+'SQ(Team B ) Data'!AG38+'SQ (Team C) Data'!AG38</f>
        <v>0</v>
      </c>
      <c r="AH38" s="415">
        <f>'SQ(Team A) Data'!AH39+'SQ(Team B ) Data'!AH38+'SQ (Team C) Data'!AH38</f>
        <v>0</v>
      </c>
      <c r="AI38" s="415">
        <f>'SQ(Team A) Data'!AI39+'SQ(Team B ) Data'!AI38+'SQ (Team C) Data'!AI38</f>
        <v>0</v>
      </c>
      <c r="AJ38" s="415">
        <f>'SQ(Team A) Data'!AJ39+'SQ(Team B ) Data'!AJ38+'SQ (Team C) Data'!AJ38</f>
        <v>0</v>
      </c>
      <c r="AK38" s="415">
        <f>'SQ(Team A) Data'!AK39+'SQ(Team B ) Data'!AK38+'SQ (Team C) Data'!AK38</f>
        <v>0</v>
      </c>
      <c r="AL38" s="415">
        <f>'SQ(Team A) Data'!AL39+'SQ(Team B ) Data'!AL38+'SQ (Team C) Data'!AL38</f>
        <v>0</v>
      </c>
      <c r="AM38" s="415">
        <f>'SQ(Team A) Data'!AM39+'SQ(Team B ) Data'!AM38+'SQ (Team C) Data'!AM38</f>
        <v>0</v>
      </c>
      <c r="AN38" s="316">
        <f t="shared" si="6"/>
        <v>0</v>
      </c>
      <c r="AO38" s="316">
        <f t="shared" si="6"/>
        <v>0</v>
      </c>
      <c r="AP38" s="317">
        <f t="shared" si="7"/>
        <v>0</v>
      </c>
      <c r="AQ38" s="267">
        <f t="shared" si="15"/>
        <v>0</v>
      </c>
      <c r="AR38" s="318">
        <f t="shared" si="8"/>
        <v>0</v>
      </c>
      <c r="AS38" s="416">
        <f>'SQ(Team A) Data'!AS39+'SQ(Team B ) Data'!AS38+'SQ (Team C) Data'!AS38</f>
        <v>0</v>
      </c>
      <c r="AT38" s="415">
        <f>'SQ(Team A) Data'!AT39+'SQ(Team B ) Data'!AT38+'SQ (Team C) Data'!AT38</f>
        <v>0</v>
      </c>
      <c r="AU38" s="319" t="e">
        <f t="shared" si="16"/>
        <v>#DIV/0!</v>
      </c>
      <c r="AV38" s="415">
        <f>'SQ(Team A) Data'!AV39+'SQ(Team B ) Data'!AV38+'SQ (Team C) Data'!AV38</f>
        <v>0</v>
      </c>
      <c r="AW38" s="415">
        <f>'SQ(Team A) Data'!AW39+'SQ(Team B ) Data'!AW38+'SQ (Team C) Data'!AW38</f>
        <v>0</v>
      </c>
      <c r="AX38" s="415">
        <f>'SQ(Team A) Data'!AX39+'SQ(Team B ) Data'!AX38+'SQ (Team C) Data'!AX38</f>
        <v>0</v>
      </c>
      <c r="AY38" s="321">
        <f t="shared" si="17"/>
        <v>0</v>
      </c>
      <c r="AZ38" s="415">
        <f>'SQ(Team A) Data'!AZ39+'SQ(Team B ) Data'!AZ38+'SQ (Team C) Data'!AZ38</f>
        <v>0</v>
      </c>
      <c r="BA38" s="323"/>
      <c r="BC38" s="303">
        <f>IF($B38="-","",BC37+1)</f>
        <v>30</v>
      </c>
      <c r="BD38" s="408">
        <f>'SQ(Team A) Data'!BD39+'SQ(Team B ) Data'!BD38+'SQ (Team C) Data'!BD38</f>
        <v>0</v>
      </c>
      <c r="BE38" s="305">
        <f t="shared" si="18"/>
        <v>0</v>
      </c>
      <c r="BF38" s="525">
        <f>'SQ(Team A) Data'!BF39+'SQ(Team B ) Data'!BF38+'SQ (Team C) Data'!BF38</f>
        <v>0</v>
      </c>
      <c r="BG38" s="307">
        <f t="shared" si="19"/>
        <v>0</v>
      </c>
      <c r="BH38" s="305" t="e">
        <f t="shared" si="9"/>
        <v>#DIV/0!</v>
      </c>
      <c r="BI38" s="305" t="e">
        <f t="shared" si="9"/>
        <v>#DIV/0!</v>
      </c>
    </row>
    <row r="39" spans="1:61" ht="18" customHeight="1">
      <c r="B39" s="302"/>
      <c r="C39" s="303">
        <v>31</v>
      </c>
      <c r="D39" s="407">
        <f>'SQ(Team A) Data'!D40+'SQ(Team B ) Data'!D39+'SQ (Team C) Data'!D39</f>
        <v>0</v>
      </c>
      <c r="E39" s="408">
        <f>'SQ(Team A) Data'!E40+'SQ(Team B ) Data'!E39+'SQ (Team C) Data'!E39</f>
        <v>0</v>
      </c>
      <c r="F39" s="305">
        <f t="shared" si="10"/>
        <v>0</v>
      </c>
      <c r="G39" s="303">
        <f>IF(B39="*",G38,G38+1)</f>
        <v>31</v>
      </c>
      <c r="H39" s="305">
        <f t="shared" si="12"/>
        <v>0</v>
      </c>
      <c r="I39" s="305">
        <f>IF(E39="","",ROUND(H39/G39,0))</f>
        <v>0</v>
      </c>
      <c r="J39" s="408">
        <f>'SQ(Team A) Data'!J40+'SQ(Team B ) Data'!J39+'SQ (Team C) Data'!J39</f>
        <v>0</v>
      </c>
      <c r="K39" s="307">
        <f>+K38+J39</f>
        <v>0</v>
      </c>
      <c r="L39" s="305" t="e">
        <f>E39/J39</f>
        <v>#DIV/0!</v>
      </c>
      <c r="M39" s="305" t="e">
        <f>H39/K39</f>
        <v>#DIV/0!</v>
      </c>
      <c r="N39" s="409">
        <f>'SQ(Team A) Data'!N40+'SQ(Team B ) Data'!N39+'SQ (Team C) Data'!N39</f>
        <v>0</v>
      </c>
      <c r="O39" s="308" t="e">
        <f>N39/J39</f>
        <v>#DIV/0!</v>
      </c>
      <c r="P39" s="415">
        <f>'SQ(Team A) Data'!P40+'SQ(Team B ) Data'!P39+'SQ (Team C) Data'!P39</f>
        <v>0</v>
      </c>
      <c r="Q39" s="411">
        <f>'SQ(Team A) Data'!Q40+'SQ(Team B ) Data'!Q39+'SQ (Team C) Data'!Q39</f>
        <v>0</v>
      </c>
      <c r="R39" s="411">
        <f>'SQ(Team A) Data'!P40+'SQ(Team B ) Data'!P39+'SQ (Team C) Data'!P39</f>
        <v>0</v>
      </c>
      <c r="S39" s="411">
        <f>'SQ(Team A) Data'!Q40+'SQ(Team B ) Data'!Q39+'SQ (Team C) Data'!Q39</f>
        <v>0</v>
      </c>
      <c r="T39" s="411">
        <f>'SQ(Team A) Data'!R40+'SQ(Team B ) Data'!R39+'SQ (Team C) Data'!R39</f>
        <v>0</v>
      </c>
      <c r="U39" s="412" t="e">
        <f>S39/R39</f>
        <v>#DIV/0!</v>
      </c>
      <c r="V39" s="413" t="e">
        <f>E39/N39/60</f>
        <v>#DIV/0!</v>
      </c>
      <c r="W39" s="415">
        <f>'SQ(Team A) Data'!W40+'SQ(Team B ) Data'!W39+'SQ (Team C) Data'!W39</f>
        <v>0</v>
      </c>
      <c r="X39" s="415">
        <f>'SQ(Team A) Data'!X40+'SQ(Team B ) Data'!X39+'SQ (Team C) Data'!X39</f>
        <v>0</v>
      </c>
      <c r="Y39" s="415">
        <f>'SQ(Team A) Data'!Y40+'SQ(Team B ) Data'!Y39+'SQ (Team C) Data'!Y39</f>
        <v>0</v>
      </c>
      <c r="Z39" s="415">
        <f>'SQ(Team A) Data'!Z40+'SQ(Team B ) Data'!Z39+'SQ (Team C) Data'!Z39</f>
        <v>0</v>
      </c>
      <c r="AA39" s="415">
        <f>'SQ(Team A) Data'!AA40+'SQ(Team B ) Data'!AA39+'SQ (Team C) Data'!AA39</f>
        <v>0</v>
      </c>
      <c r="AB39" s="314">
        <f>SUM(W39:AA39)</f>
        <v>0</v>
      </c>
      <c r="AC39" s="415">
        <f>'SQ(Team A) Data'!AC40+'SQ(Team B ) Data'!AC39+'SQ (Team C) Data'!AC39</f>
        <v>0</v>
      </c>
      <c r="AD39" s="415">
        <f>'SQ(Team A) Data'!AD40+'SQ(Team B ) Data'!AD39+'SQ (Team C) Data'!AD39</f>
        <v>0</v>
      </c>
      <c r="AE39" s="415">
        <f>'SQ(Team A) Data'!AE40+'SQ(Team B ) Data'!AE39+'SQ (Team C) Data'!AE39</f>
        <v>0</v>
      </c>
      <c r="AF39" s="415">
        <f>'SQ(Team A) Data'!AF40+'SQ(Team B ) Data'!AF39+'SQ (Team C) Data'!AF39</f>
        <v>0</v>
      </c>
      <c r="AG39" s="415">
        <f>'SQ(Team A) Data'!AG40+'SQ(Team B ) Data'!AG39+'SQ (Team C) Data'!AG39</f>
        <v>0</v>
      </c>
      <c r="AH39" s="415">
        <f>'SQ(Team A) Data'!AH40+'SQ(Team B ) Data'!AH39+'SQ (Team C) Data'!AH39</f>
        <v>0</v>
      </c>
      <c r="AI39" s="415">
        <f>'SQ(Team A) Data'!AI40+'SQ(Team B ) Data'!AI39+'SQ (Team C) Data'!AI39</f>
        <v>0</v>
      </c>
      <c r="AJ39" s="415">
        <f>'SQ(Team A) Data'!AJ40+'SQ(Team B ) Data'!AJ39+'SQ (Team C) Data'!AJ39</f>
        <v>0</v>
      </c>
      <c r="AK39" s="415">
        <f>'SQ(Team A) Data'!AK40+'SQ(Team B ) Data'!AK39+'SQ (Team C) Data'!AK39</f>
        <v>0</v>
      </c>
      <c r="AL39" s="415">
        <f>'SQ(Team A) Data'!AL40+'SQ(Team B ) Data'!AL39+'SQ (Team C) Data'!AL39</f>
        <v>0</v>
      </c>
      <c r="AM39" s="415">
        <f>'SQ(Team A) Data'!AM40+'SQ(Team B ) Data'!AM39+'SQ (Team C) Data'!AM39</f>
        <v>0</v>
      </c>
      <c r="AN39" s="316">
        <f>AC39</f>
        <v>0</v>
      </c>
      <c r="AO39" s="316">
        <f>AD39</f>
        <v>0</v>
      </c>
      <c r="AP39" s="317">
        <f>SUM(AE39:AI39)</f>
        <v>0</v>
      </c>
      <c r="AQ39" s="267">
        <f>+AJ39+AK39+AL39</f>
        <v>0</v>
      </c>
      <c r="AR39" s="318">
        <f>SUM(AN39:AQ39)</f>
        <v>0</v>
      </c>
      <c r="AS39" s="416">
        <f>'SQ(Team A) Data'!AS40+'SQ(Team B ) Data'!AS39+'SQ (Team C) Data'!AS39</f>
        <v>0</v>
      </c>
      <c r="AT39" s="415">
        <f>'SQ(Team A) Data'!AT40+'SQ(Team B ) Data'!AT39+'SQ (Team C) Data'!AT39</f>
        <v>0</v>
      </c>
      <c r="AU39" s="319" t="e">
        <f>1-(AT39/AS39)</f>
        <v>#DIV/0!</v>
      </c>
      <c r="AV39" s="415">
        <f>'SQ(Team A) Data'!AV40+'SQ(Team B ) Data'!AV39+'SQ (Team C) Data'!AV39</f>
        <v>0</v>
      </c>
      <c r="AW39" s="415">
        <f>'SQ(Team A) Data'!AW40+'SQ(Team B ) Data'!AW39+'SQ (Team C) Data'!AW39</f>
        <v>0</v>
      </c>
      <c r="AX39" s="415">
        <f>'SQ(Team A) Data'!AX40+'SQ(Team B ) Data'!AX39+'SQ (Team C) Data'!AX39</f>
        <v>0</v>
      </c>
      <c r="AY39" s="321">
        <f>AY38+AX39</f>
        <v>0</v>
      </c>
      <c r="AZ39" s="415">
        <f>'SQ(Team A) Data'!AZ40+'SQ(Team B ) Data'!AZ39+'SQ (Team C) Data'!AZ39</f>
        <v>0</v>
      </c>
      <c r="BA39" s="323"/>
      <c r="BC39" s="303">
        <f>IF($B39="-","",BC38+1)</f>
        <v>31</v>
      </c>
      <c r="BD39" s="408">
        <f>'SQ(Team A) Data'!BD40+'SQ(Team B ) Data'!BD39+'SQ (Team C) Data'!BD39</f>
        <v>0</v>
      </c>
      <c r="BE39" s="305">
        <f t="shared" si="18"/>
        <v>0</v>
      </c>
      <c r="BF39" s="525">
        <f>'SQ(Team A) Data'!BF40+'SQ(Team B ) Data'!BF39+'SQ (Team C) Data'!BF39</f>
        <v>0</v>
      </c>
      <c r="BG39" s="307">
        <f t="shared" ref="BG39" si="21">+BG38+BF39</f>
        <v>0</v>
      </c>
      <c r="BH39" s="305" t="e">
        <f t="shared" ref="BH39" si="22">BD39/BF39</f>
        <v>#DIV/0!</v>
      </c>
      <c r="BI39" s="305" t="e">
        <f t="shared" ref="BI39" si="23">BE39/BG39</f>
        <v>#DIV/0!</v>
      </c>
    </row>
    <row r="40" spans="1:61" ht="18" customHeight="1">
      <c r="D40" s="407">
        <f>'SQ(Team A) Data'!D41+'SQ(Team B ) Data'!D40+'SQ (Team C) Data'!D40</f>
        <v>0</v>
      </c>
      <c r="E40" s="345">
        <f>SUM(E9:E39)</f>
        <v>0</v>
      </c>
      <c r="F40" s="346"/>
      <c r="G40" s="347"/>
      <c r="H40" s="346">
        <f>H39</f>
        <v>0</v>
      </c>
      <c r="I40" s="346"/>
      <c r="J40" s="348">
        <f>SUM(J9:J39)</f>
        <v>0</v>
      </c>
      <c r="K40" s="417">
        <f>K39</f>
        <v>0</v>
      </c>
      <c r="L40" s="346"/>
      <c r="M40" s="346" t="e">
        <f>M39</f>
        <v>#DIV/0!</v>
      </c>
      <c r="N40" s="418">
        <f>SUM(N9:N39)</f>
        <v>148.44</v>
      </c>
      <c r="O40" s="308" t="e">
        <f t="shared" si="3"/>
        <v>#DIV/0!</v>
      </c>
      <c r="P40" s="345">
        <f t="shared" ref="P40:AQ40" si="24">SUM(P9:P39)</f>
        <v>0</v>
      </c>
      <c r="Q40" s="345">
        <f t="shared" si="24"/>
        <v>0</v>
      </c>
      <c r="R40" s="345">
        <f>SUM(R9:R39)</f>
        <v>0</v>
      </c>
      <c r="S40" s="345">
        <f t="shared" si="24"/>
        <v>0</v>
      </c>
      <c r="T40" s="350" t="e">
        <f>(J40-N40)/R40*60</f>
        <v>#DIV/0!</v>
      </c>
      <c r="U40" s="351" t="e">
        <f>S40/R40</f>
        <v>#DIV/0!</v>
      </c>
      <c r="V40" s="419">
        <f>H40/N40/60</f>
        <v>0</v>
      </c>
      <c r="W40" s="345">
        <f t="shared" si="24"/>
        <v>0</v>
      </c>
      <c r="X40" s="345">
        <f t="shared" si="24"/>
        <v>0</v>
      </c>
      <c r="Y40" s="345">
        <f t="shared" si="24"/>
        <v>0</v>
      </c>
      <c r="Z40" s="345">
        <f t="shared" si="24"/>
        <v>0</v>
      </c>
      <c r="AA40" s="345">
        <f t="shared" si="24"/>
        <v>0</v>
      </c>
      <c r="AB40" s="345">
        <f t="shared" si="24"/>
        <v>0</v>
      </c>
      <c r="AC40" s="345">
        <f t="shared" si="24"/>
        <v>0</v>
      </c>
      <c r="AD40" s="345">
        <f t="shared" si="24"/>
        <v>0</v>
      </c>
      <c r="AE40" s="345">
        <f t="shared" si="24"/>
        <v>0</v>
      </c>
      <c r="AF40" s="345">
        <f t="shared" si="24"/>
        <v>0</v>
      </c>
      <c r="AG40" s="345">
        <f t="shared" si="24"/>
        <v>0</v>
      </c>
      <c r="AH40" s="345">
        <f t="shared" si="24"/>
        <v>0</v>
      </c>
      <c r="AI40" s="345">
        <f t="shared" si="24"/>
        <v>0</v>
      </c>
      <c r="AJ40" s="345">
        <f t="shared" si="24"/>
        <v>0</v>
      </c>
      <c r="AK40" s="345">
        <f t="shared" si="24"/>
        <v>0</v>
      </c>
      <c r="AL40" s="345">
        <f t="shared" si="24"/>
        <v>0</v>
      </c>
      <c r="AM40" s="345">
        <f t="shared" si="24"/>
        <v>0</v>
      </c>
      <c r="AN40" s="345">
        <f t="shared" si="24"/>
        <v>0</v>
      </c>
      <c r="AO40" s="420">
        <f t="shared" si="24"/>
        <v>0</v>
      </c>
      <c r="AP40" s="421">
        <f t="shared" si="24"/>
        <v>0</v>
      </c>
      <c r="AQ40" s="345">
        <f t="shared" si="24"/>
        <v>0</v>
      </c>
      <c r="AR40" s="318">
        <f t="shared" si="8"/>
        <v>0</v>
      </c>
      <c r="AS40" s="345">
        <f>SUM(AS9:AS39)</f>
        <v>0</v>
      </c>
      <c r="AT40" s="345">
        <f>SUM(AT9:AT39)</f>
        <v>0</v>
      </c>
      <c r="AU40" s="319" t="e">
        <f t="shared" si="16"/>
        <v>#DIV/0!</v>
      </c>
      <c r="AV40" s="345">
        <f>SUM(AV9:AV39)</f>
        <v>0</v>
      </c>
      <c r="AW40" s="345">
        <f>SUM(AW9:AW39)</f>
        <v>0</v>
      </c>
      <c r="AX40" s="349">
        <f>SUM(AX9:AX39)</f>
        <v>0</v>
      </c>
      <c r="AY40" s="352"/>
      <c r="AZ40" s="353">
        <f>SUM(AZ9:AZ39)</f>
        <v>0</v>
      </c>
      <c r="BA40" s="354"/>
      <c r="BC40" s="220"/>
      <c r="BD40" s="345">
        <f>SUM(BD9:BD39)</f>
        <v>0</v>
      </c>
      <c r="BE40" s="346"/>
      <c r="BF40" s="348">
        <f>SUM(BF9:BF39)</f>
        <v>0</v>
      </c>
      <c r="BG40" s="346"/>
      <c r="BH40" s="346"/>
      <c r="BI40" s="346"/>
    </row>
    <row r="41" spans="1:61" ht="18" customHeight="1">
      <c r="K41" s="422">
        <f>K39-('SQ (Total)Graph'!V116/60)</f>
        <v>0</v>
      </c>
      <c r="L41" s="106" t="str">
        <f>IF(E41="","",ROUND(E41/J41*60,0))</f>
        <v/>
      </c>
      <c r="M41" s="106"/>
      <c r="N41" s="423">
        <f>N40</f>
        <v>148.44</v>
      </c>
      <c r="O41" s="106"/>
      <c r="P41" s="106"/>
      <c r="Q41" s="104"/>
      <c r="R41" s="424">
        <f>R40</f>
        <v>0</v>
      </c>
      <c r="S41" s="106"/>
      <c r="T41" s="423" t="e">
        <f>(K41-N41)*60/R41</f>
        <v>#DIV/0!</v>
      </c>
      <c r="U41" s="106" t="s">
        <v>194</v>
      </c>
      <c r="V41" s="106"/>
      <c r="W41" s="424"/>
      <c r="AB41" s="79"/>
      <c r="AC41" s="346">
        <f>SUM(AC40:AL40)</f>
        <v>0</v>
      </c>
      <c r="AN41" s="355"/>
      <c r="AO41" s="355"/>
      <c r="AP41" s="355"/>
      <c r="AQ41" s="355"/>
      <c r="AR41" s="356"/>
      <c r="AS41" s="346"/>
    </row>
    <row r="42" spans="1:61" s="357" customFormat="1" ht="18" customHeight="1">
      <c r="C42" s="358"/>
      <c r="D42" s="359"/>
      <c r="E42" s="359"/>
      <c r="F42" s="359"/>
      <c r="G42" s="356"/>
      <c r="H42" s="359"/>
      <c r="I42" s="359"/>
      <c r="J42" s="359"/>
      <c r="K42" s="359"/>
      <c r="L42" s="359"/>
      <c r="M42" s="359"/>
      <c r="N42" s="359"/>
      <c r="O42" s="360"/>
      <c r="AB42" s="361"/>
      <c r="AC42" s="361"/>
      <c r="AD42" s="361"/>
      <c r="AN42" s="356"/>
      <c r="AO42" s="356"/>
      <c r="AP42" s="356"/>
      <c r="AQ42" s="356"/>
      <c r="AR42" s="362"/>
      <c r="AU42" s="363"/>
      <c r="AZ42" s="364"/>
      <c r="BA42" s="365"/>
    </row>
    <row r="43" spans="1:61">
      <c r="C43" s="227" t="s">
        <v>163</v>
      </c>
      <c r="J43" s="356"/>
      <c r="K43" s="356"/>
      <c r="L43" s="357" t="s">
        <v>164</v>
      </c>
      <c r="AL43" s="356"/>
      <c r="AM43" s="357"/>
      <c r="AN43" s="356"/>
      <c r="AO43" s="356"/>
      <c r="AP43" s="356"/>
      <c r="AQ43" s="356"/>
      <c r="AR43" s="356"/>
      <c r="AS43" s="356"/>
      <c r="AT43" s="356"/>
    </row>
    <row r="44" spans="1:61" ht="56.25" customHeight="1">
      <c r="C44" s="267"/>
      <c r="D44" s="366" t="s">
        <v>165</v>
      </c>
      <c r="E44" s="366" t="s">
        <v>166</v>
      </c>
      <c r="F44" s="366" t="s">
        <v>168</v>
      </c>
      <c r="G44" s="367"/>
      <c r="H44" s="366"/>
      <c r="I44" s="366"/>
      <c r="J44" s="366"/>
      <c r="K44" s="425"/>
      <c r="L44" s="426"/>
      <c r="M44" s="366" t="s">
        <v>195</v>
      </c>
      <c r="AL44" s="356"/>
      <c r="AM44" s="52"/>
      <c r="AN44" s="369"/>
      <c r="AO44" s="369"/>
      <c r="AP44" s="369"/>
      <c r="AQ44" s="369"/>
      <c r="AR44" s="369"/>
      <c r="AS44" s="369"/>
      <c r="AT44" s="356"/>
    </row>
    <row r="45" spans="1:61" ht="18" customHeight="1">
      <c r="C45" s="440" t="s">
        <v>217</v>
      </c>
      <c r="D45" s="441"/>
      <c r="E45" s="442"/>
      <c r="F45" s="439"/>
      <c r="G45" s="437"/>
      <c r="H45" s="436"/>
      <c r="I45" s="439"/>
      <c r="J45" s="375"/>
      <c r="L45" s="376" t="s">
        <v>171</v>
      </c>
      <c r="M45" s="377" t="e">
        <f>ROUND(SUM(E9:E12)/SUM(J9:J12),0)</f>
        <v>#DIV/0!</v>
      </c>
      <c r="AL45" s="356"/>
      <c r="AM45" s="356"/>
      <c r="AN45" s="378"/>
      <c r="AO45" s="378"/>
      <c r="AP45" s="378"/>
      <c r="AQ45" s="378"/>
      <c r="AR45" s="378"/>
      <c r="AS45" s="378"/>
      <c r="AT45" s="356"/>
    </row>
    <row r="46" spans="1:61" ht="18" customHeight="1">
      <c r="C46" s="440">
        <v>43922</v>
      </c>
      <c r="D46" s="466"/>
      <c r="E46" s="457"/>
      <c r="F46" s="438"/>
      <c r="G46" s="437"/>
      <c r="H46" s="436"/>
      <c r="I46" s="438"/>
      <c r="J46" s="375"/>
      <c r="L46" s="379" t="s">
        <v>172</v>
      </c>
      <c r="M46" s="377" t="e">
        <f>ROUND(SUM(E13:E19)/SUM(J13:J19),0)</f>
        <v>#DIV/0!</v>
      </c>
      <c r="AL46" s="356"/>
      <c r="AM46" s="358"/>
      <c r="AN46" s="380"/>
      <c r="AO46" s="359"/>
      <c r="AP46" s="381"/>
      <c r="AQ46" s="382"/>
      <c r="AR46" s="359"/>
      <c r="AS46" s="359"/>
      <c r="AT46" s="356"/>
    </row>
    <row r="47" spans="1:61" ht="18" customHeight="1">
      <c r="C47" s="440">
        <v>43952</v>
      </c>
      <c r="D47" s="466">
        <f>D40</f>
        <v>0</v>
      </c>
      <c r="E47" s="457">
        <f>H40</f>
        <v>0</v>
      </c>
      <c r="F47" s="439" t="e">
        <f>M40</f>
        <v>#DIV/0!</v>
      </c>
      <c r="G47" s="437"/>
      <c r="H47" s="436"/>
      <c r="I47" s="439"/>
      <c r="J47" s="371"/>
      <c r="L47" s="379" t="s">
        <v>173</v>
      </c>
      <c r="M47" s="377" t="e">
        <f>ROUND(SUM(E21:E26)/SUM(J21:J26),0)</f>
        <v>#DIV/0!</v>
      </c>
      <c r="AL47" s="356"/>
      <c r="AM47" s="358"/>
      <c r="AN47" s="380"/>
      <c r="AO47" s="359"/>
      <c r="AP47" s="381"/>
      <c r="AQ47" s="382"/>
      <c r="AR47" s="359"/>
      <c r="AS47" s="359"/>
      <c r="AT47" s="356"/>
    </row>
    <row r="48" spans="1:61" ht="18" customHeight="1">
      <c r="C48" s="440">
        <v>43983</v>
      </c>
      <c r="D48" s="309"/>
      <c r="E48" s="439"/>
      <c r="F48" s="439"/>
      <c r="G48" s="437"/>
      <c r="H48" s="436"/>
      <c r="I48" s="439"/>
      <c r="J48" s="371"/>
      <c r="L48" s="379" t="s">
        <v>174</v>
      </c>
      <c r="M48" s="377" t="e">
        <f>ROUND(SUM(E28:E33)/SUM(J28:J33),0)</f>
        <v>#DIV/0!</v>
      </c>
      <c r="AL48" s="356"/>
      <c r="AM48" s="358"/>
      <c r="AN48" s="359"/>
      <c r="AO48" s="359"/>
      <c r="AP48" s="381"/>
      <c r="AQ48" s="382"/>
      <c r="AR48" s="359"/>
      <c r="AS48" s="359"/>
      <c r="AT48" s="356"/>
    </row>
    <row r="49" spans="3:46" ht="18" customHeight="1">
      <c r="C49" s="440">
        <v>44013</v>
      </c>
      <c r="D49" s="466"/>
      <c r="E49" s="457"/>
      <c r="F49" s="438"/>
      <c r="G49" s="437"/>
      <c r="H49" s="436"/>
      <c r="I49" s="438"/>
      <c r="J49" s="371"/>
      <c r="L49" s="379" t="s">
        <v>175</v>
      </c>
      <c r="M49" s="377" t="e">
        <f>ROUND(SUM(E35:E38)/SUM(J35:J38),0)</f>
        <v>#DIV/0!</v>
      </c>
      <c r="Q49" s="36"/>
      <c r="R49" s="36"/>
      <c r="S49" s="36"/>
      <c r="T49" s="36"/>
      <c r="U49" s="36"/>
      <c r="V49" s="36"/>
      <c r="W49" s="36"/>
      <c r="X49" s="36"/>
      <c r="AL49" s="356"/>
      <c r="AM49" s="358"/>
      <c r="AN49" s="359"/>
      <c r="AO49" s="359"/>
      <c r="AP49" s="381"/>
      <c r="AQ49" s="382"/>
      <c r="AR49" s="359"/>
      <c r="AS49" s="359"/>
      <c r="AT49" s="356"/>
    </row>
    <row r="50" spans="3:46" ht="18" customHeight="1">
      <c r="C50" s="440">
        <v>44044</v>
      </c>
      <c r="D50" s="466"/>
      <c r="E50" s="457"/>
      <c r="F50" s="439"/>
      <c r="G50" s="437"/>
      <c r="H50" s="456"/>
      <c r="I50" s="421"/>
      <c r="J50" s="371"/>
      <c r="L50" s="379" t="s">
        <v>176</v>
      </c>
      <c r="M50" s="386"/>
      <c r="Q50" s="36"/>
      <c r="R50" s="36"/>
      <c r="S50" s="36"/>
      <c r="T50" s="36"/>
      <c r="U50" s="36"/>
      <c r="V50" s="36"/>
      <c r="W50" s="36"/>
      <c r="X50" s="387"/>
      <c r="AL50" s="356"/>
      <c r="AM50" s="358"/>
      <c r="AN50" s="359"/>
      <c r="AO50" s="359"/>
      <c r="AP50" s="381"/>
      <c r="AQ50" s="382"/>
      <c r="AR50" s="359"/>
      <c r="AS50" s="359"/>
      <c r="AT50" s="356"/>
    </row>
    <row r="51" spans="3:46" ht="18" customHeight="1">
      <c r="C51" s="440">
        <v>44075</v>
      </c>
      <c r="D51" s="466"/>
      <c r="E51" s="457"/>
      <c r="F51" s="388"/>
      <c r="G51" s="437"/>
      <c r="H51" s="456"/>
      <c r="I51" s="388"/>
      <c r="J51" s="370"/>
      <c r="L51" s="427"/>
      <c r="M51" s="390"/>
      <c r="Q51" s="36"/>
      <c r="R51" s="36"/>
      <c r="S51" s="36"/>
      <c r="T51" s="36"/>
      <c r="U51" s="36"/>
      <c r="V51" s="36"/>
      <c r="W51" s="36"/>
      <c r="X51" s="387"/>
      <c r="AL51" s="356"/>
      <c r="AM51" s="358"/>
      <c r="AN51" s="359"/>
      <c r="AO51" s="359"/>
      <c r="AP51" s="381"/>
      <c r="AQ51" s="382"/>
      <c r="AR51" s="359"/>
      <c r="AS51" s="359"/>
      <c r="AT51" s="356"/>
    </row>
    <row r="52" spans="3:46" ht="18" customHeight="1">
      <c r="C52" s="440">
        <v>44105</v>
      </c>
      <c r="D52" s="466"/>
      <c r="E52" s="457"/>
      <c r="F52" s="438"/>
      <c r="G52" s="437"/>
      <c r="H52" s="456"/>
      <c r="I52" s="374"/>
      <c r="J52" s="370"/>
      <c r="L52" s="427"/>
      <c r="M52" s="390"/>
      <c r="Q52" s="36"/>
      <c r="R52" s="36"/>
      <c r="S52" s="36"/>
      <c r="T52" s="36"/>
      <c r="U52" s="36"/>
      <c r="V52" s="36"/>
      <c r="W52" s="36"/>
      <c r="X52" s="387"/>
      <c r="AL52" s="356"/>
      <c r="AM52" s="358"/>
      <c r="AN52" s="359"/>
      <c r="AO52" s="359"/>
      <c r="AP52" s="381"/>
      <c r="AQ52" s="382"/>
      <c r="AR52" s="359"/>
      <c r="AS52" s="359"/>
      <c r="AT52" s="356"/>
    </row>
    <row r="53" spans="3:46" ht="18" customHeight="1">
      <c r="C53" s="440">
        <v>44136</v>
      </c>
      <c r="D53" s="466"/>
      <c r="E53" s="457"/>
      <c r="F53" s="438"/>
      <c r="G53" s="371" t="s">
        <v>161</v>
      </c>
      <c r="H53" s="370"/>
      <c r="I53" s="374"/>
      <c r="J53" s="370"/>
      <c r="L53" s="427"/>
      <c r="M53" s="391"/>
      <c r="Q53" s="36"/>
      <c r="R53" s="36"/>
      <c r="S53" s="36"/>
      <c r="T53" s="36"/>
      <c r="U53" s="36"/>
      <c r="V53" s="36"/>
      <c r="W53" s="36"/>
      <c r="X53" s="36"/>
      <c r="AL53" s="356"/>
      <c r="AM53" s="358"/>
      <c r="AN53" s="359"/>
      <c r="AO53" s="359"/>
      <c r="AP53" s="381"/>
      <c r="AQ53" s="382"/>
      <c r="AR53" s="359"/>
      <c r="AS53" s="359"/>
      <c r="AT53" s="356"/>
    </row>
    <row r="54" spans="3:46" ht="18" customHeight="1">
      <c r="C54" s="440">
        <v>44166</v>
      </c>
      <c r="D54" s="466"/>
      <c r="E54" s="457"/>
      <c r="F54" s="438"/>
      <c r="G54" s="371"/>
      <c r="H54" s="370"/>
      <c r="I54" s="374"/>
      <c r="J54" s="370"/>
      <c r="L54" s="427"/>
      <c r="M54" s="390"/>
      <c r="Q54" s="36"/>
      <c r="R54" s="36"/>
      <c r="S54" s="36"/>
      <c r="T54" s="36"/>
      <c r="U54" s="36"/>
      <c r="V54" s="36"/>
      <c r="W54" s="36"/>
      <c r="X54" s="387"/>
      <c r="AL54" s="356"/>
      <c r="AM54" s="358"/>
      <c r="AN54" s="359"/>
      <c r="AO54" s="359"/>
      <c r="AP54" s="381"/>
      <c r="AQ54" s="382"/>
      <c r="AR54" s="359"/>
      <c r="AS54" s="359"/>
      <c r="AT54" s="356"/>
    </row>
    <row r="55" spans="3:46" ht="18" customHeight="1">
      <c r="C55" s="440">
        <v>44197</v>
      </c>
      <c r="D55" s="466"/>
      <c r="E55" s="457"/>
      <c r="F55" s="438"/>
      <c r="G55" s="371"/>
      <c r="H55" s="370"/>
      <c r="I55" s="374"/>
      <c r="J55" s="383"/>
      <c r="L55" s="427"/>
      <c r="M55" s="390"/>
      <c r="Q55" s="36"/>
      <c r="R55" s="36"/>
      <c r="S55" s="36"/>
      <c r="T55" s="36"/>
      <c r="V55" s="36"/>
      <c r="W55" s="36"/>
      <c r="X55" s="387"/>
      <c r="AL55" s="356"/>
      <c r="AM55" s="358"/>
      <c r="AN55" s="359"/>
      <c r="AO55" s="359"/>
      <c r="AP55" s="381"/>
      <c r="AQ55" s="382"/>
      <c r="AR55" s="359"/>
      <c r="AS55" s="359"/>
      <c r="AT55" s="356"/>
    </row>
    <row r="56" spans="3:46" ht="18" customHeight="1">
      <c r="C56" s="440">
        <v>44228</v>
      </c>
      <c r="D56" s="466"/>
      <c r="E56" s="457"/>
      <c r="F56" s="438"/>
      <c r="G56" s="371"/>
      <c r="H56" s="370"/>
      <c r="I56" s="374"/>
      <c r="J56" s="383"/>
      <c r="L56" s="427"/>
      <c r="M56" s="390"/>
      <c r="Q56" s="36"/>
      <c r="R56" s="36"/>
      <c r="S56" s="36"/>
      <c r="T56" s="36"/>
      <c r="U56" s="36"/>
      <c r="V56" s="36"/>
      <c r="W56" s="36"/>
      <c r="X56" s="387"/>
      <c r="AL56" s="356"/>
      <c r="AM56" s="358"/>
      <c r="AN56" s="359"/>
      <c r="AO56" s="359"/>
      <c r="AP56" s="381"/>
      <c r="AQ56" s="382"/>
      <c r="AR56" s="359"/>
      <c r="AS56" s="359"/>
      <c r="AT56" s="356"/>
    </row>
    <row r="57" spans="3:46" ht="18" customHeight="1">
      <c r="C57" s="440">
        <v>44256</v>
      </c>
      <c r="D57" s="466"/>
      <c r="E57" s="372"/>
      <c r="F57" s="438"/>
      <c r="G57" s="371"/>
      <c r="H57" s="370"/>
      <c r="I57" s="421"/>
      <c r="J57" s="383"/>
      <c r="K57" s="427"/>
      <c r="L57" s="390"/>
      <c r="Q57" s="36"/>
      <c r="R57" s="36"/>
      <c r="S57" s="36"/>
      <c r="T57" s="36"/>
      <c r="U57" s="36"/>
      <c r="V57" s="36"/>
      <c r="W57" s="36"/>
      <c r="AK57" s="356"/>
      <c r="AL57" s="358"/>
      <c r="AM57" s="359"/>
      <c r="AN57" s="359"/>
      <c r="AO57" s="381"/>
      <c r="AP57" s="382"/>
      <c r="AQ57" s="359"/>
      <c r="AR57" s="359"/>
      <c r="AS57" s="356"/>
    </row>
    <row r="58" spans="3:46" ht="18" hidden="1" customHeight="1">
      <c r="C58" s="440">
        <v>43922</v>
      </c>
      <c r="D58" s="370"/>
      <c r="E58" s="421"/>
      <c r="F58" s="383"/>
      <c r="G58" s="383"/>
      <c r="H58" s="370"/>
      <c r="I58" s="421"/>
      <c r="J58" s="383"/>
      <c r="L58" s="427"/>
      <c r="M58" s="390"/>
      <c r="Q58" s="36"/>
      <c r="R58" s="36"/>
      <c r="S58" s="36"/>
      <c r="T58" s="36"/>
      <c r="AL58" s="356"/>
      <c r="AM58" s="358"/>
      <c r="AN58" s="359"/>
      <c r="AO58" s="359"/>
      <c r="AP58" s="381"/>
      <c r="AQ58" s="382"/>
      <c r="AR58" s="359"/>
      <c r="AS58" s="359"/>
      <c r="AT58" s="356"/>
    </row>
    <row r="59" spans="3:46" ht="18" hidden="1" customHeight="1">
      <c r="C59" s="440">
        <v>43952</v>
      </c>
      <c r="D59" s="370"/>
      <c r="E59" s="421"/>
      <c r="F59" s="383"/>
      <c r="G59" s="383"/>
      <c r="H59" s="370"/>
      <c r="I59" s="421"/>
      <c r="J59" s="383"/>
      <c r="K59" s="356"/>
      <c r="L59" s="427"/>
      <c r="M59" s="390"/>
      <c r="Q59" s="36"/>
      <c r="R59" s="36"/>
      <c r="S59" s="36"/>
      <c r="T59" s="36"/>
      <c r="AL59" s="356"/>
      <c r="AM59" s="358"/>
      <c r="AN59" s="359"/>
      <c r="AO59" s="359"/>
      <c r="AP59" s="381"/>
      <c r="AQ59" s="382"/>
      <c r="AR59" s="359"/>
      <c r="AS59" s="359"/>
      <c r="AT59" s="356"/>
    </row>
    <row r="60" spans="3:46" ht="18" customHeight="1">
      <c r="C60" s="428"/>
      <c r="D60" s="429"/>
      <c r="E60" s="429"/>
      <c r="F60" s="429"/>
      <c r="G60" s="429"/>
      <c r="H60" s="429"/>
      <c r="I60" s="429"/>
      <c r="J60" s="429"/>
      <c r="L60" s="389"/>
      <c r="M60" s="356"/>
      <c r="Q60" s="36"/>
      <c r="R60" s="36"/>
      <c r="S60" s="36"/>
      <c r="T60" s="36"/>
      <c r="U60" s="36"/>
      <c r="V60" s="36"/>
      <c r="AL60" s="356"/>
      <c r="AM60" s="358"/>
      <c r="AN60" s="359"/>
      <c r="AO60" s="359"/>
      <c r="AP60" s="381"/>
      <c r="AQ60" s="382"/>
      <c r="AR60" s="359"/>
      <c r="AS60" s="359"/>
      <c r="AT60" s="356"/>
    </row>
    <row r="61" spans="3:46" ht="18" customHeight="1">
      <c r="L61" s="389"/>
      <c r="M61" s="356"/>
      <c r="Q61" s="36"/>
      <c r="AL61" s="356"/>
      <c r="AM61" s="358"/>
      <c r="AN61" s="359"/>
      <c r="AO61" s="359"/>
      <c r="AP61" s="381"/>
      <c r="AQ61" s="382"/>
      <c r="AR61" s="359"/>
      <c r="AS61" s="359"/>
      <c r="AT61" s="356"/>
    </row>
    <row r="62" spans="3:46" ht="18" customHeight="1">
      <c r="L62" s="389"/>
      <c r="M62" s="356"/>
      <c r="Q62" s="36"/>
      <c r="AL62" s="356"/>
      <c r="AM62" s="358"/>
      <c r="AN62" s="359"/>
      <c r="AO62" s="359"/>
      <c r="AP62" s="381"/>
      <c r="AQ62" s="382"/>
      <c r="AR62" s="359"/>
      <c r="AS62" s="359"/>
      <c r="AT62" s="356"/>
    </row>
    <row r="63" spans="3:46" ht="18" customHeight="1">
      <c r="L63" s="430"/>
      <c r="M63" s="220"/>
      <c r="Q63" s="36"/>
      <c r="AL63" s="356"/>
      <c r="AM63" s="358"/>
      <c r="AN63" s="359"/>
      <c r="AO63" s="359"/>
      <c r="AP63" s="381"/>
      <c r="AQ63" s="382"/>
      <c r="AR63" s="359"/>
      <c r="AS63" s="359"/>
      <c r="AT63" s="356"/>
    </row>
    <row r="64" spans="3:46" ht="18" customHeight="1">
      <c r="L64" s="430"/>
      <c r="Q64" s="36"/>
      <c r="AL64" s="356"/>
      <c r="AM64" s="358"/>
      <c r="AN64" s="359"/>
      <c r="AO64" s="359"/>
      <c r="AP64" s="381"/>
      <c r="AQ64" s="382"/>
      <c r="AR64" s="359"/>
      <c r="AS64" s="359"/>
      <c r="AT64" s="356"/>
    </row>
    <row r="65" spans="12:46">
      <c r="L65" s="430"/>
      <c r="Q65" s="36"/>
      <c r="AL65" s="356"/>
      <c r="AM65" s="358"/>
      <c r="AN65" s="359"/>
      <c r="AO65" s="359"/>
      <c r="AP65" s="381"/>
      <c r="AQ65" s="382"/>
      <c r="AR65" s="359"/>
      <c r="AS65" s="359"/>
      <c r="AT65" s="356"/>
    </row>
    <row r="66" spans="12:46">
      <c r="L66" s="430"/>
      <c r="Q66" s="36"/>
      <c r="AL66" s="356"/>
      <c r="AM66" s="358"/>
      <c r="AN66" s="359"/>
      <c r="AO66" s="359"/>
      <c r="AP66" s="381"/>
      <c r="AQ66" s="382"/>
      <c r="AR66" s="359"/>
      <c r="AS66" s="359"/>
      <c r="AT66" s="356"/>
    </row>
    <row r="67" spans="12:46">
      <c r="L67" s="430"/>
      <c r="Q67" s="36"/>
      <c r="AL67" s="356"/>
      <c r="AM67" s="358"/>
      <c r="AN67" s="359"/>
      <c r="AO67" s="359"/>
      <c r="AP67" s="381"/>
      <c r="AQ67" s="382"/>
      <c r="AR67" s="359"/>
      <c r="AS67" s="359"/>
      <c r="AT67" s="356"/>
    </row>
    <row r="68" spans="12:46">
      <c r="L68" s="430"/>
      <c r="Q68" s="36"/>
      <c r="AL68" s="356"/>
      <c r="AM68" s="358"/>
      <c r="AN68" s="359"/>
      <c r="AO68" s="359"/>
      <c r="AP68" s="381"/>
      <c r="AQ68" s="382"/>
      <c r="AR68" s="359"/>
      <c r="AS68" s="359"/>
      <c r="AT68" s="356"/>
    </row>
    <row r="69" spans="12:46">
      <c r="L69" s="430"/>
      <c r="AL69" s="356"/>
      <c r="AM69" s="358"/>
      <c r="AN69" s="359"/>
      <c r="AO69" s="359"/>
      <c r="AP69" s="381"/>
      <c r="AQ69" s="382"/>
      <c r="AR69" s="359"/>
      <c r="AS69" s="359"/>
      <c r="AT69" s="356"/>
    </row>
    <row r="70" spans="12:46">
      <c r="L70" s="430"/>
      <c r="AL70" s="356"/>
      <c r="AM70" s="358"/>
      <c r="AN70" s="359"/>
      <c r="AO70" s="359"/>
      <c r="AP70" s="381"/>
      <c r="AQ70" s="382"/>
      <c r="AR70" s="359"/>
      <c r="AS70" s="359"/>
      <c r="AT70" s="356"/>
    </row>
    <row r="71" spans="12:46">
      <c r="L71" s="430"/>
      <c r="AL71" s="356"/>
      <c r="AM71" s="358"/>
      <c r="AN71" s="359"/>
      <c r="AO71" s="359"/>
      <c r="AP71" s="381"/>
      <c r="AQ71" s="382"/>
      <c r="AR71" s="359"/>
      <c r="AS71" s="359"/>
      <c r="AT71" s="356"/>
    </row>
    <row r="72" spans="12:46">
      <c r="L72" s="430"/>
      <c r="AL72" s="356"/>
      <c r="AM72" s="358"/>
      <c r="AN72" s="359"/>
      <c r="AO72" s="359"/>
      <c r="AP72" s="381"/>
      <c r="AQ72" s="382"/>
      <c r="AR72" s="359"/>
      <c r="AS72" s="359"/>
      <c r="AT72" s="356"/>
    </row>
    <row r="73" spans="12:46">
      <c r="L73" s="430"/>
      <c r="AL73" s="356"/>
      <c r="AM73" s="358"/>
      <c r="AN73" s="359"/>
      <c r="AO73" s="359"/>
      <c r="AP73" s="381"/>
      <c r="AQ73" s="382"/>
      <c r="AR73" s="359"/>
      <c r="AS73" s="359"/>
      <c r="AT73" s="356"/>
    </row>
    <row r="74" spans="12:46">
      <c r="L74" s="430"/>
      <c r="AL74" s="356"/>
      <c r="AM74" s="393"/>
      <c r="AN74" s="359"/>
      <c r="AO74" s="359"/>
      <c r="AP74" s="381"/>
      <c r="AQ74" s="382"/>
      <c r="AR74" s="359"/>
      <c r="AS74" s="359"/>
      <c r="AT74" s="356"/>
    </row>
    <row r="75" spans="12:46">
      <c r="AL75" s="356"/>
      <c r="AM75" s="393"/>
      <c r="AN75" s="359"/>
      <c r="AO75" s="359"/>
      <c r="AP75" s="381"/>
      <c r="AQ75" s="382"/>
      <c r="AR75" s="359"/>
      <c r="AS75" s="359"/>
      <c r="AT75" s="356"/>
    </row>
    <row r="76" spans="12:46">
      <c r="AL76" s="356"/>
      <c r="AM76" s="393"/>
      <c r="AN76" s="359"/>
      <c r="AO76" s="359"/>
      <c r="AP76" s="381"/>
      <c r="AQ76" s="382"/>
      <c r="AR76" s="359"/>
      <c r="AS76" s="359"/>
      <c r="AT76" s="356"/>
    </row>
    <row r="77" spans="12:46">
      <c r="AL77" s="356"/>
      <c r="AM77" s="356"/>
      <c r="AN77" s="394"/>
      <c r="AO77" s="394"/>
      <c r="AP77" s="395"/>
      <c r="AQ77" s="394"/>
      <c r="AR77" s="394"/>
      <c r="AS77" s="394"/>
      <c r="AT77" s="356"/>
    </row>
    <row r="78" spans="12:46">
      <c r="AL78" s="356"/>
      <c r="AM78" s="356"/>
      <c r="AN78" s="356"/>
      <c r="AO78" s="356"/>
      <c r="AP78" s="356"/>
      <c r="AQ78" s="356"/>
      <c r="AR78" s="356"/>
      <c r="AS78" s="356"/>
      <c r="AT78" s="356"/>
    </row>
  </sheetData>
  <mergeCells count="7">
    <mergeCell ref="AN7:AR7"/>
    <mergeCell ref="AS7:AU7"/>
    <mergeCell ref="L5:M5"/>
    <mergeCell ref="L6:M6"/>
    <mergeCell ref="W6:AB6"/>
    <mergeCell ref="AE6:AL6"/>
    <mergeCell ref="AS6:AU6"/>
  </mergeCells>
  <conditionalFormatting sqref="AU9:AU40 AV9:BA39 E18:I24 D10:I17 J10:Q24 D18:D40 D9:AT9 E25:Q39 R10:AT39 BC9:BI39">
    <cfRule type="expression" dxfId="843" priority="123" stopIfTrue="1">
      <formula>$B9="*"</formula>
    </cfRule>
    <cfRule type="expression" dxfId="842" priority="124" stopIfTrue="1">
      <formula>$B9="-"</formula>
    </cfRule>
  </conditionalFormatting>
  <conditionalFormatting sqref="T9:V9 T10:T39">
    <cfRule type="expression" dxfId="841" priority="121" stopIfTrue="1">
      <formula>$B9="*"</formula>
    </cfRule>
    <cfRule type="expression" dxfId="840" priority="122" stopIfTrue="1">
      <formula>$B9="-"</formula>
    </cfRule>
  </conditionalFormatting>
  <conditionalFormatting sqref="T9:V9 T10:T39">
    <cfRule type="expression" dxfId="839" priority="119" stopIfTrue="1">
      <formula>$B9="*"</formula>
    </cfRule>
    <cfRule type="expression" dxfId="838" priority="120" stopIfTrue="1">
      <formula>$B9="-"</formula>
    </cfRule>
  </conditionalFormatting>
  <conditionalFormatting sqref="T9:V9 T10:T39">
    <cfRule type="expression" dxfId="837" priority="117" stopIfTrue="1">
      <formula>$B9="*"</formula>
    </cfRule>
    <cfRule type="expression" dxfId="836" priority="118" stopIfTrue="1">
      <formula>$B9="-"</formula>
    </cfRule>
  </conditionalFormatting>
  <conditionalFormatting sqref="T10:V14 T16:V21 T24:V28 T30:V35 T37:V39">
    <cfRule type="expression" dxfId="835" priority="115" stopIfTrue="1">
      <formula>$B10="*"</formula>
    </cfRule>
    <cfRule type="expression" dxfId="834" priority="116" stopIfTrue="1">
      <formula>$B10="-"</formula>
    </cfRule>
  </conditionalFormatting>
  <conditionalFormatting sqref="T10:V14 T16:V21 T24:V28 T30:V35 T37:V39">
    <cfRule type="expression" dxfId="833" priority="113" stopIfTrue="1">
      <formula>$B10="*"</formula>
    </cfRule>
    <cfRule type="expression" dxfId="832" priority="114" stopIfTrue="1">
      <formula>$B10="-"</formula>
    </cfRule>
  </conditionalFormatting>
  <conditionalFormatting sqref="T10:V14 T16:V21 T24:V28 T30:V35 T37:V39">
    <cfRule type="expression" dxfId="831" priority="111" stopIfTrue="1">
      <formula>$B10="*"</formula>
    </cfRule>
    <cfRule type="expression" dxfId="830" priority="112" stopIfTrue="1">
      <formula>$B10="-"</formula>
    </cfRule>
  </conditionalFormatting>
  <conditionalFormatting sqref="V10:V14 V16:V21 V24:V28 V30:V35 V37:V39">
    <cfRule type="expression" dxfId="829" priority="109" stopIfTrue="1">
      <formula>$B10="*"</formula>
    </cfRule>
    <cfRule type="expression" dxfId="828" priority="110" stopIfTrue="1">
      <formula>$B10="-"</formula>
    </cfRule>
  </conditionalFormatting>
  <conditionalFormatting sqref="V10:V14 V16:V21 V24:V28 V30:V35 V37:V39">
    <cfRule type="expression" dxfId="827" priority="107" stopIfTrue="1">
      <formula>$B10="*"</formula>
    </cfRule>
    <cfRule type="expression" dxfId="826" priority="108" stopIfTrue="1">
      <formula>$B10="-"</formula>
    </cfRule>
  </conditionalFormatting>
  <conditionalFormatting sqref="V10:V14 V16:V21 V24:V28 V30:V35 V37:V39">
    <cfRule type="expression" dxfId="825" priority="105" stopIfTrue="1">
      <formula>$B10="*"</formula>
    </cfRule>
    <cfRule type="expression" dxfId="824" priority="106" stopIfTrue="1">
      <formula>$B10="-"</formula>
    </cfRule>
  </conditionalFormatting>
  <conditionalFormatting sqref="V10:V14 V16:V21 V24:V28 V30:V35 V37:V39">
    <cfRule type="expression" dxfId="823" priority="103" stopIfTrue="1">
      <formula>$B10="*"</formula>
    </cfRule>
    <cfRule type="expression" dxfId="822" priority="104" stopIfTrue="1">
      <formula>$B10="-"</formula>
    </cfRule>
  </conditionalFormatting>
  <conditionalFormatting sqref="V10:V14 V16:V21 V24:V28 V30:V35 V37:V39">
    <cfRule type="expression" dxfId="821" priority="101" stopIfTrue="1">
      <formula>$B10="*"</formula>
    </cfRule>
    <cfRule type="expression" dxfId="820" priority="102" stopIfTrue="1">
      <formula>$B10="-"</formula>
    </cfRule>
  </conditionalFormatting>
  <conditionalFormatting sqref="V10:V14 V16:V21 V24:V28 V30:V35 V37:V39">
    <cfRule type="expression" dxfId="819" priority="99" stopIfTrue="1">
      <formula>$B10="*"</formula>
    </cfRule>
    <cfRule type="expression" dxfId="818" priority="100" stopIfTrue="1">
      <formula>$B10="-"</formula>
    </cfRule>
  </conditionalFormatting>
  <conditionalFormatting sqref="T39:V39">
    <cfRule type="expression" dxfId="817" priority="97" stopIfTrue="1">
      <formula>$B39="*"</formula>
    </cfRule>
    <cfRule type="expression" dxfId="816" priority="98" stopIfTrue="1">
      <formula>$B39="-"</formula>
    </cfRule>
  </conditionalFormatting>
  <conditionalFormatting sqref="T39:V39">
    <cfRule type="expression" dxfId="815" priority="95" stopIfTrue="1">
      <formula>$B39="*"</formula>
    </cfRule>
    <cfRule type="expression" dxfId="814" priority="96" stopIfTrue="1">
      <formula>$B39="-"</formula>
    </cfRule>
  </conditionalFormatting>
  <conditionalFormatting sqref="T39:V39">
    <cfRule type="expression" dxfId="813" priority="93" stopIfTrue="1">
      <formula>$B39="*"</formula>
    </cfRule>
    <cfRule type="expression" dxfId="812" priority="94" stopIfTrue="1">
      <formula>$B39="-"</formula>
    </cfRule>
  </conditionalFormatting>
  <conditionalFormatting sqref="V39">
    <cfRule type="expression" dxfId="811" priority="91" stopIfTrue="1">
      <formula>$B39="*"</formula>
    </cfRule>
    <cfRule type="expression" dxfId="810" priority="92" stopIfTrue="1">
      <formula>$B39="-"</formula>
    </cfRule>
  </conditionalFormatting>
  <conditionalFormatting sqref="V39">
    <cfRule type="expression" dxfId="809" priority="89" stopIfTrue="1">
      <formula>$B39="*"</formula>
    </cfRule>
    <cfRule type="expression" dxfId="808" priority="90" stopIfTrue="1">
      <formula>$B39="-"</formula>
    </cfRule>
  </conditionalFormatting>
  <conditionalFormatting sqref="V39">
    <cfRule type="expression" dxfId="807" priority="87" stopIfTrue="1">
      <formula>$B39="*"</formula>
    </cfRule>
    <cfRule type="expression" dxfId="806" priority="88" stopIfTrue="1">
      <formula>$B39="-"</formula>
    </cfRule>
  </conditionalFormatting>
  <conditionalFormatting sqref="V39">
    <cfRule type="expression" dxfId="805" priority="85" stopIfTrue="1">
      <formula>$B39="*"</formula>
    </cfRule>
    <cfRule type="expression" dxfId="804" priority="86" stopIfTrue="1">
      <formula>$B39="-"</formula>
    </cfRule>
  </conditionalFormatting>
  <conditionalFormatting sqref="V39">
    <cfRule type="expression" dxfId="803" priority="83" stopIfTrue="1">
      <formula>$B39="*"</formula>
    </cfRule>
    <cfRule type="expression" dxfId="802" priority="84" stopIfTrue="1">
      <formula>$B39="-"</formula>
    </cfRule>
  </conditionalFormatting>
  <conditionalFormatting sqref="V39">
    <cfRule type="expression" dxfId="801" priority="81" stopIfTrue="1">
      <formula>$B39="*"</formula>
    </cfRule>
    <cfRule type="expression" dxfId="800" priority="82" stopIfTrue="1">
      <formula>$B39="-"</formula>
    </cfRule>
  </conditionalFormatting>
  <conditionalFormatting sqref="T36:V36">
    <cfRule type="expression" dxfId="799" priority="79" stopIfTrue="1">
      <formula>$B36="*"</formula>
    </cfRule>
    <cfRule type="expression" dxfId="798" priority="80" stopIfTrue="1">
      <formula>$B36="-"</formula>
    </cfRule>
  </conditionalFormatting>
  <conditionalFormatting sqref="T36:V36">
    <cfRule type="expression" dxfId="797" priority="77" stopIfTrue="1">
      <formula>$B36="*"</formula>
    </cfRule>
    <cfRule type="expression" dxfId="796" priority="78" stopIfTrue="1">
      <formula>$B36="-"</formula>
    </cfRule>
  </conditionalFormatting>
  <conditionalFormatting sqref="T36:V36">
    <cfRule type="expression" dxfId="795" priority="75" stopIfTrue="1">
      <formula>$B36="*"</formula>
    </cfRule>
    <cfRule type="expression" dxfId="794" priority="76" stopIfTrue="1">
      <formula>$B36="-"</formula>
    </cfRule>
  </conditionalFormatting>
  <conditionalFormatting sqref="V36">
    <cfRule type="expression" dxfId="793" priority="73" stopIfTrue="1">
      <formula>$B36="*"</formula>
    </cfRule>
    <cfRule type="expression" dxfId="792" priority="74" stopIfTrue="1">
      <formula>$B36="-"</formula>
    </cfRule>
  </conditionalFormatting>
  <conditionalFormatting sqref="V36">
    <cfRule type="expression" dxfId="791" priority="71" stopIfTrue="1">
      <formula>$B36="*"</formula>
    </cfRule>
    <cfRule type="expression" dxfId="790" priority="72" stopIfTrue="1">
      <formula>$B36="-"</formula>
    </cfRule>
  </conditionalFormatting>
  <conditionalFormatting sqref="V36">
    <cfRule type="expression" dxfId="789" priority="69" stopIfTrue="1">
      <formula>$B36="*"</formula>
    </cfRule>
    <cfRule type="expression" dxfId="788" priority="70" stopIfTrue="1">
      <formula>$B36="-"</formula>
    </cfRule>
  </conditionalFormatting>
  <conditionalFormatting sqref="V36">
    <cfRule type="expression" dxfId="787" priority="67" stopIfTrue="1">
      <formula>$B36="*"</formula>
    </cfRule>
    <cfRule type="expression" dxfId="786" priority="68" stopIfTrue="1">
      <formula>$B36="-"</formula>
    </cfRule>
  </conditionalFormatting>
  <conditionalFormatting sqref="V36">
    <cfRule type="expression" dxfId="785" priority="65" stopIfTrue="1">
      <formula>$B36="*"</formula>
    </cfRule>
    <cfRule type="expression" dxfId="784" priority="66" stopIfTrue="1">
      <formula>$B36="-"</formula>
    </cfRule>
  </conditionalFormatting>
  <conditionalFormatting sqref="V36">
    <cfRule type="expression" dxfId="783" priority="63" stopIfTrue="1">
      <formula>$B36="*"</formula>
    </cfRule>
    <cfRule type="expression" dxfId="782" priority="64" stopIfTrue="1">
      <formula>$B36="-"</formula>
    </cfRule>
  </conditionalFormatting>
  <conditionalFormatting sqref="T29:V29">
    <cfRule type="expression" dxfId="781" priority="61" stopIfTrue="1">
      <formula>$B29="*"</formula>
    </cfRule>
    <cfRule type="expression" dxfId="780" priority="62" stopIfTrue="1">
      <formula>$B29="-"</formula>
    </cfRule>
  </conditionalFormatting>
  <conditionalFormatting sqref="T29:V29">
    <cfRule type="expression" dxfId="779" priority="59" stopIfTrue="1">
      <formula>$B29="*"</formula>
    </cfRule>
    <cfRule type="expression" dxfId="778" priority="60" stopIfTrue="1">
      <formula>$B29="-"</formula>
    </cfRule>
  </conditionalFormatting>
  <conditionalFormatting sqref="T29:V29">
    <cfRule type="expression" dxfId="777" priority="57" stopIfTrue="1">
      <formula>$B29="*"</formula>
    </cfRule>
    <cfRule type="expression" dxfId="776" priority="58" stopIfTrue="1">
      <formula>$B29="-"</formula>
    </cfRule>
  </conditionalFormatting>
  <conditionalFormatting sqref="V29">
    <cfRule type="expression" dxfId="775" priority="55" stopIfTrue="1">
      <formula>$B29="*"</formula>
    </cfRule>
    <cfRule type="expression" dxfId="774" priority="56" stopIfTrue="1">
      <formula>$B29="-"</formula>
    </cfRule>
  </conditionalFormatting>
  <conditionalFormatting sqref="V29">
    <cfRule type="expression" dxfId="773" priority="53" stopIfTrue="1">
      <formula>$B29="*"</formula>
    </cfRule>
    <cfRule type="expression" dxfId="772" priority="54" stopIfTrue="1">
      <formula>$B29="-"</formula>
    </cfRule>
  </conditionalFormatting>
  <conditionalFormatting sqref="V29">
    <cfRule type="expression" dxfId="771" priority="51" stopIfTrue="1">
      <formula>$B29="*"</formula>
    </cfRule>
    <cfRule type="expression" dxfId="770" priority="52" stopIfTrue="1">
      <formula>$B29="-"</formula>
    </cfRule>
  </conditionalFormatting>
  <conditionalFormatting sqref="V29">
    <cfRule type="expression" dxfId="769" priority="49" stopIfTrue="1">
      <formula>$B29="*"</formula>
    </cfRule>
    <cfRule type="expression" dxfId="768" priority="50" stopIfTrue="1">
      <formula>$B29="-"</formula>
    </cfRule>
  </conditionalFormatting>
  <conditionalFormatting sqref="V29">
    <cfRule type="expression" dxfId="767" priority="47" stopIfTrue="1">
      <formula>$B29="*"</formula>
    </cfRule>
    <cfRule type="expression" dxfId="766" priority="48" stopIfTrue="1">
      <formula>$B29="-"</formula>
    </cfRule>
  </conditionalFormatting>
  <conditionalFormatting sqref="V29">
    <cfRule type="expression" dxfId="765" priority="45" stopIfTrue="1">
      <formula>$B29="*"</formula>
    </cfRule>
    <cfRule type="expression" dxfId="764" priority="46" stopIfTrue="1">
      <formula>$B29="-"</formula>
    </cfRule>
  </conditionalFormatting>
  <conditionalFormatting sqref="T22:V23">
    <cfRule type="expression" dxfId="763" priority="43" stopIfTrue="1">
      <formula>$B22="*"</formula>
    </cfRule>
    <cfRule type="expression" dxfId="762" priority="44" stopIfTrue="1">
      <formula>$B22="-"</formula>
    </cfRule>
  </conditionalFormatting>
  <conditionalFormatting sqref="T22:V23">
    <cfRule type="expression" dxfId="761" priority="41" stopIfTrue="1">
      <formula>$B22="*"</formula>
    </cfRule>
    <cfRule type="expression" dxfId="760" priority="42" stopIfTrue="1">
      <formula>$B22="-"</formula>
    </cfRule>
  </conditionalFormatting>
  <conditionalFormatting sqref="T22:V23">
    <cfRule type="expression" dxfId="759" priority="39" stopIfTrue="1">
      <formula>$B22="*"</formula>
    </cfRule>
    <cfRule type="expression" dxfId="758" priority="40" stopIfTrue="1">
      <formula>$B22="-"</formula>
    </cfRule>
  </conditionalFormatting>
  <conditionalFormatting sqref="V22:V23">
    <cfRule type="expression" dxfId="757" priority="37" stopIfTrue="1">
      <formula>$B22="*"</formula>
    </cfRule>
    <cfRule type="expression" dxfId="756" priority="38" stopIfTrue="1">
      <formula>$B22="-"</formula>
    </cfRule>
  </conditionalFormatting>
  <conditionalFormatting sqref="V22:V23">
    <cfRule type="expression" dxfId="755" priority="35" stopIfTrue="1">
      <formula>$B22="*"</formula>
    </cfRule>
    <cfRule type="expression" dxfId="754" priority="36" stopIfTrue="1">
      <formula>$B22="-"</formula>
    </cfRule>
  </conditionalFormatting>
  <conditionalFormatting sqref="V22:V23">
    <cfRule type="expression" dxfId="753" priority="33" stopIfTrue="1">
      <formula>$B22="*"</formula>
    </cfRule>
    <cfRule type="expression" dxfId="752" priority="34" stopIfTrue="1">
      <formula>$B22="-"</formula>
    </cfRule>
  </conditionalFormatting>
  <conditionalFormatting sqref="V22:V23">
    <cfRule type="expression" dxfId="751" priority="31" stopIfTrue="1">
      <formula>$B22="*"</formula>
    </cfRule>
    <cfRule type="expression" dxfId="750" priority="32" stopIfTrue="1">
      <formula>$B22="-"</formula>
    </cfRule>
  </conditionalFormatting>
  <conditionalFormatting sqref="V22:V23">
    <cfRule type="expression" dxfId="749" priority="29" stopIfTrue="1">
      <formula>$B22="*"</formula>
    </cfRule>
    <cfRule type="expression" dxfId="748" priority="30" stopIfTrue="1">
      <formula>$B22="-"</formula>
    </cfRule>
  </conditionalFormatting>
  <conditionalFormatting sqref="V22:V23">
    <cfRule type="expression" dxfId="747" priority="27" stopIfTrue="1">
      <formula>$B22="*"</formula>
    </cfRule>
    <cfRule type="expression" dxfId="746" priority="28" stopIfTrue="1">
      <formula>$B22="-"</formula>
    </cfRule>
  </conditionalFormatting>
  <conditionalFormatting sqref="T15:V15">
    <cfRule type="expression" dxfId="745" priority="25" stopIfTrue="1">
      <formula>$B15="*"</formula>
    </cfRule>
    <cfRule type="expression" dxfId="744" priority="26" stopIfTrue="1">
      <formula>$B15="-"</formula>
    </cfRule>
  </conditionalFormatting>
  <conditionalFormatting sqref="T15:V15">
    <cfRule type="expression" dxfId="743" priority="23" stopIfTrue="1">
      <formula>$B15="*"</formula>
    </cfRule>
    <cfRule type="expression" dxfId="742" priority="24" stopIfTrue="1">
      <formula>$B15="-"</formula>
    </cfRule>
  </conditionalFormatting>
  <conditionalFormatting sqref="T15:V15">
    <cfRule type="expression" dxfId="741" priority="21" stopIfTrue="1">
      <formula>$B15="*"</formula>
    </cfRule>
    <cfRule type="expression" dxfId="740" priority="22" stopIfTrue="1">
      <formula>$B15="-"</formula>
    </cfRule>
  </conditionalFormatting>
  <conditionalFormatting sqref="V15">
    <cfRule type="expression" dxfId="739" priority="19" stopIfTrue="1">
      <formula>$B15="*"</formula>
    </cfRule>
    <cfRule type="expression" dxfId="738" priority="20" stopIfTrue="1">
      <formula>$B15="-"</formula>
    </cfRule>
  </conditionalFormatting>
  <conditionalFormatting sqref="V15">
    <cfRule type="expression" dxfId="737" priority="17" stopIfTrue="1">
      <formula>$B15="*"</formula>
    </cfRule>
    <cfRule type="expression" dxfId="736" priority="18" stopIfTrue="1">
      <formula>$B15="-"</formula>
    </cfRule>
  </conditionalFormatting>
  <conditionalFormatting sqref="V15">
    <cfRule type="expression" dxfId="735" priority="15" stopIfTrue="1">
      <formula>$B15="*"</formula>
    </cfRule>
    <cfRule type="expression" dxfId="734" priority="16" stopIfTrue="1">
      <formula>$B15="-"</formula>
    </cfRule>
  </conditionalFormatting>
  <conditionalFormatting sqref="V15">
    <cfRule type="expression" dxfId="733" priority="13" stopIfTrue="1">
      <formula>$B15="*"</formula>
    </cfRule>
    <cfRule type="expression" dxfId="732" priority="14" stopIfTrue="1">
      <formula>$B15="-"</formula>
    </cfRule>
  </conditionalFormatting>
  <conditionalFormatting sqref="V15">
    <cfRule type="expression" dxfId="731" priority="11" stopIfTrue="1">
      <formula>$B15="*"</formula>
    </cfRule>
    <cfRule type="expression" dxfId="730" priority="12" stopIfTrue="1">
      <formula>$B15="-"</formula>
    </cfRule>
  </conditionalFormatting>
  <conditionalFormatting sqref="V15">
    <cfRule type="expression" dxfId="729" priority="9" stopIfTrue="1">
      <formula>$B15="*"</formula>
    </cfRule>
    <cfRule type="expression" dxfId="728" priority="10" stopIfTrue="1">
      <formula>$B15="-"</formula>
    </cfRule>
  </conditionalFormatting>
  <conditionalFormatting sqref="V10:V39">
    <cfRule type="expression" dxfId="727" priority="7" stopIfTrue="1">
      <formula>$B10="*"</formula>
    </cfRule>
    <cfRule type="expression" dxfId="726" priority="8" stopIfTrue="1">
      <formula>$B10="-"</formula>
    </cfRule>
  </conditionalFormatting>
  <conditionalFormatting sqref="V10:V39">
    <cfRule type="expression" dxfId="725" priority="5" stopIfTrue="1">
      <formula>$B10="*"</formula>
    </cfRule>
    <cfRule type="expression" dxfId="724" priority="6" stopIfTrue="1">
      <formula>$B10="-"</formula>
    </cfRule>
  </conditionalFormatting>
  <conditionalFormatting sqref="V10:V39">
    <cfRule type="expression" dxfId="723" priority="3" stopIfTrue="1">
      <formula>$B10="*"</formula>
    </cfRule>
    <cfRule type="expression" dxfId="722" priority="4" stopIfTrue="1">
      <formula>$B10="-"</formula>
    </cfRule>
  </conditionalFormatting>
  <conditionalFormatting sqref="C9:C39">
    <cfRule type="expression" dxfId="721" priority="1" stopIfTrue="1">
      <formula>$B9="*"</formula>
    </cfRule>
    <cfRule type="expression" dxfId="720" priority="2" stopIfTrue="1">
      <formula>$B9="-"</formula>
    </cfRule>
  </conditionalFormatting>
  <pageMargins left="0.19685039370078741" right="0" top="0.74803149606299213" bottom="0.6692913385826772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AC78"/>
  <sheetViews>
    <sheetView zoomScale="80" zoomScaleNormal="80" zoomScaleSheetLayoutView="75" workbookViewId="0">
      <selection activeCell="G1" sqref="G1:H1"/>
    </sheetView>
  </sheetViews>
  <sheetFormatPr defaultRowHeight="13.5"/>
  <cols>
    <col min="1" max="1" width="0.140625" style="19" customWidth="1"/>
    <col min="2" max="3" width="9.140625" style="19"/>
    <col min="4" max="4" width="13.42578125" style="19" customWidth="1"/>
    <col min="5" max="11" width="9.140625" style="19"/>
    <col min="12" max="12" width="4.140625" style="19" customWidth="1"/>
    <col min="13" max="13" width="7" style="19" customWidth="1"/>
    <col min="14" max="14" width="4" style="19" customWidth="1"/>
    <col min="15" max="15" width="8.140625" style="19" customWidth="1"/>
    <col min="16" max="16" width="6.28515625" style="19" customWidth="1"/>
    <col min="17" max="17" width="6.42578125" style="19" customWidth="1"/>
    <col min="18" max="18" width="7" style="19" customWidth="1"/>
    <col min="19" max="19" width="7.140625" style="19" customWidth="1"/>
    <col min="20" max="20" width="7" style="19" customWidth="1"/>
    <col min="21" max="21" width="9.140625" style="19"/>
    <col min="22" max="22" width="12.42578125" style="19" customWidth="1"/>
    <col min="23" max="24" width="9.140625" style="19"/>
    <col min="25" max="25" width="9.140625" style="19" customWidth="1"/>
    <col min="26" max="26" width="7.42578125" style="19" customWidth="1"/>
    <col min="27" max="27" width="6.5703125" style="19" customWidth="1"/>
    <col min="28" max="256" width="9.140625" style="19"/>
    <col min="257" max="257" width="0.140625" style="19" customWidth="1"/>
    <col min="258" max="259" width="9.140625" style="19"/>
    <col min="260" max="260" width="13.42578125" style="19" customWidth="1"/>
    <col min="261" max="267" width="9.140625" style="19"/>
    <col min="268" max="268" width="4.140625" style="19" customWidth="1"/>
    <col min="269" max="269" width="7" style="19" customWidth="1"/>
    <col min="270" max="270" width="4" style="19" customWidth="1"/>
    <col min="271" max="271" width="8.140625" style="19" customWidth="1"/>
    <col min="272" max="272" width="6.28515625" style="19" customWidth="1"/>
    <col min="273" max="273" width="6.42578125" style="19" customWidth="1"/>
    <col min="274" max="274" width="7" style="19" customWidth="1"/>
    <col min="275" max="275" width="7.140625" style="19" customWidth="1"/>
    <col min="276" max="276" width="7" style="19" customWidth="1"/>
    <col min="277" max="277" width="9.140625" style="19"/>
    <col min="278" max="278" width="12.42578125" style="19" customWidth="1"/>
    <col min="279" max="280" width="9.140625" style="19"/>
    <col min="281" max="281" width="9.140625" style="19" customWidth="1"/>
    <col min="282" max="282" width="7.42578125" style="19" customWidth="1"/>
    <col min="283" max="283" width="6.5703125" style="19" customWidth="1"/>
    <col min="284" max="512" width="9.140625" style="19"/>
    <col min="513" max="513" width="0.140625" style="19" customWidth="1"/>
    <col min="514" max="515" width="9.140625" style="19"/>
    <col min="516" max="516" width="13.42578125" style="19" customWidth="1"/>
    <col min="517" max="523" width="9.140625" style="19"/>
    <col min="524" max="524" width="4.140625" style="19" customWidth="1"/>
    <col min="525" max="525" width="7" style="19" customWidth="1"/>
    <col min="526" max="526" width="4" style="19" customWidth="1"/>
    <col min="527" max="527" width="8.140625" style="19" customWidth="1"/>
    <col min="528" max="528" width="6.28515625" style="19" customWidth="1"/>
    <col min="529" max="529" width="6.42578125" style="19" customWidth="1"/>
    <col min="530" max="530" width="7" style="19" customWidth="1"/>
    <col min="531" max="531" width="7.140625" style="19" customWidth="1"/>
    <col min="532" max="532" width="7" style="19" customWidth="1"/>
    <col min="533" max="533" width="9.140625" style="19"/>
    <col min="534" max="534" width="12.42578125" style="19" customWidth="1"/>
    <col min="535" max="536" width="9.140625" style="19"/>
    <col min="537" max="537" width="9.140625" style="19" customWidth="1"/>
    <col min="538" max="538" width="7.42578125" style="19" customWidth="1"/>
    <col min="539" max="539" width="6.5703125" style="19" customWidth="1"/>
    <col min="540" max="768" width="9.140625" style="19"/>
    <col min="769" max="769" width="0.140625" style="19" customWidth="1"/>
    <col min="770" max="771" width="9.140625" style="19"/>
    <col min="772" max="772" width="13.42578125" style="19" customWidth="1"/>
    <col min="773" max="779" width="9.140625" style="19"/>
    <col min="780" max="780" width="4.140625" style="19" customWidth="1"/>
    <col min="781" max="781" width="7" style="19" customWidth="1"/>
    <col min="782" max="782" width="4" style="19" customWidth="1"/>
    <col min="783" max="783" width="8.140625" style="19" customWidth="1"/>
    <col min="784" max="784" width="6.28515625" style="19" customWidth="1"/>
    <col min="785" max="785" width="6.42578125" style="19" customWidth="1"/>
    <col min="786" max="786" width="7" style="19" customWidth="1"/>
    <col min="787" max="787" width="7.140625" style="19" customWidth="1"/>
    <col min="788" max="788" width="7" style="19" customWidth="1"/>
    <col min="789" max="789" width="9.140625" style="19"/>
    <col min="790" max="790" width="12.42578125" style="19" customWidth="1"/>
    <col min="791" max="792" width="9.140625" style="19"/>
    <col min="793" max="793" width="9.140625" style="19" customWidth="1"/>
    <col min="794" max="794" width="7.42578125" style="19" customWidth="1"/>
    <col min="795" max="795" width="6.5703125" style="19" customWidth="1"/>
    <col min="796" max="1024" width="9.140625" style="19"/>
    <col min="1025" max="1025" width="0.140625" style="19" customWidth="1"/>
    <col min="1026" max="1027" width="9.140625" style="19"/>
    <col min="1028" max="1028" width="13.42578125" style="19" customWidth="1"/>
    <col min="1029" max="1035" width="9.140625" style="19"/>
    <col min="1036" max="1036" width="4.140625" style="19" customWidth="1"/>
    <col min="1037" max="1037" width="7" style="19" customWidth="1"/>
    <col min="1038" max="1038" width="4" style="19" customWidth="1"/>
    <col min="1039" max="1039" width="8.140625" style="19" customWidth="1"/>
    <col min="1040" max="1040" width="6.28515625" style="19" customWidth="1"/>
    <col min="1041" max="1041" width="6.42578125" style="19" customWidth="1"/>
    <col min="1042" max="1042" width="7" style="19" customWidth="1"/>
    <col min="1043" max="1043" width="7.140625" style="19" customWidth="1"/>
    <col min="1044" max="1044" width="7" style="19" customWidth="1"/>
    <col min="1045" max="1045" width="9.140625" style="19"/>
    <col min="1046" max="1046" width="12.42578125" style="19" customWidth="1"/>
    <col min="1047" max="1048" width="9.140625" style="19"/>
    <col min="1049" max="1049" width="9.140625" style="19" customWidth="1"/>
    <col min="1050" max="1050" width="7.42578125" style="19" customWidth="1"/>
    <col min="1051" max="1051" width="6.5703125" style="19" customWidth="1"/>
    <col min="1052" max="1280" width="9.140625" style="19"/>
    <col min="1281" max="1281" width="0.140625" style="19" customWidth="1"/>
    <col min="1282" max="1283" width="9.140625" style="19"/>
    <col min="1284" max="1284" width="13.42578125" style="19" customWidth="1"/>
    <col min="1285" max="1291" width="9.140625" style="19"/>
    <col min="1292" max="1292" width="4.140625" style="19" customWidth="1"/>
    <col min="1293" max="1293" width="7" style="19" customWidth="1"/>
    <col min="1294" max="1294" width="4" style="19" customWidth="1"/>
    <col min="1295" max="1295" width="8.140625" style="19" customWidth="1"/>
    <col min="1296" max="1296" width="6.28515625" style="19" customWidth="1"/>
    <col min="1297" max="1297" width="6.42578125" style="19" customWidth="1"/>
    <col min="1298" max="1298" width="7" style="19" customWidth="1"/>
    <col min="1299" max="1299" width="7.140625" style="19" customWidth="1"/>
    <col min="1300" max="1300" width="7" style="19" customWidth="1"/>
    <col min="1301" max="1301" width="9.140625" style="19"/>
    <col min="1302" max="1302" width="12.42578125" style="19" customWidth="1"/>
    <col min="1303" max="1304" width="9.140625" style="19"/>
    <col min="1305" max="1305" width="9.140625" style="19" customWidth="1"/>
    <col min="1306" max="1306" width="7.42578125" style="19" customWidth="1"/>
    <col min="1307" max="1307" width="6.5703125" style="19" customWidth="1"/>
    <col min="1308" max="1536" width="9.140625" style="19"/>
    <col min="1537" max="1537" width="0.140625" style="19" customWidth="1"/>
    <col min="1538" max="1539" width="9.140625" style="19"/>
    <col min="1540" max="1540" width="13.42578125" style="19" customWidth="1"/>
    <col min="1541" max="1547" width="9.140625" style="19"/>
    <col min="1548" max="1548" width="4.140625" style="19" customWidth="1"/>
    <col min="1549" max="1549" width="7" style="19" customWidth="1"/>
    <col min="1550" max="1550" width="4" style="19" customWidth="1"/>
    <col min="1551" max="1551" width="8.140625" style="19" customWidth="1"/>
    <col min="1552" max="1552" width="6.28515625" style="19" customWidth="1"/>
    <col min="1553" max="1553" width="6.42578125" style="19" customWidth="1"/>
    <col min="1554" max="1554" width="7" style="19" customWidth="1"/>
    <col min="1555" max="1555" width="7.140625" style="19" customWidth="1"/>
    <col min="1556" max="1556" width="7" style="19" customWidth="1"/>
    <col min="1557" max="1557" width="9.140625" style="19"/>
    <col min="1558" max="1558" width="12.42578125" style="19" customWidth="1"/>
    <col min="1559" max="1560" width="9.140625" style="19"/>
    <col min="1561" max="1561" width="9.140625" style="19" customWidth="1"/>
    <col min="1562" max="1562" width="7.42578125" style="19" customWidth="1"/>
    <col min="1563" max="1563" width="6.5703125" style="19" customWidth="1"/>
    <col min="1564" max="1792" width="9.140625" style="19"/>
    <col min="1793" max="1793" width="0.140625" style="19" customWidth="1"/>
    <col min="1794" max="1795" width="9.140625" style="19"/>
    <col min="1796" max="1796" width="13.42578125" style="19" customWidth="1"/>
    <col min="1797" max="1803" width="9.140625" style="19"/>
    <col min="1804" max="1804" width="4.140625" style="19" customWidth="1"/>
    <col min="1805" max="1805" width="7" style="19" customWidth="1"/>
    <col min="1806" max="1806" width="4" style="19" customWidth="1"/>
    <col min="1807" max="1807" width="8.140625" style="19" customWidth="1"/>
    <col min="1808" max="1808" width="6.28515625" style="19" customWidth="1"/>
    <col min="1809" max="1809" width="6.42578125" style="19" customWidth="1"/>
    <col min="1810" max="1810" width="7" style="19" customWidth="1"/>
    <col min="1811" max="1811" width="7.140625" style="19" customWidth="1"/>
    <col min="1812" max="1812" width="7" style="19" customWidth="1"/>
    <col min="1813" max="1813" width="9.140625" style="19"/>
    <col min="1814" max="1814" width="12.42578125" style="19" customWidth="1"/>
    <col min="1815" max="1816" width="9.140625" style="19"/>
    <col min="1817" max="1817" width="9.140625" style="19" customWidth="1"/>
    <col min="1818" max="1818" width="7.42578125" style="19" customWidth="1"/>
    <col min="1819" max="1819" width="6.5703125" style="19" customWidth="1"/>
    <col min="1820" max="2048" width="9.140625" style="19"/>
    <col min="2049" max="2049" width="0.140625" style="19" customWidth="1"/>
    <col min="2050" max="2051" width="9.140625" style="19"/>
    <col min="2052" max="2052" width="13.42578125" style="19" customWidth="1"/>
    <col min="2053" max="2059" width="9.140625" style="19"/>
    <col min="2060" max="2060" width="4.140625" style="19" customWidth="1"/>
    <col min="2061" max="2061" width="7" style="19" customWidth="1"/>
    <col min="2062" max="2062" width="4" style="19" customWidth="1"/>
    <col min="2063" max="2063" width="8.140625" style="19" customWidth="1"/>
    <col min="2064" max="2064" width="6.28515625" style="19" customWidth="1"/>
    <col min="2065" max="2065" width="6.42578125" style="19" customWidth="1"/>
    <col min="2066" max="2066" width="7" style="19" customWidth="1"/>
    <col min="2067" max="2067" width="7.140625" style="19" customWidth="1"/>
    <col min="2068" max="2068" width="7" style="19" customWidth="1"/>
    <col min="2069" max="2069" width="9.140625" style="19"/>
    <col min="2070" max="2070" width="12.42578125" style="19" customWidth="1"/>
    <col min="2071" max="2072" width="9.140625" style="19"/>
    <col min="2073" max="2073" width="9.140625" style="19" customWidth="1"/>
    <col min="2074" max="2074" width="7.42578125" style="19" customWidth="1"/>
    <col min="2075" max="2075" width="6.5703125" style="19" customWidth="1"/>
    <col min="2076" max="2304" width="9.140625" style="19"/>
    <col min="2305" max="2305" width="0.140625" style="19" customWidth="1"/>
    <col min="2306" max="2307" width="9.140625" style="19"/>
    <col min="2308" max="2308" width="13.42578125" style="19" customWidth="1"/>
    <col min="2309" max="2315" width="9.140625" style="19"/>
    <col min="2316" max="2316" width="4.140625" style="19" customWidth="1"/>
    <col min="2317" max="2317" width="7" style="19" customWidth="1"/>
    <col min="2318" max="2318" width="4" style="19" customWidth="1"/>
    <col min="2319" max="2319" width="8.140625" style="19" customWidth="1"/>
    <col min="2320" max="2320" width="6.28515625" style="19" customWidth="1"/>
    <col min="2321" max="2321" width="6.42578125" style="19" customWidth="1"/>
    <col min="2322" max="2322" width="7" style="19" customWidth="1"/>
    <col min="2323" max="2323" width="7.140625" style="19" customWidth="1"/>
    <col min="2324" max="2324" width="7" style="19" customWidth="1"/>
    <col min="2325" max="2325" width="9.140625" style="19"/>
    <col min="2326" max="2326" width="12.42578125" style="19" customWidth="1"/>
    <col min="2327" max="2328" width="9.140625" style="19"/>
    <col min="2329" max="2329" width="9.140625" style="19" customWidth="1"/>
    <col min="2330" max="2330" width="7.42578125" style="19" customWidth="1"/>
    <col min="2331" max="2331" width="6.5703125" style="19" customWidth="1"/>
    <col min="2332" max="2560" width="9.140625" style="19"/>
    <col min="2561" max="2561" width="0.140625" style="19" customWidth="1"/>
    <col min="2562" max="2563" width="9.140625" style="19"/>
    <col min="2564" max="2564" width="13.42578125" style="19" customWidth="1"/>
    <col min="2565" max="2571" width="9.140625" style="19"/>
    <col min="2572" max="2572" width="4.140625" style="19" customWidth="1"/>
    <col min="2573" max="2573" width="7" style="19" customWidth="1"/>
    <col min="2574" max="2574" width="4" style="19" customWidth="1"/>
    <col min="2575" max="2575" width="8.140625" style="19" customWidth="1"/>
    <col min="2576" max="2576" width="6.28515625" style="19" customWidth="1"/>
    <col min="2577" max="2577" width="6.42578125" style="19" customWidth="1"/>
    <col min="2578" max="2578" width="7" style="19" customWidth="1"/>
    <col min="2579" max="2579" width="7.140625" style="19" customWidth="1"/>
    <col min="2580" max="2580" width="7" style="19" customWidth="1"/>
    <col min="2581" max="2581" width="9.140625" style="19"/>
    <col min="2582" max="2582" width="12.42578125" style="19" customWidth="1"/>
    <col min="2583" max="2584" width="9.140625" style="19"/>
    <col min="2585" max="2585" width="9.140625" style="19" customWidth="1"/>
    <col min="2586" max="2586" width="7.42578125" style="19" customWidth="1"/>
    <col min="2587" max="2587" width="6.5703125" style="19" customWidth="1"/>
    <col min="2588" max="2816" width="9.140625" style="19"/>
    <col min="2817" max="2817" width="0.140625" style="19" customWidth="1"/>
    <col min="2818" max="2819" width="9.140625" style="19"/>
    <col min="2820" max="2820" width="13.42578125" style="19" customWidth="1"/>
    <col min="2821" max="2827" width="9.140625" style="19"/>
    <col min="2828" max="2828" width="4.140625" style="19" customWidth="1"/>
    <col min="2829" max="2829" width="7" style="19" customWidth="1"/>
    <col min="2830" max="2830" width="4" style="19" customWidth="1"/>
    <col min="2831" max="2831" width="8.140625" style="19" customWidth="1"/>
    <col min="2832" max="2832" width="6.28515625" style="19" customWidth="1"/>
    <col min="2833" max="2833" width="6.42578125" style="19" customWidth="1"/>
    <col min="2834" max="2834" width="7" style="19" customWidth="1"/>
    <col min="2835" max="2835" width="7.140625" style="19" customWidth="1"/>
    <col min="2836" max="2836" width="7" style="19" customWidth="1"/>
    <col min="2837" max="2837" width="9.140625" style="19"/>
    <col min="2838" max="2838" width="12.42578125" style="19" customWidth="1"/>
    <col min="2839" max="2840" width="9.140625" style="19"/>
    <col min="2841" max="2841" width="9.140625" style="19" customWidth="1"/>
    <col min="2842" max="2842" width="7.42578125" style="19" customWidth="1"/>
    <col min="2843" max="2843" width="6.5703125" style="19" customWidth="1"/>
    <col min="2844" max="3072" width="9.140625" style="19"/>
    <col min="3073" max="3073" width="0.140625" style="19" customWidth="1"/>
    <col min="3074" max="3075" width="9.140625" style="19"/>
    <col min="3076" max="3076" width="13.42578125" style="19" customWidth="1"/>
    <col min="3077" max="3083" width="9.140625" style="19"/>
    <col min="3084" max="3084" width="4.140625" style="19" customWidth="1"/>
    <col min="3085" max="3085" width="7" style="19" customWidth="1"/>
    <col min="3086" max="3086" width="4" style="19" customWidth="1"/>
    <col min="3087" max="3087" width="8.140625" style="19" customWidth="1"/>
    <col min="3088" max="3088" width="6.28515625" style="19" customWidth="1"/>
    <col min="3089" max="3089" width="6.42578125" style="19" customWidth="1"/>
    <col min="3090" max="3090" width="7" style="19" customWidth="1"/>
    <col min="3091" max="3091" width="7.140625" style="19" customWidth="1"/>
    <col min="3092" max="3092" width="7" style="19" customWidth="1"/>
    <col min="3093" max="3093" width="9.140625" style="19"/>
    <col min="3094" max="3094" width="12.42578125" style="19" customWidth="1"/>
    <col min="3095" max="3096" width="9.140625" style="19"/>
    <col min="3097" max="3097" width="9.140625" style="19" customWidth="1"/>
    <col min="3098" max="3098" width="7.42578125" style="19" customWidth="1"/>
    <col min="3099" max="3099" width="6.5703125" style="19" customWidth="1"/>
    <col min="3100" max="3328" width="9.140625" style="19"/>
    <col min="3329" max="3329" width="0.140625" style="19" customWidth="1"/>
    <col min="3330" max="3331" width="9.140625" style="19"/>
    <col min="3332" max="3332" width="13.42578125" style="19" customWidth="1"/>
    <col min="3333" max="3339" width="9.140625" style="19"/>
    <col min="3340" max="3340" width="4.140625" style="19" customWidth="1"/>
    <col min="3341" max="3341" width="7" style="19" customWidth="1"/>
    <col min="3342" max="3342" width="4" style="19" customWidth="1"/>
    <col min="3343" max="3343" width="8.140625" style="19" customWidth="1"/>
    <col min="3344" max="3344" width="6.28515625" style="19" customWidth="1"/>
    <col min="3345" max="3345" width="6.42578125" style="19" customWidth="1"/>
    <col min="3346" max="3346" width="7" style="19" customWidth="1"/>
    <col min="3347" max="3347" width="7.140625" style="19" customWidth="1"/>
    <col min="3348" max="3348" width="7" style="19" customWidth="1"/>
    <col min="3349" max="3349" width="9.140625" style="19"/>
    <col min="3350" max="3350" width="12.42578125" style="19" customWidth="1"/>
    <col min="3351" max="3352" width="9.140625" style="19"/>
    <col min="3353" max="3353" width="9.140625" style="19" customWidth="1"/>
    <col min="3354" max="3354" width="7.42578125" style="19" customWidth="1"/>
    <col min="3355" max="3355" width="6.5703125" style="19" customWidth="1"/>
    <col min="3356" max="3584" width="9.140625" style="19"/>
    <col min="3585" max="3585" width="0.140625" style="19" customWidth="1"/>
    <col min="3586" max="3587" width="9.140625" style="19"/>
    <col min="3588" max="3588" width="13.42578125" style="19" customWidth="1"/>
    <col min="3589" max="3595" width="9.140625" style="19"/>
    <col min="3596" max="3596" width="4.140625" style="19" customWidth="1"/>
    <col min="3597" max="3597" width="7" style="19" customWidth="1"/>
    <col min="3598" max="3598" width="4" style="19" customWidth="1"/>
    <col min="3599" max="3599" width="8.140625" style="19" customWidth="1"/>
    <col min="3600" max="3600" width="6.28515625" style="19" customWidth="1"/>
    <col min="3601" max="3601" width="6.42578125" style="19" customWidth="1"/>
    <col min="3602" max="3602" width="7" style="19" customWidth="1"/>
    <col min="3603" max="3603" width="7.140625" style="19" customWidth="1"/>
    <col min="3604" max="3604" width="7" style="19" customWidth="1"/>
    <col min="3605" max="3605" width="9.140625" style="19"/>
    <col min="3606" max="3606" width="12.42578125" style="19" customWidth="1"/>
    <col min="3607" max="3608" width="9.140625" style="19"/>
    <col min="3609" max="3609" width="9.140625" style="19" customWidth="1"/>
    <col min="3610" max="3610" width="7.42578125" style="19" customWidth="1"/>
    <col min="3611" max="3611" width="6.5703125" style="19" customWidth="1"/>
    <col min="3612" max="3840" width="9.140625" style="19"/>
    <col min="3841" max="3841" width="0.140625" style="19" customWidth="1"/>
    <col min="3842" max="3843" width="9.140625" style="19"/>
    <col min="3844" max="3844" width="13.42578125" style="19" customWidth="1"/>
    <col min="3845" max="3851" width="9.140625" style="19"/>
    <col min="3852" max="3852" width="4.140625" style="19" customWidth="1"/>
    <col min="3853" max="3853" width="7" style="19" customWidth="1"/>
    <col min="3854" max="3854" width="4" style="19" customWidth="1"/>
    <col min="3855" max="3855" width="8.140625" style="19" customWidth="1"/>
    <col min="3856" max="3856" width="6.28515625" style="19" customWidth="1"/>
    <col min="3857" max="3857" width="6.42578125" style="19" customWidth="1"/>
    <col min="3858" max="3858" width="7" style="19" customWidth="1"/>
    <col min="3859" max="3859" width="7.140625" style="19" customWidth="1"/>
    <col min="3860" max="3860" width="7" style="19" customWidth="1"/>
    <col min="3861" max="3861" width="9.140625" style="19"/>
    <col min="3862" max="3862" width="12.42578125" style="19" customWidth="1"/>
    <col min="3863" max="3864" width="9.140625" style="19"/>
    <col min="3865" max="3865" width="9.140625" style="19" customWidth="1"/>
    <col min="3866" max="3866" width="7.42578125" style="19" customWidth="1"/>
    <col min="3867" max="3867" width="6.5703125" style="19" customWidth="1"/>
    <col min="3868" max="4096" width="9.140625" style="19"/>
    <col min="4097" max="4097" width="0.140625" style="19" customWidth="1"/>
    <col min="4098" max="4099" width="9.140625" style="19"/>
    <col min="4100" max="4100" width="13.42578125" style="19" customWidth="1"/>
    <col min="4101" max="4107" width="9.140625" style="19"/>
    <col min="4108" max="4108" width="4.140625" style="19" customWidth="1"/>
    <col min="4109" max="4109" width="7" style="19" customWidth="1"/>
    <col min="4110" max="4110" width="4" style="19" customWidth="1"/>
    <col min="4111" max="4111" width="8.140625" style="19" customWidth="1"/>
    <col min="4112" max="4112" width="6.28515625" style="19" customWidth="1"/>
    <col min="4113" max="4113" width="6.42578125" style="19" customWidth="1"/>
    <col min="4114" max="4114" width="7" style="19" customWidth="1"/>
    <col min="4115" max="4115" width="7.140625" style="19" customWidth="1"/>
    <col min="4116" max="4116" width="7" style="19" customWidth="1"/>
    <col min="4117" max="4117" width="9.140625" style="19"/>
    <col min="4118" max="4118" width="12.42578125" style="19" customWidth="1"/>
    <col min="4119" max="4120" width="9.140625" style="19"/>
    <col min="4121" max="4121" width="9.140625" style="19" customWidth="1"/>
    <col min="4122" max="4122" width="7.42578125" style="19" customWidth="1"/>
    <col min="4123" max="4123" width="6.5703125" style="19" customWidth="1"/>
    <col min="4124" max="4352" width="9.140625" style="19"/>
    <col min="4353" max="4353" width="0.140625" style="19" customWidth="1"/>
    <col min="4354" max="4355" width="9.140625" style="19"/>
    <col min="4356" max="4356" width="13.42578125" style="19" customWidth="1"/>
    <col min="4357" max="4363" width="9.140625" style="19"/>
    <col min="4364" max="4364" width="4.140625" style="19" customWidth="1"/>
    <col min="4365" max="4365" width="7" style="19" customWidth="1"/>
    <col min="4366" max="4366" width="4" style="19" customWidth="1"/>
    <col min="4367" max="4367" width="8.140625" style="19" customWidth="1"/>
    <col min="4368" max="4368" width="6.28515625" style="19" customWidth="1"/>
    <col min="4369" max="4369" width="6.42578125" style="19" customWidth="1"/>
    <col min="4370" max="4370" width="7" style="19" customWidth="1"/>
    <col min="4371" max="4371" width="7.140625" style="19" customWidth="1"/>
    <col min="4372" max="4372" width="7" style="19" customWidth="1"/>
    <col min="4373" max="4373" width="9.140625" style="19"/>
    <col min="4374" max="4374" width="12.42578125" style="19" customWidth="1"/>
    <col min="4375" max="4376" width="9.140625" style="19"/>
    <col min="4377" max="4377" width="9.140625" style="19" customWidth="1"/>
    <col min="4378" max="4378" width="7.42578125" style="19" customWidth="1"/>
    <col min="4379" max="4379" width="6.5703125" style="19" customWidth="1"/>
    <col min="4380" max="4608" width="9.140625" style="19"/>
    <col min="4609" max="4609" width="0.140625" style="19" customWidth="1"/>
    <col min="4610" max="4611" width="9.140625" style="19"/>
    <col min="4612" max="4612" width="13.42578125" style="19" customWidth="1"/>
    <col min="4613" max="4619" width="9.140625" style="19"/>
    <col min="4620" max="4620" width="4.140625" style="19" customWidth="1"/>
    <col min="4621" max="4621" width="7" style="19" customWidth="1"/>
    <col min="4622" max="4622" width="4" style="19" customWidth="1"/>
    <col min="4623" max="4623" width="8.140625" style="19" customWidth="1"/>
    <col min="4624" max="4624" width="6.28515625" style="19" customWidth="1"/>
    <col min="4625" max="4625" width="6.42578125" style="19" customWidth="1"/>
    <col min="4626" max="4626" width="7" style="19" customWidth="1"/>
    <col min="4627" max="4627" width="7.140625" style="19" customWidth="1"/>
    <col min="4628" max="4628" width="7" style="19" customWidth="1"/>
    <col min="4629" max="4629" width="9.140625" style="19"/>
    <col min="4630" max="4630" width="12.42578125" style="19" customWidth="1"/>
    <col min="4631" max="4632" width="9.140625" style="19"/>
    <col min="4633" max="4633" width="9.140625" style="19" customWidth="1"/>
    <col min="4634" max="4634" width="7.42578125" style="19" customWidth="1"/>
    <col min="4635" max="4635" width="6.5703125" style="19" customWidth="1"/>
    <col min="4636" max="4864" width="9.140625" style="19"/>
    <col min="4865" max="4865" width="0.140625" style="19" customWidth="1"/>
    <col min="4866" max="4867" width="9.140625" style="19"/>
    <col min="4868" max="4868" width="13.42578125" style="19" customWidth="1"/>
    <col min="4869" max="4875" width="9.140625" style="19"/>
    <col min="4876" max="4876" width="4.140625" style="19" customWidth="1"/>
    <col min="4877" max="4877" width="7" style="19" customWidth="1"/>
    <col min="4878" max="4878" width="4" style="19" customWidth="1"/>
    <col min="4879" max="4879" width="8.140625" style="19" customWidth="1"/>
    <col min="4880" max="4880" width="6.28515625" style="19" customWidth="1"/>
    <col min="4881" max="4881" width="6.42578125" style="19" customWidth="1"/>
    <col min="4882" max="4882" width="7" style="19" customWidth="1"/>
    <col min="4883" max="4883" width="7.140625" style="19" customWidth="1"/>
    <col min="4884" max="4884" width="7" style="19" customWidth="1"/>
    <col min="4885" max="4885" width="9.140625" style="19"/>
    <col min="4886" max="4886" width="12.42578125" style="19" customWidth="1"/>
    <col min="4887" max="4888" width="9.140625" style="19"/>
    <col min="4889" max="4889" width="9.140625" style="19" customWidth="1"/>
    <col min="4890" max="4890" width="7.42578125" style="19" customWidth="1"/>
    <col min="4891" max="4891" width="6.5703125" style="19" customWidth="1"/>
    <col min="4892" max="5120" width="9.140625" style="19"/>
    <col min="5121" max="5121" width="0.140625" style="19" customWidth="1"/>
    <col min="5122" max="5123" width="9.140625" style="19"/>
    <col min="5124" max="5124" width="13.42578125" style="19" customWidth="1"/>
    <col min="5125" max="5131" width="9.140625" style="19"/>
    <col min="5132" max="5132" width="4.140625" style="19" customWidth="1"/>
    <col min="5133" max="5133" width="7" style="19" customWidth="1"/>
    <col min="5134" max="5134" width="4" style="19" customWidth="1"/>
    <col min="5135" max="5135" width="8.140625" style="19" customWidth="1"/>
    <col min="5136" max="5136" width="6.28515625" style="19" customWidth="1"/>
    <col min="5137" max="5137" width="6.42578125" style="19" customWidth="1"/>
    <col min="5138" max="5138" width="7" style="19" customWidth="1"/>
    <col min="5139" max="5139" width="7.140625" style="19" customWidth="1"/>
    <col min="5140" max="5140" width="7" style="19" customWidth="1"/>
    <col min="5141" max="5141" width="9.140625" style="19"/>
    <col min="5142" max="5142" width="12.42578125" style="19" customWidth="1"/>
    <col min="5143" max="5144" width="9.140625" style="19"/>
    <col min="5145" max="5145" width="9.140625" style="19" customWidth="1"/>
    <col min="5146" max="5146" width="7.42578125" style="19" customWidth="1"/>
    <col min="5147" max="5147" width="6.5703125" style="19" customWidth="1"/>
    <col min="5148" max="5376" width="9.140625" style="19"/>
    <col min="5377" max="5377" width="0.140625" style="19" customWidth="1"/>
    <col min="5378" max="5379" width="9.140625" style="19"/>
    <col min="5380" max="5380" width="13.42578125" style="19" customWidth="1"/>
    <col min="5381" max="5387" width="9.140625" style="19"/>
    <col min="5388" max="5388" width="4.140625" style="19" customWidth="1"/>
    <col min="5389" max="5389" width="7" style="19" customWidth="1"/>
    <col min="5390" max="5390" width="4" style="19" customWidth="1"/>
    <col min="5391" max="5391" width="8.140625" style="19" customWidth="1"/>
    <col min="5392" max="5392" width="6.28515625" style="19" customWidth="1"/>
    <col min="5393" max="5393" width="6.42578125" style="19" customWidth="1"/>
    <col min="5394" max="5394" width="7" style="19" customWidth="1"/>
    <col min="5395" max="5395" width="7.140625" style="19" customWidth="1"/>
    <col min="5396" max="5396" width="7" style="19" customWidth="1"/>
    <col min="5397" max="5397" width="9.140625" style="19"/>
    <col min="5398" max="5398" width="12.42578125" style="19" customWidth="1"/>
    <col min="5399" max="5400" width="9.140625" style="19"/>
    <col min="5401" max="5401" width="9.140625" style="19" customWidth="1"/>
    <col min="5402" max="5402" width="7.42578125" style="19" customWidth="1"/>
    <col min="5403" max="5403" width="6.5703125" style="19" customWidth="1"/>
    <col min="5404" max="5632" width="9.140625" style="19"/>
    <col min="5633" max="5633" width="0.140625" style="19" customWidth="1"/>
    <col min="5634" max="5635" width="9.140625" style="19"/>
    <col min="5636" max="5636" width="13.42578125" style="19" customWidth="1"/>
    <col min="5637" max="5643" width="9.140625" style="19"/>
    <col min="5644" max="5644" width="4.140625" style="19" customWidth="1"/>
    <col min="5645" max="5645" width="7" style="19" customWidth="1"/>
    <col min="5646" max="5646" width="4" style="19" customWidth="1"/>
    <col min="5647" max="5647" width="8.140625" style="19" customWidth="1"/>
    <col min="5648" max="5648" width="6.28515625" style="19" customWidth="1"/>
    <col min="5649" max="5649" width="6.42578125" style="19" customWidth="1"/>
    <col min="5650" max="5650" width="7" style="19" customWidth="1"/>
    <col min="5651" max="5651" width="7.140625" style="19" customWidth="1"/>
    <col min="5652" max="5652" width="7" style="19" customWidth="1"/>
    <col min="5653" max="5653" width="9.140625" style="19"/>
    <col min="5654" max="5654" width="12.42578125" style="19" customWidth="1"/>
    <col min="5655" max="5656" width="9.140625" style="19"/>
    <col min="5657" max="5657" width="9.140625" style="19" customWidth="1"/>
    <col min="5658" max="5658" width="7.42578125" style="19" customWidth="1"/>
    <col min="5659" max="5659" width="6.5703125" style="19" customWidth="1"/>
    <col min="5660" max="5888" width="9.140625" style="19"/>
    <col min="5889" max="5889" width="0.140625" style="19" customWidth="1"/>
    <col min="5890" max="5891" width="9.140625" style="19"/>
    <col min="5892" max="5892" width="13.42578125" style="19" customWidth="1"/>
    <col min="5893" max="5899" width="9.140625" style="19"/>
    <col min="5900" max="5900" width="4.140625" style="19" customWidth="1"/>
    <col min="5901" max="5901" width="7" style="19" customWidth="1"/>
    <col min="5902" max="5902" width="4" style="19" customWidth="1"/>
    <col min="5903" max="5903" width="8.140625" style="19" customWidth="1"/>
    <col min="5904" max="5904" width="6.28515625" style="19" customWidth="1"/>
    <col min="5905" max="5905" width="6.42578125" style="19" customWidth="1"/>
    <col min="5906" max="5906" width="7" style="19" customWidth="1"/>
    <col min="5907" max="5907" width="7.140625" style="19" customWidth="1"/>
    <col min="5908" max="5908" width="7" style="19" customWidth="1"/>
    <col min="5909" max="5909" width="9.140625" style="19"/>
    <col min="5910" max="5910" width="12.42578125" style="19" customWidth="1"/>
    <col min="5911" max="5912" width="9.140625" style="19"/>
    <col min="5913" max="5913" width="9.140625" style="19" customWidth="1"/>
    <col min="5914" max="5914" width="7.42578125" style="19" customWidth="1"/>
    <col min="5915" max="5915" width="6.5703125" style="19" customWidth="1"/>
    <col min="5916" max="6144" width="9.140625" style="19"/>
    <col min="6145" max="6145" width="0.140625" style="19" customWidth="1"/>
    <col min="6146" max="6147" width="9.140625" style="19"/>
    <col min="6148" max="6148" width="13.42578125" style="19" customWidth="1"/>
    <col min="6149" max="6155" width="9.140625" style="19"/>
    <col min="6156" max="6156" width="4.140625" style="19" customWidth="1"/>
    <col min="6157" max="6157" width="7" style="19" customWidth="1"/>
    <col min="6158" max="6158" width="4" style="19" customWidth="1"/>
    <col min="6159" max="6159" width="8.140625" style="19" customWidth="1"/>
    <col min="6160" max="6160" width="6.28515625" style="19" customWidth="1"/>
    <col min="6161" max="6161" width="6.42578125" style="19" customWidth="1"/>
    <col min="6162" max="6162" width="7" style="19" customWidth="1"/>
    <col min="6163" max="6163" width="7.140625" style="19" customWidth="1"/>
    <col min="6164" max="6164" width="7" style="19" customWidth="1"/>
    <col min="6165" max="6165" width="9.140625" style="19"/>
    <col min="6166" max="6166" width="12.42578125" style="19" customWidth="1"/>
    <col min="6167" max="6168" width="9.140625" style="19"/>
    <col min="6169" max="6169" width="9.140625" style="19" customWidth="1"/>
    <col min="6170" max="6170" width="7.42578125" style="19" customWidth="1"/>
    <col min="6171" max="6171" width="6.5703125" style="19" customWidth="1"/>
    <col min="6172" max="6400" width="9.140625" style="19"/>
    <col min="6401" max="6401" width="0.140625" style="19" customWidth="1"/>
    <col min="6402" max="6403" width="9.140625" style="19"/>
    <col min="6404" max="6404" width="13.42578125" style="19" customWidth="1"/>
    <col min="6405" max="6411" width="9.140625" style="19"/>
    <col min="6412" max="6412" width="4.140625" style="19" customWidth="1"/>
    <col min="6413" max="6413" width="7" style="19" customWidth="1"/>
    <col min="6414" max="6414" width="4" style="19" customWidth="1"/>
    <col min="6415" max="6415" width="8.140625" style="19" customWidth="1"/>
    <col min="6416" max="6416" width="6.28515625" style="19" customWidth="1"/>
    <col min="6417" max="6417" width="6.42578125" style="19" customWidth="1"/>
    <col min="6418" max="6418" width="7" style="19" customWidth="1"/>
    <col min="6419" max="6419" width="7.140625" style="19" customWidth="1"/>
    <col min="6420" max="6420" width="7" style="19" customWidth="1"/>
    <col min="6421" max="6421" width="9.140625" style="19"/>
    <col min="6422" max="6422" width="12.42578125" style="19" customWidth="1"/>
    <col min="6423" max="6424" width="9.140625" style="19"/>
    <col min="6425" max="6425" width="9.140625" style="19" customWidth="1"/>
    <col min="6426" max="6426" width="7.42578125" style="19" customWidth="1"/>
    <col min="6427" max="6427" width="6.5703125" style="19" customWidth="1"/>
    <col min="6428" max="6656" width="9.140625" style="19"/>
    <col min="6657" max="6657" width="0.140625" style="19" customWidth="1"/>
    <col min="6658" max="6659" width="9.140625" style="19"/>
    <col min="6660" max="6660" width="13.42578125" style="19" customWidth="1"/>
    <col min="6661" max="6667" width="9.140625" style="19"/>
    <col min="6668" max="6668" width="4.140625" style="19" customWidth="1"/>
    <col min="6669" max="6669" width="7" style="19" customWidth="1"/>
    <col min="6670" max="6670" width="4" style="19" customWidth="1"/>
    <col min="6671" max="6671" width="8.140625" style="19" customWidth="1"/>
    <col min="6672" max="6672" width="6.28515625" style="19" customWidth="1"/>
    <col min="6673" max="6673" width="6.42578125" style="19" customWidth="1"/>
    <col min="6674" max="6674" width="7" style="19" customWidth="1"/>
    <col min="6675" max="6675" width="7.140625" style="19" customWidth="1"/>
    <col min="6676" max="6676" width="7" style="19" customWidth="1"/>
    <col min="6677" max="6677" width="9.140625" style="19"/>
    <col min="6678" max="6678" width="12.42578125" style="19" customWidth="1"/>
    <col min="6679" max="6680" width="9.140625" style="19"/>
    <col min="6681" max="6681" width="9.140625" style="19" customWidth="1"/>
    <col min="6682" max="6682" width="7.42578125" style="19" customWidth="1"/>
    <col min="6683" max="6683" width="6.5703125" style="19" customWidth="1"/>
    <col min="6684" max="6912" width="9.140625" style="19"/>
    <col min="6913" max="6913" width="0.140625" style="19" customWidth="1"/>
    <col min="6914" max="6915" width="9.140625" style="19"/>
    <col min="6916" max="6916" width="13.42578125" style="19" customWidth="1"/>
    <col min="6917" max="6923" width="9.140625" style="19"/>
    <col min="6924" max="6924" width="4.140625" style="19" customWidth="1"/>
    <col min="6925" max="6925" width="7" style="19" customWidth="1"/>
    <col min="6926" max="6926" width="4" style="19" customWidth="1"/>
    <col min="6927" max="6927" width="8.140625" style="19" customWidth="1"/>
    <col min="6928" max="6928" width="6.28515625" style="19" customWidth="1"/>
    <col min="6929" max="6929" width="6.42578125" style="19" customWidth="1"/>
    <col min="6930" max="6930" width="7" style="19" customWidth="1"/>
    <col min="6931" max="6931" width="7.140625" style="19" customWidth="1"/>
    <col min="6932" max="6932" width="7" style="19" customWidth="1"/>
    <col min="6933" max="6933" width="9.140625" style="19"/>
    <col min="6934" max="6934" width="12.42578125" style="19" customWidth="1"/>
    <col min="6935" max="6936" width="9.140625" style="19"/>
    <col min="6937" max="6937" width="9.140625" style="19" customWidth="1"/>
    <col min="6938" max="6938" width="7.42578125" style="19" customWidth="1"/>
    <col min="6939" max="6939" width="6.5703125" style="19" customWidth="1"/>
    <col min="6940" max="7168" width="9.140625" style="19"/>
    <col min="7169" max="7169" width="0.140625" style="19" customWidth="1"/>
    <col min="7170" max="7171" width="9.140625" style="19"/>
    <col min="7172" max="7172" width="13.42578125" style="19" customWidth="1"/>
    <col min="7173" max="7179" width="9.140625" style="19"/>
    <col min="7180" max="7180" width="4.140625" style="19" customWidth="1"/>
    <col min="7181" max="7181" width="7" style="19" customWidth="1"/>
    <col min="7182" max="7182" width="4" style="19" customWidth="1"/>
    <col min="7183" max="7183" width="8.140625" style="19" customWidth="1"/>
    <col min="7184" max="7184" width="6.28515625" style="19" customWidth="1"/>
    <col min="7185" max="7185" width="6.42578125" style="19" customWidth="1"/>
    <col min="7186" max="7186" width="7" style="19" customWidth="1"/>
    <col min="7187" max="7187" width="7.140625" style="19" customWidth="1"/>
    <col min="7188" max="7188" width="7" style="19" customWidth="1"/>
    <col min="7189" max="7189" width="9.140625" style="19"/>
    <col min="7190" max="7190" width="12.42578125" style="19" customWidth="1"/>
    <col min="7191" max="7192" width="9.140625" style="19"/>
    <col min="7193" max="7193" width="9.140625" style="19" customWidth="1"/>
    <col min="7194" max="7194" width="7.42578125" style="19" customWidth="1"/>
    <col min="7195" max="7195" width="6.5703125" style="19" customWidth="1"/>
    <col min="7196" max="7424" width="9.140625" style="19"/>
    <col min="7425" max="7425" width="0.140625" style="19" customWidth="1"/>
    <col min="7426" max="7427" width="9.140625" style="19"/>
    <col min="7428" max="7428" width="13.42578125" style="19" customWidth="1"/>
    <col min="7429" max="7435" width="9.140625" style="19"/>
    <col min="7436" max="7436" width="4.140625" style="19" customWidth="1"/>
    <col min="7437" max="7437" width="7" style="19" customWidth="1"/>
    <col min="7438" max="7438" width="4" style="19" customWidth="1"/>
    <col min="7439" max="7439" width="8.140625" style="19" customWidth="1"/>
    <col min="7440" max="7440" width="6.28515625" style="19" customWidth="1"/>
    <col min="7441" max="7441" width="6.42578125" style="19" customWidth="1"/>
    <col min="7442" max="7442" width="7" style="19" customWidth="1"/>
    <col min="7443" max="7443" width="7.140625" style="19" customWidth="1"/>
    <col min="7444" max="7444" width="7" style="19" customWidth="1"/>
    <col min="7445" max="7445" width="9.140625" style="19"/>
    <col min="7446" max="7446" width="12.42578125" style="19" customWidth="1"/>
    <col min="7447" max="7448" width="9.140625" style="19"/>
    <col min="7449" max="7449" width="9.140625" style="19" customWidth="1"/>
    <col min="7450" max="7450" width="7.42578125" style="19" customWidth="1"/>
    <col min="7451" max="7451" width="6.5703125" style="19" customWidth="1"/>
    <col min="7452" max="7680" width="9.140625" style="19"/>
    <col min="7681" max="7681" width="0.140625" style="19" customWidth="1"/>
    <col min="7682" max="7683" width="9.140625" style="19"/>
    <col min="7684" max="7684" width="13.42578125" style="19" customWidth="1"/>
    <col min="7685" max="7691" width="9.140625" style="19"/>
    <col min="7692" max="7692" width="4.140625" style="19" customWidth="1"/>
    <col min="7693" max="7693" width="7" style="19" customWidth="1"/>
    <col min="7694" max="7694" width="4" style="19" customWidth="1"/>
    <col min="7695" max="7695" width="8.140625" style="19" customWidth="1"/>
    <col min="7696" max="7696" width="6.28515625" style="19" customWidth="1"/>
    <col min="7697" max="7697" width="6.42578125" style="19" customWidth="1"/>
    <col min="7698" max="7698" width="7" style="19" customWidth="1"/>
    <col min="7699" max="7699" width="7.140625" style="19" customWidth="1"/>
    <col min="7700" max="7700" width="7" style="19" customWidth="1"/>
    <col min="7701" max="7701" width="9.140625" style="19"/>
    <col min="7702" max="7702" width="12.42578125" style="19" customWidth="1"/>
    <col min="7703" max="7704" width="9.140625" style="19"/>
    <col min="7705" max="7705" width="9.140625" style="19" customWidth="1"/>
    <col min="7706" max="7706" width="7.42578125" style="19" customWidth="1"/>
    <col min="7707" max="7707" width="6.5703125" style="19" customWidth="1"/>
    <col min="7708" max="7936" width="9.140625" style="19"/>
    <col min="7937" max="7937" width="0.140625" style="19" customWidth="1"/>
    <col min="7938" max="7939" width="9.140625" style="19"/>
    <col min="7940" max="7940" width="13.42578125" style="19" customWidth="1"/>
    <col min="7941" max="7947" width="9.140625" style="19"/>
    <col min="7948" max="7948" width="4.140625" style="19" customWidth="1"/>
    <col min="7949" max="7949" width="7" style="19" customWidth="1"/>
    <col min="7950" max="7950" width="4" style="19" customWidth="1"/>
    <col min="7951" max="7951" width="8.140625" style="19" customWidth="1"/>
    <col min="7952" max="7952" width="6.28515625" style="19" customWidth="1"/>
    <col min="7953" max="7953" width="6.42578125" style="19" customWidth="1"/>
    <col min="7954" max="7954" width="7" style="19" customWidth="1"/>
    <col min="7955" max="7955" width="7.140625" style="19" customWidth="1"/>
    <col min="7956" max="7956" width="7" style="19" customWidth="1"/>
    <col min="7957" max="7957" width="9.140625" style="19"/>
    <col min="7958" max="7958" width="12.42578125" style="19" customWidth="1"/>
    <col min="7959" max="7960" width="9.140625" style="19"/>
    <col min="7961" max="7961" width="9.140625" style="19" customWidth="1"/>
    <col min="7962" max="7962" width="7.42578125" style="19" customWidth="1"/>
    <col min="7963" max="7963" width="6.5703125" style="19" customWidth="1"/>
    <col min="7964" max="8192" width="9.140625" style="19"/>
    <col min="8193" max="8193" width="0.140625" style="19" customWidth="1"/>
    <col min="8194" max="8195" width="9.140625" style="19"/>
    <col min="8196" max="8196" width="13.42578125" style="19" customWidth="1"/>
    <col min="8197" max="8203" width="9.140625" style="19"/>
    <col min="8204" max="8204" width="4.140625" style="19" customWidth="1"/>
    <col min="8205" max="8205" width="7" style="19" customWidth="1"/>
    <col min="8206" max="8206" width="4" style="19" customWidth="1"/>
    <col min="8207" max="8207" width="8.140625" style="19" customWidth="1"/>
    <col min="8208" max="8208" width="6.28515625" style="19" customWidth="1"/>
    <col min="8209" max="8209" width="6.42578125" style="19" customWidth="1"/>
    <col min="8210" max="8210" width="7" style="19" customWidth="1"/>
    <col min="8211" max="8211" width="7.140625" style="19" customWidth="1"/>
    <col min="8212" max="8212" width="7" style="19" customWidth="1"/>
    <col min="8213" max="8213" width="9.140625" style="19"/>
    <col min="8214" max="8214" width="12.42578125" style="19" customWidth="1"/>
    <col min="8215" max="8216" width="9.140625" style="19"/>
    <col min="8217" max="8217" width="9.140625" style="19" customWidth="1"/>
    <col min="8218" max="8218" width="7.42578125" style="19" customWidth="1"/>
    <col min="8219" max="8219" width="6.5703125" style="19" customWidth="1"/>
    <col min="8220" max="8448" width="9.140625" style="19"/>
    <col min="8449" max="8449" width="0.140625" style="19" customWidth="1"/>
    <col min="8450" max="8451" width="9.140625" style="19"/>
    <col min="8452" max="8452" width="13.42578125" style="19" customWidth="1"/>
    <col min="8453" max="8459" width="9.140625" style="19"/>
    <col min="8460" max="8460" width="4.140625" style="19" customWidth="1"/>
    <col min="8461" max="8461" width="7" style="19" customWidth="1"/>
    <col min="8462" max="8462" width="4" style="19" customWidth="1"/>
    <col min="8463" max="8463" width="8.140625" style="19" customWidth="1"/>
    <col min="8464" max="8464" width="6.28515625" style="19" customWidth="1"/>
    <col min="8465" max="8465" width="6.42578125" style="19" customWidth="1"/>
    <col min="8466" max="8466" width="7" style="19" customWidth="1"/>
    <col min="8467" max="8467" width="7.140625" style="19" customWidth="1"/>
    <col min="8468" max="8468" width="7" style="19" customWidth="1"/>
    <col min="8469" max="8469" width="9.140625" style="19"/>
    <col min="8470" max="8470" width="12.42578125" style="19" customWidth="1"/>
    <col min="8471" max="8472" width="9.140625" style="19"/>
    <col min="8473" max="8473" width="9.140625" style="19" customWidth="1"/>
    <col min="8474" max="8474" width="7.42578125" style="19" customWidth="1"/>
    <col min="8475" max="8475" width="6.5703125" style="19" customWidth="1"/>
    <col min="8476" max="8704" width="9.140625" style="19"/>
    <col min="8705" max="8705" width="0.140625" style="19" customWidth="1"/>
    <col min="8706" max="8707" width="9.140625" style="19"/>
    <col min="8708" max="8708" width="13.42578125" style="19" customWidth="1"/>
    <col min="8709" max="8715" width="9.140625" style="19"/>
    <col min="8716" max="8716" width="4.140625" style="19" customWidth="1"/>
    <col min="8717" max="8717" width="7" style="19" customWidth="1"/>
    <col min="8718" max="8718" width="4" style="19" customWidth="1"/>
    <col min="8719" max="8719" width="8.140625" style="19" customWidth="1"/>
    <col min="8720" max="8720" width="6.28515625" style="19" customWidth="1"/>
    <col min="8721" max="8721" width="6.42578125" style="19" customWidth="1"/>
    <col min="8722" max="8722" width="7" style="19" customWidth="1"/>
    <col min="8723" max="8723" width="7.140625" style="19" customWidth="1"/>
    <col min="8724" max="8724" width="7" style="19" customWidth="1"/>
    <col min="8725" max="8725" width="9.140625" style="19"/>
    <col min="8726" max="8726" width="12.42578125" style="19" customWidth="1"/>
    <col min="8727" max="8728" width="9.140625" style="19"/>
    <col min="8729" max="8729" width="9.140625" style="19" customWidth="1"/>
    <col min="8730" max="8730" width="7.42578125" style="19" customWidth="1"/>
    <col min="8731" max="8731" width="6.5703125" style="19" customWidth="1"/>
    <col min="8732" max="8960" width="9.140625" style="19"/>
    <col min="8961" max="8961" width="0.140625" style="19" customWidth="1"/>
    <col min="8962" max="8963" width="9.140625" style="19"/>
    <col min="8964" max="8964" width="13.42578125" style="19" customWidth="1"/>
    <col min="8965" max="8971" width="9.140625" style="19"/>
    <col min="8972" max="8972" width="4.140625" style="19" customWidth="1"/>
    <col min="8973" max="8973" width="7" style="19" customWidth="1"/>
    <col min="8974" max="8974" width="4" style="19" customWidth="1"/>
    <col min="8975" max="8975" width="8.140625" style="19" customWidth="1"/>
    <col min="8976" max="8976" width="6.28515625" style="19" customWidth="1"/>
    <col min="8977" max="8977" width="6.42578125" style="19" customWidth="1"/>
    <col min="8978" max="8978" width="7" style="19" customWidth="1"/>
    <col min="8979" max="8979" width="7.140625" style="19" customWidth="1"/>
    <col min="8980" max="8980" width="7" style="19" customWidth="1"/>
    <col min="8981" max="8981" width="9.140625" style="19"/>
    <col min="8982" max="8982" width="12.42578125" style="19" customWidth="1"/>
    <col min="8983" max="8984" width="9.140625" style="19"/>
    <col min="8985" max="8985" width="9.140625" style="19" customWidth="1"/>
    <col min="8986" max="8986" width="7.42578125" style="19" customWidth="1"/>
    <col min="8987" max="8987" width="6.5703125" style="19" customWidth="1"/>
    <col min="8988" max="9216" width="9.140625" style="19"/>
    <col min="9217" max="9217" width="0.140625" style="19" customWidth="1"/>
    <col min="9218" max="9219" width="9.140625" style="19"/>
    <col min="9220" max="9220" width="13.42578125" style="19" customWidth="1"/>
    <col min="9221" max="9227" width="9.140625" style="19"/>
    <col min="9228" max="9228" width="4.140625" style="19" customWidth="1"/>
    <col min="9229" max="9229" width="7" style="19" customWidth="1"/>
    <col min="9230" max="9230" width="4" style="19" customWidth="1"/>
    <col min="9231" max="9231" width="8.140625" style="19" customWidth="1"/>
    <col min="9232" max="9232" width="6.28515625" style="19" customWidth="1"/>
    <col min="9233" max="9233" width="6.42578125" style="19" customWidth="1"/>
    <col min="9234" max="9234" width="7" style="19" customWidth="1"/>
    <col min="9235" max="9235" width="7.140625" style="19" customWidth="1"/>
    <col min="9236" max="9236" width="7" style="19" customWidth="1"/>
    <col min="9237" max="9237" width="9.140625" style="19"/>
    <col min="9238" max="9238" width="12.42578125" style="19" customWidth="1"/>
    <col min="9239" max="9240" width="9.140625" style="19"/>
    <col min="9241" max="9241" width="9.140625" style="19" customWidth="1"/>
    <col min="9242" max="9242" width="7.42578125" style="19" customWidth="1"/>
    <col min="9243" max="9243" width="6.5703125" style="19" customWidth="1"/>
    <col min="9244" max="9472" width="9.140625" style="19"/>
    <col min="9473" max="9473" width="0.140625" style="19" customWidth="1"/>
    <col min="9474" max="9475" width="9.140625" style="19"/>
    <col min="9476" max="9476" width="13.42578125" style="19" customWidth="1"/>
    <col min="9477" max="9483" width="9.140625" style="19"/>
    <col min="9484" max="9484" width="4.140625" style="19" customWidth="1"/>
    <col min="9485" max="9485" width="7" style="19" customWidth="1"/>
    <col min="9486" max="9486" width="4" style="19" customWidth="1"/>
    <col min="9487" max="9487" width="8.140625" style="19" customWidth="1"/>
    <col min="9488" max="9488" width="6.28515625" style="19" customWidth="1"/>
    <col min="9489" max="9489" width="6.42578125" style="19" customWidth="1"/>
    <col min="9490" max="9490" width="7" style="19" customWidth="1"/>
    <col min="9491" max="9491" width="7.140625" style="19" customWidth="1"/>
    <col min="9492" max="9492" width="7" style="19" customWidth="1"/>
    <col min="9493" max="9493" width="9.140625" style="19"/>
    <col min="9494" max="9494" width="12.42578125" style="19" customWidth="1"/>
    <col min="9495" max="9496" width="9.140625" style="19"/>
    <col min="9497" max="9497" width="9.140625" style="19" customWidth="1"/>
    <col min="9498" max="9498" width="7.42578125" style="19" customWidth="1"/>
    <col min="9499" max="9499" width="6.5703125" style="19" customWidth="1"/>
    <col min="9500" max="9728" width="9.140625" style="19"/>
    <col min="9729" max="9729" width="0.140625" style="19" customWidth="1"/>
    <col min="9730" max="9731" width="9.140625" style="19"/>
    <col min="9732" max="9732" width="13.42578125" style="19" customWidth="1"/>
    <col min="9733" max="9739" width="9.140625" style="19"/>
    <col min="9740" max="9740" width="4.140625" style="19" customWidth="1"/>
    <col min="9741" max="9741" width="7" style="19" customWidth="1"/>
    <col min="9742" max="9742" width="4" style="19" customWidth="1"/>
    <col min="9743" max="9743" width="8.140625" style="19" customWidth="1"/>
    <col min="9744" max="9744" width="6.28515625" style="19" customWidth="1"/>
    <col min="9745" max="9745" width="6.42578125" style="19" customWidth="1"/>
    <col min="9746" max="9746" width="7" style="19" customWidth="1"/>
    <col min="9747" max="9747" width="7.140625" style="19" customWidth="1"/>
    <col min="9748" max="9748" width="7" style="19" customWidth="1"/>
    <col min="9749" max="9749" width="9.140625" style="19"/>
    <col min="9750" max="9750" width="12.42578125" style="19" customWidth="1"/>
    <col min="9751" max="9752" width="9.140625" style="19"/>
    <col min="9753" max="9753" width="9.140625" style="19" customWidth="1"/>
    <col min="9754" max="9754" width="7.42578125" style="19" customWidth="1"/>
    <col min="9755" max="9755" width="6.5703125" style="19" customWidth="1"/>
    <col min="9756" max="9984" width="9.140625" style="19"/>
    <col min="9985" max="9985" width="0.140625" style="19" customWidth="1"/>
    <col min="9986" max="9987" width="9.140625" style="19"/>
    <col min="9988" max="9988" width="13.42578125" style="19" customWidth="1"/>
    <col min="9989" max="9995" width="9.140625" style="19"/>
    <col min="9996" max="9996" width="4.140625" style="19" customWidth="1"/>
    <col min="9997" max="9997" width="7" style="19" customWidth="1"/>
    <col min="9998" max="9998" width="4" style="19" customWidth="1"/>
    <col min="9999" max="9999" width="8.140625" style="19" customWidth="1"/>
    <col min="10000" max="10000" width="6.28515625" style="19" customWidth="1"/>
    <col min="10001" max="10001" width="6.42578125" style="19" customWidth="1"/>
    <col min="10002" max="10002" width="7" style="19" customWidth="1"/>
    <col min="10003" max="10003" width="7.140625" style="19" customWidth="1"/>
    <col min="10004" max="10004" width="7" style="19" customWidth="1"/>
    <col min="10005" max="10005" width="9.140625" style="19"/>
    <col min="10006" max="10006" width="12.42578125" style="19" customWidth="1"/>
    <col min="10007" max="10008" width="9.140625" style="19"/>
    <col min="10009" max="10009" width="9.140625" style="19" customWidth="1"/>
    <col min="10010" max="10010" width="7.42578125" style="19" customWidth="1"/>
    <col min="10011" max="10011" width="6.5703125" style="19" customWidth="1"/>
    <col min="10012" max="10240" width="9.140625" style="19"/>
    <col min="10241" max="10241" width="0.140625" style="19" customWidth="1"/>
    <col min="10242" max="10243" width="9.140625" style="19"/>
    <col min="10244" max="10244" width="13.42578125" style="19" customWidth="1"/>
    <col min="10245" max="10251" width="9.140625" style="19"/>
    <col min="10252" max="10252" width="4.140625" style="19" customWidth="1"/>
    <col min="10253" max="10253" width="7" style="19" customWidth="1"/>
    <col min="10254" max="10254" width="4" style="19" customWidth="1"/>
    <col min="10255" max="10255" width="8.140625" style="19" customWidth="1"/>
    <col min="10256" max="10256" width="6.28515625" style="19" customWidth="1"/>
    <col min="10257" max="10257" width="6.42578125" style="19" customWidth="1"/>
    <col min="10258" max="10258" width="7" style="19" customWidth="1"/>
    <col min="10259" max="10259" width="7.140625" style="19" customWidth="1"/>
    <col min="10260" max="10260" width="7" style="19" customWidth="1"/>
    <col min="10261" max="10261" width="9.140625" style="19"/>
    <col min="10262" max="10262" width="12.42578125" style="19" customWidth="1"/>
    <col min="10263" max="10264" width="9.140625" style="19"/>
    <col min="10265" max="10265" width="9.140625" style="19" customWidth="1"/>
    <col min="10266" max="10266" width="7.42578125" style="19" customWidth="1"/>
    <col min="10267" max="10267" width="6.5703125" style="19" customWidth="1"/>
    <col min="10268" max="10496" width="9.140625" style="19"/>
    <col min="10497" max="10497" width="0.140625" style="19" customWidth="1"/>
    <col min="10498" max="10499" width="9.140625" style="19"/>
    <col min="10500" max="10500" width="13.42578125" style="19" customWidth="1"/>
    <col min="10501" max="10507" width="9.140625" style="19"/>
    <col min="10508" max="10508" width="4.140625" style="19" customWidth="1"/>
    <col min="10509" max="10509" width="7" style="19" customWidth="1"/>
    <col min="10510" max="10510" width="4" style="19" customWidth="1"/>
    <col min="10511" max="10511" width="8.140625" style="19" customWidth="1"/>
    <col min="10512" max="10512" width="6.28515625" style="19" customWidth="1"/>
    <col min="10513" max="10513" width="6.42578125" style="19" customWidth="1"/>
    <col min="10514" max="10514" width="7" style="19" customWidth="1"/>
    <col min="10515" max="10515" width="7.140625" style="19" customWidth="1"/>
    <col min="10516" max="10516" width="7" style="19" customWidth="1"/>
    <col min="10517" max="10517" width="9.140625" style="19"/>
    <col min="10518" max="10518" width="12.42578125" style="19" customWidth="1"/>
    <col min="10519" max="10520" width="9.140625" style="19"/>
    <col min="10521" max="10521" width="9.140625" style="19" customWidth="1"/>
    <col min="10522" max="10522" width="7.42578125" style="19" customWidth="1"/>
    <col min="10523" max="10523" width="6.5703125" style="19" customWidth="1"/>
    <col min="10524" max="10752" width="9.140625" style="19"/>
    <col min="10753" max="10753" width="0.140625" style="19" customWidth="1"/>
    <col min="10754" max="10755" width="9.140625" style="19"/>
    <col min="10756" max="10756" width="13.42578125" style="19" customWidth="1"/>
    <col min="10757" max="10763" width="9.140625" style="19"/>
    <col min="10764" max="10764" width="4.140625" style="19" customWidth="1"/>
    <col min="10765" max="10765" width="7" style="19" customWidth="1"/>
    <col min="10766" max="10766" width="4" style="19" customWidth="1"/>
    <col min="10767" max="10767" width="8.140625" style="19" customWidth="1"/>
    <col min="10768" max="10768" width="6.28515625" style="19" customWidth="1"/>
    <col min="10769" max="10769" width="6.42578125" style="19" customWidth="1"/>
    <col min="10770" max="10770" width="7" style="19" customWidth="1"/>
    <col min="10771" max="10771" width="7.140625" style="19" customWidth="1"/>
    <col min="10772" max="10772" width="7" style="19" customWidth="1"/>
    <col min="10773" max="10773" width="9.140625" style="19"/>
    <col min="10774" max="10774" width="12.42578125" style="19" customWidth="1"/>
    <col min="10775" max="10776" width="9.140625" style="19"/>
    <col min="10777" max="10777" width="9.140625" style="19" customWidth="1"/>
    <col min="10778" max="10778" width="7.42578125" style="19" customWidth="1"/>
    <col min="10779" max="10779" width="6.5703125" style="19" customWidth="1"/>
    <col min="10780" max="11008" width="9.140625" style="19"/>
    <col min="11009" max="11009" width="0.140625" style="19" customWidth="1"/>
    <col min="11010" max="11011" width="9.140625" style="19"/>
    <col min="11012" max="11012" width="13.42578125" style="19" customWidth="1"/>
    <col min="11013" max="11019" width="9.140625" style="19"/>
    <col min="11020" max="11020" width="4.140625" style="19" customWidth="1"/>
    <col min="11021" max="11021" width="7" style="19" customWidth="1"/>
    <col min="11022" max="11022" width="4" style="19" customWidth="1"/>
    <col min="11023" max="11023" width="8.140625" style="19" customWidth="1"/>
    <col min="11024" max="11024" width="6.28515625" style="19" customWidth="1"/>
    <col min="11025" max="11025" width="6.42578125" style="19" customWidth="1"/>
    <col min="11026" max="11026" width="7" style="19" customWidth="1"/>
    <col min="11027" max="11027" width="7.140625" style="19" customWidth="1"/>
    <col min="11028" max="11028" width="7" style="19" customWidth="1"/>
    <col min="11029" max="11029" width="9.140625" style="19"/>
    <col min="11030" max="11030" width="12.42578125" style="19" customWidth="1"/>
    <col min="11031" max="11032" width="9.140625" style="19"/>
    <col min="11033" max="11033" width="9.140625" style="19" customWidth="1"/>
    <col min="11034" max="11034" width="7.42578125" style="19" customWidth="1"/>
    <col min="11035" max="11035" width="6.5703125" style="19" customWidth="1"/>
    <col min="11036" max="11264" width="9.140625" style="19"/>
    <col min="11265" max="11265" width="0.140625" style="19" customWidth="1"/>
    <col min="11266" max="11267" width="9.140625" style="19"/>
    <col min="11268" max="11268" width="13.42578125" style="19" customWidth="1"/>
    <col min="11269" max="11275" width="9.140625" style="19"/>
    <col min="11276" max="11276" width="4.140625" style="19" customWidth="1"/>
    <col min="11277" max="11277" width="7" style="19" customWidth="1"/>
    <col min="11278" max="11278" width="4" style="19" customWidth="1"/>
    <col min="11279" max="11279" width="8.140625" style="19" customWidth="1"/>
    <col min="11280" max="11280" width="6.28515625" style="19" customWidth="1"/>
    <col min="11281" max="11281" width="6.42578125" style="19" customWidth="1"/>
    <col min="11282" max="11282" width="7" style="19" customWidth="1"/>
    <col min="11283" max="11283" width="7.140625" style="19" customWidth="1"/>
    <col min="11284" max="11284" width="7" style="19" customWidth="1"/>
    <col min="11285" max="11285" width="9.140625" style="19"/>
    <col min="11286" max="11286" width="12.42578125" style="19" customWidth="1"/>
    <col min="11287" max="11288" width="9.140625" style="19"/>
    <col min="11289" max="11289" width="9.140625" style="19" customWidth="1"/>
    <col min="11290" max="11290" width="7.42578125" style="19" customWidth="1"/>
    <col min="11291" max="11291" width="6.5703125" style="19" customWidth="1"/>
    <col min="11292" max="11520" width="9.140625" style="19"/>
    <col min="11521" max="11521" width="0.140625" style="19" customWidth="1"/>
    <col min="11522" max="11523" width="9.140625" style="19"/>
    <col min="11524" max="11524" width="13.42578125" style="19" customWidth="1"/>
    <col min="11525" max="11531" width="9.140625" style="19"/>
    <col min="11532" max="11532" width="4.140625" style="19" customWidth="1"/>
    <col min="11533" max="11533" width="7" style="19" customWidth="1"/>
    <col min="11534" max="11534" width="4" style="19" customWidth="1"/>
    <col min="11535" max="11535" width="8.140625" style="19" customWidth="1"/>
    <col min="11536" max="11536" width="6.28515625" style="19" customWidth="1"/>
    <col min="11537" max="11537" width="6.42578125" style="19" customWidth="1"/>
    <col min="11538" max="11538" width="7" style="19" customWidth="1"/>
    <col min="11539" max="11539" width="7.140625" style="19" customWidth="1"/>
    <col min="11540" max="11540" width="7" style="19" customWidth="1"/>
    <col min="11541" max="11541" width="9.140625" style="19"/>
    <col min="11542" max="11542" width="12.42578125" style="19" customWidth="1"/>
    <col min="11543" max="11544" width="9.140625" style="19"/>
    <col min="11545" max="11545" width="9.140625" style="19" customWidth="1"/>
    <col min="11546" max="11546" width="7.42578125" style="19" customWidth="1"/>
    <col min="11547" max="11547" width="6.5703125" style="19" customWidth="1"/>
    <col min="11548" max="11776" width="9.140625" style="19"/>
    <col min="11777" max="11777" width="0.140625" style="19" customWidth="1"/>
    <col min="11778" max="11779" width="9.140625" style="19"/>
    <col min="11780" max="11780" width="13.42578125" style="19" customWidth="1"/>
    <col min="11781" max="11787" width="9.140625" style="19"/>
    <col min="11788" max="11788" width="4.140625" style="19" customWidth="1"/>
    <col min="11789" max="11789" width="7" style="19" customWidth="1"/>
    <col min="11790" max="11790" width="4" style="19" customWidth="1"/>
    <col min="11791" max="11791" width="8.140625" style="19" customWidth="1"/>
    <col min="11792" max="11792" width="6.28515625" style="19" customWidth="1"/>
    <col min="11793" max="11793" width="6.42578125" style="19" customWidth="1"/>
    <col min="11794" max="11794" width="7" style="19" customWidth="1"/>
    <col min="11795" max="11795" width="7.140625" style="19" customWidth="1"/>
    <col min="11796" max="11796" width="7" style="19" customWidth="1"/>
    <col min="11797" max="11797" width="9.140625" style="19"/>
    <col min="11798" max="11798" width="12.42578125" style="19" customWidth="1"/>
    <col min="11799" max="11800" width="9.140625" style="19"/>
    <col min="11801" max="11801" width="9.140625" style="19" customWidth="1"/>
    <col min="11802" max="11802" width="7.42578125" style="19" customWidth="1"/>
    <col min="11803" max="11803" width="6.5703125" style="19" customWidth="1"/>
    <col min="11804" max="12032" width="9.140625" style="19"/>
    <col min="12033" max="12033" width="0.140625" style="19" customWidth="1"/>
    <col min="12034" max="12035" width="9.140625" style="19"/>
    <col min="12036" max="12036" width="13.42578125" style="19" customWidth="1"/>
    <col min="12037" max="12043" width="9.140625" style="19"/>
    <col min="12044" max="12044" width="4.140625" style="19" customWidth="1"/>
    <col min="12045" max="12045" width="7" style="19" customWidth="1"/>
    <col min="12046" max="12046" width="4" style="19" customWidth="1"/>
    <col min="12047" max="12047" width="8.140625" style="19" customWidth="1"/>
    <col min="12048" max="12048" width="6.28515625" style="19" customWidth="1"/>
    <col min="12049" max="12049" width="6.42578125" style="19" customWidth="1"/>
    <col min="12050" max="12050" width="7" style="19" customWidth="1"/>
    <col min="12051" max="12051" width="7.140625" style="19" customWidth="1"/>
    <col min="12052" max="12052" width="7" style="19" customWidth="1"/>
    <col min="12053" max="12053" width="9.140625" style="19"/>
    <col min="12054" max="12054" width="12.42578125" style="19" customWidth="1"/>
    <col min="12055" max="12056" width="9.140625" style="19"/>
    <col min="12057" max="12057" width="9.140625" style="19" customWidth="1"/>
    <col min="12058" max="12058" width="7.42578125" style="19" customWidth="1"/>
    <col min="12059" max="12059" width="6.5703125" style="19" customWidth="1"/>
    <col min="12060" max="12288" width="9.140625" style="19"/>
    <col min="12289" max="12289" width="0.140625" style="19" customWidth="1"/>
    <col min="12290" max="12291" width="9.140625" style="19"/>
    <col min="12292" max="12292" width="13.42578125" style="19" customWidth="1"/>
    <col min="12293" max="12299" width="9.140625" style="19"/>
    <col min="12300" max="12300" width="4.140625" style="19" customWidth="1"/>
    <col min="12301" max="12301" width="7" style="19" customWidth="1"/>
    <col min="12302" max="12302" width="4" style="19" customWidth="1"/>
    <col min="12303" max="12303" width="8.140625" style="19" customWidth="1"/>
    <col min="12304" max="12304" width="6.28515625" style="19" customWidth="1"/>
    <col min="12305" max="12305" width="6.42578125" style="19" customWidth="1"/>
    <col min="12306" max="12306" width="7" style="19" customWidth="1"/>
    <col min="12307" max="12307" width="7.140625" style="19" customWidth="1"/>
    <col min="12308" max="12308" width="7" style="19" customWidth="1"/>
    <col min="12309" max="12309" width="9.140625" style="19"/>
    <col min="12310" max="12310" width="12.42578125" style="19" customWidth="1"/>
    <col min="12311" max="12312" width="9.140625" style="19"/>
    <col min="12313" max="12313" width="9.140625" style="19" customWidth="1"/>
    <col min="12314" max="12314" width="7.42578125" style="19" customWidth="1"/>
    <col min="12315" max="12315" width="6.5703125" style="19" customWidth="1"/>
    <col min="12316" max="12544" width="9.140625" style="19"/>
    <col min="12545" max="12545" width="0.140625" style="19" customWidth="1"/>
    <col min="12546" max="12547" width="9.140625" style="19"/>
    <col min="12548" max="12548" width="13.42578125" style="19" customWidth="1"/>
    <col min="12549" max="12555" width="9.140625" style="19"/>
    <col min="12556" max="12556" width="4.140625" style="19" customWidth="1"/>
    <col min="12557" max="12557" width="7" style="19" customWidth="1"/>
    <col min="12558" max="12558" width="4" style="19" customWidth="1"/>
    <col min="12559" max="12559" width="8.140625" style="19" customWidth="1"/>
    <col min="12560" max="12560" width="6.28515625" style="19" customWidth="1"/>
    <col min="12561" max="12561" width="6.42578125" style="19" customWidth="1"/>
    <col min="12562" max="12562" width="7" style="19" customWidth="1"/>
    <col min="12563" max="12563" width="7.140625" style="19" customWidth="1"/>
    <col min="12564" max="12564" width="7" style="19" customWidth="1"/>
    <col min="12565" max="12565" width="9.140625" style="19"/>
    <col min="12566" max="12566" width="12.42578125" style="19" customWidth="1"/>
    <col min="12567" max="12568" width="9.140625" style="19"/>
    <col min="12569" max="12569" width="9.140625" style="19" customWidth="1"/>
    <col min="12570" max="12570" width="7.42578125" style="19" customWidth="1"/>
    <col min="12571" max="12571" width="6.5703125" style="19" customWidth="1"/>
    <col min="12572" max="12800" width="9.140625" style="19"/>
    <col min="12801" max="12801" width="0.140625" style="19" customWidth="1"/>
    <col min="12802" max="12803" width="9.140625" style="19"/>
    <col min="12804" max="12804" width="13.42578125" style="19" customWidth="1"/>
    <col min="12805" max="12811" width="9.140625" style="19"/>
    <col min="12812" max="12812" width="4.140625" style="19" customWidth="1"/>
    <col min="12813" max="12813" width="7" style="19" customWidth="1"/>
    <col min="12814" max="12814" width="4" style="19" customWidth="1"/>
    <col min="12815" max="12815" width="8.140625" style="19" customWidth="1"/>
    <col min="12816" max="12816" width="6.28515625" style="19" customWidth="1"/>
    <col min="12817" max="12817" width="6.42578125" style="19" customWidth="1"/>
    <col min="12818" max="12818" width="7" style="19" customWidth="1"/>
    <col min="12819" max="12819" width="7.140625" style="19" customWidth="1"/>
    <col min="12820" max="12820" width="7" style="19" customWidth="1"/>
    <col min="12821" max="12821" width="9.140625" style="19"/>
    <col min="12822" max="12822" width="12.42578125" style="19" customWidth="1"/>
    <col min="12823" max="12824" width="9.140625" style="19"/>
    <col min="12825" max="12825" width="9.140625" style="19" customWidth="1"/>
    <col min="12826" max="12826" width="7.42578125" style="19" customWidth="1"/>
    <col min="12827" max="12827" width="6.5703125" style="19" customWidth="1"/>
    <col min="12828" max="13056" width="9.140625" style="19"/>
    <col min="13057" max="13057" width="0.140625" style="19" customWidth="1"/>
    <col min="13058" max="13059" width="9.140625" style="19"/>
    <col min="13060" max="13060" width="13.42578125" style="19" customWidth="1"/>
    <col min="13061" max="13067" width="9.140625" style="19"/>
    <col min="13068" max="13068" width="4.140625" style="19" customWidth="1"/>
    <col min="13069" max="13069" width="7" style="19" customWidth="1"/>
    <col min="13070" max="13070" width="4" style="19" customWidth="1"/>
    <col min="13071" max="13071" width="8.140625" style="19" customWidth="1"/>
    <col min="13072" max="13072" width="6.28515625" style="19" customWidth="1"/>
    <col min="13073" max="13073" width="6.42578125" style="19" customWidth="1"/>
    <col min="13074" max="13074" width="7" style="19" customWidth="1"/>
    <col min="13075" max="13075" width="7.140625" style="19" customWidth="1"/>
    <col min="13076" max="13076" width="7" style="19" customWidth="1"/>
    <col min="13077" max="13077" width="9.140625" style="19"/>
    <col min="13078" max="13078" width="12.42578125" style="19" customWidth="1"/>
    <col min="13079" max="13080" width="9.140625" style="19"/>
    <col min="13081" max="13081" width="9.140625" style="19" customWidth="1"/>
    <col min="13082" max="13082" width="7.42578125" style="19" customWidth="1"/>
    <col min="13083" max="13083" width="6.5703125" style="19" customWidth="1"/>
    <col min="13084" max="13312" width="9.140625" style="19"/>
    <col min="13313" max="13313" width="0.140625" style="19" customWidth="1"/>
    <col min="13314" max="13315" width="9.140625" style="19"/>
    <col min="13316" max="13316" width="13.42578125" style="19" customWidth="1"/>
    <col min="13317" max="13323" width="9.140625" style="19"/>
    <col min="13324" max="13324" width="4.140625" style="19" customWidth="1"/>
    <col min="13325" max="13325" width="7" style="19" customWidth="1"/>
    <col min="13326" max="13326" width="4" style="19" customWidth="1"/>
    <col min="13327" max="13327" width="8.140625" style="19" customWidth="1"/>
    <col min="13328" max="13328" width="6.28515625" style="19" customWidth="1"/>
    <col min="13329" max="13329" width="6.42578125" style="19" customWidth="1"/>
    <col min="13330" max="13330" width="7" style="19" customWidth="1"/>
    <col min="13331" max="13331" width="7.140625" style="19" customWidth="1"/>
    <col min="13332" max="13332" width="7" style="19" customWidth="1"/>
    <col min="13333" max="13333" width="9.140625" style="19"/>
    <col min="13334" max="13334" width="12.42578125" style="19" customWidth="1"/>
    <col min="13335" max="13336" width="9.140625" style="19"/>
    <col min="13337" max="13337" width="9.140625" style="19" customWidth="1"/>
    <col min="13338" max="13338" width="7.42578125" style="19" customWidth="1"/>
    <col min="13339" max="13339" width="6.5703125" style="19" customWidth="1"/>
    <col min="13340" max="13568" width="9.140625" style="19"/>
    <col min="13569" max="13569" width="0.140625" style="19" customWidth="1"/>
    <col min="13570" max="13571" width="9.140625" style="19"/>
    <col min="13572" max="13572" width="13.42578125" style="19" customWidth="1"/>
    <col min="13573" max="13579" width="9.140625" style="19"/>
    <col min="13580" max="13580" width="4.140625" style="19" customWidth="1"/>
    <col min="13581" max="13581" width="7" style="19" customWidth="1"/>
    <col min="13582" max="13582" width="4" style="19" customWidth="1"/>
    <col min="13583" max="13583" width="8.140625" style="19" customWidth="1"/>
    <col min="13584" max="13584" width="6.28515625" style="19" customWidth="1"/>
    <col min="13585" max="13585" width="6.42578125" style="19" customWidth="1"/>
    <col min="13586" max="13586" width="7" style="19" customWidth="1"/>
    <col min="13587" max="13587" width="7.140625" style="19" customWidth="1"/>
    <col min="13588" max="13588" width="7" style="19" customWidth="1"/>
    <col min="13589" max="13589" width="9.140625" style="19"/>
    <col min="13590" max="13590" width="12.42578125" style="19" customWidth="1"/>
    <col min="13591" max="13592" width="9.140625" style="19"/>
    <col min="13593" max="13593" width="9.140625" style="19" customWidth="1"/>
    <col min="13594" max="13594" width="7.42578125" style="19" customWidth="1"/>
    <col min="13595" max="13595" width="6.5703125" style="19" customWidth="1"/>
    <col min="13596" max="13824" width="9.140625" style="19"/>
    <col min="13825" max="13825" width="0.140625" style="19" customWidth="1"/>
    <col min="13826" max="13827" width="9.140625" style="19"/>
    <col min="13828" max="13828" width="13.42578125" style="19" customWidth="1"/>
    <col min="13829" max="13835" width="9.140625" style="19"/>
    <col min="13836" max="13836" width="4.140625" style="19" customWidth="1"/>
    <col min="13837" max="13837" width="7" style="19" customWidth="1"/>
    <col min="13838" max="13838" width="4" style="19" customWidth="1"/>
    <col min="13839" max="13839" width="8.140625" style="19" customWidth="1"/>
    <col min="13840" max="13840" width="6.28515625" style="19" customWidth="1"/>
    <col min="13841" max="13841" width="6.42578125" style="19" customWidth="1"/>
    <col min="13842" max="13842" width="7" style="19" customWidth="1"/>
    <col min="13843" max="13843" width="7.140625" style="19" customWidth="1"/>
    <col min="13844" max="13844" width="7" style="19" customWidth="1"/>
    <col min="13845" max="13845" width="9.140625" style="19"/>
    <col min="13846" max="13846" width="12.42578125" style="19" customWidth="1"/>
    <col min="13847" max="13848" width="9.140625" style="19"/>
    <col min="13849" max="13849" width="9.140625" style="19" customWidth="1"/>
    <col min="13850" max="13850" width="7.42578125" style="19" customWidth="1"/>
    <col min="13851" max="13851" width="6.5703125" style="19" customWidth="1"/>
    <col min="13852" max="14080" width="9.140625" style="19"/>
    <col min="14081" max="14081" width="0.140625" style="19" customWidth="1"/>
    <col min="14082" max="14083" width="9.140625" style="19"/>
    <col min="14084" max="14084" width="13.42578125" style="19" customWidth="1"/>
    <col min="14085" max="14091" width="9.140625" style="19"/>
    <col min="14092" max="14092" width="4.140625" style="19" customWidth="1"/>
    <col min="14093" max="14093" width="7" style="19" customWidth="1"/>
    <col min="14094" max="14094" width="4" style="19" customWidth="1"/>
    <col min="14095" max="14095" width="8.140625" style="19" customWidth="1"/>
    <col min="14096" max="14096" width="6.28515625" style="19" customWidth="1"/>
    <col min="14097" max="14097" width="6.42578125" style="19" customWidth="1"/>
    <col min="14098" max="14098" width="7" style="19" customWidth="1"/>
    <col min="14099" max="14099" width="7.140625" style="19" customWidth="1"/>
    <col min="14100" max="14100" width="7" style="19" customWidth="1"/>
    <col min="14101" max="14101" width="9.140625" style="19"/>
    <col min="14102" max="14102" width="12.42578125" style="19" customWidth="1"/>
    <col min="14103" max="14104" width="9.140625" style="19"/>
    <col min="14105" max="14105" width="9.140625" style="19" customWidth="1"/>
    <col min="14106" max="14106" width="7.42578125" style="19" customWidth="1"/>
    <col min="14107" max="14107" width="6.5703125" style="19" customWidth="1"/>
    <col min="14108" max="14336" width="9.140625" style="19"/>
    <col min="14337" max="14337" width="0.140625" style="19" customWidth="1"/>
    <col min="14338" max="14339" width="9.140625" style="19"/>
    <col min="14340" max="14340" width="13.42578125" style="19" customWidth="1"/>
    <col min="14341" max="14347" width="9.140625" style="19"/>
    <col min="14348" max="14348" width="4.140625" style="19" customWidth="1"/>
    <col min="14349" max="14349" width="7" style="19" customWidth="1"/>
    <col min="14350" max="14350" width="4" style="19" customWidth="1"/>
    <col min="14351" max="14351" width="8.140625" style="19" customWidth="1"/>
    <col min="14352" max="14352" width="6.28515625" style="19" customWidth="1"/>
    <col min="14353" max="14353" width="6.42578125" style="19" customWidth="1"/>
    <col min="14354" max="14354" width="7" style="19" customWidth="1"/>
    <col min="14355" max="14355" width="7.140625" style="19" customWidth="1"/>
    <col min="14356" max="14356" width="7" style="19" customWidth="1"/>
    <col min="14357" max="14357" width="9.140625" style="19"/>
    <col min="14358" max="14358" width="12.42578125" style="19" customWidth="1"/>
    <col min="14359" max="14360" width="9.140625" style="19"/>
    <col min="14361" max="14361" width="9.140625" style="19" customWidth="1"/>
    <col min="14362" max="14362" width="7.42578125" style="19" customWidth="1"/>
    <col min="14363" max="14363" width="6.5703125" style="19" customWidth="1"/>
    <col min="14364" max="14592" width="9.140625" style="19"/>
    <col min="14593" max="14593" width="0.140625" style="19" customWidth="1"/>
    <col min="14594" max="14595" width="9.140625" style="19"/>
    <col min="14596" max="14596" width="13.42578125" style="19" customWidth="1"/>
    <col min="14597" max="14603" width="9.140625" style="19"/>
    <col min="14604" max="14604" width="4.140625" style="19" customWidth="1"/>
    <col min="14605" max="14605" width="7" style="19" customWidth="1"/>
    <col min="14606" max="14606" width="4" style="19" customWidth="1"/>
    <col min="14607" max="14607" width="8.140625" style="19" customWidth="1"/>
    <col min="14608" max="14608" width="6.28515625" style="19" customWidth="1"/>
    <col min="14609" max="14609" width="6.42578125" style="19" customWidth="1"/>
    <col min="14610" max="14610" width="7" style="19" customWidth="1"/>
    <col min="14611" max="14611" width="7.140625" style="19" customWidth="1"/>
    <col min="14612" max="14612" width="7" style="19" customWidth="1"/>
    <col min="14613" max="14613" width="9.140625" style="19"/>
    <col min="14614" max="14614" width="12.42578125" style="19" customWidth="1"/>
    <col min="14615" max="14616" width="9.140625" style="19"/>
    <col min="14617" max="14617" width="9.140625" style="19" customWidth="1"/>
    <col min="14618" max="14618" width="7.42578125" style="19" customWidth="1"/>
    <col min="14619" max="14619" width="6.5703125" style="19" customWidth="1"/>
    <col min="14620" max="14848" width="9.140625" style="19"/>
    <col min="14849" max="14849" width="0.140625" style="19" customWidth="1"/>
    <col min="14850" max="14851" width="9.140625" style="19"/>
    <col min="14852" max="14852" width="13.42578125" style="19" customWidth="1"/>
    <col min="14853" max="14859" width="9.140625" style="19"/>
    <col min="14860" max="14860" width="4.140625" style="19" customWidth="1"/>
    <col min="14861" max="14861" width="7" style="19" customWidth="1"/>
    <col min="14862" max="14862" width="4" style="19" customWidth="1"/>
    <col min="14863" max="14863" width="8.140625" style="19" customWidth="1"/>
    <col min="14864" max="14864" width="6.28515625" style="19" customWidth="1"/>
    <col min="14865" max="14865" width="6.42578125" style="19" customWidth="1"/>
    <col min="14866" max="14866" width="7" style="19" customWidth="1"/>
    <col min="14867" max="14867" width="7.140625" style="19" customWidth="1"/>
    <col min="14868" max="14868" width="7" style="19" customWidth="1"/>
    <col min="14869" max="14869" width="9.140625" style="19"/>
    <col min="14870" max="14870" width="12.42578125" style="19" customWidth="1"/>
    <col min="14871" max="14872" width="9.140625" style="19"/>
    <col min="14873" max="14873" width="9.140625" style="19" customWidth="1"/>
    <col min="14874" max="14874" width="7.42578125" style="19" customWidth="1"/>
    <col min="14875" max="14875" width="6.5703125" style="19" customWidth="1"/>
    <col min="14876" max="15104" width="9.140625" style="19"/>
    <col min="15105" max="15105" width="0.140625" style="19" customWidth="1"/>
    <col min="15106" max="15107" width="9.140625" style="19"/>
    <col min="15108" max="15108" width="13.42578125" style="19" customWidth="1"/>
    <col min="15109" max="15115" width="9.140625" style="19"/>
    <col min="15116" max="15116" width="4.140625" style="19" customWidth="1"/>
    <col min="15117" max="15117" width="7" style="19" customWidth="1"/>
    <col min="15118" max="15118" width="4" style="19" customWidth="1"/>
    <col min="15119" max="15119" width="8.140625" style="19" customWidth="1"/>
    <col min="15120" max="15120" width="6.28515625" style="19" customWidth="1"/>
    <col min="15121" max="15121" width="6.42578125" style="19" customWidth="1"/>
    <col min="15122" max="15122" width="7" style="19" customWidth="1"/>
    <col min="15123" max="15123" width="7.140625" style="19" customWidth="1"/>
    <col min="15124" max="15124" width="7" style="19" customWidth="1"/>
    <col min="15125" max="15125" width="9.140625" style="19"/>
    <col min="15126" max="15126" width="12.42578125" style="19" customWidth="1"/>
    <col min="15127" max="15128" width="9.140625" style="19"/>
    <col min="15129" max="15129" width="9.140625" style="19" customWidth="1"/>
    <col min="15130" max="15130" width="7.42578125" style="19" customWidth="1"/>
    <col min="15131" max="15131" width="6.5703125" style="19" customWidth="1"/>
    <col min="15132" max="15360" width="9.140625" style="19"/>
    <col min="15361" max="15361" width="0.140625" style="19" customWidth="1"/>
    <col min="15362" max="15363" width="9.140625" style="19"/>
    <col min="15364" max="15364" width="13.42578125" style="19" customWidth="1"/>
    <col min="15365" max="15371" width="9.140625" style="19"/>
    <col min="15372" max="15372" width="4.140625" style="19" customWidth="1"/>
    <col min="15373" max="15373" width="7" style="19" customWidth="1"/>
    <col min="15374" max="15374" width="4" style="19" customWidth="1"/>
    <col min="15375" max="15375" width="8.140625" style="19" customWidth="1"/>
    <col min="15376" max="15376" width="6.28515625" style="19" customWidth="1"/>
    <col min="15377" max="15377" width="6.42578125" style="19" customWidth="1"/>
    <col min="15378" max="15378" width="7" style="19" customWidth="1"/>
    <col min="15379" max="15379" width="7.140625" style="19" customWidth="1"/>
    <col min="15380" max="15380" width="7" style="19" customWidth="1"/>
    <col min="15381" max="15381" width="9.140625" style="19"/>
    <col min="15382" max="15382" width="12.42578125" style="19" customWidth="1"/>
    <col min="15383" max="15384" width="9.140625" style="19"/>
    <col min="15385" max="15385" width="9.140625" style="19" customWidth="1"/>
    <col min="15386" max="15386" width="7.42578125" style="19" customWidth="1"/>
    <col min="15387" max="15387" width="6.5703125" style="19" customWidth="1"/>
    <col min="15388" max="15616" width="9.140625" style="19"/>
    <col min="15617" max="15617" width="0.140625" style="19" customWidth="1"/>
    <col min="15618" max="15619" width="9.140625" style="19"/>
    <col min="15620" max="15620" width="13.42578125" style="19" customWidth="1"/>
    <col min="15621" max="15627" width="9.140625" style="19"/>
    <col min="15628" max="15628" width="4.140625" style="19" customWidth="1"/>
    <col min="15629" max="15629" width="7" style="19" customWidth="1"/>
    <col min="15630" max="15630" width="4" style="19" customWidth="1"/>
    <col min="15631" max="15631" width="8.140625" style="19" customWidth="1"/>
    <col min="15632" max="15632" width="6.28515625" style="19" customWidth="1"/>
    <col min="15633" max="15633" width="6.42578125" style="19" customWidth="1"/>
    <col min="15634" max="15634" width="7" style="19" customWidth="1"/>
    <col min="15635" max="15635" width="7.140625" style="19" customWidth="1"/>
    <col min="15636" max="15636" width="7" style="19" customWidth="1"/>
    <col min="15637" max="15637" width="9.140625" style="19"/>
    <col min="15638" max="15638" width="12.42578125" style="19" customWidth="1"/>
    <col min="15639" max="15640" width="9.140625" style="19"/>
    <col min="15641" max="15641" width="9.140625" style="19" customWidth="1"/>
    <col min="15642" max="15642" width="7.42578125" style="19" customWidth="1"/>
    <col min="15643" max="15643" width="6.5703125" style="19" customWidth="1"/>
    <col min="15644" max="15872" width="9.140625" style="19"/>
    <col min="15873" max="15873" width="0.140625" style="19" customWidth="1"/>
    <col min="15874" max="15875" width="9.140625" style="19"/>
    <col min="15876" max="15876" width="13.42578125" style="19" customWidth="1"/>
    <col min="15877" max="15883" width="9.140625" style="19"/>
    <col min="15884" max="15884" width="4.140625" style="19" customWidth="1"/>
    <col min="15885" max="15885" width="7" style="19" customWidth="1"/>
    <col min="15886" max="15886" width="4" style="19" customWidth="1"/>
    <col min="15887" max="15887" width="8.140625" style="19" customWidth="1"/>
    <col min="15888" max="15888" width="6.28515625" style="19" customWidth="1"/>
    <col min="15889" max="15889" width="6.42578125" style="19" customWidth="1"/>
    <col min="15890" max="15890" width="7" style="19" customWidth="1"/>
    <col min="15891" max="15891" width="7.140625" style="19" customWidth="1"/>
    <col min="15892" max="15892" width="7" style="19" customWidth="1"/>
    <col min="15893" max="15893" width="9.140625" style="19"/>
    <col min="15894" max="15894" width="12.42578125" style="19" customWidth="1"/>
    <col min="15895" max="15896" width="9.140625" style="19"/>
    <col min="15897" max="15897" width="9.140625" style="19" customWidth="1"/>
    <col min="15898" max="15898" width="7.42578125" style="19" customWidth="1"/>
    <col min="15899" max="15899" width="6.5703125" style="19" customWidth="1"/>
    <col min="15900" max="16128" width="9.140625" style="19"/>
    <col min="16129" max="16129" width="0.140625" style="19" customWidth="1"/>
    <col min="16130" max="16131" width="9.140625" style="19"/>
    <col min="16132" max="16132" width="13.42578125" style="19" customWidth="1"/>
    <col min="16133" max="16139" width="9.140625" style="19"/>
    <col min="16140" max="16140" width="4.140625" style="19" customWidth="1"/>
    <col min="16141" max="16141" width="7" style="19" customWidth="1"/>
    <col min="16142" max="16142" width="4" style="19" customWidth="1"/>
    <col min="16143" max="16143" width="8.140625" style="19" customWidth="1"/>
    <col min="16144" max="16144" width="6.28515625" style="19" customWidth="1"/>
    <col min="16145" max="16145" width="6.42578125" style="19" customWidth="1"/>
    <col min="16146" max="16146" width="7" style="19" customWidth="1"/>
    <col min="16147" max="16147" width="7.140625" style="19" customWidth="1"/>
    <col min="16148" max="16148" width="7" style="19" customWidth="1"/>
    <col min="16149" max="16149" width="9.140625" style="19"/>
    <col min="16150" max="16150" width="12.42578125" style="19" customWidth="1"/>
    <col min="16151" max="16152" width="9.140625" style="19"/>
    <col min="16153" max="16153" width="9.140625" style="19" customWidth="1"/>
    <col min="16154" max="16154" width="7.42578125" style="19" customWidth="1"/>
    <col min="16155" max="16155" width="6.5703125" style="19" customWidth="1"/>
    <col min="16156" max="16384" width="9.140625" style="19"/>
  </cols>
  <sheetData>
    <row r="1" spans="2:26" ht="21.4" customHeight="1">
      <c r="B1" s="17"/>
      <c r="C1" s="17"/>
      <c r="D1" s="558" t="str">
        <f>'SQ(Team A) Data'!P6</f>
        <v>Team A</v>
      </c>
      <c r="E1" s="558"/>
      <c r="F1" s="17"/>
      <c r="G1" s="558"/>
      <c r="H1" s="558"/>
      <c r="I1" s="558" t="s">
        <v>214</v>
      </c>
      <c r="J1" s="558"/>
      <c r="K1" s="558"/>
      <c r="L1" s="558"/>
      <c r="M1" s="558"/>
      <c r="N1" s="558"/>
      <c r="O1" s="558"/>
      <c r="P1" s="558"/>
      <c r="Q1" s="558"/>
      <c r="R1" s="558"/>
      <c r="S1" s="558"/>
      <c r="T1" s="558"/>
      <c r="U1" s="558"/>
      <c r="V1" s="558"/>
      <c r="W1" s="558"/>
      <c r="X1" s="554">
        <f>'SQ(Team A) Data'!L5</f>
        <v>43952</v>
      </c>
      <c r="Y1" s="554"/>
      <c r="Z1" s="554"/>
    </row>
    <row r="2" spans="2:26" ht="10.5" customHeight="1"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2:26" ht="15.95" customHeight="1">
      <c r="B3" s="20"/>
      <c r="C3" s="20"/>
      <c r="D3" s="20"/>
      <c r="E3" s="20"/>
      <c r="F3" s="21" t="s">
        <v>31</v>
      </c>
      <c r="G3" s="20"/>
      <c r="H3" s="20"/>
      <c r="I3" s="20"/>
      <c r="J3" s="20"/>
      <c r="K3" s="20"/>
      <c r="L3" s="20"/>
      <c r="M3" s="20"/>
      <c r="N3" s="22"/>
      <c r="O3" s="20"/>
      <c r="P3" s="20"/>
      <c r="Q3" s="20"/>
      <c r="R3" s="20"/>
      <c r="V3" s="23"/>
    </row>
    <row r="4" spans="2:26" ht="16.5" customHeight="1">
      <c r="B4" s="21" t="s">
        <v>16</v>
      </c>
      <c r="C4" s="24"/>
      <c r="D4" s="24"/>
      <c r="N4" s="21"/>
      <c r="O4" s="21"/>
      <c r="Q4" s="25"/>
      <c r="R4" s="25"/>
      <c r="U4" s="26"/>
    </row>
    <row r="17" spans="2:25" ht="16.5" customHeight="1">
      <c r="B17" s="21" t="s">
        <v>17</v>
      </c>
      <c r="C17" s="27"/>
      <c r="D17" s="27"/>
      <c r="E17" s="28"/>
      <c r="N17" s="29" t="s">
        <v>18</v>
      </c>
      <c r="O17" s="21"/>
      <c r="P17" s="21"/>
    </row>
    <row r="26" spans="2:25" ht="14.25" customHeight="1">
      <c r="C26" s="30"/>
      <c r="D26" s="30"/>
      <c r="E26" s="31"/>
      <c r="F26" s="31"/>
      <c r="G26" s="31"/>
      <c r="H26" s="31"/>
    </row>
    <row r="27" spans="2:25" ht="14.25" customHeight="1">
      <c r="C27" s="30"/>
      <c r="D27" s="30"/>
      <c r="E27" s="31"/>
      <c r="F27" s="31"/>
      <c r="G27" s="31"/>
      <c r="H27" s="31"/>
    </row>
    <row r="30" spans="2:25" ht="15.95" hidden="1" customHeight="1">
      <c r="B30" s="21"/>
      <c r="N30" s="29" t="s">
        <v>19</v>
      </c>
      <c r="Y30" s="32"/>
    </row>
    <row r="31" spans="2:25" hidden="1"/>
    <row r="32" spans="2:25" hidden="1"/>
    <row r="33" spans="2:29" hidden="1"/>
    <row r="34" spans="2:29" hidden="1"/>
    <row r="35" spans="2:29" hidden="1"/>
    <row r="36" spans="2:29" hidden="1">
      <c r="AB36" s="79"/>
      <c r="AC36" s="79"/>
    </row>
    <row r="37" spans="2:29" hidden="1">
      <c r="AB37" s="79"/>
      <c r="AC37" s="79"/>
    </row>
    <row r="38" spans="2:29" hidden="1">
      <c r="AB38" s="79"/>
      <c r="AC38" s="79"/>
    </row>
    <row r="39" spans="2:29" hidden="1">
      <c r="AB39" s="79"/>
      <c r="AC39" s="79"/>
    </row>
    <row r="40" spans="2:29" hidden="1">
      <c r="AB40" s="79"/>
      <c r="AC40" s="79"/>
    </row>
    <row r="41" spans="2:29" hidden="1">
      <c r="AB41" s="79"/>
      <c r="AC41" s="79"/>
    </row>
    <row r="42" spans="2:29" ht="18" hidden="1">
      <c r="B42" s="21"/>
      <c r="N42" s="159" t="s">
        <v>32</v>
      </c>
      <c r="O42" s="160" t="s">
        <v>33</v>
      </c>
      <c r="P42" s="161"/>
      <c r="Q42" s="532" t="s">
        <v>22</v>
      </c>
      <c r="R42" s="533"/>
      <c r="S42" s="534"/>
      <c r="T42" s="57"/>
      <c r="U42" s="57"/>
      <c r="V42" s="162" t="s">
        <v>34</v>
      </c>
      <c r="W42" s="57"/>
      <c r="X42" s="57"/>
      <c r="Y42" s="57"/>
      <c r="Z42" s="555" t="s">
        <v>35</v>
      </c>
      <c r="AA42" s="556"/>
      <c r="AB42" s="79"/>
      <c r="AC42" s="79"/>
    </row>
    <row r="43" spans="2:29" ht="13.5" hidden="1" customHeight="1">
      <c r="C43" s="24"/>
      <c r="D43" s="24"/>
      <c r="E43" s="39"/>
      <c r="N43" s="163"/>
      <c r="O43" s="63"/>
      <c r="P43" s="65"/>
      <c r="Q43" s="164" t="s">
        <v>36</v>
      </c>
      <c r="R43" s="165" t="s">
        <v>37</v>
      </c>
      <c r="S43" s="166" t="s">
        <v>38</v>
      </c>
      <c r="T43" s="167"/>
      <c r="U43" s="74"/>
      <c r="V43" s="74" t="s">
        <v>39</v>
      </c>
      <c r="W43" s="74"/>
      <c r="X43" s="74"/>
      <c r="Y43" s="74"/>
      <c r="Z43" s="63" t="s">
        <v>40</v>
      </c>
      <c r="AA43" s="168" t="s">
        <v>41</v>
      </c>
      <c r="AB43" s="79"/>
      <c r="AC43" s="79"/>
    </row>
    <row r="44" spans="2:29" ht="13.5" hidden="1" customHeight="1">
      <c r="C44" s="24"/>
      <c r="D44" s="24"/>
      <c r="E44" s="39"/>
      <c r="N44" s="169">
        <v>1</v>
      </c>
      <c r="O44" s="170"/>
      <c r="P44" s="171"/>
      <c r="Q44" s="172"/>
      <c r="R44" s="173"/>
      <c r="S44" s="174"/>
      <c r="T44" s="175"/>
      <c r="U44" s="36"/>
      <c r="V44" s="44"/>
      <c r="W44" s="44"/>
      <c r="X44" s="44"/>
      <c r="Y44" s="44"/>
      <c r="Z44" s="176"/>
      <c r="AA44" s="78"/>
      <c r="AB44" s="79"/>
      <c r="AC44" s="79"/>
    </row>
    <row r="45" spans="2:29" hidden="1">
      <c r="N45" s="177">
        <v>2</v>
      </c>
      <c r="O45" s="129"/>
      <c r="P45" s="178"/>
      <c r="Q45" s="179"/>
      <c r="R45" s="180"/>
      <c r="S45" s="181"/>
      <c r="T45" s="182"/>
      <c r="U45" s="97"/>
      <c r="V45" s="96"/>
      <c r="W45" s="96"/>
      <c r="X45" s="96"/>
      <c r="Y45" s="96"/>
      <c r="Z45" s="91"/>
      <c r="AA45" s="183"/>
      <c r="AB45" s="79"/>
      <c r="AC45" s="79"/>
    </row>
    <row r="46" spans="2:29" hidden="1">
      <c r="N46" s="177">
        <v>3</v>
      </c>
      <c r="O46" s="129"/>
      <c r="P46" s="98"/>
      <c r="Q46" s="179"/>
      <c r="R46" s="180"/>
      <c r="S46" s="181"/>
      <c r="T46" s="182"/>
      <c r="U46" s="97"/>
      <c r="V46" s="96"/>
      <c r="W46" s="96"/>
      <c r="X46" s="96"/>
      <c r="Y46" s="96"/>
      <c r="Z46" s="91"/>
      <c r="AA46" s="183"/>
      <c r="AB46" s="79"/>
      <c r="AC46" s="79"/>
    </row>
    <row r="47" spans="2:29" hidden="1">
      <c r="N47" s="177">
        <v>4</v>
      </c>
      <c r="O47" s="129"/>
      <c r="P47" s="98"/>
      <c r="Q47" s="179"/>
      <c r="R47" s="180"/>
      <c r="S47" s="181"/>
      <c r="T47" s="182"/>
      <c r="U47" s="97"/>
      <c r="V47" s="96"/>
      <c r="W47" s="96"/>
      <c r="X47" s="96"/>
      <c r="Y47" s="96"/>
      <c r="Z47" s="91"/>
      <c r="AA47" s="93"/>
      <c r="AB47" s="79"/>
      <c r="AC47" s="79"/>
    </row>
    <row r="48" spans="2:29" hidden="1">
      <c r="N48" s="177">
        <v>5</v>
      </c>
      <c r="O48" s="129"/>
      <c r="P48" s="98"/>
      <c r="Q48" s="179"/>
      <c r="R48" s="180"/>
      <c r="S48" s="181"/>
      <c r="T48" s="182"/>
      <c r="U48" s="97"/>
      <c r="V48" s="96"/>
      <c r="W48" s="96"/>
      <c r="X48" s="96"/>
      <c r="Y48" s="96"/>
      <c r="Z48" s="91"/>
      <c r="AA48" s="93"/>
      <c r="AB48" s="79"/>
      <c r="AC48" s="79"/>
    </row>
    <row r="49" spans="2:29" hidden="1">
      <c r="N49" s="177">
        <v>6</v>
      </c>
      <c r="O49" s="129"/>
      <c r="P49" s="98"/>
      <c r="Q49" s="179"/>
      <c r="R49" s="180"/>
      <c r="S49" s="181"/>
      <c r="T49" s="182"/>
      <c r="U49" s="97"/>
      <c r="V49" s="96"/>
      <c r="W49" s="96"/>
      <c r="X49" s="96"/>
      <c r="Y49" s="96"/>
      <c r="Z49" s="91"/>
      <c r="AA49" s="183"/>
      <c r="AB49" s="79"/>
      <c r="AC49" s="79"/>
    </row>
    <row r="50" spans="2:29" hidden="1">
      <c r="N50" s="177">
        <v>7</v>
      </c>
      <c r="O50" s="129"/>
      <c r="P50" s="98"/>
      <c r="Q50" s="179"/>
      <c r="R50" s="180"/>
      <c r="S50" s="181"/>
      <c r="T50" s="182"/>
      <c r="U50" s="97"/>
      <c r="V50" s="96"/>
      <c r="W50" s="96"/>
      <c r="X50" s="96"/>
      <c r="Y50" s="96"/>
      <c r="Z50" s="91"/>
      <c r="AA50" s="183"/>
      <c r="AB50" s="79"/>
      <c r="AC50" s="79"/>
    </row>
    <row r="51" spans="2:29" ht="13.5" hidden="1" customHeight="1">
      <c r="C51" s="53"/>
      <c r="D51" s="53"/>
      <c r="E51" s="31"/>
      <c r="N51" s="177">
        <v>8</v>
      </c>
      <c r="O51" s="129"/>
      <c r="P51" s="98"/>
      <c r="Q51" s="179"/>
      <c r="R51" s="180"/>
      <c r="S51" s="181"/>
      <c r="T51" s="182"/>
      <c r="U51" s="97"/>
      <c r="V51" s="96"/>
      <c r="W51" s="96"/>
      <c r="X51" s="96"/>
      <c r="Y51" s="96"/>
      <c r="Z51" s="91"/>
      <c r="AA51" s="183"/>
      <c r="AB51" s="79"/>
      <c r="AC51" s="79"/>
    </row>
    <row r="52" spans="2:29" ht="13.5" hidden="1" customHeight="1">
      <c r="B52" s="53"/>
      <c r="C52" s="53"/>
      <c r="D52" s="53"/>
      <c r="E52" s="31"/>
      <c r="N52" s="177">
        <v>9</v>
      </c>
      <c r="O52" s="129"/>
      <c r="P52" s="98"/>
      <c r="Q52" s="179"/>
      <c r="R52" s="180"/>
      <c r="S52" s="181"/>
      <c r="T52" s="182"/>
      <c r="U52" s="97"/>
      <c r="V52" s="96"/>
      <c r="W52" s="96"/>
      <c r="X52" s="96"/>
      <c r="Y52" s="96"/>
      <c r="Z52" s="91"/>
      <c r="AA52" s="183"/>
      <c r="AB52" s="79"/>
      <c r="AC52" s="79"/>
    </row>
    <row r="53" spans="2:29" ht="13.5" hidden="1" customHeight="1">
      <c r="N53" s="177">
        <v>10</v>
      </c>
      <c r="O53" s="129"/>
      <c r="P53" s="98"/>
      <c r="Q53" s="179"/>
      <c r="R53" s="180"/>
      <c r="S53" s="181"/>
      <c r="T53" s="182"/>
      <c r="U53" s="97"/>
      <c r="V53" s="96"/>
      <c r="W53" s="96"/>
      <c r="X53" s="96"/>
      <c r="Y53" s="96"/>
      <c r="Z53" s="91"/>
      <c r="AA53" s="183"/>
      <c r="AB53" s="79"/>
      <c r="AC53" s="79"/>
    </row>
    <row r="54" spans="2:29" hidden="1">
      <c r="N54" s="177">
        <v>11</v>
      </c>
      <c r="O54" s="129"/>
      <c r="P54" s="98"/>
      <c r="Q54" s="179"/>
      <c r="R54" s="180"/>
      <c r="S54" s="181"/>
      <c r="T54" s="182"/>
      <c r="U54" s="97"/>
      <c r="V54" s="96"/>
      <c r="W54" s="96"/>
      <c r="X54" s="96"/>
      <c r="Y54" s="96"/>
      <c r="Z54" s="91"/>
      <c r="AA54" s="183"/>
      <c r="AB54" s="79"/>
      <c r="AC54" s="79"/>
    </row>
    <row r="55" spans="2:29" ht="17.25" hidden="1">
      <c r="B55" s="21" t="s">
        <v>42</v>
      </c>
      <c r="N55" s="177">
        <v>12</v>
      </c>
      <c r="O55" s="129"/>
      <c r="P55" s="98"/>
      <c r="Q55" s="179"/>
      <c r="R55" s="180"/>
      <c r="S55" s="181"/>
      <c r="T55" s="182"/>
      <c r="U55" s="97"/>
      <c r="V55" s="96"/>
      <c r="W55" s="96"/>
      <c r="X55" s="96"/>
      <c r="Y55" s="96"/>
      <c r="Z55" s="91"/>
      <c r="AA55" s="183"/>
      <c r="AB55" s="79"/>
      <c r="AC55" s="79"/>
    </row>
    <row r="56" spans="2:29" ht="15" hidden="1">
      <c r="B56" s="184"/>
      <c r="C56" s="57"/>
      <c r="D56" s="57"/>
      <c r="E56" s="57"/>
      <c r="F56" s="57"/>
      <c r="G56" s="57"/>
      <c r="H56" s="57"/>
      <c r="I56" s="57"/>
      <c r="J56" s="57"/>
      <c r="K56" s="57"/>
      <c r="L56" s="185"/>
      <c r="N56" s="177">
        <v>13</v>
      </c>
      <c r="O56" s="129"/>
      <c r="P56" s="98"/>
      <c r="Q56" s="179"/>
      <c r="R56" s="180"/>
      <c r="S56" s="181"/>
      <c r="T56" s="182"/>
      <c r="U56" s="97"/>
      <c r="V56" s="96"/>
      <c r="W56" s="96"/>
      <c r="X56" s="96"/>
      <c r="Y56" s="96"/>
      <c r="Z56" s="91"/>
      <c r="AA56" s="93"/>
      <c r="AB56" s="79"/>
      <c r="AC56" s="79"/>
    </row>
    <row r="57" spans="2:29" ht="15" hidden="1">
      <c r="B57" s="186"/>
      <c r="C57" s="187"/>
      <c r="D57" s="97"/>
      <c r="E57" s="97"/>
      <c r="F57" s="97"/>
      <c r="G57" s="97"/>
      <c r="H57" s="97"/>
      <c r="I57" s="97"/>
      <c r="J57" s="97"/>
      <c r="K57" s="97"/>
      <c r="L57" s="138"/>
      <c r="N57" s="177">
        <v>14</v>
      </c>
      <c r="O57" s="129"/>
      <c r="P57" s="98"/>
      <c r="Q57" s="179"/>
      <c r="R57" s="180"/>
      <c r="S57" s="181"/>
      <c r="T57" s="182"/>
      <c r="U57" s="97"/>
      <c r="V57" s="96"/>
      <c r="W57" s="96"/>
      <c r="X57" s="96"/>
      <c r="Y57" s="96"/>
      <c r="Z57" s="91"/>
      <c r="AA57" s="183"/>
      <c r="AB57" s="79"/>
      <c r="AC57" s="79"/>
    </row>
    <row r="58" spans="2:29" ht="15" hidden="1">
      <c r="B58" s="186"/>
      <c r="C58" s="97"/>
      <c r="D58" s="97"/>
      <c r="E58" s="97"/>
      <c r="F58" s="97"/>
      <c r="G58" s="97"/>
      <c r="H58" s="97"/>
      <c r="I58" s="97"/>
      <c r="J58" s="97"/>
      <c r="K58" s="97"/>
      <c r="L58" s="138"/>
      <c r="N58" s="177">
        <v>15</v>
      </c>
      <c r="O58" s="129"/>
      <c r="P58" s="98"/>
      <c r="Q58" s="179"/>
      <c r="R58" s="180"/>
      <c r="S58" s="181"/>
      <c r="T58" s="182"/>
      <c r="U58" s="97"/>
      <c r="V58" s="96"/>
      <c r="W58" s="96"/>
      <c r="X58" s="96"/>
      <c r="Y58" s="96"/>
      <c r="Z58" s="91"/>
      <c r="AA58" s="183"/>
      <c r="AB58" s="79"/>
      <c r="AC58" s="79"/>
    </row>
    <row r="59" spans="2:29" ht="15" hidden="1">
      <c r="B59" s="186"/>
      <c r="C59" s="97"/>
      <c r="D59" s="97"/>
      <c r="E59" s="97"/>
      <c r="F59" s="97"/>
      <c r="G59" s="97"/>
      <c r="H59" s="97"/>
      <c r="I59" s="97"/>
      <c r="J59" s="97"/>
      <c r="K59" s="97"/>
      <c r="L59" s="138"/>
      <c r="N59" s="177">
        <v>16</v>
      </c>
      <c r="O59" s="129"/>
      <c r="P59" s="98"/>
      <c r="Q59" s="179"/>
      <c r="R59" s="180"/>
      <c r="S59" s="181"/>
      <c r="T59" s="182"/>
      <c r="U59" s="97"/>
      <c r="V59" s="96"/>
      <c r="W59" s="96"/>
      <c r="X59" s="96"/>
      <c r="Y59" s="96"/>
      <c r="Z59" s="91"/>
      <c r="AA59" s="183"/>
      <c r="AB59" s="79"/>
      <c r="AC59" s="79"/>
    </row>
    <row r="60" spans="2:29" ht="15" hidden="1">
      <c r="B60" s="186"/>
      <c r="C60" s="97"/>
      <c r="D60" s="97"/>
      <c r="E60" s="97"/>
      <c r="F60" s="97"/>
      <c r="G60" s="97"/>
      <c r="H60" s="97"/>
      <c r="I60" s="97"/>
      <c r="J60" s="97"/>
      <c r="K60" s="97"/>
      <c r="L60" s="138"/>
      <c r="N60" s="177">
        <v>17</v>
      </c>
      <c r="O60" s="129"/>
      <c r="P60" s="98"/>
      <c r="Q60" s="179"/>
      <c r="R60" s="180"/>
      <c r="S60" s="181"/>
      <c r="T60" s="182"/>
      <c r="U60" s="97"/>
      <c r="V60" s="96"/>
      <c r="W60" s="96"/>
      <c r="X60" s="96"/>
      <c r="Y60" s="96"/>
      <c r="Z60" s="91"/>
      <c r="AA60" s="183"/>
      <c r="AB60" s="79"/>
      <c r="AC60" s="79"/>
    </row>
    <row r="61" spans="2:29" ht="15" hidden="1">
      <c r="B61" s="186"/>
      <c r="C61" s="97"/>
      <c r="D61" s="97"/>
      <c r="E61" s="97"/>
      <c r="F61" s="97"/>
      <c r="G61" s="97"/>
      <c r="H61" s="97"/>
      <c r="I61" s="97"/>
      <c r="J61" s="97"/>
      <c r="K61" s="97"/>
      <c r="L61" s="138"/>
      <c r="N61" s="177">
        <v>18</v>
      </c>
      <c r="O61" s="129"/>
      <c r="P61" s="98"/>
      <c r="Q61" s="179"/>
      <c r="R61" s="180"/>
      <c r="S61" s="181"/>
      <c r="T61" s="182"/>
      <c r="U61" s="97"/>
      <c r="V61" s="96"/>
      <c r="W61" s="96"/>
      <c r="X61" s="96"/>
      <c r="Y61" s="96"/>
      <c r="Z61" s="91"/>
      <c r="AA61" s="183"/>
      <c r="AB61" s="79"/>
      <c r="AC61" s="79"/>
    </row>
    <row r="62" spans="2:29" ht="15" hidden="1">
      <c r="B62" s="186"/>
      <c r="C62" s="97"/>
      <c r="D62" s="97"/>
      <c r="E62" s="97"/>
      <c r="F62" s="97"/>
      <c r="G62" s="97"/>
      <c r="H62" s="97"/>
      <c r="I62" s="97"/>
      <c r="J62" s="97"/>
      <c r="K62" s="97"/>
      <c r="L62" s="138"/>
      <c r="N62" s="177">
        <v>19</v>
      </c>
      <c r="O62" s="129"/>
      <c r="P62" s="98"/>
      <c r="Q62" s="179"/>
      <c r="R62" s="180"/>
      <c r="S62" s="181"/>
      <c r="T62" s="182"/>
      <c r="U62" s="97"/>
      <c r="V62" s="96"/>
      <c r="W62" s="96"/>
      <c r="X62" s="96"/>
      <c r="Y62" s="96"/>
      <c r="Z62" s="91"/>
      <c r="AA62" s="183"/>
      <c r="AB62" s="79"/>
      <c r="AC62" s="79"/>
    </row>
    <row r="63" spans="2:29" ht="15" hidden="1">
      <c r="B63" s="186"/>
      <c r="C63" s="97"/>
      <c r="D63" s="97"/>
      <c r="E63" s="97"/>
      <c r="F63" s="97"/>
      <c r="G63" s="97"/>
      <c r="H63" s="97"/>
      <c r="I63" s="97"/>
      <c r="J63" s="97"/>
      <c r="K63" s="97"/>
      <c r="L63" s="138"/>
      <c r="N63" s="177">
        <v>20</v>
      </c>
      <c r="O63" s="129"/>
      <c r="P63" s="98"/>
      <c r="Q63" s="179"/>
      <c r="R63" s="180"/>
      <c r="S63" s="181"/>
      <c r="T63" s="182"/>
      <c r="U63" s="97"/>
      <c r="V63" s="96"/>
      <c r="W63" s="96"/>
      <c r="X63" s="96"/>
      <c r="Y63" s="96"/>
      <c r="Z63" s="91"/>
      <c r="AA63" s="183"/>
      <c r="AB63" s="79"/>
      <c r="AC63" s="79"/>
    </row>
    <row r="64" spans="2:29" hidden="1">
      <c r="B64" s="188"/>
      <c r="C64" s="97"/>
      <c r="D64" s="97"/>
      <c r="E64" s="97"/>
      <c r="F64" s="97"/>
      <c r="G64" s="97"/>
      <c r="H64" s="97"/>
      <c r="I64" s="97"/>
      <c r="J64" s="97"/>
      <c r="K64" s="97"/>
      <c r="L64" s="138"/>
      <c r="N64" s="177">
        <v>21</v>
      </c>
      <c r="O64" s="189"/>
      <c r="P64" s="123"/>
      <c r="Q64" s="190"/>
      <c r="R64" s="94"/>
      <c r="S64" s="183"/>
      <c r="T64" s="96"/>
      <c r="U64" s="96"/>
      <c r="V64" s="96"/>
      <c r="W64" s="96"/>
      <c r="X64" s="96"/>
      <c r="Y64" s="96"/>
      <c r="Z64" s="91"/>
      <c r="AA64" s="183"/>
      <c r="AB64" s="79"/>
      <c r="AC64" s="79"/>
    </row>
    <row r="65" spans="2:29" hidden="1">
      <c r="B65" s="188"/>
      <c r="C65" s="97"/>
      <c r="D65" s="97"/>
      <c r="E65" s="97"/>
      <c r="F65" s="97"/>
      <c r="G65" s="97"/>
      <c r="H65" s="97"/>
      <c r="I65" s="97"/>
      <c r="J65" s="97"/>
      <c r="K65" s="97"/>
      <c r="L65" s="138"/>
      <c r="N65" s="177">
        <v>22</v>
      </c>
      <c r="O65" s="191"/>
      <c r="P65" s="192"/>
      <c r="Q65" s="193"/>
      <c r="R65" s="194"/>
      <c r="S65" s="195"/>
      <c r="T65" s="196"/>
      <c r="U65" s="196"/>
      <c r="V65" s="196"/>
      <c r="W65" s="196"/>
      <c r="X65" s="196"/>
      <c r="Y65" s="196"/>
      <c r="Z65" s="197"/>
      <c r="AA65" s="195"/>
      <c r="AB65" s="79"/>
      <c r="AC65" s="79"/>
    </row>
    <row r="66" spans="2:29" hidden="1">
      <c r="B66" s="188"/>
      <c r="C66" s="97"/>
      <c r="D66" s="97"/>
      <c r="E66" s="97"/>
      <c r="F66" s="97"/>
      <c r="G66" s="97"/>
      <c r="H66" s="97"/>
      <c r="I66" s="97"/>
      <c r="J66" s="97"/>
      <c r="K66" s="97"/>
      <c r="L66" s="138"/>
      <c r="N66" s="177">
        <v>23</v>
      </c>
      <c r="O66" s="191"/>
      <c r="P66" s="192"/>
      <c r="Q66" s="193"/>
      <c r="R66" s="194"/>
      <c r="S66" s="195"/>
      <c r="T66" s="196"/>
      <c r="U66" s="196"/>
      <c r="V66" s="196"/>
      <c r="W66" s="196"/>
      <c r="X66" s="196"/>
      <c r="Y66" s="196"/>
      <c r="Z66" s="197"/>
      <c r="AA66" s="195"/>
      <c r="AB66" s="79"/>
      <c r="AC66" s="79"/>
    </row>
    <row r="67" spans="2:29" hidden="1">
      <c r="B67" s="188"/>
      <c r="C67" s="97"/>
      <c r="D67" s="97"/>
      <c r="E67" s="97"/>
      <c r="F67" s="97"/>
      <c r="G67" s="97"/>
      <c r="H67" s="97"/>
      <c r="I67" s="97"/>
      <c r="J67" s="97"/>
      <c r="K67" s="97"/>
      <c r="L67" s="138"/>
      <c r="N67" s="177">
        <v>24</v>
      </c>
      <c r="O67" s="191"/>
      <c r="P67" s="192"/>
      <c r="Q67" s="193"/>
      <c r="R67" s="194"/>
      <c r="S67" s="195"/>
      <c r="T67" s="196"/>
      <c r="U67" s="196"/>
      <c r="V67" s="196"/>
      <c r="W67" s="196"/>
      <c r="X67" s="196"/>
      <c r="Y67" s="196"/>
      <c r="Z67" s="197"/>
      <c r="AA67" s="195"/>
      <c r="AB67" s="79"/>
      <c r="AC67" s="79"/>
    </row>
    <row r="68" spans="2:29" hidden="1">
      <c r="B68" s="188"/>
      <c r="C68" s="97"/>
      <c r="D68" s="97"/>
      <c r="E68" s="97"/>
      <c r="F68" s="97"/>
      <c r="G68" s="97"/>
      <c r="H68" s="97"/>
      <c r="I68" s="97"/>
      <c r="J68" s="97"/>
      <c r="K68" s="97"/>
      <c r="L68" s="138"/>
      <c r="N68" s="177">
        <v>25</v>
      </c>
      <c r="O68" s="191"/>
      <c r="P68" s="192"/>
      <c r="Q68" s="193"/>
      <c r="R68" s="194"/>
      <c r="S68" s="195"/>
      <c r="T68" s="196"/>
      <c r="U68" s="196"/>
      <c r="V68" s="196"/>
      <c r="W68" s="196"/>
      <c r="X68" s="196"/>
      <c r="Y68" s="196"/>
      <c r="Z68" s="197"/>
      <c r="AA68" s="195"/>
      <c r="AB68" s="79"/>
      <c r="AC68" s="79"/>
    </row>
    <row r="69" spans="2:29" ht="14.25" hidden="1">
      <c r="B69" s="198"/>
      <c r="C69" s="97"/>
      <c r="D69" s="97"/>
      <c r="E69" s="97"/>
      <c r="F69" s="97"/>
      <c r="G69" s="97"/>
      <c r="H69" s="97"/>
      <c r="I69" s="97"/>
      <c r="J69" s="97"/>
      <c r="K69" s="97"/>
      <c r="L69" s="138"/>
      <c r="N69" s="177">
        <v>26</v>
      </c>
      <c r="O69" s="191"/>
      <c r="P69" s="192"/>
      <c r="Q69" s="193"/>
      <c r="R69" s="194"/>
      <c r="S69" s="199"/>
      <c r="T69" s="200"/>
      <c r="U69" s="196"/>
      <c r="V69" s="196"/>
      <c r="W69" s="196"/>
      <c r="X69" s="196"/>
      <c r="Y69" s="196"/>
      <c r="Z69" s="197"/>
      <c r="AA69" s="195"/>
      <c r="AB69" s="79"/>
      <c r="AC69" s="79"/>
    </row>
    <row r="70" spans="2:29" hidden="1">
      <c r="B70" s="201"/>
      <c r="C70" s="68"/>
      <c r="D70" s="68"/>
      <c r="E70" s="68"/>
      <c r="F70" s="68"/>
      <c r="G70" s="68"/>
      <c r="H70" s="68"/>
      <c r="I70" s="68"/>
      <c r="J70" s="68"/>
      <c r="K70" s="68"/>
      <c r="L70" s="202"/>
      <c r="N70" s="149"/>
      <c r="O70" s="150"/>
      <c r="P70" s="203"/>
      <c r="Q70" s="204">
        <f>SUM(Q44:Q69)</f>
        <v>0</v>
      </c>
      <c r="R70" s="205">
        <f>SUM(R44:R69)</f>
        <v>0</v>
      </c>
      <c r="S70" s="206">
        <f>SUM(S44:S69)</f>
        <v>0</v>
      </c>
      <c r="T70" s="557" t="s">
        <v>43</v>
      </c>
      <c r="U70" s="557"/>
      <c r="V70" s="155">
        <f>SUM(Q70:S70)</f>
        <v>0</v>
      </c>
      <c r="W70" s="156"/>
      <c r="X70" s="156"/>
      <c r="Y70" s="156"/>
      <c r="Z70" s="207"/>
      <c r="AA70" s="208"/>
      <c r="AB70" s="79"/>
      <c r="AC70" s="79"/>
    </row>
    <row r="71" spans="2:29" hidden="1"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2:29" hidden="1"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</row>
    <row r="73" spans="2:29" hidden="1"/>
    <row r="74" spans="2:29" hidden="1"/>
    <row r="77" spans="2:29" ht="21">
      <c r="B77" s="209"/>
      <c r="C77" s="209"/>
      <c r="D77" s="209"/>
      <c r="E77" s="209"/>
      <c r="F77" s="209"/>
      <c r="G77" s="209"/>
      <c r="H77" s="209"/>
    </row>
    <row r="78" spans="2:29" ht="21">
      <c r="B78" s="209"/>
      <c r="C78" s="209"/>
      <c r="D78" s="209"/>
      <c r="E78" s="209"/>
      <c r="F78" s="209"/>
      <c r="G78" s="209"/>
      <c r="H78" s="209"/>
    </row>
  </sheetData>
  <mergeCells count="8">
    <mergeCell ref="X1:Z1"/>
    <mergeCell ref="Q42:S42"/>
    <mergeCell ref="Z42:AA42"/>
    <mergeCell ref="T70:U70"/>
    <mergeCell ref="D1:E1"/>
    <mergeCell ref="G1:H1"/>
    <mergeCell ref="I1:U1"/>
    <mergeCell ref="V1:W1"/>
  </mergeCells>
  <printOptions horizontalCentered="1"/>
  <pageMargins left="0.55118110236220474" right="0" top="0.43" bottom="0" header="0.15748031496062992" footer="0.27559055118110237"/>
  <pageSetup paperSize="8" scale="90" fitToHeight="2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C86"/>
  <sheetViews>
    <sheetView zoomScale="80" zoomScaleNormal="80" zoomScaleSheetLayoutView="75" workbookViewId="0">
      <selection activeCell="G1" sqref="G1:H1"/>
    </sheetView>
  </sheetViews>
  <sheetFormatPr defaultRowHeight="13.5"/>
  <cols>
    <col min="1" max="1" width="0.140625" style="19" customWidth="1"/>
    <col min="2" max="2" width="9.140625" style="19"/>
    <col min="3" max="3" width="9.42578125" style="19" customWidth="1"/>
    <col min="4" max="4" width="13.5703125" style="19" customWidth="1"/>
    <col min="5" max="11" width="9.140625" style="19"/>
    <col min="12" max="12" width="4.140625" style="19" customWidth="1"/>
    <col min="13" max="13" width="7" style="19" customWidth="1"/>
    <col min="14" max="14" width="4" style="19" customWidth="1"/>
    <col min="15" max="15" width="8.140625" style="19" customWidth="1"/>
    <col min="16" max="16" width="6.28515625" style="19" customWidth="1"/>
    <col min="17" max="17" width="6.42578125" style="19" customWidth="1"/>
    <col min="18" max="18" width="7" style="19" customWidth="1"/>
    <col min="19" max="19" width="7.140625" style="19" customWidth="1"/>
    <col min="20" max="20" width="7" style="19" customWidth="1"/>
    <col min="21" max="21" width="9.140625" style="19"/>
    <col min="22" max="22" width="12.42578125" style="19" customWidth="1"/>
    <col min="23" max="24" width="9.140625" style="19"/>
    <col min="25" max="25" width="9.140625" style="19" customWidth="1"/>
    <col min="26" max="26" width="7.42578125" style="19" customWidth="1"/>
    <col min="27" max="27" width="6.5703125" style="19" customWidth="1"/>
    <col min="28" max="256" width="9.140625" style="19"/>
    <col min="257" max="257" width="0.140625" style="19" customWidth="1"/>
    <col min="258" max="258" width="9.140625" style="19"/>
    <col min="259" max="259" width="9.42578125" style="19" customWidth="1"/>
    <col min="260" max="260" width="13.5703125" style="19" customWidth="1"/>
    <col min="261" max="267" width="9.140625" style="19"/>
    <col min="268" max="268" width="4.140625" style="19" customWidth="1"/>
    <col min="269" max="269" width="7" style="19" customWidth="1"/>
    <col min="270" max="270" width="4" style="19" customWidth="1"/>
    <col min="271" max="271" width="8.140625" style="19" customWidth="1"/>
    <col min="272" max="272" width="6.28515625" style="19" customWidth="1"/>
    <col min="273" max="273" width="6.42578125" style="19" customWidth="1"/>
    <col min="274" max="274" width="7" style="19" customWidth="1"/>
    <col min="275" max="275" width="7.140625" style="19" customWidth="1"/>
    <col min="276" max="276" width="7" style="19" customWidth="1"/>
    <col min="277" max="277" width="9.140625" style="19"/>
    <col min="278" max="278" width="12.42578125" style="19" customWidth="1"/>
    <col min="279" max="280" width="9.140625" style="19"/>
    <col min="281" max="281" width="9.140625" style="19" customWidth="1"/>
    <col min="282" max="282" width="7.42578125" style="19" customWidth="1"/>
    <col min="283" max="283" width="6.5703125" style="19" customWidth="1"/>
    <col min="284" max="512" width="9.140625" style="19"/>
    <col min="513" max="513" width="0.140625" style="19" customWidth="1"/>
    <col min="514" max="514" width="9.140625" style="19"/>
    <col min="515" max="515" width="9.42578125" style="19" customWidth="1"/>
    <col min="516" max="516" width="13.5703125" style="19" customWidth="1"/>
    <col min="517" max="523" width="9.140625" style="19"/>
    <col min="524" max="524" width="4.140625" style="19" customWidth="1"/>
    <col min="525" max="525" width="7" style="19" customWidth="1"/>
    <col min="526" max="526" width="4" style="19" customWidth="1"/>
    <col min="527" max="527" width="8.140625" style="19" customWidth="1"/>
    <col min="528" max="528" width="6.28515625" style="19" customWidth="1"/>
    <col min="529" max="529" width="6.42578125" style="19" customWidth="1"/>
    <col min="530" max="530" width="7" style="19" customWidth="1"/>
    <col min="531" max="531" width="7.140625" style="19" customWidth="1"/>
    <col min="532" max="532" width="7" style="19" customWidth="1"/>
    <col min="533" max="533" width="9.140625" style="19"/>
    <col min="534" max="534" width="12.42578125" style="19" customWidth="1"/>
    <col min="535" max="536" width="9.140625" style="19"/>
    <col min="537" max="537" width="9.140625" style="19" customWidth="1"/>
    <col min="538" max="538" width="7.42578125" style="19" customWidth="1"/>
    <col min="539" max="539" width="6.5703125" style="19" customWidth="1"/>
    <col min="540" max="768" width="9.140625" style="19"/>
    <col min="769" max="769" width="0.140625" style="19" customWidth="1"/>
    <col min="770" max="770" width="9.140625" style="19"/>
    <col min="771" max="771" width="9.42578125" style="19" customWidth="1"/>
    <col min="772" max="772" width="13.5703125" style="19" customWidth="1"/>
    <col min="773" max="779" width="9.140625" style="19"/>
    <col min="780" max="780" width="4.140625" style="19" customWidth="1"/>
    <col min="781" max="781" width="7" style="19" customWidth="1"/>
    <col min="782" max="782" width="4" style="19" customWidth="1"/>
    <col min="783" max="783" width="8.140625" style="19" customWidth="1"/>
    <col min="784" max="784" width="6.28515625" style="19" customWidth="1"/>
    <col min="785" max="785" width="6.42578125" style="19" customWidth="1"/>
    <col min="786" max="786" width="7" style="19" customWidth="1"/>
    <col min="787" max="787" width="7.140625" style="19" customWidth="1"/>
    <col min="788" max="788" width="7" style="19" customWidth="1"/>
    <col min="789" max="789" width="9.140625" style="19"/>
    <col min="790" max="790" width="12.42578125" style="19" customWidth="1"/>
    <col min="791" max="792" width="9.140625" style="19"/>
    <col min="793" max="793" width="9.140625" style="19" customWidth="1"/>
    <col min="794" max="794" width="7.42578125" style="19" customWidth="1"/>
    <col min="795" max="795" width="6.5703125" style="19" customWidth="1"/>
    <col min="796" max="1024" width="9.140625" style="19"/>
    <col min="1025" max="1025" width="0.140625" style="19" customWidth="1"/>
    <col min="1026" max="1026" width="9.140625" style="19"/>
    <col min="1027" max="1027" width="9.42578125" style="19" customWidth="1"/>
    <col min="1028" max="1028" width="13.5703125" style="19" customWidth="1"/>
    <col min="1029" max="1035" width="9.140625" style="19"/>
    <col min="1036" max="1036" width="4.140625" style="19" customWidth="1"/>
    <col min="1037" max="1037" width="7" style="19" customWidth="1"/>
    <col min="1038" max="1038" width="4" style="19" customWidth="1"/>
    <col min="1039" max="1039" width="8.140625" style="19" customWidth="1"/>
    <col min="1040" max="1040" width="6.28515625" style="19" customWidth="1"/>
    <col min="1041" max="1041" width="6.42578125" style="19" customWidth="1"/>
    <col min="1042" max="1042" width="7" style="19" customWidth="1"/>
    <col min="1043" max="1043" width="7.140625" style="19" customWidth="1"/>
    <col min="1044" max="1044" width="7" style="19" customWidth="1"/>
    <col min="1045" max="1045" width="9.140625" style="19"/>
    <col min="1046" max="1046" width="12.42578125" style="19" customWidth="1"/>
    <col min="1047" max="1048" width="9.140625" style="19"/>
    <col min="1049" max="1049" width="9.140625" style="19" customWidth="1"/>
    <col min="1050" max="1050" width="7.42578125" style="19" customWidth="1"/>
    <col min="1051" max="1051" width="6.5703125" style="19" customWidth="1"/>
    <col min="1052" max="1280" width="9.140625" style="19"/>
    <col min="1281" max="1281" width="0.140625" style="19" customWidth="1"/>
    <col min="1282" max="1282" width="9.140625" style="19"/>
    <col min="1283" max="1283" width="9.42578125" style="19" customWidth="1"/>
    <col min="1284" max="1284" width="13.5703125" style="19" customWidth="1"/>
    <col min="1285" max="1291" width="9.140625" style="19"/>
    <col min="1292" max="1292" width="4.140625" style="19" customWidth="1"/>
    <col min="1293" max="1293" width="7" style="19" customWidth="1"/>
    <col min="1294" max="1294" width="4" style="19" customWidth="1"/>
    <col min="1295" max="1295" width="8.140625" style="19" customWidth="1"/>
    <col min="1296" max="1296" width="6.28515625" style="19" customWidth="1"/>
    <col min="1297" max="1297" width="6.42578125" style="19" customWidth="1"/>
    <col min="1298" max="1298" width="7" style="19" customWidth="1"/>
    <col min="1299" max="1299" width="7.140625" style="19" customWidth="1"/>
    <col min="1300" max="1300" width="7" style="19" customWidth="1"/>
    <col min="1301" max="1301" width="9.140625" style="19"/>
    <col min="1302" max="1302" width="12.42578125" style="19" customWidth="1"/>
    <col min="1303" max="1304" width="9.140625" style="19"/>
    <col min="1305" max="1305" width="9.140625" style="19" customWidth="1"/>
    <col min="1306" max="1306" width="7.42578125" style="19" customWidth="1"/>
    <col min="1307" max="1307" width="6.5703125" style="19" customWidth="1"/>
    <col min="1308" max="1536" width="9.140625" style="19"/>
    <col min="1537" max="1537" width="0.140625" style="19" customWidth="1"/>
    <col min="1538" max="1538" width="9.140625" style="19"/>
    <col min="1539" max="1539" width="9.42578125" style="19" customWidth="1"/>
    <col min="1540" max="1540" width="13.5703125" style="19" customWidth="1"/>
    <col min="1541" max="1547" width="9.140625" style="19"/>
    <col min="1548" max="1548" width="4.140625" style="19" customWidth="1"/>
    <col min="1549" max="1549" width="7" style="19" customWidth="1"/>
    <col min="1550" max="1550" width="4" style="19" customWidth="1"/>
    <col min="1551" max="1551" width="8.140625" style="19" customWidth="1"/>
    <col min="1552" max="1552" width="6.28515625" style="19" customWidth="1"/>
    <col min="1553" max="1553" width="6.42578125" style="19" customWidth="1"/>
    <col min="1554" max="1554" width="7" style="19" customWidth="1"/>
    <col min="1555" max="1555" width="7.140625" style="19" customWidth="1"/>
    <col min="1556" max="1556" width="7" style="19" customWidth="1"/>
    <col min="1557" max="1557" width="9.140625" style="19"/>
    <col min="1558" max="1558" width="12.42578125" style="19" customWidth="1"/>
    <col min="1559" max="1560" width="9.140625" style="19"/>
    <col min="1561" max="1561" width="9.140625" style="19" customWidth="1"/>
    <col min="1562" max="1562" width="7.42578125" style="19" customWidth="1"/>
    <col min="1563" max="1563" width="6.5703125" style="19" customWidth="1"/>
    <col min="1564" max="1792" width="9.140625" style="19"/>
    <col min="1793" max="1793" width="0.140625" style="19" customWidth="1"/>
    <col min="1794" max="1794" width="9.140625" style="19"/>
    <col min="1795" max="1795" width="9.42578125" style="19" customWidth="1"/>
    <col min="1796" max="1796" width="13.5703125" style="19" customWidth="1"/>
    <col min="1797" max="1803" width="9.140625" style="19"/>
    <col min="1804" max="1804" width="4.140625" style="19" customWidth="1"/>
    <col min="1805" max="1805" width="7" style="19" customWidth="1"/>
    <col min="1806" max="1806" width="4" style="19" customWidth="1"/>
    <col min="1807" max="1807" width="8.140625" style="19" customWidth="1"/>
    <col min="1808" max="1808" width="6.28515625" style="19" customWidth="1"/>
    <col min="1809" max="1809" width="6.42578125" style="19" customWidth="1"/>
    <col min="1810" max="1810" width="7" style="19" customWidth="1"/>
    <col min="1811" max="1811" width="7.140625" style="19" customWidth="1"/>
    <col min="1812" max="1812" width="7" style="19" customWidth="1"/>
    <col min="1813" max="1813" width="9.140625" style="19"/>
    <col min="1814" max="1814" width="12.42578125" style="19" customWidth="1"/>
    <col min="1815" max="1816" width="9.140625" style="19"/>
    <col min="1817" max="1817" width="9.140625" style="19" customWidth="1"/>
    <col min="1818" max="1818" width="7.42578125" style="19" customWidth="1"/>
    <col min="1819" max="1819" width="6.5703125" style="19" customWidth="1"/>
    <col min="1820" max="2048" width="9.140625" style="19"/>
    <col min="2049" max="2049" width="0.140625" style="19" customWidth="1"/>
    <col min="2050" max="2050" width="9.140625" style="19"/>
    <col min="2051" max="2051" width="9.42578125" style="19" customWidth="1"/>
    <col min="2052" max="2052" width="13.5703125" style="19" customWidth="1"/>
    <col min="2053" max="2059" width="9.140625" style="19"/>
    <col min="2060" max="2060" width="4.140625" style="19" customWidth="1"/>
    <col min="2061" max="2061" width="7" style="19" customWidth="1"/>
    <col min="2062" max="2062" width="4" style="19" customWidth="1"/>
    <col min="2063" max="2063" width="8.140625" style="19" customWidth="1"/>
    <col min="2064" max="2064" width="6.28515625" style="19" customWidth="1"/>
    <col min="2065" max="2065" width="6.42578125" style="19" customWidth="1"/>
    <col min="2066" max="2066" width="7" style="19" customWidth="1"/>
    <col min="2067" max="2067" width="7.140625" style="19" customWidth="1"/>
    <col min="2068" max="2068" width="7" style="19" customWidth="1"/>
    <col min="2069" max="2069" width="9.140625" style="19"/>
    <col min="2070" max="2070" width="12.42578125" style="19" customWidth="1"/>
    <col min="2071" max="2072" width="9.140625" style="19"/>
    <col min="2073" max="2073" width="9.140625" style="19" customWidth="1"/>
    <col min="2074" max="2074" width="7.42578125" style="19" customWidth="1"/>
    <col min="2075" max="2075" width="6.5703125" style="19" customWidth="1"/>
    <col min="2076" max="2304" width="9.140625" style="19"/>
    <col min="2305" max="2305" width="0.140625" style="19" customWidth="1"/>
    <col min="2306" max="2306" width="9.140625" style="19"/>
    <col min="2307" max="2307" width="9.42578125" style="19" customWidth="1"/>
    <col min="2308" max="2308" width="13.5703125" style="19" customWidth="1"/>
    <col min="2309" max="2315" width="9.140625" style="19"/>
    <col min="2316" max="2316" width="4.140625" style="19" customWidth="1"/>
    <col min="2317" max="2317" width="7" style="19" customWidth="1"/>
    <col min="2318" max="2318" width="4" style="19" customWidth="1"/>
    <col min="2319" max="2319" width="8.140625" style="19" customWidth="1"/>
    <col min="2320" max="2320" width="6.28515625" style="19" customWidth="1"/>
    <col min="2321" max="2321" width="6.42578125" style="19" customWidth="1"/>
    <col min="2322" max="2322" width="7" style="19" customWidth="1"/>
    <col min="2323" max="2323" width="7.140625" style="19" customWidth="1"/>
    <col min="2324" max="2324" width="7" style="19" customWidth="1"/>
    <col min="2325" max="2325" width="9.140625" style="19"/>
    <col min="2326" max="2326" width="12.42578125" style="19" customWidth="1"/>
    <col min="2327" max="2328" width="9.140625" style="19"/>
    <col min="2329" max="2329" width="9.140625" style="19" customWidth="1"/>
    <col min="2330" max="2330" width="7.42578125" style="19" customWidth="1"/>
    <col min="2331" max="2331" width="6.5703125" style="19" customWidth="1"/>
    <col min="2332" max="2560" width="9.140625" style="19"/>
    <col min="2561" max="2561" width="0.140625" style="19" customWidth="1"/>
    <col min="2562" max="2562" width="9.140625" style="19"/>
    <col min="2563" max="2563" width="9.42578125" style="19" customWidth="1"/>
    <col min="2564" max="2564" width="13.5703125" style="19" customWidth="1"/>
    <col min="2565" max="2571" width="9.140625" style="19"/>
    <col min="2572" max="2572" width="4.140625" style="19" customWidth="1"/>
    <col min="2573" max="2573" width="7" style="19" customWidth="1"/>
    <col min="2574" max="2574" width="4" style="19" customWidth="1"/>
    <col min="2575" max="2575" width="8.140625" style="19" customWidth="1"/>
    <col min="2576" max="2576" width="6.28515625" style="19" customWidth="1"/>
    <col min="2577" max="2577" width="6.42578125" style="19" customWidth="1"/>
    <col min="2578" max="2578" width="7" style="19" customWidth="1"/>
    <col min="2579" max="2579" width="7.140625" style="19" customWidth="1"/>
    <col min="2580" max="2580" width="7" style="19" customWidth="1"/>
    <col min="2581" max="2581" width="9.140625" style="19"/>
    <col min="2582" max="2582" width="12.42578125" style="19" customWidth="1"/>
    <col min="2583" max="2584" width="9.140625" style="19"/>
    <col min="2585" max="2585" width="9.140625" style="19" customWidth="1"/>
    <col min="2586" max="2586" width="7.42578125" style="19" customWidth="1"/>
    <col min="2587" max="2587" width="6.5703125" style="19" customWidth="1"/>
    <col min="2588" max="2816" width="9.140625" style="19"/>
    <col min="2817" max="2817" width="0.140625" style="19" customWidth="1"/>
    <col min="2818" max="2818" width="9.140625" style="19"/>
    <col min="2819" max="2819" width="9.42578125" style="19" customWidth="1"/>
    <col min="2820" max="2820" width="13.5703125" style="19" customWidth="1"/>
    <col min="2821" max="2827" width="9.140625" style="19"/>
    <col min="2828" max="2828" width="4.140625" style="19" customWidth="1"/>
    <col min="2829" max="2829" width="7" style="19" customWidth="1"/>
    <col min="2830" max="2830" width="4" style="19" customWidth="1"/>
    <col min="2831" max="2831" width="8.140625" style="19" customWidth="1"/>
    <col min="2832" max="2832" width="6.28515625" style="19" customWidth="1"/>
    <col min="2833" max="2833" width="6.42578125" style="19" customWidth="1"/>
    <col min="2834" max="2834" width="7" style="19" customWidth="1"/>
    <col min="2835" max="2835" width="7.140625" style="19" customWidth="1"/>
    <col min="2836" max="2836" width="7" style="19" customWidth="1"/>
    <col min="2837" max="2837" width="9.140625" style="19"/>
    <col min="2838" max="2838" width="12.42578125" style="19" customWidth="1"/>
    <col min="2839" max="2840" width="9.140625" style="19"/>
    <col min="2841" max="2841" width="9.140625" style="19" customWidth="1"/>
    <col min="2842" max="2842" width="7.42578125" style="19" customWidth="1"/>
    <col min="2843" max="2843" width="6.5703125" style="19" customWidth="1"/>
    <col min="2844" max="3072" width="9.140625" style="19"/>
    <col min="3073" max="3073" width="0.140625" style="19" customWidth="1"/>
    <col min="3074" max="3074" width="9.140625" style="19"/>
    <col min="3075" max="3075" width="9.42578125" style="19" customWidth="1"/>
    <col min="3076" max="3076" width="13.5703125" style="19" customWidth="1"/>
    <col min="3077" max="3083" width="9.140625" style="19"/>
    <col min="3084" max="3084" width="4.140625" style="19" customWidth="1"/>
    <col min="3085" max="3085" width="7" style="19" customWidth="1"/>
    <col min="3086" max="3086" width="4" style="19" customWidth="1"/>
    <col min="3087" max="3087" width="8.140625" style="19" customWidth="1"/>
    <col min="3088" max="3088" width="6.28515625" style="19" customWidth="1"/>
    <col min="3089" max="3089" width="6.42578125" style="19" customWidth="1"/>
    <col min="3090" max="3090" width="7" style="19" customWidth="1"/>
    <col min="3091" max="3091" width="7.140625" style="19" customWidth="1"/>
    <col min="3092" max="3092" width="7" style="19" customWidth="1"/>
    <col min="3093" max="3093" width="9.140625" style="19"/>
    <col min="3094" max="3094" width="12.42578125" style="19" customWidth="1"/>
    <col min="3095" max="3096" width="9.140625" style="19"/>
    <col min="3097" max="3097" width="9.140625" style="19" customWidth="1"/>
    <col min="3098" max="3098" width="7.42578125" style="19" customWidth="1"/>
    <col min="3099" max="3099" width="6.5703125" style="19" customWidth="1"/>
    <col min="3100" max="3328" width="9.140625" style="19"/>
    <col min="3329" max="3329" width="0.140625" style="19" customWidth="1"/>
    <col min="3330" max="3330" width="9.140625" style="19"/>
    <col min="3331" max="3331" width="9.42578125" style="19" customWidth="1"/>
    <col min="3332" max="3332" width="13.5703125" style="19" customWidth="1"/>
    <col min="3333" max="3339" width="9.140625" style="19"/>
    <col min="3340" max="3340" width="4.140625" style="19" customWidth="1"/>
    <col min="3341" max="3341" width="7" style="19" customWidth="1"/>
    <col min="3342" max="3342" width="4" style="19" customWidth="1"/>
    <col min="3343" max="3343" width="8.140625" style="19" customWidth="1"/>
    <col min="3344" max="3344" width="6.28515625" style="19" customWidth="1"/>
    <col min="3345" max="3345" width="6.42578125" style="19" customWidth="1"/>
    <col min="3346" max="3346" width="7" style="19" customWidth="1"/>
    <col min="3347" max="3347" width="7.140625" style="19" customWidth="1"/>
    <col min="3348" max="3348" width="7" style="19" customWidth="1"/>
    <col min="3349" max="3349" width="9.140625" style="19"/>
    <col min="3350" max="3350" width="12.42578125" style="19" customWidth="1"/>
    <col min="3351" max="3352" width="9.140625" style="19"/>
    <col min="3353" max="3353" width="9.140625" style="19" customWidth="1"/>
    <col min="3354" max="3354" width="7.42578125" style="19" customWidth="1"/>
    <col min="3355" max="3355" width="6.5703125" style="19" customWidth="1"/>
    <col min="3356" max="3584" width="9.140625" style="19"/>
    <col min="3585" max="3585" width="0.140625" style="19" customWidth="1"/>
    <col min="3586" max="3586" width="9.140625" style="19"/>
    <col min="3587" max="3587" width="9.42578125" style="19" customWidth="1"/>
    <col min="3588" max="3588" width="13.5703125" style="19" customWidth="1"/>
    <col min="3589" max="3595" width="9.140625" style="19"/>
    <col min="3596" max="3596" width="4.140625" style="19" customWidth="1"/>
    <col min="3597" max="3597" width="7" style="19" customWidth="1"/>
    <col min="3598" max="3598" width="4" style="19" customWidth="1"/>
    <col min="3599" max="3599" width="8.140625" style="19" customWidth="1"/>
    <col min="3600" max="3600" width="6.28515625" style="19" customWidth="1"/>
    <col min="3601" max="3601" width="6.42578125" style="19" customWidth="1"/>
    <col min="3602" max="3602" width="7" style="19" customWidth="1"/>
    <col min="3603" max="3603" width="7.140625" style="19" customWidth="1"/>
    <col min="3604" max="3604" width="7" style="19" customWidth="1"/>
    <col min="3605" max="3605" width="9.140625" style="19"/>
    <col min="3606" max="3606" width="12.42578125" style="19" customWidth="1"/>
    <col min="3607" max="3608" width="9.140625" style="19"/>
    <col min="3609" max="3609" width="9.140625" style="19" customWidth="1"/>
    <col min="3610" max="3610" width="7.42578125" style="19" customWidth="1"/>
    <col min="3611" max="3611" width="6.5703125" style="19" customWidth="1"/>
    <col min="3612" max="3840" width="9.140625" style="19"/>
    <col min="3841" max="3841" width="0.140625" style="19" customWidth="1"/>
    <col min="3842" max="3842" width="9.140625" style="19"/>
    <col min="3843" max="3843" width="9.42578125" style="19" customWidth="1"/>
    <col min="3844" max="3844" width="13.5703125" style="19" customWidth="1"/>
    <col min="3845" max="3851" width="9.140625" style="19"/>
    <col min="3852" max="3852" width="4.140625" style="19" customWidth="1"/>
    <col min="3853" max="3853" width="7" style="19" customWidth="1"/>
    <col min="3854" max="3854" width="4" style="19" customWidth="1"/>
    <col min="3855" max="3855" width="8.140625" style="19" customWidth="1"/>
    <col min="3856" max="3856" width="6.28515625" style="19" customWidth="1"/>
    <col min="3857" max="3857" width="6.42578125" style="19" customWidth="1"/>
    <col min="3858" max="3858" width="7" style="19" customWidth="1"/>
    <col min="3859" max="3859" width="7.140625" style="19" customWidth="1"/>
    <col min="3860" max="3860" width="7" style="19" customWidth="1"/>
    <col min="3861" max="3861" width="9.140625" style="19"/>
    <col min="3862" max="3862" width="12.42578125" style="19" customWidth="1"/>
    <col min="3863" max="3864" width="9.140625" style="19"/>
    <col min="3865" max="3865" width="9.140625" style="19" customWidth="1"/>
    <col min="3866" max="3866" width="7.42578125" style="19" customWidth="1"/>
    <col min="3867" max="3867" width="6.5703125" style="19" customWidth="1"/>
    <col min="3868" max="4096" width="9.140625" style="19"/>
    <col min="4097" max="4097" width="0.140625" style="19" customWidth="1"/>
    <col min="4098" max="4098" width="9.140625" style="19"/>
    <col min="4099" max="4099" width="9.42578125" style="19" customWidth="1"/>
    <col min="4100" max="4100" width="13.5703125" style="19" customWidth="1"/>
    <col min="4101" max="4107" width="9.140625" style="19"/>
    <col min="4108" max="4108" width="4.140625" style="19" customWidth="1"/>
    <col min="4109" max="4109" width="7" style="19" customWidth="1"/>
    <col min="4110" max="4110" width="4" style="19" customWidth="1"/>
    <col min="4111" max="4111" width="8.140625" style="19" customWidth="1"/>
    <col min="4112" max="4112" width="6.28515625" style="19" customWidth="1"/>
    <col min="4113" max="4113" width="6.42578125" style="19" customWidth="1"/>
    <col min="4114" max="4114" width="7" style="19" customWidth="1"/>
    <col min="4115" max="4115" width="7.140625" style="19" customWidth="1"/>
    <col min="4116" max="4116" width="7" style="19" customWidth="1"/>
    <col min="4117" max="4117" width="9.140625" style="19"/>
    <col min="4118" max="4118" width="12.42578125" style="19" customWidth="1"/>
    <col min="4119" max="4120" width="9.140625" style="19"/>
    <col min="4121" max="4121" width="9.140625" style="19" customWidth="1"/>
    <col min="4122" max="4122" width="7.42578125" style="19" customWidth="1"/>
    <col min="4123" max="4123" width="6.5703125" style="19" customWidth="1"/>
    <col min="4124" max="4352" width="9.140625" style="19"/>
    <col min="4353" max="4353" width="0.140625" style="19" customWidth="1"/>
    <col min="4354" max="4354" width="9.140625" style="19"/>
    <col min="4355" max="4355" width="9.42578125" style="19" customWidth="1"/>
    <col min="4356" max="4356" width="13.5703125" style="19" customWidth="1"/>
    <col min="4357" max="4363" width="9.140625" style="19"/>
    <col min="4364" max="4364" width="4.140625" style="19" customWidth="1"/>
    <col min="4365" max="4365" width="7" style="19" customWidth="1"/>
    <col min="4366" max="4366" width="4" style="19" customWidth="1"/>
    <col min="4367" max="4367" width="8.140625" style="19" customWidth="1"/>
    <col min="4368" max="4368" width="6.28515625" style="19" customWidth="1"/>
    <col min="4369" max="4369" width="6.42578125" style="19" customWidth="1"/>
    <col min="4370" max="4370" width="7" style="19" customWidth="1"/>
    <col min="4371" max="4371" width="7.140625" style="19" customWidth="1"/>
    <col min="4372" max="4372" width="7" style="19" customWidth="1"/>
    <col min="4373" max="4373" width="9.140625" style="19"/>
    <col min="4374" max="4374" width="12.42578125" style="19" customWidth="1"/>
    <col min="4375" max="4376" width="9.140625" style="19"/>
    <col min="4377" max="4377" width="9.140625" style="19" customWidth="1"/>
    <col min="4378" max="4378" width="7.42578125" style="19" customWidth="1"/>
    <col min="4379" max="4379" width="6.5703125" style="19" customWidth="1"/>
    <col min="4380" max="4608" width="9.140625" style="19"/>
    <col min="4609" max="4609" width="0.140625" style="19" customWidth="1"/>
    <col min="4610" max="4610" width="9.140625" style="19"/>
    <col min="4611" max="4611" width="9.42578125" style="19" customWidth="1"/>
    <col min="4612" max="4612" width="13.5703125" style="19" customWidth="1"/>
    <col min="4613" max="4619" width="9.140625" style="19"/>
    <col min="4620" max="4620" width="4.140625" style="19" customWidth="1"/>
    <col min="4621" max="4621" width="7" style="19" customWidth="1"/>
    <col min="4622" max="4622" width="4" style="19" customWidth="1"/>
    <col min="4623" max="4623" width="8.140625" style="19" customWidth="1"/>
    <col min="4624" max="4624" width="6.28515625" style="19" customWidth="1"/>
    <col min="4625" max="4625" width="6.42578125" style="19" customWidth="1"/>
    <col min="4626" max="4626" width="7" style="19" customWidth="1"/>
    <col min="4627" max="4627" width="7.140625" style="19" customWidth="1"/>
    <col min="4628" max="4628" width="7" style="19" customWidth="1"/>
    <col min="4629" max="4629" width="9.140625" style="19"/>
    <col min="4630" max="4630" width="12.42578125" style="19" customWidth="1"/>
    <col min="4631" max="4632" width="9.140625" style="19"/>
    <col min="4633" max="4633" width="9.140625" style="19" customWidth="1"/>
    <col min="4634" max="4634" width="7.42578125" style="19" customWidth="1"/>
    <col min="4635" max="4635" width="6.5703125" style="19" customWidth="1"/>
    <col min="4636" max="4864" width="9.140625" style="19"/>
    <col min="4865" max="4865" width="0.140625" style="19" customWidth="1"/>
    <col min="4866" max="4866" width="9.140625" style="19"/>
    <col min="4867" max="4867" width="9.42578125" style="19" customWidth="1"/>
    <col min="4868" max="4868" width="13.5703125" style="19" customWidth="1"/>
    <col min="4869" max="4875" width="9.140625" style="19"/>
    <col min="4876" max="4876" width="4.140625" style="19" customWidth="1"/>
    <col min="4877" max="4877" width="7" style="19" customWidth="1"/>
    <col min="4878" max="4878" width="4" style="19" customWidth="1"/>
    <col min="4879" max="4879" width="8.140625" style="19" customWidth="1"/>
    <col min="4880" max="4880" width="6.28515625" style="19" customWidth="1"/>
    <col min="4881" max="4881" width="6.42578125" style="19" customWidth="1"/>
    <col min="4882" max="4882" width="7" style="19" customWidth="1"/>
    <col min="4883" max="4883" width="7.140625" style="19" customWidth="1"/>
    <col min="4884" max="4884" width="7" style="19" customWidth="1"/>
    <col min="4885" max="4885" width="9.140625" style="19"/>
    <col min="4886" max="4886" width="12.42578125" style="19" customWidth="1"/>
    <col min="4887" max="4888" width="9.140625" style="19"/>
    <col min="4889" max="4889" width="9.140625" style="19" customWidth="1"/>
    <col min="4890" max="4890" width="7.42578125" style="19" customWidth="1"/>
    <col min="4891" max="4891" width="6.5703125" style="19" customWidth="1"/>
    <col min="4892" max="5120" width="9.140625" style="19"/>
    <col min="5121" max="5121" width="0.140625" style="19" customWidth="1"/>
    <col min="5122" max="5122" width="9.140625" style="19"/>
    <col min="5123" max="5123" width="9.42578125" style="19" customWidth="1"/>
    <col min="5124" max="5124" width="13.5703125" style="19" customWidth="1"/>
    <col min="5125" max="5131" width="9.140625" style="19"/>
    <col min="5132" max="5132" width="4.140625" style="19" customWidth="1"/>
    <col min="5133" max="5133" width="7" style="19" customWidth="1"/>
    <col min="5134" max="5134" width="4" style="19" customWidth="1"/>
    <col min="5135" max="5135" width="8.140625" style="19" customWidth="1"/>
    <col min="5136" max="5136" width="6.28515625" style="19" customWidth="1"/>
    <col min="5137" max="5137" width="6.42578125" style="19" customWidth="1"/>
    <col min="5138" max="5138" width="7" style="19" customWidth="1"/>
    <col min="5139" max="5139" width="7.140625" style="19" customWidth="1"/>
    <col min="5140" max="5140" width="7" style="19" customWidth="1"/>
    <col min="5141" max="5141" width="9.140625" style="19"/>
    <col min="5142" max="5142" width="12.42578125" style="19" customWidth="1"/>
    <col min="5143" max="5144" width="9.140625" style="19"/>
    <col min="5145" max="5145" width="9.140625" style="19" customWidth="1"/>
    <col min="5146" max="5146" width="7.42578125" style="19" customWidth="1"/>
    <col min="5147" max="5147" width="6.5703125" style="19" customWidth="1"/>
    <col min="5148" max="5376" width="9.140625" style="19"/>
    <col min="5377" max="5377" width="0.140625" style="19" customWidth="1"/>
    <col min="5378" max="5378" width="9.140625" style="19"/>
    <col min="5379" max="5379" width="9.42578125" style="19" customWidth="1"/>
    <col min="5380" max="5380" width="13.5703125" style="19" customWidth="1"/>
    <col min="5381" max="5387" width="9.140625" style="19"/>
    <col min="5388" max="5388" width="4.140625" style="19" customWidth="1"/>
    <col min="5389" max="5389" width="7" style="19" customWidth="1"/>
    <col min="5390" max="5390" width="4" style="19" customWidth="1"/>
    <col min="5391" max="5391" width="8.140625" style="19" customWidth="1"/>
    <col min="5392" max="5392" width="6.28515625" style="19" customWidth="1"/>
    <col min="5393" max="5393" width="6.42578125" style="19" customWidth="1"/>
    <col min="5394" max="5394" width="7" style="19" customWidth="1"/>
    <col min="5395" max="5395" width="7.140625" style="19" customWidth="1"/>
    <col min="5396" max="5396" width="7" style="19" customWidth="1"/>
    <col min="5397" max="5397" width="9.140625" style="19"/>
    <col min="5398" max="5398" width="12.42578125" style="19" customWidth="1"/>
    <col min="5399" max="5400" width="9.140625" style="19"/>
    <col min="5401" max="5401" width="9.140625" style="19" customWidth="1"/>
    <col min="5402" max="5402" width="7.42578125" style="19" customWidth="1"/>
    <col min="5403" max="5403" width="6.5703125" style="19" customWidth="1"/>
    <col min="5404" max="5632" width="9.140625" style="19"/>
    <col min="5633" max="5633" width="0.140625" style="19" customWidth="1"/>
    <col min="5634" max="5634" width="9.140625" style="19"/>
    <col min="5635" max="5635" width="9.42578125" style="19" customWidth="1"/>
    <col min="5636" max="5636" width="13.5703125" style="19" customWidth="1"/>
    <col min="5637" max="5643" width="9.140625" style="19"/>
    <col min="5644" max="5644" width="4.140625" style="19" customWidth="1"/>
    <col min="5645" max="5645" width="7" style="19" customWidth="1"/>
    <col min="5646" max="5646" width="4" style="19" customWidth="1"/>
    <col min="5647" max="5647" width="8.140625" style="19" customWidth="1"/>
    <col min="5648" max="5648" width="6.28515625" style="19" customWidth="1"/>
    <col min="5649" max="5649" width="6.42578125" style="19" customWidth="1"/>
    <col min="5650" max="5650" width="7" style="19" customWidth="1"/>
    <col min="5651" max="5651" width="7.140625" style="19" customWidth="1"/>
    <col min="5652" max="5652" width="7" style="19" customWidth="1"/>
    <col min="5653" max="5653" width="9.140625" style="19"/>
    <col min="5654" max="5654" width="12.42578125" style="19" customWidth="1"/>
    <col min="5655" max="5656" width="9.140625" style="19"/>
    <col min="5657" max="5657" width="9.140625" style="19" customWidth="1"/>
    <col min="5658" max="5658" width="7.42578125" style="19" customWidth="1"/>
    <col min="5659" max="5659" width="6.5703125" style="19" customWidth="1"/>
    <col min="5660" max="5888" width="9.140625" style="19"/>
    <col min="5889" max="5889" width="0.140625" style="19" customWidth="1"/>
    <col min="5890" max="5890" width="9.140625" style="19"/>
    <col min="5891" max="5891" width="9.42578125" style="19" customWidth="1"/>
    <col min="5892" max="5892" width="13.5703125" style="19" customWidth="1"/>
    <col min="5893" max="5899" width="9.140625" style="19"/>
    <col min="5900" max="5900" width="4.140625" style="19" customWidth="1"/>
    <col min="5901" max="5901" width="7" style="19" customWidth="1"/>
    <col min="5902" max="5902" width="4" style="19" customWidth="1"/>
    <col min="5903" max="5903" width="8.140625" style="19" customWidth="1"/>
    <col min="5904" max="5904" width="6.28515625" style="19" customWidth="1"/>
    <col min="5905" max="5905" width="6.42578125" style="19" customWidth="1"/>
    <col min="5906" max="5906" width="7" style="19" customWidth="1"/>
    <col min="5907" max="5907" width="7.140625" style="19" customWidth="1"/>
    <col min="5908" max="5908" width="7" style="19" customWidth="1"/>
    <col min="5909" max="5909" width="9.140625" style="19"/>
    <col min="5910" max="5910" width="12.42578125" style="19" customWidth="1"/>
    <col min="5911" max="5912" width="9.140625" style="19"/>
    <col min="5913" max="5913" width="9.140625" style="19" customWidth="1"/>
    <col min="5914" max="5914" width="7.42578125" style="19" customWidth="1"/>
    <col min="5915" max="5915" width="6.5703125" style="19" customWidth="1"/>
    <col min="5916" max="6144" width="9.140625" style="19"/>
    <col min="6145" max="6145" width="0.140625" style="19" customWidth="1"/>
    <col min="6146" max="6146" width="9.140625" style="19"/>
    <col min="6147" max="6147" width="9.42578125" style="19" customWidth="1"/>
    <col min="6148" max="6148" width="13.5703125" style="19" customWidth="1"/>
    <col min="6149" max="6155" width="9.140625" style="19"/>
    <col min="6156" max="6156" width="4.140625" style="19" customWidth="1"/>
    <col min="6157" max="6157" width="7" style="19" customWidth="1"/>
    <col min="6158" max="6158" width="4" style="19" customWidth="1"/>
    <col min="6159" max="6159" width="8.140625" style="19" customWidth="1"/>
    <col min="6160" max="6160" width="6.28515625" style="19" customWidth="1"/>
    <col min="6161" max="6161" width="6.42578125" style="19" customWidth="1"/>
    <col min="6162" max="6162" width="7" style="19" customWidth="1"/>
    <col min="6163" max="6163" width="7.140625" style="19" customWidth="1"/>
    <col min="6164" max="6164" width="7" style="19" customWidth="1"/>
    <col min="6165" max="6165" width="9.140625" style="19"/>
    <col min="6166" max="6166" width="12.42578125" style="19" customWidth="1"/>
    <col min="6167" max="6168" width="9.140625" style="19"/>
    <col min="6169" max="6169" width="9.140625" style="19" customWidth="1"/>
    <col min="6170" max="6170" width="7.42578125" style="19" customWidth="1"/>
    <col min="6171" max="6171" width="6.5703125" style="19" customWidth="1"/>
    <col min="6172" max="6400" width="9.140625" style="19"/>
    <col min="6401" max="6401" width="0.140625" style="19" customWidth="1"/>
    <col min="6402" max="6402" width="9.140625" style="19"/>
    <col min="6403" max="6403" width="9.42578125" style="19" customWidth="1"/>
    <col min="6404" max="6404" width="13.5703125" style="19" customWidth="1"/>
    <col min="6405" max="6411" width="9.140625" style="19"/>
    <col min="6412" max="6412" width="4.140625" style="19" customWidth="1"/>
    <col min="6413" max="6413" width="7" style="19" customWidth="1"/>
    <col min="6414" max="6414" width="4" style="19" customWidth="1"/>
    <col min="6415" max="6415" width="8.140625" style="19" customWidth="1"/>
    <col min="6416" max="6416" width="6.28515625" style="19" customWidth="1"/>
    <col min="6417" max="6417" width="6.42578125" style="19" customWidth="1"/>
    <col min="6418" max="6418" width="7" style="19" customWidth="1"/>
    <col min="6419" max="6419" width="7.140625" style="19" customWidth="1"/>
    <col min="6420" max="6420" width="7" style="19" customWidth="1"/>
    <col min="6421" max="6421" width="9.140625" style="19"/>
    <col min="6422" max="6422" width="12.42578125" style="19" customWidth="1"/>
    <col min="6423" max="6424" width="9.140625" style="19"/>
    <col min="6425" max="6425" width="9.140625" style="19" customWidth="1"/>
    <col min="6426" max="6426" width="7.42578125" style="19" customWidth="1"/>
    <col min="6427" max="6427" width="6.5703125" style="19" customWidth="1"/>
    <col min="6428" max="6656" width="9.140625" style="19"/>
    <col min="6657" max="6657" width="0.140625" style="19" customWidth="1"/>
    <col min="6658" max="6658" width="9.140625" style="19"/>
    <col min="6659" max="6659" width="9.42578125" style="19" customWidth="1"/>
    <col min="6660" max="6660" width="13.5703125" style="19" customWidth="1"/>
    <col min="6661" max="6667" width="9.140625" style="19"/>
    <col min="6668" max="6668" width="4.140625" style="19" customWidth="1"/>
    <col min="6669" max="6669" width="7" style="19" customWidth="1"/>
    <col min="6670" max="6670" width="4" style="19" customWidth="1"/>
    <col min="6671" max="6671" width="8.140625" style="19" customWidth="1"/>
    <col min="6672" max="6672" width="6.28515625" style="19" customWidth="1"/>
    <col min="6673" max="6673" width="6.42578125" style="19" customWidth="1"/>
    <col min="6674" max="6674" width="7" style="19" customWidth="1"/>
    <col min="6675" max="6675" width="7.140625" style="19" customWidth="1"/>
    <col min="6676" max="6676" width="7" style="19" customWidth="1"/>
    <col min="6677" max="6677" width="9.140625" style="19"/>
    <col min="6678" max="6678" width="12.42578125" style="19" customWidth="1"/>
    <col min="6679" max="6680" width="9.140625" style="19"/>
    <col min="6681" max="6681" width="9.140625" style="19" customWidth="1"/>
    <col min="6682" max="6682" width="7.42578125" style="19" customWidth="1"/>
    <col min="6683" max="6683" width="6.5703125" style="19" customWidth="1"/>
    <col min="6684" max="6912" width="9.140625" style="19"/>
    <col min="6913" max="6913" width="0.140625" style="19" customWidth="1"/>
    <col min="6914" max="6914" width="9.140625" style="19"/>
    <col min="6915" max="6915" width="9.42578125" style="19" customWidth="1"/>
    <col min="6916" max="6916" width="13.5703125" style="19" customWidth="1"/>
    <col min="6917" max="6923" width="9.140625" style="19"/>
    <col min="6924" max="6924" width="4.140625" style="19" customWidth="1"/>
    <col min="6925" max="6925" width="7" style="19" customWidth="1"/>
    <col min="6926" max="6926" width="4" style="19" customWidth="1"/>
    <col min="6927" max="6927" width="8.140625" style="19" customWidth="1"/>
    <col min="6928" max="6928" width="6.28515625" style="19" customWidth="1"/>
    <col min="6929" max="6929" width="6.42578125" style="19" customWidth="1"/>
    <col min="6930" max="6930" width="7" style="19" customWidth="1"/>
    <col min="6931" max="6931" width="7.140625" style="19" customWidth="1"/>
    <col min="6932" max="6932" width="7" style="19" customWidth="1"/>
    <col min="6933" max="6933" width="9.140625" style="19"/>
    <col min="6934" max="6934" width="12.42578125" style="19" customWidth="1"/>
    <col min="6935" max="6936" width="9.140625" style="19"/>
    <col min="6937" max="6937" width="9.140625" style="19" customWidth="1"/>
    <col min="6938" max="6938" width="7.42578125" style="19" customWidth="1"/>
    <col min="6939" max="6939" width="6.5703125" style="19" customWidth="1"/>
    <col min="6940" max="7168" width="9.140625" style="19"/>
    <col min="7169" max="7169" width="0.140625" style="19" customWidth="1"/>
    <col min="7170" max="7170" width="9.140625" style="19"/>
    <col min="7171" max="7171" width="9.42578125" style="19" customWidth="1"/>
    <col min="7172" max="7172" width="13.5703125" style="19" customWidth="1"/>
    <col min="7173" max="7179" width="9.140625" style="19"/>
    <col min="7180" max="7180" width="4.140625" style="19" customWidth="1"/>
    <col min="7181" max="7181" width="7" style="19" customWidth="1"/>
    <col min="7182" max="7182" width="4" style="19" customWidth="1"/>
    <col min="7183" max="7183" width="8.140625" style="19" customWidth="1"/>
    <col min="7184" max="7184" width="6.28515625" style="19" customWidth="1"/>
    <col min="7185" max="7185" width="6.42578125" style="19" customWidth="1"/>
    <col min="7186" max="7186" width="7" style="19" customWidth="1"/>
    <col min="7187" max="7187" width="7.140625" style="19" customWidth="1"/>
    <col min="7188" max="7188" width="7" style="19" customWidth="1"/>
    <col min="7189" max="7189" width="9.140625" style="19"/>
    <col min="7190" max="7190" width="12.42578125" style="19" customWidth="1"/>
    <col min="7191" max="7192" width="9.140625" style="19"/>
    <col min="7193" max="7193" width="9.140625" style="19" customWidth="1"/>
    <col min="7194" max="7194" width="7.42578125" style="19" customWidth="1"/>
    <col min="7195" max="7195" width="6.5703125" style="19" customWidth="1"/>
    <col min="7196" max="7424" width="9.140625" style="19"/>
    <col min="7425" max="7425" width="0.140625" style="19" customWidth="1"/>
    <col min="7426" max="7426" width="9.140625" style="19"/>
    <col min="7427" max="7427" width="9.42578125" style="19" customWidth="1"/>
    <col min="7428" max="7428" width="13.5703125" style="19" customWidth="1"/>
    <col min="7429" max="7435" width="9.140625" style="19"/>
    <col min="7436" max="7436" width="4.140625" style="19" customWidth="1"/>
    <col min="7437" max="7437" width="7" style="19" customWidth="1"/>
    <col min="7438" max="7438" width="4" style="19" customWidth="1"/>
    <col min="7439" max="7439" width="8.140625" style="19" customWidth="1"/>
    <col min="7440" max="7440" width="6.28515625" style="19" customWidth="1"/>
    <col min="7441" max="7441" width="6.42578125" style="19" customWidth="1"/>
    <col min="7442" max="7442" width="7" style="19" customWidth="1"/>
    <col min="7443" max="7443" width="7.140625" style="19" customWidth="1"/>
    <col min="7444" max="7444" width="7" style="19" customWidth="1"/>
    <col min="7445" max="7445" width="9.140625" style="19"/>
    <col min="7446" max="7446" width="12.42578125" style="19" customWidth="1"/>
    <col min="7447" max="7448" width="9.140625" style="19"/>
    <col min="7449" max="7449" width="9.140625" style="19" customWidth="1"/>
    <col min="7450" max="7450" width="7.42578125" style="19" customWidth="1"/>
    <col min="7451" max="7451" width="6.5703125" style="19" customWidth="1"/>
    <col min="7452" max="7680" width="9.140625" style="19"/>
    <col min="7681" max="7681" width="0.140625" style="19" customWidth="1"/>
    <col min="7682" max="7682" width="9.140625" style="19"/>
    <col min="7683" max="7683" width="9.42578125" style="19" customWidth="1"/>
    <col min="7684" max="7684" width="13.5703125" style="19" customWidth="1"/>
    <col min="7685" max="7691" width="9.140625" style="19"/>
    <col min="7692" max="7692" width="4.140625" style="19" customWidth="1"/>
    <col min="7693" max="7693" width="7" style="19" customWidth="1"/>
    <col min="7694" max="7694" width="4" style="19" customWidth="1"/>
    <col min="7695" max="7695" width="8.140625" style="19" customWidth="1"/>
    <col min="7696" max="7696" width="6.28515625" style="19" customWidth="1"/>
    <col min="7697" max="7697" width="6.42578125" style="19" customWidth="1"/>
    <col min="7698" max="7698" width="7" style="19" customWidth="1"/>
    <col min="7699" max="7699" width="7.140625" style="19" customWidth="1"/>
    <col min="7700" max="7700" width="7" style="19" customWidth="1"/>
    <col min="7701" max="7701" width="9.140625" style="19"/>
    <col min="7702" max="7702" width="12.42578125" style="19" customWidth="1"/>
    <col min="7703" max="7704" width="9.140625" style="19"/>
    <col min="7705" max="7705" width="9.140625" style="19" customWidth="1"/>
    <col min="7706" max="7706" width="7.42578125" style="19" customWidth="1"/>
    <col min="7707" max="7707" width="6.5703125" style="19" customWidth="1"/>
    <col min="7708" max="7936" width="9.140625" style="19"/>
    <col min="7937" max="7937" width="0.140625" style="19" customWidth="1"/>
    <col min="7938" max="7938" width="9.140625" style="19"/>
    <col min="7939" max="7939" width="9.42578125" style="19" customWidth="1"/>
    <col min="7940" max="7940" width="13.5703125" style="19" customWidth="1"/>
    <col min="7941" max="7947" width="9.140625" style="19"/>
    <col min="7948" max="7948" width="4.140625" style="19" customWidth="1"/>
    <col min="7949" max="7949" width="7" style="19" customWidth="1"/>
    <col min="7950" max="7950" width="4" style="19" customWidth="1"/>
    <col min="7951" max="7951" width="8.140625" style="19" customWidth="1"/>
    <col min="7952" max="7952" width="6.28515625" style="19" customWidth="1"/>
    <col min="7953" max="7953" width="6.42578125" style="19" customWidth="1"/>
    <col min="7954" max="7954" width="7" style="19" customWidth="1"/>
    <col min="7955" max="7955" width="7.140625" style="19" customWidth="1"/>
    <col min="7956" max="7956" width="7" style="19" customWidth="1"/>
    <col min="7957" max="7957" width="9.140625" style="19"/>
    <col min="7958" max="7958" width="12.42578125" style="19" customWidth="1"/>
    <col min="7959" max="7960" width="9.140625" style="19"/>
    <col min="7961" max="7961" width="9.140625" style="19" customWidth="1"/>
    <col min="7962" max="7962" width="7.42578125" style="19" customWidth="1"/>
    <col min="7963" max="7963" width="6.5703125" style="19" customWidth="1"/>
    <col min="7964" max="8192" width="9.140625" style="19"/>
    <col min="8193" max="8193" width="0.140625" style="19" customWidth="1"/>
    <col min="8194" max="8194" width="9.140625" style="19"/>
    <col min="8195" max="8195" width="9.42578125" style="19" customWidth="1"/>
    <col min="8196" max="8196" width="13.5703125" style="19" customWidth="1"/>
    <col min="8197" max="8203" width="9.140625" style="19"/>
    <col min="8204" max="8204" width="4.140625" style="19" customWidth="1"/>
    <col min="8205" max="8205" width="7" style="19" customWidth="1"/>
    <col min="8206" max="8206" width="4" style="19" customWidth="1"/>
    <col min="8207" max="8207" width="8.140625" style="19" customWidth="1"/>
    <col min="8208" max="8208" width="6.28515625" style="19" customWidth="1"/>
    <col min="8209" max="8209" width="6.42578125" style="19" customWidth="1"/>
    <col min="8210" max="8210" width="7" style="19" customWidth="1"/>
    <col min="8211" max="8211" width="7.140625" style="19" customWidth="1"/>
    <col min="8212" max="8212" width="7" style="19" customWidth="1"/>
    <col min="8213" max="8213" width="9.140625" style="19"/>
    <col min="8214" max="8214" width="12.42578125" style="19" customWidth="1"/>
    <col min="8215" max="8216" width="9.140625" style="19"/>
    <col min="8217" max="8217" width="9.140625" style="19" customWidth="1"/>
    <col min="8218" max="8218" width="7.42578125" style="19" customWidth="1"/>
    <col min="8219" max="8219" width="6.5703125" style="19" customWidth="1"/>
    <col min="8220" max="8448" width="9.140625" style="19"/>
    <col min="8449" max="8449" width="0.140625" style="19" customWidth="1"/>
    <col min="8450" max="8450" width="9.140625" style="19"/>
    <col min="8451" max="8451" width="9.42578125" style="19" customWidth="1"/>
    <col min="8452" max="8452" width="13.5703125" style="19" customWidth="1"/>
    <col min="8453" max="8459" width="9.140625" style="19"/>
    <col min="8460" max="8460" width="4.140625" style="19" customWidth="1"/>
    <col min="8461" max="8461" width="7" style="19" customWidth="1"/>
    <col min="8462" max="8462" width="4" style="19" customWidth="1"/>
    <col min="8463" max="8463" width="8.140625" style="19" customWidth="1"/>
    <col min="8464" max="8464" width="6.28515625" style="19" customWidth="1"/>
    <col min="8465" max="8465" width="6.42578125" style="19" customWidth="1"/>
    <col min="8466" max="8466" width="7" style="19" customWidth="1"/>
    <col min="8467" max="8467" width="7.140625" style="19" customWidth="1"/>
    <col min="8468" max="8468" width="7" style="19" customWidth="1"/>
    <col min="8469" max="8469" width="9.140625" style="19"/>
    <col min="8470" max="8470" width="12.42578125" style="19" customWidth="1"/>
    <col min="8471" max="8472" width="9.140625" style="19"/>
    <col min="8473" max="8473" width="9.140625" style="19" customWidth="1"/>
    <col min="8474" max="8474" width="7.42578125" style="19" customWidth="1"/>
    <col min="8475" max="8475" width="6.5703125" style="19" customWidth="1"/>
    <col min="8476" max="8704" width="9.140625" style="19"/>
    <col min="8705" max="8705" width="0.140625" style="19" customWidth="1"/>
    <col min="8706" max="8706" width="9.140625" style="19"/>
    <col min="8707" max="8707" width="9.42578125" style="19" customWidth="1"/>
    <col min="8708" max="8708" width="13.5703125" style="19" customWidth="1"/>
    <col min="8709" max="8715" width="9.140625" style="19"/>
    <col min="8716" max="8716" width="4.140625" style="19" customWidth="1"/>
    <col min="8717" max="8717" width="7" style="19" customWidth="1"/>
    <col min="8718" max="8718" width="4" style="19" customWidth="1"/>
    <col min="8719" max="8719" width="8.140625" style="19" customWidth="1"/>
    <col min="8720" max="8720" width="6.28515625" style="19" customWidth="1"/>
    <col min="8721" max="8721" width="6.42578125" style="19" customWidth="1"/>
    <col min="8722" max="8722" width="7" style="19" customWidth="1"/>
    <col min="8723" max="8723" width="7.140625" style="19" customWidth="1"/>
    <col min="8724" max="8724" width="7" style="19" customWidth="1"/>
    <col min="8725" max="8725" width="9.140625" style="19"/>
    <col min="8726" max="8726" width="12.42578125" style="19" customWidth="1"/>
    <col min="8727" max="8728" width="9.140625" style="19"/>
    <col min="8729" max="8729" width="9.140625" style="19" customWidth="1"/>
    <col min="8730" max="8730" width="7.42578125" style="19" customWidth="1"/>
    <col min="8731" max="8731" width="6.5703125" style="19" customWidth="1"/>
    <col min="8732" max="8960" width="9.140625" style="19"/>
    <col min="8961" max="8961" width="0.140625" style="19" customWidth="1"/>
    <col min="8962" max="8962" width="9.140625" style="19"/>
    <col min="8963" max="8963" width="9.42578125" style="19" customWidth="1"/>
    <col min="8964" max="8964" width="13.5703125" style="19" customWidth="1"/>
    <col min="8965" max="8971" width="9.140625" style="19"/>
    <col min="8972" max="8972" width="4.140625" style="19" customWidth="1"/>
    <col min="8973" max="8973" width="7" style="19" customWidth="1"/>
    <col min="8974" max="8974" width="4" style="19" customWidth="1"/>
    <col min="8975" max="8975" width="8.140625" style="19" customWidth="1"/>
    <col min="8976" max="8976" width="6.28515625" style="19" customWidth="1"/>
    <col min="8977" max="8977" width="6.42578125" style="19" customWidth="1"/>
    <col min="8978" max="8978" width="7" style="19" customWidth="1"/>
    <col min="8979" max="8979" width="7.140625" style="19" customWidth="1"/>
    <col min="8980" max="8980" width="7" style="19" customWidth="1"/>
    <col min="8981" max="8981" width="9.140625" style="19"/>
    <col min="8982" max="8982" width="12.42578125" style="19" customWidth="1"/>
    <col min="8983" max="8984" width="9.140625" style="19"/>
    <col min="8985" max="8985" width="9.140625" style="19" customWidth="1"/>
    <col min="8986" max="8986" width="7.42578125" style="19" customWidth="1"/>
    <col min="8987" max="8987" width="6.5703125" style="19" customWidth="1"/>
    <col min="8988" max="9216" width="9.140625" style="19"/>
    <col min="9217" max="9217" width="0.140625" style="19" customWidth="1"/>
    <col min="9218" max="9218" width="9.140625" style="19"/>
    <col min="9219" max="9219" width="9.42578125" style="19" customWidth="1"/>
    <col min="9220" max="9220" width="13.5703125" style="19" customWidth="1"/>
    <col min="9221" max="9227" width="9.140625" style="19"/>
    <col min="9228" max="9228" width="4.140625" style="19" customWidth="1"/>
    <col min="9229" max="9229" width="7" style="19" customWidth="1"/>
    <col min="9230" max="9230" width="4" style="19" customWidth="1"/>
    <col min="9231" max="9231" width="8.140625" style="19" customWidth="1"/>
    <col min="9232" max="9232" width="6.28515625" style="19" customWidth="1"/>
    <col min="9233" max="9233" width="6.42578125" style="19" customWidth="1"/>
    <col min="9234" max="9234" width="7" style="19" customWidth="1"/>
    <col min="9235" max="9235" width="7.140625" style="19" customWidth="1"/>
    <col min="9236" max="9236" width="7" style="19" customWidth="1"/>
    <col min="9237" max="9237" width="9.140625" style="19"/>
    <col min="9238" max="9238" width="12.42578125" style="19" customWidth="1"/>
    <col min="9239" max="9240" width="9.140625" style="19"/>
    <col min="9241" max="9241" width="9.140625" style="19" customWidth="1"/>
    <col min="9242" max="9242" width="7.42578125" style="19" customWidth="1"/>
    <col min="9243" max="9243" width="6.5703125" style="19" customWidth="1"/>
    <col min="9244" max="9472" width="9.140625" style="19"/>
    <col min="9473" max="9473" width="0.140625" style="19" customWidth="1"/>
    <col min="9474" max="9474" width="9.140625" style="19"/>
    <col min="9475" max="9475" width="9.42578125" style="19" customWidth="1"/>
    <col min="9476" max="9476" width="13.5703125" style="19" customWidth="1"/>
    <col min="9477" max="9483" width="9.140625" style="19"/>
    <col min="9484" max="9484" width="4.140625" style="19" customWidth="1"/>
    <col min="9485" max="9485" width="7" style="19" customWidth="1"/>
    <col min="9486" max="9486" width="4" style="19" customWidth="1"/>
    <col min="9487" max="9487" width="8.140625" style="19" customWidth="1"/>
    <col min="9488" max="9488" width="6.28515625" style="19" customWidth="1"/>
    <col min="9489" max="9489" width="6.42578125" style="19" customWidth="1"/>
    <col min="9490" max="9490" width="7" style="19" customWidth="1"/>
    <col min="9491" max="9491" width="7.140625" style="19" customWidth="1"/>
    <col min="9492" max="9492" width="7" style="19" customWidth="1"/>
    <col min="9493" max="9493" width="9.140625" style="19"/>
    <col min="9494" max="9494" width="12.42578125" style="19" customWidth="1"/>
    <col min="9495" max="9496" width="9.140625" style="19"/>
    <col min="9497" max="9497" width="9.140625" style="19" customWidth="1"/>
    <col min="9498" max="9498" width="7.42578125" style="19" customWidth="1"/>
    <col min="9499" max="9499" width="6.5703125" style="19" customWidth="1"/>
    <col min="9500" max="9728" width="9.140625" style="19"/>
    <col min="9729" max="9729" width="0.140625" style="19" customWidth="1"/>
    <col min="9730" max="9730" width="9.140625" style="19"/>
    <col min="9731" max="9731" width="9.42578125" style="19" customWidth="1"/>
    <col min="9732" max="9732" width="13.5703125" style="19" customWidth="1"/>
    <col min="9733" max="9739" width="9.140625" style="19"/>
    <col min="9740" max="9740" width="4.140625" style="19" customWidth="1"/>
    <col min="9741" max="9741" width="7" style="19" customWidth="1"/>
    <col min="9742" max="9742" width="4" style="19" customWidth="1"/>
    <col min="9743" max="9743" width="8.140625" style="19" customWidth="1"/>
    <col min="9744" max="9744" width="6.28515625" style="19" customWidth="1"/>
    <col min="9745" max="9745" width="6.42578125" style="19" customWidth="1"/>
    <col min="9746" max="9746" width="7" style="19" customWidth="1"/>
    <col min="9747" max="9747" width="7.140625" style="19" customWidth="1"/>
    <col min="9748" max="9748" width="7" style="19" customWidth="1"/>
    <col min="9749" max="9749" width="9.140625" style="19"/>
    <col min="9750" max="9750" width="12.42578125" style="19" customWidth="1"/>
    <col min="9751" max="9752" width="9.140625" style="19"/>
    <col min="9753" max="9753" width="9.140625" style="19" customWidth="1"/>
    <col min="9754" max="9754" width="7.42578125" style="19" customWidth="1"/>
    <col min="9755" max="9755" width="6.5703125" style="19" customWidth="1"/>
    <col min="9756" max="9984" width="9.140625" style="19"/>
    <col min="9985" max="9985" width="0.140625" style="19" customWidth="1"/>
    <col min="9986" max="9986" width="9.140625" style="19"/>
    <col min="9987" max="9987" width="9.42578125" style="19" customWidth="1"/>
    <col min="9988" max="9988" width="13.5703125" style="19" customWidth="1"/>
    <col min="9989" max="9995" width="9.140625" style="19"/>
    <col min="9996" max="9996" width="4.140625" style="19" customWidth="1"/>
    <col min="9997" max="9997" width="7" style="19" customWidth="1"/>
    <col min="9998" max="9998" width="4" style="19" customWidth="1"/>
    <col min="9999" max="9999" width="8.140625" style="19" customWidth="1"/>
    <col min="10000" max="10000" width="6.28515625" style="19" customWidth="1"/>
    <col min="10001" max="10001" width="6.42578125" style="19" customWidth="1"/>
    <col min="10002" max="10002" width="7" style="19" customWidth="1"/>
    <col min="10003" max="10003" width="7.140625" style="19" customWidth="1"/>
    <col min="10004" max="10004" width="7" style="19" customWidth="1"/>
    <col min="10005" max="10005" width="9.140625" style="19"/>
    <col min="10006" max="10006" width="12.42578125" style="19" customWidth="1"/>
    <col min="10007" max="10008" width="9.140625" style="19"/>
    <col min="10009" max="10009" width="9.140625" style="19" customWidth="1"/>
    <col min="10010" max="10010" width="7.42578125" style="19" customWidth="1"/>
    <col min="10011" max="10011" width="6.5703125" style="19" customWidth="1"/>
    <col min="10012" max="10240" width="9.140625" style="19"/>
    <col min="10241" max="10241" width="0.140625" style="19" customWidth="1"/>
    <col min="10242" max="10242" width="9.140625" style="19"/>
    <col min="10243" max="10243" width="9.42578125" style="19" customWidth="1"/>
    <col min="10244" max="10244" width="13.5703125" style="19" customWidth="1"/>
    <col min="10245" max="10251" width="9.140625" style="19"/>
    <col min="10252" max="10252" width="4.140625" style="19" customWidth="1"/>
    <col min="10253" max="10253" width="7" style="19" customWidth="1"/>
    <col min="10254" max="10254" width="4" style="19" customWidth="1"/>
    <col min="10255" max="10255" width="8.140625" style="19" customWidth="1"/>
    <col min="10256" max="10256" width="6.28515625" style="19" customWidth="1"/>
    <col min="10257" max="10257" width="6.42578125" style="19" customWidth="1"/>
    <col min="10258" max="10258" width="7" style="19" customWidth="1"/>
    <col min="10259" max="10259" width="7.140625" style="19" customWidth="1"/>
    <col min="10260" max="10260" width="7" style="19" customWidth="1"/>
    <col min="10261" max="10261" width="9.140625" style="19"/>
    <col min="10262" max="10262" width="12.42578125" style="19" customWidth="1"/>
    <col min="10263" max="10264" width="9.140625" style="19"/>
    <col min="10265" max="10265" width="9.140625" style="19" customWidth="1"/>
    <col min="10266" max="10266" width="7.42578125" style="19" customWidth="1"/>
    <col min="10267" max="10267" width="6.5703125" style="19" customWidth="1"/>
    <col min="10268" max="10496" width="9.140625" style="19"/>
    <col min="10497" max="10497" width="0.140625" style="19" customWidth="1"/>
    <col min="10498" max="10498" width="9.140625" style="19"/>
    <col min="10499" max="10499" width="9.42578125" style="19" customWidth="1"/>
    <col min="10500" max="10500" width="13.5703125" style="19" customWidth="1"/>
    <col min="10501" max="10507" width="9.140625" style="19"/>
    <col min="10508" max="10508" width="4.140625" style="19" customWidth="1"/>
    <col min="10509" max="10509" width="7" style="19" customWidth="1"/>
    <col min="10510" max="10510" width="4" style="19" customWidth="1"/>
    <col min="10511" max="10511" width="8.140625" style="19" customWidth="1"/>
    <col min="10512" max="10512" width="6.28515625" style="19" customWidth="1"/>
    <col min="10513" max="10513" width="6.42578125" style="19" customWidth="1"/>
    <col min="10514" max="10514" width="7" style="19" customWidth="1"/>
    <col min="10515" max="10515" width="7.140625" style="19" customWidth="1"/>
    <col min="10516" max="10516" width="7" style="19" customWidth="1"/>
    <col min="10517" max="10517" width="9.140625" style="19"/>
    <col min="10518" max="10518" width="12.42578125" style="19" customWidth="1"/>
    <col min="10519" max="10520" width="9.140625" style="19"/>
    <col min="10521" max="10521" width="9.140625" style="19" customWidth="1"/>
    <col min="10522" max="10522" width="7.42578125" style="19" customWidth="1"/>
    <col min="10523" max="10523" width="6.5703125" style="19" customWidth="1"/>
    <col min="10524" max="10752" width="9.140625" style="19"/>
    <col min="10753" max="10753" width="0.140625" style="19" customWidth="1"/>
    <col min="10754" max="10754" width="9.140625" style="19"/>
    <col min="10755" max="10755" width="9.42578125" style="19" customWidth="1"/>
    <col min="10756" max="10756" width="13.5703125" style="19" customWidth="1"/>
    <col min="10757" max="10763" width="9.140625" style="19"/>
    <col min="10764" max="10764" width="4.140625" style="19" customWidth="1"/>
    <col min="10765" max="10765" width="7" style="19" customWidth="1"/>
    <col min="10766" max="10766" width="4" style="19" customWidth="1"/>
    <col min="10767" max="10767" width="8.140625" style="19" customWidth="1"/>
    <col min="10768" max="10768" width="6.28515625" style="19" customWidth="1"/>
    <col min="10769" max="10769" width="6.42578125" style="19" customWidth="1"/>
    <col min="10770" max="10770" width="7" style="19" customWidth="1"/>
    <col min="10771" max="10771" width="7.140625" style="19" customWidth="1"/>
    <col min="10772" max="10772" width="7" style="19" customWidth="1"/>
    <col min="10773" max="10773" width="9.140625" style="19"/>
    <col min="10774" max="10774" width="12.42578125" style="19" customWidth="1"/>
    <col min="10775" max="10776" width="9.140625" style="19"/>
    <col min="10777" max="10777" width="9.140625" style="19" customWidth="1"/>
    <col min="10778" max="10778" width="7.42578125" style="19" customWidth="1"/>
    <col min="10779" max="10779" width="6.5703125" style="19" customWidth="1"/>
    <col min="10780" max="11008" width="9.140625" style="19"/>
    <col min="11009" max="11009" width="0.140625" style="19" customWidth="1"/>
    <col min="11010" max="11010" width="9.140625" style="19"/>
    <col min="11011" max="11011" width="9.42578125" style="19" customWidth="1"/>
    <col min="11012" max="11012" width="13.5703125" style="19" customWidth="1"/>
    <col min="11013" max="11019" width="9.140625" style="19"/>
    <col min="11020" max="11020" width="4.140625" style="19" customWidth="1"/>
    <col min="11021" max="11021" width="7" style="19" customWidth="1"/>
    <col min="11022" max="11022" width="4" style="19" customWidth="1"/>
    <col min="11023" max="11023" width="8.140625" style="19" customWidth="1"/>
    <col min="11024" max="11024" width="6.28515625" style="19" customWidth="1"/>
    <col min="11025" max="11025" width="6.42578125" style="19" customWidth="1"/>
    <col min="11026" max="11026" width="7" style="19" customWidth="1"/>
    <col min="11027" max="11027" width="7.140625" style="19" customWidth="1"/>
    <col min="11028" max="11028" width="7" style="19" customWidth="1"/>
    <col min="11029" max="11029" width="9.140625" style="19"/>
    <col min="11030" max="11030" width="12.42578125" style="19" customWidth="1"/>
    <col min="11031" max="11032" width="9.140625" style="19"/>
    <col min="11033" max="11033" width="9.140625" style="19" customWidth="1"/>
    <col min="11034" max="11034" width="7.42578125" style="19" customWidth="1"/>
    <col min="11035" max="11035" width="6.5703125" style="19" customWidth="1"/>
    <col min="11036" max="11264" width="9.140625" style="19"/>
    <col min="11265" max="11265" width="0.140625" style="19" customWidth="1"/>
    <col min="11266" max="11266" width="9.140625" style="19"/>
    <col min="11267" max="11267" width="9.42578125" style="19" customWidth="1"/>
    <col min="11268" max="11268" width="13.5703125" style="19" customWidth="1"/>
    <col min="11269" max="11275" width="9.140625" style="19"/>
    <col min="11276" max="11276" width="4.140625" style="19" customWidth="1"/>
    <col min="11277" max="11277" width="7" style="19" customWidth="1"/>
    <col min="11278" max="11278" width="4" style="19" customWidth="1"/>
    <col min="11279" max="11279" width="8.140625" style="19" customWidth="1"/>
    <col min="11280" max="11280" width="6.28515625" style="19" customWidth="1"/>
    <col min="11281" max="11281" width="6.42578125" style="19" customWidth="1"/>
    <col min="11282" max="11282" width="7" style="19" customWidth="1"/>
    <col min="11283" max="11283" width="7.140625" style="19" customWidth="1"/>
    <col min="11284" max="11284" width="7" style="19" customWidth="1"/>
    <col min="11285" max="11285" width="9.140625" style="19"/>
    <col min="11286" max="11286" width="12.42578125" style="19" customWidth="1"/>
    <col min="11287" max="11288" width="9.140625" style="19"/>
    <col min="11289" max="11289" width="9.140625" style="19" customWidth="1"/>
    <col min="11290" max="11290" width="7.42578125" style="19" customWidth="1"/>
    <col min="11291" max="11291" width="6.5703125" style="19" customWidth="1"/>
    <col min="11292" max="11520" width="9.140625" style="19"/>
    <col min="11521" max="11521" width="0.140625" style="19" customWidth="1"/>
    <col min="11522" max="11522" width="9.140625" style="19"/>
    <col min="11523" max="11523" width="9.42578125" style="19" customWidth="1"/>
    <col min="11524" max="11524" width="13.5703125" style="19" customWidth="1"/>
    <col min="11525" max="11531" width="9.140625" style="19"/>
    <col min="11532" max="11532" width="4.140625" style="19" customWidth="1"/>
    <col min="11533" max="11533" width="7" style="19" customWidth="1"/>
    <col min="11534" max="11534" width="4" style="19" customWidth="1"/>
    <col min="11535" max="11535" width="8.140625" style="19" customWidth="1"/>
    <col min="11536" max="11536" width="6.28515625" style="19" customWidth="1"/>
    <col min="11537" max="11537" width="6.42578125" style="19" customWidth="1"/>
    <col min="11538" max="11538" width="7" style="19" customWidth="1"/>
    <col min="11539" max="11539" width="7.140625" style="19" customWidth="1"/>
    <col min="11540" max="11540" width="7" style="19" customWidth="1"/>
    <col min="11541" max="11541" width="9.140625" style="19"/>
    <col min="11542" max="11542" width="12.42578125" style="19" customWidth="1"/>
    <col min="11543" max="11544" width="9.140625" style="19"/>
    <col min="11545" max="11545" width="9.140625" style="19" customWidth="1"/>
    <col min="11546" max="11546" width="7.42578125" style="19" customWidth="1"/>
    <col min="11547" max="11547" width="6.5703125" style="19" customWidth="1"/>
    <col min="11548" max="11776" width="9.140625" style="19"/>
    <col min="11777" max="11777" width="0.140625" style="19" customWidth="1"/>
    <col min="11778" max="11778" width="9.140625" style="19"/>
    <col min="11779" max="11779" width="9.42578125" style="19" customWidth="1"/>
    <col min="11780" max="11780" width="13.5703125" style="19" customWidth="1"/>
    <col min="11781" max="11787" width="9.140625" style="19"/>
    <col min="11788" max="11788" width="4.140625" style="19" customWidth="1"/>
    <col min="11789" max="11789" width="7" style="19" customWidth="1"/>
    <col min="11790" max="11790" width="4" style="19" customWidth="1"/>
    <col min="11791" max="11791" width="8.140625" style="19" customWidth="1"/>
    <col min="11792" max="11792" width="6.28515625" style="19" customWidth="1"/>
    <col min="11793" max="11793" width="6.42578125" style="19" customWidth="1"/>
    <col min="11794" max="11794" width="7" style="19" customWidth="1"/>
    <col min="11795" max="11795" width="7.140625" style="19" customWidth="1"/>
    <col min="11796" max="11796" width="7" style="19" customWidth="1"/>
    <col min="11797" max="11797" width="9.140625" style="19"/>
    <col min="11798" max="11798" width="12.42578125" style="19" customWidth="1"/>
    <col min="11799" max="11800" width="9.140625" style="19"/>
    <col min="11801" max="11801" width="9.140625" style="19" customWidth="1"/>
    <col min="11802" max="11802" width="7.42578125" style="19" customWidth="1"/>
    <col min="11803" max="11803" width="6.5703125" style="19" customWidth="1"/>
    <col min="11804" max="12032" width="9.140625" style="19"/>
    <col min="12033" max="12033" width="0.140625" style="19" customWidth="1"/>
    <col min="12034" max="12034" width="9.140625" style="19"/>
    <col min="12035" max="12035" width="9.42578125" style="19" customWidth="1"/>
    <col min="12036" max="12036" width="13.5703125" style="19" customWidth="1"/>
    <col min="12037" max="12043" width="9.140625" style="19"/>
    <col min="12044" max="12044" width="4.140625" style="19" customWidth="1"/>
    <col min="12045" max="12045" width="7" style="19" customWidth="1"/>
    <col min="12046" max="12046" width="4" style="19" customWidth="1"/>
    <col min="12047" max="12047" width="8.140625" style="19" customWidth="1"/>
    <col min="12048" max="12048" width="6.28515625" style="19" customWidth="1"/>
    <col min="12049" max="12049" width="6.42578125" style="19" customWidth="1"/>
    <col min="12050" max="12050" width="7" style="19" customWidth="1"/>
    <col min="12051" max="12051" width="7.140625" style="19" customWidth="1"/>
    <col min="12052" max="12052" width="7" style="19" customWidth="1"/>
    <col min="12053" max="12053" width="9.140625" style="19"/>
    <col min="12054" max="12054" width="12.42578125" style="19" customWidth="1"/>
    <col min="12055" max="12056" width="9.140625" style="19"/>
    <col min="12057" max="12057" width="9.140625" style="19" customWidth="1"/>
    <col min="12058" max="12058" width="7.42578125" style="19" customWidth="1"/>
    <col min="12059" max="12059" width="6.5703125" style="19" customWidth="1"/>
    <col min="12060" max="12288" width="9.140625" style="19"/>
    <col min="12289" max="12289" width="0.140625" style="19" customWidth="1"/>
    <col min="12290" max="12290" width="9.140625" style="19"/>
    <col min="12291" max="12291" width="9.42578125" style="19" customWidth="1"/>
    <col min="12292" max="12292" width="13.5703125" style="19" customWidth="1"/>
    <col min="12293" max="12299" width="9.140625" style="19"/>
    <col min="12300" max="12300" width="4.140625" style="19" customWidth="1"/>
    <col min="12301" max="12301" width="7" style="19" customWidth="1"/>
    <col min="12302" max="12302" width="4" style="19" customWidth="1"/>
    <col min="12303" max="12303" width="8.140625" style="19" customWidth="1"/>
    <col min="12304" max="12304" width="6.28515625" style="19" customWidth="1"/>
    <col min="12305" max="12305" width="6.42578125" style="19" customWidth="1"/>
    <col min="12306" max="12306" width="7" style="19" customWidth="1"/>
    <col min="12307" max="12307" width="7.140625" style="19" customWidth="1"/>
    <col min="12308" max="12308" width="7" style="19" customWidth="1"/>
    <col min="12309" max="12309" width="9.140625" style="19"/>
    <col min="12310" max="12310" width="12.42578125" style="19" customWidth="1"/>
    <col min="12311" max="12312" width="9.140625" style="19"/>
    <col min="12313" max="12313" width="9.140625" style="19" customWidth="1"/>
    <col min="12314" max="12314" width="7.42578125" style="19" customWidth="1"/>
    <col min="12315" max="12315" width="6.5703125" style="19" customWidth="1"/>
    <col min="12316" max="12544" width="9.140625" style="19"/>
    <col min="12545" max="12545" width="0.140625" style="19" customWidth="1"/>
    <col min="12546" max="12546" width="9.140625" style="19"/>
    <col min="12547" max="12547" width="9.42578125" style="19" customWidth="1"/>
    <col min="12548" max="12548" width="13.5703125" style="19" customWidth="1"/>
    <col min="12549" max="12555" width="9.140625" style="19"/>
    <col min="12556" max="12556" width="4.140625" style="19" customWidth="1"/>
    <col min="12557" max="12557" width="7" style="19" customWidth="1"/>
    <col min="12558" max="12558" width="4" style="19" customWidth="1"/>
    <col min="12559" max="12559" width="8.140625" style="19" customWidth="1"/>
    <col min="12560" max="12560" width="6.28515625" style="19" customWidth="1"/>
    <col min="12561" max="12561" width="6.42578125" style="19" customWidth="1"/>
    <col min="12562" max="12562" width="7" style="19" customWidth="1"/>
    <col min="12563" max="12563" width="7.140625" style="19" customWidth="1"/>
    <col min="12564" max="12564" width="7" style="19" customWidth="1"/>
    <col min="12565" max="12565" width="9.140625" style="19"/>
    <col min="12566" max="12566" width="12.42578125" style="19" customWidth="1"/>
    <col min="12567" max="12568" width="9.140625" style="19"/>
    <col min="12569" max="12569" width="9.140625" style="19" customWidth="1"/>
    <col min="12570" max="12570" width="7.42578125" style="19" customWidth="1"/>
    <col min="12571" max="12571" width="6.5703125" style="19" customWidth="1"/>
    <col min="12572" max="12800" width="9.140625" style="19"/>
    <col min="12801" max="12801" width="0.140625" style="19" customWidth="1"/>
    <col min="12802" max="12802" width="9.140625" style="19"/>
    <col min="12803" max="12803" width="9.42578125" style="19" customWidth="1"/>
    <col min="12804" max="12804" width="13.5703125" style="19" customWidth="1"/>
    <col min="12805" max="12811" width="9.140625" style="19"/>
    <col min="12812" max="12812" width="4.140625" style="19" customWidth="1"/>
    <col min="12813" max="12813" width="7" style="19" customWidth="1"/>
    <col min="12814" max="12814" width="4" style="19" customWidth="1"/>
    <col min="12815" max="12815" width="8.140625" style="19" customWidth="1"/>
    <col min="12816" max="12816" width="6.28515625" style="19" customWidth="1"/>
    <col min="12817" max="12817" width="6.42578125" style="19" customWidth="1"/>
    <col min="12818" max="12818" width="7" style="19" customWidth="1"/>
    <col min="12819" max="12819" width="7.140625" style="19" customWidth="1"/>
    <col min="12820" max="12820" width="7" style="19" customWidth="1"/>
    <col min="12821" max="12821" width="9.140625" style="19"/>
    <col min="12822" max="12822" width="12.42578125" style="19" customWidth="1"/>
    <col min="12823" max="12824" width="9.140625" style="19"/>
    <col min="12825" max="12825" width="9.140625" style="19" customWidth="1"/>
    <col min="12826" max="12826" width="7.42578125" style="19" customWidth="1"/>
    <col min="12827" max="12827" width="6.5703125" style="19" customWidth="1"/>
    <col min="12828" max="13056" width="9.140625" style="19"/>
    <col min="13057" max="13057" width="0.140625" style="19" customWidth="1"/>
    <col min="13058" max="13058" width="9.140625" style="19"/>
    <col min="13059" max="13059" width="9.42578125" style="19" customWidth="1"/>
    <col min="13060" max="13060" width="13.5703125" style="19" customWidth="1"/>
    <col min="13061" max="13067" width="9.140625" style="19"/>
    <col min="13068" max="13068" width="4.140625" style="19" customWidth="1"/>
    <col min="13069" max="13069" width="7" style="19" customWidth="1"/>
    <col min="13070" max="13070" width="4" style="19" customWidth="1"/>
    <col min="13071" max="13071" width="8.140625" style="19" customWidth="1"/>
    <col min="13072" max="13072" width="6.28515625" style="19" customWidth="1"/>
    <col min="13073" max="13073" width="6.42578125" style="19" customWidth="1"/>
    <col min="13074" max="13074" width="7" style="19" customWidth="1"/>
    <col min="13075" max="13075" width="7.140625" style="19" customWidth="1"/>
    <col min="13076" max="13076" width="7" style="19" customWidth="1"/>
    <col min="13077" max="13077" width="9.140625" style="19"/>
    <col min="13078" max="13078" width="12.42578125" style="19" customWidth="1"/>
    <col min="13079" max="13080" width="9.140625" style="19"/>
    <col min="13081" max="13081" width="9.140625" style="19" customWidth="1"/>
    <col min="13082" max="13082" width="7.42578125" style="19" customWidth="1"/>
    <col min="13083" max="13083" width="6.5703125" style="19" customWidth="1"/>
    <col min="13084" max="13312" width="9.140625" style="19"/>
    <col min="13313" max="13313" width="0.140625" style="19" customWidth="1"/>
    <col min="13314" max="13314" width="9.140625" style="19"/>
    <col min="13315" max="13315" width="9.42578125" style="19" customWidth="1"/>
    <col min="13316" max="13316" width="13.5703125" style="19" customWidth="1"/>
    <col min="13317" max="13323" width="9.140625" style="19"/>
    <col min="13324" max="13324" width="4.140625" style="19" customWidth="1"/>
    <col min="13325" max="13325" width="7" style="19" customWidth="1"/>
    <col min="13326" max="13326" width="4" style="19" customWidth="1"/>
    <col min="13327" max="13327" width="8.140625" style="19" customWidth="1"/>
    <col min="13328" max="13328" width="6.28515625" style="19" customWidth="1"/>
    <col min="13329" max="13329" width="6.42578125" style="19" customWidth="1"/>
    <col min="13330" max="13330" width="7" style="19" customWidth="1"/>
    <col min="13331" max="13331" width="7.140625" style="19" customWidth="1"/>
    <col min="13332" max="13332" width="7" style="19" customWidth="1"/>
    <col min="13333" max="13333" width="9.140625" style="19"/>
    <col min="13334" max="13334" width="12.42578125" style="19" customWidth="1"/>
    <col min="13335" max="13336" width="9.140625" style="19"/>
    <col min="13337" max="13337" width="9.140625" style="19" customWidth="1"/>
    <col min="13338" max="13338" width="7.42578125" style="19" customWidth="1"/>
    <col min="13339" max="13339" width="6.5703125" style="19" customWidth="1"/>
    <col min="13340" max="13568" width="9.140625" style="19"/>
    <col min="13569" max="13569" width="0.140625" style="19" customWidth="1"/>
    <col min="13570" max="13570" width="9.140625" style="19"/>
    <col min="13571" max="13571" width="9.42578125" style="19" customWidth="1"/>
    <col min="13572" max="13572" width="13.5703125" style="19" customWidth="1"/>
    <col min="13573" max="13579" width="9.140625" style="19"/>
    <col min="13580" max="13580" width="4.140625" style="19" customWidth="1"/>
    <col min="13581" max="13581" width="7" style="19" customWidth="1"/>
    <col min="13582" max="13582" width="4" style="19" customWidth="1"/>
    <col min="13583" max="13583" width="8.140625" style="19" customWidth="1"/>
    <col min="13584" max="13584" width="6.28515625" style="19" customWidth="1"/>
    <col min="13585" max="13585" width="6.42578125" style="19" customWidth="1"/>
    <col min="13586" max="13586" width="7" style="19" customWidth="1"/>
    <col min="13587" max="13587" width="7.140625" style="19" customWidth="1"/>
    <col min="13588" max="13588" width="7" style="19" customWidth="1"/>
    <col min="13589" max="13589" width="9.140625" style="19"/>
    <col min="13590" max="13590" width="12.42578125" style="19" customWidth="1"/>
    <col min="13591" max="13592" width="9.140625" style="19"/>
    <col min="13593" max="13593" width="9.140625" style="19" customWidth="1"/>
    <col min="13594" max="13594" width="7.42578125" style="19" customWidth="1"/>
    <col min="13595" max="13595" width="6.5703125" style="19" customWidth="1"/>
    <col min="13596" max="13824" width="9.140625" style="19"/>
    <col min="13825" max="13825" width="0.140625" style="19" customWidth="1"/>
    <col min="13826" max="13826" width="9.140625" style="19"/>
    <col min="13827" max="13827" width="9.42578125" style="19" customWidth="1"/>
    <col min="13828" max="13828" width="13.5703125" style="19" customWidth="1"/>
    <col min="13829" max="13835" width="9.140625" style="19"/>
    <col min="13836" max="13836" width="4.140625" style="19" customWidth="1"/>
    <col min="13837" max="13837" width="7" style="19" customWidth="1"/>
    <col min="13838" max="13838" width="4" style="19" customWidth="1"/>
    <col min="13839" max="13839" width="8.140625" style="19" customWidth="1"/>
    <col min="13840" max="13840" width="6.28515625" style="19" customWidth="1"/>
    <col min="13841" max="13841" width="6.42578125" style="19" customWidth="1"/>
    <col min="13842" max="13842" width="7" style="19" customWidth="1"/>
    <col min="13843" max="13843" width="7.140625" style="19" customWidth="1"/>
    <col min="13844" max="13844" width="7" style="19" customWidth="1"/>
    <col min="13845" max="13845" width="9.140625" style="19"/>
    <col min="13846" max="13846" width="12.42578125" style="19" customWidth="1"/>
    <col min="13847" max="13848" width="9.140625" style="19"/>
    <col min="13849" max="13849" width="9.140625" style="19" customWidth="1"/>
    <col min="13850" max="13850" width="7.42578125" style="19" customWidth="1"/>
    <col min="13851" max="13851" width="6.5703125" style="19" customWidth="1"/>
    <col min="13852" max="14080" width="9.140625" style="19"/>
    <col min="14081" max="14081" width="0.140625" style="19" customWidth="1"/>
    <col min="14082" max="14082" width="9.140625" style="19"/>
    <col min="14083" max="14083" width="9.42578125" style="19" customWidth="1"/>
    <col min="14084" max="14084" width="13.5703125" style="19" customWidth="1"/>
    <col min="14085" max="14091" width="9.140625" style="19"/>
    <col min="14092" max="14092" width="4.140625" style="19" customWidth="1"/>
    <col min="14093" max="14093" width="7" style="19" customWidth="1"/>
    <col min="14094" max="14094" width="4" style="19" customWidth="1"/>
    <col min="14095" max="14095" width="8.140625" style="19" customWidth="1"/>
    <col min="14096" max="14096" width="6.28515625" style="19" customWidth="1"/>
    <col min="14097" max="14097" width="6.42578125" style="19" customWidth="1"/>
    <col min="14098" max="14098" width="7" style="19" customWidth="1"/>
    <col min="14099" max="14099" width="7.140625" style="19" customWidth="1"/>
    <col min="14100" max="14100" width="7" style="19" customWidth="1"/>
    <col min="14101" max="14101" width="9.140625" style="19"/>
    <col min="14102" max="14102" width="12.42578125" style="19" customWidth="1"/>
    <col min="14103" max="14104" width="9.140625" style="19"/>
    <col min="14105" max="14105" width="9.140625" style="19" customWidth="1"/>
    <col min="14106" max="14106" width="7.42578125" style="19" customWidth="1"/>
    <col min="14107" max="14107" width="6.5703125" style="19" customWidth="1"/>
    <col min="14108" max="14336" width="9.140625" style="19"/>
    <col min="14337" max="14337" width="0.140625" style="19" customWidth="1"/>
    <col min="14338" max="14338" width="9.140625" style="19"/>
    <col min="14339" max="14339" width="9.42578125" style="19" customWidth="1"/>
    <col min="14340" max="14340" width="13.5703125" style="19" customWidth="1"/>
    <col min="14341" max="14347" width="9.140625" style="19"/>
    <col min="14348" max="14348" width="4.140625" style="19" customWidth="1"/>
    <col min="14349" max="14349" width="7" style="19" customWidth="1"/>
    <col min="14350" max="14350" width="4" style="19" customWidth="1"/>
    <col min="14351" max="14351" width="8.140625" style="19" customWidth="1"/>
    <col min="14352" max="14352" width="6.28515625" style="19" customWidth="1"/>
    <col min="14353" max="14353" width="6.42578125" style="19" customWidth="1"/>
    <col min="14354" max="14354" width="7" style="19" customWidth="1"/>
    <col min="14355" max="14355" width="7.140625" style="19" customWidth="1"/>
    <col min="14356" max="14356" width="7" style="19" customWidth="1"/>
    <col min="14357" max="14357" width="9.140625" style="19"/>
    <col min="14358" max="14358" width="12.42578125" style="19" customWidth="1"/>
    <col min="14359" max="14360" width="9.140625" style="19"/>
    <col min="14361" max="14361" width="9.140625" style="19" customWidth="1"/>
    <col min="14362" max="14362" width="7.42578125" style="19" customWidth="1"/>
    <col min="14363" max="14363" width="6.5703125" style="19" customWidth="1"/>
    <col min="14364" max="14592" width="9.140625" style="19"/>
    <col min="14593" max="14593" width="0.140625" style="19" customWidth="1"/>
    <col min="14594" max="14594" width="9.140625" style="19"/>
    <col min="14595" max="14595" width="9.42578125" style="19" customWidth="1"/>
    <col min="14596" max="14596" width="13.5703125" style="19" customWidth="1"/>
    <col min="14597" max="14603" width="9.140625" style="19"/>
    <col min="14604" max="14604" width="4.140625" style="19" customWidth="1"/>
    <col min="14605" max="14605" width="7" style="19" customWidth="1"/>
    <col min="14606" max="14606" width="4" style="19" customWidth="1"/>
    <col min="14607" max="14607" width="8.140625" style="19" customWidth="1"/>
    <col min="14608" max="14608" width="6.28515625" style="19" customWidth="1"/>
    <col min="14609" max="14609" width="6.42578125" style="19" customWidth="1"/>
    <col min="14610" max="14610" width="7" style="19" customWidth="1"/>
    <col min="14611" max="14611" width="7.140625" style="19" customWidth="1"/>
    <col min="14612" max="14612" width="7" style="19" customWidth="1"/>
    <col min="14613" max="14613" width="9.140625" style="19"/>
    <col min="14614" max="14614" width="12.42578125" style="19" customWidth="1"/>
    <col min="14615" max="14616" width="9.140625" style="19"/>
    <col min="14617" max="14617" width="9.140625" style="19" customWidth="1"/>
    <col min="14618" max="14618" width="7.42578125" style="19" customWidth="1"/>
    <col min="14619" max="14619" width="6.5703125" style="19" customWidth="1"/>
    <col min="14620" max="14848" width="9.140625" style="19"/>
    <col min="14849" max="14849" width="0.140625" style="19" customWidth="1"/>
    <col min="14850" max="14850" width="9.140625" style="19"/>
    <col min="14851" max="14851" width="9.42578125" style="19" customWidth="1"/>
    <col min="14852" max="14852" width="13.5703125" style="19" customWidth="1"/>
    <col min="14853" max="14859" width="9.140625" style="19"/>
    <col min="14860" max="14860" width="4.140625" style="19" customWidth="1"/>
    <col min="14861" max="14861" width="7" style="19" customWidth="1"/>
    <col min="14862" max="14862" width="4" style="19" customWidth="1"/>
    <col min="14863" max="14863" width="8.140625" style="19" customWidth="1"/>
    <col min="14864" max="14864" width="6.28515625" style="19" customWidth="1"/>
    <col min="14865" max="14865" width="6.42578125" style="19" customWidth="1"/>
    <col min="14866" max="14866" width="7" style="19" customWidth="1"/>
    <col min="14867" max="14867" width="7.140625" style="19" customWidth="1"/>
    <col min="14868" max="14868" width="7" style="19" customWidth="1"/>
    <col min="14869" max="14869" width="9.140625" style="19"/>
    <col min="14870" max="14870" width="12.42578125" style="19" customWidth="1"/>
    <col min="14871" max="14872" width="9.140625" style="19"/>
    <col min="14873" max="14873" width="9.140625" style="19" customWidth="1"/>
    <col min="14874" max="14874" width="7.42578125" style="19" customWidth="1"/>
    <col min="14875" max="14875" width="6.5703125" style="19" customWidth="1"/>
    <col min="14876" max="15104" width="9.140625" style="19"/>
    <col min="15105" max="15105" width="0.140625" style="19" customWidth="1"/>
    <col min="15106" max="15106" width="9.140625" style="19"/>
    <col min="15107" max="15107" width="9.42578125" style="19" customWidth="1"/>
    <col min="15108" max="15108" width="13.5703125" style="19" customWidth="1"/>
    <col min="15109" max="15115" width="9.140625" style="19"/>
    <col min="15116" max="15116" width="4.140625" style="19" customWidth="1"/>
    <col min="15117" max="15117" width="7" style="19" customWidth="1"/>
    <col min="15118" max="15118" width="4" style="19" customWidth="1"/>
    <col min="15119" max="15119" width="8.140625" style="19" customWidth="1"/>
    <col min="15120" max="15120" width="6.28515625" style="19" customWidth="1"/>
    <col min="15121" max="15121" width="6.42578125" style="19" customWidth="1"/>
    <col min="15122" max="15122" width="7" style="19" customWidth="1"/>
    <col min="15123" max="15123" width="7.140625" style="19" customWidth="1"/>
    <col min="15124" max="15124" width="7" style="19" customWidth="1"/>
    <col min="15125" max="15125" width="9.140625" style="19"/>
    <col min="15126" max="15126" width="12.42578125" style="19" customWidth="1"/>
    <col min="15127" max="15128" width="9.140625" style="19"/>
    <col min="15129" max="15129" width="9.140625" style="19" customWidth="1"/>
    <col min="15130" max="15130" width="7.42578125" style="19" customWidth="1"/>
    <col min="15131" max="15131" width="6.5703125" style="19" customWidth="1"/>
    <col min="15132" max="15360" width="9.140625" style="19"/>
    <col min="15361" max="15361" width="0.140625" style="19" customWidth="1"/>
    <col min="15362" max="15362" width="9.140625" style="19"/>
    <col min="15363" max="15363" width="9.42578125" style="19" customWidth="1"/>
    <col min="15364" max="15364" width="13.5703125" style="19" customWidth="1"/>
    <col min="15365" max="15371" width="9.140625" style="19"/>
    <col min="15372" max="15372" width="4.140625" style="19" customWidth="1"/>
    <col min="15373" max="15373" width="7" style="19" customWidth="1"/>
    <col min="15374" max="15374" width="4" style="19" customWidth="1"/>
    <col min="15375" max="15375" width="8.140625" style="19" customWidth="1"/>
    <col min="15376" max="15376" width="6.28515625" style="19" customWidth="1"/>
    <col min="15377" max="15377" width="6.42578125" style="19" customWidth="1"/>
    <col min="15378" max="15378" width="7" style="19" customWidth="1"/>
    <col min="15379" max="15379" width="7.140625" style="19" customWidth="1"/>
    <col min="15380" max="15380" width="7" style="19" customWidth="1"/>
    <col min="15381" max="15381" width="9.140625" style="19"/>
    <col min="15382" max="15382" width="12.42578125" style="19" customWidth="1"/>
    <col min="15383" max="15384" width="9.140625" style="19"/>
    <col min="15385" max="15385" width="9.140625" style="19" customWidth="1"/>
    <col min="15386" max="15386" width="7.42578125" style="19" customWidth="1"/>
    <col min="15387" max="15387" width="6.5703125" style="19" customWidth="1"/>
    <col min="15388" max="15616" width="9.140625" style="19"/>
    <col min="15617" max="15617" width="0.140625" style="19" customWidth="1"/>
    <col min="15618" max="15618" width="9.140625" style="19"/>
    <col min="15619" max="15619" width="9.42578125" style="19" customWidth="1"/>
    <col min="15620" max="15620" width="13.5703125" style="19" customWidth="1"/>
    <col min="15621" max="15627" width="9.140625" style="19"/>
    <col min="15628" max="15628" width="4.140625" style="19" customWidth="1"/>
    <col min="15629" max="15629" width="7" style="19" customWidth="1"/>
    <col min="15630" max="15630" width="4" style="19" customWidth="1"/>
    <col min="15631" max="15631" width="8.140625" style="19" customWidth="1"/>
    <col min="15632" max="15632" width="6.28515625" style="19" customWidth="1"/>
    <col min="15633" max="15633" width="6.42578125" style="19" customWidth="1"/>
    <col min="15634" max="15634" width="7" style="19" customWidth="1"/>
    <col min="15635" max="15635" width="7.140625" style="19" customWidth="1"/>
    <col min="15636" max="15636" width="7" style="19" customWidth="1"/>
    <col min="15637" max="15637" width="9.140625" style="19"/>
    <col min="15638" max="15638" width="12.42578125" style="19" customWidth="1"/>
    <col min="15639" max="15640" width="9.140625" style="19"/>
    <col min="15641" max="15641" width="9.140625" style="19" customWidth="1"/>
    <col min="15642" max="15642" width="7.42578125" style="19" customWidth="1"/>
    <col min="15643" max="15643" width="6.5703125" style="19" customWidth="1"/>
    <col min="15644" max="15872" width="9.140625" style="19"/>
    <col min="15873" max="15873" width="0.140625" style="19" customWidth="1"/>
    <col min="15874" max="15874" width="9.140625" style="19"/>
    <col min="15875" max="15875" width="9.42578125" style="19" customWidth="1"/>
    <col min="15876" max="15876" width="13.5703125" style="19" customWidth="1"/>
    <col min="15877" max="15883" width="9.140625" style="19"/>
    <col min="15884" max="15884" width="4.140625" style="19" customWidth="1"/>
    <col min="15885" max="15885" width="7" style="19" customWidth="1"/>
    <col min="15886" max="15886" width="4" style="19" customWidth="1"/>
    <col min="15887" max="15887" width="8.140625" style="19" customWidth="1"/>
    <col min="15888" max="15888" width="6.28515625" style="19" customWidth="1"/>
    <col min="15889" max="15889" width="6.42578125" style="19" customWidth="1"/>
    <col min="15890" max="15890" width="7" style="19" customWidth="1"/>
    <col min="15891" max="15891" width="7.140625" style="19" customWidth="1"/>
    <col min="15892" max="15892" width="7" style="19" customWidth="1"/>
    <col min="15893" max="15893" width="9.140625" style="19"/>
    <col min="15894" max="15894" width="12.42578125" style="19" customWidth="1"/>
    <col min="15895" max="15896" width="9.140625" style="19"/>
    <col min="15897" max="15897" width="9.140625" style="19" customWidth="1"/>
    <col min="15898" max="15898" width="7.42578125" style="19" customWidth="1"/>
    <col min="15899" max="15899" width="6.5703125" style="19" customWidth="1"/>
    <col min="15900" max="16128" width="9.140625" style="19"/>
    <col min="16129" max="16129" width="0.140625" style="19" customWidth="1"/>
    <col min="16130" max="16130" width="9.140625" style="19"/>
    <col min="16131" max="16131" width="9.42578125" style="19" customWidth="1"/>
    <col min="16132" max="16132" width="13.5703125" style="19" customWidth="1"/>
    <col min="16133" max="16139" width="9.140625" style="19"/>
    <col min="16140" max="16140" width="4.140625" style="19" customWidth="1"/>
    <col min="16141" max="16141" width="7" style="19" customWidth="1"/>
    <col min="16142" max="16142" width="4" style="19" customWidth="1"/>
    <col min="16143" max="16143" width="8.140625" style="19" customWidth="1"/>
    <col min="16144" max="16144" width="6.28515625" style="19" customWidth="1"/>
    <col min="16145" max="16145" width="6.42578125" style="19" customWidth="1"/>
    <col min="16146" max="16146" width="7" style="19" customWidth="1"/>
    <col min="16147" max="16147" width="7.140625" style="19" customWidth="1"/>
    <col min="16148" max="16148" width="7" style="19" customWidth="1"/>
    <col min="16149" max="16149" width="9.140625" style="19"/>
    <col min="16150" max="16150" width="12.42578125" style="19" customWidth="1"/>
    <col min="16151" max="16152" width="9.140625" style="19"/>
    <col min="16153" max="16153" width="9.140625" style="19" customWidth="1"/>
    <col min="16154" max="16154" width="7.42578125" style="19" customWidth="1"/>
    <col min="16155" max="16155" width="6.5703125" style="19" customWidth="1"/>
    <col min="16156" max="16384" width="9.140625" style="19"/>
  </cols>
  <sheetData>
    <row r="1" spans="2:26" ht="21.4" customHeight="1">
      <c r="B1" s="17"/>
      <c r="C1" s="17"/>
      <c r="D1" s="558" t="str">
        <f>'SQ(Team B ) Data'!P6</f>
        <v>Team B</v>
      </c>
      <c r="E1" s="558"/>
      <c r="F1" s="17"/>
      <c r="G1" s="558"/>
      <c r="H1" s="558"/>
      <c r="I1" s="558" t="s">
        <v>215</v>
      </c>
      <c r="J1" s="558"/>
      <c r="K1" s="558"/>
      <c r="L1" s="558"/>
      <c r="M1" s="558"/>
      <c r="N1" s="558"/>
      <c r="O1" s="558"/>
      <c r="P1" s="558"/>
      <c r="Q1" s="558"/>
      <c r="R1" s="558"/>
      <c r="S1" s="558"/>
      <c r="T1" s="558"/>
      <c r="U1" s="558"/>
      <c r="V1" s="558"/>
      <c r="W1" s="558"/>
      <c r="X1" s="554">
        <f>'SQ(Team A) Data'!L5</f>
        <v>43952</v>
      </c>
      <c r="Y1" s="554"/>
      <c r="Z1" s="554"/>
    </row>
    <row r="2" spans="2:26" ht="10.5" customHeight="1"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2:26" ht="15.95" customHeight="1">
      <c r="B3" s="20"/>
      <c r="C3" s="20"/>
      <c r="D3" s="20"/>
      <c r="E3" s="20"/>
      <c r="F3" s="21" t="s">
        <v>31</v>
      </c>
      <c r="G3" s="20"/>
      <c r="H3" s="20"/>
      <c r="I3" s="20"/>
      <c r="J3" s="20"/>
      <c r="K3" s="20"/>
      <c r="L3" s="20"/>
      <c r="M3" s="20"/>
      <c r="N3" s="22"/>
      <c r="O3" s="20"/>
      <c r="P3" s="20"/>
      <c r="Q3" s="20"/>
      <c r="R3" s="20"/>
      <c r="V3" s="23"/>
    </row>
    <row r="4" spans="2:26" ht="16.5" customHeight="1">
      <c r="B4" s="21" t="s">
        <v>16</v>
      </c>
      <c r="C4" s="24"/>
      <c r="D4" s="24"/>
      <c r="N4" s="21"/>
      <c r="O4" s="21"/>
      <c r="Q4" s="25"/>
      <c r="R4" s="25"/>
      <c r="U4" s="26"/>
    </row>
    <row r="17" spans="2:25" ht="16.5" customHeight="1">
      <c r="B17" s="21" t="s">
        <v>17</v>
      </c>
      <c r="C17" s="27"/>
      <c r="D17" s="27"/>
      <c r="E17" s="28"/>
      <c r="N17" s="29" t="s">
        <v>18</v>
      </c>
      <c r="O17" s="21"/>
      <c r="P17" s="21"/>
    </row>
    <row r="26" spans="2:25" ht="14.25" customHeight="1">
      <c r="C26" s="30"/>
      <c r="D26" s="30"/>
      <c r="E26" s="31"/>
      <c r="F26" s="31"/>
      <c r="G26" s="31"/>
      <c r="H26" s="31"/>
    </row>
    <row r="27" spans="2:25" ht="14.25" customHeight="1">
      <c r="C27" s="30"/>
      <c r="D27" s="30"/>
      <c r="E27" s="31"/>
      <c r="F27" s="31"/>
      <c r="G27" s="31"/>
      <c r="H27" s="31"/>
    </row>
    <row r="30" spans="2:25" ht="15.95" hidden="1" customHeight="1">
      <c r="B30" s="21"/>
      <c r="N30" s="29" t="s">
        <v>19</v>
      </c>
      <c r="Y30" s="32"/>
    </row>
    <row r="31" spans="2:25" hidden="1"/>
    <row r="32" spans="2:25" hidden="1"/>
    <row r="33" spans="2:29" hidden="1"/>
    <row r="34" spans="2:29" hidden="1"/>
    <row r="35" spans="2:29" hidden="1"/>
    <row r="36" spans="2:29" hidden="1">
      <c r="AB36" s="79"/>
      <c r="AC36" s="79"/>
    </row>
    <row r="37" spans="2:29" hidden="1">
      <c r="AB37" s="79"/>
      <c r="AC37" s="79"/>
    </row>
    <row r="38" spans="2:29" hidden="1">
      <c r="AB38" s="79"/>
      <c r="AC38" s="79"/>
    </row>
    <row r="39" spans="2:29" hidden="1">
      <c r="AB39" s="79"/>
      <c r="AC39" s="79"/>
    </row>
    <row r="40" spans="2:29" hidden="1">
      <c r="AB40" s="79"/>
      <c r="AC40" s="79"/>
    </row>
    <row r="41" spans="2:29" hidden="1">
      <c r="AB41" s="79"/>
      <c r="AC41" s="79"/>
    </row>
    <row r="42" spans="2:29" ht="18" hidden="1">
      <c r="B42" s="21"/>
      <c r="I42" s="210"/>
      <c r="N42" s="159" t="s">
        <v>32</v>
      </c>
      <c r="O42" s="160" t="s">
        <v>33</v>
      </c>
      <c r="P42" s="161"/>
      <c r="Q42" s="532" t="s">
        <v>22</v>
      </c>
      <c r="R42" s="533"/>
      <c r="S42" s="534"/>
      <c r="T42" s="57"/>
      <c r="U42" s="57"/>
      <c r="V42" s="162" t="s">
        <v>34</v>
      </c>
      <c r="W42" s="57"/>
      <c r="X42" s="57"/>
      <c r="Y42" s="57"/>
      <c r="Z42" s="555" t="s">
        <v>35</v>
      </c>
      <c r="AA42" s="556"/>
      <c r="AB42" s="79"/>
      <c r="AC42" s="79"/>
    </row>
    <row r="43" spans="2:29" ht="13.5" hidden="1" customHeight="1">
      <c r="C43" s="24"/>
      <c r="D43" s="24"/>
      <c r="E43" s="39"/>
      <c r="N43" s="163"/>
      <c r="O43" s="63"/>
      <c r="P43" s="65"/>
      <c r="Q43" s="164" t="s">
        <v>36</v>
      </c>
      <c r="R43" s="165" t="s">
        <v>37</v>
      </c>
      <c r="S43" s="166" t="s">
        <v>38</v>
      </c>
      <c r="T43" s="167"/>
      <c r="U43" s="74"/>
      <c r="V43" s="74" t="s">
        <v>39</v>
      </c>
      <c r="W43" s="74"/>
      <c r="X43" s="74"/>
      <c r="Y43" s="74"/>
      <c r="Z43" s="63" t="s">
        <v>40</v>
      </c>
      <c r="AA43" s="168" t="s">
        <v>41</v>
      </c>
      <c r="AB43" s="79"/>
      <c r="AC43" s="79"/>
    </row>
    <row r="44" spans="2:29" ht="13.5" hidden="1" customHeight="1">
      <c r="C44" s="24"/>
      <c r="D44" s="24"/>
      <c r="E44" s="39"/>
      <c r="N44" s="169">
        <v>1</v>
      </c>
      <c r="O44" s="211"/>
      <c r="P44" s="171"/>
      <c r="Q44" s="172"/>
      <c r="R44" s="173"/>
      <c r="S44" s="174"/>
      <c r="T44" s="175"/>
      <c r="U44" s="36"/>
      <c r="V44" s="44"/>
      <c r="W44" s="44"/>
      <c r="X44" s="44"/>
      <c r="Y44" s="44"/>
      <c r="Z44" s="176"/>
      <c r="AA44" s="78"/>
      <c r="AB44" s="79"/>
      <c r="AC44" s="79"/>
    </row>
    <row r="45" spans="2:29" hidden="1">
      <c r="N45" s="177">
        <v>2</v>
      </c>
      <c r="O45" s="129"/>
      <c r="P45" s="178"/>
      <c r="Q45" s="179"/>
      <c r="R45" s="180"/>
      <c r="S45" s="181"/>
      <c r="T45" s="212"/>
      <c r="U45" s="97"/>
      <c r="V45" s="96"/>
      <c r="W45" s="96"/>
      <c r="X45" s="96"/>
      <c r="Y45" s="96"/>
      <c r="Z45" s="91"/>
      <c r="AA45" s="183"/>
      <c r="AB45" s="79"/>
      <c r="AC45" s="79"/>
    </row>
    <row r="46" spans="2:29" hidden="1">
      <c r="N46" s="177">
        <v>3</v>
      </c>
      <c r="O46" s="129"/>
      <c r="P46" s="98"/>
      <c r="Q46" s="179"/>
      <c r="R46" s="180"/>
      <c r="S46" s="181"/>
      <c r="T46" s="175"/>
      <c r="U46" s="97"/>
      <c r="V46" s="96"/>
      <c r="W46" s="96"/>
      <c r="X46" s="96"/>
      <c r="Y46" s="96"/>
      <c r="Z46" s="91"/>
      <c r="AA46" s="183"/>
      <c r="AB46" s="79"/>
      <c r="AC46" s="79"/>
    </row>
    <row r="47" spans="2:29" hidden="1">
      <c r="N47" s="177">
        <v>4</v>
      </c>
      <c r="O47" s="129"/>
      <c r="P47" s="98"/>
      <c r="Q47" s="179"/>
      <c r="R47" s="180"/>
      <c r="S47" s="181"/>
      <c r="T47" s="182"/>
      <c r="U47" s="97"/>
      <c r="V47" s="96"/>
      <c r="W47" s="96"/>
      <c r="X47" s="96"/>
      <c r="Y47" s="96"/>
      <c r="Z47" s="91"/>
      <c r="AA47" s="93"/>
      <c r="AB47" s="79"/>
      <c r="AC47" s="79"/>
    </row>
    <row r="48" spans="2:29" hidden="1">
      <c r="N48" s="177">
        <v>5</v>
      </c>
      <c r="O48" s="129"/>
      <c r="P48" s="98"/>
      <c r="Q48" s="179"/>
      <c r="R48" s="180"/>
      <c r="S48" s="181"/>
      <c r="T48" s="182"/>
      <c r="U48" s="97"/>
      <c r="V48" s="96"/>
      <c r="W48" s="96"/>
      <c r="X48" s="96"/>
      <c r="Y48" s="96"/>
      <c r="Z48" s="91"/>
      <c r="AA48" s="93"/>
      <c r="AB48" s="79"/>
      <c r="AC48" s="79"/>
    </row>
    <row r="49" spans="2:29" hidden="1">
      <c r="N49" s="177">
        <v>6</v>
      </c>
      <c r="O49" s="129"/>
      <c r="P49" s="98"/>
      <c r="Q49" s="179"/>
      <c r="R49" s="180"/>
      <c r="S49" s="181"/>
      <c r="T49" s="212"/>
      <c r="U49" s="97"/>
      <c r="V49" s="96"/>
      <c r="W49" s="96"/>
      <c r="X49" s="96"/>
      <c r="Y49" s="96"/>
      <c r="Z49" s="91"/>
      <c r="AA49" s="183"/>
      <c r="AB49" s="79"/>
      <c r="AC49" s="79"/>
    </row>
    <row r="50" spans="2:29" hidden="1">
      <c r="N50" s="177">
        <v>7</v>
      </c>
      <c r="O50" s="129"/>
      <c r="P50" s="98"/>
      <c r="Q50" s="179"/>
      <c r="R50" s="180"/>
      <c r="S50" s="181"/>
      <c r="T50" s="213"/>
      <c r="U50" s="97"/>
      <c r="V50" s="96"/>
      <c r="W50" s="96"/>
      <c r="X50" s="96"/>
      <c r="Y50" s="96"/>
      <c r="Z50" s="91"/>
      <c r="AA50" s="183"/>
      <c r="AB50" s="79"/>
      <c r="AC50" s="79"/>
    </row>
    <row r="51" spans="2:29" ht="13.5" hidden="1" customHeight="1">
      <c r="C51" s="53"/>
      <c r="D51" s="53"/>
      <c r="E51" s="31"/>
      <c r="N51" s="177">
        <v>8</v>
      </c>
      <c r="O51" s="129"/>
      <c r="P51" s="98"/>
      <c r="Q51" s="179"/>
      <c r="R51" s="180"/>
      <c r="S51" s="181"/>
      <c r="T51" s="213"/>
      <c r="U51" s="97"/>
      <c r="V51" s="96"/>
      <c r="W51" s="96"/>
      <c r="X51" s="96"/>
      <c r="Y51" s="96"/>
      <c r="Z51" s="91"/>
      <c r="AA51" s="183"/>
      <c r="AB51" s="79"/>
      <c r="AC51" s="79"/>
    </row>
    <row r="52" spans="2:29" ht="13.5" hidden="1" customHeight="1">
      <c r="B52" s="53"/>
      <c r="C52" s="53"/>
      <c r="D52" s="53"/>
      <c r="E52" s="31"/>
      <c r="N52" s="177">
        <v>9</v>
      </c>
      <c r="O52" s="129"/>
      <c r="P52" s="98"/>
      <c r="Q52" s="179"/>
      <c r="R52" s="180"/>
      <c r="S52" s="181"/>
      <c r="T52" s="213"/>
      <c r="U52" s="97"/>
      <c r="V52" s="96"/>
      <c r="W52" s="96"/>
      <c r="X52" s="96"/>
      <c r="Y52" s="96"/>
      <c r="Z52" s="91"/>
      <c r="AA52" s="183"/>
      <c r="AB52" s="79"/>
      <c r="AC52" s="79"/>
    </row>
    <row r="53" spans="2:29" ht="13.5" hidden="1" customHeight="1">
      <c r="N53" s="177">
        <v>10</v>
      </c>
      <c r="O53" s="129"/>
      <c r="P53" s="98"/>
      <c r="Q53" s="179"/>
      <c r="R53" s="180"/>
      <c r="S53" s="181"/>
      <c r="T53" s="214"/>
      <c r="U53" s="97"/>
      <c r="V53" s="96"/>
      <c r="W53" s="96"/>
      <c r="X53" s="96"/>
      <c r="Y53" s="96"/>
      <c r="Z53" s="91"/>
      <c r="AA53" s="183"/>
      <c r="AB53" s="79"/>
      <c r="AC53" s="79"/>
    </row>
    <row r="54" spans="2:29" hidden="1">
      <c r="N54" s="177">
        <v>11</v>
      </c>
      <c r="O54" s="129"/>
      <c r="P54" s="98"/>
      <c r="Q54" s="179"/>
      <c r="R54" s="180"/>
      <c r="S54" s="181"/>
      <c r="T54" s="215"/>
      <c r="U54" s="216"/>
      <c r="V54" s="217"/>
      <c r="W54" s="217"/>
      <c r="X54" s="217"/>
      <c r="Y54" s="217"/>
      <c r="Z54" s="91"/>
      <c r="AA54" s="183"/>
      <c r="AB54" s="79"/>
      <c r="AC54" s="79"/>
    </row>
    <row r="55" spans="2:29" ht="17.25" hidden="1">
      <c r="B55" s="21" t="s">
        <v>42</v>
      </c>
      <c r="N55" s="177">
        <v>12</v>
      </c>
      <c r="O55" s="129"/>
      <c r="P55" s="98"/>
      <c r="Q55" s="179"/>
      <c r="R55" s="180"/>
      <c r="S55" s="181"/>
      <c r="T55" s="218"/>
      <c r="U55" s="97"/>
      <c r="V55" s="96"/>
      <c r="W55" s="96"/>
      <c r="X55" s="96"/>
      <c r="Y55" s="96"/>
      <c r="Z55" s="91"/>
      <c r="AA55" s="183"/>
      <c r="AB55" s="79"/>
      <c r="AC55" s="79"/>
    </row>
    <row r="56" spans="2:29" ht="15" hidden="1">
      <c r="B56" s="184"/>
      <c r="C56" s="57"/>
      <c r="D56" s="57"/>
      <c r="E56" s="57"/>
      <c r="F56" s="57"/>
      <c r="G56" s="57"/>
      <c r="H56" s="57"/>
      <c r="I56" s="57"/>
      <c r="J56" s="57"/>
      <c r="K56" s="57"/>
      <c r="L56" s="185"/>
      <c r="N56" s="177">
        <v>13</v>
      </c>
      <c r="O56" s="129"/>
      <c r="P56" s="98"/>
      <c r="Q56" s="179"/>
      <c r="R56" s="180"/>
      <c r="S56" s="181"/>
      <c r="T56" s="219"/>
      <c r="U56" s="97"/>
      <c r="V56" s="96"/>
      <c r="W56" s="96"/>
      <c r="X56" s="96"/>
      <c r="Y56" s="96"/>
      <c r="Z56" s="91"/>
      <c r="AA56" s="183"/>
      <c r="AB56" s="79"/>
      <c r="AC56" s="79"/>
    </row>
    <row r="57" spans="2:29" ht="15" hidden="1">
      <c r="B57" s="186"/>
      <c r="C57" s="97"/>
      <c r="D57" s="97"/>
      <c r="E57" s="97"/>
      <c r="F57" s="97"/>
      <c r="G57" s="97"/>
      <c r="H57" s="97"/>
      <c r="I57" s="97"/>
      <c r="J57" s="97"/>
      <c r="K57" s="97"/>
      <c r="L57" s="138"/>
      <c r="N57" s="177">
        <v>14</v>
      </c>
      <c r="O57" s="129"/>
      <c r="P57" s="98"/>
      <c r="Q57" s="179"/>
      <c r="R57" s="180"/>
      <c r="S57" s="181"/>
      <c r="T57" s="182"/>
      <c r="U57" s="97"/>
      <c r="V57" s="96"/>
      <c r="W57" s="96"/>
      <c r="X57" s="96"/>
      <c r="Y57" s="96"/>
      <c r="Z57" s="91"/>
      <c r="AA57" s="183"/>
      <c r="AB57" s="79"/>
      <c r="AC57" s="79"/>
    </row>
    <row r="58" spans="2:29" ht="15" hidden="1">
      <c r="B58" s="186"/>
      <c r="C58" s="97"/>
      <c r="D58" s="97"/>
      <c r="E58" s="97"/>
      <c r="F58" s="97"/>
      <c r="G58" s="97"/>
      <c r="H58" s="97"/>
      <c r="I58" s="97"/>
      <c r="J58" s="97"/>
      <c r="K58" s="97"/>
      <c r="L58" s="138"/>
      <c r="N58" s="177">
        <v>15</v>
      </c>
      <c r="O58" s="129"/>
      <c r="P58" s="98"/>
      <c r="Q58" s="179"/>
      <c r="R58" s="180"/>
      <c r="S58" s="181"/>
      <c r="T58" s="182"/>
      <c r="U58" s="97"/>
      <c r="V58" s="96"/>
      <c r="W58" s="96"/>
      <c r="X58" s="96"/>
      <c r="Y58" s="96"/>
      <c r="Z58" s="91"/>
      <c r="AA58" s="183"/>
      <c r="AB58" s="79"/>
      <c r="AC58" s="79"/>
    </row>
    <row r="59" spans="2:29" ht="15" hidden="1">
      <c r="B59" s="186"/>
      <c r="C59" s="97"/>
      <c r="D59" s="97"/>
      <c r="E59" s="97"/>
      <c r="F59" s="97"/>
      <c r="G59" s="97"/>
      <c r="H59" s="97"/>
      <c r="I59" s="97"/>
      <c r="J59" s="97"/>
      <c r="K59" s="97"/>
      <c r="L59" s="138"/>
      <c r="N59" s="177">
        <v>16</v>
      </c>
      <c r="O59" s="129"/>
      <c r="P59" s="98"/>
      <c r="Q59" s="179"/>
      <c r="R59" s="180"/>
      <c r="S59" s="181"/>
      <c r="T59" s="182"/>
      <c r="U59" s="97"/>
      <c r="V59" s="96"/>
      <c r="W59" s="96"/>
      <c r="X59" s="96"/>
      <c r="Y59" s="96"/>
      <c r="Z59" s="91"/>
      <c r="AA59" s="183"/>
      <c r="AB59" s="79"/>
      <c r="AC59" s="79"/>
    </row>
    <row r="60" spans="2:29" ht="15" hidden="1">
      <c r="B60" s="186"/>
      <c r="C60" s="97"/>
      <c r="D60" s="97"/>
      <c r="E60" s="97"/>
      <c r="F60" s="97"/>
      <c r="G60" s="97"/>
      <c r="H60" s="97"/>
      <c r="I60" s="97"/>
      <c r="J60" s="97"/>
      <c r="K60" s="97"/>
      <c r="L60" s="138"/>
      <c r="N60" s="177">
        <v>17</v>
      </c>
      <c r="O60" s="129"/>
      <c r="P60" s="98"/>
      <c r="Q60" s="179"/>
      <c r="R60" s="180"/>
      <c r="S60" s="181"/>
      <c r="T60" s="182"/>
      <c r="U60" s="97"/>
      <c r="V60" s="96"/>
      <c r="W60" s="96"/>
      <c r="X60" s="96"/>
      <c r="Y60" s="96"/>
      <c r="Z60" s="91"/>
      <c r="AA60" s="183"/>
      <c r="AB60" s="79"/>
      <c r="AC60" s="79"/>
    </row>
    <row r="61" spans="2:29" ht="15" hidden="1">
      <c r="B61" s="186"/>
      <c r="C61" s="97"/>
      <c r="D61" s="97"/>
      <c r="E61" s="97"/>
      <c r="F61" s="97"/>
      <c r="G61" s="97"/>
      <c r="H61" s="97"/>
      <c r="I61" s="97"/>
      <c r="J61" s="97"/>
      <c r="K61" s="97"/>
      <c r="L61" s="138"/>
      <c r="N61" s="177">
        <v>18</v>
      </c>
      <c r="O61" s="129"/>
      <c r="P61" s="98"/>
      <c r="Q61" s="179"/>
      <c r="R61" s="180"/>
      <c r="S61" s="181"/>
      <c r="T61" s="182"/>
      <c r="U61" s="97"/>
      <c r="V61" s="96"/>
      <c r="W61" s="96"/>
      <c r="X61" s="96"/>
      <c r="Y61" s="96"/>
      <c r="Z61" s="91"/>
      <c r="AA61" s="183"/>
      <c r="AB61" s="79"/>
      <c r="AC61" s="79"/>
    </row>
    <row r="62" spans="2:29" ht="15" hidden="1">
      <c r="B62" s="186"/>
      <c r="C62" s="97"/>
      <c r="D62" s="97"/>
      <c r="E62" s="97"/>
      <c r="F62" s="97"/>
      <c r="G62" s="97"/>
      <c r="H62" s="97"/>
      <c r="I62" s="97"/>
      <c r="J62" s="97"/>
      <c r="K62" s="97"/>
      <c r="L62" s="138"/>
      <c r="N62" s="177">
        <v>19</v>
      </c>
      <c r="O62" s="129"/>
      <c r="P62" s="98"/>
      <c r="Q62" s="179"/>
      <c r="R62" s="180"/>
      <c r="S62" s="181"/>
      <c r="T62" s="182"/>
      <c r="U62" s="97"/>
      <c r="V62" s="96"/>
      <c r="W62" s="96"/>
      <c r="X62" s="96"/>
      <c r="Y62" s="96"/>
      <c r="Z62" s="91"/>
      <c r="AA62" s="183"/>
      <c r="AB62" s="79"/>
      <c r="AC62" s="79"/>
    </row>
    <row r="63" spans="2:29" ht="15" hidden="1">
      <c r="B63" s="186"/>
      <c r="C63" s="97"/>
      <c r="D63" s="97"/>
      <c r="E63" s="97"/>
      <c r="F63" s="97"/>
      <c r="G63" s="97"/>
      <c r="H63" s="97"/>
      <c r="I63" s="97"/>
      <c r="J63" s="97"/>
      <c r="K63" s="97"/>
      <c r="L63" s="138"/>
      <c r="N63" s="177">
        <v>20</v>
      </c>
      <c r="O63" s="129"/>
      <c r="P63" s="98"/>
      <c r="Q63" s="179"/>
      <c r="R63" s="180"/>
      <c r="S63" s="181"/>
      <c r="T63" s="182"/>
      <c r="U63" s="97"/>
      <c r="V63" s="96"/>
      <c r="W63" s="96"/>
      <c r="X63" s="96"/>
      <c r="Y63" s="96"/>
      <c r="Z63" s="91"/>
      <c r="AA63" s="183"/>
      <c r="AB63" s="79"/>
      <c r="AC63" s="79"/>
    </row>
    <row r="64" spans="2:29" hidden="1">
      <c r="B64" s="188"/>
      <c r="C64" s="97"/>
      <c r="D64" s="97"/>
      <c r="E64" s="97"/>
      <c r="F64" s="97"/>
      <c r="G64" s="97"/>
      <c r="H64" s="97"/>
      <c r="I64" s="97"/>
      <c r="J64" s="97"/>
      <c r="K64" s="97"/>
      <c r="L64" s="138"/>
      <c r="N64" s="177">
        <v>21</v>
      </c>
      <c r="O64" s="189"/>
      <c r="P64" s="123"/>
      <c r="Q64" s="190"/>
      <c r="R64" s="94"/>
      <c r="S64" s="183"/>
      <c r="T64" s="96"/>
      <c r="U64" s="96"/>
      <c r="V64" s="96"/>
      <c r="W64" s="96"/>
      <c r="X64" s="96"/>
      <c r="Y64" s="96"/>
      <c r="Z64" s="91"/>
      <c r="AA64" s="183"/>
      <c r="AB64" s="79"/>
      <c r="AC64" s="79"/>
    </row>
    <row r="65" spans="2:29" hidden="1">
      <c r="B65" s="188"/>
      <c r="C65" s="97"/>
      <c r="D65" s="97"/>
      <c r="E65" s="97"/>
      <c r="F65" s="97"/>
      <c r="G65" s="97"/>
      <c r="H65" s="97"/>
      <c r="I65" s="97"/>
      <c r="J65" s="97"/>
      <c r="K65" s="97"/>
      <c r="L65" s="138"/>
      <c r="N65" s="177">
        <v>22</v>
      </c>
      <c r="O65" s="191"/>
      <c r="P65" s="192"/>
      <c r="Q65" s="193"/>
      <c r="R65" s="194"/>
      <c r="S65" s="195"/>
      <c r="T65" s="196"/>
      <c r="U65" s="196"/>
      <c r="V65" s="196"/>
      <c r="W65" s="196"/>
      <c r="X65" s="196"/>
      <c r="Y65" s="196"/>
      <c r="Z65" s="197"/>
      <c r="AA65" s="195"/>
      <c r="AB65" s="79"/>
      <c r="AC65" s="79"/>
    </row>
    <row r="66" spans="2:29" hidden="1">
      <c r="B66" s="188"/>
      <c r="C66" s="97"/>
      <c r="D66" s="97"/>
      <c r="E66" s="97"/>
      <c r="F66" s="97"/>
      <c r="G66" s="97"/>
      <c r="H66" s="97"/>
      <c r="I66" s="97"/>
      <c r="J66" s="97"/>
      <c r="K66" s="97"/>
      <c r="L66" s="138"/>
      <c r="N66" s="177">
        <v>23</v>
      </c>
      <c r="O66" s="191"/>
      <c r="P66" s="192"/>
      <c r="Q66" s="193"/>
      <c r="R66" s="194"/>
      <c r="S66" s="195"/>
      <c r="T66" s="196"/>
      <c r="U66" s="196"/>
      <c r="V66" s="196"/>
      <c r="W66" s="196"/>
      <c r="X66" s="196"/>
      <c r="Y66" s="196"/>
      <c r="Z66" s="197"/>
      <c r="AA66" s="195"/>
      <c r="AB66" s="79"/>
      <c r="AC66" s="79"/>
    </row>
    <row r="67" spans="2:29" hidden="1">
      <c r="B67" s="188"/>
      <c r="C67" s="97"/>
      <c r="D67" s="97"/>
      <c r="E67" s="97"/>
      <c r="F67" s="97"/>
      <c r="G67" s="97"/>
      <c r="H67" s="97"/>
      <c r="I67" s="97"/>
      <c r="J67" s="97"/>
      <c r="K67" s="97"/>
      <c r="L67" s="138"/>
      <c r="N67" s="177">
        <v>24</v>
      </c>
      <c r="O67" s="191"/>
      <c r="P67" s="192"/>
      <c r="Q67" s="193"/>
      <c r="R67" s="194"/>
      <c r="S67" s="195"/>
      <c r="T67" s="196"/>
      <c r="U67" s="196"/>
      <c r="V67" s="196"/>
      <c r="W67" s="196"/>
      <c r="X67" s="196"/>
      <c r="Y67" s="196"/>
      <c r="Z67" s="197"/>
      <c r="AA67" s="195"/>
      <c r="AB67" s="79"/>
      <c r="AC67" s="79"/>
    </row>
    <row r="68" spans="2:29" hidden="1">
      <c r="B68" s="188"/>
      <c r="C68" s="97"/>
      <c r="D68" s="97"/>
      <c r="E68" s="97"/>
      <c r="F68" s="97"/>
      <c r="G68" s="97"/>
      <c r="H68" s="97"/>
      <c r="I68" s="97"/>
      <c r="J68" s="97"/>
      <c r="K68" s="97"/>
      <c r="L68" s="138"/>
      <c r="N68" s="177">
        <v>25</v>
      </c>
      <c r="O68" s="191"/>
      <c r="P68" s="192"/>
      <c r="Q68" s="193"/>
      <c r="R68" s="194"/>
      <c r="S68" s="195"/>
      <c r="T68" s="196"/>
      <c r="U68" s="196"/>
      <c r="V68" s="196"/>
      <c r="W68" s="196"/>
      <c r="X68" s="196"/>
      <c r="Y68" s="196"/>
      <c r="Z68" s="197"/>
      <c r="AA68" s="195"/>
      <c r="AB68" s="79"/>
      <c r="AC68" s="79"/>
    </row>
    <row r="69" spans="2:29" ht="14.25" hidden="1">
      <c r="B69" s="198"/>
      <c r="C69" s="97"/>
      <c r="D69" s="97"/>
      <c r="E69" s="97"/>
      <c r="F69" s="97"/>
      <c r="G69" s="97"/>
      <c r="H69" s="97"/>
      <c r="I69" s="97"/>
      <c r="J69" s="97"/>
      <c r="K69" s="97"/>
      <c r="L69" s="138"/>
      <c r="N69" s="177">
        <v>26</v>
      </c>
      <c r="O69" s="191"/>
      <c r="P69" s="192"/>
      <c r="Q69" s="193"/>
      <c r="R69" s="194"/>
      <c r="S69" s="199"/>
      <c r="T69" s="200"/>
      <c r="U69" s="196"/>
      <c r="V69" s="196"/>
      <c r="W69" s="196"/>
      <c r="X69" s="196"/>
      <c r="Y69" s="196"/>
      <c r="Z69" s="197"/>
      <c r="AA69" s="195"/>
      <c r="AB69" s="79"/>
      <c r="AC69" s="79"/>
    </row>
    <row r="70" spans="2:29" hidden="1">
      <c r="B70" s="201"/>
      <c r="C70" s="68"/>
      <c r="D70" s="68"/>
      <c r="E70" s="68"/>
      <c r="F70" s="68"/>
      <c r="G70" s="68"/>
      <c r="H70" s="68"/>
      <c r="I70" s="68"/>
      <c r="J70" s="68"/>
      <c r="K70" s="68"/>
      <c r="L70" s="202"/>
      <c r="N70" s="149"/>
      <c r="O70" s="150"/>
      <c r="P70" s="203"/>
      <c r="Q70" s="204">
        <f>SUM(Q44:Q69)</f>
        <v>0</v>
      </c>
      <c r="R70" s="205">
        <f>SUM(R44:R69)</f>
        <v>0</v>
      </c>
      <c r="S70" s="206">
        <f>SUM(S44:S69)</f>
        <v>0</v>
      </c>
      <c r="T70" s="557" t="s">
        <v>43</v>
      </c>
      <c r="U70" s="557"/>
      <c r="V70" s="155">
        <f>SUM(Q70:S70)</f>
        <v>0</v>
      </c>
      <c r="W70" s="156"/>
      <c r="X70" s="156"/>
      <c r="Y70" s="156"/>
      <c r="Z70" s="207"/>
      <c r="AA70" s="208"/>
      <c r="AB70" s="79"/>
      <c r="AC70" s="79"/>
    </row>
    <row r="71" spans="2:29" hidden="1"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2:29" hidden="1"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</row>
    <row r="73" spans="2:29" hidden="1"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</row>
    <row r="74" spans="2:29" hidden="1"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</row>
    <row r="75" spans="2:29" hidden="1"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</row>
    <row r="76" spans="2:29"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</row>
    <row r="77" spans="2:29"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</row>
    <row r="78" spans="2:29"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</row>
    <row r="79" spans="2:29"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</row>
    <row r="80" spans="2:29"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</row>
    <row r="85" spans="2:8" ht="21">
      <c r="B85" s="209"/>
      <c r="C85" s="209"/>
      <c r="D85" s="209"/>
      <c r="E85" s="209"/>
      <c r="F85" s="209"/>
      <c r="G85" s="209"/>
      <c r="H85" s="209"/>
    </row>
    <row r="86" spans="2:8" ht="21">
      <c r="B86" s="209"/>
      <c r="C86" s="209"/>
      <c r="D86" s="209"/>
      <c r="E86" s="209"/>
      <c r="F86" s="209"/>
      <c r="G86" s="209"/>
      <c r="H86" s="209"/>
    </row>
  </sheetData>
  <mergeCells count="8">
    <mergeCell ref="X1:Z1"/>
    <mergeCell ref="Q42:S42"/>
    <mergeCell ref="Z42:AA42"/>
    <mergeCell ref="T70:U70"/>
    <mergeCell ref="D1:E1"/>
    <mergeCell ref="G1:H1"/>
    <mergeCell ref="I1:U1"/>
    <mergeCell ref="V1:W1"/>
  </mergeCells>
  <conditionalFormatting sqref="T50:T55">
    <cfRule type="expression" dxfId="719" priority="3" stopIfTrue="1">
      <formula>$B50="*"</formula>
    </cfRule>
    <cfRule type="expression" dxfId="718" priority="4" stopIfTrue="1">
      <formula>$B50="-"</formula>
    </cfRule>
  </conditionalFormatting>
  <conditionalFormatting sqref="T54">
    <cfRule type="expression" dxfId="717" priority="1" stopIfTrue="1">
      <formula>$B54="*"</formula>
    </cfRule>
    <cfRule type="expression" dxfId="716" priority="2" stopIfTrue="1">
      <formula>$B54="-"</formula>
    </cfRule>
  </conditionalFormatting>
  <printOptions horizontalCentered="1"/>
  <pageMargins left="0.55118110236220474" right="0" top="0.43" bottom="0" header="0.15748031496062992" footer="0.27559055118110237"/>
  <pageSetup paperSize="8" scale="90" fitToHeight="2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C86"/>
  <sheetViews>
    <sheetView zoomScaleNormal="75" zoomScaleSheetLayoutView="75" workbookViewId="0">
      <selection activeCell="P10" sqref="P10"/>
    </sheetView>
  </sheetViews>
  <sheetFormatPr defaultRowHeight="13.5"/>
  <cols>
    <col min="1" max="1" width="0.140625" style="19" customWidth="1"/>
    <col min="2" max="2" width="9.140625" style="19"/>
    <col min="3" max="3" width="9.42578125" style="19" customWidth="1"/>
    <col min="4" max="4" width="13.5703125" style="19" customWidth="1"/>
    <col min="5" max="11" width="9.140625" style="19"/>
    <col min="12" max="12" width="4.140625" style="19" customWidth="1"/>
    <col min="13" max="13" width="7" style="19" customWidth="1"/>
    <col min="14" max="14" width="4" style="19" customWidth="1"/>
    <col min="15" max="15" width="8.140625" style="19" customWidth="1"/>
    <col min="16" max="16" width="6.28515625" style="19" customWidth="1"/>
    <col min="17" max="17" width="6.42578125" style="19" customWidth="1"/>
    <col min="18" max="18" width="7" style="19" customWidth="1"/>
    <col min="19" max="19" width="7.140625" style="19" customWidth="1"/>
    <col min="20" max="20" width="7" style="19" customWidth="1"/>
    <col min="21" max="21" width="9.140625" style="19"/>
    <col min="22" max="22" width="12.42578125" style="19" customWidth="1"/>
    <col min="23" max="24" width="9.140625" style="19"/>
    <col min="25" max="25" width="9.140625" style="19" customWidth="1"/>
    <col min="26" max="26" width="7.42578125" style="19" customWidth="1"/>
    <col min="27" max="27" width="6.5703125" style="19" customWidth="1"/>
    <col min="28" max="256" width="9.140625" style="19"/>
    <col min="257" max="257" width="0.140625" style="19" customWidth="1"/>
    <col min="258" max="258" width="9.140625" style="19"/>
    <col min="259" max="259" width="9.42578125" style="19" customWidth="1"/>
    <col min="260" max="260" width="13.5703125" style="19" customWidth="1"/>
    <col min="261" max="267" width="9.140625" style="19"/>
    <col min="268" max="268" width="4.140625" style="19" customWidth="1"/>
    <col min="269" max="269" width="7" style="19" customWidth="1"/>
    <col min="270" max="270" width="4" style="19" customWidth="1"/>
    <col min="271" max="271" width="8.140625" style="19" customWidth="1"/>
    <col min="272" max="272" width="6.28515625" style="19" customWidth="1"/>
    <col min="273" max="273" width="6.42578125" style="19" customWidth="1"/>
    <col min="274" max="274" width="7" style="19" customWidth="1"/>
    <col min="275" max="275" width="7.140625" style="19" customWidth="1"/>
    <col min="276" max="276" width="7" style="19" customWidth="1"/>
    <col min="277" max="277" width="9.140625" style="19"/>
    <col min="278" max="278" width="12.42578125" style="19" customWidth="1"/>
    <col min="279" max="280" width="9.140625" style="19"/>
    <col min="281" max="281" width="9.140625" style="19" customWidth="1"/>
    <col min="282" max="282" width="7.42578125" style="19" customWidth="1"/>
    <col min="283" max="283" width="6.5703125" style="19" customWidth="1"/>
    <col min="284" max="512" width="9.140625" style="19"/>
    <col min="513" max="513" width="0.140625" style="19" customWidth="1"/>
    <col min="514" max="514" width="9.140625" style="19"/>
    <col min="515" max="515" width="9.42578125" style="19" customWidth="1"/>
    <col min="516" max="516" width="13.5703125" style="19" customWidth="1"/>
    <col min="517" max="523" width="9.140625" style="19"/>
    <col min="524" max="524" width="4.140625" style="19" customWidth="1"/>
    <col min="525" max="525" width="7" style="19" customWidth="1"/>
    <col min="526" max="526" width="4" style="19" customWidth="1"/>
    <col min="527" max="527" width="8.140625" style="19" customWidth="1"/>
    <col min="528" max="528" width="6.28515625" style="19" customWidth="1"/>
    <col min="529" max="529" width="6.42578125" style="19" customWidth="1"/>
    <col min="530" max="530" width="7" style="19" customWidth="1"/>
    <col min="531" max="531" width="7.140625" style="19" customWidth="1"/>
    <col min="532" max="532" width="7" style="19" customWidth="1"/>
    <col min="533" max="533" width="9.140625" style="19"/>
    <col min="534" max="534" width="12.42578125" style="19" customWidth="1"/>
    <col min="535" max="536" width="9.140625" style="19"/>
    <col min="537" max="537" width="9.140625" style="19" customWidth="1"/>
    <col min="538" max="538" width="7.42578125" style="19" customWidth="1"/>
    <col min="539" max="539" width="6.5703125" style="19" customWidth="1"/>
    <col min="540" max="768" width="9.140625" style="19"/>
    <col min="769" max="769" width="0.140625" style="19" customWidth="1"/>
    <col min="770" max="770" width="9.140625" style="19"/>
    <col min="771" max="771" width="9.42578125" style="19" customWidth="1"/>
    <col min="772" max="772" width="13.5703125" style="19" customWidth="1"/>
    <col min="773" max="779" width="9.140625" style="19"/>
    <col min="780" max="780" width="4.140625" style="19" customWidth="1"/>
    <col min="781" max="781" width="7" style="19" customWidth="1"/>
    <col min="782" max="782" width="4" style="19" customWidth="1"/>
    <col min="783" max="783" width="8.140625" style="19" customWidth="1"/>
    <col min="784" max="784" width="6.28515625" style="19" customWidth="1"/>
    <col min="785" max="785" width="6.42578125" style="19" customWidth="1"/>
    <col min="786" max="786" width="7" style="19" customWidth="1"/>
    <col min="787" max="787" width="7.140625" style="19" customWidth="1"/>
    <col min="788" max="788" width="7" style="19" customWidth="1"/>
    <col min="789" max="789" width="9.140625" style="19"/>
    <col min="790" max="790" width="12.42578125" style="19" customWidth="1"/>
    <col min="791" max="792" width="9.140625" style="19"/>
    <col min="793" max="793" width="9.140625" style="19" customWidth="1"/>
    <col min="794" max="794" width="7.42578125" style="19" customWidth="1"/>
    <col min="795" max="795" width="6.5703125" style="19" customWidth="1"/>
    <col min="796" max="1024" width="9.140625" style="19"/>
    <col min="1025" max="1025" width="0.140625" style="19" customWidth="1"/>
    <col min="1026" max="1026" width="9.140625" style="19"/>
    <col min="1027" max="1027" width="9.42578125" style="19" customWidth="1"/>
    <col min="1028" max="1028" width="13.5703125" style="19" customWidth="1"/>
    <col min="1029" max="1035" width="9.140625" style="19"/>
    <col min="1036" max="1036" width="4.140625" style="19" customWidth="1"/>
    <col min="1037" max="1037" width="7" style="19" customWidth="1"/>
    <col min="1038" max="1038" width="4" style="19" customWidth="1"/>
    <col min="1039" max="1039" width="8.140625" style="19" customWidth="1"/>
    <col min="1040" max="1040" width="6.28515625" style="19" customWidth="1"/>
    <col min="1041" max="1041" width="6.42578125" style="19" customWidth="1"/>
    <col min="1042" max="1042" width="7" style="19" customWidth="1"/>
    <col min="1043" max="1043" width="7.140625" style="19" customWidth="1"/>
    <col min="1044" max="1044" width="7" style="19" customWidth="1"/>
    <col min="1045" max="1045" width="9.140625" style="19"/>
    <col min="1046" max="1046" width="12.42578125" style="19" customWidth="1"/>
    <col min="1047" max="1048" width="9.140625" style="19"/>
    <col min="1049" max="1049" width="9.140625" style="19" customWidth="1"/>
    <col min="1050" max="1050" width="7.42578125" style="19" customWidth="1"/>
    <col min="1051" max="1051" width="6.5703125" style="19" customWidth="1"/>
    <col min="1052" max="1280" width="9.140625" style="19"/>
    <col min="1281" max="1281" width="0.140625" style="19" customWidth="1"/>
    <col min="1282" max="1282" width="9.140625" style="19"/>
    <col min="1283" max="1283" width="9.42578125" style="19" customWidth="1"/>
    <col min="1284" max="1284" width="13.5703125" style="19" customWidth="1"/>
    <col min="1285" max="1291" width="9.140625" style="19"/>
    <col min="1292" max="1292" width="4.140625" style="19" customWidth="1"/>
    <col min="1293" max="1293" width="7" style="19" customWidth="1"/>
    <col min="1294" max="1294" width="4" style="19" customWidth="1"/>
    <col min="1295" max="1295" width="8.140625" style="19" customWidth="1"/>
    <col min="1296" max="1296" width="6.28515625" style="19" customWidth="1"/>
    <col min="1297" max="1297" width="6.42578125" style="19" customWidth="1"/>
    <col min="1298" max="1298" width="7" style="19" customWidth="1"/>
    <col min="1299" max="1299" width="7.140625" style="19" customWidth="1"/>
    <col min="1300" max="1300" width="7" style="19" customWidth="1"/>
    <col min="1301" max="1301" width="9.140625" style="19"/>
    <col min="1302" max="1302" width="12.42578125" style="19" customWidth="1"/>
    <col min="1303" max="1304" width="9.140625" style="19"/>
    <col min="1305" max="1305" width="9.140625" style="19" customWidth="1"/>
    <col min="1306" max="1306" width="7.42578125" style="19" customWidth="1"/>
    <col min="1307" max="1307" width="6.5703125" style="19" customWidth="1"/>
    <col min="1308" max="1536" width="9.140625" style="19"/>
    <col min="1537" max="1537" width="0.140625" style="19" customWidth="1"/>
    <col min="1538" max="1538" width="9.140625" style="19"/>
    <col min="1539" max="1539" width="9.42578125" style="19" customWidth="1"/>
    <col min="1540" max="1540" width="13.5703125" style="19" customWidth="1"/>
    <col min="1541" max="1547" width="9.140625" style="19"/>
    <col min="1548" max="1548" width="4.140625" style="19" customWidth="1"/>
    <col min="1549" max="1549" width="7" style="19" customWidth="1"/>
    <col min="1550" max="1550" width="4" style="19" customWidth="1"/>
    <col min="1551" max="1551" width="8.140625" style="19" customWidth="1"/>
    <col min="1552" max="1552" width="6.28515625" style="19" customWidth="1"/>
    <col min="1553" max="1553" width="6.42578125" style="19" customWidth="1"/>
    <col min="1554" max="1554" width="7" style="19" customWidth="1"/>
    <col min="1555" max="1555" width="7.140625" style="19" customWidth="1"/>
    <col min="1556" max="1556" width="7" style="19" customWidth="1"/>
    <col min="1557" max="1557" width="9.140625" style="19"/>
    <col min="1558" max="1558" width="12.42578125" style="19" customWidth="1"/>
    <col min="1559" max="1560" width="9.140625" style="19"/>
    <col min="1561" max="1561" width="9.140625" style="19" customWidth="1"/>
    <col min="1562" max="1562" width="7.42578125" style="19" customWidth="1"/>
    <col min="1563" max="1563" width="6.5703125" style="19" customWidth="1"/>
    <col min="1564" max="1792" width="9.140625" style="19"/>
    <col min="1793" max="1793" width="0.140625" style="19" customWidth="1"/>
    <col min="1794" max="1794" width="9.140625" style="19"/>
    <col min="1795" max="1795" width="9.42578125" style="19" customWidth="1"/>
    <col min="1796" max="1796" width="13.5703125" style="19" customWidth="1"/>
    <col min="1797" max="1803" width="9.140625" style="19"/>
    <col min="1804" max="1804" width="4.140625" style="19" customWidth="1"/>
    <col min="1805" max="1805" width="7" style="19" customWidth="1"/>
    <col min="1806" max="1806" width="4" style="19" customWidth="1"/>
    <col min="1807" max="1807" width="8.140625" style="19" customWidth="1"/>
    <col min="1808" max="1808" width="6.28515625" style="19" customWidth="1"/>
    <col min="1809" max="1809" width="6.42578125" style="19" customWidth="1"/>
    <col min="1810" max="1810" width="7" style="19" customWidth="1"/>
    <col min="1811" max="1811" width="7.140625" style="19" customWidth="1"/>
    <col min="1812" max="1812" width="7" style="19" customWidth="1"/>
    <col min="1813" max="1813" width="9.140625" style="19"/>
    <col min="1814" max="1814" width="12.42578125" style="19" customWidth="1"/>
    <col min="1815" max="1816" width="9.140625" style="19"/>
    <col min="1817" max="1817" width="9.140625" style="19" customWidth="1"/>
    <col min="1818" max="1818" width="7.42578125" style="19" customWidth="1"/>
    <col min="1819" max="1819" width="6.5703125" style="19" customWidth="1"/>
    <col min="1820" max="2048" width="9.140625" style="19"/>
    <col min="2049" max="2049" width="0.140625" style="19" customWidth="1"/>
    <col min="2050" max="2050" width="9.140625" style="19"/>
    <col min="2051" max="2051" width="9.42578125" style="19" customWidth="1"/>
    <col min="2052" max="2052" width="13.5703125" style="19" customWidth="1"/>
    <col min="2053" max="2059" width="9.140625" style="19"/>
    <col min="2060" max="2060" width="4.140625" style="19" customWidth="1"/>
    <col min="2061" max="2061" width="7" style="19" customWidth="1"/>
    <col min="2062" max="2062" width="4" style="19" customWidth="1"/>
    <col min="2063" max="2063" width="8.140625" style="19" customWidth="1"/>
    <col min="2064" max="2064" width="6.28515625" style="19" customWidth="1"/>
    <col min="2065" max="2065" width="6.42578125" style="19" customWidth="1"/>
    <col min="2066" max="2066" width="7" style="19" customWidth="1"/>
    <col min="2067" max="2067" width="7.140625" style="19" customWidth="1"/>
    <col min="2068" max="2068" width="7" style="19" customWidth="1"/>
    <col min="2069" max="2069" width="9.140625" style="19"/>
    <col min="2070" max="2070" width="12.42578125" style="19" customWidth="1"/>
    <col min="2071" max="2072" width="9.140625" style="19"/>
    <col min="2073" max="2073" width="9.140625" style="19" customWidth="1"/>
    <col min="2074" max="2074" width="7.42578125" style="19" customWidth="1"/>
    <col min="2075" max="2075" width="6.5703125" style="19" customWidth="1"/>
    <col min="2076" max="2304" width="9.140625" style="19"/>
    <col min="2305" max="2305" width="0.140625" style="19" customWidth="1"/>
    <col min="2306" max="2306" width="9.140625" style="19"/>
    <col min="2307" max="2307" width="9.42578125" style="19" customWidth="1"/>
    <col min="2308" max="2308" width="13.5703125" style="19" customWidth="1"/>
    <col min="2309" max="2315" width="9.140625" style="19"/>
    <col min="2316" max="2316" width="4.140625" style="19" customWidth="1"/>
    <col min="2317" max="2317" width="7" style="19" customWidth="1"/>
    <col min="2318" max="2318" width="4" style="19" customWidth="1"/>
    <col min="2319" max="2319" width="8.140625" style="19" customWidth="1"/>
    <col min="2320" max="2320" width="6.28515625" style="19" customWidth="1"/>
    <col min="2321" max="2321" width="6.42578125" style="19" customWidth="1"/>
    <col min="2322" max="2322" width="7" style="19" customWidth="1"/>
    <col min="2323" max="2323" width="7.140625" style="19" customWidth="1"/>
    <col min="2324" max="2324" width="7" style="19" customWidth="1"/>
    <col min="2325" max="2325" width="9.140625" style="19"/>
    <col min="2326" max="2326" width="12.42578125" style="19" customWidth="1"/>
    <col min="2327" max="2328" width="9.140625" style="19"/>
    <col min="2329" max="2329" width="9.140625" style="19" customWidth="1"/>
    <col min="2330" max="2330" width="7.42578125" style="19" customWidth="1"/>
    <col min="2331" max="2331" width="6.5703125" style="19" customWidth="1"/>
    <col min="2332" max="2560" width="9.140625" style="19"/>
    <col min="2561" max="2561" width="0.140625" style="19" customWidth="1"/>
    <col min="2562" max="2562" width="9.140625" style="19"/>
    <col min="2563" max="2563" width="9.42578125" style="19" customWidth="1"/>
    <col min="2564" max="2564" width="13.5703125" style="19" customWidth="1"/>
    <col min="2565" max="2571" width="9.140625" style="19"/>
    <col min="2572" max="2572" width="4.140625" style="19" customWidth="1"/>
    <col min="2573" max="2573" width="7" style="19" customWidth="1"/>
    <col min="2574" max="2574" width="4" style="19" customWidth="1"/>
    <col min="2575" max="2575" width="8.140625" style="19" customWidth="1"/>
    <col min="2576" max="2576" width="6.28515625" style="19" customWidth="1"/>
    <col min="2577" max="2577" width="6.42578125" style="19" customWidth="1"/>
    <col min="2578" max="2578" width="7" style="19" customWidth="1"/>
    <col min="2579" max="2579" width="7.140625" style="19" customWidth="1"/>
    <col min="2580" max="2580" width="7" style="19" customWidth="1"/>
    <col min="2581" max="2581" width="9.140625" style="19"/>
    <col min="2582" max="2582" width="12.42578125" style="19" customWidth="1"/>
    <col min="2583" max="2584" width="9.140625" style="19"/>
    <col min="2585" max="2585" width="9.140625" style="19" customWidth="1"/>
    <col min="2586" max="2586" width="7.42578125" style="19" customWidth="1"/>
    <col min="2587" max="2587" width="6.5703125" style="19" customWidth="1"/>
    <col min="2588" max="2816" width="9.140625" style="19"/>
    <col min="2817" max="2817" width="0.140625" style="19" customWidth="1"/>
    <col min="2818" max="2818" width="9.140625" style="19"/>
    <col min="2819" max="2819" width="9.42578125" style="19" customWidth="1"/>
    <col min="2820" max="2820" width="13.5703125" style="19" customWidth="1"/>
    <col min="2821" max="2827" width="9.140625" style="19"/>
    <col min="2828" max="2828" width="4.140625" style="19" customWidth="1"/>
    <col min="2829" max="2829" width="7" style="19" customWidth="1"/>
    <col min="2830" max="2830" width="4" style="19" customWidth="1"/>
    <col min="2831" max="2831" width="8.140625" style="19" customWidth="1"/>
    <col min="2832" max="2832" width="6.28515625" style="19" customWidth="1"/>
    <col min="2833" max="2833" width="6.42578125" style="19" customWidth="1"/>
    <col min="2834" max="2834" width="7" style="19" customWidth="1"/>
    <col min="2835" max="2835" width="7.140625" style="19" customWidth="1"/>
    <col min="2836" max="2836" width="7" style="19" customWidth="1"/>
    <col min="2837" max="2837" width="9.140625" style="19"/>
    <col min="2838" max="2838" width="12.42578125" style="19" customWidth="1"/>
    <col min="2839" max="2840" width="9.140625" style="19"/>
    <col min="2841" max="2841" width="9.140625" style="19" customWidth="1"/>
    <col min="2842" max="2842" width="7.42578125" style="19" customWidth="1"/>
    <col min="2843" max="2843" width="6.5703125" style="19" customWidth="1"/>
    <col min="2844" max="3072" width="9.140625" style="19"/>
    <col min="3073" max="3073" width="0.140625" style="19" customWidth="1"/>
    <col min="3074" max="3074" width="9.140625" style="19"/>
    <col min="3075" max="3075" width="9.42578125" style="19" customWidth="1"/>
    <col min="3076" max="3076" width="13.5703125" style="19" customWidth="1"/>
    <col min="3077" max="3083" width="9.140625" style="19"/>
    <col min="3084" max="3084" width="4.140625" style="19" customWidth="1"/>
    <col min="3085" max="3085" width="7" style="19" customWidth="1"/>
    <col min="3086" max="3086" width="4" style="19" customWidth="1"/>
    <col min="3087" max="3087" width="8.140625" style="19" customWidth="1"/>
    <col min="3088" max="3088" width="6.28515625" style="19" customWidth="1"/>
    <col min="3089" max="3089" width="6.42578125" style="19" customWidth="1"/>
    <col min="3090" max="3090" width="7" style="19" customWidth="1"/>
    <col min="3091" max="3091" width="7.140625" style="19" customWidth="1"/>
    <col min="3092" max="3092" width="7" style="19" customWidth="1"/>
    <col min="3093" max="3093" width="9.140625" style="19"/>
    <col min="3094" max="3094" width="12.42578125" style="19" customWidth="1"/>
    <col min="3095" max="3096" width="9.140625" style="19"/>
    <col min="3097" max="3097" width="9.140625" style="19" customWidth="1"/>
    <col min="3098" max="3098" width="7.42578125" style="19" customWidth="1"/>
    <col min="3099" max="3099" width="6.5703125" style="19" customWidth="1"/>
    <col min="3100" max="3328" width="9.140625" style="19"/>
    <col min="3329" max="3329" width="0.140625" style="19" customWidth="1"/>
    <col min="3330" max="3330" width="9.140625" style="19"/>
    <col min="3331" max="3331" width="9.42578125" style="19" customWidth="1"/>
    <col min="3332" max="3332" width="13.5703125" style="19" customWidth="1"/>
    <col min="3333" max="3339" width="9.140625" style="19"/>
    <col min="3340" max="3340" width="4.140625" style="19" customWidth="1"/>
    <col min="3341" max="3341" width="7" style="19" customWidth="1"/>
    <col min="3342" max="3342" width="4" style="19" customWidth="1"/>
    <col min="3343" max="3343" width="8.140625" style="19" customWidth="1"/>
    <col min="3344" max="3344" width="6.28515625" style="19" customWidth="1"/>
    <col min="3345" max="3345" width="6.42578125" style="19" customWidth="1"/>
    <col min="3346" max="3346" width="7" style="19" customWidth="1"/>
    <col min="3347" max="3347" width="7.140625" style="19" customWidth="1"/>
    <col min="3348" max="3348" width="7" style="19" customWidth="1"/>
    <col min="3349" max="3349" width="9.140625" style="19"/>
    <col min="3350" max="3350" width="12.42578125" style="19" customWidth="1"/>
    <col min="3351" max="3352" width="9.140625" style="19"/>
    <col min="3353" max="3353" width="9.140625" style="19" customWidth="1"/>
    <col min="3354" max="3354" width="7.42578125" style="19" customWidth="1"/>
    <col min="3355" max="3355" width="6.5703125" style="19" customWidth="1"/>
    <col min="3356" max="3584" width="9.140625" style="19"/>
    <col min="3585" max="3585" width="0.140625" style="19" customWidth="1"/>
    <col min="3586" max="3586" width="9.140625" style="19"/>
    <col min="3587" max="3587" width="9.42578125" style="19" customWidth="1"/>
    <col min="3588" max="3588" width="13.5703125" style="19" customWidth="1"/>
    <col min="3589" max="3595" width="9.140625" style="19"/>
    <col min="3596" max="3596" width="4.140625" style="19" customWidth="1"/>
    <col min="3597" max="3597" width="7" style="19" customWidth="1"/>
    <col min="3598" max="3598" width="4" style="19" customWidth="1"/>
    <col min="3599" max="3599" width="8.140625" style="19" customWidth="1"/>
    <col min="3600" max="3600" width="6.28515625" style="19" customWidth="1"/>
    <col min="3601" max="3601" width="6.42578125" style="19" customWidth="1"/>
    <col min="3602" max="3602" width="7" style="19" customWidth="1"/>
    <col min="3603" max="3603" width="7.140625" style="19" customWidth="1"/>
    <col min="3604" max="3604" width="7" style="19" customWidth="1"/>
    <col min="3605" max="3605" width="9.140625" style="19"/>
    <col min="3606" max="3606" width="12.42578125" style="19" customWidth="1"/>
    <col min="3607" max="3608" width="9.140625" style="19"/>
    <col min="3609" max="3609" width="9.140625" style="19" customWidth="1"/>
    <col min="3610" max="3610" width="7.42578125" style="19" customWidth="1"/>
    <col min="3611" max="3611" width="6.5703125" style="19" customWidth="1"/>
    <col min="3612" max="3840" width="9.140625" style="19"/>
    <col min="3841" max="3841" width="0.140625" style="19" customWidth="1"/>
    <col min="3842" max="3842" width="9.140625" style="19"/>
    <col min="3843" max="3843" width="9.42578125" style="19" customWidth="1"/>
    <col min="3844" max="3844" width="13.5703125" style="19" customWidth="1"/>
    <col min="3845" max="3851" width="9.140625" style="19"/>
    <col min="3852" max="3852" width="4.140625" style="19" customWidth="1"/>
    <col min="3853" max="3853" width="7" style="19" customWidth="1"/>
    <col min="3854" max="3854" width="4" style="19" customWidth="1"/>
    <col min="3855" max="3855" width="8.140625" style="19" customWidth="1"/>
    <col min="3856" max="3856" width="6.28515625" style="19" customWidth="1"/>
    <col min="3857" max="3857" width="6.42578125" style="19" customWidth="1"/>
    <col min="3858" max="3858" width="7" style="19" customWidth="1"/>
    <col min="3859" max="3859" width="7.140625" style="19" customWidth="1"/>
    <col min="3860" max="3860" width="7" style="19" customWidth="1"/>
    <col min="3861" max="3861" width="9.140625" style="19"/>
    <col min="3862" max="3862" width="12.42578125" style="19" customWidth="1"/>
    <col min="3863" max="3864" width="9.140625" style="19"/>
    <col min="3865" max="3865" width="9.140625" style="19" customWidth="1"/>
    <col min="3866" max="3866" width="7.42578125" style="19" customWidth="1"/>
    <col min="3867" max="3867" width="6.5703125" style="19" customWidth="1"/>
    <col min="3868" max="4096" width="9.140625" style="19"/>
    <col min="4097" max="4097" width="0.140625" style="19" customWidth="1"/>
    <col min="4098" max="4098" width="9.140625" style="19"/>
    <col min="4099" max="4099" width="9.42578125" style="19" customWidth="1"/>
    <col min="4100" max="4100" width="13.5703125" style="19" customWidth="1"/>
    <col min="4101" max="4107" width="9.140625" style="19"/>
    <col min="4108" max="4108" width="4.140625" style="19" customWidth="1"/>
    <col min="4109" max="4109" width="7" style="19" customWidth="1"/>
    <col min="4110" max="4110" width="4" style="19" customWidth="1"/>
    <col min="4111" max="4111" width="8.140625" style="19" customWidth="1"/>
    <col min="4112" max="4112" width="6.28515625" style="19" customWidth="1"/>
    <col min="4113" max="4113" width="6.42578125" style="19" customWidth="1"/>
    <col min="4114" max="4114" width="7" style="19" customWidth="1"/>
    <col min="4115" max="4115" width="7.140625" style="19" customWidth="1"/>
    <col min="4116" max="4116" width="7" style="19" customWidth="1"/>
    <col min="4117" max="4117" width="9.140625" style="19"/>
    <col min="4118" max="4118" width="12.42578125" style="19" customWidth="1"/>
    <col min="4119" max="4120" width="9.140625" style="19"/>
    <col min="4121" max="4121" width="9.140625" style="19" customWidth="1"/>
    <col min="4122" max="4122" width="7.42578125" style="19" customWidth="1"/>
    <col min="4123" max="4123" width="6.5703125" style="19" customWidth="1"/>
    <col min="4124" max="4352" width="9.140625" style="19"/>
    <col min="4353" max="4353" width="0.140625" style="19" customWidth="1"/>
    <col min="4354" max="4354" width="9.140625" style="19"/>
    <col min="4355" max="4355" width="9.42578125" style="19" customWidth="1"/>
    <col min="4356" max="4356" width="13.5703125" style="19" customWidth="1"/>
    <col min="4357" max="4363" width="9.140625" style="19"/>
    <col min="4364" max="4364" width="4.140625" style="19" customWidth="1"/>
    <col min="4365" max="4365" width="7" style="19" customWidth="1"/>
    <col min="4366" max="4366" width="4" style="19" customWidth="1"/>
    <col min="4367" max="4367" width="8.140625" style="19" customWidth="1"/>
    <col min="4368" max="4368" width="6.28515625" style="19" customWidth="1"/>
    <col min="4369" max="4369" width="6.42578125" style="19" customWidth="1"/>
    <col min="4370" max="4370" width="7" style="19" customWidth="1"/>
    <col min="4371" max="4371" width="7.140625" style="19" customWidth="1"/>
    <col min="4372" max="4372" width="7" style="19" customWidth="1"/>
    <col min="4373" max="4373" width="9.140625" style="19"/>
    <col min="4374" max="4374" width="12.42578125" style="19" customWidth="1"/>
    <col min="4375" max="4376" width="9.140625" style="19"/>
    <col min="4377" max="4377" width="9.140625" style="19" customWidth="1"/>
    <col min="4378" max="4378" width="7.42578125" style="19" customWidth="1"/>
    <col min="4379" max="4379" width="6.5703125" style="19" customWidth="1"/>
    <col min="4380" max="4608" width="9.140625" style="19"/>
    <col min="4609" max="4609" width="0.140625" style="19" customWidth="1"/>
    <col min="4610" max="4610" width="9.140625" style="19"/>
    <col min="4611" max="4611" width="9.42578125" style="19" customWidth="1"/>
    <col min="4612" max="4612" width="13.5703125" style="19" customWidth="1"/>
    <col min="4613" max="4619" width="9.140625" style="19"/>
    <col min="4620" max="4620" width="4.140625" style="19" customWidth="1"/>
    <col min="4621" max="4621" width="7" style="19" customWidth="1"/>
    <col min="4622" max="4622" width="4" style="19" customWidth="1"/>
    <col min="4623" max="4623" width="8.140625" style="19" customWidth="1"/>
    <col min="4624" max="4624" width="6.28515625" style="19" customWidth="1"/>
    <col min="4625" max="4625" width="6.42578125" style="19" customWidth="1"/>
    <col min="4626" max="4626" width="7" style="19" customWidth="1"/>
    <col min="4627" max="4627" width="7.140625" style="19" customWidth="1"/>
    <col min="4628" max="4628" width="7" style="19" customWidth="1"/>
    <col min="4629" max="4629" width="9.140625" style="19"/>
    <col min="4630" max="4630" width="12.42578125" style="19" customWidth="1"/>
    <col min="4631" max="4632" width="9.140625" style="19"/>
    <col min="4633" max="4633" width="9.140625" style="19" customWidth="1"/>
    <col min="4634" max="4634" width="7.42578125" style="19" customWidth="1"/>
    <col min="4635" max="4635" width="6.5703125" style="19" customWidth="1"/>
    <col min="4636" max="4864" width="9.140625" style="19"/>
    <col min="4865" max="4865" width="0.140625" style="19" customWidth="1"/>
    <col min="4866" max="4866" width="9.140625" style="19"/>
    <col min="4867" max="4867" width="9.42578125" style="19" customWidth="1"/>
    <col min="4868" max="4868" width="13.5703125" style="19" customWidth="1"/>
    <col min="4869" max="4875" width="9.140625" style="19"/>
    <col min="4876" max="4876" width="4.140625" style="19" customWidth="1"/>
    <col min="4877" max="4877" width="7" style="19" customWidth="1"/>
    <col min="4878" max="4878" width="4" style="19" customWidth="1"/>
    <col min="4879" max="4879" width="8.140625" style="19" customWidth="1"/>
    <col min="4880" max="4880" width="6.28515625" style="19" customWidth="1"/>
    <col min="4881" max="4881" width="6.42578125" style="19" customWidth="1"/>
    <col min="4882" max="4882" width="7" style="19" customWidth="1"/>
    <col min="4883" max="4883" width="7.140625" style="19" customWidth="1"/>
    <col min="4884" max="4884" width="7" style="19" customWidth="1"/>
    <col min="4885" max="4885" width="9.140625" style="19"/>
    <col min="4886" max="4886" width="12.42578125" style="19" customWidth="1"/>
    <col min="4887" max="4888" width="9.140625" style="19"/>
    <col min="4889" max="4889" width="9.140625" style="19" customWidth="1"/>
    <col min="4890" max="4890" width="7.42578125" style="19" customWidth="1"/>
    <col min="4891" max="4891" width="6.5703125" style="19" customWidth="1"/>
    <col min="4892" max="5120" width="9.140625" style="19"/>
    <col min="5121" max="5121" width="0.140625" style="19" customWidth="1"/>
    <col min="5122" max="5122" width="9.140625" style="19"/>
    <col min="5123" max="5123" width="9.42578125" style="19" customWidth="1"/>
    <col min="5124" max="5124" width="13.5703125" style="19" customWidth="1"/>
    <col min="5125" max="5131" width="9.140625" style="19"/>
    <col min="5132" max="5132" width="4.140625" style="19" customWidth="1"/>
    <col min="5133" max="5133" width="7" style="19" customWidth="1"/>
    <col min="5134" max="5134" width="4" style="19" customWidth="1"/>
    <col min="5135" max="5135" width="8.140625" style="19" customWidth="1"/>
    <col min="5136" max="5136" width="6.28515625" style="19" customWidth="1"/>
    <col min="5137" max="5137" width="6.42578125" style="19" customWidth="1"/>
    <col min="5138" max="5138" width="7" style="19" customWidth="1"/>
    <col min="5139" max="5139" width="7.140625" style="19" customWidth="1"/>
    <col min="5140" max="5140" width="7" style="19" customWidth="1"/>
    <col min="5141" max="5141" width="9.140625" style="19"/>
    <col min="5142" max="5142" width="12.42578125" style="19" customWidth="1"/>
    <col min="5143" max="5144" width="9.140625" style="19"/>
    <col min="5145" max="5145" width="9.140625" style="19" customWidth="1"/>
    <col min="5146" max="5146" width="7.42578125" style="19" customWidth="1"/>
    <col min="5147" max="5147" width="6.5703125" style="19" customWidth="1"/>
    <col min="5148" max="5376" width="9.140625" style="19"/>
    <col min="5377" max="5377" width="0.140625" style="19" customWidth="1"/>
    <col min="5378" max="5378" width="9.140625" style="19"/>
    <col min="5379" max="5379" width="9.42578125" style="19" customWidth="1"/>
    <col min="5380" max="5380" width="13.5703125" style="19" customWidth="1"/>
    <col min="5381" max="5387" width="9.140625" style="19"/>
    <col min="5388" max="5388" width="4.140625" style="19" customWidth="1"/>
    <col min="5389" max="5389" width="7" style="19" customWidth="1"/>
    <col min="5390" max="5390" width="4" style="19" customWidth="1"/>
    <col min="5391" max="5391" width="8.140625" style="19" customWidth="1"/>
    <col min="5392" max="5392" width="6.28515625" style="19" customWidth="1"/>
    <col min="5393" max="5393" width="6.42578125" style="19" customWidth="1"/>
    <col min="5394" max="5394" width="7" style="19" customWidth="1"/>
    <col min="5395" max="5395" width="7.140625" style="19" customWidth="1"/>
    <col min="5396" max="5396" width="7" style="19" customWidth="1"/>
    <col min="5397" max="5397" width="9.140625" style="19"/>
    <col min="5398" max="5398" width="12.42578125" style="19" customWidth="1"/>
    <col min="5399" max="5400" width="9.140625" style="19"/>
    <col min="5401" max="5401" width="9.140625" style="19" customWidth="1"/>
    <col min="5402" max="5402" width="7.42578125" style="19" customWidth="1"/>
    <col min="5403" max="5403" width="6.5703125" style="19" customWidth="1"/>
    <col min="5404" max="5632" width="9.140625" style="19"/>
    <col min="5633" max="5633" width="0.140625" style="19" customWidth="1"/>
    <col min="5634" max="5634" width="9.140625" style="19"/>
    <col min="5635" max="5635" width="9.42578125" style="19" customWidth="1"/>
    <col min="5636" max="5636" width="13.5703125" style="19" customWidth="1"/>
    <col min="5637" max="5643" width="9.140625" style="19"/>
    <col min="5644" max="5644" width="4.140625" style="19" customWidth="1"/>
    <col min="5645" max="5645" width="7" style="19" customWidth="1"/>
    <col min="5646" max="5646" width="4" style="19" customWidth="1"/>
    <col min="5647" max="5647" width="8.140625" style="19" customWidth="1"/>
    <col min="5648" max="5648" width="6.28515625" style="19" customWidth="1"/>
    <col min="5649" max="5649" width="6.42578125" style="19" customWidth="1"/>
    <col min="5650" max="5650" width="7" style="19" customWidth="1"/>
    <col min="5651" max="5651" width="7.140625" style="19" customWidth="1"/>
    <col min="5652" max="5652" width="7" style="19" customWidth="1"/>
    <col min="5653" max="5653" width="9.140625" style="19"/>
    <col min="5654" max="5654" width="12.42578125" style="19" customWidth="1"/>
    <col min="5655" max="5656" width="9.140625" style="19"/>
    <col min="5657" max="5657" width="9.140625" style="19" customWidth="1"/>
    <col min="5658" max="5658" width="7.42578125" style="19" customWidth="1"/>
    <col min="5659" max="5659" width="6.5703125" style="19" customWidth="1"/>
    <col min="5660" max="5888" width="9.140625" style="19"/>
    <col min="5889" max="5889" width="0.140625" style="19" customWidth="1"/>
    <col min="5890" max="5890" width="9.140625" style="19"/>
    <col min="5891" max="5891" width="9.42578125" style="19" customWidth="1"/>
    <col min="5892" max="5892" width="13.5703125" style="19" customWidth="1"/>
    <col min="5893" max="5899" width="9.140625" style="19"/>
    <col min="5900" max="5900" width="4.140625" style="19" customWidth="1"/>
    <col min="5901" max="5901" width="7" style="19" customWidth="1"/>
    <col min="5902" max="5902" width="4" style="19" customWidth="1"/>
    <col min="5903" max="5903" width="8.140625" style="19" customWidth="1"/>
    <col min="5904" max="5904" width="6.28515625" style="19" customWidth="1"/>
    <col min="5905" max="5905" width="6.42578125" style="19" customWidth="1"/>
    <col min="5906" max="5906" width="7" style="19" customWidth="1"/>
    <col min="5907" max="5907" width="7.140625" style="19" customWidth="1"/>
    <col min="5908" max="5908" width="7" style="19" customWidth="1"/>
    <col min="5909" max="5909" width="9.140625" style="19"/>
    <col min="5910" max="5910" width="12.42578125" style="19" customWidth="1"/>
    <col min="5911" max="5912" width="9.140625" style="19"/>
    <col min="5913" max="5913" width="9.140625" style="19" customWidth="1"/>
    <col min="5914" max="5914" width="7.42578125" style="19" customWidth="1"/>
    <col min="5915" max="5915" width="6.5703125" style="19" customWidth="1"/>
    <col min="5916" max="6144" width="9.140625" style="19"/>
    <col min="6145" max="6145" width="0.140625" style="19" customWidth="1"/>
    <col min="6146" max="6146" width="9.140625" style="19"/>
    <col min="6147" max="6147" width="9.42578125" style="19" customWidth="1"/>
    <col min="6148" max="6148" width="13.5703125" style="19" customWidth="1"/>
    <col min="6149" max="6155" width="9.140625" style="19"/>
    <col min="6156" max="6156" width="4.140625" style="19" customWidth="1"/>
    <col min="6157" max="6157" width="7" style="19" customWidth="1"/>
    <col min="6158" max="6158" width="4" style="19" customWidth="1"/>
    <col min="6159" max="6159" width="8.140625" style="19" customWidth="1"/>
    <col min="6160" max="6160" width="6.28515625" style="19" customWidth="1"/>
    <col min="6161" max="6161" width="6.42578125" style="19" customWidth="1"/>
    <col min="6162" max="6162" width="7" style="19" customWidth="1"/>
    <col min="6163" max="6163" width="7.140625" style="19" customWidth="1"/>
    <col min="6164" max="6164" width="7" style="19" customWidth="1"/>
    <col min="6165" max="6165" width="9.140625" style="19"/>
    <col min="6166" max="6166" width="12.42578125" style="19" customWidth="1"/>
    <col min="6167" max="6168" width="9.140625" style="19"/>
    <col min="6169" max="6169" width="9.140625" style="19" customWidth="1"/>
    <col min="6170" max="6170" width="7.42578125" style="19" customWidth="1"/>
    <col min="6171" max="6171" width="6.5703125" style="19" customWidth="1"/>
    <col min="6172" max="6400" width="9.140625" style="19"/>
    <col min="6401" max="6401" width="0.140625" style="19" customWidth="1"/>
    <col min="6402" max="6402" width="9.140625" style="19"/>
    <col min="6403" max="6403" width="9.42578125" style="19" customWidth="1"/>
    <col min="6404" max="6404" width="13.5703125" style="19" customWidth="1"/>
    <col min="6405" max="6411" width="9.140625" style="19"/>
    <col min="6412" max="6412" width="4.140625" style="19" customWidth="1"/>
    <col min="6413" max="6413" width="7" style="19" customWidth="1"/>
    <col min="6414" max="6414" width="4" style="19" customWidth="1"/>
    <col min="6415" max="6415" width="8.140625" style="19" customWidth="1"/>
    <col min="6416" max="6416" width="6.28515625" style="19" customWidth="1"/>
    <col min="6417" max="6417" width="6.42578125" style="19" customWidth="1"/>
    <col min="6418" max="6418" width="7" style="19" customWidth="1"/>
    <col min="6419" max="6419" width="7.140625" style="19" customWidth="1"/>
    <col min="6420" max="6420" width="7" style="19" customWidth="1"/>
    <col min="6421" max="6421" width="9.140625" style="19"/>
    <col min="6422" max="6422" width="12.42578125" style="19" customWidth="1"/>
    <col min="6423" max="6424" width="9.140625" style="19"/>
    <col min="6425" max="6425" width="9.140625" style="19" customWidth="1"/>
    <col min="6426" max="6426" width="7.42578125" style="19" customWidth="1"/>
    <col min="6427" max="6427" width="6.5703125" style="19" customWidth="1"/>
    <col min="6428" max="6656" width="9.140625" style="19"/>
    <col min="6657" max="6657" width="0.140625" style="19" customWidth="1"/>
    <col min="6658" max="6658" width="9.140625" style="19"/>
    <col min="6659" max="6659" width="9.42578125" style="19" customWidth="1"/>
    <col min="6660" max="6660" width="13.5703125" style="19" customWidth="1"/>
    <col min="6661" max="6667" width="9.140625" style="19"/>
    <col min="6668" max="6668" width="4.140625" style="19" customWidth="1"/>
    <col min="6669" max="6669" width="7" style="19" customWidth="1"/>
    <col min="6670" max="6670" width="4" style="19" customWidth="1"/>
    <col min="6671" max="6671" width="8.140625" style="19" customWidth="1"/>
    <col min="6672" max="6672" width="6.28515625" style="19" customWidth="1"/>
    <col min="6673" max="6673" width="6.42578125" style="19" customWidth="1"/>
    <col min="6674" max="6674" width="7" style="19" customWidth="1"/>
    <col min="6675" max="6675" width="7.140625" style="19" customWidth="1"/>
    <col min="6676" max="6676" width="7" style="19" customWidth="1"/>
    <col min="6677" max="6677" width="9.140625" style="19"/>
    <col min="6678" max="6678" width="12.42578125" style="19" customWidth="1"/>
    <col min="6679" max="6680" width="9.140625" style="19"/>
    <col min="6681" max="6681" width="9.140625" style="19" customWidth="1"/>
    <col min="6682" max="6682" width="7.42578125" style="19" customWidth="1"/>
    <col min="6683" max="6683" width="6.5703125" style="19" customWidth="1"/>
    <col min="6684" max="6912" width="9.140625" style="19"/>
    <col min="6913" max="6913" width="0.140625" style="19" customWidth="1"/>
    <col min="6914" max="6914" width="9.140625" style="19"/>
    <col min="6915" max="6915" width="9.42578125" style="19" customWidth="1"/>
    <col min="6916" max="6916" width="13.5703125" style="19" customWidth="1"/>
    <col min="6917" max="6923" width="9.140625" style="19"/>
    <col min="6924" max="6924" width="4.140625" style="19" customWidth="1"/>
    <col min="6925" max="6925" width="7" style="19" customWidth="1"/>
    <col min="6926" max="6926" width="4" style="19" customWidth="1"/>
    <col min="6927" max="6927" width="8.140625" style="19" customWidth="1"/>
    <col min="6928" max="6928" width="6.28515625" style="19" customWidth="1"/>
    <col min="6929" max="6929" width="6.42578125" style="19" customWidth="1"/>
    <col min="6930" max="6930" width="7" style="19" customWidth="1"/>
    <col min="6931" max="6931" width="7.140625" style="19" customWidth="1"/>
    <col min="6932" max="6932" width="7" style="19" customWidth="1"/>
    <col min="6933" max="6933" width="9.140625" style="19"/>
    <col min="6934" max="6934" width="12.42578125" style="19" customWidth="1"/>
    <col min="6935" max="6936" width="9.140625" style="19"/>
    <col min="6937" max="6937" width="9.140625" style="19" customWidth="1"/>
    <col min="6938" max="6938" width="7.42578125" style="19" customWidth="1"/>
    <col min="6939" max="6939" width="6.5703125" style="19" customWidth="1"/>
    <col min="6940" max="7168" width="9.140625" style="19"/>
    <col min="7169" max="7169" width="0.140625" style="19" customWidth="1"/>
    <col min="7170" max="7170" width="9.140625" style="19"/>
    <col min="7171" max="7171" width="9.42578125" style="19" customWidth="1"/>
    <col min="7172" max="7172" width="13.5703125" style="19" customWidth="1"/>
    <col min="7173" max="7179" width="9.140625" style="19"/>
    <col min="7180" max="7180" width="4.140625" style="19" customWidth="1"/>
    <col min="7181" max="7181" width="7" style="19" customWidth="1"/>
    <col min="7182" max="7182" width="4" style="19" customWidth="1"/>
    <col min="7183" max="7183" width="8.140625" style="19" customWidth="1"/>
    <col min="7184" max="7184" width="6.28515625" style="19" customWidth="1"/>
    <col min="7185" max="7185" width="6.42578125" style="19" customWidth="1"/>
    <col min="7186" max="7186" width="7" style="19" customWidth="1"/>
    <col min="7187" max="7187" width="7.140625" style="19" customWidth="1"/>
    <col min="7188" max="7188" width="7" style="19" customWidth="1"/>
    <col min="7189" max="7189" width="9.140625" style="19"/>
    <col min="7190" max="7190" width="12.42578125" style="19" customWidth="1"/>
    <col min="7191" max="7192" width="9.140625" style="19"/>
    <col min="7193" max="7193" width="9.140625" style="19" customWidth="1"/>
    <col min="7194" max="7194" width="7.42578125" style="19" customWidth="1"/>
    <col min="7195" max="7195" width="6.5703125" style="19" customWidth="1"/>
    <col min="7196" max="7424" width="9.140625" style="19"/>
    <col min="7425" max="7425" width="0.140625" style="19" customWidth="1"/>
    <col min="7426" max="7426" width="9.140625" style="19"/>
    <col min="7427" max="7427" width="9.42578125" style="19" customWidth="1"/>
    <col min="7428" max="7428" width="13.5703125" style="19" customWidth="1"/>
    <col min="7429" max="7435" width="9.140625" style="19"/>
    <col min="7436" max="7436" width="4.140625" style="19" customWidth="1"/>
    <col min="7437" max="7437" width="7" style="19" customWidth="1"/>
    <col min="7438" max="7438" width="4" style="19" customWidth="1"/>
    <col min="7439" max="7439" width="8.140625" style="19" customWidth="1"/>
    <col min="7440" max="7440" width="6.28515625" style="19" customWidth="1"/>
    <col min="7441" max="7441" width="6.42578125" style="19" customWidth="1"/>
    <col min="7442" max="7442" width="7" style="19" customWidth="1"/>
    <col min="7443" max="7443" width="7.140625" style="19" customWidth="1"/>
    <col min="7444" max="7444" width="7" style="19" customWidth="1"/>
    <col min="7445" max="7445" width="9.140625" style="19"/>
    <col min="7446" max="7446" width="12.42578125" style="19" customWidth="1"/>
    <col min="7447" max="7448" width="9.140625" style="19"/>
    <col min="7449" max="7449" width="9.140625" style="19" customWidth="1"/>
    <col min="7450" max="7450" width="7.42578125" style="19" customWidth="1"/>
    <col min="7451" max="7451" width="6.5703125" style="19" customWidth="1"/>
    <col min="7452" max="7680" width="9.140625" style="19"/>
    <col min="7681" max="7681" width="0.140625" style="19" customWidth="1"/>
    <col min="7682" max="7682" width="9.140625" style="19"/>
    <col min="7683" max="7683" width="9.42578125" style="19" customWidth="1"/>
    <col min="7684" max="7684" width="13.5703125" style="19" customWidth="1"/>
    <col min="7685" max="7691" width="9.140625" style="19"/>
    <col min="7692" max="7692" width="4.140625" style="19" customWidth="1"/>
    <col min="7693" max="7693" width="7" style="19" customWidth="1"/>
    <col min="7694" max="7694" width="4" style="19" customWidth="1"/>
    <col min="7695" max="7695" width="8.140625" style="19" customWidth="1"/>
    <col min="7696" max="7696" width="6.28515625" style="19" customWidth="1"/>
    <col min="7697" max="7697" width="6.42578125" style="19" customWidth="1"/>
    <col min="7698" max="7698" width="7" style="19" customWidth="1"/>
    <col min="7699" max="7699" width="7.140625" style="19" customWidth="1"/>
    <col min="7700" max="7700" width="7" style="19" customWidth="1"/>
    <col min="7701" max="7701" width="9.140625" style="19"/>
    <col min="7702" max="7702" width="12.42578125" style="19" customWidth="1"/>
    <col min="7703" max="7704" width="9.140625" style="19"/>
    <col min="7705" max="7705" width="9.140625" style="19" customWidth="1"/>
    <col min="7706" max="7706" width="7.42578125" style="19" customWidth="1"/>
    <col min="7707" max="7707" width="6.5703125" style="19" customWidth="1"/>
    <col min="7708" max="7936" width="9.140625" style="19"/>
    <col min="7937" max="7937" width="0.140625" style="19" customWidth="1"/>
    <col min="7938" max="7938" width="9.140625" style="19"/>
    <col min="7939" max="7939" width="9.42578125" style="19" customWidth="1"/>
    <col min="7940" max="7940" width="13.5703125" style="19" customWidth="1"/>
    <col min="7941" max="7947" width="9.140625" style="19"/>
    <col min="7948" max="7948" width="4.140625" style="19" customWidth="1"/>
    <col min="7949" max="7949" width="7" style="19" customWidth="1"/>
    <col min="7950" max="7950" width="4" style="19" customWidth="1"/>
    <col min="7951" max="7951" width="8.140625" style="19" customWidth="1"/>
    <col min="7952" max="7952" width="6.28515625" style="19" customWidth="1"/>
    <col min="7953" max="7953" width="6.42578125" style="19" customWidth="1"/>
    <col min="7954" max="7954" width="7" style="19" customWidth="1"/>
    <col min="7955" max="7955" width="7.140625" style="19" customWidth="1"/>
    <col min="7956" max="7956" width="7" style="19" customWidth="1"/>
    <col min="7957" max="7957" width="9.140625" style="19"/>
    <col min="7958" max="7958" width="12.42578125" style="19" customWidth="1"/>
    <col min="7959" max="7960" width="9.140625" style="19"/>
    <col min="7961" max="7961" width="9.140625" style="19" customWidth="1"/>
    <col min="7962" max="7962" width="7.42578125" style="19" customWidth="1"/>
    <col min="7963" max="7963" width="6.5703125" style="19" customWidth="1"/>
    <col min="7964" max="8192" width="9.140625" style="19"/>
    <col min="8193" max="8193" width="0.140625" style="19" customWidth="1"/>
    <col min="8194" max="8194" width="9.140625" style="19"/>
    <col min="8195" max="8195" width="9.42578125" style="19" customWidth="1"/>
    <col min="8196" max="8196" width="13.5703125" style="19" customWidth="1"/>
    <col min="8197" max="8203" width="9.140625" style="19"/>
    <col min="8204" max="8204" width="4.140625" style="19" customWidth="1"/>
    <col min="8205" max="8205" width="7" style="19" customWidth="1"/>
    <col min="8206" max="8206" width="4" style="19" customWidth="1"/>
    <col min="8207" max="8207" width="8.140625" style="19" customWidth="1"/>
    <col min="8208" max="8208" width="6.28515625" style="19" customWidth="1"/>
    <col min="8209" max="8209" width="6.42578125" style="19" customWidth="1"/>
    <col min="8210" max="8210" width="7" style="19" customWidth="1"/>
    <col min="8211" max="8211" width="7.140625" style="19" customWidth="1"/>
    <col min="8212" max="8212" width="7" style="19" customWidth="1"/>
    <col min="8213" max="8213" width="9.140625" style="19"/>
    <col min="8214" max="8214" width="12.42578125" style="19" customWidth="1"/>
    <col min="8215" max="8216" width="9.140625" style="19"/>
    <col min="8217" max="8217" width="9.140625" style="19" customWidth="1"/>
    <col min="8218" max="8218" width="7.42578125" style="19" customWidth="1"/>
    <col min="8219" max="8219" width="6.5703125" style="19" customWidth="1"/>
    <col min="8220" max="8448" width="9.140625" style="19"/>
    <col min="8449" max="8449" width="0.140625" style="19" customWidth="1"/>
    <col min="8450" max="8450" width="9.140625" style="19"/>
    <col min="8451" max="8451" width="9.42578125" style="19" customWidth="1"/>
    <col min="8452" max="8452" width="13.5703125" style="19" customWidth="1"/>
    <col min="8453" max="8459" width="9.140625" style="19"/>
    <col min="8460" max="8460" width="4.140625" style="19" customWidth="1"/>
    <col min="8461" max="8461" width="7" style="19" customWidth="1"/>
    <col min="8462" max="8462" width="4" style="19" customWidth="1"/>
    <col min="8463" max="8463" width="8.140625" style="19" customWidth="1"/>
    <col min="8464" max="8464" width="6.28515625" style="19" customWidth="1"/>
    <col min="8465" max="8465" width="6.42578125" style="19" customWidth="1"/>
    <col min="8466" max="8466" width="7" style="19" customWidth="1"/>
    <col min="8467" max="8467" width="7.140625" style="19" customWidth="1"/>
    <col min="8468" max="8468" width="7" style="19" customWidth="1"/>
    <col min="8469" max="8469" width="9.140625" style="19"/>
    <col min="8470" max="8470" width="12.42578125" style="19" customWidth="1"/>
    <col min="8471" max="8472" width="9.140625" style="19"/>
    <col min="8473" max="8473" width="9.140625" style="19" customWidth="1"/>
    <col min="8474" max="8474" width="7.42578125" style="19" customWidth="1"/>
    <col min="8475" max="8475" width="6.5703125" style="19" customWidth="1"/>
    <col min="8476" max="8704" width="9.140625" style="19"/>
    <col min="8705" max="8705" width="0.140625" style="19" customWidth="1"/>
    <col min="8706" max="8706" width="9.140625" style="19"/>
    <col min="8707" max="8707" width="9.42578125" style="19" customWidth="1"/>
    <col min="8708" max="8708" width="13.5703125" style="19" customWidth="1"/>
    <col min="8709" max="8715" width="9.140625" style="19"/>
    <col min="8716" max="8716" width="4.140625" style="19" customWidth="1"/>
    <col min="8717" max="8717" width="7" style="19" customWidth="1"/>
    <col min="8718" max="8718" width="4" style="19" customWidth="1"/>
    <col min="8719" max="8719" width="8.140625" style="19" customWidth="1"/>
    <col min="8720" max="8720" width="6.28515625" style="19" customWidth="1"/>
    <col min="8721" max="8721" width="6.42578125" style="19" customWidth="1"/>
    <col min="8722" max="8722" width="7" style="19" customWidth="1"/>
    <col min="8723" max="8723" width="7.140625" style="19" customWidth="1"/>
    <col min="8724" max="8724" width="7" style="19" customWidth="1"/>
    <col min="8725" max="8725" width="9.140625" style="19"/>
    <col min="8726" max="8726" width="12.42578125" style="19" customWidth="1"/>
    <col min="8727" max="8728" width="9.140625" style="19"/>
    <col min="8729" max="8729" width="9.140625" style="19" customWidth="1"/>
    <col min="8730" max="8730" width="7.42578125" style="19" customWidth="1"/>
    <col min="8731" max="8731" width="6.5703125" style="19" customWidth="1"/>
    <col min="8732" max="8960" width="9.140625" style="19"/>
    <col min="8961" max="8961" width="0.140625" style="19" customWidth="1"/>
    <col min="8962" max="8962" width="9.140625" style="19"/>
    <col min="8963" max="8963" width="9.42578125" style="19" customWidth="1"/>
    <col min="8964" max="8964" width="13.5703125" style="19" customWidth="1"/>
    <col min="8965" max="8971" width="9.140625" style="19"/>
    <col min="8972" max="8972" width="4.140625" style="19" customWidth="1"/>
    <col min="8973" max="8973" width="7" style="19" customWidth="1"/>
    <col min="8974" max="8974" width="4" style="19" customWidth="1"/>
    <col min="8975" max="8975" width="8.140625" style="19" customWidth="1"/>
    <col min="8976" max="8976" width="6.28515625" style="19" customWidth="1"/>
    <col min="8977" max="8977" width="6.42578125" style="19" customWidth="1"/>
    <col min="8978" max="8978" width="7" style="19" customWidth="1"/>
    <col min="8979" max="8979" width="7.140625" style="19" customWidth="1"/>
    <col min="8980" max="8980" width="7" style="19" customWidth="1"/>
    <col min="8981" max="8981" width="9.140625" style="19"/>
    <col min="8982" max="8982" width="12.42578125" style="19" customWidth="1"/>
    <col min="8983" max="8984" width="9.140625" style="19"/>
    <col min="8985" max="8985" width="9.140625" style="19" customWidth="1"/>
    <col min="8986" max="8986" width="7.42578125" style="19" customWidth="1"/>
    <col min="8987" max="8987" width="6.5703125" style="19" customWidth="1"/>
    <col min="8988" max="9216" width="9.140625" style="19"/>
    <col min="9217" max="9217" width="0.140625" style="19" customWidth="1"/>
    <col min="9218" max="9218" width="9.140625" style="19"/>
    <col min="9219" max="9219" width="9.42578125" style="19" customWidth="1"/>
    <col min="9220" max="9220" width="13.5703125" style="19" customWidth="1"/>
    <col min="9221" max="9227" width="9.140625" style="19"/>
    <col min="9228" max="9228" width="4.140625" style="19" customWidth="1"/>
    <col min="9229" max="9229" width="7" style="19" customWidth="1"/>
    <col min="9230" max="9230" width="4" style="19" customWidth="1"/>
    <col min="9231" max="9231" width="8.140625" style="19" customWidth="1"/>
    <col min="9232" max="9232" width="6.28515625" style="19" customWidth="1"/>
    <col min="9233" max="9233" width="6.42578125" style="19" customWidth="1"/>
    <col min="9234" max="9234" width="7" style="19" customWidth="1"/>
    <col min="9235" max="9235" width="7.140625" style="19" customWidth="1"/>
    <col min="9236" max="9236" width="7" style="19" customWidth="1"/>
    <col min="9237" max="9237" width="9.140625" style="19"/>
    <col min="9238" max="9238" width="12.42578125" style="19" customWidth="1"/>
    <col min="9239" max="9240" width="9.140625" style="19"/>
    <col min="9241" max="9241" width="9.140625" style="19" customWidth="1"/>
    <col min="9242" max="9242" width="7.42578125" style="19" customWidth="1"/>
    <col min="9243" max="9243" width="6.5703125" style="19" customWidth="1"/>
    <col min="9244" max="9472" width="9.140625" style="19"/>
    <col min="9473" max="9473" width="0.140625" style="19" customWidth="1"/>
    <col min="9474" max="9474" width="9.140625" style="19"/>
    <col min="9475" max="9475" width="9.42578125" style="19" customWidth="1"/>
    <col min="9476" max="9476" width="13.5703125" style="19" customWidth="1"/>
    <col min="9477" max="9483" width="9.140625" style="19"/>
    <col min="9484" max="9484" width="4.140625" style="19" customWidth="1"/>
    <col min="9485" max="9485" width="7" style="19" customWidth="1"/>
    <col min="9486" max="9486" width="4" style="19" customWidth="1"/>
    <col min="9487" max="9487" width="8.140625" style="19" customWidth="1"/>
    <col min="9488" max="9488" width="6.28515625" style="19" customWidth="1"/>
    <col min="9489" max="9489" width="6.42578125" style="19" customWidth="1"/>
    <col min="9490" max="9490" width="7" style="19" customWidth="1"/>
    <col min="9491" max="9491" width="7.140625" style="19" customWidth="1"/>
    <col min="9492" max="9492" width="7" style="19" customWidth="1"/>
    <col min="9493" max="9493" width="9.140625" style="19"/>
    <col min="9494" max="9494" width="12.42578125" style="19" customWidth="1"/>
    <col min="9495" max="9496" width="9.140625" style="19"/>
    <col min="9497" max="9497" width="9.140625" style="19" customWidth="1"/>
    <col min="9498" max="9498" width="7.42578125" style="19" customWidth="1"/>
    <col min="9499" max="9499" width="6.5703125" style="19" customWidth="1"/>
    <col min="9500" max="9728" width="9.140625" style="19"/>
    <col min="9729" max="9729" width="0.140625" style="19" customWidth="1"/>
    <col min="9730" max="9730" width="9.140625" style="19"/>
    <col min="9731" max="9731" width="9.42578125" style="19" customWidth="1"/>
    <col min="9732" max="9732" width="13.5703125" style="19" customWidth="1"/>
    <col min="9733" max="9739" width="9.140625" style="19"/>
    <col min="9740" max="9740" width="4.140625" style="19" customWidth="1"/>
    <col min="9741" max="9741" width="7" style="19" customWidth="1"/>
    <col min="9742" max="9742" width="4" style="19" customWidth="1"/>
    <col min="9743" max="9743" width="8.140625" style="19" customWidth="1"/>
    <col min="9744" max="9744" width="6.28515625" style="19" customWidth="1"/>
    <col min="9745" max="9745" width="6.42578125" style="19" customWidth="1"/>
    <col min="9746" max="9746" width="7" style="19" customWidth="1"/>
    <col min="9747" max="9747" width="7.140625" style="19" customWidth="1"/>
    <col min="9748" max="9748" width="7" style="19" customWidth="1"/>
    <col min="9749" max="9749" width="9.140625" style="19"/>
    <col min="9750" max="9750" width="12.42578125" style="19" customWidth="1"/>
    <col min="9751" max="9752" width="9.140625" style="19"/>
    <col min="9753" max="9753" width="9.140625" style="19" customWidth="1"/>
    <col min="9754" max="9754" width="7.42578125" style="19" customWidth="1"/>
    <col min="9755" max="9755" width="6.5703125" style="19" customWidth="1"/>
    <col min="9756" max="9984" width="9.140625" style="19"/>
    <col min="9985" max="9985" width="0.140625" style="19" customWidth="1"/>
    <col min="9986" max="9986" width="9.140625" style="19"/>
    <col min="9987" max="9987" width="9.42578125" style="19" customWidth="1"/>
    <col min="9988" max="9988" width="13.5703125" style="19" customWidth="1"/>
    <col min="9989" max="9995" width="9.140625" style="19"/>
    <col min="9996" max="9996" width="4.140625" style="19" customWidth="1"/>
    <col min="9997" max="9997" width="7" style="19" customWidth="1"/>
    <col min="9998" max="9998" width="4" style="19" customWidth="1"/>
    <col min="9999" max="9999" width="8.140625" style="19" customWidth="1"/>
    <col min="10000" max="10000" width="6.28515625" style="19" customWidth="1"/>
    <col min="10001" max="10001" width="6.42578125" style="19" customWidth="1"/>
    <col min="10002" max="10002" width="7" style="19" customWidth="1"/>
    <col min="10003" max="10003" width="7.140625" style="19" customWidth="1"/>
    <col min="10004" max="10004" width="7" style="19" customWidth="1"/>
    <col min="10005" max="10005" width="9.140625" style="19"/>
    <col min="10006" max="10006" width="12.42578125" style="19" customWidth="1"/>
    <col min="10007" max="10008" width="9.140625" style="19"/>
    <col min="10009" max="10009" width="9.140625" style="19" customWidth="1"/>
    <col min="10010" max="10010" width="7.42578125" style="19" customWidth="1"/>
    <col min="10011" max="10011" width="6.5703125" style="19" customWidth="1"/>
    <col min="10012" max="10240" width="9.140625" style="19"/>
    <col min="10241" max="10241" width="0.140625" style="19" customWidth="1"/>
    <col min="10242" max="10242" width="9.140625" style="19"/>
    <col min="10243" max="10243" width="9.42578125" style="19" customWidth="1"/>
    <col min="10244" max="10244" width="13.5703125" style="19" customWidth="1"/>
    <col min="10245" max="10251" width="9.140625" style="19"/>
    <col min="10252" max="10252" width="4.140625" style="19" customWidth="1"/>
    <col min="10253" max="10253" width="7" style="19" customWidth="1"/>
    <col min="10254" max="10254" width="4" style="19" customWidth="1"/>
    <col min="10255" max="10255" width="8.140625" style="19" customWidth="1"/>
    <col min="10256" max="10256" width="6.28515625" style="19" customWidth="1"/>
    <col min="10257" max="10257" width="6.42578125" style="19" customWidth="1"/>
    <col min="10258" max="10258" width="7" style="19" customWidth="1"/>
    <col min="10259" max="10259" width="7.140625" style="19" customWidth="1"/>
    <col min="10260" max="10260" width="7" style="19" customWidth="1"/>
    <col min="10261" max="10261" width="9.140625" style="19"/>
    <col min="10262" max="10262" width="12.42578125" style="19" customWidth="1"/>
    <col min="10263" max="10264" width="9.140625" style="19"/>
    <col min="10265" max="10265" width="9.140625" style="19" customWidth="1"/>
    <col min="10266" max="10266" width="7.42578125" style="19" customWidth="1"/>
    <col min="10267" max="10267" width="6.5703125" style="19" customWidth="1"/>
    <col min="10268" max="10496" width="9.140625" style="19"/>
    <col min="10497" max="10497" width="0.140625" style="19" customWidth="1"/>
    <col min="10498" max="10498" width="9.140625" style="19"/>
    <col min="10499" max="10499" width="9.42578125" style="19" customWidth="1"/>
    <col min="10500" max="10500" width="13.5703125" style="19" customWidth="1"/>
    <col min="10501" max="10507" width="9.140625" style="19"/>
    <col min="10508" max="10508" width="4.140625" style="19" customWidth="1"/>
    <col min="10509" max="10509" width="7" style="19" customWidth="1"/>
    <col min="10510" max="10510" width="4" style="19" customWidth="1"/>
    <col min="10511" max="10511" width="8.140625" style="19" customWidth="1"/>
    <col min="10512" max="10512" width="6.28515625" style="19" customWidth="1"/>
    <col min="10513" max="10513" width="6.42578125" style="19" customWidth="1"/>
    <col min="10514" max="10514" width="7" style="19" customWidth="1"/>
    <col min="10515" max="10515" width="7.140625" style="19" customWidth="1"/>
    <col min="10516" max="10516" width="7" style="19" customWidth="1"/>
    <col min="10517" max="10517" width="9.140625" style="19"/>
    <col min="10518" max="10518" width="12.42578125" style="19" customWidth="1"/>
    <col min="10519" max="10520" width="9.140625" style="19"/>
    <col min="10521" max="10521" width="9.140625" style="19" customWidth="1"/>
    <col min="10522" max="10522" width="7.42578125" style="19" customWidth="1"/>
    <col min="10523" max="10523" width="6.5703125" style="19" customWidth="1"/>
    <col min="10524" max="10752" width="9.140625" style="19"/>
    <col min="10753" max="10753" width="0.140625" style="19" customWidth="1"/>
    <col min="10754" max="10754" width="9.140625" style="19"/>
    <col min="10755" max="10755" width="9.42578125" style="19" customWidth="1"/>
    <col min="10756" max="10756" width="13.5703125" style="19" customWidth="1"/>
    <col min="10757" max="10763" width="9.140625" style="19"/>
    <col min="10764" max="10764" width="4.140625" style="19" customWidth="1"/>
    <col min="10765" max="10765" width="7" style="19" customWidth="1"/>
    <col min="10766" max="10766" width="4" style="19" customWidth="1"/>
    <col min="10767" max="10767" width="8.140625" style="19" customWidth="1"/>
    <col min="10768" max="10768" width="6.28515625" style="19" customWidth="1"/>
    <col min="10769" max="10769" width="6.42578125" style="19" customWidth="1"/>
    <col min="10770" max="10770" width="7" style="19" customWidth="1"/>
    <col min="10771" max="10771" width="7.140625" style="19" customWidth="1"/>
    <col min="10772" max="10772" width="7" style="19" customWidth="1"/>
    <col min="10773" max="10773" width="9.140625" style="19"/>
    <col min="10774" max="10774" width="12.42578125" style="19" customWidth="1"/>
    <col min="10775" max="10776" width="9.140625" style="19"/>
    <col min="10777" max="10777" width="9.140625" style="19" customWidth="1"/>
    <col min="10778" max="10778" width="7.42578125" style="19" customWidth="1"/>
    <col min="10779" max="10779" width="6.5703125" style="19" customWidth="1"/>
    <col min="10780" max="11008" width="9.140625" style="19"/>
    <col min="11009" max="11009" width="0.140625" style="19" customWidth="1"/>
    <col min="11010" max="11010" width="9.140625" style="19"/>
    <col min="11011" max="11011" width="9.42578125" style="19" customWidth="1"/>
    <col min="11012" max="11012" width="13.5703125" style="19" customWidth="1"/>
    <col min="11013" max="11019" width="9.140625" style="19"/>
    <col min="11020" max="11020" width="4.140625" style="19" customWidth="1"/>
    <col min="11021" max="11021" width="7" style="19" customWidth="1"/>
    <col min="11022" max="11022" width="4" style="19" customWidth="1"/>
    <col min="11023" max="11023" width="8.140625" style="19" customWidth="1"/>
    <col min="11024" max="11024" width="6.28515625" style="19" customWidth="1"/>
    <col min="11025" max="11025" width="6.42578125" style="19" customWidth="1"/>
    <col min="11026" max="11026" width="7" style="19" customWidth="1"/>
    <col min="11027" max="11027" width="7.140625" style="19" customWidth="1"/>
    <col min="11028" max="11028" width="7" style="19" customWidth="1"/>
    <col min="11029" max="11029" width="9.140625" style="19"/>
    <col min="11030" max="11030" width="12.42578125" style="19" customWidth="1"/>
    <col min="11031" max="11032" width="9.140625" style="19"/>
    <col min="11033" max="11033" width="9.140625" style="19" customWidth="1"/>
    <col min="11034" max="11034" width="7.42578125" style="19" customWidth="1"/>
    <col min="11035" max="11035" width="6.5703125" style="19" customWidth="1"/>
    <col min="11036" max="11264" width="9.140625" style="19"/>
    <col min="11265" max="11265" width="0.140625" style="19" customWidth="1"/>
    <col min="11266" max="11266" width="9.140625" style="19"/>
    <col min="11267" max="11267" width="9.42578125" style="19" customWidth="1"/>
    <col min="11268" max="11268" width="13.5703125" style="19" customWidth="1"/>
    <col min="11269" max="11275" width="9.140625" style="19"/>
    <col min="11276" max="11276" width="4.140625" style="19" customWidth="1"/>
    <col min="11277" max="11277" width="7" style="19" customWidth="1"/>
    <col min="11278" max="11278" width="4" style="19" customWidth="1"/>
    <col min="11279" max="11279" width="8.140625" style="19" customWidth="1"/>
    <col min="11280" max="11280" width="6.28515625" style="19" customWidth="1"/>
    <col min="11281" max="11281" width="6.42578125" style="19" customWidth="1"/>
    <col min="11282" max="11282" width="7" style="19" customWidth="1"/>
    <col min="11283" max="11283" width="7.140625" style="19" customWidth="1"/>
    <col min="11284" max="11284" width="7" style="19" customWidth="1"/>
    <col min="11285" max="11285" width="9.140625" style="19"/>
    <col min="11286" max="11286" width="12.42578125" style="19" customWidth="1"/>
    <col min="11287" max="11288" width="9.140625" style="19"/>
    <col min="11289" max="11289" width="9.140625" style="19" customWidth="1"/>
    <col min="11290" max="11290" width="7.42578125" style="19" customWidth="1"/>
    <col min="11291" max="11291" width="6.5703125" style="19" customWidth="1"/>
    <col min="11292" max="11520" width="9.140625" style="19"/>
    <col min="11521" max="11521" width="0.140625" style="19" customWidth="1"/>
    <col min="11522" max="11522" width="9.140625" style="19"/>
    <col min="11523" max="11523" width="9.42578125" style="19" customWidth="1"/>
    <col min="11524" max="11524" width="13.5703125" style="19" customWidth="1"/>
    <col min="11525" max="11531" width="9.140625" style="19"/>
    <col min="11532" max="11532" width="4.140625" style="19" customWidth="1"/>
    <col min="11533" max="11533" width="7" style="19" customWidth="1"/>
    <col min="11534" max="11534" width="4" style="19" customWidth="1"/>
    <col min="11535" max="11535" width="8.140625" style="19" customWidth="1"/>
    <col min="11536" max="11536" width="6.28515625" style="19" customWidth="1"/>
    <col min="11537" max="11537" width="6.42578125" style="19" customWidth="1"/>
    <col min="11538" max="11538" width="7" style="19" customWidth="1"/>
    <col min="11539" max="11539" width="7.140625" style="19" customWidth="1"/>
    <col min="11540" max="11540" width="7" style="19" customWidth="1"/>
    <col min="11541" max="11541" width="9.140625" style="19"/>
    <col min="11542" max="11542" width="12.42578125" style="19" customWidth="1"/>
    <col min="11543" max="11544" width="9.140625" style="19"/>
    <col min="11545" max="11545" width="9.140625" style="19" customWidth="1"/>
    <col min="11546" max="11546" width="7.42578125" style="19" customWidth="1"/>
    <col min="11547" max="11547" width="6.5703125" style="19" customWidth="1"/>
    <col min="11548" max="11776" width="9.140625" style="19"/>
    <col min="11777" max="11777" width="0.140625" style="19" customWidth="1"/>
    <col min="11778" max="11778" width="9.140625" style="19"/>
    <col min="11779" max="11779" width="9.42578125" style="19" customWidth="1"/>
    <col min="11780" max="11780" width="13.5703125" style="19" customWidth="1"/>
    <col min="11781" max="11787" width="9.140625" style="19"/>
    <col min="11788" max="11788" width="4.140625" style="19" customWidth="1"/>
    <col min="11789" max="11789" width="7" style="19" customWidth="1"/>
    <col min="11790" max="11790" width="4" style="19" customWidth="1"/>
    <col min="11791" max="11791" width="8.140625" style="19" customWidth="1"/>
    <col min="11792" max="11792" width="6.28515625" style="19" customWidth="1"/>
    <col min="11793" max="11793" width="6.42578125" style="19" customWidth="1"/>
    <col min="11794" max="11794" width="7" style="19" customWidth="1"/>
    <col min="11795" max="11795" width="7.140625" style="19" customWidth="1"/>
    <col min="11796" max="11796" width="7" style="19" customWidth="1"/>
    <col min="11797" max="11797" width="9.140625" style="19"/>
    <col min="11798" max="11798" width="12.42578125" style="19" customWidth="1"/>
    <col min="11799" max="11800" width="9.140625" style="19"/>
    <col min="11801" max="11801" width="9.140625" style="19" customWidth="1"/>
    <col min="11802" max="11802" width="7.42578125" style="19" customWidth="1"/>
    <col min="11803" max="11803" width="6.5703125" style="19" customWidth="1"/>
    <col min="11804" max="12032" width="9.140625" style="19"/>
    <col min="12033" max="12033" width="0.140625" style="19" customWidth="1"/>
    <col min="12034" max="12034" width="9.140625" style="19"/>
    <col min="12035" max="12035" width="9.42578125" style="19" customWidth="1"/>
    <col min="12036" max="12036" width="13.5703125" style="19" customWidth="1"/>
    <col min="12037" max="12043" width="9.140625" style="19"/>
    <col min="12044" max="12044" width="4.140625" style="19" customWidth="1"/>
    <col min="12045" max="12045" width="7" style="19" customWidth="1"/>
    <col min="12046" max="12046" width="4" style="19" customWidth="1"/>
    <col min="12047" max="12047" width="8.140625" style="19" customWidth="1"/>
    <col min="12048" max="12048" width="6.28515625" style="19" customWidth="1"/>
    <col min="12049" max="12049" width="6.42578125" style="19" customWidth="1"/>
    <col min="12050" max="12050" width="7" style="19" customWidth="1"/>
    <col min="12051" max="12051" width="7.140625" style="19" customWidth="1"/>
    <col min="12052" max="12052" width="7" style="19" customWidth="1"/>
    <col min="12053" max="12053" width="9.140625" style="19"/>
    <col min="12054" max="12054" width="12.42578125" style="19" customWidth="1"/>
    <col min="12055" max="12056" width="9.140625" style="19"/>
    <col min="12057" max="12057" width="9.140625" style="19" customWidth="1"/>
    <col min="12058" max="12058" width="7.42578125" style="19" customWidth="1"/>
    <col min="12059" max="12059" width="6.5703125" style="19" customWidth="1"/>
    <col min="12060" max="12288" width="9.140625" style="19"/>
    <col min="12289" max="12289" width="0.140625" style="19" customWidth="1"/>
    <col min="12290" max="12290" width="9.140625" style="19"/>
    <col min="12291" max="12291" width="9.42578125" style="19" customWidth="1"/>
    <col min="12292" max="12292" width="13.5703125" style="19" customWidth="1"/>
    <col min="12293" max="12299" width="9.140625" style="19"/>
    <col min="12300" max="12300" width="4.140625" style="19" customWidth="1"/>
    <col min="12301" max="12301" width="7" style="19" customWidth="1"/>
    <col min="12302" max="12302" width="4" style="19" customWidth="1"/>
    <col min="12303" max="12303" width="8.140625" style="19" customWidth="1"/>
    <col min="12304" max="12304" width="6.28515625" style="19" customWidth="1"/>
    <col min="12305" max="12305" width="6.42578125" style="19" customWidth="1"/>
    <col min="12306" max="12306" width="7" style="19" customWidth="1"/>
    <col min="12307" max="12307" width="7.140625" style="19" customWidth="1"/>
    <col min="12308" max="12308" width="7" style="19" customWidth="1"/>
    <col min="12309" max="12309" width="9.140625" style="19"/>
    <col min="12310" max="12310" width="12.42578125" style="19" customWidth="1"/>
    <col min="12311" max="12312" width="9.140625" style="19"/>
    <col min="12313" max="12313" width="9.140625" style="19" customWidth="1"/>
    <col min="12314" max="12314" width="7.42578125" style="19" customWidth="1"/>
    <col min="12315" max="12315" width="6.5703125" style="19" customWidth="1"/>
    <col min="12316" max="12544" width="9.140625" style="19"/>
    <col min="12545" max="12545" width="0.140625" style="19" customWidth="1"/>
    <col min="12546" max="12546" width="9.140625" style="19"/>
    <col min="12547" max="12547" width="9.42578125" style="19" customWidth="1"/>
    <col min="12548" max="12548" width="13.5703125" style="19" customWidth="1"/>
    <col min="12549" max="12555" width="9.140625" style="19"/>
    <col min="12556" max="12556" width="4.140625" style="19" customWidth="1"/>
    <col min="12557" max="12557" width="7" style="19" customWidth="1"/>
    <col min="12558" max="12558" width="4" style="19" customWidth="1"/>
    <col min="12559" max="12559" width="8.140625" style="19" customWidth="1"/>
    <col min="12560" max="12560" width="6.28515625" style="19" customWidth="1"/>
    <col min="12561" max="12561" width="6.42578125" style="19" customWidth="1"/>
    <col min="12562" max="12562" width="7" style="19" customWidth="1"/>
    <col min="12563" max="12563" width="7.140625" style="19" customWidth="1"/>
    <col min="12564" max="12564" width="7" style="19" customWidth="1"/>
    <col min="12565" max="12565" width="9.140625" style="19"/>
    <col min="12566" max="12566" width="12.42578125" style="19" customWidth="1"/>
    <col min="12567" max="12568" width="9.140625" style="19"/>
    <col min="12569" max="12569" width="9.140625" style="19" customWidth="1"/>
    <col min="12570" max="12570" width="7.42578125" style="19" customWidth="1"/>
    <col min="12571" max="12571" width="6.5703125" style="19" customWidth="1"/>
    <col min="12572" max="12800" width="9.140625" style="19"/>
    <col min="12801" max="12801" width="0.140625" style="19" customWidth="1"/>
    <col min="12802" max="12802" width="9.140625" style="19"/>
    <col min="12803" max="12803" width="9.42578125" style="19" customWidth="1"/>
    <col min="12804" max="12804" width="13.5703125" style="19" customWidth="1"/>
    <col min="12805" max="12811" width="9.140625" style="19"/>
    <col min="12812" max="12812" width="4.140625" style="19" customWidth="1"/>
    <col min="12813" max="12813" width="7" style="19" customWidth="1"/>
    <col min="12814" max="12814" width="4" style="19" customWidth="1"/>
    <col min="12815" max="12815" width="8.140625" style="19" customWidth="1"/>
    <col min="12816" max="12816" width="6.28515625" style="19" customWidth="1"/>
    <col min="12817" max="12817" width="6.42578125" style="19" customWidth="1"/>
    <col min="12818" max="12818" width="7" style="19" customWidth="1"/>
    <col min="12819" max="12819" width="7.140625" style="19" customWidth="1"/>
    <col min="12820" max="12820" width="7" style="19" customWidth="1"/>
    <col min="12821" max="12821" width="9.140625" style="19"/>
    <col min="12822" max="12822" width="12.42578125" style="19" customWidth="1"/>
    <col min="12823" max="12824" width="9.140625" style="19"/>
    <col min="12825" max="12825" width="9.140625" style="19" customWidth="1"/>
    <col min="12826" max="12826" width="7.42578125" style="19" customWidth="1"/>
    <col min="12827" max="12827" width="6.5703125" style="19" customWidth="1"/>
    <col min="12828" max="13056" width="9.140625" style="19"/>
    <col min="13057" max="13057" width="0.140625" style="19" customWidth="1"/>
    <col min="13058" max="13058" width="9.140625" style="19"/>
    <col min="13059" max="13059" width="9.42578125" style="19" customWidth="1"/>
    <col min="13060" max="13060" width="13.5703125" style="19" customWidth="1"/>
    <col min="13061" max="13067" width="9.140625" style="19"/>
    <col min="13068" max="13068" width="4.140625" style="19" customWidth="1"/>
    <col min="13069" max="13069" width="7" style="19" customWidth="1"/>
    <col min="13070" max="13070" width="4" style="19" customWidth="1"/>
    <col min="13071" max="13071" width="8.140625" style="19" customWidth="1"/>
    <col min="13072" max="13072" width="6.28515625" style="19" customWidth="1"/>
    <col min="13073" max="13073" width="6.42578125" style="19" customWidth="1"/>
    <col min="13074" max="13074" width="7" style="19" customWidth="1"/>
    <col min="13075" max="13075" width="7.140625" style="19" customWidth="1"/>
    <col min="13076" max="13076" width="7" style="19" customWidth="1"/>
    <col min="13077" max="13077" width="9.140625" style="19"/>
    <col min="13078" max="13078" width="12.42578125" style="19" customWidth="1"/>
    <col min="13079" max="13080" width="9.140625" style="19"/>
    <col min="13081" max="13081" width="9.140625" style="19" customWidth="1"/>
    <col min="13082" max="13082" width="7.42578125" style="19" customWidth="1"/>
    <col min="13083" max="13083" width="6.5703125" style="19" customWidth="1"/>
    <col min="13084" max="13312" width="9.140625" style="19"/>
    <col min="13313" max="13313" width="0.140625" style="19" customWidth="1"/>
    <col min="13314" max="13314" width="9.140625" style="19"/>
    <col min="13315" max="13315" width="9.42578125" style="19" customWidth="1"/>
    <col min="13316" max="13316" width="13.5703125" style="19" customWidth="1"/>
    <col min="13317" max="13323" width="9.140625" style="19"/>
    <col min="13324" max="13324" width="4.140625" style="19" customWidth="1"/>
    <col min="13325" max="13325" width="7" style="19" customWidth="1"/>
    <col min="13326" max="13326" width="4" style="19" customWidth="1"/>
    <col min="13327" max="13327" width="8.140625" style="19" customWidth="1"/>
    <col min="13328" max="13328" width="6.28515625" style="19" customWidth="1"/>
    <col min="13329" max="13329" width="6.42578125" style="19" customWidth="1"/>
    <col min="13330" max="13330" width="7" style="19" customWidth="1"/>
    <col min="13331" max="13331" width="7.140625" style="19" customWidth="1"/>
    <col min="13332" max="13332" width="7" style="19" customWidth="1"/>
    <col min="13333" max="13333" width="9.140625" style="19"/>
    <col min="13334" max="13334" width="12.42578125" style="19" customWidth="1"/>
    <col min="13335" max="13336" width="9.140625" style="19"/>
    <col min="13337" max="13337" width="9.140625" style="19" customWidth="1"/>
    <col min="13338" max="13338" width="7.42578125" style="19" customWidth="1"/>
    <col min="13339" max="13339" width="6.5703125" style="19" customWidth="1"/>
    <col min="13340" max="13568" width="9.140625" style="19"/>
    <col min="13569" max="13569" width="0.140625" style="19" customWidth="1"/>
    <col min="13570" max="13570" width="9.140625" style="19"/>
    <col min="13571" max="13571" width="9.42578125" style="19" customWidth="1"/>
    <col min="13572" max="13572" width="13.5703125" style="19" customWidth="1"/>
    <col min="13573" max="13579" width="9.140625" style="19"/>
    <col min="13580" max="13580" width="4.140625" style="19" customWidth="1"/>
    <col min="13581" max="13581" width="7" style="19" customWidth="1"/>
    <col min="13582" max="13582" width="4" style="19" customWidth="1"/>
    <col min="13583" max="13583" width="8.140625" style="19" customWidth="1"/>
    <col min="13584" max="13584" width="6.28515625" style="19" customWidth="1"/>
    <col min="13585" max="13585" width="6.42578125" style="19" customWidth="1"/>
    <col min="13586" max="13586" width="7" style="19" customWidth="1"/>
    <col min="13587" max="13587" width="7.140625" style="19" customWidth="1"/>
    <col min="13588" max="13588" width="7" style="19" customWidth="1"/>
    <col min="13589" max="13589" width="9.140625" style="19"/>
    <col min="13590" max="13590" width="12.42578125" style="19" customWidth="1"/>
    <col min="13591" max="13592" width="9.140625" style="19"/>
    <col min="13593" max="13593" width="9.140625" style="19" customWidth="1"/>
    <col min="13594" max="13594" width="7.42578125" style="19" customWidth="1"/>
    <col min="13595" max="13595" width="6.5703125" style="19" customWidth="1"/>
    <col min="13596" max="13824" width="9.140625" style="19"/>
    <col min="13825" max="13825" width="0.140625" style="19" customWidth="1"/>
    <col min="13826" max="13826" width="9.140625" style="19"/>
    <col min="13827" max="13827" width="9.42578125" style="19" customWidth="1"/>
    <col min="13828" max="13828" width="13.5703125" style="19" customWidth="1"/>
    <col min="13829" max="13835" width="9.140625" style="19"/>
    <col min="13836" max="13836" width="4.140625" style="19" customWidth="1"/>
    <col min="13837" max="13837" width="7" style="19" customWidth="1"/>
    <col min="13838" max="13838" width="4" style="19" customWidth="1"/>
    <col min="13839" max="13839" width="8.140625" style="19" customWidth="1"/>
    <col min="13840" max="13840" width="6.28515625" style="19" customWidth="1"/>
    <col min="13841" max="13841" width="6.42578125" style="19" customWidth="1"/>
    <col min="13842" max="13842" width="7" style="19" customWidth="1"/>
    <col min="13843" max="13843" width="7.140625" style="19" customWidth="1"/>
    <col min="13844" max="13844" width="7" style="19" customWidth="1"/>
    <col min="13845" max="13845" width="9.140625" style="19"/>
    <col min="13846" max="13846" width="12.42578125" style="19" customWidth="1"/>
    <col min="13847" max="13848" width="9.140625" style="19"/>
    <col min="13849" max="13849" width="9.140625" style="19" customWidth="1"/>
    <col min="13850" max="13850" width="7.42578125" style="19" customWidth="1"/>
    <col min="13851" max="13851" width="6.5703125" style="19" customWidth="1"/>
    <col min="13852" max="14080" width="9.140625" style="19"/>
    <col min="14081" max="14081" width="0.140625" style="19" customWidth="1"/>
    <col min="14082" max="14082" width="9.140625" style="19"/>
    <col min="14083" max="14083" width="9.42578125" style="19" customWidth="1"/>
    <col min="14084" max="14084" width="13.5703125" style="19" customWidth="1"/>
    <col min="14085" max="14091" width="9.140625" style="19"/>
    <col min="14092" max="14092" width="4.140625" style="19" customWidth="1"/>
    <col min="14093" max="14093" width="7" style="19" customWidth="1"/>
    <col min="14094" max="14094" width="4" style="19" customWidth="1"/>
    <col min="14095" max="14095" width="8.140625" style="19" customWidth="1"/>
    <col min="14096" max="14096" width="6.28515625" style="19" customWidth="1"/>
    <col min="14097" max="14097" width="6.42578125" style="19" customWidth="1"/>
    <col min="14098" max="14098" width="7" style="19" customWidth="1"/>
    <col min="14099" max="14099" width="7.140625" style="19" customWidth="1"/>
    <col min="14100" max="14100" width="7" style="19" customWidth="1"/>
    <col min="14101" max="14101" width="9.140625" style="19"/>
    <col min="14102" max="14102" width="12.42578125" style="19" customWidth="1"/>
    <col min="14103" max="14104" width="9.140625" style="19"/>
    <col min="14105" max="14105" width="9.140625" style="19" customWidth="1"/>
    <col min="14106" max="14106" width="7.42578125" style="19" customWidth="1"/>
    <col min="14107" max="14107" width="6.5703125" style="19" customWidth="1"/>
    <col min="14108" max="14336" width="9.140625" style="19"/>
    <col min="14337" max="14337" width="0.140625" style="19" customWidth="1"/>
    <col min="14338" max="14338" width="9.140625" style="19"/>
    <col min="14339" max="14339" width="9.42578125" style="19" customWidth="1"/>
    <col min="14340" max="14340" width="13.5703125" style="19" customWidth="1"/>
    <col min="14341" max="14347" width="9.140625" style="19"/>
    <col min="14348" max="14348" width="4.140625" style="19" customWidth="1"/>
    <col min="14349" max="14349" width="7" style="19" customWidth="1"/>
    <col min="14350" max="14350" width="4" style="19" customWidth="1"/>
    <col min="14351" max="14351" width="8.140625" style="19" customWidth="1"/>
    <col min="14352" max="14352" width="6.28515625" style="19" customWidth="1"/>
    <col min="14353" max="14353" width="6.42578125" style="19" customWidth="1"/>
    <col min="14354" max="14354" width="7" style="19" customWidth="1"/>
    <col min="14355" max="14355" width="7.140625" style="19" customWidth="1"/>
    <col min="14356" max="14356" width="7" style="19" customWidth="1"/>
    <col min="14357" max="14357" width="9.140625" style="19"/>
    <col min="14358" max="14358" width="12.42578125" style="19" customWidth="1"/>
    <col min="14359" max="14360" width="9.140625" style="19"/>
    <col min="14361" max="14361" width="9.140625" style="19" customWidth="1"/>
    <col min="14362" max="14362" width="7.42578125" style="19" customWidth="1"/>
    <col min="14363" max="14363" width="6.5703125" style="19" customWidth="1"/>
    <col min="14364" max="14592" width="9.140625" style="19"/>
    <col min="14593" max="14593" width="0.140625" style="19" customWidth="1"/>
    <col min="14594" max="14594" width="9.140625" style="19"/>
    <col min="14595" max="14595" width="9.42578125" style="19" customWidth="1"/>
    <col min="14596" max="14596" width="13.5703125" style="19" customWidth="1"/>
    <col min="14597" max="14603" width="9.140625" style="19"/>
    <col min="14604" max="14604" width="4.140625" style="19" customWidth="1"/>
    <col min="14605" max="14605" width="7" style="19" customWidth="1"/>
    <col min="14606" max="14606" width="4" style="19" customWidth="1"/>
    <col min="14607" max="14607" width="8.140625" style="19" customWidth="1"/>
    <col min="14608" max="14608" width="6.28515625" style="19" customWidth="1"/>
    <col min="14609" max="14609" width="6.42578125" style="19" customWidth="1"/>
    <col min="14610" max="14610" width="7" style="19" customWidth="1"/>
    <col min="14611" max="14611" width="7.140625" style="19" customWidth="1"/>
    <col min="14612" max="14612" width="7" style="19" customWidth="1"/>
    <col min="14613" max="14613" width="9.140625" style="19"/>
    <col min="14614" max="14614" width="12.42578125" style="19" customWidth="1"/>
    <col min="14615" max="14616" width="9.140625" style="19"/>
    <col min="14617" max="14617" width="9.140625" style="19" customWidth="1"/>
    <col min="14618" max="14618" width="7.42578125" style="19" customWidth="1"/>
    <col min="14619" max="14619" width="6.5703125" style="19" customWidth="1"/>
    <col min="14620" max="14848" width="9.140625" style="19"/>
    <col min="14849" max="14849" width="0.140625" style="19" customWidth="1"/>
    <col min="14850" max="14850" width="9.140625" style="19"/>
    <col min="14851" max="14851" width="9.42578125" style="19" customWidth="1"/>
    <col min="14852" max="14852" width="13.5703125" style="19" customWidth="1"/>
    <col min="14853" max="14859" width="9.140625" style="19"/>
    <col min="14860" max="14860" width="4.140625" style="19" customWidth="1"/>
    <col min="14861" max="14861" width="7" style="19" customWidth="1"/>
    <col min="14862" max="14862" width="4" style="19" customWidth="1"/>
    <col min="14863" max="14863" width="8.140625" style="19" customWidth="1"/>
    <col min="14864" max="14864" width="6.28515625" style="19" customWidth="1"/>
    <col min="14865" max="14865" width="6.42578125" style="19" customWidth="1"/>
    <col min="14866" max="14866" width="7" style="19" customWidth="1"/>
    <col min="14867" max="14867" width="7.140625" style="19" customWidth="1"/>
    <col min="14868" max="14868" width="7" style="19" customWidth="1"/>
    <col min="14869" max="14869" width="9.140625" style="19"/>
    <col min="14870" max="14870" width="12.42578125" style="19" customWidth="1"/>
    <col min="14871" max="14872" width="9.140625" style="19"/>
    <col min="14873" max="14873" width="9.140625" style="19" customWidth="1"/>
    <col min="14874" max="14874" width="7.42578125" style="19" customWidth="1"/>
    <col min="14875" max="14875" width="6.5703125" style="19" customWidth="1"/>
    <col min="14876" max="15104" width="9.140625" style="19"/>
    <col min="15105" max="15105" width="0.140625" style="19" customWidth="1"/>
    <col min="15106" max="15106" width="9.140625" style="19"/>
    <col min="15107" max="15107" width="9.42578125" style="19" customWidth="1"/>
    <col min="15108" max="15108" width="13.5703125" style="19" customWidth="1"/>
    <col min="15109" max="15115" width="9.140625" style="19"/>
    <col min="15116" max="15116" width="4.140625" style="19" customWidth="1"/>
    <col min="15117" max="15117" width="7" style="19" customWidth="1"/>
    <col min="15118" max="15118" width="4" style="19" customWidth="1"/>
    <col min="15119" max="15119" width="8.140625" style="19" customWidth="1"/>
    <col min="15120" max="15120" width="6.28515625" style="19" customWidth="1"/>
    <col min="15121" max="15121" width="6.42578125" style="19" customWidth="1"/>
    <col min="15122" max="15122" width="7" style="19" customWidth="1"/>
    <col min="15123" max="15123" width="7.140625" style="19" customWidth="1"/>
    <col min="15124" max="15124" width="7" style="19" customWidth="1"/>
    <col min="15125" max="15125" width="9.140625" style="19"/>
    <col min="15126" max="15126" width="12.42578125" style="19" customWidth="1"/>
    <col min="15127" max="15128" width="9.140625" style="19"/>
    <col min="15129" max="15129" width="9.140625" style="19" customWidth="1"/>
    <col min="15130" max="15130" width="7.42578125" style="19" customWidth="1"/>
    <col min="15131" max="15131" width="6.5703125" style="19" customWidth="1"/>
    <col min="15132" max="15360" width="9.140625" style="19"/>
    <col min="15361" max="15361" width="0.140625" style="19" customWidth="1"/>
    <col min="15362" max="15362" width="9.140625" style="19"/>
    <col min="15363" max="15363" width="9.42578125" style="19" customWidth="1"/>
    <col min="15364" max="15364" width="13.5703125" style="19" customWidth="1"/>
    <col min="15365" max="15371" width="9.140625" style="19"/>
    <col min="15372" max="15372" width="4.140625" style="19" customWidth="1"/>
    <col min="15373" max="15373" width="7" style="19" customWidth="1"/>
    <col min="15374" max="15374" width="4" style="19" customWidth="1"/>
    <col min="15375" max="15375" width="8.140625" style="19" customWidth="1"/>
    <col min="15376" max="15376" width="6.28515625" style="19" customWidth="1"/>
    <col min="15377" max="15377" width="6.42578125" style="19" customWidth="1"/>
    <col min="15378" max="15378" width="7" style="19" customWidth="1"/>
    <col min="15379" max="15379" width="7.140625" style="19" customWidth="1"/>
    <col min="15380" max="15380" width="7" style="19" customWidth="1"/>
    <col min="15381" max="15381" width="9.140625" style="19"/>
    <col min="15382" max="15382" width="12.42578125" style="19" customWidth="1"/>
    <col min="15383" max="15384" width="9.140625" style="19"/>
    <col min="15385" max="15385" width="9.140625" style="19" customWidth="1"/>
    <col min="15386" max="15386" width="7.42578125" style="19" customWidth="1"/>
    <col min="15387" max="15387" width="6.5703125" style="19" customWidth="1"/>
    <col min="15388" max="15616" width="9.140625" style="19"/>
    <col min="15617" max="15617" width="0.140625" style="19" customWidth="1"/>
    <col min="15618" max="15618" width="9.140625" style="19"/>
    <col min="15619" max="15619" width="9.42578125" style="19" customWidth="1"/>
    <col min="15620" max="15620" width="13.5703125" style="19" customWidth="1"/>
    <col min="15621" max="15627" width="9.140625" style="19"/>
    <col min="15628" max="15628" width="4.140625" style="19" customWidth="1"/>
    <col min="15629" max="15629" width="7" style="19" customWidth="1"/>
    <col min="15630" max="15630" width="4" style="19" customWidth="1"/>
    <col min="15631" max="15631" width="8.140625" style="19" customWidth="1"/>
    <col min="15632" max="15632" width="6.28515625" style="19" customWidth="1"/>
    <col min="15633" max="15633" width="6.42578125" style="19" customWidth="1"/>
    <col min="15634" max="15634" width="7" style="19" customWidth="1"/>
    <col min="15635" max="15635" width="7.140625" style="19" customWidth="1"/>
    <col min="15636" max="15636" width="7" style="19" customWidth="1"/>
    <col min="15637" max="15637" width="9.140625" style="19"/>
    <col min="15638" max="15638" width="12.42578125" style="19" customWidth="1"/>
    <col min="15639" max="15640" width="9.140625" style="19"/>
    <col min="15641" max="15641" width="9.140625" style="19" customWidth="1"/>
    <col min="15642" max="15642" width="7.42578125" style="19" customWidth="1"/>
    <col min="15643" max="15643" width="6.5703125" style="19" customWidth="1"/>
    <col min="15644" max="15872" width="9.140625" style="19"/>
    <col min="15873" max="15873" width="0.140625" style="19" customWidth="1"/>
    <col min="15874" max="15874" width="9.140625" style="19"/>
    <col min="15875" max="15875" width="9.42578125" style="19" customWidth="1"/>
    <col min="15876" max="15876" width="13.5703125" style="19" customWidth="1"/>
    <col min="15877" max="15883" width="9.140625" style="19"/>
    <col min="15884" max="15884" width="4.140625" style="19" customWidth="1"/>
    <col min="15885" max="15885" width="7" style="19" customWidth="1"/>
    <col min="15886" max="15886" width="4" style="19" customWidth="1"/>
    <col min="15887" max="15887" width="8.140625" style="19" customWidth="1"/>
    <col min="15888" max="15888" width="6.28515625" style="19" customWidth="1"/>
    <col min="15889" max="15889" width="6.42578125" style="19" customWidth="1"/>
    <col min="15890" max="15890" width="7" style="19" customWidth="1"/>
    <col min="15891" max="15891" width="7.140625" style="19" customWidth="1"/>
    <col min="15892" max="15892" width="7" style="19" customWidth="1"/>
    <col min="15893" max="15893" width="9.140625" style="19"/>
    <col min="15894" max="15894" width="12.42578125" style="19" customWidth="1"/>
    <col min="15895" max="15896" width="9.140625" style="19"/>
    <col min="15897" max="15897" width="9.140625" style="19" customWidth="1"/>
    <col min="15898" max="15898" width="7.42578125" style="19" customWidth="1"/>
    <col min="15899" max="15899" width="6.5703125" style="19" customWidth="1"/>
    <col min="15900" max="16128" width="9.140625" style="19"/>
    <col min="16129" max="16129" width="0.140625" style="19" customWidth="1"/>
    <col min="16130" max="16130" width="9.140625" style="19"/>
    <col min="16131" max="16131" width="9.42578125" style="19" customWidth="1"/>
    <col min="16132" max="16132" width="13.5703125" style="19" customWidth="1"/>
    <col min="16133" max="16139" width="9.140625" style="19"/>
    <col min="16140" max="16140" width="4.140625" style="19" customWidth="1"/>
    <col min="16141" max="16141" width="7" style="19" customWidth="1"/>
    <col min="16142" max="16142" width="4" style="19" customWidth="1"/>
    <col min="16143" max="16143" width="8.140625" style="19" customWidth="1"/>
    <col min="16144" max="16144" width="6.28515625" style="19" customWidth="1"/>
    <col min="16145" max="16145" width="6.42578125" style="19" customWidth="1"/>
    <col min="16146" max="16146" width="7" style="19" customWidth="1"/>
    <col min="16147" max="16147" width="7.140625" style="19" customWidth="1"/>
    <col min="16148" max="16148" width="7" style="19" customWidth="1"/>
    <col min="16149" max="16149" width="9.140625" style="19"/>
    <col min="16150" max="16150" width="12.42578125" style="19" customWidth="1"/>
    <col min="16151" max="16152" width="9.140625" style="19"/>
    <col min="16153" max="16153" width="9.140625" style="19" customWidth="1"/>
    <col min="16154" max="16154" width="7.42578125" style="19" customWidth="1"/>
    <col min="16155" max="16155" width="6.5703125" style="19" customWidth="1"/>
    <col min="16156" max="16384" width="9.140625" style="19"/>
  </cols>
  <sheetData>
    <row r="1" spans="2:26" ht="21.4" customHeight="1">
      <c r="B1" s="17"/>
      <c r="C1" s="17"/>
      <c r="D1" s="558" t="str">
        <f>'SQ (Team C) Data'!P6</f>
        <v>Team C</v>
      </c>
      <c r="E1" s="558"/>
      <c r="F1" s="17"/>
      <c r="G1" s="558"/>
      <c r="H1" s="558"/>
      <c r="I1" s="558" t="s">
        <v>216</v>
      </c>
      <c r="J1" s="558"/>
      <c r="K1" s="558"/>
      <c r="L1" s="558"/>
      <c r="M1" s="558"/>
      <c r="N1" s="558"/>
      <c r="O1" s="558"/>
      <c r="P1" s="558"/>
      <c r="Q1" s="558"/>
      <c r="R1" s="558"/>
      <c r="S1" s="558"/>
      <c r="T1" s="558"/>
      <c r="U1" s="558"/>
      <c r="V1" s="558"/>
      <c r="W1" s="558"/>
      <c r="X1" s="554">
        <f>'SQ(Team A) Data'!L5</f>
        <v>43952</v>
      </c>
      <c r="Y1" s="554"/>
      <c r="Z1" s="554"/>
    </row>
    <row r="2" spans="2:26" ht="10.5" customHeight="1"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</row>
    <row r="3" spans="2:26" ht="15.95" customHeight="1">
      <c r="B3" s="20"/>
      <c r="C3" s="20"/>
      <c r="D3" s="20"/>
      <c r="E3" s="20"/>
      <c r="F3" s="21" t="s">
        <v>31</v>
      </c>
      <c r="G3" s="20"/>
      <c r="H3" s="20"/>
      <c r="I3" s="20"/>
      <c r="J3" s="20"/>
      <c r="K3" s="20"/>
      <c r="L3" s="20"/>
      <c r="M3" s="20"/>
      <c r="N3" s="22"/>
      <c r="O3" s="20"/>
      <c r="P3" s="20"/>
      <c r="Q3" s="20"/>
      <c r="R3" s="20"/>
      <c r="V3" s="23"/>
    </row>
    <row r="4" spans="2:26" ht="16.5" customHeight="1">
      <c r="B4" s="21" t="s">
        <v>16</v>
      </c>
      <c r="C4" s="24"/>
      <c r="D4" s="24"/>
      <c r="N4" s="21"/>
      <c r="O4" s="21"/>
      <c r="Q4" s="25"/>
      <c r="R4" s="25"/>
      <c r="U4" s="26"/>
    </row>
    <row r="17" spans="2:25" ht="16.5" customHeight="1">
      <c r="B17" s="21" t="s">
        <v>17</v>
      </c>
      <c r="C17" s="27"/>
      <c r="D17" s="27"/>
      <c r="E17" s="28"/>
      <c r="N17" s="29" t="s">
        <v>18</v>
      </c>
      <c r="O17" s="21"/>
      <c r="P17" s="21"/>
    </row>
    <row r="26" spans="2:25" ht="14.25" customHeight="1">
      <c r="C26" s="30"/>
      <c r="D26" s="30"/>
      <c r="E26" s="31"/>
      <c r="F26" s="31"/>
      <c r="G26" s="31"/>
      <c r="H26" s="31"/>
    </row>
    <row r="27" spans="2:25" ht="14.25" customHeight="1">
      <c r="C27" s="30"/>
      <c r="D27" s="30"/>
      <c r="E27" s="31"/>
      <c r="F27" s="31"/>
      <c r="G27" s="31"/>
      <c r="H27" s="31"/>
    </row>
    <row r="30" spans="2:25" ht="15.95" hidden="1" customHeight="1">
      <c r="B30" s="21"/>
      <c r="N30" s="29" t="s">
        <v>19</v>
      </c>
      <c r="Y30" s="32"/>
    </row>
    <row r="31" spans="2:25" hidden="1"/>
    <row r="32" spans="2:25" hidden="1"/>
    <row r="33" spans="2:29" hidden="1"/>
    <row r="34" spans="2:29" hidden="1"/>
    <row r="35" spans="2:29" hidden="1"/>
    <row r="36" spans="2:29" hidden="1">
      <c r="AB36" s="79"/>
      <c r="AC36" s="79"/>
    </row>
    <row r="37" spans="2:29" hidden="1">
      <c r="AB37" s="79"/>
      <c r="AC37" s="79"/>
    </row>
    <row r="38" spans="2:29" hidden="1">
      <c r="AB38" s="79"/>
      <c r="AC38" s="79"/>
    </row>
    <row r="39" spans="2:29" hidden="1">
      <c r="AB39" s="79"/>
      <c r="AC39" s="79"/>
    </row>
    <row r="40" spans="2:29" hidden="1">
      <c r="AB40" s="79"/>
      <c r="AC40" s="79"/>
    </row>
    <row r="41" spans="2:29" hidden="1">
      <c r="AB41" s="79"/>
      <c r="AC41" s="79"/>
    </row>
    <row r="42" spans="2:29" ht="18" hidden="1">
      <c r="B42" s="21"/>
      <c r="N42" s="159" t="s">
        <v>32</v>
      </c>
      <c r="O42" s="160" t="s">
        <v>33</v>
      </c>
      <c r="P42" s="161"/>
      <c r="Q42" s="532" t="s">
        <v>22</v>
      </c>
      <c r="R42" s="533"/>
      <c r="S42" s="534"/>
      <c r="T42" s="57"/>
      <c r="U42" s="57"/>
      <c r="V42" s="162" t="s">
        <v>34</v>
      </c>
      <c r="W42" s="57"/>
      <c r="X42" s="57"/>
      <c r="Y42" s="57"/>
      <c r="Z42" s="555" t="s">
        <v>35</v>
      </c>
      <c r="AA42" s="556"/>
      <c r="AB42" s="79"/>
      <c r="AC42" s="79"/>
    </row>
    <row r="43" spans="2:29" ht="13.5" hidden="1" customHeight="1">
      <c r="C43" s="24"/>
      <c r="D43" s="24"/>
      <c r="E43" s="39"/>
      <c r="N43" s="163"/>
      <c r="O43" s="63"/>
      <c r="P43" s="65"/>
      <c r="Q43" s="164" t="s">
        <v>36</v>
      </c>
      <c r="R43" s="165" t="s">
        <v>37</v>
      </c>
      <c r="S43" s="166" t="s">
        <v>38</v>
      </c>
      <c r="T43" s="167"/>
      <c r="U43" s="74"/>
      <c r="V43" s="74" t="s">
        <v>39</v>
      </c>
      <c r="W43" s="74"/>
      <c r="X43" s="74"/>
      <c r="Y43" s="74"/>
      <c r="Z43" s="63" t="s">
        <v>40</v>
      </c>
      <c r="AA43" s="168" t="s">
        <v>41</v>
      </c>
      <c r="AB43" s="79"/>
      <c r="AC43" s="79"/>
    </row>
    <row r="44" spans="2:29" ht="13.5" hidden="1" customHeight="1">
      <c r="C44" s="24"/>
      <c r="D44" s="24"/>
      <c r="E44" s="39"/>
      <c r="N44" s="169">
        <v>1</v>
      </c>
      <c r="O44" s="211"/>
      <c r="P44" s="171"/>
      <c r="Q44" s="172"/>
      <c r="R44" s="173"/>
      <c r="S44" s="174"/>
      <c r="T44" s="175"/>
      <c r="U44" s="36"/>
      <c r="V44" s="44"/>
      <c r="W44" s="44"/>
      <c r="X44" s="44"/>
      <c r="Y44" s="44"/>
      <c r="Z44" s="176"/>
      <c r="AA44" s="78"/>
      <c r="AB44" s="79"/>
      <c r="AC44" s="79"/>
    </row>
    <row r="45" spans="2:29" hidden="1">
      <c r="N45" s="177">
        <v>2</v>
      </c>
      <c r="O45" s="129"/>
      <c r="P45" s="178"/>
      <c r="Q45" s="179"/>
      <c r="R45" s="180"/>
      <c r="S45" s="181"/>
      <c r="T45" s="212"/>
      <c r="U45" s="97"/>
      <c r="V45" s="96"/>
      <c r="W45" s="96"/>
      <c r="X45" s="96"/>
      <c r="Y45" s="96"/>
      <c r="Z45" s="91"/>
      <c r="AA45" s="183"/>
      <c r="AB45" s="79"/>
      <c r="AC45" s="79"/>
    </row>
    <row r="46" spans="2:29" hidden="1">
      <c r="N46" s="177">
        <v>3</v>
      </c>
      <c r="O46" s="129"/>
      <c r="P46" s="98"/>
      <c r="Q46" s="179"/>
      <c r="R46" s="180"/>
      <c r="S46" s="181"/>
      <c r="T46" s="175"/>
      <c r="U46" s="97"/>
      <c r="V46" s="96"/>
      <c r="W46" s="96"/>
      <c r="X46" s="96"/>
      <c r="Y46" s="96"/>
      <c r="Z46" s="91"/>
      <c r="AA46" s="183"/>
      <c r="AB46" s="79"/>
      <c r="AC46" s="79"/>
    </row>
    <row r="47" spans="2:29" hidden="1">
      <c r="N47" s="177">
        <v>4</v>
      </c>
      <c r="O47" s="129"/>
      <c r="P47" s="98"/>
      <c r="Q47" s="179"/>
      <c r="R47" s="180"/>
      <c r="S47" s="181"/>
      <c r="T47" s="182"/>
      <c r="U47" s="97"/>
      <c r="V47" s="96"/>
      <c r="W47" s="96"/>
      <c r="X47" s="96"/>
      <c r="Y47" s="96"/>
      <c r="Z47" s="91"/>
      <c r="AA47" s="93"/>
      <c r="AB47" s="79"/>
      <c r="AC47" s="79"/>
    </row>
    <row r="48" spans="2:29" hidden="1">
      <c r="N48" s="177">
        <v>5</v>
      </c>
      <c r="O48" s="129"/>
      <c r="P48" s="98"/>
      <c r="Q48" s="179"/>
      <c r="R48" s="180"/>
      <c r="S48" s="181"/>
      <c r="T48" s="182"/>
      <c r="U48" s="97"/>
      <c r="V48" s="96"/>
      <c r="W48" s="96"/>
      <c r="X48" s="96"/>
      <c r="Y48" s="96"/>
      <c r="Z48" s="91"/>
      <c r="AA48" s="93"/>
      <c r="AB48" s="79"/>
      <c r="AC48" s="79"/>
    </row>
    <row r="49" spans="2:29" hidden="1">
      <c r="N49" s="177">
        <v>6</v>
      </c>
      <c r="O49" s="129"/>
      <c r="P49" s="98"/>
      <c r="Q49" s="179"/>
      <c r="R49" s="180"/>
      <c r="S49" s="181"/>
      <c r="T49" s="212"/>
      <c r="U49" s="97"/>
      <c r="V49" s="96"/>
      <c r="W49" s="96"/>
      <c r="X49" s="96"/>
      <c r="Y49" s="96"/>
      <c r="Z49" s="91"/>
      <c r="AA49" s="183"/>
      <c r="AB49" s="79"/>
      <c r="AC49" s="79"/>
    </row>
    <row r="50" spans="2:29" hidden="1">
      <c r="N50" s="177">
        <v>7</v>
      </c>
      <c r="O50" s="129"/>
      <c r="P50" s="98"/>
      <c r="Q50" s="179"/>
      <c r="R50" s="180"/>
      <c r="S50" s="181"/>
      <c r="T50" s="213"/>
      <c r="U50" s="97"/>
      <c r="V50" s="96"/>
      <c r="W50" s="96"/>
      <c r="X50" s="96"/>
      <c r="Y50" s="96"/>
      <c r="Z50" s="91"/>
      <c r="AA50" s="183"/>
      <c r="AB50" s="79"/>
      <c r="AC50" s="79"/>
    </row>
    <row r="51" spans="2:29" ht="13.5" hidden="1" customHeight="1">
      <c r="C51" s="53"/>
      <c r="D51" s="53"/>
      <c r="E51" s="31"/>
      <c r="N51" s="177">
        <v>8</v>
      </c>
      <c r="O51" s="129"/>
      <c r="P51" s="98"/>
      <c r="Q51" s="179"/>
      <c r="R51" s="180"/>
      <c r="S51" s="181"/>
      <c r="T51" s="213"/>
      <c r="U51" s="97"/>
      <c r="V51" s="96"/>
      <c r="W51" s="96"/>
      <c r="X51" s="96"/>
      <c r="Y51" s="96"/>
      <c r="Z51" s="91"/>
      <c r="AA51" s="183"/>
      <c r="AB51" s="79"/>
      <c r="AC51" s="79"/>
    </row>
    <row r="52" spans="2:29" ht="13.5" hidden="1" customHeight="1">
      <c r="B52" s="53"/>
      <c r="C52" s="53"/>
      <c r="D52" s="53"/>
      <c r="E52" s="31"/>
      <c r="N52" s="177">
        <v>9</v>
      </c>
      <c r="O52" s="129"/>
      <c r="P52" s="98"/>
      <c r="Q52" s="179"/>
      <c r="R52" s="180"/>
      <c r="S52" s="181"/>
      <c r="T52" s="213"/>
      <c r="U52" s="97"/>
      <c r="V52" s="96"/>
      <c r="W52" s="96"/>
      <c r="X52" s="96"/>
      <c r="Y52" s="96"/>
      <c r="Z52" s="91"/>
      <c r="AA52" s="183"/>
      <c r="AB52" s="79"/>
      <c r="AC52" s="79"/>
    </row>
    <row r="53" spans="2:29" ht="13.5" hidden="1" customHeight="1">
      <c r="N53" s="177">
        <v>10</v>
      </c>
      <c r="O53" s="129"/>
      <c r="P53" s="98"/>
      <c r="Q53" s="179"/>
      <c r="R53" s="180"/>
      <c r="S53" s="181"/>
      <c r="T53" s="214"/>
      <c r="U53" s="97"/>
      <c r="V53" s="96"/>
      <c r="W53" s="96"/>
      <c r="X53" s="96"/>
      <c r="Y53" s="96"/>
      <c r="Z53" s="91"/>
      <c r="AA53" s="183"/>
      <c r="AB53" s="79"/>
      <c r="AC53" s="79"/>
    </row>
    <row r="54" spans="2:29" hidden="1">
      <c r="N54" s="177">
        <v>11</v>
      </c>
      <c r="O54" s="129"/>
      <c r="P54" s="98"/>
      <c r="Q54" s="179"/>
      <c r="R54" s="180"/>
      <c r="S54" s="181"/>
      <c r="T54" s="215"/>
      <c r="U54" s="216"/>
      <c r="V54" s="217"/>
      <c r="W54" s="217"/>
      <c r="X54" s="217"/>
      <c r="Y54" s="217"/>
      <c r="Z54" s="91"/>
      <c r="AA54" s="183"/>
      <c r="AB54" s="79"/>
      <c r="AC54" s="79"/>
    </row>
    <row r="55" spans="2:29" ht="17.25" hidden="1">
      <c r="B55" s="21" t="s">
        <v>42</v>
      </c>
      <c r="N55" s="177">
        <v>12</v>
      </c>
      <c r="O55" s="129"/>
      <c r="P55" s="98"/>
      <c r="Q55" s="179"/>
      <c r="R55" s="180"/>
      <c r="S55" s="181"/>
      <c r="T55" s="218"/>
      <c r="U55" s="97"/>
      <c r="V55" s="96"/>
      <c r="W55" s="96"/>
      <c r="X55" s="96"/>
      <c r="Y55" s="96"/>
      <c r="Z55" s="91"/>
      <c r="AA55" s="183"/>
      <c r="AB55" s="79"/>
      <c r="AC55" s="79"/>
    </row>
    <row r="56" spans="2:29" ht="15" hidden="1">
      <c r="B56" s="184"/>
      <c r="C56" s="57"/>
      <c r="D56" s="57"/>
      <c r="E56" s="57"/>
      <c r="F56" s="57"/>
      <c r="G56" s="57"/>
      <c r="H56" s="57"/>
      <c r="I56" s="57"/>
      <c r="J56" s="57"/>
      <c r="K56" s="57"/>
      <c r="L56" s="185"/>
      <c r="N56" s="177">
        <v>13</v>
      </c>
      <c r="O56" s="129"/>
      <c r="P56" s="98"/>
      <c r="Q56" s="179"/>
      <c r="R56" s="180"/>
      <c r="S56" s="181"/>
      <c r="T56" s="219"/>
      <c r="U56" s="97"/>
      <c r="V56" s="96"/>
      <c r="W56" s="96"/>
      <c r="X56" s="96"/>
      <c r="Y56" s="96"/>
      <c r="Z56" s="91"/>
      <c r="AA56" s="183"/>
      <c r="AB56" s="79"/>
      <c r="AC56" s="79"/>
    </row>
    <row r="57" spans="2:29" ht="15" hidden="1">
      <c r="B57" s="186"/>
      <c r="C57" s="97"/>
      <c r="D57" s="97"/>
      <c r="E57" s="97"/>
      <c r="F57" s="97"/>
      <c r="G57" s="97"/>
      <c r="H57" s="97"/>
      <c r="I57" s="97"/>
      <c r="J57" s="97"/>
      <c r="K57" s="97"/>
      <c r="L57" s="138"/>
      <c r="N57" s="177">
        <v>14</v>
      </c>
      <c r="O57" s="129"/>
      <c r="P57" s="98"/>
      <c r="Q57" s="179"/>
      <c r="R57" s="180"/>
      <c r="S57" s="181"/>
      <c r="T57" s="182"/>
      <c r="U57" s="97"/>
      <c r="V57" s="96"/>
      <c r="W57" s="96"/>
      <c r="X57" s="96"/>
      <c r="Y57" s="96"/>
      <c r="Z57" s="91"/>
      <c r="AA57" s="183"/>
      <c r="AB57" s="79"/>
      <c r="AC57" s="79"/>
    </row>
    <row r="58" spans="2:29" ht="15" hidden="1">
      <c r="B58" s="186"/>
      <c r="C58" s="97"/>
      <c r="D58" s="97"/>
      <c r="E58" s="97"/>
      <c r="F58" s="97"/>
      <c r="G58" s="97"/>
      <c r="H58" s="97"/>
      <c r="I58" s="97"/>
      <c r="J58" s="97"/>
      <c r="K58" s="97"/>
      <c r="L58" s="138"/>
      <c r="N58" s="177">
        <v>15</v>
      </c>
      <c r="O58" s="129"/>
      <c r="P58" s="98"/>
      <c r="Q58" s="179"/>
      <c r="R58" s="180"/>
      <c r="S58" s="181"/>
      <c r="T58" s="182"/>
      <c r="U58" s="97"/>
      <c r="V58" s="96"/>
      <c r="W58" s="96"/>
      <c r="X58" s="96"/>
      <c r="Y58" s="96"/>
      <c r="Z58" s="91"/>
      <c r="AA58" s="183"/>
      <c r="AB58" s="79"/>
      <c r="AC58" s="79"/>
    </row>
    <row r="59" spans="2:29" ht="15" hidden="1">
      <c r="B59" s="186"/>
      <c r="C59" s="97"/>
      <c r="D59" s="97"/>
      <c r="E59" s="97"/>
      <c r="F59" s="97"/>
      <c r="G59" s="97"/>
      <c r="H59" s="97"/>
      <c r="I59" s="97"/>
      <c r="J59" s="97"/>
      <c r="K59" s="97"/>
      <c r="L59" s="138"/>
      <c r="N59" s="177">
        <v>16</v>
      </c>
      <c r="O59" s="129"/>
      <c r="P59" s="98"/>
      <c r="Q59" s="179"/>
      <c r="R59" s="180"/>
      <c r="S59" s="181"/>
      <c r="T59" s="182"/>
      <c r="U59" s="97"/>
      <c r="V59" s="96"/>
      <c r="W59" s="96"/>
      <c r="X59" s="96"/>
      <c r="Y59" s="96"/>
      <c r="Z59" s="91"/>
      <c r="AA59" s="183"/>
      <c r="AB59" s="79"/>
      <c r="AC59" s="79"/>
    </row>
    <row r="60" spans="2:29" ht="15" hidden="1">
      <c r="B60" s="186"/>
      <c r="C60" s="97"/>
      <c r="D60" s="97"/>
      <c r="E60" s="97"/>
      <c r="F60" s="97"/>
      <c r="G60" s="97"/>
      <c r="H60" s="97"/>
      <c r="I60" s="97"/>
      <c r="J60" s="97"/>
      <c r="K60" s="97"/>
      <c r="L60" s="138"/>
      <c r="N60" s="177">
        <v>17</v>
      </c>
      <c r="O60" s="129"/>
      <c r="P60" s="98"/>
      <c r="Q60" s="179"/>
      <c r="R60" s="180"/>
      <c r="S60" s="181"/>
      <c r="T60" s="182"/>
      <c r="U60" s="97"/>
      <c r="V60" s="96"/>
      <c r="W60" s="96"/>
      <c r="X60" s="96"/>
      <c r="Y60" s="96"/>
      <c r="Z60" s="91"/>
      <c r="AA60" s="183"/>
      <c r="AB60" s="79"/>
      <c r="AC60" s="79"/>
    </row>
    <row r="61" spans="2:29" ht="15" hidden="1">
      <c r="B61" s="186"/>
      <c r="C61" s="97"/>
      <c r="D61" s="97"/>
      <c r="E61" s="97"/>
      <c r="F61" s="97"/>
      <c r="G61" s="97"/>
      <c r="H61" s="97"/>
      <c r="I61" s="97"/>
      <c r="J61" s="97"/>
      <c r="K61" s="97"/>
      <c r="L61" s="138"/>
      <c r="N61" s="177">
        <v>18</v>
      </c>
      <c r="O61" s="129"/>
      <c r="P61" s="98"/>
      <c r="Q61" s="179"/>
      <c r="R61" s="180"/>
      <c r="S61" s="181"/>
      <c r="T61" s="182"/>
      <c r="U61" s="97"/>
      <c r="V61" s="96"/>
      <c r="W61" s="96"/>
      <c r="X61" s="96"/>
      <c r="Y61" s="96"/>
      <c r="Z61" s="91"/>
      <c r="AA61" s="183"/>
      <c r="AB61" s="79"/>
      <c r="AC61" s="79"/>
    </row>
    <row r="62" spans="2:29" ht="15" hidden="1">
      <c r="B62" s="186"/>
      <c r="C62" s="97"/>
      <c r="D62" s="97"/>
      <c r="E62" s="97"/>
      <c r="F62" s="97"/>
      <c r="G62" s="97"/>
      <c r="H62" s="97"/>
      <c r="I62" s="97"/>
      <c r="J62" s="97"/>
      <c r="K62" s="97"/>
      <c r="L62" s="138"/>
      <c r="N62" s="177">
        <v>19</v>
      </c>
      <c r="O62" s="129"/>
      <c r="P62" s="98"/>
      <c r="Q62" s="179"/>
      <c r="R62" s="180"/>
      <c r="S62" s="181"/>
      <c r="T62" s="182"/>
      <c r="U62" s="97"/>
      <c r="V62" s="96"/>
      <c r="W62" s="96"/>
      <c r="X62" s="96"/>
      <c r="Y62" s="96"/>
      <c r="Z62" s="91"/>
      <c r="AA62" s="183"/>
      <c r="AB62" s="79"/>
      <c r="AC62" s="79"/>
    </row>
    <row r="63" spans="2:29" ht="15" hidden="1">
      <c r="B63" s="186"/>
      <c r="C63" s="97"/>
      <c r="D63" s="97"/>
      <c r="E63" s="97"/>
      <c r="F63" s="97"/>
      <c r="G63" s="97"/>
      <c r="H63" s="97"/>
      <c r="I63" s="97"/>
      <c r="J63" s="97"/>
      <c r="K63" s="97"/>
      <c r="L63" s="138"/>
      <c r="N63" s="177">
        <v>20</v>
      </c>
      <c r="O63" s="129"/>
      <c r="P63" s="98"/>
      <c r="Q63" s="179"/>
      <c r="R63" s="180"/>
      <c r="S63" s="181"/>
      <c r="T63" s="182"/>
      <c r="U63" s="97"/>
      <c r="V63" s="96"/>
      <c r="W63" s="96"/>
      <c r="X63" s="96"/>
      <c r="Y63" s="96"/>
      <c r="Z63" s="91"/>
      <c r="AA63" s="183"/>
      <c r="AB63" s="79"/>
      <c r="AC63" s="79"/>
    </row>
    <row r="64" spans="2:29" hidden="1">
      <c r="B64" s="188"/>
      <c r="C64" s="97"/>
      <c r="D64" s="97"/>
      <c r="E64" s="97"/>
      <c r="F64" s="97"/>
      <c r="G64" s="97"/>
      <c r="H64" s="97"/>
      <c r="I64" s="97"/>
      <c r="J64" s="97"/>
      <c r="K64" s="97"/>
      <c r="L64" s="138"/>
      <c r="N64" s="177">
        <v>21</v>
      </c>
      <c r="O64" s="189"/>
      <c r="P64" s="123"/>
      <c r="Q64" s="190"/>
      <c r="R64" s="94"/>
      <c r="S64" s="183"/>
      <c r="T64" s="96"/>
      <c r="U64" s="96"/>
      <c r="V64" s="96"/>
      <c r="W64" s="96"/>
      <c r="X64" s="96"/>
      <c r="Y64" s="96"/>
      <c r="Z64" s="91"/>
      <c r="AA64" s="183"/>
      <c r="AB64" s="79"/>
      <c r="AC64" s="79"/>
    </row>
    <row r="65" spans="2:29" hidden="1">
      <c r="B65" s="188"/>
      <c r="C65" s="97"/>
      <c r="D65" s="97"/>
      <c r="E65" s="97"/>
      <c r="F65" s="97"/>
      <c r="G65" s="97"/>
      <c r="H65" s="97"/>
      <c r="I65" s="97"/>
      <c r="J65" s="97"/>
      <c r="K65" s="97"/>
      <c r="L65" s="138"/>
      <c r="N65" s="177">
        <v>22</v>
      </c>
      <c r="O65" s="191"/>
      <c r="P65" s="192"/>
      <c r="Q65" s="193"/>
      <c r="R65" s="194"/>
      <c r="S65" s="195"/>
      <c r="T65" s="196"/>
      <c r="U65" s="196"/>
      <c r="V65" s="196"/>
      <c r="W65" s="196"/>
      <c r="X65" s="196"/>
      <c r="Y65" s="196"/>
      <c r="Z65" s="197"/>
      <c r="AA65" s="195"/>
      <c r="AB65" s="79"/>
      <c r="AC65" s="79"/>
    </row>
    <row r="66" spans="2:29" hidden="1">
      <c r="B66" s="188"/>
      <c r="C66" s="97"/>
      <c r="D66" s="97"/>
      <c r="E66" s="97"/>
      <c r="F66" s="97"/>
      <c r="G66" s="97"/>
      <c r="H66" s="97"/>
      <c r="I66" s="97"/>
      <c r="J66" s="97"/>
      <c r="K66" s="97"/>
      <c r="L66" s="138"/>
      <c r="N66" s="177">
        <v>23</v>
      </c>
      <c r="O66" s="191"/>
      <c r="P66" s="192"/>
      <c r="Q66" s="193"/>
      <c r="R66" s="194"/>
      <c r="S66" s="195"/>
      <c r="T66" s="196"/>
      <c r="U66" s="196"/>
      <c r="V66" s="196"/>
      <c r="W66" s="196"/>
      <c r="X66" s="196"/>
      <c r="Y66" s="196"/>
      <c r="Z66" s="197"/>
      <c r="AA66" s="195"/>
      <c r="AB66" s="79"/>
      <c r="AC66" s="79"/>
    </row>
    <row r="67" spans="2:29" hidden="1">
      <c r="B67" s="188"/>
      <c r="C67" s="97"/>
      <c r="D67" s="97"/>
      <c r="E67" s="97"/>
      <c r="F67" s="97"/>
      <c r="G67" s="97"/>
      <c r="H67" s="97"/>
      <c r="I67" s="97"/>
      <c r="J67" s="97"/>
      <c r="K67" s="97"/>
      <c r="L67" s="138"/>
      <c r="N67" s="177">
        <v>24</v>
      </c>
      <c r="O67" s="191"/>
      <c r="P67" s="192"/>
      <c r="Q67" s="193"/>
      <c r="R67" s="194"/>
      <c r="S67" s="195"/>
      <c r="T67" s="196"/>
      <c r="U67" s="196"/>
      <c r="V67" s="196"/>
      <c r="W67" s="196"/>
      <c r="X67" s="196"/>
      <c r="Y67" s="196"/>
      <c r="Z67" s="197"/>
      <c r="AA67" s="195"/>
      <c r="AB67" s="79"/>
      <c r="AC67" s="79"/>
    </row>
    <row r="68" spans="2:29" hidden="1">
      <c r="B68" s="188"/>
      <c r="C68" s="97"/>
      <c r="D68" s="97"/>
      <c r="E68" s="97"/>
      <c r="F68" s="97"/>
      <c r="G68" s="97"/>
      <c r="H68" s="97"/>
      <c r="I68" s="97"/>
      <c r="J68" s="97"/>
      <c r="K68" s="97"/>
      <c r="L68" s="138"/>
      <c r="N68" s="177">
        <v>25</v>
      </c>
      <c r="O68" s="191"/>
      <c r="P68" s="192"/>
      <c r="Q68" s="193"/>
      <c r="R68" s="194"/>
      <c r="S68" s="195"/>
      <c r="T68" s="196"/>
      <c r="U68" s="196"/>
      <c r="V68" s="196"/>
      <c r="W68" s="196"/>
      <c r="X68" s="196"/>
      <c r="Y68" s="196"/>
      <c r="Z68" s="197"/>
      <c r="AA68" s="195"/>
      <c r="AB68" s="79"/>
      <c r="AC68" s="79"/>
    </row>
    <row r="69" spans="2:29" ht="14.25" hidden="1">
      <c r="B69" s="198"/>
      <c r="C69" s="97"/>
      <c r="D69" s="97"/>
      <c r="E69" s="97"/>
      <c r="F69" s="97"/>
      <c r="G69" s="97"/>
      <c r="H69" s="97"/>
      <c r="I69" s="97"/>
      <c r="J69" s="97"/>
      <c r="K69" s="97"/>
      <c r="L69" s="138"/>
      <c r="N69" s="177">
        <v>26</v>
      </c>
      <c r="O69" s="191"/>
      <c r="P69" s="192"/>
      <c r="Q69" s="193"/>
      <c r="R69" s="194"/>
      <c r="S69" s="199"/>
      <c r="T69" s="200"/>
      <c r="U69" s="196"/>
      <c r="V69" s="196"/>
      <c r="W69" s="196"/>
      <c r="X69" s="196"/>
      <c r="Y69" s="196"/>
      <c r="Z69" s="197"/>
      <c r="AA69" s="195"/>
      <c r="AB69" s="79"/>
      <c r="AC69" s="79"/>
    </row>
    <row r="70" spans="2:29" hidden="1">
      <c r="B70" s="201"/>
      <c r="C70" s="68"/>
      <c r="D70" s="68"/>
      <c r="E70" s="68"/>
      <c r="F70" s="68"/>
      <c r="G70" s="68"/>
      <c r="H70" s="68"/>
      <c r="I70" s="68"/>
      <c r="J70" s="68"/>
      <c r="K70" s="68"/>
      <c r="L70" s="202"/>
      <c r="N70" s="149"/>
      <c r="O70" s="150"/>
      <c r="P70" s="203"/>
      <c r="Q70" s="204">
        <f>SUM(Q44:Q69)</f>
        <v>0</v>
      </c>
      <c r="R70" s="205">
        <f>SUM(R44:R69)</f>
        <v>0</v>
      </c>
      <c r="S70" s="206">
        <f>SUM(S44:S69)</f>
        <v>0</v>
      </c>
      <c r="T70" s="557" t="s">
        <v>43</v>
      </c>
      <c r="U70" s="557"/>
      <c r="V70" s="155">
        <f>SUM(Q70:S70)</f>
        <v>0</v>
      </c>
      <c r="W70" s="156"/>
      <c r="X70" s="156"/>
      <c r="Y70" s="156"/>
      <c r="Z70" s="207"/>
      <c r="AA70" s="208"/>
      <c r="AB70" s="79"/>
      <c r="AC70" s="79"/>
    </row>
    <row r="71" spans="2:29" hidden="1"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2:29" hidden="1"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</row>
    <row r="73" spans="2:29" hidden="1"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</row>
    <row r="74" spans="2:29" hidden="1"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</row>
    <row r="75" spans="2:29" hidden="1"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</row>
    <row r="76" spans="2:29"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</row>
    <row r="77" spans="2:29"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</row>
    <row r="78" spans="2:29"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</row>
    <row r="79" spans="2:29"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</row>
    <row r="80" spans="2:29"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</row>
    <row r="85" spans="2:8" ht="21">
      <c r="B85" s="209"/>
      <c r="C85" s="209"/>
      <c r="D85" s="209"/>
      <c r="E85" s="209"/>
      <c r="F85" s="209"/>
      <c r="G85" s="209"/>
      <c r="H85" s="209"/>
    </row>
    <row r="86" spans="2:8" ht="21">
      <c r="B86" s="209"/>
      <c r="C86" s="209"/>
      <c r="D86" s="209"/>
      <c r="E86" s="209"/>
      <c r="F86" s="209"/>
      <c r="G86" s="209"/>
      <c r="H86" s="209"/>
    </row>
  </sheetData>
  <mergeCells count="8">
    <mergeCell ref="X1:Z1"/>
    <mergeCell ref="Q42:S42"/>
    <mergeCell ref="Z42:AA42"/>
    <mergeCell ref="T70:U70"/>
    <mergeCell ref="D1:E1"/>
    <mergeCell ref="G1:H1"/>
    <mergeCell ref="I1:U1"/>
    <mergeCell ref="V1:W1"/>
  </mergeCells>
  <conditionalFormatting sqref="T50:T55">
    <cfRule type="expression" dxfId="715" priority="3" stopIfTrue="1">
      <formula>$B50="*"</formula>
    </cfRule>
    <cfRule type="expression" dxfId="714" priority="4" stopIfTrue="1">
      <formula>$B50="-"</formula>
    </cfRule>
  </conditionalFormatting>
  <conditionalFormatting sqref="T54">
    <cfRule type="expression" dxfId="713" priority="1" stopIfTrue="1">
      <formula>$B54="*"</formula>
    </cfRule>
    <cfRule type="expression" dxfId="712" priority="2" stopIfTrue="1">
      <formula>$B54="-"</formula>
    </cfRule>
  </conditionalFormatting>
  <printOptions horizontalCentered="1"/>
  <pageMargins left="0.55118110236220474" right="0" top="0.43" bottom="0" header="0.15748031496062992" footer="0.27559055118110237"/>
  <pageSetup paperSize="8" scale="90" fitToHeight="2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I313"/>
  <sheetViews>
    <sheetView zoomScale="90" zoomScaleNormal="90" workbookViewId="0">
      <pane xSplit="3" ySplit="9" topLeftCell="D10" activePane="bottomRight" state="frozen"/>
      <selection activeCell="G18" sqref="G18"/>
      <selection pane="topRight" activeCell="G18" sqref="G18"/>
      <selection pane="bottomLeft" activeCell="G18" sqref="G18"/>
      <selection pane="bottomRight" activeCell="G12" sqref="G12"/>
    </sheetView>
  </sheetViews>
  <sheetFormatPr defaultRowHeight="13.5"/>
  <cols>
    <col min="1" max="1" width="1.85546875" style="19" customWidth="1"/>
    <col min="2" max="2" width="9.85546875" style="19" customWidth="1"/>
    <col min="3" max="3" width="6.7109375" style="220" bestFit="1" customWidth="1"/>
    <col min="4" max="4" width="11.140625" style="19" customWidth="1"/>
    <col min="5" max="5" width="10.140625" style="19" customWidth="1"/>
    <col min="6" max="6" width="11" style="19" customWidth="1"/>
    <col min="7" max="7" width="6.42578125" style="220" customWidth="1"/>
    <col min="8" max="8" width="9.85546875" style="19" customWidth="1"/>
    <col min="9" max="9" width="9.5703125" style="19" customWidth="1"/>
    <col min="10" max="10" width="9.140625" style="19"/>
    <col min="11" max="11" width="11" style="19" customWidth="1"/>
    <col min="12" max="12" width="9.28515625" style="19" customWidth="1"/>
    <col min="13" max="13" width="9.85546875" style="19" customWidth="1"/>
    <col min="14" max="15" width="8.140625" style="19" hidden="1" customWidth="1"/>
    <col min="16" max="16" width="9.5703125" style="19" customWidth="1"/>
    <col min="17" max="17" width="7.5703125" style="19" hidden="1" customWidth="1"/>
    <col min="18" max="18" width="9.28515625" style="19" hidden="1" customWidth="1"/>
    <col min="19" max="19" width="7.28515625" style="19" hidden="1" customWidth="1"/>
    <col min="20" max="21" width="8.140625" style="19" hidden="1" customWidth="1"/>
    <col min="22" max="22" width="8.85546875" style="19" hidden="1" customWidth="1"/>
    <col min="23" max="23" width="6.85546875" style="19" hidden="1" customWidth="1"/>
    <col min="24" max="28" width="5.85546875" style="19" hidden="1" customWidth="1"/>
    <col min="29" max="30" width="6.5703125" style="19" hidden="1" customWidth="1"/>
    <col min="31" max="39" width="5.85546875" style="19" hidden="1" customWidth="1"/>
    <col min="40" max="40" width="7.7109375" style="19" hidden="1" customWidth="1"/>
    <col min="41" max="41" width="9.140625" style="19" hidden="1" customWidth="1"/>
    <col min="42" max="43" width="8.5703125" style="19" hidden="1" customWidth="1"/>
    <col min="44" max="44" width="7.5703125" style="19" hidden="1" customWidth="1"/>
    <col min="45" max="47" width="9.28515625" style="19" hidden="1" customWidth="1"/>
    <col min="48" max="49" width="7.85546875" style="19" hidden="1" customWidth="1"/>
    <col min="50" max="51" width="6.42578125" style="19" hidden="1" customWidth="1"/>
    <col min="52" max="52" width="10.7109375" style="19" hidden="1" customWidth="1"/>
    <col min="53" max="53" width="40.7109375" style="19" hidden="1" customWidth="1"/>
    <col min="54" max="54" width="5" style="19" customWidth="1"/>
    <col min="55" max="55" width="5.5703125" style="19" customWidth="1"/>
    <col min="56" max="59" width="9.140625" style="19"/>
    <col min="60" max="61" width="8.7109375" style="19" customWidth="1"/>
    <col min="62" max="256" width="9.140625" style="19"/>
    <col min="257" max="257" width="1.85546875" style="19" customWidth="1"/>
    <col min="258" max="258" width="9.85546875" style="19" customWidth="1"/>
    <col min="259" max="259" width="6.7109375" style="19" bestFit="1" customWidth="1"/>
    <col min="260" max="260" width="9.42578125" style="19" customWidth="1"/>
    <col min="261" max="261" width="10.140625" style="19" customWidth="1"/>
    <col min="262" max="262" width="9.28515625" style="19" customWidth="1"/>
    <col min="263" max="263" width="6.42578125" style="19" customWidth="1"/>
    <col min="264" max="264" width="9.85546875" style="19" customWidth="1"/>
    <col min="265" max="265" width="9.5703125" style="19" customWidth="1"/>
    <col min="266" max="266" width="9.140625" style="19"/>
    <col min="267" max="267" width="11" style="19" customWidth="1"/>
    <col min="268" max="268" width="9.28515625" style="19" customWidth="1"/>
    <col min="269" max="269" width="9.85546875" style="19" customWidth="1"/>
    <col min="270" max="271" width="0" style="19" hidden="1" customWidth="1"/>
    <col min="272" max="272" width="9.5703125" style="19" customWidth="1"/>
    <col min="273" max="284" width="0" style="19" hidden="1" customWidth="1"/>
    <col min="285" max="286" width="6.5703125" style="19" customWidth="1"/>
    <col min="287" max="290" width="0" style="19" hidden="1" customWidth="1"/>
    <col min="291" max="291" width="5.85546875" style="19" customWidth="1"/>
    <col min="292" max="292" width="0" style="19" hidden="1" customWidth="1"/>
    <col min="293" max="295" width="5.85546875" style="19" customWidth="1"/>
    <col min="296" max="296" width="7.7109375" style="19" customWidth="1"/>
    <col min="297" max="297" width="9.140625" style="19" bestFit="1" customWidth="1"/>
    <col min="298" max="299" width="8.5703125" style="19" bestFit="1" customWidth="1"/>
    <col min="300" max="300" width="7.5703125" style="19" customWidth="1"/>
    <col min="301" max="303" width="9.28515625" style="19" customWidth="1"/>
    <col min="304" max="305" width="7.85546875" style="19" customWidth="1"/>
    <col min="306" max="307" width="6.42578125" style="19" customWidth="1"/>
    <col min="308" max="308" width="10.7109375" style="19" customWidth="1"/>
    <col min="309" max="309" width="40.7109375" style="19" customWidth="1"/>
    <col min="310" max="310" width="5" style="19" customWidth="1"/>
    <col min="311" max="311" width="5.5703125" style="19" customWidth="1"/>
    <col min="312" max="315" width="9.140625" style="19"/>
    <col min="316" max="317" width="8.7109375" style="19" customWidth="1"/>
    <col min="318" max="512" width="9.140625" style="19"/>
    <col min="513" max="513" width="1.85546875" style="19" customWidth="1"/>
    <col min="514" max="514" width="9.85546875" style="19" customWidth="1"/>
    <col min="515" max="515" width="6.7109375" style="19" bestFit="1" customWidth="1"/>
    <col min="516" max="516" width="9.42578125" style="19" customWidth="1"/>
    <col min="517" max="517" width="10.140625" style="19" customWidth="1"/>
    <col min="518" max="518" width="9.28515625" style="19" customWidth="1"/>
    <col min="519" max="519" width="6.42578125" style="19" customWidth="1"/>
    <col min="520" max="520" width="9.85546875" style="19" customWidth="1"/>
    <col min="521" max="521" width="9.5703125" style="19" customWidth="1"/>
    <col min="522" max="522" width="9.140625" style="19"/>
    <col min="523" max="523" width="11" style="19" customWidth="1"/>
    <col min="524" max="524" width="9.28515625" style="19" customWidth="1"/>
    <col min="525" max="525" width="9.85546875" style="19" customWidth="1"/>
    <col min="526" max="527" width="0" style="19" hidden="1" customWidth="1"/>
    <col min="528" max="528" width="9.5703125" style="19" customWidth="1"/>
    <col min="529" max="540" width="0" style="19" hidden="1" customWidth="1"/>
    <col min="541" max="542" width="6.5703125" style="19" customWidth="1"/>
    <col min="543" max="546" width="0" style="19" hidden="1" customWidth="1"/>
    <col min="547" max="547" width="5.85546875" style="19" customWidth="1"/>
    <col min="548" max="548" width="0" style="19" hidden="1" customWidth="1"/>
    <col min="549" max="551" width="5.85546875" style="19" customWidth="1"/>
    <col min="552" max="552" width="7.7109375" style="19" customWidth="1"/>
    <col min="553" max="553" width="9.140625" style="19" bestFit="1" customWidth="1"/>
    <col min="554" max="555" width="8.5703125" style="19" bestFit="1" customWidth="1"/>
    <col min="556" max="556" width="7.5703125" style="19" customWidth="1"/>
    <col min="557" max="559" width="9.28515625" style="19" customWidth="1"/>
    <col min="560" max="561" width="7.85546875" style="19" customWidth="1"/>
    <col min="562" max="563" width="6.42578125" style="19" customWidth="1"/>
    <col min="564" max="564" width="10.7109375" style="19" customWidth="1"/>
    <col min="565" max="565" width="40.7109375" style="19" customWidth="1"/>
    <col min="566" max="566" width="5" style="19" customWidth="1"/>
    <col min="567" max="567" width="5.5703125" style="19" customWidth="1"/>
    <col min="568" max="571" width="9.140625" style="19"/>
    <col min="572" max="573" width="8.7109375" style="19" customWidth="1"/>
    <col min="574" max="768" width="9.140625" style="19"/>
    <col min="769" max="769" width="1.85546875" style="19" customWidth="1"/>
    <col min="770" max="770" width="9.85546875" style="19" customWidth="1"/>
    <col min="771" max="771" width="6.7109375" style="19" bestFit="1" customWidth="1"/>
    <col min="772" max="772" width="9.42578125" style="19" customWidth="1"/>
    <col min="773" max="773" width="10.140625" style="19" customWidth="1"/>
    <col min="774" max="774" width="9.28515625" style="19" customWidth="1"/>
    <col min="775" max="775" width="6.42578125" style="19" customWidth="1"/>
    <col min="776" max="776" width="9.85546875" style="19" customWidth="1"/>
    <col min="777" max="777" width="9.5703125" style="19" customWidth="1"/>
    <col min="778" max="778" width="9.140625" style="19"/>
    <col min="779" max="779" width="11" style="19" customWidth="1"/>
    <col min="780" max="780" width="9.28515625" style="19" customWidth="1"/>
    <col min="781" max="781" width="9.85546875" style="19" customWidth="1"/>
    <col min="782" max="783" width="0" style="19" hidden="1" customWidth="1"/>
    <col min="784" max="784" width="9.5703125" style="19" customWidth="1"/>
    <col min="785" max="796" width="0" style="19" hidden="1" customWidth="1"/>
    <col min="797" max="798" width="6.5703125" style="19" customWidth="1"/>
    <col min="799" max="802" width="0" style="19" hidden="1" customWidth="1"/>
    <col min="803" max="803" width="5.85546875" style="19" customWidth="1"/>
    <col min="804" max="804" width="0" style="19" hidden="1" customWidth="1"/>
    <col min="805" max="807" width="5.85546875" style="19" customWidth="1"/>
    <col min="808" max="808" width="7.7109375" style="19" customWidth="1"/>
    <col min="809" max="809" width="9.140625" style="19" bestFit="1" customWidth="1"/>
    <col min="810" max="811" width="8.5703125" style="19" bestFit="1" customWidth="1"/>
    <col min="812" max="812" width="7.5703125" style="19" customWidth="1"/>
    <col min="813" max="815" width="9.28515625" style="19" customWidth="1"/>
    <col min="816" max="817" width="7.85546875" style="19" customWidth="1"/>
    <col min="818" max="819" width="6.42578125" style="19" customWidth="1"/>
    <col min="820" max="820" width="10.7109375" style="19" customWidth="1"/>
    <col min="821" max="821" width="40.7109375" style="19" customWidth="1"/>
    <col min="822" max="822" width="5" style="19" customWidth="1"/>
    <col min="823" max="823" width="5.5703125" style="19" customWidth="1"/>
    <col min="824" max="827" width="9.140625" style="19"/>
    <col min="828" max="829" width="8.7109375" style="19" customWidth="1"/>
    <col min="830" max="1024" width="9.140625" style="19"/>
    <col min="1025" max="1025" width="1.85546875" style="19" customWidth="1"/>
    <col min="1026" max="1026" width="9.85546875" style="19" customWidth="1"/>
    <col min="1027" max="1027" width="6.7109375" style="19" bestFit="1" customWidth="1"/>
    <col min="1028" max="1028" width="9.42578125" style="19" customWidth="1"/>
    <col min="1029" max="1029" width="10.140625" style="19" customWidth="1"/>
    <col min="1030" max="1030" width="9.28515625" style="19" customWidth="1"/>
    <col min="1031" max="1031" width="6.42578125" style="19" customWidth="1"/>
    <col min="1032" max="1032" width="9.85546875" style="19" customWidth="1"/>
    <col min="1033" max="1033" width="9.5703125" style="19" customWidth="1"/>
    <col min="1034" max="1034" width="9.140625" style="19"/>
    <col min="1035" max="1035" width="11" style="19" customWidth="1"/>
    <col min="1036" max="1036" width="9.28515625" style="19" customWidth="1"/>
    <col min="1037" max="1037" width="9.85546875" style="19" customWidth="1"/>
    <col min="1038" max="1039" width="0" style="19" hidden="1" customWidth="1"/>
    <col min="1040" max="1040" width="9.5703125" style="19" customWidth="1"/>
    <col min="1041" max="1052" width="0" style="19" hidden="1" customWidth="1"/>
    <col min="1053" max="1054" width="6.5703125" style="19" customWidth="1"/>
    <col min="1055" max="1058" width="0" style="19" hidden="1" customWidth="1"/>
    <col min="1059" max="1059" width="5.85546875" style="19" customWidth="1"/>
    <col min="1060" max="1060" width="0" style="19" hidden="1" customWidth="1"/>
    <col min="1061" max="1063" width="5.85546875" style="19" customWidth="1"/>
    <col min="1064" max="1064" width="7.7109375" style="19" customWidth="1"/>
    <col min="1065" max="1065" width="9.140625" style="19" bestFit="1" customWidth="1"/>
    <col min="1066" max="1067" width="8.5703125" style="19" bestFit="1" customWidth="1"/>
    <col min="1068" max="1068" width="7.5703125" style="19" customWidth="1"/>
    <col min="1069" max="1071" width="9.28515625" style="19" customWidth="1"/>
    <col min="1072" max="1073" width="7.85546875" style="19" customWidth="1"/>
    <col min="1074" max="1075" width="6.42578125" style="19" customWidth="1"/>
    <col min="1076" max="1076" width="10.7109375" style="19" customWidth="1"/>
    <col min="1077" max="1077" width="40.7109375" style="19" customWidth="1"/>
    <col min="1078" max="1078" width="5" style="19" customWidth="1"/>
    <col min="1079" max="1079" width="5.5703125" style="19" customWidth="1"/>
    <col min="1080" max="1083" width="9.140625" style="19"/>
    <col min="1084" max="1085" width="8.7109375" style="19" customWidth="1"/>
    <col min="1086" max="1280" width="9.140625" style="19"/>
    <col min="1281" max="1281" width="1.85546875" style="19" customWidth="1"/>
    <col min="1282" max="1282" width="9.85546875" style="19" customWidth="1"/>
    <col min="1283" max="1283" width="6.7109375" style="19" bestFit="1" customWidth="1"/>
    <col min="1284" max="1284" width="9.42578125" style="19" customWidth="1"/>
    <col min="1285" max="1285" width="10.140625" style="19" customWidth="1"/>
    <col min="1286" max="1286" width="9.28515625" style="19" customWidth="1"/>
    <col min="1287" max="1287" width="6.42578125" style="19" customWidth="1"/>
    <col min="1288" max="1288" width="9.85546875" style="19" customWidth="1"/>
    <col min="1289" max="1289" width="9.5703125" style="19" customWidth="1"/>
    <col min="1290" max="1290" width="9.140625" style="19"/>
    <col min="1291" max="1291" width="11" style="19" customWidth="1"/>
    <col min="1292" max="1292" width="9.28515625" style="19" customWidth="1"/>
    <col min="1293" max="1293" width="9.85546875" style="19" customWidth="1"/>
    <col min="1294" max="1295" width="0" style="19" hidden="1" customWidth="1"/>
    <col min="1296" max="1296" width="9.5703125" style="19" customWidth="1"/>
    <col min="1297" max="1308" width="0" style="19" hidden="1" customWidth="1"/>
    <col min="1309" max="1310" width="6.5703125" style="19" customWidth="1"/>
    <col min="1311" max="1314" width="0" style="19" hidden="1" customWidth="1"/>
    <col min="1315" max="1315" width="5.85546875" style="19" customWidth="1"/>
    <col min="1316" max="1316" width="0" style="19" hidden="1" customWidth="1"/>
    <col min="1317" max="1319" width="5.85546875" style="19" customWidth="1"/>
    <col min="1320" max="1320" width="7.7109375" style="19" customWidth="1"/>
    <col min="1321" max="1321" width="9.140625" style="19" bestFit="1" customWidth="1"/>
    <col min="1322" max="1323" width="8.5703125" style="19" bestFit="1" customWidth="1"/>
    <col min="1324" max="1324" width="7.5703125" style="19" customWidth="1"/>
    <col min="1325" max="1327" width="9.28515625" style="19" customWidth="1"/>
    <col min="1328" max="1329" width="7.85546875" style="19" customWidth="1"/>
    <col min="1330" max="1331" width="6.42578125" style="19" customWidth="1"/>
    <col min="1332" max="1332" width="10.7109375" style="19" customWidth="1"/>
    <col min="1333" max="1333" width="40.7109375" style="19" customWidth="1"/>
    <col min="1334" max="1334" width="5" style="19" customWidth="1"/>
    <col min="1335" max="1335" width="5.5703125" style="19" customWidth="1"/>
    <col min="1336" max="1339" width="9.140625" style="19"/>
    <col min="1340" max="1341" width="8.7109375" style="19" customWidth="1"/>
    <col min="1342" max="1536" width="9.140625" style="19"/>
    <col min="1537" max="1537" width="1.85546875" style="19" customWidth="1"/>
    <col min="1538" max="1538" width="9.85546875" style="19" customWidth="1"/>
    <col min="1539" max="1539" width="6.7109375" style="19" bestFit="1" customWidth="1"/>
    <col min="1540" max="1540" width="9.42578125" style="19" customWidth="1"/>
    <col min="1541" max="1541" width="10.140625" style="19" customWidth="1"/>
    <col min="1542" max="1542" width="9.28515625" style="19" customWidth="1"/>
    <col min="1543" max="1543" width="6.42578125" style="19" customWidth="1"/>
    <col min="1544" max="1544" width="9.85546875" style="19" customWidth="1"/>
    <col min="1545" max="1545" width="9.5703125" style="19" customWidth="1"/>
    <col min="1546" max="1546" width="9.140625" style="19"/>
    <col min="1547" max="1547" width="11" style="19" customWidth="1"/>
    <col min="1548" max="1548" width="9.28515625" style="19" customWidth="1"/>
    <col min="1549" max="1549" width="9.85546875" style="19" customWidth="1"/>
    <col min="1550" max="1551" width="0" style="19" hidden="1" customWidth="1"/>
    <col min="1552" max="1552" width="9.5703125" style="19" customWidth="1"/>
    <col min="1553" max="1564" width="0" style="19" hidden="1" customWidth="1"/>
    <col min="1565" max="1566" width="6.5703125" style="19" customWidth="1"/>
    <col min="1567" max="1570" width="0" style="19" hidden="1" customWidth="1"/>
    <col min="1571" max="1571" width="5.85546875" style="19" customWidth="1"/>
    <col min="1572" max="1572" width="0" style="19" hidden="1" customWidth="1"/>
    <col min="1573" max="1575" width="5.85546875" style="19" customWidth="1"/>
    <col min="1576" max="1576" width="7.7109375" style="19" customWidth="1"/>
    <col min="1577" max="1577" width="9.140625" style="19" bestFit="1" customWidth="1"/>
    <col min="1578" max="1579" width="8.5703125" style="19" bestFit="1" customWidth="1"/>
    <col min="1580" max="1580" width="7.5703125" style="19" customWidth="1"/>
    <col min="1581" max="1583" width="9.28515625" style="19" customWidth="1"/>
    <col min="1584" max="1585" width="7.85546875" style="19" customWidth="1"/>
    <col min="1586" max="1587" width="6.42578125" style="19" customWidth="1"/>
    <col min="1588" max="1588" width="10.7109375" style="19" customWidth="1"/>
    <col min="1589" max="1589" width="40.7109375" style="19" customWidth="1"/>
    <col min="1590" max="1590" width="5" style="19" customWidth="1"/>
    <col min="1591" max="1591" width="5.5703125" style="19" customWidth="1"/>
    <col min="1592" max="1595" width="9.140625" style="19"/>
    <col min="1596" max="1597" width="8.7109375" style="19" customWidth="1"/>
    <col min="1598" max="1792" width="9.140625" style="19"/>
    <col min="1793" max="1793" width="1.85546875" style="19" customWidth="1"/>
    <col min="1794" max="1794" width="9.85546875" style="19" customWidth="1"/>
    <col min="1795" max="1795" width="6.7109375" style="19" bestFit="1" customWidth="1"/>
    <col min="1796" max="1796" width="9.42578125" style="19" customWidth="1"/>
    <col min="1797" max="1797" width="10.140625" style="19" customWidth="1"/>
    <col min="1798" max="1798" width="9.28515625" style="19" customWidth="1"/>
    <col min="1799" max="1799" width="6.42578125" style="19" customWidth="1"/>
    <col min="1800" max="1800" width="9.85546875" style="19" customWidth="1"/>
    <col min="1801" max="1801" width="9.5703125" style="19" customWidth="1"/>
    <col min="1802" max="1802" width="9.140625" style="19"/>
    <col min="1803" max="1803" width="11" style="19" customWidth="1"/>
    <col min="1804" max="1804" width="9.28515625" style="19" customWidth="1"/>
    <col min="1805" max="1805" width="9.85546875" style="19" customWidth="1"/>
    <col min="1806" max="1807" width="0" style="19" hidden="1" customWidth="1"/>
    <col min="1808" max="1808" width="9.5703125" style="19" customWidth="1"/>
    <col min="1809" max="1820" width="0" style="19" hidden="1" customWidth="1"/>
    <col min="1821" max="1822" width="6.5703125" style="19" customWidth="1"/>
    <col min="1823" max="1826" width="0" style="19" hidden="1" customWidth="1"/>
    <col min="1827" max="1827" width="5.85546875" style="19" customWidth="1"/>
    <col min="1828" max="1828" width="0" style="19" hidden="1" customWidth="1"/>
    <col min="1829" max="1831" width="5.85546875" style="19" customWidth="1"/>
    <col min="1832" max="1832" width="7.7109375" style="19" customWidth="1"/>
    <col min="1833" max="1833" width="9.140625" style="19" bestFit="1" customWidth="1"/>
    <col min="1834" max="1835" width="8.5703125" style="19" bestFit="1" customWidth="1"/>
    <col min="1836" max="1836" width="7.5703125" style="19" customWidth="1"/>
    <col min="1837" max="1839" width="9.28515625" style="19" customWidth="1"/>
    <col min="1840" max="1841" width="7.85546875" style="19" customWidth="1"/>
    <col min="1842" max="1843" width="6.42578125" style="19" customWidth="1"/>
    <col min="1844" max="1844" width="10.7109375" style="19" customWidth="1"/>
    <col min="1845" max="1845" width="40.7109375" style="19" customWidth="1"/>
    <col min="1846" max="1846" width="5" style="19" customWidth="1"/>
    <col min="1847" max="1847" width="5.5703125" style="19" customWidth="1"/>
    <col min="1848" max="1851" width="9.140625" style="19"/>
    <col min="1852" max="1853" width="8.7109375" style="19" customWidth="1"/>
    <col min="1854" max="2048" width="9.140625" style="19"/>
    <col min="2049" max="2049" width="1.85546875" style="19" customWidth="1"/>
    <col min="2050" max="2050" width="9.85546875" style="19" customWidth="1"/>
    <col min="2051" max="2051" width="6.7109375" style="19" bestFit="1" customWidth="1"/>
    <col min="2052" max="2052" width="9.42578125" style="19" customWidth="1"/>
    <col min="2053" max="2053" width="10.140625" style="19" customWidth="1"/>
    <col min="2054" max="2054" width="9.28515625" style="19" customWidth="1"/>
    <col min="2055" max="2055" width="6.42578125" style="19" customWidth="1"/>
    <col min="2056" max="2056" width="9.85546875" style="19" customWidth="1"/>
    <col min="2057" max="2057" width="9.5703125" style="19" customWidth="1"/>
    <col min="2058" max="2058" width="9.140625" style="19"/>
    <col min="2059" max="2059" width="11" style="19" customWidth="1"/>
    <col min="2060" max="2060" width="9.28515625" style="19" customWidth="1"/>
    <col min="2061" max="2061" width="9.85546875" style="19" customWidth="1"/>
    <col min="2062" max="2063" width="0" style="19" hidden="1" customWidth="1"/>
    <col min="2064" max="2064" width="9.5703125" style="19" customWidth="1"/>
    <col min="2065" max="2076" width="0" style="19" hidden="1" customWidth="1"/>
    <col min="2077" max="2078" width="6.5703125" style="19" customWidth="1"/>
    <col min="2079" max="2082" width="0" style="19" hidden="1" customWidth="1"/>
    <col min="2083" max="2083" width="5.85546875" style="19" customWidth="1"/>
    <col min="2084" max="2084" width="0" style="19" hidden="1" customWidth="1"/>
    <col min="2085" max="2087" width="5.85546875" style="19" customWidth="1"/>
    <col min="2088" max="2088" width="7.7109375" style="19" customWidth="1"/>
    <col min="2089" max="2089" width="9.140625" style="19" bestFit="1" customWidth="1"/>
    <col min="2090" max="2091" width="8.5703125" style="19" bestFit="1" customWidth="1"/>
    <col min="2092" max="2092" width="7.5703125" style="19" customWidth="1"/>
    <col min="2093" max="2095" width="9.28515625" style="19" customWidth="1"/>
    <col min="2096" max="2097" width="7.85546875" style="19" customWidth="1"/>
    <col min="2098" max="2099" width="6.42578125" style="19" customWidth="1"/>
    <col min="2100" max="2100" width="10.7109375" style="19" customWidth="1"/>
    <col min="2101" max="2101" width="40.7109375" style="19" customWidth="1"/>
    <col min="2102" max="2102" width="5" style="19" customWidth="1"/>
    <col min="2103" max="2103" width="5.5703125" style="19" customWidth="1"/>
    <col min="2104" max="2107" width="9.140625" style="19"/>
    <col min="2108" max="2109" width="8.7109375" style="19" customWidth="1"/>
    <col min="2110" max="2304" width="9.140625" style="19"/>
    <col min="2305" max="2305" width="1.85546875" style="19" customWidth="1"/>
    <col min="2306" max="2306" width="9.85546875" style="19" customWidth="1"/>
    <col min="2307" max="2307" width="6.7109375" style="19" bestFit="1" customWidth="1"/>
    <col min="2308" max="2308" width="9.42578125" style="19" customWidth="1"/>
    <col min="2309" max="2309" width="10.140625" style="19" customWidth="1"/>
    <col min="2310" max="2310" width="9.28515625" style="19" customWidth="1"/>
    <col min="2311" max="2311" width="6.42578125" style="19" customWidth="1"/>
    <col min="2312" max="2312" width="9.85546875" style="19" customWidth="1"/>
    <col min="2313" max="2313" width="9.5703125" style="19" customWidth="1"/>
    <col min="2314" max="2314" width="9.140625" style="19"/>
    <col min="2315" max="2315" width="11" style="19" customWidth="1"/>
    <col min="2316" max="2316" width="9.28515625" style="19" customWidth="1"/>
    <col min="2317" max="2317" width="9.85546875" style="19" customWidth="1"/>
    <col min="2318" max="2319" width="0" style="19" hidden="1" customWidth="1"/>
    <col min="2320" max="2320" width="9.5703125" style="19" customWidth="1"/>
    <col min="2321" max="2332" width="0" style="19" hidden="1" customWidth="1"/>
    <col min="2333" max="2334" width="6.5703125" style="19" customWidth="1"/>
    <col min="2335" max="2338" width="0" style="19" hidden="1" customWidth="1"/>
    <col min="2339" max="2339" width="5.85546875" style="19" customWidth="1"/>
    <col min="2340" max="2340" width="0" style="19" hidden="1" customWidth="1"/>
    <col min="2341" max="2343" width="5.85546875" style="19" customWidth="1"/>
    <col min="2344" max="2344" width="7.7109375" style="19" customWidth="1"/>
    <col min="2345" max="2345" width="9.140625" style="19" bestFit="1" customWidth="1"/>
    <col min="2346" max="2347" width="8.5703125" style="19" bestFit="1" customWidth="1"/>
    <col min="2348" max="2348" width="7.5703125" style="19" customWidth="1"/>
    <col min="2349" max="2351" width="9.28515625" style="19" customWidth="1"/>
    <col min="2352" max="2353" width="7.85546875" style="19" customWidth="1"/>
    <col min="2354" max="2355" width="6.42578125" style="19" customWidth="1"/>
    <col min="2356" max="2356" width="10.7109375" style="19" customWidth="1"/>
    <col min="2357" max="2357" width="40.7109375" style="19" customWidth="1"/>
    <col min="2358" max="2358" width="5" style="19" customWidth="1"/>
    <col min="2359" max="2359" width="5.5703125" style="19" customWidth="1"/>
    <col min="2360" max="2363" width="9.140625" style="19"/>
    <col min="2364" max="2365" width="8.7109375" style="19" customWidth="1"/>
    <col min="2366" max="2560" width="9.140625" style="19"/>
    <col min="2561" max="2561" width="1.85546875" style="19" customWidth="1"/>
    <col min="2562" max="2562" width="9.85546875" style="19" customWidth="1"/>
    <col min="2563" max="2563" width="6.7109375" style="19" bestFit="1" customWidth="1"/>
    <col min="2564" max="2564" width="9.42578125" style="19" customWidth="1"/>
    <col min="2565" max="2565" width="10.140625" style="19" customWidth="1"/>
    <col min="2566" max="2566" width="9.28515625" style="19" customWidth="1"/>
    <col min="2567" max="2567" width="6.42578125" style="19" customWidth="1"/>
    <col min="2568" max="2568" width="9.85546875" style="19" customWidth="1"/>
    <col min="2569" max="2569" width="9.5703125" style="19" customWidth="1"/>
    <col min="2570" max="2570" width="9.140625" style="19"/>
    <col min="2571" max="2571" width="11" style="19" customWidth="1"/>
    <col min="2572" max="2572" width="9.28515625" style="19" customWidth="1"/>
    <col min="2573" max="2573" width="9.85546875" style="19" customWidth="1"/>
    <col min="2574" max="2575" width="0" style="19" hidden="1" customWidth="1"/>
    <col min="2576" max="2576" width="9.5703125" style="19" customWidth="1"/>
    <col min="2577" max="2588" width="0" style="19" hidden="1" customWidth="1"/>
    <col min="2589" max="2590" width="6.5703125" style="19" customWidth="1"/>
    <col min="2591" max="2594" width="0" style="19" hidden="1" customWidth="1"/>
    <col min="2595" max="2595" width="5.85546875" style="19" customWidth="1"/>
    <col min="2596" max="2596" width="0" style="19" hidden="1" customWidth="1"/>
    <col min="2597" max="2599" width="5.85546875" style="19" customWidth="1"/>
    <col min="2600" max="2600" width="7.7109375" style="19" customWidth="1"/>
    <col min="2601" max="2601" width="9.140625" style="19" bestFit="1" customWidth="1"/>
    <col min="2602" max="2603" width="8.5703125" style="19" bestFit="1" customWidth="1"/>
    <col min="2604" max="2604" width="7.5703125" style="19" customWidth="1"/>
    <col min="2605" max="2607" width="9.28515625" style="19" customWidth="1"/>
    <col min="2608" max="2609" width="7.85546875" style="19" customWidth="1"/>
    <col min="2610" max="2611" width="6.42578125" style="19" customWidth="1"/>
    <col min="2612" max="2612" width="10.7109375" style="19" customWidth="1"/>
    <col min="2613" max="2613" width="40.7109375" style="19" customWidth="1"/>
    <col min="2614" max="2614" width="5" style="19" customWidth="1"/>
    <col min="2615" max="2615" width="5.5703125" style="19" customWidth="1"/>
    <col min="2616" max="2619" width="9.140625" style="19"/>
    <col min="2620" max="2621" width="8.7109375" style="19" customWidth="1"/>
    <col min="2622" max="2816" width="9.140625" style="19"/>
    <col min="2817" max="2817" width="1.85546875" style="19" customWidth="1"/>
    <col min="2818" max="2818" width="9.85546875" style="19" customWidth="1"/>
    <col min="2819" max="2819" width="6.7109375" style="19" bestFit="1" customWidth="1"/>
    <col min="2820" max="2820" width="9.42578125" style="19" customWidth="1"/>
    <col min="2821" max="2821" width="10.140625" style="19" customWidth="1"/>
    <col min="2822" max="2822" width="9.28515625" style="19" customWidth="1"/>
    <col min="2823" max="2823" width="6.42578125" style="19" customWidth="1"/>
    <col min="2824" max="2824" width="9.85546875" style="19" customWidth="1"/>
    <col min="2825" max="2825" width="9.5703125" style="19" customWidth="1"/>
    <col min="2826" max="2826" width="9.140625" style="19"/>
    <col min="2827" max="2827" width="11" style="19" customWidth="1"/>
    <col min="2828" max="2828" width="9.28515625" style="19" customWidth="1"/>
    <col min="2829" max="2829" width="9.85546875" style="19" customWidth="1"/>
    <col min="2830" max="2831" width="0" style="19" hidden="1" customWidth="1"/>
    <col min="2832" max="2832" width="9.5703125" style="19" customWidth="1"/>
    <col min="2833" max="2844" width="0" style="19" hidden="1" customWidth="1"/>
    <col min="2845" max="2846" width="6.5703125" style="19" customWidth="1"/>
    <col min="2847" max="2850" width="0" style="19" hidden="1" customWidth="1"/>
    <col min="2851" max="2851" width="5.85546875" style="19" customWidth="1"/>
    <col min="2852" max="2852" width="0" style="19" hidden="1" customWidth="1"/>
    <col min="2853" max="2855" width="5.85546875" style="19" customWidth="1"/>
    <col min="2856" max="2856" width="7.7109375" style="19" customWidth="1"/>
    <col min="2857" max="2857" width="9.140625" style="19" bestFit="1" customWidth="1"/>
    <col min="2858" max="2859" width="8.5703125" style="19" bestFit="1" customWidth="1"/>
    <col min="2860" max="2860" width="7.5703125" style="19" customWidth="1"/>
    <col min="2861" max="2863" width="9.28515625" style="19" customWidth="1"/>
    <col min="2864" max="2865" width="7.85546875" style="19" customWidth="1"/>
    <col min="2866" max="2867" width="6.42578125" style="19" customWidth="1"/>
    <col min="2868" max="2868" width="10.7109375" style="19" customWidth="1"/>
    <col min="2869" max="2869" width="40.7109375" style="19" customWidth="1"/>
    <col min="2870" max="2870" width="5" style="19" customWidth="1"/>
    <col min="2871" max="2871" width="5.5703125" style="19" customWidth="1"/>
    <col min="2872" max="2875" width="9.140625" style="19"/>
    <col min="2876" max="2877" width="8.7109375" style="19" customWidth="1"/>
    <col min="2878" max="3072" width="9.140625" style="19"/>
    <col min="3073" max="3073" width="1.85546875" style="19" customWidth="1"/>
    <col min="3074" max="3074" width="9.85546875" style="19" customWidth="1"/>
    <col min="3075" max="3075" width="6.7109375" style="19" bestFit="1" customWidth="1"/>
    <col min="3076" max="3076" width="9.42578125" style="19" customWidth="1"/>
    <col min="3077" max="3077" width="10.140625" style="19" customWidth="1"/>
    <col min="3078" max="3078" width="9.28515625" style="19" customWidth="1"/>
    <col min="3079" max="3079" width="6.42578125" style="19" customWidth="1"/>
    <col min="3080" max="3080" width="9.85546875" style="19" customWidth="1"/>
    <col min="3081" max="3081" width="9.5703125" style="19" customWidth="1"/>
    <col min="3082" max="3082" width="9.140625" style="19"/>
    <col min="3083" max="3083" width="11" style="19" customWidth="1"/>
    <col min="3084" max="3084" width="9.28515625" style="19" customWidth="1"/>
    <col min="3085" max="3085" width="9.85546875" style="19" customWidth="1"/>
    <col min="3086" max="3087" width="0" style="19" hidden="1" customWidth="1"/>
    <col min="3088" max="3088" width="9.5703125" style="19" customWidth="1"/>
    <col min="3089" max="3100" width="0" style="19" hidden="1" customWidth="1"/>
    <col min="3101" max="3102" width="6.5703125" style="19" customWidth="1"/>
    <col min="3103" max="3106" width="0" style="19" hidden="1" customWidth="1"/>
    <col min="3107" max="3107" width="5.85546875" style="19" customWidth="1"/>
    <col min="3108" max="3108" width="0" style="19" hidden="1" customWidth="1"/>
    <col min="3109" max="3111" width="5.85546875" style="19" customWidth="1"/>
    <col min="3112" max="3112" width="7.7109375" style="19" customWidth="1"/>
    <col min="3113" max="3113" width="9.140625" style="19" bestFit="1" customWidth="1"/>
    <col min="3114" max="3115" width="8.5703125" style="19" bestFit="1" customWidth="1"/>
    <col min="3116" max="3116" width="7.5703125" style="19" customWidth="1"/>
    <col min="3117" max="3119" width="9.28515625" style="19" customWidth="1"/>
    <col min="3120" max="3121" width="7.85546875" style="19" customWidth="1"/>
    <col min="3122" max="3123" width="6.42578125" style="19" customWidth="1"/>
    <col min="3124" max="3124" width="10.7109375" style="19" customWidth="1"/>
    <col min="3125" max="3125" width="40.7109375" style="19" customWidth="1"/>
    <col min="3126" max="3126" width="5" style="19" customWidth="1"/>
    <col min="3127" max="3127" width="5.5703125" style="19" customWidth="1"/>
    <col min="3128" max="3131" width="9.140625" style="19"/>
    <col min="3132" max="3133" width="8.7109375" style="19" customWidth="1"/>
    <col min="3134" max="3328" width="9.140625" style="19"/>
    <col min="3329" max="3329" width="1.85546875" style="19" customWidth="1"/>
    <col min="3330" max="3330" width="9.85546875" style="19" customWidth="1"/>
    <col min="3331" max="3331" width="6.7109375" style="19" bestFit="1" customWidth="1"/>
    <col min="3332" max="3332" width="9.42578125" style="19" customWidth="1"/>
    <col min="3333" max="3333" width="10.140625" style="19" customWidth="1"/>
    <col min="3334" max="3334" width="9.28515625" style="19" customWidth="1"/>
    <col min="3335" max="3335" width="6.42578125" style="19" customWidth="1"/>
    <col min="3336" max="3336" width="9.85546875" style="19" customWidth="1"/>
    <col min="3337" max="3337" width="9.5703125" style="19" customWidth="1"/>
    <col min="3338" max="3338" width="9.140625" style="19"/>
    <col min="3339" max="3339" width="11" style="19" customWidth="1"/>
    <col min="3340" max="3340" width="9.28515625" style="19" customWidth="1"/>
    <col min="3341" max="3341" width="9.85546875" style="19" customWidth="1"/>
    <col min="3342" max="3343" width="0" style="19" hidden="1" customWidth="1"/>
    <col min="3344" max="3344" width="9.5703125" style="19" customWidth="1"/>
    <col min="3345" max="3356" width="0" style="19" hidden="1" customWidth="1"/>
    <col min="3357" max="3358" width="6.5703125" style="19" customWidth="1"/>
    <col min="3359" max="3362" width="0" style="19" hidden="1" customWidth="1"/>
    <col min="3363" max="3363" width="5.85546875" style="19" customWidth="1"/>
    <col min="3364" max="3364" width="0" style="19" hidden="1" customWidth="1"/>
    <col min="3365" max="3367" width="5.85546875" style="19" customWidth="1"/>
    <col min="3368" max="3368" width="7.7109375" style="19" customWidth="1"/>
    <col min="3369" max="3369" width="9.140625" style="19" bestFit="1" customWidth="1"/>
    <col min="3370" max="3371" width="8.5703125" style="19" bestFit="1" customWidth="1"/>
    <col min="3372" max="3372" width="7.5703125" style="19" customWidth="1"/>
    <col min="3373" max="3375" width="9.28515625" style="19" customWidth="1"/>
    <col min="3376" max="3377" width="7.85546875" style="19" customWidth="1"/>
    <col min="3378" max="3379" width="6.42578125" style="19" customWidth="1"/>
    <col min="3380" max="3380" width="10.7109375" style="19" customWidth="1"/>
    <col min="3381" max="3381" width="40.7109375" style="19" customWidth="1"/>
    <col min="3382" max="3382" width="5" style="19" customWidth="1"/>
    <col min="3383" max="3383" width="5.5703125" style="19" customWidth="1"/>
    <col min="3384" max="3387" width="9.140625" style="19"/>
    <col min="3388" max="3389" width="8.7109375" style="19" customWidth="1"/>
    <col min="3390" max="3584" width="9.140625" style="19"/>
    <col min="3585" max="3585" width="1.85546875" style="19" customWidth="1"/>
    <col min="3586" max="3586" width="9.85546875" style="19" customWidth="1"/>
    <col min="3587" max="3587" width="6.7109375" style="19" bestFit="1" customWidth="1"/>
    <col min="3588" max="3588" width="9.42578125" style="19" customWidth="1"/>
    <col min="3589" max="3589" width="10.140625" style="19" customWidth="1"/>
    <col min="3590" max="3590" width="9.28515625" style="19" customWidth="1"/>
    <col min="3591" max="3591" width="6.42578125" style="19" customWidth="1"/>
    <col min="3592" max="3592" width="9.85546875" style="19" customWidth="1"/>
    <col min="3593" max="3593" width="9.5703125" style="19" customWidth="1"/>
    <col min="3594" max="3594" width="9.140625" style="19"/>
    <col min="3595" max="3595" width="11" style="19" customWidth="1"/>
    <col min="3596" max="3596" width="9.28515625" style="19" customWidth="1"/>
    <col min="3597" max="3597" width="9.85546875" style="19" customWidth="1"/>
    <col min="3598" max="3599" width="0" style="19" hidden="1" customWidth="1"/>
    <col min="3600" max="3600" width="9.5703125" style="19" customWidth="1"/>
    <col min="3601" max="3612" width="0" style="19" hidden="1" customWidth="1"/>
    <col min="3613" max="3614" width="6.5703125" style="19" customWidth="1"/>
    <col min="3615" max="3618" width="0" style="19" hidden="1" customWidth="1"/>
    <col min="3619" max="3619" width="5.85546875" style="19" customWidth="1"/>
    <col min="3620" max="3620" width="0" style="19" hidden="1" customWidth="1"/>
    <col min="3621" max="3623" width="5.85546875" style="19" customWidth="1"/>
    <col min="3624" max="3624" width="7.7109375" style="19" customWidth="1"/>
    <col min="3625" max="3625" width="9.140625" style="19" bestFit="1" customWidth="1"/>
    <col min="3626" max="3627" width="8.5703125" style="19" bestFit="1" customWidth="1"/>
    <col min="3628" max="3628" width="7.5703125" style="19" customWidth="1"/>
    <col min="3629" max="3631" width="9.28515625" style="19" customWidth="1"/>
    <col min="3632" max="3633" width="7.85546875" style="19" customWidth="1"/>
    <col min="3634" max="3635" width="6.42578125" style="19" customWidth="1"/>
    <col min="3636" max="3636" width="10.7109375" style="19" customWidth="1"/>
    <col min="3637" max="3637" width="40.7109375" style="19" customWidth="1"/>
    <col min="3638" max="3638" width="5" style="19" customWidth="1"/>
    <col min="3639" max="3639" width="5.5703125" style="19" customWidth="1"/>
    <col min="3640" max="3643" width="9.140625" style="19"/>
    <col min="3644" max="3645" width="8.7109375" style="19" customWidth="1"/>
    <col min="3646" max="3840" width="9.140625" style="19"/>
    <col min="3841" max="3841" width="1.85546875" style="19" customWidth="1"/>
    <col min="3842" max="3842" width="9.85546875" style="19" customWidth="1"/>
    <col min="3843" max="3843" width="6.7109375" style="19" bestFit="1" customWidth="1"/>
    <col min="3844" max="3844" width="9.42578125" style="19" customWidth="1"/>
    <col min="3845" max="3845" width="10.140625" style="19" customWidth="1"/>
    <col min="3846" max="3846" width="9.28515625" style="19" customWidth="1"/>
    <col min="3847" max="3847" width="6.42578125" style="19" customWidth="1"/>
    <col min="3848" max="3848" width="9.85546875" style="19" customWidth="1"/>
    <col min="3849" max="3849" width="9.5703125" style="19" customWidth="1"/>
    <col min="3850" max="3850" width="9.140625" style="19"/>
    <col min="3851" max="3851" width="11" style="19" customWidth="1"/>
    <col min="3852" max="3852" width="9.28515625" style="19" customWidth="1"/>
    <col min="3853" max="3853" width="9.85546875" style="19" customWidth="1"/>
    <col min="3854" max="3855" width="0" style="19" hidden="1" customWidth="1"/>
    <col min="3856" max="3856" width="9.5703125" style="19" customWidth="1"/>
    <col min="3857" max="3868" width="0" style="19" hidden="1" customWidth="1"/>
    <col min="3869" max="3870" width="6.5703125" style="19" customWidth="1"/>
    <col min="3871" max="3874" width="0" style="19" hidden="1" customWidth="1"/>
    <col min="3875" max="3875" width="5.85546875" style="19" customWidth="1"/>
    <col min="3876" max="3876" width="0" style="19" hidden="1" customWidth="1"/>
    <col min="3877" max="3879" width="5.85546875" style="19" customWidth="1"/>
    <col min="3880" max="3880" width="7.7109375" style="19" customWidth="1"/>
    <col min="3881" max="3881" width="9.140625" style="19" bestFit="1" customWidth="1"/>
    <col min="3882" max="3883" width="8.5703125" style="19" bestFit="1" customWidth="1"/>
    <col min="3884" max="3884" width="7.5703125" style="19" customWidth="1"/>
    <col min="3885" max="3887" width="9.28515625" style="19" customWidth="1"/>
    <col min="3888" max="3889" width="7.85546875" style="19" customWidth="1"/>
    <col min="3890" max="3891" width="6.42578125" style="19" customWidth="1"/>
    <col min="3892" max="3892" width="10.7109375" style="19" customWidth="1"/>
    <col min="3893" max="3893" width="40.7109375" style="19" customWidth="1"/>
    <col min="3894" max="3894" width="5" style="19" customWidth="1"/>
    <col min="3895" max="3895" width="5.5703125" style="19" customWidth="1"/>
    <col min="3896" max="3899" width="9.140625" style="19"/>
    <col min="3900" max="3901" width="8.7109375" style="19" customWidth="1"/>
    <col min="3902" max="4096" width="9.140625" style="19"/>
    <col min="4097" max="4097" width="1.85546875" style="19" customWidth="1"/>
    <col min="4098" max="4098" width="9.85546875" style="19" customWidth="1"/>
    <col min="4099" max="4099" width="6.7109375" style="19" bestFit="1" customWidth="1"/>
    <col min="4100" max="4100" width="9.42578125" style="19" customWidth="1"/>
    <col min="4101" max="4101" width="10.140625" style="19" customWidth="1"/>
    <col min="4102" max="4102" width="9.28515625" style="19" customWidth="1"/>
    <col min="4103" max="4103" width="6.42578125" style="19" customWidth="1"/>
    <col min="4104" max="4104" width="9.85546875" style="19" customWidth="1"/>
    <col min="4105" max="4105" width="9.5703125" style="19" customWidth="1"/>
    <col min="4106" max="4106" width="9.140625" style="19"/>
    <col min="4107" max="4107" width="11" style="19" customWidth="1"/>
    <col min="4108" max="4108" width="9.28515625" style="19" customWidth="1"/>
    <col min="4109" max="4109" width="9.85546875" style="19" customWidth="1"/>
    <col min="4110" max="4111" width="0" style="19" hidden="1" customWidth="1"/>
    <col min="4112" max="4112" width="9.5703125" style="19" customWidth="1"/>
    <col min="4113" max="4124" width="0" style="19" hidden="1" customWidth="1"/>
    <col min="4125" max="4126" width="6.5703125" style="19" customWidth="1"/>
    <col min="4127" max="4130" width="0" style="19" hidden="1" customWidth="1"/>
    <col min="4131" max="4131" width="5.85546875" style="19" customWidth="1"/>
    <col min="4132" max="4132" width="0" style="19" hidden="1" customWidth="1"/>
    <col min="4133" max="4135" width="5.85546875" style="19" customWidth="1"/>
    <col min="4136" max="4136" width="7.7109375" style="19" customWidth="1"/>
    <col min="4137" max="4137" width="9.140625" style="19" bestFit="1" customWidth="1"/>
    <col min="4138" max="4139" width="8.5703125" style="19" bestFit="1" customWidth="1"/>
    <col min="4140" max="4140" width="7.5703125" style="19" customWidth="1"/>
    <col min="4141" max="4143" width="9.28515625" style="19" customWidth="1"/>
    <col min="4144" max="4145" width="7.85546875" style="19" customWidth="1"/>
    <col min="4146" max="4147" width="6.42578125" style="19" customWidth="1"/>
    <col min="4148" max="4148" width="10.7109375" style="19" customWidth="1"/>
    <col min="4149" max="4149" width="40.7109375" style="19" customWidth="1"/>
    <col min="4150" max="4150" width="5" style="19" customWidth="1"/>
    <col min="4151" max="4151" width="5.5703125" style="19" customWidth="1"/>
    <col min="4152" max="4155" width="9.140625" style="19"/>
    <col min="4156" max="4157" width="8.7109375" style="19" customWidth="1"/>
    <col min="4158" max="4352" width="9.140625" style="19"/>
    <col min="4353" max="4353" width="1.85546875" style="19" customWidth="1"/>
    <col min="4354" max="4354" width="9.85546875" style="19" customWidth="1"/>
    <col min="4355" max="4355" width="6.7109375" style="19" bestFit="1" customWidth="1"/>
    <col min="4356" max="4356" width="9.42578125" style="19" customWidth="1"/>
    <col min="4357" max="4357" width="10.140625" style="19" customWidth="1"/>
    <col min="4358" max="4358" width="9.28515625" style="19" customWidth="1"/>
    <col min="4359" max="4359" width="6.42578125" style="19" customWidth="1"/>
    <col min="4360" max="4360" width="9.85546875" style="19" customWidth="1"/>
    <col min="4361" max="4361" width="9.5703125" style="19" customWidth="1"/>
    <col min="4362" max="4362" width="9.140625" style="19"/>
    <col min="4363" max="4363" width="11" style="19" customWidth="1"/>
    <col min="4364" max="4364" width="9.28515625" style="19" customWidth="1"/>
    <col min="4365" max="4365" width="9.85546875" style="19" customWidth="1"/>
    <col min="4366" max="4367" width="0" style="19" hidden="1" customWidth="1"/>
    <col min="4368" max="4368" width="9.5703125" style="19" customWidth="1"/>
    <col min="4369" max="4380" width="0" style="19" hidden="1" customWidth="1"/>
    <col min="4381" max="4382" width="6.5703125" style="19" customWidth="1"/>
    <col min="4383" max="4386" width="0" style="19" hidden="1" customWidth="1"/>
    <col min="4387" max="4387" width="5.85546875" style="19" customWidth="1"/>
    <col min="4388" max="4388" width="0" style="19" hidden="1" customWidth="1"/>
    <col min="4389" max="4391" width="5.85546875" style="19" customWidth="1"/>
    <col min="4392" max="4392" width="7.7109375" style="19" customWidth="1"/>
    <col min="4393" max="4393" width="9.140625" style="19" bestFit="1" customWidth="1"/>
    <col min="4394" max="4395" width="8.5703125" style="19" bestFit="1" customWidth="1"/>
    <col min="4396" max="4396" width="7.5703125" style="19" customWidth="1"/>
    <col min="4397" max="4399" width="9.28515625" style="19" customWidth="1"/>
    <col min="4400" max="4401" width="7.85546875" style="19" customWidth="1"/>
    <col min="4402" max="4403" width="6.42578125" style="19" customWidth="1"/>
    <col min="4404" max="4404" width="10.7109375" style="19" customWidth="1"/>
    <col min="4405" max="4405" width="40.7109375" style="19" customWidth="1"/>
    <col min="4406" max="4406" width="5" style="19" customWidth="1"/>
    <col min="4407" max="4407" width="5.5703125" style="19" customWidth="1"/>
    <col min="4408" max="4411" width="9.140625" style="19"/>
    <col min="4412" max="4413" width="8.7109375" style="19" customWidth="1"/>
    <col min="4414" max="4608" width="9.140625" style="19"/>
    <col min="4609" max="4609" width="1.85546875" style="19" customWidth="1"/>
    <col min="4610" max="4610" width="9.85546875" style="19" customWidth="1"/>
    <col min="4611" max="4611" width="6.7109375" style="19" bestFit="1" customWidth="1"/>
    <col min="4612" max="4612" width="9.42578125" style="19" customWidth="1"/>
    <col min="4613" max="4613" width="10.140625" style="19" customWidth="1"/>
    <col min="4614" max="4614" width="9.28515625" style="19" customWidth="1"/>
    <col min="4615" max="4615" width="6.42578125" style="19" customWidth="1"/>
    <col min="4616" max="4616" width="9.85546875" style="19" customWidth="1"/>
    <col min="4617" max="4617" width="9.5703125" style="19" customWidth="1"/>
    <col min="4618" max="4618" width="9.140625" style="19"/>
    <col min="4619" max="4619" width="11" style="19" customWidth="1"/>
    <col min="4620" max="4620" width="9.28515625" style="19" customWidth="1"/>
    <col min="4621" max="4621" width="9.85546875" style="19" customWidth="1"/>
    <col min="4622" max="4623" width="0" style="19" hidden="1" customWidth="1"/>
    <col min="4624" max="4624" width="9.5703125" style="19" customWidth="1"/>
    <col min="4625" max="4636" width="0" style="19" hidden="1" customWidth="1"/>
    <col min="4637" max="4638" width="6.5703125" style="19" customWidth="1"/>
    <col min="4639" max="4642" width="0" style="19" hidden="1" customWidth="1"/>
    <col min="4643" max="4643" width="5.85546875" style="19" customWidth="1"/>
    <col min="4644" max="4644" width="0" style="19" hidden="1" customWidth="1"/>
    <col min="4645" max="4647" width="5.85546875" style="19" customWidth="1"/>
    <col min="4648" max="4648" width="7.7109375" style="19" customWidth="1"/>
    <col min="4649" max="4649" width="9.140625" style="19" bestFit="1" customWidth="1"/>
    <col min="4650" max="4651" width="8.5703125" style="19" bestFit="1" customWidth="1"/>
    <col min="4652" max="4652" width="7.5703125" style="19" customWidth="1"/>
    <col min="4653" max="4655" width="9.28515625" style="19" customWidth="1"/>
    <col min="4656" max="4657" width="7.85546875" style="19" customWidth="1"/>
    <col min="4658" max="4659" width="6.42578125" style="19" customWidth="1"/>
    <col min="4660" max="4660" width="10.7109375" style="19" customWidth="1"/>
    <col min="4661" max="4661" width="40.7109375" style="19" customWidth="1"/>
    <col min="4662" max="4662" width="5" style="19" customWidth="1"/>
    <col min="4663" max="4663" width="5.5703125" style="19" customWidth="1"/>
    <col min="4664" max="4667" width="9.140625" style="19"/>
    <col min="4668" max="4669" width="8.7109375" style="19" customWidth="1"/>
    <col min="4670" max="4864" width="9.140625" style="19"/>
    <col min="4865" max="4865" width="1.85546875" style="19" customWidth="1"/>
    <col min="4866" max="4866" width="9.85546875" style="19" customWidth="1"/>
    <col min="4867" max="4867" width="6.7109375" style="19" bestFit="1" customWidth="1"/>
    <col min="4868" max="4868" width="9.42578125" style="19" customWidth="1"/>
    <col min="4869" max="4869" width="10.140625" style="19" customWidth="1"/>
    <col min="4870" max="4870" width="9.28515625" style="19" customWidth="1"/>
    <col min="4871" max="4871" width="6.42578125" style="19" customWidth="1"/>
    <col min="4872" max="4872" width="9.85546875" style="19" customWidth="1"/>
    <col min="4873" max="4873" width="9.5703125" style="19" customWidth="1"/>
    <col min="4874" max="4874" width="9.140625" style="19"/>
    <col min="4875" max="4875" width="11" style="19" customWidth="1"/>
    <col min="4876" max="4876" width="9.28515625" style="19" customWidth="1"/>
    <col min="4877" max="4877" width="9.85546875" style="19" customWidth="1"/>
    <col min="4878" max="4879" width="0" style="19" hidden="1" customWidth="1"/>
    <col min="4880" max="4880" width="9.5703125" style="19" customWidth="1"/>
    <col min="4881" max="4892" width="0" style="19" hidden="1" customWidth="1"/>
    <col min="4893" max="4894" width="6.5703125" style="19" customWidth="1"/>
    <col min="4895" max="4898" width="0" style="19" hidden="1" customWidth="1"/>
    <col min="4899" max="4899" width="5.85546875" style="19" customWidth="1"/>
    <col min="4900" max="4900" width="0" style="19" hidden="1" customWidth="1"/>
    <col min="4901" max="4903" width="5.85546875" style="19" customWidth="1"/>
    <col min="4904" max="4904" width="7.7109375" style="19" customWidth="1"/>
    <col min="4905" max="4905" width="9.140625" style="19" bestFit="1" customWidth="1"/>
    <col min="4906" max="4907" width="8.5703125" style="19" bestFit="1" customWidth="1"/>
    <col min="4908" max="4908" width="7.5703125" style="19" customWidth="1"/>
    <col min="4909" max="4911" width="9.28515625" style="19" customWidth="1"/>
    <col min="4912" max="4913" width="7.85546875" style="19" customWidth="1"/>
    <col min="4914" max="4915" width="6.42578125" style="19" customWidth="1"/>
    <col min="4916" max="4916" width="10.7109375" style="19" customWidth="1"/>
    <col min="4917" max="4917" width="40.7109375" style="19" customWidth="1"/>
    <col min="4918" max="4918" width="5" style="19" customWidth="1"/>
    <col min="4919" max="4919" width="5.5703125" style="19" customWidth="1"/>
    <col min="4920" max="4923" width="9.140625" style="19"/>
    <col min="4924" max="4925" width="8.7109375" style="19" customWidth="1"/>
    <col min="4926" max="5120" width="9.140625" style="19"/>
    <col min="5121" max="5121" width="1.85546875" style="19" customWidth="1"/>
    <col min="5122" max="5122" width="9.85546875" style="19" customWidth="1"/>
    <col min="5123" max="5123" width="6.7109375" style="19" bestFit="1" customWidth="1"/>
    <col min="5124" max="5124" width="9.42578125" style="19" customWidth="1"/>
    <col min="5125" max="5125" width="10.140625" style="19" customWidth="1"/>
    <col min="5126" max="5126" width="9.28515625" style="19" customWidth="1"/>
    <col min="5127" max="5127" width="6.42578125" style="19" customWidth="1"/>
    <col min="5128" max="5128" width="9.85546875" style="19" customWidth="1"/>
    <col min="5129" max="5129" width="9.5703125" style="19" customWidth="1"/>
    <col min="5130" max="5130" width="9.140625" style="19"/>
    <col min="5131" max="5131" width="11" style="19" customWidth="1"/>
    <col min="5132" max="5132" width="9.28515625" style="19" customWidth="1"/>
    <col min="5133" max="5133" width="9.85546875" style="19" customWidth="1"/>
    <col min="5134" max="5135" width="0" style="19" hidden="1" customWidth="1"/>
    <col min="5136" max="5136" width="9.5703125" style="19" customWidth="1"/>
    <col min="5137" max="5148" width="0" style="19" hidden="1" customWidth="1"/>
    <col min="5149" max="5150" width="6.5703125" style="19" customWidth="1"/>
    <col min="5151" max="5154" width="0" style="19" hidden="1" customWidth="1"/>
    <col min="5155" max="5155" width="5.85546875" style="19" customWidth="1"/>
    <col min="5156" max="5156" width="0" style="19" hidden="1" customWidth="1"/>
    <col min="5157" max="5159" width="5.85546875" style="19" customWidth="1"/>
    <col min="5160" max="5160" width="7.7109375" style="19" customWidth="1"/>
    <col min="5161" max="5161" width="9.140625" style="19" bestFit="1" customWidth="1"/>
    <col min="5162" max="5163" width="8.5703125" style="19" bestFit="1" customWidth="1"/>
    <col min="5164" max="5164" width="7.5703125" style="19" customWidth="1"/>
    <col min="5165" max="5167" width="9.28515625" style="19" customWidth="1"/>
    <col min="5168" max="5169" width="7.85546875" style="19" customWidth="1"/>
    <col min="5170" max="5171" width="6.42578125" style="19" customWidth="1"/>
    <col min="5172" max="5172" width="10.7109375" style="19" customWidth="1"/>
    <col min="5173" max="5173" width="40.7109375" style="19" customWidth="1"/>
    <col min="5174" max="5174" width="5" style="19" customWidth="1"/>
    <col min="5175" max="5175" width="5.5703125" style="19" customWidth="1"/>
    <col min="5176" max="5179" width="9.140625" style="19"/>
    <col min="5180" max="5181" width="8.7109375" style="19" customWidth="1"/>
    <col min="5182" max="5376" width="9.140625" style="19"/>
    <col min="5377" max="5377" width="1.85546875" style="19" customWidth="1"/>
    <col min="5378" max="5378" width="9.85546875" style="19" customWidth="1"/>
    <col min="5379" max="5379" width="6.7109375" style="19" bestFit="1" customWidth="1"/>
    <col min="5380" max="5380" width="9.42578125" style="19" customWidth="1"/>
    <col min="5381" max="5381" width="10.140625" style="19" customWidth="1"/>
    <col min="5382" max="5382" width="9.28515625" style="19" customWidth="1"/>
    <col min="5383" max="5383" width="6.42578125" style="19" customWidth="1"/>
    <col min="5384" max="5384" width="9.85546875" style="19" customWidth="1"/>
    <col min="5385" max="5385" width="9.5703125" style="19" customWidth="1"/>
    <col min="5386" max="5386" width="9.140625" style="19"/>
    <col min="5387" max="5387" width="11" style="19" customWidth="1"/>
    <col min="5388" max="5388" width="9.28515625" style="19" customWidth="1"/>
    <col min="5389" max="5389" width="9.85546875" style="19" customWidth="1"/>
    <col min="5390" max="5391" width="0" style="19" hidden="1" customWidth="1"/>
    <col min="5392" max="5392" width="9.5703125" style="19" customWidth="1"/>
    <col min="5393" max="5404" width="0" style="19" hidden="1" customWidth="1"/>
    <col min="5405" max="5406" width="6.5703125" style="19" customWidth="1"/>
    <col min="5407" max="5410" width="0" style="19" hidden="1" customWidth="1"/>
    <col min="5411" max="5411" width="5.85546875" style="19" customWidth="1"/>
    <col min="5412" max="5412" width="0" style="19" hidden="1" customWidth="1"/>
    <col min="5413" max="5415" width="5.85546875" style="19" customWidth="1"/>
    <col min="5416" max="5416" width="7.7109375" style="19" customWidth="1"/>
    <col min="5417" max="5417" width="9.140625" style="19" bestFit="1" customWidth="1"/>
    <col min="5418" max="5419" width="8.5703125" style="19" bestFit="1" customWidth="1"/>
    <col min="5420" max="5420" width="7.5703125" style="19" customWidth="1"/>
    <col min="5421" max="5423" width="9.28515625" style="19" customWidth="1"/>
    <col min="5424" max="5425" width="7.85546875" style="19" customWidth="1"/>
    <col min="5426" max="5427" width="6.42578125" style="19" customWidth="1"/>
    <col min="5428" max="5428" width="10.7109375" style="19" customWidth="1"/>
    <col min="5429" max="5429" width="40.7109375" style="19" customWidth="1"/>
    <col min="5430" max="5430" width="5" style="19" customWidth="1"/>
    <col min="5431" max="5431" width="5.5703125" style="19" customWidth="1"/>
    <col min="5432" max="5435" width="9.140625" style="19"/>
    <col min="5436" max="5437" width="8.7109375" style="19" customWidth="1"/>
    <col min="5438" max="5632" width="9.140625" style="19"/>
    <col min="5633" max="5633" width="1.85546875" style="19" customWidth="1"/>
    <col min="5634" max="5634" width="9.85546875" style="19" customWidth="1"/>
    <col min="5635" max="5635" width="6.7109375" style="19" bestFit="1" customWidth="1"/>
    <col min="5636" max="5636" width="9.42578125" style="19" customWidth="1"/>
    <col min="5637" max="5637" width="10.140625" style="19" customWidth="1"/>
    <col min="5638" max="5638" width="9.28515625" style="19" customWidth="1"/>
    <col min="5639" max="5639" width="6.42578125" style="19" customWidth="1"/>
    <col min="5640" max="5640" width="9.85546875" style="19" customWidth="1"/>
    <col min="5641" max="5641" width="9.5703125" style="19" customWidth="1"/>
    <col min="5642" max="5642" width="9.140625" style="19"/>
    <col min="5643" max="5643" width="11" style="19" customWidth="1"/>
    <col min="5644" max="5644" width="9.28515625" style="19" customWidth="1"/>
    <col min="5645" max="5645" width="9.85546875" style="19" customWidth="1"/>
    <col min="5646" max="5647" width="0" style="19" hidden="1" customWidth="1"/>
    <col min="5648" max="5648" width="9.5703125" style="19" customWidth="1"/>
    <col min="5649" max="5660" width="0" style="19" hidden="1" customWidth="1"/>
    <col min="5661" max="5662" width="6.5703125" style="19" customWidth="1"/>
    <col min="5663" max="5666" width="0" style="19" hidden="1" customWidth="1"/>
    <col min="5667" max="5667" width="5.85546875" style="19" customWidth="1"/>
    <col min="5668" max="5668" width="0" style="19" hidden="1" customWidth="1"/>
    <col min="5669" max="5671" width="5.85546875" style="19" customWidth="1"/>
    <col min="5672" max="5672" width="7.7109375" style="19" customWidth="1"/>
    <col min="5673" max="5673" width="9.140625" style="19" bestFit="1" customWidth="1"/>
    <col min="5674" max="5675" width="8.5703125" style="19" bestFit="1" customWidth="1"/>
    <col min="5676" max="5676" width="7.5703125" style="19" customWidth="1"/>
    <col min="5677" max="5679" width="9.28515625" style="19" customWidth="1"/>
    <col min="5680" max="5681" width="7.85546875" style="19" customWidth="1"/>
    <col min="5682" max="5683" width="6.42578125" style="19" customWidth="1"/>
    <col min="5684" max="5684" width="10.7109375" style="19" customWidth="1"/>
    <col min="5685" max="5685" width="40.7109375" style="19" customWidth="1"/>
    <col min="5686" max="5686" width="5" style="19" customWidth="1"/>
    <col min="5687" max="5687" width="5.5703125" style="19" customWidth="1"/>
    <col min="5688" max="5691" width="9.140625" style="19"/>
    <col min="5692" max="5693" width="8.7109375" style="19" customWidth="1"/>
    <col min="5694" max="5888" width="9.140625" style="19"/>
    <col min="5889" max="5889" width="1.85546875" style="19" customWidth="1"/>
    <col min="5890" max="5890" width="9.85546875" style="19" customWidth="1"/>
    <col min="5891" max="5891" width="6.7109375" style="19" bestFit="1" customWidth="1"/>
    <col min="5892" max="5892" width="9.42578125" style="19" customWidth="1"/>
    <col min="5893" max="5893" width="10.140625" style="19" customWidth="1"/>
    <col min="5894" max="5894" width="9.28515625" style="19" customWidth="1"/>
    <col min="5895" max="5895" width="6.42578125" style="19" customWidth="1"/>
    <col min="5896" max="5896" width="9.85546875" style="19" customWidth="1"/>
    <col min="5897" max="5897" width="9.5703125" style="19" customWidth="1"/>
    <col min="5898" max="5898" width="9.140625" style="19"/>
    <col min="5899" max="5899" width="11" style="19" customWidth="1"/>
    <col min="5900" max="5900" width="9.28515625" style="19" customWidth="1"/>
    <col min="5901" max="5901" width="9.85546875" style="19" customWidth="1"/>
    <col min="5902" max="5903" width="0" style="19" hidden="1" customWidth="1"/>
    <col min="5904" max="5904" width="9.5703125" style="19" customWidth="1"/>
    <col min="5905" max="5916" width="0" style="19" hidden="1" customWidth="1"/>
    <col min="5917" max="5918" width="6.5703125" style="19" customWidth="1"/>
    <col min="5919" max="5922" width="0" style="19" hidden="1" customWidth="1"/>
    <col min="5923" max="5923" width="5.85546875" style="19" customWidth="1"/>
    <col min="5924" max="5924" width="0" style="19" hidden="1" customWidth="1"/>
    <col min="5925" max="5927" width="5.85546875" style="19" customWidth="1"/>
    <col min="5928" max="5928" width="7.7109375" style="19" customWidth="1"/>
    <col min="5929" max="5929" width="9.140625" style="19" bestFit="1" customWidth="1"/>
    <col min="5930" max="5931" width="8.5703125" style="19" bestFit="1" customWidth="1"/>
    <col min="5932" max="5932" width="7.5703125" style="19" customWidth="1"/>
    <col min="5933" max="5935" width="9.28515625" style="19" customWidth="1"/>
    <col min="5936" max="5937" width="7.85546875" style="19" customWidth="1"/>
    <col min="5938" max="5939" width="6.42578125" style="19" customWidth="1"/>
    <col min="5940" max="5940" width="10.7109375" style="19" customWidth="1"/>
    <col min="5941" max="5941" width="40.7109375" style="19" customWidth="1"/>
    <col min="5942" max="5942" width="5" style="19" customWidth="1"/>
    <col min="5943" max="5943" width="5.5703125" style="19" customWidth="1"/>
    <col min="5944" max="5947" width="9.140625" style="19"/>
    <col min="5948" max="5949" width="8.7109375" style="19" customWidth="1"/>
    <col min="5950" max="6144" width="9.140625" style="19"/>
    <col min="6145" max="6145" width="1.85546875" style="19" customWidth="1"/>
    <col min="6146" max="6146" width="9.85546875" style="19" customWidth="1"/>
    <col min="6147" max="6147" width="6.7109375" style="19" bestFit="1" customWidth="1"/>
    <col min="6148" max="6148" width="9.42578125" style="19" customWidth="1"/>
    <col min="6149" max="6149" width="10.140625" style="19" customWidth="1"/>
    <col min="6150" max="6150" width="9.28515625" style="19" customWidth="1"/>
    <col min="6151" max="6151" width="6.42578125" style="19" customWidth="1"/>
    <col min="6152" max="6152" width="9.85546875" style="19" customWidth="1"/>
    <col min="6153" max="6153" width="9.5703125" style="19" customWidth="1"/>
    <col min="6154" max="6154" width="9.140625" style="19"/>
    <col min="6155" max="6155" width="11" style="19" customWidth="1"/>
    <col min="6156" max="6156" width="9.28515625" style="19" customWidth="1"/>
    <col min="6157" max="6157" width="9.85546875" style="19" customWidth="1"/>
    <col min="6158" max="6159" width="0" style="19" hidden="1" customWidth="1"/>
    <col min="6160" max="6160" width="9.5703125" style="19" customWidth="1"/>
    <col min="6161" max="6172" width="0" style="19" hidden="1" customWidth="1"/>
    <col min="6173" max="6174" width="6.5703125" style="19" customWidth="1"/>
    <col min="6175" max="6178" width="0" style="19" hidden="1" customWidth="1"/>
    <col min="6179" max="6179" width="5.85546875" style="19" customWidth="1"/>
    <col min="6180" max="6180" width="0" style="19" hidden="1" customWidth="1"/>
    <col min="6181" max="6183" width="5.85546875" style="19" customWidth="1"/>
    <col min="6184" max="6184" width="7.7109375" style="19" customWidth="1"/>
    <col min="6185" max="6185" width="9.140625" style="19" bestFit="1" customWidth="1"/>
    <col min="6186" max="6187" width="8.5703125" style="19" bestFit="1" customWidth="1"/>
    <col min="6188" max="6188" width="7.5703125" style="19" customWidth="1"/>
    <col min="6189" max="6191" width="9.28515625" style="19" customWidth="1"/>
    <col min="6192" max="6193" width="7.85546875" style="19" customWidth="1"/>
    <col min="6194" max="6195" width="6.42578125" style="19" customWidth="1"/>
    <col min="6196" max="6196" width="10.7109375" style="19" customWidth="1"/>
    <col min="6197" max="6197" width="40.7109375" style="19" customWidth="1"/>
    <col min="6198" max="6198" width="5" style="19" customWidth="1"/>
    <col min="6199" max="6199" width="5.5703125" style="19" customWidth="1"/>
    <col min="6200" max="6203" width="9.140625" style="19"/>
    <col min="6204" max="6205" width="8.7109375" style="19" customWidth="1"/>
    <col min="6206" max="6400" width="9.140625" style="19"/>
    <col min="6401" max="6401" width="1.85546875" style="19" customWidth="1"/>
    <col min="6402" max="6402" width="9.85546875" style="19" customWidth="1"/>
    <col min="6403" max="6403" width="6.7109375" style="19" bestFit="1" customWidth="1"/>
    <col min="6404" max="6404" width="9.42578125" style="19" customWidth="1"/>
    <col min="6405" max="6405" width="10.140625" style="19" customWidth="1"/>
    <col min="6406" max="6406" width="9.28515625" style="19" customWidth="1"/>
    <col min="6407" max="6407" width="6.42578125" style="19" customWidth="1"/>
    <col min="6408" max="6408" width="9.85546875" style="19" customWidth="1"/>
    <col min="6409" max="6409" width="9.5703125" style="19" customWidth="1"/>
    <col min="6410" max="6410" width="9.140625" style="19"/>
    <col min="6411" max="6411" width="11" style="19" customWidth="1"/>
    <col min="6412" max="6412" width="9.28515625" style="19" customWidth="1"/>
    <col min="6413" max="6413" width="9.85546875" style="19" customWidth="1"/>
    <col min="6414" max="6415" width="0" style="19" hidden="1" customWidth="1"/>
    <col min="6416" max="6416" width="9.5703125" style="19" customWidth="1"/>
    <col min="6417" max="6428" width="0" style="19" hidden="1" customWidth="1"/>
    <col min="6429" max="6430" width="6.5703125" style="19" customWidth="1"/>
    <col min="6431" max="6434" width="0" style="19" hidden="1" customWidth="1"/>
    <col min="6435" max="6435" width="5.85546875" style="19" customWidth="1"/>
    <col min="6436" max="6436" width="0" style="19" hidden="1" customWidth="1"/>
    <col min="6437" max="6439" width="5.85546875" style="19" customWidth="1"/>
    <col min="6440" max="6440" width="7.7109375" style="19" customWidth="1"/>
    <col min="6441" max="6441" width="9.140625" style="19" bestFit="1" customWidth="1"/>
    <col min="6442" max="6443" width="8.5703125" style="19" bestFit="1" customWidth="1"/>
    <col min="6444" max="6444" width="7.5703125" style="19" customWidth="1"/>
    <col min="6445" max="6447" width="9.28515625" style="19" customWidth="1"/>
    <col min="6448" max="6449" width="7.85546875" style="19" customWidth="1"/>
    <col min="6450" max="6451" width="6.42578125" style="19" customWidth="1"/>
    <col min="6452" max="6452" width="10.7109375" style="19" customWidth="1"/>
    <col min="6453" max="6453" width="40.7109375" style="19" customWidth="1"/>
    <col min="6454" max="6454" width="5" style="19" customWidth="1"/>
    <col min="6455" max="6455" width="5.5703125" style="19" customWidth="1"/>
    <col min="6456" max="6459" width="9.140625" style="19"/>
    <col min="6460" max="6461" width="8.7109375" style="19" customWidth="1"/>
    <col min="6462" max="6656" width="9.140625" style="19"/>
    <col min="6657" max="6657" width="1.85546875" style="19" customWidth="1"/>
    <col min="6658" max="6658" width="9.85546875" style="19" customWidth="1"/>
    <col min="6659" max="6659" width="6.7109375" style="19" bestFit="1" customWidth="1"/>
    <col min="6660" max="6660" width="9.42578125" style="19" customWidth="1"/>
    <col min="6661" max="6661" width="10.140625" style="19" customWidth="1"/>
    <col min="6662" max="6662" width="9.28515625" style="19" customWidth="1"/>
    <col min="6663" max="6663" width="6.42578125" style="19" customWidth="1"/>
    <col min="6664" max="6664" width="9.85546875" style="19" customWidth="1"/>
    <col min="6665" max="6665" width="9.5703125" style="19" customWidth="1"/>
    <col min="6666" max="6666" width="9.140625" style="19"/>
    <col min="6667" max="6667" width="11" style="19" customWidth="1"/>
    <col min="6668" max="6668" width="9.28515625" style="19" customWidth="1"/>
    <col min="6669" max="6669" width="9.85546875" style="19" customWidth="1"/>
    <col min="6670" max="6671" width="0" style="19" hidden="1" customWidth="1"/>
    <col min="6672" max="6672" width="9.5703125" style="19" customWidth="1"/>
    <col min="6673" max="6684" width="0" style="19" hidden="1" customWidth="1"/>
    <col min="6685" max="6686" width="6.5703125" style="19" customWidth="1"/>
    <col min="6687" max="6690" width="0" style="19" hidden="1" customWidth="1"/>
    <col min="6691" max="6691" width="5.85546875" style="19" customWidth="1"/>
    <col min="6692" max="6692" width="0" style="19" hidden="1" customWidth="1"/>
    <col min="6693" max="6695" width="5.85546875" style="19" customWidth="1"/>
    <col min="6696" max="6696" width="7.7109375" style="19" customWidth="1"/>
    <col min="6697" max="6697" width="9.140625" style="19" bestFit="1" customWidth="1"/>
    <col min="6698" max="6699" width="8.5703125" style="19" bestFit="1" customWidth="1"/>
    <col min="6700" max="6700" width="7.5703125" style="19" customWidth="1"/>
    <col min="6701" max="6703" width="9.28515625" style="19" customWidth="1"/>
    <col min="6704" max="6705" width="7.85546875" style="19" customWidth="1"/>
    <col min="6706" max="6707" width="6.42578125" style="19" customWidth="1"/>
    <col min="6708" max="6708" width="10.7109375" style="19" customWidth="1"/>
    <col min="6709" max="6709" width="40.7109375" style="19" customWidth="1"/>
    <col min="6710" max="6710" width="5" style="19" customWidth="1"/>
    <col min="6711" max="6711" width="5.5703125" style="19" customWidth="1"/>
    <col min="6712" max="6715" width="9.140625" style="19"/>
    <col min="6716" max="6717" width="8.7109375" style="19" customWidth="1"/>
    <col min="6718" max="6912" width="9.140625" style="19"/>
    <col min="6913" max="6913" width="1.85546875" style="19" customWidth="1"/>
    <col min="6914" max="6914" width="9.85546875" style="19" customWidth="1"/>
    <col min="6915" max="6915" width="6.7109375" style="19" bestFit="1" customWidth="1"/>
    <col min="6916" max="6916" width="9.42578125" style="19" customWidth="1"/>
    <col min="6917" max="6917" width="10.140625" style="19" customWidth="1"/>
    <col min="6918" max="6918" width="9.28515625" style="19" customWidth="1"/>
    <col min="6919" max="6919" width="6.42578125" style="19" customWidth="1"/>
    <col min="6920" max="6920" width="9.85546875" style="19" customWidth="1"/>
    <col min="6921" max="6921" width="9.5703125" style="19" customWidth="1"/>
    <col min="6922" max="6922" width="9.140625" style="19"/>
    <col min="6923" max="6923" width="11" style="19" customWidth="1"/>
    <col min="6924" max="6924" width="9.28515625" style="19" customWidth="1"/>
    <col min="6925" max="6925" width="9.85546875" style="19" customWidth="1"/>
    <col min="6926" max="6927" width="0" style="19" hidden="1" customWidth="1"/>
    <col min="6928" max="6928" width="9.5703125" style="19" customWidth="1"/>
    <col min="6929" max="6940" width="0" style="19" hidden="1" customWidth="1"/>
    <col min="6941" max="6942" width="6.5703125" style="19" customWidth="1"/>
    <col min="6943" max="6946" width="0" style="19" hidden="1" customWidth="1"/>
    <col min="6947" max="6947" width="5.85546875" style="19" customWidth="1"/>
    <col min="6948" max="6948" width="0" style="19" hidden="1" customWidth="1"/>
    <col min="6949" max="6951" width="5.85546875" style="19" customWidth="1"/>
    <col min="6952" max="6952" width="7.7109375" style="19" customWidth="1"/>
    <col min="6953" max="6953" width="9.140625" style="19" bestFit="1" customWidth="1"/>
    <col min="6954" max="6955" width="8.5703125" style="19" bestFit="1" customWidth="1"/>
    <col min="6956" max="6956" width="7.5703125" style="19" customWidth="1"/>
    <col min="6957" max="6959" width="9.28515625" style="19" customWidth="1"/>
    <col min="6960" max="6961" width="7.85546875" style="19" customWidth="1"/>
    <col min="6962" max="6963" width="6.42578125" style="19" customWidth="1"/>
    <col min="6964" max="6964" width="10.7109375" style="19" customWidth="1"/>
    <col min="6965" max="6965" width="40.7109375" style="19" customWidth="1"/>
    <col min="6966" max="6966" width="5" style="19" customWidth="1"/>
    <col min="6967" max="6967" width="5.5703125" style="19" customWidth="1"/>
    <col min="6968" max="6971" width="9.140625" style="19"/>
    <col min="6972" max="6973" width="8.7109375" style="19" customWidth="1"/>
    <col min="6974" max="7168" width="9.140625" style="19"/>
    <col min="7169" max="7169" width="1.85546875" style="19" customWidth="1"/>
    <col min="7170" max="7170" width="9.85546875" style="19" customWidth="1"/>
    <col min="7171" max="7171" width="6.7109375" style="19" bestFit="1" customWidth="1"/>
    <col min="7172" max="7172" width="9.42578125" style="19" customWidth="1"/>
    <col min="7173" max="7173" width="10.140625" style="19" customWidth="1"/>
    <col min="7174" max="7174" width="9.28515625" style="19" customWidth="1"/>
    <col min="7175" max="7175" width="6.42578125" style="19" customWidth="1"/>
    <col min="7176" max="7176" width="9.85546875" style="19" customWidth="1"/>
    <col min="7177" max="7177" width="9.5703125" style="19" customWidth="1"/>
    <col min="7178" max="7178" width="9.140625" style="19"/>
    <col min="7179" max="7179" width="11" style="19" customWidth="1"/>
    <col min="7180" max="7180" width="9.28515625" style="19" customWidth="1"/>
    <col min="7181" max="7181" width="9.85546875" style="19" customWidth="1"/>
    <col min="7182" max="7183" width="0" style="19" hidden="1" customWidth="1"/>
    <col min="7184" max="7184" width="9.5703125" style="19" customWidth="1"/>
    <col min="7185" max="7196" width="0" style="19" hidden="1" customWidth="1"/>
    <col min="7197" max="7198" width="6.5703125" style="19" customWidth="1"/>
    <col min="7199" max="7202" width="0" style="19" hidden="1" customWidth="1"/>
    <col min="7203" max="7203" width="5.85546875" style="19" customWidth="1"/>
    <col min="7204" max="7204" width="0" style="19" hidden="1" customWidth="1"/>
    <col min="7205" max="7207" width="5.85546875" style="19" customWidth="1"/>
    <col min="7208" max="7208" width="7.7109375" style="19" customWidth="1"/>
    <col min="7209" max="7209" width="9.140625" style="19" bestFit="1" customWidth="1"/>
    <col min="7210" max="7211" width="8.5703125" style="19" bestFit="1" customWidth="1"/>
    <col min="7212" max="7212" width="7.5703125" style="19" customWidth="1"/>
    <col min="7213" max="7215" width="9.28515625" style="19" customWidth="1"/>
    <col min="7216" max="7217" width="7.85546875" style="19" customWidth="1"/>
    <col min="7218" max="7219" width="6.42578125" style="19" customWidth="1"/>
    <col min="7220" max="7220" width="10.7109375" style="19" customWidth="1"/>
    <col min="7221" max="7221" width="40.7109375" style="19" customWidth="1"/>
    <col min="7222" max="7222" width="5" style="19" customWidth="1"/>
    <col min="7223" max="7223" width="5.5703125" style="19" customWidth="1"/>
    <col min="7224" max="7227" width="9.140625" style="19"/>
    <col min="7228" max="7229" width="8.7109375" style="19" customWidth="1"/>
    <col min="7230" max="7424" width="9.140625" style="19"/>
    <col min="7425" max="7425" width="1.85546875" style="19" customWidth="1"/>
    <col min="7426" max="7426" width="9.85546875" style="19" customWidth="1"/>
    <col min="7427" max="7427" width="6.7109375" style="19" bestFit="1" customWidth="1"/>
    <col min="7428" max="7428" width="9.42578125" style="19" customWidth="1"/>
    <col min="7429" max="7429" width="10.140625" style="19" customWidth="1"/>
    <col min="7430" max="7430" width="9.28515625" style="19" customWidth="1"/>
    <col min="7431" max="7431" width="6.42578125" style="19" customWidth="1"/>
    <col min="7432" max="7432" width="9.85546875" style="19" customWidth="1"/>
    <col min="7433" max="7433" width="9.5703125" style="19" customWidth="1"/>
    <col min="7434" max="7434" width="9.140625" style="19"/>
    <col min="7435" max="7435" width="11" style="19" customWidth="1"/>
    <col min="7436" max="7436" width="9.28515625" style="19" customWidth="1"/>
    <col min="7437" max="7437" width="9.85546875" style="19" customWidth="1"/>
    <col min="7438" max="7439" width="0" style="19" hidden="1" customWidth="1"/>
    <col min="7440" max="7440" width="9.5703125" style="19" customWidth="1"/>
    <col min="7441" max="7452" width="0" style="19" hidden="1" customWidth="1"/>
    <col min="7453" max="7454" width="6.5703125" style="19" customWidth="1"/>
    <col min="7455" max="7458" width="0" style="19" hidden="1" customWidth="1"/>
    <col min="7459" max="7459" width="5.85546875" style="19" customWidth="1"/>
    <col min="7460" max="7460" width="0" style="19" hidden="1" customWidth="1"/>
    <col min="7461" max="7463" width="5.85546875" style="19" customWidth="1"/>
    <col min="7464" max="7464" width="7.7109375" style="19" customWidth="1"/>
    <col min="7465" max="7465" width="9.140625" style="19" bestFit="1" customWidth="1"/>
    <col min="7466" max="7467" width="8.5703125" style="19" bestFit="1" customWidth="1"/>
    <col min="7468" max="7468" width="7.5703125" style="19" customWidth="1"/>
    <col min="7469" max="7471" width="9.28515625" style="19" customWidth="1"/>
    <col min="7472" max="7473" width="7.85546875" style="19" customWidth="1"/>
    <col min="7474" max="7475" width="6.42578125" style="19" customWidth="1"/>
    <col min="7476" max="7476" width="10.7109375" style="19" customWidth="1"/>
    <col min="7477" max="7477" width="40.7109375" style="19" customWidth="1"/>
    <col min="7478" max="7478" width="5" style="19" customWidth="1"/>
    <col min="7479" max="7479" width="5.5703125" style="19" customWidth="1"/>
    <col min="7480" max="7483" width="9.140625" style="19"/>
    <col min="7484" max="7485" width="8.7109375" style="19" customWidth="1"/>
    <col min="7486" max="7680" width="9.140625" style="19"/>
    <col min="7681" max="7681" width="1.85546875" style="19" customWidth="1"/>
    <col min="7682" max="7682" width="9.85546875" style="19" customWidth="1"/>
    <col min="7683" max="7683" width="6.7109375" style="19" bestFit="1" customWidth="1"/>
    <col min="7684" max="7684" width="9.42578125" style="19" customWidth="1"/>
    <col min="7685" max="7685" width="10.140625" style="19" customWidth="1"/>
    <col min="7686" max="7686" width="9.28515625" style="19" customWidth="1"/>
    <col min="7687" max="7687" width="6.42578125" style="19" customWidth="1"/>
    <col min="7688" max="7688" width="9.85546875" style="19" customWidth="1"/>
    <col min="7689" max="7689" width="9.5703125" style="19" customWidth="1"/>
    <col min="7690" max="7690" width="9.140625" style="19"/>
    <col min="7691" max="7691" width="11" style="19" customWidth="1"/>
    <col min="7692" max="7692" width="9.28515625" style="19" customWidth="1"/>
    <col min="7693" max="7693" width="9.85546875" style="19" customWidth="1"/>
    <col min="7694" max="7695" width="0" style="19" hidden="1" customWidth="1"/>
    <col min="7696" max="7696" width="9.5703125" style="19" customWidth="1"/>
    <col min="7697" max="7708" width="0" style="19" hidden="1" customWidth="1"/>
    <col min="7709" max="7710" width="6.5703125" style="19" customWidth="1"/>
    <col min="7711" max="7714" width="0" style="19" hidden="1" customWidth="1"/>
    <col min="7715" max="7715" width="5.85546875" style="19" customWidth="1"/>
    <col min="7716" max="7716" width="0" style="19" hidden="1" customWidth="1"/>
    <col min="7717" max="7719" width="5.85546875" style="19" customWidth="1"/>
    <col min="7720" max="7720" width="7.7109375" style="19" customWidth="1"/>
    <col min="7721" max="7721" width="9.140625" style="19" bestFit="1" customWidth="1"/>
    <col min="7722" max="7723" width="8.5703125" style="19" bestFit="1" customWidth="1"/>
    <col min="7724" max="7724" width="7.5703125" style="19" customWidth="1"/>
    <col min="7725" max="7727" width="9.28515625" style="19" customWidth="1"/>
    <col min="7728" max="7729" width="7.85546875" style="19" customWidth="1"/>
    <col min="7730" max="7731" width="6.42578125" style="19" customWidth="1"/>
    <col min="7732" max="7732" width="10.7109375" style="19" customWidth="1"/>
    <col min="7733" max="7733" width="40.7109375" style="19" customWidth="1"/>
    <col min="7734" max="7734" width="5" style="19" customWidth="1"/>
    <col min="7735" max="7735" width="5.5703125" style="19" customWidth="1"/>
    <col min="7736" max="7739" width="9.140625" style="19"/>
    <col min="7740" max="7741" width="8.7109375" style="19" customWidth="1"/>
    <col min="7742" max="7936" width="9.140625" style="19"/>
    <col min="7937" max="7937" width="1.85546875" style="19" customWidth="1"/>
    <col min="7938" max="7938" width="9.85546875" style="19" customWidth="1"/>
    <col min="7939" max="7939" width="6.7109375" style="19" bestFit="1" customWidth="1"/>
    <col min="7940" max="7940" width="9.42578125" style="19" customWidth="1"/>
    <col min="7941" max="7941" width="10.140625" style="19" customWidth="1"/>
    <col min="7942" max="7942" width="9.28515625" style="19" customWidth="1"/>
    <col min="7943" max="7943" width="6.42578125" style="19" customWidth="1"/>
    <col min="7944" max="7944" width="9.85546875" style="19" customWidth="1"/>
    <col min="7945" max="7945" width="9.5703125" style="19" customWidth="1"/>
    <col min="7946" max="7946" width="9.140625" style="19"/>
    <col min="7947" max="7947" width="11" style="19" customWidth="1"/>
    <col min="7948" max="7948" width="9.28515625" style="19" customWidth="1"/>
    <col min="7949" max="7949" width="9.85546875" style="19" customWidth="1"/>
    <col min="7950" max="7951" width="0" style="19" hidden="1" customWidth="1"/>
    <col min="7952" max="7952" width="9.5703125" style="19" customWidth="1"/>
    <col min="7953" max="7964" width="0" style="19" hidden="1" customWidth="1"/>
    <col min="7965" max="7966" width="6.5703125" style="19" customWidth="1"/>
    <col min="7967" max="7970" width="0" style="19" hidden="1" customWidth="1"/>
    <col min="7971" max="7971" width="5.85546875" style="19" customWidth="1"/>
    <col min="7972" max="7972" width="0" style="19" hidden="1" customWidth="1"/>
    <col min="7973" max="7975" width="5.85546875" style="19" customWidth="1"/>
    <col min="7976" max="7976" width="7.7109375" style="19" customWidth="1"/>
    <col min="7977" max="7977" width="9.140625" style="19" bestFit="1" customWidth="1"/>
    <col min="7978" max="7979" width="8.5703125" style="19" bestFit="1" customWidth="1"/>
    <col min="7980" max="7980" width="7.5703125" style="19" customWidth="1"/>
    <col min="7981" max="7983" width="9.28515625" style="19" customWidth="1"/>
    <col min="7984" max="7985" width="7.85546875" style="19" customWidth="1"/>
    <col min="7986" max="7987" width="6.42578125" style="19" customWidth="1"/>
    <col min="7988" max="7988" width="10.7109375" style="19" customWidth="1"/>
    <col min="7989" max="7989" width="40.7109375" style="19" customWidth="1"/>
    <col min="7990" max="7990" width="5" style="19" customWidth="1"/>
    <col min="7991" max="7991" width="5.5703125" style="19" customWidth="1"/>
    <col min="7992" max="7995" width="9.140625" style="19"/>
    <col min="7996" max="7997" width="8.7109375" style="19" customWidth="1"/>
    <col min="7998" max="8192" width="9.140625" style="19"/>
    <col min="8193" max="8193" width="1.85546875" style="19" customWidth="1"/>
    <col min="8194" max="8194" width="9.85546875" style="19" customWidth="1"/>
    <col min="8195" max="8195" width="6.7109375" style="19" bestFit="1" customWidth="1"/>
    <col min="8196" max="8196" width="9.42578125" style="19" customWidth="1"/>
    <col min="8197" max="8197" width="10.140625" style="19" customWidth="1"/>
    <col min="8198" max="8198" width="9.28515625" style="19" customWidth="1"/>
    <col min="8199" max="8199" width="6.42578125" style="19" customWidth="1"/>
    <col min="8200" max="8200" width="9.85546875" style="19" customWidth="1"/>
    <col min="8201" max="8201" width="9.5703125" style="19" customWidth="1"/>
    <col min="8202" max="8202" width="9.140625" style="19"/>
    <col min="8203" max="8203" width="11" style="19" customWidth="1"/>
    <col min="8204" max="8204" width="9.28515625" style="19" customWidth="1"/>
    <col min="8205" max="8205" width="9.85546875" style="19" customWidth="1"/>
    <col min="8206" max="8207" width="0" style="19" hidden="1" customWidth="1"/>
    <col min="8208" max="8208" width="9.5703125" style="19" customWidth="1"/>
    <col min="8209" max="8220" width="0" style="19" hidden="1" customWidth="1"/>
    <col min="8221" max="8222" width="6.5703125" style="19" customWidth="1"/>
    <col min="8223" max="8226" width="0" style="19" hidden="1" customWidth="1"/>
    <col min="8227" max="8227" width="5.85546875" style="19" customWidth="1"/>
    <col min="8228" max="8228" width="0" style="19" hidden="1" customWidth="1"/>
    <col min="8229" max="8231" width="5.85546875" style="19" customWidth="1"/>
    <col min="8232" max="8232" width="7.7109375" style="19" customWidth="1"/>
    <col min="8233" max="8233" width="9.140625" style="19" bestFit="1" customWidth="1"/>
    <col min="8234" max="8235" width="8.5703125" style="19" bestFit="1" customWidth="1"/>
    <col min="8236" max="8236" width="7.5703125" style="19" customWidth="1"/>
    <col min="8237" max="8239" width="9.28515625" style="19" customWidth="1"/>
    <col min="8240" max="8241" width="7.85546875" style="19" customWidth="1"/>
    <col min="8242" max="8243" width="6.42578125" style="19" customWidth="1"/>
    <col min="8244" max="8244" width="10.7109375" style="19" customWidth="1"/>
    <col min="8245" max="8245" width="40.7109375" style="19" customWidth="1"/>
    <col min="8246" max="8246" width="5" style="19" customWidth="1"/>
    <col min="8247" max="8247" width="5.5703125" style="19" customWidth="1"/>
    <col min="8248" max="8251" width="9.140625" style="19"/>
    <col min="8252" max="8253" width="8.7109375" style="19" customWidth="1"/>
    <col min="8254" max="8448" width="9.140625" style="19"/>
    <col min="8449" max="8449" width="1.85546875" style="19" customWidth="1"/>
    <col min="8450" max="8450" width="9.85546875" style="19" customWidth="1"/>
    <col min="8451" max="8451" width="6.7109375" style="19" bestFit="1" customWidth="1"/>
    <col min="8452" max="8452" width="9.42578125" style="19" customWidth="1"/>
    <col min="8453" max="8453" width="10.140625" style="19" customWidth="1"/>
    <col min="8454" max="8454" width="9.28515625" style="19" customWidth="1"/>
    <col min="8455" max="8455" width="6.42578125" style="19" customWidth="1"/>
    <col min="8456" max="8456" width="9.85546875" style="19" customWidth="1"/>
    <col min="8457" max="8457" width="9.5703125" style="19" customWidth="1"/>
    <col min="8458" max="8458" width="9.140625" style="19"/>
    <col min="8459" max="8459" width="11" style="19" customWidth="1"/>
    <col min="8460" max="8460" width="9.28515625" style="19" customWidth="1"/>
    <col min="8461" max="8461" width="9.85546875" style="19" customWidth="1"/>
    <col min="8462" max="8463" width="0" style="19" hidden="1" customWidth="1"/>
    <col min="8464" max="8464" width="9.5703125" style="19" customWidth="1"/>
    <col min="8465" max="8476" width="0" style="19" hidden="1" customWidth="1"/>
    <col min="8477" max="8478" width="6.5703125" style="19" customWidth="1"/>
    <col min="8479" max="8482" width="0" style="19" hidden="1" customWidth="1"/>
    <col min="8483" max="8483" width="5.85546875" style="19" customWidth="1"/>
    <col min="8484" max="8484" width="0" style="19" hidden="1" customWidth="1"/>
    <col min="8485" max="8487" width="5.85546875" style="19" customWidth="1"/>
    <col min="8488" max="8488" width="7.7109375" style="19" customWidth="1"/>
    <col min="8489" max="8489" width="9.140625" style="19" bestFit="1" customWidth="1"/>
    <col min="8490" max="8491" width="8.5703125" style="19" bestFit="1" customWidth="1"/>
    <col min="8492" max="8492" width="7.5703125" style="19" customWidth="1"/>
    <col min="8493" max="8495" width="9.28515625" style="19" customWidth="1"/>
    <col min="8496" max="8497" width="7.85546875" style="19" customWidth="1"/>
    <col min="8498" max="8499" width="6.42578125" style="19" customWidth="1"/>
    <col min="8500" max="8500" width="10.7109375" style="19" customWidth="1"/>
    <col min="8501" max="8501" width="40.7109375" style="19" customWidth="1"/>
    <col min="8502" max="8502" width="5" style="19" customWidth="1"/>
    <col min="8503" max="8503" width="5.5703125" style="19" customWidth="1"/>
    <col min="8504" max="8507" width="9.140625" style="19"/>
    <col min="8508" max="8509" width="8.7109375" style="19" customWidth="1"/>
    <col min="8510" max="8704" width="9.140625" style="19"/>
    <col min="8705" max="8705" width="1.85546875" style="19" customWidth="1"/>
    <col min="8706" max="8706" width="9.85546875" style="19" customWidth="1"/>
    <col min="8707" max="8707" width="6.7109375" style="19" bestFit="1" customWidth="1"/>
    <col min="8708" max="8708" width="9.42578125" style="19" customWidth="1"/>
    <col min="8709" max="8709" width="10.140625" style="19" customWidth="1"/>
    <col min="8710" max="8710" width="9.28515625" style="19" customWidth="1"/>
    <col min="8711" max="8711" width="6.42578125" style="19" customWidth="1"/>
    <col min="8712" max="8712" width="9.85546875" style="19" customWidth="1"/>
    <col min="8713" max="8713" width="9.5703125" style="19" customWidth="1"/>
    <col min="8714" max="8714" width="9.140625" style="19"/>
    <col min="8715" max="8715" width="11" style="19" customWidth="1"/>
    <col min="8716" max="8716" width="9.28515625" style="19" customWidth="1"/>
    <col min="8717" max="8717" width="9.85546875" style="19" customWidth="1"/>
    <col min="8718" max="8719" width="0" style="19" hidden="1" customWidth="1"/>
    <col min="8720" max="8720" width="9.5703125" style="19" customWidth="1"/>
    <col min="8721" max="8732" width="0" style="19" hidden="1" customWidth="1"/>
    <col min="8733" max="8734" width="6.5703125" style="19" customWidth="1"/>
    <col min="8735" max="8738" width="0" style="19" hidden="1" customWidth="1"/>
    <col min="8739" max="8739" width="5.85546875" style="19" customWidth="1"/>
    <col min="8740" max="8740" width="0" style="19" hidden="1" customWidth="1"/>
    <col min="8741" max="8743" width="5.85546875" style="19" customWidth="1"/>
    <col min="8744" max="8744" width="7.7109375" style="19" customWidth="1"/>
    <col min="8745" max="8745" width="9.140625" style="19" bestFit="1" customWidth="1"/>
    <col min="8746" max="8747" width="8.5703125" style="19" bestFit="1" customWidth="1"/>
    <col min="8748" max="8748" width="7.5703125" style="19" customWidth="1"/>
    <col min="8749" max="8751" width="9.28515625" style="19" customWidth="1"/>
    <col min="8752" max="8753" width="7.85546875" style="19" customWidth="1"/>
    <col min="8754" max="8755" width="6.42578125" style="19" customWidth="1"/>
    <col min="8756" max="8756" width="10.7109375" style="19" customWidth="1"/>
    <col min="8757" max="8757" width="40.7109375" style="19" customWidth="1"/>
    <col min="8758" max="8758" width="5" style="19" customWidth="1"/>
    <col min="8759" max="8759" width="5.5703125" style="19" customWidth="1"/>
    <col min="8760" max="8763" width="9.140625" style="19"/>
    <col min="8764" max="8765" width="8.7109375" style="19" customWidth="1"/>
    <col min="8766" max="8960" width="9.140625" style="19"/>
    <col min="8961" max="8961" width="1.85546875" style="19" customWidth="1"/>
    <col min="8962" max="8962" width="9.85546875" style="19" customWidth="1"/>
    <col min="8963" max="8963" width="6.7109375" style="19" bestFit="1" customWidth="1"/>
    <col min="8964" max="8964" width="9.42578125" style="19" customWidth="1"/>
    <col min="8965" max="8965" width="10.140625" style="19" customWidth="1"/>
    <col min="8966" max="8966" width="9.28515625" style="19" customWidth="1"/>
    <col min="8967" max="8967" width="6.42578125" style="19" customWidth="1"/>
    <col min="8968" max="8968" width="9.85546875" style="19" customWidth="1"/>
    <col min="8969" max="8969" width="9.5703125" style="19" customWidth="1"/>
    <col min="8970" max="8970" width="9.140625" style="19"/>
    <col min="8971" max="8971" width="11" style="19" customWidth="1"/>
    <col min="8972" max="8972" width="9.28515625" style="19" customWidth="1"/>
    <col min="8973" max="8973" width="9.85546875" style="19" customWidth="1"/>
    <col min="8974" max="8975" width="0" style="19" hidden="1" customWidth="1"/>
    <col min="8976" max="8976" width="9.5703125" style="19" customWidth="1"/>
    <col min="8977" max="8988" width="0" style="19" hidden="1" customWidth="1"/>
    <col min="8989" max="8990" width="6.5703125" style="19" customWidth="1"/>
    <col min="8991" max="8994" width="0" style="19" hidden="1" customWidth="1"/>
    <col min="8995" max="8995" width="5.85546875" style="19" customWidth="1"/>
    <col min="8996" max="8996" width="0" style="19" hidden="1" customWidth="1"/>
    <col min="8997" max="8999" width="5.85546875" style="19" customWidth="1"/>
    <col min="9000" max="9000" width="7.7109375" style="19" customWidth="1"/>
    <col min="9001" max="9001" width="9.140625" style="19" bestFit="1" customWidth="1"/>
    <col min="9002" max="9003" width="8.5703125" style="19" bestFit="1" customWidth="1"/>
    <col min="9004" max="9004" width="7.5703125" style="19" customWidth="1"/>
    <col min="9005" max="9007" width="9.28515625" style="19" customWidth="1"/>
    <col min="9008" max="9009" width="7.85546875" style="19" customWidth="1"/>
    <col min="9010" max="9011" width="6.42578125" style="19" customWidth="1"/>
    <col min="9012" max="9012" width="10.7109375" style="19" customWidth="1"/>
    <col min="9013" max="9013" width="40.7109375" style="19" customWidth="1"/>
    <col min="9014" max="9014" width="5" style="19" customWidth="1"/>
    <col min="9015" max="9015" width="5.5703125" style="19" customWidth="1"/>
    <col min="9016" max="9019" width="9.140625" style="19"/>
    <col min="9020" max="9021" width="8.7109375" style="19" customWidth="1"/>
    <col min="9022" max="9216" width="9.140625" style="19"/>
    <col min="9217" max="9217" width="1.85546875" style="19" customWidth="1"/>
    <col min="9218" max="9218" width="9.85546875" style="19" customWidth="1"/>
    <col min="9219" max="9219" width="6.7109375" style="19" bestFit="1" customWidth="1"/>
    <col min="9220" max="9220" width="9.42578125" style="19" customWidth="1"/>
    <col min="9221" max="9221" width="10.140625" style="19" customWidth="1"/>
    <col min="9222" max="9222" width="9.28515625" style="19" customWidth="1"/>
    <col min="9223" max="9223" width="6.42578125" style="19" customWidth="1"/>
    <col min="9224" max="9224" width="9.85546875" style="19" customWidth="1"/>
    <col min="9225" max="9225" width="9.5703125" style="19" customWidth="1"/>
    <col min="9226" max="9226" width="9.140625" style="19"/>
    <col min="9227" max="9227" width="11" style="19" customWidth="1"/>
    <col min="9228" max="9228" width="9.28515625" style="19" customWidth="1"/>
    <col min="9229" max="9229" width="9.85546875" style="19" customWidth="1"/>
    <col min="9230" max="9231" width="0" style="19" hidden="1" customWidth="1"/>
    <col min="9232" max="9232" width="9.5703125" style="19" customWidth="1"/>
    <col min="9233" max="9244" width="0" style="19" hidden="1" customWidth="1"/>
    <col min="9245" max="9246" width="6.5703125" style="19" customWidth="1"/>
    <col min="9247" max="9250" width="0" style="19" hidden="1" customWidth="1"/>
    <col min="9251" max="9251" width="5.85546875" style="19" customWidth="1"/>
    <col min="9252" max="9252" width="0" style="19" hidden="1" customWidth="1"/>
    <col min="9253" max="9255" width="5.85546875" style="19" customWidth="1"/>
    <col min="9256" max="9256" width="7.7109375" style="19" customWidth="1"/>
    <col min="9257" max="9257" width="9.140625" style="19" bestFit="1" customWidth="1"/>
    <col min="9258" max="9259" width="8.5703125" style="19" bestFit="1" customWidth="1"/>
    <col min="9260" max="9260" width="7.5703125" style="19" customWidth="1"/>
    <col min="9261" max="9263" width="9.28515625" style="19" customWidth="1"/>
    <col min="9264" max="9265" width="7.85546875" style="19" customWidth="1"/>
    <col min="9266" max="9267" width="6.42578125" style="19" customWidth="1"/>
    <col min="9268" max="9268" width="10.7109375" style="19" customWidth="1"/>
    <col min="9269" max="9269" width="40.7109375" style="19" customWidth="1"/>
    <col min="9270" max="9270" width="5" style="19" customWidth="1"/>
    <col min="9271" max="9271" width="5.5703125" style="19" customWidth="1"/>
    <col min="9272" max="9275" width="9.140625" style="19"/>
    <col min="9276" max="9277" width="8.7109375" style="19" customWidth="1"/>
    <col min="9278" max="9472" width="9.140625" style="19"/>
    <col min="9473" max="9473" width="1.85546875" style="19" customWidth="1"/>
    <col min="9474" max="9474" width="9.85546875" style="19" customWidth="1"/>
    <col min="9475" max="9475" width="6.7109375" style="19" bestFit="1" customWidth="1"/>
    <col min="9476" max="9476" width="9.42578125" style="19" customWidth="1"/>
    <col min="9477" max="9477" width="10.140625" style="19" customWidth="1"/>
    <col min="9478" max="9478" width="9.28515625" style="19" customWidth="1"/>
    <col min="9479" max="9479" width="6.42578125" style="19" customWidth="1"/>
    <col min="9480" max="9480" width="9.85546875" style="19" customWidth="1"/>
    <col min="9481" max="9481" width="9.5703125" style="19" customWidth="1"/>
    <col min="9482" max="9482" width="9.140625" style="19"/>
    <col min="9483" max="9483" width="11" style="19" customWidth="1"/>
    <col min="9484" max="9484" width="9.28515625" style="19" customWidth="1"/>
    <col min="9485" max="9485" width="9.85546875" style="19" customWidth="1"/>
    <col min="9486" max="9487" width="0" style="19" hidden="1" customWidth="1"/>
    <col min="9488" max="9488" width="9.5703125" style="19" customWidth="1"/>
    <col min="9489" max="9500" width="0" style="19" hidden="1" customWidth="1"/>
    <col min="9501" max="9502" width="6.5703125" style="19" customWidth="1"/>
    <col min="9503" max="9506" width="0" style="19" hidden="1" customWidth="1"/>
    <col min="9507" max="9507" width="5.85546875" style="19" customWidth="1"/>
    <col min="9508" max="9508" width="0" style="19" hidden="1" customWidth="1"/>
    <col min="9509" max="9511" width="5.85546875" style="19" customWidth="1"/>
    <col min="9512" max="9512" width="7.7109375" style="19" customWidth="1"/>
    <col min="9513" max="9513" width="9.140625" style="19" bestFit="1" customWidth="1"/>
    <col min="9514" max="9515" width="8.5703125" style="19" bestFit="1" customWidth="1"/>
    <col min="9516" max="9516" width="7.5703125" style="19" customWidth="1"/>
    <col min="9517" max="9519" width="9.28515625" style="19" customWidth="1"/>
    <col min="9520" max="9521" width="7.85546875" style="19" customWidth="1"/>
    <col min="9522" max="9523" width="6.42578125" style="19" customWidth="1"/>
    <col min="9524" max="9524" width="10.7109375" style="19" customWidth="1"/>
    <col min="9525" max="9525" width="40.7109375" style="19" customWidth="1"/>
    <col min="9526" max="9526" width="5" style="19" customWidth="1"/>
    <col min="9527" max="9527" width="5.5703125" style="19" customWidth="1"/>
    <col min="9528" max="9531" width="9.140625" style="19"/>
    <col min="9532" max="9533" width="8.7109375" style="19" customWidth="1"/>
    <col min="9534" max="9728" width="9.140625" style="19"/>
    <col min="9729" max="9729" width="1.85546875" style="19" customWidth="1"/>
    <col min="9730" max="9730" width="9.85546875" style="19" customWidth="1"/>
    <col min="9731" max="9731" width="6.7109375" style="19" bestFit="1" customWidth="1"/>
    <col min="9732" max="9732" width="9.42578125" style="19" customWidth="1"/>
    <col min="9733" max="9733" width="10.140625" style="19" customWidth="1"/>
    <col min="9734" max="9734" width="9.28515625" style="19" customWidth="1"/>
    <col min="9735" max="9735" width="6.42578125" style="19" customWidth="1"/>
    <col min="9736" max="9736" width="9.85546875" style="19" customWidth="1"/>
    <col min="9737" max="9737" width="9.5703125" style="19" customWidth="1"/>
    <col min="9738" max="9738" width="9.140625" style="19"/>
    <col min="9739" max="9739" width="11" style="19" customWidth="1"/>
    <col min="9740" max="9740" width="9.28515625" style="19" customWidth="1"/>
    <col min="9741" max="9741" width="9.85546875" style="19" customWidth="1"/>
    <col min="9742" max="9743" width="0" style="19" hidden="1" customWidth="1"/>
    <col min="9744" max="9744" width="9.5703125" style="19" customWidth="1"/>
    <col min="9745" max="9756" width="0" style="19" hidden="1" customWidth="1"/>
    <col min="9757" max="9758" width="6.5703125" style="19" customWidth="1"/>
    <col min="9759" max="9762" width="0" style="19" hidden="1" customWidth="1"/>
    <col min="9763" max="9763" width="5.85546875" style="19" customWidth="1"/>
    <col min="9764" max="9764" width="0" style="19" hidden="1" customWidth="1"/>
    <col min="9765" max="9767" width="5.85546875" style="19" customWidth="1"/>
    <col min="9768" max="9768" width="7.7109375" style="19" customWidth="1"/>
    <col min="9769" max="9769" width="9.140625" style="19" bestFit="1" customWidth="1"/>
    <col min="9770" max="9771" width="8.5703125" style="19" bestFit="1" customWidth="1"/>
    <col min="9772" max="9772" width="7.5703125" style="19" customWidth="1"/>
    <col min="9773" max="9775" width="9.28515625" style="19" customWidth="1"/>
    <col min="9776" max="9777" width="7.85546875" style="19" customWidth="1"/>
    <col min="9778" max="9779" width="6.42578125" style="19" customWidth="1"/>
    <col min="9780" max="9780" width="10.7109375" style="19" customWidth="1"/>
    <col min="9781" max="9781" width="40.7109375" style="19" customWidth="1"/>
    <col min="9782" max="9782" width="5" style="19" customWidth="1"/>
    <col min="9783" max="9783" width="5.5703125" style="19" customWidth="1"/>
    <col min="9784" max="9787" width="9.140625" style="19"/>
    <col min="9788" max="9789" width="8.7109375" style="19" customWidth="1"/>
    <col min="9790" max="9984" width="9.140625" style="19"/>
    <col min="9985" max="9985" width="1.85546875" style="19" customWidth="1"/>
    <col min="9986" max="9986" width="9.85546875" style="19" customWidth="1"/>
    <col min="9987" max="9987" width="6.7109375" style="19" bestFit="1" customWidth="1"/>
    <col min="9988" max="9988" width="9.42578125" style="19" customWidth="1"/>
    <col min="9989" max="9989" width="10.140625" style="19" customWidth="1"/>
    <col min="9990" max="9990" width="9.28515625" style="19" customWidth="1"/>
    <col min="9991" max="9991" width="6.42578125" style="19" customWidth="1"/>
    <col min="9992" max="9992" width="9.85546875" style="19" customWidth="1"/>
    <col min="9993" max="9993" width="9.5703125" style="19" customWidth="1"/>
    <col min="9994" max="9994" width="9.140625" style="19"/>
    <col min="9995" max="9995" width="11" style="19" customWidth="1"/>
    <col min="9996" max="9996" width="9.28515625" style="19" customWidth="1"/>
    <col min="9997" max="9997" width="9.85546875" style="19" customWidth="1"/>
    <col min="9998" max="9999" width="0" style="19" hidden="1" customWidth="1"/>
    <col min="10000" max="10000" width="9.5703125" style="19" customWidth="1"/>
    <col min="10001" max="10012" width="0" style="19" hidden="1" customWidth="1"/>
    <col min="10013" max="10014" width="6.5703125" style="19" customWidth="1"/>
    <col min="10015" max="10018" width="0" style="19" hidden="1" customWidth="1"/>
    <col min="10019" max="10019" width="5.85546875" style="19" customWidth="1"/>
    <col min="10020" max="10020" width="0" style="19" hidden="1" customWidth="1"/>
    <col min="10021" max="10023" width="5.85546875" style="19" customWidth="1"/>
    <col min="10024" max="10024" width="7.7109375" style="19" customWidth="1"/>
    <col min="10025" max="10025" width="9.140625" style="19" bestFit="1" customWidth="1"/>
    <col min="10026" max="10027" width="8.5703125" style="19" bestFit="1" customWidth="1"/>
    <col min="10028" max="10028" width="7.5703125" style="19" customWidth="1"/>
    <col min="10029" max="10031" width="9.28515625" style="19" customWidth="1"/>
    <col min="10032" max="10033" width="7.85546875" style="19" customWidth="1"/>
    <col min="10034" max="10035" width="6.42578125" style="19" customWidth="1"/>
    <col min="10036" max="10036" width="10.7109375" style="19" customWidth="1"/>
    <col min="10037" max="10037" width="40.7109375" style="19" customWidth="1"/>
    <col min="10038" max="10038" width="5" style="19" customWidth="1"/>
    <col min="10039" max="10039" width="5.5703125" style="19" customWidth="1"/>
    <col min="10040" max="10043" width="9.140625" style="19"/>
    <col min="10044" max="10045" width="8.7109375" style="19" customWidth="1"/>
    <col min="10046" max="10240" width="9.140625" style="19"/>
    <col min="10241" max="10241" width="1.85546875" style="19" customWidth="1"/>
    <col min="10242" max="10242" width="9.85546875" style="19" customWidth="1"/>
    <col min="10243" max="10243" width="6.7109375" style="19" bestFit="1" customWidth="1"/>
    <col min="10244" max="10244" width="9.42578125" style="19" customWidth="1"/>
    <col min="10245" max="10245" width="10.140625" style="19" customWidth="1"/>
    <col min="10246" max="10246" width="9.28515625" style="19" customWidth="1"/>
    <col min="10247" max="10247" width="6.42578125" style="19" customWidth="1"/>
    <col min="10248" max="10248" width="9.85546875" style="19" customWidth="1"/>
    <col min="10249" max="10249" width="9.5703125" style="19" customWidth="1"/>
    <col min="10250" max="10250" width="9.140625" style="19"/>
    <col min="10251" max="10251" width="11" style="19" customWidth="1"/>
    <col min="10252" max="10252" width="9.28515625" style="19" customWidth="1"/>
    <col min="10253" max="10253" width="9.85546875" style="19" customWidth="1"/>
    <col min="10254" max="10255" width="0" style="19" hidden="1" customWidth="1"/>
    <col min="10256" max="10256" width="9.5703125" style="19" customWidth="1"/>
    <col min="10257" max="10268" width="0" style="19" hidden="1" customWidth="1"/>
    <col min="10269" max="10270" width="6.5703125" style="19" customWidth="1"/>
    <col min="10271" max="10274" width="0" style="19" hidden="1" customWidth="1"/>
    <col min="10275" max="10275" width="5.85546875" style="19" customWidth="1"/>
    <col min="10276" max="10276" width="0" style="19" hidden="1" customWidth="1"/>
    <col min="10277" max="10279" width="5.85546875" style="19" customWidth="1"/>
    <col min="10280" max="10280" width="7.7109375" style="19" customWidth="1"/>
    <col min="10281" max="10281" width="9.140625" style="19" bestFit="1" customWidth="1"/>
    <col min="10282" max="10283" width="8.5703125" style="19" bestFit="1" customWidth="1"/>
    <col min="10284" max="10284" width="7.5703125" style="19" customWidth="1"/>
    <col min="10285" max="10287" width="9.28515625" style="19" customWidth="1"/>
    <col min="10288" max="10289" width="7.85546875" style="19" customWidth="1"/>
    <col min="10290" max="10291" width="6.42578125" style="19" customWidth="1"/>
    <col min="10292" max="10292" width="10.7109375" style="19" customWidth="1"/>
    <col min="10293" max="10293" width="40.7109375" style="19" customWidth="1"/>
    <col min="10294" max="10294" width="5" style="19" customWidth="1"/>
    <col min="10295" max="10295" width="5.5703125" style="19" customWidth="1"/>
    <col min="10296" max="10299" width="9.140625" style="19"/>
    <col min="10300" max="10301" width="8.7109375" style="19" customWidth="1"/>
    <col min="10302" max="10496" width="9.140625" style="19"/>
    <col min="10497" max="10497" width="1.85546875" style="19" customWidth="1"/>
    <col min="10498" max="10498" width="9.85546875" style="19" customWidth="1"/>
    <col min="10499" max="10499" width="6.7109375" style="19" bestFit="1" customWidth="1"/>
    <col min="10500" max="10500" width="9.42578125" style="19" customWidth="1"/>
    <col min="10501" max="10501" width="10.140625" style="19" customWidth="1"/>
    <col min="10502" max="10502" width="9.28515625" style="19" customWidth="1"/>
    <col min="10503" max="10503" width="6.42578125" style="19" customWidth="1"/>
    <col min="10504" max="10504" width="9.85546875" style="19" customWidth="1"/>
    <col min="10505" max="10505" width="9.5703125" style="19" customWidth="1"/>
    <col min="10506" max="10506" width="9.140625" style="19"/>
    <col min="10507" max="10507" width="11" style="19" customWidth="1"/>
    <col min="10508" max="10508" width="9.28515625" style="19" customWidth="1"/>
    <col min="10509" max="10509" width="9.85546875" style="19" customWidth="1"/>
    <col min="10510" max="10511" width="0" style="19" hidden="1" customWidth="1"/>
    <col min="10512" max="10512" width="9.5703125" style="19" customWidth="1"/>
    <col min="10513" max="10524" width="0" style="19" hidden="1" customWidth="1"/>
    <col min="10525" max="10526" width="6.5703125" style="19" customWidth="1"/>
    <col min="10527" max="10530" width="0" style="19" hidden="1" customWidth="1"/>
    <col min="10531" max="10531" width="5.85546875" style="19" customWidth="1"/>
    <col min="10532" max="10532" width="0" style="19" hidden="1" customWidth="1"/>
    <col min="10533" max="10535" width="5.85546875" style="19" customWidth="1"/>
    <col min="10536" max="10536" width="7.7109375" style="19" customWidth="1"/>
    <col min="10537" max="10537" width="9.140625" style="19" bestFit="1" customWidth="1"/>
    <col min="10538" max="10539" width="8.5703125" style="19" bestFit="1" customWidth="1"/>
    <col min="10540" max="10540" width="7.5703125" style="19" customWidth="1"/>
    <col min="10541" max="10543" width="9.28515625" style="19" customWidth="1"/>
    <col min="10544" max="10545" width="7.85546875" style="19" customWidth="1"/>
    <col min="10546" max="10547" width="6.42578125" style="19" customWidth="1"/>
    <col min="10548" max="10548" width="10.7109375" style="19" customWidth="1"/>
    <col min="10549" max="10549" width="40.7109375" style="19" customWidth="1"/>
    <col min="10550" max="10550" width="5" style="19" customWidth="1"/>
    <col min="10551" max="10551" width="5.5703125" style="19" customWidth="1"/>
    <col min="10552" max="10555" width="9.140625" style="19"/>
    <col min="10556" max="10557" width="8.7109375" style="19" customWidth="1"/>
    <col min="10558" max="10752" width="9.140625" style="19"/>
    <col min="10753" max="10753" width="1.85546875" style="19" customWidth="1"/>
    <col min="10754" max="10754" width="9.85546875" style="19" customWidth="1"/>
    <col min="10755" max="10755" width="6.7109375" style="19" bestFit="1" customWidth="1"/>
    <col min="10756" max="10756" width="9.42578125" style="19" customWidth="1"/>
    <col min="10757" max="10757" width="10.140625" style="19" customWidth="1"/>
    <col min="10758" max="10758" width="9.28515625" style="19" customWidth="1"/>
    <col min="10759" max="10759" width="6.42578125" style="19" customWidth="1"/>
    <col min="10760" max="10760" width="9.85546875" style="19" customWidth="1"/>
    <col min="10761" max="10761" width="9.5703125" style="19" customWidth="1"/>
    <col min="10762" max="10762" width="9.140625" style="19"/>
    <col min="10763" max="10763" width="11" style="19" customWidth="1"/>
    <col min="10764" max="10764" width="9.28515625" style="19" customWidth="1"/>
    <col min="10765" max="10765" width="9.85546875" style="19" customWidth="1"/>
    <col min="10766" max="10767" width="0" style="19" hidden="1" customWidth="1"/>
    <col min="10768" max="10768" width="9.5703125" style="19" customWidth="1"/>
    <col min="10769" max="10780" width="0" style="19" hidden="1" customWidth="1"/>
    <col min="10781" max="10782" width="6.5703125" style="19" customWidth="1"/>
    <col min="10783" max="10786" width="0" style="19" hidden="1" customWidth="1"/>
    <col min="10787" max="10787" width="5.85546875" style="19" customWidth="1"/>
    <col min="10788" max="10788" width="0" style="19" hidden="1" customWidth="1"/>
    <col min="10789" max="10791" width="5.85546875" style="19" customWidth="1"/>
    <col min="10792" max="10792" width="7.7109375" style="19" customWidth="1"/>
    <col min="10793" max="10793" width="9.140625" style="19" bestFit="1" customWidth="1"/>
    <col min="10794" max="10795" width="8.5703125" style="19" bestFit="1" customWidth="1"/>
    <col min="10796" max="10796" width="7.5703125" style="19" customWidth="1"/>
    <col min="10797" max="10799" width="9.28515625" style="19" customWidth="1"/>
    <col min="10800" max="10801" width="7.85546875" style="19" customWidth="1"/>
    <col min="10802" max="10803" width="6.42578125" style="19" customWidth="1"/>
    <col min="10804" max="10804" width="10.7109375" style="19" customWidth="1"/>
    <col min="10805" max="10805" width="40.7109375" style="19" customWidth="1"/>
    <col min="10806" max="10806" width="5" style="19" customWidth="1"/>
    <col min="10807" max="10807" width="5.5703125" style="19" customWidth="1"/>
    <col min="10808" max="10811" width="9.140625" style="19"/>
    <col min="10812" max="10813" width="8.7109375" style="19" customWidth="1"/>
    <col min="10814" max="11008" width="9.140625" style="19"/>
    <col min="11009" max="11009" width="1.85546875" style="19" customWidth="1"/>
    <col min="11010" max="11010" width="9.85546875" style="19" customWidth="1"/>
    <col min="11011" max="11011" width="6.7109375" style="19" bestFit="1" customWidth="1"/>
    <col min="11012" max="11012" width="9.42578125" style="19" customWidth="1"/>
    <col min="11013" max="11013" width="10.140625" style="19" customWidth="1"/>
    <col min="11014" max="11014" width="9.28515625" style="19" customWidth="1"/>
    <col min="11015" max="11015" width="6.42578125" style="19" customWidth="1"/>
    <col min="11016" max="11016" width="9.85546875" style="19" customWidth="1"/>
    <col min="11017" max="11017" width="9.5703125" style="19" customWidth="1"/>
    <col min="11018" max="11018" width="9.140625" style="19"/>
    <col min="11019" max="11019" width="11" style="19" customWidth="1"/>
    <col min="11020" max="11020" width="9.28515625" style="19" customWidth="1"/>
    <col min="11021" max="11021" width="9.85546875" style="19" customWidth="1"/>
    <col min="11022" max="11023" width="0" style="19" hidden="1" customWidth="1"/>
    <col min="11024" max="11024" width="9.5703125" style="19" customWidth="1"/>
    <col min="11025" max="11036" width="0" style="19" hidden="1" customWidth="1"/>
    <col min="11037" max="11038" width="6.5703125" style="19" customWidth="1"/>
    <col min="11039" max="11042" width="0" style="19" hidden="1" customWidth="1"/>
    <col min="11043" max="11043" width="5.85546875" style="19" customWidth="1"/>
    <col min="11044" max="11044" width="0" style="19" hidden="1" customWidth="1"/>
    <col min="11045" max="11047" width="5.85546875" style="19" customWidth="1"/>
    <col min="11048" max="11048" width="7.7109375" style="19" customWidth="1"/>
    <col min="11049" max="11049" width="9.140625" style="19" bestFit="1" customWidth="1"/>
    <col min="11050" max="11051" width="8.5703125" style="19" bestFit="1" customWidth="1"/>
    <col min="11052" max="11052" width="7.5703125" style="19" customWidth="1"/>
    <col min="11053" max="11055" width="9.28515625" style="19" customWidth="1"/>
    <col min="11056" max="11057" width="7.85546875" style="19" customWidth="1"/>
    <col min="11058" max="11059" width="6.42578125" style="19" customWidth="1"/>
    <col min="11060" max="11060" width="10.7109375" style="19" customWidth="1"/>
    <col min="11061" max="11061" width="40.7109375" style="19" customWidth="1"/>
    <col min="11062" max="11062" width="5" style="19" customWidth="1"/>
    <col min="11063" max="11063" width="5.5703125" style="19" customWidth="1"/>
    <col min="11064" max="11067" width="9.140625" style="19"/>
    <col min="11068" max="11069" width="8.7109375" style="19" customWidth="1"/>
    <col min="11070" max="11264" width="9.140625" style="19"/>
    <col min="11265" max="11265" width="1.85546875" style="19" customWidth="1"/>
    <col min="11266" max="11266" width="9.85546875" style="19" customWidth="1"/>
    <col min="11267" max="11267" width="6.7109375" style="19" bestFit="1" customWidth="1"/>
    <col min="11268" max="11268" width="9.42578125" style="19" customWidth="1"/>
    <col min="11269" max="11269" width="10.140625" style="19" customWidth="1"/>
    <col min="11270" max="11270" width="9.28515625" style="19" customWidth="1"/>
    <col min="11271" max="11271" width="6.42578125" style="19" customWidth="1"/>
    <col min="11272" max="11272" width="9.85546875" style="19" customWidth="1"/>
    <col min="11273" max="11273" width="9.5703125" style="19" customWidth="1"/>
    <col min="11274" max="11274" width="9.140625" style="19"/>
    <col min="11275" max="11275" width="11" style="19" customWidth="1"/>
    <col min="11276" max="11276" width="9.28515625" style="19" customWidth="1"/>
    <col min="11277" max="11277" width="9.85546875" style="19" customWidth="1"/>
    <col min="11278" max="11279" width="0" style="19" hidden="1" customWidth="1"/>
    <col min="11280" max="11280" width="9.5703125" style="19" customWidth="1"/>
    <col min="11281" max="11292" width="0" style="19" hidden="1" customWidth="1"/>
    <col min="11293" max="11294" width="6.5703125" style="19" customWidth="1"/>
    <col min="11295" max="11298" width="0" style="19" hidden="1" customWidth="1"/>
    <col min="11299" max="11299" width="5.85546875" style="19" customWidth="1"/>
    <col min="11300" max="11300" width="0" style="19" hidden="1" customWidth="1"/>
    <col min="11301" max="11303" width="5.85546875" style="19" customWidth="1"/>
    <col min="11304" max="11304" width="7.7109375" style="19" customWidth="1"/>
    <col min="11305" max="11305" width="9.140625" style="19" bestFit="1" customWidth="1"/>
    <col min="11306" max="11307" width="8.5703125" style="19" bestFit="1" customWidth="1"/>
    <col min="11308" max="11308" width="7.5703125" style="19" customWidth="1"/>
    <col min="11309" max="11311" width="9.28515625" style="19" customWidth="1"/>
    <col min="11312" max="11313" width="7.85546875" style="19" customWidth="1"/>
    <col min="11314" max="11315" width="6.42578125" style="19" customWidth="1"/>
    <col min="11316" max="11316" width="10.7109375" style="19" customWidth="1"/>
    <col min="11317" max="11317" width="40.7109375" style="19" customWidth="1"/>
    <col min="11318" max="11318" width="5" style="19" customWidth="1"/>
    <col min="11319" max="11319" width="5.5703125" style="19" customWidth="1"/>
    <col min="11320" max="11323" width="9.140625" style="19"/>
    <col min="11324" max="11325" width="8.7109375" style="19" customWidth="1"/>
    <col min="11326" max="11520" width="9.140625" style="19"/>
    <col min="11521" max="11521" width="1.85546875" style="19" customWidth="1"/>
    <col min="11522" max="11522" width="9.85546875" style="19" customWidth="1"/>
    <col min="11523" max="11523" width="6.7109375" style="19" bestFit="1" customWidth="1"/>
    <col min="11524" max="11524" width="9.42578125" style="19" customWidth="1"/>
    <col min="11525" max="11525" width="10.140625" style="19" customWidth="1"/>
    <col min="11526" max="11526" width="9.28515625" style="19" customWidth="1"/>
    <col min="11527" max="11527" width="6.42578125" style="19" customWidth="1"/>
    <col min="11528" max="11528" width="9.85546875" style="19" customWidth="1"/>
    <col min="11529" max="11529" width="9.5703125" style="19" customWidth="1"/>
    <col min="11530" max="11530" width="9.140625" style="19"/>
    <col min="11531" max="11531" width="11" style="19" customWidth="1"/>
    <col min="11532" max="11532" width="9.28515625" style="19" customWidth="1"/>
    <col min="11533" max="11533" width="9.85546875" style="19" customWidth="1"/>
    <col min="11534" max="11535" width="0" style="19" hidden="1" customWidth="1"/>
    <col min="11536" max="11536" width="9.5703125" style="19" customWidth="1"/>
    <col min="11537" max="11548" width="0" style="19" hidden="1" customWidth="1"/>
    <col min="11549" max="11550" width="6.5703125" style="19" customWidth="1"/>
    <col min="11551" max="11554" width="0" style="19" hidden="1" customWidth="1"/>
    <col min="11555" max="11555" width="5.85546875" style="19" customWidth="1"/>
    <col min="11556" max="11556" width="0" style="19" hidden="1" customWidth="1"/>
    <col min="11557" max="11559" width="5.85546875" style="19" customWidth="1"/>
    <col min="11560" max="11560" width="7.7109375" style="19" customWidth="1"/>
    <col min="11561" max="11561" width="9.140625" style="19" bestFit="1" customWidth="1"/>
    <col min="11562" max="11563" width="8.5703125" style="19" bestFit="1" customWidth="1"/>
    <col min="11564" max="11564" width="7.5703125" style="19" customWidth="1"/>
    <col min="11565" max="11567" width="9.28515625" style="19" customWidth="1"/>
    <col min="11568" max="11569" width="7.85546875" style="19" customWidth="1"/>
    <col min="11570" max="11571" width="6.42578125" style="19" customWidth="1"/>
    <col min="11572" max="11572" width="10.7109375" style="19" customWidth="1"/>
    <col min="11573" max="11573" width="40.7109375" style="19" customWidth="1"/>
    <col min="11574" max="11574" width="5" style="19" customWidth="1"/>
    <col min="11575" max="11575" width="5.5703125" style="19" customWidth="1"/>
    <col min="11576" max="11579" width="9.140625" style="19"/>
    <col min="11580" max="11581" width="8.7109375" style="19" customWidth="1"/>
    <col min="11582" max="11776" width="9.140625" style="19"/>
    <col min="11777" max="11777" width="1.85546875" style="19" customWidth="1"/>
    <col min="11778" max="11778" width="9.85546875" style="19" customWidth="1"/>
    <col min="11779" max="11779" width="6.7109375" style="19" bestFit="1" customWidth="1"/>
    <col min="11780" max="11780" width="9.42578125" style="19" customWidth="1"/>
    <col min="11781" max="11781" width="10.140625" style="19" customWidth="1"/>
    <col min="11782" max="11782" width="9.28515625" style="19" customWidth="1"/>
    <col min="11783" max="11783" width="6.42578125" style="19" customWidth="1"/>
    <col min="11784" max="11784" width="9.85546875" style="19" customWidth="1"/>
    <col min="11785" max="11785" width="9.5703125" style="19" customWidth="1"/>
    <col min="11786" max="11786" width="9.140625" style="19"/>
    <col min="11787" max="11787" width="11" style="19" customWidth="1"/>
    <col min="11788" max="11788" width="9.28515625" style="19" customWidth="1"/>
    <col min="11789" max="11789" width="9.85546875" style="19" customWidth="1"/>
    <col min="11790" max="11791" width="0" style="19" hidden="1" customWidth="1"/>
    <col min="11792" max="11792" width="9.5703125" style="19" customWidth="1"/>
    <col min="11793" max="11804" width="0" style="19" hidden="1" customWidth="1"/>
    <col min="11805" max="11806" width="6.5703125" style="19" customWidth="1"/>
    <col min="11807" max="11810" width="0" style="19" hidden="1" customWidth="1"/>
    <col min="11811" max="11811" width="5.85546875" style="19" customWidth="1"/>
    <col min="11812" max="11812" width="0" style="19" hidden="1" customWidth="1"/>
    <col min="11813" max="11815" width="5.85546875" style="19" customWidth="1"/>
    <col min="11816" max="11816" width="7.7109375" style="19" customWidth="1"/>
    <col min="11817" max="11817" width="9.140625" style="19" bestFit="1" customWidth="1"/>
    <col min="11818" max="11819" width="8.5703125" style="19" bestFit="1" customWidth="1"/>
    <col min="11820" max="11820" width="7.5703125" style="19" customWidth="1"/>
    <col min="11821" max="11823" width="9.28515625" style="19" customWidth="1"/>
    <col min="11824" max="11825" width="7.85546875" style="19" customWidth="1"/>
    <col min="11826" max="11827" width="6.42578125" style="19" customWidth="1"/>
    <col min="11828" max="11828" width="10.7109375" style="19" customWidth="1"/>
    <col min="11829" max="11829" width="40.7109375" style="19" customWidth="1"/>
    <col min="11830" max="11830" width="5" style="19" customWidth="1"/>
    <col min="11831" max="11831" width="5.5703125" style="19" customWidth="1"/>
    <col min="11832" max="11835" width="9.140625" style="19"/>
    <col min="11836" max="11837" width="8.7109375" style="19" customWidth="1"/>
    <col min="11838" max="12032" width="9.140625" style="19"/>
    <col min="12033" max="12033" width="1.85546875" style="19" customWidth="1"/>
    <col min="12034" max="12034" width="9.85546875" style="19" customWidth="1"/>
    <col min="12035" max="12035" width="6.7109375" style="19" bestFit="1" customWidth="1"/>
    <col min="12036" max="12036" width="9.42578125" style="19" customWidth="1"/>
    <col min="12037" max="12037" width="10.140625" style="19" customWidth="1"/>
    <col min="12038" max="12038" width="9.28515625" style="19" customWidth="1"/>
    <col min="12039" max="12039" width="6.42578125" style="19" customWidth="1"/>
    <col min="12040" max="12040" width="9.85546875" style="19" customWidth="1"/>
    <col min="12041" max="12041" width="9.5703125" style="19" customWidth="1"/>
    <col min="12042" max="12042" width="9.140625" style="19"/>
    <col min="12043" max="12043" width="11" style="19" customWidth="1"/>
    <col min="12044" max="12044" width="9.28515625" style="19" customWidth="1"/>
    <col min="12045" max="12045" width="9.85546875" style="19" customWidth="1"/>
    <col min="12046" max="12047" width="0" style="19" hidden="1" customWidth="1"/>
    <col min="12048" max="12048" width="9.5703125" style="19" customWidth="1"/>
    <col min="12049" max="12060" width="0" style="19" hidden="1" customWidth="1"/>
    <col min="12061" max="12062" width="6.5703125" style="19" customWidth="1"/>
    <col min="12063" max="12066" width="0" style="19" hidden="1" customWidth="1"/>
    <col min="12067" max="12067" width="5.85546875" style="19" customWidth="1"/>
    <col min="12068" max="12068" width="0" style="19" hidden="1" customWidth="1"/>
    <col min="12069" max="12071" width="5.85546875" style="19" customWidth="1"/>
    <col min="12072" max="12072" width="7.7109375" style="19" customWidth="1"/>
    <col min="12073" max="12073" width="9.140625" style="19" bestFit="1" customWidth="1"/>
    <col min="12074" max="12075" width="8.5703125" style="19" bestFit="1" customWidth="1"/>
    <col min="12076" max="12076" width="7.5703125" style="19" customWidth="1"/>
    <col min="12077" max="12079" width="9.28515625" style="19" customWidth="1"/>
    <col min="12080" max="12081" width="7.85546875" style="19" customWidth="1"/>
    <col min="12082" max="12083" width="6.42578125" style="19" customWidth="1"/>
    <col min="12084" max="12084" width="10.7109375" style="19" customWidth="1"/>
    <col min="12085" max="12085" width="40.7109375" style="19" customWidth="1"/>
    <col min="12086" max="12086" width="5" style="19" customWidth="1"/>
    <col min="12087" max="12087" width="5.5703125" style="19" customWidth="1"/>
    <col min="12088" max="12091" width="9.140625" style="19"/>
    <col min="12092" max="12093" width="8.7109375" style="19" customWidth="1"/>
    <col min="12094" max="12288" width="9.140625" style="19"/>
    <col min="12289" max="12289" width="1.85546875" style="19" customWidth="1"/>
    <col min="12290" max="12290" width="9.85546875" style="19" customWidth="1"/>
    <col min="12291" max="12291" width="6.7109375" style="19" bestFit="1" customWidth="1"/>
    <col min="12292" max="12292" width="9.42578125" style="19" customWidth="1"/>
    <col min="12293" max="12293" width="10.140625" style="19" customWidth="1"/>
    <col min="12294" max="12294" width="9.28515625" style="19" customWidth="1"/>
    <col min="12295" max="12295" width="6.42578125" style="19" customWidth="1"/>
    <col min="12296" max="12296" width="9.85546875" style="19" customWidth="1"/>
    <col min="12297" max="12297" width="9.5703125" style="19" customWidth="1"/>
    <col min="12298" max="12298" width="9.140625" style="19"/>
    <col min="12299" max="12299" width="11" style="19" customWidth="1"/>
    <col min="12300" max="12300" width="9.28515625" style="19" customWidth="1"/>
    <col min="12301" max="12301" width="9.85546875" style="19" customWidth="1"/>
    <col min="12302" max="12303" width="0" style="19" hidden="1" customWidth="1"/>
    <col min="12304" max="12304" width="9.5703125" style="19" customWidth="1"/>
    <col min="12305" max="12316" width="0" style="19" hidden="1" customWidth="1"/>
    <col min="12317" max="12318" width="6.5703125" style="19" customWidth="1"/>
    <col min="12319" max="12322" width="0" style="19" hidden="1" customWidth="1"/>
    <col min="12323" max="12323" width="5.85546875" style="19" customWidth="1"/>
    <col min="12324" max="12324" width="0" style="19" hidden="1" customWidth="1"/>
    <col min="12325" max="12327" width="5.85546875" style="19" customWidth="1"/>
    <col min="12328" max="12328" width="7.7109375" style="19" customWidth="1"/>
    <col min="12329" max="12329" width="9.140625" style="19" bestFit="1" customWidth="1"/>
    <col min="12330" max="12331" width="8.5703125" style="19" bestFit="1" customWidth="1"/>
    <col min="12332" max="12332" width="7.5703125" style="19" customWidth="1"/>
    <col min="12333" max="12335" width="9.28515625" style="19" customWidth="1"/>
    <col min="12336" max="12337" width="7.85546875" style="19" customWidth="1"/>
    <col min="12338" max="12339" width="6.42578125" style="19" customWidth="1"/>
    <col min="12340" max="12340" width="10.7109375" style="19" customWidth="1"/>
    <col min="12341" max="12341" width="40.7109375" style="19" customWidth="1"/>
    <col min="12342" max="12342" width="5" style="19" customWidth="1"/>
    <col min="12343" max="12343" width="5.5703125" style="19" customWidth="1"/>
    <col min="12344" max="12347" width="9.140625" style="19"/>
    <col min="12348" max="12349" width="8.7109375" style="19" customWidth="1"/>
    <col min="12350" max="12544" width="9.140625" style="19"/>
    <col min="12545" max="12545" width="1.85546875" style="19" customWidth="1"/>
    <col min="12546" max="12546" width="9.85546875" style="19" customWidth="1"/>
    <col min="12547" max="12547" width="6.7109375" style="19" bestFit="1" customWidth="1"/>
    <col min="12548" max="12548" width="9.42578125" style="19" customWidth="1"/>
    <col min="12549" max="12549" width="10.140625" style="19" customWidth="1"/>
    <col min="12550" max="12550" width="9.28515625" style="19" customWidth="1"/>
    <col min="12551" max="12551" width="6.42578125" style="19" customWidth="1"/>
    <col min="12552" max="12552" width="9.85546875" style="19" customWidth="1"/>
    <col min="12553" max="12553" width="9.5703125" style="19" customWidth="1"/>
    <col min="12554" max="12554" width="9.140625" style="19"/>
    <col min="12555" max="12555" width="11" style="19" customWidth="1"/>
    <col min="12556" max="12556" width="9.28515625" style="19" customWidth="1"/>
    <col min="12557" max="12557" width="9.85546875" style="19" customWidth="1"/>
    <col min="12558" max="12559" width="0" style="19" hidden="1" customWidth="1"/>
    <col min="12560" max="12560" width="9.5703125" style="19" customWidth="1"/>
    <col min="12561" max="12572" width="0" style="19" hidden="1" customWidth="1"/>
    <col min="12573" max="12574" width="6.5703125" style="19" customWidth="1"/>
    <col min="12575" max="12578" width="0" style="19" hidden="1" customWidth="1"/>
    <col min="12579" max="12579" width="5.85546875" style="19" customWidth="1"/>
    <col min="12580" max="12580" width="0" style="19" hidden="1" customWidth="1"/>
    <col min="12581" max="12583" width="5.85546875" style="19" customWidth="1"/>
    <col min="12584" max="12584" width="7.7109375" style="19" customWidth="1"/>
    <col min="12585" max="12585" width="9.140625" style="19" bestFit="1" customWidth="1"/>
    <col min="12586" max="12587" width="8.5703125" style="19" bestFit="1" customWidth="1"/>
    <col min="12588" max="12588" width="7.5703125" style="19" customWidth="1"/>
    <col min="12589" max="12591" width="9.28515625" style="19" customWidth="1"/>
    <col min="12592" max="12593" width="7.85546875" style="19" customWidth="1"/>
    <col min="12594" max="12595" width="6.42578125" style="19" customWidth="1"/>
    <col min="12596" max="12596" width="10.7109375" style="19" customWidth="1"/>
    <col min="12597" max="12597" width="40.7109375" style="19" customWidth="1"/>
    <col min="12598" max="12598" width="5" style="19" customWidth="1"/>
    <col min="12599" max="12599" width="5.5703125" style="19" customWidth="1"/>
    <col min="12600" max="12603" width="9.140625" style="19"/>
    <col min="12604" max="12605" width="8.7109375" style="19" customWidth="1"/>
    <col min="12606" max="12800" width="9.140625" style="19"/>
    <col min="12801" max="12801" width="1.85546875" style="19" customWidth="1"/>
    <col min="12802" max="12802" width="9.85546875" style="19" customWidth="1"/>
    <col min="12803" max="12803" width="6.7109375" style="19" bestFit="1" customWidth="1"/>
    <col min="12804" max="12804" width="9.42578125" style="19" customWidth="1"/>
    <col min="12805" max="12805" width="10.140625" style="19" customWidth="1"/>
    <col min="12806" max="12806" width="9.28515625" style="19" customWidth="1"/>
    <col min="12807" max="12807" width="6.42578125" style="19" customWidth="1"/>
    <col min="12808" max="12808" width="9.85546875" style="19" customWidth="1"/>
    <col min="12809" max="12809" width="9.5703125" style="19" customWidth="1"/>
    <col min="12810" max="12810" width="9.140625" style="19"/>
    <col min="12811" max="12811" width="11" style="19" customWidth="1"/>
    <col min="12812" max="12812" width="9.28515625" style="19" customWidth="1"/>
    <col min="12813" max="12813" width="9.85546875" style="19" customWidth="1"/>
    <col min="12814" max="12815" width="0" style="19" hidden="1" customWidth="1"/>
    <col min="12816" max="12816" width="9.5703125" style="19" customWidth="1"/>
    <col min="12817" max="12828" width="0" style="19" hidden="1" customWidth="1"/>
    <col min="12829" max="12830" width="6.5703125" style="19" customWidth="1"/>
    <col min="12831" max="12834" width="0" style="19" hidden="1" customWidth="1"/>
    <col min="12835" max="12835" width="5.85546875" style="19" customWidth="1"/>
    <col min="12836" max="12836" width="0" style="19" hidden="1" customWidth="1"/>
    <col min="12837" max="12839" width="5.85546875" style="19" customWidth="1"/>
    <col min="12840" max="12840" width="7.7109375" style="19" customWidth="1"/>
    <col min="12841" max="12841" width="9.140625" style="19" bestFit="1" customWidth="1"/>
    <col min="12842" max="12843" width="8.5703125" style="19" bestFit="1" customWidth="1"/>
    <col min="12844" max="12844" width="7.5703125" style="19" customWidth="1"/>
    <col min="12845" max="12847" width="9.28515625" style="19" customWidth="1"/>
    <col min="12848" max="12849" width="7.85546875" style="19" customWidth="1"/>
    <col min="12850" max="12851" width="6.42578125" style="19" customWidth="1"/>
    <col min="12852" max="12852" width="10.7109375" style="19" customWidth="1"/>
    <col min="12853" max="12853" width="40.7109375" style="19" customWidth="1"/>
    <col min="12854" max="12854" width="5" style="19" customWidth="1"/>
    <col min="12855" max="12855" width="5.5703125" style="19" customWidth="1"/>
    <col min="12856" max="12859" width="9.140625" style="19"/>
    <col min="12860" max="12861" width="8.7109375" style="19" customWidth="1"/>
    <col min="12862" max="13056" width="9.140625" style="19"/>
    <col min="13057" max="13057" width="1.85546875" style="19" customWidth="1"/>
    <col min="13058" max="13058" width="9.85546875" style="19" customWidth="1"/>
    <col min="13059" max="13059" width="6.7109375" style="19" bestFit="1" customWidth="1"/>
    <col min="13060" max="13060" width="9.42578125" style="19" customWidth="1"/>
    <col min="13061" max="13061" width="10.140625" style="19" customWidth="1"/>
    <col min="13062" max="13062" width="9.28515625" style="19" customWidth="1"/>
    <col min="13063" max="13063" width="6.42578125" style="19" customWidth="1"/>
    <col min="13064" max="13064" width="9.85546875" style="19" customWidth="1"/>
    <col min="13065" max="13065" width="9.5703125" style="19" customWidth="1"/>
    <col min="13066" max="13066" width="9.140625" style="19"/>
    <col min="13067" max="13067" width="11" style="19" customWidth="1"/>
    <col min="13068" max="13068" width="9.28515625" style="19" customWidth="1"/>
    <col min="13069" max="13069" width="9.85546875" style="19" customWidth="1"/>
    <col min="13070" max="13071" width="0" style="19" hidden="1" customWidth="1"/>
    <col min="13072" max="13072" width="9.5703125" style="19" customWidth="1"/>
    <col min="13073" max="13084" width="0" style="19" hidden="1" customWidth="1"/>
    <col min="13085" max="13086" width="6.5703125" style="19" customWidth="1"/>
    <col min="13087" max="13090" width="0" style="19" hidden="1" customWidth="1"/>
    <col min="13091" max="13091" width="5.85546875" style="19" customWidth="1"/>
    <col min="13092" max="13092" width="0" style="19" hidden="1" customWidth="1"/>
    <col min="13093" max="13095" width="5.85546875" style="19" customWidth="1"/>
    <col min="13096" max="13096" width="7.7109375" style="19" customWidth="1"/>
    <col min="13097" max="13097" width="9.140625" style="19" bestFit="1" customWidth="1"/>
    <col min="13098" max="13099" width="8.5703125" style="19" bestFit="1" customWidth="1"/>
    <col min="13100" max="13100" width="7.5703125" style="19" customWidth="1"/>
    <col min="13101" max="13103" width="9.28515625" style="19" customWidth="1"/>
    <col min="13104" max="13105" width="7.85546875" style="19" customWidth="1"/>
    <col min="13106" max="13107" width="6.42578125" style="19" customWidth="1"/>
    <col min="13108" max="13108" width="10.7109375" style="19" customWidth="1"/>
    <col min="13109" max="13109" width="40.7109375" style="19" customWidth="1"/>
    <col min="13110" max="13110" width="5" style="19" customWidth="1"/>
    <col min="13111" max="13111" width="5.5703125" style="19" customWidth="1"/>
    <col min="13112" max="13115" width="9.140625" style="19"/>
    <col min="13116" max="13117" width="8.7109375" style="19" customWidth="1"/>
    <col min="13118" max="13312" width="9.140625" style="19"/>
    <col min="13313" max="13313" width="1.85546875" style="19" customWidth="1"/>
    <col min="13314" max="13314" width="9.85546875" style="19" customWidth="1"/>
    <col min="13315" max="13315" width="6.7109375" style="19" bestFit="1" customWidth="1"/>
    <col min="13316" max="13316" width="9.42578125" style="19" customWidth="1"/>
    <col min="13317" max="13317" width="10.140625" style="19" customWidth="1"/>
    <col min="13318" max="13318" width="9.28515625" style="19" customWidth="1"/>
    <col min="13319" max="13319" width="6.42578125" style="19" customWidth="1"/>
    <col min="13320" max="13320" width="9.85546875" style="19" customWidth="1"/>
    <col min="13321" max="13321" width="9.5703125" style="19" customWidth="1"/>
    <col min="13322" max="13322" width="9.140625" style="19"/>
    <col min="13323" max="13323" width="11" style="19" customWidth="1"/>
    <col min="13324" max="13324" width="9.28515625" style="19" customWidth="1"/>
    <col min="13325" max="13325" width="9.85546875" style="19" customWidth="1"/>
    <col min="13326" max="13327" width="0" style="19" hidden="1" customWidth="1"/>
    <col min="13328" max="13328" width="9.5703125" style="19" customWidth="1"/>
    <col min="13329" max="13340" width="0" style="19" hidden="1" customWidth="1"/>
    <col min="13341" max="13342" width="6.5703125" style="19" customWidth="1"/>
    <col min="13343" max="13346" width="0" style="19" hidden="1" customWidth="1"/>
    <col min="13347" max="13347" width="5.85546875" style="19" customWidth="1"/>
    <col min="13348" max="13348" width="0" style="19" hidden="1" customWidth="1"/>
    <col min="13349" max="13351" width="5.85546875" style="19" customWidth="1"/>
    <col min="13352" max="13352" width="7.7109375" style="19" customWidth="1"/>
    <col min="13353" max="13353" width="9.140625" style="19" bestFit="1" customWidth="1"/>
    <col min="13354" max="13355" width="8.5703125" style="19" bestFit="1" customWidth="1"/>
    <col min="13356" max="13356" width="7.5703125" style="19" customWidth="1"/>
    <col min="13357" max="13359" width="9.28515625" style="19" customWidth="1"/>
    <col min="13360" max="13361" width="7.85546875" style="19" customWidth="1"/>
    <col min="13362" max="13363" width="6.42578125" style="19" customWidth="1"/>
    <col min="13364" max="13364" width="10.7109375" style="19" customWidth="1"/>
    <col min="13365" max="13365" width="40.7109375" style="19" customWidth="1"/>
    <col min="13366" max="13366" width="5" style="19" customWidth="1"/>
    <col min="13367" max="13367" width="5.5703125" style="19" customWidth="1"/>
    <col min="13368" max="13371" width="9.140625" style="19"/>
    <col min="13372" max="13373" width="8.7109375" style="19" customWidth="1"/>
    <col min="13374" max="13568" width="9.140625" style="19"/>
    <col min="13569" max="13569" width="1.85546875" style="19" customWidth="1"/>
    <col min="13570" max="13570" width="9.85546875" style="19" customWidth="1"/>
    <col min="13571" max="13571" width="6.7109375" style="19" bestFit="1" customWidth="1"/>
    <col min="13572" max="13572" width="9.42578125" style="19" customWidth="1"/>
    <col min="13573" max="13573" width="10.140625" style="19" customWidth="1"/>
    <col min="13574" max="13574" width="9.28515625" style="19" customWidth="1"/>
    <col min="13575" max="13575" width="6.42578125" style="19" customWidth="1"/>
    <col min="13576" max="13576" width="9.85546875" style="19" customWidth="1"/>
    <col min="13577" max="13577" width="9.5703125" style="19" customWidth="1"/>
    <col min="13578" max="13578" width="9.140625" style="19"/>
    <col min="13579" max="13579" width="11" style="19" customWidth="1"/>
    <col min="13580" max="13580" width="9.28515625" style="19" customWidth="1"/>
    <col min="13581" max="13581" width="9.85546875" style="19" customWidth="1"/>
    <col min="13582" max="13583" width="0" style="19" hidden="1" customWidth="1"/>
    <col min="13584" max="13584" width="9.5703125" style="19" customWidth="1"/>
    <col min="13585" max="13596" width="0" style="19" hidden="1" customWidth="1"/>
    <col min="13597" max="13598" width="6.5703125" style="19" customWidth="1"/>
    <col min="13599" max="13602" width="0" style="19" hidden="1" customWidth="1"/>
    <col min="13603" max="13603" width="5.85546875" style="19" customWidth="1"/>
    <col min="13604" max="13604" width="0" style="19" hidden="1" customWidth="1"/>
    <col min="13605" max="13607" width="5.85546875" style="19" customWidth="1"/>
    <col min="13608" max="13608" width="7.7109375" style="19" customWidth="1"/>
    <col min="13609" max="13609" width="9.140625" style="19" bestFit="1" customWidth="1"/>
    <col min="13610" max="13611" width="8.5703125" style="19" bestFit="1" customWidth="1"/>
    <col min="13612" max="13612" width="7.5703125" style="19" customWidth="1"/>
    <col min="13613" max="13615" width="9.28515625" style="19" customWidth="1"/>
    <col min="13616" max="13617" width="7.85546875" style="19" customWidth="1"/>
    <col min="13618" max="13619" width="6.42578125" style="19" customWidth="1"/>
    <col min="13620" max="13620" width="10.7109375" style="19" customWidth="1"/>
    <col min="13621" max="13621" width="40.7109375" style="19" customWidth="1"/>
    <col min="13622" max="13622" width="5" style="19" customWidth="1"/>
    <col min="13623" max="13623" width="5.5703125" style="19" customWidth="1"/>
    <col min="13624" max="13627" width="9.140625" style="19"/>
    <col min="13628" max="13629" width="8.7109375" style="19" customWidth="1"/>
    <col min="13630" max="13824" width="9.140625" style="19"/>
    <col min="13825" max="13825" width="1.85546875" style="19" customWidth="1"/>
    <col min="13826" max="13826" width="9.85546875" style="19" customWidth="1"/>
    <col min="13827" max="13827" width="6.7109375" style="19" bestFit="1" customWidth="1"/>
    <col min="13828" max="13828" width="9.42578125" style="19" customWidth="1"/>
    <col min="13829" max="13829" width="10.140625" style="19" customWidth="1"/>
    <col min="13830" max="13830" width="9.28515625" style="19" customWidth="1"/>
    <col min="13831" max="13831" width="6.42578125" style="19" customWidth="1"/>
    <col min="13832" max="13832" width="9.85546875" style="19" customWidth="1"/>
    <col min="13833" max="13833" width="9.5703125" style="19" customWidth="1"/>
    <col min="13834" max="13834" width="9.140625" style="19"/>
    <col min="13835" max="13835" width="11" style="19" customWidth="1"/>
    <col min="13836" max="13836" width="9.28515625" style="19" customWidth="1"/>
    <col min="13837" max="13837" width="9.85546875" style="19" customWidth="1"/>
    <col min="13838" max="13839" width="0" style="19" hidden="1" customWidth="1"/>
    <col min="13840" max="13840" width="9.5703125" style="19" customWidth="1"/>
    <col min="13841" max="13852" width="0" style="19" hidden="1" customWidth="1"/>
    <col min="13853" max="13854" width="6.5703125" style="19" customWidth="1"/>
    <col min="13855" max="13858" width="0" style="19" hidden="1" customWidth="1"/>
    <col min="13859" max="13859" width="5.85546875" style="19" customWidth="1"/>
    <col min="13860" max="13860" width="0" style="19" hidden="1" customWidth="1"/>
    <col min="13861" max="13863" width="5.85546875" style="19" customWidth="1"/>
    <col min="13864" max="13864" width="7.7109375" style="19" customWidth="1"/>
    <col min="13865" max="13865" width="9.140625" style="19" bestFit="1" customWidth="1"/>
    <col min="13866" max="13867" width="8.5703125" style="19" bestFit="1" customWidth="1"/>
    <col min="13868" max="13868" width="7.5703125" style="19" customWidth="1"/>
    <col min="13869" max="13871" width="9.28515625" style="19" customWidth="1"/>
    <col min="13872" max="13873" width="7.85546875" style="19" customWidth="1"/>
    <col min="13874" max="13875" width="6.42578125" style="19" customWidth="1"/>
    <col min="13876" max="13876" width="10.7109375" style="19" customWidth="1"/>
    <col min="13877" max="13877" width="40.7109375" style="19" customWidth="1"/>
    <col min="13878" max="13878" width="5" style="19" customWidth="1"/>
    <col min="13879" max="13879" width="5.5703125" style="19" customWidth="1"/>
    <col min="13880" max="13883" width="9.140625" style="19"/>
    <col min="13884" max="13885" width="8.7109375" style="19" customWidth="1"/>
    <col min="13886" max="14080" width="9.140625" style="19"/>
    <col min="14081" max="14081" width="1.85546875" style="19" customWidth="1"/>
    <col min="14082" max="14082" width="9.85546875" style="19" customWidth="1"/>
    <col min="14083" max="14083" width="6.7109375" style="19" bestFit="1" customWidth="1"/>
    <col min="14084" max="14084" width="9.42578125" style="19" customWidth="1"/>
    <col min="14085" max="14085" width="10.140625" style="19" customWidth="1"/>
    <col min="14086" max="14086" width="9.28515625" style="19" customWidth="1"/>
    <col min="14087" max="14087" width="6.42578125" style="19" customWidth="1"/>
    <col min="14088" max="14088" width="9.85546875" style="19" customWidth="1"/>
    <col min="14089" max="14089" width="9.5703125" style="19" customWidth="1"/>
    <col min="14090" max="14090" width="9.140625" style="19"/>
    <col min="14091" max="14091" width="11" style="19" customWidth="1"/>
    <col min="14092" max="14092" width="9.28515625" style="19" customWidth="1"/>
    <col min="14093" max="14093" width="9.85546875" style="19" customWidth="1"/>
    <col min="14094" max="14095" width="0" style="19" hidden="1" customWidth="1"/>
    <col min="14096" max="14096" width="9.5703125" style="19" customWidth="1"/>
    <col min="14097" max="14108" width="0" style="19" hidden="1" customWidth="1"/>
    <col min="14109" max="14110" width="6.5703125" style="19" customWidth="1"/>
    <col min="14111" max="14114" width="0" style="19" hidden="1" customWidth="1"/>
    <col min="14115" max="14115" width="5.85546875" style="19" customWidth="1"/>
    <col min="14116" max="14116" width="0" style="19" hidden="1" customWidth="1"/>
    <col min="14117" max="14119" width="5.85546875" style="19" customWidth="1"/>
    <col min="14120" max="14120" width="7.7109375" style="19" customWidth="1"/>
    <col min="14121" max="14121" width="9.140625" style="19" bestFit="1" customWidth="1"/>
    <col min="14122" max="14123" width="8.5703125" style="19" bestFit="1" customWidth="1"/>
    <col min="14124" max="14124" width="7.5703125" style="19" customWidth="1"/>
    <col min="14125" max="14127" width="9.28515625" style="19" customWidth="1"/>
    <col min="14128" max="14129" width="7.85546875" style="19" customWidth="1"/>
    <col min="14130" max="14131" width="6.42578125" style="19" customWidth="1"/>
    <col min="14132" max="14132" width="10.7109375" style="19" customWidth="1"/>
    <col min="14133" max="14133" width="40.7109375" style="19" customWidth="1"/>
    <col min="14134" max="14134" width="5" style="19" customWidth="1"/>
    <col min="14135" max="14135" width="5.5703125" style="19" customWidth="1"/>
    <col min="14136" max="14139" width="9.140625" style="19"/>
    <col min="14140" max="14141" width="8.7109375" style="19" customWidth="1"/>
    <col min="14142" max="14336" width="9.140625" style="19"/>
    <col min="14337" max="14337" width="1.85546875" style="19" customWidth="1"/>
    <col min="14338" max="14338" width="9.85546875" style="19" customWidth="1"/>
    <col min="14339" max="14339" width="6.7109375" style="19" bestFit="1" customWidth="1"/>
    <col min="14340" max="14340" width="9.42578125" style="19" customWidth="1"/>
    <col min="14341" max="14341" width="10.140625" style="19" customWidth="1"/>
    <col min="14342" max="14342" width="9.28515625" style="19" customWidth="1"/>
    <col min="14343" max="14343" width="6.42578125" style="19" customWidth="1"/>
    <col min="14344" max="14344" width="9.85546875" style="19" customWidth="1"/>
    <col min="14345" max="14345" width="9.5703125" style="19" customWidth="1"/>
    <col min="14346" max="14346" width="9.140625" style="19"/>
    <col min="14347" max="14347" width="11" style="19" customWidth="1"/>
    <col min="14348" max="14348" width="9.28515625" style="19" customWidth="1"/>
    <col min="14349" max="14349" width="9.85546875" style="19" customWidth="1"/>
    <col min="14350" max="14351" width="0" style="19" hidden="1" customWidth="1"/>
    <col min="14352" max="14352" width="9.5703125" style="19" customWidth="1"/>
    <col min="14353" max="14364" width="0" style="19" hidden="1" customWidth="1"/>
    <col min="14365" max="14366" width="6.5703125" style="19" customWidth="1"/>
    <col min="14367" max="14370" width="0" style="19" hidden="1" customWidth="1"/>
    <col min="14371" max="14371" width="5.85546875" style="19" customWidth="1"/>
    <col min="14372" max="14372" width="0" style="19" hidden="1" customWidth="1"/>
    <col min="14373" max="14375" width="5.85546875" style="19" customWidth="1"/>
    <col min="14376" max="14376" width="7.7109375" style="19" customWidth="1"/>
    <col min="14377" max="14377" width="9.140625" style="19" bestFit="1" customWidth="1"/>
    <col min="14378" max="14379" width="8.5703125" style="19" bestFit="1" customWidth="1"/>
    <col min="14380" max="14380" width="7.5703125" style="19" customWidth="1"/>
    <col min="14381" max="14383" width="9.28515625" style="19" customWidth="1"/>
    <col min="14384" max="14385" width="7.85546875" style="19" customWidth="1"/>
    <col min="14386" max="14387" width="6.42578125" style="19" customWidth="1"/>
    <col min="14388" max="14388" width="10.7109375" style="19" customWidth="1"/>
    <col min="14389" max="14389" width="40.7109375" style="19" customWidth="1"/>
    <col min="14390" max="14390" width="5" style="19" customWidth="1"/>
    <col min="14391" max="14391" width="5.5703125" style="19" customWidth="1"/>
    <col min="14392" max="14395" width="9.140625" style="19"/>
    <col min="14396" max="14397" width="8.7109375" style="19" customWidth="1"/>
    <col min="14398" max="14592" width="9.140625" style="19"/>
    <col min="14593" max="14593" width="1.85546875" style="19" customWidth="1"/>
    <col min="14594" max="14594" width="9.85546875" style="19" customWidth="1"/>
    <col min="14595" max="14595" width="6.7109375" style="19" bestFit="1" customWidth="1"/>
    <col min="14596" max="14596" width="9.42578125" style="19" customWidth="1"/>
    <col min="14597" max="14597" width="10.140625" style="19" customWidth="1"/>
    <col min="14598" max="14598" width="9.28515625" style="19" customWidth="1"/>
    <col min="14599" max="14599" width="6.42578125" style="19" customWidth="1"/>
    <col min="14600" max="14600" width="9.85546875" style="19" customWidth="1"/>
    <col min="14601" max="14601" width="9.5703125" style="19" customWidth="1"/>
    <col min="14602" max="14602" width="9.140625" style="19"/>
    <col min="14603" max="14603" width="11" style="19" customWidth="1"/>
    <col min="14604" max="14604" width="9.28515625" style="19" customWidth="1"/>
    <col min="14605" max="14605" width="9.85546875" style="19" customWidth="1"/>
    <col min="14606" max="14607" width="0" style="19" hidden="1" customWidth="1"/>
    <col min="14608" max="14608" width="9.5703125" style="19" customWidth="1"/>
    <col min="14609" max="14620" width="0" style="19" hidden="1" customWidth="1"/>
    <col min="14621" max="14622" width="6.5703125" style="19" customWidth="1"/>
    <col min="14623" max="14626" width="0" style="19" hidden="1" customWidth="1"/>
    <col min="14627" max="14627" width="5.85546875" style="19" customWidth="1"/>
    <col min="14628" max="14628" width="0" style="19" hidden="1" customWidth="1"/>
    <col min="14629" max="14631" width="5.85546875" style="19" customWidth="1"/>
    <col min="14632" max="14632" width="7.7109375" style="19" customWidth="1"/>
    <col min="14633" max="14633" width="9.140625" style="19" bestFit="1" customWidth="1"/>
    <col min="14634" max="14635" width="8.5703125" style="19" bestFit="1" customWidth="1"/>
    <col min="14636" max="14636" width="7.5703125" style="19" customWidth="1"/>
    <col min="14637" max="14639" width="9.28515625" style="19" customWidth="1"/>
    <col min="14640" max="14641" width="7.85546875" style="19" customWidth="1"/>
    <col min="14642" max="14643" width="6.42578125" style="19" customWidth="1"/>
    <col min="14644" max="14644" width="10.7109375" style="19" customWidth="1"/>
    <col min="14645" max="14645" width="40.7109375" style="19" customWidth="1"/>
    <col min="14646" max="14646" width="5" style="19" customWidth="1"/>
    <col min="14647" max="14647" width="5.5703125" style="19" customWidth="1"/>
    <col min="14648" max="14651" width="9.140625" style="19"/>
    <col min="14652" max="14653" width="8.7109375" style="19" customWidth="1"/>
    <col min="14654" max="14848" width="9.140625" style="19"/>
    <col min="14849" max="14849" width="1.85546875" style="19" customWidth="1"/>
    <col min="14850" max="14850" width="9.85546875" style="19" customWidth="1"/>
    <col min="14851" max="14851" width="6.7109375" style="19" bestFit="1" customWidth="1"/>
    <col min="14852" max="14852" width="9.42578125" style="19" customWidth="1"/>
    <col min="14853" max="14853" width="10.140625" style="19" customWidth="1"/>
    <col min="14854" max="14854" width="9.28515625" style="19" customWidth="1"/>
    <col min="14855" max="14855" width="6.42578125" style="19" customWidth="1"/>
    <col min="14856" max="14856" width="9.85546875" style="19" customWidth="1"/>
    <col min="14857" max="14857" width="9.5703125" style="19" customWidth="1"/>
    <col min="14858" max="14858" width="9.140625" style="19"/>
    <col min="14859" max="14859" width="11" style="19" customWidth="1"/>
    <col min="14860" max="14860" width="9.28515625" style="19" customWidth="1"/>
    <col min="14861" max="14861" width="9.85546875" style="19" customWidth="1"/>
    <col min="14862" max="14863" width="0" style="19" hidden="1" customWidth="1"/>
    <col min="14864" max="14864" width="9.5703125" style="19" customWidth="1"/>
    <col min="14865" max="14876" width="0" style="19" hidden="1" customWidth="1"/>
    <col min="14877" max="14878" width="6.5703125" style="19" customWidth="1"/>
    <col min="14879" max="14882" width="0" style="19" hidden="1" customWidth="1"/>
    <col min="14883" max="14883" width="5.85546875" style="19" customWidth="1"/>
    <col min="14884" max="14884" width="0" style="19" hidden="1" customWidth="1"/>
    <col min="14885" max="14887" width="5.85546875" style="19" customWidth="1"/>
    <col min="14888" max="14888" width="7.7109375" style="19" customWidth="1"/>
    <col min="14889" max="14889" width="9.140625" style="19" bestFit="1" customWidth="1"/>
    <col min="14890" max="14891" width="8.5703125" style="19" bestFit="1" customWidth="1"/>
    <col min="14892" max="14892" width="7.5703125" style="19" customWidth="1"/>
    <col min="14893" max="14895" width="9.28515625" style="19" customWidth="1"/>
    <col min="14896" max="14897" width="7.85546875" style="19" customWidth="1"/>
    <col min="14898" max="14899" width="6.42578125" style="19" customWidth="1"/>
    <col min="14900" max="14900" width="10.7109375" style="19" customWidth="1"/>
    <col min="14901" max="14901" width="40.7109375" style="19" customWidth="1"/>
    <col min="14902" max="14902" width="5" style="19" customWidth="1"/>
    <col min="14903" max="14903" width="5.5703125" style="19" customWidth="1"/>
    <col min="14904" max="14907" width="9.140625" style="19"/>
    <col min="14908" max="14909" width="8.7109375" style="19" customWidth="1"/>
    <col min="14910" max="15104" width="9.140625" style="19"/>
    <col min="15105" max="15105" width="1.85546875" style="19" customWidth="1"/>
    <col min="15106" max="15106" width="9.85546875" style="19" customWidth="1"/>
    <col min="15107" max="15107" width="6.7109375" style="19" bestFit="1" customWidth="1"/>
    <col min="15108" max="15108" width="9.42578125" style="19" customWidth="1"/>
    <col min="15109" max="15109" width="10.140625" style="19" customWidth="1"/>
    <col min="15110" max="15110" width="9.28515625" style="19" customWidth="1"/>
    <col min="15111" max="15111" width="6.42578125" style="19" customWidth="1"/>
    <col min="15112" max="15112" width="9.85546875" style="19" customWidth="1"/>
    <col min="15113" max="15113" width="9.5703125" style="19" customWidth="1"/>
    <col min="15114" max="15114" width="9.140625" style="19"/>
    <col min="15115" max="15115" width="11" style="19" customWidth="1"/>
    <col min="15116" max="15116" width="9.28515625" style="19" customWidth="1"/>
    <col min="15117" max="15117" width="9.85546875" style="19" customWidth="1"/>
    <col min="15118" max="15119" width="0" style="19" hidden="1" customWidth="1"/>
    <col min="15120" max="15120" width="9.5703125" style="19" customWidth="1"/>
    <col min="15121" max="15132" width="0" style="19" hidden="1" customWidth="1"/>
    <col min="15133" max="15134" width="6.5703125" style="19" customWidth="1"/>
    <col min="15135" max="15138" width="0" style="19" hidden="1" customWidth="1"/>
    <col min="15139" max="15139" width="5.85546875" style="19" customWidth="1"/>
    <col min="15140" max="15140" width="0" style="19" hidden="1" customWidth="1"/>
    <col min="15141" max="15143" width="5.85546875" style="19" customWidth="1"/>
    <col min="15144" max="15144" width="7.7109375" style="19" customWidth="1"/>
    <col min="15145" max="15145" width="9.140625" style="19" bestFit="1" customWidth="1"/>
    <col min="15146" max="15147" width="8.5703125" style="19" bestFit="1" customWidth="1"/>
    <col min="15148" max="15148" width="7.5703125" style="19" customWidth="1"/>
    <col min="15149" max="15151" width="9.28515625" style="19" customWidth="1"/>
    <col min="15152" max="15153" width="7.85546875" style="19" customWidth="1"/>
    <col min="15154" max="15155" width="6.42578125" style="19" customWidth="1"/>
    <col min="15156" max="15156" width="10.7109375" style="19" customWidth="1"/>
    <col min="15157" max="15157" width="40.7109375" style="19" customWidth="1"/>
    <col min="15158" max="15158" width="5" style="19" customWidth="1"/>
    <col min="15159" max="15159" width="5.5703125" style="19" customWidth="1"/>
    <col min="15160" max="15163" width="9.140625" style="19"/>
    <col min="15164" max="15165" width="8.7109375" style="19" customWidth="1"/>
    <col min="15166" max="15360" width="9.140625" style="19"/>
    <col min="15361" max="15361" width="1.85546875" style="19" customWidth="1"/>
    <col min="15362" max="15362" width="9.85546875" style="19" customWidth="1"/>
    <col min="15363" max="15363" width="6.7109375" style="19" bestFit="1" customWidth="1"/>
    <col min="15364" max="15364" width="9.42578125" style="19" customWidth="1"/>
    <col min="15365" max="15365" width="10.140625" style="19" customWidth="1"/>
    <col min="15366" max="15366" width="9.28515625" style="19" customWidth="1"/>
    <col min="15367" max="15367" width="6.42578125" style="19" customWidth="1"/>
    <col min="15368" max="15368" width="9.85546875" style="19" customWidth="1"/>
    <col min="15369" max="15369" width="9.5703125" style="19" customWidth="1"/>
    <col min="15370" max="15370" width="9.140625" style="19"/>
    <col min="15371" max="15371" width="11" style="19" customWidth="1"/>
    <col min="15372" max="15372" width="9.28515625" style="19" customWidth="1"/>
    <col min="15373" max="15373" width="9.85546875" style="19" customWidth="1"/>
    <col min="15374" max="15375" width="0" style="19" hidden="1" customWidth="1"/>
    <col min="15376" max="15376" width="9.5703125" style="19" customWidth="1"/>
    <col min="15377" max="15388" width="0" style="19" hidden="1" customWidth="1"/>
    <col min="15389" max="15390" width="6.5703125" style="19" customWidth="1"/>
    <col min="15391" max="15394" width="0" style="19" hidden="1" customWidth="1"/>
    <col min="15395" max="15395" width="5.85546875" style="19" customWidth="1"/>
    <col min="15396" max="15396" width="0" style="19" hidden="1" customWidth="1"/>
    <col min="15397" max="15399" width="5.85546875" style="19" customWidth="1"/>
    <col min="15400" max="15400" width="7.7109375" style="19" customWidth="1"/>
    <col min="15401" max="15401" width="9.140625" style="19" bestFit="1" customWidth="1"/>
    <col min="15402" max="15403" width="8.5703125" style="19" bestFit="1" customWidth="1"/>
    <col min="15404" max="15404" width="7.5703125" style="19" customWidth="1"/>
    <col min="15405" max="15407" width="9.28515625" style="19" customWidth="1"/>
    <col min="15408" max="15409" width="7.85546875" style="19" customWidth="1"/>
    <col min="15410" max="15411" width="6.42578125" style="19" customWidth="1"/>
    <col min="15412" max="15412" width="10.7109375" style="19" customWidth="1"/>
    <col min="15413" max="15413" width="40.7109375" style="19" customWidth="1"/>
    <col min="15414" max="15414" width="5" style="19" customWidth="1"/>
    <col min="15415" max="15415" width="5.5703125" style="19" customWidth="1"/>
    <col min="15416" max="15419" width="9.140625" style="19"/>
    <col min="15420" max="15421" width="8.7109375" style="19" customWidth="1"/>
    <col min="15422" max="15616" width="9.140625" style="19"/>
    <col min="15617" max="15617" width="1.85546875" style="19" customWidth="1"/>
    <col min="15618" max="15618" width="9.85546875" style="19" customWidth="1"/>
    <col min="15619" max="15619" width="6.7109375" style="19" bestFit="1" customWidth="1"/>
    <col min="15620" max="15620" width="9.42578125" style="19" customWidth="1"/>
    <col min="15621" max="15621" width="10.140625" style="19" customWidth="1"/>
    <col min="15622" max="15622" width="9.28515625" style="19" customWidth="1"/>
    <col min="15623" max="15623" width="6.42578125" style="19" customWidth="1"/>
    <col min="15624" max="15624" width="9.85546875" style="19" customWidth="1"/>
    <col min="15625" max="15625" width="9.5703125" style="19" customWidth="1"/>
    <col min="15626" max="15626" width="9.140625" style="19"/>
    <col min="15627" max="15627" width="11" style="19" customWidth="1"/>
    <col min="15628" max="15628" width="9.28515625" style="19" customWidth="1"/>
    <col min="15629" max="15629" width="9.85546875" style="19" customWidth="1"/>
    <col min="15630" max="15631" width="0" style="19" hidden="1" customWidth="1"/>
    <col min="15632" max="15632" width="9.5703125" style="19" customWidth="1"/>
    <col min="15633" max="15644" width="0" style="19" hidden="1" customWidth="1"/>
    <col min="15645" max="15646" width="6.5703125" style="19" customWidth="1"/>
    <col min="15647" max="15650" width="0" style="19" hidden="1" customWidth="1"/>
    <col min="15651" max="15651" width="5.85546875" style="19" customWidth="1"/>
    <col min="15652" max="15652" width="0" style="19" hidden="1" customWidth="1"/>
    <col min="15653" max="15655" width="5.85546875" style="19" customWidth="1"/>
    <col min="15656" max="15656" width="7.7109375" style="19" customWidth="1"/>
    <col min="15657" max="15657" width="9.140625" style="19" bestFit="1" customWidth="1"/>
    <col min="15658" max="15659" width="8.5703125" style="19" bestFit="1" customWidth="1"/>
    <col min="15660" max="15660" width="7.5703125" style="19" customWidth="1"/>
    <col min="15661" max="15663" width="9.28515625" style="19" customWidth="1"/>
    <col min="15664" max="15665" width="7.85546875" style="19" customWidth="1"/>
    <col min="15666" max="15667" width="6.42578125" style="19" customWidth="1"/>
    <col min="15668" max="15668" width="10.7109375" style="19" customWidth="1"/>
    <col min="15669" max="15669" width="40.7109375" style="19" customWidth="1"/>
    <col min="15670" max="15670" width="5" style="19" customWidth="1"/>
    <col min="15671" max="15671" width="5.5703125" style="19" customWidth="1"/>
    <col min="15672" max="15675" width="9.140625" style="19"/>
    <col min="15676" max="15677" width="8.7109375" style="19" customWidth="1"/>
    <col min="15678" max="15872" width="9.140625" style="19"/>
    <col min="15873" max="15873" width="1.85546875" style="19" customWidth="1"/>
    <col min="15874" max="15874" width="9.85546875" style="19" customWidth="1"/>
    <col min="15875" max="15875" width="6.7109375" style="19" bestFit="1" customWidth="1"/>
    <col min="15876" max="15876" width="9.42578125" style="19" customWidth="1"/>
    <col min="15877" max="15877" width="10.140625" style="19" customWidth="1"/>
    <col min="15878" max="15878" width="9.28515625" style="19" customWidth="1"/>
    <col min="15879" max="15879" width="6.42578125" style="19" customWidth="1"/>
    <col min="15880" max="15880" width="9.85546875" style="19" customWidth="1"/>
    <col min="15881" max="15881" width="9.5703125" style="19" customWidth="1"/>
    <col min="15882" max="15882" width="9.140625" style="19"/>
    <col min="15883" max="15883" width="11" style="19" customWidth="1"/>
    <col min="15884" max="15884" width="9.28515625" style="19" customWidth="1"/>
    <col min="15885" max="15885" width="9.85546875" style="19" customWidth="1"/>
    <col min="15886" max="15887" width="0" style="19" hidden="1" customWidth="1"/>
    <col min="15888" max="15888" width="9.5703125" style="19" customWidth="1"/>
    <col min="15889" max="15900" width="0" style="19" hidden="1" customWidth="1"/>
    <col min="15901" max="15902" width="6.5703125" style="19" customWidth="1"/>
    <col min="15903" max="15906" width="0" style="19" hidden="1" customWidth="1"/>
    <col min="15907" max="15907" width="5.85546875" style="19" customWidth="1"/>
    <col min="15908" max="15908" width="0" style="19" hidden="1" customWidth="1"/>
    <col min="15909" max="15911" width="5.85546875" style="19" customWidth="1"/>
    <col min="15912" max="15912" width="7.7109375" style="19" customWidth="1"/>
    <col min="15913" max="15913" width="9.140625" style="19" bestFit="1" customWidth="1"/>
    <col min="15914" max="15915" width="8.5703125" style="19" bestFit="1" customWidth="1"/>
    <col min="15916" max="15916" width="7.5703125" style="19" customWidth="1"/>
    <col min="15917" max="15919" width="9.28515625" style="19" customWidth="1"/>
    <col min="15920" max="15921" width="7.85546875" style="19" customWidth="1"/>
    <col min="15922" max="15923" width="6.42578125" style="19" customWidth="1"/>
    <col min="15924" max="15924" width="10.7109375" style="19" customWidth="1"/>
    <col min="15925" max="15925" width="40.7109375" style="19" customWidth="1"/>
    <col min="15926" max="15926" width="5" style="19" customWidth="1"/>
    <col min="15927" max="15927" width="5.5703125" style="19" customWidth="1"/>
    <col min="15928" max="15931" width="9.140625" style="19"/>
    <col min="15932" max="15933" width="8.7109375" style="19" customWidth="1"/>
    <col min="15934" max="16128" width="9.140625" style="19"/>
    <col min="16129" max="16129" width="1.85546875" style="19" customWidth="1"/>
    <col min="16130" max="16130" width="9.85546875" style="19" customWidth="1"/>
    <col min="16131" max="16131" width="6.7109375" style="19" bestFit="1" customWidth="1"/>
    <col min="16132" max="16132" width="9.42578125" style="19" customWidth="1"/>
    <col min="16133" max="16133" width="10.140625" style="19" customWidth="1"/>
    <col min="16134" max="16134" width="9.28515625" style="19" customWidth="1"/>
    <col min="16135" max="16135" width="6.42578125" style="19" customWidth="1"/>
    <col min="16136" max="16136" width="9.85546875" style="19" customWidth="1"/>
    <col min="16137" max="16137" width="9.5703125" style="19" customWidth="1"/>
    <col min="16138" max="16138" width="9.140625" style="19"/>
    <col min="16139" max="16139" width="11" style="19" customWidth="1"/>
    <col min="16140" max="16140" width="9.28515625" style="19" customWidth="1"/>
    <col min="16141" max="16141" width="9.85546875" style="19" customWidth="1"/>
    <col min="16142" max="16143" width="0" style="19" hidden="1" customWidth="1"/>
    <col min="16144" max="16144" width="9.5703125" style="19" customWidth="1"/>
    <col min="16145" max="16156" width="0" style="19" hidden="1" customWidth="1"/>
    <col min="16157" max="16158" width="6.5703125" style="19" customWidth="1"/>
    <col min="16159" max="16162" width="0" style="19" hidden="1" customWidth="1"/>
    <col min="16163" max="16163" width="5.85546875" style="19" customWidth="1"/>
    <col min="16164" max="16164" width="0" style="19" hidden="1" customWidth="1"/>
    <col min="16165" max="16167" width="5.85546875" style="19" customWidth="1"/>
    <col min="16168" max="16168" width="7.7109375" style="19" customWidth="1"/>
    <col min="16169" max="16169" width="9.140625" style="19" bestFit="1" customWidth="1"/>
    <col min="16170" max="16171" width="8.5703125" style="19" bestFit="1" customWidth="1"/>
    <col min="16172" max="16172" width="7.5703125" style="19" customWidth="1"/>
    <col min="16173" max="16175" width="9.28515625" style="19" customWidth="1"/>
    <col min="16176" max="16177" width="7.85546875" style="19" customWidth="1"/>
    <col min="16178" max="16179" width="6.42578125" style="19" customWidth="1"/>
    <col min="16180" max="16180" width="10.7109375" style="19" customWidth="1"/>
    <col min="16181" max="16181" width="40.7109375" style="19" customWidth="1"/>
    <col min="16182" max="16182" width="5" style="19" customWidth="1"/>
    <col min="16183" max="16183" width="5.5703125" style="19" customWidth="1"/>
    <col min="16184" max="16187" width="9.140625" style="19"/>
    <col min="16188" max="16189" width="8.7109375" style="19" customWidth="1"/>
    <col min="16190" max="16384" width="9.140625" style="19"/>
  </cols>
  <sheetData>
    <row r="1" spans="1:61" ht="15" hidden="1">
      <c r="D1" s="221"/>
      <c r="E1" s="139" t="s">
        <v>44</v>
      </c>
      <c r="I1" s="222" t="s">
        <v>45</v>
      </c>
    </row>
    <row r="2" spans="1:61" ht="15" hidden="1">
      <c r="D2" s="223"/>
      <c r="E2" s="139" t="s">
        <v>46</v>
      </c>
      <c r="I2" s="222" t="s">
        <v>47</v>
      </c>
    </row>
    <row r="3" spans="1:61" ht="15" hidden="1">
      <c r="D3" s="224"/>
      <c r="E3" s="139" t="s">
        <v>48</v>
      </c>
      <c r="L3" s="222" t="s">
        <v>49</v>
      </c>
    </row>
    <row r="4" spans="1:61" hidden="1">
      <c r="D4" s="139" t="s">
        <v>50</v>
      </c>
      <c r="E4" s="139" t="s">
        <v>51</v>
      </c>
    </row>
    <row r="5" spans="1:61" ht="15">
      <c r="H5" s="225"/>
      <c r="I5" s="226"/>
      <c r="K5" s="82" t="s">
        <v>52</v>
      </c>
      <c r="L5" s="543">
        <v>43952</v>
      </c>
      <c r="M5" s="544"/>
    </row>
    <row r="6" spans="1:61" ht="17.25">
      <c r="C6" s="227"/>
      <c r="F6" s="228" t="s">
        <v>201</v>
      </c>
      <c r="G6" s="229"/>
      <c r="H6" s="228"/>
      <c r="I6" s="228"/>
      <c r="K6" s="230" t="s">
        <v>212</v>
      </c>
      <c r="L6" s="545" t="str">
        <f>TEXT(L5,"mmmm")</f>
        <v>May</v>
      </c>
      <c r="M6" s="545"/>
      <c r="N6" s="228"/>
      <c r="O6" s="228"/>
      <c r="P6" s="231" t="s">
        <v>229</v>
      </c>
      <c r="Q6" s="232"/>
      <c r="R6" s="233"/>
      <c r="S6" s="233"/>
      <c r="T6" s="233"/>
      <c r="U6" s="233"/>
      <c r="V6" s="233"/>
      <c r="W6" s="546" t="s">
        <v>53</v>
      </c>
      <c r="X6" s="547"/>
      <c r="Y6" s="547"/>
      <c r="Z6" s="547"/>
      <c r="AA6" s="547"/>
      <c r="AB6" s="548"/>
      <c r="AC6" s="234"/>
      <c r="AD6" s="235"/>
      <c r="AE6" s="549" t="s">
        <v>54</v>
      </c>
      <c r="AF6" s="550"/>
      <c r="AG6" s="550"/>
      <c r="AH6" s="550"/>
      <c r="AI6" s="550"/>
      <c r="AJ6" s="550"/>
      <c r="AK6" s="550"/>
      <c r="AL6" s="550"/>
      <c r="AM6" s="235"/>
      <c r="AN6" s="236"/>
      <c r="AO6" s="236"/>
      <c r="AP6" s="236"/>
      <c r="AQ6" s="236"/>
      <c r="AR6" s="237"/>
      <c r="AS6" s="551" t="s">
        <v>55</v>
      </c>
      <c r="AT6" s="552"/>
      <c r="AU6" s="553"/>
      <c r="AV6" s="238" t="s">
        <v>56</v>
      </c>
      <c r="AW6" s="239"/>
      <c r="AX6" s="240" t="s">
        <v>57</v>
      </c>
      <c r="AY6" s="241"/>
      <c r="AZ6" s="242"/>
      <c r="BA6" s="243" t="s">
        <v>58</v>
      </c>
      <c r="BC6" s="139" t="s">
        <v>59</v>
      </c>
    </row>
    <row r="7" spans="1:61" ht="17.25">
      <c r="C7" s="227"/>
      <c r="F7" s="228"/>
      <c r="G7" s="229"/>
      <c r="H7" s="228"/>
      <c r="I7" s="228"/>
      <c r="K7" s="230"/>
      <c r="L7" s="231"/>
      <c r="M7" s="231"/>
      <c r="N7" s="228"/>
      <c r="O7" s="228"/>
      <c r="P7" s="231"/>
      <c r="Q7" s="232"/>
      <c r="R7" s="233"/>
      <c r="S7" s="233"/>
      <c r="T7" s="233"/>
      <c r="U7" s="233"/>
      <c r="V7" s="233"/>
      <c r="W7" s="244"/>
      <c r="X7" s="245"/>
      <c r="Y7" s="245"/>
      <c r="Z7" s="245"/>
      <c r="AA7" s="245"/>
      <c r="AB7" s="246"/>
      <c r="AC7" s="234"/>
      <c r="AD7" s="235"/>
      <c r="AE7" s="247"/>
      <c r="AF7" s="235"/>
      <c r="AG7" s="235"/>
      <c r="AH7" s="235"/>
      <c r="AI7" s="235"/>
      <c r="AJ7" s="235"/>
      <c r="AK7" s="235"/>
      <c r="AL7" s="235"/>
      <c r="AM7" s="235"/>
      <c r="AN7" s="236"/>
      <c r="AO7" s="236"/>
      <c r="AP7" s="236"/>
      <c r="AQ7" s="236"/>
      <c r="AR7" s="237"/>
      <c r="AS7" s="248"/>
      <c r="AT7" s="249"/>
      <c r="AU7" s="250"/>
      <c r="AV7" s="238"/>
      <c r="AW7" s="239"/>
      <c r="AX7" s="240"/>
      <c r="AY7" s="241"/>
      <c r="AZ7" s="242"/>
      <c r="BA7" s="243"/>
      <c r="BC7" s="139"/>
    </row>
    <row r="8" spans="1:61" s="79" customFormat="1" ht="70.5" customHeight="1">
      <c r="B8" s="251" t="s">
        <v>60</v>
      </c>
      <c r="C8" s="252"/>
      <c r="D8" s="253" t="s">
        <v>61</v>
      </c>
      <c r="E8" s="253" t="s">
        <v>62</v>
      </c>
      <c r="F8" s="253" t="s">
        <v>63</v>
      </c>
      <c r="G8" s="254" t="s">
        <v>64</v>
      </c>
      <c r="H8" s="253" t="s">
        <v>65</v>
      </c>
      <c r="I8" s="253" t="s">
        <v>66</v>
      </c>
      <c r="J8" s="253" t="s">
        <v>67</v>
      </c>
      <c r="K8" s="253" t="s">
        <v>68</v>
      </c>
      <c r="L8" s="253" t="s">
        <v>69</v>
      </c>
      <c r="M8" s="253" t="s">
        <v>70</v>
      </c>
      <c r="N8" s="255" t="s">
        <v>71</v>
      </c>
      <c r="O8" s="255" t="s">
        <v>72</v>
      </c>
      <c r="P8" s="253" t="s">
        <v>73</v>
      </c>
      <c r="Q8" s="253" t="s">
        <v>74</v>
      </c>
      <c r="R8" s="256" t="s">
        <v>75</v>
      </c>
      <c r="S8" s="256" t="s">
        <v>76</v>
      </c>
      <c r="T8" s="256" t="s">
        <v>77</v>
      </c>
      <c r="U8" s="256" t="s">
        <v>78</v>
      </c>
      <c r="V8" s="256" t="s">
        <v>79</v>
      </c>
      <c r="W8" s="256" t="s">
        <v>80</v>
      </c>
      <c r="X8" s="256" t="s">
        <v>81</v>
      </c>
      <c r="Y8" s="253" t="s">
        <v>82</v>
      </c>
      <c r="Z8" s="256" t="s">
        <v>83</v>
      </c>
      <c r="AA8" s="256" t="s">
        <v>84</v>
      </c>
      <c r="AB8" s="257" t="s">
        <v>85</v>
      </c>
      <c r="AC8" s="258" t="s">
        <v>86</v>
      </c>
      <c r="AD8" s="259" t="s">
        <v>87</v>
      </c>
      <c r="AE8" s="260" t="s">
        <v>88</v>
      </c>
      <c r="AF8" s="260" t="s">
        <v>89</v>
      </c>
      <c r="AG8" s="260" t="s">
        <v>90</v>
      </c>
      <c r="AH8" s="260" t="s">
        <v>91</v>
      </c>
      <c r="AI8" s="260" t="s">
        <v>92</v>
      </c>
      <c r="AJ8" s="261" t="s">
        <v>93</v>
      </c>
      <c r="AK8" s="261" t="s">
        <v>94</v>
      </c>
      <c r="AL8" s="262" t="s">
        <v>95</v>
      </c>
      <c r="AM8" s="263" t="s">
        <v>96</v>
      </c>
      <c r="AN8" s="537" t="s">
        <v>97</v>
      </c>
      <c r="AO8" s="559"/>
      <c r="AP8" s="559"/>
      <c r="AQ8" s="559"/>
      <c r="AR8" s="560"/>
      <c r="AS8" s="561" t="s">
        <v>98</v>
      </c>
      <c r="AT8" s="562"/>
      <c r="AU8" s="563"/>
      <c r="AV8" s="207"/>
      <c r="AW8" s="156"/>
      <c r="AX8" s="264" t="s">
        <v>99</v>
      </c>
      <c r="AY8" s="264" t="s">
        <v>100</v>
      </c>
      <c r="AZ8" s="265" t="s">
        <v>101</v>
      </c>
      <c r="BA8" s="266" t="s">
        <v>102</v>
      </c>
      <c r="BC8" s="252"/>
      <c r="BD8" s="253" t="s">
        <v>103</v>
      </c>
      <c r="BE8" s="253" t="s">
        <v>104</v>
      </c>
      <c r="BF8" s="253" t="s">
        <v>105</v>
      </c>
      <c r="BG8" s="253" t="s">
        <v>106</v>
      </c>
      <c r="BH8" s="253" t="s">
        <v>107</v>
      </c>
      <c r="BI8" s="253" t="s">
        <v>70</v>
      </c>
    </row>
    <row r="9" spans="1:61" ht="75" customHeight="1">
      <c r="B9" s="251" t="s">
        <v>108</v>
      </c>
      <c r="C9" s="267"/>
      <c r="D9" s="268" t="s">
        <v>109</v>
      </c>
      <c r="E9" s="268" t="s">
        <v>110</v>
      </c>
      <c r="F9" s="269" t="s">
        <v>111</v>
      </c>
      <c r="G9" s="270" t="s">
        <v>112</v>
      </c>
      <c r="H9" s="269" t="s">
        <v>113</v>
      </c>
      <c r="I9" s="269" t="s">
        <v>114</v>
      </c>
      <c r="J9" s="269" t="s">
        <v>115</v>
      </c>
      <c r="K9" s="269" t="s">
        <v>116</v>
      </c>
      <c r="L9" s="269" t="s">
        <v>69</v>
      </c>
      <c r="M9" s="269" t="s">
        <v>117</v>
      </c>
      <c r="N9" s="270" t="s">
        <v>118</v>
      </c>
      <c r="O9" s="270" t="s">
        <v>119</v>
      </c>
      <c r="P9" s="82" t="s">
        <v>226</v>
      </c>
      <c r="Q9" s="269" t="s">
        <v>120</v>
      </c>
      <c r="R9" s="269" t="s">
        <v>121</v>
      </c>
      <c r="S9" s="271"/>
      <c r="T9" s="271" t="s">
        <v>122</v>
      </c>
      <c r="U9" s="271" t="s">
        <v>123</v>
      </c>
      <c r="V9" s="271" t="s">
        <v>124</v>
      </c>
      <c r="W9" s="272" t="s">
        <v>125</v>
      </c>
      <c r="X9" s="272" t="s">
        <v>126</v>
      </c>
      <c r="Y9" s="272" t="s">
        <v>127</v>
      </c>
      <c r="Z9" s="253" t="s">
        <v>128</v>
      </c>
      <c r="AA9" s="253" t="s">
        <v>129</v>
      </c>
      <c r="AB9" s="272" t="s">
        <v>130</v>
      </c>
      <c r="AC9" s="273" t="s">
        <v>131</v>
      </c>
      <c r="AD9" s="274" t="s">
        <v>132</v>
      </c>
      <c r="AE9" s="275" t="s">
        <v>133</v>
      </c>
      <c r="AF9" s="275" t="s">
        <v>134</v>
      </c>
      <c r="AG9" s="275" t="s">
        <v>135</v>
      </c>
      <c r="AH9" s="275" t="s">
        <v>136</v>
      </c>
      <c r="AI9" s="275" t="s">
        <v>137</v>
      </c>
      <c r="AJ9" s="262" t="s">
        <v>138</v>
      </c>
      <c r="AK9" s="262" t="s">
        <v>139</v>
      </c>
      <c r="AL9" s="262" t="s">
        <v>140</v>
      </c>
      <c r="AM9" s="276" t="s">
        <v>141</v>
      </c>
      <c r="AN9" s="273" t="s">
        <v>142</v>
      </c>
      <c r="AO9" s="274" t="s">
        <v>143</v>
      </c>
      <c r="AP9" s="275" t="s">
        <v>144</v>
      </c>
      <c r="AQ9" s="262" t="s">
        <v>145</v>
      </c>
      <c r="AR9" s="253" t="s">
        <v>146</v>
      </c>
      <c r="AS9" s="253" t="s">
        <v>147</v>
      </c>
      <c r="AT9" s="253" t="s">
        <v>148</v>
      </c>
      <c r="AU9" s="277" t="s">
        <v>149</v>
      </c>
      <c r="AV9" s="277" t="s">
        <v>150</v>
      </c>
      <c r="AW9" s="277" t="s">
        <v>151</v>
      </c>
      <c r="AX9" s="278" t="s">
        <v>152</v>
      </c>
      <c r="AY9" s="278" t="s">
        <v>153</v>
      </c>
      <c r="AZ9" s="279" t="s">
        <v>154</v>
      </c>
      <c r="BA9" s="280" t="s">
        <v>155</v>
      </c>
      <c r="BC9" s="267"/>
      <c r="BD9" s="269" t="s">
        <v>156</v>
      </c>
      <c r="BE9" s="269" t="s">
        <v>157</v>
      </c>
      <c r="BF9" s="269" t="s">
        <v>115</v>
      </c>
      <c r="BG9" s="269" t="s">
        <v>158</v>
      </c>
      <c r="BH9" s="269" t="s">
        <v>159</v>
      </c>
      <c r="BI9" s="269" t="s">
        <v>160</v>
      </c>
    </row>
    <row r="10" spans="1:61" s="106" customFormat="1" ht="18" customHeight="1">
      <c r="A10" s="19"/>
      <c r="B10" s="302"/>
      <c r="C10" s="303">
        <v>1</v>
      </c>
      <c r="D10" s="281"/>
      <c r="E10" s="458">
        <f>'SQ-1'!G5+'SQ-2'!G5+'SQ-3'!G5+'SQ-4'!G5+'SQ-5'!G5+'SQ-6'!G5+'SQ-7'!G5+'SQ-8'!G5+'SQ-9'!G5</f>
        <v>0</v>
      </c>
      <c r="F10" s="283">
        <f>D10</f>
        <v>0</v>
      </c>
      <c r="G10" s="284" t="str">
        <f>IF(B10="*","0","1")</f>
        <v>1</v>
      </c>
      <c r="H10" s="283">
        <f>E10</f>
        <v>0</v>
      </c>
      <c r="I10" s="283">
        <f t="shared" ref="I10:I39" si="0">IF(E10="","",ROUND(H10/G10,0))</f>
        <v>0</v>
      </c>
      <c r="J10" s="285">
        <f>'SQ-1'!B5+'SQ-2'!B5+'SQ-3'!B5+'SQ-4'!B5+'SQ-5'!B5+'SQ-6'!B5+'SQ-7'!B5+'SQ-8'!B5+'SQ-9'!B5</f>
        <v>0</v>
      </c>
      <c r="K10" s="286">
        <f>J10</f>
        <v>0</v>
      </c>
      <c r="L10" s="283" t="e">
        <f>E10/J10</f>
        <v>#DIV/0!</v>
      </c>
      <c r="M10" s="283" t="e">
        <f>H10/K10</f>
        <v>#DIV/0!</v>
      </c>
      <c r="N10" s="285"/>
      <c r="O10" s="287" t="e">
        <f t="shared" ref="O10:O41" si="1">N10/J10</f>
        <v>#DIV/0!</v>
      </c>
      <c r="P10" s="282">
        <f>'SQ-1'!F5+'SQ-2'!F5+'SQ-3'!F5+'SQ-4'!F5+'SQ-5'!F5+'SQ-6'!F5+'SQ-7'!F5+'SQ-8'!F5+'SQ-9'!F5</f>
        <v>0</v>
      </c>
      <c r="Q10" s="288"/>
      <c r="R10" s="288"/>
      <c r="S10" s="288"/>
      <c r="T10" s="289"/>
      <c r="U10" s="290"/>
      <c r="V10" s="291"/>
      <c r="W10" s="282"/>
      <c r="X10" s="282"/>
      <c r="Y10" s="282"/>
      <c r="Z10" s="282"/>
      <c r="AA10" s="282"/>
      <c r="AB10" s="292"/>
      <c r="AC10" s="293"/>
      <c r="AD10" s="293"/>
      <c r="AE10" s="282"/>
      <c r="AF10" s="282"/>
      <c r="AG10" s="282"/>
      <c r="AH10" s="282"/>
      <c r="AI10" s="282"/>
      <c r="AJ10" s="282"/>
      <c r="AK10" s="282"/>
      <c r="AL10" s="282"/>
      <c r="AM10" s="282"/>
      <c r="AN10" s="292"/>
      <c r="AO10" s="292"/>
      <c r="AP10" s="294"/>
      <c r="AQ10" s="294"/>
      <c r="AR10" s="295"/>
      <c r="AS10" s="288"/>
      <c r="AT10" s="282"/>
      <c r="AU10" s="296"/>
      <c r="AV10" s="282"/>
      <c r="AW10" s="282"/>
      <c r="AX10" s="297"/>
      <c r="AY10" s="298"/>
      <c r="AZ10" s="299"/>
      <c r="BA10" s="300"/>
      <c r="BB10" s="301"/>
      <c r="BC10" s="284">
        <v>1</v>
      </c>
      <c r="BD10" s="282">
        <f>E10</f>
        <v>0</v>
      </c>
      <c r="BE10" s="283">
        <f>BD10</f>
        <v>0</v>
      </c>
      <c r="BF10" s="285">
        <f>J10</f>
        <v>0</v>
      </c>
      <c r="BG10" s="286">
        <f>BF10</f>
        <v>0</v>
      </c>
      <c r="BH10" s="283" t="e">
        <f>BD10/BF10</f>
        <v>#DIV/0!</v>
      </c>
      <c r="BI10" s="283" t="e">
        <f>BE10/BG10</f>
        <v>#DIV/0!</v>
      </c>
    </row>
    <row r="11" spans="1:61" s="139" customFormat="1" ht="18" customHeight="1">
      <c r="A11" s="431"/>
      <c r="B11" s="302"/>
      <c r="C11" s="303">
        <v>2</v>
      </c>
      <c r="D11" s="281"/>
      <c r="E11" s="458">
        <f>'SQ-1'!G6+'SQ-2'!G6+'SQ-3'!G6+'SQ-4'!G6+'SQ-5'!G6+'SQ-6'!G6+'SQ-7'!G6+'SQ-8'!G6+'SQ-9'!G6</f>
        <v>0</v>
      </c>
      <c r="F11" s="305">
        <f t="shared" ref="F11:F40" si="2">F10+D11</f>
        <v>0</v>
      </c>
      <c r="G11" s="303">
        <f>IF(B11="*",G10,G10+1)</f>
        <v>2</v>
      </c>
      <c r="H11" s="305">
        <f t="shared" ref="H11:H22" si="3">H10+E11</f>
        <v>0</v>
      </c>
      <c r="I11" s="305">
        <f t="shared" si="0"/>
        <v>0</v>
      </c>
      <c r="J11" s="459">
        <f>'SQ-1'!B6+'SQ-2'!B6+'SQ-3'!B6+'SQ-4'!B6+'SQ-5'!B6+'SQ-6'!B6+'SQ-7'!B6+'SQ-8'!B6+'SQ-9'!B6</f>
        <v>0</v>
      </c>
      <c r="K11" s="307">
        <f t="shared" ref="K11:K40" si="4">+K10+J11</f>
        <v>0</v>
      </c>
      <c r="L11" s="305" t="e">
        <f t="shared" ref="L11:L39" si="5">E11/J11</f>
        <v>#DIV/0!</v>
      </c>
      <c r="M11" s="305" t="e">
        <f t="shared" ref="M11:M39" si="6">H11/K11</f>
        <v>#DIV/0!</v>
      </c>
      <c r="N11" s="306">
        <v>2.2599999999999998</v>
      </c>
      <c r="O11" s="308" t="e">
        <f t="shared" si="1"/>
        <v>#DIV/0!</v>
      </c>
      <c r="P11" s="458">
        <f>'SQ-1'!F6+'SQ-2'!F6+'SQ-3'!F6+'SQ-4'!F6+'SQ-5'!F6+'SQ-6'!F6+'SQ-7'!F6+'SQ-8'!F6+'SQ-9'!F6</f>
        <v>0</v>
      </c>
      <c r="Q11" s="309"/>
      <c r="R11" s="309"/>
      <c r="S11" s="309"/>
      <c r="T11" s="310"/>
      <c r="U11" s="311"/>
      <c r="V11" s="312"/>
      <c r="W11" s="313"/>
      <c r="X11" s="313"/>
      <c r="Y11" s="313"/>
      <c r="Z11" s="313"/>
      <c r="AA11" s="313"/>
      <c r="AB11" s="314"/>
      <c r="AC11" s="315"/>
      <c r="AD11" s="315"/>
      <c r="AE11" s="313"/>
      <c r="AF11" s="313"/>
      <c r="AG11" s="313"/>
      <c r="AH11" s="313"/>
      <c r="AI11" s="313"/>
      <c r="AJ11" s="313"/>
      <c r="AK11" s="313"/>
      <c r="AL11" s="313"/>
      <c r="AM11" s="313"/>
      <c r="AN11" s="316"/>
      <c r="AO11" s="316"/>
      <c r="AP11" s="317"/>
      <c r="AQ11" s="267"/>
      <c r="AR11" s="318"/>
      <c r="AS11" s="309"/>
      <c r="AT11" s="221"/>
      <c r="AU11" s="319"/>
      <c r="AV11" s="313"/>
      <c r="AW11" s="313"/>
      <c r="AX11" s="320"/>
      <c r="AY11" s="321"/>
      <c r="AZ11" s="322"/>
      <c r="BA11" s="323"/>
      <c r="BB11" s="324"/>
      <c r="BC11" s="303">
        <v>2</v>
      </c>
      <c r="BD11" s="325">
        <f>E11</f>
        <v>0</v>
      </c>
      <c r="BE11" s="325">
        <f t="shared" ref="BE11:BE40" si="7">BE10+BD11</f>
        <v>0</v>
      </c>
      <c r="BF11" s="326">
        <f>J11</f>
        <v>0</v>
      </c>
      <c r="BG11" s="307">
        <f t="shared" ref="BG11:BG40" si="8">+BG10+BF11</f>
        <v>0</v>
      </c>
      <c r="BH11" s="305" t="e">
        <f t="shared" ref="BH11:BI40" si="9">BD11/BF11</f>
        <v>#DIV/0!</v>
      </c>
      <c r="BI11" s="305" t="e">
        <f t="shared" si="9"/>
        <v>#DIV/0!</v>
      </c>
    </row>
    <row r="12" spans="1:61" s="139" customFormat="1" ht="18" customHeight="1">
      <c r="A12" s="431"/>
      <c r="B12" s="302"/>
      <c r="C12" s="303">
        <v>3</v>
      </c>
      <c r="D12" s="281"/>
      <c r="E12" s="458">
        <f>'SQ-1'!G7+'SQ-2'!G7+'SQ-3'!G7+'SQ-4'!G7+'SQ-5'!G7+'SQ-6'!G7+'SQ-7'!G7+'SQ-8'!G7+'SQ-9'!G7</f>
        <v>0</v>
      </c>
      <c r="F12" s="305">
        <f t="shared" si="2"/>
        <v>0</v>
      </c>
      <c r="G12" s="303">
        <f t="shared" ref="G12:G40" si="10">IF(B12="*",G11,G11+1)</f>
        <v>3</v>
      </c>
      <c r="H12" s="305">
        <f t="shared" si="3"/>
        <v>0</v>
      </c>
      <c r="I12" s="305">
        <f t="shared" si="0"/>
        <v>0</v>
      </c>
      <c r="J12" s="459">
        <f>'SQ-1'!B7+'SQ-2'!B7+'SQ-3'!B7+'SQ-4'!B7+'SQ-5'!B7+'SQ-6'!B7+'SQ-7'!B7+'SQ-8'!B7+'SQ-9'!B7</f>
        <v>0</v>
      </c>
      <c r="K12" s="307">
        <f t="shared" si="4"/>
        <v>0</v>
      </c>
      <c r="L12" s="305" t="e">
        <f t="shared" si="5"/>
        <v>#DIV/0!</v>
      </c>
      <c r="M12" s="305" t="e">
        <f t="shared" si="6"/>
        <v>#DIV/0!</v>
      </c>
      <c r="N12" s="306">
        <v>2.4</v>
      </c>
      <c r="O12" s="308" t="e">
        <f t="shared" si="1"/>
        <v>#DIV/0!</v>
      </c>
      <c r="P12" s="458">
        <f>'SQ-1'!F7+'SQ-2'!F7+'SQ-3'!F7+'SQ-4'!F7+'SQ-5'!F7+'SQ-6'!F7+'SQ-7'!F7+'SQ-8'!F7+'SQ-9'!F7</f>
        <v>0</v>
      </c>
      <c r="Q12" s="309"/>
      <c r="R12" s="309"/>
      <c r="S12" s="309"/>
      <c r="T12" s="310"/>
      <c r="U12" s="311"/>
      <c r="V12" s="312"/>
      <c r="W12" s="313"/>
      <c r="X12" s="313"/>
      <c r="Y12" s="313"/>
      <c r="Z12" s="313"/>
      <c r="AA12" s="313"/>
      <c r="AB12" s="314"/>
      <c r="AC12" s="327"/>
      <c r="AD12" s="327"/>
      <c r="AE12" s="304"/>
      <c r="AF12" s="304"/>
      <c r="AG12" s="304"/>
      <c r="AH12" s="304"/>
      <c r="AI12" s="304"/>
      <c r="AJ12" s="304"/>
      <c r="AK12" s="304"/>
      <c r="AL12" s="304"/>
      <c r="AM12" s="313"/>
      <c r="AN12" s="316"/>
      <c r="AO12" s="316"/>
      <c r="AP12" s="317"/>
      <c r="AQ12" s="267"/>
      <c r="AR12" s="318"/>
      <c r="AS12" s="309"/>
      <c r="AT12" s="221"/>
      <c r="AU12" s="319"/>
      <c r="AV12" s="313"/>
      <c r="AW12" s="313"/>
      <c r="AX12" s="320"/>
      <c r="AY12" s="321"/>
      <c r="AZ12" s="322"/>
      <c r="BA12" s="328"/>
      <c r="BB12" s="329"/>
      <c r="BC12" s="303">
        <v>3</v>
      </c>
      <c r="BD12" s="325">
        <f>E12</f>
        <v>0</v>
      </c>
      <c r="BE12" s="325">
        <f t="shared" si="7"/>
        <v>0</v>
      </c>
      <c r="BF12" s="326">
        <f>J12</f>
        <v>0</v>
      </c>
      <c r="BG12" s="307">
        <f t="shared" si="8"/>
        <v>0</v>
      </c>
      <c r="BH12" s="305" t="e">
        <f t="shared" si="9"/>
        <v>#DIV/0!</v>
      </c>
      <c r="BI12" s="305" t="e">
        <f t="shared" si="9"/>
        <v>#DIV/0!</v>
      </c>
    </row>
    <row r="13" spans="1:61" s="139" customFormat="1" ht="18" customHeight="1">
      <c r="A13" s="431"/>
      <c r="B13" s="302"/>
      <c r="C13" s="303">
        <v>4</v>
      </c>
      <c r="D13" s="281"/>
      <c r="E13" s="458">
        <f>'SQ-1'!G8+'SQ-2'!G8+'SQ-3'!G8+'SQ-4'!G8+'SQ-5'!G8+'SQ-6'!G8+'SQ-7'!G8+'SQ-8'!G8+'SQ-9'!G8</f>
        <v>0</v>
      </c>
      <c r="F13" s="305">
        <f t="shared" si="2"/>
        <v>0</v>
      </c>
      <c r="G13" s="303">
        <f t="shared" si="10"/>
        <v>4</v>
      </c>
      <c r="H13" s="305">
        <f t="shared" si="3"/>
        <v>0</v>
      </c>
      <c r="I13" s="305">
        <f t="shared" si="0"/>
        <v>0</v>
      </c>
      <c r="J13" s="459">
        <f>'SQ-1'!B8+'SQ-2'!B8+'SQ-3'!B8+'SQ-4'!B8+'SQ-5'!B8+'SQ-6'!B8+'SQ-7'!B8+'SQ-8'!B8+'SQ-9'!B8</f>
        <v>0</v>
      </c>
      <c r="K13" s="307">
        <f t="shared" si="4"/>
        <v>0</v>
      </c>
      <c r="L13" s="305" t="e">
        <f t="shared" si="5"/>
        <v>#DIV/0!</v>
      </c>
      <c r="M13" s="305" t="e">
        <f t="shared" si="6"/>
        <v>#DIV/0!</v>
      </c>
      <c r="N13" s="306">
        <v>3.5</v>
      </c>
      <c r="O13" s="308" t="e">
        <f t="shared" si="1"/>
        <v>#DIV/0!</v>
      </c>
      <c r="P13" s="458">
        <f>'SQ-1'!F8+'SQ-2'!F8+'SQ-3'!F8+'SQ-4'!F8+'SQ-5'!F8+'SQ-6'!F8+'SQ-7'!F8+'SQ-8'!F8+'SQ-9'!F8</f>
        <v>0</v>
      </c>
      <c r="Q13" s="309"/>
      <c r="R13" s="309"/>
      <c r="S13" s="309"/>
      <c r="T13" s="310"/>
      <c r="U13" s="311"/>
      <c r="V13" s="312"/>
      <c r="W13" s="313"/>
      <c r="X13" s="313"/>
      <c r="Y13" s="313"/>
      <c r="Z13" s="313"/>
      <c r="AA13" s="313"/>
      <c r="AB13" s="314"/>
      <c r="AC13" s="315"/>
      <c r="AD13" s="315"/>
      <c r="AE13" s="313"/>
      <c r="AF13" s="313"/>
      <c r="AG13" s="313"/>
      <c r="AH13" s="313"/>
      <c r="AI13" s="313"/>
      <c r="AJ13" s="313"/>
      <c r="AK13" s="313"/>
      <c r="AL13" s="313"/>
      <c r="AM13" s="313"/>
      <c r="AN13" s="316"/>
      <c r="AO13" s="316"/>
      <c r="AP13" s="317"/>
      <c r="AQ13" s="267"/>
      <c r="AR13" s="318"/>
      <c r="AS13" s="309"/>
      <c r="AT13" s="313"/>
      <c r="AU13" s="319"/>
      <c r="AV13" s="313"/>
      <c r="AW13" s="313"/>
      <c r="AX13" s="320"/>
      <c r="AY13" s="321"/>
      <c r="AZ13" s="322"/>
      <c r="BA13" s="323"/>
      <c r="BC13" s="303">
        <v>4</v>
      </c>
      <c r="BD13" s="325">
        <f>E13</f>
        <v>0</v>
      </c>
      <c r="BE13" s="325">
        <f t="shared" si="7"/>
        <v>0</v>
      </c>
      <c r="BF13" s="326">
        <f>J13</f>
        <v>0</v>
      </c>
      <c r="BG13" s="307">
        <f t="shared" si="8"/>
        <v>0</v>
      </c>
      <c r="BH13" s="305" t="e">
        <f t="shared" si="9"/>
        <v>#DIV/0!</v>
      </c>
      <c r="BI13" s="305" t="e">
        <f t="shared" si="9"/>
        <v>#DIV/0!</v>
      </c>
    </row>
    <row r="14" spans="1:61" s="139" customFormat="1" ht="18" customHeight="1">
      <c r="A14" s="431"/>
      <c r="B14" s="302"/>
      <c r="C14" s="303">
        <v>5</v>
      </c>
      <c r="D14" s="281"/>
      <c r="E14" s="458">
        <f>'SQ-1'!G9+'SQ-2'!G9+'SQ-3'!G9+'SQ-4'!G9+'SQ-5'!G9+'SQ-6'!G9+'SQ-7'!G9+'SQ-8'!G9+'SQ-9'!G9</f>
        <v>0</v>
      </c>
      <c r="F14" s="325">
        <f t="shared" si="2"/>
        <v>0</v>
      </c>
      <c r="G14" s="303">
        <f t="shared" si="10"/>
        <v>5</v>
      </c>
      <c r="H14" s="325">
        <f t="shared" si="3"/>
        <v>0</v>
      </c>
      <c r="I14" s="325">
        <f t="shared" si="0"/>
        <v>0</v>
      </c>
      <c r="J14" s="459">
        <f>'SQ-1'!B9+'SQ-2'!B9+'SQ-3'!B9+'SQ-4'!B9+'SQ-5'!B9+'SQ-6'!B9+'SQ-7'!B9+'SQ-8'!B9+'SQ-9'!B9</f>
        <v>0</v>
      </c>
      <c r="K14" s="330">
        <f t="shared" si="4"/>
        <v>0</v>
      </c>
      <c r="L14" s="325" t="e">
        <f t="shared" si="5"/>
        <v>#DIV/0!</v>
      </c>
      <c r="M14" s="325" t="e">
        <f t="shared" si="6"/>
        <v>#DIV/0!</v>
      </c>
      <c r="N14" s="306"/>
      <c r="O14" s="308" t="e">
        <f t="shared" si="1"/>
        <v>#DIV/0!</v>
      </c>
      <c r="P14" s="458">
        <f>'SQ-1'!F9+'SQ-2'!F9+'SQ-3'!F9+'SQ-4'!F9+'SQ-5'!F9+'SQ-6'!F9+'SQ-7'!F9+'SQ-8'!F9+'SQ-9'!F9</f>
        <v>0</v>
      </c>
      <c r="Q14" s="309"/>
      <c r="R14" s="309"/>
      <c r="S14" s="309"/>
      <c r="T14" s="310"/>
      <c r="U14" s="311"/>
      <c r="V14" s="312"/>
      <c r="W14" s="313"/>
      <c r="X14" s="313"/>
      <c r="Y14" s="313"/>
      <c r="Z14" s="313"/>
      <c r="AA14" s="313"/>
      <c r="AB14" s="314"/>
      <c r="AC14" s="327"/>
      <c r="AD14" s="327"/>
      <c r="AE14" s="304"/>
      <c r="AF14" s="304"/>
      <c r="AG14" s="304"/>
      <c r="AH14" s="304"/>
      <c r="AI14" s="304"/>
      <c r="AJ14" s="304"/>
      <c r="AK14" s="304"/>
      <c r="AL14" s="304"/>
      <c r="AM14" s="313"/>
      <c r="AN14" s="316"/>
      <c r="AO14" s="316"/>
      <c r="AP14" s="317"/>
      <c r="AQ14" s="267"/>
      <c r="AR14" s="331"/>
      <c r="AS14" s="309"/>
      <c r="AT14" s="221"/>
      <c r="AU14" s="319"/>
      <c r="AV14" s="313"/>
      <c r="AW14" s="313"/>
      <c r="AX14" s="320"/>
      <c r="AY14" s="321"/>
      <c r="AZ14" s="322"/>
      <c r="BA14" s="323"/>
      <c r="BB14" s="227"/>
      <c r="BC14" s="303">
        <v>5</v>
      </c>
      <c r="BD14" s="325">
        <f>E14</f>
        <v>0</v>
      </c>
      <c r="BE14" s="325">
        <f t="shared" si="7"/>
        <v>0</v>
      </c>
      <c r="BF14" s="326">
        <f>J14</f>
        <v>0</v>
      </c>
      <c r="BG14" s="330">
        <f t="shared" si="8"/>
        <v>0</v>
      </c>
      <c r="BH14" s="325" t="e">
        <f t="shared" si="9"/>
        <v>#DIV/0!</v>
      </c>
      <c r="BI14" s="325" t="e">
        <f t="shared" si="9"/>
        <v>#DIV/0!</v>
      </c>
    </row>
    <row r="15" spans="1:61" ht="18" customHeight="1">
      <c r="B15" s="302"/>
      <c r="C15" s="303">
        <v>6</v>
      </c>
      <c r="D15" s="281"/>
      <c r="E15" s="458">
        <f>'SQ-1'!G10+'SQ-2'!G10+'SQ-3'!G10+'SQ-4'!G10+'SQ-5'!G10+'SQ-6'!G10+'SQ-7'!G10+'SQ-8'!G10+'SQ-9'!G10</f>
        <v>0</v>
      </c>
      <c r="F15" s="325">
        <f t="shared" si="2"/>
        <v>0</v>
      </c>
      <c r="G15" s="303">
        <f t="shared" si="10"/>
        <v>6</v>
      </c>
      <c r="H15" s="325">
        <f t="shared" si="3"/>
        <v>0</v>
      </c>
      <c r="I15" s="325">
        <f t="shared" si="0"/>
        <v>0</v>
      </c>
      <c r="J15" s="459">
        <f>'SQ-1'!B10+'SQ-2'!B10+'SQ-3'!B10+'SQ-4'!B10+'SQ-5'!B10+'SQ-6'!B10+'SQ-7'!B10+'SQ-8'!B10+'SQ-9'!B10</f>
        <v>0</v>
      </c>
      <c r="K15" s="330">
        <f t="shared" si="4"/>
        <v>0</v>
      </c>
      <c r="L15" s="325" t="e">
        <f t="shared" si="5"/>
        <v>#DIV/0!</v>
      </c>
      <c r="M15" s="325" t="e">
        <f t="shared" si="6"/>
        <v>#DIV/0!</v>
      </c>
      <c r="N15" s="306"/>
      <c r="O15" s="308" t="e">
        <f t="shared" si="1"/>
        <v>#DIV/0!</v>
      </c>
      <c r="P15" s="458">
        <f>'SQ-1'!F10+'SQ-2'!F10+'SQ-3'!F10+'SQ-4'!F10+'SQ-5'!F10+'SQ-6'!F10+'SQ-7'!F10+'SQ-8'!F10+'SQ-9'!F10</f>
        <v>0</v>
      </c>
      <c r="Q15" s="309"/>
      <c r="R15" s="309"/>
      <c r="S15" s="309"/>
      <c r="T15" s="310"/>
      <c r="U15" s="311"/>
      <c r="V15" s="312"/>
      <c r="W15" s="304"/>
      <c r="X15" s="304"/>
      <c r="Y15" s="304"/>
      <c r="Z15" s="304"/>
      <c r="AA15" s="304"/>
      <c r="AB15" s="314"/>
      <c r="AC15" s="327"/>
      <c r="AD15" s="327"/>
      <c r="AE15" s="304"/>
      <c r="AF15" s="304"/>
      <c r="AG15" s="304"/>
      <c r="AH15" s="304"/>
      <c r="AI15" s="304"/>
      <c r="AJ15" s="304"/>
      <c r="AK15" s="304"/>
      <c r="AL15" s="304"/>
      <c r="AM15" s="304"/>
      <c r="AN15" s="316"/>
      <c r="AO15" s="316"/>
      <c r="AP15" s="317"/>
      <c r="AQ15" s="267"/>
      <c r="AR15" s="331"/>
      <c r="AS15" s="309"/>
      <c r="AT15" s="304"/>
      <c r="AU15" s="319"/>
      <c r="AV15" s="304"/>
      <c r="AW15" s="304"/>
      <c r="AX15" s="320"/>
      <c r="AY15" s="321"/>
      <c r="AZ15" s="322"/>
      <c r="BA15" s="323"/>
      <c r="BB15" s="220"/>
      <c r="BC15" s="303">
        <v>6</v>
      </c>
      <c r="BD15" s="325">
        <f t="shared" ref="BD15:BD40" si="11">E15</f>
        <v>0</v>
      </c>
      <c r="BE15" s="325">
        <f t="shared" si="7"/>
        <v>0</v>
      </c>
      <c r="BF15" s="326">
        <f t="shared" ref="BF15:BF39" si="12">J15</f>
        <v>0</v>
      </c>
      <c r="BG15" s="330">
        <f t="shared" si="8"/>
        <v>0</v>
      </c>
      <c r="BH15" s="325" t="e">
        <f t="shared" si="9"/>
        <v>#DIV/0!</v>
      </c>
      <c r="BI15" s="325" t="e">
        <f t="shared" si="9"/>
        <v>#DIV/0!</v>
      </c>
    </row>
    <row r="16" spans="1:61" ht="18" customHeight="1">
      <c r="B16" s="302"/>
      <c r="C16" s="303">
        <v>7</v>
      </c>
      <c r="D16" s="281"/>
      <c r="E16" s="458">
        <f>'SQ-1'!G11+'SQ-2'!G11+'SQ-3'!G11+'SQ-4'!G11+'SQ-5'!G11+'SQ-6'!G11+'SQ-7'!G11+'SQ-8'!G11+'SQ-9'!G11</f>
        <v>0</v>
      </c>
      <c r="F16" s="305">
        <f t="shared" si="2"/>
        <v>0</v>
      </c>
      <c r="G16" s="303">
        <f t="shared" si="10"/>
        <v>7</v>
      </c>
      <c r="H16" s="305">
        <f t="shared" si="3"/>
        <v>0</v>
      </c>
      <c r="I16" s="305">
        <f t="shared" si="0"/>
        <v>0</v>
      </c>
      <c r="J16" s="459">
        <f>'SQ-1'!B11+'SQ-2'!B11+'SQ-3'!B11+'SQ-4'!B11+'SQ-5'!B11+'SQ-6'!B11+'SQ-7'!B11+'SQ-8'!B11+'SQ-9'!B11</f>
        <v>0</v>
      </c>
      <c r="K16" s="307">
        <f t="shared" si="4"/>
        <v>0</v>
      </c>
      <c r="L16" s="305" t="e">
        <f t="shared" si="5"/>
        <v>#DIV/0!</v>
      </c>
      <c r="M16" s="305" t="e">
        <f t="shared" si="6"/>
        <v>#DIV/0!</v>
      </c>
      <c r="N16" s="306">
        <v>2.83</v>
      </c>
      <c r="O16" s="308" t="e">
        <f t="shared" si="1"/>
        <v>#DIV/0!</v>
      </c>
      <c r="P16" s="458">
        <f>'SQ-1'!F11+'SQ-2'!F11+'SQ-3'!F11+'SQ-4'!F11+'SQ-5'!F11+'SQ-6'!F11+'SQ-7'!F11+'SQ-8'!F11+'SQ-9'!F11</f>
        <v>0</v>
      </c>
      <c r="Q16" s="309"/>
      <c r="R16" s="309"/>
      <c r="S16" s="309"/>
      <c r="T16" s="310"/>
      <c r="U16" s="311"/>
      <c r="V16" s="312"/>
      <c r="W16" s="304"/>
      <c r="X16" s="304"/>
      <c r="Y16" s="304"/>
      <c r="Z16" s="304"/>
      <c r="AA16" s="304"/>
      <c r="AB16" s="314"/>
      <c r="AC16" s="327"/>
      <c r="AD16" s="327"/>
      <c r="AE16" s="304"/>
      <c r="AF16" s="304"/>
      <c r="AG16" s="304"/>
      <c r="AH16" s="304"/>
      <c r="AI16" s="304"/>
      <c r="AJ16" s="304"/>
      <c r="AK16" s="304"/>
      <c r="AL16" s="304"/>
      <c r="AM16" s="304"/>
      <c r="AN16" s="316"/>
      <c r="AO16" s="316"/>
      <c r="AP16" s="317"/>
      <c r="AQ16" s="267"/>
      <c r="AR16" s="318"/>
      <c r="AS16" s="309"/>
      <c r="AT16" s="304"/>
      <c r="AU16" s="319"/>
      <c r="AV16" s="304"/>
      <c r="AW16" s="304"/>
      <c r="AX16" s="320"/>
      <c r="AY16" s="321"/>
      <c r="AZ16" s="322"/>
      <c r="BA16" s="323"/>
      <c r="BC16" s="303">
        <v>7</v>
      </c>
      <c r="BD16" s="325">
        <f t="shared" si="11"/>
        <v>0</v>
      </c>
      <c r="BE16" s="305">
        <f t="shared" si="7"/>
        <v>0</v>
      </c>
      <c r="BF16" s="326">
        <f t="shared" si="12"/>
        <v>0</v>
      </c>
      <c r="BG16" s="307">
        <f t="shared" si="8"/>
        <v>0</v>
      </c>
      <c r="BH16" s="305" t="e">
        <f t="shared" si="9"/>
        <v>#DIV/0!</v>
      </c>
      <c r="BI16" s="305" t="e">
        <f t="shared" si="9"/>
        <v>#DIV/0!</v>
      </c>
    </row>
    <row r="17" spans="1:61" s="139" customFormat="1" ht="18" customHeight="1">
      <c r="A17" s="431"/>
      <c r="B17" s="302"/>
      <c r="C17" s="303">
        <v>8</v>
      </c>
      <c r="D17" s="281"/>
      <c r="E17" s="458">
        <f>'SQ-1'!G12+'SQ-2'!G12+'SQ-3'!G12+'SQ-4'!G12+'SQ-5'!G12+'SQ-6'!G12+'SQ-7'!G12+'SQ-8'!G12+'SQ-9'!G12</f>
        <v>0</v>
      </c>
      <c r="F17" s="305">
        <f t="shared" si="2"/>
        <v>0</v>
      </c>
      <c r="G17" s="303">
        <f t="shared" si="10"/>
        <v>8</v>
      </c>
      <c r="H17" s="305">
        <f t="shared" si="3"/>
        <v>0</v>
      </c>
      <c r="I17" s="305">
        <f t="shared" si="0"/>
        <v>0</v>
      </c>
      <c r="J17" s="459">
        <f>'SQ-1'!B12+'SQ-2'!B12+'SQ-3'!B12+'SQ-4'!B12+'SQ-5'!B12+'SQ-6'!B12+'SQ-7'!B12+'SQ-8'!B12+'SQ-9'!B12</f>
        <v>0</v>
      </c>
      <c r="K17" s="307">
        <f t="shared" si="4"/>
        <v>0</v>
      </c>
      <c r="L17" s="305" t="e">
        <f t="shared" si="5"/>
        <v>#DIV/0!</v>
      </c>
      <c r="M17" s="305" t="e">
        <f t="shared" si="6"/>
        <v>#DIV/0!</v>
      </c>
      <c r="N17" s="306">
        <v>2.78</v>
      </c>
      <c r="O17" s="308" t="e">
        <f t="shared" si="1"/>
        <v>#DIV/0!</v>
      </c>
      <c r="P17" s="458">
        <f>'SQ-1'!F12+'SQ-2'!F12+'SQ-3'!F12+'SQ-4'!F12+'SQ-5'!F12+'SQ-6'!F12+'SQ-7'!F12+'SQ-8'!F12+'SQ-9'!F12</f>
        <v>0</v>
      </c>
      <c r="Q17" s="309"/>
      <c r="R17" s="309"/>
      <c r="S17" s="309"/>
      <c r="T17" s="310"/>
      <c r="U17" s="311"/>
      <c r="V17" s="312"/>
      <c r="W17" s="313"/>
      <c r="X17" s="313"/>
      <c r="Y17" s="313"/>
      <c r="Z17" s="313"/>
      <c r="AA17" s="313"/>
      <c r="AB17" s="314"/>
      <c r="AC17" s="332"/>
      <c r="AD17" s="315"/>
      <c r="AE17" s="313"/>
      <c r="AF17" s="313"/>
      <c r="AG17" s="313"/>
      <c r="AH17" s="313"/>
      <c r="AI17" s="313"/>
      <c r="AJ17" s="313"/>
      <c r="AK17" s="313"/>
      <c r="AL17" s="313"/>
      <c r="AM17" s="313"/>
      <c r="AN17" s="316"/>
      <c r="AO17" s="316"/>
      <c r="AP17" s="317"/>
      <c r="AQ17" s="267"/>
      <c r="AR17" s="318"/>
      <c r="AS17" s="309"/>
      <c r="AT17" s="313"/>
      <c r="AU17" s="319"/>
      <c r="AV17" s="313"/>
      <c r="AW17" s="313"/>
      <c r="AX17" s="320"/>
      <c r="AY17" s="321"/>
      <c r="AZ17" s="322"/>
      <c r="BA17" s="323"/>
      <c r="BC17" s="303">
        <v>8</v>
      </c>
      <c r="BD17" s="325">
        <f t="shared" si="11"/>
        <v>0</v>
      </c>
      <c r="BE17" s="305">
        <f t="shared" si="7"/>
        <v>0</v>
      </c>
      <c r="BF17" s="326">
        <f t="shared" si="12"/>
        <v>0</v>
      </c>
      <c r="BG17" s="307">
        <f t="shared" si="8"/>
        <v>0</v>
      </c>
      <c r="BH17" s="305" t="e">
        <f t="shared" si="9"/>
        <v>#DIV/0!</v>
      </c>
      <c r="BI17" s="305" t="e">
        <f t="shared" si="9"/>
        <v>#DIV/0!</v>
      </c>
    </row>
    <row r="18" spans="1:61" s="139" customFormat="1" ht="18" customHeight="1">
      <c r="A18" s="431"/>
      <c r="B18" s="302"/>
      <c r="C18" s="303">
        <v>9</v>
      </c>
      <c r="D18" s="281"/>
      <c r="E18" s="458">
        <f>'SQ-1'!G13+'SQ-2'!G13+'SQ-3'!G13+'SQ-4'!G13+'SQ-5'!G13+'SQ-6'!G13+'SQ-7'!G13+'SQ-8'!G13+'SQ-9'!G13</f>
        <v>0</v>
      </c>
      <c r="F18" s="305">
        <f t="shared" si="2"/>
        <v>0</v>
      </c>
      <c r="G18" s="303">
        <f t="shared" si="10"/>
        <v>9</v>
      </c>
      <c r="H18" s="305">
        <f t="shared" si="3"/>
        <v>0</v>
      </c>
      <c r="I18" s="305">
        <f t="shared" si="0"/>
        <v>0</v>
      </c>
      <c r="J18" s="459">
        <f>'SQ-1'!B13+'SQ-2'!B13+'SQ-3'!B13+'SQ-4'!B13+'SQ-5'!B13+'SQ-6'!B13+'SQ-7'!B13+'SQ-8'!B13+'SQ-9'!B13</f>
        <v>0</v>
      </c>
      <c r="K18" s="307">
        <f t="shared" si="4"/>
        <v>0</v>
      </c>
      <c r="L18" s="305" t="e">
        <f t="shared" si="5"/>
        <v>#DIV/0!</v>
      </c>
      <c r="M18" s="305" t="e">
        <f t="shared" si="6"/>
        <v>#DIV/0!</v>
      </c>
      <c r="N18" s="306">
        <v>3.33</v>
      </c>
      <c r="O18" s="308" t="e">
        <f t="shared" si="1"/>
        <v>#DIV/0!</v>
      </c>
      <c r="P18" s="458">
        <f>'SQ-1'!F13+'SQ-2'!F13+'SQ-3'!F13+'SQ-4'!F13+'SQ-5'!F13+'SQ-6'!F13+'SQ-7'!F13+'SQ-8'!F13+'SQ-9'!F13</f>
        <v>0</v>
      </c>
      <c r="Q18" s="309"/>
      <c r="R18" s="309"/>
      <c r="S18" s="309"/>
      <c r="T18" s="310"/>
      <c r="U18" s="311"/>
      <c r="V18" s="312"/>
      <c r="W18" s="313"/>
      <c r="X18" s="313"/>
      <c r="Y18" s="313"/>
      <c r="Z18" s="313"/>
      <c r="AA18" s="313"/>
      <c r="AB18" s="314"/>
      <c r="AC18" s="315"/>
      <c r="AD18" s="315"/>
      <c r="AE18" s="313"/>
      <c r="AF18" s="313"/>
      <c r="AG18" s="313"/>
      <c r="AH18" s="313"/>
      <c r="AI18" s="313"/>
      <c r="AJ18" s="313"/>
      <c r="AK18" s="313"/>
      <c r="AL18" s="313"/>
      <c r="AM18" s="313"/>
      <c r="AN18" s="316"/>
      <c r="AO18" s="316"/>
      <c r="AP18" s="317"/>
      <c r="AQ18" s="267"/>
      <c r="AR18" s="318"/>
      <c r="AS18" s="309"/>
      <c r="AT18" s="313"/>
      <c r="AU18" s="319"/>
      <c r="AV18" s="313"/>
      <c r="AW18" s="313"/>
      <c r="AX18" s="320"/>
      <c r="AY18" s="321"/>
      <c r="AZ18" s="322"/>
      <c r="BA18" s="323"/>
      <c r="BC18" s="303">
        <v>9</v>
      </c>
      <c r="BD18" s="325">
        <f t="shared" si="11"/>
        <v>0</v>
      </c>
      <c r="BE18" s="305">
        <f t="shared" si="7"/>
        <v>0</v>
      </c>
      <c r="BF18" s="326">
        <f t="shared" si="12"/>
        <v>0</v>
      </c>
      <c r="BG18" s="307">
        <f t="shared" si="8"/>
        <v>0</v>
      </c>
      <c r="BH18" s="305" t="e">
        <f t="shared" si="9"/>
        <v>#DIV/0!</v>
      </c>
      <c r="BI18" s="305" t="e">
        <f t="shared" si="9"/>
        <v>#DIV/0!</v>
      </c>
    </row>
    <row r="19" spans="1:61" s="139" customFormat="1" ht="18" customHeight="1">
      <c r="A19" s="431"/>
      <c r="B19" s="302"/>
      <c r="C19" s="303">
        <v>10</v>
      </c>
      <c r="D19" s="281"/>
      <c r="E19" s="458">
        <f>'SQ-1'!G14+'SQ-2'!G14+'SQ-3'!G14+'SQ-4'!G14+'SQ-5'!G14+'SQ-6'!G14+'SQ-7'!G14+'SQ-8'!G14+'SQ-9'!G14</f>
        <v>0</v>
      </c>
      <c r="F19" s="305">
        <f t="shared" si="2"/>
        <v>0</v>
      </c>
      <c r="G19" s="303">
        <f t="shared" si="10"/>
        <v>10</v>
      </c>
      <c r="H19" s="305">
        <f t="shared" si="3"/>
        <v>0</v>
      </c>
      <c r="I19" s="305">
        <f t="shared" si="0"/>
        <v>0</v>
      </c>
      <c r="J19" s="459">
        <f>'SQ-1'!B14+'SQ-2'!B14+'SQ-3'!B14+'SQ-4'!B14+'SQ-5'!B14+'SQ-6'!B14+'SQ-7'!B14+'SQ-8'!B14+'SQ-9'!B14</f>
        <v>0</v>
      </c>
      <c r="K19" s="307">
        <f t="shared" si="4"/>
        <v>0</v>
      </c>
      <c r="L19" s="305" t="e">
        <f t="shared" si="5"/>
        <v>#DIV/0!</v>
      </c>
      <c r="M19" s="305" t="e">
        <f t="shared" si="6"/>
        <v>#DIV/0!</v>
      </c>
      <c r="N19" s="306">
        <v>3.25</v>
      </c>
      <c r="O19" s="308" t="e">
        <f t="shared" si="1"/>
        <v>#DIV/0!</v>
      </c>
      <c r="P19" s="458">
        <f>'SQ-1'!F14+'SQ-2'!F14+'SQ-3'!F14+'SQ-4'!F14+'SQ-5'!F14+'SQ-6'!F14+'SQ-7'!F14+'SQ-8'!F14+'SQ-9'!F14</f>
        <v>0</v>
      </c>
      <c r="Q19" s="309"/>
      <c r="R19" s="309"/>
      <c r="S19" s="309"/>
      <c r="T19" s="310"/>
      <c r="U19" s="311"/>
      <c r="V19" s="312"/>
      <c r="W19" s="313"/>
      <c r="X19" s="313"/>
      <c r="Y19" s="313"/>
      <c r="Z19" s="313"/>
      <c r="AA19" s="313"/>
      <c r="AB19" s="314"/>
      <c r="AC19" s="315"/>
      <c r="AD19" s="315"/>
      <c r="AE19" s="313"/>
      <c r="AF19" s="313"/>
      <c r="AG19" s="313"/>
      <c r="AH19" s="313"/>
      <c r="AI19" s="313"/>
      <c r="AJ19" s="313"/>
      <c r="AK19" s="313"/>
      <c r="AL19" s="313"/>
      <c r="AM19" s="313"/>
      <c r="AN19" s="316"/>
      <c r="AO19" s="316"/>
      <c r="AP19" s="317"/>
      <c r="AQ19" s="267"/>
      <c r="AR19" s="318"/>
      <c r="AS19" s="309"/>
      <c r="AT19" s="313"/>
      <c r="AU19" s="319"/>
      <c r="AV19" s="313"/>
      <c r="AW19" s="313"/>
      <c r="AX19" s="320"/>
      <c r="AY19" s="321"/>
      <c r="AZ19" s="322"/>
      <c r="BA19" s="333"/>
      <c r="BC19" s="303">
        <v>10</v>
      </c>
      <c r="BD19" s="325">
        <f t="shared" si="11"/>
        <v>0</v>
      </c>
      <c r="BE19" s="305">
        <f t="shared" si="7"/>
        <v>0</v>
      </c>
      <c r="BF19" s="326">
        <f t="shared" si="12"/>
        <v>0</v>
      </c>
      <c r="BG19" s="307">
        <f t="shared" si="8"/>
        <v>0</v>
      </c>
      <c r="BH19" s="305" t="e">
        <f t="shared" si="9"/>
        <v>#DIV/0!</v>
      </c>
      <c r="BI19" s="305" t="e">
        <f t="shared" si="9"/>
        <v>#DIV/0!</v>
      </c>
    </row>
    <row r="20" spans="1:61" s="139" customFormat="1" ht="18" customHeight="1">
      <c r="A20" s="431"/>
      <c r="B20" s="302"/>
      <c r="C20" s="303">
        <v>11</v>
      </c>
      <c r="D20" s="281"/>
      <c r="E20" s="458">
        <f>'SQ-1'!G15+'SQ-2'!G15+'SQ-3'!G15+'SQ-4'!G15+'SQ-5'!G15+'SQ-6'!G15+'SQ-7'!G15+'SQ-8'!G15+'SQ-9'!G15</f>
        <v>0</v>
      </c>
      <c r="F20" s="305">
        <f t="shared" si="2"/>
        <v>0</v>
      </c>
      <c r="G20" s="303">
        <f t="shared" si="10"/>
        <v>11</v>
      </c>
      <c r="H20" s="305">
        <f t="shared" si="3"/>
        <v>0</v>
      </c>
      <c r="I20" s="305">
        <f t="shared" si="0"/>
        <v>0</v>
      </c>
      <c r="J20" s="459">
        <f>'SQ-1'!B15+'SQ-2'!B15+'SQ-3'!B15+'SQ-4'!B15+'SQ-5'!B15+'SQ-6'!B15+'SQ-7'!B15+'SQ-8'!B15+'SQ-9'!B15</f>
        <v>0</v>
      </c>
      <c r="K20" s="307">
        <f t="shared" si="4"/>
        <v>0</v>
      </c>
      <c r="L20" s="305" t="e">
        <f t="shared" si="5"/>
        <v>#DIV/0!</v>
      </c>
      <c r="M20" s="305" t="e">
        <f t="shared" si="6"/>
        <v>#DIV/0!</v>
      </c>
      <c r="N20" s="306">
        <v>2.71</v>
      </c>
      <c r="O20" s="308" t="e">
        <f t="shared" si="1"/>
        <v>#DIV/0!</v>
      </c>
      <c r="P20" s="458">
        <f>'SQ-1'!F15+'SQ-2'!F15+'SQ-3'!F15+'SQ-4'!F15+'SQ-5'!F15+'SQ-6'!F15+'SQ-7'!F15+'SQ-8'!F15+'SQ-9'!F15</f>
        <v>0</v>
      </c>
      <c r="Q20" s="309"/>
      <c r="R20" s="309"/>
      <c r="S20" s="309"/>
      <c r="T20" s="310"/>
      <c r="U20" s="311"/>
      <c r="V20" s="312"/>
      <c r="W20" s="313"/>
      <c r="X20" s="313"/>
      <c r="Y20" s="313"/>
      <c r="Z20" s="313"/>
      <c r="AA20" s="313"/>
      <c r="AB20" s="314"/>
      <c r="AC20" s="332"/>
      <c r="AD20" s="315"/>
      <c r="AE20" s="313"/>
      <c r="AF20" s="313"/>
      <c r="AG20" s="313"/>
      <c r="AH20" s="313"/>
      <c r="AI20" s="313"/>
      <c r="AJ20" s="313"/>
      <c r="AK20" s="313"/>
      <c r="AL20" s="313"/>
      <c r="AM20" s="313"/>
      <c r="AN20" s="316"/>
      <c r="AO20" s="316"/>
      <c r="AP20" s="317"/>
      <c r="AQ20" s="267"/>
      <c r="AR20" s="318"/>
      <c r="AS20" s="309"/>
      <c r="AT20" s="313"/>
      <c r="AU20" s="319"/>
      <c r="AV20" s="313"/>
      <c r="AW20" s="313"/>
      <c r="AX20" s="320"/>
      <c r="AY20" s="321"/>
      <c r="AZ20" s="322"/>
      <c r="BA20" s="333"/>
      <c r="BC20" s="303">
        <v>11</v>
      </c>
      <c r="BD20" s="325">
        <f t="shared" si="11"/>
        <v>0</v>
      </c>
      <c r="BE20" s="305">
        <f t="shared" si="7"/>
        <v>0</v>
      </c>
      <c r="BF20" s="326">
        <f t="shared" si="12"/>
        <v>0</v>
      </c>
      <c r="BG20" s="307">
        <f t="shared" si="8"/>
        <v>0</v>
      </c>
      <c r="BH20" s="305" t="e">
        <f t="shared" si="9"/>
        <v>#DIV/0!</v>
      </c>
      <c r="BI20" s="305" t="e">
        <f t="shared" si="9"/>
        <v>#DIV/0!</v>
      </c>
    </row>
    <row r="21" spans="1:61" s="139" customFormat="1" ht="18" customHeight="1">
      <c r="A21" s="431"/>
      <c r="B21" s="302"/>
      <c r="C21" s="303">
        <v>12</v>
      </c>
      <c r="D21" s="281"/>
      <c r="E21" s="458">
        <f>'SQ-1'!G16+'SQ-2'!G16+'SQ-3'!G16+'SQ-4'!G16+'SQ-5'!G16+'SQ-6'!G16+'SQ-7'!G16+'SQ-8'!G16+'SQ-9'!G16</f>
        <v>0</v>
      </c>
      <c r="F21" s="305">
        <f t="shared" si="2"/>
        <v>0</v>
      </c>
      <c r="G21" s="303">
        <f t="shared" si="10"/>
        <v>12</v>
      </c>
      <c r="H21" s="305">
        <f t="shared" si="3"/>
        <v>0</v>
      </c>
      <c r="I21" s="305">
        <f t="shared" si="0"/>
        <v>0</v>
      </c>
      <c r="J21" s="459">
        <f>'SQ-1'!B16+'SQ-2'!B16+'SQ-3'!B16+'SQ-4'!B16+'SQ-5'!B16+'SQ-6'!B16+'SQ-7'!B16+'SQ-8'!B16+'SQ-9'!B16</f>
        <v>0</v>
      </c>
      <c r="K21" s="307">
        <f t="shared" si="4"/>
        <v>0</v>
      </c>
      <c r="L21" s="305" t="e">
        <f t="shared" si="5"/>
        <v>#DIV/0!</v>
      </c>
      <c r="M21" s="305" t="e">
        <f t="shared" si="6"/>
        <v>#DIV/0!</v>
      </c>
      <c r="N21" s="306">
        <v>2.46</v>
      </c>
      <c r="O21" s="308" t="e">
        <f t="shared" si="1"/>
        <v>#DIV/0!</v>
      </c>
      <c r="P21" s="458">
        <f>'SQ-1'!F16+'SQ-2'!F16+'SQ-3'!F16+'SQ-4'!F16+'SQ-5'!F16+'SQ-6'!F16+'SQ-7'!F16+'SQ-8'!F16+'SQ-9'!F16</f>
        <v>0</v>
      </c>
      <c r="Q21" s="309"/>
      <c r="R21" s="309"/>
      <c r="S21" s="309"/>
      <c r="T21" s="310"/>
      <c r="U21" s="311"/>
      <c r="V21" s="312"/>
      <c r="W21" s="313"/>
      <c r="X21" s="313"/>
      <c r="Y21" s="313"/>
      <c r="Z21" s="313"/>
      <c r="AA21" s="334"/>
      <c r="AB21" s="314"/>
      <c r="AC21" s="315"/>
      <c r="AD21" s="315"/>
      <c r="AE21" s="313"/>
      <c r="AF21" s="313"/>
      <c r="AG21" s="313"/>
      <c r="AH21" s="313"/>
      <c r="AI21" s="313"/>
      <c r="AJ21" s="313"/>
      <c r="AK21" s="313"/>
      <c r="AL21" s="313"/>
      <c r="AM21" s="313"/>
      <c r="AN21" s="316"/>
      <c r="AO21" s="316"/>
      <c r="AP21" s="317"/>
      <c r="AQ21" s="267"/>
      <c r="AR21" s="318"/>
      <c r="AS21" s="309"/>
      <c r="AT21" s="313"/>
      <c r="AU21" s="319"/>
      <c r="AV21" s="313"/>
      <c r="AW21" s="313"/>
      <c r="AX21" s="320"/>
      <c r="AY21" s="321"/>
      <c r="AZ21" s="322"/>
      <c r="BA21" s="333"/>
      <c r="BC21" s="303">
        <v>12</v>
      </c>
      <c r="BD21" s="325">
        <f t="shared" si="11"/>
        <v>0</v>
      </c>
      <c r="BE21" s="305">
        <f t="shared" si="7"/>
        <v>0</v>
      </c>
      <c r="BF21" s="326">
        <f t="shared" si="12"/>
        <v>0</v>
      </c>
      <c r="BG21" s="307">
        <f t="shared" si="8"/>
        <v>0</v>
      </c>
      <c r="BH21" s="305" t="e">
        <f t="shared" si="9"/>
        <v>#DIV/0!</v>
      </c>
      <c r="BI21" s="305" t="e">
        <f t="shared" si="9"/>
        <v>#DIV/0!</v>
      </c>
    </row>
    <row r="22" spans="1:61" s="139" customFormat="1" ht="18" customHeight="1">
      <c r="A22" s="431"/>
      <c r="B22" s="302"/>
      <c r="C22" s="303">
        <v>13</v>
      </c>
      <c r="D22" s="281"/>
      <c r="E22" s="458">
        <f>'SQ-1'!G17+'SQ-2'!G17+'SQ-3'!G17+'SQ-4'!G17+'SQ-5'!G17+'SQ-6'!G17+'SQ-7'!G17+'SQ-8'!G17+'SQ-9'!G17</f>
        <v>0</v>
      </c>
      <c r="F22" s="325">
        <f t="shared" si="2"/>
        <v>0</v>
      </c>
      <c r="G22" s="303">
        <f t="shared" si="10"/>
        <v>13</v>
      </c>
      <c r="H22" s="325">
        <f t="shared" si="3"/>
        <v>0</v>
      </c>
      <c r="I22" s="325">
        <f t="shared" si="0"/>
        <v>0</v>
      </c>
      <c r="J22" s="459">
        <f>'SQ-1'!B17+'SQ-2'!B17+'SQ-3'!B17+'SQ-4'!B17+'SQ-5'!B17+'SQ-6'!B17+'SQ-7'!B17+'SQ-8'!B17+'SQ-9'!B17</f>
        <v>0</v>
      </c>
      <c r="K22" s="330">
        <f t="shared" si="4"/>
        <v>0</v>
      </c>
      <c r="L22" s="325" t="e">
        <f t="shared" si="5"/>
        <v>#DIV/0!</v>
      </c>
      <c r="M22" s="325" t="e">
        <f t="shared" si="6"/>
        <v>#DIV/0!</v>
      </c>
      <c r="N22" s="306"/>
      <c r="O22" s="308" t="e">
        <f t="shared" si="1"/>
        <v>#DIV/0!</v>
      </c>
      <c r="P22" s="458">
        <f>'SQ-1'!F17+'SQ-2'!F17+'SQ-3'!F17+'SQ-4'!F17+'SQ-5'!F17+'SQ-6'!F17+'SQ-7'!F17+'SQ-8'!F17+'SQ-9'!F17</f>
        <v>0</v>
      </c>
      <c r="Q22" s="309"/>
      <c r="R22" s="309"/>
      <c r="S22" s="309"/>
      <c r="T22" s="310"/>
      <c r="U22" s="311"/>
      <c r="V22" s="312"/>
      <c r="W22" s="313"/>
      <c r="X22" s="313"/>
      <c r="Y22" s="313"/>
      <c r="Z22" s="313"/>
      <c r="AA22" s="313"/>
      <c r="AB22" s="314"/>
      <c r="AC22" s="315"/>
      <c r="AD22" s="315"/>
      <c r="AE22" s="313"/>
      <c r="AF22" s="313"/>
      <c r="AG22" s="313"/>
      <c r="AH22" s="313"/>
      <c r="AI22" s="313"/>
      <c r="AJ22" s="313"/>
      <c r="AK22" s="313"/>
      <c r="AL22" s="313"/>
      <c r="AM22" s="313"/>
      <c r="AN22" s="316"/>
      <c r="AO22" s="316"/>
      <c r="AP22" s="317"/>
      <c r="AQ22" s="267"/>
      <c r="AR22" s="331"/>
      <c r="AS22" s="309"/>
      <c r="AT22" s="313"/>
      <c r="AU22" s="319"/>
      <c r="AV22" s="313"/>
      <c r="AW22" s="313"/>
      <c r="AX22" s="320"/>
      <c r="AY22" s="321"/>
      <c r="AZ22" s="322"/>
      <c r="BA22" s="333"/>
      <c r="BB22" s="227"/>
      <c r="BC22" s="303">
        <v>13</v>
      </c>
      <c r="BD22" s="325">
        <f t="shared" si="11"/>
        <v>0</v>
      </c>
      <c r="BE22" s="325">
        <f t="shared" si="7"/>
        <v>0</v>
      </c>
      <c r="BF22" s="326">
        <f t="shared" si="12"/>
        <v>0</v>
      </c>
      <c r="BG22" s="330">
        <f t="shared" si="8"/>
        <v>0</v>
      </c>
      <c r="BH22" s="325" t="e">
        <f t="shared" si="9"/>
        <v>#DIV/0!</v>
      </c>
      <c r="BI22" s="325" t="e">
        <f t="shared" si="9"/>
        <v>#DIV/0!</v>
      </c>
    </row>
    <row r="23" spans="1:61" s="139" customFormat="1" ht="18" customHeight="1">
      <c r="A23" s="431"/>
      <c r="B23" s="302"/>
      <c r="C23" s="303">
        <v>14</v>
      </c>
      <c r="D23" s="281"/>
      <c r="E23" s="458">
        <f>'SQ-1'!G18+'SQ-2'!G18+'SQ-3'!G18+'SQ-4'!G18+'SQ-5'!G18+'SQ-6'!G18+'SQ-7'!G18+'SQ-8'!G18+'SQ-9'!G18</f>
        <v>0</v>
      </c>
      <c r="F23" s="305">
        <f t="shared" si="2"/>
        <v>0</v>
      </c>
      <c r="G23" s="303">
        <f t="shared" si="10"/>
        <v>14</v>
      </c>
      <c r="H23" s="305">
        <f>H22+E23</f>
        <v>0</v>
      </c>
      <c r="I23" s="305">
        <f>IF(E23="","",ROUND(H23/G23,0))</f>
        <v>0</v>
      </c>
      <c r="J23" s="459">
        <f>'SQ-1'!B18+'SQ-2'!B18+'SQ-3'!B18+'SQ-4'!B18+'SQ-5'!B18+'SQ-6'!B18+'SQ-7'!B18+'SQ-8'!B18+'SQ-9'!B18</f>
        <v>0</v>
      </c>
      <c r="K23" s="307">
        <f t="shared" si="4"/>
        <v>0</v>
      </c>
      <c r="L23" s="305" t="e">
        <f>E23/J23</f>
        <v>#DIV/0!</v>
      </c>
      <c r="M23" s="305" t="e">
        <f t="shared" si="6"/>
        <v>#DIV/0!</v>
      </c>
      <c r="N23" s="306"/>
      <c r="O23" s="308" t="e">
        <f t="shared" si="1"/>
        <v>#DIV/0!</v>
      </c>
      <c r="P23" s="458">
        <f>'SQ-1'!F18+'SQ-2'!F18+'SQ-3'!F18+'SQ-4'!F18+'SQ-5'!F18+'SQ-6'!F18+'SQ-7'!F18+'SQ-8'!F18+'SQ-9'!F18</f>
        <v>0</v>
      </c>
      <c r="Q23" s="309"/>
      <c r="R23" s="309"/>
      <c r="S23" s="309"/>
      <c r="T23" s="312"/>
      <c r="U23" s="335"/>
      <c r="V23" s="312"/>
      <c r="W23" s="313"/>
      <c r="X23" s="313"/>
      <c r="Y23" s="313"/>
      <c r="Z23" s="313"/>
      <c r="AA23" s="313"/>
      <c r="AB23" s="314"/>
      <c r="AC23" s="332"/>
      <c r="AD23" s="315"/>
      <c r="AE23" s="313"/>
      <c r="AF23" s="313"/>
      <c r="AG23" s="313"/>
      <c r="AH23" s="313"/>
      <c r="AI23" s="313"/>
      <c r="AJ23" s="313"/>
      <c r="AK23" s="313"/>
      <c r="AL23" s="313"/>
      <c r="AM23" s="313"/>
      <c r="AN23" s="314"/>
      <c r="AO23" s="314"/>
      <c r="AP23" s="336"/>
      <c r="AQ23" s="267"/>
      <c r="AR23" s="318"/>
      <c r="AS23" s="309"/>
      <c r="AT23" s="313"/>
      <c r="AU23" s="319"/>
      <c r="AV23" s="313"/>
      <c r="AW23" s="313"/>
      <c r="AX23" s="320"/>
      <c r="AY23" s="321"/>
      <c r="AZ23" s="322"/>
      <c r="BA23" s="333"/>
      <c r="BC23" s="303">
        <v>14</v>
      </c>
      <c r="BD23" s="325">
        <f>E23</f>
        <v>0</v>
      </c>
      <c r="BE23" s="305">
        <f t="shared" si="7"/>
        <v>0</v>
      </c>
      <c r="BF23" s="326">
        <f t="shared" si="12"/>
        <v>0</v>
      </c>
      <c r="BG23" s="307">
        <f t="shared" si="8"/>
        <v>0</v>
      </c>
      <c r="BH23" s="305" t="e">
        <f t="shared" si="9"/>
        <v>#DIV/0!</v>
      </c>
      <c r="BI23" s="305" t="e">
        <f t="shared" si="9"/>
        <v>#DIV/0!</v>
      </c>
    </row>
    <row r="24" spans="1:61" ht="18" customHeight="1">
      <c r="B24" s="302"/>
      <c r="C24" s="303">
        <v>15</v>
      </c>
      <c r="D24" s="281"/>
      <c r="E24" s="458">
        <f>'SQ-1'!G19+'SQ-2'!G19+'SQ-3'!G19+'SQ-4'!G19+'SQ-5'!G19+'SQ-6'!G19+'SQ-7'!G19+'SQ-8'!G19+'SQ-9'!G19</f>
        <v>0</v>
      </c>
      <c r="F24" s="305">
        <f t="shared" si="2"/>
        <v>0</v>
      </c>
      <c r="G24" s="303">
        <f t="shared" si="10"/>
        <v>15</v>
      </c>
      <c r="H24" s="305">
        <f>H23+E24</f>
        <v>0</v>
      </c>
      <c r="I24" s="305">
        <f>IF(E24="","",ROUND(H24/G24,0))</f>
        <v>0</v>
      </c>
      <c r="J24" s="459">
        <f>'SQ-1'!B19+'SQ-2'!B19+'SQ-3'!B19+'SQ-4'!B19+'SQ-5'!B19+'SQ-6'!B19+'SQ-7'!B19+'SQ-8'!B19+'SQ-9'!B19</f>
        <v>0</v>
      </c>
      <c r="K24" s="307">
        <f t="shared" si="4"/>
        <v>0</v>
      </c>
      <c r="L24" s="305" t="e">
        <f>E24/J24</f>
        <v>#DIV/0!</v>
      </c>
      <c r="M24" s="305" t="e">
        <f t="shared" si="6"/>
        <v>#DIV/0!</v>
      </c>
      <c r="N24" s="306">
        <v>3.16</v>
      </c>
      <c r="O24" s="308" t="e">
        <f t="shared" si="1"/>
        <v>#DIV/0!</v>
      </c>
      <c r="P24" s="458">
        <f>'SQ-1'!F19+'SQ-2'!F19+'SQ-3'!F19+'SQ-4'!F19+'SQ-5'!F19+'SQ-6'!F19+'SQ-7'!F19+'SQ-8'!F19+'SQ-9'!F19</f>
        <v>0</v>
      </c>
      <c r="Q24" s="309"/>
      <c r="R24" s="309"/>
      <c r="S24" s="309"/>
      <c r="T24" s="312"/>
      <c r="U24" s="335"/>
      <c r="V24" s="312"/>
      <c r="W24" s="221"/>
      <c r="X24" s="334"/>
      <c r="Y24" s="221"/>
      <c r="Z24" s="221"/>
      <c r="AA24" s="221"/>
      <c r="AB24" s="314"/>
      <c r="AC24" s="327"/>
      <c r="AD24" s="315"/>
      <c r="AE24" s="221"/>
      <c r="AF24" s="221"/>
      <c r="AG24" s="221"/>
      <c r="AH24" s="221"/>
      <c r="AI24" s="313"/>
      <c r="AJ24" s="221"/>
      <c r="AK24" s="221"/>
      <c r="AL24" s="221"/>
      <c r="AM24" s="221"/>
      <c r="AN24" s="314"/>
      <c r="AO24" s="314"/>
      <c r="AP24" s="336"/>
      <c r="AQ24" s="267"/>
      <c r="AR24" s="318"/>
      <c r="AS24" s="309"/>
      <c r="AT24" s="221"/>
      <c r="AU24" s="319"/>
      <c r="AV24" s="221"/>
      <c r="AW24" s="221"/>
      <c r="AX24" s="320"/>
      <c r="AY24" s="321"/>
      <c r="AZ24" s="322"/>
      <c r="BA24" s="333"/>
      <c r="BC24" s="303">
        <v>15</v>
      </c>
      <c r="BD24" s="325">
        <f>E24</f>
        <v>0</v>
      </c>
      <c r="BE24" s="305">
        <f t="shared" si="7"/>
        <v>0</v>
      </c>
      <c r="BF24" s="326">
        <f t="shared" si="12"/>
        <v>0</v>
      </c>
      <c r="BG24" s="307">
        <f t="shared" si="8"/>
        <v>0</v>
      </c>
      <c r="BH24" s="305" t="e">
        <f t="shared" si="9"/>
        <v>#DIV/0!</v>
      </c>
      <c r="BI24" s="305" t="e">
        <f t="shared" si="9"/>
        <v>#DIV/0!</v>
      </c>
    </row>
    <row r="25" spans="1:61" ht="18" customHeight="1">
      <c r="B25" s="302"/>
      <c r="C25" s="303">
        <v>16</v>
      </c>
      <c r="D25" s="281"/>
      <c r="E25" s="458">
        <f>'SQ-1'!G20+'SQ-2'!G20+'SQ-3'!G20+'SQ-4'!G20+'SQ-5'!G20+'SQ-6'!G20+'SQ-7'!G20+'SQ-8'!G20+'SQ-9'!G20</f>
        <v>0</v>
      </c>
      <c r="F25" s="305">
        <f t="shared" si="2"/>
        <v>0</v>
      </c>
      <c r="G25" s="303">
        <f t="shared" si="10"/>
        <v>16</v>
      </c>
      <c r="H25" s="305">
        <f t="shared" ref="H25:H40" si="13">H24+E25</f>
        <v>0</v>
      </c>
      <c r="I25" s="305">
        <f t="shared" si="0"/>
        <v>0</v>
      </c>
      <c r="J25" s="459">
        <f>'SQ-1'!B20+'SQ-2'!B20+'SQ-3'!B20+'SQ-4'!B20+'SQ-5'!B20+'SQ-6'!B20+'SQ-7'!B20+'SQ-8'!B20+'SQ-9'!B20</f>
        <v>0</v>
      </c>
      <c r="K25" s="307">
        <f t="shared" si="4"/>
        <v>0</v>
      </c>
      <c r="L25" s="305" t="e">
        <f t="shared" si="5"/>
        <v>#DIV/0!</v>
      </c>
      <c r="M25" s="305" t="e">
        <f t="shared" si="6"/>
        <v>#DIV/0!</v>
      </c>
      <c r="N25" s="306">
        <v>2.75</v>
      </c>
      <c r="O25" s="308" t="e">
        <f t="shared" si="1"/>
        <v>#DIV/0!</v>
      </c>
      <c r="P25" s="458">
        <f>'SQ-1'!F20+'SQ-2'!F20+'SQ-3'!F20+'SQ-4'!F20+'SQ-5'!F20+'SQ-6'!F20+'SQ-7'!F20+'SQ-8'!F20+'SQ-9'!F20</f>
        <v>0</v>
      </c>
      <c r="Q25" s="309"/>
      <c r="R25" s="309"/>
      <c r="S25" s="309"/>
      <c r="T25" s="310"/>
      <c r="U25" s="311"/>
      <c r="V25" s="312"/>
      <c r="W25" s="221"/>
      <c r="X25" s="221"/>
      <c r="Y25" s="221"/>
      <c r="Z25" s="221"/>
      <c r="AA25" s="221"/>
      <c r="AB25" s="314"/>
      <c r="AC25" s="327"/>
      <c r="AD25" s="315"/>
      <c r="AE25" s="221"/>
      <c r="AF25" s="221"/>
      <c r="AG25" s="221"/>
      <c r="AH25" s="221"/>
      <c r="AI25" s="221"/>
      <c r="AJ25" s="221"/>
      <c r="AK25" s="221"/>
      <c r="AL25" s="221"/>
      <c r="AM25" s="221"/>
      <c r="AN25" s="316"/>
      <c r="AO25" s="316"/>
      <c r="AP25" s="317"/>
      <c r="AQ25" s="267"/>
      <c r="AR25" s="318"/>
      <c r="AS25" s="309"/>
      <c r="AT25" s="221"/>
      <c r="AU25" s="319"/>
      <c r="AV25" s="221"/>
      <c r="AW25" s="221"/>
      <c r="AX25" s="320"/>
      <c r="AY25" s="321"/>
      <c r="AZ25" s="322"/>
      <c r="BA25" s="333"/>
      <c r="BC25" s="303">
        <v>16</v>
      </c>
      <c r="BD25" s="325">
        <f t="shared" si="11"/>
        <v>0</v>
      </c>
      <c r="BE25" s="305">
        <f t="shared" si="7"/>
        <v>0</v>
      </c>
      <c r="BF25" s="326">
        <f t="shared" si="12"/>
        <v>0</v>
      </c>
      <c r="BG25" s="307">
        <f t="shared" si="8"/>
        <v>0</v>
      </c>
      <c r="BH25" s="305" t="e">
        <f t="shared" si="9"/>
        <v>#DIV/0!</v>
      </c>
      <c r="BI25" s="305" t="e">
        <f t="shared" si="9"/>
        <v>#DIV/0!</v>
      </c>
    </row>
    <row r="26" spans="1:61" ht="18" customHeight="1">
      <c r="B26" s="302"/>
      <c r="C26" s="303">
        <v>17</v>
      </c>
      <c r="D26" s="281"/>
      <c r="E26" s="458">
        <f>'SQ-1'!G21+'SQ-2'!G21+'SQ-3'!G21+'SQ-4'!G21+'SQ-5'!G21+'SQ-6'!G21+'SQ-7'!G21+'SQ-8'!G21+'SQ-9'!G21</f>
        <v>0</v>
      </c>
      <c r="F26" s="305">
        <f t="shared" si="2"/>
        <v>0</v>
      </c>
      <c r="G26" s="303">
        <f t="shared" si="10"/>
        <v>17</v>
      </c>
      <c r="H26" s="305">
        <f t="shared" si="13"/>
        <v>0</v>
      </c>
      <c r="I26" s="305">
        <f t="shared" si="0"/>
        <v>0</v>
      </c>
      <c r="J26" s="459">
        <f>'SQ-1'!B21+'SQ-2'!B21+'SQ-3'!B21+'SQ-4'!B21+'SQ-5'!B21+'SQ-6'!B21+'SQ-7'!B21+'SQ-8'!B21+'SQ-9'!B21</f>
        <v>0</v>
      </c>
      <c r="K26" s="307">
        <f t="shared" si="4"/>
        <v>0</v>
      </c>
      <c r="L26" s="305" t="e">
        <f t="shared" si="5"/>
        <v>#DIV/0!</v>
      </c>
      <c r="M26" s="305" t="e">
        <f t="shared" si="6"/>
        <v>#DIV/0!</v>
      </c>
      <c r="N26" s="306">
        <v>3.08</v>
      </c>
      <c r="O26" s="308" t="e">
        <f t="shared" si="1"/>
        <v>#DIV/0!</v>
      </c>
      <c r="P26" s="458">
        <f>'SQ-1'!F21+'SQ-2'!F21+'SQ-3'!F21+'SQ-4'!F21+'SQ-5'!F21+'SQ-6'!F21+'SQ-7'!F21+'SQ-8'!F21+'SQ-9'!F21</f>
        <v>0</v>
      </c>
      <c r="Q26" s="309"/>
      <c r="R26" s="309"/>
      <c r="S26" s="309"/>
      <c r="T26" s="310"/>
      <c r="U26" s="311"/>
      <c r="V26" s="312"/>
      <c r="W26" s="313"/>
      <c r="X26" s="221"/>
      <c r="Y26" s="221"/>
      <c r="Z26" s="221"/>
      <c r="AA26" s="221"/>
      <c r="AB26" s="314"/>
      <c r="AC26" s="327"/>
      <c r="AD26" s="327"/>
      <c r="AE26" s="221"/>
      <c r="AF26" s="221"/>
      <c r="AG26" s="221"/>
      <c r="AH26" s="221"/>
      <c r="AI26" s="221"/>
      <c r="AJ26" s="221"/>
      <c r="AK26" s="221"/>
      <c r="AL26" s="221"/>
      <c r="AM26" s="221"/>
      <c r="AN26" s="316"/>
      <c r="AO26" s="316"/>
      <c r="AP26" s="317"/>
      <c r="AQ26" s="267"/>
      <c r="AR26" s="318"/>
      <c r="AS26" s="309"/>
      <c r="AT26" s="221"/>
      <c r="AU26" s="319"/>
      <c r="AV26" s="221"/>
      <c r="AW26" s="221"/>
      <c r="AX26" s="320"/>
      <c r="AY26" s="321"/>
      <c r="AZ26" s="322"/>
      <c r="BA26" s="333"/>
      <c r="BC26" s="303">
        <v>17</v>
      </c>
      <c r="BD26" s="325">
        <f t="shared" si="11"/>
        <v>0</v>
      </c>
      <c r="BE26" s="305">
        <f t="shared" si="7"/>
        <v>0</v>
      </c>
      <c r="BF26" s="326">
        <f t="shared" si="12"/>
        <v>0</v>
      </c>
      <c r="BG26" s="307">
        <f t="shared" si="8"/>
        <v>0</v>
      </c>
      <c r="BH26" s="305" t="e">
        <f t="shared" si="9"/>
        <v>#DIV/0!</v>
      </c>
      <c r="BI26" s="305" t="e">
        <f t="shared" si="9"/>
        <v>#DIV/0!</v>
      </c>
    </row>
    <row r="27" spans="1:61" ht="18" customHeight="1">
      <c r="B27" s="302"/>
      <c r="C27" s="303">
        <v>18</v>
      </c>
      <c r="D27" s="281"/>
      <c r="E27" s="458">
        <f>'SQ-1'!G22+'SQ-2'!G22+'SQ-3'!G22+'SQ-4'!G22+'SQ-5'!G22+'SQ-6'!G22+'SQ-7'!G22+'SQ-8'!G22+'SQ-9'!G22</f>
        <v>0</v>
      </c>
      <c r="F27" s="305">
        <f t="shared" si="2"/>
        <v>0</v>
      </c>
      <c r="G27" s="303">
        <f t="shared" si="10"/>
        <v>18</v>
      </c>
      <c r="H27" s="305">
        <f t="shared" si="13"/>
        <v>0</v>
      </c>
      <c r="I27" s="305">
        <f t="shared" si="0"/>
        <v>0</v>
      </c>
      <c r="J27" s="459">
        <f>'SQ-1'!B22+'SQ-2'!B22+'SQ-3'!B22+'SQ-4'!B22+'SQ-5'!B22+'SQ-6'!B22+'SQ-7'!B22+'SQ-8'!B22+'SQ-9'!B22</f>
        <v>0</v>
      </c>
      <c r="K27" s="307">
        <f t="shared" si="4"/>
        <v>0</v>
      </c>
      <c r="L27" s="305" t="e">
        <f t="shared" si="5"/>
        <v>#DIV/0!</v>
      </c>
      <c r="M27" s="305" t="e">
        <f t="shared" si="6"/>
        <v>#DIV/0!</v>
      </c>
      <c r="N27" s="306">
        <v>3.38</v>
      </c>
      <c r="O27" s="308" t="e">
        <f t="shared" si="1"/>
        <v>#DIV/0!</v>
      </c>
      <c r="P27" s="458">
        <f>'SQ-1'!F22+'SQ-2'!F22+'SQ-3'!F22+'SQ-4'!F22+'SQ-5'!F22+'SQ-6'!F22+'SQ-7'!F22+'SQ-8'!F22+'SQ-9'!F22</f>
        <v>0</v>
      </c>
      <c r="Q27" s="309"/>
      <c r="R27" s="309"/>
      <c r="S27" s="309"/>
      <c r="T27" s="310"/>
      <c r="U27" s="311"/>
      <c r="V27" s="312"/>
      <c r="W27" s="221"/>
      <c r="X27" s="221"/>
      <c r="Y27" s="221"/>
      <c r="Z27" s="221"/>
      <c r="AA27" s="221"/>
      <c r="AB27" s="314"/>
      <c r="AC27" s="327"/>
      <c r="AD27" s="315"/>
      <c r="AE27" s="221"/>
      <c r="AF27" s="221"/>
      <c r="AG27" s="221"/>
      <c r="AH27" s="221"/>
      <c r="AI27" s="221"/>
      <c r="AJ27" s="221"/>
      <c r="AK27" s="221"/>
      <c r="AL27" s="221"/>
      <c r="AM27" s="221"/>
      <c r="AN27" s="316"/>
      <c r="AO27" s="316"/>
      <c r="AP27" s="317"/>
      <c r="AQ27" s="267"/>
      <c r="AR27" s="318"/>
      <c r="AS27" s="309"/>
      <c r="AT27" s="313"/>
      <c r="AU27" s="319"/>
      <c r="AV27" s="221"/>
      <c r="AW27" s="221"/>
      <c r="AX27" s="320"/>
      <c r="AY27" s="321"/>
      <c r="AZ27" s="322"/>
      <c r="BA27" s="337"/>
      <c r="BC27" s="303">
        <v>18</v>
      </c>
      <c r="BD27" s="325">
        <f t="shared" si="11"/>
        <v>0</v>
      </c>
      <c r="BE27" s="305">
        <f t="shared" si="7"/>
        <v>0</v>
      </c>
      <c r="BF27" s="326">
        <f t="shared" si="12"/>
        <v>0</v>
      </c>
      <c r="BG27" s="307">
        <f t="shared" si="8"/>
        <v>0</v>
      </c>
      <c r="BH27" s="305" t="e">
        <f t="shared" si="9"/>
        <v>#DIV/0!</v>
      </c>
      <c r="BI27" s="305" t="e">
        <f t="shared" si="9"/>
        <v>#DIV/0!</v>
      </c>
    </row>
    <row r="28" spans="1:61" ht="18" customHeight="1">
      <c r="B28" s="302"/>
      <c r="C28" s="303">
        <v>19</v>
      </c>
      <c r="D28" s="281"/>
      <c r="E28" s="458">
        <f>'SQ-1'!G23+'SQ-2'!G23+'SQ-3'!G23+'SQ-4'!G23+'SQ-5'!G23+'SQ-6'!G23+'SQ-7'!G23+'SQ-8'!G23+'SQ-9'!G23</f>
        <v>0</v>
      </c>
      <c r="F28" s="325">
        <f t="shared" si="2"/>
        <v>0</v>
      </c>
      <c r="G28" s="303">
        <f t="shared" si="10"/>
        <v>19</v>
      </c>
      <c r="H28" s="305">
        <f t="shared" si="13"/>
        <v>0</v>
      </c>
      <c r="I28" s="325">
        <f t="shared" si="0"/>
        <v>0</v>
      </c>
      <c r="J28" s="459">
        <f>'SQ-1'!B23+'SQ-2'!B23+'SQ-3'!B23+'SQ-4'!B23+'SQ-5'!B23+'SQ-6'!B23+'SQ-7'!B23+'SQ-8'!B23+'SQ-9'!B23</f>
        <v>0</v>
      </c>
      <c r="K28" s="330">
        <f t="shared" si="4"/>
        <v>0</v>
      </c>
      <c r="L28" s="325" t="e">
        <f t="shared" si="5"/>
        <v>#DIV/0!</v>
      </c>
      <c r="M28" s="325" t="e">
        <f t="shared" si="6"/>
        <v>#DIV/0!</v>
      </c>
      <c r="N28" s="306">
        <v>3.75</v>
      </c>
      <c r="O28" s="308" t="e">
        <f t="shared" si="1"/>
        <v>#DIV/0!</v>
      </c>
      <c r="P28" s="458">
        <f>'SQ-1'!F23+'SQ-2'!F23+'SQ-3'!F23+'SQ-4'!F23+'SQ-5'!F23+'SQ-6'!F23+'SQ-7'!F23+'SQ-8'!F23+'SQ-9'!F23</f>
        <v>0</v>
      </c>
      <c r="Q28" s="309"/>
      <c r="R28" s="309"/>
      <c r="S28" s="309"/>
      <c r="T28" s="310"/>
      <c r="U28" s="311"/>
      <c r="V28" s="312"/>
      <c r="W28" s="221"/>
      <c r="X28" s="221"/>
      <c r="Y28" s="334"/>
      <c r="Z28" s="221"/>
      <c r="AA28" s="221"/>
      <c r="AB28" s="314"/>
      <c r="AC28" s="327"/>
      <c r="AD28" s="315"/>
      <c r="AE28" s="221"/>
      <c r="AF28" s="221"/>
      <c r="AG28" s="221"/>
      <c r="AH28" s="221"/>
      <c r="AI28" s="221"/>
      <c r="AJ28" s="313"/>
      <c r="AK28" s="334"/>
      <c r="AL28" s="221"/>
      <c r="AM28" s="221"/>
      <c r="AN28" s="316"/>
      <c r="AO28" s="316"/>
      <c r="AP28" s="317"/>
      <c r="AQ28" s="267"/>
      <c r="AR28" s="331"/>
      <c r="AS28" s="309"/>
      <c r="AT28" s="221"/>
      <c r="AU28" s="319"/>
      <c r="AV28" s="221"/>
      <c r="AW28" s="221"/>
      <c r="AX28" s="320"/>
      <c r="AY28" s="321"/>
      <c r="AZ28" s="322"/>
      <c r="BA28" s="328"/>
      <c r="BB28" s="220"/>
      <c r="BC28" s="303">
        <v>19</v>
      </c>
      <c r="BD28" s="325">
        <f t="shared" si="11"/>
        <v>0</v>
      </c>
      <c r="BE28" s="325">
        <f t="shared" si="7"/>
        <v>0</v>
      </c>
      <c r="BF28" s="326">
        <f t="shared" si="12"/>
        <v>0</v>
      </c>
      <c r="BG28" s="330">
        <f t="shared" si="8"/>
        <v>0</v>
      </c>
      <c r="BH28" s="325" t="e">
        <f t="shared" si="9"/>
        <v>#DIV/0!</v>
      </c>
      <c r="BI28" s="325" t="e">
        <f t="shared" si="9"/>
        <v>#DIV/0!</v>
      </c>
    </row>
    <row r="29" spans="1:61" ht="18" customHeight="1">
      <c r="B29" s="302"/>
      <c r="C29" s="303">
        <v>20</v>
      </c>
      <c r="D29" s="281"/>
      <c r="E29" s="458">
        <f>'SQ-1'!G24+'SQ-2'!G24+'SQ-3'!G24+'SQ-4'!G24+'SQ-5'!G24+'SQ-6'!G24+'SQ-7'!G24+'SQ-8'!G24+'SQ-9'!G24</f>
        <v>0</v>
      </c>
      <c r="F29" s="325">
        <f t="shared" si="2"/>
        <v>0</v>
      </c>
      <c r="G29" s="303">
        <f t="shared" si="10"/>
        <v>20</v>
      </c>
      <c r="H29" s="305">
        <f t="shared" si="13"/>
        <v>0</v>
      </c>
      <c r="I29" s="325">
        <f t="shared" si="0"/>
        <v>0</v>
      </c>
      <c r="J29" s="459">
        <f>'SQ-1'!B24+'SQ-2'!B24+'SQ-3'!B24+'SQ-4'!B24+'SQ-5'!B24+'SQ-6'!B24+'SQ-7'!B24+'SQ-8'!B24+'SQ-9'!B24</f>
        <v>0</v>
      </c>
      <c r="K29" s="330">
        <f t="shared" si="4"/>
        <v>0</v>
      </c>
      <c r="L29" s="325" t="e">
        <f t="shared" si="5"/>
        <v>#DIV/0!</v>
      </c>
      <c r="M29" s="325" t="e">
        <f t="shared" si="6"/>
        <v>#DIV/0!</v>
      </c>
      <c r="N29" s="306"/>
      <c r="O29" s="308" t="e">
        <f t="shared" si="1"/>
        <v>#DIV/0!</v>
      </c>
      <c r="P29" s="458">
        <f>'SQ-1'!F24+'SQ-2'!F24+'SQ-3'!F24+'SQ-4'!F24+'SQ-5'!F24+'SQ-6'!F24+'SQ-7'!F24+'SQ-8'!F24+'SQ-9'!F24</f>
        <v>0</v>
      </c>
      <c r="Q29" s="309"/>
      <c r="R29" s="309"/>
      <c r="S29" s="309"/>
      <c r="T29" s="310"/>
      <c r="U29" s="311"/>
      <c r="V29" s="312"/>
      <c r="W29" s="221"/>
      <c r="X29" s="221"/>
      <c r="Y29" s="221"/>
      <c r="Z29" s="221"/>
      <c r="AA29" s="221"/>
      <c r="AB29" s="314"/>
      <c r="AC29" s="327"/>
      <c r="AD29" s="327"/>
      <c r="AE29" s="221"/>
      <c r="AF29" s="221"/>
      <c r="AG29" s="221"/>
      <c r="AH29" s="221"/>
      <c r="AI29" s="221"/>
      <c r="AJ29" s="221"/>
      <c r="AK29" s="221"/>
      <c r="AL29" s="221"/>
      <c r="AM29" s="221"/>
      <c r="AN29" s="316"/>
      <c r="AO29" s="316"/>
      <c r="AP29" s="317"/>
      <c r="AQ29" s="267"/>
      <c r="AR29" s="331"/>
      <c r="AS29" s="309"/>
      <c r="AT29" s="221"/>
      <c r="AU29" s="319"/>
      <c r="AV29" s="221"/>
      <c r="AW29" s="221"/>
      <c r="AX29" s="320"/>
      <c r="AY29" s="321"/>
      <c r="AZ29" s="322"/>
      <c r="BA29" s="338"/>
      <c r="BB29" s="220"/>
      <c r="BC29" s="303">
        <v>20</v>
      </c>
      <c r="BD29" s="325">
        <f t="shared" si="11"/>
        <v>0</v>
      </c>
      <c r="BE29" s="325">
        <f t="shared" si="7"/>
        <v>0</v>
      </c>
      <c r="BF29" s="326">
        <f t="shared" si="12"/>
        <v>0</v>
      </c>
      <c r="BG29" s="330">
        <f t="shared" si="8"/>
        <v>0</v>
      </c>
      <c r="BH29" s="325" t="e">
        <f t="shared" si="9"/>
        <v>#DIV/0!</v>
      </c>
      <c r="BI29" s="325" t="e">
        <f t="shared" si="9"/>
        <v>#DIV/0!</v>
      </c>
    </row>
    <row r="30" spans="1:61" ht="18" customHeight="1">
      <c r="B30" s="302"/>
      <c r="C30" s="303">
        <v>21</v>
      </c>
      <c r="D30" s="281"/>
      <c r="E30" s="458">
        <f>'SQ-1'!G25+'SQ-2'!G25+'SQ-3'!G25+'SQ-4'!G25+'SQ-5'!G25+'SQ-6'!G25+'SQ-7'!G25+'SQ-8'!G25+'SQ-9'!G25</f>
        <v>0</v>
      </c>
      <c r="F30" s="305">
        <f t="shared" si="2"/>
        <v>0</v>
      </c>
      <c r="G30" s="303">
        <f t="shared" si="10"/>
        <v>21</v>
      </c>
      <c r="H30" s="305">
        <f t="shared" si="13"/>
        <v>0</v>
      </c>
      <c r="I30" s="305">
        <f t="shared" si="0"/>
        <v>0</v>
      </c>
      <c r="J30" s="459">
        <f>'SQ-1'!B25+'SQ-2'!B25+'SQ-3'!B25+'SQ-4'!B25+'SQ-5'!B25+'SQ-6'!B25+'SQ-7'!B25+'SQ-8'!B25+'SQ-9'!B25</f>
        <v>0</v>
      </c>
      <c r="K30" s="307">
        <f t="shared" si="4"/>
        <v>0</v>
      </c>
      <c r="L30" s="305" t="e">
        <f t="shared" si="5"/>
        <v>#DIV/0!</v>
      </c>
      <c r="M30" s="305" t="e">
        <f t="shared" si="6"/>
        <v>#DIV/0!</v>
      </c>
      <c r="N30" s="306">
        <v>2.66</v>
      </c>
      <c r="O30" s="308" t="e">
        <f t="shared" si="1"/>
        <v>#DIV/0!</v>
      </c>
      <c r="P30" s="458">
        <f>'SQ-1'!F25+'SQ-2'!F25+'SQ-3'!F25+'SQ-4'!F25+'SQ-5'!F25+'SQ-6'!F25+'SQ-7'!F25+'SQ-8'!F25+'SQ-9'!F25</f>
        <v>0</v>
      </c>
      <c r="Q30" s="309"/>
      <c r="R30" s="309"/>
      <c r="S30" s="309"/>
      <c r="T30" s="310"/>
      <c r="U30" s="311"/>
      <c r="V30" s="312"/>
      <c r="W30" s="339"/>
      <c r="X30" s="304"/>
      <c r="Y30" s="339"/>
      <c r="Z30" s="304"/>
      <c r="AA30" s="304"/>
      <c r="AB30" s="314"/>
      <c r="AC30" s="327"/>
      <c r="AD30" s="327"/>
      <c r="AE30" s="304"/>
      <c r="AF30" s="304"/>
      <c r="AG30" s="304"/>
      <c r="AH30" s="304"/>
      <c r="AI30" s="304"/>
      <c r="AJ30" s="304"/>
      <c r="AK30" s="339"/>
      <c r="AL30" s="304"/>
      <c r="AM30" s="304"/>
      <c r="AN30" s="316"/>
      <c r="AO30" s="316"/>
      <c r="AP30" s="317"/>
      <c r="AQ30" s="267"/>
      <c r="AR30" s="318"/>
      <c r="AS30" s="309"/>
      <c r="AT30" s="304"/>
      <c r="AU30" s="319"/>
      <c r="AV30" s="304"/>
      <c r="AW30" s="304"/>
      <c r="AX30" s="320"/>
      <c r="AY30" s="321"/>
      <c r="AZ30" s="322"/>
      <c r="BA30" s="328"/>
      <c r="BC30" s="303">
        <v>21</v>
      </c>
      <c r="BD30" s="325">
        <f t="shared" si="11"/>
        <v>0</v>
      </c>
      <c r="BE30" s="305">
        <f t="shared" si="7"/>
        <v>0</v>
      </c>
      <c r="BF30" s="326">
        <f t="shared" si="12"/>
        <v>0</v>
      </c>
      <c r="BG30" s="307">
        <f t="shared" si="8"/>
        <v>0</v>
      </c>
      <c r="BH30" s="305" t="e">
        <f t="shared" si="9"/>
        <v>#DIV/0!</v>
      </c>
      <c r="BI30" s="305" t="e">
        <f t="shared" si="9"/>
        <v>#DIV/0!</v>
      </c>
    </row>
    <row r="31" spans="1:61" ht="18" customHeight="1">
      <c r="B31" s="302"/>
      <c r="C31" s="303">
        <v>22</v>
      </c>
      <c r="D31" s="281"/>
      <c r="E31" s="458">
        <f>'SQ-1'!G26+'SQ-2'!G26+'SQ-3'!G26+'SQ-4'!G26+'SQ-5'!G26+'SQ-6'!G26+'SQ-7'!G26+'SQ-8'!G26+'SQ-9'!G26</f>
        <v>0</v>
      </c>
      <c r="F31" s="305">
        <f t="shared" si="2"/>
        <v>0</v>
      </c>
      <c r="G31" s="303">
        <f t="shared" si="10"/>
        <v>22</v>
      </c>
      <c r="H31" s="305">
        <f t="shared" si="13"/>
        <v>0</v>
      </c>
      <c r="I31" s="305">
        <f t="shared" si="0"/>
        <v>0</v>
      </c>
      <c r="J31" s="459">
        <f>'SQ-1'!B26+'SQ-2'!B26+'SQ-3'!B26+'SQ-4'!B26+'SQ-5'!B26+'SQ-6'!B26+'SQ-7'!B26+'SQ-8'!B26+'SQ-9'!B26</f>
        <v>0</v>
      </c>
      <c r="K31" s="307">
        <f t="shared" si="4"/>
        <v>0</v>
      </c>
      <c r="L31" s="305" t="e">
        <f t="shared" si="5"/>
        <v>#DIV/0!</v>
      </c>
      <c r="M31" s="305" t="e">
        <f t="shared" si="6"/>
        <v>#DIV/0!</v>
      </c>
      <c r="N31" s="306">
        <v>2.1800000000000002</v>
      </c>
      <c r="O31" s="308" t="e">
        <f t="shared" si="1"/>
        <v>#DIV/0!</v>
      </c>
      <c r="P31" s="458">
        <f>'SQ-1'!F26+'SQ-2'!F26+'SQ-3'!F26+'SQ-4'!F26+'SQ-5'!F26+'SQ-6'!F26+'SQ-7'!F26+'SQ-8'!F26+'SQ-9'!F26</f>
        <v>0</v>
      </c>
      <c r="Q31" s="309"/>
      <c r="R31" s="309"/>
      <c r="S31" s="309"/>
      <c r="T31" s="310"/>
      <c r="U31" s="311"/>
      <c r="V31" s="312"/>
      <c r="W31" s="304"/>
      <c r="X31" s="304"/>
      <c r="Y31" s="304"/>
      <c r="Z31" s="304"/>
      <c r="AA31" s="304"/>
      <c r="AB31" s="314"/>
      <c r="AC31" s="327"/>
      <c r="AD31" s="327"/>
      <c r="AE31" s="304"/>
      <c r="AF31" s="304"/>
      <c r="AG31" s="304"/>
      <c r="AH31" s="304"/>
      <c r="AI31" s="304"/>
      <c r="AJ31" s="304"/>
      <c r="AK31" s="304"/>
      <c r="AL31" s="304"/>
      <c r="AM31" s="304"/>
      <c r="AN31" s="316"/>
      <c r="AO31" s="316"/>
      <c r="AP31" s="317"/>
      <c r="AQ31" s="267"/>
      <c r="AR31" s="318"/>
      <c r="AS31" s="309"/>
      <c r="AT31" s="304"/>
      <c r="AU31" s="319"/>
      <c r="AV31" s="304"/>
      <c r="AW31" s="304"/>
      <c r="AX31" s="320"/>
      <c r="AY31" s="321"/>
      <c r="AZ31" s="322"/>
      <c r="BA31" s="328"/>
      <c r="BC31" s="303">
        <v>22</v>
      </c>
      <c r="BD31" s="325">
        <f t="shared" si="11"/>
        <v>0</v>
      </c>
      <c r="BE31" s="305">
        <f t="shared" si="7"/>
        <v>0</v>
      </c>
      <c r="BF31" s="326">
        <f t="shared" si="12"/>
        <v>0</v>
      </c>
      <c r="BG31" s="307">
        <f t="shared" si="8"/>
        <v>0</v>
      </c>
      <c r="BH31" s="305" t="e">
        <f t="shared" si="9"/>
        <v>#DIV/0!</v>
      </c>
      <c r="BI31" s="305" t="e">
        <f t="shared" si="9"/>
        <v>#DIV/0!</v>
      </c>
    </row>
    <row r="32" spans="1:61" ht="18" customHeight="1">
      <c r="B32" s="302"/>
      <c r="C32" s="303">
        <v>23</v>
      </c>
      <c r="D32" s="281"/>
      <c r="E32" s="458">
        <f>'SQ-1'!G27+'SQ-2'!G27+'SQ-3'!G27+'SQ-4'!G27+'SQ-5'!G27+'SQ-6'!G27+'SQ-7'!G27+'SQ-8'!G27+'SQ-9'!G27</f>
        <v>0</v>
      </c>
      <c r="F32" s="305">
        <f t="shared" si="2"/>
        <v>0</v>
      </c>
      <c r="G32" s="303">
        <f t="shared" si="10"/>
        <v>23</v>
      </c>
      <c r="H32" s="305">
        <f t="shared" si="13"/>
        <v>0</v>
      </c>
      <c r="I32" s="305">
        <f t="shared" si="0"/>
        <v>0</v>
      </c>
      <c r="J32" s="459">
        <f>'SQ-1'!B27+'SQ-2'!B27+'SQ-3'!B27+'SQ-4'!B27+'SQ-5'!B27+'SQ-6'!B27+'SQ-7'!B27+'SQ-8'!B27+'SQ-9'!B27</f>
        <v>0</v>
      </c>
      <c r="K32" s="307">
        <f t="shared" si="4"/>
        <v>0</v>
      </c>
      <c r="L32" s="305" t="e">
        <f t="shared" si="5"/>
        <v>#DIV/0!</v>
      </c>
      <c r="M32" s="305" t="e">
        <f t="shared" si="6"/>
        <v>#DIV/0!</v>
      </c>
      <c r="N32" s="306">
        <v>3</v>
      </c>
      <c r="O32" s="308" t="e">
        <f t="shared" si="1"/>
        <v>#DIV/0!</v>
      </c>
      <c r="P32" s="458">
        <f>'SQ-1'!F27+'SQ-2'!F27+'SQ-3'!F27+'SQ-4'!F27+'SQ-5'!F27+'SQ-6'!F27+'SQ-7'!F27+'SQ-8'!F27+'SQ-9'!F27</f>
        <v>0</v>
      </c>
      <c r="Q32" s="309"/>
      <c r="R32" s="309"/>
      <c r="S32" s="309"/>
      <c r="T32" s="310"/>
      <c r="U32" s="311"/>
      <c r="V32" s="312"/>
      <c r="W32" s="304"/>
      <c r="X32" s="304"/>
      <c r="Y32" s="304"/>
      <c r="Z32" s="304"/>
      <c r="AA32" s="304"/>
      <c r="AB32" s="314"/>
      <c r="AC32" s="332"/>
      <c r="AD32" s="327"/>
      <c r="AE32" s="304"/>
      <c r="AF32" s="304"/>
      <c r="AG32" s="304"/>
      <c r="AH32" s="304"/>
      <c r="AI32" s="304"/>
      <c r="AJ32" s="304"/>
      <c r="AK32" s="304"/>
      <c r="AL32" s="339"/>
      <c r="AM32" s="304"/>
      <c r="AN32" s="316"/>
      <c r="AO32" s="316"/>
      <c r="AP32" s="317"/>
      <c r="AQ32" s="267"/>
      <c r="AR32" s="331"/>
      <c r="AS32" s="309"/>
      <c r="AT32" s="304"/>
      <c r="AU32" s="319"/>
      <c r="AV32" s="304"/>
      <c r="AW32" s="304"/>
      <c r="AX32" s="340"/>
      <c r="AY32" s="321"/>
      <c r="AZ32" s="341"/>
      <c r="BA32" s="328"/>
      <c r="BC32" s="303">
        <v>23</v>
      </c>
      <c r="BD32" s="325">
        <f t="shared" si="11"/>
        <v>0</v>
      </c>
      <c r="BE32" s="305">
        <f t="shared" si="7"/>
        <v>0</v>
      </c>
      <c r="BF32" s="326">
        <f t="shared" si="12"/>
        <v>0</v>
      </c>
      <c r="BG32" s="307">
        <f t="shared" si="8"/>
        <v>0</v>
      </c>
      <c r="BH32" s="305" t="e">
        <f t="shared" si="9"/>
        <v>#DIV/0!</v>
      </c>
      <c r="BI32" s="305" t="e">
        <f t="shared" si="9"/>
        <v>#DIV/0!</v>
      </c>
    </row>
    <row r="33" spans="1:61" s="220" customFormat="1" ht="18" customHeight="1">
      <c r="B33" s="302"/>
      <c r="C33" s="303">
        <v>24</v>
      </c>
      <c r="D33" s="281"/>
      <c r="E33" s="458">
        <f>'SQ-1'!G28+'SQ-2'!G28+'SQ-3'!G28+'SQ-4'!G28+'SQ-5'!G28+'SQ-6'!G28+'SQ-7'!G28+'SQ-8'!G28+'SQ-9'!G28</f>
        <v>0</v>
      </c>
      <c r="F33" s="305">
        <f t="shared" si="2"/>
        <v>0</v>
      </c>
      <c r="G33" s="303">
        <f t="shared" si="10"/>
        <v>24</v>
      </c>
      <c r="H33" s="305">
        <f t="shared" si="13"/>
        <v>0</v>
      </c>
      <c r="I33" s="305">
        <f t="shared" si="0"/>
        <v>0</v>
      </c>
      <c r="J33" s="459">
        <f>'SQ-1'!B28+'SQ-2'!B28+'SQ-3'!B28+'SQ-4'!B28+'SQ-5'!B28+'SQ-6'!B28+'SQ-7'!B28+'SQ-8'!B28+'SQ-9'!B28</f>
        <v>0</v>
      </c>
      <c r="K33" s="307">
        <f t="shared" si="4"/>
        <v>0</v>
      </c>
      <c r="L33" s="305" t="e">
        <f t="shared" si="5"/>
        <v>#DIV/0!</v>
      </c>
      <c r="M33" s="305" t="e">
        <f t="shared" si="6"/>
        <v>#DIV/0!</v>
      </c>
      <c r="N33" s="306"/>
      <c r="O33" s="308" t="e">
        <f t="shared" si="1"/>
        <v>#DIV/0!</v>
      </c>
      <c r="P33" s="458">
        <f>'SQ-1'!F28+'SQ-2'!F28+'SQ-3'!F28+'SQ-4'!F28+'SQ-5'!F28+'SQ-6'!F28+'SQ-7'!F28+'SQ-8'!F28+'SQ-9'!F28</f>
        <v>0</v>
      </c>
      <c r="Q33" s="309"/>
      <c r="R33" s="309"/>
      <c r="S33" s="309"/>
      <c r="T33" s="310"/>
      <c r="U33" s="311"/>
      <c r="V33" s="312"/>
      <c r="W33" s="304"/>
      <c r="X33" s="304"/>
      <c r="Y33" s="304"/>
      <c r="Z33" s="304"/>
      <c r="AA33" s="304"/>
      <c r="AB33" s="314"/>
      <c r="AC33" s="327"/>
      <c r="AD33" s="327"/>
      <c r="AE33" s="304"/>
      <c r="AF33" s="304"/>
      <c r="AG33" s="304"/>
      <c r="AH33" s="304"/>
      <c r="AI33" s="304"/>
      <c r="AJ33" s="304"/>
      <c r="AK33" s="304"/>
      <c r="AL33" s="304"/>
      <c r="AM33" s="304"/>
      <c r="AN33" s="316"/>
      <c r="AO33" s="316"/>
      <c r="AP33" s="317"/>
      <c r="AQ33" s="267"/>
      <c r="AR33" s="331"/>
      <c r="AS33" s="309"/>
      <c r="AT33" s="304"/>
      <c r="AU33" s="319"/>
      <c r="AV33" s="304"/>
      <c r="AW33" s="304"/>
      <c r="AX33" s="340"/>
      <c r="AY33" s="321"/>
      <c r="AZ33" s="341"/>
      <c r="BA33" s="328"/>
      <c r="BC33" s="303">
        <v>24</v>
      </c>
      <c r="BD33" s="325">
        <f t="shared" si="11"/>
        <v>0</v>
      </c>
      <c r="BE33" s="305">
        <f t="shared" si="7"/>
        <v>0</v>
      </c>
      <c r="BF33" s="326">
        <f t="shared" si="12"/>
        <v>0</v>
      </c>
      <c r="BG33" s="307">
        <f t="shared" si="8"/>
        <v>0</v>
      </c>
      <c r="BH33" s="305" t="e">
        <f t="shared" si="9"/>
        <v>#DIV/0!</v>
      </c>
      <c r="BI33" s="305" t="e">
        <f t="shared" si="9"/>
        <v>#DIV/0!</v>
      </c>
    </row>
    <row r="34" spans="1:61" ht="18" customHeight="1">
      <c r="B34" s="302"/>
      <c r="C34" s="303">
        <v>25</v>
      </c>
      <c r="D34" s="281"/>
      <c r="E34" s="458">
        <f>'SQ-1'!G29+'SQ-2'!G29+'SQ-3'!G29+'SQ-4'!G29+'SQ-5'!G29+'SQ-6'!G29+'SQ-7'!G29+'SQ-8'!G29+'SQ-9'!G29</f>
        <v>0</v>
      </c>
      <c r="F34" s="305">
        <f t="shared" si="2"/>
        <v>0</v>
      </c>
      <c r="G34" s="303">
        <f t="shared" si="10"/>
        <v>25</v>
      </c>
      <c r="H34" s="305">
        <f t="shared" si="13"/>
        <v>0</v>
      </c>
      <c r="I34" s="305">
        <f t="shared" si="0"/>
        <v>0</v>
      </c>
      <c r="J34" s="459">
        <f>'SQ-1'!B29+'SQ-2'!B29+'SQ-3'!B29+'SQ-4'!B29+'SQ-5'!B29+'SQ-6'!B29+'SQ-7'!B29+'SQ-8'!B29+'SQ-9'!B29</f>
        <v>0</v>
      </c>
      <c r="K34" s="307">
        <f t="shared" si="4"/>
        <v>0</v>
      </c>
      <c r="L34" s="305" t="e">
        <f t="shared" si="5"/>
        <v>#DIV/0!</v>
      </c>
      <c r="M34" s="305" t="e">
        <f t="shared" si="6"/>
        <v>#DIV/0!</v>
      </c>
      <c r="N34" s="306"/>
      <c r="O34" s="308" t="e">
        <f t="shared" si="1"/>
        <v>#DIV/0!</v>
      </c>
      <c r="P34" s="458">
        <f>'SQ-1'!F29+'SQ-2'!F29+'SQ-3'!F29+'SQ-4'!F29+'SQ-5'!F29+'SQ-6'!F29+'SQ-7'!F29+'SQ-8'!F29+'SQ-9'!F29</f>
        <v>0</v>
      </c>
      <c r="Q34" s="309"/>
      <c r="R34" s="309"/>
      <c r="S34" s="309"/>
      <c r="T34" s="310"/>
      <c r="U34" s="311"/>
      <c r="V34" s="312"/>
      <c r="W34" s="304"/>
      <c r="X34" s="304"/>
      <c r="Y34" s="304"/>
      <c r="Z34" s="304"/>
      <c r="AA34" s="304"/>
      <c r="AB34" s="314"/>
      <c r="AC34" s="327"/>
      <c r="AD34" s="327"/>
      <c r="AE34" s="304"/>
      <c r="AF34" s="304"/>
      <c r="AG34" s="304"/>
      <c r="AH34" s="304"/>
      <c r="AI34" s="304"/>
      <c r="AJ34" s="304"/>
      <c r="AK34" s="304"/>
      <c r="AL34" s="304"/>
      <c r="AM34" s="304"/>
      <c r="AN34" s="316"/>
      <c r="AO34" s="316"/>
      <c r="AP34" s="317"/>
      <c r="AQ34" s="267"/>
      <c r="AR34" s="318"/>
      <c r="AS34" s="309"/>
      <c r="AT34" s="304"/>
      <c r="AU34" s="319"/>
      <c r="AV34" s="304"/>
      <c r="AW34" s="304"/>
      <c r="AX34" s="340"/>
      <c r="AY34" s="321"/>
      <c r="AZ34" s="341"/>
      <c r="BA34" s="333"/>
      <c r="BC34" s="303">
        <v>25</v>
      </c>
      <c r="BD34" s="325">
        <f t="shared" si="11"/>
        <v>0</v>
      </c>
      <c r="BE34" s="305">
        <f t="shared" si="7"/>
        <v>0</v>
      </c>
      <c r="BF34" s="326">
        <f t="shared" si="12"/>
        <v>0</v>
      </c>
      <c r="BG34" s="307">
        <f t="shared" si="8"/>
        <v>0</v>
      </c>
      <c r="BH34" s="305" t="e">
        <f t="shared" si="9"/>
        <v>#DIV/0!</v>
      </c>
      <c r="BI34" s="305" t="e">
        <f t="shared" si="9"/>
        <v>#DIV/0!</v>
      </c>
    </row>
    <row r="35" spans="1:61" ht="18" customHeight="1">
      <c r="B35" s="302"/>
      <c r="C35" s="303">
        <v>26</v>
      </c>
      <c r="D35" s="281"/>
      <c r="E35" s="458">
        <f>'SQ-1'!G30+'SQ-2'!G30+'SQ-3'!G30+'SQ-4'!G30+'SQ-5'!G30+'SQ-6'!G30+'SQ-7'!G30+'SQ-8'!G30+'SQ-9'!G30</f>
        <v>0</v>
      </c>
      <c r="F35" s="305">
        <f t="shared" si="2"/>
        <v>0</v>
      </c>
      <c r="G35" s="303">
        <f t="shared" si="10"/>
        <v>26</v>
      </c>
      <c r="H35" s="305">
        <f t="shared" si="13"/>
        <v>0</v>
      </c>
      <c r="I35" s="305">
        <f t="shared" si="0"/>
        <v>0</v>
      </c>
      <c r="J35" s="459">
        <f>'SQ-1'!B30+'SQ-2'!B30+'SQ-3'!B30+'SQ-4'!B30+'SQ-5'!B30+'SQ-6'!B30+'SQ-7'!B30+'SQ-8'!B30+'SQ-9'!B30</f>
        <v>0</v>
      </c>
      <c r="K35" s="307">
        <f t="shared" si="4"/>
        <v>0</v>
      </c>
      <c r="L35" s="305" t="e">
        <f t="shared" si="5"/>
        <v>#DIV/0!</v>
      </c>
      <c r="M35" s="325" t="e">
        <f t="shared" si="6"/>
        <v>#DIV/0!</v>
      </c>
      <c r="N35" s="306"/>
      <c r="O35" s="308" t="e">
        <f t="shared" si="1"/>
        <v>#DIV/0!</v>
      </c>
      <c r="P35" s="458">
        <f>'SQ-1'!F30+'SQ-2'!F30+'SQ-3'!F30+'SQ-4'!F30+'SQ-5'!F30+'SQ-6'!F30+'SQ-7'!F30+'SQ-8'!F30+'SQ-9'!F30</f>
        <v>0</v>
      </c>
      <c r="Q35" s="309"/>
      <c r="R35" s="309"/>
      <c r="S35" s="309"/>
      <c r="T35" s="310"/>
      <c r="U35" s="311"/>
      <c r="V35" s="312"/>
      <c r="W35" s="304"/>
      <c r="X35" s="304"/>
      <c r="Y35" s="304"/>
      <c r="Z35" s="304"/>
      <c r="AA35" s="304"/>
      <c r="AB35" s="314"/>
      <c r="AC35" s="327"/>
      <c r="AD35" s="327"/>
      <c r="AE35" s="304"/>
      <c r="AF35" s="304"/>
      <c r="AG35" s="304"/>
      <c r="AH35" s="304"/>
      <c r="AI35" s="304"/>
      <c r="AJ35" s="304"/>
      <c r="AK35" s="304"/>
      <c r="AL35" s="304"/>
      <c r="AM35" s="304"/>
      <c r="AN35" s="316"/>
      <c r="AO35" s="316"/>
      <c r="AP35" s="317"/>
      <c r="AQ35" s="267"/>
      <c r="AR35" s="318"/>
      <c r="AS35" s="309"/>
      <c r="AT35" s="304"/>
      <c r="AU35" s="319"/>
      <c r="AV35" s="304"/>
      <c r="AW35" s="304"/>
      <c r="AX35" s="340"/>
      <c r="AY35" s="321"/>
      <c r="AZ35" s="341"/>
      <c r="BA35" s="333"/>
      <c r="BC35" s="303">
        <v>26</v>
      </c>
      <c r="BD35" s="325">
        <f t="shared" si="11"/>
        <v>0</v>
      </c>
      <c r="BE35" s="305">
        <f t="shared" si="7"/>
        <v>0</v>
      </c>
      <c r="BF35" s="326">
        <f t="shared" si="12"/>
        <v>0</v>
      </c>
      <c r="BG35" s="307">
        <f t="shared" si="8"/>
        <v>0</v>
      </c>
      <c r="BH35" s="305" t="e">
        <f t="shared" si="9"/>
        <v>#DIV/0!</v>
      </c>
      <c r="BI35" s="305" t="e">
        <f t="shared" si="9"/>
        <v>#DIV/0!</v>
      </c>
    </row>
    <row r="36" spans="1:61" ht="18" customHeight="1">
      <c r="B36" s="302"/>
      <c r="C36" s="303">
        <v>27</v>
      </c>
      <c r="D36" s="281"/>
      <c r="E36" s="458">
        <f>'SQ-1'!G31+'SQ-2'!G31+'SQ-3'!G31+'SQ-4'!G31+'SQ-5'!G31+'SQ-6'!G31+'SQ-7'!G31+'SQ-8'!G31+'SQ-9'!G31</f>
        <v>0</v>
      </c>
      <c r="F36" s="305">
        <f t="shared" si="2"/>
        <v>0</v>
      </c>
      <c r="G36" s="303">
        <f t="shared" si="10"/>
        <v>27</v>
      </c>
      <c r="H36" s="305">
        <f t="shared" si="13"/>
        <v>0</v>
      </c>
      <c r="I36" s="325">
        <f t="shared" si="0"/>
        <v>0</v>
      </c>
      <c r="J36" s="459">
        <f>'SQ-1'!B31+'SQ-2'!B31+'SQ-3'!B31+'SQ-4'!B31+'SQ-5'!B31+'SQ-6'!B31+'SQ-7'!B31+'SQ-8'!B31+'SQ-9'!B31</f>
        <v>0</v>
      </c>
      <c r="K36" s="330">
        <f t="shared" si="4"/>
        <v>0</v>
      </c>
      <c r="L36" s="325" t="e">
        <f t="shared" si="5"/>
        <v>#DIV/0!</v>
      </c>
      <c r="M36" s="325" t="e">
        <f t="shared" si="6"/>
        <v>#DIV/0!</v>
      </c>
      <c r="N36" s="306"/>
      <c r="O36" s="308" t="e">
        <f t="shared" si="1"/>
        <v>#DIV/0!</v>
      </c>
      <c r="P36" s="458">
        <f>'SQ-1'!F31+'SQ-2'!F31+'SQ-3'!F31+'SQ-4'!F31+'SQ-5'!F31+'SQ-6'!F31+'SQ-7'!F31+'SQ-8'!F31+'SQ-9'!F31</f>
        <v>0</v>
      </c>
      <c r="Q36" s="309"/>
      <c r="R36" s="309"/>
      <c r="S36" s="309"/>
      <c r="T36" s="312"/>
      <c r="U36" s="335"/>
      <c r="V36" s="342"/>
      <c r="W36" s="304"/>
      <c r="X36" s="304"/>
      <c r="Y36" s="304"/>
      <c r="Z36" s="304"/>
      <c r="AA36" s="304"/>
      <c r="AB36" s="314"/>
      <c r="AC36" s="327"/>
      <c r="AD36" s="327"/>
      <c r="AE36" s="304"/>
      <c r="AF36" s="304"/>
      <c r="AG36" s="304"/>
      <c r="AH36" s="304"/>
      <c r="AI36" s="304"/>
      <c r="AJ36" s="304"/>
      <c r="AK36" s="304"/>
      <c r="AL36" s="304"/>
      <c r="AM36" s="304"/>
      <c r="AN36" s="316"/>
      <c r="AO36" s="316"/>
      <c r="AP36" s="317"/>
      <c r="AQ36" s="267"/>
      <c r="AR36" s="331"/>
      <c r="AS36" s="309"/>
      <c r="AT36" s="304"/>
      <c r="AU36" s="319"/>
      <c r="AV36" s="304"/>
      <c r="AW36" s="304"/>
      <c r="AX36" s="340"/>
      <c r="AY36" s="321"/>
      <c r="AZ36" s="341"/>
      <c r="BA36" s="323"/>
      <c r="BB36" s="220"/>
      <c r="BC36" s="303">
        <v>27</v>
      </c>
      <c r="BD36" s="325">
        <f t="shared" si="11"/>
        <v>0</v>
      </c>
      <c r="BE36" s="325">
        <f t="shared" si="7"/>
        <v>0</v>
      </c>
      <c r="BF36" s="326">
        <f t="shared" si="12"/>
        <v>0</v>
      </c>
      <c r="BG36" s="330">
        <f t="shared" si="8"/>
        <v>0</v>
      </c>
      <c r="BH36" s="325" t="e">
        <f t="shared" si="9"/>
        <v>#DIV/0!</v>
      </c>
      <c r="BI36" s="325" t="e">
        <f t="shared" si="9"/>
        <v>#DIV/0!</v>
      </c>
    </row>
    <row r="37" spans="1:61" ht="18" customHeight="1">
      <c r="A37" s="19" t="s">
        <v>161</v>
      </c>
      <c r="B37" s="302"/>
      <c r="C37" s="303">
        <v>28</v>
      </c>
      <c r="D37" s="281"/>
      <c r="E37" s="458">
        <f>'SQ-1'!G32+'SQ-2'!G32+'SQ-3'!G32+'SQ-4'!G32+'SQ-5'!G32+'SQ-6'!G32+'SQ-7'!G32+'SQ-8'!G32+'SQ-9'!G32</f>
        <v>0</v>
      </c>
      <c r="F37" s="305">
        <f t="shared" si="2"/>
        <v>0</v>
      </c>
      <c r="G37" s="303">
        <f t="shared" si="10"/>
        <v>28</v>
      </c>
      <c r="H37" s="305">
        <f t="shared" si="13"/>
        <v>0</v>
      </c>
      <c r="I37" s="305">
        <f t="shared" si="0"/>
        <v>0</v>
      </c>
      <c r="J37" s="459">
        <f>'SQ-1'!B32+'SQ-2'!B32+'SQ-3'!B32+'SQ-4'!B32+'SQ-5'!B32+'SQ-6'!B32+'SQ-7'!B32+'SQ-8'!B32+'SQ-9'!B32</f>
        <v>0</v>
      </c>
      <c r="K37" s="307">
        <f t="shared" si="4"/>
        <v>0</v>
      </c>
      <c r="L37" s="305" t="e">
        <f t="shared" si="5"/>
        <v>#DIV/0!</v>
      </c>
      <c r="M37" s="305" t="e">
        <f t="shared" si="6"/>
        <v>#DIV/0!</v>
      </c>
      <c r="N37" s="306"/>
      <c r="O37" s="308" t="e">
        <f t="shared" si="1"/>
        <v>#DIV/0!</v>
      </c>
      <c r="P37" s="458">
        <f>'SQ-1'!F32+'SQ-2'!F32+'SQ-3'!F32+'SQ-4'!F32+'SQ-5'!F32+'SQ-6'!F32+'SQ-7'!F32+'SQ-8'!F32+'SQ-9'!F32</f>
        <v>0</v>
      </c>
      <c r="Q37" s="309"/>
      <c r="R37" s="309"/>
      <c r="S37" s="309"/>
      <c r="T37" s="312"/>
      <c r="U37" s="335"/>
      <c r="V37" s="342"/>
      <c r="W37" s="304"/>
      <c r="X37" s="304"/>
      <c r="Y37" s="304"/>
      <c r="Z37" s="304"/>
      <c r="AA37" s="304"/>
      <c r="AB37" s="314"/>
      <c r="AC37" s="327"/>
      <c r="AD37" s="327"/>
      <c r="AE37" s="304"/>
      <c r="AF37" s="304"/>
      <c r="AG37" s="304"/>
      <c r="AH37" s="304"/>
      <c r="AI37" s="304"/>
      <c r="AJ37" s="304"/>
      <c r="AK37" s="304"/>
      <c r="AL37" s="304"/>
      <c r="AM37" s="304"/>
      <c r="AN37" s="316"/>
      <c r="AO37" s="316"/>
      <c r="AP37" s="317"/>
      <c r="AQ37" s="267"/>
      <c r="AR37" s="331"/>
      <c r="AS37" s="309"/>
      <c r="AT37" s="304"/>
      <c r="AU37" s="319"/>
      <c r="AV37" s="304"/>
      <c r="AW37" s="304"/>
      <c r="AX37" s="340"/>
      <c r="AY37" s="321"/>
      <c r="AZ37" s="341"/>
      <c r="BA37" s="328"/>
      <c r="BC37" s="303">
        <v>28</v>
      </c>
      <c r="BD37" s="325">
        <f t="shared" si="11"/>
        <v>0</v>
      </c>
      <c r="BE37" s="305">
        <f t="shared" si="7"/>
        <v>0</v>
      </c>
      <c r="BF37" s="326">
        <f t="shared" si="12"/>
        <v>0</v>
      </c>
      <c r="BG37" s="307">
        <f t="shared" si="8"/>
        <v>0</v>
      </c>
      <c r="BH37" s="305" t="e">
        <f t="shared" si="9"/>
        <v>#DIV/0!</v>
      </c>
      <c r="BI37" s="305" t="e">
        <f t="shared" si="9"/>
        <v>#DIV/0!</v>
      </c>
    </row>
    <row r="38" spans="1:61" ht="18" customHeight="1">
      <c r="B38" s="302"/>
      <c r="C38" s="303">
        <v>29</v>
      </c>
      <c r="D38" s="281"/>
      <c r="E38" s="458">
        <f>'SQ-1'!G33+'SQ-2'!G33+'SQ-3'!G33+'SQ-4'!G33+'SQ-5'!G33+'SQ-6'!G33+'SQ-7'!G33+'SQ-8'!G33+'SQ-9'!G33</f>
        <v>0</v>
      </c>
      <c r="F38" s="305">
        <f t="shared" si="2"/>
        <v>0</v>
      </c>
      <c r="G38" s="303">
        <f t="shared" si="10"/>
        <v>29</v>
      </c>
      <c r="H38" s="305">
        <f t="shared" si="13"/>
        <v>0</v>
      </c>
      <c r="I38" s="305">
        <f t="shared" si="0"/>
        <v>0</v>
      </c>
      <c r="J38" s="459">
        <f>'SQ-1'!B33+'SQ-2'!B33+'SQ-3'!B33+'SQ-4'!B33+'SQ-5'!B33+'SQ-6'!B33+'SQ-7'!B33+'SQ-8'!B33+'SQ-9'!B33</f>
        <v>0</v>
      </c>
      <c r="K38" s="307">
        <f t="shared" si="4"/>
        <v>0</v>
      </c>
      <c r="L38" s="305" t="e">
        <f t="shared" si="5"/>
        <v>#DIV/0!</v>
      </c>
      <c r="M38" s="305" t="e">
        <f t="shared" si="6"/>
        <v>#DIV/0!</v>
      </c>
      <c r="N38" s="306"/>
      <c r="O38" s="308" t="e">
        <f t="shared" si="1"/>
        <v>#DIV/0!</v>
      </c>
      <c r="P38" s="458">
        <f>'SQ-1'!F33+'SQ-2'!F33+'SQ-3'!F33+'SQ-4'!F33+'SQ-5'!F33+'SQ-6'!F33+'SQ-7'!F33+'SQ-8'!F33+'SQ-9'!F33</f>
        <v>0</v>
      </c>
      <c r="Q38" s="309"/>
      <c r="R38" s="309"/>
      <c r="S38" s="309"/>
      <c r="T38" s="310"/>
      <c r="U38" s="311"/>
      <c r="V38" s="312"/>
      <c r="W38" s="304"/>
      <c r="X38" s="304"/>
      <c r="Y38" s="304"/>
      <c r="Z38" s="304"/>
      <c r="AA38" s="304"/>
      <c r="AB38" s="314"/>
      <c r="AC38" s="327"/>
      <c r="AD38" s="327"/>
      <c r="AE38" s="304"/>
      <c r="AF38" s="304"/>
      <c r="AG38" s="304"/>
      <c r="AH38" s="304"/>
      <c r="AI38" s="304"/>
      <c r="AJ38" s="304"/>
      <c r="AK38" s="304"/>
      <c r="AL38" s="304"/>
      <c r="AM38" s="304"/>
      <c r="AN38" s="316"/>
      <c r="AO38" s="316"/>
      <c r="AP38" s="317"/>
      <c r="AQ38" s="267"/>
      <c r="AR38" s="318"/>
      <c r="AS38" s="309"/>
      <c r="AT38" s="304"/>
      <c r="AU38" s="319"/>
      <c r="AV38" s="304"/>
      <c r="AW38" s="304"/>
      <c r="AX38" s="340"/>
      <c r="AY38" s="321"/>
      <c r="AZ38" s="341"/>
      <c r="BA38" s="328"/>
      <c r="BC38" s="303">
        <f>IF(B38="-","",BC37+1)</f>
        <v>29</v>
      </c>
      <c r="BD38" s="325">
        <f t="shared" si="11"/>
        <v>0</v>
      </c>
      <c r="BE38" s="305">
        <f t="shared" si="7"/>
        <v>0</v>
      </c>
      <c r="BF38" s="326">
        <f t="shared" si="12"/>
        <v>0</v>
      </c>
      <c r="BG38" s="307">
        <f t="shared" si="8"/>
        <v>0</v>
      </c>
      <c r="BH38" s="305" t="e">
        <f t="shared" si="9"/>
        <v>#DIV/0!</v>
      </c>
      <c r="BI38" s="305" t="e">
        <f t="shared" si="9"/>
        <v>#DIV/0!</v>
      </c>
    </row>
    <row r="39" spans="1:61" ht="18" customHeight="1">
      <c r="A39" s="19" t="s">
        <v>161</v>
      </c>
      <c r="B39" s="302"/>
      <c r="C39" s="303">
        <v>30</v>
      </c>
      <c r="D39" s="281"/>
      <c r="E39" s="458">
        <f>'SQ-1'!G34+'SQ-2'!G34+'SQ-3'!G34+'SQ-4'!G34+'SQ-5'!G34+'SQ-6'!G34+'SQ-7'!G34+'SQ-8'!G34+'SQ-9'!G34</f>
        <v>0</v>
      </c>
      <c r="F39" s="305">
        <f t="shared" si="2"/>
        <v>0</v>
      </c>
      <c r="G39" s="303">
        <f t="shared" si="10"/>
        <v>30</v>
      </c>
      <c r="H39" s="305">
        <f t="shared" si="13"/>
        <v>0</v>
      </c>
      <c r="I39" s="305">
        <f t="shared" si="0"/>
        <v>0</v>
      </c>
      <c r="J39" s="459">
        <f>'SQ-1'!B34+'SQ-2'!B34+'SQ-3'!B34+'SQ-4'!B34+'SQ-5'!B34+'SQ-6'!B34+'SQ-7'!B34+'SQ-8'!B34+'SQ-9'!B34</f>
        <v>0</v>
      </c>
      <c r="K39" s="307">
        <f t="shared" si="4"/>
        <v>0</v>
      </c>
      <c r="L39" s="305" t="e">
        <f t="shared" si="5"/>
        <v>#DIV/0!</v>
      </c>
      <c r="M39" s="305" t="e">
        <f t="shared" si="6"/>
        <v>#DIV/0!</v>
      </c>
      <c r="N39" s="306"/>
      <c r="O39" s="308" t="e">
        <f t="shared" si="1"/>
        <v>#DIV/0!</v>
      </c>
      <c r="P39" s="458">
        <f>'SQ-1'!F34+'SQ-2'!F34+'SQ-3'!F34+'SQ-4'!F34+'SQ-5'!F34+'SQ-6'!F34+'SQ-7'!F34+'SQ-8'!F34+'SQ-9'!F34</f>
        <v>0</v>
      </c>
      <c r="Q39" s="309"/>
      <c r="R39" s="309"/>
      <c r="S39" s="309"/>
      <c r="T39" s="310"/>
      <c r="U39" s="311"/>
      <c r="V39" s="312"/>
      <c r="W39" s="304"/>
      <c r="X39" s="304"/>
      <c r="Y39" s="304"/>
      <c r="Z39" s="304"/>
      <c r="AA39" s="304"/>
      <c r="AB39" s="314"/>
      <c r="AC39" s="327"/>
      <c r="AD39" s="327"/>
      <c r="AE39" s="304"/>
      <c r="AF39" s="304"/>
      <c r="AG39" s="304"/>
      <c r="AH39" s="304"/>
      <c r="AI39" s="304"/>
      <c r="AJ39" s="304"/>
      <c r="AK39" s="304"/>
      <c r="AL39" s="304"/>
      <c r="AM39" s="304"/>
      <c r="AN39" s="316"/>
      <c r="AO39" s="316"/>
      <c r="AP39" s="317"/>
      <c r="AQ39" s="267"/>
      <c r="AR39" s="318"/>
      <c r="AS39" s="309"/>
      <c r="AT39" s="304"/>
      <c r="AU39" s="319"/>
      <c r="AV39" s="304"/>
      <c r="AW39" s="304"/>
      <c r="AX39" s="340"/>
      <c r="AY39" s="321"/>
      <c r="AZ39" s="343"/>
      <c r="BA39" s="328"/>
      <c r="BC39" s="303">
        <f>IF(B39="-","",BC38+1)</f>
        <v>30</v>
      </c>
      <c r="BD39" s="325">
        <f t="shared" si="11"/>
        <v>0</v>
      </c>
      <c r="BE39" s="305">
        <f t="shared" si="7"/>
        <v>0</v>
      </c>
      <c r="BF39" s="326">
        <f t="shared" si="12"/>
        <v>0</v>
      </c>
      <c r="BG39" s="307">
        <f t="shared" si="8"/>
        <v>0</v>
      </c>
      <c r="BH39" s="305" t="e">
        <f t="shared" si="9"/>
        <v>#DIV/0!</v>
      </c>
      <c r="BI39" s="305" t="e">
        <f t="shared" si="9"/>
        <v>#DIV/0!</v>
      </c>
    </row>
    <row r="40" spans="1:61" ht="18" customHeight="1">
      <c r="B40" s="302"/>
      <c r="C40" s="303">
        <v>31</v>
      </c>
      <c r="D40" s="281"/>
      <c r="E40" s="458">
        <f>'SQ-1'!G35+'SQ-2'!G35+'SQ-3'!G35+'SQ-4'!G35+'SQ-5'!G35+'SQ-6'!G35+'SQ-7'!G35+'SQ-8'!G35+'SQ-9'!G35</f>
        <v>0</v>
      </c>
      <c r="F40" s="305">
        <f t="shared" si="2"/>
        <v>0</v>
      </c>
      <c r="G40" s="303">
        <f t="shared" si="10"/>
        <v>31</v>
      </c>
      <c r="H40" s="305">
        <f t="shared" si="13"/>
        <v>0</v>
      </c>
      <c r="I40" s="305"/>
      <c r="J40" s="459">
        <f>'SQ-1'!B35+'SQ-2'!B35+'SQ-3'!B35+'SQ-4'!B35+'SQ-5'!B35+'SQ-6'!B35+'SQ-7'!B35+'SQ-8'!B35+'SQ-9'!B35</f>
        <v>0</v>
      </c>
      <c r="K40" s="307">
        <f t="shared" si="4"/>
        <v>0</v>
      </c>
      <c r="L40" s="305" t="e">
        <f>E40/J40</f>
        <v>#DIV/0!</v>
      </c>
      <c r="M40" s="305" t="e">
        <f>H40/K40</f>
        <v>#DIV/0!</v>
      </c>
      <c r="N40" s="306"/>
      <c r="O40" s="308" t="e">
        <f t="shared" si="1"/>
        <v>#DIV/0!</v>
      </c>
      <c r="P40" s="458">
        <f>'SQ-1'!F35+'SQ-2'!F35+'SQ-3'!F35+'SQ-4'!F35+'SQ-5'!F35+'SQ-6'!F35+'SQ-7'!F35+'SQ-8'!F35+'SQ-9'!F35</f>
        <v>0</v>
      </c>
      <c r="Q40" s="309"/>
      <c r="R40" s="309"/>
      <c r="S40" s="309"/>
      <c r="T40" s="310"/>
      <c r="U40" s="311"/>
      <c r="V40" s="312"/>
      <c r="W40" s="304"/>
      <c r="X40" s="304"/>
      <c r="Y40" s="304"/>
      <c r="Z40" s="304"/>
      <c r="AA40" s="304"/>
      <c r="AB40" s="314"/>
      <c r="AC40" s="327"/>
      <c r="AD40" s="327"/>
      <c r="AE40" s="304"/>
      <c r="AF40" s="304"/>
      <c r="AG40" s="304"/>
      <c r="AH40" s="304"/>
      <c r="AI40" s="304"/>
      <c r="AJ40" s="304"/>
      <c r="AK40" s="304"/>
      <c r="AL40" s="304"/>
      <c r="AM40" s="304"/>
      <c r="AN40" s="316"/>
      <c r="AO40" s="316"/>
      <c r="AP40" s="317"/>
      <c r="AQ40" s="267"/>
      <c r="AR40" s="331"/>
      <c r="AS40" s="309"/>
      <c r="AT40" s="304"/>
      <c r="AU40" s="319"/>
      <c r="AV40" s="304"/>
      <c r="AW40" s="304"/>
      <c r="AX40" s="340"/>
      <c r="AY40" s="321"/>
      <c r="AZ40" s="341"/>
      <c r="BA40" s="344"/>
      <c r="BC40" s="303">
        <f>IF(B40="-","",BC39+1)</f>
        <v>31</v>
      </c>
      <c r="BD40" s="325">
        <f t="shared" si="11"/>
        <v>0</v>
      </c>
      <c r="BE40" s="305">
        <f t="shared" si="7"/>
        <v>0</v>
      </c>
      <c r="BF40" s="326">
        <f>J40</f>
        <v>0</v>
      </c>
      <c r="BG40" s="307">
        <f t="shared" si="8"/>
        <v>0</v>
      </c>
      <c r="BH40" s="305" t="e">
        <f t="shared" si="9"/>
        <v>#DIV/0!</v>
      </c>
      <c r="BI40" s="305" t="e">
        <f t="shared" si="9"/>
        <v>#DIV/0!</v>
      </c>
    </row>
    <row r="41" spans="1:61" ht="18" customHeight="1">
      <c r="D41" s="345">
        <f>SUM(D10:D40)</f>
        <v>0</v>
      </c>
      <c r="E41" s="345">
        <f>SUM(E10:E40)</f>
        <v>0</v>
      </c>
      <c r="F41" s="346"/>
      <c r="G41" s="347"/>
      <c r="H41" s="346">
        <f>H40</f>
        <v>0</v>
      </c>
      <c r="I41" s="346"/>
      <c r="J41" s="348">
        <f>SUM(J10:J40)</f>
        <v>0</v>
      </c>
      <c r="K41" s="346"/>
      <c r="L41" s="346"/>
      <c r="M41" s="346"/>
      <c r="N41" s="349">
        <f>SUM(N10:N40)</f>
        <v>49.480000000000011</v>
      </c>
      <c r="O41" s="308" t="e">
        <f t="shared" si="1"/>
        <v>#DIV/0!</v>
      </c>
      <c r="P41" s="345">
        <f>SUM(P10:P40)</f>
        <v>0</v>
      </c>
      <c r="Q41" s="345">
        <f>SUM(Q10:Q40)</f>
        <v>0</v>
      </c>
      <c r="R41" s="345">
        <f>SUM(R10:R40)</f>
        <v>0</v>
      </c>
      <c r="S41" s="345">
        <f>SUM(S10:S40)</f>
        <v>0</v>
      </c>
      <c r="T41" s="350" t="e">
        <f>(J41-N41)/R41*60</f>
        <v>#DIV/0!</v>
      </c>
      <c r="U41" s="351" t="e">
        <f>S41/R41</f>
        <v>#DIV/0!</v>
      </c>
      <c r="V41" s="350">
        <f>H41/N41/60</f>
        <v>0</v>
      </c>
      <c r="W41" s="345">
        <f t="shared" ref="W41:AQ41" si="14">SUM(W10:W40)</f>
        <v>0</v>
      </c>
      <c r="X41" s="345">
        <f t="shared" si="14"/>
        <v>0</v>
      </c>
      <c r="Y41" s="345">
        <f t="shared" si="14"/>
        <v>0</v>
      </c>
      <c r="Z41" s="345">
        <f t="shared" si="14"/>
        <v>0</v>
      </c>
      <c r="AA41" s="345">
        <f t="shared" si="14"/>
        <v>0</v>
      </c>
      <c r="AB41" s="345">
        <f t="shared" si="14"/>
        <v>0</v>
      </c>
      <c r="AC41" s="345">
        <f t="shared" si="14"/>
        <v>0</v>
      </c>
      <c r="AD41" s="345">
        <f t="shared" si="14"/>
        <v>0</v>
      </c>
      <c r="AE41" s="345">
        <f t="shared" si="14"/>
        <v>0</v>
      </c>
      <c r="AF41" s="345">
        <f t="shared" si="14"/>
        <v>0</v>
      </c>
      <c r="AG41" s="345">
        <f t="shared" si="14"/>
        <v>0</v>
      </c>
      <c r="AH41" s="345">
        <f t="shared" si="14"/>
        <v>0</v>
      </c>
      <c r="AI41" s="345">
        <f t="shared" si="14"/>
        <v>0</v>
      </c>
      <c r="AJ41" s="345">
        <f t="shared" si="14"/>
        <v>0</v>
      </c>
      <c r="AK41" s="345">
        <f t="shared" si="14"/>
        <v>0</v>
      </c>
      <c r="AL41" s="345">
        <f t="shared" si="14"/>
        <v>0</v>
      </c>
      <c r="AM41" s="345">
        <f t="shared" si="14"/>
        <v>0</v>
      </c>
      <c r="AN41" s="345">
        <f t="shared" si="14"/>
        <v>0</v>
      </c>
      <c r="AO41" s="345">
        <f t="shared" si="14"/>
        <v>0</v>
      </c>
      <c r="AP41" s="317">
        <f t="shared" si="14"/>
        <v>0</v>
      </c>
      <c r="AQ41" s="345">
        <f t="shared" si="14"/>
        <v>0</v>
      </c>
      <c r="AR41" s="318">
        <f>SUM(AN41:AQ41)</f>
        <v>0</v>
      </c>
      <c r="AS41" s="345">
        <f>SUM(AS10:AS40)</f>
        <v>0</v>
      </c>
      <c r="AT41" s="345">
        <f>SUM(AT10:AT40)</f>
        <v>0</v>
      </c>
      <c r="AU41" s="319" t="e">
        <f>1-(AT41/AS41)</f>
        <v>#DIV/0!</v>
      </c>
      <c r="AV41" s="345">
        <f>SUM(AV10:AV40)</f>
        <v>0</v>
      </c>
      <c r="AW41" s="345">
        <f>SUM(AW10:AW40)</f>
        <v>0</v>
      </c>
      <c r="AX41" s="352"/>
      <c r="AY41" s="352"/>
      <c r="AZ41" s="353">
        <f>SUM(AZ10:AZ40)</f>
        <v>0</v>
      </c>
      <c r="BA41" s="354" t="s">
        <v>162</v>
      </c>
      <c r="BC41" s="220"/>
      <c r="BD41" s="345">
        <f>SUM(BD10:BD40)</f>
        <v>0</v>
      </c>
      <c r="BE41" s="345"/>
      <c r="BF41" s="345">
        <f>SUM(BF10:BF40)</f>
        <v>0</v>
      </c>
      <c r="BG41" s="346"/>
      <c r="BH41" s="346"/>
      <c r="BI41" s="346"/>
    </row>
    <row r="42" spans="1:61" ht="18" customHeight="1">
      <c r="L42" s="19" t="str">
        <f>IF(E42="","",ROUND(E42/J42*60,0))</f>
        <v/>
      </c>
      <c r="Q42" s="79"/>
      <c r="R42" s="79"/>
      <c r="S42" s="79"/>
      <c r="T42" s="79"/>
      <c r="U42" s="79"/>
      <c r="V42" s="79"/>
      <c r="W42" s="346"/>
      <c r="AB42" s="79"/>
      <c r="AC42" s="346">
        <f>SUM(AC41:AL41)</f>
        <v>0</v>
      </c>
      <c r="AN42" s="355"/>
      <c r="AO42" s="355"/>
      <c r="AP42" s="355"/>
      <c r="AQ42" s="355"/>
      <c r="AR42" s="356"/>
      <c r="AS42" s="346"/>
    </row>
    <row r="43" spans="1:61" s="357" customFormat="1" ht="18" customHeight="1">
      <c r="C43" s="358"/>
      <c r="D43" s="359"/>
      <c r="E43" s="359"/>
      <c r="F43" s="359"/>
      <c r="G43" s="356"/>
      <c r="H43" s="359"/>
      <c r="I43" s="359"/>
      <c r="J43" s="359"/>
      <c r="K43" s="359"/>
      <c r="L43" s="359"/>
      <c r="M43" s="359"/>
      <c r="N43" s="359"/>
      <c r="O43" s="360"/>
      <c r="AB43" s="361"/>
      <c r="AC43" s="361"/>
      <c r="AD43" s="361"/>
      <c r="AN43" s="356"/>
      <c r="AO43" s="356"/>
      <c r="AP43" s="356"/>
      <c r="AQ43" s="356"/>
      <c r="AR43" s="362"/>
      <c r="AU43" s="363"/>
      <c r="AZ43" s="364"/>
      <c r="BA43" s="365"/>
    </row>
    <row r="44" spans="1:61">
      <c r="C44" s="227" t="s">
        <v>163</v>
      </c>
      <c r="J44" s="356"/>
      <c r="K44" s="356"/>
      <c r="L44" s="357" t="s">
        <v>164</v>
      </c>
      <c r="AL44" s="356"/>
      <c r="AM44" s="357"/>
      <c r="AN44" s="356"/>
      <c r="AO44" s="356"/>
      <c r="AP44" s="356"/>
      <c r="AQ44" s="356"/>
      <c r="AR44" s="356"/>
      <c r="AS44" s="356"/>
      <c r="AT44" s="356"/>
    </row>
    <row r="45" spans="1:61" ht="56.25" customHeight="1">
      <c r="C45" s="267"/>
      <c r="D45" s="366" t="s">
        <v>165</v>
      </c>
      <c r="E45" s="366" t="s">
        <v>166</v>
      </c>
      <c r="F45" s="366"/>
      <c r="G45" s="367"/>
      <c r="H45" s="366" t="s">
        <v>167</v>
      </c>
      <c r="I45" s="366" t="s">
        <v>168</v>
      </c>
      <c r="J45" s="366" t="s">
        <v>169</v>
      </c>
      <c r="L45" s="368"/>
      <c r="M45" s="253" t="s">
        <v>170</v>
      </c>
      <c r="AL45" s="356"/>
      <c r="AM45" s="52"/>
      <c r="AN45" s="369"/>
      <c r="AO45" s="369"/>
      <c r="AP45" s="369"/>
      <c r="AQ45" s="369"/>
      <c r="AR45" s="369"/>
      <c r="AS45" s="369"/>
      <c r="AT45" s="356"/>
    </row>
    <row r="46" spans="1:61" ht="18" customHeight="1">
      <c r="B46" s="370"/>
      <c r="C46" s="303"/>
      <c r="D46" s="371"/>
      <c r="E46" s="372"/>
      <c r="F46" s="373"/>
      <c r="G46" s="371"/>
      <c r="H46" s="370"/>
      <c r="I46" s="374"/>
      <c r="J46" s="375"/>
      <c r="L46" s="376" t="s">
        <v>171</v>
      </c>
      <c r="M46" s="377" t="e">
        <f>ROUND(SUM(E10:E13)/SUM(J10:J13),0)</f>
        <v>#DIV/0!</v>
      </c>
      <c r="AL46" s="356"/>
      <c r="AM46" s="356"/>
      <c r="AN46" s="378"/>
      <c r="AO46" s="378"/>
      <c r="AP46" s="378"/>
      <c r="AQ46" s="378"/>
      <c r="AR46" s="378"/>
      <c r="AS46" s="378"/>
      <c r="AT46" s="356"/>
    </row>
    <row r="47" spans="1:61" ht="18" customHeight="1">
      <c r="B47" s="370"/>
      <c r="C47" s="303"/>
      <c r="D47" s="371"/>
      <c r="E47" s="372"/>
      <c r="F47" s="373"/>
      <c r="G47" s="371"/>
      <c r="H47" s="370"/>
      <c r="I47" s="374"/>
      <c r="J47" s="375"/>
      <c r="L47" s="379" t="s">
        <v>172</v>
      </c>
      <c r="M47" s="377" t="e">
        <f>ROUND(SUM(E14:E20)/SUM(J14:J20),0)</f>
        <v>#DIV/0!</v>
      </c>
      <c r="AL47" s="356"/>
      <c r="AM47" s="358"/>
      <c r="AN47" s="380"/>
      <c r="AO47" s="359"/>
      <c r="AP47" s="381"/>
      <c r="AQ47" s="382"/>
      <c r="AR47" s="359"/>
      <c r="AS47" s="359"/>
      <c r="AT47" s="356"/>
    </row>
    <row r="48" spans="1:61" ht="18" customHeight="1">
      <c r="B48" s="383"/>
      <c r="C48" s="303"/>
      <c r="D48" s="371"/>
      <c r="E48" s="372"/>
      <c r="F48" s="373"/>
      <c r="G48" s="371"/>
      <c r="H48" s="370"/>
      <c r="I48" s="374"/>
      <c r="J48" s="375"/>
      <c r="L48" s="379" t="s">
        <v>173</v>
      </c>
      <c r="M48" s="377" t="e">
        <f>ROUND(SUM(E22:E27)/SUM(J22:J27),0)</f>
        <v>#DIV/0!</v>
      </c>
      <c r="AL48" s="356"/>
      <c r="AM48" s="358"/>
      <c r="AN48" s="380"/>
      <c r="AO48" s="359"/>
      <c r="AP48" s="381"/>
      <c r="AQ48" s="382"/>
      <c r="AR48" s="359"/>
      <c r="AS48" s="359"/>
      <c r="AT48" s="356"/>
    </row>
    <row r="49" spans="2:46" ht="18" customHeight="1">
      <c r="B49" s="383"/>
      <c r="C49" s="384"/>
      <c r="D49" s="370"/>
      <c r="E49" s="372"/>
      <c r="F49" s="373"/>
      <c r="G49" s="371"/>
      <c r="H49" s="370"/>
      <c r="I49" s="374"/>
      <c r="J49" s="375"/>
      <c r="L49" s="379" t="s">
        <v>174</v>
      </c>
      <c r="M49" s="377" t="e">
        <f>ROUND(SUM(E29:E34)/SUM(J29:J34),0)</f>
        <v>#DIV/0!</v>
      </c>
      <c r="AL49" s="356"/>
      <c r="AM49" s="358"/>
      <c r="AN49" s="385"/>
      <c r="AO49" s="359"/>
      <c r="AP49" s="381"/>
      <c r="AQ49" s="382"/>
      <c r="AR49" s="359"/>
      <c r="AS49" s="359"/>
      <c r="AT49" s="356"/>
    </row>
    <row r="50" spans="2:46" ht="18" customHeight="1">
      <c r="B50" s="383"/>
      <c r="C50" s="384"/>
      <c r="D50" s="370"/>
      <c r="E50" s="372"/>
      <c r="F50" s="373"/>
      <c r="G50" s="371"/>
      <c r="H50" s="370"/>
      <c r="I50" s="374"/>
      <c r="J50" s="375"/>
      <c r="L50" s="379" t="s">
        <v>175</v>
      </c>
      <c r="M50" s="377" t="e">
        <f>ROUND(SUM(E36:E39)/SUM(J36:J39),0)</f>
        <v>#DIV/0!</v>
      </c>
      <c r="Q50" s="36"/>
      <c r="R50" s="36"/>
      <c r="S50" s="36"/>
      <c r="T50" s="36"/>
      <c r="U50" s="36"/>
      <c r="V50" s="36"/>
      <c r="W50" s="36"/>
      <c r="X50" s="36"/>
      <c r="AL50" s="356"/>
      <c r="AM50" s="358"/>
      <c r="AN50" s="385"/>
      <c r="AO50" s="359"/>
      <c r="AP50" s="381"/>
      <c r="AQ50" s="382"/>
      <c r="AR50" s="359"/>
      <c r="AS50" s="359"/>
      <c r="AT50" s="356"/>
    </row>
    <row r="51" spans="2:46" ht="18" customHeight="1">
      <c r="B51" s="383"/>
      <c r="C51" s="384"/>
      <c r="D51" s="370"/>
      <c r="E51" s="372"/>
      <c r="F51" s="373"/>
      <c r="G51" s="371"/>
      <c r="H51" s="370"/>
      <c r="I51" s="374"/>
      <c r="J51" s="375"/>
      <c r="L51" s="379" t="s">
        <v>176</v>
      </c>
      <c r="M51" s="386"/>
      <c r="Q51" s="36"/>
      <c r="R51" s="36"/>
      <c r="S51" s="36"/>
      <c r="T51" s="36"/>
      <c r="U51" s="36"/>
      <c r="V51" s="36"/>
      <c r="W51" s="36"/>
      <c r="X51" s="387"/>
      <c r="AL51" s="356"/>
      <c r="AM51" s="358"/>
      <c r="AN51" s="385"/>
      <c r="AO51" s="359"/>
      <c r="AP51" s="381"/>
      <c r="AQ51" s="382"/>
      <c r="AR51" s="359"/>
      <c r="AS51" s="359"/>
      <c r="AT51" s="356"/>
    </row>
    <row r="52" spans="2:46" ht="18" customHeight="1">
      <c r="B52" s="370"/>
      <c r="C52" s="384"/>
      <c r="D52" s="371"/>
      <c r="E52" s="372"/>
      <c r="F52" s="373"/>
      <c r="G52" s="371"/>
      <c r="H52" s="370"/>
      <c r="I52" s="388"/>
      <c r="J52" s="375"/>
      <c r="L52" s="389"/>
      <c r="M52" s="390"/>
      <c r="Q52" s="36"/>
      <c r="R52" s="36"/>
      <c r="S52" s="36"/>
      <c r="T52" s="36"/>
      <c r="U52" s="36"/>
      <c r="V52" s="36"/>
      <c r="W52" s="36"/>
      <c r="X52" s="387"/>
      <c r="AL52" s="356"/>
      <c r="AM52" s="358"/>
      <c r="AN52" s="385"/>
      <c r="AO52" s="359"/>
      <c r="AP52" s="381"/>
      <c r="AQ52" s="382"/>
      <c r="AR52" s="359"/>
      <c r="AS52" s="359"/>
      <c r="AT52" s="356"/>
    </row>
    <row r="53" spans="2:46" ht="18" customHeight="1">
      <c r="B53" s="370"/>
      <c r="C53" s="384"/>
      <c r="D53" s="371"/>
      <c r="E53" s="372"/>
      <c r="F53" s="373"/>
      <c r="G53" s="371"/>
      <c r="H53" s="370"/>
      <c r="I53" s="374"/>
      <c r="J53" s="375"/>
      <c r="L53" s="389"/>
      <c r="M53" s="390"/>
      <c r="Q53" s="36"/>
      <c r="R53" s="36"/>
      <c r="S53" s="36"/>
      <c r="T53" s="36"/>
      <c r="U53" s="36"/>
      <c r="V53" s="36"/>
      <c r="W53" s="36"/>
      <c r="X53" s="387"/>
      <c r="AL53" s="356"/>
      <c r="AM53" s="358"/>
      <c r="AN53" s="385"/>
      <c r="AO53" s="359"/>
      <c r="AP53" s="381"/>
      <c r="AQ53" s="382"/>
      <c r="AR53" s="359"/>
      <c r="AS53" s="359"/>
      <c r="AT53" s="356"/>
    </row>
    <row r="54" spans="2:46" ht="18" customHeight="1">
      <c r="B54" s="370"/>
      <c r="C54" s="384"/>
      <c r="D54" s="371"/>
      <c r="E54" s="372"/>
      <c r="F54" s="373"/>
      <c r="G54" s="371"/>
      <c r="H54" s="370"/>
      <c r="I54" s="374"/>
      <c r="J54" s="375"/>
      <c r="L54" s="389"/>
      <c r="M54" s="390"/>
      <c r="Q54" s="36"/>
      <c r="R54" s="36"/>
      <c r="S54" s="36"/>
      <c r="T54" s="36"/>
      <c r="U54" s="36"/>
      <c r="V54" s="36"/>
      <c r="W54" s="36"/>
      <c r="X54" s="36"/>
      <c r="AL54" s="356"/>
      <c r="AM54" s="358"/>
      <c r="AN54" s="385"/>
      <c r="AO54" s="359"/>
      <c r="AP54" s="381"/>
      <c r="AQ54" s="382"/>
      <c r="AR54" s="359"/>
      <c r="AS54" s="359"/>
      <c r="AT54" s="356"/>
    </row>
    <row r="55" spans="2:46" ht="18" customHeight="1">
      <c r="B55" s="370"/>
      <c r="C55" s="384"/>
      <c r="D55" s="371"/>
      <c r="E55" s="372"/>
      <c r="F55" s="373"/>
      <c r="G55" s="371"/>
      <c r="H55" s="370"/>
      <c r="I55" s="374"/>
      <c r="J55" s="375"/>
      <c r="L55" s="389"/>
      <c r="M55" s="391"/>
      <c r="Q55" s="36"/>
      <c r="R55" s="36"/>
      <c r="S55" s="36"/>
      <c r="T55" s="36"/>
      <c r="U55" s="36"/>
      <c r="V55" s="36"/>
      <c r="W55" s="36"/>
      <c r="X55" s="387"/>
      <c r="AL55" s="356"/>
      <c r="AM55" s="358"/>
      <c r="AN55" s="385"/>
      <c r="AO55" s="359"/>
      <c r="AP55" s="381"/>
      <c r="AQ55" s="382"/>
      <c r="AR55" s="359"/>
      <c r="AS55" s="359"/>
      <c r="AT55" s="356"/>
    </row>
    <row r="56" spans="2:46" ht="18" customHeight="1">
      <c r="B56" s="383"/>
      <c r="C56" s="384"/>
      <c r="D56" s="371"/>
      <c r="E56" s="372"/>
      <c r="F56" s="373"/>
      <c r="G56" s="371"/>
      <c r="H56" s="370"/>
      <c r="I56" s="374"/>
      <c r="J56" s="375"/>
      <c r="L56" s="389"/>
      <c r="M56" s="390"/>
      <c r="Q56" s="36"/>
      <c r="R56" s="36"/>
      <c r="S56" s="36"/>
      <c r="T56" s="36"/>
      <c r="U56" s="36"/>
      <c r="V56" s="36"/>
      <c r="W56" s="36"/>
      <c r="X56" s="387"/>
      <c r="AL56" s="356"/>
      <c r="AM56" s="358"/>
      <c r="AN56" s="385"/>
      <c r="AO56" s="359"/>
      <c r="AP56" s="381"/>
      <c r="AQ56" s="382"/>
      <c r="AR56" s="359"/>
      <c r="AS56" s="359"/>
      <c r="AT56" s="356"/>
    </row>
    <row r="57" spans="2:46" ht="18" customHeight="1">
      <c r="B57" s="370"/>
      <c r="C57" s="384"/>
      <c r="D57" s="371"/>
      <c r="E57" s="372"/>
      <c r="F57" s="373"/>
      <c r="G57" s="371"/>
      <c r="H57" s="370"/>
      <c r="I57" s="374"/>
      <c r="J57" s="375"/>
      <c r="L57" s="389"/>
      <c r="M57" s="390"/>
      <c r="Q57" s="36"/>
      <c r="R57" s="36"/>
      <c r="S57" s="36"/>
      <c r="T57" s="36"/>
      <c r="U57" s="36"/>
      <c r="V57" s="36"/>
      <c r="W57" s="36"/>
      <c r="X57" s="387"/>
      <c r="AL57" s="356"/>
      <c r="AM57" s="358"/>
      <c r="AN57" s="385"/>
      <c r="AO57" s="359"/>
      <c r="AP57" s="381"/>
      <c r="AQ57" s="382"/>
      <c r="AR57" s="359"/>
      <c r="AS57" s="359"/>
      <c r="AT57" s="356"/>
    </row>
    <row r="58" spans="2:46" ht="18" customHeight="1">
      <c r="B58" s="370"/>
      <c r="C58" s="384"/>
      <c r="D58" s="370"/>
      <c r="E58" s="372"/>
      <c r="F58" s="373"/>
      <c r="G58" s="371"/>
      <c r="H58" s="370"/>
      <c r="I58" s="374"/>
      <c r="J58" s="375"/>
      <c r="L58" s="389"/>
      <c r="M58" s="390"/>
      <c r="Q58" s="36"/>
      <c r="R58" s="36"/>
      <c r="S58" s="36"/>
      <c r="T58" s="36"/>
      <c r="U58" s="36"/>
      <c r="V58" s="36"/>
      <c r="W58" s="36"/>
      <c r="X58" s="36"/>
      <c r="AL58" s="356"/>
      <c r="AM58" s="358"/>
      <c r="AN58" s="385"/>
      <c r="AO58" s="359"/>
      <c r="AP58" s="381"/>
      <c r="AQ58" s="382"/>
      <c r="AR58" s="359"/>
      <c r="AS58" s="359"/>
      <c r="AT58" s="356"/>
    </row>
    <row r="59" spans="2:46" ht="18" customHeight="1">
      <c r="B59" s="392"/>
      <c r="C59" s="384"/>
      <c r="D59" s="370"/>
      <c r="E59" s="372"/>
      <c r="F59" s="373"/>
      <c r="G59" s="371"/>
      <c r="H59" s="370"/>
      <c r="I59" s="374"/>
      <c r="J59" s="375"/>
      <c r="L59" s="389"/>
      <c r="M59" s="390"/>
      <c r="AL59" s="356"/>
      <c r="AM59" s="358"/>
      <c r="AN59" s="385"/>
      <c r="AO59" s="359"/>
      <c r="AP59" s="381"/>
      <c r="AQ59" s="382"/>
      <c r="AR59" s="359"/>
      <c r="AS59" s="359"/>
      <c r="AT59" s="356"/>
    </row>
    <row r="60" spans="2:46" ht="18" customHeight="1">
      <c r="B60" s="383"/>
      <c r="C60" s="384"/>
      <c r="D60" s="370"/>
      <c r="E60" s="372"/>
      <c r="F60" s="373"/>
      <c r="G60" s="371"/>
      <c r="H60" s="370"/>
      <c r="I60" s="374"/>
      <c r="J60" s="375"/>
      <c r="K60" s="356"/>
      <c r="L60" s="356"/>
      <c r="M60" s="220"/>
      <c r="AL60" s="356"/>
      <c r="AM60" s="358"/>
      <c r="AN60" s="385"/>
      <c r="AO60" s="359"/>
      <c r="AP60" s="381"/>
      <c r="AQ60" s="382"/>
      <c r="AR60" s="359"/>
      <c r="AS60" s="359"/>
      <c r="AT60" s="356"/>
    </row>
    <row r="61" spans="2:46" ht="18" customHeight="1">
      <c r="M61" s="220"/>
      <c r="AL61" s="356"/>
      <c r="AM61" s="358"/>
      <c r="AN61" s="385"/>
      <c r="AO61" s="359"/>
      <c r="AP61" s="381"/>
      <c r="AQ61" s="382"/>
      <c r="AR61" s="359"/>
      <c r="AS61" s="359"/>
      <c r="AT61" s="356"/>
    </row>
    <row r="62" spans="2:46" ht="18" customHeight="1">
      <c r="M62" s="220"/>
      <c r="AL62" s="356"/>
      <c r="AM62" s="358"/>
      <c r="AN62" s="385"/>
      <c r="AO62" s="359"/>
      <c r="AP62" s="381"/>
      <c r="AQ62" s="382"/>
      <c r="AR62" s="359"/>
      <c r="AS62" s="359"/>
      <c r="AT62" s="356"/>
    </row>
    <row r="63" spans="2:46" ht="18" customHeight="1">
      <c r="M63" s="220"/>
      <c r="AL63" s="356"/>
      <c r="AM63" s="358"/>
      <c r="AN63" s="385"/>
      <c r="AO63" s="359"/>
      <c r="AP63" s="381"/>
      <c r="AQ63" s="382"/>
      <c r="AR63" s="359"/>
      <c r="AS63" s="359"/>
      <c r="AT63" s="356"/>
    </row>
    <row r="64" spans="2:46" ht="18" customHeight="1">
      <c r="M64" s="220"/>
      <c r="AL64" s="356"/>
      <c r="AM64" s="358"/>
      <c r="AN64" s="385"/>
      <c r="AO64" s="359"/>
      <c r="AP64" s="381"/>
      <c r="AQ64" s="382"/>
      <c r="AR64" s="359"/>
      <c r="AS64" s="359"/>
      <c r="AT64" s="356"/>
    </row>
    <row r="65" spans="13:46" ht="18" customHeight="1">
      <c r="M65" s="220"/>
      <c r="AL65" s="356"/>
      <c r="AM65" s="358"/>
      <c r="AN65" s="385"/>
      <c r="AO65" s="359"/>
      <c r="AP65" s="381"/>
      <c r="AQ65" s="382"/>
      <c r="AR65" s="359"/>
      <c r="AS65" s="359"/>
      <c r="AT65" s="356"/>
    </row>
    <row r="66" spans="13:46" ht="15">
      <c r="M66" s="220"/>
      <c r="AL66" s="356"/>
      <c r="AM66" s="358"/>
      <c r="AN66" s="385"/>
      <c r="AO66" s="359"/>
      <c r="AP66" s="381"/>
      <c r="AQ66" s="382"/>
      <c r="AR66" s="359"/>
      <c r="AS66" s="359"/>
      <c r="AT66" s="356"/>
    </row>
    <row r="67" spans="13:46" ht="15">
      <c r="M67" s="220"/>
      <c r="AL67" s="356"/>
      <c r="AM67" s="358"/>
      <c r="AN67" s="385"/>
      <c r="AO67" s="359"/>
      <c r="AP67" s="381"/>
      <c r="AQ67" s="382"/>
      <c r="AR67" s="359"/>
      <c r="AS67" s="359"/>
      <c r="AT67" s="356"/>
    </row>
    <row r="68" spans="13:46" ht="15">
      <c r="M68" s="220"/>
      <c r="AL68" s="356"/>
      <c r="AM68" s="358"/>
      <c r="AN68" s="385"/>
      <c r="AO68" s="359"/>
      <c r="AP68" s="381"/>
      <c r="AQ68" s="382"/>
      <c r="AR68" s="359"/>
      <c r="AS68" s="359"/>
      <c r="AT68" s="356"/>
    </row>
    <row r="69" spans="13:46" ht="15">
      <c r="M69" s="220"/>
      <c r="AL69" s="356"/>
      <c r="AM69" s="358"/>
      <c r="AN69" s="385"/>
      <c r="AO69" s="359"/>
      <c r="AP69" s="381"/>
      <c r="AQ69" s="382"/>
      <c r="AR69" s="359"/>
      <c r="AS69" s="359"/>
      <c r="AT69" s="356"/>
    </row>
    <row r="70" spans="13:46" ht="15">
      <c r="M70" s="220"/>
      <c r="AL70" s="356"/>
      <c r="AM70" s="358"/>
      <c r="AN70" s="385"/>
      <c r="AO70" s="359"/>
      <c r="AP70" s="381"/>
      <c r="AQ70" s="382"/>
      <c r="AR70" s="359"/>
      <c r="AS70" s="359"/>
      <c r="AT70" s="356"/>
    </row>
    <row r="71" spans="13:46" ht="15">
      <c r="M71" s="220"/>
      <c r="AL71" s="356"/>
      <c r="AM71" s="358"/>
      <c r="AN71" s="385"/>
      <c r="AO71" s="359"/>
      <c r="AP71" s="381"/>
      <c r="AQ71" s="382"/>
      <c r="AR71" s="359"/>
      <c r="AS71" s="359"/>
      <c r="AT71" s="356"/>
    </row>
    <row r="72" spans="13:46" ht="15">
      <c r="M72" s="220"/>
      <c r="AL72" s="356"/>
      <c r="AM72" s="358"/>
      <c r="AN72" s="385"/>
      <c r="AO72" s="359"/>
      <c r="AP72" s="381"/>
      <c r="AQ72" s="382"/>
      <c r="AR72" s="359"/>
      <c r="AS72" s="359"/>
      <c r="AT72" s="356"/>
    </row>
    <row r="73" spans="13:46" ht="15">
      <c r="M73" s="220"/>
      <c r="AL73" s="356"/>
      <c r="AM73" s="358"/>
      <c r="AN73" s="385"/>
      <c r="AO73" s="359"/>
      <c r="AP73" s="381"/>
      <c r="AQ73" s="382"/>
      <c r="AR73" s="359"/>
      <c r="AS73" s="359"/>
      <c r="AT73" s="356"/>
    </row>
    <row r="74" spans="13:46" ht="15">
      <c r="M74" s="220"/>
      <c r="AL74" s="356"/>
      <c r="AM74" s="358"/>
      <c r="AN74" s="385"/>
      <c r="AO74" s="359"/>
      <c r="AP74" s="381"/>
      <c r="AQ74" s="382"/>
      <c r="AR74" s="359"/>
      <c r="AS74" s="359"/>
      <c r="AT74" s="356"/>
    </row>
    <row r="75" spans="13:46" ht="15">
      <c r="M75" s="220"/>
      <c r="AL75" s="356"/>
      <c r="AM75" s="393"/>
      <c r="AN75" s="385"/>
      <c r="AO75" s="359"/>
      <c r="AP75" s="381"/>
      <c r="AQ75" s="382"/>
      <c r="AR75" s="359"/>
      <c r="AS75" s="359"/>
      <c r="AT75" s="356"/>
    </row>
    <row r="76" spans="13:46" ht="15">
      <c r="M76" s="220"/>
      <c r="AL76" s="356"/>
      <c r="AM76" s="393"/>
      <c r="AN76" s="385"/>
      <c r="AO76" s="359"/>
      <c r="AP76" s="381"/>
      <c r="AQ76" s="382"/>
      <c r="AR76" s="359"/>
      <c r="AS76" s="359"/>
      <c r="AT76" s="356"/>
    </row>
    <row r="77" spans="13:46" ht="15">
      <c r="M77" s="220"/>
      <c r="AL77" s="356"/>
      <c r="AM77" s="393"/>
      <c r="AN77" s="385"/>
      <c r="AO77" s="359"/>
      <c r="AP77" s="381"/>
      <c r="AQ77" s="382"/>
      <c r="AR77" s="359"/>
      <c r="AS77" s="359"/>
      <c r="AT77" s="356"/>
    </row>
    <row r="78" spans="13:46">
      <c r="M78" s="220"/>
      <c r="AL78" s="356"/>
      <c r="AM78" s="356"/>
      <c r="AN78" s="394"/>
      <c r="AO78" s="394"/>
      <c r="AP78" s="395"/>
      <c r="AQ78" s="394"/>
      <c r="AR78" s="394"/>
      <c r="AS78" s="394"/>
      <c r="AT78" s="356"/>
    </row>
    <row r="79" spans="13:46">
      <c r="M79" s="220"/>
      <c r="AL79" s="356"/>
      <c r="AM79" s="356"/>
      <c r="AN79" s="356"/>
      <c r="AO79" s="356"/>
      <c r="AP79" s="356"/>
      <c r="AQ79" s="356"/>
      <c r="AR79" s="356"/>
      <c r="AS79" s="356"/>
      <c r="AT79" s="356"/>
    </row>
    <row r="80" spans="13:46">
      <c r="M80" s="220"/>
    </row>
    <row r="81" spans="13:13">
      <c r="M81" s="220"/>
    </row>
    <row r="82" spans="13:13">
      <c r="M82" s="220"/>
    </row>
    <row r="83" spans="13:13">
      <c r="M83" s="220"/>
    </row>
    <row r="84" spans="13:13">
      <c r="M84" s="220"/>
    </row>
    <row r="85" spans="13:13">
      <c r="M85" s="220"/>
    </row>
    <row r="86" spans="13:13">
      <c r="M86" s="220"/>
    </row>
    <row r="87" spans="13:13">
      <c r="M87" s="220"/>
    </row>
    <row r="88" spans="13:13">
      <c r="M88" s="220"/>
    </row>
    <row r="89" spans="13:13">
      <c r="M89" s="220"/>
    </row>
    <row r="90" spans="13:13">
      <c r="M90" s="220"/>
    </row>
    <row r="91" spans="13:13">
      <c r="M91" s="220"/>
    </row>
    <row r="92" spans="13:13">
      <c r="M92" s="220"/>
    </row>
    <row r="93" spans="13:13">
      <c r="M93" s="220"/>
    </row>
    <row r="94" spans="13:13">
      <c r="M94" s="220"/>
    </row>
    <row r="95" spans="13:13">
      <c r="M95" s="220"/>
    </row>
    <row r="96" spans="13:13">
      <c r="M96" s="220"/>
    </row>
    <row r="97" spans="13:13">
      <c r="M97" s="220"/>
    </row>
    <row r="98" spans="13:13">
      <c r="M98" s="220"/>
    </row>
    <row r="99" spans="13:13">
      <c r="M99" s="220"/>
    </row>
    <row r="100" spans="13:13">
      <c r="M100" s="220"/>
    </row>
    <row r="101" spans="13:13">
      <c r="M101" s="220"/>
    </row>
    <row r="102" spans="13:13">
      <c r="M102" s="220"/>
    </row>
    <row r="103" spans="13:13">
      <c r="M103" s="220"/>
    </row>
    <row r="104" spans="13:13">
      <c r="M104" s="220"/>
    </row>
    <row r="105" spans="13:13">
      <c r="M105" s="220"/>
    </row>
    <row r="106" spans="13:13">
      <c r="M106" s="220"/>
    </row>
    <row r="107" spans="13:13">
      <c r="M107" s="220"/>
    </row>
    <row r="108" spans="13:13">
      <c r="M108" s="220"/>
    </row>
    <row r="109" spans="13:13">
      <c r="M109" s="220"/>
    </row>
    <row r="110" spans="13:13">
      <c r="M110" s="220"/>
    </row>
    <row r="111" spans="13:13">
      <c r="M111" s="220"/>
    </row>
    <row r="112" spans="13:13">
      <c r="M112" s="220"/>
    </row>
    <row r="113" spans="13:13">
      <c r="M113" s="220"/>
    </row>
    <row r="114" spans="13:13">
      <c r="M114" s="220"/>
    </row>
    <row r="115" spans="13:13">
      <c r="M115" s="220"/>
    </row>
    <row r="116" spans="13:13">
      <c r="M116" s="220"/>
    </row>
    <row r="117" spans="13:13">
      <c r="M117" s="220"/>
    </row>
    <row r="118" spans="13:13">
      <c r="M118" s="220"/>
    </row>
    <row r="119" spans="13:13">
      <c r="M119" s="220"/>
    </row>
    <row r="120" spans="13:13">
      <c r="M120" s="220"/>
    </row>
    <row r="121" spans="13:13">
      <c r="M121" s="220"/>
    </row>
    <row r="122" spans="13:13">
      <c r="M122" s="220"/>
    </row>
    <row r="123" spans="13:13">
      <c r="M123" s="220"/>
    </row>
    <row r="124" spans="13:13">
      <c r="M124" s="220"/>
    </row>
    <row r="125" spans="13:13">
      <c r="M125" s="220"/>
    </row>
    <row r="126" spans="13:13">
      <c r="M126" s="220"/>
    </row>
    <row r="127" spans="13:13">
      <c r="M127" s="220"/>
    </row>
    <row r="128" spans="13:13">
      <c r="M128" s="220"/>
    </row>
    <row r="129" spans="13:13">
      <c r="M129" s="220"/>
    </row>
    <row r="130" spans="13:13">
      <c r="M130" s="220"/>
    </row>
    <row r="131" spans="13:13">
      <c r="M131" s="220"/>
    </row>
    <row r="132" spans="13:13">
      <c r="M132" s="220"/>
    </row>
    <row r="133" spans="13:13">
      <c r="M133" s="220"/>
    </row>
    <row r="134" spans="13:13">
      <c r="M134" s="220"/>
    </row>
    <row r="135" spans="13:13">
      <c r="M135" s="220"/>
    </row>
    <row r="136" spans="13:13">
      <c r="M136" s="220"/>
    </row>
    <row r="137" spans="13:13">
      <c r="M137" s="220"/>
    </row>
    <row r="138" spans="13:13">
      <c r="M138" s="220"/>
    </row>
    <row r="139" spans="13:13">
      <c r="M139" s="220"/>
    </row>
    <row r="140" spans="13:13">
      <c r="M140" s="220"/>
    </row>
    <row r="141" spans="13:13">
      <c r="M141" s="220"/>
    </row>
    <row r="142" spans="13:13">
      <c r="M142" s="220"/>
    </row>
    <row r="143" spans="13:13">
      <c r="M143" s="220"/>
    </row>
    <row r="144" spans="13:13">
      <c r="M144" s="220"/>
    </row>
    <row r="145" spans="13:13">
      <c r="M145" s="220"/>
    </row>
    <row r="146" spans="13:13">
      <c r="M146" s="220"/>
    </row>
    <row r="147" spans="13:13">
      <c r="M147" s="220"/>
    </row>
    <row r="148" spans="13:13">
      <c r="M148" s="220"/>
    </row>
    <row r="149" spans="13:13">
      <c r="M149" s="220"/>
    </row>
    <row r="150" spans="13:13">
      <c r="M150" s="220"/>
    </row>
    <row r="151" spans="13:13">
      <c r="M151" s="220"/>
    </row>
    <row r="152" spans="13:13">
      <c r="M152" s="220"/>
    </row>
    <row r="153" spans="13:13">
      <c r="M153" s="220"/>
    </row>
    <row r="154" spans="13:13">
      <c r="M154" s="220"/>
    </row>
    <row r="155" spans="13:13">
      <c r="M155" s="220"/>
    </row>
    <row r="156" spans="13:13">
      <c r="M156" s="220"/>
    </row>
    <row r="157" spans="13:13">
      <c r="M157" s="220"/>
    </row>
    <row r="158" spans="13:13">
      <c r="M158" s="220"/>
    </row>
    <row r="159" spans="13:13">
      <c r="M159" s="220"/>
    </row>
    <row r="160" spans="13:13">
      <c r="M160" s="220"/>
    </row>
    <row r="161" spans="13:13">
      <c r="M161" s="220"/>
    </row>
    <row r="162" spans="13:13">
      <c r="M162" s="220"/>
    </row>
    <row r="163" spans="13:13">
      <c r="M163" s="220"/>
    </row>
    <row r="164" spans="13:13">
      <c r="M164" s="220"/>
    </row>
    <row r="165" spans="13:13">
      <c r="M165" s="220"/>
    </row>
    <row r="166" spans="13:13">
      <c r="M166" s="220"/>
    </row>
    <row r="167" spans="13:13">
      <c r="M167" s="220"/>
    </row>
    <row r="168" spans="13:13">
      <c r="M168" s="220"/>
    </row>
    <row r="169" spans="13:13">
      <c r="M169" s="220"/>
    </row>
    <row r="170" spans="13:13">
      <c r="M170" s="220"/>
    </row>
    <row r="171" spans="13:13">
      <c r="M171" s="220"/>
    </row>
    <row r="172" spans="13:13">
      <c r="M172" s="220"/>
    </row>
    <row r="173" spans="13:13">
      <c r="M173" s="220"/>
    </row>
    <row r="174" spans="13:13">
      <c r="M174" s="220"/>
    </row>
    <row r="175" spans="13:13">
      <c r="M175" s="220"/>
    </row>
    <row r="176" spans="13:13">
      <c r="M176" s="220"/>
    </row>
    <row r="177" spans="13:13">
      <c r="M177" s="220"/>
    </row>
    <row r="178" spans="13:13">
      <c r="M178" s="220"/>
    </row>
    <row r="179" spans="13:13">
      <c r="M179" s="220"/>
    </row>
    <row r="180" spans="13:13">
      <c r="M180" s="220"/>
    </row>
    <row r="181" spans="13:13">
      <c r="M181" s="220"/>
    </row>
    <row r="182" spans="13:13">
      <c r="M182" s="220"/>
    </row>
    <row r="183" spans="13:13">
      <c r="M183" s="220"/>
    </row>
    <row r="184" spans="13:13">
      <c r="M184" s="220"/>
    </row>
    <row r="185" spans="13:13">
      <c r="M185" s="220"/>
    </row>
    <row r="186" spans="13:13">
      <c r="M186" s="220"/>
    </row>
    <row r="187" spans="13:13">
      <c r="M187" s="220"/>
    </row>
    <row r="188" spans="13:13">
      <c r="M188" s="220"/>
    </row>
    <row r="189" spans="13:13">
      <c r="M189" s="220"/>
    </row>
    <row r="190" spans="13:13">
      <c r="M190" s="220"/>
    </row>
    <row r="191" spans="13:13">
      <c r="M191" s="220"/>
    </row>
    <row r="192" spans="13:13">
      <c r="M192" s="220"/>
    </row>
    <row r="193" spans="13:13">
      <c r="M193" s="220"/>
    </row>
    <row r="194" spans="13:13">
      <c r="M194" s="220"/>
    </row>
    <row r="195" spans="13:13">
      <c r="M195" s="220"/>
    </row>
    <row r="196" spans="13:13">
      <c r="M196" s="220"/>
    </row>
    <row r="197" spans="13:13">
      <c r="M197" s="220"/>
    </row>
    <row r="198" spans="13:13">
      <c r="M198" s="220"/>
    </row>
    <row r="199" spans="13:13">
      <c r="M199" s="220"/>
    </row>
    <row r="200" spans="13:13">
      <c r="M200" s="220"/>
    </row>
    <row r="201" spans="13:13">
      <c r="M201" s="220"/>
    </row>
    <row r="202" spans="13:13">
      <c r="M202" s="220"/>
    </row>
    <row r="203" spans="13:13">
      <c r="M203" s="220"/>
    </row>
    <row r="204" spans="13:13">
      <c r="M204" s="220"/>
    </row>
    <row r="205" spans="13:13">
      <c r="M205" s="220"/>
    </row>
    <row r="206" spans="13:13">
      <c r="M206" s="220"/>
    </row>
    <row r="207" spans="13:13">
      <c r="M207" s="220"/>
    </row>
    <row r="208" spans="13:13">
      <c r="M208" s="220"/>
    </row>
    <row r="209" spans="13:13">
      <c r="M209" s="220"/>
    </row>
    <row r="210" spans="13:13">
      <c r="M210" s="220"/>
    </row>
    <row r="211" spans="13:13">
      <c r="M211" s="220"/>
    </row>
    <row r="212" spans="13:13">
      <c r="M212" s="220"/>
    </row>
    <row r="213" spans="13:13">
      <c r="M213" s="220"/>
    </row>
    <row r="214" spans="13:13">
      <c r="M214" s="220"/>
    </row>
    <row r="215" spans="13:13">
      <c r="M215" s="220"/>
    </row>
    <row r="216" spans="13:13">
      <c r="M216" s="220"/>
    </row>
    <row r="217" spans="13:13">
      <c r="M217" s="220"/>
    </row>
    <row r="218" spans="13:13">
      <c r="M218" s="220"/>
    </row>
    <row r="219" spans="13:13">
      <c r="M219" s="220"/>
    </row>
    <row r="220" spans="13:13">
      <c r="M220" s="220"/>
    </row>
    <row r="221" spans="13:13">
      <c r="M221" s="220"/>
    </row>
    <row r="222" spans="13:13">
      <c r="M222" s="220"/>
    </row>
    <row r="223" spans="13:13">
      <c r="M223" s="220"/>
    </row>
    <row r="224" spans="13:13">
      <c r="M224" s="220"/>
    </row>
    <row r="225" spans="13:13">
      <c r="M225" s="220"/>
    </row>
    <row r="226" spans="13:13">
      <c r="M226" s="220"/>
    </row>
    <row r="227" spans="13:13">
      <c r="M227" s="220"/>
    </row>
    <row r="228" spans="13:13">
      <c r="M228" s="220"/>
    </row>
    <row r="229" spans="13:13">
      <c r="M229" s="220"/>
    </row>
    <row r="230" spans="13:13">
      <c r="M230" s="220"/>
    </row>
    <row r="231" spans="13:13">
      <c r="M231" s="220"/>
    </row>
    <row r="232" spans="13:13">
      <c r="M232" s="220"/>
    </row>
    <row r="233" spans="13:13">
      <c r="M233" s="220"/>
    </row>
    <row r="234" spans="13:13">
      <c r="M234" s="220"/>
    </row>
    <row r="235" spans="13:13">
      <c r="M235" s="220"/>
    </row>
    <row r="236" spans="13:13">
      <c r="M236" s="220"/>
    </row>
    <row r="237" spans="13:13">
      <c r="M237" s="220"/>
    </row>
    <row r="238" spans="13:13">
      <c r="M238" s="220"/>
    </row>
    <row r="239" spans="13:13">
      <c r="M239" s="220"/>
    </row>
    <row r="240" spans="13:13">
      <c r="M240" s="220"/>
    </row>
    <row r="241" spans="13:13">
      <c r="M241" s="220"/>
    </row>
    <row r="242" spans="13:13">
      <c r="M242" s="220"/>
    </row>
    <row r="243" spans="13:13">
      <c r="M243" s="220"/>
    </row>
    <row r="244" spans="13:13">
      <c r="M244" s="220"/>
    </row>
    <row r="245" spans="13:13">
      <c r="M245" s="220"/>
    </row>
    <row r="246" spans="13:13">
      <c r="M246" s="220"/>
    </row>
    <row r="247" spans="13:13">
      <c r="M247" s="220"/>
    </row>
    <row r="248" spans="13:13">
      <c r="M248" s="220"/>
    </row>
    <row r="249" spans="13:13">
      <c r="M249" s="220"/>
    </row>
    <row r="250" spans="13:13">
      <c r="M250" s="220"/>
    </row>
    <row r="251" spans="13:13">
      <c r="M251" s="220"/>
    </row>
    <row r="252" spans="13:13">
      <c r="M252" s="220"/>
    </row>
    <row r="253" spans="13:13">
      <c r="M253" s="220"/>
    </row>
    <row r="254" spans="13:13">
      <c r="M254" s="220"/>
    </row>
    <row r="255" spans="13:13">
      <c r="M255" s="220"/>
    </row>
    <row r="256" spans="13:13">
      <c r="M256" s="220"/>
    </row>
    <row r="257" spans="13:13">
      <c r="M257" s="220"/>
    </row>
    <row r="258" spans="13:13">
      <c r="M258" s="220"/>
    </row>
    <row r="259" spans="13:13">
      <c r="M259" s="220"/>
    </row>
    <row r="260" spans="13:13">
      <c r="M260" s="220"/>
    </row>
    <row r="261" spans="13:13">
      <c r="M261" s="220"/>
    </row>
    <row r="262" spans="13:13">
      <c r="M262" s="220"/>
    </row>
    <row r="263" spans="13:13">
      <c r="M263" s="220"/>
    </row>
    <row r="264" spans="13:13">
      <c r="M264" s="220"/>
    </row>
    <row r="265" spans="13:13">
      <c r="M265" s="220"/>
    </row>
    <row r="266" spans="13:13">
      <c r="M266" s="220"/>
    </row>
    <row r="267" spans="13:13">
      <c r="M267" s="220"/>
    </row>
    <row r="268" spans="13:13">
      <c r="M268" s="220"/>
    </row>
    <row r="269" spans="13:13">
      <c r="M269" s="220"/>
    </row>
    <row r="270" spans="13:13">
      <c r="M270" s="220"/>
    </row>
    <row r="271" spans="13:13">
      <c r="M271" s="220"/>
    </row>
    <row r="272" spans="13:13">
      <c r="M272" s="220"/>
    </row>
    <row r="273" spans="13:13">
      <c r="M273" s="220"/>
    </row>
    <row r="274" spans="13:13">
      <c r="M274" s="220"/>
    </row>
    <row r="275" spans="13:13">
      <c r="M275" s="220"/>
    </row>
    <row r="276" spans="13:13">
      <c r="M276" s="220"/>
    </row>
    <row r="277" spans="13:13">
      <c r="M277" s="220"/>
    </row>
    <row r="278" spans="13:13">
      <c r="M278" s="220"/>
    </row>
    <row r="279" spans="13:13">
      <c r="M279" s="220"/>
    </row>
    <row r="280" spans="13:13">
      <c r="M280" s="220"/>
    </row>
    <row r="281" spans="13:13">
      <c r="M281" s="220"/>
    </row>
    <row r="282" spans="13:13">
      <c r="M282" s="220"/>
    </row>
    <row r="283" spans="13:13">
      <c r="M283" s="220"/>
    </row>
    <row r="284" spans="13:13">
      <c r="M284" s="220"/>
    </row>
    <row r="285" spans="13:13">
      <c r="M285" s="220"/>
    </row>
    <row r="286" spans="13:13">
      <c r="M286" s="220"/>
    </row>
    <row r="287" spans="13:13">
      <c r="M287" s="220"/>
    </row>
    <row r="288" spans="13:13">
      <c r="M288" s="220"/>
    </row>
    <row r="289" spans="13:13">
      <c r="M289" s="220"/>
    </row>
    <row r="290" spans="13:13">
      <c r="M290" s="220"/>
    </row>
    <row r="291" spans="13:13">
      <c r="M291" s="220"/>
    </row>
    <row r="292" spans="13:13">
      <c r="M292" s="220"/>
    </row>
    <row r="293" spans="13:13">
      <c r="M293" s="220"/>
    </row>
    <row r="294" spans="13:13">
      <c r="M294" s="220"/>
    </row>
    <row r="295" spans="13:13">
      <c r="M295" s="220"/>
    </row>
    <row r="296" spans="13:13">
      <c r="M296" s="220"/>
    </row>
    <row r="297" spans="13:13">
      <c r="M297" s="220"/>
    </row>
    <row r="298" spans="13:13">
      <c r="M298" s="220"/>
    </row>
    <row r="299" spans="13:13">
      <c r="M299" s="220"/>
    </row>
    <row r="300" spans="13:13">
      <c r="M300" s="220"/>
    </row>
    <row r="301" spans="13:13">
      <c r="M301" s="220"/>
    </row>
    <row r="302" spans="13:13">
      <c r="M302" s="220"/>
    </row>
    <row r="303" spans="13:13">
      <c r="M303" s="220"/>
    </row>
    <row r="304" spans="13:13">
      <c r="M304" s="220"/>
    </row>
    <row r="305" spans="13:13">
      <c r="M305" s="220"/>
    </row>
    <row r="306" spans="13:13">
      <c r="M306" s="220"/>
    </row>
    <row r="307" spans="13:13">
      <c r="M307" s="220"/>
    </row>
    <row r="308" spans="13:13">
      <c r="M308" s="220"/>
    </row>
    <row r="309" spans="13:13">
      <c r="M309" s="220"/>
    </row>
    <row r="310" spans="13:13">
      <c r="M310" s="220"/>
    </row>
    <row r="311" spans="13:13">
      <c r="M311" s="220"/>
    </row>
    <row r="312" spans="13:13">
      <c r="M312" s="220"/>
    </row>
    <row r="313" spans="13:13">
      <c r="M313" s="220"/>
    </row>
  </sheetData>
  <mergeCells count="7">
    <mergeCell ref="AN8:AR8"/>
    <mergeCell ref="AS8:AU8"/>
    <mergeCell ref="L5:M5"/>
    <mergeCell ref="L6:M6"/>
    <mergeCell ref="W6:AB6"/>
    <mergeCell ref="AE6:AL6"/>
    <mergeCell ref="AS6:AU6"/>
  </mergeCells>
  <conditionalFormatting sqref="BC10:BI40 AU10:AU41 AV10:BA40 D10:D40 F10:AT40">
    <cfRule type="expression" dxfId="711" priority="73" stopIfTrue="1">
      <formula>$B10="*"</formula>
    </cfRule>
    <cfRule type="expression" dxfId="710" priority="74" stopIfTrue="1">
      <formula>$B10="-"</formula>
    </cfRule>
  </conditionalFormatting>
  <conditionalFormatting sqref="BA21">
    <cfRule type="expression" dxfId="709" priority="71" stopIfTrue="1">
      <formula>$B21="*"</formula>
    </cfRule>
    <cfRule type="expression" dxfId="708" priority="72" stopIfTrue="1">
      <formula>$B21="-"</formula>
    </cfRule>
  </conditionalFormatting>
  <conditionalFormatting sqref="BA21:BA23">
    <cfRule type="expression" dxfId="707" priority="69" stopIfTrue="1">
      <formula>$B21="*"</formula>
    </cfRule>
    <cfRule type="expression" dxfId="706" priority="70" stopIfTrue="1">
      <formula>$B21="-"</formula>
    </cfRule>
  </conditionalFormatting>
  <conditionalFormatting sqref="BA33">
    <cfRule type="expression" dxfId="705" priority="67" stopIfTrue="1">
      <formula>$B33="*"</formula>
    </cfRule>
    <cfRule type="expression" dxfId="704" priority="68" stopIfTrue="1">
      <formula>$B33="-"</formula>
    </cfRule>
  </conditionalFormatting>
  <conditionalFormatting sqref="T10:U10">
    <cfRule type="expression" dxfId="703" priority="65" stopIfTrue="1">
      <formula>$B10="*"</formula>
    </cfRule>
    <cfRule type="expression" dxfId="702" priority="66" stopIfTrue="1">
      <formula>$B10="-"</formula>
    </cfRule>
  </conditionalFormatting>
  <conditionalFormatting sqref="T10:U10">
    <cfRule type="expression" dxfId="701" priority="63" stopIfTrue="1">
      <formula>$B10="*"</formula>
    </cfRule>
    <cfRule type="expression" dxfId="700" priority="64" stopIfTrue="1">
      <formula>$B10="-"</formula>
    </cfRule>
  </conditionalFormatting>
  <conditionalFormatting sqref="T10:U10">
    <cfRule type="expression" dxfId="699" priority="61" stopIfTrue="1">
      <formula>$B10="*"</formula>
    </cfRule>
    <cfRule type="expression" dxfId="698" priority="62" stopIfTrue="1">
      <formula>$B10="-"</formula>
    </cfRule>
  </conditionalFormatting>
  <conditionalFormatting sqref="T10:U10">
    <cfRule type="expression" dxfId="697" priority="59" stopIfTrue="1">
      <formula>$B10="*"</formula>
    </cfRule>
    <cfRule type="expression" dxfId="696" priority="60" stopIfTrue="1">
      <formula>$B10="-"</formula>
    </cfRule>
  </conditionalFormatting>
  <conditionalFormatting sqref="T11:U15 T17:U21 T25:U29 T31:U35 T38:U40">
    <cfRule type="expression" dxfId="695" priority="57" stopIfTrue="1">
      <formula>$B11="*"</formula>
    </cfRule>
    <cfRule type="expression" dxfId="694" priority="58" stopIfTrue="1">
      <formula>$B11="-"</formula>
    </cfRule>
  </conditionalFormatting>
  <conditionalFormatting sqref="T11:U15 T17:U21 T25:U29 T31:U35 T38:U40">
    <cfRule type="expression" dxfId="693" priority="55" stopIfTrue="1">
      <formula>$B11="*"</formula>
    </cfRule>
    <cfRule type="expression" dxfId="692" priority="56" stopIfTrue="1">
      <formula>$B11="-"</formula>
    </cfRule>
  </conditionalFormatting>
  <conditionalFormatting sqref="T11:U15 T17:U21 T25:U29 T31:U35 T38:U40">
    <cfRule type="expression" dxfId="691" priority="53" stopIfTrue="1">
      <formula>$B11="*"</formula>
    </cfRule>
    <cfRule type="expression" dxfId="690" priority="54" stopIfTrue="1">
      <formula>$B11="-"</formula>
    </cfRule>
  </conditionalFormatting>
  <conditionalFormatting sqref="T11:U15 T17:U21 T25:U29 T31:U35 T38:U40">
    <cfRule type="expression" dxfId="689" priority="51" stopIfTrue="1">
      <formula>$B11="*"</formula>
    </cfRule>
    <cfRule type="expression" dxfId="688" priority="52" stopIfTrue="1">
      <formula>$B11="-"</formula>
    </cfRule>
  </conditionalFormatting>
  <conditionalFormatting sqref="AZ29:BA29">
    <cfRule type="expression" dxfId="687" priority="49" stopIfTrue="1">
      <formula>$B29="*"</formula>
    </cfRule>
    <cfRule type="expression" dxfId="686" priority="50" stopIfTrue="1">
      <formula>$B29="-"</formula>
    </cfRule>
  </conditionalFormatting>
  <conditionalFormatting sqref="T16:U16">
    <cfRule type="expression" dxfId="685" priority="47" stopIfTrue="1">
      <formula>$B16="*"</formula>
    </cfRule>
    <cfRule type="expression" dxfId="684" priority="48" stopIfTrue="1">
      <formula>$B16="-"</formula>
    </cfRule>
  </conditionalFormatting>
  <conditionalFormatting sqref="T16:U16">
    <cfRule type="expression" dxfId="683" priority="45" stopIfTrue="1">
      <formula>$B16="*"</formula>
    </cfRule>
    <cfRule type="expression" dxfId="682" priority="46" stopIfTrue="1">
      <formula>$B16="-"</formula>
    </cfRule>
  </conditionalFormatting>
  <conditionalFormatting sqref="T16:U16">
    <cfRule type="expression" dxfId="681" priority="43" stopIfTrue="1">
      <formula>$B16="*"</formula>
    </cfRule>
    <cfRule type="expression" dxfId="680" priority="44" stopIfTrue="1">
      <formula>$B16="-"</formula>
    </cfRule>
  </conditionalFormatting>
  <conditionalFormatting sqref="T16:U16">
    <cfRule type="expression" dxfId="679" priority="41" stopIfTrue="1">
      <formula>$B16="*"</formula>
    </cfRule>
    <cfRule type="expression" dxfId="678" priority="42" stopIfTrue="1">
      <formula>$B16="-"</formula>
    </cfRule>
  </conditionalFormatting>
  <conditionalFormatting sqref="T30:U30">
    <cfRule type="expression" dxfId="677" priority="39" stopIfTrue="1">
      <formula>$B30="*"</formula>
    </cfRule>
    <cfRule type="expression" dxfId="676" priority="40" stopIfTrue="1">
      <formula>$B30="-"</formula>
    </cfRule>
  </conditionalFormatting>
  <conditionalFormatting sqref="T30:U30">
    <cfRule type="expression" dxfId="675" priority="37" stopIfTrue="1">
      <formula>$B30="*"</formula>
    </cfRule>
    <cfRule type="expression" dxfId="674" priority="38" stopIfTrue="1">
      <formula>$B30="-"</formula>
    </cfRule>
  </conditionalFormatting>
  <conditionalFormatting sqref="T30:U30">
    <cfRule type="expression" dxfId="673" priority="35" stopIfTrue="1">
      <formula>$B30="*"</formula>
    </cfRule>
    <cfRule type="expression" dxfId="672" priority="36" stopIfTrue="1">
      <formula>$B30="-"</formula>
    </cfRule>
  </conditionalFormatting>
  <conditionalFormatting sqref="T30:U30">
    <cfRule type="expression" dxfId="671" priority="33" stopIfTrue="1">
      <formula>$B30="*"</formula>
    </cfRule>
    <cfRule type="expression" dxfId="670" priority="34" stopIfTrue="1">
      <formula>$B30="-"</formula>
    </cfRule>
  </conditionalFormatting>
  <conditionalFormatting sqref="T40:U40">
    <cfRule type="expression" dxfId="669" priority="31" stopIfTrue="1">
      <formula>$B40="*"</formula>
    </cfRule>
    <cfRule type="expression" dxfId="668" priority="32" stopIfTrue="1">
      <formula>$B40="-"</formula>
    </cfRule>
  </conditionalFormatting>
  <conditionalFormatting sqref="T40:U40">
    <cfRule type="expression" dxfId="667" priority="29" stopIfTrue="1">
      <formula>$B40="*"</formula>
    </cfRule>
    <cfRule type="expression" dxfId="666" priority="30" stopIfTrue="1">
      <formula>$B40="-"</formula>
    </cfRule>
  </conditionalFormatting>
  <conditionalFormatting sqref="T40:U40">
    <cfRule type="expression" dxfId="665" priority="27" stopIfTrue="1">
      <formula>$B40="*"</formula>
    </cfRule>
    <cfRule type="expression" dxfId="664" priority="28" stopIfTrue="1">
      <formula>$B40="-"</formula>
    </cfRule>
  </conditionalFormatting>
  <conditionalFormatting sqref="T40:U40">
    <cfRule type="expression" dxfId="663" priority="25" stopIfTrue="1">
      <formula>$B40="*"</formula>
    </cfRule>
    <cfRule type="expression" dxfId="662" priority="26" stopIfTrue="1">
      <formula>$B40="-"</formula>
    </cfRule>
  </conditionalFormatting>
  <conditionalFormatting sqref="D10:D40">
    <cfRule type="expression" dxfId="661" priority="23" stopIfTrue="1">
      <formula>$B10="*"</formula>
    </cfRule>
    <cfRule type="expression" dxfId="660" priority="24" stopIfTrue="1">
      <formula>$B10="-"</formula>
    </cfRule>
  </conditionalFormatting>
  <conditionalFormatting sqref="D10:D40">
    <cfRule type="expression" dxfId="659" priority="21" stopIfTrue="1">
      <formula>$B10="*"</formula>
    </cfRule>
    <cfRule type="expression" dxfId="658" priority="22" stopIfTrue="1">
      <formula>$B10="-"</formula>
    </cfRule>
  </conditionalFormatting>
  <conditionalFormatting sqref="T22:U22">
    <cfRule type="expression" dxfId="657" priority="19" stopIfTrue="1">
      <formula>$B22="*"</formula>
    </cfRule>
    <cfRule type="expression" dxfId="656" priority="20" stopIfTrue="1">
      <formula>$B22="-"</formula>
    </cfRule>
  </conditionalFormatting>
  <conditionalFormatting sqref="T22:U22">
    <cfRule type="expression" dxfId="655" priority="17" stopIfTrue="1">
      <formula>$B22="*"</formula>
    </cfRule>
    <cfRule type="expression" dxfId="654" priority="18" stopIfTrue="1">
      <formula>$B22="-"</formula>
    </cfRule>
  </conditionalFormatting>
  <conditionalFormatting sqref="T22:U22">
    <cfRule type="expression" dxfId="653" priority="15" stopIfTrue="1">
      <formula>$B22="*"</formula>
    </cfRule>
    <cfRule type="expression" dxfId="652" priority="16" stopIfTrue="1">
      <formula>$B22="-"</formula>
    </cfRule>
  </conditionalFormatting>
  <conditionalFormatting sqref="T22:U22">
    <cfRule type="expression" dxfId="651" priority="13" stopIfTrue="1">
      <formula>$B22="*"</formula>
    </cfRule>
    <cfRule type="expression" dxfId="650" priority="14" stopIfTrue="1">
      <formula>$B22="-"</formula>
    </cfRule>
  </conditionalFormatting>
  <conditionalFormatting sqref="BA25">
    <cfRule type="expression" dxfId="649" priority="11" stopIfTrue="1">
      <formula>$B25="*"</formula>
    </cfRule>
    <cfRule type="expression" dxfId="648" priority="12" stopIfTrue="1">
      <formula>$B25="-"</formula>
    </cfRule>
  </conditionalFormatting>
  <conditionalFormatting sqref="BA24">
    <cfRule type="expression" dxfId="647" priority="9" stopIfTrue="1">
      <formula>$B24="*"</formula>
    </cfRule>
    <cfRule type="expression" dxfId="646" priority="10" stopIfTrue="1">
      <formula>$B24="-"</formula>
    </cfRule>
  </conditionalFormatting>
  <conditionalFormatting sqref="BA24">
    <cfRule type="expression" dxfId="645" priority="7" stopIfTrue="1">
      <formula>$B24="*"</formula>
    </cfRule>
    <cfRule type="expression" dxfId="644" priority="8" stopIfTrue="1">
      <formula>$B24="-"</formula>
    </cfRule>
  </conditionalFormatting>
  <conditionalFormatting sqref="BA24">
    <cfRule type="expression" dxfId="643" priority="5" stopIfTrue="1">
      <formula>$B24="*"</formula>
    </cfRule>
    <cfRule type="expression" dxfId="642" priority="6" stopIfTrue="1">
      <formula>$B24="-"</formula>
    </cfRule>
  </conditionalFormatting>
  <conditionalFormatting sqref="C10:C40">
    <cfRule type="expression" dxfId="641" priority="3" stopIfTrue="1">
      <formula>$B10="*"</formula>
    </cfRule>
    <cfRule type="expression" dxfId="640" priority="4" stopIfTrue="1">
      <formula>$B10="-"</formula>
    </cfRule>
  </conditionalFormatting>
  <conditionalFormatting sqref="E10:E40">
    <cfRule type="expression" dxfId="639" priority="1" stopIfTrue="1">
      <formula>$B10="*"</formula>
    </cfRule>
    <cfRule type="expression" dxfId="638" priority="2" stopIfTrue="1">
      <formula>$B10="-"</formula>
    </cfRule>
  </conditionalFormatting>
  <pageMargins left="0.19685039370078741" right="0" top="0.74803149606299213" bottom="0.6692913385826772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I312"/>
  <sheetViews>
    <sheetView topLeftCell="A5" zoomScale="90" zoomScaleNormal="90" workbookViewId="0">
      <pane xSplit="3" ySplit="4" topLeftCell="D24" activePane="bottomRight" state="frozen"/>
      <selection activeCell="G18" sqref="G18"/>
      <selection pane="topRight" activeCell="G18" sqref="G18"/>
      <selection pane="bottomLeft" activeCell="G18" sqref="G18"/>
      <selection pane="bottomRight" activeCell="P7" sqref="P7"/>
    </sheetView>
  </sheetViews>
  <sheetFormatPr defaultRowHeight="13.5"/>
  <cols>
    <col min="1" max="1" width="1.85546875" style="19" customWidth="1"/>
    <col min="2" max="2" width="9.85546875" style="19" customWidth="1"/>
    <col min="3" max="3" width="6.7109375" style="220" bestFit="1" customWidth="1"/>
    <col min="4" max="4" width="11.28515625" style="19" customWidth="1"/>
    <col min="5" max="5" width="10.140625" style="19" customWidth="1"/>
    <col min="6" max="6" width="11.42578125" style="19" customWidth="1"/>
    <col min="7" max="7" width="6.42578125" style="220" customWidth="1"/>
    <col min="8" max="8" width="9.85546875" style="19" customWidth="1"/>
    <col min="9" max="9" width="9.5703125" style="19" customWidth="1"/>
    <col min="10" max="10" width="10.42578125" style="19" customWidth="1"/>
    <col min="11" max="11" width="9.140625" style="19" customWidth="1"/>
    <col min="12" max="13" width="9.28515625" style="19" customWidth="1"/>
    <col min="14" max="15" width="8.140625" style="19" hidden="1" customWidth="1"/>
    <col min="16" max="16" width="9.85546875" style="19" customWidth="1"/>
    <col min="17" max="18" width="7" style="19" hidden="1" customWidth="1"/>
    <col min="19" max="19" width="7.28515625" style="19" hidden="1" customWidth="1"/>
    <col min="20" max="20" width="6.85546875" style="19" hidden="1" customWidth="1"/>
    <col min="21" max="21" width="7" style="19" hidden="1" customWidth="1"/>
    <col min="22" max="22" width="6.5703125" style="19" hidden="1" customWidth="1"/>
    <col min="23" max="23" width="6.85546875" style="19" hidden="1" customWidth="1"/>
    <col min="24" max="28" width="5.85546875" style="19" hidden="1" customWidth="1"/>
    <col min="29" max="30" width="6.5703125" style="19" hidden="1" customWidth="1"/>
    <col min="31" max="39" width="5.85546875" style="19" hidden="1" customWidth="1"/>
    <col min="40" max="40" width="7.7109375" style="19" hidden="1" customWidth="1"/>
    <col min="41" max="41" width="9.140625" style="19" hidden="1" customWidth="1"/>
    <col min="42" max="43" width="8.5703125" style="19" hidden="1" customWidth="1"/>
    <col min="44" max="44" width="7.5703125" style="19" hidden="1" customWidth="1"/>
    <col min="45" max="47" width="9.28515625" style="19" hidden="1" customWidth="1"/>
    <col min="48" max="49" width="7.85546875" style="19" hidden="1" customWidth="1"/>
    <col min="50" max="51" width="6.42578125" style="19" hidden="1" customWidth="1"/>
    <col min="52" max="52" width="10.7109375" style="19" hidden="1" customWidth="1"/>
    <col min="53" max="53" width="40.7109375" style="19" hidden="1" customWidth="1"/>
    <col min="54" max="54" width="5" style="19" customWidth="1"/>
    <col min="55" max="55" width="5.5703125" style="19" customWidth="1"/>
    <col min="56" max="59" width="9.140625" style="19"/>
    <col min="60" max="61" width="8.7109375" style="19" customWidth="1"/>
    <col min="62" max="256" width="9.140625" style="19"/>
    <col min="257" max="257" width="1.85546875" style="19" customWidth="1"/>
    <col min="258" max="258" width="9.85546875" style="19" customWidth="1"/>
    <col min="259" max="259" width="6.7109375" style="19" bestFit="1" customWidth="1"/>
    <col min="260" max="260" width="9.42578125" style="19" customWidth="1"/>
    <col min="261" max="261" width="10.140625" style="19" customWidth="1"/>
    <col min="262" max="262" width="9.28515625" style="19" customWidth="1"/>
    <col min="263" max="263" width="6.42578125" style="19" customWidth="1"/>
    <col min="264" max="264" width="9.85546875" style="19" customWidth="1"/>
    <col min="265" max="265" width="9.5703125" style="19" customWidth="1"/>
    <col min="266" max="266" width="8.140625" style="19" customWidth="1"/>
    <col min="267" max="267" width="9.140625" style="19" customWidth="1"/>
    <col min="268" max="269" width="9.28515625" style="19" customWidth="1"/>
    <col min="270" max="271" width="0" style="19" hidden="1" customWidth="1"/>
    <col min="272" max="272" width="9.85546875" style="19" customWidth="1"/>
    <col min="273" max="284" width="0" style="19" hidden="1" customWidth="1"/>
    <col min="285" max="286" width="6.5703125" style="19" customWidth="1"/>
    <col min="287" max="290" width="0" style="19" hidden="1" customWidth="1"/>
    <col min="291" max="295" width="5.85546875" style="19" customWidth="1"/>
    <col min="296" max="296" width="7.7109375" style="19" customWidth="1"/>
    <col min="297" max="297" width="9.140625" style="19" bestFit="1" customWidth="1"/>
    <col min="298" max="299" width="8.5703125" style="19" bestFit="1" customWidth="1"/>
    <col min="300" max="300" width="7.5703125" style="19" customWidth="1"/>
    <col min="301" max="303" width="9.28515625" style="19" customWidth="1"/>
    <col min="304" max="305" width="7.85546875" style="19" customWidth="1"/>
    <col min="306" max="307" width="6.42578125" style="19" customWidth="1"/>
    <col min="308" max="308" width="10.7109375" style="19" customWidth="1"/>
    <col min="309" max="309" width="40.7109375" style="19" customWidth="1"/>
    <col min="310" max="310" width="5" style="19" customWidth="1"/>
    <col min="311" max="311" width="5.5703125" style="19" customWidth="1"/>
    <col min="312" max="315" width="9.140625" style="19"/>
    <col min="316" max="317" width="8.7109375" style="19" customWidth="1"/>
    <col min="318" max="512" width="9.140625" style="19"/>
    <col min="513" max="513" width="1.85546875" style="19" customWidth="1"/>
    <col min="514" max="514" width="9.85546875" style="19" customWidth="1"/>
    <col min="515" max="515" width="6.7109375" style="19" bestFit="1" customWidth="1"/>
    <col min="516" max="516" width="9.42578125" style="19" customWidth="1"/>
    <col min="517" max="517" width="10.140625" style="19" customWidth="1"/>
    <col min="518" max="518" width="9.28515625" style="19" customWidth="1"/>
    <col min="519" max="519" width="6.42578125" style="19" customWidth="1"/>
    <col min="520" max="520" width="9.85546875" style="19" customWidth="1"/>
    <col min="521" max="521" width="9.5703125" style="19" customWidth="1"/>
    <col min="522" max="522" width="8.140625" style="19" customWidth="1"/>
    <col min="523" max="523" width="9.140625" style="19" customWidth="1"/>
    <col min="524" max="525" width="9.28515625" style="19" customWidth="1"/>
    <col min="526" max="527" width="0" style="19" hidden="1" customWidth="1"/>
    <col min="528" max="528" width="9.85546875" style="19" customWidth="1"/>
    <col min="529" max="540" width="0" style="19" hidden="1" customWidth="1"/>
    <col min="541" max="542" width="6.5703125" style="19" customWidth="1"/>
    <col min="543" max="546" width="0" style="19" hidden="1" customWidth="1"/>
    <col min="547" max="551" width="5.85546875" style="19" customWidth="1"/>
    <col min="552" max="552" width="7.7109375" style="19" customWidth="1"/>
    <col min="553" max="553" width="9.140625" style="19" bestFit="1" customWidth="1"/>
    <col min="554" max="555" width="8.5703125" style="19" bestFit="1" customWidth="1"/>
    <col min="556" max="556" width="7.5703125" style="19" customWidth="1"/>
    <col min="557" max="559" width="9.28515625" style="19" customWidth="1"/>
    <col min="560" max="561" width="7.85546875" style="19" customWidth="1"/>
    <col min="562" max="563" width="6.42578125" style="19" customWidth="1"/>
    <col min="564" max="564" width="10.7109375" style="19" customWidth="1"/>
    <col min="565" max="565" width="40.7109375" style="19" customWidth="1"/>
    <col min="566" max="566" width="5" style="19" customWidth="1"/>
    <col min="567" max="567" width="5.5703125" style="19" customWidth="1"/>
    <col min="568" max="571" width="9.140625" style="19"/>
    <col min="572" max="573" width="8.7109375" style="19" customWidth="1"/>
    <col min="574" max="768" width="9.140625" style="19"/>
    <col min="769" max="769" width="1.85546875" style="19" customWidth="1"/>
    <col min="770" max="770" width="9.85546875" style="19" customWidth="1"/>
    <col min="771" max="771" width="6.7109375" style="19" bestFit="1" customWidth="1"/>
    <col min="772" max="772" width="9.42578125" style="19" customWidth="1"/>
    <col min="773" max="773" width="10.140625" style="19" customWidth="1"/>
    <col min="774" max="774" width="9.28515625" style="19" customWidth="1"/>
    <col min="775" max="775" width="6.42578125" style="19" customWidth="1"/>
    <col min="776" max="776" width="9.85546875" style="19" customWidth="1"/>
    <col min="777" max="777" width="9.5703125" style="19" customWidth="1"/>
    <col min="778" max="778" width="8.140625" style="19" customWidth="1"/>
    <col min="779" max="779" width="9.140625" style="19" customWidth="1"/>
    <col min="780" max="781" width="9.28515625" style="19" customWidth="1"/>
    <col min="782" max="783" width="0" style="19" hidden="1" customWidth="1"/>
    <col min="784" max="784" width="9.85546875" style="19" customWidth="1"/>
    <col min="785" max="796" width="0" style="19" hidden="1" customWidth="1"/>
    <col min="797" max="798" width="6.5703125" style="19" customWidth="1"/>
    <col min="799" max="802" width="0" style="19" hidden="1" customWidth="1"/>
    <col min="803" max="807" width="5.85546875" style="19" customWidth="1"/>
    <col min="808" max="808" width="7.7109375" style="19" customWidth="1"/>
    <col min="809" max="809" width="9.140625" style="19" bestFit="1" customWidth="1"/>
    <col min="810" max="811" width="8.5703125" style="19" bestFit="1" customWidth="1"/>
    <col min="812" max="812" width="7.5703125" style="19" customWidth="1"/>
    <col min="813" max="815" width="9.28515625" style="19" customWidth="1"/>
    <col min="816" max="817" width="7.85546875" style="19" customWidth="1"/>
    <col min="818" max="819" width="6.42578125" style="19" customWidth="1"/>
    <col min="820" max="820" width="10.7109375" style="19" customWidth="1"/>
    <col min="821" max="821" width="40.7109375" style="19" customWidth="1"/>
    <col min="822" max="822" width="5" style="19" customWidth="1"/>
    <col min="823" max="823" width="5.5703125" style="19" customWidth="1"/>
    <col min="824" max="827" width="9.140625" style="19"/>
    <col min="828" max="829" width="8.7109375" style="19" customWidth="1"/>
    <col min="830" max="1024" width="9.140625" style="19"/>
    <col min="1025" max="1025" width="1.85546875" style="19" customWidth="1"/>
    <col min="1026" max="1026" width="9.85546875" style="19" customWidth="1"/>
    <col min="1027" max="1027" width="6.7109375" style="19" bestFit="1" customWidth="1"/>
    <col min="1028" max="1028" width="9.42578125" style="19" customWidth="1"/>
    <col min="1029" max="1029" width="10.140625" style="19" customWidth="1"/>
    <col min="1030" max="1030" width="9.28515625" style="19" customWidth="1"/>
    <col min="1031" max="1031" width="6.42578125" style="19" customWidth="1"/>
    <col min="1032" max="1032" width="9.85546875" style="19" customWidth="1"/>
    <col min="1033" max="1033" width="9.5703125" style="19" customWidth="1"/>
    <col min="1034" max="1034" width="8.140625" style="19" customWidth="1"/>
    <col min="1035" max="1035" width="9.140625" style="19" customWidth="1"/>
    <col min="1036" max="1037" width="9.28515625" style="19" customWidth="1"/>
    <col min="1038" max="1039" width="0" style="19" hidden="1" customWidth="1"/>
    <col min="1040" max="1040" width="9.85546875" style="19" customWidth="1"/>
    <col min="1041" max="1052" width="0" style="19" hidden="1" customWidth="1"/>
    <col min="1053" max="1054" width="6.5703125" style="19" customWidth="1"/>
    <col min="1055" max="1058" width="0" style="19" hidden="1" customWidth="1"/>
    <col min="1059" max="1063" width="5.85546875" style="19" customWidth="1"/>
    <col min="1064" max="1064" width="7.7109375" style="19" customWidth="1"/>
    <col min="1065" max="1065" width="9.140625" style="19" bestFit="1" customWidth="1"/>
    <col min="1066" max="1067" width="8.5703125" style="19" bestFit="1" customWidth="1"/>
    <col min="1068" max="1068" width="7.5703125" style="19" customWidth="1"/>
    <col min="1069" max="1071" width="9.28515625" style="19" customWidth="1"/>
    <col min="1072" max="1073" width="7.85546875" style="19" customWidth="1"/>
    <col min="1074" max="1075" width="6.42578125" style="19" customWidth="1"/>
    <col min="1076" max="1076" width="10.7109375" style="19" customWidth="1"/>
    <col min="1077" max="1077" width="40.7109375" style="19" customWidth="1"/>
    <col min="1078" max="1078" width="5" style="19" customWidth="1"/>
    <col min="1079" max="1079" width="5.5703125" style="19" customWidth="1"/>
    <col min="1080" max="1083" width="9.140625" style="19"/>
    <col min="1084" max="1085" width="8.7109375" style="19" customWidth="1"/>
    <col min="1086" max="1280" width="9.140625" style="19"/>
    <col min="1281" max="1281" width="1.85546875" style="19" customWidth="1"/>
    <col min="1282" max="1282" width="9.85546875" style="19" customWidth="1"/>
    <col min="1283" max="1283" width="6.7109375" style="19" bestFit="1" customWidth="1"/>
    <col min="1284" max="1284" width="9.42578125" style="19" customWidth="1"/>
    <col min="1285" max="1285" width="10.140625" style="19" customWidth="1"/>
    <col min="1286" max="1286" width="9.28515625" style="19" customWidth="1"/>
    <col min="1287" max="1287" width="6.42578125" style="19" customWidth="1"/>
    <col min="1288" max="1288" width="9.85546875" style="19" customWidth="1"/>
    <col min="1289" max="1289" width="9.5703125" style="19" customWidth="1"/>
    <col min="1290" max="1290" width="8.140625" style="19" customWidth="1"/>
    <col min="1291" max="1291" width="9.140625" style="19" customWidth="1"/>
    <col min="1292" max="1293" width="9.28515625" style="19" customWidth="1"/>
    <col min="1294" max="1295" width="0" style="19" hidden="1" customWidth="1"/>
    <col min="1296" max="1296" width="9.85546875" style="19" customWidth="1"/>
    <col min="1297" max="1308" width="0" style="19" hidden="1" customWidth="1"/>
    <col min="1309" max="1310" width="6.5703125" style="19" customWidth="1"/>
    <col min="1311" max="1314" width="0" style="19" hidden="1" customWidth="1"/>
    <col min="1315" max="1319" width="5.85546875" style="19" customWidth="1"/>
    <col min="1320" max="1320" width="7.7109375" style="19" customWidth="1"/>
    <col min="1321" max="1321" width="9.140625" style="19" bestFit="1" customWidth="1"/>
    <col min="1322" max="1323" width="8.5703125" style="19" bestFit="1" customWidth="1"/>
    <col min="1324" max="1324" width="7.5703125" style="19" customWidth="1"/>
    <col min="1325" max="1327" width="9.28515625" style="19" customWidth="1"/>
    <col min="1328" max="1329" width="7.85546875" style="19" customWidth="1"/>
    <col min="1330" max="1331" width="6.42578125" style="19" customWidth="1"/>
    <col min="1332" max="1332" width="10.7109375" style="19" customWidth="1"/>
    <col min="1333" max="1333" width="40.7109375" style="19" customWidth="1"/>
    <col min="1334" max="1334" width="5" style="19" customWidth="1"/>
    <col min="1335" max="1335" width="5.5703125" style="19" customWidth="1"/>
    <col min="1336" max="1339" width="9.140625" style="19"/>
    <col min="1340" max="1341" width="8.7109375" style="19" customWidth="1"/>
    <col min="1342" max="1536" width="9.140625" style="19"/>
    <col min="1537" max="1537" width="1.85546875" style="19" customWidth="1"/>
    <col min="1538" max="1538" width="9.85546875" style="19" customWidth="1"/>
    <col min="1539" max="1539" width="6.7109375" style="19" bestFit="1" customWidth="1"/>
    <col min="1540" max="1540" width="9.42578125" style="19" customWidth="1"/>
    <col min="1541" max="1541" width="10.140625" style="19" customWidth="1"/>
    <col min="1542" max="1542" width="9.28515625" style="19" customWidth="1"/>
    <col min="1543" max="1543" width="6.42578125" style="19" customWidth="1"/>
    <col min="1544" max="1544" width="9.85546875" style="19" customWidth="1"/>
    <col min="1545" max="1545" width="9.5703125" style="19" customWidth="1"/>
    <col min="1546" max="1546" width="8.140625" style="19" customWidth="1"/>
    <col min="1547" max="1547" width="9.140625" style="19" customWidth="1"/>
    <col min="1548" max="1549" width="9.28515625" style="19" customWidth="1"/>
    <col min="1550" max="1551" width="0" style="19" hidden="1" customWidth="1"/>
    <col min="1552" max="1552" width="9.85546875" style="19" customWidth="1"/>
    <col min="1553" max="1564" width="0" style="19" hidden="1" customWidth="1"/>
    <col min="1565" max="1566" width="6.5703125" style="19" customWidth="1"/>
    <col min="1567" max="1570" width="0" style="19" hidden="1" customWidth="1"/>
    <col min="1571" max="1575" width="5.85546875" style="19" customWidth="1"/>
    <col min="1576" max="1576" width="7.7109375" style="19" customWidth="1"/>
    <col min="1577" max="1577" width="9.140625" style="19" bestFit="1" customWidth="1"/>
    <col min="1578" max="1579" width="8.5703125" style="19" bestFit="1" customWidth="1"/>
    <col min="1580" max="1580" width="7.5703125" style="19" customWidth="1"/>
    <col min="1581" max="1583" width="9.28515625" style="19" customWidth="1"/>
    <col min="1584" max="1585" width="7.85546875" style="19" customWidth="1"/>
    <col min="1586" max="1587" width="6.42578125" style="19" customWidth="1"/>
    <col min="1588" max="1588" width="10.7109375" style="19" customWidth="1"/>
    <col min="1589" max="1589" width="40.7109375" style="19" customWidth="1"/>
    <col min="1590" max="1590" width="5" style="19" customWidth="1"/>
    <col min="1591" max="1591" width="5.5703125" style="19" customWidth="1"/>
    <col min="1592" max="1595" width="9.140625" style="19"/>
    <col min="1596" max="1597" width="8.7109375" style="19" customWidth="1"/>
    <col min="1598" max="1792" width="9.140625" style="19"/>
    <col min="1793" max="1793" width="1.85546875" style="19" customWidth="1"/>
    <col min="1794" max="1794" width="9.85546875" style="19" customWidth="1"/>
    <col min="1795" max="1795" width="6.7109375" style="19" bestFit="1" customWidth="1"/>
    <col min="1796" max="1796" width="9.42578125" style="19" customWidth="1"/>
    <col min="1797" max="1797" width="10.140625" style="19" customWidth="1"/>
    <col min="1798" max="1798" width="9.28515625" style="19" customWidth="1"/>
    <col min="1799" max="1799" width="6.42578125" style="19" customWidth="1"/>
    <col min="1800" max="1800" width="9.85546875" style="19" customWidth="1"/>
    <col min="1801" max="1801" width="9.5703125" style="19" customWidth="1"/>
    <col min="1802" max="1802" width="8.140625" style="19" customWidth="1"/>
    <col min="1803" max="1803" width="9.140625" style="19" customWidth="1"/>
    <col min="1804" max="1805" width="9.28515625" style="19" customWidth="1"/>
    <col min="1806" max="1807" width="0" style="19" hidden="1" customWidth="1"/>
    <col min="1808" max="1808" width="9.85546875" style="19" customWidth="1"/>
    <col min="1809" max="1820" width="0" style="19" hidden="1" customWidth="1"/>
    <col min="1821" max="1822" width="6.5703125" style="19" customWidth="1"/>
    <col min="1823" max="1826" width="0" style="19" hidden="1" customWidth="1"/>
    <col min="1827" max="1831" width="5.85546875" style="19" customWidth="1"/>
    <col min="1832" max="1832" width="7.7109375" style="19" customWidth="1"/>
    <col min="1833" max="1833" width="9.140625" style="19" bestFit="1" customWidth="1"/>
    <col min="1834" max="1835" width="8.5703125" style="19" bestFit="1" customWidth="1"/>
    <col min="1836" max="1836" width="7.5703125" style="19" customWidth="1"/>
    <col min="1837" max="1839" width="9.28515625" style="19" customWidth="1"/>
    <col min="1840" max="1841" width="7.85546875" style="19" customWidth="1"/>
    <col min="1842" max="1843" width="6.42578125" style="19" customWidth="1"/>
    <col min="1844" max="1844" width="10.7109375" style="19" customWidth="1"/>
    <col min="1845" max="1845" width="40.7109375" style="19" customWidth="1"/>
    <col min="1846" max="1846" width="5" style="19" customWidth="1"/>
    <col min="1847" max="1847" width="5.5703125" style="19" customWidth="1"/>
    <col min="1848" max="1851" width="9.140625" style="19"/>
    <col min="1852" max="1853" width="8.7109375" style="19" customWidth="1"/>
    <col min="1854" max="2048" width="9.140625" style="19"/>
    <col min="2049" max="2049" width="1.85546875" style="19" customWidth="1"/>
    <col min="2050" max="2050" width="9.85546875" style="19" customWidth="1"/>
    <col min="2051" max="2051" width="6.7109375" style="19" bestFit="1" customWidth="1"/>
    <col min="2052" max="2052" width="9.42578125" style="19" customWidth="1"/>
    <col min="2053" max="2053" width="10.140625" style="19" customWidth="1"/>
    <col min="2054" max="2054" width="9.28515625" style="19" customWidth="1"/>
    <col min="2055" max="2055" width="6.42578125" style="19" customWidth="1"/>
    <col min="2056" max="2056" width="9.85546875" style="19" customWidth="1"/>
    <col min="2057" max="2057" width="9.5703125" style="19" customWidth="1"/>
    <col min="2058" max="2058" width="8.140625" style="19" customWidth="1"/>
    <col min="2059" max="2059" width="9.140625" style="19" customWidth="1"/>
    <col min="2060" max="2061" width="9.28515625" style="19" customWidth="1"/>
    <col min="2062" max="2063" width="0" style="19" hidden="1" customWidth="1"/>
    <col min="2064" max="2064" width="9.85546875" style="19" customWidth="1"/>
    <col min="2065" max="2076" width="0" style="19" hidden="1" customWidth="1"/>
    <col min="2077" max="2078" width="6.5703125" style="19" customWidth="1"/>
    <col min="2079" max="2082" width="0" style="19" hidden="1" customWidth="1"/>
    <col min="2083" max="2087" width="5.85546875" style="19" customWidth="1"/>
    <col min="2088" max="2088" width="7.7109375" style="19" customWidth="1"/>
    <col min="2089" max="2089" width="9.140625" style="19" bestFit="1" customWidth="1"/>
    <col min="2090" max="2091" width="8.5703125" style="19" bestFit="1" customWidth="1"/>
    <col min="2092" max="2092" width="7.5703125" style="19" customWidth="1"/>
    <col min="2093" max="2095" width="9.28515625" style="19" customWidth="1"/>
    <col min="2096" max="2097" width="7.85546875" style="19" customWidth="1"/>
    <col min="2098" max="2099" width="6.42578125" style="19" customWidth="1"/>
    <col min="2100" max="2100" width="10.7109375" style="19" customWidth="1"/>
    <col min="2101" max="2101" width="40.7109375" style="19" customWidth="1"/>
    <col min="2102" max="2102" width="5" style="19" customWidth="1"/>
    <col min="2103" max="2103" width="5.5703125" style="19" customWidth="1"/>
    <col min="2104" max="2107" width="9.140625" style="19"/>
    <col min="2108" max="2109" width="8.7109375" style="19" customWidth="1"/>
    <col min="2110" max="2304" width="9.140625" style="19"/>
    <col min="2305" max="2305" width="1.85546875" style="19" customWidth="1"/>
    <col min="2306" max="2306" width="9.85546875" style="19" customWidth="1"/>
    <col min="2307" max="2307" width="6.7109375" style="19" bestFit="1" customWidth="1"/>
    <col min="2308" max="2308" width="9.42578125" style="19" customWidth="1"/>
    <col min="2309" max="2309" width="10.140625" style="19" customWidth="1"/>
    <col min="2310" max="2310" width="9.28515625" style="19" customWidth="1"/>
    <col min="2311" max="2311" width="6.42578125" style="19" customWidth="1"/>
    <col min="2312" max="2312" width="9.85546875" style="19" customWidth="1"/>
    <col min="2313" max="2313" width="9.5703125" style="19" customWidth="1"/>
    <col min="2314" max="2314" width="8.140625" style="19" customWidth="1"/>
    <col min="2315" max="2315" width="9.140625" style="19" customWidth="1"/>
    <col min="2316" max="2317" width="9.28515625" style="19" customWidth="1"/>
    <col min="2318" max="2319" width="0" style="19" hidden="1" customWidth="1"/>
    <col min="2320" max="2320" width="9.85546875" style="19" customWidth="1"/>
    <col min="2321" max="2332" width="0" style="19" hidden="1" customWidth="1"/>
    <col min="2333" max="2334" width="6.5703125" style="19" customWidth="1"/>
    <col min="2335" max="2338" width="0" style="19" hidden="1" customWidth="1"/>
    <col min="2339" max="2343" width="5.85546875" style="19" customWidth="1"/>
    <col min="2344" max="2344" width="7.7109375" style="19" customWidth="1"/>
    <col min="2345" max="2345" width="9.140625" style="19" bestFit="1" customWidth="1"/>
    <col min="2346" max="2347" width="8.5703125" style="19" bestFit="1" customWidth="1"/>
    <col min="2348" max="2348" width="7.5703125" style="19" customWidth="1"/>
    <col min="2349" max="2351" width="9.28515625" style="19" customWidth="1"/>
    <col min="2352" max="2353" width="7.85546875" style="19" customWidth="1"/>
    <col min="2354" max="2355" width="6.42578125" style="19" customWidth="1"/>
    <col min="2356" max="2356" width="10.7109375" style="19" customWidth="1"/>
    <col min="2357" max="2357" width="40.7109375" style="19" customWidth="1"/>
    <col min="2358" max="2358" width="5" style="19" customWidth="1"/>
    <col min="2359" max="2359" width="5.5703125" style="19" customWidth="1"/>
    <col min="2360" max="2363" width="9.140625" style="19"/>
    <col min="2364" max="2365" width="8.7109375" style="19" customWidth="1"/>
    <col min="2366" max="2560" width="9.140625" style="19"/>
    <col min="2561" max="2561" width="1.85546875" style="19" customWidth="1"/>
    <col min="2562" max="2562" width="9.85546875" style="19" customWidth="1"/>
    <col min="2563" max="2563" width="6.7109375" style="19" bestFit="1" customWidth="1"/>
    <col min="2564" max="2564" width="9.42578125" style="19" customWidth="1"/>
    <col min="2565" max="2565" width="10.140625" style="19" customWidth="1"/>
    <col min="2566" max="2566" width="9.28515625" style="19" customWidth="1"/>
    <col min="2567" max="2567" width="6.42578125" style="19" customWidth="1"/>
    <col min="2568" max="2568" width="9.85546875" style="19" customWidth="1"/>
    <col min="2569" max="2569" width="9.5703125" style="19" customWidth="1"/>
    <col min="2570" max="2570" width="8.140625" style="19" customWidth="1"/>
    <col min="2571" max="2571" width="9.140625" style="19" customWidth="1"/>
    <col min="2572" max="2573" width="9.28515625" style="19" customWidth="1"/>
    <col min="2574" max="2575" width="0" style="19" hidden="1" customWidth="1"/>
    <col min="2576" max="2576" width="9.85546875" style="19" customWidth="1"/>
    <col min="2577" max="2588" width="0" style="19" hidden="1" customWidth="1"/>
    <col min="2589" max="2590" width="6.5703125" style="19" customWidth="1"/>
    <col min="2591" max="2594" width="0" style="19" hidden="1" customWidth="1"/>
    <col min="2595" max="2599" width="5.85546875" style="19" customWidth="1"/>
    <col min="2600" max="2600" width="7.7109375" style="19" customWidth="1"/>
    <col min="2601" max="2601" width="9.140625" style="19" bestFit="1" customWidth="1"/>
    <col min="2602" max="2603" width="8.5703125" style="19" bestFit="1" customWidth="1"/>
    <col min="2604" max="2604" width="7.5703125" style="19" customWidth="1"/>
    <col min="2605" max="2607" width="9.28515625" style="19" customWidth="1"/>
    <col min="2608" max="2609" width="7.85546875" style="19" customWidth="1"/>
    <col min="2610" max="2611" width="6.42578125" style="19" customWidth="1"/>
    <col min="2612" max="2612" width="10.7109375" style="19" customWidth="1"/>
    <col min="2613" max="2613" width="40.7109375" style="19" customWidth="1"/>
    <col min="2614" max="2614" width="5" style="19" customWidth="1"/>
    <col min="2615" max="2615" width="5.5703125" style="19" customWidth="1"/>
    <col min="2616" max="2619" width="9.140625" style="19"/>
    <col min="2620" max="2621" width="8.7109375" style="19" customWidth="1"/>
    <col min="2622" max="2816" width="9.140625" style="19"/>
    <col min="2817" max="2817" width="1.85546875" style="19" customWidth="1"/>
    <col min="2818" max="2818" width="9.85546875" style="19" customWidth="1"/>
    <col min="2819" max="2819" width="6.7109375" style="19" bestFit="1" customWidth="1"/>
    <col min="2820" max="2820" width="9.42578125" style="19" customWidth="1"/>
    <col min="2821" max="2821" width="10.140625" style="19" customWidth="1"/>
    <col min="2822" max="2822" width="9.28515625" style="19" customWidth="1"/>
    <col min="2823" max="2823" width="6.42578125" style="19" customWidth="1"/>
    <col min="2824" max="2824" width="9.85546875" style="19" customWidth="1"/>
    <col min="2825" max="2825" width="9.5703125" style="19" customWidth="1"/>
    <col min="2826" max="2826" width="8.140625" style="19" customWidth="1"/>
    <col min="2827" max="2827" width="9.140625" style="19" customWidth="1"/>
    <col min="2828" max="2829" width="9.28515625" style="19" customWidth="1"/>
    <col min="2830" max="2831" width="0" style="19" hidden="1" customWidth="1"/>
    <col min="2832" max="2832" width="9.85546875" style="19" customWidth="1"/>
    <col min="2833" max="2844" width="0" style="19" hidden="1" customWidth="1"/>
    <col min="2845" max="2846" width="6.5703125" style="19" customWidth="1"/>
    <col min="2847" max="2850" width="0" style="19" hidden="1" customWidth="1"/>
    <col min="2851" max="2855" width="5.85546875" style="19" customWidth="1"/>
    <col min="2856" max="2856" width="7.7109375" style="19" customWidth="1"/>
    <col min="2857" max="2857" width="9.140625" style="19" bestFit="1" customWidth="1"/>
    <col min="2858" max="2859" width="8.5703125" style="19" bestFit="1" customWidth="1"/>
    <col min="2860" max="2860" width="7.5703125" style="19" customWidth="1"/>
    <col min="2861" max="2863" width="9.28515625" style="19" customWidth="1"/>
    <col min="2864" max="2865" width="7.85546875" style="19" customWidth="1"/>
    <col min="2866" max="2867" width="6.42578125" style="19" customWidth="1"/>
    <col min="2868" max="2868" width="10.7109375" style="19" customWidth="1"/>
    <col min="2869" max="2869" width="40.7109375" style="19" customWidth="1"/>
    <col min="2870" max="2870" width="5" style="19" customWidth="1"/>
    <col min="2871" max="2871" width="5.5703125" style="19" customWidth="1"/>
    <col min="2872" max="2875" width="9.140625" style="19"/>
    <col min="2876" max="2877" width="8.7109375" style="19" customWidth="1"/>
    <col min="2878" max="3072" width="9.140625" style="19"/>
    <col min="3073" max="3073" width="1.85546875" style="19" customWidth="1"/>
    <col min="3074" max="3074" width="9.85546875" style="19" customWidth="1"/>
    <col min="3075" max="3075" width="6.7109375" style="19" bestFit="1" customWidth="1"/>
    <col min="3076" max="3076" width="9.42578125" style="19" customWidth="1"/>
    <col min="3077" max="3077" width="10.140625" style="19" customWidth="1"/>
    <col min="3078" max="3078" width="9.28515625" style="19" customWidth="1"/>
    <col min="3079" max="3079" width="6.42578125" style="19" customWidth="1"/>
    <col min="3080" max="3080" width="9.85546875" style="19" customWidth="1"/>
    <col min="3081" max="3081" width="9.5703125" style="19" customWidth="1"/>
    <col min="3082" max="3082" width="8.140625" style="19" customWidth="1"/>
    <col min="3083" max="3083" width="9.140625" style="19" customWidth="1"/>
    <col min="3084" max="3085" width="9.28515625" style="19" customWidth="1"/>
    <col min="3086" max="3087" width="0" style="19" hidden="1" customWidth="1"/>
    <col min="3088" max="3088" width="9.85546875" style="19" customWidth="1"/>
    <col min="3089" max="3100" width="0" style="19" hidden="1" customWidth="1"/>
    <col min="3101" max="3102" width="6.5703125" style="19" customWidth="1"/>
    <col min="3103" max="3106" width="0" style="19" hidden="1" customWidth="1"/>
    <col min="3107" max="3111" width="5.85546875" style="19" customWidth="1"/>
    <col min="3112" max="3112" width="7.7109375" style="19" customWidth="1"/>
    <col min="3113" max="3113" width="9.140625" style="19" bestFit="1" customWidth="1"/>
    <col min="3114" max="3115" width="8.5703125" style="19" bestFit="1" customWidth="1"/>
    <col min="3116" max="3116" width="7.5703125" style="19" customWidth="1"/>
    <col min="3117" max="3119" width="9.28515625" style="19" customWidth="1"/>
    <col min="3120" max="3121" width="7.85546875" style="19" customWidth="1"/>
    <col min="3122" max="3123" width="6.42578125" style="19" customWidth="1"/>
    <col min="3124" max="3124" width="10.7109375" style="19" customWidth="1"/>
    <col min="3125" max="3125" width="40.7109375" style="19" customWidth="1"/>
    <col min="3126" max="3126" width="5" style="19" customWidth="1"/>
    <col min="3127" max="3127" width="5.5703125" style="19" customWidth="1"/>
    <col min="3128" max="3131" width="9.140625" style="19"/>
    <col min="3132" max="3133" width="8.7109375" style="19" customWidth="1"/>
    <col min="3134" max="3328" width="9.140625" style="19"/>
    <col min="3329" max="3329" width="1.85546875" style="19" customWidth="1"/>
    <col min="3330" max="3330" width="9.85546875" style="19" customWidth="1"/>
    <col min="3331" max="3331" width="6.7109375" style="19" bestFit="1" customWidth="1"/>
    <col min="3332" max="3332" width="9.42578125" style="19" customWidth="1"/>
    <col min="3333" max="3333" width="10.140625" style="19" customWidth="1"/>
    <col min="3334" max="3334" width="9.28515625" style="19" customWidth="1"/>
    <col min="3335" max="3335" width="6.42578125" style="19" customWidth="1"/>
    <col min="3336" max="3336" width="9.85546875" style="19" customWidth="1"/>
    <col min="3337" max="3337" width="9.5703125" style="19" customWidth="1"/>
    <col min="3338" max="3338" width="8.140625" style="19" customWidth="1"/>
    <col min="3339" max="3339" width="9.140625" style="19" customWidth="1"/>
    <col min="3340" max="3341" width="9.28515625" style="19" customWidth="1"/>
    <col min="3342" max="3343" width="0" style="19" hidden="1" customWidth="1"/>
    <col min="3344" max="3344" width="9.85546875" style="19" customWidth="1"/>
    <col min="3345" max="3356" width="0" style="19" hidden="1" customWidth="1"/>
    <col min="3357" max="3358" width="6.5703125" style="19" customWidth="1"/>
    <col min="3359" max="3362" width="0" style="19" hidden="1" customWidth="1"/>
    <col min="3363" max="3367" width="5.85546875" style="19" customWidth="1"/>
    <col min="3368" max="3368" width="7.7109375" style="19" customWidth="1"/>
    <col min="3369" max="3369" width="9.140625" style="19" bestFit="1" customWidth="1"/>
    <col min="3370" max="3371" width="8.5703125" style="19" bestFit="1" customWidth="1"/>
    <col min="3372" max="3372" width="7.5703125" style="19" customWidth="1"/>
    <col min="3373" max="3375" width="9.28515625" style="19" customWidth="1"/>
    <col min="3376" max="3377" width="7.85546875" style="19" customWidth="1"/>
    <col min="3378" max="3379" width="6.42578125" style="19" customWidth="1"/>
    <col min="3380" max="3380" width="10.7109375" style="19" customWidth="1"/>
    <col min="3381" max="3381" width="40.7109375" style="19" customWidth="1"/>
    <col min="3382" max="3382" width="5" style="19" customWidth="1"/>
    <col min="3383" max="3383" width="5.5703125" style="19" customWidth="1"/>
    <col min="3384" max="3387" width="9.140625" style="19"/>
    <col min="3388" max="3389" width="8.7109375" style="19" customWidth="1"/>
    <col min="3390" max="3584" width="9.140625" style="19"/>
    <col min="3585" max="3585" width="1.85546875" style="19" customWidth="1"/>
    <col min="3586" max="3586" width="9.85546875" style="19" customWidth="1"/>
    <col min="3587" max="3587" width="6.7109375" style="19" bestFit="1" customWidth="1"/>
    <col min="3588" max="3588" width="9.42578125" style="19" customWidth="1"/>
    <col min="3589" max="3589" width="10.140625" style="19" customWidth="1"/>
    <col min="3590" max="3590" width="9.28515625" style="19" customWidth="1"/>
    <col min="3591" max="3591" width="6.42578125" style="19" customWidth="1"/>
    <col min="3592" max="3592" width="9.85546875" style="19" customWidth="1"/>
    <col min="3593" max="3593" width="9.5703125" style="19" customWidth="1"/>
    <col min="3594" max="3594" width="8.140625" style="19" customWidth="1"/>
    <col min="3595" max="3595" width="9.140625" style="19" customWidth="1"/>
    <col min="3596" max="3597" width="9.28515625" style="19" customWidth="1"/>
    <col min="3598" max="3599" width="0" style="19" hidden="1" customWidth="1"/>
    <col min="3600" max="3600" width="9.85546875" style="19" customWidth="1"/>
    <col min="3601" max="3612" width="0" style="19" hidden="1" customWidth="1"/>
    <col min="3613" max="3614" width="6.5703125" style="19" customWidth="1"/>
    <col min="3615" max="3618" width="0" style="19" hidden="1" customWidth="1"/>
    <col min="3619" max="3623" width="5.85546875" style="19" customWidth="1"/>
    <col min="3624" max="3624" width="7.7109375" style="19" customWidth="1"/>
    <col min="3625" max="3625" width="9.140625" style="19" bestFit="1" customWidth="1"/>
    <col min="3626" max="3627" width="8.5703125" style="19" bestFit="1" customWidth="1"/>
    <col min="3628" max="3628" width="7.5703125" style="19" customWidth="1"/>
    <col min="3629" max="3631" width="9.28515625" style="19" customWidth="1"/>
    <col min="3632" max="3633" width="7.85546875" style="19" customWidth="1"/>
    <col min="3634" max="3635" width="6.42578125" style="19" customWidth="1"/>
    <col min="3636" max="3636" width="10.7109375" style="19" customWidth="1"/>
    <col min="3637" max="3637" width="40.7109375" style="19" customWidth="1"/>
    <col min="3638" max="3638" width="5" style="19" customWidth="1"/>
    <col min="3639" max="3639" width="5.5703125" style="19" customWidth="1"/>
    <col min="3640" max="3643" width="9.140625" style="19"/>
    <col min="3644" max="3645" width="8.7109375" style="19" customWidth="1"/>
    <col min="3646" max="3840" width="9.140625" style="19"/>
    <col min="3841" max="3841" width="1.85546875" style="19" customWidth="1"/>
    <col min="3842" max="3842" width="9.85546875" style="19" customWidth="1"/>
    <col min="3843" max="3843" width="6.7109375" style="19" bestFit="1" customWidth="1"/>
    <col min="3844" max="3844" width="9.42578125" style="19" customWidth="1"/>
    <col min="3845" max="3845" width="10.140625" style="19" customWidth="1"/>
    <col min="3846" max="3846" width="9.28515625" style="19" customWidth="1"/>
    <col min="3847" max="3847" width="6.42578125" style="19" customWidth="1"/>
    <col min="3848" max="3848" width="9.85546875" style="19" customWidth="1"/>
    <col min="3849" max="3849" width="9.5703125" style="19" customWidth="1"/>
    <col min="3850" max="3850" width="8.140625" style="19" customWidth="1"/>
    <col min="3851" max="3851" width="9.140625" style="19" customWidth="1"/>
    <col min="3852" max="3853" width="9.28515625" style="19" customWidth="1"/>
    <col min="3854" max="3855" width="0" style="19" hidden="1" customWidth="1"/>
    <col min="3856" max="3856" width="9.85546875" style="19" customWidth="1"/>
    <col min="3857" max="3868" width="0" style="19" hidden="1" customWidth="1"/>
    <col min="3869" max="3870" width="6.5703125" style="19" customWidth="1"/>
    <col min="3871" max="3874" width="0" style="19" hidden="1" customWidth="1"/>
    <col min="3875" max="3879" width="5.85546875" style="19" customWidth="1"/>
    <col min="3880" max="3880" width="7.7109375" style="19" customWidth="1"/>
    <col min="3881" max="3881" width="9.140625" style="19" bestFit="1" customWidth="1"/>
    <col min="3882" max="3883" width="8.5703125" style="19" bestFit="1" customWidth="1"/>
    <col min="3884" max="3884" width="7.5703125" style="19" customWidth="1"/>
    <col min="3885" max="3887" width="9.28515625" style="19" customWidth="1"/>
    <col min="3888" max="3889" width="7.85546875" style="19" customWidth="1"/>
    <col min="3890" max="3891" width="6.42578125" style="19" customWidth="1"/>
    <col min="3892" max="3892" width="10.7109375" style="19" customWidth="1"/>
    <col min="3893" max="3893" width="40.7109375" style="19" customWidth="1"/>
    <col min="3894" max="3894" width="5" style="19" customWidth="1"/>
    <col min="3895" max="3895" width="5.5703125" style="19" customWidth="1"/>
    <col min="3896" max="3899" width="9.140625" style="19"/>
    <col min="3900" max="3901" width="8.7109375" style="19" customWidth="1"/>
    <col min="3902" max="4096" width="9.140625" style="19"/>
    <col min="4097" max="4097" width="1.85546875" style="19" customWidth="1"/>
    <col min="4098" max="4098" width="9.85546875" style="19" customWidth="1"/>
    <col min="4099" max="4099" width="6.7109375" style="19" bestFit="1" customWidth="1"/>
    <col min="4100" max="4100" width="9.42578125" style="19" customWidth="1"/>
    <col min="4101" max="4101" width="10.140625" style="19" customWidth="1"/>
    <col min="4102" max="4102" width="9.28515625" style="19" customWidth="1"/>
    <col min="4103" max="4103" width="6.42578125" style="19" customWidth="1"/>
    <col min="4104" max="4104" width="9.85546875" style="19" customWidth="1"/>
    <col min="4105" max="4105" width="9.5703125" style="19" customWidth="1"/>
    <col min="4106" max="4106" width="8.140625" style="19" customWidth="1"/>
    <col min="4107" max="4107" width="9.140625" style="19" customWidth="1"/>
    <col min="4108" max="4109" width="9.28515625" style="19" customWidth="1"/>
    <col min="4110" max="4111" width="0" style="19" hidden="1" customWidth="1"/>
    <col min="4112" max="4112" width="9.85546875" style="19" customWidth="1"/>
    <col min="4113" max="4124" width="0" style="19" hidden="1" customWidth="1"/>
    <col min="4125" max="4126" width="6.5703125" style="19" customWidth="1"/>
    <col min="4127" max="4130" width="0" style="19" hidden="1" customWidth="1"/>
    <col min="4131" max="4135" width="5.85546875" style="19" customWidth="1"/>
    <col min="4136" max="4136" width="7.7109375" style="19" customWidth="1"/>
    <col min="4137" max="4137" width="9.140625" style="19" bestFit="1" customWidth="1"/>
    <col min="4138" max="4139" width="8.5703125" style="19" bestFit="1" customWidth="1"/>
    <col min="4140" max="4140" width="7.5703125" style="19" customWidth="1"/>
    <col min="4141" max="4143" width="9.28515625" style="19" customWidth="1"/>
    <col min="4144" max="4145" width="7.85546875" style="19" customWidth="1"/>
    <col min="4146" max="4147" width="6.42578125" style="19" customWidth="1"/>
    <col min="4148" max="4148" width="10.7109375" style="19" customWidth="1"/>
    <col min="4149" max="4149" width="40.7109375" style="19" customWidth="1"/>
    <col min="4150" max="4150" width="5" style="19" customWidth="1"/>
    <col min="4151" max="4151" width="5.5703125" style="19" customWidth="1"/>
    <col min="4152" max="4155" width="9.140625" style="19"/>
    <col min="4156" max="4157" width="8.7109375" style="19" customWidth="1"/>
    <col min="4158" max="4352" width="9.140625" style="19"/>
    <col min="4353" max="4353" width="1.85546875" style="19" customWidth="1"/>
    <col min="4354" max="4354" width="9.85546875" style="19" customWidth="1"/>
    <col min="4355" max="4355" width="6.7109375" style="19" bestFit="1" customWidth="1"/>
    <col min="4356" max="4356" width="9.42578125" style="19" customWidth="1"/>
    <col min="4357" max="4357" width="10.140625" style="19" customWidth="1"/>
    <col min="4358" max="4358" width="9.28515625" style="19" customWidth="1"/>
    <col min="4359" max="4359" width="6.42578125" style="19" customWidth="1"/>
    <col min="4360" max="4360" width="9.85546875" style="19" customWidth="1"/>
    <col min="4361" max="4361" width="9.5703125" style="19" customWidth="1"/>
    <col min="4362" max="4362" width="8.140625" style="19" customWidth="1"/>
    <col min="4363" max="4363" width="9.140625" style="19" customWidth="1"/>
    <col min="4364" max="4365" width="9.28515625" style="19" customWidth="1"/>
    <col min="4366" max="4367" width="0" style="19" hidden="1" customWidth="1"/>
    <col min="4368" max="4368" width="9.85546875" style="19" customWidth="1"/>
    <col min="4369" max="4380" width="0" style="19" hidden="1" customWidth="1"/>
    <col min="4381" max="4382" width="6.5703125" style="19" customWidth="1"/>
    <col min="4383" max="4386" width="0" style="19" hidden="1" customWidth="1"/>
    <col min="4387" max="4391" width="5.85546875" style="19" customWidth="1"/>
    <col min="4392" max="4392" width="7.7109375" style="19" customWidth="1"/>
    <col min="4393" max="4393" width="9.140625" style="19" bestFit="1" customWidth="1"/>
    <col min="4394" max="4395" width="8.5703125" style="19" bestFit="1" customWidth="1"/>
    <col min="4396" max="4396" width="7.5703125" style="19" customWidth="1"/>
    <col min="4397" max="4399" width="9.28515625" style="19" customWidth="1"/>
    <col min="4400" max="4401" width="7.85546875" style="19" customWidth="1"/>
    <col min="4402" max="4403" width="6.42578125" style="19" customWidth="1"/>
    <col min="4404" max="4404" width="10.7109375" style="19" customWidth="1"/>
    <col min="4405" max="4405" width="40.7109375" style="19" customWidth="1"/>
    <col min="4406" max="4406" width="5" style="19" customWidth="1"/>
    <col min="4407" max="4407" width="5.5703125" style="19" customWidth="1"/>
    <col min="4408" max="4411" width="9.140625" style="19"/>
    <col min="4412" max="4413" width="8.7109375" style="19" customWidth="1"/>
    <col min="4414" max="4608" width="9.140625" style="19"/>
    <col min="4609" max="4609" width="1.85546875" style="19" customWidth="1"/>
    <col min="4610" max="4610" width="9.85546875" style="19" customWidth="1"/>
    <col min="4611" max="4611" width="6.7109375" style="19" bestFit="1" customWidth="1"/>
    <col min="4612" max="4612" width="9.42578125" style="19" customWidth="1"/>
    <col min="4613" max="4613" width="10.140625" style="19" customWidth="1"/>
    <col min="4614" max="4614" width="9.28515625" style="19" customWidth="1"/>
    <col min="4615" max="4615" width="6.42578125" style="19" customWidth="1"/>
    <col min="4616" max="4616" width="9.85546875" style="19" customWidth="1"/>
    <col min="4617" max="4617" width="9.5703125" style="19" customWidth="1"/>
    <col min="4618" max="4618" width="8.140625" style="19" customWidth="1"/>
    <col min="4619" max="4619" width="9.140625" style="19" customWidth="1"/>
    <col min="4620" max="4621" width="9.28515625" style="19" customWidth="1"/>
    <col min="4622" max="4623" width="0" style="19" hidden="1" customWidth="1"/>
    <col min="4624" max="4624" width="9.85546875" style="19" customWidth="1"/>
    <col min="4625" max="4636" width="0" style="19" hidden="1" customWidth="1"/>
    <col min="4637" max="4638" width="6.5703125" style="19" customWidth="1"/>
    <col min="4639" max="4642" width="0" style="19" hidden="1" customWidth="1"/>
    <col min="4643" max="4647" width="5.85546875" style="19" customWidth="1"/>
    <col min="4648" max="4648" width="7.7109375" style="19" customWidth="1"/>
    <col min="4649" max="4649" width="9.140625" style="19" bestFit="1" customWidth="1"/>
    <col min="4650" max="4651" width="8.5703125" style="19" bestFit="1" customWidth="1"/>
    <col min="4652" max="4652" width="7.5703125" style="19" customWidth="1"/>
    <col min="4653" max="4655" width="9.28515625" style="19" customWidth="1"/>
    <col min="4656" max="4657" width="7.85546875" style="19" customWidth="1"/>
    <col min="4658" max="4659" width="6.42578125" style="19" customWidth="1"/>
    <col min="4660" max="4660" width="10.7109375" style="19" customWidth="1"/>
    <col min="4661" max="4661" width="40.7109375" style="19" customWidth="1"/>
    <col min="4662" max="4662" width="5" style="19" customWidth="1"/>
    <col min="4663" max="4663" width="5.5703125" style="19" customWidth="1"/>
    <col min="4664" max="4667" width="9.140625" style="19"/>
    <col min="4668" max="4669" width="8.7109375" style="19" customWidth="1"/>
    <col min="4670" max="4864" width="9.140625" style="19"/>
    <col min="4865" max="4865" width="1.85546875" style="19" customWidth="1"/>
    <col min="4866" max="4866" width="9.85546875" style="19" customWidth="1"/>
    <col min="4867" max="4867" width="6.7109375" style="19" bestFit="1" customWidth="1"/>
    <col min="4868" max="4868" width="9.42578125" style="19" customWidth="1"/>
    <col min="4869" max="4869" width="10.140625" style="19" customWidth="1"/>
    <col min="4870" max="4870" width="9.28515625" style="19" customWidth="1"/>
    <col min="4871" max="4871" width="6.42578125" style="19" customWidth="1"/>
    <col min="4872" max="4872" width="9.85546875" style="19" customWidth="1"/>
    <col min="4873" max="4873" width="9.5703125" style="19" customWidth="1"/>
    <col min="4874" max="4874" width="8.140625" style="19" customWidth="1"/>
    <col min="4875" max="4875" width="9.140625" style="19" customWidth="1"/>
    <col min="4876" max="4877" width="9.28515625" style="19" customWidth="1"/>
    <col min="4878" max="4879" width="0" style="19" hidden="1" customWidth="1"/>
    <col min="4880" max="4880" width="9.85546875" style="19" customWidth="1"/>
    <col min="4881" max="4892" width="0" style="19" hidden="1" customWidth="1"/>
    <col min="4893" max="4894" width="6.5703125" style="19" customWidth="1"/>
    <col min="4895" max="4898" width="0" style="19" hidden="1" customWidth="1"/>
    <col min="4899" max="4903" width="5.85546875" style="19" customWidth="1"/>
    <col min="4904" max="4904" width="7.7109375" style="19" customWidth="1"/>
    <col min="4905" max="4905" width="9.140625" style="19" bestFit="1" customWidth="1"/>
    <col min="4906" max="4907" width="8.5703125" style="19" bestFit="1" customWidth="1"/>
    <col min="4908" max="4908" width="7.5703125" style="19" customWidth="1"/>
    <col min="4909" max="4911" width="9.28515625" style="19" customWidth="1"/>
    <col min="4912" max="4913" width="7.85546875" style="19" customWidth="1"/>
    <col min="4914" max="4915" width="6.42578125" style="19" customWidth="1"/>
    <col min="4916" max="4916" width="10.7109375" style="19" customWidth="1"/>
    <col min="4917" max="4917" width="40.7109375" style="19" customWidth="1"/>
    <col min="4918" max="4918" width="5" style="19" customWidth="1"/>
    <col min="4919" max="4919" width="5.5703125" style="19" customWidth="1"/>
    <col min="4920" max="4923" width="9.140625" style="19"/>
    <col min="4924" max="4925" width="8.7109375" style="19" customWidth="1"/>
    <col min="4926" max="5120" width="9.140625" style="19"/>
    <col min="5121" max="5121" width="1.85546875" style="19" customWidth="1"/>
    <col min="5122" max="5122" width="9.85546875" style="19" customWidth="1"/>
    <col min="5123" max="5123" width="6.7109375" style="19" bestFit="1" customWidth="1"/>
    <col min="5124" max="5124" width="9.42578125" style="19" customWidth="1"/>
    <col min="5125" max="5125" width="10.140625" style="19" customWidth="1"/>
    <col min="5126" max="5126" width="9.28515625" style="19" customWidth="1"/>
    <col min="5127" max="5127" width="6.42578125" style="19" customWidth="1"/>
    <col min="5128" max="5128" width="9.85546875" style="19" customWidth="1"/>
    <col min="5129" max="5129" width="9.5703125" style="19" customWidth="1"/>
    <col min="5130" max="5130" width="8.140625" style="19" customWidth="1"/>
    <col min="5131" max="5131" width="9.140625" style="19" customWidth="1"/>
    <col min="5132" max="5133" width="9.28515625" style="19" customWidth="1"/>
    <col min="5134" max="5135" width="0" style="19" hidden="1" customWidth="1"/>
    <col min="5136" max="5136" width="9.85546875" style="19" customWidth="1"/>
    <col min="5137" max="5148" width="0" style="19" hidden="1" customWidth="1"/>
    <col min="5149" max="5150" width="6.5703125" style="19" customWidth="1"/>
    <col min="5151" max="5154" width="0" style="19" hidden="1" customWidth="1"/>
    <col min="5155" max="5159" width="5.85546875" style="19" customWidth="1"/>
    <col min="5160" max="5160" width="7.7109375" style="19" customWidth="1"/>
    <col min="5161" max="5161" width="9.140625" style="19" bestFit="1" customWidth="1"/>
    <col min="5162" max="5163" width="8.5703125" style="19" bestFit="1" customWidth="1"/>
    <col min="5164" max="5164" width="7.5703125" style="19" customWidth="1"/>
    <col min="5165" max="5167" width="9.28515625" style="19" customWidth="1"/>
    <col min="5168" max="5169" width="7.85546875" style="19" customWidth="1"/>
    <col min="5170" max="5171" width="6.42578125" style="19" customWidth="1"/>
    <col min="5172" max="5172" width="10.7109375" style="19" customWidth="1"/>
    <col min="5173" max="5173" width="40.7109375" style="19" customWidth="1"/>
    <col min="5174" max="5174" width="5" style="19" customWidth="1"/>
    <col min="5175" max="5175" width="5.5703125" style="19" customWidth="1"/>
    <col min="5176" max="5179" width="9.140625" style="19"/>
    <col min="5180" max="5181" width="8.7109375" style="19" customWidth="1"/>
    <col min="5182" max="5376" width="9.140625" style="19"/>
    <col min="5377" max="5377" width="1.85546875" style="19" customWidth="1"/>
    <col min="5378" max="5378" width="9.85546875" style="19" customWidth="1"/>
    <col min="5379" max="5379" width="6.7109375" style="19" bestFit="1" customWidth="1"/>
    <col min="5380" max="5380" width="9.42578125" style="19" customWidth="1"/>
    <col min="5381" max="5381" width="10.140625" style="19" customWidth="1"/>
    <col min="5382" max="5382" width="9.28515625" style="19" customWidth="1"/>
    <col min="5383" max="5383" width="6.42578125" style="19" customWidth="1"/>
    <col min="5384" max="5384" width="9.85546875" style="19" customWidth="1"/>
    <col min="5385" max="5385" width="9.5703125" style="19" customWidth="1"/>
    <col min="5386" max="5386" width="8.140625" style="19" customWidth="1"/>
    <col min="5387" max="5387" width="9.140625" style="19" customWidth="1"/>
    <col min="5388" max="5389" width="9.28515625" style="19" customWidth="1"/>
    <col min="5390" max="5391" width="0" style="19" hidden="1" customWidth="1"/>
    <col min="5392" max="5392" width="9.85546875" style="19" customWidth="1"/>
    <col min="5393" max="5404" width="0" style="19" hidden="1" customWidth="1"/>
    <col min="5405" max="5406" width="6.5703125" style="19" customWidth="1"/>
    <col min="5407" max="5410" width="0" style="19" hidden="1" customWidth="1"/>
    <col min="5411" max="5415" width="5.85546875" style="19" customWidth="1"/>
    <col min="5416" max="5416" width="7.7109375" style="19" customWidth="1"/>
    <col min="5417" max="5417" width="9.140625" style="19" bestFit="1" customWidth="1"/>
    <col min="5418" max="5419" width="8.5703125" style="19" bestFit="1" customWidth="1"/>
    <col min="5420" max="5420" width="7.5703125" style="19" customWidth="1"/>
    <col min="5421" max="5423" width="9.28515625" style="19" customWidth="1"/>
    <col min="5424" max="5425" width="7.85546875" style="19" customWidth="1"/>
    <col min="5426" max="5427" width="6.42578125" style="19" customWidth="1"/>
    <col min="5428" max="5428" width="10.7109375" style="19" customWidth="1"/>
    <col min="5429" max="5429" width="40.7109375" style="19" customWidth="1"/>
    <col min="5430" max="5430" width="5" style="19" customWidth="1"/>
    <col min="5431" max="5431" width="5.5703125" style="19" customWidth="1"/>
    <col min="5432" max="5435" width="9.140625" style="19"/>
    <col min="5436" max="5437" width="8.7109375" style="19" customWidth="1"/>
    <col min="5438" max="5632" width="9.140625" style="19"/>
    <col min="5633" max="5633" width="1.85546875" style="19" customWidth="1"/>
    <col min="5634" max="5634" width="9.85546875" style="19" customWidth="1"/>
    <col min="5635" max="5635" width="6.7109375" style="19" bestFit="1" customWidth="1"/>
    <col min="5636" max="5636" width="9.42578125" style="19" customWidth="1"/>
    <col min="5637" max="5637" width="10.140625" style="19" customWidth="1"/>
    <col min="5638" max="5638" width="9.28515625" style="19" customWidth="1"/>
    <col min="5639" max="5639" width="6.42578125" style="19" customWidth="1"/>
    <col min="5640" max="5640" width="9.85546875" style="19" customWidth="1"/>
    <col min="5641" max="5641" width="9.5703125" style="19" customWidth="1"/>
    <col min="5642" max="5642" width="8.140625" style="19" customWidth="1"/>
    <col min="5643" max="5643" width="9.140625" style="19" customWidth="1"/>
    <col min="5644" max="5645" width="9.28515625" style="19" customWidth="1"/>
    <col min="5646" max="5647" width="0" style="19" hidden="1" customWidth="1"/>
    <col min="5648" max="5648" width="9.85546875" style="19" customWidth="1"/>
    <col min="5649" max="5660" width="0" style="19" hidden="1" customWidth="1"/>
    <col min="5661" max="5662" width="6.5703125" style="19" customWidth="1"/>
    <col min="5663" max="5666" width="0" style="19" hidden="1" customWidth="1"/>
    <col min="5667" max="5671" width="5.85546875" style="19" customWidth="1"/>
    <col min="5672" max="5672" width="7.7109375" style="19" customWidth="1"/>
    <col min="5673" max="5673" width="9.140625" style="19" bestFit="1" customWidth="1"/>
    <col min="5674" max="5675" width="8.5703125" style="19" bestFit="1" customWidth="1"/>
    <col min="5676" max="5676" width="7.5703125" style="19" customWidth="1"/>
    <col min="5677" max="5679" width="9.28515625" style="19" customWidth="1"/>
    <col min="5680" max="5681" width="7.85546875" style="19" customWidth="1"/>
    <col min="5682" max="5683" width="6.42578125" style="19" customWidth="1"/>
    <col min="5684" max="5684" width="10.7109375" style="19" customWidth="1"/>
    <col min="5685" max="5685" width="40.7109375" style="19" customWidth="1"/>
    <col min="5686" max="5686" width="5" style="19" customWidth="1"/>
    <col min="5687" max="5687" width="5.5703125" style="19" customWidth="1"/>
    <col min="5688" max="5691" width="9.140625" style="19"/>
    <col min="5692" max="5693" width="8.7109375" style="19" customWidth="1"/>
    <col min="5694" max="5888" width="9.140625" style="19"/>
    <col min="5889" max="5889" width="1.85546875" style="19" customWidth="1"/>
    <col min="5890" max="5890" width="9.85546875" style="19" customWidth="1"/>
    <col min="5891" max="5891" width="6.7109375" style="19" bestFit="1" customWidth="1"/>
    <col min="5892" max="5892" width="9.42578125" style="19" customWidth="1"/>
    <col min="5893" max="5893" width="10.140625" style="19" customWidth="1"/>
    <col min="5894" max="5894" width="9.28515625" style="19" customWidth="1"/>
    <col min="5895" max="5895" width="6.42578125" style="19" customWidth="1"/>
    <col min="5896" max="5896" width="9.85546875" style="19" customWidth="1"/>
    <col min="5897" max="5897" width="9.5703125" style="19" customWidth="1"/>
    <col min="5898" max="5898" width="8.140625" style="19" customWidth="1"/>
    <col min="5899" max="5899" width="9.140625" style="19" customWidth="1"/>
    <col min="5900" max="5901" width="9.28515625" style="19" customWidth="1"/>
    <col min="5902" max="5903" width="0" style="19" hidden="1" customWidth="1"/>
    <col min="5904" max="5904" width="9.85546875" style="19" customWidth="1"/>
    <col min="5905" max="5916" width="0" style="19" hidden="1" customWidth="1"/>
    <col min="5917" max="5918" width="6.5703125" style="19" customWidth="1"/>
    <col min="5919" max="5922" width="0" style="19" hidden="1" customWidth="1"/>
    <col min="5923" max="5927" width="5.85546875" style="19" customWidth="1"/>
    <col min="5928" max="5928" width="7.7109375" style="19" customWidth="1"/>
    <col min="5929" max="5929" width="9.140625" style="19" bestFit="1" customWidth="1"/>
    <col min="5930" max="5931" width="8.5703125" style="19" bestFit="1" customWidth="1"/>
    <col min="5932" max="5932" width="7.5703125" style="19" customWidth="1"/>
    <col min="5933" max="5935" width="9.28515625" style="19" customWidth="1"/>
    <col min="5936" max="5937" width="7.85546875" style="19" customWidth="1"/>
    <col min="5938" max="5939" width="6.42578125" style="19" customWidth="1"/>
    <col min="5940" max="5940" width="10.7109375" style="19" customWidth="1"/>
    <col min="5941" max="5941" width="40.7109375" style="19" customWidth="1"/>
    <col min="5942" max="5942" width="5" style="19" customWidth="1"/>
    <col min="5943" max="5943" width="5.5703125" style="19" customWidth="1"/>
    <col min="5944" max="5947" width="9.140625" style="19"/>
    <col min="5948" max="5949" width="8.7109375" style="19" customWidth="1"/>
    <col min="5950" max="6144" width="9.140625" style="19"/>
    <col min="6145" max="6145" width="1.85546875" style="19" customWidth="1"/>
    <col min="6146" max="6146" width="9.85546875" style="19" customWidth="1"/>
    <col min="6147" max="6147" width="6.7109375" style="19" bestFit="1" customWidth="1"/>
    <col min="6148" max="6148" width="9.42578125" style="19" customWidth="1"/>
    <col min="6149" max="6149" width="10.140625" style="19" customWidth="1"/>
    <col min="6150" max="6150" width="9.28515625" style="19" customWidth="1"/>
    <col min="6151" max="6151" width="6.42578125" style="19" customWidth="1"/>
    <col min="6152" max="6152" width="9.85546875" style="19" customWidth="1"/>
    <col min="6153" max="6153" width="9.5703125" style="19" customWidth="1"/>
    <col min="6154" max="6154" width="8.140625" style="19" customWidth="1"/>
    <col min="6155" max="6155" width="9.140625" style="19" customWidth="1"/>
    <col min="6156" max="6157" width="9.28515625" style="19" customWidth="1"/>
    <col min="6158" max="6159" width="0" style="19" hidden="1" customWidth="1"/>
    <col min="6160" max="6160" width="9.85546875" style="19" customWidth="1"/>
    <col min="6161" max="6172" width="0" style="19" hidden="1" customWidth="1"/>
    <col min="6173" max="6174" width="6.5703125" style="19" customWidth="1"/>
    <col min="6175" max="6178" width="0" style="19" hidden="1" customWidth="1"/>
    <col min="6179" max="6183" width="5.85546875" style="19" customWidth="1"/>
    <col min="6184" max="6184" width="7.7109375" style="19" customWidth="1"/>
    <col min="6185" max="6185" width="9.140625" style="19" bestFit="1" customWidth="1"/>
    <col min="6186" max="6187" width="8.5703125" style="19" bestFit="1" customWidth="1"/>
    <col min="6188" max="6188" width="7.5703125" style="19" customWidth="1"/>
    <col min="6189" max="6191" width="9.28515625" style="19" customWidth="1"/>
    <col min="6192" max="6193" width="7.85546875" style="19" customWidth="1"/>
    <col min="6194" max="6195" width="6.42578125" style="19" customWidth="1"/>
    <col min="6196" max="6196" width="10.7109375" style="19" customWidth="1"/>
    <col min="6197" max="6197" width="40.7109375" style="19" customWidth="1"/>
    <col min="6198" max="6198" width="5" style="19" customWidth="1"/>
    <col min="6199" max="6199" width="5.5703125" style="19" customWidth="1"/>
    <col min="6200" max="6203" width="9.140625" style="19"/>
    <col min="6204" max="6205" width="8.7109375" style="19" customWidth="1"/>
    <col min="6206" max="6400" width="9.140625" style="19"/>
    <col min="6401" max="6401" width="1.85546875" style="19" customWidth="1"/>
    <col min="6402" max="6402" width="9.85546875" style="19" customWidth="1"/>
    <col min="6403" max="6403" width="6.7109375" style="19" bestFit="1" customWidth="1"/>
    <col min="6404" max="6404" width="9.42578125" style="19" customWidth="1"/>
    <col min="6405" max="6405" width="10.140625" style="19" customWidth="1"/>
    <col min="6406" max="6406" width="9.28515625" style="19" customWidth="1"/>
    <col min="6407" max="6407" width="6.42578125" style="19" customWidth="1"/>
    <col min="6408" max="6408" width="9.85546875" style="19" customWidth="1"/>
    <col min="6409" max="6409" width="9.5703125" style="19" customWidth="1"/>
    <col min="6410" max="6410" width="8.140625" style="19" customWidth="1"/>
    <col min="6411" max="6411" width="9.140625" style="19" customWidth="1"/>
    <col min="6412" max="6413" width="9.28515625" style="19" customWidth="1"/>
    <col min="6414" max="6415" width="0" style="19" hidden="1" customWidth="1"/>
    <col min="6416" max="6416" width="9.85546875" style="19" customWidth="1"/>
    <col min="6417" max="6428" width="0" style="19" hidden="1" customWidth="1"/>
    <col min="6429" max="6430" width="6.5703125" style="19" customWidth="1"/>
    <col min="6431" max="6434" width="0" style="19" hidden="1" customWidth="1"/>
    <col min="6435" max="6439" width="5.85546875" style="19" customWidth="1"/>
    <col min="6440" max="6440" width="7.7109375" style="19" customWidth="1"/>
    <col min="6441" max="6441" width="9.140625" style="19" bestFit="1" customWidth="1"/>
    <col min="6442" max="6443" width="8.5703125" style="19" bestFit="1" customWidth="1"/>
    <col min="6444" max="6444" width="7.5703125" style="19" customWidth="1"/>
    <col min="6445" max="6447" width="9.28515625" style="19" customWidth="1"/>
    <col min="6448" max="6449" width="7.85546875" style="19" customWidth="1"/>
    <col min="6450" max="6451" width="6.42578125" style="19" customWidth="1"/>
    <col min="6452" max="6452" width="10.7109375" style="19" customWidth="1"/>
    <col min="6453" max="6453" width="40.7109375" style="19" customWidth="1"/>
    <col min="6454" max="6454" width="5" style="19" customWidth="1"/>
    <col min="6455" max="6455" width="5.5703125" style="19" customWidth="1"/>
    <col min="6456" max="6459" width="9.140625" style="19"/>
    <col min="6460" max="6461" width="8.7109375" style="19" customWidth="1"/>
    <col min="6462" max="6656" width="9.140625" style="19"/>
    <col min="6657" max="6657" width="1.85546875" style="19" customWidth="1"/>
    <col min="6658" max="6658" width="9.85546875" style="19" customWidth="1"/>
    <col min="6659" max="6659" width="6.7109375" style="19" bestFit="1" customWidth="1"/>
    <col min="6660" max="6660" width="9.42578125" style="19" customWidth="1"/>
    <col min="6661" max="6661" width="10.140625" style="19" customWidth="1"/>
    <col min="6662" max="6662" width="9.28515625" style="19" customWidth="1"/>
    <col min="6663" max="6663" width="6.42578125" style="19" customWidth="1"/>
    <col min="6664" max="6664" width="9.85546875" style="19" customWidth="1"/>
    <col min="6665" max="6665" width="9.5703125" style="19" customWidth="1"/>
    <col min="6666" max="6666" width="8.140625" style="19" customWidth="1"/>
    <col min="6667" max="6667" width="9.140625" style="19" customWidth="1"/>
    <col min="6668" max="6669" width="9.28515625" style="19" customWidth="1"/>
    <col min="6670" max="6671" width="0" style="19" hidden="1" customWidth="1"/>
    <col min="6672" max="6672" width="9.85546875" style="19" customWidth="1"/>
    <col min="6673" max="6684" width="0" style="19" hidden="1" customWidth="1"/>
    <col min="6685" max="6686" width="6.5703125" style="19" customWidth="1"/>
    <col min="6687" max="6690" width="0" style="19" hidden="1" customWidth="1"/>
    <col min="6691" max="6695" width="5.85546875" style="19" customWidth="1"/>
    <col min="6696" max="6696" width="7.7109375" style="19" customWidth="1"/>
    <col min="6697" max="6697" width="9.140625" style="19" bestFit="1" customWidth="1"/>
    <col min="6698" max="6699" width="8.5703125" style="19" bestFit="1" customWidth="1"/>
    <col min="6700" max="6700" width="7.5703125" style="19" customWidth="1"/>
    <col min="6701" max="6703" width="9.28515625" style="19" customWidth="1"/>
    <col min="6704" max="6705" width="7.85546875" style="19" customWidth="1"/>
    <col min="6706" max="6707" width="6.42578125" style="19" customWidth="1"/>
    <col min="6708" max="6708" width="10.7109375" style="19" customWidth="1"/>
    <col min="6709" max="6709" width="40.7109375" style="19" customWidth="1"/>
    <col min="6710" max="6710" width="5" style="19" customWidth="1"/>
    <col min="6711" max="6711" width="5.5703125" style="19" customWidth="1"/>
    <col min="6712" max="6715" width="9.140625" style="19"/>
    <col min="6716" max="6717" width="8.7109375" style="19" customWidth="1"/>
    <col min="6718" max="6912" width="9.140625" style="19"/>
    <col min="6913" max="6913" width="1.85546875" style="19" customWidth="1"/>
    <col min="6914" max="6914" width="9.85546875" style="19" customWidth="1"/>
    <col min="6915" max="6915" width="6.7109375" style="19" bestFit="1" customWidth="1"/>
    <col min="6916" max="6916" width="9.42578125" style="19" customWidth="1"/>
    <col min="6917" max="6917" width="10.140625" style="19" customWidth="1"/>
    <col min="6918" max="6918" width="9.28515625" style="19" customWidth="1"/>
    <col min="6919" max="6919" width="6.42578125" style="19" customWidth="1"/>
    <col min="6920" max="6920" width="9.85546875" style="19" customWidth="1"/>
    <col min="6921" max="6921" width="9.5703125" style="19" customWidth="1"/>
    <col min="6922" max="6922" width="8.140625" style="19" customWidth="1"/>
    <col min="6923" max="6923" width="9.140625" style="19" customWidth="1"/>
    <col min="6924" max="6925" width="9.28515625" style="19" customWidth="1"/>
    <col min="6926" max="6927" width="0" style="19" hidden="1" customWidth="1"/>
    <col min="6928" max="6928" width="9.85546875" style="19" customWidth="1"/>
    <col min="6929" max="6940" width="0" style="19" hidden="1" customWidth="1"/>
    <col min="6941" max="6942" width="6.5703125" style="19" customWidth="1"/>
    <col min="6943" max="6946" width="0" style="19" hidden="1" customWidth="1"/>
    <col min="6947" max="6951" width="5.85546875" style="19" customWidth="1"/>
    <col min="6952" max="6952" width="7.7109375" style="19" customWidth="1"/>
    <col min="6953" max="6953" width="9.140625" style="19" bestFit="1" customWidth="1"/>
    <col min="6954" max="6955" width="8.5703125" style="19" bestFit="1" customWidth="1"/>
    <col min="6956" max="6956" width="7.5703125" style="19" customWidth="1"/>
    <col min="6957" max="6959" width="9.28515625" style="19" customWidth="1"/>
    <col min="6960" max="6961" width="7.85546875" style="19" customWidth="1"/>
    <col min="6962" max="6963" width="6.42578125" style="19" customWidth="1"/>
    <col min="6964" max="6964" width="10.7109375" style="19" customWidth="1"/>
    <col min="6965" max="6965" width="40.7109375" style="19" customWidth="1"/>
    <col min="6966" max="6966" width="5" style="19" customWidth="1"/>
    <col min="6967" max="6967" width="5.5703125" style="19" customWidth="1"/>
    <col min="6968" max="6971" width="9.140625" style="19"/>
    <col min="6972" max="6973" width="8.7109375" style="19" customWidth="1"/>
    <col min="6974" max="7168" width="9.140625" style="19"/>
    <col min="7169" max="7169" width="1.85546875" style="19" customWidth="1"/>
    <col min="7170" max="7170" width="9.85546875" style="19" customWidth="1"/>
    <col min="7171" max="7171" width="6.7109375" style="19" bestFit="1" customWidth="1"/>
    <col min="7172" max="7172" width="9.42578125" style="19" customWidth="1"/>
    <col min="7173" max="7173" width="10.140625" style="19" customWidth="1"/>
    <col min="7174" max="7174" width="9.28515625" style="19" customWidth="1"/>
    <col min="7175" max="7175" width="6.42578125" style="19" customWidth="1"/>
    <col min="7176" max="7176" width="9.85546875" style="19" customWidth="1"/>
    <col min="7177" max="7177" width="9.5703125" style="19" customWidth="1"/>
    <col min="7178" max="7178" width="8.140625" style="19" customWidth="1"/>
    <col min="7179" max="7179" width="9.140625" style="19" customWidth="1"/>
    <col min="7180" max="7181" width="9.28515625" style="19" customWidth="1"/>
    <col min="7182" max="7183" width="0" style="19" hidden="1" customWidth="1"/>
    <col min="7184" max="7184" width="9.85546875" style="19" customWidth="1"/>
    <col min="7185" max="7196" width="0" style="19" hidden="1" customWidth="1"/>
    <col min="7197" max="7198" width="6.5703125" style="19" customWidth="1"/>
    <col min="7199" max="7202" width="0" style="19" hidden="1" customWidth="1"/>
    <col min="7203" max="7207" width="5.85546875" style="19" customWidth="1"/>
    <col min="7208" max="7208" width="7.7109375" style="19" customWidth="1"/>
    <col min="7209" max="7209" width="9.140625" style="19" bestFit="1" customWidth="1"/>
    <col min="7210" max="7211" width="8.5703125" style="19" bestFit="1" customWidth="1"/>
    <col min="7212" max="7212" width="7.5703125" style="19" customWidth="1"/>
    <col min="7213" max="7215" width="9.28515625" style="19" customWidth="1"/>
    <col min="7216" max="7217" width="7.85546875" style="19" customWidth="1"/>
    <col min="7218" max="7219" width="6.42578125" style="19" customWidth="1"/>
    <col min="7220" max="7220" width="10.7109375" style="19" customWidth="1"/>
    <col min="7221" max="7221" width="40.7109375" style="19" customWidth="1"/>
    <col min="7222" max="7222" width="5" style="19" customWidth="1"/>
    <col min="7223" max="7223" width="5.5703125" style="19" customWidth="1"/>
    <col min="7224" max="7227" width="9.140625" style="19"/>
    <col min="7228" max="7229" width="8.7109375" style="19" customWidth="1"/>
    <col min="7230" max="7424" width="9.140625" style="19"/>
    <col min="7425" max="7425" width="1.85546875" style="19" customWidth="1"/>
    <col min="7426" max="7426" width="9.85546875" style="19" customWidth="1"/>
    <col min="7427" max="7427" width="6.7109375" style="19" bestFit="1" customWidth="1"/>
    <col min="7428" max="7428" width="9.42578125" style="19" customWidth="1"/>
    <col min="7429" max="7429" width="10.140625" style="19" customWidth="1"/>
    <col min="7430" max="7430" width="9.28515625" style="19" customWidth="1"/>
    <col min="7431" max="7431" width="6.42578125" style="19" customWidth="1"/>
    <col min="7432" max="7432" width="9.85546875" style="19" customWidth="1"/>
    <col min="7433" max="7433" width="9.5703125" style="19" customWidth="1"/>
    <col min="7434" max="7434" width="8.140625" style="19" customWidth="1"/>
    <col min="7435" max="7435" width="9.140625" style="19" customWidth="1"/>
    <col min="7436" max="7437" width="9.28515625" style="19" customWidth="1"/>
    <col min="7438" max="7439" width="0" style="19" hidden="1" customWidth="1"/>
    <col min="7440" max="7440" width="9.85546875" style="19" customWidth="1"/>
    <col min="7441" max="7452" width="0" style="19" hidden="1" customWidth="1"/>
    <col min="7453" max="7454" width="6.5703125" style="19" customWidth="1"/>
    <col min="7455" max="7458" width="0" style="19" hidden="1" customWidth="1"/>
    <col min="7459" max="7463" width="5.85546875" style="19" customWidth="1"/>
    <col min="7464" max="7464" width="7.7109375" style="19" customWidth="1"/>
    <col min="7465" max="7465" width="9.140625" style="19" bestFit="1" customWidth="1"/>
    <col min="7466" max="7467" width="8.5703125" style="19" bestFit="1" customWidth="1"/>
    <col min="7468" max="7468" width="7.5703125" style="19" customWidth="1"/>
    <col min="7469" max="7471" width="9.28515625" style="19" customWidth="1"/>
    <col min="7472" max="7473" width="7.85546875" style="19" customWidth="1"/>
    <col min="7474" max="7475" width="6.42578125" style="19" customWidth="1"/>
    <col min="7476" max="7476" width="10.7109375" style="19" customWidth="1"/>
    <col min="7477" max="7477" width="40.7109375" style="19" customWidth="1"/>
    <col min="7478" max="7478" width="5" style="19" customWidth="1"/>
    <col min="7479" max="7479" width="5.5703125" style="19" customWidth="1"/>
    <col min="7480" max="7483" width="9.140625" style="19"/>
    <col min="7484" max="7485" width="8.7109375" style="19" customWidth="1"/>
    <col min="7486" max="7680" width="9.140625" style="19"/>
    <col min="7681" max="7681" width="1.85546875" style="19" customWidth="1"/>
    <col min="7682" max="7682" width="9.85546875" style="19" customWidth="1"/>
    <col min="7683" max="7683" width="6.7109375" style="19" bestFit="1" customWidth="1"/>
    <col min="7684" max="7684" width="9.42578125" style="19" customWidth="1"/>
    <col min="7685" max="7685" width="10.140625" style="19" customWidth="1"/>
    <col min="7686" max="7686" width="9.28515625" style="19" customWidth="1"/>
    <col min="7687" max="7687" width="6.42578125" style="19" customWidth="1"/>
    <col min="7688" max="7688" width="9.85546875" style="19" customWidth="1"/>
    <col min="7689" max="7689" width="9.5703125" style="19" customWidth="1"/>
    <col min="7690" max="7690" width="8.140625" style="19" customWidth="1"/>
    <col min="7691" max="7691" width="9.140625" style="19" customWidth="1"/>
    <col min="7692" max="7693" width="9.28515625" style="19" customWidth="1"/>
    <col min="7694" max="7695" width="0" style="19" hidden="1" customWidth="1"/>
    <col min="7696" max="7696" width="9.85546875" style="19" customWidth="1"/>
    <col min="7697" max="7708" width="0" style="19" hidden="1" customWidth="1"/>
    <col min="7709" max="7710" width="6.5703125" style="19" customWidth="1"/>
    <col min="7711" max="7714" width="0" style="19" hidden="1" customWidth="1"/>
    <col min="7715" max="7719" width="5.85546875" style="19" customWidth="1"/>
    <col min="7720" max="7720" width="7.7109375" style="19" customWidth="1"/>
    <col min="7721" max="7721" width="9.140625" style="19" bestFit="1" customWidth="1"/>
    <col min="7722" max="7723" width="8.5703125" style="19" bestFit="1" customWidth="1"/>
    <col min="7724" max="7724" width="7.5703125" style="19" customWidth="1"/>
    <col min="7725" max="7727" width="9.28515625" style="19" customWidth="1"/>
    <col min="7728" max="7729" width="7.85546875" style="19" customWidth="1"/>
    <col min="7730" max="7731" width="6.42578125" style="19" customWidth="1"/>
    <col min="7732" max="7732" width="10.7109375" style="19" customWidth="1"/>
    <col min="7733" max="7733" width="40.7109375" style="19" customWidth="1"/>
    <col min="7734" max="7734" width="5" style="19" customWidth="1"/>
    <col min="7735" max="7735" width="5.5703125" style="19" customWidth="1"/>
    <col min="7736" max="7739" width="9.140625" style="19"/>
    <col min="7740" max="7741" width="8.7109375" style="19" customWidth="1"/>
    <col min="7742" max="7936" width="9.140625" style="19"/>
    <col min="7937" max="7937" width="1.85546875" style="19" customWidth="1"/>
    <col min="7938" max="7938" width="9.85546875" style="19" customWidth="1"/>
    <col min="7939" max="7939" width="6.7109375" style="19" bestFit="1" customWidth="1"/>
    <col min="7940" max="7940" width="9.42578125" style="19" customWidth="1"/>
    <col min="7941" max="7941" width="10.140625" style="19" customWidth="1"/>
    <col min="7942" max="7942" width="9.28515625" style="19" customWidth="1"/>
    <col min="7943" max="7943" width="6.42578125" style="19" customWidth="1"/>
    <col min="7944" max="7944" width="9.85546875" style="19" customWidth="1"/>
    <col min="7945" max="7945" width="9.5703125" style="19" customWidth="1"/>
    <col min="7946" max="7946" width="8.140625" style="19" customWidth="1"/>
    <col min="7947" max="7947" width="9.140625" style="19" customWidth="1"/>
    <col min="7948" max="7949" width="9.28515625" style="19" customWidth="1"/>
    <col min="7950" max="7951" width="0" style="19" hidden="1" customWidth="1"/>
    <col min="7952" max="7952" width="9.85546875" style="19" customWidth="1"/>
    <col min="7953" max="7964" width="0" style="19" hidden="1" customWidth="1"/>
    <col min="7965" max="7966" width="6.5703125" style="19" customWidth="1"/>
    <col min="7967" max="7970" width="0" style="19" hidden="1" customWidth="1"/>
    <col min="7971" max="7975" width="5.85546875" style="19" customWidth="1"/>
    <col min="7976" max="7976" width="7.7109375" style="19" customWidth="1"/>
    <col min="7977" max="7977" width="9.140625" style="19" bestFit="1" customWidth="1"/>
    <col min="7978" max="7979" width="8.5703125" style="19" bestFit="1" customWidth="1"/>
    <col min="7980" max="7980" width="7.5703125" style="19" customWidth="1"/>
    <col min="7981" max="7983" width="9.28515625" style="19" customWidth="1"/>
    <col min="7984" max="7985" width="7.85546875" style="19" customWidth="1"/>
    <col min="7986" max="7987" width="6.42578125" style="19" customWidth="1"/>
    <col min="7988" max="7988" width="10.7109375" style="19" customWidth="1"/>
    <col min="7989" max="7989" width="40.7109375" style="19" customWidth="1"/>
    <col min="7990" max="7990" width="5" style="19" customWidth="1"/>
    <col min="7991" max="7991" width="5.5703125" style="19" customWidth="1"/>
    <col min="7992" max="7995" width="9.140625" style="19"/>
    <col min="7996" max="7997" width="8.7109375" style="19" customWidth="1"/>
    <col min="7998" max="8192" width="9.140625" style="19"/>
    <col min="8193" max="8193" width="1.85546875" style="19" customWidth="1"/>
    <col min="8194" max="8194" width="9.85546875" style="19" customWidth="1"/>
    <col min="8195" max="8195" width="6.7109375" style="19" bestFit="1" customWidth="1"/>
    <col min="8196" max="8196" width="9.42578125" style="19" customWidth="1"/>
    <col min="8197" max="8197" width="10.140625" style="19" customWidth="1"/>
    <col min="8198" max="8198" width="9.28515625" style="19" customWidth="1"/>
    <col min="8199" max="8199" width="6.42578125" style="19" customWidth="1"/>
    <col min="8200" max="8200" width="9.85546875" style="19" customWidth="1"/>
    <col min="8201" max="8201" width="9.5703125" style="19" customWidth="1"/>
    <col min="8202" max="8202" width="8.140625" style="19" customWidth="1"/>
    <col min="8203" max="8203" width="9.140625" style="19" customWidth="1"/>
    <col min="8204" max="8205" width="9.28515625" style="19" customWidth="1"/>
    <col min="8206" max="8207" width="0" style="19" hidden="1" customWidth="1"/>
    <col min="8208" max="8208" width="9.85546875" style="19" customWidth="1"/>
    <col min="8209" max="8220" width="0" style="19" hidden="1" customWidth="1"/>
    <col min="8221" max="8222" width="6.5703125" style="19" customWidth="1"/>
    <col min="8223" max="8226" width="0" style="19" hidden="1" customWidth="1"/>
    <col min="8227" max="8231" width="5.85546875" style="19" customWidth="1"/>
    <col min="8232" max="8232" width="7.7109375" style="19" customWidth="1"/>
    <col min="8233" max="8233" width="9.140625" style="19" bestFit="1" customWidth="1"/>
    <col min="8234" max="8235" width="8.5703125" style="19" bestFit="1" customWidth="1"/>
    <col min="8236" max="8236" width="7.5703125" style="19" customWidth="1"/>
    <col min="8237" max="8239" width="9.28515625" style="19" customWidth="1"/>
    <col min="8240" max="8241" width="7.85546875" style="19" customWidth="1"/>
    <col min="8242" max="8243" width="6.42578125" style="19" customWidth="1"/>
    <col min="8244" max="8244" width="10.7109375" style="19" customWidth="1"/>
    <col min="8245" max="8245" width="40.7109375" style="19" customWidth="1"/>
    <col min="8246" max="8246" width="5" style="19" customWidth="1"/>
    <col min="8247" max="8247" width="5.5703125" style="19" customWidth="1"/>
    <col min="8248" max="8251" width="9.140625" style="19"/>
    <col min="8252" max="8253" width="8.7109375" style="19" customWidth="1"/>
    <col min="8254" max="8448" width="9.140625" style="19"/>
    <col min="8449" max="8449" width="1.85546875" style="19" customWidth="1"/>
    <col min="8450" max="8450" width="9.85546875" style="19" customWidth="1"/>
    <col min="8451" max="8451" width="6.7109375" style="19" bestFit="1" customWidth="1"/>
    <col min="8452" max="8452" width="9.42578125" style="19" customWidth="1"/>
    <col min="8453" max="8453" width="10.140625" style="19" customWidth="1"/>
    <col min="8454" max="8454" width="9.28515625" style="19" customWidth="1"/>
    <col min="8455" max="8455" width="6.42578125" style="19" customWidth="1"/>
    <col min="8456" max="8456" width="9.85546875" style="19" customWidth="1"/>
    <col min="8457" max="8457" width="9.5703125" style="19" customWidth="1"/>
    <col min="8458" max="8458" width="8.140625" style="19" customWidth="1"/>
    <col min="8459" max="8459" width="9.140625" style="19" customWidth="1"/>
    <col min="8460" max="8461" width="9.28515625" style="19" customWidth="1"/>
    <col min="8462" max="8463" width="0" style="19" hidden="1" customWidth="1"/>
    <col min="8464" max="8464" width="9.85546875" style="19" customWidth="1"/>
    <col min="8465" max="8476" width="0" style="19" hidden="1" customWidth="1"/>
    <col min="8477" max="8478" width="6.5703125" style="19" customWidth="1"/>
    <col min="8479" max="8482" width="0" style="19" hidden="1" customWidth="1"/>
    <col min="8483" max="8487" width="5.85546875" style="19" customWidth="1"/>
    <col min="8488" max="8488" width="7.7109375" style="19" customWidth="1"/>
    <col min="8489" max="8489" width="9.140625" style="19" bestFit="1" customWidth="1"/>
    <col min="8490" max="8491" width="8.5703125" style="19" bestFit="1" customWidth="1"/>
    <col min="8492" max="8492" width="7.5703125" style="19" customWidth="1"/>
    <col min="8493" max="8495" width="9.28515625" style="19" customWidth="1"/>
    <col min="8496" max="8497" width="7.85546875" style="19" customWidth="1"/>
    <col min="8498" max="8499" width="6.42578125" style="19" customWidth="1"/>
    <col min="8500" max="8500" width="10.7109375" style="19" customWidth="1"/>
    <col min="8501" max="8501" width="40.7109375" style="19" customWidth="1"/>
    <col min="8502" max="8502" width="5" style="19" customWidth="1"/>
    <col min="8503" max="8503" width="5.5703125" style="19" customWidth="1"/>
    <col min="8504" max="8507" width="9.140625" style="19"/>
    <col min="8508" max="8509" width="8.7109375" style="19" customWidth="1"/>
    <col min="8510" max="8704" width="9.140625" style="19"/>
    <col min="8705" max="8705" width="1.85546875" style="19" customWidth="1"/>
    <col min="8706" max="8706" width="9.85546875" style="19" customWidth="1"/>
    <col min="8707" max="8707" width="6.7109375" style="19" bestFit="1" customWidth="1"/>
    <col min="8708" max="8708" width="9.42578125" style="19" customWidth="1"/>
    <col min="8709" max="8709" width="10.140625" style="19" customWidth="1"/>
    <col min="8710" max="8710" width="9.28515625" style="19" customWidth="1"/>
    <col min="8711" max="8711" width="6.42578125" style="19" customWidth="1"/>
    <col min="8712" max="8712" width="9.85546875" style="19" customWidth="1"/>
    <col min="8713" max="8713" width="9.5703125" style="19" customWidth="1"/>
    <col min="8714" max="8714" width="8.140625" style="19" customWidth="1"/>
    <col min="8715" max="8715" width="9.140625" style="19" customWidth="1"/>
    <col min="8716" max="8717" width="9.28515625" style="19" customWidth="1"/>
    <col min="8718" max="8719" width="0" style="19" hidden="1" customWidth="1"/>
    <col min="8720" max="8720" width="9.85546875" style="19" customWidth="1"/>
    <col min="8721" max="8732" width="0" style="19" hidden="1" customWidth="1"/>
    <col min="8733" max="8734" width="6.5703125" style="19" customWidth="1"/>
    <col min="8735" max="8738" width="0" style="19" hidden="1" customWidth="1"/>
    <col min="8739" max="8743" width="5.85546875" style="19" customWidth="1"/>
    <col min="8744" max="8744" width="7.7109375" style="19" customWidth="1"/>
    <col min="8745" max="8745" width="9.140625" style="19" bestFit="1" customWidth="1"/>
    <col min="8746" max="8747" width="8.5703125" style="19" bestFit="1" customWidth="1"/>
    <col min="8748" max="8748" width="7.5703125" style="19" customWidth="1"/>
    <col min="8749" max="8751" width="9.28515625" style="19" customWidth="1"/>
    <col min="8752" max="8753" width="7.85546875" style="19" customWidth="1"/>
    <col min="8754" max="8755" width="6.42578125" style="19" customWidth="1"/>
    <col min="8756" max="8756" width="10.7109375" style="19" customWidth="1"/>
    <col min="8757" max="8757" width="40.7109375" style="19" customWidth="1"/>
    <col min="8758" max="8758" width="5" style="19" customWidth="1"/>
    <col min="8759" max="8759" width="5.5703125" style="19" customWidth="1"/>
    <col min="8760" max="8763" width="9.140625" style="19"/>
    <col min="8764" max="8765" width="8.7109375" style="19" customWidth="1"/>
    <col min="8766" max="8960" width="9.140625" style="19"/>
    <col min="8961" max="8961" width="1.85546875" style="19" customWidth="1"/>
    <col min="8962" max="8962" width="9.85546875" style="19" customWidth="1"/>
    <col min="8963" max="8963" width="6.7109375" style="19" bestFit="1" customWidth="1"/>
    <col min="8964" max="8964" width="9.42578125" style="19" customWidth="1"/>
    <col min="8965" max="8965" width="10.140625" style="19" customWidth="1"/>
    <col min="8966" max="8966" width="9.28515625" style="19" customWidth="1"/>
    <col min="8967" max="8967" width="6.42578125" style="19" customWidth="1"/>
    <col min="8968" max="8968" width="9.85546875" style="19" customWidth="1"/>
    <col min="8969" max="8969" width="9.5703125" style="19" customWidth="1"/>
    <col min="8970" max="8970" width="8.140625" style="19" customWidth="1"/>
    <col min="8971" max="8971" width="9.140625" style="19" customWidth="1"/>
    <col min="8972" max="8973" width="9.28515625" style="19" customWidth="1"/>
    <col min="8974" max="8975" width="0" style="19" hidden="1" customWidth="1"/>
    <col min="8976" max="8976" width="9.85546875" style="19" customWidth="1"/>
    <col min="8977" max="8988" width="0" style="19" hidden="1" customWidth="1"/>
    <col min="8989" max="8990" width="6.5703125" style="19" customWidth="1"/>
    <col min="8991" max="8994" width="0" style="19" hidden="1" customWidth="1"/>
    <col min="8995" max="8999" width="5.85546875" style="19" customWidth="1"/>
    <col min="9000" max="9000" width="7.7109375" style="19" customWidth="1"/>
    <col min="9001" max="9001" width="9.140625" style="19" bestFit="1" customWidth="1"/>
    <col min="9002" max="9003" width="8.5703125" style="19" bestFit="1" customWidth="1"/>
    <col min="9004" max="9004" width="7.5703125" style="19" customWidth="1"/>
    <col min="9005" max="9007" width="9.28515625" style="19" customWidth="1"/>
    <col min="9008" max="9009" width="7.85546875" style="19" customWidth="1"/>
    <col min="9010" max="9011" width="6.42578125" style="19" customWidth="1"/>
    <col min="9012" max="9012" width="10.7109375" style="19" customWidth="1"/>
    <col min="9013" max="9013" width="40.7109375" style="19" customWidth="1"/>
    <col min="9014" max="9014" width="5" style="19" customWidth="1"/>
    <col min="9015" max="9015" width="5.5703125" style="19" customWidth="1"/>
    <col min="9016" max="9019" width="9.140625" style="19"/>
    <col min="9020" max="9021" width="8.7109375" style="19" customWidth="1"/>
    <col min="9022" max="9216" width="9.140625" style="19"/>
    <col min="9217" max="9217" width="1.85546875" style="19" customWidth="1"/>
    <col min="9218" max="9218" width="9.85546875" style="19" customWidth="1"/>
    <col min="9219" max="9219" width="6.7109375" style="19" bestFit="1" customWidth="1"/>
    <col min="9220" max="9220" width="9.42578125" style="19" customWidth="1"/>
    <col min="9221" max="9221" width="10.140625" style="19" customWidth="1"/>
    <col min="9222" max="9222" width="9.28515625" style="19" customWidth="1"/>
    <col min="9223" max="9223" width="6.42578125" style="19" customWidth="1"/>
    <col min="9224" max="9224" width="9.85546875" style="19" customWidth="1"/>
    <col min="9225" max="9225" width="9.5703125" style="19" customWidth="1"/>
    <col min="9226" max="9226" width="8.140625" style="19" customWidth="1"/>
    <col min="9227" max="9227" width="9.140625" style="19" customWidth="1"/>
    <col min="9228" max="9229" width="9.28515625" style="19" customWidth="1"/>
    <col min="9230" max="9231" width="0" style="19" hidden="1" customWidth="1"/>
    <col min="9232" max="9232" width="9.85546875" style="19" customWidth="1"/>
    <col min="9233" max="9244" width="0" style="19" hidden="1" customWidth="1"/>
    <col min="9245" max="9246" width="6.5703125" style="19" customWidth="1"/>
    <col min="9247" max="9250" width="0" style="19" hidden="1" customWidth="1"/>
    <col min="9251" max="9255" width="5.85546875" style="19" customWidth="1"/>
    <col min="9256" max="9256" width="7.7109375" style="19" customWidth="1"/>
    <col min="9257" max="9257" width="9.140625" style="19" bestFit="1" customWidth="1"/>
    <col min="9258" max="9259" width="8.5703125" style="19" bestFit="1" customWidth="1"/>
    <col min="9260" max="9260" width="7.5703125" style="19" customWidth="1"/>
    <col min="9261" max="9263" width="9.28515625" style="19" customWidth="1"/>
    <col min="9264" max="9265" width="7.85546875" style="19" customWidth="1"/>
    <col min="9266" max="9267" width="6.42578125" style="19" customWidth="1"/>
    <col min="9268" max="9268" width="10.7109375" style="19" customWidth="1"/>
    <col min="9269" max="9269" width="40.7109375" style="19" customWidth="1"/>
    <col min="9270" max="9270" width="5" style="19" customWidth="1"/>
    <col min="9271" max="9271" width="5.5703125" style="19" customWidth="1"/>
    <col min="9272" max="9275" width="9.140625" style="19"/>
    <col min="9276" max="9277" width="8.7109375" style="19" customWidth="1"/>
    <col min="9278" max="9472" width="9.140625" style="19"/>
    <col min="9473" max="9473" width="1.85546875" style="19" customWidth="1"/>
    <col min="9474" max="9474" width="9.85546875" style="19" customWidth="1"/>
    <col min="9475" max="9475" width="6.7109375" style="19" bestFit="1" customWidth="1"/>
    <col min="9476" max="9476" width="9.42578125" style="19" customWidth="1"/>
    <col min="9477" max="9477" width="10.140625" style="19" customWidth="1"/>
    <col min="9478" max="9478" width="9.28515625" style="19" customWidth="1"/>
    <col min="9479" max="9479" width="6.42578125" style="19" customWidth="1"/>
    <col min="9480" max="9480" width="9.85546875" style="19" customWidth="1"/>
    <col min="9481" max="9481" width="9.5703125" style="19" customWidth="1"/>
    <col min="9482" max="9482" width="8.140625" style="19" customWidth="1"/>
    <col min="9483" max="9483" width="9.140625" style="19" customWidth="1"/>
    <col min="9484" max="9485" width="9.28515625" style="19" customWidth="1"/>
    <col min="9486" max="9487" width="0" style="19" hidden="1" customWidth="1"/>
    <col min="9488" max="9488" width="9.85546875" style="19" customWidth="1"/>
    <col min="9489" max="9500" width="0" style="19" hidden="1" customWidth="1"/>
    <col min="9501" max="9502" width="6.5703125" style="19" customWidth="1"/>
    <col min="9503" max="9506" width="0" style="19" hidden="1" customWidth="1"/>
    <col min="9507" max="9511" width="5.85546875" style="19" customWidth="1"/>
    <col min="9512" max="9512" width="7.7109375" style="19" customWidth="1"/>
    <col min="9513" max="9513" width="9.140625" style="19" bestFit="1" customWidth="1"/>
    <col min="9514" max="9515" width="8.5703125" style="19" bestFit="1" customWidth="1"/>
    <col min="9516" max="9516" width="7.5703125" style="19" customWidth="1"/>
    <col min="9517" max="9519" width="9.28515625" style="19" customWidth="1"/>
    <col min="9520" max="9521" width="7.85546875" style="19" customWidth="1"/>
    <col min="9522" max="9523" width="6.42578125" style="19" customWidth="1"/>
    <col min="9524" max="9524" width="10.7109375" style="19" customWidth="1"/>
    <col min="9525" max="9525" width="40.7109375" style="19" customWidth="1"/>
    <col min="9526" max="9526" width="5" style="19" customWidth="1"/>
    <col min="9527" max="9527" width="5.5703125" style="19" customWidth="1"/>
    <col min="9528" max="9531" width="9.140625" style="19"/>
    <col min="9532" max="9533" width="8.7109375" style="19" customWidth="1"/>
    <col min="9534" max="9728" width="9.140625" style="19"/>
    <col min="9729" max="9729" width="1.85546875" style="19" customWidth="1"/>
    <col min="9730" max="9730" width="9.85546875" style="19" customWidth="1"/>
    <col min="9731" max="9731" width="6.7109375" style="19" bestFit="1" customWidth="1"/>
    <col min="9732" max="9732" width="9.42578125" style="19" customWidth="1"/>
    <col min="9733" max="9733" width="10.140625" style="19" customWidth="1"/>
    <col min="9734" max="9734" width="9.28515625" style="19" customWidth="1"/>
    <col min="9735" max="9735" width="6.42578125" style="19" customWidth="1"/>
    <col min="9736" max="9736" width="9.85546875" style="19" customWidth="1"/>
    <col min="9737" max="9737" width="9.5703125" style="19" customWidth="1"/>
    <col min="9738" max="9738" width="8.140625" style="19" customWidth="1"/>
    <col min="9739" max="9739" width="9.140625" style="19" customWidth="1"/>
    <col min="9740" max="9741" width="9.28515625" style="19" customWidth="1"/>
    <col min="9742" max="9743" width="0" style="19" hidden="1" customWidth="1"/>
    <col min="9744" max="9744" width="9.85546875" style="19" customWidth="1"/>
    <col min="9745" max="9756" width="0" style="19" hidden="1" customWidth="1"/>
    <col min="9757" max="9758" width="6.5703125" style="19" customWidth="1"/>
    <col min="9759" max="9762" width="0" style="19" hidden="1" customWidth="1"/>
    <col min="9763" max="9767" width="5.85546875" style="19" customWidth="1"/>
    <col min="9768" max="9768" width="7.7109375" style="19" customWidth="1"/>
    <col min="9769" max="9769" width="9.140625" style="19" bestFit="1" customWidth="1"/>
    <col min="9770" max="9771" width="8.5703125" style="19" bestFit="1" customWidth="1"/>
    <col min="9772" max="9772" width="7.5703125" style="19" customWidth="1"/>
    <col min="9773" max="9775" width="9.28515625" style="19" customWidth="1"/>
    <col min="9776" max="9777" width="7.85546875" style="19" customWidth="1"/>
    <col min="9778" max="9779" width="6.42578125" style="19" customWidth="1"/>
    <col min="9780" max="9780" width="10.7109375" style="19" customWidth="1"/>
    <col min="9781" max="9781" width="40.7109375" style="19" customWidth="1"/>
    <col min="9782" max="9782" width="5" style="19" customWidth="1"/>
    <col min="9783" max="9783" width="5.5703125" style="19" customWidth="1"/>
    <col min="9784" max="9787" width="9.140625" style="19"/>
    <col min="9788" max="9789" width="8.7109375" style="19" customWidth="1"/>
    <col min="9790" max="9984" width="9.140625" style="19"/>
    <col min="9985" max="9985" width="1.85546875" style="19" customWidth="1"/>
    <col min="9986" max="9986" width="9.85546875" style="19" customWidth="1"/>
    <col min="9987" max="9987" width="6.7109375" style="19" bestFit="1" customWidth="1"/>
    <col min="9988" max="9988" width="9.42578125" style="19" customWidth="1"/>
    <col min="9989" max="9989" width="10.140625" style="19" customWidth="1"/>
    <col min="9990" max="9990" width="9.28515625" style="19" customWidth="1"/>
    <col min="9991" max="9991" width="6.42578125" style="19" customWidth="1"/>
    <col min="9992" max="9992" width="9.85546875" style="19" customWidth="1"/>
    <col min="9993" max="9993" width="9.5703125" style="19" customWidth="1"/>
    <col min="9994" max="9994" width="8.140625" style="19" customWidth="1"/>
    <col min="9995" max="9995" width="9.140625" style="19" customWidth="1"/>
    <col min="9996" max="9997" width="9.28515625" style="19" customWidth="1"/>
    <col min="9998" max="9999" width="0" style="19" hidden="1" customWidth="1"/>
    <col min="10000" max="10000" width="9.85546875" style="19" customWidth="1"/>
    <col min="10001" max="10012" width="0" style="19" hidden="1" customWidth="1"/>
    <col min="10013" max="10014" width="6.5703125" style="19" customWidth="1"/>
    <col min="10015" max="10018" width="0" style="19" hidden="1" customWidth="1"/>
    <col min="10019" max="10023" width="5.85546875" style="19" customWidth="1"/>
    <col min="10024" max="10024" width="7.7109375" style="19" customWidth="1"/>
    <col min="10025" max="10025" width="9.140625" style="19" bestFit="1" customWidth="1"/>
    <col min="10026" max="10027" width="8.5703125" style="19" bestFit="1" customWidth="1"/>
    <col min="10028" max="10028" width="7.5703125" style="19" customWidth="1"/>
    <col min="10029" max="10031" width="9.28515625" style="19" customWidth="1"/>
    <col min="10032" max="10033" width="7.85546875" style="19" customWidth="1"/>
    <col min="10034" max="10035" width="6.42578125" style="19" customWidth="1"/>
    <col min="10036" max="10036" width="10.7109375" style="19" customWidth="1"/>
    <col min="10037" max="10037" width="40.7109375" style="19" customWidth="1"/>
    <col min="10038" max="10038" width="5" style="19" customWidth="1"/>
    <col min="10039" max="10039" width="5.5703125" style="19" customWidth="1"/>
    <col min="10040" max="10043" width="9.140625" style="19"/>
    <col min="10044" max="10045" width="8.7109375" style="19" customWidth="1"/>
    <col min="10046" max="10240" width="9.140625" style="19"/>
    <col min="10241" max="10241" width="1.85546875" style="19" customWidth="1"/>
    <col min="10242" max="10242" width="9.85546875" style="19" customWidth="1"/>
    <col min="10243" max="10243" width="6.7109375" style="19" bestFit="1" customWidth="1"/>
    <col min="10244" max="10244" width="9.42578125" style="19" customWidth="1"/>
    <col min="10245" max="10245" width="10.140625" style="19" customWidth="1"/>
    <col min="10246" max="10246" width="9.28515625" style="19" customWidth="1"/>
    <col min="10247" max="10247" width="6.42578125" style="19" customWidth="1"/>
    <col min="10248" max="10248" width="9.85546875" style="19" customWidth="1"/>
    <col min="10249" max="10249" width="9.5703125" style="19" customWidth="1"/>
    <col min="10250" max="10250" width="8.140625" style="19" customWidth="1"/>
    <col min="10251" max="10251" width="9.140625" style="19" customWidth="1"/>
    <col min="10252" max="10253" width="9.28515625" style="19" customWidth="1"/>
    <col min="10254" max="10255" width="0" style="19" hidden="1" customWidth="1"/>
    <col min="10256" max="10256" width="9.85546875" style="19" customWidth="1"/>
    <col min="10257" max="10268" width="0" style="19" hidden="1" customWidth="1"/>
    <col min="10269" max="10270" width="6.5703125" style="19" customWidth="1"/>
    <col min="10271" max="10274" width="0" style="19" hidden="1" customWidth="1"/>
    <col min="10275" max="10279" width="5.85546875" style="19" customWidth="1"/>
    <col min="10280" max="10280" width="7.7109375" style="19" customWidth="1"/>
    <col min="10281" max="10281" width="9.140625" style="19" bestFit="1" customWidth="1"/>
    <col min="10282" max="10283" width="8.5703125" style="19" bestFit="1" customWidth="1"/>
    <col min="10284" max="10284" width="7.5703125" style="19" customWidth="1"/>
    <col min="10285" max="10287" width="9.28515625" style="19" customWidth="1"/>
    <col min="10288" max="10289" width="7.85546875" style="19" customWidth="1"/>
    <col min="10290" max="10291" width="6.42578125" style="19" customWidth="1"/>
    <col min="10292" max="10292" width="10.7109375" style="19" customWidth="1"/>
    <col min="10293" max="10293" width="40.7109375" style="19" customWidth="1"/>
    <col min="10294" max="10294" width="5" style="19" customWidth="1"/>
    <col min="10295" max="10295" width="5.5703125" style="19" customWidth="1"/>
    <col min="10296" max="10299" width="9.140625" style="19"/>
    <col min="10300" max="10301" width="8.7109375" style="19" customWidth="1"/>
    <col min="10302" max="10496" width="9.140625" style="19"/>
    <col min="10497" max="10497" width="1.85546875" style="19" customWidth="1"/>
    <col min="10498" max="10498" width="9.85546875" style="19" customWidth="1"/>
    <col min="10499" max="10499" width="6.7109375" style="19" bestFit="1" customWidth="1"/>
    <col min="10500" max="10500" width="9.42578125" style="19" customWidth="1"/>
    <col min="10501" max="10501" width="10.140625" style="19" customWidth="1"/>
    <col min="10502" max="10502" width="9.28515625" style="19" customWidth="1"/>
    <col min="10503" max="10503" width="6.42578125" style="19" customWidth="1"/>
    <col min="10504" max="10504" width="9.85546875" style="19" customWidth="1"/>
    <col min="10505" max="10505" width="9.5703125" style="19" customWidth="1"/>
    <col min="10506" max="10506" width="8.140625" style="19" customWidth="1"/>
    <col min="10507" max="10507" width="9.140625" style="19" customWidth="1"/>
    <col min="10508" max="10509" width="9.28515625" style="19" customWidth="1"/>
    <col min="10510" max="10511" width="0" style="19" hidden="1" customWidth="1"/>
    <col min="10512" max="10512" width="9.85546875" style="19" customWidth="1"/>
    <col min="10513" max="10524" width="0" style="19" hidden="1" customWidth="1"/>
    <col min="10525" max="10526" width="6.5703125" style="19" customWidth="1"/>
    <col min="10527" max="10530" width="0" style="19" hidden="1" customWidth="1"/>
    <col min="10531" max="10535" width="5.85546875" style="19" customWidth="1"/>
    <col min="10536" max="10536" width="7.7109375" style="19" customWidth="1"/>
    <col min="10537" max="10537" width="9.140625" style="19" bestFit="1" customWidth="1"/>
    <col min="10538" max="10539" width="8.5703125" style="19" bestFit="1" customWidth="1"/>
    <col min="10540" max="10540" width="7.5703125" style="19" customWidth="1"/>
    <col min="10541" max="10543" width="9.28515625" style="19" customWidth="1"/>
    <col min="10544" max="10545" width="7.85546875" style="19" customWidth="1"/>
    <col min="10546" max="10547" width="6.42578125" style="19" customWidth="1"/>
    <col min="10548" max="10548" width="10.7109375" style="19" customWidth="1"/>
    <col min="10549" max="10549" width="40.7109375" style="19" customWidth="1"/>
    <col min="10550" max="10550" width="5" style="19" customWidth="1"/>
    <col min="10551" max="10551" width="5.5703125" style="19" customWidth="1"/>
    <col min="10552" max="10555" width="9.140625" style="19"/>
    <col min="10556" max="10557" width="8.7109375" style="19" customWidth="1"/>
    <col min="10558" max="10752" width="9.140625" style="19"/>
    <col min="10753" max="10753" width="1.85546875" style="19" customWidth="1"/>
    <col min="10754" max="10754" width="9.85546875" style="19" customWidth="1"/>
    <col min="10755" max="10755" width="6.7109375" style="19" bestFit="1" customWidth="1"/>
    <col min="10756" max="10756" width="9.42578125" style="19" customWidth="1"/>
    <col min="10757" max="10757" width="10.140625" style="19" customWidth="1"/>
    <col min="10758" max="10758" width="9.28515625" style="19" customWidth="1"/>
    <col min="10759" max="10759" width="6.42578125" style="19" customWidth="1"/>
    <col min="10760" max="10760" width="9.85546875" style="19" customWidth="1"/>
    <col min="10761" max="10761" width="9.5703125" style="19" customWidth="1"/>
    <col min="10762" max="10762" width="8.140625" style="19" customWidth="1"/>
    <col min="10763" max="10763" width="9.140625" style="19" customWidth="1"/>
    <col min="10764" max="10765" width="9.28515625" style="19" customWidth="1"/>
    <col min="10766" max="10767" width="0" style="19" hidden="1" customWidth="1"/>
    <col min="10768" max="10768" width="9.85546875" style="19" customWidth="1"/>
    <col min="10769" max="10780" width="0" style="19" hidden="1" customWidth="1"/>
    <col min="10781" max="10782" width="6.5703125" style="19" customWidth="1"/>
    <col min="10783" max="10786" width="0" style="19" hidden="1" customWidth="1"/>
    <col min="10787" max="10791" width="5.85546875" style="19" customWidth="1"/>
    <col min="10792" max="10792" width="7.7109375" style="19" customWidth="1"/>
    <col min="10793" max="10793" width="9.140625" style="19" bestFit="1" customWidth="1"/>
    <col min="10794" max="10795" width="8.5703125" style="19" bestFit="1" customWidth="1"/>
    <col min="10796" max="10796" width="7.5703125" style="19" customWidth="1"/>
    <col min="10797" max="10799" width="9.28515625" style="19" customWidth="1"/>
    <col min="10800" max="10801" width="7.85546875" style="19" customWidth="1"/>
    <col min="10802" max="10803" width="6.42578125" style="19" customWidth="1"/>
    <col min="10804" max="10804" width="10.7109375" style="19" customWidth="1"/>
    <col min="10805" max="10805" width="40.7109375" style="19" customWidth="1"/>
    <col min="10806" max="10806" width="5" style="19" customWidth="1"/>
    <col min="10807" max="10807" width="5.5703125" style="19" customWidth="1"/>
    <col min="10808" max="10811" width="9.140625" style="19"/>
    <col min="10812" max="10813" width="8.7109375" style="19" customWidth="1"/>
    <col min="10814" max="11008" width="9.140625" style="19"/>
    <col min="11009" max="11009" width="1.85546875" style="19" customWidth="1"/>
    <col min="11010" max="11010" width="9.85546875" style="19" customWidth="1"/>
    <col min="11011" max="11011" width="6.7109375" style="19" bestFit="1" customWidth="1"/>
    <col min="11012" max="11012" width="9.42578125" style="19" customWidth="1"/>
    <col min="11013" max="11013" width="10.140625" style="19" customWidth="1"/>
    <col min="11014" max="11014" width="9.28515625" style="19" customWidth="1"/>
    <col min="11015" max="11015" width="6.42578125" style="19" customWidth="1"/>
    <col min="11016" max="11016" width="9.85546875" style="19" customWidth="1"/>
    <col min="11017" max="11017" width="9.5703125" style="19" customWidth="1"/>
    <col min="11018" max="11018" width="8.140625" style="19" customWidth="1"/>
    <col min="11019" max="11019" width="9.140625" style="19" customWidth="1"/>
    <col min="11020" max="11021" width="9.28515625" style="19" customWidth="1"/>
    <col min="11022" max="11023" width="0" style="19" hidden="1" customWidth="1"/>
    <col min="11024" max="11024" width="9.85546875" style="19" customWidth="1"/>
    <col min="11025" max="11036" width="0" style="19" hidden="1" customWidth="1"/>
    <col min="11037" max="11038" width="6.5703125" style="19" customWidth="1"/>
    <col min="11039" max="11042" width="0" style="19" hidden="1" customWidth="1"/>
    <col min="11043" max="11047" width="5.85546875" style="19" customWidth="1"/>
    <col min="11048" max="11048" width="7.7109375" style="19" customWidth="1"/>
    <col min="11049" max="11049" width="9.140625" style="19" bestFit="1" customWidth="1"/>
    <col min="11050" max="11051" width="8.5703125" style="19" bestFit="1" customWidth="1"/>
    <col min="11052" max="11052" width="7.5703125" style="19" customWidth="1"/>
    <col min="11053" max="11055" width="9.28515625" style="19" customWidth="1"/>
    <col min="11056" max="11057" width="7.85546875" style="19" customWidth="1"/>
    <col min="11058" max="11059" width="6.42578125" style="19" customWidth="1"/>
    <col min="11060" max="11060" width="10.7109375" style="19" customWidth="1"/>
    <col min="11061" max="11061" width="40.7109375" style="19" customWidth="1"/>
    <col min="11062" max="11062" width="5" style="19" customWidth="1"/>
    <col min="11063" max="11063" width="5.5703125" style="19" customWidth="1"/>
    <col min="11064" max="11067" width="9.140625" style="19"/>
    <col min="11068" max="11069" width="8.7109375" style="19" customWidth="1"/>
    <col min="11070" max="11264" width="9.140625" style="19"/>
    <col min="11265" max="11265" width="1.85546875" style="19" customWidth="1"/>
    <col min="11266" max="11266" width="9.85546875" style="19" customWidth="1"/>
    <col min="11267" max="11267" width="6.7109375" style="19" bestFit="1" customWidth="1"/>
    <col min="11268" max="11268" width="9.42578125" style="19" customWidth="1"/>
    <col min="11269" max="11269" width="10.140625" style="19" customWidth="1"/>
    <col min="11270" max="11270" width="9.28515625" style="19" customWidth="1"/>
    <col min="11271" max="11271" width="6.42578125" style="19" customWidth="1"/>
    <col min="11272" max="11272" width="9.85546875" style="19" customWidth="1"/>
    <col min="11273" max="11273" width="9.5703125" style="19" customWidth="1"/>
    <col min="11274" max="11274" width="8.140625" style="19" customWidth="1"/>
    <col min="11275" max="11275" width="9.140625" style="19" customWidth="1"/>
    <col min="11276" max="11277" width="9.28515625" style="19" customWidth="1"/>
    <col min="11278" max="11279" width="0" style="19" hidden="1" customWidth="1"/>
    <col min="11280" max="11280" width="9.85546875" style="19" customWidth="1"/>
    <col min="11281" max="11292" width="0" style="19" hidden="1" customWidth="1"/>
    <col min="11293" max="11294" width="6.5703125" style="19" customWidth="1"/>
    <col min="11295" max="11298" width="0" style="19" hidden="1" customWidth="1"/>
    <col min="11299" max="11303" width="5.85546875" style="19" customWidth="1"/>
    <col min="11304" max="11304" width="7.7109375" style="19" customWidth="1"/>
    <col min="11305" max="11305" width="9.140625" style="19" bestFit="1" customWidth="1"/>
    <col min="11306" max="11307" width="8.5703125" style="19" bestFit="1" customWidth="1"/>
    <col min="11308" max="11308" width="7.5703125" style="19" customWidth="1"/>
    <col min="11309" max="11311" width="9.28515625" style="19" customWidth="1"/>
    <col min="11312" max="11313" width="7.85546875" style="19" customWidth="1"/>
    <col min="11314" max="11315" width="6.42578125" style="19" customWidth="1"/>
    <col min="11316" max="11316" width="10.7109375" style="19" customWidth="1"/>
    <col min="11317" max="11317" width="40.7109375" style="19" customWidth="1"/>
    <col min="11318" max="11318" width="5" style="19" customWidth="1"/>
    <col min="11319" max="11319" width="5.5703125" style="19" customWidth="1"/>
    <col min="11320" max="11323" width="9.140625" style="19"/>
    <col min="11324" max="11325" width="8.7109375" style="19" customWidth="1"/>
    <col min="11326" max="11520" width="9.140625" style="19"/>
    <col min="11521" max="11521" width="1.85546875" style="19" customWidth="1"/>
    <col min="11522" max="11522" width="9.85546875" style="19" customWidth="1"/>
    <col min="11523" max="11523" width="6.7109375" style="19" bestFit="1" customWidth="1"/>
    <col min="11524" max="11524" width="9.42578125" style="19" customWidth="1"/>
    <col min="11525" max="11525" width="10.140625" style="19" customWidth="1"/>
    <col min="11526" max="11526" width="9.28515625" style="19" customWidth="1"/>
    <col min="11527" max="11527" width="6.42578125" style="19" customWidth="1"/>
    <col min="11528" max="11528" width="9.85546875" style="19" customWidth="1"/>
    <col min="11529" max="11529" width="9.5703125" style="19" customWidth="1"/>
    <col min="11530" max="11530" width="8.140625" style="19" customWidth="1"/>
    <col min="11531" max="11531" width="9.140625" style="19" customWidth="1"/>
    <col min="11532" max="11533" width="9.28515625" style="19" customWidth="1"/>
    <col min="11534" max="11535" width="0" style="19" hidden="1" customWidth="1"/>
    <col min="11536" max="11536" width="9.85546875" style="19" customWidth="1"/>
    <col min="11537" max="11548" width="0" style="19" hidden="1" customWidth="1"/>
    <col min="11549" max="11550" width="6.5703125" style="19" customWidth="1"/>
    <col min="11551" max="11554" width="0" style="19" hidden="1" customWidth="1"/>
    <col min="11555" max="11559" width="5.85546875" style="19" customWidth="1"/>
    <col min="11560" max="11560" width="7.7109375" style="19" customWidth="1"/>
    <col min="11561" max="11561" width="9.140625" style="19" bestFit="1" customWidth="1"/>
    <col min="11562" max="11563" width="8.5703125" style="19" bestFit="1" customWidth="1"/>
    <col min="11564" max="11564" width="7.5703125" style="19" customWidth="1"/>
    <col min="11565" max="11567" width="9.28515625" style="19" customWidth="1"/>
    <col min="11568" max="11569" width="7.85546875" style="19" customWidth="1"/>
    <col min="11570" max="11571" width="6.42578125" style="19" customWidth="1"/>
    <col min="11572" max="11572" width="10.7109375" style="19" customWidth="1"/>
    <col min="11573" max="11573" width="40.7109375" style="19" customWidth="1"/>
    <col min="11574" max="11574" width="5" style="19" customWidth="1"/>
    <col min="11575" max="11575" width="5.5703125" style="19" customWidth="1"/>
    <col min="11576" max="11579" width="9.140625" style="19"/>
    <col min="11580" max="11581" width="8.7109375" style="19" customWidth="1"/>
    <col min="11582" max="11776" width="9.140625" style="19"/>
    <col min="11777" max="11777" width="1.85546875" style="19" customWidth="1"/>
    <col min="11778" max="11778" width="9.85546875" style="19" customWidth="1"/>
    <col min="11779" max="11779" width="6.7109375" style="19" bestFit="1" customWidth="1"/>
    <col min="11780" max="11780" width="9.42578125" style="19" customWidth="1"/>
    <col min="11781" max="11781" width="10.140625" style="19" customWidth="1"/>
    <col min="11782" max="11782" width="9.28515625" style="19" customWidth="1"/>
    <col min="11783" max="11783" width="6.42578125" style="19" customWidth="1"/>
    <col min="11784" max="11784" width="9.85546875" style="19" customWidth="1"/>
    <col min="11785" max="11785" width="9.5703125" style="19" customWidth="1"/>
    <col min="11786" max="11786" width="8.140625" style="19" customWidth="1"/>
    <col min="11787" max="11787" width="9.140625" style="19" customWidth="1"/>
    <col min="11788" max="11789" width="9.28515625" style="19" customWidth="1"/>
    <col min="11790" max="11791" width="0" style="19" hidden="1" customWidth="1"/>
    <col min="11792" max="11792" width="9.85546875" style="19" customWidth="1"/>
    <col min="11793" max="11804" width="0" style="19" hidden="1" customWidth="1"/>
    <col min="11805" max="11806" width="6.5703125" style="19" customWidth="1"/>
    <col min="11807" max="11810" width="0" style="19" hidden="1" customWidth="1"/>
    <col min="11811" max="11815" width="5.85546875" style="19" customWidth="1"/>
    <col min="11816" max="11816" width="7.7109375" style="19" customWidth="1"/>
    <col min="11817" max="11817" width="9.140625" style="19" bestFit="1" customWidth="1"/>
    <col min="11818" max="11819" width="8.5703125" style="19" bestFit="1" customWidth="1"/>
    <col min="11820" max="11820" width="7.5703125" style="19" customWidth="1"/>
    <col min="11821" max="11823" width="9.28515625" style="19" customWidth="1"/>
    <col min="11824" max="11825" width="7.85546875" style="19" customWidth="1"/>
    <col min="11826" max="11827" width="6.42578125" style="19" customWidth="1"/>
    <col min="11828" max="11828" width="10.7109375" style="19" customWidth="1"/>
    <col min="11829" max="11829" width="40.7109375" style="19" customWidth="1"/>
    <col min="11830" max="11830" width="5" style="19" customWidth="1"/>
    <col min="11831" max="11831" width="5.5703125" style="19" customWidth="1"/>
    <col min="11832" max="11835" width="9.140625" style="19"/>
    <col min="11836" max="11837" width="8.7109375" style="19" customWidth="1"/>
    <col min="11838" max="12032" width="9.140625" style="19"/>
    <col min="12033" max="12033" width="1.85546875" style="19" customWidth="1"/>
    <col min="12034" max="12034" width="9.85546875" style="19" customWidth="1"/>
    <col min="12035" max="12035" width="6.7109375" style="19" bestFit="1" customWidth="1"/>
    <col min="12036" max="12036" width="9.42578125" style="19" customWidth="1"/>
    <col min="12037" max="12037" width="10.140625" style="19" customWidth="1"/>
    <col min="12038" max="12038" width="9.28515625" style="19" customWidth="1"/>
    <col min="12039" max="12039" width="6.42578125" style="19" customWidth="1"/>
    <col min="12040" max="12040" width="9.85546875" style="19" customWidth="1"/>
    <col min="12041" max="12041" width="9.5703125" style="19" customWidth="1"/>
    <col min="12042" max="12042" width="8.140625" style="19" customWidth="1"/>
    <col min="12043" max="12043" width="9.140625" style="19" customWidth="1"/>
    <col min="12044" max="12045" width="9.28515625" style="19" customWidth="1"/>
    <col min="12046" max="12047" width="0" style="19" hidden="1" customWidth="1"/>
    <col min="12048" max="12048" width="9.85546875" style="19" customWidth="1"/>
    <col min="12049" max="12060" width="0" style="19" hidden="1" customWidth="1"/>
    <col min="12061" max="12062" width="6.5703125" style="19" customWidth="1"/>
    <col min="12063" max="12066" width="0" style="19" hidden="1" customWidth="1"/>
    <col min="12067" max="12071" width="5.85546875" style="19" customWidth="1"/>
    <col min="12072" max="12072" width="7.7109375" style="19" customWidth="1"/>
    <col min="12073" max="12073" width="9.140625" style="19" bestFit="1" customWidth="1"/>
    <col min="12074" max="12075" width="8.5703125" style="19" bestFit="1" customWidth="1"/>
    <col min="12076" max="12076" width="7.5703125" style="19" customWidth="1"/>
    <col min="12077" max="12079" width="9.28515625" style="19" customWidth="1"/>
    <col min="12080" max="12081" width="7.85546875" style="19" customWidth="1"/>
    <col min="12082" max="12083" width="6.42578125" style="19" customWidth="1"/>
    <col min="12084" max="12084" width="10.7109375" style="19" customWidth="1"/>
    <col min="12085" max="12085" width="40.7109375" style="19" customWidth="1"/>
    <col min="12086" max="12086" width="5" style="19" customWidth="1"/>
    <col min="12087" max="12087" width="5.5703125" style="19" customWidth="1"/>
    <col min="12088" max="12091" width="9.140625" style="19"/>
    <col min="12092" max="12093" width="8.7109375" style="19" customWidth="1"/>
    <col min="12094" max="12288" width="9.140625" style="19"/>
    <col min="12289" max="12289" width="1.85546875" style="19" customWidth="1"/>
    <col min="12290" max="12290" width="9.85546875" style="19" customWidth="1"/>
    <col min="12291" max="12291" width="6.7109375" style="19" bestFit="1" customWidth="1"/>
    <col min="12292" max="12292" width="9.42578125" style="19" customWidth="1"/>
    <col min="12293" max="12293" width="10.140625" style="19" customWidth="1"/>
    <col min="12294" max="12294" width="9.28515625" style="19" customWidth="1"/>
    <col min="12295" max="12295" width="6.42578125" style="19" customWidth="1"/>
    <col min="12296" max="12296" width="9.85546875" style="19" customWidth="1"/>
    <col min="12297" max="12297" width="9.5703125" style="19" customWidth="1"/>
    <col min="12298" max="12298" width="8.140625" style="19" customWidth="1"/>
    <col min="12299" max="12299" width="9.140625" style="19" customWidth="1"/>
    <col min="12300" max="12301" width="9.28515625" style="19" customWidth="1"/>
    <col min="12302" max="12303" width="0" style="19" hidden="1" customWidth="1"/>
    <col min="12304" max="12304" width="9.85546875" style="19" customWidth="1"/>
    <col min="12305" max="12316" width="0" style="19" hidden="1" customWidth="1"/>
    <col min="12317" max="12318" width="6.5703125" style="19" customWidth="1"/>
    <col min="12319" max="12322" width="0" style="19" hidden="1" customWidth="1"/>
    <col min="12323" max="12327" width="5.85546875" style="19" customWidth="1"/>
    <col min="12328" max="12328" width="7.7109375" style="19" customWidth="1"/>
    <col min="12329" max="12329" width="9.140625" style="19" bestFit="1" customWidth="1"/>
    <col min="12330" max="12331" width="8.5703125" style="19" bestFit="1" customWidth="1"/>
    <col min="12332" max="12332" width="7.5703125" style="19" customWidth="1"/>
    <col min="12333" max="12335" width="9.28515625" style="19" customWidth="1"/>
    <col min="12336" max="12337" width="7.85546875" style="19" customWidth="1"/>
    <col min="12338" max="12339" width="6.42578125" style="19" customWidth="1"/>
    <col min="12340" max="12340" width="10.7109375" style="19" customWidth="1"/>
    <col min="12341" max="12341" width="40.7109375" style="19" customWidth="1"/>
    <col min="12342" max="12342" width="5" style="19" customWidth="1"/>
    <col min="12343" max="12343" width="5.5703125" style="19" customWidth="1"/>
    <col min="12344" max="12347" width="9.140625" style="19"/>
    <col min="12348" max="12349" width="8.7109375" style="19" customWidth="1"/>
    <col min="12350" max="12544" width="9.140625" style="19"/>
    <col min="12545" max="12545" width="1.85546875" style="19" customWidth="1"/>
    <col min="12546" max="12546" width="9.85546875" style="19" customWidth="1"/>
    <col min="12547" max="12547" width="6.7109375" style="19" bestFit="1" customWidth="1"/>
    <col min="12548" max="12548" width="9.42578125" style="19" customWidth="1"/>
    <col min="12549" max="12549" width="10.140625" style="19" customWidth="1"/>
    <col min="12550" max="12550" width="9.28515625" style="19" customWidth="1"/>
    <col min="12551" max="12551" width="6.42578125" style="19" customWidth="1"/>
    <col min="12552" max="12552" width="9.85546875" style="19" customWidth="1"/>
    <col min="12553" max="12553" width="9.5703125" style="19" customWidth="1"/>
    <col min="12554" max="12554" width="8.140625" style="19" customWidth="1"/>
    <col min="12555" max="12555" width="9.140625" style="19" customWidth="1"/>
    <col min="12556" max="12557" width="9.28515625" style="19" customWidth="1"/>
    <col min="12558" max="12559" width="0" style="19" hidden="1" customWidth="1"/>
    <col min="12560" max="12560" width="9.85546875" style="19" customWidth="1"/>
    <col min="12561" max="12572" width="0" style="19" hidden="1" customWidth="1"/>
    <col min="12573" max="12574" width="6.5703125" style="19" customWidth="1"/>
    <col min="12575" max="12578" width="0" style="19" hidden="1" customWidth="1"/>
    <col min="12579" max="12583" width="5.85546875" style="19" customWidth="1"/>
    <col min="12584" max="12584" width="7.7109375" style="19" customWidth="1"/>
    <col min="12585" max="12585" width="9.140625" style="19" bestFit="1" customWidth="1"/>
    <col min="12586" max="12587" width="8.5703125" style="19" bestFit="1" customWidth="1"/>
    <col min="12588" max="12588" width="7.5703125" style="19" customWidth="1"/>
    <col min="12589" max="12591" width="9.28515625" style="19" customWidth="1"/>
    <col min="12592" max="12593" width="7.85546875" style="19" customWidth="1"/>
    <col min="12594" max="12595" width="6.42578125" style="19" customWidth="1"/>
    <col min="12596" max="12596" width="10.7109375" style="19" customWidth="1"/>
    <col min="12597" max="12597" width="40.7109375" style="19" customWidth="1"/>
    <col min="12598" max="12598" width="5" style="19" customWidth="1"/>
    <col min="12599" max="12599" width="5.5703125" style="19" customWidth="1"/>
    <col min="12600" max="12603" width="9.140625" style="19"/>
    <col min="12604" max="12605" width="8.7109375" style="19" customWidth="1"/>
    <col min="12606" max="12800" width="9.140625" style="19"/>
    <col min="12801" max="12801" width="1.85546875" style="19" customWidth="1"/>
    <col min="12802" max="12802" width="9.85546875" style="19" customWidth="1"/>
    <col min="12803" max="12803" width="6.7109375" style="19" bestFit="1" customWidth="1"/>
    <col min="12804" max="12804" width="9.42578125" style="19" customWidth="1"/>
    <col min="12805" max="12805" width="10.140625" style="19" customWidth="1"/>
    <col min="12806" max="12806" width="9.28515625" style="19" customWidth="1"/>
    <col min="12807" max="12807" width="6.42578125" style="19" customWidth="1"/>
    <col min="12808" max="12808" width="9.85546875" style="19" customWidth="1"/>
    <col min="12809" max="12809" width="9.5703125" style="19" customWidth="1"/>
    <col min="12810" max="12810" width="8.140625" style="19" customWidth="1"/>
    <col min="12811" max="12811" width="9.140625" style="19" customWidth="1"/>
    <col min="12812" max="12813" width="9.28515625" style="19" customWidth="1"/>
    <col min="12814" max="12815" width="0" style="19" hidden="1" customWidth="1"/>
    <col min="12816" max="12816" width="9.85546875" style="19" customWidth="1"/>
    <col min="12817" max="12828" width="0" style="19" hidden="1" customWidth="1"/>
    <col min="12829" max="12830" width="6.5703125" style="19" customWidth="1"/>
    <col min="12831" max="12834" width="0" style="19" hidden="1" customWidth="1"/>
    <col min="12835" max="12839" width="5.85546875" style="19" customWidth="1"/>
    <col min="12840" max="12840" width="7.7109375" style="19" customWidth="1"/>
    <col min="12841" max="12841" width="9.140625" style="19" bestFit="1" customWidth="1"/>
    <col min="12842" max="12843" width="8.5703125" style="19" bestFit="1" customWidth="1"/>
    <col min="12844" max="12844" width="7.5703125" style="19" customWidth="1"/>
    <col min="12845" max="12847" width="9.28515625" style="19" customWidth="1"/>
    <col min="12848" max="12849" width="7.85546875" style="19" customWidth="1"/>
    <col min="12850" max="12851" width="6.42578125" style="19" customWidth="1"/>
    <col min="12852" max="12852" width="10.7109375" style="19" customWidth="1"/>
    <col min="12853" max="12853" width="40.7109375" style="19" customWidth="1"/>
    <col min="12854" max="12854" width="5" style="19" customWidth="1"/>
    <col min="12855" max="12855" width="5.5703125" style="19" customWidth="1"/>
    <col min="12856" max="12859" width="9.140625" style="19"/>
    <col min="12860" max="12861" width="8.7109375" style="19" customWidth="1"/>
    <col min="12862" max="13056" width="9.140625" style="19"/>
    <col min="13057" max="13057" width="1.85546875" style="19" customWidth="1"/>
    <col min="13058" max="13058" width="9.85546875" style="19" customWidth="1"/>
    <col min="13059" max="13059" width="6.7109375" style="19" bestFit="1" customWidth="1"/>
    <col min="13060" max="13060" width="9.42578125" style="19" customWidth="1"/>
    <col min="13061" max="13061" width="10.140625" style="19" customWidth="1"/>
    <col min="13062" max="13062" width="9.28515625" style="19" customWidth="1"/>
    <col min="13063" max="13063" width="6.42578125" style="19" customWidth="1"/>
    <col min="13064" max="13064" width="9.85546875" style="19" customWidth="1"/>
    <col min="13065" max="13065" width="9.5703125" style="19" customWidth="1"/>
    <col min="13066" max="13066" width="8.140625" style="19" customWidth="1"/>
    <col min="13067" max="13067" width="9.140625" style="19" customWidth="1"/>
    <col min="13068" max="13069" width="9.28515625" style="19" customWidth="1"/>
    <col min="13070" max="13071" width="0" style="19" hidden="1" customWidth="1"/>
    <col min="13072" max="13072" width="9.85546875" style="19" customWidth="1"/>
    <col min="13073" max="13084" width="0" style="19" hidden="1" customWidth="1"/>
    <col min="13085" max="13086" width="6.5703125" style="19" customWidth="1"/>
    <col min="13087" max="13090" width="0" style="19" hidden="1" customWidth="1"/>
    <col min="13091" max="13095" width="5.85546875" style="19" customWidth="1"/>
    <col min="13096" max="13096" width="7.7109375" style="19" customWidth="1"/>
    <col min="13097" max="13097" width="9.140625" style="19" bestFit="1" customWidth="1"/>
    <col min="13098" max="13099" width="8.5703125" style="19" bestFit="1" customWidth="1"/>
    <col min="13100" max="13100" width="7.5703125" style="19" customWidth="1"/>
    <col min="13101" max="13103" width="9.28515625" style="19" customWidth="1"/>
    <col min="13104" max="13105" width="7.85546875" style="19" customWidth="1"/>
    <col min="13106" max="13107" width="6.42578125" style="19" customWidth="1"/>
    <col min="13108" max="13108" width="10.7109375" style="19" customWidth="1"/>
    <col min="13109" max="13109" width="40.7109375" style="19" customWidth="1"/>
    <col min="13110" max="13110" width="5" style="19" customWidth="1"/>
    <col min="13111" max="13111" width="5.5703125" style="19" customWidth="1"/>
    <col min="13112" max="13115" width="9.140625" style="19"/>
    <col min="13116" max="13117" width="8.7109375" style="19" customWidth="1"/>
    <col min="13118" max="13312" width="9.140625" style="19"/>
    <col min="13313" max="13313" width="1.85546875" style="19" customWidth="1"/>
    <col min="13314" max="13314" width="9.85546875" style="19" customWidth="1"/>
    <col min="13315" max="13315" width="6.7109375" style="19" bestFit="1" customWidth="1"/>
    <col min="13316" max="13316" width="9.42578125" style="19" customWidth="1"/>
    <col min="13317" max="13317" width="10.140625" style="19" customWidth="1"/>
    <col min="13318" max="13318" width="9.28515625" style="19" customWidth="1"/>
    <col min="13319" max="13319" width="6.42578125" style="19" customWidth="1"/>
    <col min="13320" max="13320" width="9.85546875" style="19" customWidth="1"/>
    <col min="13321" max="13321" width="9.5703125" style="19" customWidth="1"/>
    <col min="13322" max="13322" width="8.140625" style="19" customWidth="1"/>
    <col min="13323" max="13323" width="9.140625" style="19" customWidth="1"/>
    <col min="13324" max="13325" width="9.28515625" style="19" customWidth="1"/>
    <col min="13326" max="13327" width="0" style="19" hidden="1" customWidth="1"/>
    <col min="13328" max="13328" width="9.85546875" style="19" customWidth="1"/>
    <col min="13329" max="13340" width="0" style="19" hidden="1" customWidth="1"/>
    <col min="13341" max="13342" width="6.5703125" style="19" customWidth="1"/>
    <col min="13343" max="13346" width="0" style="19" hidden="1" customWidth="1"/>
    <col min="13347" max="13351" width="5.85546875" style="19" customWidth="1"/>
    <col min="13352" max="13352" width="7.7109375" style="19" customWidth="1"/>
    <col min="13353" max="13353" width="9.140625" style="19" bestFit="1" customWidth="1"/>
    <col min="13354" max="13355" width="8.5703125" style="19" bestFit="1" customWidth="1"/>
    <col min="13356" max="13356" width="7.5703125" style="19" customWidth="1"/>
    <col min="13357" max="13359" width="9.28515625" style="19" customWidth="1"/>
    <col min="13360" max="13361" width="7.85546875" style="19" customWidth="1"/>
    <col min="13362" max="13363" width="6.42578125" style="19" customWidth="1"/>
    <col min="13364" max="13364" width="10.7109375" style="19" customWidth="1"/>
    <col min="13365" max="13365" width="40.7109375" style="19" customWidth="1"/>
    <col min="13366" max="13366" width="5" style="19" customWidth="1"/>
    <col min="13367" max="13367" width="5.5703125" style="19" customWidth="1"/>
    <col min="13368" max="13371" width="9.140625" style="19"/>
    <col min="13372" max="13373" width="8.7109375" style="19" customWidth="1"/>
    <col min="13374" max="13568" width="9.140625" style="19"/>
    <col min="13569" max="13569" width="1.85546875" style="19" customWidth="1"/>
    <col min="13570" max="13570" width="9.85546875" style="19" customWidth="1"/>
    <col min="13571" max="13571" width="6.7109375" style="19" bestFit="1" customWidth="1"/>
    <col min="13572" max="13572" width="9.42578125" style="19" customWidth="1"/>
    <col min="13573" max="13573" width="10.140625" style="19" customWidth="1"/>
    <col min="13574" max="13574" width="9.28515625" style="19" customWidth="1"/>
    <col min="13575" max="13575" width="6.42578125" style="19" customWidth="1"/>
    <col min="13576" max="13576" width="9.85546875" style="19" customWidth="1"/>
    <col min="13577" max="13577" width="9.5703125" style="19" customWidth="1"/>
    <col min="13578" max="13578" width="8.140625" style="19" customWidth="1"/>
    <col min="13579" max="13579" width="9.140625" style="19" customWidth="1"/>
    <col min="13580" max="13581" width="9.28515625" style="19" customWidth="1"/>
    <col min="13582" max="13583" width="0" style="19" hidden="1" customWidth="1"/>
    <col min="13584" max="13584" width="9.85546875" style="19" customWidth="1"/>
    <col min="13585" max="13596" width="0" style="19" hidden="1" customWidth="1"/>
    <col min="13597" max="13598" width="6.5703125" style="19" customWidth="1"/>
    <col min="13599" max="13602" width="0" style="19" hidden="1" customWidth="1"/>
    <col min="13603" max="13607" width="5.85546875" style="19" customWidth="1"/>
    <col min="13608" max="13608" width="7.7109375" style="19" customWidth="1"/>
    <col min="13609" max="13609" width="9.140625" style="19" bestFit="1" customWidth="1"/>
    <col min="13610" max="13611" width="8.5703125" style="19" bestFit="1" customWidth="1"/>
    <col min="13612" max="13612" width="7.5703125" style="19" customWidth="1"/>
    <col min="13613" max="13615" width="9.28515625" style="19" customWidth="1"/>
    <col min="13616" max="13617" width="7.85546875" style="19" customWidth="1"/>
    <col min="13618" max="13619" width="6.42578125" style="19" customWidth="1"/>
    <col min="13620" max="13620" width="10.7109375" style="19" customWidth="1"/>
    <col min="13621" max="13621" width="40.7109375" style="19" customWidth="1"/>
    <col min="13622" max="13622" width="5" style="19" customWidth="1"/>
    <col min="13623" max="13623" width="5.5703125" style="19" customWidth="1"/>
    <col min="13624" max="13627" width="9.140625" style="19"/>
    <col min="13628" max="13629" width="8.7109375" style="19" customWidth="1"/>
    <col min="13630" max="13824" width="9.140625" style="19"/>
    <col min="13825" max="13825" width="1.85546875" style="19" customWidth="1"/>
    <col min="13826" max="13826" width="9.85546875" style="19" customWidth="1"/>
    <col min="13827" max="13827" width="6.7109375" style="19" bestFit="1" customWidth="1"/>
    <col min="13828" max="13828" width="9.42578125" style="19" customWidth="1"/>
    <col min="13829" max="13829" width="10.140625" style="19" customWidth="1"/>
    <col min="13830" max="13830" width="9.28515625" style="19" customWidth="1"/>
    <col min="13831" max="13831" width="6.42578125" style="19" customWidth="1"/>
    <col min="13832" max="13832" width="9.85546875" style="19" customWidth="1"/>
    <col min="13833" max="13833" width="9.5703125" style="19" customWidth="1"/>
    <col min="13834" max="13834" width="8.140625" style="19" customWidth="1"/>
    <col min="13835" max="13835" width="9.140625" style="19" customWidth="1"/>
    <col min="13836" max="13837" width="9.28515625" style="19" customWidth="1"/>
    <col min="13838" max="13839" width="0" style="19" hidden="1" customWidth="1"/>
    <col min="13840" max="13840" width="9.85546875" style="19" customWidth="1"/>
    <col min="13841" max="13852" width="0" style="19" hidden="1" customWidth="1"/>
    <col min="13853" max="13854" width="6.5703125" style="19" customWidth="1"/>
    <col min="13855" max="13858" width="0" style="19" hidden="1" customWidth="1"/>
    <col min="13859" max="13863" width="5.85546875" style="19" customWidth="1"/>
    <col min="13864" max="13864" width="7.7109375" style="19" customWidth="1"/>
    <col min="13865" max="13865" width="9.140625" style="19" bestFit="1" customWidth="1"/>
    <col min="13866" max="13867" width="8.5703125" style="19" bestFit="1" customWidth="1"/>
    <col min="13868" max="13868" width="7.5703125" style="19" customWidth="1"/>
    <col min="13869" max="13871" width="9.28515625" style="19" customWidth="1"/>
    <col min="13872" max="13873" width="7.85546875" style="19" customWidth="1"/>
    <col min="13874" max="13875" width="6.42578125" style="19" customWidth="1"/>
    <col min="13876" max="13876" width="10.7109375" style="19" customWidth="1"/>
    <col min="13877" max="13877" width="40.7109375" style="19" customWidth="1"/>
    <col min="13878" max="13878" width="5" style="19" customWidth="1"/>
    <col min="13879" max="13879" width="5.5703125" style="19" customWidth="1"/>
    <col min="13880" max="13883" width="9.140625" style="19"/>
    <col min="13884" max="13885" width="8.7109375" style="19" customWidth="1"/>
    <col min="13886" max="14080" width="9.140625" style="19"/>
    <col min="14081" max="14081" width="1.85546875" style="19" customWidth="1"/>
    <col min="14082" max="14082" width="9.85546875" style="19" customWidth="1"/>
    <col min="14083" max="14083" width="6.7109375" style="19" bestFit="1" customWidth="1"/>
    <col min="14084" max="14084" width="9.42578125" style="19" customWidth="1"/>
    <col min="14085" max="14085" width="10.140625" style="19" customWidth="1"/>
    <col min="14086" max="14086" width="9.28515625" style="19" customWidth="1"/>
    <col min="14087" max="14087" width="6.42578125" style="19" customWidth="1"/>
    <col min="14088" max="14088" width="9.85546875" style="19" customWidth="1"/>
    <col min="14089" max="14089" width="9.5703125" style="19" customWidth="1"/>
    <col min="14090" max="14090" width="8.140625" style="19" customWidth="1"/>
    <col min="14091" max="14091" width="9.140625" style="19" customWidth="1"/>
    <col min="14092" max="14093" width="9.28515625" style="19" customWidth="1"/>
    <col min="14094" max="14095" width="0" style="19" hidden="1" customWidth="1"/>
    <col min="14096" max="14096" width="9.85546875" style="19" customWidth="1"/>
    <col min="14097" max="14108" width="0" style="19" hidden="1" customWidth="1"/>
    <col min="14109" max="14110" width="6.5703125" style="19" customWidth="1"/>
    <col min="14111" max="14114" width="0" style="19" hidden="1" customWidth="1"/>
    <col min="14115" max="14119" width="5.85546875" style="19" customWidth="1"/>
    <col min="14120" max="14120" width="7.7109375" style="19" customWidth="1"/>
    <col min="14121" max="14121" width="9.140625" style="19" bestFit="1" customWidth="1"/>
    <col min="14122" max="14123" width="8.5703125" style="19" bestFit="1" customWidth="1"/>
    <col min="14124" max="14124" width="7.5703125" style="19" customWidth="1"/>
    <col min="14125" max="14127" width="9.28515625" style="19" customWidth="1"/>
    <col min="14128" max="14129" width="7.85546875" style="19" customWidth="1"/>
    <col min="14130" max="14131" width="6.42578125" style="19" customWidth="1"/>
    <col min="14132" max="14132" width="10.7109375" style="19" customWidth="1"/>
    <col min="14133" max="14133" width="40.7109375" style="19" customWidth="1"/>
    <col min="14134" max="14134" width="5" style="19" customWidth="1"/>
    <col min="14135" max="14135" width="5.5703125" style="19" customWidth="1"/>
    <col min="14136" max="14139" width="9.140625" style="19"/>
    <col min="14140" max="14141" width="8.7109375" style="19" customWidth="1"/>
    <col min="14142" max="14336" width="9.140625" style="19"/>
    <col min="14337" max="14337" width="1.85546875" style="19" customWidth="1"/>
    <col min="14338" max="14338" width="9.85546875" style="19" customWidth="1"/>
    <col min="14339" max="14339" width="6.7109375" style="19" bestFit="1" customWidth="1"/>
    <col min="14340" max="14340" width="9.42578125" style="19" customWidth="1"/>
    <col min="14341" max="14341" width="10.140625" style="19" customWidth="1"/>
    <col min="14342" max="14342" width="9.28515625" style="19" customWidth="1"/>
    <col min="14343" max="14343" width="6.42578125" style="19" customWidth="1"/>
    <col min="14344" max="14344" width="9.85546875" style="19" customWidth="1"/>
    <col min="14345" max="14345" width="9.5703125" style="19" customWidth="1"/>
    <col min="14346" max="14346" width="8.140625" style="19" customWidth="1"/>
    <col min="14347" max="14347" width="9.140625" style="19" customWidth="1"/>
    <col min="14348" max="14349" width="9.28515625" style="19" customWidth="1"/>
    <col min="14350" max="14351" width="0" style="19" hidden="1" customWidth="1"/>
    <col min="14352" max="14352" width="9.85546875" style="19" customWidth="1"/>
    <col min="14353" max="14364" width="0" style="19" hidden="1" customWidth="1"/>
    <col min="14365" max="14366" width="6.5703125" style="19" customWidth="1"/>
    <col min="14367" max="14370" width="0" style="19" hidden="1" customWidth="1"/>
    <col min="14371" max="14375" width="5.85546875" style="19" customWidth="1"/>
    <col min="14376" max="14376" width="7.7109375" style="19" customWidth="1"/>
    <col min="14377" max="14377" width="9.140625" style="19" bestFit="1" customWidth="1"/>
    <col min="14378" max="14379" width="8.5703125" style="19" bestFit="1" customWidth="1"/>
    <col min="14380" max="14380" width="7.5703125" style="19" customWidth="1"/>
    <col min="14381" max="14383" width="9.28515625" style="19" customWidth="1"/>
    <col min="14384" max="14385" width="7.85546875" style="19" customWidth="1"/>
    <col min="14386" max="14387" width="6.42578125" style="19" customWidth="1"/>
    <col min="14388" max="14388" width="10.7109375" style="19" customWidth="1"/>
    <col min="14389" max="14389" width="40.7109375" style="19" customWidth="1"/>
    <col min="14390" max="14390" width="5" style="19" customWidth="1"/>
    <col min="14391" max="14391" width="5.5703125" style="19" customWidth="1"/>
    <col min="14392" max="14395" width="9.140625" style="19"/>
    <col min="14396" max="14397" width="8.7109375" style="19" customWidth="1"/>
    <col min="14398" max="14592" width="9.140625" style="19"/>
    <col min="14593" max="14593" width="1.85546875" style="19" customWidth="1"/>
    <col min="14594" max="14594" width="9.85546875" style="19" customWidth="1"/>
    <col min="14595" max="14595" width="6.7109375" style="19" bestFit="1" customWidth="1"/>
    <col min="14596" max="14596" width="9.42578125" style="19" customWidth="1"/>
    <col min="14597" max="14597" width="10.140625" style="19" customWidth="1"/>
    <col min="14598" max="14598" width="9.28515625" style="19" customWidth="1"/>
    <col min="14599" max="14599" width="6.42578125" style="19" customWidth="1"/>
    <col min="14600" max="14600" width="9.85546875" style="19" customWidth="1"/>
    <col min="14601" max="14601" width="9.5703125" style="19" customWidth="1"/>
    <col min="14602" max="14602" width="8.140625" style="19" customWidth="1"/>
    <col min="14603" max="14603" width="9.140625" style="19" customWidth="1"/>
    <col min="14604" max="14605" width="9.28515625" style="19" customWidth="1"/>
    <col min="14606" max="14607" width="0" style="19" hidden="1" customWidth="1"/>
    <col min="14608" max="14608" width="9.85546875" style="19" customWidth="1"/>
    <col min="14609" max="14620" width="0" style="19" hidden="1" customWidth="1"/>
    <col min="14621" max="14622" width="6.5703125" style="19" customWidth="1"/>
    <col min="14623" max="14626" width="0" style="19" hidden="1" customWidth="1"/>
    <col min="14627" max="14631" width="5.85546875" style="19" customWidth="1"/>
    <col min="14632" max="14632" width="7.7109375" style="19" customWidth="1"/>
    <col min="14633" max="14633" width="9.140625" style="19" bestFit="1" customWidth="1"/>
    <col min="14634" max="14635" width="8.5703125" style="19" bestFit="1" customWidth="1"/>
    <col min="14636" max="14636" width="7.5703125" style="19" customWidth="1"/>
    <col min="14637" max="14639" width="9.28515625" style="19" customWidth="1"/>
    <col min="14640" max="14641" width="7.85546875" style="19" customWidth="1"/>
    <col min="14642" max="14643" width="6.42578125" style="19" customWidth="1"/>
    <col min="14644" max="14644" width="10.7109375" style="19" customWidth="1"/>
    <col min="14645" max="14645" width="40.7109375" style="19" customWidth="1"/>
    <col min="14646" max="14646" width="5" style="19" customWidth="1"/>
    <col min="14647" max="14647" width="5.5703125" style="19" customWidth="1"/>
    <col min="14648" max="14651" width="9.140625" style="19"/>
    <col min="14652" max="14653" width="8.7109375" style="19" customWidth="1"/>
    <col min="14654" max="14848" width="9.140625" style="19"/>
    <col min="14849" max="14849" width="1.85546875" style="19" customWidth="1"/>
    <col min="14850" max="14850" width="9.85546875" style="19" customWidth="1"/>
    <col min="14851" max="14851" width="6.7109375" style="19" bestFit="1" customWidth="1"/>
    <col min="14852" max="14852" width="9.42578125" style="19" customWidth="1"/>
    <col min="14853" max="14853" width="10.140625" style="19" customWidth="1"/>
    <col min="14854" max="14854" width="9.28515625" style="19" customWidth="1"/>
    <col min="14855" max="14855" width="6.42578125" style="19" customWidth="1"/>
    <col min="14856" max="14856" width="9.85546875" style="19" customWidth="1"/>
    <col min="14857" max="14857" width="9.5703125" style="19" customWidth="1"/>
    <col min="14858" max="14858" width="8.140625" style="19" customWidth="1"/>
    <col min="14859" max="14859" width="9.140625" style="19" customWidth="1"/>
    <col min="14860" max="14861" width="9.28515625" style="19" customWidth="1"/>
    <col min="14862" max="14863" width="0" style="19" hidden="1" customWidth="1"/>
    <col min="14864" max="14864" width="9.85546875" style="19" customWidth="1"/>
    <col min="14865" max="14876" width="0" style="19" hidden="1" customWidth="1"/>
    <col min="14877" max="14878" width="6.5703125" style="19" customWidth="1"/>
    <col min="14879" max="14882" width="0" style="19" hidden="1" customWidth="1"/>
    <col min="14883" max="14887" width="5.85546875" style="19" customWidth="1"/>
    <col min="14888" max="14888" width="7.7109375" style="19" customWidth="1"/>
    <col min="14889" max="14889" width="9.140625" style="19" bestFit="1" customWidth="1"/>
    <col min="14890" max="14891" width="8.5703125" style="19" bestFit="1" customWidth="1"/>
    <col min="14892" max="14892" width="7.5703125" style="19" customWidth="1"/>
    <col min="14893" max="14895" width="9.28515625" style="19" customWidth="1"/>
    <col min="14896" max="14897" width="7.85546875" style="19" customWidth="1"/>
    <col min="14898" max="14899" width="6.42578125" style="19" customWidth="1"/>
    <col min="14900" max="14900" width="10.7109375" style="19" customWidth="1"/>
    <col min="14901" max="14901" width="40.7109375" style="19" customWidth="1"/>
    <col min="14902" max="14902" width="5" style="19" customWidth="1"/>
    <col min="14903" max="14903" width="5.5703125" style="19" customWidth="1"/>
    <col min="14904" max="14907" width="9.140625" style="19"/>
    <col min="14908" max="14909" width="8.7109375" style="19" customWidth="1"/>
    <col min="14910" max="15104" width="9.140625" style="19"/>
    <col min="15105" max="15105" width="1.85546875" style="19" customWidth="1"/>
    <col min="15106" max="15106" width="9.85546875" style="19" customWidth="1"/>
    <col min="15107" max="15107" width="6.7109375" style="19" bestFit="1" customWidth="1"/>
    <col min="15108" max="15108" width="9.42578125" style="19" customWidth="1"/>
    <col min="15109" max="15109" width="10.140625" style="19" customWidth="1"/>
    <col min="15110" max="15110" width="9.28515625" style="19" customWidth="1"/>
    <col min="15111" max="15111" width="6.42578125" style="19" customWidth="1"/>
    <col min="15112" max="15112" width="9.85546875" style="19" customWidth="1"/>
    <col min="15113" max="15113" width="9.5703125" style="19" customWidth="1"/>
    <col min="15114" max="15114" width="8.140625" style="19" customWidth="1"/>
    <col min="15115" max="15115" width="9.140625" style="19" customWidth="1"/>
    <col min="15116" max="15117" width="9.28515625" style="19" customWidth="1"/>
    <col min="15118" max="15119" width="0" style="19" hidden="1" customWidth="1"/>
    <col min="15120" max="15120" width="9.85546875" style="19" customWidth="1"/>
    <col min="15121" max="15132" width="0" style="19" hidden="1" customWidth="1"/>
    <col min="15133" max="15134" width="6.5703125" style="19" customWidth="1"/>
    <col min="15135" max="15138" width="0" style="19" hidden="1" customWidth="1"/>
    <col min="15139" max="15143" width="5.85546875" style="19" customWidth="1"/>
    <col min="15144" max="15144" width="7.7109375" style="19" customWidth="1"/>
    <col min="15145" max="15145" width="9.140625" style="19" bestFit="1" customWidth="1"/>
    <col min="15146" max="15147" width="8.5703125" style="19" bestFit="1" customWidth="1"/>
    <col min="15148" max="15148" width="7.5703125" style="19" customWidth="1"/>
    <col min="15149" max="15151" width="9.28515625" style="19" customWidth="1"/>
    <col min="15152" max="15153" width="7.85546875" style="19" customWidth="1"/>
    <col min="15154" max="15155" width="6.42578125" style="19" customWidth="1"/>
    <col min="15156" max="15156" width="10.7109375" style="19" customWidth="1"/>
    <col min="15157" max="15157" width="40.7109375" style="19" customWidth="1"/>
    <col min="15158" max="15158" width="5" style="19" customWidth="1"/>
    <col min="15159" max="15159" width="5.5703125" style="19" customWidth="1"/>
    <col min="15160" max="15163" width="9.140625" style="19"/>
    <col min="15164" max="15165" width="8.7109375" style="19" customWidth="1"/>
    <col min="15166" max="15360" width="9.140625" style="19"/>
    <col min="15361" max="15361" width="1.85546875" style="19" customWidth="1"/>
    <col min="15362" max="15362" width="9.85546875" style="19" customWidth="1"/>
    <col min="15363" max="15363" width="6.7109375" style="19" bestFit="1" customWidth="1"/>
    <col min="15364" max="15364" width="9.42578125" style="19" customWidth="1"/>
    <col min="15365" max="15365" width="10.140625" style="19" customWidth="1"/>
    <col min="15366" max="15366" width="9.28515625" style="19" customWidth="1"/>
    <col min="15367" max="15367" width="6.42578125" style="19" customWidth="1"/>
    <col min="15368" max="15368" width="9.85546875" style="19" customWidth="1"/>
    <col min="15369" max="15369" width="9.5703125" style="19" customWidth="1"/>
    <col min="15370" max="15370" width="8.140625" style="19" customWidth="1"/>
    <col min="15371" max="15371" width="9.140625" style="19" customWidth="1"/>
    <col min="15372" max="15373" width="9.28515625" style="19" customWidth="1"/>
    <col min="15374" max="15375" width="0" style="19" hidden="1" customWidth="1"/>
    <col min="15376" max="15376" width="9.85546875" style="19" customWidth="1"/>
    <col min="15377" max="15388" width="0" style="19" hidden="1" customWidth="1"/>
    <col min="15389" max="15390" width="6.5703125" style="19" customWidth="1"/>
    <col min="15391" max="15394" width="0" style="19" hidden="1" customWidth="1"/>
    <col min="15395" max="15399" width="5.85546875" style="19" customWidth="1"/>
    <col min="15400" max="15400" width="7.7109375" style="19" customWidth="1"/>
    <col min="15401" max="15401" width="9.140625" style="19" bestFit="1" customWidth="1"/>
    <col min="15402" max="15403" width="8.5703125" style="19" bestFit="1" customWidth="1"/>
    <col min="15404" max="15404" width="7.5703125" style="19" customWidth="1"/>
    <col min="15405" max="15407" width="9.28515625" style="19" customWidth="1"/>
    <col min="15408" max="15409" width="7.85546875" style="19" customWidth="1"/>
    <col min="15410" max="15411" width="6.42578125" style="19" customWidth="1"/>
    <col min="15412" max="15412" width="10.7109375" style="19" customWidth="1"/>
    <col min="15413" max="15413" width="40.7109375" style="19" customWidth="1"/>
    <col min="15414" max="15414" width="5" style="19" customWidth="1"/>
    <col min="15415" max="15415" width="5.5703125" style="19" customWidth="1"/>
    <col min="15416" max="15419" width="9.140625" style="19"/>
    <col min="15420" max="15421" width="8.7109375" style="19" customWidth="1"/>
    <col min="15422" max="15616" width="9.140625" style="19"/>
    <col min="15617" max="15617" width="1.85546875" style="19" customWidth="1"/>
    <col min="15618" max="15618" width="9.85546875" style="19" customWidth="1"/>
    <col min="15619" max="15619" width="6.7109375" style="19" bestFit="1" customWidth="1"/>
    <col min="15620" max="15620" width="9.42578125" style="19" customWidth="1"/>
    <col min="15621" max="15621" width="10.140625" style="19" customWidth="1"/>
    <col min="15622" max="15622" width="9.28515625" style="19" customWidth="1"/>
    <col min="15623" max="15623" width="6.42578125" style="19" customWidth="1"/>
    <col min="15624" max="15624" width="9.85546875" style="19" customWidth="1"/>
    <col min="15625" max="15625" width="9.5703125" style="19" customWidth="1"/>
    <col min="15626" max="15626" width="8.140625" style="19" customWidth="1"/>
    <col min="15627" max="15627" width="9.140625" style="19" customWidth="1"/>
    <col min="15628" max="15629" width="9.28515625" style="19" customWidth="1"/>
    <col min="15630" max="15631" width="0" style="19" hidden="1" customWidth="1"/>
    <col min="15632" max="15632" width="9.85546875" style="19" customWidth="1"/>
    <col min="15633" max="15644" width="0" style="19" hidden="1" customWidth="1"/>
    <col min="15645" max="15646" width="6.5703125" style="19" customWidth="1"/>
    <col min="15647" max="15650" width="0" style="19" hidden="1" customWidth="1"/>
    <col min="15651" max="15655" width="5.85546875" style="19" customWidth="1"/>
    <col min="15656" max="15656" width="7.7109375" style="19" customWidth="1"/>
    <col min="15657" max="15657" width="9.140625" style="19" bestFit="1" customWidth="1"/>
    <col min="15658" max="15659" width="8.5703125" style="19" bestFit="1" customWidth="1"/>
    <col min="15660" max="15660" width="7.5703125" style="19" customWidth="1"/>
    <col min="15661" max="15663" width="9.28515625" style="19" customWidth="1"/>
    <col min="15664" max="15665" width="7.85546875" style="19" customWidth="1"/>
    <col min="15666" max="15667" width="6.42578125" style="19" customWidth="1"/>
    <col min="15668" max="15668" width="10.7109375" style="19" customWidth="1"/>
    <col min="15669" max="15669" width="40.7109375" style="19" customWidth="1"/>
    <col min="15670" max="15670" width="5" style="19" customWidth="1"/>
    <col min="15671" max="15671" width="5.5703125" style="19" customWidth="1"/>
    <col min="15672" max="15675" width="9.140625" style="19"/>
    <col min="15676" max="15677" width="8.7109375" style="19" customWidth="1"/>
    <col min="15678" max="15872" width="9.140625" style="19"/>
    <col min="15873" max="15873" width="1.85546875" style="19" customWidth="1"/>
    <col min="15874" max="15874" width="9.85546875" style="19" customWidth="1"/>
    <col min="15875" max="15875" width="6.7109375" style="19" bestFit="1" customWidth="1"/>
    <col min="15876" max="15876" width="9.42578125" style="19" customWidth="1"/>
    <col min="15877" max="15877" width="10.140625" style="19" customWidth="1"/>
    <col min="15878" max="15878" width="9.28515625" style="19" customWidth="1"/>
    <col min="15879" max="15879" width="6.42578125" style="19" customWidth="1"/>
    <col min="15880" max="15880" width="9.85546875" style="19" customWidth="1"/>
    <col min="15881" max="15881" width="9.5703125" style="19" customWidth="1"/>
    <col min="15882" max="15882" width="8.140625" style="19" customWidth="1"/>
    <col min="15883" max="15883" width="9.140625" style="19" customWidth="1"/>
    <col min="15884" max="15885" width="9.28515625" style="19" customWidth="1"/>
    <col min="15886" max="15887" width="0" style="19" hidden="1" customWidth="1"/>
    <col min="15888" max="15888" width="9.85546875" style="19" customWidth="1"/>
    <col min="15889" max="15900" width="0" style="19" hidden="1" customWidth="1"/>
    <col min="15901" max="15902" width="6.5703125" style="19" customWidth="1"/>
    <col min="15903" max="15906" width="0" style="19" hidden="1" customWidth="1"/>
    <col min="15907" max="15911" width="5.85546875" style="19" customWidth="1"/>
    <col min="15912" max="15912" width="7.7109375" style="19" customWidth="1"/>
    <col min="15913" max="15913" width="9.140625" style="19" bestFit="1" customWidth="1"/>
    <col min="15914" max="15915" width="8.5703125" style="19" bestFit="1" customWidth="1"/>
    <col min="15916" max="15916" width="7.5703125" style="19" customWidth="1"/>
    <col min="15917" max="15919" width="9.28515625" style="19" customWidth="1"/>
    <col min="15920" max="15921" width="7.85546875" style="19" customWidth="1"/>
    <col min="15922" max="15923" width="6.42578125" style="19" customWidth="1"/>
    <col min="15924" max="15924" width="10.7109375" style="19" customWidth="1"/>
    <col min="15925" max="15925" width="40.7109375" style="19" customWidth="1"/>
    <col min="15926" max="15926" width="5" style="19" customWidth="1"/>
    <col min="15927" max="15927" width="5.5703125" style="19" customWidth="1"/>
    <col min="15928" max="15931" width="9.140625" style="19"/>
    <col min="15932" max="15933" width="8.7109375" style="19" customWidth="1"/>
    <col min="15934" max="16128" width="9.140625" style="19"/>
    <col min="16129" max="16129" width="1.85546875" style="19" customWidth="1"/>
    <col min="16130" max="16130" width="9.85546875" style="19" customWidth="1"/>
    <col min="16131" max="16131" width="6.7109375" style="19" bestFit="1" customWidth="1"/>
    <col min="16132" max="16132" width="9.42578125" style="19" customWidth="1"/>
    <col min="16133" max="16133" width="10.140625" style="19" customWidth="1"/>
    <col min="16134" max="16134" width="9.28515625" style="19" customWidth="1"/>
    <col min="16135" max="16135" width="6.42578125" style="19" customWidth="1"/>
    <col min="16136" max="16136" width="9.85546875" style="19" customWidth="1"/>
    <col min="16137" max="16137" width="9.5703125" style="19" customWidth="1"/>
    <col min="16138" max="16138" width="8.140625" style="19" customWidth="1"/>
    <col min="16139" max="16139" width="9.140625" style="19" customWidth="1"/>
    <col min="16140" max="16141" width="9.28515625" style="19" customWidth="1"/>
    <col min="16142" max="16143" width="0" style="19" hidden="1" customWidth="1"/>
    <col min="16144" max="16144" width="9.85546875" style="19" customWidth="1"/>
    <col min="16145" max="16156" width="0" style="19" hidden="1" customWidth="1"/>
    <col min="16157" max="16158" width="6.5703125" style="19" customWidth="1"/>
    <col min="16159" max="16162" width="0" style="19" hidden="1" customWidth="1"/>
    <col min="16163" max="16167" width="5.85546875" style="19" customWidth="1"/>
    <col min="16168" max="16168" width="7.7109375" style="19" customWidth="1"/>
    <col min="16169" max="16169" width="9.140625" style="19" bestFit="1" customWidth="1"/>
    <col min="16170" max="16171" width="8.5703125" style="19" bestFit="1" customWidth="1"/>
    <col min="16172" max="16172" width="7.5703125" style="19" customWidth="1"/>
    <col min="16173" max="16175" width="9.28515625" style="19" customWidth="1"/>
    <col min="16176" max="16177" width="7.85546875" style="19" customWidth="1"/>
    <col min="16178" max="16179" width="6.42578125" style="19" customWidth="1"/>
    <col min="16180" max="16180" width="10.7109375" style="19" customWidth="1"/>
    <col min="16181" max="16181" width="40.7109375" style="19" customWidth="1"/>
    <col min="16182" max="16182" width="5" style="19" customWidth="1"/>
    <col min="16183" max="16183" width="5.5703125" style="19" customWidth="1"/>
    <col min="16184" max="16187" width="9.140625" style="19"/>
    <col min="16188" max="16189" width="8.7109375" style="19" customWidth="1"/>
    <col min="16190" max="16384" width="9.140625" style="19"/>
  </cols>
  <sheetData>
    <row r="1" spans="1:61" ht="15">
      <c r="D1" s="221"/>
      <c r="E1" s="139" t="s">
        <v>44</v>
      </c>
      <c r="I1" s="222" t="s">
        <v>45</v>
      </c>
    </row>
    <row r="2" spans="1:61" ht="15">
      <c r="D2" s="223"/>
      <c r="E2" s="139" t="s">
        <v>46</v>
      </c>
      <c r="I2" s="222" t="s">
        <v>47</v>
      </c>
    </row>
    <row r="3" spans="1:61" ht="15">
      <c r="D3" s="224"/>
      <c r="E3" s="139" t="s">
        <v>48</v>
      </c>
      <c r="L3" s="222" t="s">
        <v>49</v>
      </c>
    </row>
    <row r="4" spans="1:61">
      <c r="D4" s="139" t="s">
        <v>50</v>
      </c>
      <c r="E4" s="139" t="s">
        <v>51</v>
      </c>
    </row>
    <row r="5" spans="1:61" ht="15">
      <c r="H5" s="225"/>
      <c r="I5" s="226"/>
      <c r="K5" s="139" t="s">
        <v>177</v>
      </c>
      <c r="L5" s="543">
        <f>'SQ(Team A) Data'!L5:M5</f>
        <v>43952</v>
      </c>
      <c r="M5" s="543"/>
    </row>
    <row r="6" spans="1:61" ht="17.25">
      <c r="C6" s="227"/>
      <c r="F6" s="228" t="s">
        <v>201</v>
      </c>
      <c r="G6" s="229"/>
      <c r="H6" s="228"/>
      <c r="I6" s="228"/>
      <c r="K6" s="396" t="s">
        <v>212</v>
      </c>
      <c r="L6" s="545" t="str">
        <f>TEXT(L5,"mmmm")</f>
        <v>May</v>
      </c>
      <c r="M6" s="545"/>
      <c r="N6" s="228"/>
      <c r="O6" s="228"/>
      <c r="P6" s="231" t="s">
        <v>230</v>
      </c>
      <c r="Q6" s="232"/>
      <c r="R6" s="233"/>
      <c r="S6" s="233"/>
      <c r="T6" s="233"/>
      <c r="U6" s="233"/>
      <c r="V6" s="233"/>
      <c r="W6" s="546" t="s">
        <v>53</v>
      </c>
      <c r="X6" s="547"/>
      <c r="Y6" s="547"/>
      <c r="Z6" s="547"/>
      <c r="AA6" s="547"/>
      <c r="AB6" s="548"/>
      <c r="AC6" s="234"/>
      <c r="AD6" s="235"/>
      <c r="AE6" s="549" t="s">
        <v>54</v>
      </c>
      <c r="AF6" s="549"/>
      <c r="AG6" s="549"/>
      <c r="AH6" s="549"/>
      <c r="AI6" s="549"/>
      <c r="AJ6" s="549"/>
      <c r="AK6" s="549"/>
      <c r="AL6" s="549"/>
      <c r="AM6" s="235"/>
      <c r="AN6" s="236"/>
      <c r="AO6" s="236"/>
      <c r="AP6" s="236"/>
      <c r="AQ6" s="236"/>
      <c r="AR6" s="237"/>
      <c r="AS6" s="551" t="s">
        <v>55</v>
      </c>
      <c r="AT6" s="552"/>
      <c r="AU6" s="553"/>
      <c r="AV6" s="238" t="s">
        <v>56</v>
      </c>
      <c r="AW6" s="239"/>
      <c r="AX6" s="240" t="s">
        <v>57</v>
      </c>
      <c r="AY6" s="241"/>
      <c r="AZ6" s="242"/>
      <c r="BA6" s="243" t="s">
        <v>58</v>
      </c>
      <c r="BC6" s="139" t="s">
        <v>59</v>
      </c>
    </row>
    <row r="7" spans="1:61" s="79" customFormat="1" ht="70.5" customHeight="1">
      <c r="B7" s="251" t="s">
        <v>60</v>
      </c>
      <c r="C7" s="252"/>
      <c r="D7" s="253" t="s">
        <v>61</v>
      </c>
      <c r="E7" s="253" t="s">
        <v>62</v>
      </c>
      <c r="F7" s="253" t="s">
        <v>63</v>
      </c>
      <c r="G7" s="254" t="s">
        <v>64</v>
      </c>
      <c r="H7" s="253" t="s">
        <v>65</v>
      </c>
      <c r="I7" s="253" t="s">
        <v>66</v>
      </c>
      <c r="J7" s="253" t="s">
        <v>67</v>
      </c>
      <c r="K7" s="253" t="s">
        <v>68</v>
      </c>
      <c r="L7" s="253" t="s">
        <v>69</v>
      </c>
      <c r="M7" s="253" t="s">
        <v>70</v>
      </c>
      <c r="N7" s="255" t="s">
        <v>71</v>
      </c>
      <c r="O7" s="255" t="s">
        <v>72</v>
      </c>
      <c r="P7" s="253" t="s">
        <v>73</v>
      </c>
      <c r="Q7" s="253" t="s">
        <v>74</v>
      </c>
      <c r="R7" s="256" t="s">
        <v>75</v>
      </c>
      <c r="S7" s="256" t="s">
        <v>76</v>
      </c>
      <c r="T7" s="256" t="s">
        <v>77</v>
      </c>
      <c r="U7" s="256" t="s">
        <v>78</v>
      </c>
      <c r="V7" s="256" t="s">
        <v>79</v>
      </c>
      <c r="W7" s="256" t="s">
        <v>80</v>
      </c>
      <c r="X7" s="256" t="s">
        <v>81</v>
      </c>
      <c r="Y7" s="253" t="s">
        <v>82</v>
      </c>
      <c r="Z7" s="256" t="s">
        <v>83</v>
      </c>
      <c r="AA7" s="256" t="s">
        <v>84</v>
      </c>
      <c r="AB7" s="257" t="s">
        <v>85</v>
      </c>
      <c r="AC7" s="258" t="s">
        <v>86</v>
      </c>
      <c r="AD7" s="259" t="s">
        <v>87</v>
      </c>
      <c r="AE7" s="260" t="s">
        <v>88</v>
      </c>
      <c r="AF7" s="260" t="s">
        <v>89</v>
      </c>
      <c r="AG7" s="260" t="s">
        <v>90</v>
      </c>
      <c r="AH7" s="260" t="s">
        <v>91</v>
      </c>
      <c r="AI7" s="260" t="s">
        <v>92</v>
      </c>
      <c r="AJ7" s="261" t="s">
        <v>93</v>
      </c>
      <c r="AK7" s="261" t="s">
        <v>94</v>
      </c>
      <c r="AL7" s="262" t="s">
        <v>95</v>
      </c>
      <c r="AM7" s="263" t="s">
        <v>96</v>
      </c>
      <c r="AN7" s="537" t="s">
        <v>97</v>
      </c>
      <c r="AO7" s="559"/>
      <c r="AP7" s="559"/>
      <c r="AQ7" s="559"/>
      <c r="AR7" s="560"/>
      <c r="AS7" s="561" t="s">
        <v>98</v>
      </c>
      <c r="AT7" s="562"/>
      <c r="AU7" s="563"/>
      <c r="AV7" s="207"/>
      <c r="AW7" s="156"/>
      <c r="AX7" s="264" t="s">
        <v>99</v>
      </c>
      <c r="AY7" s="264" t="s">
        <v>100</v>
      </c>
      <c r="AZ7" s="265" t="s">
        <v>101</v>
      </c>
      <c r="BA7" s="266" t="s">
        <v>102</v>
      </c>
      <c r="BC7" s="252"/>
      <c r="BD7" s="253" t="s">
        <v>103</v>
      </c>
      <c r="BE7" s="253" t="s">
        <v>104</v>
      </c>
      <c r="BF7" s="253" t="s">
        <v>105</v>
      </c>
      <c r="BG7" s="253" t="s">
        <v>106</v>
      </c>
      <c r="BH7" s="253" t="s">
        <v>107</v>
      </c>
      <c r="BI7" s="253" t="s">
        <v>70</v>
      </c>
    </row>
    <row r="8" spans="1:61" ht="75" customHeight="1">
      <c r="B8" s="251" t="s">
        <v>108</v>
      </c>
      <c r="C8" s="267"/>
      <c r="D8" s="268" t="s">
        <v>178</v>
      </c>
      <c r="E8" s="268" t="s">
        <v>110</v>
      </c>
      <c r="F8" s="269" t="s">
        <v>111</v>
      </c>
      <c r="G8" s="270" t="s">
        <v>112</v>
      </c>
      <c r="H8" s="269" t="s">
        <v>113</v>
      </c>
      <c r="I8" s="269" t="s">
        <v>114</v>
      </c>
      <c r="J8" s="269" t="s">
        <v>115</v>
      </c>
      <c r="K8" s="269" t="s">
        <v>116</v>
      </c>
      <c r="L8" s="269" t="s">
        <v>69</v>
      </c>
      <c r="M8" s="269" t="s">
        <v>117</v>
      </c>
      <c r="N8" s="270" t="s">
        <v>118</v>
      </c>
      <c r="O8" s="270" t="s">
        <v>119</v>
      </c>
      <c r="P8" s="82" t="s">
        <v>228</v>
      </c>
      <c r="Q8" s="269" t="s">
        <v>120</v>
      </c>
      <c r="R8" s="269" t="s">
        <v>121</v>
      </c>
      <c r="S8" s="271"/>
      <c r="T8" s="271" t="s">
        <v>122</v>
      </c>
      <c r="U8" s="271" t="s">
        <v>123</v>
      </c>
      <c r="V8" s="271" t="s">
        <v>124</v>
      </c>
      <c r="W8" s="272" t="s">
        <v>125</v>
      </c>
      <c r="X8" s="272" t="s">
        <v>126</v>
      </c>
      <c r="Y8" s="272" t="s">
        <v>127</v>
      </c>
      <c r="Z8" s="253" t="s">
        <v>128</v>
      </c>
      <c r="AA8" s="253" t="s">
        <v>129</v>
      </c>
      <c r="AB8" s="272" t="s">
        <v>130</v>
      </c>
      <c r="AC8" s="273" t="s">
        <v>131</v>
      </c>
      <c r="AD8" s="274" t="s">
        <v>132</v>
      </c>
      <c r="AE8" s="275" t="s">
        <v>133</v>
      </c>
      <c r="AF8" s="275" t="s">
        <v>134</v>
      </c>
      <c r="AG8" s="275" t="s">
        <v>135</v>
      </c>
      <c r="AH8" s="275" t="s">
        <v>136</v>
      </c>
      <c r="AI8" s="275" t="s">
        <v>137</v>
      </c>
      <c r="AJ8" s="262" t="s">
        <v>138</v>
      </c>
      <c r="AK8" s="262" t="s">
        <v>139</v>
      </c>
      <c r="AL8" s="262" t="s">
        <v>140</v>
      </c>
      <c r="AM8" s="276" t="s">
        <v>141</v>
      </c>
      <c r="AN8" s="273" t="s">
        <v>142</v>
      </c>
      <c r="AO8" s="274" t="s">
        <v>143</v>
      </c>
      <c r="AP8" s="275" t="s">
        <v>144</v>
      </c>
      <c r="AQ8" s="262" t="s">
        <v>145</v>
      </c>
      <c r="AR8" s="253" t="s">
        <v>146</v>
      </c>
      <c r="AS8" s="253" t="s">
        <v>147</v>
      </c>
      <c r="AT8" s="253" t="s">
        <v>148</v>
      </c>
      <c r="AU8" s="277" t="s">
        <v>149</v>
      </c>
      <c r="AV8" s="277" t="s">
        <v>150</v>
      </c>
      <c r="AW8" s="277" t="s">
        <v>151</v>
      </c>
      <c r="AX8" s="278" t="s">
        <v>152</v>
      </c>
      <c r="AY8" s="278" t="s">
        <v>153</v>
      </c>
      <c r="AZ8" s="279" t="s">
        <v>154</v>
      </c>
      <c r="BA8" s="280" t="s">
        <v>155</v>
      </c>
      <c r="BC8" s="267"/>
      <c r="BD8" s="269" t="s">
        <v>156</v>
      </c>
      <c r="BE8" s="269" t="s">
        <v>157</v>
      </c>
      <c r="BF8" s="269" t="s">
        <v>115</v>
      </c>
      <c r="BG8" s="269" t="s">
        <v>158</v>
      </c>
      <c r="BH8" s="269" t="s">
        <v>159</v>
      </c>
      <c r="BI8" s="269" t="s">
        <v>160</v>
      </c>
    </row>
    <row r="9" spans="1:61" ht="18" customHeight="1">
      <c r="B9" s="302"/>
      <c r="C9" s="303">
        <v>1</v>
      </c>
      <c r="D9" s="281"/>
      <c r="E9" s="282">
        <f>'SQ-1'!N5+'SQ-2'!N5+'SQ-3'!N5+'SQ-4'!N5+'SQ-5'!N5+'SQ-6'!N5+'SQ-7'!N5+'SQ-8'!N5+'SQ-9'!N5</f>
        <v>0</v>
      </c>
      <c r="F9" s="283">
        <f>D9</f>
        <v>0</v>
      </c>
      <c r="G9" s="284" t="str">
        <f>IF(B9="*","0","1")</f>
        <v>1</v>
      </c>
      <c r="H9" s="283">
        <f>E9</f>
        <v>0</v>
      </c>
      <c r="I9" s="283">
        <f t="shared" ref="I9:I38" si="0">IF(E9="","",ROUND(H9/G9,0))</f>
        <v>0</v>
      </c>
      <c r="J9" s="285">
        <f>'SQ-1'!I5+'SQ-2'!I5+'SQ-3'!I5+'SQ-4'!I5+'SQ-5'!I5+'SQ-6'!I5+'SQ-7'!I5+'SQ-8'!I5+'SQ-9'!I5</f>
        <v>0</v>
      </c>
      <c r="K9" s="286">
        <f>J9</f>
        <v>0</v>
      </c>
      <c r="L9" s="283" t="e">
        <f>E9/J9</f>
        <v>#DIV/0!</v>
      </c>
      <c r="M9" s="283" t="e">
        <f>H9/K9</f>
        <v>#DIV/0!</v>
      </c>
      <c r="N9" s="285"/>
      <c r="O9" s="287" t="e">
        <f t="shared" ref="O9:O40" si="1">N9/J9</f>
        <v>#DIV/0!</v>
      </c>
      <c r="P9" s="282">
        <f>'SQ-1'!M5+'SQ-2'!M5+'SQ-3'!M5+'SQ-4'!M5+'SQ-5'!M5+'SQ-6'!M5+'SQ-7'!M5+'SQ-8'!M5+'SQ-9'!M5</f>
        <v>0</v>
      </c>
      <c r="Q9" s="288"/>
      <c r="R9" s="288"/>
      <c r="S9" s="288"/>
      <c r="T9" s="289"/>
      <c r="U9" s="290"/>
      <c r="V9" s="291"/>
      <c r="W9" s="282"/>
      <c r="X9" s="282"/>
      <c r="Y9" s="282"/>
      <c r="Z9" s="282"/>
      <c r="AA9" s="282"/>
      <c r="AB9" s="292"/>
      <c r="AC9" s="293"/>
      <c r="AD9" s="293"/>
      <c r="AE9" s="282"/>
      <c r="AF9" s="282"/>
      <c r="AG9" s="282"/>
      <c r="AH9" s="282"/>
      <c r="AI9" s="282"/>
      <c r="AJ9" s="282"/>
      <c r="AK9" s="282"/>
      <c r="AL9" s="282"/>
      <c r="AM9" s="282"/>
      <c r="AN9" s="292"/>
      <c r="AO9" s="292"/>
      <c r="AP9" s="294"/>
      <c r="AQ9" s="294"/>
      <c r="AR9" s="295"/>
      <c r="AS9" s="288"/>
      <c r="AT9" s="282"/>
      <c r="AU9" s="296"/>
      <c r="AV9" s="282"/>
      <c r="AW9" s="282"/>
      <c r="AX9" s="297"/>
      <c r="AY9" s="298"/>
      <c r="AZ9" s="299"/>
      <c r="BA9" s="300"/>
      <c r="BB9" s="301"/>
      <c r="BC9" s="284">
        <v>1</v>
      </c>
      <c r="BD9" s="282">
        <f>E9</f>
        <v>0</v>
      </c>
      <c r="BE9" s="283">
        <f>BD9</f>
        <v>0</v>
      </c>
      <c r="BF9" s="285">
        <f>J9</f>
        <v>0</v>
      </c>
      <c r="BG9" s="286">
        <f>BF9</f>
        <v>0</v>
      </c>
      <c r="BH9" s="283" t="e">
        <f>BD9/BF9</f>
        <v>#DIV/0!</v>
      </c>
      <c r="BI9" s="283" t="e">
        <f>BE9/BG9</f>
        <v>#DIV/0!</v>
      </c>
    </row>
    <row r="10" spans="1:61" s="139" customFormat="1" ht="18" customHeight="1">
      <c r="A10" s="431"/>
      <c r="B10" s="302"/>
      <c r="C10" s="303">
        <v>2</v>
      </c>
      <c r="D10" s="281"/>
      <c r="E10" s="458">
        <f>'SQ-1'!N6+'SQ-2'!N6+'SQ-3'!N6+'SQ-4'!N6+'SQ-5'!N6+'SQ-6'!N6+'SQ-7'!N6+'SQ-8'!N6+'SQ-9'!N6</f>
        <v>0</v>
      </c>
      <c r="F10" s="305">
        <f t="shared" ref="F10:F39" si="2">F9+D10</f>
        <v>0</v>
      </c>
      <c r="G10" s="303">
        <f>IF(B10="*",G9,G9+1)</f>
        <v>2</v>
      </c>
      <c r="H10" s="305">
        <f t="shared" ref="H10:H39" si="3">H9+E10</f>
        <v>0</v>
      </c>
      <c r="I10" s="305">
        <f t="shared" si="0"/>
        <v>0</v>
      </c>
      <c r="J10" s="459">
        <f>'SQ-1'!I6+'SQ-2'!I6+'SQ-3'!I6+'SQ-4'!I6+'SQ-5'!I6+'SQ-6'!I6+'SQ-7'!I6+'SQ-8'!I6+'SQ-9'!I6</f>
        <v>0</v>
      </c>
      <c r="K10" s="307">
        <f t="shared" ref="K10:K39" si="4">+K9+J10</f>
        <v>0</v>
      </c>
      <c r="L10" s="305" t="e">
        <f t="shared" ref="L10:L38" si="5">E10/J10</f>
        <v>#DIV/0!</v>
      </c>
      <c r="M10" s="305" t="e">
        <f t="shared" ref="M10:M38" si="6">H10/K10</f>
        <v>#DIV/0!</v>
      </c>
      <c r="N10" s="306">
        <v>2.2599999999999998</v>
      </c>
      <c r="O10" s="308" t="e">
        <f t="shared" si="1"/>
        <v>#DIV/0!</v>
      </c>
      <c r="P10" s="458">
        <f>'SQ-1'!M6+'SQ-2'!M6+'SQ-3'!M6+'SQ-4'!M6+'SQ-5'!M6+'SQ-6'!M6+'SQ-7'!M6+'SQ-8'!M6+'SQ-9'!M6</f>
        <v>0</v>
      </c>
      <c r="Q10" s="309"/>
      <c r="R10" s="309"/>
      <c r="S10" s="309"/>
      <c r="T10" s="310"/>
      <c r="U10" s="311"/>
      <c r="V10" s="312"/>
      <c r="W10" s="313"/>
      <c r="X10" s="313"/>
      <c r="Y10" s="313"/>
      <c r="Z10" s="313"/>
      <c r="AA10" s="313"/>
      <c r="AB10" s="314"/>
      <c r="AC10" s="315"/>
      <c r="AD10" s="315"/>
      <c r="AE10" s="313"/>
      <c r="AF10" s="313"/>
      <c r="AG10" s="313"/>
      <c r="AH10" s="313"/>
      <c r="AI10" s="313"/>
      <c r="AJ10" s="313"/>
      <c r="AK10" s="313"/>
      <c r="AL10" s="313"/>
      <c r="AM10" s="313"/>
      <c r="AN10" s="316"/>
      <c r="AO10" s="316"/>
      <c r="AP10" s="317"/>
      <c r="AQ10" s="267"/>
      <c r="AR10" s="318"/>
      <c r="AS10" s="309"/>
      <c r="AT10" s="221"/>
      <c r="AU10" s="319"/>
      <c r="AV10" s="313"/>
      <c r="AW10" s="313"/>
      <c r="AX10" s="320"/>
      <c r="AY10" s="321"/>
      <c r="AZ10" s="322"/>
      <c r="BA10" s="323"/>
      <c r="BB10" s="324"/>
      <c r="BC10" s="303">
        <v>2</v>
      </c>
      <c r="BD10" s="325">
        <f>E10</f>
        <v>0</v>
      </c>
      <c r="BE10" s="325">
        <f t="shared" ref="BE10:BE39" si="7">BE9+BD10</f>
        <v>0</v>
      </c>
      <c r="BF10" s="326">
        <f>J10</f>
        <v>0</v>
      </c>
      <c r="BG10" s="307">
        <f t="shared" ref="BG10:BG39" si="8">+BG9+BF10</f>
        <v>0</v>
      </c>
      <c r="BH10" s="305" t="e">
        <f t="shared" ref="BH10:BI39" si="9">BD10/BF10</f>
        <v>#DIV/0!</v>
      </c>
      <c r="BI10" s="305" t="e">
        <f t="shared" si="9"/>
        <v>#DIV/0!</v>
      </c>
    </row>
    <row r="11" spans="1:61" s="139" customFormat="1" ht="18" customHeight="1">
      <c r="A11" s="431"/>
      <c r="B11" s="302"/>
      <c r="C11" s="303">
        <v>3</v>
      </c>
      <c r="D11" s="281"/>
      <c r="E11" s="458">
        <f>'SQ-1'!N7+'SQ-2'!N7+'SQ-3'!N7+'SQ-4'!N7+'SQ-5'!N7+'SQ-6'!N7+'SQ-7'!N7+'SQ-8'!N7+'SQ-9'!N7</f>
        <v>0</v>
      </c>
      <c r="F11" s="305">
        <f t="shared" si="2"/>
        <v>0</v>
      </c>
      <c r="G11" s="303">
        <f t="shared" ref="G11:G39" si="10">IF(B11="*",G10,G10+1)</f>
        <v>3</v>
      </c>
      <c r="H11" s="305">
        <f t="shared" si="3"/>
        <v>0</v>
      </c>
      <c r="I11" s="305">
        <f t="shared" si="0"/>
        <v>0</v>
      </c>
      <c r="J11" s="459">
        <f>'SQ-1'!I7+'SQ-2'!I7+'SQ-3'!I7+'SQ-4'!I7+'SQ-5'!I7+'SQ-6'!I7+'SQ-7'!I7+'SQ-8'!I7+'SQ-9'!I7</f>
        <v>0</v>
      </c>
      <c r="K11" s="307">
        <f t="shared" si="4"/>
        <v>0</v>
      </c>
      <c r="L11" s="305" t="e">
        <f t="shared" si="5"/>
        <v>#DIV/0!</v>
      </c>
      <c r="M11" s="305" t="e">
        <f t="shared" si="6"/>
        <v>#DIV/0!</v>
      </c>
      <c r="N11" s="306">
        <v>2.4</v>
      </c>
      <c r="O11" s="308" t="e">
        <f t="shared" si="1"/>
        <v>#DIV/0!</v>
      </c>
      <c r="P11" s="458">
        <f>'SQ-1'!M7+'SQ-2'!M7+'SQ-3'!M7+'SQ-4'!M7+'SQ-5'!M7+'SQ-6'!M7+'SQ-7'!M7+'SQ-8'!M7+'SQ-9'!M7</f>
        <v>0</v>
      </c>
      <c r="Q11" s="309"/>
      <c r="R11" s="309"/>
      <c r="S11" s="309"/>
      <c r="T11" s="310"/>
      <c r="U11" s="311"/>
      <c r="V11" s="312"/>
      <c r="W11" s="313"/>
      <c r="X11" s="313"/>
      <c r="Y11" s="313"/>
      <c r="Z11" s="313"/>
      <c r="AA11" s="313"/>
      <c r="AB11" s="314"/>
      <c r="AC11" s="327"/>
      <c r="AD11" s="327"/>
      <c r="AE11" s="304"/>
      <c r="AF11" s="304"/>
      <c r="AG11" s="304"/>
      <c r="AH11" s="304"/>
      <c r="AI11" s="304"/>
      <c r="AJ11" s="304"/>
      <c r="AK11" s="304"/>
      <c r="AL11" s="304"/>
      <c r="AM11" s="313"/>
      <c r="AN11" s="316"/>
      <c r="AO11" s="316"/>
      <c r="AP11" s="317"/>
      <c r="AQ11" s="267"/>
      <c r="AR11" s="318"/>
      <c r="AS11" s="309"/>
      <c r="AT11" s="221"/>
      <c r="AU11" s="319"/>
      <c r="AV11" s="313"/>
      <c r="AW11" s="313"/>
      <c r="AX11" s="320"/>
      <c r="AY11" s="321"/>
      <c r="AZ11" s="322"/>
      <c r="BA11" s="328"/>
      <c r="BB11" s="329"/>
      <c r="BC11" s="303">
        <v>3</v>
      </c>
      <c r="BD11" s="325">
        <f>E11</f>
        <v>0</v>
      </c>
      <c r="BE11" s="325">
        <f t="shared" si="7"/>
        <v>0</v>
      </c>
      <c r="BF11" s="326">
        <f>J11</f>
        <v>0</v>
      </c>
      <c r="BG11" s="307">
        <f t="shared" si="8"/>
        <v>0</v>
      </c>
      <c r="BH11" s="305" t="e">
        <f t="shared" si="9"/>
        <v>#DIV/0!</v>
      </c>
      <c r="BI11" s="305" t="e">
        <f t="shared" si="9"/>
        <v>#DIV/0!</v>
      </c>
    </row>
    <row r="12" spans="1:61" s="139" customFormat="1" ht="18" customHeight="1">
      <c r="A12" s="431"/>
      <c r="B12" s="302"/>
      <c r="C12" s="303">
        <v>4</v>
      </c>
      <c r="D12" s="281"/>
      <c r="E12" s="458">
        <f>'SQ-1'!N8+'SQ-2'!N8+'SQ-3'!N8+'SQ-4'!N8+'SQ-5'!N8+'SQ-6'!N8+'SQ-7'!N8+'SQ-8'!N8+'SQ-9'!N8</f>
        <v>0</v>
      </c>
      <c r="F12" s="305">
        <f t="shared" si="2"/>
        <v>0</v>
      </c>
      <c r="G12" s="303">
        <f t="shared" si="10"/>
        <v>4</v>
      </c>
      <c r="H12" s="305">
        <f t="shared" si="3"/>
        <v>0</v>
      </c>
      <c r="I12" s="305">
        <f t="shared" si="0"/>
        <v>0</v>
      </c>
      <c r="J12" s="459">
        <f>'SQ-1'!I8+'SQ-2'!I8+'SQ-3'!I8+'SQ-4'!I8+'SQ-5'!I8+'SQ-6'!I8+'SQ-7'!I8+'SQ-8'!I8+'SQ-9'!I8</f>
        <v>0</v>
      </c>
      <c r="K12" s="307">
        <f t="shared" si="4"/>
        <v>0</v>
      </c>
      <c r="L12" s="305" t="e">
        <f t="shared" si="5"/>
        <v>#DIV/0!</v>
      </c>
      <c r="M12" s="305" t="e">
        <f t="shared" si="6"/>
        <v>#DIV/0!</v>
      </c>
      <c r="N12" s="306">
        <v>3.5</v>
      </c>
      <c r="O12" s="308" t="e">
        <f t="shared" si="1"/>
        <v>#DIV/0!</v>
      </c>
      <c r="P12" s="458">
        <f>'SQ-1'!M8+'SQ-2'!M8+'SQ-3'!M8+'SQ-4'!M8+'SQ-5'!M8+'SQ-6'!M8+'SQ-7'!M8+'SQ-8'!M8+'SQ-9'!M8</f>
        <v>0</v>
      </c>
      <c r="Q12" s="309"/>
      <c r="R12" s="309"/>
      <c r="S12" s="309"/>
      <c r="T12" s="310"/>
      <c r="U12" s="311"/>
      <c r="V12" s="312"/>
      <c r="W12" s="313"/>
      <c r="X12" s="313"/>
      <c r="Y12" s="313"/>
      <c r="Z12" s="313"/>
      <c r="AA12" s="313"/>
      <c r="AB12" s="314"/>
      <c r="AC12" s="315"/>
      <c r="AD12" s="315"/>
      <c r="AE12" s="313"/>
      <c r="AF12" s="313"/>
      <c r="AG12" s="313"/>
      <c r="AH12" s="313"/>
      <c r="AI12" s="313"/>
      <c r="AJ12" s="313"/>
      <c r="AK12" s="313"/>
      <c r="AL12" s="313"/>
      <c r="AM12" s="313"/>
      <c r="AN12" s="316"/>
      <c r="AO12" s="316"/>
      <c r="AP12" s="317"/>
      <c r="AQ12" s="267"/>
      <c r="AR12" s="318"/>
      <c r="AS12" s="309"/>
      <c r="AT12" s="313"/>
      <c r="AU12" s="319"/>
      <c r="AV12" s="313"/>
      <c r="AW12" s="313"/>
      <c r="AX12" s="320"/>
      <c r="AY12" s="321"/>
      <c r="AZ12" s="322"/>
      <c r="BA12" s="323"/>
      <c r="BC12" s="303">
        <v>4</v>
      </c>
      <c r="BD12" s="325">
        <f>E12</f>
        <v>0</v>
      </c>
      <c r="BE12" s="325">
        <f t="shared" si="7"/>
        <v>0</v>
      </c>
      <c r="BF12" s="326">
        <f>J12</f>
        <v>0</v>
      </c>
      <c r="BG12" s="307">
        <f t="shared" si="8"/>
        <v>0</v>
      </c>
      <c r="BH12" s="305" t="e">
        <f t="shared" si="9"/>
        <v>#DIV/0!</v>
      </c>
      <c r="BI12" s="305" t="e">
        <f t="shared" si="9"/>
        <v>#DIV/0!</v>
      </c>
    </row>
    <row r="13" spans="1:61" s="139" customFormat="1" ht="18" customHeight="1">
      <c r="A13" s="431"/>
      <c r="B13" s="302"/>
      <c r="C13" s="303">
        <v>5</v>
      </c>
      <c r="D13" s="281"/>
      <c r="E13" s="458">
        <f>'SQ-1'!N9+'SQ-2'!N9+'SQ-3'!N9+'SQ-4'!N9+'SQ-5'!N9+'SQ-6'!N9+'SQ-7'!N9+'SQ-8'!N9+'SQ-9'!N9</f>
        <v>0</v>
      </c>
      <c r="F13" s="325">
        <f t="shared" si="2"/>
        <v>0</v>
      </c>
      <c r="G13" s="303">
        <f t="shared" si="10"/>
        <v>5</v>
      </c>
      <c r="H13" s="325">
        <f t="shared" si="3"/>
        <v>0</v>
      </c>
      <c r="I13" s="325">
        <f t="shared" si="0"/>
        <v>0</v>
      </c>
      <c r="J13" s="459">
        <f>'SQ-1'!I9+'SQ-2'!I9+'SQ-3'!I9+'SQ-4'!I9+'SQ-5'!I9+'SQ-6'!I9+'SQ-7'!I9+'SQ-8'!I9+'SQ-9'!I9</f>
        <v>0</v>
      </c>
      <c r="K13" s="330">
        <f t="shared" si="4"/>
        <v>0</v>
      </c>
      <c r="L13" s="325" t="e">
        <f t="shared" si="5"/>
        <v>#DIV/0!</v>
      </c>
      <c r="M13" s="325" t="e">
        <f t="shared" si="6"/>
        <v>#DIV/0!</v>
      </c>
      <c r="N13" s="306"/>
      <c r="O13" s="308" t="e">
        <f t="shared" si="1"/>
        <v>#DIV/0!</v>
      </c>
      <c r="P13" s="458">
        <f>'SQ-1'!M9+'SQ-2'!M9+'SQ-3'!M9+'SQ-4'!M9+'SQ-5'!M9+'SQ-6'!M9+'SQ-7'!M9+'SQ-8'!M9+'SQ-9'!M9</f>
        <v>0</v>
      </c>
      <c r="Q13" s="309"/>
      <c r="R13" s="309"/>
      <c r="S13" s="309"/>
      <c r="T13" s="310"/>
      <c r="U13" s="311"/>
      <c r="V13" s="312"/>
      <c r="W13" s="313"/>
      <c r="X13" s="313"/>
      <c r="Y13" s="313"/>
      <c r="Z13" s="313"/>
      <c r="AA13" s="313"/>
      <c r="AB13" s="314"/>
      <c r="AC13" s="327"/>
      <c r="AD13" s="327"/>
      <c r="AE13" s="304"/>
      <c r="AF13" s="304"/>
      <c r="AG13" s="304"/>
      <c r="AH13" s="304"/>
      <c r="AI13" s="304"/>
      <c r="AJ13" s="304"/>
      <c r="AK13" s="304"/>
      <c r="AL13" s="304"/>
      <c r="AM13" s="313"/>
      <c r="AN13" s="316"/>
      <c r="AO13" s="316"/>
      <c r="AP13" s="317"/>
      <c r="AQ13" s="267"/>
      <c r="AR13" s="331"/>
      <c r="AS13" s="309"/>
      <c r="AT13" s="221"/>
      <c r="AU13" s="319"/>
      <c r="AV13" s="313"/>
      <c r="AW13" s="313"/>
      <c r="AX13" s="320"/>
      <c r="AY13" s="321"/>
      <c r="AZ13" s="322"/>
      <c r="BA13" s="323"/>
      <c r="BB13" s="227"/>
      <c r="BC13" s="303">
        <v>5</v>
      </c>
      <c r="BD13" s="325">
        <f>E13</f>
        <v>0</v>
      </c>
      <c r="BE13" s="325">
        <f t="shared" si="7"/>
        <v>0</v>
      </c>
      <c r="BF13" s="326">
        <f>J13</f>
        <v>0</v>
      </c>
      <c r="BG13" s="330">
        <f t="shared" si="8"/>
        <v>0</v>
      </c>
      <c r="BH13" s="325" t="e">
        <f t="shared" si="9"/>
        <v>#DIV/0!</v>
      </c>
      <c r="BI13" s="325" t="e">
        <f t="shared" si="9"/>
        <v>#DIV/0!</v>
      </c>
    </row>
    <row r="14" spans="1:61" ht="18" customHeight="1">
      <c r="B14" s="302"/>
      <c r="C14" s="303">
        <v>6</v>
      </c>
      <c r="D14" s="281"/>
      <c r="E14" s="458">
        <f>'SQ-1'!N10+'SQ-2'!N10+'SQ-3'!N10+'SQ-4'!N10+'SQ-5'!N10+'SQ-6'!N10+'SQ-7'!N10+'SQ-8'!N10+'SQ-9'!N10</f>
        <v>0</v>
      </c>
      <c r="F14" s="325">
        <f t="shared" si="2"/>
        <v>0</v>
      </c>
      <c r="G14" s="303">
        <f t="shared" si="10"/>
        <v>6</v>
      </c>
      <c r="H14" s="325">
        <f t="shared" si="3"/>
        <v>0</v>
      </c>
      <c r="I14" s="325">
        <f t="shared" si="0"/>
        <v>0</v>
      </c>
      <c r="J14" s="459">
        <f>'SQ-1'!I10+'SQ-2'!I10+'SQ-3'!I10+'SQ-4'!I10+'SQ-5'!I10+'SQ-6'!I10+'SQ-7'!I10+'SQ-8'!I10+'SQ-9'!I10</f>
        <v>0</v>
      </c>
      <c r="K14" s="330">
        <f t="shared" si="4"/>
        <v>0</v>
      </c>
      <c r="L14" s="325" t="e">
        <f t="shared" si="5"/>
        <v>#DIV/0!</v>
      </c>
      <c r="M14" s="325" t="e">
        <f t="shared" si="6"/>
        <v>#DIV/0!</v>
      </c>
      <c r="N14" s="306"/>
      <c r="O14" s="308" t="e">
        <f t="shared" si="1"/>
        <v>#DIV/0!</v>
      </c>
      <c r="P14" s="458">
        <f>'SQ-1'!M10+'SQ-2'!M10+'SQ-3'!M10+'SQ-4'!M10+'SQ-5'!M10+'SQ-6'!M10+'SQ-7'!M10+'SQ-8'!M10+'SQ-9'!M10</f>
        <v>0</v>
      </c>
      <c r="Q14" s="309"/>
      <c r="R14" s="309"/>
      <c r="S14" s="309"/>
      <c r="T14" s="310"/>
      <c r="U14" s="311"/>
      <c r="V14" s="312"/>
      <c r="W14" s="304"/>
      <c r="X14" s="304"/>
      <c r="Y14" s="304"/>
      <c r="Z14" s="304"/>
      <c r="AA14" s="304"/>
      <c r="AB14" s="314"/>
      <c r="AC14" s="327"/>
      <c r="AD14" s="327"/>
      <c r="AE14" s="304"/>
      <c r="AF14" s="304"/>
      <c r="AG14" s="304"/>
      <c r="AH14" s="304"/>
      <c r="AI14" s="304"/>
      <c r="AJ14" s="304"/>
      <c r="AK14" s="304"/>
      <c r="AL14" s="304"/>
      <c r="AM14" s="304"/>
      <c r="AN14" s="316"/>
      <c r="AO14" s="316"/>
      <c r="AP14" s="317"/>
      <c r="AQ14" s="267"/>
      <c r="AR14" s="331"/>
      <c r="AS14" s="309"/>
      <c r="AT14" s="304"/>
      <c r="AU14" s="319"/>
      <c r="AV14" s="304"/>
      <c r="AW14" s="304"/>
      <c r="AX14" s="320"/>
      <c r="AY14" s="321"/>
      <c r="AZ14" s="322"/>
      <c r="BA14" s="323"/>
      <c r="BB14" s="220"/>
      <c r="BC14" s="303">
        <v>6</v>
      </c>
      <c r="BD14" s="325">
        <f t="shared" ref="BD14:BD39" si="11">E14</f>
        <v>0</v>
      </c>
      <c r="BE14" s="325">
        <f t="shared" si="7"/>
        <v>0</v>
      </c>
      <c r="BF14" s="326">
        <f t="shared" ref="BF14:BF39" si="12">J14</f>
        <v>0</v>
      </c>
      <c r="BG14" s="330">
        <f t="shared" si="8"/>
        <v>0</v>
      </c>
      <c r="BH14" s="325" t="e">
        <f t="shared" si="9"/>
        <v>#DIV/0!</v>
      </c>
      <c r="BI14" s="325" t="e">
        <f t="shared" si="9"/>
        <v>#DIV/0!</v>
      </c>
    </row>
    <row r="15" spans="1:61" ht="18" customHeight="1">
      <c r="B15" s="302"/>
      <c r="C15" s="303">
        <v>7</v>
      </c>
      <c r="D15" s="281"/>
      <c r="E15" s="458">
        <f>'SQ-1'!N11+'SQ-2'!N11+'SQ-3'!N11+'SQ-4'!N11+'SQ-5'!N11+'SQ-6'!N11+'SQ-7'!N11+'SQ-8'!N11+'SQ-9'!N11</f>
        <v>0</v>
      </c>
      <c r="F15" s="305">
        <f t="shared" si="2"/>
        <v>0</v>
      </c>
      <c r="G15" s="303">
        <f t="shared" si="10"/>
        <v>7</v>
      </c>
      <c r="H15" s="305">
        <f t="shared" si="3"/>
        <v>0</v>
      </c>
      <c r="I15" s="305">
        <f t="shared" si="0"/>
        <v>0</v>
      </c>
      <c r="J15" s="459">
        <f>'SQ-1'!I11+'SQ-2'!I11+'SQ-3'!I11+'SQ-4'!I11+'SQ-5'!I11+'SQ-6'!I11+'SQ-7'!I11+'SQ-8'!I11+'SQ-9'!I11</f>
        <v>0</v>
      </c>
      <c r="K15" s="307">
        <f t="shared" si="4"/>
        <v>0</v>
      </c>
      <c r="L15" s="305" t="e">
        <f t="shared" si="5"/>
        <v>#DIV/0!</v>
      </c>
      <c r="M15" s="305" t="e">
        <f t="shared" si="6"/>
        <v>#DIV/0!</v>
      </c>
      <c r="N15" s="306">
        <v>2.83</v>
      </c>
      <c r="O15" s="308" t="e">
        <f t="shared" si="1"/>
        <v>#DIV/0!</v>
      </c>
      <c r="P15" s="458">
        <f>'SQ-1'!M11+'SQ-2'!M11+'SQ-3'!M11+'SQ-4'!M11+'SQ-5'!M11+'SQ-6'!M11+'SQ-7'!M11+'SQ-8'!M11+'SQ-9'!M11</f>
        <v>0</v>
      </c>
      <c r="Q15" s="309"/>
      <c r="R15" s="309"/>
      <c r="S15" s="309"/>
      <c r="T15" s="310"/>
      <c r="U15" s="311"/>
      <c r="V15" s="312"/>
      <c r="W15" s="304"/>
      <c r="X15" s="304"/>
      <c r="Y15" s="304"/>
      <c r="Z15" s="304"/>
      <c r="AA15" s="304"/>
      <c r="AB15" s="314"/>
      <c r="AC15" s="327"/>
      <c r="AD15" s="327"/>
      <c r="AE15" s="304"/>
      <c r="AF15" s="304"/>
      <c r="AG15" s="304"/>
      <c r="AH15" s="304"/>
      <c r="AI15" s="304"/>
      <c r="AJ15" s="304"/>
      <c r="AK15" s="304"/>
      <c r="AL15" s="304"/>
      <c r="AM15" s="304"/>
      <c r="AN15" s="316"/>
      <c r="AO15" s="316"/>
      <c r="AP15" s="317"/>
      <c r="AQ15" s="267"/>
      <c r="AR15" s="318"/>
      <c r="AS15" s="309"/>
      <c r="AT15" s="304"/>
      <c r="AU15" s="319"/>
      <c r="AV15" s="304"/>
      <c r="AW15" s="304"/>
      <c r="AX15" s="320"/>
      <c r="AY15" s="321"/>
      <c r="AZ15" s="322"/>
      <c r="BA15" s="323"/>
      <c r="BC15" s="303">
        <v>7</v>
      </c>
      <c r="BD15" s="325">
        <f t="shared" si="11"/>
        <v>0</v>
      </c>
      <c r="BE15" s="305">
        <f t="shared" si="7"/>
        <v>0</v>
      </c>
      <c r="BF15" s="326">
        <f t="shared" si="12"/>
        <v>0</v>
      </c>
      <c r="BG15" s="307">
        <f t="shared" si="8"/>
        <v>0</v>
      </c>
      <c r="BH15" s="305" t="e">
        <f t="shared" si="9"/>
        <v>#DIV/0!</v>
      </c>
      <c r="BI15" s="305" t="e">
        <f t="shared" si="9"/>
        <v>#DIV/0!</v>
      </c>
    </row>
    <row r="16" spans="1:61" s="139" customFormat="1" ht="18" customHeight="1">
      <c r="A16" s="431"/>
      <c r="B16" s="302"/>
      <c r="C16" s="303">
        <v>8</v>
      </c>
      <c r="D16" s="281"/>
      <c r="E16" s="458">
        <f>'SQ-1'!N12+'SQ-2'!N12+'SQ-3'!N12+'SQ-4'!N12+'SQ-5'!N12+'SQ-6'!N12+'SQ-7'!N12+'SQ-8'!N12+'SQ-9'!N12</f>
        <v>0</v>
      </c>
      <c r="F16" s="305">
        <f t="shared" si="2"/>
        <v>0</v>
      </c>
      <c r="G16" s="303">
        <f t="shared" si="10"/>
        <v>8</v>
      </c>
      <c r="H16" s="305">
        <f t="shared" si="3"/>
        <v>0</v>
      </c>
      <c r="I16" s="305">
        <f t="shared" si="0"/>
        <v>0</v>
      </c>
      <c r="J16" s="459">
        <f>'SQ-1'!I12+'SQ-2'!I12+'SQ-3'!I12+'SQ-4'!I12+'SQ-5'!I12+'SQ-6'!I12+'SQ-7'!I12+'SQ-8'!I12+'SQ-9'!I12</f>
        <v>0</v>
      </c>
      <c r="K16" s="307">
        <f t="shared" si="4"/>
        <v>0</v>
      </c>
      <c r="L16" s="305" t="e">
        <f t="shared" si="5"/>
        <v>#DIV/0!</v>
      </c>
      <c r="M16" s="305" t="e">
        <f t="shared" si="6"/>
        <v>#DIV/0!</v>
      </c>
      <c r="N16" s="306">
        <v>2.78</v>
      </c>
      <c r="O16" s="308" t="e">
        <f t="shared" si="1"/>
        <v>#DIV/0!</v>
      </c>
      <c r="P16" s="458">
        <f>'SQ-1'!M12+'SQ-2'!M12+'SQ-3'!M12+'SQ-4'!M12+'SQ-5'!M12+'SQ-6'!M12+'SQ-7'!M12+'SQ-8'!M12+'SQ-9'!M12</f>
        <v>0</v>
      </c>
      <c r="Q16" s="309"/>
      <c r="R16" s="309"/>
      <c r="S16" s="309"/>
      <c r="T16" s="310"/>
      <c r="U16" s="311"/>
      <c r="V16" s="312"/>
      <c r="W16" s="313"/>
      <c r="X16" s="313"/>
      <c r="Y16" s="313"/>
      <c r="Z16" s="313"/>
      <c r="AA16" s="313"/>
      <c r="AB16" s="314"/>
      <c r="AC16" s="332"/>
      <c r="AD16" s="315"/>
      <c r="AE16" s="313"/>
      <c r="AF16" s="313"/>
      <c r="AG16" s="313"/>
      <c r="AH16" s="313"/>
      <c r="AI16" s="313"/>
      <c r="AJ16" s="313"/>
      <c r="AK16" s="313"/>
      <c r="AL16" s="313"/>
      <c r="AM16" s="313"/>
      <c r="AN16" s="316"/>
      <c r="AO16" s="316"/>
      <c r="AP16" s="317"/>
      <c r="AQ16" s="267"/>
      <c r="AR16" s="318"/>
      <c r="AS16" s="309"/>
      <c r="AT16" s="313"/>
      <c r="AU16" s="319"/>
      <c r="AV16" s="313"/>
      <c r="AW16" s="313"/>
      <c r="AX16" s="320"/>
      <c r="AY16" s="321"/>
      <c r="AZ16" s="322"/>
      <c r="BA16" s="323"/>
      <c r="BC16" s="303">
        <v>8</v>
      </c>
      <c r="BD16" s="325">
        <f t="shared" si="11"/>
        <v>0</v>
      </c>
      <c r="BE16" s="305">
        <f t="shared" si="7"/>
        <v>0</v>
      </c>
      <c r="BF16" s="326">
        <f t="shared" si="12"/>
        <v>0</v>
      </c>
      <c r="BG16" s="307">
        <f t="shared" si="8"/>
        <v>0</v>
      </c>
      <c r="BH16" s="305" t="e">
        <f t="shared" si="9"/>
        <v>#DIV/0!</v>
      </c>
      <c r="BI16" s="305" t="e">
        <f t="shared" si="9"/>
        <v>#DIV/0!</v>
      </c>
    </row>
    <row r="17" spans="1:61" s="139" customFormat="1" ht="18" customHeight="1">
      <c r="A17" s="431"/>
      <c r="B17" s="302"/>
      <c r="C17" s="303">
        <v>9</v>
      </c>
      <c r="D17" s="281"/>
      <c r="E17" s="458">
        <f>'SQ-1'!N13+'SQ-2'!N13+'SQ-3'!N13+'SQ-4'!N13+'SQ-5'!N13+'SQ-6'!N13+'SQ-7'!N13+'SQ-8'!N13+'SQ-9'!N13</f>
        <v>0</v>
      </c>
      <c r="F17" s="305">
        <f t="shared" si="2"/>
        <v>0</v>
      </c>
      <c r="G17" s="303">
        <f t="shared" si="10"/>
        <v>9</v>
      </c>
      <c r="H17" s="305">
        <f t="shared" si="3"/>
        <v>0</v>
      </c>
      <c r="I17" s="305">
        <f t="shared" si="0"/>
        <v>0</v>
      </c>
      <c r="J17" s="459">
        <f>'SQ-1'!I13+'SQ-2'!I13+'SQ-3'!I13+'SQ-4'!I13+'SQ-5'!I13+'SQ-6'!I13+'SQ-7'!I13+'SQ-8'!I13+'SQ-9'!I13</f>
        <v>0</v>
      </c>
      <c r="K17" s="307">
        <f t="shared" si="4"/>
        <v>0</v>
      </c>
      <c r="L17" s="305" t="e">
        <f t="shared" si="5"/>
        <v>#DIV/0!</v>
      </c>
      <c r="M17" s="305" t="e">
        <f t="shared" si="6"/>
        <v>#DIV/0!</v>
      </c>
      <c r="N17" s="306">
        <v>3.33</v>
      </c>
      <c r="O17" s="308" t="e">
        <f t="shared" si="1"/>
        <v>#DIV/0!</v>
      </c>
      <c r="P17" s="458">
        <f>'SQ-1'!M13+'SQ-2'!M13+'SQ-3'!M13+'SQ-4'!M13+'SQ-5'!M13+'SQ-6'!M13+'SQ-7'!M13+'SQ-8'!M13+'SQ-9'!M13</f>
        <v>0</v>
      </c>
      <c r="Q17" s="309"/>
      <c r="R17" s="309"/>
      <c r="S17" s="309"/>
      <c r="T17" s="310"/>
      <c r="U17" s="311"/>
      <c r="V17" s="312"/>
      <c r="W17" s="313"/>
      <c r="X17" s="313"/>
      <c r="Y17" s="313"/>
      <c r="Z17" s="313"/>
      <c r="AA17" s="313"/>
      <c r="AB17" s="314"/>
      <c r="AC17" s="315"/>
      <c r="AD17" s="315"/>
      <c r="AE17" s="313"/>
      <c r="AF17" s="313"/>
      <c r="AG17" s="313"/>
      <c r="AH17" s="313"/>
      <c r="AI17" s="313"/>
      <c r="AJ17" s="313"/>
      <c r="AK17" s="313"/>
      <c r="AL17" s="313"/>
      <c r="AM17" s="313"/>
      <c r="AN17" s="316"/>
      <c r="AO17" s="316"/>
      <c r="AP17" s="317"/>
      <c r="AQ17" s="267"/>
      <c r="AR17" s="318"/>
      <c r="AS17" s="309"/>
      <c r="AT17" s="313"/>
      <c r="AU17" s="319"/>
      <c r="AV17" s="313"/>
      <c r="AW17" s="313"/>
      <c r="AX17" s="320"/>
      <c r="AY17" s="321"/>
      <c r="AZ17" s="322"/>
      <c r="BA17" s="323"/>
      <c r="BC17" s="303">
        <v>9</v>
      </c>
      <c r="BD17" s="325">
        <f t="shared" si="11"/>
        <v>0</v>
      </c>
      <c r="BE17" s="305">
        <f t="shared" si="7"/>
        <v>0</v>
      </c>
      <c r="BF17" s="326">
        <f t="shared" si="12"/>
        <v>0</v>
      </c>
      <c r="BG17" s="307">
        <f t="shared" si="8"/>
        <v>0</v>
      </c>
      <c r="BH17" s="305" t="e">
        <f t="shared" si="9"/>
        <v>#DIV/0!</v>
      </c>
      <c r="BI17" s="305" t="e">
        <f t="shared" si="9"/>
        <v>#DIV/0!</v>
      </c>
    </row>
    <row r="18" spans="1:61" s="139" customFormat="1" ht="18" customHeight="1">
      <c r="A18" s="431"/>
      <c r="B18" s="302"/>
      <c r="C18" s="303">
        <v>10</v>
      </c>
      <c r="D18" s="281"/>
      <c r="E18" s="458">
        <f>'SQ-1'!N14+'SQ-2'!N14+'SQ-3'!N14+'SQ-4'!N14+'SQ-5'!N14+'SQ-6'!N14+'SQ-7'!N14+'SQ-8'!N14+'SQ-9'!N14</f>
        <v>0</v>
      </c>
      <c r="F18" s="305">
        <f t="shared" si="2"/>
        <v>0</v>
      </c>
      <c r="G18" s="303">
        <f t="shared" si="10"/>
        <v>10</v>
      </c>
      <c r="H18" s="305">
        <f t="shared" si="3"/>
        <v>0</v>
      </c>
      <c r="I18" s="305">
        <f t="shared" si="0"/>
        <v>0</v>
      </c>
      <c r="J18" s="459">
        <f>'SQ-1'!I14+'SQ-2'!I14+'SQ-3'!I14+'SQ-4'!I14+'SQ-5'!I14+'SQ-6'!I14+'SQ-7'!I14+'SQ-8'!I14+'SQ-9'!I14</f>
        <v>0</v>
      </c>
      <c r="K18" s="307">
        <f t="shared" si="4"/>
        <v>0</v>
      </c>
      <c r="L18" s="305" t="e">
        <f t="shared" si="5"/>
        <v>#DIV/0!</v>
      </c>
      <c r="M18" s="305" t="e">
        <f t="shared" si="6"/>
        <v>#DIV/0!</v>
      </c>
      <c r="N18" s="306">
        <v>3.25</v>
      </c>
      <c r="O18" s="308" t="e">
        <f t="shared" si="1"/>
        <v>#DIV/0!</v>
      </c>
      <c r="P18" s="458">
        <f>'SQ-1'!M14+'SQ-2'!M14+'SQ-3'!M14+'SQ-4'!M14+'SQ-5'!M14+'SQ-6'!M14+'SQ-7'!M14+'SQ-8'!M14+'SQ-9'!M14</f>
        <v>0</v>
      </c>
      <c r="Q18" s="309"/>
      <c r="R18" s="309"/>
      <c r="S18" s="309"/>
      <c r="T18" s="310"/>
      <c r="U18" s="311"/>
      <c r="V18" s="312"/>
      <c r="W18" s="313"/>
      <c r="X18" s="313"/>
      <c r="Y18" s="313"/>
      <c r="Z18" s="313"/>
      <c r="AA18" s="313"/>
      <c r="AB18" s="314"/>
      <c r="AC18" s="315"/>
      <c r="AD18" s="315"/>
      <c r="AE18" s="313"/>
      <c r="AF18" s="313"/>
      <c r="AG18" s="313"/>
      <c r="AH18" s="313"/>
      <c r="AI18" s="313"/>
      <c r="AJ18" s="313"/>
      <c r="AK18" s="313"/>
      <c r="AL18" s="313"/>
      <c r="AM18" s="313"/>
      <c r="AN18" s="316"/>
      <c r="AO18" s="316"/>
      <c r="AP18" s="317"/>
      <c r="AQ18" s="267"/>
      <c r="AR18" s="318"/>
      <c r="AS18" s="309"/>
      <c r="AT18" s="313"/>
      <c r="AU18" s="319"/>
      <c r="AV18" s="313"/>
      <c r="AW18" s="313"/>
      <c r="AX18" s="320"/>
      <c r="AY18" s="321"/>
      <c r="AZ18" s="322"/>
      <c r="BA18" s="333"/>
      <c r="BC18" s="303">
        <v>10</v>
      </c>
      <c r="BD18" s="325">
        <f t="shared" si="11"/>
        <v>0</v>
      </c>
      <c r="BE18" s="305">
        <f t="shared" si="7"/>
        <v>0</v>
      </c>
      <c r="BF18" s="326">
        <f t="shared" si="12"/>
        <v>0</v>
      </c>
      <c r="BG18" s="307">
        <f t="shared" si="8"/>
        <v>0</v>
      </c>
      <c r="BH18" s="305" t="e">
        <f t="shared" si="9"/>
        <v>#DIV/0!</v>
      </c>
      <c r="BI18" s="305" t="e">
        <f t="shared" si="9"/>
        <v>#DIV/0!</v>
      </c>
    </row>
    <row r="19" spans="1:61" s="139" customFormat="1" ht="18" customHeight="1">
      <c r="A19" s="431"/>
      <c r="B19" s="302"/>
      <c r="C19" s="303">
        <v>11</v>
      </c>
      <c r="D19" s="281"/>
      <c r="E19" s="458">
        <f>'SQ-1'!N15+'SQ-2'!N15+'SQ-3'!N15+'SQ-4'!N15+'SQ-5'!N15+'SQ-6'!N15+'SQ-7'!N15+'SQ-8'!N15+'SQ-9'!N15</f>
        <v>0</v>
      </c>
      <c r="F19" s="305">
        <f t="shared" si="2"/>
        <v>0</v>
      </c>
      <c r="G19" s="303">
        <f t="shared" si="10"/>
        <v>11</v>
      </c>
      <c r="H19" s="305">
        <f t="shared" si="3"/>
        <v>0</v>
      </c>
      <c r="I19" s="305">
        <f t="shared" si="0"/>
        <v>0</v>
      </c>
      <c r="J19" s="459">
        <f>'SQ-1'!I15+'SQ-2'!I15+'SQ-3'!I15+'SQ-4'!I15+'SQ-5'!I15+'SQ-6'!I15+'SQ-7'!I15+'SQ-8'!I15+'SQ-9'!I15</f>
        <v>0</v>
      </c>
      <c r="K19" s="307">
        <f t="shared" si="4"/>
        <v>0</v>
      </c>
      <c r="L19" s="305" t="e">
        <f t="shared" si="5"/>
        <v>#DIV/0!</v>
      </c>
      <c r="M19" s="305" t="e">
        <f t="shared" si="6"/>
        <v>#DIV/0!</v>
      </c>
      <c r="N19" s="306">
        <v>2.71</v>
      </c>
      <c r="O19" s="308" t="e">
        <f t="shared" si="1"/>
        <v>#DIV/0!</v>
      </c>
      <c r="P19" s="458">
        <f>'SQ-1'!M15+'SQ-2'!M15+'SQ-3'!M15+'SQ-4'!M15+'SQ-5'!M15+'SQ-6'!M15+'SQ-7'!M15+'SQ-8'!M15+'SQ-9'!M15</f>
        <v>0</v>
      </c>
      <c r="Q19" s="309"/>
      <c r="R19" s="309"/>
      <c r="S19" s="309"/>
      <c r="T19" s="310"/>
      <c r="U19" s="311"/>
      <c r="V19" s="312"/>
      <c r="W19" s="313"/>
      <c r="X19" s="313"/>
      <c r="Y19" s="313"/>
      <c r="Z19" s="313"/>
      <c r="AA19" s="313"/>
      <c r="AB19" s="314"/>
      <c r="AC19" s="332"/>
      <c r="AD19" s="315"/>
      <c r="AE19" s="313"/>
      <c r="AF19" s="313"/>
      <c r="AG19" s="313"/>
      <c r="AH19" s="313"/>
      <c r="AI19" s="313"/>
      <c r="AJ19" s="313"/>
      <c r="AK19" s="313"/>
      <c r="AL19" s="313"/>
      <c r="AM19" s="313"/>
      <c r="AN19" s="316"/>
      <c r="AO19" s="316"/>
      <c r="AP19" s="317"/>
      <c r="AQ19" s="267"/>
      <c r="AR19" s="318"/>
      <c r="AS19" s="309"/>
      <c r="AT19" s="313"/>
      <c r="AU19" s="319"/>
      <c r="AV19" s="313"/>
      <c r="AW19" s="313"/>
      <c r="AX19" s="320"/>
      <c r="AY19" s="321"/>
      <c r="AZ19" s="322"/>
      <c r="BA19" s="333"/>
      <c r="BC19" s="303">
        <v>11</v>
      </c>
      <c r="BD19" s="325">
        <f t="shared" si="11"/>
        <v>0</v>
      </c>
      <c r="BE19" s="305">
        <f t="shared" si="7"/>
        <v>0</v>
      </c>
      <c r="BF19" s="326">
        <f t="shared" si="12"/>
        <v>0</v>
      </c>
      <c r="BG19" s="307">
        <f t="shared" si="8"/>
        <v>0</v>
      </c>
      <c r="BH19" s="305" t="e">
        <f t="shared" si="9"/>
        <v>#DIV/0!</v>
      </c>
      <c r="BI19" s="305" t="e">
        <f t="shared" si="9"/>
        <v>#DIV/0!</v>
      </c>
    </row>
    <row r="20" spans="1:61" s="139" customFormat="1" ht="18" customHeight="1">
      <c r="A20" s="431"/>
      <c r="B20" s="302"/>
      <c r="C20" s="303">
        <v>12</v>
      </c>
      <c r="D20" s="281"/>
      <c r="E20" s="458">
        <f>'SQ-1'!N16+'SQ-2'!N16+'SQ-3'!N16+'SQ-4'!N16+'SQ-5'!N16+'SQ-6'!N16+'SQ-7'!N16+'SQ-8'!N16+'SQ-9'!N16</f>
        <v>0</v>
      </c>
      <c r="F20" s="305">
        <f t="shared" si="2"/>
        <v>0</v>
      </c>
      <c r="G20" s="303">
        <f t="shared" si="10"/>
        <v>12</v>
      </c>
      <c r="H20" s="305">
        <f t="shared" si="3"/>
        <v>0</v>
      </c>
      <c r="I20" s="305">
        <f t="shared" si="0"/>
        <v>0</v>
      </c>
      <c r="J20" s="459">
        <f>'SQ-1'!I16+'SQ-2'!I16+'SQ-3'!I16+'SQ-4'!I16+'SQ-5'!I16+'SQ-6'!I16+'SQ-7'!I16+'SQ-8'!I16+'SQ-9'!I16</f>
        <v>0</v>
      </c>
      <c r="K20" s="307">
        <f t="shared" si="4"/>
        <v>0</v>
      </c>
      <c r="L20" s="305" t="e">
        <f t="shared" si="5"/>
        <v>#DIV/0!</v>
      </c>
      <c r="M20" s="305" t="e">
        <f t="shared" si="6"/>
        <v>#DIV/0!</v>
      </c>
      <c r="N20" s="306">
        <v>2.46</v>
      </c>
      <c r="O20" s="308" t="e">
        <f t="shared" si="1"/>
        <v>#DIV/0!</v>
      </c>
      <c r="P20" s="458">
        <f>'SQ-1'!M16+'SQ-2'!M16+'SQ-3'!M16+'SQ-4'!M16+'SQ-5'!M16+'SQ-6'!M16+'SQ-7'!M16+'SQ-8'!M16+'SQ-9'!M16</f>
        <v>0</v>
      </c>
      <c r="Q20" s="309"/>
      <c r="R20" s="309"/>
      <c r="S20" s="309"/>
      <c r="T20" s="310"/>
      <c r="U20" s="311"/>
      <c r="V20" s="312"/>
      <c r="W20" s="313"/>
      <c r="X20" s="313"/>
      <c r="Y20" s="313"/>
      <c r="Z20" s="313"/>
      <c r="AA20" s="334"/>
      <c r="AB20" s="314"/>
      <c r="AC20" s="315"/>
      <c r="AD20" s="315"/>
      <c r="AE20" s="313"/>
      <c r="AF20" s="313"/>
      <c r="AG20" s="313"/>
      <c r="AH20" s="313"/>
      <c r="AI20" s="313"/>
      <c r="AJ20" s="313"/>
      <c r="AK20" s="313"/>
      <c r="AL20" s="313"/>
      <c r="AM20" s="313"/>
      <c r="AN20" s="316"/>
      <c r="AO20" s="316"/>
      <c r="AP20" s="317"/>
      <c r="AQ20" s="267"/>
      <c r="AR20" s="318"/>
      <c r="AS20" s="309"/>
      <c r="AT20" s="313"/>
      <c r="AU20" s="319"/>
      <c r="AV20" s="313"/>
      <c r="AW20" s="313"/>
      <c r="AX20" s="320"/>
      <c r="AY20" s="321"/>
      <c r="AZ20" s="322"/>
      <c r="BA20" s="333"/>
      <c r="BC20" s="303">
        <v>12</v>
      </c>
      <c r="BD20" s="325">
        <f t="shared" si="11"/>
        <v>0</v>
      </c>
      <c r="BE20" s="305">
        <f t="shared" si="7"/>
        <v>0</v>
      </c>
      <c r="BF20" s="326">
        <f t="shared" si="12"/>
        <v>0</v>
      </c>
      <c r="BG20" s="307">
        <f t="shared" si="8"/>
        <v>0</v>
      </c>
      <c r="BH20" s="305" t="e">
        <f t="shared" si="9"/>
        <v>#DIV/0!</v>
      </c>
      <c r="BI20" s="305" t="e">
        <f t="shared" si="9"/>
        <v>#DIV/0!</v>
      </c>
    </row>
    <row r="21" spans="1:61" s="139" customFormat="1" ht="18" customHeight="1">
      <c r="A21" s="431"/>
      <c r="B21" s="302"/>
      <c r="C21" s="303">
        <v>13</v>
      </c>
      <c r="D21" s="281"/>
      <c r="E21" s="458">
        <f>'SQ-1'!N17+'SQ-2'!N17+'SQ-3'!N17+'SQ-4'!N17+'SQ-5'!N17+'SQ-6'!N17+'SQ-7'!N17+'SQ-8'!N17+'SQ-9'!N17</f>
        <v>0</v>
      </c>
      <c r="F21" s="325">
        <f t="shared" si="2"/>
        <v>0</v>
      </c>
      <c r="G21" s="303">
        <f t="shared" si="10"/>
        <v>13</v>
      </c>
      <c r="H21" s="325">
        <f t="shared" si="3"/>
        <v>0</v>
      </c>
      <c r="I21" s="325">
        <f t="shared" si="0"/>
        <v>0</v>
      </c>
      <c r="J21" s="459">
        <f>'SQ-1'!I17+'SQ-2'!I17+'SQ-3'!I17+'SQ-4'!I17+'SQ-5'!I17+'SQ-6'!I17+'SQ-7'!I17+'SQ-8'!I17+'SQ-9'!I17</f>
        <v>0</v>
      </c>
      <c r="K21" s="330">
        <f t="shared" si="4"/>
        <v>0</v>
      </c>
      <c r="L21" s="325" t="e">
        <f t="shared" si="5"/>
        <v>#DIV/0!</v>
      </c>
      <c r="M21" s="325" t="e">
        <f t="shared" si="6"/>
        <v>#DIV/0!</v>
      </c>
      <c r="N21" s="306"/>
      <c r="O21" s="308" t="e">
        <f t="shared" si="1"/>
        <v>#DIV/0!</v>
      </c>
      <c r="P21" s="458">
        <f>'SQ-1'!M17+'SQ-2'!M17+'SQ-3'!M17+'SQ-4'!M17+'SQ-5'!M17+'SQ-6'!M17+'SQ-7'!M17+'SQ-8'!M17+'SQ-9'!M17</f>
        <v>0</v>
      </c>
      <c r="Q21" s="309"/>
      <c r="R21" s="309"/>
      <c r="S21" s="309"/>
      <c r="T21" s="310"/>
      <c r="U21" s="311"/>
      <c r="V21" s="312"/>
      <c r="W21" s="313"/>
      <c r="X21" s="313"/>
      <c r="Y21" s="313"/>
      <c r="Z21" s="313"/>
      <c r="AA21" s="313"/>
      <c r="AB21" s="314"/>
      <c r="AC21" s="315"/>
      <c r="AD21" s="315"/>
      <c r="AE21" s="313"/>
      <c r="AF21" s="313"/>
      <c r="AG21" s="313"/>
      <c r="AH21" s="313"/>
      <c r="AI21" s="313"/>
      <c r="AJ21" s="313"/>
      <c r="AK21" s="313"/>
      <c r="AL21" s="313"/>
      <c r="AM21" s="313"/>
      <c r="AN21" s="316"/>
      <c r="AO21" s="316"/>
      <c r="AP21" s="317"/>
      <c r="AQ21" s="267"/>
      <c r="AR21" s="331"/>
      <c r="AS21" s="309"/>
      <c r="AT21" s="313"/>
      <c r="AU21" s="319"/>
      <c r="AV21" s="313"/>
      <c r="AW21" s="313"/>
      <c r="AX21" s="320"/>
      <c r="AY21" s="321"/>
      <c r="AZ21" s="322"/>
      <c r="BA21" s="333"/>
      <c r="BB21" s="227"/>
      <c r="BC21" s="303">
        <v>13</v>
      </c>
      <c r="BD21" s="325">
        <f t="shared" si="11"/>
        <v>0</v>
      </c>
      <c r="BE21" s="325">
        <f t="shared" si="7"/>
        <v>0</v>
      </c>
      <c r="BF21" s="326">
        <f t="shared" si="12"/>
        <v>0</v>
      </c>
      <c r="BG21" s="330">
        <f t="shared" si="8"/>
        <v>0</v>
      </c>
      <c r="BH21" s="325" t="e">
        <f t="shared" si="9"/>
        <v>#DIV/0!</v>
      </c>
      <c r="BI21" s="325" t="e">
        <f t="shared" si="9"/>
        <v>#DIV/0!</v>
      </c>
    </row>
    <row r="22" spans="1:61" s="139" customFormat="1" ht="18" customHeight="1">
      <c r="A22" s="431"/>
      <c r="B22" s="302"/>
      <c r="C22" s="303">
        <v>14</v>
      </c>
      <c r="D22" s="281"/>
      <c r="E22" s="458">
        <f>'SQ-1'!N18+'SQ-2'!N18+'SQ-3'!N18+'SQ-4'!N18+'SQ-5'!N18+'SQ-6'!N18+'SQ-7'!N18+'SQ-8'!N18+'SQ-9'!N18</f>
        <v>0</v>
      </c>
      <c r="F22" s="305">
        <f t="shared" si="2"/>
        <v>0</v>
      </c>
      <c r="G22" s="303">
        <f t="shared" si="10"/>
        <v>14</v>
      </c>
      <c r="H22" s="305">
        <f>H21+E22</f>
        <v>0</v>
      </c>
      <c r="I22" s="305">
        <f>IF(E22="","",ROUND(H22/G22,0))</f>
        <v>0</v>
      </c>
      <c r="J22" s="459">
        <f>'SQ-1'!I18+'SQ-2'!I18+'SQ-3'!I18+'SQ-4'!I18+'SQ-5'!I18+'SQ-6'!I18+'SQ-7'!I18+'SQ-8'!I18+'SQ-9'!I18</f>
        <v>0</v>
      </c>
      <c r="K22" s="307">
        <f t="shared" si="4"/>
        <v>0</v>
      </c>
      <c r="L22" s="305" t="e">
        <f>E22/J22</f>
        <v>#DIV/0!</v>
      </c>
      <c r="M22" s="305" t="e">
        <f t="shared" si="6"/>
        <v>#DIV/0!</v>
      </c>
      <c r="N22" s="306"/>
      <c r="O22" s="308" t="e">
        <f t="shared" si="1"/>
        <v>#DIV/0!</v>
      </c>
      <c r="P22" s="458">
        <f>'SQ-1'!M18+'SQ-2'!M18+'SQ-3'!M18+'SQ-4'!M18+'SQ-5'!M18+'SQ-6'!M18+'SQ-7'!M18+'SQ-8'!M18+'SQ-9'!M18</f>
        <v>0</v>
      </c>
      <c r="Q22" s="309"/>
      <c r="R22" s="309"/>
      <c r="S22" s="309"/>
      <c r="T22" s="312"/>
      <c r="U22" s="335"/>
      <c r="V22" s="312"/>
      <c r="W22" s="313"/>
      <c r="X22" s="313"/>
      <c r="Y22" s="313"/>
      <c r="Z22" s="313"/>
      <c r="AA22" s="313"/>
      <c r="AB22" s="314"/>
      <c r="AC22" s="332"/>
      <c r="AD22" s="315"/>
      <c r="AE22" s="313"/>
      <c r="AF22" s="313"/>
      <c r="AG22" s="313"/>
      <c r="AH22" s="313"/>
      <c r="AI22" s="313"/>
      <c r="AJ22" s="313"/>
      <c r="AK22" s="313"/>
      <c r="AL22" s="313"/>
      <c r="AM22" s="313"/>
      <c r="AN22" s="314"/>
      <c r="AO22" s="314"/>
      <c r="AP22" s="336"/>
      <c r="AQ22" s="267"/>
      <c r="AR22" s="318"/>
      <c r="AS22" s="309"/>
      <c r="AT22" s="313"/>
      <c r="AU22" s="319"/>
      <c r="AV22" s="313"/>
      <c r="AW22" s="313"/>
      <c r="AX22" s="320"/>
      <c r="AY22" s="321"/>
      <c r="AZ22" s="322"/>
      <c r="BA22" s="333"/>
      <c r="BC22" s="303">
        <v>14</v>
      </c>
      <c r="BD22" s="325">
        <f>E22</f>
        <v>0</v>
      </c>
      <c r="BE22" s="305">
        <f t="shared" si="7"/>
        <v>0</v>
      </c>
      <c r="BF22" s="326">
        <f t="shared" si="12"/>
        <v>0</v>
      </c>
      <c r="BG22" s="307">
        <f t="shared" si="8"/>
        <v>0</v>
      </c>
      <c r="BH22" s="305" t="e">
        <f t="shared" si="9"/>
        <v>#DIV/0!</v>
      </c>
      <c r="BI22" s="305" t="e">
        <f t="shared" si="9"/>
        <v>#DIV/0!</v>
      </c>
    </row>
    <row r="23" spans="1:61" ht="18" customHeight="1">
      <c r="B23" s="302"/>
      <c r="C23" s="303">
        <v>15</v>
      </c>
      <c r="D23" s="281"/>
      <c r="E23" s="458">
        <f>'SQ-1'!N19+'SQ-2'!N19+'SQ-3'!N19+'SQ-4'!N19+'SQ-5'!N19+'SQ-6'!N19+'SQ-7'!N19+'SQ-8'!N19+'SQ-9'!N19</f>
        <v>0</v>
      </c>
      <c r="F23" s="305">
        <f t="shared" si="2"/>
        <v>0</v>
      </c>
      <c r="G23" s="303">
        <f t="shared" si="10"/>
        <v>15</v>
      </c>
      <c r="H23" s="305">
        <f>H22+E23</f>
        <v>0</v>
      </c>
      <c r="I23" s="305">
        <f>IF(E23="","",ROUND(H23/G23,0))</f>
        <v>0</v>
      </c>
      <c r="J23" s="459">
        <f>'SQ-1'!I19+'SQ-2'!I19+'SQ-3'!I19+'SQ-4'!I19+'SQ-5'!I19+'SQ-6'!I19+'SQ-7'!I19+'SQ-8'!I19+'SQ-9'!I19</f>
        <v>0</v>
      </c>
      <c r="K23" s="307">
        <f t="shared" si="4"/>
        <v>0</v>
      </c>
      <c r="L23" s="305" t="e">
        <f>E23/J23</f>
        <v>#DIV/0!</v>
      </c>
      <c r="M23" s="305" t="e">
        <f t="shared" si="6"/>
        <v>#DIV/0!</v>
      </c>
      <c r="N23" s="306">
        <v>3.16</v>
      </c>
      <c r="O23" s="308" t="e">
        <f t="shared" si="1"/>
        <v>#DIV/0!</v>
      </c>
      <c r="P23" s="458">
        <f>'SQ-1'!M19+'SQ-2'!M19+'SQ-3'!M19+'SQ-4'!M19+'SQ-5'!M19+'SQ-6'!M19+'SQ-7'!M19+'SQ-8'!M19+'SQ-9'!M19</f>
        <v>0</v>
      </c>
      <c r="Q23" s="309"/>
      <c r="R23" s="309"/>
      <c r="S23" s="309"/>
      <c r="T23" s="312"/>
      <c r="U23" s="335"/>
      <c r="V23" s="312"/>
      <c r="W23" s="221"/>
      <c r="X23" s="334"/>
      <c r="Y23" s="221"/>
      <c r="Z23" s="221"/>
      <c r="AA23" s="221"/>
      <c r="AB23" s="314"/>
      <c r="AC23" s="327"/>
      <c r="AD23" s="315"/>
      <c r="AE23" s="221"/>
      <c r="AF23" s="221"/>
      <c r="AG23" s="221"/>
      <c r="AH23" s="221"/>
      <c r="AI23" s="313"/>
      <c r="AJ23" s="221"/>
      <c r="AK23" s="221"/>
      <c r="AL23" s="221"/>
      <c r="AM23" s="221"/>
      <c r="AN23" s="314"/>
      <c r="AO23" s="314"/>
      <c r="AP23" s="336"/>
      <c r="AQ23" s="267"/>
      <c r="AR23" s="318"/>
      <c r="AS23" s="309"/>
      <c r="AT23" s="221"/>
      <c r="AU23" s="319"/>
      <c r="AV23" s="221"/>
      <c r="AW23" s="221"/>
      <c r="AX23" s="320"/>
      <c r="AY23" s="321"/>
      <c r="AZ23" s="322"/>
      <c r="BA23" s="333"/>
      <c r="BC23" s="303">
        <v>15</v>
      </c>
      <c r="BD23" s="325">
        <f>E23</f>
        <v>0</v>
      </c>
      <c r="BE23" s="305">
        <f t="shared" si="7"/>
        <v>0</v>
      </c>
      <c r="BF23" s="326">
        <f t="shared" si="12"/>
        <v>0</v>
      </c>
      <c r="BG23" s="307">
        <f t="shared" si="8"/>
        <v>0</v>
      </c>
      <c r="BH23" s="305" t="e">
        <f t="shared" si="9"/>
        <v>#DIV/0!</v>
      </c>
      <c r="BI23" s="305" t="e">
        <f t="shared" si="9"/>
        <v>#DIV/0!</v>
      </c>
    </row>
    <row r="24" spans="1:61" ht="18" customHeight="1">
      <c r="B24" s="302"/>
      <c r="C24" s="303">
        <v>16</v>
      </c>
      <c r="D24" s="281"/>
      <c r="E24" s="458">
        <f>'SQ-1'!N20+'SQ-2'!N20+'SQ-3'!N20+'SQ-4'!N20+'SQ-5'!N20+'SQ-6'!N20+'SQ-7'!N20+'SQ-8'!N20+'SQ-9'!N20</f>
        <v>0</v>
      </c>
      <c r="F24" s="305">
        <f t="shared" si="2"/>
        <v>0</v>
      </c>
      <c r="G24" s="303">
        <f t="shared" si="10"/>
        <v>16</v>
      </c>
      <c r="H24" s="305">
        <f t="shared" si="3"/>
        <v>0</v>
      </c>
      <c r="I24" s="305">
        <f t="shared" si="0"/>
        <v>0</v>
      </c>
      <c r="J24" s="459">
        <f>'SQ-1'!I20+'SQ-2'!I20+'SQ-3'!I20+'SQ-4'!I20+'SQ-5'!I20+'SQ-6'!I20+'SQ-7'!I20+'SQ-8'!I20+'SQ-9'!I20</f>
        <v>0</v>
      </c>
      <c r="K24" s="307">
        <f t="shared" si="4"/>
        <v>0</v>
      </c>
      <c r="L24" s="305" t="e">
        <f t="shared" si="5"/>
        <v>#DIV/0!</v>
      </c>
      <c r="M24" s="305" t="e">
        <f t="shared" si="6"/>
        <v>#DIV/0!</v>
      </c>
      <c r="N24" s="306">
        <v>2.75</v>
      </c>
      <c r="O24" s="308" t="e">
        <f t="shared" si="1"/>
        <v>#DIV/0!</v>
      </c>
      <c r="P24" s="458">
        <f>'SQ-1'!M20+'SQ-2'!M20+'SQ-3'!M20+'SQ-4'!M20+'SQ-5'!M20+'SQ-6'!M20+'SQ-7'!M20+'SQ-8'!M20+'SQ-9'!M20</f>
        <v>0</v>
      </c>
      <c r="Q24" s="309"/>
      <c r="R24" s="309"/>
      <c r="S24" s="309"/>
      <c r="T24" s="310"/>
      <c r="U24" s="311"/>
      <c r="V24" s="312"/>
      <c r="W24" s="221"/>
      <c r="X24" s="221"/>
      <c r="Y24" s="221"/>
      <c r="Z24" s="221"/>
      <c r="AA24" s="221"/>
      <c r="AB24" s="314"/>
      <c r="AC24" s="327"/>
      <c r="AD24" s="315"/>
      <c r="AE24" s="221"/>
      <c r="AF24" s="221"/>
      <c r="AG24" s="221"/>
      <c r="AH24" s="221"/>
      <c r="AI24" s="221"/>
      <c r="AJ24" s="221"/>
      <c r="AK24" s="221"/>
      <c r="AL24" s="221"/>
      <c r="AM24" s="221"/>
      <c r="AN24" s="316"/>
      <c r="AO24" s="316"/>
      <c r="AP24" s="317"/>
      <c r="AQ24" s="267"/>
      <c r="AR24" s="318"/>
      <c r="AS24" s="309"/>
      <c r="AT24" s="221"/>
      <c r="AU24" s="319"/>
      <c r="AV24" s="221"/>
      <c r="AW24" s="221"/>
      <c r="AX24" s="320"/>
      <c r="AY24" s="321"/>
      <c r="AZ24" s="322"/>
      <c r="BA24" s="333"/>
      <c r="BC24" s="303">
        <v>16</v>
      </c>
      <c r="BD24" s="325">
        <f t="shared" si="11"/>
        <v>0</v>
      </c>
      <c r="BE24" s="305">
        <f t="shared" si="7"/>
        <v>0</v>
      </c>
      <c r="BF24" s="326">
        <f t="shared" si="12"/>
        <v>0</v>
      </c>
      <c r="BG24" s="307">
        <f t="shared" si="8"/>
        <v>0</v>
      </c>
      <c r="BH24" s="305" t="e">
        <f t="shared" si="9"/>
        <v>#DIV/0!</v>
      </c>
      <c r="BI24" s="305" t="e">
        <f t="shared" si="9"/>
        <v>#DIV/0!</v>
      </c>
    </row>
    <row r="25" spans="1:61" ht="18" customHeight="1">
      <c r="B25" s="302"/>
      <c r="C25" s="303">
        <v>17</v>
      </c>
      <c r="D25" s="281"/>
      <c r="E25" s="458">
        <f>'SQ-1'!N21+'SQ-2'!N21+'SQ-3'!N21+'SQ-4'!N21+'SQ-5'!N21+'SQ-6'!N21+'SQ-7'!N21+'SQ-8'!N21+'SQ-9'!N21</f>
        <v>0</v>
      </c>
      <c r="F25" s="305">
        <f t="shared" si="2"/>
        <v>0</v>
      </c>
      <c r="G25" s="303">
        <f t="shared" si="10"/>
        <v>17</v>
      </c>
      <c r="H25" s="305">
        <f t="shared" si="3"/>
        <v>0</v>
      </c>
      <c r="I25" s="305">
        <f t="shared" si="0"/>
        <v>0</v>
      </c>
      <c r="J25" s="459">
        <f>'SQ-1'!I21+'SQ-2'!I21+'SQ-3'!I21+'SQ-4'!I21+'SQ-5'!I21+'SQ-6'!I21+'SQ-7'!I21+'SQ-8'!I21+'SQ-9'!I21</f>
        <v>0</v>
      </c>
      <c r="K25" s="307">
        <f t="shared" si="4"/>
        <v>0</v>
      </c>
      <c r="L25" s="305" t="e">
        <f t="shared" si="5"/>
        <v>#DIV/0!</v>
      </c>
      <c r="M25" s="305" t="e">
        <f t="shared" si="6"/>
        <v>#DIV/0!</v>
      </c>
      <c r="N25" s="306">
        <v>3.08</v>
      </c>
      <c r="O25" s="308" t="e">
        <f t="shared" si="1"/>
        <v>#DIV/0!</v>
      </c>
      <c r="P25" s="458">
        <f>'SQ-1'!M21+'SQ-2'!M21+'SQ-3'!M21+'SQ-4'!M21+'SQ-5'!M21+'SQ-6'!M21+'SQ-7'!M21+'SQ-8'!M21+'SQ-9'!M21</f>
        <v>0</v>
      </c>
      <c r="Q25" s="309"/>
      <c r="R25" s="309"/>
      <c r="S25" s="309"/>
      <c r="T25" s="310"/>
      <c r="U25" s="311"/>
      <c r="V25" s="312"/>
      <c r="W25" s="313"/>
      <c r="X25" s="221"/>
      <c r="Y25" s="221"/>
      <c r="Z25" s="221"/>
      <c r="AA25" s="221"/>
      <c r="AB25" s="314"/>
      <c r="AC25" s="327"/>
      <c r="AD25" s="327"/>
      <c r="AE25" s="221"/>
      <c r="AF25" s="221"/>
      <c r="AG25" s="221"/>
      <c r="AH25" s="221"/>
      <c r="AI25" s="221"/>
      <c r="AJ25" s="221"/>
      <c r="AK25" s="221"/>
      <c r="AL25" s="221"/>
      <c r="AM25" s="221"/>
      <c r="AN25" s="316"/>
      <c r="AO25" s="316"/>
      <c r="AP25" s="317"/>
      <c r="AQ25" s="267"/>
      <c r="AR25" s="318"/>
      <c r="AS25" s="309"/>
      <c r="AT25" s="221"/>
      <c r="AU25" s="319"/>
      <c r="AV25" s="221"/>
      <c r="AW25" s="221"/>
      <c r="AX25" s="320"/>
      <c r="AY25" s="321"/>
      <c r="AZ25" s="322"/>
      <c r="BA25" s="333"/>
      <c r="BC25" s="303">
        <v>17</v>
      </c>
      <c r="BD25" s="325">
        <f t="shared" si="11"/>
        <v>0</v>
      </c>
      <c r="BE25" s="305">
        <f t="shared" si="7"/>
        <v>0</v>
      </c>
      <c r="BF25" s="326">
        <f t="shared" si="12"/>
        <v>0</v>
      </c>
      <c r="BG25" s="307">
        <f t="shared" si="8"/>
        <v>0</v>
      </c>
      <c r="BH25" s="305" t="e">
        <f t="shared" si="9"/>
        <v>#DIV/0!</v>
      </c>
      <c r="BI25" s="305" t="e">
        <f t="shared" si="9"/>
        <v>#DIV/0!</v>
      </c>
    </row>
    <row r="26" spans="1:61" ht="18" customHeight="1">
      <c r="B26" s="302"/>
      <c r="C26" s="303">
        <v>18</v>
      </c>
      <c r="D26" s="281"/>
      <c r="E26" s="458">
        <f>'SQ-1'!N22+'SQ-2'!N22+'SQ-3'!N22+'SQ-4'!N22+'SQ-5'!N22+'SQ-6'!N22+'SQ-7'!N22+'SQ-8'!N22+'SQ-9'!N22</f>
        <v>0</v>
      </c>
      <c r="F26" s="305">
        <f t="shared" si="2"/>
        <v>0</v>
      </c>
      <c r="G26" s="303">
        <f t="shared" si="10"/>
        <v>18</v>
      </c>
      <c r="H26" s="305">
        <f t="shared" si="3"/>
        <v>0</v>
      </c>
      <c r="I26" s="305">
        <f t="shared" si="0"/>
        <v>0</v>
      </c>
      <c r="J26" s="459">
        <f>'SQ-1'!I22+'SQ-2'!I22+'SQ-3'!I22+'SQ-4'!I22+'SQ-5'!I22+'SQ-6'!I22+'SQ-7'!I22+'SQ-8'!I22+'SQ-9'!I22</f>
        <v>0</v>
      </c>
      <c r="K26" s="307">
        <f t="shared" si="4"/>
        <v>0</v>
      </c>
      <c r="L26" s="305" t="e">
        <f t="shared" si="5"/>
        <v>#DIV/0!</v>
      </c>
      <c r="M26" s="305" t="e">
        <f t="shared" si="6"/>
        <v>#DIV/0!</v>
      </c>
      <c r="N26" s="306">
        <v>3.38</v>
      </c>
      <c r="O26" s="308" t="e">
        <f t="shared" si="1"/>
        <v>#DIV/0!</v>
      </c>
      <c r="P26" s="458">
        <f>'SQ-1'!M22+'SQ-2'!M22+'SQ-3'!M22+'SQ-4'!M22+'SQ-5'!M22+'SQ-6'!M22+'SQ-7'!M22+'SQ-8'!M22+'SQ-9'!M22</f>
        <v>0</v>
      </c>
      <c r="Q26" s="309"/>
      <c r="R26" s="309"/>
      <c r="S26" s="309"/>
      <c r="T26" s="310"/>
      <c r="U26" s="311"/>
      <c r="V26" s="312"/>
      <c r="W26" s="221"/>
      <c r="X26" s="221"/>
      <c r="Y26" s="221"/>
      <c r="Z26" s="221"/>
      <c r="AA26" s="221"/>
      <c r="AB26" s="314"/>
      <c r="AC26" s="327"/>
      <c r="AD26" s="315"/>
      <c r="AE26" s="221"/>
      <c r="AF26" s="221"/>
      <c r="AG26" s="221"/>
      <c r="AH26" s="221"/>
      <c r="AI26" s="221"/>
      <c r="AJ26" s="221"/>
      <c r="AK26" s="221"/>
      <c r="AL26" s="221"/>
      <c r="AM26" s="221"/>
      <c r="AN26" s="316"/>
      <c r="AO26" s="316"/>
      <c r="AP26" s="317"/>
      <c r="AQ26" s="267"/>
      <c r="AR26" s="318"/>
      <c r="AS26" s="309"/>
      <c r="AT26" s="313"/>
      <c r="AU26" s="319"/>
      <c r="AV26" s="221"/>
      <c r="AW26" s="221"/>
      <c r="AX26" s="320"/>
      <c r="AY26" s="321"/>
      <c r="AZ26" s="322"/>
      <c r="BA26" s="337"/>
      <c r="BC26" s="303">
        <v>18</v>
      </c>
      <c r="BD26" s="325">
        <f t="shared" si="11"/>
        <v>0</v>
      </c>
      <c r="BE26" s="305">
        <f t="shared" si="7"/>
        <v>0</v>
      </c>
      <c r="BF26" s="326">
        <f t="shared" si="12"/>
        <v>0</v>
      </c>
      <c r="BG26" s="307">
        <f t="shared" si="8"/>
        <v>0</v>
      </c>
      <c r="BH26" s="305" t="e">
        <f t="shared" si="9"/>
        <v>#DIV/0!</v>
      </c>
      <c r="BI26" s="305" t="e">
        <f t="shared" si="9"/>
        <v>#DIV/0!</v>
      </c>
    </row>
    <row r="27" spans="1:61" ht="18" customHeight="1">
      <c r="B27" s="302"/>
      <c r="C27" s="303">
        <v>19</v>
      </c>
      <c r="D27" s="281"/>
      <c r="E27" s="458">
        <f>'SQ-1'!N23+'SQ-2'!N23+'SQ-3'!N23+'SQ-4'!N23+'SQ-5'!N23+'SQ-6'!N23+'SQ-7'!N23+'SQ-8'!N23+'SQ-9'!N23</f>
        <v>0</v>
      </c>
      <c r="F27" s="325">
        <f t="shared" si="2"/>
        <v>0</v>
      </c>
      <c r="G27" s="303">
        <f t="shared" si="10"/>
        <v>19</v>
      </c>
      <c r="H27" s="325">
        <f t="shared" si="3"/>
        <v>0</v>
      </c>
      <c r="I27" s="325">
        <f t="shared" si="0"/>
        <v>0</v>
      </c>
      <c r="J27" s="459">
        <f>'SQ-1'!I23+'SQ-2'!I23+'SQ-3'!I23+'SQ-4'!I23+'SQ-5'!I23+'SQ-6'!I23+'SQ-7'!I23+'SQ-8'!I23+'SQ-9'!I23</f>
        <v>0</v>
      </c>
      <c r="K27" s="330">
        <f t="shared" si="4"/>
        <v>0</v>
      </c>
      <c r="L27" s="325" t="e">
        <f t="shared" si="5"/>
        <v>#DIV/0!</v>
      </c>
      <c r="M27" s="325" t="e">
        <f t="shared" si="6"/>
        <v>#DIV/0!</v>
      </c>
      <c r="N27" s="306">
        <v>3.75</v>
      </c>
      <c r="O27" s="308" t="e">
        <f t="shared" si="1"/>
        <v>#DIV/0!</v>
      </c>
      <c r="P27" s="458">
        <f>'SQ-1'!M23+'SQ-2'!M23+'SQ-3'!M23+'SQ-4'!M23+'SQ-5'!M23+'SQ-6'!M23+'SQ-7'!M23+'SQ-8'!M23+'SQ-9'!M23</f>
        <v>0</v>
      </c>
      <c r="Q27" s="309"/>
      <c r="R27" s="309"/>
      <c r="S27" s="309"/>
      <c r="T27" s="310"/>
      <c r="U27" s="311"/>
      <c r="V27" s="312"/>
      <c r="W27" s="221"/>
      <c r="X27" s="221"/>
      <c r="Y27" s="334"/>
      <c r="Z27" s="221"/>
      <c r="AA27" s="221"/>
      <c r="AB27" s="314"/>
      <c r="AC27" s="327"/>
      <c r="AD27" s="315"/>
      <c r="AE27" s="221"/>
      <c r="AF27" s="221"/>
      <c r="AG27" s="221"/>
      <c r="AH27" s="221"/>
      <c r="AI27" s="221"/>
      <c r="AJ27" s="313"/>
      <c r="AK27" s="334"/>
      <c r="AL27" s="221"/>
      <c r="AM27" s="221"/>
      <c r="AN27" s="316"/>
      <c r="AO27" s="316"/>
      <c r="AP27" s="317"/>
      <c r="AQ27" s="267"/>
      <c r="AR27" s="331"/>
      <c r="AS27" s="309"/>
      <c r="AT27" s="221"/>
      <c r="AU27" s="319"/>
      <c r="AV27" s="221"/>
      <c r="AW27" s="221"/>
      <c r="AX27" s="320"/>
      <c r="AY27" s="321"/>
      <c r="AZ27" s="322"/>
      <c r="BA27" s="328"/>
      <c r="BB27" s="220"/>
      <c r="BC27" s="303">
        <v>19</v>
      </c>
      <c r="BD27" s="325">
        <f t="shared" si="11"/>
        <v>0</v>
      </c>
      <c r="BE27" s="325">
        <f t="shared" si="7"/>
        <v>0</v>
      </c>
      <c r="BF27" s="326">
        <f t="shared" si="12"/>
        <v>0</v>
      </c>
      <c r="BG27" s="330">
        <f t="shared" si="8"/>
        <v>0</v>
      </c>
      <c r="BH27" s="325" t="e">
        <f t="shared" si="9"/>
        <v>#DIV/0!</v>
      </c>
      <c r="BI27" s="325" t="e">
        <f t="shared" si="9"/>
        <v>#DIV/0!</v>
      </c>
    </row>
    <row r="28" spans="1:61" ht="18" customHeight="1">
      <c r="B28" s="302"/>
      <c r="C28" s="303">
        <v>20</v>
      </c>
      <c r="D28" s="281"/>
      <c r="E28" s="458">
        <f>'SQ-1'!N24+'SQ-2'!N24+'SQ-3'!N24+'SQ-4'!N24+'SQ-5'!N24+'SQ-6'!N24+'SQ-7'!N24+'SQ-8'!N24+'SQ-9'!N24</f>
        <v>0</v>
      </c>
      <c r="F28" s="325">
        <f t="shared" si="2"/>
        <v>0</v>
      </c>
      <c r="G28" s="303">
        <f t="shared" si="10"/>
        <v>20</v>
      </c>
      <c r="H28" s="325">
        <f t="shared" si="3"/>
        <v>0</v>
      </c>
      <c r="I28" s="325">
        <f t="shared" si="0"/>
        <v>0</v>
      </c>
      <c r="J28" s="459">
        <f>'SQ-1'!I24+'SQ-2'!I24+'SQ-3'!I24+'SQ-4'!I24+'SQ-5'!I24+'SQ-6'!I24+'SQ-7'!I24+'SQ-8'!I24+'SQ-9'!I24</f>
        <v>0</v>
      </c>
      <c r="K28" s="330">
        <f t="shared" si="4"/>
        <v>0</v>
      </c>
      <c r="L28" s="325" t="e">
        <f t="shared" si="5"/>
        <v>#DIV/0!</v>
      </c>
      <c r="M28" s="325" t="e">
        <f t="shared" si="6"/>
        <v>#DIV/0!</v>
      </c>
      <c r="N28" s="306"/>
      <c r="O28" s="308" t="e">
        <f t="shared" si="1"/>
        <v>#DIV/0!</v>
      </c>
      <c r="P28" s="458">
        <f>'SQ-1'!M24+'SQ-2'!M24+'SQ-3'!M24+'SQ-4'!M24+'SQ-5'!M24+'SQ-6'!M24+'SQ-7'!M24+'SQ-8'!M24+'SQ-9'!M24</f>
        <v>0</v>
      </c>
      <c r="Q28" s="309"/>
      <c r="R28" s="309"/>
      <c r="S28" s="309"/>
      <c r="T28" s="310"/>
      <c r="U28" s="311"/>
      <c r="V28" s="312"/>
      <c r="W28" s="221"/>
      <c r="X28" s="221"/>
      <c r="Y28" s="221"/>
      <c r="Z28" s="221"/>
      <c r="AA28" s="221"/>
      <c r="AB28" s="314"/>
      <c r="AC28" s="327"/>
      <c r="AD28" s="327"/>
      <c r="AE28" s="221"/>
      <c r="AF28" s="221"/>
      <c r="AG28" s="221"/>
      <c r="AH28" s="221"/>
      <c r="AI28" s="221"/>
      <c r="AJ28" s="221"/>
      <c r="AK28" s="221"/>
      <c r="AL28" s="221"/>
      <c r="AM28" s="221"/>
      <c r="AN28" s="316"/>
      <c r="AO28" s="316"/>
      <c r="AP28" s="317"/>
      <c r="AQ28" s="267"/>
      <c r="AR28" s="331"/>
      <c r="AS28" s="309"/>
      <c r="AT28" s="221"/>
      <c r="AU28" s="319"/>
      <c r="AV28" s="221"/>
      <c r="AW28" s="221"/>
      <c r="AX28" s="320"/>
      <c r="AY28" s="321"/>
      <c r="AZ28" s="322"/>
      <c r="BA28" s="338"/>
      <c r="BB28" s="220"/>
      <c r="BC28" s="303">
        <v>20</v>
      </c>
      <c r="BD28" s="325">
        <f t="shared" si="11"/>
        <v>0</v>
      </c>
      <c r="BE28" s="325">
        <f t="shared" si="7"/>
        <v>0</v>
      </c>
      <c r="BF28" s="326">
        <f t="shared" si="12"/>
        <v>0</v>
      </c>
      <c r="BG28" s="330">
        <f t="shared" si="8"/>
        <v>0</v>
      </c>
      <c r="BH28" s="325" t="e">
        <f t="shared" si="9"/>
        <v>#DIV/0!</v>
      </c>
      <c r="BI28" s="325" t="e">
        <f t="shared" si="9"/>
        <v>#DIV/0!</v>
      </c>
    </row>
    <row r="29" spans="1:61" ht="18" customHeight="1">
      <c r="B29" s="302"/>
      <c r="C29" s="303">
        <v>21</v>
      </c>
      <c r="D29" s="281"/>
      <c r="E29" s="458">
        <f>'SQ-1'!N25+'SQ-2'!N25+'SQ-3'!N25+'SQ-4'!N25+'SQ-5'!N25+'SQ-6'!N25+'SQ-7'!N25+'SQ-8'!N25+'SQ-9'!N25</f>
        <v>0</v>
      </c>
      <c r="F29" s="305">
        <f t="shared" si="2"/>
        <v>0</v>
      </c>
      <c r="G29" s="303">
        <f t="shared" si="10"/>
        <v>21</v>
      </c>
      <c r="H29" s="305">
        <f t="shared" si="3"/>
        <v>0</v>
      </c>
      <c r="I29" s="305">
        <f t="shared" si="0"/>
        <v>0</v>
      </c>
      <c r="J29" s="459">
        <f>'SQ-1'!I25+'SQ-2'!I25+'SQ-3'!I25+'SQ-4'!I25+'SQ-5'!I25+'SQ-6'!I25+'SQ-7'!I25+'SQ-8'!I25+'SQ-9'!I25</f>
        <v>0</v>
      </c>
      <c r="K29" s="307">
        <f t="shared" si="4"/>
        <v>0</v>
      </c>
      <c r="L29" s="305" t="e">
        <f t="shared" si="5"/>
        <v>#DIV/0!</v>
      </c>
      <c r="M29" s="305" t="e">
        <f t="shared" si="6"/>
        <v>#DIV/0!</v>
      </c>
      <c r="N29" s="306">
        <v>2.66</v>
      </c>
      <c r="O29" s="308" t="e">
        <f t="shared" si="1"/>
        <v>#DIV/0!</v>
      </c>
      <c r="P29" s="458">
        <f>'SQ-1'!M25+'SQ-2'!M25+'SQ-3'!M25+'SQ-4'!M25+'SQ-5'!M25+'SQ-6'!M25+'SQ-7'!M25+'SQ-8'!M25+'SQ-9'!M25</f>
        <v>0</v>
      </c>
      <c r="Q29" s="309"/>
      <c r="R29" s="309"/>
      <c r="S29" s="309"/>
      <c r="T29" s="310"/>
      <c r="U29" s="311"/>
      <c r="V29" s="312"/>
      <c r="W29" s="339"/>
      <c r="X29" s="304"/>
      <c r="Y29" s="339"/>
      <c r="Z29" s="304"/>
      <c r="AA29" s="304"/>
      <c r="AB29" s="314"/>
      <c r="AC29" s="327"/>
      <c r="AD29" s="327"/>
      <c r="AE29" s="304"/>
      <c r="AF29" s="304"/>
      <c r="AG29" s="304"/>
      <c r="AH29" s="304"/>
      <c r="AI29" s="304"/>
      <c r="AJ29" s="304"/>
      <c r="AK29" s="339"/>
      <c r="AL29" s="304"/>
      <c r="AM29" s="304"/>
      <c r="AN29" s="316"/>
      <c r="AO29" s="316"/>
      <c r="AP29" s="317"/>
      <c r="AQ29" s="267"/>
      <c r="AR29" s="318"/>
      <c r="AS29" s="309"/>
      <c r="AT29" s="304"/>
      <c r="AU29" s="319"/>
      <c r="AV29" s="304"/>
      <c r="AW29" s="304"/>
      <c r="AX29" s="320"/>
      <c r="AY29" s="321"/>
      <c r="AZ29" s="322"/>
      <c r="BA29" s="328"/>
      <c r="BC29" s="303">
        <v>21</v>
      </c>
      <c r="BD29" s="325">
        <f t="shared" si="11"/>
        <v>0</v>
      </c>
      <c r="BE29" s="305">
        <f t="shared" si="7"/>
        <v>0</v>
      </c>
      <c r="BF29" s="326">
        <f t="shared" si="12"/>
        <v>0</v>
      </c>
      <c r="BG29" s="307">
        <f t="shared" si="8"/>
        <v>0</v>
      </c>
      <c r="BH29" s="305" t="e">
        <f t="shared" si="9"/>
        <v>#DIV/0!</v>
      </c>
      <c r="BI29" s="305" t="e">
        <f t="shared" si="9"/>
        <v>#DIV/0!</v>
      </c>
    </row>
    <row r="30" spans="1:61" ht="18" customHeight="1">
      <c r="B30" s="302"/>
      <c r="C30" s="303">
        <v>22</v>
      </c>
      <c r="D30" s="281"/>
      <c r="E30" s="458">
        <f>'SQ-1'!N26+'SQ-2'!N26+'SQ-3'!N26+'SQ-4'!N26+'SQ-5'!N26+'SQ-6'!N26+'SQ-7'!N26+'SQ-8'!N26+'SQ-9'!N26</f>
        <v>0</v>
      </c>
      <c r="F30" s="305">
        <f t="shared" si="2"/>
        <v>0</v>
      </c>
      <c r="G30" s="303">
        <f t="shared" si="10"/>
        <v>22</v>
      </c>
      <c r="H30" s="305">
        <f t="shared" si="3"/>
        <v>0</v>
      </c>
      <c r="I30" s="305">
        <f t="shared" si="0"/>
        <v>0</v>
      </c>
      <c r="J30" s="459">
        <f>'SQ-1'!I26+'SQ-2'!I26+'SQ-3'!I26+'SQ-4'!I26+'SQ-5'!I26+'SQ-6'!I26+'SQ-7'!I26+'SQ-8'!I26+'SQ-9'!I26</f>
        <v>0</v>
      </c>
      <c r="K30" s="307">
        <f t="shared" si="4"/>
        <v>0</v>
      </c>
      <c r="L30" s="305" t="e">
        <f t="shared" si="5"/>
        <v>#DIV/0!</v>
      </c>
      <c r="M30" s="305" t="e">
        <f t="shared" si="6"/>
        <v>#DIV/0!</v>
      </c>
      <c r="N30" s="306">
        <v>2.1800000000000002</v>
      </c>
      <c r="O30" s="308" t="e">
        <f t="shared" si="1"/>
        <v>#DIV/0!</v>
      </c>
      <c r="P30" s="458">
        <f>'SQ-1'!M26+'SQ-2'!M26+'SQ-3'!M26+'SQ-4'!M26+'SQ-5'!M26+'SQ-6'!M26+'SQ-7'!M26+'SQ-8'!M26+'SQ-9'!M26</f>
        <v>0</v>
      </c>
      <c r="Q30" s="309"/>
      <c r="R30" s="309"/>
      <c r="S30" s="309"/>
      <c r="T30" s="310"/>
      <c r="U30" s="311"/>
      <c r="V30" s="312"/>
      <c r="W30" s="304"/>
      <c r="X30" s="304"/>
      <c r="Y30" s="304"/>
      <c r="Z30" s="304"/>
      <c r="AA30" s="304"/>
      <c r="AB30" s="314"/>
      <c r="AC30" s="327"/>
      <c r="AD30" s="327"/>
      <c r="AE30" s="304"/>
      <c r="AF30" s="304"/>
      <c r="AG30" s="304"/>
      <c r="AH30" s="304"/>
      <c r="AI30" s="304"/>
      <c r="AJ30" s="304"/>
      <c r="AK30" s="304"/>
      <c r="AL30" s="304"/>
      <c r="AM30" s="304"/>
      <c r="AN30" s="316"/>
      <c r="AO30" s="316"/>
      <c r="AP30" s="317"/>
      <c r="AQ30" s="267"/>
      <c r="AR30" s="318"/>
      <c r="AS30" s="309"/>
      <c r="AT30" s="304"/>
      <c r="AU30" s="319"/>
      <c r="AV30" s="304"/>
      <c r="AW30" s="304"/>
      <c r="AX30" s="320"/>
      <c r="AY30" s="321"/>
      <c r="AZ30" s="322"/>
      <c r="BA30" s="328"/>
      <c r="BC30" s="303">
        <v>22</v>
      </c>
      <c r="BD30" s="325">
        <f t="shared" si="11"/>
        <v>0</v>
      </c>
      <c r="BE30" s="305">
        <f t="shared" si="7"/>
        <v>0</v>
      </c>
      <c r="BF30" s="326">
        <f t="shared" si="12"/>
        <v>0</v>
      </c>
      <c r="BG30" s="307">
        <f t="shared" si="8"/>
        <v>0</v>
      </c>
      <c r="BH30" s="305" t="e">
        <f t="shared" si="9"/>
        <v>#DIV/0!</v>
      </c>
      <c r="BI30" s="305" t="e">
        <f t="shared" si="9"/>
        <v>#DIV/0!</v>
      </c>
    </row>
    <row r="31" spans="1:61" ht="18" customHeight="1">
      <c r="B31" s="302"/>
      <c r="C31" s="303">
        <v>23</v>
      </c>
      <c r="D31" s="281"/>
      <c r="E31" s="458">
        <f>'SQ-1'!N27+'SQ-2'!N27+'SQ-3'!N27+'SQ-4'!N27+'SQ-5'!N27+'SQ-6'!N27+'SQ-7'!N27+'SQ-8'!N27+'SQ-9'!N27</f>
        <v>0</v>
      </c>
      <c r="F31" s="305">
        <f t="shared" si="2"/>
        <v>0</v>
      </c>
      <c r="G31" s="303">
        <f t="shared" si="10"/>
        <v>23</v>
      </c>
      <c r="H31" s="305">
        <f t="shared" si="3"/>
        <v>0</v>
      </c>
      <c r="I31" s="305">
        <f t="shared" si="0"/>
        <v>0</v>
      </c>
      <c r="J31" s="459">
        <f>'SQ-1'!I27+'SQ-2'!I27+'SQ-3'!I27+'SQ-4'!I27+'SQ-5'!I27+'SQ-6'!I27+'SQ-7'!I27+'SQ-8'!I27+'SQ-9'!I27</f>
        <v>0</v>
      </c>
      <c r="K31" s="307">
        <f t="shared" si="4"/>
        <v>0</v>
      </c>
      <c r="L31" s="305" t="e">
        <f t="shared" si="5"/>
        <v>#DIV/0!</v>
      </c>
      <c r="M31" s="305" t="e">
        <f t="shared" si="6"/>
        <v>#DIV/0!</v>
      </c>
      <c r="N31" s="306">
        <v>3</v>
      </c>
      <c r="O31" s="308" t="e">
        <f t="shared" si="1"/>
        <v>#DIV/0!</v>
      </c>
      <c r="P31" s="458">
        <f>'SQ-1'!M27+'SQ-2'!M27+'SQ-3'!M27+'SQ-4'!M27+'SQ-5'!M27+'SQ-6'!M27+'SQ-7'!M27+'SQ-8'!M27+'SQ-9'!M27</f>
        <v>0</v>
      </c>
      <c r="Q31" s="309"/>
      <c r="R31" s="309"/>
      <c r="S31" s="309"/>
      <c r="T31" s="310"/>
      <c r="U31" s="311"/>
      <c r="V31" s="312"/>
      <c r="W31" s="304"/>
      <c r="X31" s="304"/>
      <c r="Y31" s="304"/>
      <c r="Z31" s="304"/>
      <c r="AA31" s="304"/>
      <c r="AB31" s="314"/>
      <c r="AC31" s="332"/>
      <c r="AD31" s="327"/>
      <c r="AE31" s="304"/>
      <c r="AF31" s="304"/>
      <c r="AG31" s="304"/>
      <c r="AH31" s="304"/>
      <c r="AI31" s="304"/>
      <c r="AJ31" s="304"/>
      <c r="AK31" s="304"/>
      <c r="AL31" s="339"/>
      <c r="AM31" s="304"/>
      <c r="AN31" s="316"/>
      <c r="AO31" s="316"/>
      <c r="AP31" s="317"/>
      <c r="AQ31" s="267"/>
      <c r="AR31" s="331"/>
      <c r="AS31" s="309"/>
      <c r="AT31" s="304"/>
      <c r="AU31" s="319"/>
      <c r="AV31" s="304"/>
      <c r="AW31" s="304"/>
      <c r="AX31" s="340"/>
      <c r="AY31" s="321"/>
      <c r="AZ31" s="341"/>
      <c r="BA31" s="328"/>
      <c r="BC31" s="303">
        <v>23</v>
      </c>
      <c r="BD31" s="325">
        <f t="shared" si="11"/>
        <v>0</v>
      </c>
      <c r="BE31" s="305">
        <f t="shared" si="7"/>
        <v>0</v>
      </c>
      <c r="BF31" s="326">
        <f t="shared" si="12"/>
        <v>0</v>
      </c>
      <c r="BG31" s="307">
        <f t="shared" si="8"/>
        <v>0</v>
      </c>
      <c r="BH31" s="305" t="e">
        <f t="shared" si="9"/>
        <v>#DIV/0!</v>
      </c>
      <c r="BI31" s="305" t="e">
        <f t="shared" si="9"/>
        <v>#DIV/0!</v>
      </c>
    </row>
    <row r="32" spans="1:61" s="220" customFormat="1" ht="18" customHeight="1">
      <c r="B32" s="302"/>
      <c r="C32" s="303">
        <v>24</v>
      </c>
      <c r="D32" s="281"/>
      <c r="E32" s="458">
        <f>'SQ-1'!N28+'SQ-2'!N28+'SQ-3'!N28+'SQ-4'!N28+'SQ-5'!N28+'SQ-6'!N28+'SQ-7'!N28+'SQ-8'!N28+'SQ-9'!N28</f>
        <v>0</v>
      </c>
      <c r="F32" s="305">
        <f t="shared" si="2"/>
        <v>0</v>
      </c>
      <c r="G32" s="303">
        <f t="shared" si="10"/>
        <v>24</v>
      </c>
      <c r="H32" s="305">
        <f t="shared" si="3"/>
        <v>0</v>
      </c>
      <c r="I32" s="305">
        <f t="shared" si="0"/>
        <v>0</v>
      </c>
      <c r="J32" s="459">
        <f>'SQ-1'!I28+'SQ-2'!I28+'SQ-3'!I28+'SQ-4'!I28+'SQ-5'!I28+'SQ-6'!I28+'SQ-7'!I28+'SQ-8'!I28+'SQ-9'!I28</f>
        <v>0</v>
      </c>
      <c r="K32" s="307">
        <f t="shared" si="4"/>
        <v>0</v>
      </c>
      <c r="L32" s="305" t="e">
        <f t="shared" si="5"/>
        <v>#DIV/0!</v>
      </c>
      <c r="M32" s="305" t="e">
        <f t="shared" si="6"/>
        <v>#DIV/0!</v>
      </c>
      <c r="N32" s="306"/>
      <c r="O32" s="308" t="e">
        <f t="shared" si="1"/>
        <v>#DIV/0!</v>
      </c>
      <c r="P32" s="458">
        <f>'SQ-1'!M28+'SQ-2'!M28+'SQ-3'!M28+'SQ-4'!M28+'SQ-5'!M28+'SQ-6'!M28+'SQ-7'!M28+'SQ-8'!M28+'SQ-9'!M28</f>
        <v>0</v>
      </c>
      <c r="Q32" s="309"/>
      <c r="R32" s="309"/>
      <c r="S32" s="309"/>
      <c r="T32" s="310"/>
      <c r="U32" s="311"/>
      <c r="V32" s="312"/>
      <c r="W32" s="304"/>
      <c r="X32" s="304"/>
      <c r="Y32" s="304"/>
      <c r="Z32" s="304"/>
      <c r="AA32" s="304"/>
      <c r="AB32" s="314"/>
      <c r="AC32" s="327"/>
      <c r="AD32" s="327"/>
      <c r="AE32" s="304"/>
      <c r="AF32" s="304"/>
      <c r="AG32" s="304"/>
      <c r="AH32" s="304"/>
      <c r="AI32" s="304"/>
      <c r="AJ32" s="304"/>
      <c r="AK32" s="304"/>
      <c r="AL32" s="304"/>
      <c r="AM32" s="304"/>
      <c r="AN32" s="316"/>
      <c r="AO32" s="316"/>
      <c r="AP32" s="317"/>
      <c r="AQ32" s="267"/>
      <c r="AR32" s="331"/>
      <c r="AS32" s="309"/>
      <c r="AT32" s="304"/>
      <c r="AU32" s="319"/>
      <c r="AV32" s="304"/>
      <c r="AW32" s="304"/>
      <c r="AX32" s="340"/>
      <c r="AY32" s="321"/>
      <c r="AZ32" s="341"/>
      <c r="BA32" s="328"/>
      <c r="BC32" s="303">
        <v>24</v>
      </c>
      <c r="BD32" s="325">
        <f t="shared" si="11"/>
        <v>0</v>
      </c>
      <c r="BE32" s="305">
        <f t="shared" si="7"/>
        <v>0</v>
      </c>
      <c r="BF32" s="326">
        <f t="shared" si="12"/>
        <v>0</v>
      </c>
      <c r="BG32" s="307">
        <f t="shared" si="8"/>
        <v>0</v>
      </c>
      <c r="BH32" s="305" t="e">
        <f t="shared" si="9"/>
        <v>#DIV/0!</v>
      </c>
      <c r="BI32" s="305" t="e">
        <f t="shared" si="9"/>
        <v>#DIV/0!</v>
      </c>
    </row>
    <row r="33" spans="1:61" ht="18" customHeight="1">
      <c r="B33" s="302"/>
      <c r="C33" s="303">
        <v>25</v>
      </c>
      <c r="D33" s="281"/>
      <c r="E33" s="458">
        <f>'SQ-1'!N29+'SQ-2'!N29+'SQ-3'!N29+'SQ-4'!N29+'SQ-5'!N29+'SQ-6'!N29+'SQ-7'!N29+'SQ-8'!N29+'SQ-9'!N29</f>
        <v>0</v>
      </c>
      <c r="F33" s="305">
        <f t="shared" si="2"/>
        <v>0</v>
      </c>
      <c r="G33" s="303">
        <f t="shared" si="10"/>
        <v>25</v>
      </c>
      <c r="H33" s="305">
        <f t="shared" si="3"/>
        <v>0</v>
      </c>
      <c r="I33" s="305">
        <f t="shared" si="0"/>
        <v>0</v>
      </c>
      <c r="J33" s="459">
        <f>'SQ-1'!I29+'SQ-2'!I29+'SQ-3'!I29+'SQ-4'!I29+'SQ-5'!I29+'SQ-6'!I29+'SQ-7'!I29+'SQ-8'!I29+'SQ-9'!I29</f>
        <v>0</v>
      </c>
      <c r="K33" s="307">
        <f t="shared" si="4"/>
        <v>0</v>
      </c>
      <c r="L33" s="305" t="e">
        <f t="shared" si="5"/>
        <v>#DIV/0!</v>
      </c>
      <c r="M33" s="305" t="e">
        <f t="shared" si="6"/>
        <v>#DIV/0!</v>
      </c>
      <c r="N33" s="306"/>
      <c r="O33" s="308" t="e">
        <f t="shared" si="1"/>
        <v>#DIV/0!</v>
      </c>
      <c r="P33" s="458">
        <f>'SQ-1'!M29+'SQ-2'!M29+'SQ-3'!M29+'SQ-4'!M29+'SQ-5'!M29+'SQ-6'!M29+'SQ-7'!M29+'SQ-8'!M29+'SQ-9'!M29</f>
        <v>0</v>
      </c>
      <c r="Q33" s="309"/>
      <c r="R33" s="309"/>
      <c r="S33" s="309"/>
      <c r="T33" s="310"/>
      <c r="U33" s="311"/>
      <c r="V33" s="312"/>
      <c r="W33" s="304"/>
      <c r="X33" s="304"/>
      <c r="Y33" s="304"/>
      <c r="Z33" s="304"/>
      <c r="AA33" s="304"/>
      <c r="AB33" s="314"/>
      <c r="AC33" s="327"/>
      <c r="AD33" s="327"/>
      <c r="AE33" s="304"/>
      <c r="AF33" s="304"/>
      <c r="AG33" s="304"/>
      <c r="AH33" s="304"/>
      <c r="AI33" s="304"/>
      <c r="AJ33" s="304"/>
      <c r="AK33" s="304"/>
      <c r="AL33" s="304"/>
      <c r="AM33" s="304"/>
      <c r="AN33" s="316"/>
      <c r="AO33" s="316"/>
      <c r="AP33" s="317"/>
      <c r="AQ33" s="267"/>
      <c r="AR33" s="318"/>
      <c r="AS33" s="309"/>
      <c r="AT33" s="304"/>
      <c r="AU33" s="319"/>
      <c r="AV33" s="304"/>
      <c r="AW33" s="304"/>
      <c r="AX33" s="340"/>
      <c r="AY33" s="321"/>
      <c r="AZ33" s="341"/>
      <c r="BA33" s="333"/>
      <c r="BC33" s="303">
        <v>25</v>
      </c>
      <c r="BD33" s="325">
        <f t="shared" si="11"/>
        <v>0</v>
      </c>
      <c r="BE33" s="305">
        <f t="shared" si="7"/>
        <v>0</v>
      </c>
      <c r="BF33" s="326">
        <f t="shared" si="12"/>
        <v>0</v>
      </c>
      <c r="BG33" s="307">
        <f t="shared" si="8"/>
        <v>0</v>
      </c>
      <c r="BH33" s="305" t="e">
        <f t="shared" si="9"/>
        <v>#DIV/0!</v>
      </c>
      <c r="BI33" s="305" t="e">
        <f t="shared" si="9"/>
        <v>#DIV/0!</v>
      </c>
    </row>
    <row r="34" spans="1:61" ht="18" customHeight="1">
      <c r="B34" s="302"/>
      <c r="C34" s="303">
        <v>26</v>
      </c>
      <c r="D34" s="281"/>
      <c r="E34" s="458">
        <f>'SQ-1'!N30+'SQ-2'!N30+'SQ-3'!N30+'SQ-4'!N30+'SQ-5'!N30+'SQ-6'!N30+'SQ-7'!N30+'SQ-8'!N30+'SQ-9'!N30</f>
        <v>0</v>
      </c>
      <c r="F34" s="305">
        <f t="shared" si="2"/>
        <v>0</v>
      </c>
      <c r="G34" s="303">
        <f t="shared" si="10"/>
        <v>26</v>
      </c>
      <c r="H34" s="305">
        <f t="shared" si="3"/>
        <v>0</v>
      </c>
      <c r="I34" s="305">
        <f t="shared" si="0"/>
        <v>0</v>
      </c>
      <c r="J34" s="459">
        <f>'SQ-1'!I30+'SQ-2'!I30+'SQ-3'!I30+'SQ-4'!I30+'SQ-5'!I30+'SQ-6'!I30+'SQ-7'!I30+'SQ-8'!I30+'SQ-9'!I30</f>
        <v>0</v>
      </c>
      <c r="K34" s="307">
        <f t="shared" si="4"/>
        <v>0</v>
      </c>
      <c r="L34" s="305" t="e">
        <f t="shared" si="5"/>
        <v>#DIV/0!</v>
      </c>
      <c r="M34" s="325" t="e">
        <f t="shared" si="6"/>
        <v>#DIV/0!</v>
      </c>
      <c r="N34" s="306"/>
      <c r="O34" s="308" t="e">
        <f t="shared" si="1"/>
        <v>#DIV/0!</v>
      </c>
      <c r="P34" s="458">
        <f>'SQ-1'!M30+'SQ-2'!M30+'SQ-3'!M30+'SQ-4'!M30+'SQ-5'!M30+'SQ-6'!M30+'SQ-7'!M30+'SQ-8'!M30+'SQ-9'!M30</f>
        <v>0</v>
      </c>
      <c r="Q34" s="309"/>
      <c r="R34" s="309"/>
      <c r="S34" s="309"/>
      <c r="T34" s="310"/>
      <c r="U34" s="311"/>
      <c r="V34" s="312"/>
      <c r="W34" s="304"/>
      <c r="X34" s="304"/>
      <c r="Y34" s="304"/>
      <c r="Z34" s="304"/>
      <c r="AA34" s="304"/>
      <c r="AB34" s="314"/>
      <c r="AC34" s="327"/>
      <c r="AD34" s="327"/>
      <c r="AE34" s="304"/>
      <c r="AF34" s="304"/>
      <c r="AG34" s="304"/>
      <c r="AH34" s="304"/>
      <c r="AI34" s="304"/>
      <c r="AJ34" s="304"/>
      <c r="AK34" s="304"/>
      <c r="AL34" s="304"/>
      <c r="AM34" s="304"/>
      <c r="AN34" s="316"/>
      <c r="AO34" s="316"/>
      <c r="AP34" s="317"/>
      <c r="AQ34" s="267"/>
      <c r="AR34" s="318"/>
      <c r="AS34" s="309"/>
      <c r="AT34" s="304"/>
      <c r="AU34" s="319"/>
      <c r="AV34" s="304"/>
      <c r="AW34" s="304"/>
      <c r="AX34" s="340"/>
      <c r="AY34" s="321"/>
      <c r="AZ34" s="341"/>
      <c r="BA34" s="333"/>
      <c r="BC34" s="303">
        <v>26</v>
      </c>
      <c r="BD34" s="325">
        <f t="shared" si="11"/>
        <v>0</v>
      </c>
      <c r="BE34" s="305">
        <f t="shared" si="7"/>
        <v>0</v>
      </c>
      <c r="BF34" s="326">
        <f t="shared" si="12"/>
        <v>0</v>
      </c>
      <c r="BG34" s="307">
        <f t="shared" si="8"/>
        <v>0</v>
      </c>
      <c r="BH34" s="305" t="e">
        <f t="shared" si="9"/>
        <v>#DIV/0!</v>
      </c>
      <c r="BI34" s="305" t="e">
        <f t="shared" si="9"/>
        <v>#DIV/0!</v>
      </c>
    </row>
    <row r="35" spans="1:61" ht="18" customHeight="1">
      <c r="B35" s="302"/>
      <c r="C35" s="303">
        <v>27</v>
      </c>
      <c r="D35" s="281"/>
      <c r="E35" s="458">
        <f>'SQ-1'!N31+'SQ-2'!N31+'SQ-3'!N31+'SQ-4'!N31+'SQ-5'!N31+'SQ-6'!N31+'SQ-7'!N31+'SQ-8'!N31+'SQ-9'!N31</f>
        <v>0</v>
      </c>
      <c r="F35" s="305">
        <f t="shared" si="2"/>
        <v>0</v>
      </c>
      <c r="G35" s="303">
        <f t="shared" si="10"/>
        <v>27</v>
      </c>
      <c r="H35" s="325">
        <f t="shared" si="3"/>
        <v>0</v>
      </c>
      <c r="I35" s="325">
        <f t="shared" si="0"/>
        <v>0</v>
      </c>
      <c r="J35" s="459">
        <f>'SQ-1'!I31+'SQ-2'!I31+'SQ-3'!I31+'SQ-4'!I31+'SQ-5'!I31+'SQ-6'!I31+'SQ-7'!I31+'SQ-8'!I31+'SQ-9'!I31</f>
        <v>0</v>
      </c>
      <c r="K35" s="330">
        <f t="shared" si="4"/>
        <v>0</v>
      </c>
      <c r="L35" s="325" t="e">
        <f t="shared" si="5"/>
        <v>#DIV/0!</v>
      </c>
      <c r="M35" s="325" t="e">
        <f t="shared" si="6"/>
        <v>#DIV/0!</v>
      </c>
      <c r="N35" s="306"/>
      <c r="O35" s="308" t="e">
        <f t="shared" si="1"/>
        <v>#DIV/0!</v>
      </c>
      <c r="P35" s="458">
        <f>'SQ-1'!M31+'SQ-2'!M31+'SQ-3'!M31+'SQ-4'!M31+'SQ-5'!M31+'SQ-6'!M31+'SQ-7'!M31+'SQ-8'!M31+'SQ-9'!M31</f>
        <v>0</v>
      </c>
      <c r="Q35" s="309"/>
      <c r="R35" s="309"/>
      <c r="S35" s="309"/>
      <c r="T35" s="312"/>
      <c r="U35" s="335"/>
      <c r="V35" s="342"/>
      <c r="W35" s="304"/>
      <c r="X35" s="304"/>
      <c r="Y35" s="304"/>
      <c r="Z35" s="304"/>
      <c r="AA35" s="304"/>
      <c r="AB35" s="314"/>
      <c r="AC35" s="327"/>
      <c r="AD35" s="327"/>
      <c r="AE35" s="304"/>
      <c r="AF35" s="304"/>
      <c r="AG35" s="304"/>
      <c r="AH35" s="304"/>
      <c r="AI35" s="304"/>
      <c r="AJ35" s="304"/>
      <c r="AK35" s="304"/>
      <c r="AL35" s="304"/>
      <c r="AM35" s="304"/>
      <c r="AN35" s="316"/>
      <c r="AO35" s="316"/>
      <c r="AP35" s="317"/>
      <c r="AQ35" s="267"/>
      <c r="AR35" s="331"/>
      <c r="AS35" s="309"/>
      <c r="AT35" s="304"/>
      <c r="AU35" s="319"/>
      <c r="AV35" s="304"/>
      <c r="AW35" s="304"/>
      <c r="AX35" s="340"/>
      <c r="AY35" s="321"/>
      <c r="AZ35" s="341"/>
      <c r="BA35" s="323"/>
      <c r="BB35" s="220"/>
      <c r="BC35" s="303">
        <v>27</v>
      </c>
      <c r="BD35" s="325">
        <f t="shared" si="11"/>
        <v>0</v>
      </c>
      <c r="BE35" s="325">
        <f t="shared" si="7"/>
        <v>0</v>
      </c>
      <c r="BF35" s="326">
        <f t="shared" si="12"/>
        <v>0</v>
      </c>
      <c r="BG35" s="330">
        <f t="shared" si="8"/>
        <v>0</v>
      </c>
      <c r="BH35" s="325" t="e">
        <f t="shared" si="9"/>
        <v>#DIV/0!</v>
      </c>
      <c r="BI35" s="325" t="e">
        <f t="shared" si="9"/>
        <v>#DIV/0!</v>
      </c>
    </row>
    <row r="36" spans="1:61" ht="18" customHeight="1">
      <c r="A36" s="19" t="s">
        <v>161</v>
      </c>
      <c r="B36" s="302"/>
      <c r="C36" s="303">
        <v>28</v>
      </c>
      <c r="D36" s="281"/>
      <c r="E36" s="458">
        <f>'SQ-1'!N32+'SQ-2'!N32+'SQ-3'!N32+'SQ-4'!N32+'SQ-5'!N32+'SQ-6'!N32+'SQ-7'!N32+'SQ-8'!N32+'SQ-9'!N32</f>
        <v>0</v>
      </c>
      <c r="F36" s="305">
        <f t="shared" si="2"/>
        <v>0</v>
      </c>
      <c r="G36" s="303">
        <f t="shared" si="10"/>
        <v>28</v>
      </c>
      <c r="H36" s="305">
        <f t="shared" si="3"/>
        <v>0</v>
      </c>
      <c r="I36" s="305">
        <f t="shared" si="0"/>
        <v>0</v>
      </c>
      <c r="J36" s="459">
        <f>'SQ-1'!I32+'SQ-2'!I32+'SQ-3'!I32+'SQ-4'!I32+'SQ-5'!I32+'SQ-6'!I32+'SQ-7'!I32+'SQ-8'!I32+'SQ-9'!I32</f>
        <v>0</v>
      </c>
      <c r="K36" s="307">
        <f t="shared" si="4"/>
        <v>0</v>
      </c>
      <c r="L36" s="305" t="e">
        <f t="shared" si="5"/>
        <v>#DIV/0!</v>
      </c>
      <c r="M36" s="305" t="e">
        <f t="shared" si="6"/>
        <v>#DIV/0!</v>
      </c>
      <c r="N36" s="306"/>
      <c r="O36" s="308" t="e">
        <f t="shared" si="1"/>
        <v>#DIV/0!</v>
      </c>
      <c r="P36" s="458">
        <f>'SQ-1'!M32+'SQ-2'!M32+'SQ-3'!M32+'SQ-4'!M32+'SQ-5'!M32+'SQ-6'!M32+'SQ-7'!M32+'SQ-8'!M32+'SQ-9'!M32</f>
        <v>0</v>
      </c>
      <c r="Q36" s="309"/>
      <c r="R36" s="309"/>
      <c r="S36" s="309"/>
      <c r="T36" s="312"/>
      <c r="U36" s="335"/>
      <c r="V36" s="342"/>
      <c r="W36" s="304"/>
      <c r="X36" s="304"/>
      <c r="Y36" s="304"/>
      <c r="Z36" s="304"/>
      <c r="AA36" s="304"/>
      <c r="AB36" s="314"/>
      <c r="AC36" s="327"/>
      <c r="AD36" s="327"/>
      <c r="AE36" s="304"/>
      <c r="AF36" s="304"/>
      <c r="AG36" s="304"/>
      <c r="AH36" s="304"/>
      <c r="AI36" s="304"/>
      <c r="AJ36" s="304"/>
      <c r="AK36" s="304"/>
      <c r="AL36" s="304"/>
      <c r="AM36" s="304"/>
      <c r="AN36" s="316"/>
      <c r="AO36" s="316"/>
      <c r="AP36" s="317"/>
      <c r="AQ36" s="267"/>
      <c r="AR36" s="331"/>
      <c r="AS36" s="309"/>
      <c r="AT36" s="304"/>
      <c r="AU36" s="319"/>
      <c r="AV36" s="304"/>
      <c r="AW36" s="304"/>
      <c r="AX36" s="340"/>
      <c r="AY36" s="321"/>
      <c r="AZ36" s="341"/>
      <c r="BA36" s="328"/>
      <c r="BC36" s="303">
        <v>28</v>
      </c>
      <c r="BD36" s="325">
        <f t="shared" si="11"/>
        <v>0</v>
      </c>
      <c r="BE36" s="305">
        <f t="shared" si="7"/>
        <v>0</v>
      </c>
      <c r="BF36" s="326">
        <f t="shared" si="12"/>
        <v>0</v>
      </c>
      <c r="BG36" s="307">
        <f t="shared" si="8"/>
        <v>0</v>
      </c>
      <c r="BH36" s="305" t="e">
        <f t="shared" si="9"/>
        <v>#DIV/0!</v>
      </c>
      <c r="BI36" s="305" t="e">
        <f t="shared" si="9"/>
        <v>#DIV/0!</v>
      </c>
    </row>
    <row r="37" spans="1:61" ht="18" customHeight="1">
      <c r="B37" s="302"/>
      <c r="C37" s="303">
        <v>29</v>
      </c>
      <c r="D37" s="281"/>
      <c r="E37" s="458">
        <f>'SQ-1'!N33+'SQ-2'!N33+'SQ-3'!N33+'SQ-4'!N33+'SQ-5'!N33+'SQ-6'!N33+'SQ-7'!N33+'SQ-8'!N33+'SQ-9'!N33</f>
        <v>0</v>
      </c>
      <c r="F37" s="305">
        <f t="shared" si="2"/>
        <v>0</v>
      </c>
      <c r="G37" s="303">
        <f t="shared" si="10"/>
        <v>29</v>
      </c>
      <c r="H37" s="305">
        <f t="shared" si="3"/>
        <v>0</v>
      </c>
      <c r="I37" s="305">
        <f t="shared" si="0"/>
        <v>0</v>
      </c>
      <c r="J37" s="459">
        <f>'SQ-1'!I33+'SQ-2'!I33+'SQ-3'!I33+'SQ-4'!I33+'SQ-5'!I33+'SQ-6'!I33+'SQ-7'!I33+'SQ-8'!I33+'SQ-9'!I33</f>
        <v>0</v>
      </c>
      <c r="K37" s="307">
        <f t="shared" si="4"/>
        <v>0</v>
      </c>
      <c r="L37" s="305" t="e">
        <f t="shared" si="5"/>
        <v>#DIV/0!</v>
      </c>
      <c r="M37" s="305" t="e">
        <f t="shared" si="6"/>
        <v>#DIV/0!</v>
      </c>
      <c r="N37" s="306"/>
      <c r="O37" s="308" t="e">
        <f t="shared" si="1"/>
        <v>#DIV/0!</v>
      </c>
      <c r="P37" s="458">
        <f>'SQ-1'!M33+'SQ-2'!M33+'SQ-3'!M33+'SQ-4'!M33+'SQ-5'!M33+'SQ-6'!M33+'SQ-7'!M33+'SQ-8'!M33+'SQ-9'!M33</f>
        <v>0</v>
      </c>
      <c r="Q37" s="309"/>
      <c r="R37" s="309"/>
      <c r="S37" s="309"/>
      <c r="T37" s="310"/>
      <c r="U37" s="311"/>
      <c r="V37" s="312"/>
      <c r="W37" s="304"/>
      <c r="X37" s="304"/>
      <c r="Y37" s="304"/>
      <c r="Z37" s="304"/>
      <c r="AA37" s="304"/>
      <c r="AB37" s="314"/>
      <c r="AC37" s="327"/>
      <c r="AD37" s="327"/>
      <c r="AE37" s="304"/>
      <c r="AF37" s="304"/>
      <c r="AG37" s="304"/>
      <c r="AH37" s="304"/>
      <c r="AI37" s="304"/>
      <c r="AJ37" s="304"/>
      <c r="AK37" s="304"/>
      <c r="AL37" s="304"/>
      <c r="AM37" s="304"/>
      <c r="AN37" s="316"/>
      <c r="AO37" s="316"/>
      <c r="AP37" s="317"/>
      <c r="AQ37" s="267"/>
      <c r="AR37" s="318"/>
      <c r="AS37" s="309"/>
      <c r="AT37" s="304"/>
      <c r="AU37" s="319"/>
      <c r="AV37" s="304"/>
      <c r="AW37" s="304"/>
      <c r="AX37" s="340"/>
      <c r="AY37" s="321"/>
      <c r="AZ37" s="341"/>
      <c r="BA37" s="328"/>
      <c r="BC37" s="303">
        <f>IF($B37="-","",BC36+1)</f>
        <v>29</v>
      </c>
      <c r="BD37" s="325">
        <f t="shared" si="11"/>
        <v>0</v>
      </c>
      <c r="BE37" s="305">
        <f t="shared" si="7"/>
        <v>0</v>
      </c>
      <c r="BF37" s="326">
        <f t="shared" si="12"/>
        <v>0</v>
      </c>
      <c r="BG37" s="307">
        <f t="shared" si="8"/>
        <v>0</v>
      </c>
      <c r="BH37" s="305" t="e">
        <f t="shared" si="9"/>
        <v>#DIV/0!</v>
      </c>
      <c r="BI37" s="305" t="e">
        <f t="shared" si="9"/>
        <v>#DIV/0!</v>
      </c>
    </row>
    <row r="38" spans="1:61" ht="18" customHeight="1">
      <c r="A38" s="19" t="s">
        <v>161</v>
      </c>
      <c r="B38" s="302"/>
      <c r="C38" s="303">
        <v>30</v>
      </c>
      <c r="D38" s="281"/>
      <c r="E38" s="458">
        <f>'SQ-1'!N34+'SQ-2'!N34+'SQ-3'!N34+'SQ-4'!N34+'SQ-5'!N34+'SQ-6'!N34+'SQ-7'!N34+'SQ-8'!N34+'SQ-9'!N34</f>
        <v>0</v>
      </c>
      <c r="F38" s="305">
        <f t="shared" si="2"/>
        <v>0</v>
      </c>
      <c r="G38" s="303">
        <f t="shared" si="10"/>
        <v>30</v>
      </c>
      <c r="H38" s="325">
        <f t="shared" si="3"/>
        <v>0</v>
      </c>
      <c r="I38" s="305">
        <f t="shared" si="0"/>
        <v>0</v>
      </c>
      <c r="J38" s="459">
        <f>'SQ-1'!I34+'SQ-2'!I34+'SQ-3'!I34+'SQ-4'!I34+'SQ-5'!I34+'SQ-6'!I34+'SQ-7'!I34+'SQ-8'!I34+'SQ-9'!I34</f>
        <v>0</v>
      </c>
      <c r="K38" s="307">
        <f t="shared" si="4"/>
        <v>0</v>
      </c>
      <c r="L38" s="305" t="e">
        <f t="shared" si="5"/>
        <v>#DIV/0!</v>
      </c>
      <c r="M38" s="305" t="e">
        <f t="shared" si="6"/>
        <v>#DIV/0!</v>
      </c>
      <c r="N38" s="306"/>
      <c r="O38" s="308" t="e">
        <f t="shared" si="1"/>
        <v>#DIV/0!</v>
      </c>
      <c r="P38" s="458">
        <f>'SQ-1'!M34+'SQ-2'!M34+'SQ-3'!M34+'SQ-4'!M34+'SQ-5'!M34+'SQ-6'!M34+'SQ-7'!M34+'SQ-8'!M34+'SQ-9'!M34</f>
        <v>0</v>
      </c>
      <c r="Q38" s="309"/>
      <c r="R38" s="309"/>
      <c r="S38" s="309"/>
      <c r="T38" s="310"/>
      <c r="U38" s="311"/>
      <c r="V38" s="312"/>
      <c r="W38" s="304"/>
      <c r="X38" s="304"/>
      <c r="Y38" s="304"/>
      <c r="Z38" s="304"/>
      <c r="AA38" s="304"/>
      <c r="AB38" s="314"/>
      <c r="AC38" s="327"/>
      <c r="AD38" s="327"/>
      <c r="AE38" s="304"/>
      <c r="AF38" s="304"/>
      <c r="AG38" s="304"/>
      <c r="AH38" s="304"/>
      <c r="AI38" s="304"/>
      <c r="AJ38" s="304"/>
      <c r="AK38" s="304"/>
      <c r="AL38" s="304"/>
      <c r="AM38" s="304"/>
      <c r="AN38" s="316"/>
      <c r="AO38" s="316"/>
      <c r="AP38" s="317"/>
      <c r="AQ38" s="267"/>
      <c r="AR38" s="318"/>
      <c r="AS38" s="309"/>
      <c r="AT38" s="304"/>
      <c r="AU38" s="319"/>
      <c r="AV38" s="304"/>
      <c r="AW38" s="304"/>
      <c r="AX38" s="340"/>
      <c r="AY38" s="321"/>
      <c r="AZ38" s="343"/>
      <c r="BA38" s="328"/>
      <c r="BC38" s="303">
        <f>IF($B38="-","",BC37+1)</f>
        <v>30</v>
      </c>
      <c r="BD38" s="325">
        <f t="shared" si="11"/>
        <v>0</v>
      </c>
      <c r="BE38" s="305">
        <f t="shared" si="7"/>
        <v>0</v>
      </c>
      <c r="BF38" s="326">
        <f t="shared" si="12"/>
        <v>0</v>
      </c>
      <c r="BG38" s="307">
        <f t="shared" si="8"/>
        <v>0</v>
      </c>
      <c r="BH38" s="305" t="e">
        <f t="shared" si="9"/>
        <v>#DIV/0!</v>
      </c>
      <c r="BI38" s="305" t="e">
        <f t="shared" si="9"/>
        <v>#DIV/0!</v>
      </c>
    </row>
    <row r="39" spans="1:61" ht="18" customHeight="1">
      <c r="B39" s="302"/>
      <c r="C39" s="303">
        <v>31</v>
      </c>
      <c r="D39" s="281"/>
      <c r="E39" s="458">
        <f>'SQ-1'!N35+'SQ-2'!N35+'SQ-3'!N35+'SQ-4'!N35+'SQ-5'!N35+'SQ-6'!N35+'SQ-7'!N35+'SQ-8'!N35+'SQ-9'!N35</f>
        <v>0</v>
      </c>
      <c r="F39" s="305">
        <f t="shared" si="2"/>
        <v>0</v>
      </c>
      <c r="G39" s="303">
        <f t="shared" si="10"/>
        <v>31</v>
      </c>
      <c r="H39" s="305">
        <f t="shared" si="3"/>
        <v>0</v>
      </c>
      <c r="I39" s="305"/>
      <c r="J39" s="459">
        <f>'SQ-1'!I35+'SQ-2'!I35+'SQ-3'!I35+'SQ-4'!I35+'SQ-5'!I35+'SQ-6'!I35+'SQ-7'!I35+'SQ-8'!I35+'SQ-9'!I35</f>
        <v>0</v>
      </c>
      <c r="K39" s="307">
        <f t="shared" si="4"/>
        <v>0</v>
      </c>
      <c r="L39" s="305" t="e">
        <f>E39/J39</f>
        <v>#DIV/0!</v>
      </c>
      <c r="M39" s="305" t="e">
        <f>H39/K39</f>
        <v>#DIV/0!</v>
      </c>
      <c r="N39" s="306"/>
      <c r="O39" s="308" t="e">
        <f t="shared" si="1"/>
        <v>#DIV/0!</v>
      </c>
      <c r="P39" s="458">
        <f>'SQ-1'!M35+'SQ-2'!M35+'SQ-3'!M35+'SQ-4'!M35+'SQ-5'!M35+'SQ-6'!M35+'SQ-7'!M35+'SQ-8'!M35+'SQ-9'!M35</f>
        <v>0</v>
      </c>
      <c r="Q39" s="309"/>
      <c r="R39" s="309"/>
      <c r="S39" s="309"/>
      <c r="T39" s="310"/>
      <c r="U39" s="311"/>
      <c r="V39" s="312"/>
      <c r="W39" s="304"/>
      <c r="X39" s="304"/>
      <c r="Y39" s="304"/>
      <c r="Z39" s="304"/>
      <c r="AA39" s="304"/>
      <c r="AB39" s="314"/>
      <c r="AC39" s="327"/>
      <c r="AD39" s="327"/>
      <c r="AE39" s="304"/>
      <c r="AF39" s="304"/>
      <c r="AG39" s="304"/>
      <c r="AH39" s="304"/>
      <c r="AI39" s="304"/>
      <c r="AJ39" s="304"/>
      <c r="AK39" s="304"/>
      <c r="AL39" s="304"/>
      <c r="AM39" s="304"/>
      <c r="AN39" s="316"/>
      <c r="AO39" s="316"/>
      <c r="AP39" s="317"/>
      <c r="AQ39" s="267"/>
      <c r="AR39" s="331"/>
      <c r="AS39" s="309"/>
      <c r="AT39" s="304"/>
      <c r="AU39" s="319"/>
      <c r="AV39" s="304"/>
      <c r="AW39" s="304"/>
      <c r="AX39" s="340"/>
      <c r="AY39" s="321"/>
      <c r="AZ39" s="341"/>
      <c r="BA39" s="344"/>
      <c r="BC39" s="303">
        <f>IF($B39="-","",BC38+1)</f>
        <v>31</v>
      </c>
      <c r="BD39" s="325">
        <f t="shared" si="11"/>
        <v>0</v>
      </c>
      <c r="BE39" s="305">
        <f t="shared" si="7"/>
        <v>0</v>
      </c>
      <c r="BF39" s="326">
        <f t="shared" si="12"/>
        <v>0</v>
      </c>
      <c r="BG39" s="307">
        <f t="shared" si="8"/>
        <v>0</v>
      </c>
      <c r="BH39" s="305" t="e">
        <f t="shared" si="9"/>
        <v>#DIV/0!</v>
      </c>
      <c r="BI39" s="305" t="e">
        <f t="shared" si="9"/>
        <v>#DIV/0!</v>
      </c>
    </row>
    <row r="40" spans="1:61" ht="18" customHeight="1">
      <c r="D40" s="345">
        <f>SUM(D9:D39)</f>
        <v>0</v>
      </c>
      <c r="E40" s="345">
        <f>SUM(E9:E39)</f>
        <v>0</v>
      </c>
      <c r="F40" s="346"/>
      <c r="G40" s="347"/>
      <c r="H40" s="346">
        <f>H39</f>
        <v>0</v>
      </c>
      <c r="I40" s="346"/>
      <c r="J40" s="348">
        <f>SUM(J9:J39)</f>
        <v>0</v>
      </c>
      <c r="K40" s="346"/>
      <c r="L40" s="346"/>
      <c r="M40" s="346"/>
      <c r="N40" s="349">
        <f>SUM(N9:N39)</f>
        <v>49.480000000000011</v>
      </c>
      <c r="O40" s="308" t="e">
        <f t="shared" si="1"/>
        <v>#DIV/0!</v>
      </c>
      <c r="P40" s="345">
        <f>SUM(P9:P39)</f>
        <v>0</v>
      </c>
      <c r="Q40" s="345">
        <f>SUM(Q9:Q39)</f>
        <v>0</v>
      </c>
      <c r="R40" s="345">
        <f>SUM(R9:R39)</f>
        <v>0</v>
      </c>
      <c r="S40" s="345">
        <f>SUM(S9:S39)</f>
        <v>0</v>
      </c>
      <c r="T40" s="350" t="e">
        <f>(J40-N40)/R40*60</f>
        <v>#DIV/0!</v>
      </c>
      <c r="U40" s="351" t="e">
        <f>S40/R40</f>
        <v>#DIV/0!</v>
      </c>
      <c r="V40" s="350">
        <f>H40/N40/60</f>
        <v>0</v>
      </c>
      <c r="W40" s="345">
        <f t="shared" ref="W40:AQ40" si="13">SUM(W9:W39)</f>
        <v>0</v>
      </c>
      <c r="X40" s="345">
        <f t="shared" si="13"/>
        <v>0</v>
      </c>
      <c r="Y40" s="345">
        <f t="shared" si="13"/>
        <v>0</v>
      </c>
      <c r="Z40" s="345">
        <f t="shared" si="13"/>
        <v>0</v>
      </c>
      <c r="AA40" s="345">
        <f t="shared" si="13"/>
        <v>0</v>
      </c>
      <c r="AB40" s="345">
        <f t="shared" si="13"/>
        <v>0</v>
      </c>
      <c r="AC40" s="345">
        <f t="shared" si="13"/>
        <v>0</v>
      </c>
      <c r="AD40" s="345">
        <f t="shared" si="13"/>
        <v>0</v>
      </c>
      <c r="AE40" s="345">
        <f t="shared" si="13"/>
        <v>0</v>
      </c>
      <c r="AF40" s="345">
        <f t="shared" si="13"/>
        <v>0</v>
      </c>
      <c r="AG40" s="345">
        <f t="shared" si="13"/>
        <v>0</v>
      </c>
      <c r="AH40" s="345">
        <f t="shared" si="13"/>
        <v>0</v>
      </c>
      <c r="AI40" s="345">
        <f t="shared" si="13"/>
        <v>0</v>
      </c>
      <c r="AJ40" s="345">
        <f t="shared" si="13"/>
        <v>0</v>
      </c>
      <c r="AK40" s="345">
        <f t="shared" si="13"/>
        <v>0</v>
      </c>
      <c r="AL40" s="345">
        <f t="shared" si="13"/>
        <v>0</v>
      </c>
      <c r="AM40" s="345">
        <f t="shared" si="13"/>
        <v>0</v>
      </c>
      <c r="AN40" s="345">
        <f t="shared" si="13"/>
        <v>0</v>
      </c>
      <c r="AO40" s="345">
        <f t="shared" si="13"/>
        <v>0</v>
      </c>
      <c r="AP40" s="317">
        <f t="shared" si="13"/>
        <v>0</v>
      </c>
      <c r="AQ40" s="345">
        <f t="shared" si="13"/>
        <v>0</v>
      </c>
      <c r="AR40" s="318">
        <f>SUM(AN40:AQ40)</f>
        <v>0</v>
      </c>
      <c r="AS40" s="345">
        <f>SUM(AS9:AS39)</f>
        <v>0</v>
      </c>
      <c r="AT40" s="345">
        <f>SUM(AT9:AT39)</f>
        <v>0</v>
      </c>
      <c r="AU40" s="319" t="e">
        <f>1-(AT40/AS40)</f>
        <v>#DIV/0!</v>
      </c>
      <c r="AV40" s="345">
        <f>SUM(AV9:AV39)</f>
        <v>0</v>
      </c>
      <c r="AW40" s="345">
        <f>SUM(AW9:AW39)</f>
        <v>0</v>
      </c>
      <c r="AX40" s="352"/>
      <c r="AY40" s="352"/>
      <c r="AZ40" s="353">
        <f>SUM(AZ9:AZ39)</f>
        <v>0</v>
      </c>
      <c r="BA40" s="354" t="s">
        <v>162</v>
      </c>
      <c r="BC40" s="220"/>
      <c r="BD40" s="345">
        <f>SUM(BD9:BD39)</f>
        <v>0</v>
      </c>
      <c r="BE40" s="345"/>
      <c r="BF40" s="345">
        <f>SUM(BF9:BF39)</f>
        <v>0</v>
      </c>
      <c r="BG40" s="346"/>
      <c r="BH40" s="346"/>
      <c r="BI40" s="346"/>
    </row>
    <row r="41" spans="1:61" ht="18" customHeight="1">
      <c r="Q41" s="79"/>
      <c r="R41" s="79"/>
      <c r="S41" s="79"/>
      <c r="T41" s="79"/>
      <c r="U41" s="79"/>
      <c r="V41" s="79"/>
      <c r="W41" s="346"/>
      <c r="AB41" s="79"/>
      <c r="AC41" s="346">
        <f>SUM(AC40:AL40)</f>
        <v>0</v>
      </c>
      <c r="AN41" s="355"/>
      <c r="AO41" s="355"/>
      <c r="AP41" s="355"/>
      <c r="AQ41" s="355"/>
      <c r="AR41" s="356"/>
      <c r="AS41" s="346"/>
    </row>
    <row r="42" spans="1:61" s="357" customFormat="1" ht="18" customHeight="1">
      <c r="C42" s="358"/>
      <c r="D42" s="359"/>
      <c r="E42" s="359"/>
      <c r="F42" s="359"/>
      <c r="G42" s="356"/>
      <c r="H42" s="359"/>
      <c r="I42" s="359"/>
      <c r="J42" s="359"/>
      <c r="K42" s="359"/>
      <c r="L42" s="359"/>
      <c r="M42" s="359"/>
      <c r="N42" s="359"/>
      <c r="O42" s="360"/>
      <c r="AB42" s="361"/>
      <c r="AC42" s="361"/>
      <c r="AD42" s="361"/>
      <c r="AN42" s="356"/>
      <c r="AO42" s="356"/>
      <c r="AP42" s="356"/>
      <c r="AQ42" s="356"/>
      <c r="AR42" s="362"/>
      <c r="AU42" s="363"/>
      <c r="AZ42" s="364"/>
      <c r="BA42" s="365"/>
    </row>
    <row r="43" spans="1:61">
      <c r="C43" s="227" t="s">
        <v>163</v>
      </c>
      <c r="J43" s="356"/>
      <c r="K43" s="356"/>
      <c r="L43" s="357" t="s">
        <v>164</v>
      </c>
      <c r="AL43" s="356"/>
      <c r="AM43" s="357"/>
      <c r="AN43" s="356"/>
      <c r="AO43" s="356"/>
      <c r="AP43" s="356"/>
      <c r="AQ43" s="356"/>
      <c r="AR43" s="356"/>
      <c r="AS43" s="356"/>
      <c r="AT43" s="356"/>
    </row>
    <row r="44" spans="1:61" ht="56.25" customHeight="1">
      <c r="C44" s="267"/>
      <c r="D44" s="269" t="s">
        <v>165</v>
      </c>
      <c r="E44" s="269" t="s">
        <v>166</v>
      </c>
      <c r="F44" s="269"/>
      <c r="G44" s="270"/>
      <c r="H44" s="269" t="s">
        <v>167</v>
      </c>
      <c r="I44" s="269" t="s">
        <v>168</v>
      </c>
      <c r="J44" s="269" t="s">
        <v>169</v>
      </c>
      <c r="L44" s="368"/>
      <c r="M44" s="253" t="s">
        <v>170</v>
      </c>
      <c r="AL44" s="356"/>
      <c r="AM44" s="52"/>
      <c r="AN44" s="369"/>
      <c r="AO44" s="369"/>
      <c r="AP44" s="369"/>
      <c r="AQ44" s="369"/>
      <c r="AR44" s="369"/>
      <c r="AS44" s="369"/>
      <c r="AT44" s="356"/>
    </row>
    <row r="45" spans="1:61" ht="18" customHeight="1">
      <c r="B45" s="370"/>
      <c r="C45" s="303"/>
      <c r="D45" s="371"/>
      <c r="E45" s="372"/>
      <c r="F45" s="373"/>
      <c r="G45" s="371"/>
      <c r="H45" s="370"/>
      <c r="I45" s="374"/>
      <c r="J45" s="375"/>
      <c r="L45" s="376" t="s">
        <v>171</v>
      </c>
      <c r="M45" s="377" t="e">
        <f>ROUND(SUM(E9:E12)/SUM(J9:J12),0)</f>
        <v>#DIV/0!</v>
      </c>
      <c r="AL45" s="356"/>
      <c r="AM45" s="356"/>
      <c r="AN45" s="378"/>
      <c r="AO45" s="378"/>
      <c r="AP45" s="378"/>
      <c r="AQ45" s="378"/>
      <c r="AR45" s="378"/>
      <c r="AS45" s="378"/>
      <c r="AT45" s="356"/>
    </row>
    <row r="46" spans="1:61" ht="18" customHeight="1">
      <c r="B46" s="370"/>
      <c r="C46" s="303"/>
      <c r="D46" s="371"/>
      <c r="E46" s="372"/>
      <c r="F46" s="373"/>
      <c r="G46" s="371"/>
      <c r="H46" s="370"/>
      <c r="I46" s="374"/>
      <c r="J46" s="375"/>
      <c r="L46" s="379" t="s">
        <v>172</v>
      </c>
      <c r="M46" s="377" t="e">
        <f>ROUND(SUM(E13:E19)/SUM(J13:J19),0)</f>
        <v>#DIV/0!</v>
      </c>
      <c r="AL46" s="356"/>
      <c r="AM46" s="358"/>
      <c r="AN46" s="380"/>
      <c r="AO46" s="359"/>
      <c r="AP46" s="381"/>
      <c r="AQ46" s="382"/>
      <c r="AR46" s="359"/>
      <c r="AS46" s="359"/>
      <c r="AT46" s="356"/>
    </row>
    <row r="47" spans="1:61" ht="18" customHeight="1">
      <c r="B47" s="383"/>
      <c r="C47" s="303"/>
      <c r="D47" s="371"/>
      <c r="E47" s="372"/>
      <c r="F47" s="373"/>
      <c r="G47" s="371"/>
      <c r="H47" s="370"/>
      <c r="I47" s="374"/>
      <c r="J47" s="375"/>
      <c r="L47" s="379" t="s">
        <v>173</v>
      </c>
      <c r="M47" s="377" t="e">
        <f>ROUND(SUM(E21:E26)/SUM(J21:J26),0)</f>
        <v>#DIV/0!</v>
      </c>
      <c r="AL47" s="356"/>
      <c r="AM47" s="358"/>
      <c r="AN47" s="380"/>
      <c r="AO47" s="359"/>
      <c r="AP47" s="381"/>
      <c r="AQ47" s="382"/>
      <c r="AR47" s="359"/>
      <c r="AS47" s="359"/>
      <c r="AT47" s="356"/>
    </row>
    <row r="48" spans="1:61" ht="18" customHeight="1">
      <c r="B48" s="383"/>
      <c r="C48" s="384"/>
      <c r="D48" s="370"/>
      <c r="E48" s="372"/>
      <c r="F48" s="373"/>
      <c r="G48" s="371"/>
      <c r="H48" s="370"/>
      <c r="I48" s="374"/>
      <c r="J48" s="375"/>
      <c r="L48" s="379" t="s">
        <v>174</v>
      </c>
      <c r="M48" s="377" t="e">
        <f>ROUND(SUM(E28:E33)/SUM(J28:J33),0)</f>
        <v>#DIV/0!</v>
      </c>
      <c r="AL48" s="356"/>
      <c r="AM48" s="358"/>
      <c r="AN48" s="385"/>
      <c r="AO48" s="359"/>
      <c r="AP48" s="381"/>
      <c r="AQ48" s="382"/>
      <c r="AR48" s="359"/>
      <c r="AS48" s="359"/>
      <c r="AT48" s="356"/>
    </row>
    <row r="49" spans="2:46" ht="18" customHeight="1">
      <c r="B49" s="383"/>
      <c r="C49" s="384"/>
      <c r="D49" s="370"/>
      <c r="E49" s="372"/>
      <c r="F49" s="373"/>
      <c r="G49" s="371"/>
      <c r="H49" s="370"/>
      <c r="I49" s="374"/>
      <c r="J49" s="375"/>
      <c r="L49" s="379" t="s">
        <v>175</v>
      </c>
      <c r="M49" s="377" t="e">
        <f>ROUND(SUM(E35:E38)/SUM(J35:J38),0)</f>
        <v>#DIV/0!</v>
      </c>
      <c r="Q49" s="36"/>
      <c r="R49" s="36"/>
      <c r="S49" s="36"/>
      <c r="T49" s="36"/>
      <c r="U49" s="36"/>
      <c r="V49" s="36"/>
      <c r="W49" s="36"/>
      <c r="X49" s="36"/>
      <c r="AL49" s="356"/>
      <c r="AM49" s="358"/>
      <c r="AN49" s="385"/>
      <c r="AO49" s="359"/>
      <c r="AP49" s="381"/>
      <c r="AQ49" s="382"/>
      <c r="AR49" s="359"/>
      <c r="AS49" s="359"/>
      <c r="AT49" s="356"/>
    </row>
    <row r="50" spans="2:46" ht="18" customHeight="1">
      <c r="B50" s="383"/>
      <c r="C50" s="384"/>
      <c r="D50" s="370"/>
      <c r="E50" s="372"/>
      <c r="F50" s="373"/>
      <c r="G50" s="371"/>
      <c r="H50" s="370"/>
      <c r="I50" s="374"/>
      <c r="J50" s="375"/>
      <c r="L50" s="379" t="s">
        <v>176</v>
      </c>
      <c r="M50" s="386"/>
      <c r="Q50" s="36"/>
      <c r="R50" s="36"/>
      <c r="S50" s="36"/>
      <c r="T50" s="36"/>
      <c r="U50" s="36"/>
      <c r="V50" s="36"/>
      <c r="W50" s="36"/>
      <c r="X50" s="387"/>
      <c r="AL50" s="356"/>
      <c r="AM50" s="358"/>
      <c r="AN50" s="385"/>
      <c r="AO50" s="359"/>
      <c r="AP50" s="381"/>
      <c r="AQ50" s="382"/>
      <c r="AR50" s="359"/>
      <c r="AS50" s="359"/>
      <c r="AT50" s="356"/>
    </row>
    <row r="51" spans="2:46" ht="18" customHeight="1">
      <c r="B51" s="370"/>
      <c r="C51" s="384"/>
      <c r="D51" s="371"/>
      <c r="E51" s="372"/>
      <c r="F51" s="373"/>
      <c r="G51" s="371"/>
      <c r="H51" s="370"/>
      <c r="I51" s="388"/>
      <c r="J51" s="375"/>
      <c r="L51" s="389"/>
      <c r="M51" s="390"/>
      <c r="Q51" s="36"/>
      <c r="R51" s="36"/>
      <c r="S51" s="36"/>
      <c r="T51" s="36"/>
      <c r="U51" s="36"/>
      <c r="V51" s="36"/>
      <c r="W51" s="36"/>
      <c r="X51" s="387"/>
      <c r="AL51" s="356"/>
      <c r="AM51" s="358"/>
      <c r="AN51" s="385"/>
      <c r="AO51" s="359"/>
      <c r="AP51" s="381"/>
      <c r="AQ51" s="382"/>
      <c r="AR51" s="359"/>
      <c r="AS51" s="359"/>
      <c r="AT51" s="356"/>
    </row>
    <row r="52" spans="2:46" ht="18" customHeight="1">
      <c r="B52" s="370"/>
      <c r="C52" s="384"/>
      <c r="D52" s="371"/>
      <c r="E52" s="372"/>
      <c r="F52" s="373"/>
      <c r="G52" s="371"/>
      <c r="H52" s="370"/>
      <c r="I52" s="374"/>
      <c r="J52" s="375"/>
      <c r="L52" s="389"/>
      <c r="M52" s="390"/>
      <c r="Q52" s="36"/>
      <c r="R52" s="36"/>
      <c r="S52" s="36"/>
      <c r="T52" s="36"/>
      <c r="U52" s="36"/>
      <c r="V52" s="36"/>
      <c r="W52" s="36"/>
      <c r="X52" s="387"/>
      <c r="AL52" s="356"/>
      <c r="AM52" s="358"/>
      <c r="AN52" s="385"/>
      <c r="AO52" s="359"/>
      <c r="AP52" s="381"/>
      <c r="AQ52" s="382"/>
      <c r="AR52" s="359"/>
      <c r="AS52" s="359"/>
      <c r="AT52" s="356"/>
    </row>
    <row r="53" spans="2:46" ht="18" customHeight="1">
      <c r="B53" s="370"/>
      <c r="C53" s="384"/>
      <c r="D53" s="371"/>
      <c r="E53" s="372"/>
      <c r="F53" s="373"/>
      <c r="G53" s="371"/>
      <c r="H53" s="370"/>
      <c r="I53" s="374"/>
      <c r="J53" s="375"/>
      <c r="L53" s="389"/>
      <c r="M53" s="390"/>
      <c r="Q53" s="36"/>
      <c r="R53" s="36"/>
      <c r="S53" s="36"/>
      <c r="T53" s="36"/>
      <c r="U53" s="36"/>
      <c r="V53" s="36"/>
      <c r="W53" s="36"/>
      <c r="X53" s="36"/>
      <c r="AL53" s="356"/>
      <c r="AM53" s="358"/>
      <c r="AN53" s="385"/>
      <c r="AO53" s="359"/>
      <c r="AP53" s="381"/>
      <c r="AQ53" s="382"/>
      <c r="AR53" s="359"/>
      <c r="AS53" s="359"/>
      <c r="AT53" s="356"/>
    </row>
    <row r="54" spans="2:46" ht="18" customHeight="1">
      <c r="B54" s="370"/>
      <c r="C54" s="384"/>
      <c r="D54" s="371"/>
      <c r="E54" s="372"/>
      <c r="F54" s="373"/>
      <c r="G54" s="371"/>
      <c r="H54" s="370"/>
      <c r="I54" s="374"/>
      <c r="J54" s="375"/>
      <c r="L54" s="389"/>
      <c r="M54" s="391"/>
      <c r="Q54" s="36"/>
      <c r="R54" s="36"/>
      <c r="S54" s="36"/>
      <c r="T54" s="36"/>
      <c r="U54" s="36"/>
      <c r="V54" s="36"/>
      <c r="W54" s="36"/>
      <c r="X54" s="387"/>
      <c r="AL54" s="356"/>
      <c r="AM54" s="358"/>
      <c r="AN54" s="385"/>
      <c r="AO54" s="359"/>
      <c r="AP54" s="381"/>
      <c r="AQ54" s="382"/>
      <c r="AR54" s="359"/>
      <c r="AS54" s="359"/>
      <c r="AT54" s="356"/>
    </row>
    <row r="55" spans="2:46" ht="18" customHeight="1">
      <c r="B55" s="383"/>
      <c r="C55" s="384"/>
      <c r="D55" s="371"/>
      <c r="E55" s="372"/>
      <c r="F55" s="373"/>
      <c r="G55" s="371"/>
      <c r="H55" s="370"/>
      <c r="I55" s="374"/>
      <c r="J55" s="375"/>
      <c r="L55" s="389"/>
      <c r="M55" s="390"/>
      <c r="Q55" s="36"/>
      <c r="R55" s="36"/>
      <c r="S55" s="36"/>
      <c r="T55" s="36"/>
      <c r="U55" s="36"/>
      <c r="V55" s="36"/>
      <c r="W55" s="36"/>
      <c r="X55" s="387"/>
      <c r="AL55" s="356"/>
      <c r="AM55" s="358"/>
      <c r="AN55" s="385"/>
      <c r="AO55" s="359"/>
      <c r="AP55" s="381"/>
      <c r="AQ55" s="382"/>
      <c r="AR55" s="359"/>
      <c r="AS55" s="359"/>
      <c r="AT55" s="356"/>
    </row>
    <row r="56" spans="2:46" ht="18" customHeight="1">
      <c r="B56" s="370"/>
      <c r="C56" s="384"/>
      <c r="D56" s="371"/>
      <c r="E56" s="372"/>
      <c r="F56" s="373"/>
      <c r="G56" s="371"/>
      <c r="H56" s="370"/>
      <c r="I56" s="374"/>
      <c r="J56" s="375"/>
      <c r="L56" s="389"/>
      <c r="M56" s="390"/>
      <c r="Q56" s="36"/>
      <c r="R56" s="36"/>
      <c r="S56" s="36"/>
      <c r="T56" s="36"/>
      <c r="U56" s="36"/>
      <c r="V56" s="36"/>
      <c r="W56" s="36"/>
      <c r="X56" s="387"/>
      <c r="AL56" s="356"/>
      <c r="AM56" s="358"/>
      <c r="AN56" s="385"/>
      <c r="AO56" s="359"/>
      <c r="AP56" s="381"/>
      <c r="AQ56" s="382"/>
      <c r="AR56" s="359"/>
      <c r="AS56" s="359"/>
      <c r="AT56" s="356"/>
    </row>
    <row r="57" spans="2:46" ht="18" customHeight="1">
      <c r="B57" s="370"/>
      <c r="C57" s="384"/>
      <c r="D57" s="370"/>
      <c r="E57" s="372"/>
      <c r="F57" s="373"/>
      <c r="G57" s="371"/>
      <c r="H57" s="370"/>
      <c r="I57" s="374"/>
      <c r="J57" s="375"/>
      <c r="L57" s="389"/>
      <c r="M57" s="390"/>
      <c r="Q57" s="36"/>
      <c r="R57" s="36"/>
      <c r="S57" s="36"/>
      <c r="T57" s="36"/>
      <c r="U57" s="36"/>
      <c r="V57" s="36"/>
      <c r="W57" s="36"/>
      <c r="X57" s="36"/>
      <c r="AL57" s="356"/>
      <c r="AM57" s="358"/>
      <c r="AN57" s="385"/>
      <c r="AO57" s="359"/>
      <c r="AP57" s="381"/>
      <c r="AQ57" s="382"/>
      <c r="AR57" s="359"/>
      <c r="AS57" s="359"/>
      <c r="AT57" s="356"/>
    </row>
    <row r="58" spans="2:46" ht="18" customHeight="1">
      <c r="B58" s="392"/>
      <c r="C58" s="384"/>
      <c r="D58" s="370"/>
      <c r="E58" s="372"/>
      <c r="F58" s="373"/>
      <c r="G58" s="371"/>
      <c r="H58" s="370"/>
      <c r="I58" s="374"/>
      <c r="J58" s="375"/>
      <c r="L58" s="389"/>
      <c r="M58" s="390"/>
      <c r="AL58" s="356"/>
      <c r="AM58" s="358"/>
      <c r="AN58" s="385"/>
      <c r="AO58" s="359"/>
      <c r="AP58" s="381"/>
      <c r="AQ58" s="382"/>
      <c r="AR58" s="359"/>
      <c r="AS58" s="359"/>
      <c r="AT58" s="356"/>
    </row>
    <row r="59" spans="2:46" ht="18" customHeight="1">
      <c r="B59" s="383"/>
      <c r="C59" s="384"/>
      <c r="D59" s="370"/>
      <c r="E59" s="372"/>
      <c r="F59" s="373"/>
      <c r="G59" s="371"/>
      <c r="H59" s="370"/>
      <c r="I59" s="374"/>
      <c r="J59" s="375"/>
      <c r="K59" s="356"/>
      <c r="L59" s="356"/>
      <c r="M59" s="220"/>
      <c r="AL59" s="356"/>
      <c r="AM59" s="358"/>
      <c r="AN59" s="385"/>
      <c r="AO59" s="359"/>
      <c r="AP59" s="381"/>
      <c r="AQ59" s="382"/>
      <c r="AR59" s="359"/>
      <c r="AS59" s="359"/>
      <c r="AT59" s="356"/>
    </row>
    <row r="60" spans="2:46" ht="18" customHeight="1">
      <c r="M60" s="220"/>
      <c r="AL60" s="356"/>
      <c r="AM60" s="358"/>
      <c r="AN60" s="385"/>
      <c r="AO60" s="359"/>
      <c r="AP60" s="381"/>
      <c r="AQ60" s="382"/>
      <c r="AR60" s="359"/>
      <c r="AS60" s="359"/>
      <c r="AT60" s="356"/>
    </row>
    <row r="61" spans="2:46" ht="18" customHeight="1">
      <c r="M61" s="220"/>
      <c r="AL61" s="356"/>
      <c r="AM61" s="358"/>
      <c r="AN61" s="385"/>
      <c r="AO61" s="359"/>
      <c r="AP61" s="381"/>
      <c r="AQ61" s="382"/>
      <c r="AR61" s="359"/>
      <c r="AS61" s="359"/>
      <c r="AT61" s="356"/>
    </row>
    <row r="62" spans="2:46" ht="18" customHeight="1">
      <c r="M62" s="220"/>
      <c r="AL62" s="356"/>
      <c r="AM62" s="358"/>
      <c r="AN62" s="385"/>
      <c r="AO62" s="359"/>
      <c r="AP62" s="381"/>
      <c r="AQ62" s="382"/>
      <c r="AR62" s="359"/>
      <c r="AS62" s="359"/>
      <c r="AT62" s="356"/>
    </row>
    <row r="63" spans="2:46" ht="18" customHeight="1">
      <c r="M63" s="220"/>
      <c r="AL63" s="356"/>
      <c r="AM63" s="358"/>
      <c r="AN63" s="385"/>
      <c r="AO63" s="359"/>
      <c r="AP63" s="381"/>
      <c r="AQ63" s="382"/>
      <c r="AR63" s="359"/>
      <c r="AS63" s="359"/>
      <c r="AT63" s="356"/>
    </row>
    <row r="64" spans="2:46" ht="18" customHeight="1">
      <c r="M64" s="220"/>
      <c r="AL64" s="356"/>
      <c r="AM64" s="358"/>
      <c r="AN64" s="385"/>
      <c r="AO64" s="359"/>
      <c r="AP64" s="381"/>
      <c r="AQ64" s="382"/>
      <c r="AR64" s="359"/>
      <c r="AS64" s="359"/>
      <c r="AT64" s="356"/>
    </row>
    <row r="65" spans="13:46" ht="15">
      <c r="M65" s="220"/>
      <c r="AL65" s="356"/>
      <c r="AM65" s="358"/>
      <c r="AN65" s="385"/>
      <c r="AO65" s="359"/>
      <c r="AP65" s="381"/>
      <c r="AQ65" s="382"/>
      <c r="AR65" s="359"/>
      <c r="AS65" s="359"/>
      <c r="AT65" s="356"/>
    </row>
    <row r="66" spans="13:46" ht="15">
      <c r="M66" s="220"/>
      <c r="AL66" s="356"/>
      <c r="AM66" s="358"/>
      <c r="AN66" s="385"/>
      <c r="AO66" s="359"/>
      <c r="AP66" s="381"/>
      <c r="AQ66" s="382"/>
      <c r="AR66" s="359"/>
      <c r="AS66" s="359"/>
      <c r="AT66" s="356"/>
    </row>
    <row r="67" spans="13:46" ht="15">
      <c r="M67" s="220"/>
      <c r="AL67" s="356"/>
      <c r="AM67" s="358"/>
      <c r="AN67" s="385"/>
      <c r="AO67" s="359"/>
      <c r="AP67" s="381"/>
      <c r="AQ67" s="382"/>
      <c r="AR67" s="359"/>
      <c r="AS67" s="359"/>
      <c r="AT67" s="356"/>
    </row>
    <row r="68" spans="13:46" ht="15">
      <c r="M68" s="220"/>
      <c r="AL68" s="356"/>
      <c r="AM68" s="358"/>
      <c r="AN68" s="385"/>
      <c r="AO68" s="359"/>
      <c r="AP68" s="381"/>
      <c r="AQ68" s="382"/>
      <c r="AR68" s="359"/>
      <c r="AS68" s="359"/>
      <c r="AT68" s="356"/>
    </row>
    <row r="69" spans="13:46" ht="15">
      <c r="M69" s="220"/>
      <c r="AL69" s="356"/>
      <c r="AM69" s="358"/>
      <c r="AN69" s="385"/>
      <c r="AO69" s="359"/>
      <c r="AP69" s="381"/>
      <c r="AQ69" s="382"/>
      <c r="AR69" s="359"/>
      <c r="AS69" s="359"/>
      <c r="AT69" s="356"/>
    </row>
    <row r="70" spans="13:46" ht="15">
      <c r="M70" s="220"/>
      <c r="AL70" s="356"/>
      <c r="AM70" s="358"/>
      <c r="AN70" s="385"/>
      <c r="AO70" s="359"/>
      <c r="AP70" s="381"/>
      <c r="AQ70" s="382"/>
      <c r="AR70" s="359"/>
      <c r="AS70" s="359"/>
      <c r="AT70" s="356"/>
    </row>
    <row r="71" spans="13:46" ht="15">
      <c r="M71" s="220"/>
      <c r="AL71" s="356"/>
      <c r="AM71" s="358"/>
      <c r="AN71" s="385"/>
      <c r="AO71" s="359"/>
      <c r="AP71" s="381"/>
      <c r="AQ71" s="382"/>
      <c r="AR71" s="359"/>
      <c r="AS71" s="359"/>
      <c r="AT71" s="356"/>
    </row>
    <row r="72" spans="13:46" ht="15">
      <c r="M72" s="220"/>
      <c r="AL72" s="356"/>
      <c r="AM72" s="358"/>
      <c r="AN72" s="385"/>
      <c r="AO72" s="359"/>
      <c r="AP72" s="381"/>
      <c r="AQ72" s="382"/>
      <c r="AR72" s="359"/>
      <c r="AS72" s="359"/>
      <c r="AT72" s="356"/>
    </row>
    <row r="73" spans="13:46" ht="15">
      <c r="M73" s="220"/>
      <c r="AL73" s="356"/>
      <c r="AM73" s="358"/>
      <c r="AN73" s="385"/>
      <c r="AO73" s="359"/>
      <c r="AP73" s="381"/>
      <c r="AQ73" s="382"/>
      <c r="AR73" s="359"/>
      <c r="AS73" s="359"/>
      <c r="AT73" s="356"/>
    </row>
    <row r="74" spans="13:46" ht="15">
      <c r="M74" s="220"/>
      <c r="AL74" s="356"/>
      <c r="AM74" s="393"/>
      <c r="AN74" s="385"/>
      <c r="AO74" s="359"/>
      <c r="AP74" s="381"/>
      <c r="AQ74" s="382"/>
      <c r="AR74" s="359"/>
      <c r="AS74" s="359"/>
      <c r="AT74" s="356"/>
    </row>
    <row r="75" spans="13:46" ht="15">
      <c r="M75" s="220"/>
      <c r="AL75" s="356"/>
      <c r="AM75" s="393"/>
      <c r="AN75" s="385"/>
      <c r="AO75" s="359"/>
      <c r="AP75" s="381"/>
      <c r="AQ75" s="382"/>
      <c r="AR75" s="359"/>
      <c r="AS75" s="359"/>
      <c r="AT75" s="356"/>
    </row>
    <row r="76" spans="13:46" ht="15">
      <c r="M76" s="220"/>
      <c r="AL76" s="356"/>
      <c r="AM76" s="393"/>
      <c r="AN76" s="385"/>
      <c r="AO76" s="359"/>
      <c r="AP76" s="381"/>
      <c r="AQ76" s="382"/>
      <c r="AR76" s="359"/>
      <c r="AS76" s="359"/>
      <c r="AT76" s="356"/>
    </row>
    <row r="77" spans="13:46">
      <c r="M77" s="220"/>
      <c r="AL77" s="356"/>
      <c r="AM77" s="356"/>
      <c r="AN77" s="394"/>
      <c r="AO77" s="394"/>
      <c r="AP77" s="395"/>
      <c r="AQ77" s="394"/>
      <c r="AR77" s="394"/>
      <c r="AS77" s="394"/>
      <c r="AT77" s="356"/>
    </row>
    <row r="78" spans="13:46">
      <c r="M78" s="220"/>
      <c r="AL78" s="356"/>
      <c r="AM78" s="356"/>
      <c r="AN78" s="356"/>
      <c r="AO78" s="356"/>
      <c r="AP78" s="356"/>
      <c r="AQ78" s="356"/>
      <c r="AR78" s="356"/>
      <c r="AS78" s="356"/>
      <c r="AT78" s="356"/>
    </row>
    <row r="79" spans="13:46">
      <c r="M79" s="220"/>
    </row>
    <row r="80" spans="13:46">
      <c r="M80" s="220"/>
    </row>
    <row r="81" spans="13:13">
      <c r="M81" s="220"/>
    </row>
    <row r="82" spans="13:13">
      <c r="M82" s="220"/>
    </row>
    <row r="83" spans="13:13">
      <c r="M83" s="220"/>
    </row>
    <row r="84" spans="13:13">
      <c r="M84" s="220"/>
    </row>
    <row r="85" spans="13:13">
      <c r="M85" s="220"/>
    </row>
    <row r="86" spans="13:13">
      <c r="M86" s="220"/>
    </row>
    <row r="87" spans="13:13">
      <c r="M87" s="220"/>
    </row>
    <row r="88" spans="13:13">
      <c r="M88" s="220"/>
    </row>
    <row r="89" spans="13:13">
      <c r="M89" s="220"/>
    </row>
    <row r="90" spans="13:13">
      <c r="M90" s="220"/>
    </row>
    <row r="91" spans="13:13">
      <c r="M91" s="220"/>
    </row>
    <row r="92" spans="13:13">
      <c r="M92" s="220"/>
    </row>
    <row r="93" spans="13:13">
      <c r="M93" s="220"/>
    </row>
    <row r="94" spans="13:13">
      <c r="M94" s="220"/>
    </row>
    <row r="95" spans="13:13">
      <c r="M95" s="220"/>
    </row>
    <row r="96" spans="13:13">
      <c r="M96" s="220"/>
    </row>
    <row r="97" spans="13:13">
      <c r="M97" s="220"/>
    </row>
    <row r="98" spans="13:13">
      <c r="M98" s="220"/>
    </row>
    <row r="99" spans="13:13">
      <c r="M99" s="220"/>
    </row>
    <row r="100" spans="13:13">
      <c r="M100" s="220"/>
    </row>
    <row r="101" spans="13:13">
      <c r="M101" s="220"/>
    </row>
    <row r="102" spans="13:13">
      <c r="M102" s="220"/>
    </row>
    <row r="103" spans="13:13">
      <c r="M103" s="220"/>
    </row>
    <row r="104" spans="13:13">
      <c r="M104" s="220"/>
    </row>
    <row r="105" spans="13:13">
      <c r="M105" s="220"/>
    </row>
    <row r="106" spans="13:13">
      <c r="M106" s="220"/>
    </row>
    <row r="107" spans="13:13">
      <c r="M107" s="220"/>
    </row>
    <row r="108" spans="13:13">
      <c r="M108" s="220"/>
    </row>
    <row r="109" spans="13:13">
      <c r="M109" s="220"/>
    </row>
    <row r="110" spans="13:13">
      <c r="M110" s="220"/>
    </row>
    <row r="111" spans="13:13">
      <c r="M111" s="220"/>
    </row>
    <row r="112" spans="13:13">
      <c r="M112" s="220"/>
    </row>
    <row r="113" spans="13:13">
      <c r="M113" s="220"/>
    </row>
    <row r="114" spans="13:13">
      <c r="M114" s="220"/>
    </row>
    <row r="115" spans="13:13">
      <c r="M115" s="220"/>
    </row>
    <row r="116" spans="13:13">
      <c r="M116" s="220"/>
    </row>
    <row r="117" spans="13:13">
      <c r="M117" s="220"/>
    </row>
    <row r="118" spans="13:13">
      <c r="M118" s="220"/>
    </row>
    <row r="119" spans="13:13">
      <c r="M119" s="220"/>
    </row>
    <row r="120" spans="13:13">
      <c r="M120" s="220"/>
    </row>
    <row r="121" spans="13:13">
      <c r="M121" s="220"/>
    </row>
    <row r="122" spans="13:13">
      <c r="M122" s="220"/>
    </row>
    <row r="123" spans="13:13">
      <c r="M123" s="220"/>
    </row>
    <row r="124" spans="13:13">
      <c r="M124" s="220"/>
    </row>
    <row r="125" spans="13:13">
      <c r="M125" s="220"/>
    </row>
    <row r="126" spans="13:13">
      <c r="M126" s="220"/>
    </row>
    <row r="127" spans="13:13">
      <c r="M127" s="220"/>
    </row>
    <row r="128" spans="13:13">
      <c r="M128" s="220"/>
    </row>
    <row r="129" spans="13:13">
      <c r="M129" s="220"/>
    </row>
    <row r="130" spans="13:13">
      <c r="M130" s="220"/>
    </row>
    <row r="131" spans="13:13">
      <c r="M131" s="220"/>
    </row>
    <row r="132" spans="13:13">
      <c r="M132" s="220"/>
    </row>
    <row r="133" spans="13:13">
      <c r="M133" s="220"/>
    </row>
    <row r="134" spans="13:13">
      <c r="M134" s="220"/>
    </row>
    <row r="135" spans="13:13">
      <c r="M135" s="220"/>
    </row>
    <row r="136" spans="13:13">
      <c r="M136" s="220"/>
    </row>
    <row r="137" spans="13:13">
      <c r="M137" s="220"/>
    </row>
    <row r="138" spans="13:13">
      <c r="M138" s="220"/>
    </row>
    <row r="139" spans="13:13">
      <c r="M139" s="220"/>
    </row>
    <row r="140" spans="13:13">
      <c r="M140" s="220"/>
    </row>
    <row r="141" spans="13:13">
      <c r="M141" s="220"/>
    </row>
    <row r="142" spans="13:13">
      <c r="M142" s="220"/>
    </row>
    <row r="143" spans="13:13">
      <c r="M143" s="220"/>
    </row>
    <row r="144" spans="13:13">
      <c r="M144" s="220"/>
    </row>
    <row r="145" spans="13:13">
      <c r="M145" s="220"/>
    </row>
    <row r="146" spans="13:13">
      <c r="M146" s="220"/>
    </row>
    <row r="147" spans="13:13">
      <c r="M147" s="220"/>
    </row>
    <row r="148" spans="13:13">
      <c r="M148" s="220"/>
    </row>
    <row r="149" spans="13:13">
      <c r="M149" s="220"/>
    </row>
    <row r="150" spans="13:13">
      <c r="M150" s="220"/>
    </row>
    <row r="151" spans="13:13">
      <c r="M151" s="220"/>
    </row>
    <row r="152" spans="13:13">
      <c r="M152" s="220"/>
    </row>
    <row r="153" spans="13:13">
      <c r="M153" s="220"/>
    </row>
    <row r="154" spans="13:13">
      <c r="M154" s="220"/>
    </row>
    <row r="155" spans="13:13">
      <c r="M155" s="220"/>
    </row>
    <row r="156" spans="13:13">
      <c r="M156" s="220"/>
    </row>
    <row r="157" spans="13:13">
      <c r="M157" s="220"/>
    </row>
    <row r="158" spans="13:13">
      <c r="M158" s="220"/>
    </row>
    <row r="159" spans="13:13">
      <c r="M159" s="220"/>
    </row>
    <row r="160" spans="13:13">
      <c r="M160" s="220"/>
    </row>
    <row r="161" spans="13:13">
      <c r="M161" s="220"/>
    </row>
    <row r="162" spans="13:13">
      <c r="M162" s="220"/>
    </row>
    <row r="163" spans="13:13">
      <c r="M163" s="220"/>
    </row>
    <row r="164" spans="13:13">
      <c r="M164" s="220"/>
    </row>
    <row r="165" spans="13:13">
      <c r="M165" s="220"/>
    </row>
    <row r="166" spans="13:13">
      <c r="M166" s="220"/>
    </row>
    <row r="167" spans="13:13">
      <c r="M167" s="220"/>
    </row>
    <row r="168" spans="13:13">
      <c r="M168" s="220"/>
    </row>
    <row r="169" spans="13:13">
      <c r="M169" s="220"/>
    </row>
    <row r="170" spans="13:13">
      <c r="M170" s="220"/>
    </row>
    <row r="171" spans="13:13">
      <c r="M171" s="220"/>
    </row>
    <row r="172" spans="13:13">
      <c r="M172" s="220"/>
    </row>
    <row r="173" spans="13:13">
      <c r="M173" s="220"/>
    </row>
    <row r="174" spans="13:13">
      <c r="M174" s="220"/>
    </row>
    <row r="175" spans="13:13">
      <c r="M175" s="220"/>
    </row>
    <row r="176" spans="13:13">
      <c r="M176" s="220"/>
    </row>
    <row r="177" spans="13:13">
      <c r="M177" s="220"/>
    </row>
    <row r="178" spans="13:13">
      <c r="M178" s="220"/>
    </row>
    <row r="179" spans="13:13">
      <c r="M179" s="220"/>
    </row>
    <row r="180" spans="13:13">
      <c r="M180" s="220"/>
    </row>
    <row r="181" spans="13:13">
      <c r="M181" s="220"/>
    </row>
    <row r="182" spans="13:13">
      <c r="M182" s="220"/>
    </row>
    <row r="183" spans="13:13">
      <c r="M183" s="220"/>
    </row>
    <row r="184" spans="13:13">
      <c r="M184" s="220"/>
    </row>
    <row r="185" spans="13:13">
      <c r="M185" s="220"/>
    </row>
    <row r="186" spans="13:13">
      <c r="M186" s="220"/>
    </row>
    <row r="187" spans="13:13">
      <c r="M187" s="220"/>
    </row>
    <row r="188" spans="13:13">
      <c r="M188" s="220"/>
    </row>
    <row r="189" spans="13:13">
      <c r="M189" s="220"/>
    </row>
    <row r="190" spans="13:13">
      <c r="M190" s="220"/>
    </row>
    <row r="191" spans="13:13">
      <c r="M191" s="220"/>
    </row>
    <row r="192" spans="13:13">
      <c r="M192" s="220"/>
    </row>
    <row r="193" spans="13:13">
      <c r="M193" s="220"/>
    </row>
    <row r="194" spans="13:13">
      <c r="M194" s="220"/>
    </row>
    <row r="195" spans="13:13">
      <c r="M195" s="220"/>
    </row>
    <row r="196" spans="13:13">
      <c r="M196" s="220"/>
    </row>
    <row r="197" spans="13:13">
      <c r="M197" s="220"/>
    </row>
    <row r="198" spans="13:13">
      <c r="M198" s="220"/>
    </row>
    <row r="199" spans="13:13">
      <c r="M199" s="220"/>
    </row>
    <row r="200" spans="13:13">
      <c r="M200" s="220"/>
    </row>
    <row r="201" spans="13:13">
      <c r="M201" s="220"/>
    </row>
    <row r="202" spans="13:13">
      <c r="M202" s="220"/>
    </row>
    <row r="203" spans="13:13">
      <c r="M203" s="220"/>
    </row>
    <row r="204" spans="13:13">
      <c r="M204" s="220"/>
    </row>
    <row r="205" spans="13:13">
      <c r="M205" s="220"/>
    </row>
    <row r="206" spans="13:13">
      <c r="M206" s="220"/>
    </row>
    <row r="207" spans="13:13">
      <c r="M207" s="220"/>
    </row>
    <row r="208" spans="13:13">
      <c r="M208" s="220"/>
    </row>
    <row r="209" spans="13:13">
      <c r="M209" s="220"/>
    </row>
    <row r="210" spans="13:13">
      <c r="M210" s="220"/>
    </row>
    <row r="211" spans="13:13">
      <c r="M211" s="220"/>
    </row>
    <row r="212" spans="13:13">
      <c r="M212" s="220"/>
    </row>
    <row r="213" spans="13:13">
      <c r="M213" s="220"/>
    </row>
    <row r="214" spans="13:13">
      <c r="M214" s="220"/>
    </row>
    <row r="215" spans="13:13">
      <c r="M215" s="220"/>
    </row>
    <row r="216" spans="13:13">
      <c r="M216" s="220"/>
    </row>
    <row r="217" spans="13:13">
      <c r="M217" s="220"/>
    </row>
    <row r="218" spans="13:13">
      <c r="M218" s="220"/>
    </row>
    <row r="219" spans="13:13">
      <c r="M219" s="220"/>
    </row>
    <row r="220" spans="13:13">
      <c r="M220" s="220"/>
    </row>
    <row r="221" spans="13:13">
      <c r="M221" s="220"/>
    </row>
    <row r="222" spans="13:13">
      <c r="M222" s="220"/>
    </row>
    <row r="223" spans="13:13">
      <c r="M223" s="220"/>
    </row>
    <row r="224" spans="13:13">
      <c r="M224" s="220"/>
    </row>
    <row r="225" spans="13:13">
      <c r="M225" s="220"/>
    </row>
    <row r="226" spans="13:13">
      <c r="M226" s="220"/>
    </row>
    <row r="227" spans="13:13">
      <c r="M227" s="220"/>
    </row>
    <row r="228" spans="13:13">
      <c r="M228" s="220"/>
    </row>
    <row r="229" spans="13:13">
      <c r="M229" s="220"/>
    </row>
    <row r="230" spans="13:13">
      <c r="M230" s="220"/>
    </row>
    <row r="231" spans="13:13">
      <c r="M231" s="220"/>
    </row>
    <row r="232" spans="13:13">
      <c r="M232" s="220"/>
    </row>
    <row r="233" spans="13:13">
      <c r="M233" s="220"/>
    </row>
    <row r="234" spans="13:13">
      <c r="M234" s="220"/>
    </row>
    <row r="235" spans="13:13">
      <c r="M235" s="220"/>
    </row>
    <row r="236" spans="13:13">
      <c r="M236" s="220"/>
    </row>
    <row r="237" spans="13:13">
      <c r="M237" s="220"/>
    </row>
    <row r="238" spans="13:13">
      <c r="M238" s="220"/>
    </row>
    <row r="239" spans="13:13">
      <c r="M239" s="220"/>
    </row>
    <row r="240" spans="13:13">
      <c r="M240" s="220"/>
    </row>
    <row r="241" spans="13:13">
      <c r="M241" s="220"/>
    </row>
    <row r="242" spans="13:13">
      <c r="M242" s="220"/>
    </row>
    <row r="243" spans="13:13">
      <c r="M243" s="220"/>
    </row>
    <row r="244" spans="13:13">
      <c r="M244" s="220"/>
    </row>
    <row r="245" spans="13:13">
      <c r="M245" s="220"/>
    </row>
    <row r="246" spans="13:13">
      <c r="M246" s="220"/>
    </row>
    <row r="247" spans="13:13">
      <c r="M247" s="220"/>
    </row>
    <row r="248" spans="13:13">
      <c r="M248" s="220"/>
    </row>
    <row r="249" spans="13:13">
      <c r="M249" s="220"/>
    </row>
    <row r="250" spans="13:13">
      <c r="M250" s="220"/>
    </row>
    <row r="251" spans="13:13">
      <c r="M251" s="220"/>
    </row>
    <row r="252" spans="13:13">
      <c r="M252" s="220"/>
    </row>
    <row r="253" spans="13:13">
      <c r="M253" s="220"/>
    </row>
    <row r="254" spans="13:13">
      <c r="M254" s="220"/>
    </row>
    <row r="255" spans="13:13">
      <c r="M255" s="220"/>
    </row>
    <row r="256" spans="13:13">
      <c r="M256" s="220"/>
    </row>
    <row r="257" spans="13:13">
      <c r="M257" s="220"/>
    </row>
    <row r="258" spans="13:13">
      <c r="M258" s="220"/>
    </row>
    <row r="259" spans="13:13">
      <c r="M259" s="220"/>
    </row>
    <row r="260" spans="13:13">
      <c r="M260" s="220"/>
    </row>
    <row r="261" spans="13:13">
      <c r="M261" s="220"/>
    </row>
    <row r="262" spans="13:13">
      <c r="M262" s="220"/>
    </row>
    <row r="263" spans="13:13">
      <c r="M263" s="220"/>
    </row>
    <row r="264" spans="13:13">
      <c r="M264" s="220"/>
    </row>
    <row r="265" spans="13:13">
      <c r="M265" s="220"/>
    </row>
    <row r="266" spans="13:13">
      <c r="M266" s="220"/>
    </row>
    <row r="267" spans="13:13">
      <c r="M267" s="220"/>
    </row>
    <row r="268" spans="13:13">
      <c r="M268" s="220"/>
    </row>
    <row r="269" spans="13:13">
      <c r="M269" s="220"/>
    </row>
    <row r="270" spans="13:13">
      <c r="M270" s="220"/>
    </row>
    <row r="271" spans="13:13">
      <c r="M271" s="220"/>
    </row>
    <row r="272" spans="13:13">
      <c r="M272" s="220"/>
    </row>
    <row r="273" spans="13:13">
      <c r="M273" s="220"/>
    </row>
    <row r="274" spans="13:13">
      <c r="M274" s="220"/>
    </row>
    <row r="275" spans="13:13">
      <c r="M275" s="220"/>
    </row>
    <row r="276" spans="13:13">
      <c r="M276" s="220"/>
    </row>
    <row r="277" spans="13:13">
      <c r="M277" s="220"/>
    </row>
    <row r="278" spans="13:13">
      <c r="M278" s="220"/>
    </row>
    <row r="279" spans="13:13">
      <c r="M279" s="220"/>
    </row>
    <row r="280" spans="13:13">
      <c r="M280" s="220"/>
    </row>
    <row r="281" spans="13:13">
      <c r="M281" s="220"/>
    </row>
    <row r="282" spans="13:13">
      <c r="M282" s="220"/>
    </row>
    <row r="283" spans="13:13">
      <c r="M283" s="220"/>
    </row>
    <row r="284" spans="13:13">
      <c r="M284" s="220"/>
    </row>
    <row r="285" spans="13:13">
      <c r="M285" s="220"/>
    </row>
    <row r="286" spans="13:13">
      <c r="M286" s="220"/>
    </row>
    <row r="287" spans="13:13">
      <c r="M287" s="220"/>
    </row>
    <row r="288" spans="13:13">
      <c r="M288" s="220"/>
    </row>
    <row r="289" spans="13:13">
      <c r="M289" s="220"/>
    </row>
    <row r="290" spans="13:13">
      <c r="M290" s="220"/>
    </row>
    <row r="291" spans="13:13">
      <c r="M291" s="220"/>
    </row>
    <row r="292" spans="13:13">
      <c r="M292" s="220"/>
    </row>
    <row r="293" spans="13:13">
      <c r="M293" s="220"/>
    </row>
    <row r="294" spans="13:13">
      <c r="M294" s="220"/>
    </row>
    <row r="295" spans="13:13">
      <c r="M295" s="220"/>
    </row>
    <row r="296" spans="13:13">
      <c r="M296" s="220"/>
    </row>
    <row r="297" spans="13:13">
      <c r="M297" s="220"/>
    </row>
    <row r="298" spans="13:13">
      <c r="M298" s="220"/>
    </row>
    <row r="299" spans="13:13">
      <c r="M299" s="220"/>
    </row>
    <row r="300" spans="13:13">
      <c r="M300" s="220"/>
    </row>
    <row r="301" spans="13:13">
      <c r="M301" s="220"/>
    </row>
    <row r="302" spans="13:13">
      <c r="M302" s="220"/>
    </row>
    <row r="303" spans="13:13">
      <c r="M303" s="220"/>
    </row>
    <row r="304" spans="13:13">
      <c r="M304" s="220"/>
    </row>
    <row r="305" spans="13:13">
      <c r="M305" s="220"/>
    </row>
    <row r="306" spans="13:13">
      <c r="M306" s="220"/>
    </row>
    <row r="307" spans="13:13">
      <c r="M307" s="220"/>
    </row>
    <row r="308" spans="13:13">
      <c r="M308" s="220"/>
    </row>
    <row r="309" spans="13:13">
      <c r="M309" s="220"/>
    </row>
    <row r="310" spans="13:13">
      <c r="M310" s="220"/>
    </row>
    <row r="311" spans="13:13">
      <c r="M311" s="220"/>
    </row>
    <row r="312" spans="13:13">
      <c r="M312" s="220"/>
    </row>
  </sheetData>
  <mergeCells count="7">
    <mergeCell ref="AN7:AR7"/>
    <mergeCell ref="AS7:AU7"/>
    <mergeCell ref="L5:M5"/>
    <mergeCell ref="L6:M6"/>
    <mergeCell ref="W6:AB6"/>
    <mergeCell ref="AE6:AL6"/>
    <mergeCell ref="AS6:AU6"/>
  </mergeCells>
  <conditionalFormatting sqref="BC9:BI39 AU9:AU40 AV9:BA39 E9:AT39">
    <cfRule type="expression" dxfId="637" priority="95" stopIfTrue="1">
      <formula>$B9="*"</formula>
    </cfRule>
    <cfRule type="expression" dxfId="636" priority="96" stopIfTrue="1">
      <formula>$B9="-"</formula>
    </cfRule>
  </conditionalFormatting>
  <conditionalFormatting sqref="BA20">
    <cfRule type="expression" dxfId="635" priority="93" stopIfTrue="1">
      <formula>$B20="*"</formula>
    </cfRule>
    <cfRule type="expression" dxfId="634" priority="94" stopIfTrue="1">
      <formula>$B20="-"</formula>
    </cfRule>
  </conditionalFormatting>
  <conditionalFormatting sqref="BA20:BA22">
    <cfRule type="expression" dxfId="633" priority="91" stopIfTrue="1">
      <formula>$B20="*"</formula>
    </cfRule>
    <cfRule type="expression" dxfId="632" priority="92" stopIfTrue="1">
      <formula>$B20="-"</formula>
    </cfRule>
  </conditionalFormatting>
  <conditionalFormatting sqref="BA32">
    <cfRule type="expression" dxfId="631" priority="89" stopIfTrue="1">
      <formula>$B32="*"</formula>
    </cfRule>
    <cfRule type="expression" dxfId="630" priority="90" stopIfTrue="1">
      <formula>$B32="-"</formula>
    </cfRule>
  </conditionalFormatting>
  <conditionalFormatting sqref="T9:U9">
    <cfRule type="expression" dxfId="629" priority="87" stopIfTrue="1">
      <formula>$B9="*"</formula>
    </cfRule>
    <cfRule type="expression" dxfId="628" priority="88" stopIfTrue="1">
      <formula>$B9="-"</formula>
    </cfRule>
  </conditionalFormatting>
  <conditionalFormatting sqref="T9:U9">
    <cfRule type="expression" dxfId="627" priority="85" stopIfTrue="1">
      <formula>$B9="*"</formula>
    </cfRule>
    <cfRule type="expression" dxfId="626" priority="86" stopIfTrue="1">
      <formula>$B9="-"</formula>
    </cfRule>
  </conditionalFormatting>
  <conditionalFormatting sqref="T9:U9">
    <cfRule type="expression" dxfId="625" priority="83" stopIfTrue="1">
      <formula>$B9="*"</formula>
    </cfRule>
    <cfRule type="expression" dxfId="624" priority="84" stopIfTrue="1">
      <formula>$B9="-"</formula>
    </cfRule>
  </conditionalFormatting>
  <conditionalFormatting sqref="T9:U9">
    <cfRule type="expression" dxfId="623" priority="81" stopIfTrue="1">
      <formula>$B9="*"</formula>
    </cfRule>
    <cfRule type="expression" dxfId="622" priority="82" stopIfTrue="1">
      <formula>$B9="-"</formula>
    </cfRule>
  </conditionalFormatting>
  <conditionalFormatting sqref="T10:U14 T16:U20 T24:U28 T30:U34 T37:U39">
    <cfRule type="expression" dxfId="621" priority="79" stopIfTrue="1">
      <formula>$B10="*"</formula>
    </cfRule>
    <cfRule type="expression" dxfId="620" priority="80" stopIfTrue="1">
      <formula>$B10="-"</formula>
    </cfRule>
  </conditionalFormatting>
  <conditionalFormatting sqref="T10:U14 T16:U20 T24:U28 T30:U34 T37:U39">
    <cfRule type="expression" dxfId="619" priority="77" stopIfTrue="1">
      <formula>$B10="*"</formula>
    </cfRule>
    <cfRule type="expression" dxfId="618" priority="78" stopIfTrue="1">
      <formula>$B10="-"</formula>
    </cfRule>
  </conditionalFormatting>
  <conditionalFormatting sqref="T10:U14 T16:U20 T24:U28 T30:U34 T37:U39">
    <cfRule type="expression" dxfId="617" priority="75" stopIfTrue="1">
      <formula>$B10="*"</formula>
    </cfRule>
    <cfRule type="expression" dxfId="616" priority="76" stopIfTrue="1">
      <formula>$B10="-"</formula>
    </cfRule>
  </conditionalFormatting>
  <conditionalFormatting sqref="T10:U14 T16:U20 T24:U28 T30:U34 T37:U39">
    <cfRule type="expression" dxfId="615" priority="73" stopIfTrue="1">
      <formula>$B10="*"</formula>
    </cfRule>
    <cfRule type="expression" dxfId="614" priority="74" stopIfTrue="1">
      <formula>$B10="-"</formula>
    </cfRule>
  </conditionalFormatting>
  <conditionalFormatting sqref="AZ28:BA28">
    <cfRule type="expression" dxfId="613" priority="71" stopIfTrue="1">
      <formula>$B28="*"</formula>
    </cfRule>
    <cfRule type="expression" dxfId="612" priority="72" stopIfTrue="1">
      <formula>$B28="-"</formula>
    </cfRule>
  </conditionalFormatting>
  <conditionalFormatting sqref="T15:U15">
    <cfRule type="expression" dxfId="611" priority="69" stopIfTrue="1">
      <formula>$B15="*"</formula>
    </cfRule>
    <cfRule type="expression" dxfId="610" priority="70" stopIfTrue="1">
      <formula>$B15="-"</formula>
    </cfRule>
  </conditionalFormatting>
  <conditionalFormatting sqref="T15:U15">
    <cfRule type="expression" dxfId="609" priority="67" stopIfTrue="1">
      <formula>$B15="*"</formula>
    </cfRule>
    <cfRule type="expression" dxfId="608" priority="68" stopIfTrue="1">
      <formula>$B15="-"</formula>
    </cfRule>
  </conditionalFormatting>
  <conditionalFormatting sqref="T15:U15">
    <cfRule type="expression" dxfId="607" priority="65" stopIfTrue="1">
      <formula>$B15="*"</formula>
    </cfRule>
    <cfRule type="expression" dxfId="606" priority="66" stopIfTrue="1">
      <formula>$B15="-"</formula>
    </cfRule>
  </conditionalFormatting>
  <conditionalFormatting sqref="T15:U15">
    <cfRule type="expression" dxfId="605" priority="63" stopIfTrue="1">
      <formula>$B15="*"</formula>
    </cfRule>
    <cfRule type="expression" dxfId="604" priority="64" stopIfTrue="1">
      <formula>$B15="-"</formula>
    </cfRule>
  </conditionalFormatting>
  <conditionalFormatting sqref="T29:U29">
    <cfRule type="expression" dxfId="603" priority="61" stopIfTrue="1">
      <formula>$B29="*"</formula>
    </cfRule>
    <cfRule type="expression" dxfId="602" priority="62" stopIfTrue="1">
      <formula>$B29="-"</formula>
    </cfRule>
  </conditionalFormatting>
  <conditionalFormatting sqref="T29:U29">
    <cfRule type="expression" dxfId="601" priority="59" stopIfTrue="1">
      <formula>$B29="*"</formula>
    </cfRule>
    <cfRule type="expression" dxfId="600" priority="60" stopIfTrue="1">
      <formula>$B29="-"</formula>
    </cfRule>
  </conditionalFormatting>
  <conditionalFormatting sqref="T29:U29">
    <cfRule type="expression" dxfId="599" priority="57" stopIfTrue="1">
      <formula>$B29="*"</formula>
    </cfRule>
    <cfRule type="expression" dxfId="598" priority="58" stopIfTrue="1">
      <formula>$B29="-"</formula>
    </cfRule>
  </conditionalFormatting>
  <conditionalFormatting sqref="T29:U29">
    <cfRule type="expression" dxfId="597" priority="55" stopIfTrue="1">
      <formula>$B29="*"</formula>
    </cfRule>
    <cfRule type="expression" dxfId="596" priority="56" stopIfTrue="1">
      <formula>$B29="-"</formula>
    </cfRule>
  </conditionalFormatting>
  <conditionalFormatting sqref="T39:U39">
    <cfRule type="expression" dxfId="595" priority="53" stopIfTrue="1">
      <formula>$B39="*"</formula>
    </cfRule>
    <cfRule type="expression" dxfId="594" priority="54" stopIfTrue="1">
      <formula>$B39="-"</formula>
    </cfRule>
  </conditionalFormatting>
  <conditionalFormatting sqref="T39:U39">
    <cfRule type="expression" dxfId="593" priority="51" stopIfTrue="1">
      <formula>$B39="*"</formula>
    </cfRule>
    <cfRule type="expression" dxfId="592" priority="52" stopIfTrue="1">
      <formula>$B39="-"</formula>
    </cfRule>
  </conditionalFormatting>
  <conditionalFormatting sqref="T39:U39">
    <cfRule type="expression" dxfId="591" priority="49" stopIfTrue="1">
      <formula>$B39="*"</formula>
    </cfRule>
    <cfRule type="expression" dxfId="590" priority="50" stopIfTrue="1">
      <formula>$B39="-"</formula>
    </cfRule>
  </conditionalFormatting>
  <conditionalFormatting sqref="T39:U39">
    <cfRule type="expression" dxfId="589" priority="47" stopIfTrue="1">
      <formula>$B39="*"</formula>
    </cfRule>
    <cfRule type="expression" dxfId="588" priority="48" stopIfTrue="1">
      <formula>$B39="-"</formula>
    </cfRule>
  </conditionalFormatting>
  <conditionalFormatting sqref="T21:U21">
    <cfRule type="expression" dxfId="587" priority="41" stopIfTrue="1">
      <formula>$B21="*"</formula>
    </cfRule>
    <cfRule type="expression" dxfId="586" priority="42" stopIfTrue="1">
      <formula>$B21="-"</formula>
    </cfRule>
  </conditionalFormatting>
  <conditionalFormatting sqref="T21:U21">
    <cfRule type="expression" dxfId="585" priority="39" stopIfTrue="1">
      <formula>$B21="*"</formula>
    </cfRule>
    <cfRule type="expression" dxfId="584" priority="40" stopIfTrue="1">
      <formula>$B21="-"</formula>
    </cfRule>
  </conditionalFormatting>
  <conditionalFormatting sqref="T21:U21">
    <cfRule type="expression" dxfId="583" priority="37" stopIfTrue="1">
      <formula>$B21="*"</formula>
    </cfRule>
    <cfRule type="expression" dxfId="582" priority="38" stopIfTrue="1">
      <formula>$B21="-"</formula>
    </cfRule>
  </conditionalFormatting>
  <conditionalFormatting sqref="T21:U21">
    <cfRule type="expression" dxfId="581" priority="35" stopIfTrue="1">
      <formula>$B21="*"</formula>
    </cfRule>
    <cfRule type="expression" dxfId="580" priority="36" stopIfTrue="1">
      <formula>$B21="-"</formula>
    </cfRule>
  </conditionalFormatting>
  <conditionalFormatting sqref="BA24">
    <cfRule type="expression" dxfId="579" priority="33" stopIfTrue="1">
      <formula>$B24="*"</formula>
    </cfRule>
    <cfRule type="expression" dxfId="578" priority="34" stopIfTrue="1">
      <formula>$B24="-"</formula>
    </cfRule>
  </conditionalFormatting>
  <conditionalFormatting sqref="BA23">
    <cfRule type="expression" dxfId="577" priority="31" stopIfTrue="1">
      <formula>$B23="*"</formula>
    </cfRule>
    <cfRule type="expression" dxfId="576" priority="32" stopIfTrue="1">
      <formula>$B23="-"</formula>
    </cfRule>
  </conditionalFormatting>
  <conditionalFormatting sqref="BA23">
    <cfRule type="expression" dxfId="575" priority="29" stopIfTrue="1">
      <formula>$B23="*"</formula>
    </cfRule>
    <cfRule type="expression" dxfId="574" priority="30" stopIfTrue="1">
      <formula>$B23="-"</formula>
    </cfRule>
  </conditionalFormatting>
  <conditionalFormatting sqref="BA23">
    <cfRule type="expression" dxfId="573" priority="27" stopIfTrue="1">
      <formula>$B23="*"</formula>
    </cfRule>
    <cfRule type="expression" dxfId="572" priority="28" stopIfTrue="1">
      <formula>$B23="-"</formula>
    </cfRule>
  </conditionalFormatting>
  <conditionalFormatting sqref="C9:C39">
    <cfRule type="expression" dxfId="571" priority="25" stopIfTrue="1">
      <formula>$B9="*"</formula>
    </cfRule>
    <cfRule type="expression" dxfId="570" priority="26" stopIfTrue="1">
      <formula>$B9="-"</formula>
    </cfRule>
  </conditionalFormatting>
  <conditionalFormatting sqref="D10:D39">
    <cfRule type="expression" dxfId="569" priority="17" stopIfTrue="1">
      <formula>$B10="*"</formula>
    </cfRule>
    <cfRule type="expression" dxfId="568" priority="18" stopIfTrue="1">
      <formula>$B10="-"</formula>
    </cfRule>
  </conditionalFormatting>
  <conditionalFormatting sqref="D10:D39">
    <cfRule type="expression" dxfId="567" priority="15" stopIfTrue="1">
      <formula>$B10="*"</formula>
    </cfRule>
    <cfRule type="expression" dxfId="566" priority="16" stopIfTrue="1">
      <formula>$B10="-"</formula>
    </cfRule>
  </conditionalFormatting>
  <conditionalFormatting sqref="D10:D39">
    <cfRule type="expression" dxfId="565" priority="13" stopIfTrue="1">
      <formula>$B10="*"</formula>
    </cfRule>
    <cfRule type="expression" dxfId="564" priority="14" stopIfTrue="1">
      <formula>$B10="-"</formula>
    </cfRule>
  </conditionalFormatting>
  <conditionalFormatting sqref="D9">
    <cfRule type="expression" dxfId="563" priority="5" stopIfTrue="1">
      <formula>$B9="*"</formula>
    </cfRule>
    <cfRule type="expression" dxfId="562" priority="6" stopIfTrue="1">
      <formula>$B9="-"</formula>
    </cfRule>
  </conditionalFormatting>
  <conditionalFormatting sqref="D9">
    <cfRule type="expression" dxfId="561" priority="3" stopIfTrue="1">
      <formula>$B9="*"</formula>
    </cfRule>
    <cfRule type="expression" dxfId="560" priority="4" stopIfTrue="1">
      <formula>$B9="-"</formula>
    </cfRule>
  </conditionalFormatting>
  <conditionalFormatting sqref="D9">
    <cfRule type="expression" dxfId="559" priority="1" stopIfTrue="1">
      <formula>$B9="*"</formula>
    </cfRule>
    <cfRule type="expression" dxfId="558" priority="2" stopIfTrue="1">
      <formula>$B9="-"</formula>
    </cfRule>
  </conditionalFormatting>
  <pageMargins left="0.19685039370078741" right="0" top="0.74803149606299213" bottom="0.6692913385826772" header="0.51181102362204722" footer="0.51181102362204722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I78"/>
  <sheetViews>
    <sheetView topLeftCell="A5" zoomScale="80" zoomScaleNormal="80" workbookViewId="0">
      <pane xSplit="3" ySplit="4" topLeftCell="D9" activePane="bottomRight" state="frozen"/>
      <selection activeCell="G18" sqref="G18"/>
      <selection pane="topRight" activeCell="G18" sqref="G18"/>
      <selection pane="bottomLeft" activeCell="G18" sqref="G18"/>
      <selection pane="bottomRight" activeCell="M47" sqref="M47"/>
    </sheetView>
  </sheetViews>
  <sheetFormatPr defaultRowHeight="13.5"/>
  <cols>
    <col min="1" max="1" width="1.85546875" style="19" customWidth="1"/>
    <col min="2" max="2" width="9.5703125" style="19" customWidth="1"/>
    <col min="3" max="3" width="6.7109375" style="220" bestFit="1" customWidth="1"/>
    <col min="4" max="4" width="9.42578125" style="19" customWidth="1"/>
    <col min="5" max="5" width="10.140625" style="19" customWidth="1"/>
    <col min="6" max="6" width="9.28515625" style="19" customWidth="1"/>
    <col min="7" max="7" width="6.42578125" style="220" customWidth="1"/>
    <col min="8" max="8" width="9.85546875" style="19" customWidth="1"/>
    <col min="9" max="9" width="12.140625" style="19" customWidth="1"/>
    <col min="10" max="10" width="9.140625" style="19"/>
    <col min="11" max="11" width="11" style="19" customWidth="1"/>
    <col min="12" max="12" width="9.28515625" style="19" customWidth="1"/>
    <col min="13" max="13" width="9.85546875" style="19" customWidth="1"/>
    <col min="14" max="15" width="8.140625" style="19" hidden="1" customWidth="1"/>
    <col min="16" max="16" width="10.5703125" style="19" customWidth="1"/>
    <col min="17" max="17" width="7.28515625" style="19" hidden="1" customWidth="1"/>
    <col min="18" max="18" width="13.140625" style="19" hidden="1" customWidth="1"/>
    <col min="19" max="22" width="7.28515625" style="19" hidden="1" customWidth="1"/>
    <col min="23" max="23" width="6.85546875" style="19" hidden="1" customWidth="1"/>
    <col min="24" max="28" width="5.85546875" style="19" hidden="1" customWidth="1"/>
    <col min="29" max="30" width="6.5703125" style="19" hidden="1" customWidth="1"/>
    <col min="31" max="39" width="5.85546875" style="19" hidden="1" customWidth="1"/>
    <col min="40" max="40" width="7.7109375" style="19" hidden="1" customWidth="1"/>
    <col min="41" max="41" width="9.140625" style="19" hidden="1" customWidth="1"/>
    <col min="42" max="43" width="8.5703125" style="19" hidden="1" customWidth="1"/>
    <col min="44" max="44" width="7.5703125" style="19" hidden="1" customWidth="1"/>
    <col min="45" max="47" width="9.28515625" style="19" hidden="1" customWidth="1"/>
    <col min="48" max="49" width="7.85546875" style="19" hidden="1" customWidth="1"/>
    <col min="50" max="51" width="6.42578125" style="19" hidden="1" customWidth="1"/>
    <col min="52" max="52" width="11.140625" style="19" hidden="1" customWidth="1"/>
    <col min="53" max="53" width="44.28515625" style="19" hidden="1" customWidth="1"/>
    <col min="54" max="54" width="5" style="19" customWidth="1"/>
    <col min="55" max="55" width="5.5703125" style="19" customWidth="1"/>
    <col min="56" max="57" width="9.140625" style="19"/>
    <col min="58" max="58" width="9.140625" style="397"/>
    <col min="59" max="59" width="9.140625" style="19"/>
    <col min="60" max="61" width="8.7109375" style="19" customWidth="1"/>
    <col min="62" max="256" width="9.140625" style="19"/>
    <col min="257" max="257" width="1.85546875" style="19" customWidth="1"/>
    <col min="258" max="258" width="9.5703125" style="19" customWidth="1"/>
    <col min="259" max="259" width="6.7109375" style="19" bestFit="1" customWidth="1"/>
    <col min="260" max="260" width="9.42578125" style="19" customWidth="1"/>
    <col min="261" max="261" width="10.140625" style="19" customWidth="1"/>
    <col min="262" max="262" width="9.28515625" style="19" customWidth="1"/>
    <col min="263" max="263" width="6.42578125" style="19" customWidth="1"/>
    <col min="264" max="264" width="9.85546875" style="19" customWidth="1"/>
    <col min="265" max="265" width="12.140625" style="19" customWidth="1"/>
    <col min="266" max="266" width="9.140625" style="19"/>
    <col min="267" max="267" width="11" style="19" customWidth="1"/>
    <col min="268" max="268" width="9.28515625" style="19" customWidth="1"/>
    <col min="269" max="269" width="9.85546875" style="19" customWidth="1"/>
    <col min="270" max="271" width="0" style="19" hidden="1" customWidth="1"/>
    <col min="272" max="272" width="8.42578125" style="19" customWidth="1"/>
    <col min="273" max="284" width="0" style="19" hidden="1" customWidth="1"/>
    <col min="285" max="286" width="6.5703125" style="19" customWidth="1"/>
    <col min="287" max="290" width="0" style="19" hidden="1" customWidth="1"/>
    <col min="291" max="291" width="5.85546875" style="19" customWidth="1"/>
    <col min="292" max="292" width="0" style="19" hidden="1" customWidth="1"/>
    <col min="293" max="295" width="5.85546875" style="19" customWidth="1"/>
    <col min="296" max="296" width="7.7109375" style="19" customWidth="1"/>
    <col min="297" max="297" width="9.140625" style="19" bestFit="1" customWidth="1"/>
    <col min="298" max="299" width="8.5703125" style="19" bestFit="1" customWidth="1"/>
    <col min="300" max="300" width="7.5703125" style="19" customWidth="1"/>
    <col min="301" max="303" width="9.28515625" style="19" customWidth="1"/>
    <col min="304" max="305" width="7.85546875" style="19" customWidth="1"/>
    <col min="306" max="307" width="6.42578125" style="19" customWidth="1"/>
    <col min="308" max="308" width="11.140625" style="19" customWidth="1"/>
    <col min="309" max="309" width="44.28515625" style="19" customWidth="1"/>
    <col min="310" max="310" width="5" style="19" customWidth="1"/>
    <col min="311" max="311" width="5.5703125" style="19" customWidth="1"/>
    <col min="312" max="315" width="9.140625" style="19"/>
    <col min="316" max="317" width="8.7109375" style="19" customWidth="1"/>
    <col min="318" max="512" width="9.140625" style="19"/>
    <col min="513" max="513" width="1.85546875" style="19" customWidth="1"/>
    <col min="514" max="514" width="9.5703125" style="19" customWidth="1"/>
    <col min="515" max="515" width="6.7109375" style="19" bestFit="1" customWidth="1"/>
    <col min="516" max="516" width="9.42578125" style="19" customWidth="1"/>
    <col min="517" max="517" width="10.140625" style="19" customWidth="1"/>
    <col min="518" max="518" width="9.28515625" style="19" customWidth="1"/>
    <col min="519" max="519" width="6.42578125" style="19" customWidth="1"/>
    <col min="520" max="520" width="9.85546875" style="19" customWidth="1"/>
    <col min="521" max="521" width="12.140625" style="19" customWidth="1"/>
    <col min="522" max="522" width="9.140625" style="19"/>
    <col min="523" max="523" width="11" style="19" customWidth="1"/>
    <col min="524" max="524" width="9.28515625" style="19" customWidth="1"/>
    <col min="525" max="525" width="9.85546875" style="19" customWidth="1"/>
    <col min="526" max="527" width="0" style="19" hidden="1" customWidth="1"/>
    <col min="528" max="528" width="8.42578125" style="19" customWidth="1"/>
    <col min="529" max="540" width="0" style="19" hidden="1" customWidth="1"/>
    <col min="541" max="542" width="6.5703125" style="19" customWidth="1"/>
    <col min="543" max="546" width="0" style="19" hidden="1" customWidth="1"/>
    <col min="547" max="547" width="5.85546875" style="19" customWidth="1"/>
    <col min="548" max="548" width="0" style="19" hidden="1" customWidth="1"/>
    <col min="549" max="551" width="5.85546875" style="19" customWidth="1"/>
    <col min="552" max="552" width="7.7109375" style="19" customWidth="1"/>
    <col min="553" max="553" width="9.140625" style="19" bestFit="1" customWidth="1"/>
    <col min="554" max="555" width="8.5703125" style="19" bestFit="1" customWidth="1"/>
    <col min="556" max="556" width="7.5703125" style="19" customWidth="1"/>
    <col min="557" max="559" width="9.28515625" style="19" customWidth="1"/>
    <col min="560" max="561" width="7.85546875" style="19" customWidth="1"/>
    <col min="562" max="563" width="6.42578125" style="19" customWidth="1"/>
    <col min="564" max="564" width="11.140625" style="19" customWidth="1"/>
    <col min="565" max="565" width="44.28515625" style="19" customWidth="1"/>
    <col min="566" max="566" width="5" style="19" customWidth="1"/>
    <col min="567" max="567" width="5.5703125" style="19" customWidth="1"/>
    <col min="568" max="571" width="9.140625" style="19"/>
    <col min="572" max="573" width="8.7109375" style="19" customWidth="1"/>
    <col min="574" max="768" width="9.140625" style="19"/>
    <col min="769" max="769" width="1.85546875" style="19" customWidth="1"/>
    <col min="770" max="770" width="9.5703125" style="19" customWidth="1"/>
    <col min="771" max="771" width="6.7109375" style="19" bestFit="1" customWidth="1"/>
    <col min="772" max="772" width="9.42578125" style="19" customWidth="1"/>
    <col min="773" max="773" width="10.140625" style="19" customWidth="1"/>
    <col min="774" max="774" width="9.28515625" style="19" customWidth="1"/>
    <col min="775" max="775" width="6.42578125" style="19" customWidth="1"/>
    <col min="776" max="776" width="9.85546875" style="19" customWidth="1"/>
    <col min="777" max="777" width="12.140625" style="19" customWidth="1"/>
    <col min="778" max="778" width="9.140625" style="19"/>
    <col min="779" max="779" width="11" style="19" customWidth="1"/>
    <col min="780" max="780" width="9.28515625" style="19" customWidth="1"/>
    <col min="781" max="781" width="9.85546875" style="19" customWidth="1"/>
    <col min="782" max="783" width="0" style="19" hidden="1" customWidth="1"/>
    <col min="784" max="784" width="8.42578125" style="19" customWidth="1"/>
    <col min="785" max="796" width="0" style="19" hidden="1" customWidth="1"/>
    <col min="797" max="798" width="6.5703125" style="19" customWidth="1"/>
    <col min="799" max="802" width="0" style="19" hidden="1" customWidth="1"/>
    <col min="803" max="803" width="5.85546875" style="19" customWidth="1"/>
    <col min="804" max="804" width="0" style="19" hidden="1" customWidth="1"/>
    <col min="805" max="807" width="5.85546875" style="19" customWidth="1"/>
    <col min="808" max="808" width="7.7109375" style="19" customWidth="1"/>
    <col min="809" max="809" width="9.140625" style="19" bestFit="1" customWidth="1"/>
    <col min="810" max="811" width="8.5703125" style="19" bestFit="1" customWidth="1"/>
    <col min="812" max="812" width="7.5703125" style="19" customWidth="1"/>
    <col min="813" max="815" width="9.28515625" style="19" customWidth="1"/>
    <col min="816" max="817" width="7.85546875" style="19" customWidth="1"/>
    <col min="818" max="819" width="6.42578125" style="19" customWidth="1"/>
    <col min="820" max="820" width="11.140625" style="19" customWidth="1"/>
    <col min="821" max="821" width="44.28515625" style="19" customWidth="1"/>
    <col min="822" max="822" width="5" style="19" customWidth="1"/>
    <col min="823" max="823" width="5.5703125" style="19" customWidth="1"/>
    <col min="824" max="827" width="9.140625" style="19"/>
    <col min="828" max="829" width="8.7109375" style="19" customWidth="1"/>
    <col min="830" max="1024" width="9.140625" style="19"/>
    <col min="1025" max="1025" width="1.85546875" style="19" customWidth="1"/>
    <col min="1026" max="1026" width="9.5703125" style="19" customWidth="1"/>
    <col min="1027" max="1027" width="6.7109375" style="19" bestFit="1" customWidth="1"/>
    <col min="1028" max="1028" width="9.42578125" style="19" customWidth="1"/>
    <col min="1029" max="1029" width="10.140625" style="19" customWidth="1"/>
    <col min="1030" max="1030" width="9.28515625" style="19" customWidth="1"/>
    <col min="1031" max="1031" width="6.42578125" style="19" customWidth="1"/>
    <col min="1032" max="1032" width="9.85546875" style="19" customWidth="1"/>
    <col min="1033" max="1033" width="12.140625" style="19" customWidth="1"/>
    <col min="1034" max="1034" width="9.140625" style="19"/>
    <col min="1035" max="1035" width="11" style="19" customWidth="1"/>
    <col min="1036" max="1036" width="9.28515625" style="19" customWidth="1"/>
    <col min="1037" max="1037" width="9.85546875" style="19" customWidth="1"/>
    <col min="1038" max="1039" width="0" style="19" hidden="1" customWidth="1"/>
    <col min="1040" max="1040" width="8.42578125" style="19" customWidth="1"/>
    <col min="1041" max="1052" width="0" style="19" hidden="1" customWidth="1"/>
    <col min="1053" max="1054" width="6.5703125" style="19" customWidth="1"/>
    <col min="1055" max="1058" width="0" style="19" hidden="1" customWidth="1"/>
    <col min="1059" max="1059" width="5.85546875" style="19" customWidth="1"/>
    <col min="1060" max="1060" width="0" style="19" hidden="1" customWidth="1"/>
    <col min="1061" max="1063" width="5.85546875" style="19" customWidth="1"/>
    <col min="1064" max="1064" width="7.7109375" style="19" customWidth="1"/>
    <col min="1065" max="1065" width="9.140625" style="19" bestFit="1" customWidth="1"/>
    <col min="1066" max="1067" width="8.5703125" style="19" bestFit="1" customWidth="1"/>
    <col min="1068" max="1068" width="7.5703125" style="19" customWidth="1"/>
    <col min="1069" max="1071" width="9.28515625" style="19" customWidth="1"/>
    <col min="1072" max="1073" width="7.85546875" style="19" customWidth="1"/>
    <col min="1074" max="1075" width="6.42578125" style="19" customWidth="1"/>
    <col min="1076" max="1076" width="11.140625" style="19" customWidth="1"/>
    <col min="1077" max="1077" width="44.28515625" style="19" customWidth="1"/>
    <col min="1078" max="1078" width="5" style="19" customWidth="1"/>
    <col min="1079" max="1079" width="5.5703125" style="19" customWidth="1"/>
    <col min="1080" max="1083" width="9.140625" style="19"/>
    <col min="1084" max="1085" width="8.7109375" style="19" customWidth="1"/>
    <col min="1086" max="1280" width="9.140625" style="19"/>
    <col min="1281" max="1281" width="1.85546875" style="19" customWidth="1"/>
    <col min="1282" max="1282" width="9.5703125" style="19" customWidth="1"/>
    <col min="1283" max="1283" width="6.7109375" style="19" bestFit="1" customWidth="1"/>
    <col min="1284" max="1284" width="9.42578125" style="19" customWidth="1"/>
    <col min="1285" max="1285" width="10.140625" style="19" customWidth="1"/>
    <col min="1286" max="1286" width="9.28515625" style="19" customWidth="1"/>
    <col min="1287" max="1287" width="6.42578125" style="19" customWidth="1"/>
    <col min="1288" max="1288" width="9.85546875" style="19" customWidth="1"/>
    <col min="1289" max="1289" width="12.140625" style="19" customWidth="1"/>
    <col min="1290" max="1290" width="9.140625" style="19"/>
    <col min="1291" max="1291" width="11" style="19" customWidth="1"/>
    <col min="1292" max="1292" width="9.28515625" style="19" customWidth="1"/>
    <col min="1293" max="1293" width="9.85546875" style="19" customWidth="1"/>
    <col min="1294" max="1295" width="0" style="19" hidden="1" customWidth="1"/>
    <col min="1296" max="1296" width="8.42578125" style="19" customWidth="1"/>
    <col min="1297" max="1308" width="0" style="19" hidden="1" customWidth="1"/>
    <col min="1309" max="1310" width="6.5703125" style="19" customWidth="1"/>
    <col min="1311" max="1314" width="0" style="19" hidden="1" customWidth="1"/>
    <col min="1315" max="1315" width="5.85546875" style="19" customWidth="1"/>
    <col min="1316" max="1316" width="0" style="19" hidden="1" customWidth="1"/>
    <col min="1317" max="1319" width="5.85546875" style="19" customWidth="1"/>
    <col min="1320" max="1320" width="7.7109375" style="19" customWidth="1"/>
    <col min="1321" max="1321" width="9.140625" style="19" bestFit="1" customWidth="1"/>
    <col min="1322" max="1323" width="8.5703125" style="19" bestFit="1" customWidth="1"/>
    <col min="1324" max="1324" width="7.5703125" style="19" customWidth="1"/>
    <col min="1325" max="1327" width="9.28515625" style="19" customWidth="1"/>
    <col min="1328" max="1329" width="7.85546875" style="19" customWidth="1"/>
    <col min="1330" max="1331" width="6.42578125" style="19" customWidth="1"/>
    <col min="1332" max="1332" width="11.140625" style="19" customWidth="1"/>
    <col min="1333" max="1333" width="44.28515625" style="19" customWidth="1"/>
    <col min="1334" max="1334" width="5" style="19" customWidth="1"/>
    <col min="1335" max="1335" width="5.5703125" style="19" customWidth="1"/>
    <col min="1336" max="1339" width="9.140625" style="19"/>
    <col min="1340" max="1341" width="8.7109375" style="19" customWidth="1"/>
    <col min="1342" max="1536" width="9.140625" style="19"/>
    <col min="1537" max="1537" width="1.85546875" style="19" customWidth="1"/>
    <col min="1538" max="1538" width="9.5703125" style="19" customWidth="1"/>
    <col min="1539" max="1539" width="6.7109375" style="19" bestFit="1" customWidth="1"/>
    <col min="1540" max="1540" width="9.42578125" style="19" customWidth="1"/>
    <col min="1541" max="1541" width="10.140625" style="19" customWidth="1"/>
    <col min="1542" max="1542" width="9.28515625" style="19" customWidth="1"/>
    <col min="1543" max="1543" width="6.42578125" style="19" customWidth="1"/>
    <col min="1544" max="1544" width="9.85546875" style="19" customWidth="1"/>
    <col min="1545" max="1545" width="12.140625" style="19" customWidth="1"/>
    <col min="1546" max="1546" width="9.140625" style="19"/>
    <col min="1547" max="1547" width="11" style="19" customWidth="1"/>
    <col min="1548" max="1548" width="9.28515625" style="19" customWidth="1"/>
    <col min="1549" max="1549" width="9.85546875" style="19" customWidth="1"/>
    <col min="1550" max="1551" width="0" style="19" hidden="1" customWidth="1"/>
    <col min="1552" max="1552" width="8.42578125" style="19" customWidth="1"/>
    <col min="1553" max="1564" width="0" style="19" hidden="1" customWidth="1"/>
    <col min="1565" max="1566" width="6.5703125" style="19" customWidth="1"/>
    <col min="1567" max="1570" width="0" style="19" hidden="1" customWidth="1"/>
    <col min="1571" max="1571" width="5.85546875" style="19" customWidth="1"/>
    <col min="1572" max="1572" width="0" style="19" hidden="1" customWidth="1"/>
    <col min="1573" max="1575" width="5.85546875" style="19" customWidth="1"/>
    <col min="1576" max="1576" width="7.7109375" style="19" customWidth="1"/>
    <col min="1577" max="1577" width="9.140625" style="19" bestFit="1" customWidth="1"/>
    <col min="1578" max="1579" width="8.5703125" style="19" bestFit="1" customWidth="1"/>
    <col min="1580" max="1580" width="7.5703125" style="19" customWidth="1"/>
    <col min="1581" max="1583" width="9.28515625" style="19" customWidth="1"/>
    <col min="1584" max="1585" width="7.85546875" style="19" customWidth="1"/>
    <col min="1586" max="1587" width="6.42578125" style="19" customWidth="1"/>
    <col min="1588" max="1588" width="11.140625" style="19" customWidth="1"/>
    <col min="1589" max="1589" width="44.28515625" style="19" customWidth="1"/>
    <col min="1590" max="1590" width="5" style="19" customWidth="1"/>
    <col min="1591" max="1591" width="5.5703125" style="19" customWidth="1"/>
    <col min="1592" max="1595" width="9.140625" style="19"/>
    <col min="1596" max="1597" width="8.7109375" style="19" customWidth="1"/>
    <col min="1598" max="1792" width="9.140625" style="19"/>
    <col min="1793" max="1793" width="1.85546875" style="19" customWidth="1"/>
    <col min="1794" max="1794" width="9.5703125" style="19" customWidth="1"/>
    <col min="1795" max="1795" width="6.7109375" style="19" bestFit="1" customWidth="1"/>
    <col min="1796" max="1796" width="9.42578125" style="19" customWidth="1"/>
    <col min="1797" max="1797" width="10.140625" style="19" customWidth="1"/>
    <col min="1798" max="1798" width="9.28515625" style="19" customWidth="1"/>
    <col min="1799" max="1799" width="6.42578125" style="19" customWidth="1"/>
    <col min="1800" max="1800" width="9.85546875" style="19" customWidth="1"/>
    <col min="1801" max="1801" width="12.140625" style="19" customWidth="1"/>
    <col min="1802" max="1802" width="9.140625" style="19"/>
    <col min="1803" max="1803" width="11" style="19" customWidth="1"/>
    <col min="1804" max="1804" width="9.28515625" style="19" customWidth="1"/>
    <col min="1805" max="1805" width="9.85546875" style="19" customWidth="1"/>
    <col min="1806" max="1807" width="0" style="19" hidden="1" customWidth="1"/>
    <col min="1808" max="1808" width="8.42578125" style="19" customWidth="1"/>
    <col min="1809" max="1820" width="0" style="19" hidden="1" customWidth="1"/>
    <col min="1821" max="1822" width="6.5703125" style="19" customWidth="1"/>
    <col min="1823" max="1826" width="0" style="19" hidden="1" customWidth="1"/>
    <col min="1827" max="1827" width="5.85546875" style="19" customWidth="1"/>
    <col min="1828" max="1828" width="0" style="19" hidden="1" customWidth="1"/>
    <col min="1829" max="1831" width="5.85546875" style="19" customWidth="1"/>
    <col min="1832" max="1832" width="7.7109375" style="19" customWidth="1"/>
    <col min="1833" max="1833" width="9.140625" style="19" bestFit="1" customWidth="1"/>
    <col min="1834" max="1835" width="8.5703125" style="19" bestFit="1" customWidth="1"/>
    <col min="1836" max="1836" width="7.5703125" style="19" customWidth="1"/>
    <col min="1837" max="1839" width="9.28515625" style="19" customWidth="1"/>
    <col min="1840" max="1841" width="7.85546875" style="19" customWidth="1"/>
    <col min="1842" max="1843" width="6.42578125" style="19" customWidth="1"/>
    <col min="1844" max="1844" width="11.140625" style="19" customWidth="1"/>
    <col min="1845" max="1845" width="44.28515625" style="19" customWidth="1"/>
    <col min="1846" max="1846" width="5" style="19" customWidth="1"/>
    <col min="1847" max="1847" width="5.5703125" style="19" customWidth="1"/>
    <col min="1848" max="1851" width="9.140625" style="19"/>
    <col min="1852" max="1853" width="8.7109375" style="19" customWidth="1"/>
    <col min="1854" max="2048" width="9.140625" style="19"/>
    <col min="2049" max="2049" width="1.85546875" style="19" customWidth="1"/>
    <col min="2050" max="2050" width="9.5703125" style="19" customWidth="1"/>
    <col min="2051" max="2051" width="6.7109375" style="19" bestFit="1" customWidth="1"/>
    <col min="2052" max="2052" width="9.42578125" style="19" customWidth="1"/>
    <col min="2053" max="2053" width="10.140625" style="19" customWidth="1"/>
    <col min="2054" max="2054" width="9.28515625" style="19" customWidth="1"/>
    <col min="2055" max="2055" width="6.42578125" style="19" customWidth="1"/>
    <col min="2056" max="2056" width="9.85546875" style="19" customWidth="1"/>
    <col min="2057" max="2057" width="12.140625" style="19" customWidth="1"/>
    <col min="2058" max="2058" width="9.140625" style="19"/>
    <col min="2059" max="2059" width="11" style="19" customWidth="1"/>
    <col min="2060" max="2060" width="9.28515625" style="19" customWidth="1"/>
    <col min="2061" max="2061" width="9.85546875" style="19" customWidth="1"/>
    <col min="2062" max="2063" width="0" style="19" hidden="1" customWidth="1"/>
    <col min="2064" max="2064" width="8.42578125" style="19" customWidth="1"/>
    <col min="2065" max="2076" width="0" style="19" hidden="1" customWidth="1"/>
    <col min="2077" max="2078" width="6.5703125" style="19" customWidth="1"/>
    <col min="2079" max="2082" width="0" style="19" hidden="1" customWidth="1"/>
    <col min="2083" max="2083" width="5.85546875" style="19" customWidth="1"/>
    <col min="2084" max="2084" width="0" style="19" hidden="1" customWidth="1"/>
    <col min="2085" max="2087" width="5.85546875" style="19" customWidth="1"/>
    <col min="2088" max="2088" width="7.7109375" style="19" customWidth="1"/>
    <col min="2089" max="2089" width="9.140625" style="19" bestFit="1" customWidth="1"/>
    <col min="2090" max="2091" width="8.5703125" style="19" bestFit="1" customWidth="1"/>
    <col min="2092" max="2092" width="7.5703125" style="19" customWidth="1"/>
    <col min="2093" max="2095" width="9.28515625" style="19" customWidth="1"/>
    <col min="2096" max="2097" width="7.85546875" style="19" customWidth="1"/>
    <col min="2098" max="2099" width="6.42578125" style="19" customWidth="1"/>
    <col min="2100" max="2100" width="11.140625" style="19" customWidth="1"/>
    <col min="2101" max="2101" width="44.28515625" style="19" customWidth="1"/>
    <col min="2102" max="2102" width="5" style="19" customWidth="1"/>
    <col min="2103" max="2103" width="5.5703125" style="19" customWidth="1"/>
    <col min="2104" max="2107" width="9.140625" style="19"/>
    <col min="2108" max="2109" width="8.7109375" style="19" customWidth="1"/>
    <col min="2110" max="2304" width="9.140625" style="19"/>
    <col min="2305" max="2305" width="1.85546875" style="19" customWidth="1"/>
    <col min="2306" max="2306" width="9.5703125" style="19" customWidth="1"/>
    <col min="2307" max="2307" width="6.7109375" style="19" bestFit="1" customWidth="1"/>
    <col min="2308" max="2308" width="9.42578125" style="19" customWidth="1"/>
    <col min="2309" max="2309" width="10.140625" style="19" customWidth="1"/>
    <col min="2310" max="2310" width="9.28515625" style="19" customWidth="1"/>
    <col min="2311" max="2311" width="6.42578125" style="19" customWidth="1"/>
    <col min="2312" max="2312" width="9.85546875" style="19" customWidth="1"/>
    <col min="2313" max="2313" width="12.140625" style="19" customWidth="1"/>
    <col min="2314" max="2314" width="9.140625" style="19"/>
    <col min="2315" max="2315" width="11" style="19" customWidth="1"/>
    <col min="2316" max="2316" width="9.28515625" style="19" customWidth="1"/>
    <col min="2317" max="2317" width="9.85546875" style="19" customWidth="1"/>
    <col min="2318" max="2319" width="0" style="19" hidden="1" customWidth="1"/>
    <col min="2320" max="2320" width="8.42578125" style="19" customWidth="1"/>
    <col min="2321" max="2332" width="0" style="19" hidden="1" customWidth="1"/>
    <col min="2333" max="2334" width="6.5703125" style="19" customWidth="1"/>
    <col min="2335" max="2338" width="0" style="19" hidden="1" customWidth="1"/>
    <col min="2339" max="2339" width="5.85546875" style="19" customWidth="1"/>
    <col min="2340" max="2340" width="0" style="19" hidden="1" customWidth="1"/>
    <col min="2341" max="2343" width="5.85546875" style="19" customWidth="1"/>
    <col min="2344" max="2344" width="7.7109375" style="19" customWidth="1"/>
    <col min="2345" max="2345" width="9.140625" style="19" bestFit="1" customWidth="1"/>
    <col min="2346" max="2347" width="8.5703125" style="19" bestFit="1" customWidth="1"/>
    <col min="2348" max="2348" width="7.5703125" style="19" customWidth="1"/>
    <col min="2349" max="2351" width="9.28515625" style="19" customWidth="1"/>
    <col min="2352" max="2353" width="7.85546875" style="19" customWidth="1"/>
    <col min="2354" max="2355" width="6.42578125" style="19" customWidth="1"/>
    <col min="2356" max="2356" width="11.140625" style="19" customWidth="1"/>
    <col min="2357" max="2357" width="44.28515625" style="19" customWidth="1"/>
    <col min="2358" max="2358" width="5" style="19" customWidth="1"/>
    <col min="2359" max="2359" width="5.5703125" style="19" customWidth="1"/>
    <col min="2360" max="2363" width="9.140625" style="19"/>
    <col min="2364" max="2365" width="8.7109375" style="19" customWidth="1"/>
    <col min="2366" max="2560" width="9.140625" style="19"/>
    <col min="2561" max="2561" width="1.85546875" style="19" customWidth="1"/>
    <col min="2562" max="2562" width="9.5703125" style="19" customWidth="1"/>
    <col min="2563" max="2563" width="6.7109375" style="19" bestFit="1" customWidth="1"/>
    <col min="2564" max="2564" width="9.42578125" style="19" customWidth="1"/>
    <col min="2565" max="2565" width="10.140625" style="19" customWidth="1"/>
    <col min="2566" max="2566" width="9.28515625" style="19" customWidth="1"/>
    <col min="2567" max="2567" width="6.42578125" style="19" customWidth="1"/>
    <col min="2568" max="2568" width="9.85546875" style="19" customWidth="1"/>
    <col min="2569" max="2569" width="12.140625" style="19" customWidth="1"/>
    <col min="2570" max="2570" width="9.140625" style="19"/>
    <col min="2571" max="2571" width="11" style="19" customWidth="1"/>
    <col min="2572" max="2572" width="9.28515625" style="19" customWidth="1"/>
    <col min="2573" max="2573" width="9.85546875" style="19" customWidth="1"/>
    <col min="2574" max="2575" width="0" style="19" hidden="1" customWidth="1"/>
    <col min="2576" max="2576" width="8.42578125" style="19" customWidth="1"/>
    <col min="2577" max="2588" width="0" style="19" hidden="1" customWidth="1"/>
    <col min="2589" max="2590" width="6.5703125" style="19" customWidth="1"/>
    <col min="2591" max="2594" width="0" style="19" hidden="1" customWidth="1"/>
    <col min="2595" max="2595" width="5.85546875" style="19" customWidth="1"/>
    <col min="2596" max="2596" width="0" style="19" hidden="1" customWidth="1"/>
    <col min="2597" max="2599" width="5.85546875" style="19" customWidth="1"/>
    <col min="2600" max="2600" width="7.7109375" style="19" customWidth="1"/>
    <col min="2601" max="2601" width="9.140625" style="19" bestFit="1" customWidth="1"/>
    <col min="2602" max="2603" width="8.5703125" style="19" bestFit="1" customWidth="1"/>
    <col min="2604" max="2604" width="7.5703125" style="19" customWidth="1"/>
    <col min="2605" max="2607" width="9.28515625" style="19" customWidth="1"/>
    <col min="2608" max="2609" width="7.85546875" style="19" customWidth="1"/>
    <col min="2610" max="2611" width="6.42578125" style="19" customWidth="1"/>
    <col min="2612" max="2612" width="11.140625" style="19" customWidth="1"/>
    <col min="2613" max="2613" width="44.28515625" style="19" customWidth="1"/>
    <col min="2614" max="2614" width="5" style="19" customWidth="1"/>
    <col min="2615" max="2615" width="5.5703125" style="19" customWidth="1"/>
    <col min="2616" max="2619" width="9.140625" style="19"/>
    <col min="2620" max="2621" width="8.7109375" style="19" customWidth="1"/>
    <col min="2622" max="2816" width="9.140625" style="19"/>
    <col min="2817" max="2817" width="1.85546875" style="19" customWidth="1"/>
    <col min="2818" max="2818" width="9.5703125" style="19" customWidth="1"/>
    <col min="2819" max="2819" width="6.7109375" style="19" bestFit="1" customWidth="1"/>
    <col min="2820" max="2820" width="9.42578125" style="19" customWidth="1"/>
    <col min="2821" max="2821" width="10.140625" style="19" customWidth="1"/>
    <col min="2822" max="2822" width="9.28515625" style="19" customWidth="1"/>
    <col min="2823" max="2823" width="6.42578125" style="19" customWidth="1"/>
    <col min="2824" max="2824" width="9.85546875" style="19" customWidth="1"/>
    <col min="2825" max="2825" width="12.140625" style="19" customWidth="1"/>
    <col min="2826" max="2826" width="9.140625" style="19"/>
    <col min="2827" max="2827" width="11" style="19" customWidth="1"/>
    <col min="2828" max="2828" width="9.28515625" style="19" customWidth="1"/>
    <col min="2829" max="2829" width="9.85546875" style="19" customWidth="1"/>
    <col min="2830" max="2831" width="0" style="19" hidden="1" customWidth="1"/>
    <col min="2832" max="2832" width="8.42578125" style="19" customWidth="1"/>
    <col min="2833" max="2844" width="0" style="19" hidden="1" customWidth="1"/>
    <col min="2845" max="2846" width="6.5703125" style="19" customWidth="1"/>
    <col min="2847" max="2850" width="0" style="19" hidden="1" customWidth="1"/>
    <col min="2851" max="2851" width="5.85546875" style="19" customWidth="1"/>
    <col min="2852" max="2852" width="0" style="19" hidden="1" customWidth="1"/>
    <col min="2853" max="2855" width="5.85546875" style="19" customWidth="1"/>
    <col min="2856" max="2856" width="7.7109375" style="19" customWidth="1"/>
    <col min="2857" max="2857" width="9.140625" style="19" bestFit="1" customWidth="1"/>
    <col min="2858" max="2859" width="8.5703125" style="19" bestFit="1" customWidth="1"/>
    <col min="2860" max="2860" width="7.5703125" style="19" customWidth="1"/>
    <col min="2861" max="2863" width="9.28515625" style="19" customWidth="1"/>
    <col min="2864" max="2865" width="7.85546875" style="19" customWidth="1"/>
    <col min="2866" max="2867" width="6.42578125" style="19" customWidth="1"/>
    <col min="2868" max="2868" width="11.140625" style="19" customWidth="1"/>
    <col min="2869" max="2869" width="44.28515625" style="19" customWidth="1"/>
    <col min="2870" max="2870" width="5" style="19" customWidth="1"/>
    <col min="2871" max="2871" width="5.5703125" style="19" customWidth="1"/>
    <col min="2872" max="2875" width="9.140625" style="19"/>
    <col min="2876" max="2877" width="8.7109375" style="19" customWidth="1"/>
    <col min="2878" max="3072" width="9.140625" style="19"/>
    <col min="3073" max="3073" width="1.85546875" style="19" customWidth="1"/>
    <col min="3074" max="3074" width="9.5703125" style="19" customWidth="1"/>
    <col min="3075" max="3075" width="6.7109375" style="19" bestFit="1" customWidth="1"/>
    <col min="3076" max="3076" width="9.42578125" style="19" customWidth="1"/>
    <col min="3077" max="3077" width="10.140625" style="19" customWidth="1"/>
    <col min="3078" max="3078" width="9.28515625" style="19" customWidth="1"/>
    <col min="3079" max="3079" width="6.42578125" style="19" customWidth="1"/>
    <col min="3080" max="3080" width="9.85546875" style="19" customWidth="1"/>
    <col min="3081" max="3081" width="12.140625" style="19" customWidth="1"/>
    <col min="3082" max="3082" width="9.140625" style="19"/>
    <col min="3083" max="3083" width="11" style="19" customWidth="1"/>
    <col min="3084" max="3084" width="9.28515625" style="19" customWidth="1"/>
    <col min="3085" max="3085" width="9.85546875" style="19" customWidth="1"/>
    <col min="3086" max="3087" width="0" style="19" hidden="1" customWidth="1"/>
    <col min="3088" max="3088" width="8.42578125" style="19" customWidth="1"/>
    <col min="3089" max="3100" width="0" style="19" hidden="1" customWidth="1"/>
    <col min="3101" max="3102" width="6.5703125" style="19" customWidth="1"/>
    <col min="3103" max="3106" width="0" style="19" hidden="1" customWidth="1"/>
    <col min="3107" max="3107" width="5.85546875" style="19" customWidth="1"/>
    <col min="3108" max="3108" width="0" style="19" hidden="1" customWidth="1"/>
    <col min="3109" max="3111" width="5.85546875" style="19" customWidth="1"/>
    <col min="3112" max="3112" width="7.7109375" style="19" customWidth="1"/>
    <col min="3113" max="3113" width="9.140625" style="19" bestFit="1" customWidth="1"/>
    <col min="3114" max="3115" width="8.5703125" style="19" bestFit="1" customWidth="1"/>
    <col min="3116" max="3116" width="7.5703125" style="19" customWidth="1"/>
    <col min="3117" max="3119" width="9.28515625" style="19" customWidth="1"/>
    <col min="3120" max="3121" width="7.85546875" style="19" customWidth="1"/>
    <col min="3122" max="3123" width="6.42578125" style="19" customWidth="1"/>
    <col min="3124" max="3124" width="11.140625" style="19" customWidth="1"/>
    <col min="3125" max="3125" width="44.28515625" style="19" customWidth="1"/>
    <col min="3126" max="3126" width="5" style="19" customWidth="1"/>
    <col min="3127" max="3127" width="5.5703125" style="19" customWidth="1"/>
    <col min="3128" max="3131" width="9.140625" style="19"/>
    <col min="3132" max="3133" width="8.7109375" style="19" customWidth="1"/>
    <col min="3134" max="3328" width="9.140625" style="19"/>
    <col min="3329" max="3329" width="1.85546875" style="19" customWidth="1"/>
    <col min="3330" max="3330" width="9.5703125" style="19" customWidth="1"/>
    <col min="3331" max="3331" width="6.7109375" style="19" bestFit="1" customWidth="1"/>
    <col min="3332" max="3332" width="9.42578125" style="19" customWidth="1"/>
    <col min="3333" max="3333" width="10.140625" style="19" customWidth="1"/>
    <col min="3334" max="3334" width="9.28515625" style="19" customWidth="1"/>
    <col min="3335" max="3335" width="6.42578125" style="19" customWidth="1"/>
    <col min="3336" max="3336" width="9.85546875" style="19" customWidth="1"/>
    <col min="3337" max="3337" width="12.140625" style="19" customWidth="1"/>
    <col min="3338" max="3338" width="9.140625" style="19"/>
    <col min="3339" max="3339" width="11" style="19" customWidth="1"/>
    <col min="3340" max="3340" width="9.28515625" style="19" customWidth="1"/>
    <col min="3341" max="3341" width="9.85546875" style="19" customWidth="1"/>
    <col min="3342" max="3343" width="0" style="19" hidden="1" customWidth="1"/>
    <col min="3344" max="3344" width="8.42578125" style="19" customWidth="1"/>
    <col min="3345" max="3356" width="0" style="19" hidden="1" customWidth="1"/>
    <col min="3357" max="3358" width="6.5703125" style="19" customWidth="1"/>
    <col min="3359" max="3362" width="0" style="19" hidden="1" customWidth="1"/>
    <col min="3363" max="3363" width="5.85546875" style="19" customWidth="1"/>
    <col min="3364" max="3364" width="0" style="19" hidden="1" customWidth="1"/>
    <col min="3365" max="3367" width="5.85546875" style="19" customWidth="1"/>
    <col min="3368" max="3368" width="7.7109375" style="19" customWidth="1"/>
    <col min="3369" max="3369" width="9.140625" style="19" bestFit="1" customWidth="1"/>
    <col min="3370" max="3371" width="8.5703125" style="19" bestFit="1" customWidth="1"/>
    <col min="3372" max="3372" width="7.5703125" style="19" customWidth="1"/>
    <col min="3373" max="3375" width="9.28515625" style="19" customWidth="1"/>
    <col min="3376" max="3377" width="7.85546875" style="19" customWidth="1"/>
    <col min="3378" max="3379" width="6.42578125" style="19" customWidth="1"/>
    <col min="3380" max="3380" width="11.140625" style="19" customWidth="1"/>
    <col min="3381" max="3381" width="44.28515625" style="19" customWidth="1"/>
    <col min="3382" max="3382" width="5" style="19" customWidth="1"/>
    <col min="3383" max="3383" width="5.5703125" style="19" customWidth="1"/>
    <col min="3384" max="3387" width="9.140625" style="19"/>
    <col min="3388" max="3389" width="8.7109375" style="19" customWidth="1"/>
    <col min="3390" max="3584" width="9.140625" style="19"/>
    <col min="3585" max="3585" width="1.85546875" style="19" customWidth="1"/>
    <col min="3586" max="3586" width="9.5703125" style="19" customWidth="1"/>
    <col min="3587" max="3587" width="6.7109375" style="19" bestFit="1" customWidth="1"/>
    <col min="3588" max="3588" width="9.42578125" style="19" customWidth="1"/>
    <col min="3589" max="3589" width="10.140625" style="19" customWidth="1"/>
    <col min="3590" max="3590" width="9.28515625" style="19" customWidth="1"/>
    <col min="3591" max="3591" width="6.42578125" style="19" customWidth="1"/>
    <col min="3592" max="3592" width="9.85546875" style="19" customWidth="1"/>
    <col min="3593" max="3593" width="12.140625" style="19" customWidth="1"/>
    <col min="3594" max="3594" width="9.140625" style="19"/>
    <col min="3595" max="3595" width="11" style="19" customWidth="1"/>
    <col min="3596" max="3596" width="9.28515625" style="19" customWidth="1"/>
    <col min="3597" max="3597" width="9.85546875" style="19" customWidth="1"/>
    <col min="3598" max="3599" width="0" style="19" hidden="1" customWidth="1"/>
    <col min="3600" max="3600" width="8.42578125" style="19" customWidth="1"/>
    <col min="3601" max="3612" width="0" style="19" hidden="1" customWidth="1"/>
    <col min="3613" max="3614" width="6.5703125" style="19" customWidth="1"/>
    <col min="3615" max="3618" width="0" style="19" hidden="1" customWidth="1"/>
    <col min="3619" max="3619" width="5.85546875" style="19" customWidth="1"/>
    <col min="3620" max="3620" width="0" style="19" hidden="1" customWidth="1"/>
    <col min="3621" max="3623" width="5.85546875" style="19" customWidth="1"/>
    <col min="3624" max="3624" width="7.7109375" style="19" customWidth="1"/>
    <col min="3625" max="3625" width="9.140625" style="19" bestFit="1" customWidth="1"/>
    <col min="3626" max="3627" width="8.5703125" style="19" bestFit="1" customWidth="1"/>
    <col min="3628" max="3628" width="7.5703125" style="19" customWidth="1"/>
    <col min="3629" max="3631" width="9.28515625" style="19" customWidth="1"/>
    <col min="3632" max="3633" width="7.85546875" style="19" customWidth="1"/>
    <col min="3634" max="3635" width="6.42578125" style="19" customWidth="1"/>
    <col min="3636" max="3636" width="11.140625" style="19" customWidth="1"/>
    <col min="3637" max="3637" width="44.28515625" style="19" customWidth="1"/>
    <col min="3638" max="3638" width="5" style="19" customWidth="1"/>
    <col min="3639" max="3639" width="5.5703125" style="19" customWidth="1"/>
    <col min="3640" max="3643" width="9.140625" style="19"/>
    <col min="3644" max="3645" width="8.7109375" style="19" customWidth="1"/>
    <col min="3646" max="3840" width="9.140625" style="19"/>
    <col min="3841" max="3841" width="1.85546875" style="19" customWidth="1"/>
    <col min="3842" max="3842" width="9.5703125" style="19" customWidth="1"/>
    <col min="3843" max="3843" width="6.7109375" style="19" bestFit="1" customWidth="1"/>
    <col min="3844" max="3844" width="9.42578125" style="19" customWidth="1"/>
    <col min="3845" max="3845" width="10.140625" style="19" customWidth="1"/>
    <col min="3846" max="3846" width="9.28515625" style="19" customWidth="1"/>
    <col min="3847" max="3847" width="6.42578125" style="19" customWidth="1"/>
    <col min="3848" max="3848" width="9.85546875" style="19" customWidth="1"/>
    <col min="3849" max="3849" width="12.140625" style="19" customWidth="1"/>
    <col min="3850" max="3850" width="9.140625" style="19"/>
    <col min="3851" max="3851" width="11" style="19" customWidth="1"/>
    <col min="3852" max="3852" width="9.28515625" style="19" customWidth="1"/>
    <col min="3853" max="3853" width="9.85546875" style="19" customWidth="1"/>
    <col min="3854" max="3855" width="0" style="19" hidden="1" customWidth="1"/>
    <col min="3856" max="3856" width="8.42578125" style="19" customWidth="1"/>
    <col min="3857" max="3868" width="0" style="19" hidden="1" customWidth="1"/>
    <col min="3869" max="3870" width="6.5703125" style="19" customWidth="1"/>
    <col min="3871" max="3874" width="0" style="19" hidden="1" customWidth="1"/>
    <col min="3875" max="3875" width="5.85546875" style="19" customWidth="1"/>
    <col min="3876" max="3876" width="0" style="19" hidden="1" customWidth="1"/>
    <col min="3877" max="3879" width="5.85546875" style="19" customWidth="1"/>
    <col min="3880" max="3880" width="7.7109375" style="19" customWidth="1"/>
    <col min="3881" max="3881" width="9.140625" style="19" bestFit="1" customWidth="1"/>
    <col min="3882" max="3883" width="8.5703125" style="19" bestFit="1" customWidth="1"/>
    <col min="3884" max="3884" width="7.5703125" style="19" customWidth="1"/>
    <col min="3885" max="3887" width="9.28515625" style="19" customWidth="1"/>
    <col min="3888" max="3889" width="7.85546875" style="19" customWidth="1"/>
    <col min="3890" max="3891" width="6.42578125" style="19" customWidth="1"/>
    <col min="3892" max="3892" width="11.140625" style="19" customWidth="1"/>
    <col min="3893" max="3893" width="44.28515625" style="19" customWidth="1"/>
    <col min="3894" max="3894" width="5" style="19" customWidth="1"/>
    <col min="3895" max="3895" width="5.5703125" style="19" customWidth="1"/>
    <col min="3896" max="3899" width="9.140625" style="19"/>
    <col min="3900" max="3901" width="8.7109375" style="19" customWidth="1"/>
    <col min="3902" max="4096" width="9.140625" style="19"/>
    <col min="4097" max="4097" width="1.85546875" style="19" customWidth="1"/>
    <col min="4098" max="4098" width="9.5703125" style="19" customWidth="1"/>
    <col min="4099" max="4099" width="6.7109375" style="19" bestFit="1" customWidth="1"/>
    <col min="4100" max="4100" width="9.42578125" style="19" customWidth="1"/>
    <col min="4101" max="4101" width="10.140625" style="19" customWidth="1"/>
    <col min="4102" max="4102" width="9.28515625" style="19" customWidth="1"/>
    <col min="4103" max="4103" width="6.42578125" style="19" customWidth="1"/>
    <col min="4104" max="4104" width="9.85546875" style="19" customWidth="1"/>
    <col min="4105" max="4105" width="12.140625" style="19" customWidth="1"/>
    <col min="4106" max="4106" width="9.140625" style="19"/>
    <col min="4107" max="4107" width="11" style="19" customWidth="1"/>
    <col min="4108" max="4108" width="9.28515625" style="19" customWidth="1"/>
    <col min="4109" max="4109" width="9.85546875" style="19" customWidth="1"/>
    <col min="4110" max="4111" width="0" style="19" hidden="1" customWidth="1"/>
    <col min="4112" max="4112" width="8.42578125" style="19" customWidth="1"/>
    <col min="4113" max="4124" width="0" style="19" hidden="1" customWidth="1"/>
    <col min="4125" max="4126" width="6.5703125" style="19" customWidth="1"/>
    <col min="4127" max="4130" width="0" style="19" hidden="1" customWidth="1"/>
    <col min="4131" max="4131" width="5.85546875" style="19" customWidth="1"/>
    <col min="4132" max="4132" width="0" style="19" hidden="1" customWidth="1"/>
    <col min="4133" max="4135" width="5.85546875" style="19" customWidth="1"/>
    <col min="4136" max="4136" width="7.7109375" style="19" customWidth="1"/>
    <col min="4137" max="4137" width="9.140625" style="19" bestFit="1" customWidth="1"/>
    <col min="4138" max="4139" width="8.5703125" style="19" bestFit="1" customWidth="1"/>
    <col min="4140" max="4140" width="7.5703125" style="19" customWidth="1"/>
    <col min="4141" max="4143" width="9.28515625" style="19" customWidth="1"/>
    <col min="4144" max="4145" width="7.85546875" style="19" customWidth="1"/>
    <col min="4146" max="4147" width="6.42578125" style="19" customWidth="1"/>
    <col min="4148" max="4148" width="11.140625" style="19" customWidth="1"/>
    <col min="4149" max="4149" width="44.28515625" style="19" customWidth="1"/>
    <col min="4150" max="4150" width="5" style="19" customWidth="1"/>
    <col min="4151" max="4151" width="5.5703125" style="19" customWidth="1"/>
    <col min="4152" max="4155" width="9.140625" style="19"/>
    <col min="4156" max="4157" width="8.7109375" style="19" customWidth="1"/>
    <col min="4158" max="4352" width="9.140625" style="19"/>
    <col min="4353" max="4353" width="1.85546875" style="19" customWidth="1"/>
    <col min="4354" max="4354" width="9.5703125" style="19" customWidth="1"/>
    <col min="4355" max="4355" width="6.7109375" style="19" bestFit="1" customWidth="1"/>
    <col min="4356" max="4356" width="9.42578125" style="19" customWidth="1"/>
    <col min="4357" max="4357" width="10.140625" style="19" customWidth="1"/>
    <col min="4358" max="4358" width="9.28515625" style="19" customWidth="1"/>
    <col min="4359" max="4359" width="6.42578125" style="19" customWidth="1"/>
    <col min="4360" max="4360" width="9.85546875" style="19" customWidth="1"/>
    <col min="4361" max="4361" width="12.140625" style="19" customWidth="1"/>
    <col min="4362" max="4362" width="9.140625" style="19"/>
    <col min="4363" max="4363" width="11" style="19" customWidth="1"/>
    <col min="4364" max="4364" width="9.28515625" style="19" customWidth="1"/>
    <col min="4365" max="4365" width="9.85546875" style="19" customWidth="1"/>
    <col min="4366" max="4367" width="0" style="19" hidden="1" customWidth="1"/>
    <col min="4368" max="4368" width="8.42578125" style="19" customWidth="1"/>
    <col min="4369" max="4380" width="0" style="19" hidden="1" customWidth="1"/>
    <col min="4381" max="4382" width="6.5703125" style="19" customWidth="1"/>
    <col min="4383" max="4386" width="0" style="19" hidden="1" customWidth="1"/>
    <col min="4387" max="4387" width="5.85546875" style="19" customWidth="1"/>
    <col min="4388" max="4388" width="0" style="19" hidden="1" customWidth="1"/>
    <col min="4389" max="4391" width="5.85546875" style="19" customWidth="1"/>
    <col min="4392" max="4392" width="7.7109375" style="19" customWidth="1"/>
    <col min="4393" max="4393" width="9.140625" style="19" bestFit="1" customWidth="1"/>
    <col min="4394" max="4395" width="8.5703125" style="19" bestFit="1" customWidth="1"/>
    <col min="4396" max="4396" width="7.5703125" style="19" customWidth="1"/>
    <col min="4397" max="4399" width="9.28515625" style="19" customWidth="1"/>
    <col min="4400" max="4401" width="7.85546875" style="19" customWidth="1"/>
    <col min="4402" max="4403" width="6.42578125" style="19" customWidth="1"/>
    <col min="4404" max="4404" width="11.140625" style="19" customWidth="1"/>
    <col min="4405" max="4405" width="44.28515625" style="19" customWidth="1"/>
    <col min="4406" max="4406" width="5" style="19" customWidth="1"/>
    <col min="4407" max="4407" width="5.5703125" style="19" customWidth="1"/>
    <col min="4408" max="4411" width="9.140625" style="19"/>
    <col min="4412" max="4413" width="8.7109375" style="19" customWidth="1"/>
    <col min="4414" max="4608" width="9.140625" style="19"/>
    <col min="4609" max="4609" width="1.85546875" style="19" customWidth="1"/>
    <col min="4610" max="4610" width="9.5703125" style="19" customWidth="1"/>
    <col min="4611" max="4611" width="6.7109375" style="19" bestFit="1" customWidth="1"/>
    <col min="4612" max="4612" width="9.42578125" style="19" customWidth="1"/>
    <col min="4613" max="4613" width="10.140625" style="19" customWidth="1"/>
    <col min="4614" max="4614" width="9.28515625" style="19" customWidth="1"/>
    <col min="4615" max="4615" width="6.42578125" style="19" customWidth="1"/>
    <col min="4616" max="4616" width="9.85546875" style="19" customWidth="1"/>
    <col min="4617" max="4617" width="12.140625" style="19" customWidth="1"/>
    <col min="4618" max="4618" width="9.140625" style="19"/>
    <col min="4619" max="4619" width="11" style="19" customWidth="1"/>
    <col min="4620" max="4620" width="9.28515625" style="19" customWidth="1"/>
    <col min="4621" max="4621" width="9.85546875" style="19" customWidth="1"/>
    <col min="4622" max="4623" width="0" style="19" hidden="1" customWidth="1"/>
    <col min="4624" max="4624" width="8.42578125" style="19" customWidth="1"/>
    <col min="4625" max="4636" width="0" style="19" hidden="1" customWidth="1"/>
    <col min="4637" max="4638" width="6.5703125" style="19" customWidth="1"/>
    <col min="4639" max="4642" width="0" style="19" hidden="1" customWidth="1"/>
    <col min="4643" max="4643" width="5.85546875" style="19" customWidth="1"/>
    <col min="4644" max="4644" width="0" style="19" hidden="1" customWidth="1"/>
    <col min="4645" max="4647" width="5.85546875" style="19" customWidth="1"/>
    <col min="4648" max="4648" width="7.7109375" style="19" customWidth="1"/>
    <col min="4649" max="4649" width="9.140625" style="19" bestFit="1" customWidth="1"/>
    <col min="4650" max="4651" width="8.5703125" style="19" bestFit="1" customWidth="1"/>
    <col min="4652" max="4652" width="7.5703125" style="19" customWidth="1"/>
    <col min="4653" max="4655" width="9.28515625" style="19" customWidth="1"/>
    <col min="4656" max="4657" width="7.85546875" style="19" customWidth="1"/>
    <col min="4658" max="4659" width="6.42578125" style="19" customWidth="1"/>
    <col min="4660" max="4660" width="11.140625" style="19" customWidth="1"/>
    <col min="4661" max="4661" width="44.28515625" style="19" customWidth="1"/>
    <col min="4662" max="4662" width="5" style="19" customWidth="1"/>
    <col min="4663" max="4663" width="5.5703125" style="19" customWidth="1"/>
    <col min="4664" max="4667" width="9.140625" style="19"/>
    <col min="4668" max="4669" width="8.7109375" style="19" customWidth="1"/>
    <col min="4670" max="4864" width="9.140625" style="19"/>
    <col min="4865" max="4865" width="1.85546875" style="19" customWidth="1"/>
    <col min="4866" max="4866" width="9.5703125" style="19" customWidth="1"/>
    <col min="4867" max="4867" width="6.7109375" style="19" bestFit="1" customWidth="1"/>
    <col min="4868" max="4868" width="9.42578125" style="19" customWidth="1"/>
    <col min="4869" max="4869" width="10.140625" style="19" customWidth="1"/>
    <col min="4870" max="4870" width="9.28515625" style="19" customWidth="1"/>
    <col min="4871" max="4871" width="6.42578125" style="19" customWidth="1"/>
    <col min="4872" max="4872" width="9.85546875" style="19" customWidth="1"/>
    <col min="4873" max="4873" width="12.140625" style="19" customWidth="1"/>
    <col min="4874" max="4874" width="9.140625" style="19"/>
    <col min="4875" max="4875" width="11" style="19" customWidth="1"/>
    <col min="4876" max="4876" width="9.28515625" style="19" customWidth="1"/>
    <col min="4877" max="4877" width="9.85546875" style="19" customWidth="1"/>
    <col min="4878" max="4879" width="0" style="19" hidden="1" customWidth="1"/>
    <col min="4880" max="4880" width="8.42578125" style="19" customWidth="1"/>
    <col min="4881" max="4892" width="0" style="19" hidden="1" customWidth="1"/>
    <col min="4893" max="4894" width="6.5703125" style="19" customWidth="1"/>
    <col min="4895" max="4898" width="0" style="19" hidden="1" customWidth="1"/>
    <col min="4899" max="4899" width="5.85546875" style="19" customWidth="1"/>
    <col min="4900" max="4900" width="0" style="19" hidden="1" customWidth="1"/>
    <col min="4901" max="4903" width="5.85546875" style="19" customWidth="1"/>
    <col min="4904" max="4904" width="7.7109375" style="19" customWidth="1"/>
    <col min="4905" max="4905" width="9.140625" style="19" bestFit="1" customWidth="1"/>
    <col min="4906" max="4907" width="8.5703125" style="19" bestFit="1" customWidth="1"/>
    <col min="4908" max="4908" width="7.5703125" style="19" customWidth="1"/>
    <col min="4909" max="4911" width="9.28515625" style="19" customWidth="1"/>
    <col min="4912" max="4913" width="7.85546875" style="19" customWidth="1"/>
    <col min="4914" max="4915" width="6.42578125" style="19" customWidth="1"/>
    <col min="4916" max="4916" width="11.140625" style="19" customWidth="1"/>
    <col min="4917" max="4917" width="44.28515625" style="19" customWidth="1"/>
    <col min="4918" max="4918" width="5" style="19" customWidth="1"/>
    <col min="4919" max="4919" width="5.5703125" style="19" customWidth="1"/>
    <col min="4920" max="4923" width="9.140625" style="19"/>
    <col min="4924" max="4925" width="8.7109375" style="19" customWidth="1"/>
    <col min="4926" max="5120" width="9.140625" style="19"/>
    <col min="5121" max="5121" width="1.85546875" style="19" customWidth="1"/>
    <col min="5122" max="5122" width="9.5703125" style="19" customWidth="1"/>
    <col min="5123" max="5123" width="6.7109375" style="19" bestFit="1" customWidth="1"/>
    <col min="5124" max="5124" width="9.42578125" style="19" customWidth="1"/>
    <col min="5125" max="5125" width="10.140625" style="19" customWidth="1"/>
    <col min="5126" max="5126" width="9.28515625" style="19" customWidth="1"/>
    <col min="5127" max="5127" width="6.42578125" style="19" customWidth="1"/>
    <col min="5128" max="5128" width="9.85546875" style="19" customWidth="1"/>
    <col min="5129" max="5129" width="12.140625" style="19" customWidth="1"/>
    <col min="5130" max="5130" width="9.140625" style="19"/>
    <col min="5131" max="5131" width="11" style="19" customWidth="1"/>
    <col min="5132" max="5132" width="9.28515625" style="19" customWidth="1"/>
    <col min="5133" max="5133" width="9.85546875" style="19" customWidth="1"/>
    <col min="5134" max="5135" width="0" style="19" hidden="1" customWidth="1"/>
    <col min="5136" max="5136" width="8.42578125" style="19" customWidth="1"/>
    <col min="5137" max="5148" width="0" style="19" hidden="1" customWidth="1"/>
    <col min="5149" max="5150" width="6.5703125" style="19" customWidth="1"/>
    <col min="5151" max="5154" width="0" style="19" hidden="1" customWidth="1"/>
    <col min="5155" max="5155" width="5.85546875" style="19" customWidth="1"/>
    <col min="5156" max="5156" width="0" style="19" hidden="1" customWidth="1"/>
    <col min="5157" max="5159" width="5.85546875" style="19" customWidth="1"/>
    <col min="5160" max="5160" width="7.7109375" style="19" customWidth="1"/>
    <col min="5161" max="5161" width="9.140625" style="19" bestFit="1" customWidth="1"/>
    <col min="5162" max="5163" width="8.5703125" style="19" bestFit="1" customWidth="1"/>
    <col min="5164" max="5164" width="7.5703125" style="19" customWidth="1"/>
    <col min="5165" max="5167" width="9.28515625" style="19" customWidth="1"/>
    <col min="5168" max="5169" width="7.85546875" style="19" customWidth="1"/>
    <col min="5170" max="5171" width="6.42578125" style="19" customWidth="1"/>
    <col min="5172" max="5172" width="11.140625" style="19" customWidth="1"/>
    <col min="5173" max="5173" width="44.28515625" style="19" customWidth="1"/>
    <col min="5174" max="5174" width="5" style="19" customWidth="1"/>
    <col min="5175" max="5175" width="5.5703125" style="19" customWidth="1"/>
    <col min="5176" max="5179" width="9.140625" style="19"/>
    <col min="5180" max="5181" width="8.7109375" style="19" customWidth="1"/>
    <col min="5182" max="5376" width="9.140625" style="19"/>
    <col min="5377" max="5377" width="1.85546875" style="19" customWidth="1"/>
    <col min="5378" max="5378" width="9.5703125" style="19" customWidth="1"/>
    <col min="5379" max="5379" width="6.7109375" style="19" bestFit="1" customWidth="1"/>
    <col min="5380" max="5380" width="9.42578125" style="19" customWidth="1"/>
    <col min="5381" max="5381" width="10.140625" style="19" customWidth="1"/>
    <col min="5382" max="5382" width="9.28515625" style="19" customWidth="1"/>
    <col min="5383" max="5383" width="6.42578125" style="19" customWidth="1"/>
    <col min="5384" max="5384" width="9.85546875" style="19" customWidth="1"/>
    <col min="5385" max="5385" width="12.140625" style="19" customWidth="1"/>
    <col min="5386" max="5386" width="9.140625" style="19"/>
    <col min="5387" max="5387" width="11" style="19" customWidth="1"/>
    <col min="5388" max="5388" width="9.28515625" style="19" customWidth="1"/>
    <col min="5389" max="5389" width="9.85546875" style="19" customWidth="1"/>
    <col min="5390" max="5391" width="0" style="19" hidden="1" customWidth="1"/>
    <col min="5392" max="5392" width="8.42578125" style="19" customWidth="1"/>
    <col min="5393" max="5404" width="0" style="19" hidden="1" customWidth="1"/>
    <col min="5405" max="5406" width="6.5703125" style="19" customWidth="1"/>
    <col min="5407" max="5410" width="0" style="19" hidden="1" customWidth="1"/>
    <col min="5411" max="5411" width="5.85546875" style="19" customWidth="1"/>
    <col min="5412" max="5412" width="0" style="19" hidden="1" customWidth="1"/>
    <col min="5413" max="5415" width="5.85546875" style="19" customWidth="1"/>
    <col min="5416" max="5416" width="7.7109375" style="19" customWidth="1"/>
    <col min="5417" max="5417" width="9.140625" style="19" bestFit="1" customWidth="1"/>
    <col min="5418" max="5419" width="8.5703125" style="19" bestFit="1" customWidth="1"/>
    <col min="5420" max="5420" width="7.5703125" style="19" customWidth="1"/>
    <col min="5421" max="5423" width="9.28515625" style="19" customWidth="1"/>
    <col min="5424" max="5425" width="7.85546875" style="19" customWidth="1"/>
    <col min="5426" max="5427" width="6.42578125" style="19" customWidth="1"/>
    <col min="5428" max="5428" width="11.140625" style="19" customWidth="1"/>
    <col min="5429" max="5429" width="44.28515625" style="19" customWidth="1"/>
    <col min="5430" max="5430" width="5" style="19" customWidth="1"/>
    <col min="5431" max="5431" width="5.5703125" style="19" customWidth="1"/>
    <col min="5432" max="5435" width="9.140625" style="19"/>
    <col min="5436" max="5437" width="8.7109375" style="19" customWidth="1"/>
    <col min="5438" max="5632" width="9.140625" style="19"/>
    <col min="5633" max="5633" width="1.85546875" style="19" customWidth="1"/>
    <col min="5634" max="5634" width="9.5703125" style="19" customWidth="1"/>
    <col min="5635" max="5635" width="6.7109375" style="19" bestFit="1" customWidth="1"/>
    <col min="5636" max="5636" width="9.42578125" style="19" customWidth="1"/>
    <col min="5637" max="5637" width="10.140625" style="19" customWidth="1"/>
    <col min="5638" max="5638" width="9.28515625" style="19" customWidth="1"/>
    <col min="5639" max="5639" width="6.42578125" style="19" customWidth="1"/>
    <col min="5640" max="5640" width="9.85546875" style="19" customWidth="1"/>
    <col min="5641" max="5641" width="12.140625" style="19" customWidth="1"/>
    <col min="5642" max="5642" width="9.140625" style="19"/>
    <col min="5643" max="5643" width="11" style="19" customWidth="1"/>
    <col min="5644" max="5644" width="9.28515625" style="19" customWidth="1"/>
    <col min="5645" max="5645" width="9.85546875" style="19" customWidth="1"/>
    <col min="5646" max="5647" width="0" style="19" hidden="1" customWidth="1"/>
    <col min="5648" max="5648" width="8.42578125" style="19" customWidth="1"/>
    <col min="5649" max="5660" width="0" style="19" hidden="1" customWidth="1"/>
    <col min="5661" max="5662" width="6.5703125" style="19" customWidth="1"/>
    <col min="5663" max="5666" width="0" style="19" hidden="1" customWidth="1"/>
    <col min="5667" max="5667" width="5.85546875" style="19" customWidth="1"/>
    <col min="5668" max="5668" width="0" style="19" hidden="1" customWidth="1"/>
    <col min="5669" max="5671" width="5.85546875" style="19" customWidth="1"/>
    <col min="5672" max="5672" width="7.7109375" style="19" customWidth="1"/>
    <col min="5673" max="5673" width="9.140625" style="19" bestFit="1" customWidth="1"/>
    <col min="5674" max="5675" width="8.5703125" style="19" bestFit="1" customWidth="1"/>
    <col min="5676" max="5676" width="7.5703125" style="19" customWidth="1"/>
    <col min="5677" max="5679" width="9.28515625" style="19" customWidth="1"/>
    <col min="5680" max="5681" width="7.85546875" style="19" customWidth="1"/>
    <col min="5682" max="5683" width="6.42578125" style="19" customWidth="1"/>
    <col min="5684" max="5684" width="11.140625" style="19" customWidth="1"/>
    <col min="5685" max="5685" width="44.28515625" style="19" customWidth="1"/>
    <col min="5686" max="5686" width="5" style="19" customWidth="1"/>
    <col min="5687" max="5687" width="5.5703125" style="19" customWidth="1"/>
    <col min="5688" max="5691" width="9.140625" style="19"/>
    <col min="5692" max="5693" width="8.7109375" style="19" customWidth="1"/>
    <col min="5694" max="5888" width="9.140625" style="19"/>
    <col min="5889" max="5889" width="1.85546875" style="19" customWidth="1"/>
    <col min="5890" max="5890" width="9.5703125" style="19" customWidth="1"/>
    <col min="5891" max="5891" width="6.7109375" style="19" bestFit="1" customWidth="1"/>
    <col min="5892" max="5892" width="9.42578125" style="19" customWidth="1"/>
    <col min="5893" max="5893" width="10.140625" style="19" customWidth="1"/>
    <col min="5894" max="5894" width="9.28515625" style="19" customWidth="1"/>
    <col min="5895" max="5895" width="6.42578125" style="19" customWidth="1"/>
    <col min="5896" max="5896" width="9.85546875" style="19" customWidth="1"/>
    <col min="5897" max="5897" width="12.140625" style="19" customWidth="1"/>
    <col min="5898" max="5898" width="9.140625" style="19"/>
    <col min="5899" max="5899" width="11" style="19" customWidth="1"/>
    <col min="5900" max="5900" width="9.28515625" style="19" customWidth="1"/>
    <col min="5901" max="5901" width="9.85546875" style="19" customWidth="1"/>
    <col min="5902" max="5903" width="0" style="19" hidden="1" customWidth="1"/>
    <col min="5904" max="5904" width="8.42578125" style="19" customWidth="1"/>
    <col min="5905" max="5916" width="0" style="19" hidden="1" customWidth="1"/>
    <col min="5917" max="5918" width="6.5703125" style="19" customWidth="1"/>
    <col min="5919" max="5922" width="0" style="19" hidden="1" customWidth="1"/>
    <col min="5923" max="5923" width="5.85546875" style="19" customWidth="1"/>
    <col min="5924" max="5924" width="0" style="19" hidden="1" customWidth="1"/>
    <col min="5925" max="5927" width="5.85546875" style="19" customWidth="1"/>
    <col min="5928" max="5928" width="7.7109375" style="19" customWidth="1"/>
    <col min="5929" max="5929" width="9.140625" style="19" bestFit="1" customWidth="1"/>
    <col min="5930" max="5931" width="8.5703125" style="19" bestFit="1" customWidth="1"/>
    <col min="5932" max="5932" width="7.5703125" style="19" customWidth="1"/>
    <col min="5933" max="5935" width="9.28515625" style="19" customWidth="1"/>
    <col min="5936" max="5937" width="7.85546875" style="19" customWidth="1"/>
    <col min="5938" max="5939" width="6.42578125" style="19" customWidth="1"/>
    <col min="5940" max="5940" width="11.140625" style="19" customWidth="1"/>
    <col min="5941" max="5941" width="44.28515625" style="19" customWidth="1"/>
    <col min="5942" max="5942" width="5" style="19" customWidth="1"/>
    <col min="5943" max="5943" width="5.5703125" style="19" customWidth="1"/>
    <col min="5944" max="5947" width="9.140625" style="19"/>
    <col min="5948" max="5949" width="8.7109375" style="19" customWidth="1"/>
    <col min="5950" max="6144" width="9.140625" style="19"/>
    <col min="6145" max="6145" width="1.85546875" style="19" customWidth="1"/>
    <col min="6146" max="6146" width="9.5703125" style="19" customWidth="1"/>
    <col min="6147" max="6147" width="6.7109375" style="19" bestFit="1" customWidth="1"/>
    <col min="6148" max="6148" width="9.42578125" style="19" customWidth="1"/>
    <col min="6149" max="6149" width="10.140625" style="19" customWidth="1"/>
    <col min="6150" max="6150" width="9.28515625" style="19" customWidth="1"/>
    <col min="6151" max="6151" width="6.42578125" style="19" customWidth="1"/>
    <col min="6152" max="6152" width="9.85546875" style="19" customWidth="1"/>
    <col min="6153" max="6153" width="12.140625" style="19" customWidth="1"/>
    <col min="6154" max="6154" width="9.140625" style="19"/>
    <col min="6155" max="6155" width="11" style="19" customWidth="1"/>
    <col min="6156" max="6156" width="9.28515625" style="19" customWidth="1"/>
    <col min="6157" max="6157" width="9.85546875" style="19" customWidth="1"/>
    <col min="6158" max="6159" width="0" style="19" hidden="1" customWidth="1"/>
    <col min="6160" max="6160" width="8.42578125" style="19" customWidth="1"/>
    <col min="6161" max="6172" width="0" style="19" hidden="1" customWidth="1"/>
    <col min="6173" max="6174" width="6.5703125" style="19" customWidth="1"/>
    <col min="6175" max="6178" width="0" style="19" hidden="1" customWidth="1"/>
    <col min="6179" max="6179" width="5.85546875" style="19" customWidth="1"/>
    <col min="6180" max="6180" width="0" style="19" hidden="1" customWidth="1"/>
    <col min="6181" max="6183" width="5.85546875" style="19" customWidth="1"/>
    <col min="6184" max="6184" width="7.7109375" style="19" customWidth="1"/>
    <col min="6185" max="6185" width="9.140625" style="19" bestFit="1" customWidth="1"/>
    <col min="6186" max="6187" width="8.5703125" style="19" bestFit="1" customWidth="1"/>
    <col min="6188" max="6188" width="7.5703125" style="19" customWidth="1"/>
    <col min="6189" max="6191" width="9.28515625" style="19" customWidth="1"/>
    <col min="6192" max="6193" width="7.85546875" style="19" customWidth="1"/>
    <col min="6194" max="6195" width="6.42578125" style="19" customWidth="1"/>
    <col min="6196" max="6196" width="11.140625" style="19" customWidth="1"/>
    <col min="6197" max="6197" width="44.28515625" style="19" customWidth="1"/>
    <col min="6198" max="6198" width="5" style="19" customWidth="1"/>
    <col min="6199" max="6199" width="5.5703125" style="19" customWidth="1"/>
    <col min="6200" max="6203" width="9.140625" style="19"/>
    <col min="6204" max="6205" width="8.7109375" style="19" customWidth="1"/>
    <col min="6206" max="6400" width="9.140625" style="19"/>
    <col min="6401" max="6401" width="1.85546875" style="19" customWidth="1"/>
    <col min="6402" max="6402" width="9.5703125" style="19" customWidth="1"/>
    <col min="6403" max="6403" width="6.7109375" style="19" bestFit="1" customWidth="1"/>
    <col min="6404" max="6404" width="9.42578125" style="19" customWidth="1"/>
    <col min="6405" max="6405" width="10.140625" style="19" customWidth="1"/>
    <col min="6406" max="6406" width="9.28515625" style="19" customWidth="1"/>
    <col min="6407" max="6407" width="6.42578125" style="19" customWidth="1"/>
    <col min="6408" max="6408" width="9.85546875" style="19" customWidth="1"/>
    <col min="6409" max="6409" width="12.140625" style="19" customWidth="1"/>
    <col min="6410" max="6410" width="9.140625" style="19"/>
    <col min="6411" max="6411" width="11" style="19" customWidth="1"/>
    <col min="6412" max="6412" width="9.28515625" style="19" customWidth="1"/>
    <col min="6413" max="6413" width="9.85546875" style="19" customWidth="1"/>
    <col min="6414" max="6415" width="0" style="19" hidden="1" customWidth="1"/>
    <col min="6416" max="6416" width="8.42578125" style="19" customWidth="1"/>
    <col min="6417" max="6428" width="0" style="19" hidden="1" customWidth="1"/>
    <col min="6429" max="6430" width="6.5703125" style="19" customWidth="1"/>
    <col min="6431" max="6434" width="0" style="19" hidden="1" customWidth="1"/>
    <col min="6435" max="6435" width="5.85546875" style="19" customWidth="1"/>
    <col min="6436" max="6436" width="0" style="19" hidden="1" customWidth="1"/>
    <col min="6437" max="6439" width="5.85546875" style="19" customWidth="1"/>
    <col min="6440" max="6440" width="7.7109375" style="19" customWidth="1"/>
    <col min="6441" max="6441" width="9.140625" style="19" bestFit="1" customWidth="1"/>
    <col min="6442" max="6443" width="8.5703125" style="19" bestFit="1" customWidth="1"/>
    <col min="6444" max="6444" width="7.5703125" style="19" customWidth="1"/>
    <col min="6445" max="6447" width="9.28515625" style="19" customWidth="1"/>
    <col min="6448" max="6449" width="7.85546875" style="19" customWidth="1"/>
    <col min="6450" max="6451" width="6.42578125" style="19" customWidth="1"/>
    <col min="6452" max="6452" width="11.140625" style="19" customWidth="1"/>
    <col min="6453" max="6453" width="44.28515625" style="19" customWidth="1"/>
    <col min="6454" max="6454" width="5" style="19" customWidth="1"/>
    <col min="6455" max="6455" width="5.5703125" style="19" customWidth="1"/>
    <col min="6456" max="6459" width="9.140625" style="19"/>
    <col min="6460" max="6461" width="8.7109375" style="19" customWidth="1"/>
    <col min="6462" max="6656" width="9.140625" style="19"/>
    <col min="6657" max="6657" width="1.85546875" style="19" customWidth="1"/>
    <col min="6658" max="6658" width="9.5703125" style="19" customWidth="1"/>
    <col min="6659" max="6659" width="6.7109375" style="19" bestFit="1" customWidth="1"/>
    <col min="6660" max="6660" width="9.42578125" style="19" customWidth="1"/>
    <col min="6661" max="6661" width="10.140625" style="19" customWidth="1"/>
    <col min="6662" max="6662" width="9.28515625" style="19" customWidth="1"/>
    <col min="6663" max="6663" width="6.42578125" style="19" customWidth="1"/>
    <col min="6664" max="6664" width="9.85546875" style="19" customWidth="1"/>
    <col min="6665" max="6665" width="12.140625" style="19" customWidth="1"/>
    <col min="6666" max="6666" width="9.140625" style="19"/>
    <col min="6667" max="6667" width="11" style="19" customWidth="1"/>
    <col min="6668" max="6668" width="9.28515625" style="19" customWidth="1"/>
    <col min="6669" max="6669" width="9.85546875" style="19" customWidth="1"/>
    <col min="6670" max="6671" width="0" style="19" hidden="1" customWidth="1"/>
    <col min="6672" max="6672" width="8.42578125" style="19" customWidth="1"/>
    <col min="6673" max="6684" width="0" style="19" hidden="1" customWidth="1"/>
    <col min="6685" max="6686" width="6.5703125" style="19" customWidth="1"/>
    <col min="6687" max="6690" width="0" style="19" hidden="1" customWidth="1"/>
    <col min="6691" max="6691" width="5.85546875" style="19" customWidth="1"/>
    <col min="6692" max="6692" width="0" style="19" hidden="1" customWidth="1"/>
    <col min="6693" max="6695" width="5.85546875" style="19" customWidth="1"/>
    <col min="6696" max="6696" width="7.7109375" style="19" customWidth="1"/>
    <col min="6697" max="6697" width="9.140625" style="19" bestFit="1" customWidth="1"/>
    <col min="6698" max="6699" width="8.5703125" style="19" bestFit="1" customWidth="1"/>
    <col min="6700" max="6700" width="7.5703125" style="19" customWidth="1"/>
    <col min="6701" max="6703" width="9.28515625" style="19" customWidth="1"/>
    <col min="6704" max="6705" width="7.85546875" style="19" customWidth="1"/>
    <col min="6706" max="6707" width="6.42578125" style="19" customWidth="1"/>
    <col min="6708" max="6708" width="11.140625" style="19" customWidth="1"/>
    <col min="6709" max="6709" width="44.28515625" style="19" customWidth="1"/>
    <col min="6710" max="6710" width="5" style="19" customWidth="1"/>
    <col min="6711" max="6711" width="5.5703125" style="19" customWidth="1"/>
    <col min="6712" max="6715" width="9.140625" style="19"/>
    <col min="6716" max="6717" width="8.7109375" style="19" customWidth="1"/>
    <col min="6718" max="6912" width="9.140625" style="19"/>
    <col min="6913" max="6913" width="1.85546875" style="19" customWidth="1"/>
    <col min="6914" max="6914" width="9.5703125" style="19" customWidth="1"/>
    <col min="6915" max="6915" width="6.7109375" style="19" bestFit="1" customWidth="1"/>
    <col min="6916" max="6916" width="9.42578125" style="19" customWidth="1"/>
    <col min="6917" max="6917" width="10.140625" style="19" customWidth="1"/>
    <col min="6918" max="6918" width="9.28515625" style="19" customWidth="1"/>
    <col min="6919" max="6919" width="6.42578125" style="19" customWidth="1"/>
    <col min="6920" max="6920" width="9.85546875" style="19" customWidth="1"/>
    <col min="6921" max="6921" width="12.140625" style="19" customWidth="1"/>
    <col min="6922" max="6922" width="9.140625" style="19"/>
    <col min="6923" max="6923" width="11" style="19" customWidth="1"/>
    <col min="6924" max="6924" width="9.28515625" style="19" customWidth="1"/>
    <col min="6925" max="6925" width="9.85546875" style="19" customWidth="1"/>
    <col min="6926" max="6927" width="0" style="19" hidden="1" customWidth="1"/>
    <col min="6928" max="6928" width="8.42578125" style="19" customWidth="1"/>
    <col min="6929" max="6940" width="0" style="19" hidden="1" customWidth="1"/>
    <col min="6941" max="6942" width="6.5703125" style="19" customWidth="1"/>
    <col min="6943" max="6946" width="0" style="19" hidden="1" customWidth="1"/>
    <col min="6947" max="6947" width="5.85546875" style="19" customWidth="1"/>
    <col min="6948" max="6948" width="0" style="19" hidden="1" customWidth="1"/>
    <col min="6949" max="6951" width="5.85546875" style="19" customWidth="1"/>
    <col min="6952" max="6952" width="7.7109375" style="19" customWidth="1"/>
    <col min="6953" max="6953" width="9.140625" style="19" bestFit="1" customWidth="1"/>
    <col min="6954" max="6955" width="8.5703125" style="19" bestFit="1" customWidth="1"/>
    <col min="6956" max="6956" width="7.5703125" style="19" customWidth="1"/>
    <col min="6957" max="6959" width="9.28515625" style="19" customWidth="1"/>
    <col min="6960" max="6961" width="7.85546875" style="19" customWidth="1"/>
    <col min="6962" max="6963" width="6.42578125" style="19" customWidth="1"/>
    <col min="6964" max="6964" width="11.140625" style="19" customWidth="1"/>
    <col min="6965" max="6965" width="44.28515625" style="19" customWidth="1"/>
    <col min="6966" max="6966" width="5" style="19" customWidth="1"/>
    <col min="6967" max="6967" width="5.5703125" style="19" customWidth="1"/>
    <col min="6968" max="6971" width="9.140625" style="19"/>
    <col min="6972" max="6973" width="8.7109375" style="19" customWidth="1"/>
    <col min="6974" max="7168" width="9.140625" style="19"/>
    <col min="7169" max="7169" width="1.85546875" style="19" customWidth="1"/>
    <col min="7170" max="7170" width="9.5703125" style="19" customWidth="1"/>
    <col min="7171" max="7171" width="6.7109375" style="19" bestFit="1" customWidth="1"/>
    <col min="7172" max="7172" width="9.42578125" style="19" customWidth="1"/>
    <col min="7173" max="7173" width="10.140625" style="19" customWidth="1"/>
    <col min="7174" max="7174" width="9.28515625" style="19" customWidth="1"/>
    <col min="7175" max="7175" width="6.42578125" style="19" customWidth="1"/>
    <col min="7176" max="7176" width="9.85546875" style="19" customWidth="1"/>
    <col min="7177" max="7177" width="12.140625" style="19" customWidth="1"/>
    <col min="7178" max="7178" width="9.140625" style="19"/>
    <col min="7179" max="7179" width="11" style="19" customWidth="1"/>
    <col min="7180" max="7180" width="9.28515625" style="19" customWidth="1"/>
    <col min="7181" max="7181" width="9.85546875" style="19" customWidth="1"/>
    <col min="7182" max="7183" width="0" style="19" hidden="1" customWidth="1"/>
    <col min="7184" max="7184" width="8.42578125" style="19" customWidth="1"/>
    <col min="7185" max="7196" width="0" style="19" hidden="1" customWidth="1"/>
    <col min="7197" max="7198" width="6.5703125" style="19" customWidth="1"/>
    <col min="7199" max="7202" width="0" style="19" hidden="1" customWidth="1"/>
    <col min="7203" max="7203" width="5.85546875" style="19" customWidth="1"/>
    <col min="7204" max="7204" width="0" style="19" hidden="1" customWidth="1"/>
    <col min="7205" max="7207" width="5.85546875" style="19" customWidth="1"/>
    <col min="7208" max="7208" width="7.7109375" style="19" customWidth="1"/>
    <col min="7209" max="7209" width="9.140625" style="19" bestFit="1" customWidth="1"/>
    <col min="7210" max="7211" width="8.5703125" style="19" bestFit="1" customWidth="1"/>
    <col min="7212" max="7212" width="7.5703125" style="19" customWidth="1"/>
    <col min="7213" max="7215" width="9.28515625" style="19" customWidth="1"/>
    <col min="7216" max="7217" width="7.85546875" style="19" customWidth="1"/>
    <col min="7218" max="7219" width="6.42578125" style="19" customWidth="1"/>
    <col min="7220" max="7220" width="11.140625" style="19" customWidth="1"/>
    <col min="7221" max="7221" width="44.28515625" style="19" customWidth="1"/>
    <col min="7222" max="7222" width="5" style="19" customWidth="1"/>
    <col min="7223" max="7223" width="5.5703125" style="19" customWidth="1"/>
    <col min="7224" max="7227" width="9.140625" style="19"/>
    <col min="7228" max="7229" width="8.7109375" style="19" customWidth="1"/>
    <col min="7230" max="7424" width="9.140625" style="19"/>
    <col min="7425" max="7425" width="1.85546875" style="19" customWidth="1"/>
    <col min="7426" max="7426" width="9.5703125" style="19" customWidth="1"/>
    <col min="7427" max="7427" width="6.7109375" style="19" bestFit="1" customWidth="1"/>
    <col min="7428" max="7428" width="9.42578125" style="19" customWidth="1"/>
    <col min="7429" max="7429" width="10.140625" style="19" customWidth="1"/>
    <col min="7430" max="7430" width="9.28515625" style="19" customWidth="1"/>
    <col min="7431" max="7431" width="6.42578125" style="19" customWidth="1"/>
    <col min="7432" max="7432" width="9.85546875" style="19" customWidth="1"/>
    <col min="7433" max="7433" width="12.140625" style="19" customWidth="1"/>
    <col min="7434" max="7434" width="9.140625" style="19"/>
    <col min="7435" max="7435" width="11" style="19" customWidth="1"/>
    <col min="7436" max="7436" width="9.28515625" style="19" customWidth="1"/>
    <col min="7437" max="7437" width="9.85546875" style="19" customWidth="1"/>
    <col min="7438" max="7439" width="0" style="19" hidden="1" customWidth="1"/>
    <col min="7440" max="7440" width="8.42578125" style="19" customWidth="1"/>
    <col min="7441" max="7452" width="0" style="19" hidden="1" customWidth="1"/>
    <col min="7453" max="7454" width="6.5703125" style="19" customWidth="1"/>
    <col min="7455" max="7458" width="0" style="19" hidden="1" customWidth="1"/>
    <col min="7459" max="7459" width="5.85546875" style="19" customWidth="1"/>
    <col min="7460" max="7460" width="0" style="19" hidden="1" customWidth="1"/>
    <col min="7461" max="7463" width="5.85546875" style="19" customWidth="1"/>
    <col min="7464" max="7464" width="7.7109375" style="19" customWidth="1"/>
    <col min="7465" max="7465" width="9.140625" style="19" bestFit="1" customWidth="1"/>
    <col min="7466" max="7467" width="8.5703125" style="19" bestFit="1" customWidth="1"/>
    <col min="7468" max="7468" width="7.5703125" style="19" customWidth="1"/>
    <col min="7469" max="7471" width="9.28515625" style="19" customWidth="1"/>
    <col min="7472" max="7473" width="7.85546875" style="19" customWidth="1"/>
    <col min="7474" max="7475" width="6.42578125" style="19" customWidth="1"/>
    <col min="7476" max="7476" width="11.140625" style="19" customWidth="1"/>
    <col min="7477" max="7477" width="44.28515625" style="19" customWidth="1"/>
    <col min="7478" max="7478" width="5" style="19" customWidth="1"/>
    <col min="7479" max="7479" width="5.5703125" style="19" customWidth="1"/>
    <col min="7480" max="7483" width="9.140625" style="19"/>
    <col min="7484" max="7485" width="8.7109375" style="19" customWidth="1"/>
    <col min="7486" max="7680" width="9.140625" style="19"/>
    <col min="7681" max="7681" width="1.85546875" style="19" customWidth="1"/>
    <col min="7682" max="7682" width="9.5703125" style="19" customWidth="1"/>
    <col min="7683" max="7683" width="6.7109375" style="19" bestFit="1" customWidth="1"/>
    <col min="7684" max="7684" width="9.42578125" style="19" customWidth="1"/>
    <col min="7685" max="7685" width="10.140625" style="19" customWidth="1"/>
    <col min="7686" max="7686" width="9.28515625" style="19" customWidth="1"/>
    <col min="7687" max="7687" width="6.42578125" style="19" customWidth="1"/>
    <col min="7688" max="7688" width="9.85546875" style="19" customWidth="1"/>
    <col min="7689" max="7689" width="12.140625" style="19" customWidth="1"/>
    <col min="7690" max="7690" width="9.140625" style="19"/>
    <col min="7691" max="7691" width="11" style="19" customWidth="1"/>
    <col min="7692" max="7692" width="9.28515625" style="19" customWidth="1"/>
    <col min="7693" max="7693" width="9.85546875" style="19" customWidth="1"/>
    <col min="7694" max="7695" width="0" style="19" hidden="1" customWidth="1"/>
    <col min="7696" max="7696" width="8.42578125" style="19" customWidth="1"/>
    <col min="7697" max="7708" width="0" style="19" hidden="1" customWidth="1"/>
    <col min="7709" max="7710" width="6.5703125" style="19" customWidth="1"/>
    <col min="7711" max="7714" width="0" style="19" hidden="1" customWidth="1"/>
    <col min="7715" max="7715" width="5.85546875" style="19" customWidth="1"/>
    <col min="7716" max="7716" width="0" style="19" hidden="1" customWidth="1"/>
    <col min="7717" max="7719" width="5.85546875" style="19" customWidth="1"/>
    <col min="7720" max="7720" width="7.7109375" style="19" customWidth="1"/>
    <col min="7721" max="7721" width="9.140625" style="19" bestFit="1" customWidth="1"/>
    <col min="7722" max="7723" width="8.5703125" style="19" bestFit="1" customWidth="1"/>
    <col min="7724" max="7724" width="7.5703125" style="19" customWidth="1"/>
    <col min="7725" max="7727" width="9.28515625" style="19" customWidth="1"/>
    <col min="7728" max="7729" width="7.85546875" style="19" customWidth="1"/>
    <col min="7730" max="7731" width="6.42578125" style="19" customWidth="1"/>
    <col min="7732" max="7732" width="11.140625" style="19" customWidth="1"/>
    <col min="7733" max="7733" width="44.28515625" style="19" customWidth="1"/>
    <col min="7734" max="7734" width="5" style="19" customWidth="1"/>
    <col min="7735" max="7735" width="5.5703125" style="19" customWidth="1"/>
    <col min="7736" max="7739" width="9.140625" style="19"/>
    <col min="7740" max="7741" width="8.7109375" style="19" customWidth="1"/>
    <col min="7742" max="7936" width="9.140625" style="19"/>
    <col min="7937" max="7937" width="1.85546875" style="19" customWidth="1"/>
    <col min="7938" max="7938" width="9.5703125" style="19" customWidth="1"/>
    <col min="7939" max="7939" width="6.7109375" style="19" bestFit="1" customWidth="1"/>
    <col min="7940" max="7940" width="9.42578125" style="19" customWidth="1"/>
    <col min="7941" max="7941" width="10.140625" style="19" customWidth="1"/>
    <col min="7942" max="7942" width="9.28515625" style="19" customWidth="1"/>
    <col min="7943" max="7943" width="6.42578125" style="19" customWidth="1"/>
    <col min="7944" max="7944" width="9.85546875" style="19" customWidth="1"/>
    <col min="7945" max="7945" width="12.140625" style="19" customWidth="1"/>
    <col min="7946" max="7946" width="9.140625" style="19"/>
    <col min="7947" max="7947" width="11" style="19" customWidth="1"/>
    <col min="7948" max="7948" width="9.28515625" style="19" customWidth="1"/>
    <col min="7949" max="7949" width="9.85546875" style="19" customWidth="1"/>
    <col min="7950" max="7951" width="0" style="19" hidden="1" customWidth="1"/>
    <col min="7952" max="7952" width="8.42578125" style="19" customWidth="1"/>
    <col min="7953" max="7964" width="0" style="19" hidden="1" customWidth="1"/>
    <col min="7965" max="7966" width="6.5703125" style="19" customWidth="1"/>
    <col min="7967" max="7970" width="0" style="19" hidden="1" customWidth="1"/>
    <col min="7971" max="7971" width="5.85546875" style="19" customWidth="1"/>
    <col min="7972" max="7972" width="0" style="19" hidden="1" customWidth="1"/>
    <col min="7973" max="7975" width="5.85546875" style="19" customWidth="1"/>
    <col min="7976" max="7976" width="7.7109375" style="19" customWidth="1"/>
    <col min="7977" max="7977" width="9.140625" style="19" bestFit="1" customWidth="1"/>
    <col min="7978" max="7979" width="8.5703125" style="19" bestFit="1" customWidth="1"/>
    <col min="7980" max="7980" width="7.5703125" style="19" customWidth="1"/>
    <col min="7981" max="7983" width="9.28515625" style="19" customWidth="1"/>
    <col min="7984" max="7985" width="7.85546875" style="19" customWidth="1"/>
    <col min="7986" max="7987" width="6.42578125" style="19" customWidth="1"/>
    <col min="7988" max="7988" width="11.140625" style="19" customWidth="1"/>
    <col min="7989" max="7989" width="44.28515625" style="19" customWidth="1"/>
    <col min="7990" max="7990" width="5" style="19" customWidth="1"/>
    <col min="7991" max="7991" width="5.5703125" style="19" customWidth="1"/>
    <col min="7992" max="7995" width="9.140625" style="19"/>
    <col min="7996" max="7997" width="8.7109375" style="19" customWidth="1"/>
    <col min="7998" max="8192" width="9.140625" style="19"/>
    <col min="8193" max="8193" width="1.85546875" style="19" customWidth="1"/>
    <col min="8194" max="8194" width="9.5703125" style="19" customWidth="1"/>
    <col min="8195" max="8195" width="6.7109375" style="19" bestFit="1" customWidth="1"/>
    <col min="8196" max="8196" width="9.42578125" style="19" customWidth="1"/>
    <col min="8197" max="8197" width="10.140625" style="19" customWidth="1"/>
    <col min="8198" max="8198" width="9.28515625" style="19" customWidth="1"/>
    <col min="8199" max="8199" width="6.42578125" style="19" customWidth="1"/>
    <col min="8200" max="8200" width="9.85546875" style="19" customWidth="1"/>
    <col min="8201" max="8201" width="12.140625" style="19" customWidth="1"/>
    <col min="8202" max="8202" width="9.140625" style="19"/>
    <col min="8203" max="8203" width="11" style="19" customWidth="1"/>
    <col min="8204" max="8204" width="9.28515625" style="19" customWidth="1"/>
    <col min="8205" max="8205" width="9.85546875" style="19" customWidth="1"/>
    <col min="8206" max="8207" width="0" style="19" hidden="1" customWidth="1"/>
    <col min="8208" max="8208" width="8.42578125" style="19" customWidth="1"/>
    <col min="8209" max="8220" width="0" style="19" hidden="1" customWidth="1"/>
    <col min="8221" max="8222" width="6.5703125" style="19" customWidth="1"/>
    <col min="8223" max="8226" width="0" style="19" hidden="1" customWidth="1"/>
    <col min="8227" max="8227" width="5.85546875" style="19" customWidth="1"/>
    <col min="8228" max="8228" width="0" style="19" hidden="1" customWidth="1"/>
    <col min="8229" max="8231" width="5.85546875" style="19" customWidth="1"/>
    <col min="8232" max="8232" width="7.7109375" style="19" customWidth="1"/>
    <col min="8233" max="8233" width="9.140625" style="19" bestFit="1" customWidth="1"/>
    <col min="8234" max="8235" width="8.5703125" style="19" bestFit="1" customWidth="1"/>
    <col min="8236" max="8236" width="7.5703125" style="19" customWidth="1"/>
    <col min="8237" max="8239" width="9.28515625" style="19" customWidth="1"/>
    <col min="8240" max="8241" width="7.85546875" style="19" customWidth="1"/>
    <col min="8242" max="8243" width="6.42578125" style="19" customWidth="1"/>
    <col min="8244" max="8244" width="11.140625" style="19" customWidth="1"/>
    <col min="8245" max="8245" width="44.28515625" style="19" customWidth="1"/>
    <col min="8246" max="8246" width="5" style="19" customWidth="1"/>
    <col min="8247" max="8247" width="5.5703125" style="19" customWidth="1"/>
    <col min="8248" max="8251" width="9.140625" style="19"/>
    <col min="8252" max="8253" width="8.7109375" style="19" customWidth="1"/>
    <col min="8254" max="8448" width="9.140625" style="19"/>
    <col min="8449" max="8449" width="1.85546875" style="19" customWidth="1"/>
    <col min="8450" max="8450" width="9.5703125" style="19" customWidth="1"/>
    <col min="8451" max="8451" width="6.7109375" style="19" bestFit="1" customWidth="1"/>
    <col min="8452" max="8452" width="9.42578125" style="19" customWidth="1"/>
    <col min="8453" max="8453" width="10.140625" style="19" customWidth="1"/>
    <col min="8454" max="8454" width="9.28515625" style="19" customWidth="1"/>
    <col min="8455" max="8455" width="6.42578125" style="19" customWidth="1"/>
    <col min="8456" max="8456" width="9.85546875" style="19" customWidth="1"/>
    <col min="8457" max="8457" width="12.140625" style="19" customWidth="1"/>
    <col min="8458" max="8458" width="9.140625" style="19"/>
    <col min="8459" max="8459" width="11" style="19" customWidth="1"/>
    <col min="8460" max="8460" width="9.28515625" style="19" customWidth="1"/>
    <col min="8461" max="8461" width="9.85546875" style="19" customWidth="1"/>
    <col min="8462" max="8463" width="0" style="19" hidden="1" customWidth="1"/>
    <col min="8464" max="8464" width="8.42578125" style="19" customWidth="1"/>
    <col min="8465" max="8476" width="0" style="19" hidden="1" customWidth="1"/>
    <col min="8477" max="8478" width="6.5703125" style="19" customWidth="1"/>
    <col min="8479" max="8482" width="0" style="19" hidden="1" customWidth="1"/>
    <col min="8483" max="8483" width="5.85546875" style="19" customWidth="1"/>
    <col min="8484" max="8484" width="0" style="19" hidden="1" customWidth="1"/>
    <col min="8485" max="8487" width="5.85546875" style="19" customWidth="1"/>
    <col min="8488" max="8488" width="7.7109375" style="19" customWidth="1"/>
    <col min="8489" max="8489" width="9.140625" style="19" bestFit="1" customWidth="1"/>
    <col min="8490" max="8491" width="8.5703125" style="19" bestFit="1" customWidth="1"/>
    <col min="8492" max="8492" width="7.5703125" style="19" customWidth="1"/>
    <col min="8493" max="8495" width="9.28515625" style="19" customWidth="1"/>
    <col min="8496" max="8497" width="7.85546875" style="19" customWidth="1"/>
    <col min="8498" max="8499" width="6.42578125" style="19" customWidth="1"/>
    <col min="8500" max="8500" width="11.140625" style="19" customWidth="1"/>
    <col min="8501" max="8501" width="44.28515625" style="19" customWidth="1"/>
    <col min="8502" max="8502" width="5" style="19" customWidth="1"/>
    <col min="8503" max="8503" width="5.5703125" style="19" customWidth="1"/>
    <col min="8504" max="8507" width="9.140625" style="19"/>
    <col min="8508" max="8509" width="8.7109375" style="19" customWidth="1"/>
    <col min="8510" max="8704" width="9.140625" style="19"/>
    <col min="8705" max="8705" width="1.85546875" style="19" customWidth="1"/>
    <col min="8706" max="8706" width="9.5703125" style="19" customWidth="1"/>
    <col min="8707" max="8707" width="6.7109375" style="19" bestFit="1" customWidth="1"/>
    <col min="8708" max="8708" width="9.42578125" style="19" customWidth="1"/>
    <col min="8709" max="8709" width="10.140625" style="19" customWidth="1"/>
    <col min="8710" max="8710" width="9.28515625" style="19" customWidth="1"/>
    <col min="8711" max="8711" width="6.42578125" style="19" customWidth="1"/>
    <col min="8712" max="8712" width="9.85546875" style="19" customWidth="1"/>
    <col min="8713" max="8713" width="12.140625" style="19" customWidth="1"/>
    <col min="8714" max="8714" width="9.140625" style="19"/>
    <col min="8715" max="8715" width="11" style="19" customWidth="1"/>
    <col min="8716" max="8716" width="9.28515625" style="19" customWidth="1"/>
    <col min="8717" max="8717" width="9.85546875" style="19" customWidth="1"/>
    <col min="8718" max="8719" width="0" style="19" hidden="1" customWidth="1"/>
    <col min="8720" max="8720" width="8.42578125" style="19" customWidth="1"/>
    <col min="8721" max="8732" width="0" style="19" hidden="1" customWidth="1"/>
    <col min="8733" max="8734" width="6.5703125" style="19" customWidth="1"/>
    <col min="8735" max="8738" width="0" style="19" hidden="1" customWidth="1"/>
    <col min="8739" max="8739" width="5.85546875" style="19" customWidth="1"/>
    <col min="8740" max="8740" width="0" style="19" hidden="1" customWidth="1"/>
    <col min="8741" max="8743" width="5.85546875" style="19" customWidth="1"/>
    <col min="8744" max="8744" width="7.7109375" style="19" customWidth="1"/>
    <col min="8745" max="8745" width="9.140625" style="19" bestFit="1" customWidth="1"/>
    <col min="8746" max="8747" width="8.5703125" style="19" bestFit="1" customWidth="1"/>
    <col min="8748" max="8748" width="7.5703125" style="19" customWidth="1"/>
    <col min="8749" max="8751" width="9.28515625" style="19" customWidth="1"/>
    <col min="8752" max="8753" width="7.85546875" style="19" customWidth="1"/>
    <col min="8754" max="8755" width="6.42578125" style="19" customWidth="1"/>
    <col min="8756" max="8756" width="11.140625" style="19" customWidth="1"/>
    <col min="8757" max="8757" width="44.28515625" style="19" customWidth="1"/>
    <col min="8758" max="8758" width="5" style="19" customWidth="1"/>
    <col min="8759" max="8759" width="5.5703125" style="19" customWidth="1"/>
    <col min="8760" max="8763" width="9.140625" style="19"/>
    <col min="8764" max="8765" width="8.7109375" style="19" customWidth="1"/>
    <col min="8766" max="8960" width="9.140625" style="19"/>
    <col min="8961" max="8961" width="1.85546875" style="19" customWidth="1"/>
    <col min="8962" max="8962" width="9.5703125" style="19" customWidth="1"/>
    <col min="8963" max="8963" width="6.7109375" style="19" bestFit="1" customWidth="1"/>
    <col min="8964" max="8964" width="9.42578125" style="19" customWidth="1"/>
    <col min="8965" max="8965" width="10.140625" style="19" customWidth="1"/>
    <col min="8966" max="8966" width="9.28515625" style="19" customWidth="1"/>
    <col min="8967" max="8967" width="6.42578125" style="19" customWidth="1"/>
    <col min="8968" max="8968" width="9.85546875" style="19" customWidth="1"/>
    <col min="8969" max="8969" width="12.140625" style="19" customWidth="1"/>
    <col min="8970" max="8970" width="9.140625" style="19"/>
    <col min="8971" max="8971" width="11" style="19" customWidth="1"/>
    <col min="8972" max="8972" width="9.28515625" style="19" customWidth="1"/>
    <col min="8973" max="8973" width="9.85546875" style="19" customWidth="1"/>
    <col min="8974" max="8975" width="0" style="19" hidden="1" customWidth="1"/>
    <col min="8976" max="8976" width="8.42578125" style="19" customWidth="1"/>
    <col min="8977" max="8988" width="0" style="19" hidden="1" customWidth="1"/>
    <col min="8989" max="8990" width="6.5703125" style="19" customWidth="1"/>
    <col min="8991" max="8994" width="0" style="19" hidden="1" customWidth="1"/>
    <col min="8995" max="8995" width="5.85546875" style="19" customWidth="1"/>
    <col min="8996" max="8996" width="0" style="19" hidden="1" customWidth="1"/>
    <col min="8997" max="8999" width="5.85546875" style="19" customWidth="1"/>
    <col min="9000" max="9000" width="7.7109375" style="19" customWidth="1"/>
    <col min="9001" max="9001" width="9.140625" style="19" bestFit="1" customWidth="1"/>
    <col min="9002" max="9003" width="8.5703125" style="19" bestFit="1" customWidth="1"/>
    <col min="9004" max="9004" width="7.5703125" style="19" customWidth="1"/>
    <col min="9005" max="9007" width="9.28515625" style="19" customWidth="1"/>
    <col min="9008" max="9009" width="7.85546875" style="19" customWidth="1"/>
    <col min="9010" max="9011" width="6.42578125" style="19" customWidth="1"/>
    <col min="9012" max="9012" width="11.140625" style="19" customWidth="1"/>
    <col min="9013" max="9013" width="44.28515625" style="19" customWidth="1"/>
    <col min="9014" max="9014" width="5" style="19" customWidth="1"/>
    <col min="9015" max="9015" width="5.5703125" style="19" customWidth="1"/>
    <col min="9016" max="9019" width="9.140625" style="19"/>
    <col min="9020" max="9021" width="8.7109375" style="19" customWidth="1"/>
    <col min="9022" max="9216" width="9.140625" style="19"/>
    <col min="9217" max="9217" width="1.85546875" style="19" customWidth="1"/>
    <col min="9218" max="9218" width="9.5703125" style="19" customWidth="1"/>
    <col min="9219" max="9219" width="6.7109375" style="19" bestFit="1" customWidth="1"/>
    <col min="9220" max="9220" width="9.42578125" style="19" customWidth="1"/>
    <col min="9221" max="9221" width="10.140625" style="19" customWidth="1"/>
    <col min="9222" max="9222" width="9.28515625" style="19" customWidth="1"/>
    <col min="9223" max="9223" width="6.42578125" style="19" customWidth="1"/>
    <col min="9224" max="9224" width="9.85546875" style="19" customWidth="1"/>
    <col min="9225" max="9225" width="12.140625" style="19" customWidth="1"/>
    <col min="9226" max="9226" width="9.140625" style="19"/>
    <col min="9227" max="9227" width="11" style="19" customWidth="1"/>
    <col min="9228" max="9228" width="9.28515625" style="19" customWidth="1"/>
    <col min="9229" max="9229" width="9.85546875" style="19" customWidth="1"/>
    <col min="9230" max="9231" width="0" style="19" hidden="1" customWidth="1"/>
    <col min="9232" max="9232" width="8.42578125" style="19" customWidth="1"/>
    <col min="9233" max="9244" width="0" style="19" hidden="1" customWidth="1"/>
    <col min="9245" max="9246" width="6.5703125" style="19" customWidth="1"/>
    <col min="9247" max="9250" width="0" style="19" hidden="1" customWidth="1"/>
    <col min="9251" max="9251" width="5.85546875" style="19" customWidth="1"/>
    <col min="9252" max="9252" width="0" style="19" hidden="1" customWidth="1"/>
    <col min="9253" max="9255" width="5.85546875" style="19" customWidth="1"/>
    <col min="9256" max="9256" width="7.7109375" style="19" customWidth="1"/>
    <col min="9257" max="9257" width="9.140625" style="19" bestFit="1" customWidth="1"/>
    <col min="9258" max="9259" width="8.5703125" style="19" bestFit="1" customWidth="1"/>
    <col min="9260" max="9260" width="7.5703125" style="19" customWidth="1"/>
    <col min="9261" max="9263" width="9.28515625" style="19" customWidth="1"/>
    <col min="9264" max="9265" width="7.85546875" style="19" customWidth="1"/>
    <col min="9266" max="9267" width="6.42578125" style="19" customWidth="1"/>
    <col min="9268" max="9268" width="11.140625" style="19" customWidth="1"/>
    <col min="9269" max="9269" width="44.28515625" style="19" customWidth="1"/>
    <col min="9270" max="9270" width="5" style="19" customWidth="1"/>
    <col min="9271" max="9271" width="5.5703125" style="19" customWidth="1"/>
    <col min="9272" max="9275" width="9.140625" style="19"/>
    <col min="9276" max="9277" width="8.7109375" style="19" customWidth="1"/>
    <col min="9278" max="9472" width="9.140625" style="19"/>
    <col min="9473" max="9473" width="1.85546875" style="19" customWidth="1"/>
    <col min="9474" max="9474" width="9.5703125" style="19" customWidth="1"/>
    <col min="9475" max="9475" width="6.7109375" style="19" bestFit="1" customWidth="1"/>
    <col min="9476" max="9476" width="9.42578125" style="19" customWidth="1"/>
    <col min="9477" max="9477" width="10.140625" style="19" customWidth="1"/>
    <col min="9478" max="9478" width="9.28515625" style="19" customWidth="1"/>
    <col min="9479" max="9479" width="6.42578125" style="19" customWidth="1"/>
    <col min="9480" max="9480" width="9.85546875" style="19" customWidth="1"/>
    <col min="9481" max="9481" width="12.140625" style="19" customWidth="1"/>
    <col min="9482" max="9482" width="9.140625" style="19"/>
    <col min="9483" max="9483" width="11" style="19" customWidth="1"/>
    <col min="9484" max="9484" width="9.28515625" style="19" customWidth="1"/>
    <col min="9485" max="9485" width="9.85546875" style="19" customWidth="1"/>
    <col min="9486" max="9487" width="0" style="19" hidden="1" customWidth="1"/>
    <col min="9488" max="9488" width="8.42578125" style="19" customWidth="1"/>
    <col min="9489" max="9500" width="0" style="19" hidden="1" customWidth="1"/>
    <col min="9501" max="9502" width="6.5703125" style="19" customWidth="1"/>
    <col min="9503" max="9506" width="0" style="19" hidden="1" customWidth="1"/>
    <col min="9507" max="9507" width="5.85546875" style="19" customWidth="1"/>
    <col min="9508" max="9508" width="0" style="19" hidden="1" customWidth="1"/>
    <col min="9509" max="9511" width="5.85546875" style="19" customWidth="1"/>
    <col min="9512" max="9512" width="7.7109375" style="19" customWidth="1"/>
    <col min="9513" max="9513" width="9.140625" style="19" bestFit="1" customWidth="1"/>
    <col min="9514" max="9515" width="8.5703125" style="19" bestFit="1" customWidth="1"/>
    <col min="9516" max="9516" width="7.5703125" style="19" customWidth="1"/>
    <col min="9517" max="9519" width="9.28515625" style="19" customWidth="1"/>
    <col min="9520" max="9521" width="7.85546875" style="19" customWidth="1"/>
    <col min="9522" max="9523" width="6.42578125" style="19" customWidth="1"/>
    <col min="9524" max="9524" width="11.140625" style="19" customWidth="1"/>
    <col min="9525" max="9525" width="44.28515625" style="19" customWidth="1"/>
    <col min="9526" max="9526" width="5" style="19" customWidth="1"/>
    <col min="9527" max="9527" width="5.5703125" style="19" customWidth="1"/>
    <col min="9528" max="9531" width="9.140625" style="19"/>
    <col min="9532" max="9533" width="8.7109375" style="19" customWidth="1"/>
    <col min="9534" max="9728" width="9.140625" style="19"/>
    <col min="9729" max="9729" width="1.85546875" style="19" customWidth="1"/>
    <col min="9730" max="9730" width="9.5703125" style="19" customWidth="1"/>
    <col min="9731" max="9731" width="6.7109375" style="19" bestFit="1" customWidth="1"/>
    <col min="9732" max="9732" width="9.42578125" style="19" customWidth="1"/>
    <col min="9733" max="9733" width="10.140625" style="19" customWidth="1"/>
    <col min="9734" max="9734" width="9.28515625" style="19" customWidth="1"/>
    <col min="9735" max="9735" width="6.42578125" style="19" customWidth="1"/>
    <col min="9736" max="9736" width="9.85546875" style="19" customWidth="1"/>
    <col min="9737" max="9737" width="12.140625" style="19" customWidth="1"/>
    <col min="9738" max="9738" width="9.140625" style="19"/>
    <col min="9739" max="9739" width="11" style="19" customWidth="1"/>
    <col min="9740" max="9740" width="9.28515625" style="19" customWidth="1"/>
    <col min="9741" max="9741" width="9.85546875" style="19" customWidth="1"/>
    <col min="9742" max="9743" width="0" style="19" hidden="1" customWidth="1"/>
    <col min="9744" max="9744" width="8.42578125" style="19" customWidth="1"/>
    <col min="9745" max="9756" width="0" style="19" hidden="1" customWidth="1"/>
    <col min="9757" max="9758" width="6.5703125" style="19" customWidth="1"/>
    <col min="9759" max="9762" width="0" style="19" hidden="1" customWidth="1"/>
    <col min="9763" max="9763" width="5.85546875" style="19" customWidth="1"/>
    <col min="9764" max="9764" width="0" style="19" hidden="1" customWidth="1"/>
    <col min="9765" max="9767" width="5.85546875" style="19" customWidth="1"/>
    <col min="9768" max="9768" width="7.7109375" style="19" customWidth="1"/>
    <col min="9769" max="9769" width="9.140625" style="19" bestFit="1" customWidth="1"/>
    <col min="9770" max="9771" width="8.5703125" style="19" bestFit="1" customWidth="1"/>
    <col min="9772" max="9772" width="7.5703125" style="19" customWidth="1"/>
    <col min="9773" max="9775" width="9.28515625" style="19" customWidth="1"/>
    <col min="9776" max="9777" width="7.85546875" style="19" customWidth="1"/>
    <col min="9778" max="9779" width="6.42578125" style="19" customWidth="1"/>
    <col min="9780" max="9780" width="11.140625" style="19" customWidth="1"/>
    <col min="9781" max="9781" width="44.28515625" style="19" customWidth="1"/>
    <col min="9782" max="9782" width="5" style="19" customWidth="1"/>
    <col min="9783" max="9783" width="5.5703125" style="19" customWidth="1"/>
    <col min="9784" max="9787" width="9.140625" style="19"/>
    <col min="9788" max="9789" width="8.7109375" style="19" customWidth="1"/>
    <col min="9790" max="9984" width="9.140625" style="19"/>
    <col min="9985" max="9985" width="1.85546875" style="19" customWidth="1"/>
    <col min="9986" max="9986" width="9.5703125" style="19" customWidth="1"/>
    <col min="9987" max="9987" width="6.7109375" style="19" bestFit="1" customWidth="1"/>
    <col min="9988" max="9988" width="9.42578125" style="19" customWidth="1"/>
    <col min="9989" max="9989" width="10.140625" style="19" customWidth="1"/>
    <col min="9990" max="9990" width="9.28515625" style="19" customWidth="1"/>
    <col min="9991" max="9991" width="6.42578125" style="19" customWidth="1"/>
    <col min="9992" max="9992" width="9.85546875" style="19" customWidth="1"/>
    <col min="9993" max="9993" width="12.140625" style="19" customWidth="1"/>
    <col min="9994" max="9994" width="9.140625" style="19"/>
    <col min="9995" max="9995" width="11" style="19" customWidth="1"/>
    <col min="9996" max="9996" width="9.28515625" style="19" customWidth="1"/>
    <col min="9997" max="9997" width="9.85546875" style="19" customWidth="1"/>
    <col min="9998" max="9999" width="0" style="19" hidden="1" customWidth="1"/>
    <col min="10000" max="10000" width="8.42578125" style="19" customWidth="1"/>
    <col min="10001" max="10012" width="0" style="19" hidden="1" customWidth="1"/>
    <col min="10013" max="10014" width="6.5703125" style="19" customWidth="1"/>
    <col min="10015" max="10018" width="0" style="19" hidden="1" customWidth="1"/>
    <col min="10019" max="10019" width="5.85546875" style="19" customWidth="1"/>
    <col min="10020" max="10020" width="0" style="19" hidden="1" customWidth="1"/>
    <col min="10021" max="10023" width="5.85546875" style="19" customWidth="1"/>
    <col min="10024" max="10024" width="7.7109375" style="19" customWidth="1"/>
    <col min="10025" max="10025" width="9.140625" style="19" bestFit="1" customWidth="1"/>
    <col min="10026" max="10027" width="8.5703125" style="19" bestFit="1" customWidth="1"/>
    <col min="10028" max="10028" width="7.5703125" style="19" customWidth="1"/>
    <col min="10029" max="10031" width="9.28515625" style="19" customWidth="1"/>
    <col min="10032" max="10033" width="7.85546875" style="19" customWidth="1"/>
    <col min="10034" max="10035" width="6.42578125" style="19" customWidth="1"/>
    <col min="10036" max="10036" width="11.140625" style="19" customWidth="1"/>
    <col min="10037" max="10037" width="44.28515625" style="19" customWidth="1"/>
    <col min="10038" max="10038" width="5" style="19" customWidth="1"/>
    <col min="10039" max="10039" width="5.5703125" style="19" customWidth="1"/>
    <col min="10040" max="10043" width="9.140625" style="19"/>
    <col min="10044" max="10045" width="8.7109375" style="19" customWidth="1"/>
    <col min="10046" max="10240" width="9.140625" style="19"/>
    <col min="10241" max="10241" width="1.85546875" style="19" customWidth="1"/>
    <col min="10242" max="10242" width="9.5703125" style="19" customWidth="1"/>
    <col min="10243" max="10243" width="6.7109375" style="19" bestFit="1" customWidth="1"/>
    <col min="10244" max="10244" width="9.42578125" style="19" customWidth="1"/>
    <col min="10245" max="10245" width="10.140625" style="19" customWidth="1"/>
    <col min="10246" max="10246" width="9.28515625" style="19" customWidth="1"/>
    <col min="10247" max="10247" width="6.42578125" style="19" customWidth="1"/>
    <col min="10248" max="10248" width="9.85546875" style="19" customWidth="1"/>
    <col min="10249" max="10249" width="12.140625" style="19" customWidth="1"/>
    <col min="10250" max="10250" width="9.140625" style="19"/>
    <col min="10251" max="10251" width="11" style="19" customWidth="1"/>
    <col min="10252" max="10252" width="9.28515625" style="19" customWidth="1"/>
    <col min="10253" max="10253" width="9.85546875" style="19" customWidth="1"/>
    <col min="10254" max="10255" width="0" style="19" hidden="1" customWidth="1"/>
    <col min="10256" max="10256" width="8.42578125" style="19" customWidth="1"/>
    <col min="10257" max="10268" width="0" style="19" hidden="1" customWidth="1"/>
    <col min="10269" max="10270" width="6.5703125" style="19" customWidth="1"/>
    <col min="10271" max="10274" width="0" style="19" hidden="1" customWidth="1"/>
    <col min="10275" max="10275" width="5.85546875" style="19" customWidth="1"/>
    <col min="10276" max="10276" width="0" style="19" hidden="1" customWidth="1"/>
    <col min="10277" max="10279" width="5.85546875" style="19" customWidth="1"/>
    <col min="10280" max="10280" width="7.7109375" style="19" customWidth="1"/>
    <col min="10281" max="10281" width="9.140625" style="19" bestFit="1" customWidth="1"/>
    <col min="10282" max="10283" width="8.5703125" style="19" bestFit="1" customWidth="1"/>
    <col min="10284" max="10284" width="7.5703125" style="19" customWidth="1"/>
    <col min="10285" max="10287" width="9.28515625" style="19" customWidth="1"/>
    <col min="10288" max="10289" width="7.85546875" style="19" customWidth="1"/>
    <col min="10290" max="10291" width="6.42578125" style="19" customWidth="1"/>
    <col min="10292" max="10292" width="11.140625" style="19" customWidth="1"/>
    <col min="10293" max="10293" width="44.28515625" style="19" customWidth="1"/>
    <col min="10294" max="10294" width="5" style="19" customWidth="1"/>
    <col min="10295" max="10295" width="5.5703125" style="19" customWidth="1"/>
    <col min="10296" max="10299" width="9.140625" style="19"/>
    <col min="10300" max="10301" width="8.7109375" style="19" customWidth="1"/>
    <col min="10302" max="10496" width="9.140625" style="19"/>
    <col min="10497" max="10497" width="1.85546875" style="19" customWidth="1"/>
    <col min="10498" max="10498" width="9.5703125" style="19" customWidth="1"/>
    <col min="10499" max="10499" width="6.7109375" style="19" bestFit="1" customWidth="1"/>
    <col min="10500" max="10500" width="9.42578125" style="19" customWidth="1"/>
    <col min="10501" max="10501" width="10.140625" style="19" customWidth="1"/>
    <col min="10502" max="10502" width="9.28515625" style="19" customWidth="1"/>
    <col min="10503" max="10503" width="6.42578125" style="19" customWidth="1"/>
    <col min="10504" max="10504" width="9.85546875" style="19" customWidth="1"/>
    <col min="10505" max="10505" width="12.140625" style="19" customWidth="1"/>
    <col min="10506" max="10506" width="9.140625" style="19"/>
    <col min="10507" max="10507" width="11" style="19" customWidth="1"/>
    <col min="10508" max="10508" width="9.28515625" style="19" customWidth="1"/>
    <col min="10509" max="10509" width="9.85546875" style="19" customWidth="1"/>
    <col min="10510" max="10511" width="0" style="19" hidden="1" customWidth="1"/>
    <col min="10512" max="10512" width="8.42578125" style="19" customWidth="1"/>
    <col min="10513" max="10524" width="0" style="19" hidden="1" customWidth="1"/>
    <col min="10525" max="10526" width="6.5703125" style="19" customWidth="1"/>
    <col min="10527" max="10530" width="0" style="19" hidden="1" customWidth="1"/>
    <col min="10531" max="10531" width="5.85546875" style="19" customWidth="1"/>
    <col min="10532" max="10532" width="0" style="19" hidden="1" customWidth="1"/>
    <col min="10533" max="10535" width="5.85546875" style="19" customWidth="1"/>
    <col min="10536" max="10536" width="7.7109375" style="19" customWidth="1"/>
    <col min="10537" max="10537" width="9.140625" style="19" bestFit="1" customWidth="1"/>
    <col min="10538" max="10539" width="8.5703125" style="19" bestFit="1" customWidth="1"/>
    <col min="10540" max="10540" width="7.5703125" style="19" customWidth="1"/>
    <col min="10541" max="10543" width="9.28515625" style="19" customWidth="1"/>
    <col min="10544" max="10545" width="7.85546875" style="19" customWidth="1"/>
    <col min="10546" max="10547" width="6.42578125" style="19" customWidth="1"/>
    <col min="10548" max="10548" width="11.140625" style="19" customWidth="1"/>
    <col min="10549" max="10549" width="44.28515625" style="19" customWidth="1"/>
    <col min="10550" max="10550" width="5" style="19" customWidth="1"/>
    <col min="10551" max="10551" width="5.5703125" style="19" customWidth="1"/>
    <col min="10552" max="10555" width="9.140625" style="19"/>
    <col min="10556" max="10557" width="8.7109375" style="19" customWidth="1"/>
    <col min="10558" max="10752" width="9.140625" style="19"/>
    <col min="10753" max="10753" width="1.85546875" style="19" customWidth="1"/>
    <col min="10754" max="10754" width="9.5703125" style="19" customWidth="1"/>
    <col min="10755" max="10755" width="6.7109375" style="19" bestFit="1" customWidth="1"/>
    <col min="10756" max="10756" width="9.42578125" style="19" customWidth="1"/>
    <col min="10757" max="10757" width="10.140625" style="19" customWidth="1"/>
    <col min="10758" max="10758" width="9.28515625" style="19" customWidth="1"/>
    <col min="10759" max="10759" width="6.42578125" style="19" customWidth="1"/>
    <col min="10760" max="10760" width="9.85546875" style="19" customWidth="1"/>
    <col min="10761" max="10761" width="12.140625" style="19" customWidth="1"/>
    <col min="10762" max="10762" width="9.140625" style="19"/>
    <col min="10763" max="10763" width="11" style="19" customWidth="1"/>
    <col min="10764" max="10764" width="9.28515625" style="19" customWidth="1"/>
    <col min="10765" max="10765" width="9.85546875" style="19" customWidth="1"/>
    <col min="10766" max="10767" width="0" style="19" hidden="1" customWidth="1"/>
    <col min="10768" max="10768" width="8.42578125" style="19" customWidth="1"/>
    <col min="10769" max="10780" width="0" style="19" hidden="1" customWidth="1"/>
    <col min="10781" max="10782" width="6.5703125" style="19" customWidth="1"/>
    <col min="10783" max="10786" width="0" style="19" hidden="1" customWidth="1"/>
    <col min="10787" max="10787" width="5.85546875" style="19" customWidth="1"/>
    <col min="10788" max="10788" width="0" style="19" hidden="1" customWidth="1"/>
    <col min="10789" max="10791" width="5.85546875" style="19" customWidth="1"/>
    <col min="10792" max="10792" width="7.7109375" style="19" customWidth="1"/>
    <col min="10793" max="10793" width="9.140625" style="19" bestFit="1" customWidth="1"/>
    <col min="10794" max="10795" width="8.5703125" style="19" bestFit="1" customWidth="1"/>
    <col min="10796" max="10796" width="7.5703125" style="19" customWidth="1"/>
    <col min="10797" max="10799" width="9.28515625" style="19" customWidth="1"/>
    <col min="10800" max="10801" width="7.85546875" style="19" customWidth="1"/>
    <col min="10802" max="10803" width="6.42578125" style="19" customWidth="1"/>
    <col min="10804" max="10804" width="11.140625" style="19" customWidth="1"/>
    <col min="10805" max="10805" width="44.28515625" style="19" customWidth="1"/>
    <col min="10806" max="10806" width="5" style="19" customWidth="1"/>
    <col min="10807" max="10807" width="5.5703125" style="19" customWidth="1"/>
    <col min="10808" max="10811" width="9.140625" style="19"/>
    <col min="10812" max="10813" width="8.7109375" style="19" customWidth="1"/>
    <col min="10814" max="11008" width="9.140625" style="19"/>
    <col min="11009" max="11009" width="1.85546875" style="19" customWidth="1"/>
    <col min="11010" max="11010" width="9.5703125" style="19" customWidth="1"/>
    <col min="11011" max="11011" width="6.7109375" style="19" bestFit="1" customWidth="1"/>
    <col min="11012" max="11012" width="9.42578125" style="19" customWidth="1"/>
    <col min="11013" max="11013" width="10.140625" style="19" customWidth="1"/>
    <col min="11014" max="11014" width="9.28515625" style="19" customWidth="1"/>
    <col min="11015" max="11015" width="6.42578125" style="19" customWidth="1"/>
    <col min="11016" max="11016" width="9.85546875" style="19" customWidth="1"/>
    <col min="11017" max="11017" width="12.140625" style="19" customWidth="1"/>
    <col min="11018" max="11018" width="9.140625" style="19"/>
    <col min="11019" max="11019" width="11" style="19" customWidth="1"/>
    <col min="11020" max="11020" width="9.28515625" style="19" customWidth="1"/>
    <col min="11021" max="11021" width="9.85546875" style="19" customWidth="1"/>
    <col min="11022" max="11023" width="0" style="19" hidden="1" customWidth="1"/>
    <col min="11024" max="11024" width="8.42578125" style="19" customWidth="1"/>
    <col min="11025" max="11036" width="0" style="19" hidden="1" customWidth="1"/>
    <col min="11037" max="11038" width="6.5703125" style="19" customWidth="1"/>
    <col min="11039" max="11042" width="0" style="19" hidden="1" customWidth="1"/>
    <col min="11043" max="11043" width="5.85546875" style="19" customWidth="1"/>
    <col min="11044" max="11044" width="0" style="19" hidden="1" customWidth="1"/>
    <col min="11045" max="11047" width="5.85546875" style="19" customWidth="1"/>
    <col min="11048" max="11048" width="7.7109375" style="19" customWidth="1"/>
    <col min="11049" max="11049" width="9.140625" style="19" bestFit="1" customWidth="1"/>
    <col min="11050" max="11051" width="8.5703125" style="19" bestFit="1" customWidth="1"/>
    <col min="11052" max="11052" width="7.5703125" style="19" customWidth="1"/>
    <col min="11053" max="11055" width="9.28515625" style="19" customWidth="1"/>
    <col min="11056" max="11057" width="7.85546875" style="19" customWidth="1"/>
    <col min="11058" max="11059" width="6.42578125" style="19" customWidth="1"/>
    <col min="11060" max="11060" width="11.140625" style="19" customWidth="1"/>
    <col min="11061" max="11061" width="44.28515625" style="19" customWidth="1"/>
    <col min="11062" max="11062" width="5" style="19" customWidth="1"/>
    <col min="11063" max="11063" width="5.5703125" style="19" customWidth="1"/>
    <col min="11064" max="11067" width="9.140625" style="19"/>
    <col min="11068" max="11069" width="8.7109375" style="19" customWidth="1"/>
    <col min="11070" max="11264" width="9.140625" style="19"/>
    <col min="11265" max="11265" width="1.85546875" style="19" customWidth="1"/>
    <col min="11266" max="11266" width="9.5703125" style="19" customWidth="1"/>
    <col min="11267" max="11267" width="6.7109375" style="19" bestFit="1" customWidth="1"/>
    <col min="11268" max="11268" width="9.42578125" style="19" customWidth="1"/>
    <col min="11269" max="11269" width="10.140625" style="19" customWidth="1"/>
    <col min="11270" max="11270" width="9.28515625" style="19" customWidth="1"/>
    <col min="11271" max="11271" width="6.42578125" style="19" customWidth="1"/>
    <col min="11272" max="11272" width="9.85546875" style="19" customWidth="1"/>
    <col min="11273" max="11273" width="12.140625" style="19" customWidth="1"/>
    <col min="11274" max="11274" width="9.140625" style="19"/>
    <col min="11275" max="11275" width="11" style="19" customWidth="1"/>
    <col min="11276" max="11276" width="9.28515625" style="19" customWidth="1"/>
    <col min="11277" max="11277" width="9.85546875" style="19" customWidth="1"/>
    <col min="11278" max="11279" width="0" style="19" hidden="1" customWidth="1"/>
    <col min="11280" max="11280" width="8.42578125" style="19" customWidth="1"/>
    <col min="11281" max="11292" width="0" style="19" hidden="1" customWidth="1"/>
    <col min="11293" max="11294" width="6.5703125" style="19" customWidth="1"/>
    <col min="11295" max="11298" width="0" style="19" hidden="1" customWidth="1"/>
    <col min="11299" max="11299" width="5.85546875" style="19" customWidth="1"/>
    <col min="11300" max="11300" width="0" style="19" hidden="1" customWidth="1"/>
    <col min="11301" max="11303" width="5.85546875" style="19" customWidth="1"/>
    <col min="11304" max="11304" width="7.7109375" style="19" customWidth="1"/>
    <col min="11305" max="11305" width="9.140625" style="19" bestFit="1" customWidth="1"/>
    <col min="11306" max="11307" width="8.5703125" style="19" bestFit="1" customWidth="1"/>
    <col min="11308" max="11308" width="7.5703125" style="19" customWidth="1"/>
    <col min="11309" max="11311" width="9.28515625" style="19" customWidth="1"/>
    <col min="11312" max="11313" width="7.85546875" style="19" customWidth="1"/>
    <col min="11314" max="11315" width="6.42578125" style="19" customWidth="1"/>
    <col min="11316" max="11316" width="11.140625" style="19" customWidth="1"/>
    <col min="11317" max="11317" width="44.28515625" style="19" customWidth="1"/>
    <col min="11318" max="11318" width="5" style="19" customWidth="1"/>
    <col min="11319" max="11319" width="5.5703125" style="19" customWidth="1"/>
    <col min="11320" max="11323" width="9.140625" style="19"/>
    <col min="11324" max="11325" width="8.7109375" style="19" customWidth="1"/>
    <col min="11326" max="11520" width="9.140625" style="19"/>
    <col min="11521" max="11521" width="1.85546875" style="19" customWidth="1"/>
    <col min="11522" max="11522" width="9.5703125" style="19" customWidth="1"/>
    <col min="11523" max="11523" width="6.7109375" style="19" bestFit="1" customWidth="1"/>
    <col min="11524" max="11524" width="9.42578125" style="19" customWidth="1"/>
    <col min="11525" max="11525" width="10.140625" style="19" customWidth="1"/>
    <col min="11526" max="11526" width="9.28515625" style="19" customWidth="1"/>
    <col min="11527" max="11527" width="6.42578125" style="19" customWidth="1"/>
    <col min="11528" max="11528" width="9.85546875" style="19" customWidth="1"/>
    <col min="11529" max="11529" width="12.140625" style="19" customWidth="1"/>
    <col min="11530" max="11530" width="9.140625" style="19"/>
    <col min="11531" max="11531" width="11" style="19" customWidth="1"/>
    <col min="11532" max="11532" width="9.28515625" style="19" customWidth="1"/>
    <col min="11533" max="11533" width="9.85546875" style="19" customWidth="1"/>
    <col min="11534" max="11535" width="0" style="19" hidden="1" customWidth="1"/>
    <col min="11536" max="11536" width="8.42578125" style="19" customWidth="1"/>
    <col min="11537" max="11548" width="0" style="19" hidden="1" customWidth="1"/>
    <col min="11549" max="11550" width="6.5703125" style="19" customWidth="1"/>
    <col min="11551" max="11554" width="0" style="19" hidden="1" customWidth="1"/>
    <col min="11555" max="11555" width="5.85546875" style="19" customWidth="1"/>
    <col min="11556" max="11556" width="0" style="19" hidden="1" customWidth="1"/>
    <col min="11557" max="11559" width="5.85546875" style="19" customWidth="1"/>
    <col min="11560" max="11560" width="7.7109375" style="19" customWidth="1"/>
    <col min="11561" max="11561" width="9.140625" style="19" bestFit="1" customWidth="1"/>
    <col min="11562" max="11563" width="8.5703125" style="19" bestFit="1" customWidth="1"/>
    <col min="11564" max="11564" width="7.5703125" style="19" customWidth="1"/>
    <col min="11565" max="11567" width="9.28515625" style="19" customWidth="1"/>
    <col min="11568" max="11569" width="7.85546875" style="19" customWidth="1"/>
    <col min="11570" max="11571" width="6.42578125" style="19" customWidth="1"/>
    <col min="11572" max="11572" width="11.140625" style="19" customWidth="1"/>
    <col min="11573" max="11573" width="44.28515625" style="19" customWidth="1"/>
    <col min="11574" max="11574" width="5" style="19" customWidth="1"/>
    <col min="11575" max="11575" width="5.5703125" style="19" customWidth="1"/>
    <col min="11576" max="11579" width="9.140625" style="19"/>
    <col min="11580" max="11581" width="8.7109375" style="19" customWidth="1"/>
    <col min="11582" max="11776" width="9.140625" style="19"/>
    <col min="11777" max="11777" width="1.85546875" style="19" customWidth="1"/>
    <col min="11778" max="11778" width="9.5703125" style="19" customWidth="1"/>
    <col min="11779" max="11779" width="6.7109375" style="19" bestFit="1" customWidth="1"/>
    <col min="11780" max="11780" width="9.42578125" style="19" customWidth="1"/>
    <col min="11781" max="11781" width="10.140625" style="19" customWidth="1"/>
    <col min="11782" max="11782" width="9.28515625" style="19" customWidth="1"/>
    <col min="11783" max="11783" width="6.42578125" style="19" customWidth="1"/>
    <col min="11784" max="11784" width="9.85546875" style="19" customWidth="1"/>
    <col min="11785" max="11785" width="12.140625" style="19" customWidth="1"/>
    <col min="11786" max="11786" width="9.140625" style="19"/>
    <col min="11787" max="11787" width="11" style="19" customWidth="1"/>
    <col min="11788" max="11788" width="9.28515625" style="19" customWidth="1"/>
    <col min="11789" max="11789" width="9.85546875" style="19" customWidth="1"/>
    <col min="11790" max="11791" width="0" style="19" hidden="1" customWidth="1"/>
    <col min="11792" max="11792" width="8.42578125" style="19" customWidth="1"/>
    <col min="11793" max="11804" width="0" style="19" hidden="1" customWidth="1"/>
    <col min="11805" max="11806" width="6.5703125" style="19" customWidth="1"/>
    <col min="11807" max="11810" width="0" style="19" hidden="1" customWidth="1"/>
    <col min="11811" max="11811" width="5.85546875" style="19" customWidth="1"/>
    <col min="11812" max="11812" width="0" style="19" hidden="1" customWidth="1"/>
    <col min="11813" max="11815" width="5.85546875" style="19" customWidth="1"/>
    <col min="11816" max="11816" width="7.7109375" style="19" customWidth="1"/>
    <col min="11817" max="11817" width="9.140625" style="19" bestFit="1" customWidth="1"/>
    <col min="11818" max="11819" width="8.5703125" style="19" bestFit="1" customWidth="1"/>
    <col min="11820" max="11820" width="7.5703125" style="19" customWidth="1"/>
    <col min="11821" max="11823" width="9.28515625" style="19" customWidth="1"/>
    <col min="11824" max="11825" width="7.85546875" style="19" customWidth="1"/>
    <col min="11826" max="11827" width="6.42578125" style="19" customWidth="1"/>
    <col min="11828" max="11828" width="11.140625" style="19" customWidth="1"/>
    <col min="11829" max="11829" width="44.28515625" style="19" customWidth="1"/>
    <col min="11830" max="11830" width="5" style="19" customWidth="1"/>
    <col min="11831" max="11831" width="5.5703125" style="19" customWidth="1"/>
    <col min="11832" max="11835" width="9.140625" style="19"/>
    <col min="11836" max="11837" width="8.7109375" style="19" customWidth="1"/>
    <col min="11838" max="12032" width="9.140625" style="19"/>
    <col min="12033" max="12033" width="1.85546875" style="19" customWidth="1"/>
    <col min="12034" max="12034" width="9.5703125" style="19" customWidth="1"/>
    <col min="12035" max="12035" width="6.7109375" style="19" bestFit="1" customWidth="1"/>
    <col min="12036" max="12036" width="9.42578125" style="19" customWidth="1"/>
    <col min="12037" max="12037" width="10.140625" style="19" customWidth="1"/>
    <col min="12038" max="12038" width="9.28515625" style="19" customWidth="1"/>
    <col min="12039" max="12039" width="6.42578125" style="19" customWidth="1"/>
    <col min="12040" max="12040" width="9.85546875" style="19" customWidth="1"/>
    <col min="12041" max="12041" width="12.140625" style="19" customWidth="1"/>
    <col min="12042" max="12042" width="9.140625" style="19"/>
    <col min="12043" max="12043" width="11" style="19" customWidth="1"/>
    <col min="12044" max="12044" width="9.28515625" style="19" customWidth="1"/>
    <col min="12045" max="12045" width="9.85546875" style="19" customWidth="1"/>
    <col min="12046" max="12047" width="0" style="19" hidden="1" customWidth="1"/>
    <col min="12048" max="12048" width="8.42578125" style="19" customWidth="1"/>
    <col min="12049" max="12060" width="0" style="19" hidden="1" customWidth="1"/>
    <col min="12061" max="12062" width="6.5703125" style="19" customWidth="1"/>
    <col min="12063" max="12066" width="0" style="19" hidden="1" customWidth="1"/>
    <col min="12067" max="12067" width="5.85546875" style="19" customWidth="1"/>
    <col min="12068" max="12068" width="0" style="19" hidden="1" customWidth="1"/>
    <col min="12069" max="12071" width="5.85546875" style="19" customWidth="1"/>
    <col min="12072" max="12072" width="7.7109375" style="19" customWidth="1"/>
    <col min="12073" max="12073" width="9.140625" style="19" bestFit="1" customWidth="1"/>
    <col min="12074" max="12075" width="8.5703125" style="19" bestFit="1" customWidth="1"/>
    <col min="12076" max="12076" width="7.5703125" style="19" customWidth="1"/>
    <col min="12077" max="12079" width="9.28515625" style="19" customWidth="1"/>
    <col min="12080" max="12081" width="7.85546875" style="19" customWidth="1"/>
    <col min="12082" max="12083" width="6.42578125" style="19" customWidth="1"/>
    <col min="12084" max="12084" width="11.140625" style="19" customWidth="1"/>
    <col min="12085" max="12085" width="44.28515625" style="19" customWidth="1"/>
    <col min="12086" max="12086" width="5" style="19" customWidth="1"/>
    <col min="12087" max="12087" width="5.5703125" style="19" customWidth="1"/>
    <col min="12088" max="12091" width="9.140625" style="19"/>
    <col min="12092" max="12093" width="8.7109375" style="19" customWidth="1"/>
    <col min="12094" max="12288" width="9.140625" style="19"/>
    <col min="12289" max="12289" width="1.85546875" style="19" customWidth="1"/>
    <col min="12290" max="12290" width="9.5703125" style="19" customWidth="1"/>
    <col min="12291" max="12291" width="6.7109375" style="19" bestFit="1" customWidth="1"/>
    <col min="12292" max="12292" width="9.42578125" style="19" customWidth="1"/>
    <col min="12293" max="12293" width="10.140625" style="19" customWidth="1"/>
    <col min="12294" max="12294" width="9.28515625" style="19" customWidth="1"/>
    <col min="12295" max="12295" width="6.42578125" style="19" customWidth="1"/>
    <col min="12296" max="12296" width="9.85546875" style="19" customWidth="1"/>
    <col min="12297" max="12297" width="12.140625" style="19" customWidth="1"/>
    <col min="12298" max="12298" width="9.140625" style="19"/>
    <col min="12299" max="12299" width="11" style="19" customWidth="1"/>
    <col min="12300" max="12300" width="9.28515625" style="19" customWidth="1"/>
    <col min="12301" max="12301" width="9.85546875" style="19" customWidth="1"/>
    <col min="12302" max="12303" width="0" style="19" hidden="1" customWidth="1"/>
    <col min="12304" max="12304" width="8.42578125" style="19" customWidth="1"/>
    <col min="12305" max="12316" width="0" style="19" hidden="1" customWidth="1"/>
    <col min="12317" max="12318" width="6.5703125" style="19" customWidth="1"/>
    <col min="12319" max="12322" width="0" style="19" hidden="1" customWidth="1"/>
    <col min="12323" max="12323" width="5.85546875" style="19" customWidth="1"/>
    <col min="12324" max="12324" width="0" style="19" hidden="1" customWidth="1"/>
    <col min="12325" max="12327" width="5.85546875" style="19" customWidth="1"/>
    <col min="12328" max="12328" width="7.7109375" style="19" customWidth="1"/>
    <col min="12329" max="12329" width="9.140625" style="19" bestFit="1" customWidth="1"/>
    <col min="12330" max="12331" width="8.5703125" style="19" bestFit="1" customWidth="1"/>
    <col min="12332" max="12332" width="7.5703125" style="19" customWidth="1"/>
    <col min="12333" max="12335" width="9.28515625" style="19" customWidth="1"/>
    <col min="12336" max="12337" width="7.85546875" style="19" customWidth="1"/>
    <col min="12338" max="12339" width="6.42578125" style="19" customWidth="1"/>
    <col min="12340" max="12340" width="11.140625" style="19" customWidth="1"/>
    <col min="12341" max="12341" width="44.28515625" style="19" customWidth="1"/>
    <col min="12342" max="12342" width="5" style="19" customWidth="1"/>
    <col min="12343" max="12343" width="5.5703125" style="19" customWidth="1"/>
    <col min="12344" max="12347" width="9.140625" style="19"/>
    <col min="12348" max="12349" width="8.7109375" style="19" customWidth="1"/>
    <col min="12350" max="12544" width="9.140625" style="19"/>
    <col min="12545" max="12545" width="1.85546875" style="19" customWidth="1"/>
    <col min="12546" max="12546" width="9.5703125" style="19" customWidth="1"/>
    <col min="12547" max="12547" width="6.7109375" style="19" bestFit="1" customWidth="1"/>
    <col min="12548" max="12548" width="9.42578125" style="19" customWidth="1"/>
    <col min="12549" max="12549" width="10.140625" style="19" customWidth="1"/>
    <col min="12550" max="12550" width="9.28515625" style="19" customWidth="1"/>
    <col min="12551" max="12551" width="6.42578125" style="19" customWidth="1"/>
    <col min="12552" max="12552" width="9.85546875" style="19" customWidth="1"/>
    <col min="12553" max="12553" width="12.140625" style="19" customWidth="1"/>
    <col min="12554" max="12554" width="9.140625" style="19"/>
    <col min="12555" max="12555" width="11" style="19" customWidth="1"/>
    <col min="12556" max="12556" width="9.28515625" style="19" customWidth="1"/>
    <col min="12557" max="12557" width="9.85546875" style="19" customWidth="1"/>
    <col min="12558" max="12559" width="0" style="19" hidden="1" customWidth="1"/>
    <col min="12560" max="12560" width="8.42578125" style="19" customWidth="1"/>
    <col min="12561" max="12572" width="0" style="19" hidden="1" customWidth="1"/>
    <col min="12573" max="12574" width="6.5703125" style="19" customWidth="1"/>
    <col min="12575" max="12578" width="0" style="19" hidden="1" customWidth="1"/>
    <col min="12579" max="12579" width="5.85546875" style="19" customWidth="1"/>
    <col min="12580" max="12580" width="0" style="19" hidden="1" customWidth="1"/>
    <col min="12581" max="12583" width="5.85546875" style="19" customWidth="1"/>
    <col min="12584" max="12584" width="7.7109375" style="19" customWidth="1"/>
    <col min="12585" max="12585" width="9.140625" style="19" bestFit="1" customWidth="1"/>
    <col min="12586" max="12587" width="8.5703125" style="19" bestFit="1" customWidth="1"/>
    <col min="12588" max="12588" width="7.5703125" style="19" customWidth="1"/>
    <col min="12589" max="12591" width="9.28515625" style="19" customWidth="1"/>
    <col min="12592" max="12593" width="7.85546875" style="19" customWidth="1"/>
    <col min="12594" max="12595" width="6.42578125" style="19" customWidth="1"/>
    <col min="12596" max="12596" width="11.140625" style="19" customWidth="1"/>
    <col min="12597" max="12597" width="44.28515625" style="19" customWidth="1"/>
    <col min="12598" max="12598" width="5" style="19" customWidth="1"/>
    <col min="12599" max="12599" width="5.5703125" style="19" customWidth="1"/>
    <col min="12600" max="12603" width="9.140625" style="19"/>
    <col min="12604" max="12605" width="8.7109375" style="19" customWidth="1"/>
    <col min="12606" max="12800" width="9.140625" style="19"/>
    <col min="12801" max="12801" width="1.85546875" style="19" customWidth="1"/>
    <col min="12802" max="12802" width="9.5703125" style="19" customWidth="1"/>
    <col min="12803" max="12803" width="6.7109375" style="19" bestFit="1" customWidth="1"/>
    <col min="12804" max="12804" width="9.42578125" style="19" customWidth="1"/>
    <col min="12805" max="12805" width="10.140625" style="19" customWidth="1"/>
    <col min="12806" max="12806" width="9.28515625" style="19" customWidth="1"/>
    <col min="12807" max="12807" width="6.42578125" style="19" customWidth="1"/>
    <col min="12808" max="12808" width="9.85546875" style="19" customWidth="1"/>
    <col min="12809" max="12809" width="12.140625" style="19" customWidth="1"/>
    <col min="12810" max="12810" width="9.140625" style="19"/>
    <col min="12811" max="12811" width="11" style="19" customWidth="1"/>
    <col min="12812" max="12812" width="9.28515625" style="19" customWidth="1"/>
    <col min="12813" max="12813" width="9.85546875" style="19" customWidth="1"/>
    <col min="12814" max="12815" width="0" style="19" hidden="1" customWidth="1"/>
    <col min="12816" max="12816" width="8.42578125" style="19" customWidth="1"/>
    <col min="12817" max="12828" width="0" style="19" hidden="1" customWidth="1"/>
    <col min="12829" max="12830" width="6.5703125" style="19" customWidth="1"/>
    <col min="12831" max="12834" width="0" style="19" hidden="1" customWidth="1"/>
    <col min="12835" max="12835" width="5.85546875" style="19" customWidth="1"/>
    <col min="12836" max="12836" width="0" style="19" hidden="1" customWidth="1"/>
    <col min="12837" max="12839" width="5.85546875" style="19" customWidth="1"/>
    <col min="12840" max="12840" width="7.7109375" style="19" customWidth="1"/>
    <col min="12841" max="12841" width="9.140625" style="19" bestFit="1" customWidth="1"/>
    <col min="12842" max="12843" width="8.5703125" style="19" bestFit="1" customWidth="1"/>
    <col min="12844" max="12844" width="7.5703125" style="19" customWidth="1"/>
    <col min="12845" max="12847" width="9.28515625" style="19" customWidth="1"/>
    <col min="12848" max="12849" width="7.85546875" style="19" customWidth="1"/>
    <col min="12850" max="12851" width="6.42578125" style="19" customWidth="1"/>
    <col min="12852" max="12852" width="11.140625" style="19" customWidth="1"/>
    <col min="12853" max="12853" width="44.28515625" style="19" customWidth="1"/>
    <col min="12854" max="12854" width="5" style="19" customWidth="1"/>
    <col min="12855" max="12855" width="5.5703125" style="19" customWidth="1"/>
    <col min="12856" max="12859" width="9.140625" style="19"/>
    <col min="12860" max="12861" width="8.7109375" style="19" customWidth="1"/>
    <col min="12862" max="13056" width="9.140625" style="19"/>
    <col min="13057" max="13057" width="1.85546875" style="19" customWidth="1"/>
    <col min="13058" max="13058" width="9.5703125" style="19" customWidth="1"/>
    <col min="13059" max="13059" width="6.7109375" style="19" bestFit="1" customWidth="1"/>
    <col min="13060" max="13060" width="9.42578125" style="19" customWidth="1"/>
    <col min="13061" max="13061" width="10.140625" style="19" customWidth="1"/>
    <col min="13062" max="13062" width="9.28515625" style="19" customWidth="1"/>
    <col min="13063" max="13063" width="6.42578125" style="19" customWidth="1"/>
    <col min="13064" max="13064" width="9.85546875" style="19" customWidth="1"/>
    <col min="13065" max="13065" width="12.140625" style="19" customWidth="1"/>
    <col min="13066" max="13066" width="9.140625" style="19"/>
    <col min="13067" max="13067" width="11" style="19" customWidth="1"/>
    <col min="13068" max="13068" width="9.28515625" style="19" customWidth="1"/>
    <col min="13069" max="13069" width="9.85546875" style="19" customWidth="1"/>
    <col min="13070" max="13071" width="0" style="19" hidden="1" customWidth="1"/>
    <col min="13072" max="13072" width="8.42578125" style="19" customWidth="1"/>
    <col min="13073" max="13084" width="0" style="19" hidden="1" customWidth="1"/>
    <col min="13085" max="13086" width="6.5703125" style="19" customWidth="1"/>
    <col min="13087" max="13090" width="0" style="19" hidden="1" customWidth="1"/>
    <col min="13091" max="13091" width="5.85546875" style="19" customWidth="1"/>
    <col min="13092" max="13092" width="0" style="19" hidden="1" customWidth="1"/>
    <col min="13093" max="13095" width="5.85546875" style="19" customWidth="1"/>
    <col min="13096" max="13096" width="7.7109375" style="19" customWidth="1"/>
    <col min="13097" max="13097" width="9.140625" style="19" bestFit="1" customWidth="1"/>
    <col min="13098" max="13099" width="8.5703125" style="19" bestFit="1" customWidth="1"/>
    <col min="13100" max="13100" width="7.5703125" style="19" customWidth="1"/>
    <col min="13101" max="13103" width="9.28515625" style="19" customWidth="1"/>
    <col min="13104" max="13105" width="7.85546875" style="19" customWidth="1"/>
    <col min="13106" max="13107" width="6.42578125" style="19" customWidth="1"/>
    <col min="13108" max="13108" width="11.140625" style="19" customWidth="1"/>
    <col min="13109" max="13109" width="44.28515625" style="19" customWidth="1"/>
    <col min="13110" max="13110" width="5" style="19" customWidth="1"/>
    <col min="13111" max="13111" width="5.5703125" style="19" customWidth="1"/>
    <col min="13112" max="13115" width="9.140625" style="19"/>
    <col min="13116" max="13117" width="8.7109375" style="19" customWidth="1"/>
    <col min="13118" max="13312" width="9.140625" style="19"/>
    <col min="13313" max="13313" width="1.85546875" style="19" customWidth="1"/>
    <col min="13314" max="13314" width="9.5703125" style="19" customWidth="1"/>
    <col min="13315" max="13315" width="6.7109375" style="19" bestFit="1" customWidth="1"/>
    <col min="13316" max="13316" width="9.42578125" style="19" customWidth="1"/>
    <col min="13317" max="13317" width="10.140625" style="19" customWidth="1"/>
    <col min="13318" max="13318" width="9.28515625" style="19" customWidth="1"/>
    <col min="13319" max="13319" width="6.42578125" style="19" customWidth="1"/>
    <col min="13320" max="13320" width="9.85546875" style="19" customWidth="1"/>
    <col min="13321" max="13321" width="12.140625" style="19" customWidth="1"/>
    <col min="13322" max="13322" width="9.140625" style="19"/>
    <col min="13323" max="13323" width="11" style="19" customWidth="1"/>
    <col min="13324" max="13324" width="9.28515625" style="19" customWidth="1"/>
    <col min="13325" max="13325" width="9.85546875" style="19" customWidth="1"/>
    <col min="13326" max="13327" width="0" style="19" hidden="1" customWidth="1"/>
    <col min="13328" max="13328" width="8.42578125" style="19" customWidth="1"/>
    <col min="13329" max="13340" width="0" style="19" hidden="1" customWidth="1"/>
    <col min="13341" max="13342" width="6.5703125" style="19" customWidth="1"/>
    <col min="13343" max="13346" width="0" style="19" hidden="1" customWidth="1"/>
    <col min="13347" max="13347" width="5.85546875" style="19" customWidth="1"/>
    <col min="13348" max="13348" width="0" style="19" hidden="1" customWidth="1"/>
    <col min="13349" max="13351" width="5.85546875" style="19" customWidth="1"/>
    <col min="13352" max="13352" width="7.7109375" style="19" customWidth="1"/>
    <col min="13353" max="13353" width="9.140625" style="19" bestFit="1" customWidth="1"/>
    <col min="13354" max="13355" width="8.5703125" style="19" bestFit="1" customWidth="1"/>
    <col min="13356" max="13356" width="7.5703125" style="19" customWidth="1"/>
    <col min="13357" max="13359" width="9.28515625" style="19" customWidth="1"/>
    <col min="13360" max="13361" width="7.85546875" style="19" customWidth="1"/>
    <col min="13362" max="13363" width="6.42578125" style="19" customWidth="1"/>
    <col min="13364" max="13364" width="11.140625" style="19" customWidth="1"/>
    <col min="13365" max="13365" width="44.28515625" style="19" customWidth="1"/>
    <col min="13366" max="13366" width="5" style="19" customWidth="1"/>
    <col min="13367" max="13367" width="5.5703125" style="19" customWidth="1"/>
    <col min="13368" max="13371" width="9.140625" style="19"/>
    <col min="13372" max="13373" width="8.7109375" style="19" customWidth="1"/>
    <col min="13374" max="13568" width="9.140625" style="19"/>
    <col min="13569" max="13569" width="1.85546875" style="19" customWidth="1"/>
    <col min="13570" max="13570" width="9.5703125" style="19" customWidth="1"/>
    <col min="13571" max="13571" width="6.7109375" style="19" bestFit="1" customWidth="1"/>
    <col min="13572" max="13572" width="9.42578125" style="19" customWidth="1"/>
    <col min="13573" max="13573" width="10.140625" style="19" customWidth="1"/>
    <col min="13574" max="13574" width="9.28515625" style="19" customWidth="1"/>
    <col min="13575" max="13575" width="6.42578125" style="19" customWidth="1"/>
    <col min="13576" max="13576" width="9.85546875" style="19" customWidth="1"/>
    <col min="13577" max="13577" width="12.140625" style="19" customWidth="1"/>
    <col min="13578" max="13578" width="9.140625" style="19"/>
    <col min="13579" max="13579" width="11" style="19" customWidth="1"/>
    <col min="13580" max="13580" width="9.28515625" style="19" customWidth="1"/>
    <col min="13581" max="13581" width="9.85546875" style="19" customWidth="1"/>
    <col min="13582" max="13583" width="0" style="19" hidden="1" customWidth="1"/>
    <col min="13584" max="13584" width="8.42578125" style="19" customWidth="1"/>
    <col min="13585" max="13596" width="0" style="19" hidden="1" customWidth="1"/>
    <col min="13597" max="13598" width="6.5703125" style="19" customWidth="1"/>
    <col min="13599" max="13602" width="0" style="19" hidden="1" customWidth="1"/>
    <col min="13603" max="13603" width="5.85546875" style="19" customWidth="1"/>
    <col min="13604" max="13604" width="0" style="19" hidden="1" customWidth="1"/>
    <col min="13605" max="13607" width="5.85546875" style="19" customWidth="1"/>
    <col min="13608" max="13608" width="7.7109375" style="19" customWidth="1"/>
    <col min="13609" max="13609" width="9.140625" style="19" bestFit="1" customWidth="1"/>
    <col min="13610" max="13611" width="8.5703125" style="19" bestFit="1" customWidth="1"/>
    <col min="13612" max="13612" width="7.5703125" style="19" customWidth="1"/>
    <col min="13613" max="13615" width="9.28515625" style="19" customWidth="1"/>
    <col min="13616" max="13617" width="7.85546875" style="19" customWidth="1"/>
    <col min="13618" max="13619" width="6.42578125" style="19" customWidth="1"/>
    <col min="13620" max="13620" width="11.140625" style="19" customWidth="1"/>
    <col min="13621" max="13621" width="44.28515625" style="19" customWidth="1"/>
    <col min="13622" max="13622" width="5" style="19" customWidth="1"/>
    <col min="13623" max="13623" width="5.5703125" style="19" customWidth="1"/>
    <col min="13624" max="13627" width="9.140625" style="19"/>
    <col min="13628" max="13629" width="8.7109375" style="19" customWidth="1"/>
    <col min="13630" max="13824" width="9.140625" style="19"/>
    <col min="13825" max="13825" width="1.85546875" style="19" customWidth="1"/>
    <col min="13826" max="13826" width="9.5703125" style="19" customWidth="1"/>
    <col min="13827" max="13827" width="6.7109375" style="19" bestFit="1" customWidth="1"/>
    <col min="13828" max="13828" width="9.42578125" style="19" customWidth="1"/>
    <col min="13829" max="13829" width="10.140625" style="19" customWidth="1"/>
    <col min="13830" max="13830" width="9.28515625" style="19" customWidth="1"/>
    <col min="13831" max="13831" width="6.42578125" style="19" customWidth="1"/>
    <col min="13832" max="13832" width="9.85546875" style="19" customWidth="1"/>
    <col min="13833" max="13833" width="12.140625" style="19" customWidth="1"/>
    <col min="13834" max="13834" width="9.140625" style="19"/>
    <col min="13835" max="13835" width="11" style="19" customWidth="1"/>
    <col min="13836" max="13836" width="9.28515625" style="19" customWidth="1"/>
    <col min="13837" max="13837" width="9.85546875" style="19" customWidth="1"/>
    <col min="13838" max="13839" width="0" style="19" hidden="1" customWidth="1"/>
    <col min="13840" max="13840" width="8.42578125" style="19" customWidth="1"/>
    <col min="13841" max="13852" width="0" style="19" hidden="1" customWidth="1"/>
    <col min="13853" max="13854" width="6.5703125" style="19" customWidth="1"/>
    <col min="13855" max="13858" width="0" style="19" hidden="1" customWidth="1"/>
    <col min="13859" max="13859" width="5.85546875" style="19" customWidth="1"/>
    <col min="13860" max="13860" width="0" style="19" hidden="1" customWidth="1"/>
    <col min="13861" max="13863" width="5.85546875" style="19" customWidth="1"/>
    <col min="13864" max="13864" width="7.7109375" style="19" customWidth="1"/>
    <col min="13865" max="13865" width="9.140625" style="19" bestFit="1" customWidth="1"/>
    <col min="13866" max="13867" width="8.5703125" style="19" bestFit="1" customWidth="1"/>
    <col min="13868" max="13868" width="7.5703125" style="19" customWidth="1"/>
    <col min="13869" max="13871" width="9.28515625" style="19" customWidth="1"/>
    <col min="13872" max="13873" width="7.85546875" style="19" customWidth="1"/>
    <col min="13874" max="13875" width="6.42578125" style="19" customWidth="1"/>
    <col min="13876" max="13876" width="11.140625" style="19" customWidth="1"/>
    <col min="13877" max="13877" width="44.28515625" style="19" customWidth="1"/>
    <col min="13878" max="13878" width="5" style="19" customWidth="1"/>
    <col min="13879" max="13879" width="5.5703125" style="19" customWidth="1"/>
    <col min="13880" max="13883" width="9.140625" style="19"/>
    <col min="13884" max="13885" width="8.7109375" style="19" customWidth="1"/>
    <col min="13886" max="14080" width="9.140625" style="19"/>
    <col min="14081" max="14081" width="1.85546875" style="19" customWidth="1"/>
    <col min="14082" max="14082" width="9.5703125" style="19" customWidth="1"/>
    <col min="14083" max="14083" width="6.7109375" style="19" bestFit="1" customWidth="1"/>
    <col min="14084" max="14084" width="9.42578125" style="19" customWidth="1"/>
    <col min="14085" max="14085" width="10.140625" style="19" customWidth="1"/>
    <col min="14086" max="14086" width="9.28515625" style="19" customWidth="1"/>
    <col min="14087" max="14087" width="6.42578125" style="19" customWidth="1"/>
    <col min="14088" max="14088" width="9.85546875" style="19" customWidth="1"/>
    <col min="14089" max="14089" width="12.140625" style="19" customWidth="1"/>
    <col min="14090" max="14090" width="9.140625" style="19"/>
    <col min="14091" max="14091" width="11" style="19" customWidth="1"/>
    <col min="14092" max="14092" width="9.28515625" style="19" customWidth="1"/>
    <col min="14093" max="14093" width="9.85546875" style="19" customWidth="1"/>
    <col min="14094" max="14095" width="0" style="19" hidden="1" customWidth="1"/>
    <col min="14096" max="14096" width="8.42578125" style="19" customWidth="1"/>
    <col min="14097" max="14108" width="0" style="19" hidden="1" customWidth="1"/>
    <col min="14109" max="14110" width="6.5703125" style="19" customWidth="1"/>
    <col min="14111" max="14114" width="0" style="19" hidden="1" customWidth="1"/>
    <col min="14115" max="14115" width="5.85546875" style="19" customWidth="1"/>
    <col min="14116" max="14116" width="0" style="19" hidden="1" customWidth="1"/>
    <col min="14117" max="14119" width="5.85546875" style="19" customWidth="1"/>
    <col min="14120" max="14120" width="7.7109375" style="19" customWidth="1"/>
    <col min="14121" max="14121" width="9.140625" style="19" bestFit="1" customWidth="1"/>
    <col min="14122" max="14123" width="8.5703125" style="19" bestFit="1" customWidth="1"/>
    <col min="14124" max="14124" width="7.5703125" style="19" customWidth="1"/>
    <col min="14125" max="14127" width="9.28515625" style="19" customWidth="1"/>
    <col min="14128" max="14129" width="7.85546875" style="19" customWidth="1"/>
    <col min="14130" max="14131" width="6.42578125" style="19" customWidth="1"/>
    <col min="14132" max="14132" width="11.140625" style="19" customWidth="1"/>
    <col min="14133" max="14133" width="44.28515625" style="19" customWidth="1"/>
    <col min="14134" max="14134" width="5" style="19" customWidth="1"/>
    <col min="14135" max="14135" width="5.5703125" style="19" customWidth="1"/>
    <col min="14136" max="14139" width="9.140625" style="19"/>
    <col min="14140" max="14141" width="8.7109375" style="19" customWidth="1"/>
    <col min="14142" max="14336" width="9.140625" style="19"/>
    <col min="14337" max="14337" width="1.85546875" style="19" customWidth="1"/>
    <col min="14338" max="14338" width="9.5703125" style="19" customWidth="1"/>
    <col min="14339" max="14339" width="6.7109375" style="19" bestFit="1" customWidth="1"/>
    <col min="14340" max="14340" width="9.42578125" style="19" customWidth="1"/>
    <col min="14341" max="14341" width="10.140625" style="19" customWidth="1"/>
    <col min="14342" max="14342" width="9.28515625" style="19" customWidth="1"/>
    <col min="14343" max="14343" width="6.42578125" style="19" customWidth="1"/>
    <col min="14344" max="14344" width="9.85546875" style="19" customWidth="1"/>
    <col min="14345" max="14345" width="12.140625" style="19" customWidth="1"/>
    <col min="14346" max="14346" width="9.140625" style="19"/>
    <col min="14347" max="14347" width="11" style="19" customWidth="1"/>
    <col min="14348" max="14348" width="9.28515625" style="19" customWidth="1"/>
    <col min="14349" max="14349" width="9.85546875" style="19" customWidth="1"/>
    <col min="14350" max="14351" width="0" style="19" hidden="1" customWidth="1"/>
    <col min="14352" max="14352" width="8.42578125" style="19" customWidth="1"/>
    <col min="14353" max="14364" width="0" style="19" hidden="1" customWidth="1"/>
    <col min="14365" max="14366" width="6.5703125" style="19" customWidth="1"/>
    <col min="14367" max="14370" width="0" style="19" hidden="1" customWidth="1"/>
    <col min="14371" max="14371" width="5.85546875" style="19" customWidth="1"/>
    <col min="14372" max="14372" width="0" style="19" hidden="1" customWidth="1"/>
    <col min="14373" max="14375" width="5.85546875" style="19" customWidth="1"/>
    <col min="14376" max="14376" width="7.7109375" style="19" customWidth="1"/>
    <col min="14377" max="14377" width="9.140625" style="19" bestFit="1" customWidth="1"/>
    <col min="14378" max="14379" width="8.5703125" style="19" bestFit="1" customWidth="1"/>
    <col min="14380" max="14380" width="7.5703125" style="19" customWidth="1"/>
    <col min="14381" max="14383" width="9.28515625" style="19" customWidth="1"/>
    <col min="14384" max="14385" width="7.85546875" style="19" customWidth="1"/>
    <col min="14386" max="14387" width="6.42578125" style="19" customWidth="1"/>
    <col min="14388" max="14388" width="11.140625" style="19" customWidth="1"/>
    <col min="14389" max="14389" width="44.28515625" style="19" customWidth="1"/>
    <col min="14390" max="14390" width="5" style="19" customWidth="1"/>
    <col min="14391" max="14391" width="5.5703125" style="19" customWidth="1"/>
    <col min="14392" max="14395" width="9.140625" style="19"/>
    <col min="14396" max="14397" width="8.7109375" style="19" customWidth="1"/>
    <col min="14398" max="14592" width="9.140625" style="19"/>
    <col min="14593" max="14593" width="1.85546875" style="19" customWidth="1"/>
    <col min="14594" max="14594" width="9.5703125" style="19" customWidth="1"/>
    <col min="14595" max="14595" width="6.7109375" style="19" bestFit="1" customWidth="1"/>
    <col min="14596" max="14596" width="9.42578125" style="19" customWidth="1"/>
    <col min="14597" max="14597" width="10.140625" style="19" customWidth="1"/>
    <col min="14598" max="14598" width="9.28515625" style="19" customWidth="1"/>
    <col min="14599" max="14599" width="6.42578125" style="19" customWidth="1"/>
    <col min="14600" max="14600" width="9.85546875" style="19" customWidth="1"/>
    <col min="14601" max="14601" width="12.140625" style="19" customWidth="1"/>
    <col min="14602" max="14602" width="9.140625" style="19"/>
    <col min="14603" max="14603" width="11" style="19" customWidth="1"/>
    <col min="14604" max="14604" width="9.28515625" style="19" customWidth="1"/>
    <col min="14605" max="14605" width="9.85546875" style="19" customWidth="1"/>
    <col min="14606" max="14607" width="0" style="19" hidden="1" customWidth="1"/>
    <col min="14608" max="14608" width="8.42578125" style="19" customWidth="1"/>
    <col min="14609" max="14620" width="0" style="19" hidden="1" customWidth="1"/>
    <col min="14621" max="14622" width="6.5703125" style="19" customWidth="1"/>
    <col min="14623" max="14626" width="0" style="19" hidden="1" customWidth="1"/>
    <col min="14627" max="14627" width="5.85546875" style="19" customWidth="1"/>
    <col min="14628" max="14628" width="0" style="19" hidden="1" customWidth="1"/>
    <col min="14629" max="14631" width="5.85546875" style="19" customWidth="1"/>
    <col min="14632" max="14632" width="7.7109375" style="19" customWidth="1"/>
    <col min="14633" max="14633" width="9.140625" style="19" bestFit="1" customWidth="1"/>
    <col min="14634" max="14635" width="8.5703125" style="19" bestFit="1" customWidth="1"/>
    <col min="14636" max="14636" width="7.5703125" style="19" customWidth="1"/>
    <col min="14637" max="14639" width="9.28515625" style="19" customWidth="1"/>
    <col min="14640" max="14641" width="7.85546875" style="19" customWidth="1"/>
    <col min="14642" max="14643" width="6.42578125" style="19" customWidth="1"/>
    <col min="14644" max="14644" width="11.140625" style="19" customWidth="1"/>
    <col min="14645" max="14645" width="44.28515625" style="19" customWidth="1"/>
    <col min="14646" max="14646" width="5" style="19" customWidth="1"/>
    <col min="14647" max="14647" width="5.5703125" style="19" customWidth="1"/>
    <col min="14648" max="14651" width="9.140625" style="19"/>
    <col min="14652" max="14653" width="8.7109375" style="19" customWidth="1"/>
    <col min="14654" max="14848" width="9.140625" style="19"/>
    <col min="14849" max="14849" width="1.85546875" style="19" customWidth="1"/>
    <col min="14850" max="14850" width="9.5703125" style="19" customWidth="1"/>
    <col min="14851" max="14851" width="6.7109375" style="19" bestFit="1" customWidth="1"/>
    <col min="14852" max="14852" width="9.42578125" style="19" customWidth="1"/>
    <col min="14853" max="14853" width="10.140625" style="19" customWidth="1"/>
    <col min="14854" max="14854" width="9.28515625" style="19" customWidth="1"/>
    <col min="14855" max="14855" width="6.42578125" style="19" customWidth="1"/>
    <col min="14856" max="14856" width="9.85546875" style="19" customWidth="1"/>
    <col min="14857" max="14857" width="12.140625" style="19" customWidth="1"/>
    <col min="14858" max="14858" width="9.140625" style="19"/>
    <col min="14859" max="14859" width="11" style="19" customWidth="1"/>
    <col min="14860" max="14860" width="9.28515625" style="19" customWidth="1"/>
    <col min="14861" max="14861" width="9.85546875" style="19" customWidth="1"/>
    <col min="14862" max="14863" width="0" style="19" hidden="1" customWidth="1"/>
    <col min="14864" max="14864" width="8.42578125" style="19" customWidth="1"/>
    <col min="14865" max="14876" width="0" style="19" hidden="1" customWidth="1"/>
    <col min="14877" max="14878" width="6.5703125" style="19" customWidth="1"/>
    <col min="14879" max="14882" width="0" style="19" hidden="1" customWidth="1"/>
    <col min="14883" max="14883" width="5.85546875" style="19" customWidth="1"/>
    <col min="14884" max="14884" width="0" style="19" hidden="1" customWidth="1"/>
    <col min="14885" max="14887" width="5.85546875" style="19" customWidth="1"/>
    <col min="14888" max="14888" width="7.7109375" style="19" customWidth="1"/>
    <col min="14889" max="14889" width="9.140625" style="19" bestFit="1" customWidth="1"/>
    <col min="14890" max="14891" width="8.5703125" style="19" bestFit="1" customWidth="1"/>
    <col min="14892" max="14892" width="7.5703125" style="19" customWidth="1"/>
    <col min="14893" max="14895" width="9.28515625" style="19" customWidth="1"/>
    <col min="14896" max="14897" width="7.85546875" style="19" customWidth="1"/>
    <col min="14898" max="14899" width="6.42578125" style="19" customWidth="1"/>
    <col min="14900" max="14900" width="11.140625" style="19" customWidth="1"/>
    <col min="14901" max="14901" width="44.28515625" style="19" customWidth="1"/>
    <col min="14902" max="14902" width="5" style="19" customWidth="1"/>
    <col min="14903" max="14903" width="5.5703125" style="19" customWidth="1"/>
    <col min="14904" max="14907" width="9.140625" style="19"/>
    <col min="14908" max="14909" width="8.7109375" style="19" customWidth="1"/>
    <col min="14910" max="15104" width="9.140625" style="19"/>
    <col min="15105" max="15105" width="1.85546875" style="19" customWidth="1"/>
    <col min="15106" max="15106" width="9.5703125" style="19" customWidth="1"/>
    <col min="15107" max="15107" width="6.7109375" style="19" bestFit="1" customWidth="1"/>
    <col min="15108" max="15108" width="9.42578125" style="19" customWidth="1"/>
    <col min="15109" max="15109" width="10.140625" style="19" customWidth="1"/>
    <col min="15110" max="15110" width="9.28515625" style="19" customWidth="1"/>
    <col min="15111" max="15111" width="6.42578125" style="19" customWidth="1"/>
    <col min="15112" max="15112" width="9.85546875" style="19" customWidth="1"/>
    <col min="15113" max="15113" width="12.140625" style="19" customWidth="1"/>
    <col min="15114" max="15114" width="9.140625" style="19"/>
    <col min="15115" max="15115" width="11" style="19" customWidth="1"/>
    <col min="15116" max="15116" width="9.28515625" style="19" customWidth="1"/>
    <col min="15117" max="15117" width="9.85546875" style="19" customWidth="1"/>
    <col min="15118" max="15119" width="0" style="19" hidden="1" customWidth="1"/>
    <col min="15120" max="15120" width="8.42578125" style="19" customWidth="1"/>
    <col min="15121" max="15132" width="0" style="19" hidden="1" customWidth="1"/>
    <col min="15133" max="15134" width="6.5703125" style="19" customWidth="1"/>
    <col min="15135" max="15138" width="0" style="19" hidden="1" customWidth="1"/>
    <col min="15139" max="15139" width="5.85546875" style="19" customWidth="1"/>
    <col min="15140" max="15140" width="0" style="19" hidden="1" customWidth="1"/>
    <col min="15141" max="15143" width="5.85546875" style="19" customWidth="1"/>
    <col min="15144" max="15144" width="7.7109375" style="19" customWidth="1"/>
    <col min="15145" max="15145" width="9.140625" style="19" bestFit="1" customWidth="1"/>
    <col min="15146" max="15147" width="8.5703125" style="19" bestFit="1" customWidth="1"/>
    <col min="15148" max="15148" width="7.5703125" style="19" customWidth="1"/>
    <col min="15149" max="15151" width="9.28515625" style="19" customWidth="1"/>
    <col min="15152" max="15153" width="7.85546875" style="19" customWidth="1"/>
    <col min="15154" max="15155" width="6.42578125" style="19" customWidth="1"/>
    <col min="15156" max="15156" width="11.140625" style="19" customWidth="1"/>
    <col min="15157" max="15157" width="44.28515625" style="19" customWidth="1"/>
    <col min="15158" max="15158" width="5" style="19" customWidth="1"/>
    <col min="15159" max="15159" width="5.5703125" style="19" customWidth="1"/>
    <col min="15160" max="15163" width="9.140625" style="19"/>
    <col min="15164" max="15165" width="8.7109375" style="19" customWidth="1"/>
    <col min="15166" max="15360" width="9.140625" style="19"/>
    <col min="15361" max="15361" width="1.85546875" style="19" customWidth="1"/>
    <col min="15362" max="15362" width="9.5703125" style="19" customWidth="1"/>
    <col min="15363" max="15363" width="6.7109375" style="19" bestFit="1" customWidth="1"/>
    <col min="15364" max="15364" width="9.42578125" style="19" customWidth="1"/>
    <col min="15365" max="15365" width="10.140625" style="19" customWidth="1"/>
    <col min="15366" max="15366" width="9.28515625" style="19" customWidth="1"/>
    <col min="15367" max="15367" width="6.42578125" style="19" customWidth="1"/>
    <col min="15368" max="15368" width="9.85546875" style="19" customWidth="1"/>
    <col min="15369" max="15369" width="12.140625" style="19" customWidth="1"/>
    <col min="15370" max="15370" width="9.140625" style="19"/>
    <col min="15371" max="15371" width="11" style="19" customWidth="1"/>
    <col min="15372" max="15372" width="9.28515625" style="19" customWidth="1"/>
    <col min="15373" max="15373" width="9.85546875" style="19" customWidth="1"/>
    <col min="15374" max="15375" width="0" style="19" hidden="1" customWidth="1"/>
    <col min="15376" max="15376" width="8.42578125" style="19" customWidth="1"/>
    <col min="15377" max="15388" width="0" style="19" hidden="1" customWidth="1"/>
    <col min="15389" max="15390" width="6.5703125" style="19" customWidth="1"/>
    <col min="15391" max="15394" width="0" style="19" hidden="1" customWidth="1"/>
    <col min="15395" max="15395" width="5.85546875" style="19" customWidth="1"/>
    <col min="15396" max="15396" width="0" style="19" hidden="1" customWidth="1"/>
    <col min="15397" max="15399" width="5.85546875" style="19" customWidth="1"/>
    <col min="15400" max="15400" width="7.7109375" style="19" customWidth="1"/>
    <col min="15401" max="15401" width="9.140625" style="19" bestFit="1" customWidth="1"/>
    <col min="15402" max="15403" width="8.5703125" style="19" bestFit="1" customWidth="1"/>
    <col min="15404" max="15404" width="7.5703125" style="19" customWidth="1"/>
    <col min="15405" max="15407" width="9.28515625" style="19" customWidth="1"/>
    <col min="15408" max="15409" width="7.85546875" style="19" customWidth="1"/>
    <col min="15410" max="15411" width="6.42578125" style="19" customWidth="1"/>
    <col min="15412" max="15412" width="11.140625" style="19" customWidth="1"/>
    <col min="15413" max="15413" width="44.28515625" style="19" customWidth="1"/>
    <col min="15414" max="15414" width="5" style="19" customWidth="1"/>
    <col min="15415" max="15415" width="5.5703125" style="19" customWidth="1"/>
    <col min="15416" max="15419" width="9.140625" style="19"/>
    <col min="15420" max="15421" width="8.7109375" style="19" customWidth="1"/>
    <col min="15422" max="15616" width="9.140625" style="19"/>
    <col min="15617" max="15617" width="1.85546875" style="19" customWidth="1"/>
    <col min="15618" max="15618" width="9.5703125" style="19" customWidth="1"/>
    <col min="15619" max="15619" width="6.7109375" style="19" bestFit="1" customWidth="1"/>
    <col min="15620" max="15620" width="9.42578125" style="19" customWidth="1"/>
    <col min="15621" max="15621" width="10.140625" style="19" customWidth="1"/>
    <col min="15622" max="15622" width="9.28515625" style="19" customWidth="1"/>
    <col min="15623" max="15623" width="6.42578125" style="19" customWidth="1"/>
    <col min="15624" max="15624" width="9.85546875" style="19" customWidth="1"/>
    <col min="15625" max="15625" width="12.140625" style="19" customWidth="1"/>
    <col min="15626" max="15626" width="9.140625" style="19"/>
    <col min="15627" max="15627" width="11" style="19" customWidth="1"/>
    <col min="15628" max="15628" width="9.28515625" style="19" customWidth="1"/>
    <col min="15629" max="15629" width="9.85546875" style="19" customWidth="1"/>
    <col min="15630" max="15631" width="0" style="19" hidden="1" customWidth="1"/>
    <col min="15632" max="15632" width="8.42578125" style="19" customWidth="1"/>
    <col min="15633" max="15644" width="0" style="19" hidden="1" customWidth="1"/>
    <col min="15645" max="15646" width="6.5703125" style="19" customWidth="1"/>
    <col min="15647" max="15650" width="0" style="19" hidden="1" customWidth="1"/>
    <col min="15651" max="15651" width="5.85546875" style="19" customWidth="1"/>
    <col min="15652" max="15652" width="0" style="19" hidden="1" customWidth="1"/>
    <col min="15653" max="15655" width="5.85546875" style="19" customWidth="1"/>
    <col min="15656" max="15656" width="7.7109375" style="19" customWidth="1"/>
    <col min="15657" max="15657" width="9.140625" style="19" bestFit="1" customWidth="1"/>
    <col min="15658" max="15659" width="8.5703125" style="19" bestFit="1" customWidth="1"/>
    <col min="15660" max="15660" width="7.5703125" style="19" customWidth="1"/>
    <col min="15661" max="15663" width="9.28515625" style="19" customWidth="1"/>
    <col min="15664" max="15665" width="7.85546875" style="19" customWidth="1"/>
    <col min="15666" max="15667" width="6.42578125" style="19" customWidth="1"/>
    <col min="15668" max="15668" width="11.140625" style="19" customWidth="1"/>
    <col min="15669" max="15669" width="44.28515625" style="19" customWidth="1"/>
    <col min="15670" max="15670" width="5" style="19" customWidth="1"/>
    <col min="15671" max="15671" width="5.5703125" style="19" customWidth="1"/>
    <col min="15672" max="15675" width="9.140625" style="19"/>
    <col min="15676" max="15677" width="8.7109375" style="19" customWidth="1"/>
    <col min="15678" max="15872" width="9.140625" style="19"/>
    <col min="15873" max="15873" width="1.85546875" style="19" customWidth="1"/>
    <col min="15874" max="15874" width="9.5703125" style="19" customWidth="1"/>
    <col min="15875" max="15875" width="6.7109375" style="19" bestFit="1" customWidth="1"/>
    <col min="15876" max="15876" width="9.42578125" style="19" customWidth="1"/>
    <col min="15877" max="15877" width="10.140625" style="19" customWidth="1"/>
    <col min="15878" max="15878" width="9.28515625" style="19" customWidth="1"/>
    <col min="15879" max="15879" width="6.42578125" style="19" customWidth="1"/>
    <col min="15880" max="15880" width="9.85546875" style="19" customWidth="1"/>
    <col min="15881" max="15881" width="12.140625" style="19" customWidth="1"/>
    <col min="15882" max="15882" width="9.140625" style="19"/>
    <col min="15883" max="15883" width="11" style="19" customWidth="1"/>
    <col min="15884" max="15884" width="9.28515625" style="19" customWidth="1"/>
    <col min="15885" max="15885" width="9.85546875" style="19" customWidth="1"/>
    <col min="15886" max="15887" width="0" style="19" hidden="1" customWidth="1"/>
    <col min="15888" max="15888" width="8.42578125" style="19" customWidth="1"/>
    <col min="15889" max="15900" width="0" style="19" hidden="1" customWidth="1"/>
    <col min="15901" max="15902" width="6.5703125" style="19" customWidth="1"/>
    <col min="15903" max="15906" width="0" style="19" hidden="1" customWidth="1"/>
    <col min="15907" max="15907" width="5.85546875" style="19" customWidth="1"/>
    <col min="15908" max="15908" width="0" style="19" hidden="1" customWidth="1"/>
    <col min="15909" max="15911" width="5.85546875" style="19" customWidth="1"/>
    <col min="15912" max="15912" width="7.7109375" style="19" customWidth="1"/>
    <col min="15913" max="15913" width="9.140625" style="19" bestFit="1" customWidth="1"/>
    <col min="15914" max="15915" width="8.5703125" style="19" bestFit="1" customWidth="1"/>
    <col min="15916" max="15916" width="7.5703125" style="19" customWidth="1"/>
    <col min="15917" max="15919" width="9.28515625" style="19" customWidth="1"/>
    <col min="15920" max="15921" width="7.85546875" style="19" customWidth="1"/>
    <col min="15922" max="15923" width="6.42578125" style="19" customWidth="1"/>
    <col min="15924" max="15924" width="11.140625" style="19" customWidth="1"/>
    <col min="15925" max="15925" width="44.28515625" style="19" customWidth="1"/>
    <col min="15926" max="15926" width="5" style="19" customWidth="1"/>
    <col min="15927" max="15927" width="5.5703125" style="19" customWidth="1"/>
    <col min="15928" max="15931" width="9.140625" style="19"/>
    <col min="15932" max="15933" width="8.7109375" style="19" customWidth="1"/>
    <col min="15934" max="16128" width="9.140625" style="19"/>
    <col min="16129" max="16129" width="1.85546875" style="19" customWidth="1"/>
    <col min="16130" max="16130" width="9.5703125" style="19" customWidth="1"/>
    <col min="16131" max="16131" width="6.7109375" style="19" bestFit="1" customWidth="1"/>
    <col min="16132" max="16132" width="9.42578125" style="19" customWidth="1"/>
    <col min="16133" max="16133" width="10.140625" style="19" customWidth="1"/>
    <col min="16134" max="16134" width="9.28515625" style="19" customWidth="1"/>
    <col min="16135" max="16135" width="6.42578125" style="19" customWidth="1"/>
    <col min="16136" max="16136" width="9.85546875" style="19" customWidth="1"/>
    <col min="16137" max="16137" width="12.140625" style="19" customWidth="1"/>
    <col min="16138" max="16138" width="9.140625" style="19"/>
    <col min="16139" max="16139" width="11" style="19" customWidth="1"/>
    <col min="16140" max="16140" width="9.28515625" style="19" customWidth="1"/>
    <col min="16141" max="16141" width="9.85546875" style="19" customWidth="1"/>
    <col min="16142" max="16143" width="0" style="19" hidden="1" customWidth="1"/>
    <col min="16144" max="16144" width="8.42578125" style="19" customWidth="1"/>
    <col min="16145" max="16156" width="0" style="19" hidden="1" customWidth="1"/>
    <col min="16157" max="16158" width="6.5703125" style="19" customWidth="1"/>
    <col min="16159" max="16162" width="0" style="19" hidden="1" customWidth="1"/>
    <col min="16163" max="16163" width="5.85546875" style="19" customWidth="1"/>
    <col min="16164" max="16164" width="0" style="19" hidden="1" customWidth="1"/>
    <col min="16165" max="16167" width="5.85546875" style="19" customWidth="1"/>
    <col min="16168" max="16168" width="7.7109375" style="19" customWidth="1"/>
    <col min="16169" max="16169" width="9.140625" style="19" bestFit="1" customWidth="1"/>
    <col min="16170" max="16171" width="8.5703125" style="19" bestFit="1" customWidth="1"/>
    <col min="16172" max="16172" width="7.5703125" style="19" customWidth="1"/>
    <col min="16173" max="16175" width="9.28515625" style="19" customWidth="1"/>
    <col min="16176" max="16177" width="7.85546875" style="19" customWidth="1"/>
    <col min="16178" max="16179" width="6.42578125" style="19" customWidth="1"/>
    <col min="16180" max="16180" width="11.140625" style="19" customWidth="1"/>
    <col min="16181" max="16181" width="44.28515625" style="19" customWidth="1"/>
    <col min="16182" max="16182" width="5" style="19" customWidth="1"/>
    <col min="16183" max="16183" width="5.5703125" style="19" customWidth="1"/>
    <col min="16184" max="16187" width="9.140625" style="19"/>
    <col min="16188" max="16189" width="8.7109375" style="19" customWidth="1"/>
    <col min="16190" max="16384" width="9.140625" style="19"/>
  </cols>
  <sheetData>
    <row r="1" spans="1:61" ht="15">
      <c r="D1" s="221"/>
      <c r="E1" s="139" t="s">
        <v>44</v>
      </c>
      <c r="I1" s="227" t="s">
        <v>45</v>
      </c>
    </row>
    <row r="2" spans="1:61" ht="15">
      <c r="D2" s="223"/>
      <c r="E2" s="139" t="s">
        <v>46</v>
      </c>
      <c r="I2" s="227" t="s">
        <v>47</v>
      </c>
    </row>
    <row r="3" spans="1:61" ht="15">
      <c r="D3" s="224"/>
      <c r="E3" s="139" t="s">
        <v>48</v>
      </c>
      <c r="L3" s="227" t="s">
        <v>49</v>
      </c>
    </row>
    <row r="4" spans="1:61">
      <c r="D4" s="139" t="s">
        <v>50</v>
      </c>
      <c r="E4" s="139" t="s">
        <v>51</v>
      </c>
    </row>
    <row r="5" spans="1:61">
      <c r="H5" s="225"/>
      <c r="I5" s="226"/>
      <c r="K5" s="139" t="s">
        <v>177</v>
      </c>
      <c r="L5" s="564">
        <f>'SQ(Team B ) Data'!L5:M5</f>
        <v>43952</v>
      </c>
      <c r="M5" s="544"/>
    </row>
    <row r="6" spans="1:61" ht="27.75" customHeight="1">
      <c r="C6" s="227"/>
      <c r="F6" s="228" t="s">
        <v>201</v>
      </c>
      <c r="G6" s="229"/>
      <c r="H6" s="228"/>
      <c r="I6" s="228"/>
      <c r="K6" s="230" t="s">
        <v>212</v>
      </c>
      <c r="L6" s="545" t="str">
        <f>TEXT('SQ(Team A) Data'!L5,"mmmm")</f>
        <v>May</v>
      </c>
      <c r="M6" s="545"/>
      <c r="N6" s="228"/>
      <c r="O6" s="228"/>
      <c r="P6" s="231" t="s">
        <v>231</v>
      </c>
      <c r="Q6" s="232"/>
      <c r="R6" s="233"/>
      <c r="S6" s="233"/>
      <c r="T6" s="233"/>
      <c r="U6" s="233">
        <f>465-40</f>
        <v>425</v>
      </c>
      <c r="V6" s="233">
        <f>U6/60</f>
        <v>7.083333333333333</v>
      </c>
      <c r="W6" s="546" t="s">
        <v>53</v>
      </c>
      <c r="X6" s="547"/>
      <c r="Y6" s="547"/>
      <c r="Z6" s="547"/>
      <c r="AA6" s="547"/>
      <c r="AB6" s="548"/>
      <c r="AC6" s="234"/>
      <c r="AD6" s="235"/>
      <c r="AE6" s="549" t="s">
        <v>54</v>
      </c>
      <c r="AF6" s="550"/>
      <c r="AG6" s="550"/>
      <c r="AH6" s="550"/>
      <c r="AI6" s="550"/>
      <c r="AJ6" s="550"/>
      <c r="AK6" s="550"/>
      <c r="AL6" s="550"/>
      <c r="AM6" s="235"/>
      <c r="AN6" s="236"/>
      <c r="AO6" s="236"/>
      <c r="AP6" s="236"/>
      <c r="AQ6" s="236"/>
      <c r="AR6" s="237"/>
      <c r="AS6" s="551" t="s">
        <v>55</v>
      </c>
      <c r="AT6" s="552"/>
      <c r="AU6" s="553"/>
      <c r="AV6" s="238" t="s">
        <v>56</v>
      </c>
      <c r="AW6" s="239"/>
      <c r="AX6" s="240" t="s">
        <v>57</v>
      </c>
      <c r="AY6" s="241"/>
      <c r="AZ6" s="242"/>
      <c r="BA6" s="243" t="s">
        <v>58</v>
      </c>
      <c r="BC6" s="139" t="s">
        <v>59</v>
      </c>
    </row>
    <row r="7" spans="1:61" s="79" customFormat="1" ht="84.75" customHeight="1">
      <c r="B7" s="251" t="s">
        <v>60</v>
      </c>
      <c r="C7" s="252"/>
      <c r="D7" s="253" t="s">
        <v>61</v>
      </c>
      <c r="E7" s="253" t="s">
        <v>62</v>
      </c>
      <c r="F7" s="253" t="s">
        <v>63</v>
      </c>
      <c r="G7" s="254" t="s">
        <v>64</v>
      </c>
      <c r="H7" s="253" t="s">
        <v>65</v>
      </c>
      <c r="I7" s="253" t="s">
        <v>66</v>
      </c>
      <c r="J7" s="253" t="s">
        <v>67</v>
      </c>
      <c r="K7" s="253" t="s">
        <v>68</v>
      </c>
      <c r="L7" s="253" t="s">
        <v>69</v>
      </c>
      <c r="M7" s="253" t="s">
        <v>70</v>
      </c>
      <c r="N7" s="255" t="s">
        <v>71</v>
      </c>
      <c r="O7" s="255" t="s">
        <v>72</v>
      </c>
      <c r="P7" s="253" t="s">
        <v>73</v>
      </c>
      <c r="Q7" s="253" t="s">
        <v>74</v>
      </c>
      <c r="R7" s="256" t="s">
        <v>75</v>
      </c>
      <c r="S7" s="256" t="s">
        <v>76</v>
      </c>
      <c r="T7" s="256" t="s">
        <v>77</v>
      </c>
      <c r="U7" s="256" t="s">
        <v>78</v>
      </c>
      <c r="V7" s="256" t="s">
        <v>79</v>
      </c>
      <c r="W7" s="256" t="s">
        <v>80</v>
      </c>
      <c r="X7" s="256" t="s">
        <v>81</v>
      </c>
      <c r="Y7" s="253" t="s">
        <v>82</v>
      </c>
      <c r="Z7" s="256" t="s">
        <v>83</v>
      </c>
      <c r="AA7" s="256" t="s">
        <v>84</v>
      </c>
      <c r="AB7" s="257" t="s">
        <v>85</v>
      </c>
      <c r="AC7" s="258" t="s">
        <v>86</v>
      </c>
      <c r="AD7" s="259" t="s">
        <v>87</v>
      </c>
      <c r="AE7" s="260" t="s">
        <v>88</v>
      </c>
      <c r="AF7" s="260" t="s">
        <v>89</v>
      </c>
      <c r="AG7" s="260" t="s">
        <v>90</v>
      </c>
      <c r="AH7" s="260" t="s">
        <v>91</v>
      </c>
      <c r="AI7" s="260" t="s">
        <v>92</v>
      </c>
      <c r="AJ7" s="261" t="s">
        <v>93</v>
      </c>
      <c r="AK7" s="261" t="s">
        <v>94</v>
      </c>
      <c r="AL7" s="262" t="s">
        <v>95</v>
      </c>
      <c r="AM7" s="263" t="s">
        <v>96</v>
      </c>
      <c r="AN7" s="537" t="s">
        <v>97</v>
      </c>
      <c r="AO7" s="559"/>
      <c r="AP7" s="559"/>
      <c r="AQ7" s="559"/>
      <c r="AR7" s="560"/>
      <c r="AS7" s="561" t="s">
        <v>98</v>
      </c>
      <c r="AT7" s="562"/>
      <c r="AU7" s="563"/>
      <c r="AV7" s="207"/>
      <c r="AW7" s="156"/>
      <c r="AX7" s="264" t="s">
        <v>99</v>
      </c>
      <c r="AY7" s="264" t="s">
        <v>100</v>
      </c>
      <c r="AZ7" s="265" t="s">
        <v>101</v>
      </c>
      <c r="BA7" s="266" t="s">
        <v>102</v>
      </c>
      <c r="BC7" s="252"/>
      <c r="BD7" s="253" t="s">
        <v>103</v>
      </c>
      <c r="BE7" s="253" t="s">
        <v>104</v>
      </c>
      <c r="BF7" s="253" t="s">
        <v>105</v>
      </c>
      <c r="BG7" s="253" t="s">
        <v>106</v>
      </c>
      <c r="BH7" s="253" t="s">
        <v>107</v>
      </c>
      <c r="BI7" s="253" t="s">
        <v>70</v>
      </c>
    </row>
    <row r="8" spans="1:61" ht="78.75" customHeight="1">
      <c r="B8" s="251" t="s">
        <v>108</v>
      </c>
      <c r="C8" s="267"/>
      <c r="D8" s="268" t="s">
        <v>178</v>
      </c>
      <c r="E8" s="268" t="s">
        <v>110</v>
      </c>
      <c r="F8" s="269" t="s">
        <v>111</v>
      </c>
      <c r="G8" s="270" t="s">
        <v>112</v>
      </c>
      <c r="H8" s="269" t="s">
        <v>113</v>
      </c>
      <c r="I8" s="269" t="s">
        <v>114</v>
      </c>
      <c r="J8" s="269" t="s">
        <v>115</v>
      </c>
      <c r="K8" s="269" t="s">
        <v>116</v>
      </c>
      <c r="L8" s="269" t="s">
        <v>69</v>
      </c>
      <c r="M8" s="269" t="s">
        <v>117</v>
      </c>
      <c r="N8" s="270" t="s">
        <v>118</v>
      </c>
      <c r="O8" s="270" t="s">
        <v>119</v>
      </c>
      <c r="P8" s="82" t="s">
        <v>228</v>
      </c>
      <c r="Q8" s="269" t="s">
        <v>120</v>
      </c>
      <c r="R8" s="269" t="s">
        <v>121</v>
      </c>
      <c r="S8" s="271"/>
      <c r="T8" s="271" t="s">
        <v>122</v>
      </c>
      <c r="U8" s="271" t="s">
        <v>123</v>
      </c>
      <c r="V8" s="271" t="s">
        <v>124</v>
      </c>
      <c r="W8" s="272" t="s">
        <v>125</v>
      </c>
      <c r="X8" s="272" t="s">
        <v>126</v>
      </c>
      <c r="Y8" s="272" t="s">
        <v>127</v>
      </c>
      <c r="Z8" s="253" t="s">
        <v>128</v>
      </c>
      <c r="AA8" s="253" t="s">
        <v>129</v>
      </c>
      <c r="AB8" s="272" t="s">
        <v>130</v>
      </c>
      <c r="AC8" s="273" t="s">
        <v>131</v>
      </c>
      <c r="AD8" s="274" t="s">
        <v>132</v>
      </c>
      <c r="AE8" s="275" t="s">
        <v>133</v>
      </c>
      <c r="AF8" s="275" t="s">
        <v>134</v>
      </c>
      <c r="AG8" s="275" t="s">
        <v>135</v>
      </c>
      <c r="AH8" s="275" t="s">
        <v>136</v>
      </c>
      <c r="AI8" s="275" t="s">
        <v>137</v>
      </c>
      <c r="AJ8" s="262" t="s">
        <v>138</v>
      </c>
      <c r="AK8" s="262" t="s">
        <v>139</v>
      </c>
      <c r="AL8" s="262" t="s">
        <v>140</v>
      </c>
      <c r="AM8" s="276" t="s">
        <v>141</v>
      </c>
      <c r="AN8" s="273" t="s">
        <v>142</v>
      </c>
      <c r="AO8" s="274" t="s">
        <v>143</v>
      </c>
      <c r="AP8" s="275" t="s">
        <v>144</v>
      </c>
      <c r="AQ8" s="262" t="s">
        <v>145</v>
      </c>
      <c r="AR8" s="253" t="s">
        <v>146</v>
      </c>
      <c r="AS8" s="253" t="s">
        <v>147</v>
      </c>
      <c r="AT8" s="253" t="s">
        <v>148</v>
      </c>
      <c r="AU8" s="277" t="s">
        <v>149</v>
      </c>
      <c r="AV8" s="277" t="s">
        <v>150</v>
      </c>
      <c r="AW8" s="277" t="s">
        <v>151</v>
      </c>
      <c r="AX8" s="278" t="s">
        <v>152</v>
      </c>
      <c r="AY8" s="278" t="s">
        <v>153</v>
      </c>
      <c r="AZ8" s="279" t="s">
        <v>154</v>
      </c>
      <c r="BA8" s="280" t="s">
        <v>155</v>
      </c>
      <c r="BC8" s="267"/>
      <c r="BD8" s="269" t="s">
        <v>156</v>
      </c>
      <c r="BE8" s="269" t="s">
        <v>157</v>
      </c>
      <c r="BF8" s="269" t="s">
        <v>115</v>
      </c>
      <c r="BG8" s="269" t="s">
        <v>158</v>
      </c>
      <c r="BH8" s="269" t="s">
        <v>159</v>
      </c>
      <c r="BI8" s="269" t="s">
        <v>160</v>
      </c>
    </row>
    <row r="9" spans="1:61" ht="18" customHeight="1">
      <c r="B9" s="302"/>
      <c r="C9" s="303">
        <v>1</v>
      </c>
      <c r="D9" s="281"/>
      <c r="E9" s="282">
        <f>'SQ-1'!U5+'SQ-2'!U5+'SQ-3'!U5+'SQ-4'!U5+'SQ-5'!U5+'SQ-6'!U5+'SQ-7'!U5+'SQ-8'!U5+'SQ-9'!U5</f>
        <v>0</v>
      </c>
      <c r="F9" s="283">
        <f>D9</f>
        <v>0</v>
      </c>
      <c r="G9" s="284" t="str">
        <f>IF(B9="*","0","1")</f>
        <v>1</v>
      </c>
      <c r="H9" s="283">
        <f>E9</f>
        <v>0</v>
      </c>
      <c r="I9" s="283">
        <f t="shared" ref="I9:I38" si="0">IF(E9="","",ROUND(H9/G9,0))</f>
        <v>0</v>
      </c>
      <c r="J9" s="285">
        <f>'SQ-1'!P5+'SQ-2'!P5+'SQ-3'!P5+'SQ-4'!P5+'SQ-5'!P5+'SQ-6'!P5+'SQ-7'!P5+'SQ-8'!P5+'SQ-9'!P5</f>
        <v>0</v>
      </c>
      <c r="K9" s="286">
        <f>J9</f>
        <v>0</v>
      </c>
      <c r="L9" s="283" t="e">
        <f>E9/J9</f>
        <v>#DIV/0!</v>
      </c>
      <c r="M9" s="283" t="e">
        <f>H9/K9</f>
        <v>#DIV/0!</v>
      </c>
      <c r="N9" s="285"/>
      <c r="O9" s="287" t="e">
        <f t="shared" ref="O9:O40" si="1">N9/J9</f>
        <v>#DIV/0!</v>
      </c>
      <c r="P9" s="282">
        <f>'SQ-1'!T5+'SQ-2'!T5+'SQ-3'!T5+'SQ-4'!T5+'SQ-5'!T5+'SQ-6'!T5+'SQ-7'!T5+'SQ-8'!T5+'SQ-9'!T5</f>
        <v>0</v>
      </c>
      <c r="Q9" s="288"/>
      <c r="R9" s="288"/>
      <c r="S9" s="288"/>
      <c r="T9" s="289"/>
      <c r="U9" s="290"/>
      <c r="V9" s="291"/>
      <c r="W9" s="282"/>
      <c r="X9" s="282"/>
      <c r="Y9" s="282"/>
      <c r="Z9" s="282"/>
      <c r="AA9" s="282"/>
      <c r="AB9" s="292"/>
      <c r="AC9" s="293"/>
      <c r="AD9" s="293"/>
      <c r="AE9" s="282"/>
      <c r="AF9" s="282"/>
      <c r="AG9" s="282"/>
      <c r="AH9" s="282"/>
      <c r="AI9" s="282"/>
      <c r="AJ9" s="282"/>
      <c r="AK9" s="282"/>
      <c r="AL9" s="282"/>
      <c r="AM9" s="282"/>
      <c r="AN9" s="292"/>
      <c r="AO9" s="292"/>
      <c r="AP9" s="294"/>
      <c r="AQ9" s="294"/>
      <c r="AR9" s="295"/>
      <c r="AS9" s="288"/>
      <c r="AT9" s="282"/>
      <c r="AU9" s="296"/>
      <c r="AV9" s="282"/>
      <c r="AW9" s="282"/>
      <c r="AX9" s="297"/>
      <c r="AY9" s="298"/>
      <c r="AZ9" s="299"/>
      <c r="BA9" s="300"/>
      <c r="BB9" s="301"/>
      <c r="BC9" s="284">
        <v>1</v>
      </c>
      <c r="BD9" s="282">
        <f>E9</f>
        <v>0</v>
      </c>
      <c r="BE9" s="283">
        <f>BD9</f>
        <v>0</v>
      </c>
      <c r="BF9" s="285">
        <f>J9</f>
        <v>0</v>
      </c>
      <c r="BG9" s="286">
        <f>BF9</f>
        <v>0</v>
      </c>
      <c r="BH9" s="283" t="e">
        <f>BD9/BF9</f>
        <v>#DIV/0!</v>
      </c>
      <c r="BI9" s="283" t="e">
        <f>BE9/BG9</f>
        <v>#DIV/0!</v>
      </c>
    </row>
    <row r="10" spans="1:61" s="139" customFormat="1" ht="18" customHeight="1">
      <c r="A10" s="431"/>
      <c r="B10" s="302"/>
      <c r="C10" s="303">
        <v>2</v>
      </c>
      <c r="D10" s="281"/>
      <c r="E10" s="458">
        <f>'SQ-1'!U6+'SQ-2'!U6+'SQ-3'!U6+'SQ-4'!U6+'SQ-5'!U6+'SQ-6'!U6+'SQ-7'!U6+'SQ-8'!U6+'SQ-9'!U6</f>
        <v>0</v>
      </c>
      <c r="F10" s="305">
        <f t="shared" ref="F10:F39" si="2">F9+D10</f>
        <v>0</v>
      </c>
      <c r="G10" s="303">
        <f>IF(B10="*",G9,G9+1)</f>
        <v>2</v>
      </c>
      <c r="H10" s="305">
        <f t="shared" ref="H10:H39" si="3">H9+E10</f>
        <v>0</v>
      </c>
      <c r="I10" s="305">
        <f t="shared" si="0"/>
        <v>0</v>
      </c>
      <c r="J10" s="459">
        <f>'SQ-1'!P6+'SQ-2'!P6+'SQ-3'!P6+'SQ-4'!P6+'SQ-5'!P6+'SQ-6'!P6+'SQ-7'!P6+'SQ-8'!P6+'SQ-9'!P6</f>
        <v>0</v>
      </c>
      <c r="K10" s="307">
        <f t="shared" ref="K10:K39" si="4">+K9+J10</f>
        <v>0</v>
      </c>
      <c r="L10" s="305" t="e">
        <f t="shared" ref="L10:L38" si="5">E10/J10</f>
        <v>#DIV/0!</v>
      </c>
      <c r="M10" s="305" t="e">
        <f t="shared" ref="M10:M38" si="6">H10/K10</f>
        <v>#DIV/0!</v>
      </c>
      <c r="N10" s="306">
        <v>2.2599999999999998</v>
      </c>
      <c r="O10" s="308" t="e">
        <f t="shared" si="1"/>
        <v>#DIV/0!</v>
      </c>
      <c r="P10" s="458">
        <f>'SQ-1'!T6+'SQ-2'!T6+'SQ-3'!T6+'SQ-4'!T6+'SQ-5'!T6+'SQ-6'!T6+'SQ-7'!T6+'SQ-8'!T6+'SQ-9'!T6</f>
        <v>0</v>
      </c>
      <c r="Q10" s="309"/>
      <c r="R10" s="309"/>
      <c r="S10" s="309"/>
      <c r="T10" s="310"/>
      <c r="U10" s="311"/>
      <c r="V10" s="312"/>
      <c r="W10" s="313"/>
      <c r="X10" s="313"/>
      <c r="Y10" s="313"/>
      <c r="Z10" s="313"/>
      <c r="AA10" s="313"/>
      <c r="AB10" s="314"/>
      <c r="AC10" s="315"/>
      <c r="AD10" s="315"/>
      <c r="AE10" s="313"/>
      <c r="AF10" s="313"/>
      <c r="AG10" s="313"/>
      <c r="AH10" s="313"/>
      <c r="AI10" s="313"/>
      <c r="AJ10" s="313"/>
      <c r="AK10" s="313"/>
      <c r="AL10" s="313"/>
      <c r="AM10" s="313"/>
      <c r="AN10" s="316"/>
      <c r="AO10" s="316"/>
      <c r="AP10" s="317"/>
      <c r="AQ10" s="267"/>
      <c r="AR10" s="318"/>
      <c r="AS10" s="309"/>
      <c r="AT10" s="221"/>
      <c r="AU10" s="319"/>
      <c r="AV10" s="313"/>
      <c r="AW10" s="313"/>
      <c r="AX10" s="320"/>
      <c r="AY10" s="321"/>
      <c r="AZ10" s="322"/>
      <c r="BA10" s="323"/>
      <c r="BB10" s="324"/>
      <c r="BC10" s="303">
        <v>2</v>
      </c>
      <c r="BD10" s="325">
        <f>E10</f>
        <v>0</v>
      </c>
      <c r="BE10" s="325">
        <f t="shared" ref="BE10:BE39" si="7">BE9+BD10</f>
        <v>0</v>
      </c>
      <c r="BF10" s="326">
        <f>J10</f>
        <v>0</v>
      </c>
      <c r="BG10" s="307">
        <f t="shared" ref="BG10:BG39" si="8">+BG9+BF10</f>
        <v>0</v>
      </c>
      <c r="BH10" s="305" t="e">
        <f t="shared" ref="BH10:BI39" si="9">BD10/BF10</f>
        <v>#DIV/0!</v>
      </c>
      <c r="BI10" s="305" t="e">
        <f t="shared" si="9"/>
        <v>#DIV/0!</v>
      </c>
    </row>
    <row r="11" spans="1:61" s="139" customFormat="1" ht="18" customHeight="1">
      <c r="A11" s="431"/>
      <c r="B11" s="302"/>
      <c r="C11" s="303">
        <v>3</v>
      </c>
      <c r="D11" s="281"/>
      <c r="E11" s="458">
        <f>'SQ-1'!U7+'SQ-2'!U7+'SQ-3'!U7+'SQ-4'!U7+'SQ-5'!U7+'SQ-6'!U7+'SQ-7'!U7+'SQ-8'!U7+'SQ-9'!U7</f>
        <v>0</v>
      </c>
      <c r="F11" s="305">
        <f t="shared" si="2"/>
        <v>0</v>
      </c>
      <c r="G11" s="303">
        <f t="shared" ref="G11:G39" si="10">IF(B11="*",G10,G10+1)</f>
        <v>3</v>
      </c>
      <c r="H11" s="305">
        <f t="shared" si="3"/>
        <v>0</v>
      </c>
      <c r="I11" s="305">
        <f t="shared" si="0"/>
        <v>0</v>
      </c>
      <c r="J11" s="459">
        <f>'SQ-1'!P7+'SQ-2'!P7+'SQ-3'!P7+'SQ-4'!P7+'SQ-5'!P7+'SQ-6'!P7+'SQ-7'!P7+'SQ-8'!P7+'SQ-9'!P7</f>
        <v>0</v>
      </c>
      <c r="K11" s="307">
        <f t="shared" si="4"/>
        <v>0</v>
      </c>
      <c r="L11" s="305" t="e">
        <f t="shared" si="5"/>
        <v>#DIV/0!</v>
      </c>
      <c r="M11" s="305" t="e">
        <f t="shared" si="6"/>
        <v>#DIV/0!</v>
      </c>
      <c r="N11" s="306">
        <v>2.4</v>
      </c>
      <c r="O11" s="308" t="e">
        <f t="shared" si="1"/>
        <v>#DIV/0!</v>
      </c>
      <c r="P11" s="458">
        <f>'SQ-1'!T7+'SQ-2'!T7+'SQ-3'!T7+'SQ-4'!T7+'SQ-5'!T7+'SQ-6'!T7+'SQ-7'!T7+'SQ-8'!T7+'SQ-9'!T7</f>
        <v>0</v>
      </c>
      <c r="Q11" s="309"/>
      <c r="R11" s="309"/>
      <c r="S11" s="309"/>
      <c r="T11" s="310"/>
      <c r="U11" s="311"/>
      <c r="V11" s="312"/>
      <c r="W11" s="313"/>
      <c r="X11" s="313"/>
      <c r="Y11" s="313"/>
      <c r="Z11" s="313"/>
      <c r="AA11" s="313"/>
      <c r="AB11" s="314"/>
      <c r="AC11" s="327"/>
      <c r="AD11" s="327"/>
      <c r="AE11" s="304"/>
      <c r="AF11" s="304"/>
      <c r="AG11" s="304"/>
      <c r="AH11" s="304"/>
      <c r="AI11" s="304"/>
      <c r="AJ11" s="304"/>
      <c r="AK11" s="304"/>
      <c r="AL11" s="304"/>
      <c r="AM11" s="313"/>
      <c r="AN11" s="316"/>
      <c r="AO11" s="316"/>
      <c r="AP11" s="317"/>
      <c r="AQ11" s="267"/>
      <c r="AR11" s="318"/>
      <c r="AS11" s="309"/>
      <c r="AT11" s="221"/>
      <c r="AU11" s="319"/>
      <c r="AV11" s="313"/>
      <c r="AW11" s="313"/>
      <c r="AX11" s="320"/>
      <c r="AY11" s="321"/>
      <c r="AZ11" s="322"/>
      <c r="BA11" s="328"/>
      <c r="BB11" s="329"/>
      <c r="BC11" s="303">
        <v>3</v>
      </c>
      <c r="BD11" s="325">
        <f>E11</f>
        <v>0</v>
      </c>
      <c r="BE11" s="325">
        <f t="shared" si="7"/>
        <v>0</v>
      </c>
      <c r="BF11" s="326">
        <f>J11</f>
        <v>0</v>
      </c>
      <c r="BG11" s="307">
        <f t="shared" si="8"/>
        <v>0</v>
      </c>
      <c r="BH11" s="305" t="e">
        <f t="shared" si="9"/>
        <v>#DIV/0!</v>
      </c>
      <c r="BI11" s="305" t="e">
        <f t="shared" si="9"/>
        <v>#DIV/0!</v>
      </c>
    </row>
    <row r="12" spans="1:61" s="139" customFormat="1" ht="18" customHeight="1">
      <c r="A12" s="431"/>
      <c r="B12" s="302"/>
      <c r="C12" s="303">
        <v>4</v>
      </c>
      <c r="D12" s="281"/>
      <c r="E12" s="458">
        <f>'SQ-1'!U8+'SQ-2'!U8+'SQ-3'!U8+'SQ-4'!U8+'SQ-5'!U8+'SQ-6'!U8+'SQ-7'!U8+'SQ-8'!U8+'SQ-9'!U8</f>
        <v>0</v>
      </c>
      <c r="F12" s="305">
        <f t="shared" si="2"/>
        <v>0</v>
      </c>
      <c r="G12" s="303">
        <f t="shared" si="10"/>
        <v>4</v>
      </c>
      <c r="H12" s="305">
        <f t="shared" si="3"/>
        <v>0</v>
      </c>
      <c r="I12" s="305">
        <f t="shared" si="0"/>
        <v>0</v>
      </c>
      <c r="J12" s="459">
        <f>'SQ-1'!P8+'SQ-2'!P8+'SQ-3'!P8+'SQ-4'!P8+'SQ-5'!P8+'SQ-6'!P8+'SQ-7'!P8+'SQ-8'!P8+'SQ-9'!P8</f>
        <v>0</v>
      </c>
      <c r="K12" s="307">
        <f t="shared" si="4"/>
        <v>0</v>
      </c>
      <c r="L12" s="305" t="e">
        <f t="shared" si="5"/>
        <v>#DIV/0!</v>
      </c>
      <c r="M12" s="305" t="e">
        <f t="shared" si="6"/>
        <v>#DIV/0!</v>
      </c>
      <c r="N12" s="306">
        <v>3.5</v>
      </c>
      <c r="O12" s="308" t="e">
        <f t="shared" si="1"/>
        <v>#DIV/0!</v>
      </c>
      <c r="P12" s="458">
        <f>'SQ-1'!T8+'SQ-2'!T8+'SQ-3'!T8+'SQ-4'!T8+'SQ-5'!T8+'SQ-6'!T8+'SQ-7'!T8+'SQ-8'!T8+'SQ-9'!T8</f>
        <v>0</v>
      </c>
      <c r="Q12" s="309"/>
      <c r="R12" s="309"/>
      <c r="S12" s="309"/>
      <c r="T12" s="310"/>
      <c r="U12" s="311"/>
      <c r="V12" s="312"/>
      <c r="W12" s="313"/>
      <c r="X12" s="313"/>
      <c r="Y12" s="313"/>
      <c r="Z12" s="313"/>
      <c r="AA12" s="313"/>
      <c r="AB12" s="314"/>
      <c r="AC12" s="315"/>
      <c r="AD12" s="315"/>
      <c r="AE12" s="313"/>
      <c r="AF12" s="313"/>
      <c r="AG12" s="313"/>
      <c r="AH12" s="313"/>
      <c r="AI12" s="313"/>
      <c r="AJ12" s="313"/>
      <c r="AK12" s="313"/>
      <c r="AL12" s="313"/>
      <c r="AM12" s="313"/>
      <c r="AN12" s="316"/>
      <c r="AO12" s="316"/>
      <c r="AP12" s="317"/>
      <c r="AQ12" s="267"/>
      <c r="AR12" s="318"/>
      <c r="AS12" s="309"/>
      <c r="AT12" s="313"/>
      <c r="AU12" s="319"/>
      <c r="AV12" s="313"/>
      <c r="AW12" s="313"/>
      <c r="AX12" s="320"/>
      <c r="AY12" s="321"/>
      <c r="AZ12" s="322"/>
      <c r="BA12" s="323"/>
      <c r="BC12" s="303">
        <v>4</v>
      </c>
      <c r="BD12" s="325">
        <f>E12</f>
        <v>0</v>
      </c>
      <c r="BE12" s="325">
        <f t="shared" si="7"/>
        <v>0</v>
      </c>
      <c r="BF12" s="326">
        <f>J12</f>
        <v>0</v>
      </c>
      <c r="BG12" s="307">
        <f t="shared" si="8"/>
        <v>0</v>
      </c>
      <c r="BH12" s="305" t="e">
        <f t="shared" si="9"/>
        <v>#DIV/0!</v>
      </c>
      <c r="BI12" s="305" t="e">
        <f t="shared" si="9"/>
        <v>#DIV/0!</v>
      </c>
    </row>
    <row r="13" spans="1:61" s="139" customFormat="1" ht="18" customHeight="1">
      <c r="A13" s="431"/>
      <c r="B13" s="302"/>
      <c r="C13" s="303">
        <v>5</v>
      </c>
      <c r="D13" s="281"/>
      <c r="E13" s="458">
        <f>'SQ-1'!U9+'SQ-2'!U9+'SQ-3'!U9+'SQ-4'!U9+'SQ-5'!U9+'SQ-6'!U9+'SQ-7'!U9+'SQ-8'!U9+'SQ-9'!U9</f>
        <v>0</v>
      </c>
      <c r="F13" s="325">
        <f t="shared" si="2"/>
        <v>0</v>
      </c>
      <c r="G13" s="303">
        <f t="shared" si="10"/>
        <v>5</v>
      </c>
      <c r="H13" s="325">
        <f t="shared" si="3"/>
        <v>0</v>
      </c>
      <c r="I13" s="325">
        <f t="shared" si="0"/>
        <v>0</v>
      </c>
      <c r="J13" s="459">
        <f>'SQ-1'!P9+'SQ-2'!P9+'SQ-3'!P9+'SQ-4'!P9+'SQ-5'!P9+'SQ-6'!P9+'SQ-7'!P9+'SQ-8'!P9+'SQ-9'!P9</f>
        <v>0</v>
      </c>
      <c r="K13" s="330">
        <f t="shared" si="4"/>
        <v>0</v>
      </c>
      <c r="L13" s="325" t="e">
        <f t="shared" si="5"/>
        <v>#DIV/0!</v>
      </c>
      <c r="M13" s="325" t="e">
        <f t="shared" si="6"/>
        <v>#DIV/0!</v>
      </c>
      <c r="N13" s="306"/>
      <c r="O13" s="308" t="e">
        <f t="shared" si="1"/>
        <v>#DIV/0!</v>
      </c>
      <c r="P13" s="458">
        <f>'SQ-1'!T9+'SQ-2'!T9+'SQ-3'!T9+'SQ-4'!T9+'SQ-5'!T9+'SQ-6'!T9+'SQ-7'!T9+'SQ-8'!T9+'SQ-9'!T9</f>
        <v>0</v>
      </c>
      <c r="Q13" s="309"/>
      <c r="R13" s="309"/>
      <c r="S13" s="309"/>
      <c r="T13" s="310"/>
      <c r="U13" s="311"/>
      <c r="V13" s="312"/>
      <c r="W13" s="313"/>
      <c r="X13" s="313"/>
      <c r="Y13" s="313"/>
      <c r="Z13" s="313"/>
      <c r="AA13" s="313"/>
      <c r="AB13" s="314"/>
      <c r="AC13" s="327"/>
      <c r="AD13" s="327"/>
      <c r="AE13" s="304"/>
      <c r="AF13" s="304"/>
      <c r="AG13" s="304"/>
      <c r="AH13" s="304"/>
      <c r="AI13" s="304"/>
      <c r="AJ13" s="304"/>
      <c r="AK13" s="304"/>
      <c r="AL13" s="304"/>
      <c r="AM13" s="313"/>
      <c r="AN13" s="316"/>
      <c r="AO13" s="316"/>
      <c r="AP13" s="317"/>
      <c r="AQ13" s="267"/>
      <c r="AR13" s="331"/>
      <c r="AS13" s="309"/>
      <c r="AT13" s="221"/>
      <c r="AU13" s="319"/>
      <c r="AV13" s="313"/>
      <c r="AW13" s="313"/>
      <c r="AX13" s="320"/>
      <c r="AY13" s="321"/>
      <c r="AZ13" s="322"/>
      <c r="BA13" s="323"/>
      <c r="BB13" s="227"/>
      <c r="BC13" s="303">
        <v>5</v>
      </c>
      <c r="BD13" s="325">
        <f>E13</f>
        <v>0</v>
      </c>
      <c r="BE13" s="325">
        <f t="shared" si="7"/>
        <v>0</v>
      </c>
      <c r="BF13" s="326">
        <f>J13</f>
        <v>0</v>
      </c>
      <c r="BG13" s="330">
        <f t="shared" si="8"/>
        <v>0</v>
      </c>
      <c r="BH13" s="325" t="e">
        <f t="shared" si="9"/>
        <v>#DIV/0!</v>
      </c>
      <c r="BI13" s="325" t="e">
        <f t="shared" si="9"/>
        <v>#DIV/0!</v>
      </c>
    </row>
    <row r="14" spans="1:61" ht="18" customHeight="1">
      <c r="B14" s="302"/>
      <c r="C14" s="303">
        <v>6</v>
      </c>
      <c r="D14" s="281"/>
      <c r="E14" s="458">
        <f>'SQ-1'!U10+'SQ-2'!U10+'SQ-3'!U10+'SQ-4'!U10+'SQ-5'!U10+'SQ-6'!U10+'SQ-7'!U10+'SQ-8'!U10+'SQ-9'!U10</f>
        <v>0</v>
      </c>
      <c r="F14" s="325">
        <f t="shared" si="2"/>
        <v>0</v>
      </c>
      <c r="G14" s="303">
        <f t="shared" si="10"/>
        <v>6</v>
      </c>
      <c r="H14" s="325">
        <f t="shared" si="3"/>
        <v>0</v>
      </c>
      <c r="I14" s="325">
        <f t="shared" si="0"/>
        <v>0</v>
      </c>
      <c r="J14" s="459">
        <f>'SQ-1'!P10+'SQ-2'!P10+'SQ-3'!P10+'SQ-4'!P10+'SQ-5'!P10+'SQ-6'!P10+'SQ-7'!P10+'SQ-8'!P10+'SQ-9'!P10</f>
        <v>0</v>
      </c>
      <c r="K14" s="330">
        <f t="shared" si="4"/>
        <v>0</v>
      </c>
      <c r="L14" s="325" t="e">
        <f t="shared" si="5"/>
        <v>#DIV/0!</v>
      </c>
      <c r="M14" s="325" t="e">
        <f t="shared" si="6"/>
        <v>#DIV/0!</v>
      </c>
      <c r="N14" s="306"/>
      <c r="O14" s="308" t="e">
        <f t="shared" si="1"/>
        <v>#DIV/0!</v>
      </c>
      <c r="P14" s="458">
        <f>'SQ-1'!T10+'SQ-2'!T10+'SQ-3'!T10+'SQ-4'!T10+'SQ-5'!T10+'SQ-6'!T10+'SQ-7'!T10+'SQ-8'!T10+'SQ-9'!T10</f>
        <v>0</v>
      </c>
      <c r="Q14" s="309"/>
      <c r="R14" s="309"/>
      <c r="S14" s="309"/>
      <c r="T14" s="310"/>
      <c r="U14" s="311"/>
      <c r="V14" s="312"/>
      <c r="W14" s="304"/>
      <c r="X14" s="304"/>
      <c r="Y14" s="304"/>
      <c r="Z14" s="304"/>
      <c r="AA14" s="304"/>
      <c r="AB14" s="314"/>
      <c r="AC14" s="327"/>
      <c r="AD14" s="327"/>
      <c r="AE14" s="304"/>
      <c r="AF14" s="304"/>
      <c r="AG14" s="304"/>
      <c r="AH14" s="304"/>
      <c r="AI14" s="304"/>
      <c r="AJ14" s="304"/>
      <c r="AK14" s="304"/>
      <c r="AL14" s="304"/>
      <c r="AM14" s="304"/>
      <c r="AN14" s="316"/>
      <c r="AO14" s="316"/>
      <c r="AP14" s="317"/>
      <c r="AQ14" s="267"/>
      <c r="AR14" s="331"/>
      <c r="AS14" s="309"/>
      <c r="AT14" s="304"/>
      <c r="AU14" s="319"/>
      <c r="AV14" s="304"/>
      <c r="AW14" s="304"/>
      <c r="AX14" s="320"/>
      <c r="AY14" s="321"/>
      <c r="AZ14" s="322"/>
      <c r="BA14" s="323"/>
      <c r="BB14" s="220"/>
      <c r="BC14" s="303">
        <v>6</v>
      </c>
      <c r="BD14" s="325">
        <f t="shared" ref="BD14:BD39" si="11">E14</f>
        <v>0</v>
      </c>
      <c r="BE14" s="325">
        <f t="shared" si="7"/>
        <v>0</v>
      </c>
      <c r="BF14" s="326">
        <f t="shared" ref="BF14:BF39" si="12">J14</f>
        <v>0</v>
      </c>
      <c r="BG14" s="330">
        <f t="shared" si="8"/>
        <v>0</v>
      </c>
      <c r="BH14" s="325" t="e">
        <f t="shared" si="9"/>
        <v>#DIV/0!</v>
      </c>
      <c r="BI14" s="325" t="e">
        <f t="shared" si="9"/>
        <v>#DIV/0!</v>
      </c>
    </row>
    <row r="15" spans="1:61" ht="18" customHeight="1">
      <c r="B15" s="302"/>
      <c r="C15" s="303">
        <v>7</v>
      </c>
      <c r="D15" s="281"/>
      <c r="E15" s="458">
        <f>'SQ-1'!U11+'SQ-2'!U11+'SQ-3'!U11+'SQ-4'!U11+'SQ-5'!U11+'SQ-6'!U11+'SQ-7'!U11+'SQ-8'!U11+'SQ-9'!U11</f>
        <v>0</v>
      </c>
      <c r="F15" s="305">
        <f t="shared" si="2"/>
        <v>0</v>
      </c>
      <c r="G15" s="303">
        <f t="shared" si="10"/>
        <v>7</v>
      </c>
      <c r="H15" s="305">
        <f t="shared" si="3"/>
        <v>0</v>
      </c>
      <c r="I15" s="305">
        <f t="shared" si="0"/>
        <v>0</v>
      </c>
      <c r="J15" s="459">
        <f>'SQ-1'!P11+'SQ-2'!P11+'SQ-3'!P11+'SQ-4'!P11+'SQ-5'!P11+'SQ-6'!P11+'SQ-7'!P11+'SQ-8'!P11+'SQ-9'!P11</f>
        <v>0</v>
      </c>
      <c r="K15" s="307">
        <f t="shared" si="4"/>
        <v>0</v>
      </c>
      <c r="L15" s="305" t="e">
        <f t="shared" si="5"/>
        <v>#DIV/0!</v>
      </c>
      <c r="M15" s="305" t="e">
        <f t="shared" si="6"/>
        <v>#DIV/0!</v>
      </c>
      <c r="N15" s="306">
        <v>2.83</v>
      </c>
      <c r="O15" s="308" t="e">
        <f t="shared" si="1"/>
        <v>#DIV/0!</v>
      </c>
      <c r="P15" s="458">
        <f>'SQ-1'!T11+'SQ-2'!T11+'SQ-3'!T11+'SQ-4'!T11+'SQ-5'!T11+'SQ-6'!T11+'SQ-7'!T11+'SQ-8'!T11+'SQ-9'!T11</f>
        <v>0</v>
      </c>
      <c r="Q15" s="309"/>
      <c r="R15" s="309"/>
      <c r="S15" s="309"/>
      <c r="T15" s="310"/>
      <c r="U15" s="311"/>
      <c r="V15" s="312"/>
      <c r="W15" s="304"/>
      <c r="X15" s="304"/>
      <c r="Y15" s="304"/>
      <c r="Z15" s="304"/>
      <c r="AA15" s="304"/>
      <c r="AB15" s="314"/>
      <c r="AC15" s="327"/>
      <c r="AD15" s="327"/>
      <c r="AE15" s="304"/>
      <c r="AF15" s="304"/>
      <c r="AG15" s="304"/>
      <c r="AH15" s="304"/>
      <c r="AI15" s="304"/>
      <c r="AJ15" s="304"/>
      <c r="AK15" s="304"/>
      <c r="AL15" s="304"/>
      <c r="AM15" s="304"/>
      <c r="AN15" s="316"/>
      <c r="AO15" s="316"/>
      <c r="AP15" s="317"/>
      <c r="AQ15" s="267"/>
      <c r="AR15" s="318"/>
      <c r="AS15" s="309"/>
      <c r="AT15" s="304"/>
      <c r="AU15" s="319"/>
      <c r="AV15" s="304"/>
      <c r="AW15" s="304"/>
      <c r="AX15" s="320"/>
      <c r="AY15" s="321"/>
      <c r="AZ15" s="322"/>
      <c r="BA15" s="323"/>
      <c r="BC15" s="303">
        <v>7</v>
      </c>
      <c r="BD15" s="325">
        <f t="shared" si="11"/>
        <v>0</v>
      </c>
      <c r="BE15" s="305">
        <f t="shared" si="7"/>
        <v>0</v>
      </c>
      <c r="BF15" s="326">
        <f t="shared" si="12"/>
        <v>0</v>
      </c>
      <c r="BG15" s="307">
        <f t="shared" si="8"/>
        <v>0</v>
      </c>
      <c r="BH15" s="305" t="e">
        <f t="shared" si="9"/>
        <v>#DIV/0!</v>
      </c>
      <c r="BI15" s="305" t="e">
        <f t="shared" si="9"/>
        <v>#DIV/0!</v>
      </c>
    </row>
    <row r="16" spans="1:61" s="139" customFormat="1" ht="18" customHeight="1">
      <c r="A16" s="431"/>
      <c r="B16" s="302"/>
      <c r="C16" s="303">
        <v>8</v>
      </c>
      <c r="D16" s="281"/>
      <c r="E16" s="458">
        <f>'SQ-1'!U12+'SQ-2'!U12+'SQ-3'!U12+'SQ-4'!U12+'SQ-5'!U12+'SQ-6'!U12+'SQ-7'!U12+'SQ-8'!U12+'SQ-9'!U12</f>
        <v>0</v>
      </c>
      <c r="F16" s="305">
        <f t="shared" si="2"/>
        <v>0</v>
      </c>
      <c r="G16" s="303">
        <f t="shared" si="10"/>
        <v>8</v>
      </c>
      <c r="H16" s="305">
        <f t="shared" si="3"/>
        <v>0</v>
      </c>
      <c r="I16" s="305">
        <f t="shared" si="0"/>
        <v>0</v>
      </c>
      <c r="J16" s="459">
        <f>'SQ-1'!P12+'SQ-2'!P12+'SQ-3'!P12+'SQ-4'!P12+'SQ-5'!P12+'SQ-6'!P12+'SQ-7'!P12+'SQ-8'!P12+'SQ-9'!P12</f>
        <v>0</v>
      </c>
      <c r="K16" s="307">
        <f t="shared" si="4"/>
        <v>0</v>
      </c>
      <c r="L16" s="305" t="e">
        <f t="shared" si="5"/>
        <v>#DIV/0!</v>
      </c>
      <c r="M16" s="305" t="e">
        <f t="shared" si="6"/>
        <v>#DIV/0!</v>
      </c>
      <c r="N16" s="306">
        <v>2.78</v>
      </c>
      <c r="O16" s="308" t="e">
        <f t="shared" si="1"/>
        <v>#DIV/0!</v>
      </c>
      <c r="P16" s="458">
        <f>'SQ-1'!T12+'SQ-2'!T12+'SQ-3'!T12+'SQ-4'!T12+'SQ-5'!T12+'SQ-6'!T12+'SQ-7'!T12+'SQ-8'!T12+'SQ-9'!T12</f>
        <v>0</v>
      </c>
      <c r="Q16" s="309"/>
      <c r="R16" s="309"/>
      <c r="S16" s="309"/>
      <c r="T16" s="310"/>
      <c r="U16" s="311"/>
      <c r="V16" s="312"/>
      <c r="W16" s="313"/>
      <c r="X16" s="313"/>
      <c r="Y16" s="313"/>
      <c r="Z16" s="313"/>
      <c r="AA16" s="313"/>
      <c r="AB16" s="314"/>
      <c r="AC16" s="332"/>
      <c r="AD16" s="315"/>
      <c r="AE16" s="313"/>
      <c r="AF16" s="313"/>
      <c r="AG16" s="313"/>
      <c r="AH16" s="313"/>
      <c r="AI16" s="313"/>
      <c r="AJ16" s="313"/>
      <c r="AK16" s="313"/>
      <c r="AL16" s="313"/>
      <c r="AM16" s="313"/>
      <c r="AN16" s="316"/>
      <c r="AO16" s="316"/>
      <c r="AP16" s="317"/>
      <c r="AQ16" s="267"/>
      <c r="AR16" s="318"/>
      <c r="AS16" s="309"/>
      <c r="AT16" s="313"/>
      <c r="AU16" s="319"/>
      <c r="AV16" s="313"/>
      <c r="AW16" s="313"/>
      <c r="AX16" s="320"/>
      <c r="AY16" s="321"/>
      <c r="AZ16" s="322"/>
      <c r="BA16" s="323"/>
      <c r="BC16" s="303">
        <v>8</v>
      </c>
      <c r="BD16" s="325">
        <f t="shared" si="11"/>
        <v>0</v>
      </c>
      <c r="BE16" s="305">
        <f t="shared" si="7"/>
        <v>0</v>
      </c>
      <c r="BF16" s="326">
        <f t="shared" si="12"/>
        <v>0</v>
      </c>
      <c r="BG16" s="307">
        <f t="shared" si="8"/>
        <v>0</v>
      </c>
      <c r="BH16" s="305" t="e">
        <f t="shared" si="9"/>
        <v>#DIV/0!</v>
      </c>
      <c r="BI16" s="305" t="e">
        <f t="shared" si="9"/>
        <v>#DIV/0!</v>
      </c>
    </row>
    <row r="17" spans="1:61" s="139" customFormat="1" ht="18" customHeight="1">
      <c r="A17" s="431"/>
      <c r="B17" s="302"/>
      <c r="C17" s="303">
        <v>9</v>
      </c>
      <c r="D17" s="281"/>
      <c r="E17" s="458">
        <f>'SQ-1'!U13+'SQ-2'!U13+'SQ-3'!U13+'SQ-4'!U13+'SQ-5'!U13+'SQ-6'!U13+'SQ-7'!U13+'SQ-8'!U13+'SQ-9'!U13</f>
        <v>0</v>
      </c>
      <c r="F17" s="305">
        <f t="shared" si="2"/>
        <v>0</v>
      </c>
      <c r="G17" s="303">
        <f t="shared" si="10"/>
        <v>9</v>
      </c>
      <c r="H17" s="305">
        <f t="shared" si="3"/>
        <v>0</v>
      </c>
      <c r="I17" s="305">
        <f t="shared" si="0"/>
        <v>0</v>
      </c>
      <c r="J17" s="459">
        <f>'SQ-1'!P13+'SQ-2'!P13+'SQ-3'!P13+'SQ-4'!P13+'SQ-5'!P13+'SQ-6'!P13+'SQ-7'!P13+'SQ-8'!P13+'SQ-9'!P13</f>
        <v>0</v>
      </c>
      <c r="K17" s="307">
        <f t="shared" si="4"/>
        <v>0</v>
      </c>
      <c r="L17" s="305" t="e">
        <f t="shared" si="5"/>
        <v>#DIV/0!</v>
      </c>
      <c r="M17" s="305" t="e">
        <f t="shared" si="6"/>
        <v>#DIV/0!</v>
      </c>
      <c r="N17" s="306">
        <v>3.33</v>
      </c>
      <c r="O17" s="308" t="e">
        <f t="shared" si="1"/>
        <v>#DIV/0!</v>
      </c>
      <c r="P17" s="458">
        <f>'SQ-1'!T13+'SQ-2'!T13+'SQ-3'!T13+'SQ-4'!T13+'SQ-5'!T13+'SQ-6'!T13+'SQ-7'!T13+'SQ-8'!T13+'SQ-9'!T13</f>
        <v>0</v>
      </c>
      <c r="Q17" s="309"/>
      <c r="R17" s="309"/>
      <c r="S17" s="309"/>
      <c r="T17" s="310"/>
      <c r="U17" s="311"/>
      <c r="V17" s="312"/>
      <c r="W17" s="313"/>
      <c r="X17" s="313"/>
      <c r="Y17" s="313"/>
      <c r="Z17" s="313"/>
      <c r="AA17" s="313"/>
      <c r="AB17" s="314"/>
      <c r="AC17" s="315"/>
      <c r="AD17" s="315"/>
      <c r="AE17" s="313"/>
      <c r="AF17" s="313"/>
      <c r="AG17" s="313"/>
      <c r="AH17" s="313"/>
      <c r="AI17" s="313"/>
      <c r="AJ17" s="313"/>
      <c r="AK17" s="313"/>
      <c r="AL17" s="313"/>
      <c r="AM17" s="313"/>
      <c r="AN17" s="316"/>
      <c r="AO17" s="316"/>
      <c r="AP17" s="317"/>
      <c r="AQ17" s="267"/>
      <c r="AR17" s="318"/>
      <c r="AS17" s="309"/>
      <c r="AT17" s="313"/>
      <c r="AU17" s="319"/>
      <c r="AV17" s="313"/>
      <c r="AW17" s="313"/>
      <c r="AX17" s="320"/>
      <c r="AY17" s="321"/>
      <c r="AZ17" s="322"/>
      <c r="BA17" s="323"/>
      <c r="BC17" s="303">
        <v>9</v>
      </c>
      <c r="BD17" s="325">
        <f t="shared" si="11"/>
        <v>0</v>
      </c>
      <c r="BE17" s="305">
        <f t="shared" si="7"/>
        <v>0</v>
      </c>
      <c r="BF17" s="326">
        <f t="shared" si="12"/>
        <v>0</v>
      </c>
      <c r="BG17" s="307">
        <f t="shared" si="8"/>
        <v>0</v>
      </c>
      <c r="BH17" s="305" t="e">
        <f t="shared" si="9"/>
        <v>#DIV/0!</v>
      </c>
      <c r="BI17" s="305" t="e">
        <f t="shared" si="9"/>
        <v>#DIV/0!</v>
      </c>
    </row>
    <row r="18" spans="1:61" s="139" customFormat="1" ht="18" customHeight="1">
      <c r="A18" s="431"/>
      <c r="B18" s="302"/>
      <c r="C18" s="303">
        <v>10</v>
      </c>
      <c r="D18" s="281"/>
      <c r="E18" s="458">
        <f>'SQ-1'!U14+'SQ-2'!U14+'SQ-3'!U14+'SQ-4'!U14+'SQ-5'!U14+'SQ-6'!U14+'SQ-7'!U14+'SQ-8'!U14+'SQ-9'!U14</f>
        <v>0</v>
      </c>
      <c r="F18" s="305">
        <f t="shared" si="2"/>
        <v>0</v>
      </c>
      <c r="G18" s="303">
        <f t="shared" si="10"/>
        <v>10</v>
      </c>
      <c r="H18" s="305">
        <f t="shared" si="3"/>
        <v>0</v>
      </c>
      <c r="I18" s="305">
        <f t="shared" si="0"/>
        <v>0</v>
      </c>
      <c r="J18" s="459">
        <f>'SQ-1'!P14+'SQ-2'!P14+'SQ-3'!P14+'SQ-4'!P14+'SQ-5'!P14+'SQ-6'!P14+'SQ-7'!P14+'SQ-8'!P14+'SQ-9'!P14</f>
        <v>0</v>
      </c>
      <c r="K18" s="307">
        <f t="shared" si="4"/>
        <v>0</v>
      </c>
      <c r="L18" s="305" t="e">
        <f t="shared" si="5"/>
        <v>#DIV/0!</v>
      </c>
      <c r="M18" s="305" t="e">
        <f t="shared" si="6"/>
        <v>#DIV/0!</v>
      </c>
      <c r="N18" s="306">
        <v>3.25</v>
      </c>
      <c r="O18" s="308" t="e">
        <f t="shared" si="1"/>
        <v>#DIV/0!</v>
      </c>
      <c r="P18" s="458">
        <f>'SQ-1'!T14+'SQ-2'!T14+'SQ-3'!T14+'SQ-4'!T14+'SQ-5'!T14+'SQ-6'!T14+'SQ-7'!T14+'SQ-8'!T14+'SQ-9'!T14</f>
        <v>0</v>
      </c>
      <c r="Q18" s="309"/>
      <c r="R18" s="309"/>
      <c r="S18" s="309"/>
      <c r="T18" s="310"/>
      <c r="U18" s="311"/>
      <c r="V18" s="312"/>
      <c r="W18" s="313"/>
      <c r="X18" s="313"/>
      <c r="Y18" s="313"/>
      <c r="Z18" s="313"/>
      <c r="AA18" s="313"/>
      <c r="AB18" s="314"/>
      <c r="AC18" s="315"/>
      <c r="AD18" s="315"/>
      <c r="AE18" s="313"/>
      <c r="AF18" s="313"/>
      <c r="AG18" s="313"/>
      <c r="AH18" s="313"/>
      <c r="AI18" s="313"/>
      <c r="AJ18" s="313"/>
      <c r="AK18" s="313"/>
      <c r="AL18" s="313"/>
      <c r="AM18" s="313"/>
      <c r="AN18" s="316"/>
      <c r="AO18" s="316"/>
      <c r="AP18" s="317"/>
      <c r="AQ18" s="267"/>
      <c r="AR18" s="318"/>
      <c r="AS18" s="309"/>
      <c r="AT18" s="313"/>
      <c r="AU18" s="319"/>
      <c r="AV18" s="313"/>
      <c r="AW18" s="313"/>
      <c r="AX18" s="320"/>
      <c r="AY18" s="321"/>
      <c r="AZ18" s="322"/>
      <c r="BA18" s="333"/>
      <c r="BC18" s="303">
        <v>10</v>
      </c>
      <c r="BD18" s="325">
        <f t="shared" si="11"/>
        <v>0</v>
      </c>
      <c r="BE18" s="305">
        <f t="shared" si="7"/>
        <v>0</v>
      </c>
      <c r="BF18" s="326">
        <f t="shared" si="12"/>
        <v>0</v>
      </c>
      <c r="BG18" s="307">
        <f t="shared" si="8"/>
        <v>0</v>
      </c>
      <c r="BH18" s="305" t="e">
        <f t="shared" si="9"/>
        <v>#DIV/0!</v>
      </c>
      <c r="BI18" s="305" t="e">
        <f t="shared" si="9"/>
        <v>#DIV/0!</v>
      </c>
    </row>
    <row r="19" spans="1:61" s="139" customFormat="1" ht="18" customHeight="1">
      <c r="A19" s="431"/>
      <c r="B19" s="302"/>
      <c r="C19" s="303">
        <v>11</v>
      </c>
      <c r="D19" s="281"/>
      <c r="E19" s="458">
        <f>'SQ-1'!U15+'SQ-2'!U15+'SQ-3'!U15+'SQ-4'!U15+'SQ-5'!U15+'SQ-6'!U15+'SQ-7'!U15+'SQ-8'!U15+'SQ-9'!U15</f>
        <v>0</v>
      </c>
      <c r="F19" s="305">
        <f t="shared" si="2"/>
        <v>0</v>
      </c>
      <c r="G19" s="303">
        <f t="shared" si="10"/>
        <v>11</v>
      </c>
      <c r="H19" s="305">
        <f t="shared" si="3"/>
        <v>0</v>
      </c>
      <c r="I19" s="305">
        <f t="shared" si="0"/>
        <v>0</v>
      </c>
      <c r="J19" s="459">
        <f>'SQ-1'!P15+'SQ-2'!P15+'SQ-3'!P15+'SQ-4'!P15+'SQ-5'!P15+'SQ-6'!P15+'SQ-7'!P15+'SQ-8'!P15+'SQ-9'!P15</f>
        <v>0</v>
      </c>
      <c r="K19" s="307">
        <f t="shared" si="4"/>
        <v>0</v>
      </c>
      <c r="L19" s="305" t="e">
        <f t="shared" si="5"/>
        <v>#DIV/0!</v>
      </c>
      <c r="M19" s="305" t="e">
        <f t="shared" si="6"/>
        <v>#DIV/0!</v>
      </c>
      <c r="N19" s="306">
        <v>2.71</v>
      </c>
      <c r="O19" s="308" t="e">
        <f t="shared" si="1"/>
        <v>#DIV/0!</v>
      </c>
      <c r="P19" s="458">
        <f>'SQ-1'!T15+'SQ-2'!T15+'SQ-3'!T15+'SQ-4'!T15+'SQ-5'!T15+'SQ-6'!T15+'SQ-7'!T15+'SQ-8'!T15+'SQ-9'!T15</f>
        <v>0</v>
      </c>
      <c r="Q19" s="309"/>
      <c r="R19" s="309"/>
      <c r="S19" s="309"/>
      <c r="T19" s="310"/>
      <c r="U19" s="311"/>
      <c r="V19" s="312"/>
      <c r="W19" s="313"/>
      <c r="X19" s="313"/>
      <c r="Y19" s="313"/>
      <c r="Z19" s="313"/>
      <c r="AA19" s="313"/>
      <c r="AB19" s="314"/>
      <c r="AC19" s="332"/>
      <c r="AD19" s="315"/>
      <c r="AE19" s="313"/>
      <c r="AF19" s="313"/>
      <c r="AG19" s="313"/>
      <c r="AH19" s="313"/>
      <c r="AI19" s="313"/>
      <c r="AJ19" s="313"/>
      <c r="AK19" s="313"/>
      <c r="AL19" s="313"/>
      <c r="AM19" s="313"/>
      <c r="AN19" s="316"/>
      <c r="AO19" s="316"/>
      <c r="AP19" s="317"/>
      <c r="AQ19" s="267"/>
      <c r="AR19" s="318"/>
      <c r="AS19" s="309"/>
      <c r="AT19" s="313"/>
      <c r="AU19" s="319"/>
      <c r="AV19" s="313"/>
      <c r="AW19" s="313"/>
      <c r="AX19" s="320"/>
      <c r="AY19" s="321"/>
      <c r="AZ19" s="322"/>
      <c r="BA19" s="333"/>
      <c r="BC19" s="303">
        <v>11</v>
      </c>
      <c r="BD19" s="325">
        <f t="shared" si="11"/>
        <v>0</v>
      </c>
      <c r="BE19" s="305">
        <f t="shared" si="7"/>
        <v>0</v>
      </c>
      <c r="BF19" s="326">
        <f t="shared" si="12"/>
        <v>0</v>
      </c>
      <c r="BG19" s="307">
        <f t="shared" si="8"/>
        <v>0</v>
      </c>
      <c r="BH19" s="305" t="e">
        <f t="shared" si="9"/>
        <v>#DIV/0!</v>
      </c>
      <c r="BI19" s="305" t="e">
        <f t="shared" si="9"/>
        <v>#DIV/0!</v>
      </c>
    </row>
    <row r="20" spans="1:61" s="139" customFormat="1" ht="18" customHeight="1">
      <c r="A20" s="431"/>
      <c r="B20" s="302"/>
      <c r="C20" s="303">
        <v>12</v>
      </c>
      <c r="D20" s="281"/>
      <c r="E20" s="458">
        <f>'SQ-1'!U16+'SQ-2'!U16+'SQ-3'!U16+'SQ-4'!U16+'SQ-5'!U16+'SQ-6'!U16+'SQ-7'!U16+'SQ-8'!U16+'SQ-9'!U16</f>
        <v>0</v>
      </c>
      <c r="F20" s="305">
        <f t="shared" si="2"/>
        <v>0</v>
      </c>
      <c r="G20" s="303">
        <f t="shared" si="10"/>
        <v>12</v>
      </c>
      <c r="H20" s="305">
        <f t="shared" si="3"/>
        <v>0</v>
      </c>
      <c r="I20" s="305">
        <f t="shared" si="0"/>
        <v>0</v>
      </c>
      <c r="J20" s="459">
        <f>'SQ-1'!P16+'SQ-2'!P16+'SQ-3'!P16+'SQ-4'!P16+'SQ-5'!P16+'SQ-6'!P16+'SQ-7'!P16+'SQ-8'!P16+'SQ-9'!P16</f>
        <v>0</v>
      </c>
      <c r="K20" s="307">
        <f t="shared" si="4"/>
        <v>0</v>
      </c>
      <c r="L20" s="305" t="e">
        <f t="shared" si="5"/>
        <v>#DIV/0!</v>
      </c>
      <c r="M20" s="305" t="e">
        <f t="shared" si="6"/>
        <v>#DIV/0!</v>
      </c>
      <c r="N20" s="306">
        <v>2.46</v>
      </c>
      <c r="O20" s="308" t="e">
        <f t="shared" si="1"/>
        <v>#DIV/0!</v>
      </c>
      <c r="P20" s="458">
        <f>'SQ-1'!T16+'SQ-2'!T16+'SQ-3'!T16+'SQ-4'!T16+'SQ-5'!T16+'SQ-6'!T16+'SQ-7'!T16+'SQ-8'!T16+'SQ-9'!T16</f>
        <v>0</v>
      </c>
      <c r="Q20" s="309"/>
      <c r="R20" s="309"/>
      <c r="S20" s="309"/>
      <c r="T20" s="310"/>
      <c r="U20" s="311"/>
      <c r="V20" s="312"/>
      <c r="W20" s="313"/>
      <c r="X20" s="313"/>
      <c r="Y20" s="313"/>
      <c r="Z20" s="313"/>
      <c r="AA20" s="334"/>
      <c r="AB20" s="314"/>
      <c r="AC20" s="315"/>
      <c r="AD20" s="315"/>
      <c r="AE20" s="313"/>
      <c r="AF20" s="313"/>
      <c r="AG20" s="313"/>
      <c r="AH20" s="313"/>
      <c r="AI20" s="313"/>
      <c r="AJ20" s="313"/>
      <c r="AK20" s="313"/>
      <c r="AL20" s="313"/>
      <c r="AM20" s="313"/>
      <c r="AN20" s="316"/>
      <c r="AO20" s="316"/>
      <c r="AP20" s="317"/>
      <c r="AQ20" s="267"/>
      <c r="AR20" s="318"/>
      <c r="AS20" s="309"/>
      <c r="AT20" s="313"/>
      <c r="AU20" s="319"/>
      <c r="AV20" s="313"/>
      <c r="AW20" s="313"/>
      <c r="AX20" s="320"/>
      <c r="AY20" s="321"/>
      <c r="AZ20" s="322"/>
      <c r="BA20" s="333"/>
      <c r="BC20" s="303">
        <v>12</v>
      </c>
      <c r="BD20" s="325">
        <f t="shared" si="11"/>
        <v>0</v>
      </c>
      <c r="BE20" s="305">
        <f t="shared" si="7"/>
        <v>0</v>
      </c>
      <c r="BF20" s="326">
        <f t="shared" si="12"/>
        <v>0</v>
      </c>
      <c r="BG20" s="307">
        <f t="shared" si="8"/>
        <v>0</v>
      </c>
      <c r="BH20" s="305" t="e">
        <f t="shared" si="9"/>
        <v>#DIV/0!</v>
      </c>
      <c r="BI20" s="305" t="e">
        <f t="shared" si="9"/>
        <v>#DIV/0!</v>
      </c>
    </row>
    <row r="21" spans="1:61" s="139" customFormat="1" ht="18" customHeight="1">
      <c r="A21" s="431"/>
      <c r="B21" s="302"/>
      <c r="C21" s="303">
        <v>13</v>
      </c>
      <c r="D21" s="281"/>
      <c r="E21" s="458">
        <f>'SQ-1'!U17+'SQ-2'!U17+'SQ-3'!U17+'SQ-4'!U17+'SQ-5'!U17+'SQ-6'!U17+'SQ-7'!U17+'SQ-8'!U17+'SQ-9'!U17</f>
        <v>0</v>
      </c>
      <c r="F21" s="325">
        <f t="shared" si="2"/>
        <v>0</v>
      </c>
      <c r="G21" s="303">
        <f t="shared" si="10"/>
        <v>13</v>
      </c>
      <c r="H21" s="325">
        <f t="shared" si="3"/>
        <v>0</v>
      </c>
      <c r="I21" s="325">
        <f t="shared" si="0"/>
        <v>0</v>
      </c>
      <c r="J21" s="459">
        <f>'SQ-1'!P17+'SQ-2'!P17+'SQ-3'!P17+'SQ-4'!P17+'SQ-5'!P17+'SQ-6'!P17+'SQ-7'!P17+'SQ-8'!P17+'SQ-9'!P17</f>
        <v>0</v>
      </c>
      <c r="K21" s="330">
        <f t="shared" si="4"/>
        <v>0</v>
      </c>
      <c r="L21" s="325" t="e">
        <f t="shared" si="5"/>
        <v>#DIV/0!</v>
      </c>
      <c r="M21" s="325" t="e">
        <f t="shared" si="6"/>
        <v>#DIV/0!</v>
      </c>
      <c r="N21" s="306"/>
      <c r="O21" s="308" t="e">
        <f t="shared" si="1"/>
        <v>#DIV/0!</v>
      </c>
      <c r="P21" s="458">
        <f>'SQ-1'!T17+'SQ-2'!T17+'SQ-3'!T17+'SQ-4'!T17+'SQ-5'!T17+'SQ-6'!T17+'SQ-7'!T17+'SQ-8'!T17+'SQ-9'!T17</f>
        <v>0</v>
      </c>
      <c r="Q21" s="309"/>
      <c r="R21" s="309"/>
      <c r="S21" s="309"/>
      <c r="T21" s="310"/>
      <c r="U21" s="311"/>
      <c r="V21" s="312"/>
      <c r="W21" s="313"/>
      <c r="X21" s="313"/>
      <c r="Y21" s="313"/>
      <c r="Z21" s="313"/>
      <c r="AA21" s="313"/>
      <c r="AB21" s="314"/>
      <c r="AC21" s="315"/>
      <c r="AD21" s="315"/>
      <c r="AE21" s="313"/>
      <c r="AF21" s="313"/>
      <c r="AG21" s="313"/>
      <c r="AH21" s="313"/>
      <c r="AI21" s="313"/>
      <c r="AJ21" s="313"/>
      <c r="AK21" s="313"/>
      <c r="AL21" s="313"/>
      <c r="AM21" s="313"/>
      <c r="AN21" s="316"/>
      <c r="AO21" s="316"/>
      <c r="AP21" s="317"/>
      <c r="AQ21" s="267"/>
      <c r="AR21" s="331"/>
      <c r="AS21" s="309"/>
      <c r="AT21" s="313"/>
      <c r="AU21" s="319"/>
      <c r="AV21" s="313"/>
      <c r="AW21" s="313"/>
      <c r="AX21" s="320"/>
      <c r="AY21" s="321"/>
      <c r="AZ21" s="322"/>
      <c r="BA21" s="333"/>
      <c r="BB21" s="227"/>
      <c r="BC21" s="303">
        <v>13</v>
      </c>
      <c r="BD21" s="325">
        <f t="shared" si="11"/>
        <v>0</v>
      </c>
      <c r="BE21" s="325">
        <f t="shared" si="7"/>
        <v>0</v>
      </c>
      <c r="BF21" s="326">
        <f t="shared" si="12"/>
        <v>0</v>
      </c>
      <c r="BG21" s="330">
        <f t="shared" si="8"/>
        <v>0</v>
      </c>
      <c r="BH21" s="325" t="e">
        <f t="shared" si="9"/>
        <v>#DIV/0!</v>
      </c>
      <c r="BI21" s="325" t="e">
        <f t="shared" si="9"/>
        <v>#DIV/0!</v>
      </c>
    </row>
    <row r="22" spans="1:61" s="139" customFormat="1" ht="18" customHeight="1">
      <c r="A22" s="431"/>
      <c r="B22" s="302"/>
      <c r="C22" s="303">
        <v>14</v>
      </c>
      <c r="D22" s="281"/>
      <c r="E22" s="458">
        <f>'SQ-1'!U18+'SQ-2'!U18+'SQ-3'!U18+'SQ-4'!U18+'SQ-5'!U18+'SQ-6'!U18+'SQ-7'!U18+'SQ-8'!U18+'SQ-9'!U18</f>
        <v>0</v>
      </c>
      <c r="F22" s="305">
        <f t="shared" si="2"/>
        <v>0</v>
      </c>
      <c r="G22" s="303">
        <f t="shared" si="10"/>
        <v>14</v>
      </c>
      <c r="H22" s="305">
        <f>H21+E22</f>
        <v>0</v>
      </c>
      <c r="I22" s="305">
        <f>IF(E22="","",ROUND(H22/G22,0))</f>
        <v>0</v>
      </c>
      <c r="J22" s="459">
        <f>'SQ-1'!P18+'SQ-2'!P18+'SQ-3'!P18+'SQ-4'!P18+'SQ-5'!P18+'SQ-6'!P18+'SQ-7'!P18+'SQ-8'!P18+'SQ-9'!P18</f>
        <v>0</v>
      </c>
      <c r="K22" s="307">
        <f t="shared" si="4"/>
        <v>0</v>
      </c>
      <c r="L22" s="305" t="e">
        <f>E22/J22</f>
        <v>#DIV/0!</v>
      </c>
      <c r="M22" s="305" t="e">
        <f t="shared" si="6"/>
        <v>#DIV/0!</v>
      </c>
      <c r="N22" s="306"/>
      <c r="O22" s="308" t="e">
        <f t="shared" si="1"/>
        <v>#DIV/0!</v>
      </c>
      <c r="P22" s="458">
        <f>'SQ-1'!T18+'SQ-2'!T18+'SQ-3'!T18+'SQ-4'!T18+'SQ-5'!T18+'SQ-6'!T18+'SQ-7'!T18+'SQ-8'!T18+'SQ-9'!T18</f>
        <v>0</v>
      </c>
      <c r="Q22" s="309"/>
      <c r="R22" s="309"/>
      <c r="S22" s="309"/>
      <c r="T22" s="312"/>
      <c r="U22" s="335"/>
      <c r="V22" s="312"/>
      <c r="W22" s="313"/>
      <c r="X22" s="313"/>
      <c r="Y22" s="313"/>
      <c r="Z22" s="313"/>
      <c r="AA22" s="313"/>
      <c r="AB22" s="314"/>
      <c r="AC22" s="332"/>
      <c r="AD22" s="315"/>
      <c r="AE22" s="313"/>
      <c r="AF22" s="313"/>
      <c r="AG22" s="313"/>
      <c r="AH22" s="313"/>
      <c r="AI22" s="313"/>
      <c r="AJ22" s="313"/>
      <c r="AK22" s="313"/>
      <c r="AL22" s="313"/>
      <c r="AM22" s="313"/>
      <c r="AN22" s="314"/>
      <c r="AO22" s="314"/>
      <c r="AP22" s="336"/>
      <c r="AQ22" s="267"/>
      <c r="AR22" s="318"/>
      <c r="AS22" s="309"/>
      <c r="AT22" s="313"/>
      <c r="AU22" s="319"/>
      <c r="AV22" s="313"/>
      <c r="AW22" s="313"/>
      <c r="AX22" s="320"/>
      <c r="AY22" s="321"/>
      <c r="AZ22" s="322"/>
      <c r="BA22" s="333"/>
      <c r="BC22" s="303">
        <v>14</v>
      </c>
      <c r="BD22" s="325">
        <f>E22</f>
        <v>0</v>
      </c>
      <c r="BE22" s="305">
        <f t="shared" si="7"/>
        <v>0</v>
      </c>
      <c r="BF22" s="326">
        <f t="shared" si="12"/>
        <v>0</v>
      </c>
      <c r="BG22" s="307">
        <f t="shared" si="8"/>
        <v>0</v>
      </c>
      <c r="BH22" s="305" t="e">
        <f t="shared" si="9"/>
        <v>#DIV/0!</v>
      </c>
      <c r="BI22" s="305" t="e">
        <f t="shared" si="9"/>
        <v>#DIV/0!</v>
      </c>
    </row>
    <row r="23" spans="1:61" ht="18" customHeight="1">
      <c r="B23" s="302"/>
      <c r="C23" s="303">
        <v>15</v>
      </c>
      <c r="D23" s="281"/>
      <c r="E23" s="458">
        <f>'SQ-1'!U19+'SQ-2'!U19+'SQ-3'!U19+'SQ-4'!U19+'SQ-5'!U19+'SQ-6'!U19+'SQ-7'!U19+'SQ-8'!U19+'SQ-9'!U19</f>
        <v>0</v>
      </c>
      <c r="F23" s="305">
        <f t="shared" si="2"/>
        <v>0</v>
      </c>
      <c r="G23" s="303">
        <f t="shared" si="10"/>
        <v>15</v>
      </c>
      <c r="H23" s="305">
        <f>H22+E23</f>
        <v>0</v>
      </c>
      <c r="I23" s="305">
        <f>IF(E23="","",ROUND(H23/G23,0))</f>
        <v>0</v>
      </c>
      <c r="J23" s="459">
        <f>'SQ-1'!P19+'SQ-2'!P19+'SQ-3'!P19+'SQ-4'!P19+'SQ-5'!P19+'SQ-6'!P19+'SQ-7'!P19+'SQ-8'!P19+'SQ-9'!P19</f>
        <v>0</v>
      </c>
      <c r="K23" s="307">
        <f t="shared" si="4"/>
        <v>0</v>
      </c>
      <c r="L23" s="305" t="e">
        <f>E23/J23</f>
        <v>#DIV/0!</v>
      </c>
      <c r="M23" s="305" t="e">
        <f t="shared" si="6"/>
        <v>#DIV/0!</v>
      </c>
      <c r="N23" s="306">
        <v>3.16</v>
      </c>
      <c r="O23" s="308" t="e">
        <f t="shared" si="1"/>
        <v>#DIV/0!</v>
      </c>
      <c r="P23" s="458">
        <f>'SQ-1'!T19+'SQ-2'!T19+'SQ-3'!T19+'SQ-4'!T19+'SQ-5'!T19+'SQ-6'!T19+'SQ-7'!T19+'SQ-8'!T19+'SQ-9'!T19</f>
        <v>0</v>
      </c>
      <c r="Q23" s="309"/>
      <c r="R23" s="309"/>
      <c r="S23" s="309"/>
      <c r="T23" s="312"/>
      <c r="U23" s="335"/>
      <c r="V23" s="312"/>
      <c r="W23" s="221"/>
      <c r="X23" s="334"/>
      <c r="Y23" s="221"/>
      <c r="Z23" s="221"/>
      <c r="AA23" s="221"/>
      <c r="AB23" s="314"/>
      <c r="AC23" s="327"/>
      <c r="AD23" s="315"/>
      <c r="AE23" s="221"/>
      <c r="AF23" s="221"/>
      <c r="AG23" s="221"/>
      <c r="AH23" s="221"/>
      <c r="AI23" s="313"/>
      <c r="AJ23" s="221"/>
      <c r="AK23" s="221"/>
      <c r="AL23" s="221"/>
      <c r="AM23" s="221"/>
      <c r="AN23" s="314"/>
      <c r="AO23" s="314"/>
      <c r="AP23" s="336"/>
      <c r="AQ23" s="267"/>
      <c r="AR23" s="318"/>
      <c r="AS23" s="309"/>
      <c r="AT23" s="221"/>
      <c r="AU23" s="319"/>
      <c r="AV23" s="221"/>
      <c r="AW23" s="221"/>
      <c r="AX23" s="320"/>
      <c r="AY23" s="321"/>
      <c r="AZ23" s="322"/>
      <c r="BA23" s="333"/>
      <c r="BC23" s="303">
        <v>15</v>
      </c>
      <c r="BD23" s="325">
        <f>E23</f>
        <v>0</v>
      </c>
      <c r="BE23" s="305">
        <f t="shared" si="7"/>
        <v>0</v>
      </c>
      <c r="BF23" s="326">
        <f t="shared" si="12"/>
        <v>0</v>
      </c>
      <c r="BG23" s="307">
        <f t="shared" si="8"/>
        <v>0</v>
      </c>
      <c r="BH23" s="305" t="e">
        <f t="shared" si="9"/>
        <v>#DIV/0!</v>
      </c>
      <c r="BI23" s="305" t="e">
        <f t="shared" si="9"/>
        <v>#DIV/0!</v>
      </c>
    </row>
    <row r="24" spans="1:61" ht="18" customHeight="1">
      <c r="B24" s="302"/>
      <c r="C24" s="303">
        <v>16</v>
      </c>
      <c r="D24" s="281"/>
      <c r="E24" s="458">
        <f>'SQ-1'!U20+'SQ-2'!U20+'SQ-3'!U20+'SQ-4'!U20+'SQ-5'!U20+'SQ-6'!U20+'SQ-7'!U20+'SQ-8'!U20+'SQ-9'!U20</f>
        <v>0</v>
      </c>
      <c r="F24" s="305">
        <f t="shared" si="2"/>
        <v>0</v>
      </c>
      <c r="G24" s="303">
        <f t="shared" si="10"/>
        <v>16</v>
      </c>
      <c r="H24" s="305">
        <f t="shared" si="3"/>
        <v>0</v>
      </c>
      <c r="I24" s="305">
        <f t="shared" si="0"/>
        <v>0</v>
      </c>
      <c r="J24" s="459">
        <f>'SQ-1'!P20+'SQ-2'!P20+'SQ-3'!P20+'SQ-4'!P20+'SQ-5'!P20+'SQ-6'!P20+'SQ-7'!P20+'SQ-8'!P20+'SQ-9'!P20</f>
        <v>0</v>
      </c>
      <c r="K24" s="307">
        <f t="shared" si="4"/>
        <v>0</v>
      </c>
      <c r="L24" s="305" t="e">
        <f t="shared" si="5"/>
        <v>#DIV/0!</v>
      </c>
      <c r="M24" s="305" t="e">
        <f t="shared" si="6"/>
        <v>#DIV/0!</v>
      </c>
      <c r="N24" s="306">
        <v>2.75</v>
      </c>
      <c r="O24" s="308" t="e">
        <f t="shared" si="1"/>
        <v>#DIV/0!</v>
      </c>
      <c r="P24" s="458">
        <f>'SQ-1'!T20+'SQ-2'!T20+'SQ-3'!T20+'SQ-4'!T20+'SQ-5'!T20+'SQ-6'!T20+'SQ-7'!T20+'SQ-8'!T20+'SQ-9'!T20</f>
        <v>0</v>
      </c>
      <c r="Q24" s="309"/>
      <c r="R24" s="309"/>
      <c r="S24" s="309"/>
      <c r="T24" s="310"/>
      <c r="U24" s="311"/>
      <c r="V24" s="312"/>
      <c r="W24" s="221"/>
      <c r="X24" s="221"/>
      <c r="Y24" s="221"/>
      <c r="Z24" s="221"/>
      <c r="AA24" s="221"/>
      <c r="AB24" s="314"/>
      <c r="AC24" s="327"/>
      <c r="AD24" s="315"/>
      <c r="AE24" s="221"/>
      <c r="AF24" s="221"/>
      <c r="AG24" s="221"/>
      <c r="AH24" s="221"/>
      <c r="AI24" s="221"/>
      <c r="AJ24" s="221"/>
      <c r="AK24" s="221"/>
      <c r="AL24" s="221"/>
      <c r="AM24" s="221"/>
      <c r="AN24" s="316"/>
      <c r="AO24" s="316"/>
      <c r="AP24" s="317"/>
      <c r="AQ24" s="267"/>
      <c r="AR24" s="318"/>
      <c r="AS24" s="309"/>
      <c r="AT24" s="221"/>
      <c r="AU24" s="319"/>
      <c r="AV24" s="221"/>
      <c r="AW24" s="221"/>
      <c r="AX24" s="320"/>
      <c r="AY24" s="321"/>
      <c r="AZ24" s="322"/>
      <c r="BA24" s="333"/>
      <c r="BC24" s="303">
        <v>16</v>
      </c>
      <c r="BD24" s="325">
        <f t="shared" si="11"/>
        <v>0</v>
      </c>
      <c r="BE24" s="305">
        <f t="shared" si="7"/>
        <v>0</v>
      </c>
      <c r="BF24" s="326">
        <f t="shared" si="12"/>
        <v>0</v>
      </c>
      <c r="BG24" s="307">
        <f t="shared" si="8"/>
        <v>0</v>
      </c>
      <c r="BH24" s="305" t="e">
        <f t="shared" si="9"/>
        <v>#DIV/0!</v>
      </c>
      <c r="BI24" s="305" t="e">
        <f t="shared" si="9"/>
        <v>#DIV/0!</v>
      </c>
    </row>
    <row r="25" spans="1:61" ht="18" customHeight="1">
      <c r="B25" s="302"/>
      <c r="C25" s="303">
        <v>17</v>
      </c>
      <c r="D25" s="281"/>
      <c r="E25" s="458">
        <f>'SQ-1'!U21+'SQ-2'!U21+'SQ-3'!U21+'SQ-4'!U21+'SQ-5'!U21+'SQ-6'!U21+'SQ-7'!U21+'SQ-8'!U21+'SQ-9'!U21</f>
        <v>0</v>
      </c>
      <c r="F25" s="305">
        <f t="shared" si="2"/>
        <v>0</v>
      </c>
      <c r="G25" s="303">
        <f t="shared" si="10"/>
        <v>17</v>
      </c>
      <c r="H25" s="305">
        <f t="shared" si="3"/>
        <v>0</v>
      </c>
      <c r="I25" s="305">
        <f t="shared" si="0"/>
        <v>0</v>
      </c>
      <c r="J25" s="459">
        <f>'SQ-1'!P21+'SQ-2'!P21+'SQ-3'!P21+'SQ-4'!P21+'SQ-5'!P21+'SQ-6'!P21+'SQ-7'!P21+'SQ-8'!P21+'SQ-9'!P21</f>
        <v>0</v>
      </c>
      <c r="K25" s="307">
        <f t="shared" si="4"/>
        <v>0</v>
      </c>
      <c r="L25" s="305" t="e">
        <f t="shared" si="5"/>
        <v>#DIV/0!</v>
      </c>
      <c r="M25" s="305" t="e">
        <f t="shared" si="6"/>
        <v>#DIV/0!</v>
      </c>
      <c r="N25" s="306">
        <v>3.08</v>
      </c>
      <c r="O25" s="308" t="e">
        <f t="shared" si="1"/>
        <v>#DIV/0!</v>
      </c>
      <c r="P25" s="458">
        <f>'SQ-1'!T21+'SQ-2'!T21+'SQ-3'!T21+'SQ-4'!T21+'SQ-5'!T21+'SQ-6'!T21+'SQ-7'!T21+'SQ-8'!T21+'SQ-9'!T21</f>
        <v>0</v>
      </c>
      <c r="Q25" s="309"/>
      <c r="R25" s="309"/>
      <c r="S25" s="309"/>
      <c r="T25" s="310"/>
      <c r="U25" s="311"/>
      <c r="V25" s="312"/>
      <c r="W25" s="313"/>
      <c r="X25" s="221"/>
      <c r="Y25" s="221"/>
      <c r="Z25" s="221"/>
      <c r="AA25" s="221"/>
      <c r="AB25" s="314"/>
      <c r="AC25" s="327"/>
      <c r="AD25" s="327"/>
      <c r="AE25" s="221"/>
      <c r="AF25" s="221"/>
      <c r="AG25" s="221"/>
      <c r="AH25" s="221"/>
      <c r="AI25" s="221"/>
      <c r="AJ25" s="221"/>
      <c r="AK25" s="221"/>
      <c r="AL25" s="221"/>
      <c r="AM25" s="221"/>
      <c r="AN25" s="316"/>
      <c r="AO25" s="316"/>
      <c r="AP25" s="317"/>
      <c r="AQ25" s="267"/>
      <c r="AR25" s="318"/>
      <c r="AS25" s="309"/>
      <c r="AT25" s="221"/>
      <c r="AU25" s="319"/>
      <c r="AV25" s="221"/>
      <c r="AW25" s="221"/>
      <c r="AX25" s="320"/>
      <c r="AY25" s="321"/>
      <c r="AZ25" s="322"/>
      <c r="BA25" s="333"/>
      <c r="BC25" s="303">
        <v>17</v>
      </c>
      <c r="BD25" s="325">
        <f t="shared" si="11"/>
        <v>0</v>
      </c>
      <c r="BE25" s="305">
        <f t="shared" si="7"/>
        <v>0</v>
      </c>
      <c r="BF25" s="326">
        <f t="shared" si="12"/>
        <v>0</v>
      </c>
      <c r="BG25" s="307">
        <f t="shared" si="8"/>
        <v>0</v>
      </c>
      <c r="BH25" s="305" t="e">
        <f t="shared" si="9"/>
        <v>#DIV/0!</v>
      </c>
      <c r="BI25" s="305" t="e">
        <f t="shared" si="9"/>
        <v>#DIV/0!</v>
      </c>
    </row>
    <row r="26" spans="1:61" ht="18" customHeight="1">
      <c r="B26" s="302"/>
      <c r="C26" s="303">
        <v>18</v>
      </c>
      <c r="D26" s="281"/>
      <c r="E26" s="458">
        <f>'SQ-1'!U22+'SQ-2'!U22+'SQ-3'!U22+'SQ-4'!U22+'SQ-5'!U22+'SQ-6'!U22+'SQ-7'!U22+'SQ-8'!U22+'SQ-9'!U22</f>
        <v>0</v>
      </c>
      <c r="F26" s="305">
        <f t="shared" si="2"/>
        <v>0</v>
      </c>
      <c r="G26" s="303">
        <f t="shared" si="10"/>
        <v>18</v>
      </c>
      <c r="H26" s="305">
        <f t="shared" si="3"/>
        <v>0</v>
      </c>
      <c r="I26" s="305">
        <f t="shared" si="0"/>
        <v>0</v>
      </c>
      <c r="J26" s="459">
        <f>'SQ-1'!P22+'SQ-2'!P22+'SQ-3'!P22+'SQ-4'!P22+'SQ-5'!P22+'SQ-6'!P22+'SQ-7'!P22+'SQ-8'!P22+'SQ-9'!P22</f>
        <v>0</v>
      </c>
      <c r="K26" s="307">
        <f t="shared" si="4"/>
        <v>0</v>
      </c>
      <c r="L26" s="305" t="e">
        <f t="shared" si="5"/>
        <v>#DIV/0!</v>
      </c>
      <c r="M26" s="305" t="e">
        <f t="shared" si="6"/>
        <v>#DIV/0!</v>
      </c>
      <c r="N26" s="306">
        <v>3.38</v>
      </c>
      <c r="O26" s="308" t="e">
        <f t="shared" si="1"/>
        <v>#DIV/0!</v>
      </c>
      <c r="P26" s="458">
        <f>'SQ-1'!T22+'SQ-2'!T22+'SQ-3'!T22+'SQ-4'!T22+'SQ-5'!T22+'SQ-6'!T22+'SQ-7'!T22+'SQ-8'!T22+'SQ-9'!T22</f>
        <v>0</v>
      </c>
      <c r="Q26" s="309"/>
      <c r="R26" s="309"/>
      <c r="S26" s="309"/>
      <c r="T26" s="310"/>
      <c r="U26" s="311"/>
      <c r="V26" s="312"/>
      <c r="W26" s="221"/>
      <c r="X26" s="221"/>
      <c r="Y26" s="221"/>
      <c r="Z26" s="221"/>
      <c r="AA26" s="221"/>
      <c r="AB26" s="314"/>
      <c r="AC26" s="327"/>
      <c r="AD26" s="315"/>
      <c r="AE26" s="221"/>
      <c r="AF26" s="221"/>
      <c r="AG26" s="221"/>
      <c r="AH26" s="221"/>
      <c r="AI26" s="221"/>
      <c r="AJ26" s="221"/>
      <c r="AK26" s="221"/>
      <c r="AL26" s="221"/>
      <c r="AM26" s="221"/>
      <c r="AN26" s="316"/>
      <c r="AO26" s="316"/>
      <c r="AP26" s="317"/>
      <c r="AQ26" s="267"/>
      <c r="AR26" s="318"/>
      <c r="AS26" s="309"/>
      <c r="AT26" s="313"/>
      <c r="AU26" s="319"/>
      <c r="AV26" s="221"/>
      <c r="AW26" s="221"/>
      <c r="AX26" s="320"/>
      <c r="AY26" s="321"/>
      <c r="AZ26" s="322"/>
      <c r="BA26" s="337"/>
      <c r="BC26" s="303">
        <v>18</v>
      </c>
      <c r="BD26" s="325">
        <f t="shared" si="11"/>
        <v>0</v>
      </c>
      <c r="BE26" s="305">
        <f t="shared" si="7"/>
        <v>0</v>
      </c>
      <c r="BF26" s="326">
        <f t="shared" si="12"/>
        <v>0</v>
      </c>
      <c r="BG26" s="307">
        <f t="shared" si="8"/>
        <v>0</v>
      </c>
      <c r="BH26" s="305" t="e">
        <f t="shared" si="9"/>
        <v>#DIV/0!</v>
      </c>
      <c r="BI26" s="305" t="e">
        <f t="shared" si="9"/>
        <v>#DIV/0!</v>
      </c>
    </row>
    <row r="27" spans="1:61" ht="18" customHeight="1">
      <c r="B27" s="302"/>
      <c r="C27" s="303">
        <v>19</v>
      </c>
      <c r="D27" s="281"/>
      <c r="E27" s="458">
        <f>'SQ-1'!U23+'SQ-2'!U23+'SQ-3'!U23+'SQ-4'!U23+'SQ-5'!U23+'SQ-6'!U23+'SQ-7'!U23+'SQ-8'!U23+'SQ-9'!U23</f>
        <v>0</v>
      </c>
      <c r="F27" s="325">
        <f t="shared" si="2"/>
        <v>0</v>
      </c>
      <c r="G27" s="303">
        <f t="shared" si="10"/>
        <v>19</v>
      </c>
      <c r="H27" s="325">
        <f t="shared" si="3"/>
        <v>0</v>
      </c>
      <c r="I27" s="325">
        <f t="shared" si="0"/>
        <v>0</v>
      </c>
      <c r="J27" s="459">
        <f>'SQ-1'!P23+'SQ-2'!P23+'SQ-3'!P23+'SQ-4'!P23+'SQ-5'!P23+'SQ-6'!P23+'SQ-7'!P23+'SQ-8'!P23+'SQ-9'!P23</f>
        <v>0</v>
      </c>
      <c r="K27" s="330">
        <f t="shared" si="4"/>
        <v>0</v>
      </c>
      <c r="L27" s="325" t="e">
        <f t="shared" si="5"/>
        <v>#DIV/0!</v>
      </c>
      <c r="M27" s="325" t="e">
        <f t="shared" si="6"/>
        <v>#DIV/0!</v>
      </c>
      <c r="N27" s="306">
        <v>3.75</v>
      </c>
      <c r="O27" s="308" t="e">
        <f t="shared" si="1"/>
        <v>#DIV/0!</v>
      </c>
      <c r="P27" s="458">
        <f>'SQ-1'!T23+'SQ-2'!T23+'SQ-3'!T23+'SQ-4'!T23+'SQ-5'!T23+'SQ-6'!T23+'SQ-7'!T23+'SQ-8'!T23+'SQ-9'!T23</f>
        <v>0</v>
      </c>
      <c r="Q27" s="309"/>
      <c r="R27" s="309"/>
      <c r="S27" s="309"/>
      <c r="T27" s="310"/>
      <c r="U27" s="311"/>
      <c r="V27" s="312"/>
      <c r="W27" s="221"/>
      <c r="X27" s="221"/>
      <c r="Y27" s="334"/>
      <c r="Z27" s="221"/>
      <c r="AA27" s="221"/>
      <c r="AB27" s="314"/>
      <c r="AC27" s="327"/>
      <c r="AD27" s="315"/>
      <c r="AE27" s="221"/>
      <c r="AF27" s="221"/>
      <c r="AG27" s="221"/>
      <c r="AH27" s="221"/>
      <c r="AI27" s="221"/>
      <c r="AJ27" s="313"/>
      <c r="AK27" s="334"/>
      <c r="AL27" s="221"/>
      <c r="AM27" s="221"/>
      <c r="AN27" s="316"/>
      <c r="AO27" s="316"/>
      <c r="AP27" s="317"/>
      <c r="AQ27" s="267"/>
      <c r="AR27" s="331"/>
      <c r="AS27" s="309"/>
      <c r="AT27" s="221"/>
      <c r="AU27" s="319"/>
      <c r="AV27" s="221"/>
      <c r="AW27" s="221"/>
      <c r="AX27" s="320"/>
      <c r="AY27" s="321"/>
      <c r="AZ27" s="322"/>
      <c r="BA27" s="328"/>
      <c r="BB27" s="220"/>
      <c r="BC27" s="303">
        <v>19</v>
      </c>
      <c r="BD27" s="325">
        <f t="shared" si="11"/>
        <v>0</v>
      </c>
      <c r="BE27" s="325">
        <f t="shared" si="7"/>
        <v>0</v>
      </c>
      <c r="BF27" s="326">
        <f t="shared" si="12"/>
        <v>0</v>
      </c>
      <c r="BG27" s="330">
        <f t="shared" si="8"/>
        <v>0</v>
      </c>
      <c r="BH27" s="325" t="e">
        <f t="shared" si="9"/>
        <v>#DIV/0!</v>
      </c>
      <c r="BI27" s="325" t="e">
        <f t="shared" si="9"/>
        <v>#DIV/0!</v>
      </c>
    </row>
    <row r="28" spans="1:61" ht="18" customHeight="1">
      <c r="B28" s="302"/>
      <c r="C28" s="303">
        <v>20</v>
      </c>
      <c r="D28" s="281"/>
      <c r="E28" s="458">
        <f>'SQ-1'!U24+'SQ-2'!U24+'SQ-3'!U24+'SQ-4'!U24+'SQ-5'!U24+'SQ-6'!U24+'SQ-7'!U24+'SQ-8'!U24+'SQ-9'!U24</f>
        <v>0</v>
      </c>
      <c r="F28" s="325">
        <f t="shared" si="2"/>
        <v>0</v>
      </c>
      <c r="G28" s="303">
        <f t="shared" si="10"/>
        <v>20</v>
      </c>
      <c r="H28" s="325">
        <f t="shared" si="3"/>
        <v>0</v>
      </c>
      <c r="I28" s="325">
        <f t="shared" si="0"/>
        <v>0</v>
      </c>
      <c r="J28" s="459">
        <f>'SQ-1'!P24+'SQ-2'!P24+'SQ-3'!P24+'SQ-4'!P24+'SQ-5'!P24+'SQ-6'!P24+'SQ-7'!P24+'SQ-8'!P24+'SQ-9'!P24</f>
        <v>0</v>
      </c>
      <c r="K28" s="330">
        <f t="shared" si="4"/>
        <v>0</v>
      </c>
      <c r="L28" s="325" t="e">
        <f t="shared" si="5"/>
        <v>#DIV/0!</v>
      </c>
      <c r="M28" s="325" t="e">
        <f t="shared" si="6"/>
        <v>#DIV/0!</v>
      </c>
      <c r="N28" s="306"/>
      <c r="O28" s="308" t="e">
        <f t="shared" si="1"/>
        <v>#DIV/0!</v>
      </c>
      <c r="P28" s="458">
        <f>'SQ-1'!T24+'SQ-2'!T24+'SQ-3'!T24+'SQ-4'!T24+'SQ-5'!T24+'SQ-6'!T24+'SQ-7'!T24+'SQ-8'!T24+'SQ-9'!T24</f>
        <v>0</v>
      </c>
      <c r="Q28" s="309"/>
      <c r="R28" s="309"/>
      <c r="S28" s="309"/>
      <c r="T28" s="310"/>
      <c r="U28" s="311"/>
      <c r="V28" s="312"/>
      <c r="W28" s="221"/>
      <c r="X28" s="221"/>
      <c r="Y28" s="221"/>
      <c r="Z28" s="221"/>
      <c r="AA28" s="221"/>
      <c r="AB28" s="314"/>
      <c r="AC28" s="327"/>
      <c r="AD28" s="327"/>
      <c r="AE28" s="221"/>
      <c r="AF28" s="221"/>
      <c r="AG28" s="221"/>
      <c r="AH28" s="221"/>
      <c r="AI28" s="221"/>
      <c r="AJ28" s="221"/>
      <c r="AK28" s="221"/>
      <c r="AL28" s="221"/>
      <c r="AM28" s="221"/>
      <c r="AN28" s="316"/>
      <c r="AO28" s="316"/>
      <c r="AP28" s="317"/>
      <c r="AQ28" s="267"/>
      <c r="AR28" s="331"/>
      <c r="AS28" s="309"/>
      <c r="AT28" s="221"/>
      <c r="AU28" s="319"/>
      <c r="AV28" s="221"/>
      <c r="AW28" s="221"/>
      <c r="AX28" s="320"/>
      <c r="AY28" s="321"/>
      <c r="AZ28" s="322"/>
      <c r="BA28" s="338"/>
      <c r="BB28" s="220"/>
      <c r="BC28" s="303">
        <v>20</v>
      </c>
      <c r="BD28" s="325">
        <f t="shared" si="11"/>
        <v>0</v>
      </c>
      <c r="BE28" s="325">
        <f t="shared" si="7"/>
        <v>0</v>
      </c>
      <c r="BF28" s="326">
        <f t="shared" si="12"/>
        <v>0</v>
      </c>
      <c r="BG28" s="330">
        <f t="shared" si="8"/>
        <v>0</v>
      </c>
      <c r="BH28" s="325" t="e">
        <f t="shared" si="9"/>
        <v>#DIV/0!</v>
      </c>
      <c r="BI28" s="325" t="e">
        <f t="shared" si="9"/>
        <v>#DIV/0!</v>
      </c>
    </row>
    <row r="29" spans="1:61" ht="18" customHeight="1">
      <c r="B29" s="302"/>
      <c r="C29" s="303">
        <v>21</v>
      </c>
      <c r="D29" s="281"/>
      <c r="E29" s="458">
        <f>'SQ-1'!U25+'SQ-2'!U25+'SQ-3'!U25+'SQ-4'!U25+'SQ-5'!U25+'SQ-6'!U25+'SQ-7'!U25+'SQ-8'!U25+'SQ-9'!U25</f>
        <v>0</v>
      </c>
      <c r="F29" s="305">
        <f t="shared" si="2"/>
        <v>0</v>
      </c>
      <c r="G29" s="303">
        <f t="shared" si="10"/>
        <v>21</v>
      </c>
      <c r="H29" s="305">
        <f t="shared" si="3"/>
        <v>0</v>
      </c>
      <c r="I29" s="305">
        <f t="shared" si="0"/>
        <v>0</v>
      </c>
      <c r="J29" s="459">
        <f>'SQ-1'!P25+'SQ-2'!P25+'SQ-3'!P25+'SQ-4'!P25+'SQ-5'!P25+'SQ-6'!P25+'SQ-7'!P25+'SQ-8'!P25+'SQ-9'!P25</f>
        <v>0</v>
      </c>
      <c r="K29" s="307">
        <f t="shared" si="4"/>
        <v>0</v>
      </c>
      <c r="L29" s="305" t="e">
        <f t="shared" si="5"/>
        <v>#DIV/0!</v>
      </c>
      <c r="M29" s="305" t="e">
        <f t="shared" si="6"/>
        <v>#DIV/0!</v>
      </c>
      <c r="N29" s="306">
        <v>2.66</v>
      </c>
      <c r="O29" s="308" t="e">
        <f t="shared" si="1"/>
        <v>#DIV/0!</v>
      </c>
      <c r="P29" s="458">
        <f>'SQ-1'!T25+'SQ-2'!T25+'SQ-3'!T25+'SQ-4'!T25+'SQ-5'!T25+'SQ-6'!T25+'SQ-7'!T25+'SQ-8'!T25+'SQ-9'!T25</f>
        <v>0</v>
      </c>
      <c r="Q29" s="309"/>
      <c r="R29" s="309"/>
      <c r="S29" s="309"/>
      <c r="T29" s="310"/>
      <c r="U29" s="311"/>
      <c r="V29" s="312"/>
      <c r="W29" s="339"/>
      <c r="X29" s="304"/>
      <c r="Y29" s="339"/>
      <c r="Z29" s="304"/>
      <c r="AA29" s="304"/>
      <c r="AB29" s="314"/>
      <c r="AC29" s="327"/>
      <c r="AD29" s="327"/>
      <c r="AE29" s="304"/>
      <c r="AF29" s="304"/>
      <c r="AG29" s="304"/>
      <c r="AH29" s="304"/>
      <c r="AI29" s="304"/>
      <c r="AJ29" s="304"/>
      <c r="AK29" s="339"/>
      <c r="AL29" s="304"/>
      <c r="AM29" s="304"/>
      <c r="AN29" s="316"/>
      <c r="AO29" s="316"/>
      <c r="AP29" s="317"/>
      <c r="AQ29" s="267"/>
      <c r="AR29" s="318"/>
      <c r="AS29" s="309"/>
      <c r="AT29" s="304"/>
      <c r="AU29" s="319"/>
      <c r="AV29" s="304"/>
      <c r="AW29" s="304"/>
      <c r="AX29" s="320"/>
      <c r="AY29" s="321"/>
      <c r="AZ29" s="322"/>
      <c r="BA29" s="328"/>
      <c r="BC29" s="303">
        <v>21</v>
      </c>
      <c r="BD29" s="325">
        <f t="shared" si="11"/>
        <v>0</v>
      </c>
      <c r="BE29" s="305">
        <f t="shared" si="7"/>
        <v>0</v>
      </c>
      <c r="BF29" s="326">
        <f t="shared" si="12"/>
        <v>0</v>
      </c>
      <c r="BG29" s="307">
        <f t="shared" si="8"/>
        <v>0</v>
      </c>
      <c r="BH29" s="305" t="e">
        <f t="shared" si="9"/>
        <v>#DIV/0!</v>
      </c>
      <c r="BI29" s="305" t="e">
        <f t="shared" si="9"/>
        <v>#DIV/0!</v>
      </c>
    </row>
    <row r="30" spans="1:61" ht="18" customHeight="1">
      <c r="B30" s="302"/>
      <c r="C30" s="303">
        <v>22</v>
      </c>
      <c r="D30" s="281"/>
      <c r="E30" s="458">
        <f>'SQ-1'!U26+'SQ-2'!U26+'SQ-3'!U26+'SQ-4'!U26+'SQ-5'!U26+'SQ-6'!U26+'SQ-7'!U26+'SQ-8'!U26+'SQ-9'!U26</f>
        <v>0</v>
      </c>
      <c r="F30" s="305">
        <f t="shared" si="2"/>
        <v>0</v>
      </c>
      <c r="G30" s="303">
        <f t="shared" si="10"/>
        <v>22</v>
      </c>
      <c r="H30" s="305">
        <f t="shared" si="3"/>
        <v>0</v>
      </c>
      <c r="I30" s="305">
        <f t="shared" si="0"/>
        <v>0</v>
      </c>
      <c r="J30" s="459">
        <f>'SQ-1'!P26+'SQ-2'!P26+'SQ-3'!P26+'SQ-4'!P26+'SQ-5'!P26+'SQ-6'!P26+'SQ-7'!P26+'SQ-8'!P26+'SQ-9'!P26</f>
        <v>0</v>
      </c>
      <c r="K30" s="307">
        <f t="shared" si="4"/>
        <v>0</v>
      </c>
      <c r="L30" s="305" t="e">
        <f t="shared" si="5"/>
        <v>#DIV/0!</v>
      </c>
      <c r="M30" s="305" t="e">
        <f t="shared" si="6"/>
        <v>#DIV/0!</v>
      </c>
      <c r="N30" s="306">
        <v>2.1800000000000002</v>
      </c>
      <c r="O30" s="308" t="e">
        <f t="shared" si="1"/>
        <v>#DIV/0!</v>
      </c>
      <c r="P30" s="458">
        <f>'SQ-1'!T26+'SQ-2'!T26+'SQ-3'!T26+'SQ-4'!T26+'SQ-5'!T26+'SQ-6'!T26+'SQ-7'!T26+'SQ-8'!T26+'SQ-9'!T26</f>
        <v>0</v>
      </c>
      <c r="Q30" s="309"/>
      <c r="R30" s="309"/>
      <c r="S30" s="309"/>
      <c r="T30" s="310"/>
      <c r="U30" s="311"/>
      <c r="V30" s="312"/>
      <c r="W30" s="304"/>
      <c r="X30" s="304"/>
      <c r="Y30" s="304"/>
      <c r="Z30" s="304"/>
      <c r="AA30" s="304"/>
      <c r="AB30" s="314"/>
      <c r="AC30" s="327"/>
      <c r="AD30" s="327"/>
      <c r="AE30" s="304"/>
      <c r="AF30" s="304"/>
      <c r="AG30" s="304"/>
      <c r="AH30" s="304"/>
      <c r="AI30" s="304"/>
      <c r="AJ30" s="304"/>
      <c r="AK30" s="304"/>
      <c r="AL30" s="304"/>
      <c r="AM30" s="304"/>
      <c r="AN30" s="316"/>
      <c r="AO30" s="316"/>
      <c r="AP30" s="317"/>
      <c r="AQ30" s="267"/>
      <c r="AR30" s="318"/>
      <c r="AS30" s="309"/>
      <c r="AT30" s="304"/>
      <c r="AU30" s="319"/>
      <c r="AV30" s="304"/>
      <c r="AW30" s="304"/>
      <c r="AX30" s="320"/>
      <c r="AY30" s="321"/>
      <c r="AZ30" s="322"/>
      <c r="BA30" s="328"/>
      <c r="BC30" s="303">
        <v>22</v>
      </c>
      <c r="BD30" s="325">
        <f t="shared" si="11"/>
        <v>0</v>
      </c>
      <c r="BE30" s="305">
        <f t="shared" si="7"/>
        <v>0</v>
      </c>
      <c r="BF30" s="326">
        <f t="shared" si="12"/>
        <v>0</v>
      </c>
      <c r="BG30" s="307">
        <f t="shared" si="8"/>
        <v>0</v>
      </c>
      <c r="BH30" s="305" t="e">
        <f t="shared" si="9"/>
        <v>#DIV/0!</v>
      </c>
      <c r="BI30" s="305" t="e">
        <f t="shared" si="9"/>
        <v>#DIV/0!</v>
      </c>
    </row>
    <row r="31" spans="1:61" ht="18" customHeight="1">
      <c r="B31" s="302"/>
      <c r="C31" s="303">
        <v>23</v>
      </c>
      <c r="D31" s="281"/>
      <c r="E31" s="458">
        <f>'SQ-1'!U27+'SQ-2'!U27+'SQ-3'!U27+'SQ-4'!U27+'SQ-5'!U27+'SQ-6'!U27+'SQ-7'!U27+'SQ-8'!U27+'SQ-9'!U27</f>
        <v>0</v>
      </c>
      <c r="F31" s="305">
        <f t="shared" si="2"/>
        <v>0</v>
      </c>
      <c r="G31" s="303">
        <f t="shared" si="10"/>
        <v>23</v>
      </c>
      <c r="H31" s="305">
        <f t="shared" si="3"/>
        <v>0</v>
      </c>
      <c r="I31" s="305">
        <f t="shared" si="0"/>
        <v>0</v>
      </c>
      <c r="J31" s="459">
        <f>'SQ-1'!P27+'SQ-2'!P27+'SQ-3'!P27+'SQ-4'!P27+'SQ-5'!P27+'SQ-6'!P27+'SQ-7'!P27+'SQ-8'!P27+'SQ-9'!P27</f>
        <v>0</v>
      </c>
      <c r="K31" s="307">
        <f t="shared" si="4"/>
        <v>0</v>
      </c>
      <c r="L31" s="305" t="e">
        <f t="shared" si="5"/>
        <v>#DIV/0!</v>
      </c>
      <c r="M31" s="305" t="e">
        <f t="shared" si="6"/>
        <v>#DIV/0!</v>
      </c>
      <c r="N31" s="306">
        <v>3</v>
      </c>
      <c r="O31" s="308" t="e">
        <f t="shared" si="1"/>
        <v>#DIV/0!</v>
      </c>
      <c r="P31" s="458">
        <f>'SQ-1'!T27+'SQ-2'!T27+'SQ-3'!T27+'SQ-4'!T27+'SQ-5'!T27+'SQ-6'!T27+'SQ-7'!T27+'SQ-8'!T27+'SQ-9'!T27</f>
        <v>0</v>
      </c>
      <c r="Q31" s="309"/>
      <c r="R31" s="309"/>
      <c r="S31" s="309"/>
      <c r="T31" s="310"/>
      <c r="U31" s="311"/>
      <c r="V31" s="312"/>
      <c r="W31" s="304"/>
      <c r="X31" s="304"/>
      <c r="Y31" s="304"/>
      <c r="Z31" s="304"/>
      <c r="AA31" s="304"/>
      <c r="AB31" s="314"/>
      <c r="AC31" s="332"/>
      <c r="AD31" s="327"/>
      <c r="AE31" s="304"/>
      <c r="AF31" s="304"/>
      <c r="AG31" s="304"/>
      <c r="AH31" s="304"/>
      <c r="AI31" s="304"/>
      <c r="AJ31" s="304"/>
      <c r="AK31" s="304"/>
      <c r="AL31" s="339"/>
      <c r="AM31" s="304"/>
      <c r="AN31" s="316"/>
      <c r="AO31" s="316"/>
      <c r="AP31" s="317"/>
      <c r="AQ31" s="267"/>
      <c r="AR31" s="331"/>
      <c r="AS31" s="309"/>
      <c r="AT31" s="304"/>
      <c r="AU31" s="319"/>
      <c r="AV31" s="304"/>
      <c r="AW31" s="304"/>
      <c r="AX31" s="340"/>
      <c r="AY31" s="321"/>
      <c r="AZ31" s="341"/>
      <c r="BA31" s="328"/>
      <c r="BC31" s="303">
        <v>23</v>
      </c>
      <c r="BD31" s="325">
        <f t="shared" si="11"/>
        <v>0</v>
      </c>
      <c r="BE31" s="305">
        <f t="shared" si="7"/>
        <v>0</v>
      </c>
      <c r="BF31" s="326">
        <f t="shared" si="12"/>
        <v>0</v>
      </c>
      <c r="BG31" s="307">
        <f t="shared" si="8"/>
        <v>0</v>
      </c>
      <c r="BH31" s="305" t="e">
        <f t="shared" si="9"/>
        <v>#DIV/0!</v>
      </c>
      <c r="BI31" s="305" t="e">
        <f t="shared" si="9"/>
        <v>#DIV/0!</v>
      </c>
    </row>
    <row r="32" spans="1:61" s="220" customFormat="1" ht="18" customHeight="1">
      <c r="B32" s="302"/>
      <c r="C32" s="303">
        <v>24</v>
      </c>
      <c r="D32" s="281"/>
      <c r="E32" s="458">
        <f>'SQ-1'!U28+'SQ-2'!U28+'SQ-3'!U28+'SQ-4'!U28+'SQ-5'!U28+'SQ-6'!U28+'SQ-7'!U28+'SQ-8'!U28+'SQ-9'!U28</f>
        <v>0</v>
      </c>
      <c r="F32" s="305">
        <f t="shared" si="2"/>
        <v>0</v>
      </c>
      <c r="G32" s="303">
        <f t="shared" si="10"/>
        <v>24</v>
      </c>
      <c r="H32" s="305">
        <f t="shared" si="3"/>
        <v>0</v>
      </c>
      <c r="I32" s="305">
        <f t="shared" si="0"/>
        <v>0</v>
      </c>
      <c r="J32" s="459">
        <f>'SQ-1'!P28+'SQ-2'!P28+'SQ-3'!P28+'SQ-4'!P28+'SQ-5'!P28+'SQ-6'!P28+'SQ-7'!P28+'SQ-8'!P28+'SQ-9'!P28</f>
        <v>0</v>
      </c>
      <c r="K32" s="307">
        <f t="shared" si="4"/>
        <v>0</v>
      </c>
      <c r="L32" s="305" t="e">
        <f t="shared" si="5"/>
        <v>#DIV/0!</v>
      </c>
      <c r="M32" s="305" t="e">
        <f t="shared" si="6"/>
        <v>#DIV/0!</v>
      </c>
      <c r="N32" s="306"/>
      <c r="O32" s="308" t="e">
        <f t="shared" si="1"/>
        <v>#DIV/0!</v>
      </c>
      <c r="P32" s="458">
        <f>'SQ-1'!T28+'SQ-2'!T28+'SQ-3'!T28+'SQ-4'!T28+'SQ-5'!T28+'SQ-6'!T28+'SQ-7'!T28+'SQ-8'!T28+'SQ-9'!T28</f>
        <v>0</v>
      </c>
      <c r="Q32" s="309"/>
      <c r="R32" s="309"/>
      <c r="S32" s="309"/>
      <c r="T32" s="310"/>
      <c r="U32" s="311"/>
      <c r="V32" s="312"/>
      <c r="W32" s="304"/>
      <c r="X32" s="304"/>
      <c r="Y32" s="304"/>
      <c r="Z32" s="304"/>
      <c r="AA32" s="304"/>
      <c r="AB32" s="314"/>
      <c r="AC32" s="327"/>
      <c r="AD32" s="327"/>
      <c r="AE32" s="304"/>
      <c r="AF32" s="304"/>
      <c r="AG32" s="304"/>
      <c r="AH32" s="304"/>
      <c r="AI32" s="304"/>
      <c r="AJ32" s="304"/>
      <c r="AK32" s="304"/>
      <c r="AL32" s="304"/>
      <c r="AM32" s="304"/>
      <c r="AN32" s="316"/>
      <c r="AO32" s="316"/>
      <c r="AP32" s="317"/>
      <c r="AQ32" s="267"/>
      <c r="AR32" s="331"/>
      <c r="AS32" s="309"/>
      <c r="AT32" s="304"/>
      <c r="AU32" s="319"/>
      <c r="AV32" s="304"/>
      <c r="AW32" s="304"/>
      <c r="AX32" s="340"/>
      <c r="AY32" s="321"/>
      <c r="AZ32" s="341"/>
      <c r="BA32" s="328"/>
      <c r="BC32" s="303">
        <v>24</v>
      </c>
      <c r="BD32" s="325">
        <f t="shared" si="11"/>
        <v>0</v>
      </c>
      <c r="BE32" s="305">
        <f t="shared" si="7"/>
        <v>0</v>
      </c>
      <c r="BF32" s="326">
        <f t="shared" si="12"/>
        <v>0</v>
      </c>
      <c r="BG32" s="307">
        <f t="shared" si="8"/>
        <v>0</v>
      </c>
      <c r="BH32" s="305" t="e">
        <f t="shared" si="9"/>
        <v>#DIV/0!</v>
      </c>
      <c r="BI32" s="305" t="e">
        <f t="shared" si="9"/>
        <v>#DIV/0!</v>
      </c>
    </row>
    <row r="33" spans="1:61" ht="18" customHeight="1">
      <c r="B33" s="302"/>
      <c r="C33" s="303">
        <v>25</v>
      </c>
      <c r="D33" s="281"/>
      <c r="E33" s="458">
        <f>'SQ-1'!U29+'SQ-2'!U29+'SQ-3'!U29+'SQ-4'!U29+'SQ-5'!U29+'SQ-6'!U29+'SQ-7'!U29+'SQ-8'!U29+'SQ-9'!U29</f>
        <v>0</v>
      </c>
      <c r="F33" s="305">
        <f t="shared" si="2"/>
        <v>0</v>
      </c>
      <c r="G33" s="303">
        <f t="shared" si="10"/>
        <v>25</v>
      </c>
      <c r="H33" s="305">
        <f t="shared" si="3"/>
        <v>0</v>
      </c>
      <c r="I33" s="305">
        <f t="shared" si="0"/>
        <v>0</v>
      </c>
      <c r="J33" s="459">
        <f>'SQ-1'!P29+'SQ-2'!P29+'SQ-3'!P29+'SQ-4'!P29+'SQ-5'!P29+'SQ-6'!P29+'SQ-7'!P29+'SQ-8'!P29+'SQ-9'!P29</f>
        <v>0</v>
      </c>
      <c r="K33" s="307">
        <f t="shared" si="4"/>
        <v>0</v>
      </c>
      <c r="L33" s="305" t="e">
        <f t="shared" si="5"/>
        <v>#DIV/0!</v>
      </c>
      <c r="M33" s="305" t="e">
        <f t="shared" si="6"/>
        <v>#DIV/0!</v>
      </c>
      <c r="N33" s="306"/>
      <c r="O33" s="308" t="e">
        <f t="shared" si="1"/>
        <v>#DIV/0!</v>
      </c>
      <c r="P33" s="458">
        <f>'SQ-1'!T29+'SQ-2'!T29+'SQ-3'!T29+'SQ-4'!T29+'SQ-5'!T29+'SQ-6'!T29+'SQ-7'!T29+'SQ-8'!T29+'SQ-9'!T29</f>
        <v>0</v>
      </c>
      <c r="Q33" s="309"/>
      <c r="R33" s="309"/>
      <c r="S33" s="309"/>
      <c r="T33" s="310"/>
      <c r="U33" s="311"/>
      <c r="V33" s="312"/>
      <c r="W33" s="304"/>
      <c r="X33" s="304"/>
      <c r="Y33" s="304"/>
      <c r="Z33" s="304"/>
      <c r="AA33" s="304"/>
      <c r="AB33" s="314"/>
      <c r="AC33" s="327"/>
      <c r="AD33" s="327"/>
      <c r="AE33" s="304"/>
      <c r="AF33" s="304"/>
      <c r="AG33" s="304"/>
      <c r="AH33" s="304"/>
      <c r="AI33" s="304"/>
      <c r="AJ33" s="304"/>
      <c r="AK33" s="304"/>
      <c r="AL33" s="304"/>
      <c r="AM33" s="304"/>
      <c r="AN33" s="316"/>
      <c r="AO33" s="316"/>
      <c r="AP33" s="317"/>
      <c r="AQ33" s="267"/>
      <c r="AR33" s="318"/>
      <c r="AS33" s="309"/>
      <c r="AT33" s="304"/>
      <c r="AU33" s="319"/>
      <c r="AV33" s="304"/>
      <c r="AW33" s="304"/>
      <c r="AX33" s="340"/>
      <c r="AY33" s="321"/>
      <c r="AZ33" s="341"/>
      <c r="BA33" s="333"/>
      <c r="BC33" s="303">
        <v>25</v>
      </c>
      <c r="BD33" s="325">
        <f t="shared" si="11"/>
        <v>0</v>
      </c>
      <c r="BE33" s="305">
        <f t="shared" si="7"/>
        <v>0</v>
      </c>
      <c r="BF33" s="326">
        <f t="shared" si="12"/>
        <v>0</v>
      </c>
      <c r="BG33" s="307">
        <f t="shared" si="8"/>
        <v>0</v>
      </c>
      <c r="BH33" s="305" t="e">
        <f t="shared" si="9"/>
        <v>#DIV/0!</v>
      </c>
      <c r="BI33" s="305" t="e">
        <f t="shared" si="9"/>
        <v>#DIV/0!</v>
      </c>
    </row>
    <row r="34" spans="1:61" ht="18" customHeight="1">
      <c r="B34" s="302"/>
      <c r="C34" s="303">
        <v>26</v>
      </c>
      <c r="D34" s="281"/>
      <c r="E34" s="458">
        <f>'SQ-1'!U30+'SQ-2'!U30+'SQ-3'!U30+'SQ-4'!U30+'SQ-5'!U30+'SQ-6'!U30+'SQ-7'!U30+'SQ-8'!U30+'SQ-9'!U30</f>
        <v>0</v>
      </c>
      <c r="F34" s="305">
        <f t="shared" si="2"/>
        <v>0</v>
      </c>
      <c r="G34" s="303">
        <f t="shared" si="10"/>
        <v>26</v>
      </c>
      <c r="H34" s="305">
        <f t="shared" si="3"/>
        <v>0</v>
      </c>
      <c r="I34" s="305">
        <f t="shared" si="0"/>
        <v>0</v>
      </c>
      <c r="J34" s="459">
        <f>'SQ-1'!P30+'SQ-2'!P30+'SQ-3'!P30+'SQ-4'!P30+'SQ-5'!P30+'SQ-6'!P30+'SQ-7'!P30+'SQ-8'!P30+'SQ-9'!P30</f>
        <v>0</v>
      </c>
      <c r="K34" s="307">
        <f t="shared" si="4"/>
        <v>0</v>
      </c>
      <c r="L34" s="305" t="e">
        <f t="shared" si="5"/>
        <v>#DIV/0!</v>
      </c>
      <c r="M34" s="325" t="e">
        <f t="shared" si="6"/>
        <v>#DIV/0!</v>
      </c>
      <c r="N34" s="306"/>
      <c r="O34" s="308" t="e">
        <f t="shared" si="1"/>
        <v>#DIV/0!</v>
      </c>
      <c r="P34" s="458">
        <f>'SQ-1'!T30+'SQ-2'!T30+'SQ-3'!T30+'SQ-4'!T30+'SQ-5'!T30+'SQ-6'!T30+'SQ-7'!T30+'SQ-8'!T30+'SQ-9'!T30</f>
        <v>0</v>
      </c>
      <c r="Q34" s="309"/>
      <c r="R34" s="309"/>
      <c r="S34" s="309"/>
      <c r="T34" s="310"/>
      <c r="U34" s="311"/>
      <c r="V34" s="312"/>
      <c r="W34" s="304"/>
      <c r="X34" s="304"/>
      <c r="Y34" s="304"/>
      <c r="Z34" s="304"/>
      <c r="AA34" s="304"/>
      <c r="AB34" s="314"/>
      <c r="AC34" s="327"/>
      <c r="AD34" s="327"/>
      <c r="AE34" s="304"/>
      <c r="AF34" s="304"/>
      <c r="AG34" s="304"/>
      <c r="AH34" s="304"/>
      <c r="AI34" s="304"/>
      <c r="AJ34" s="304"/>
      <c r="AK34" s="304"/>
      <c r="AL34" s="304"/>
      <c r="AM34" s="304"/>
      <c r="AN34" s="316"/>
      <c r="AO34" s="316"/>
      <c r="AP34" s="317"/>
      <c r="AQ34" s="267"/>
      <c r="AR34" s="318"/>
      <c r="AS34" s="309"/>
      <c r="AT34" s="304"/>
      <c r="AU34" s="319"/>
      <c r="AV34" s="304"/>
      <c r="AW34" s="304"/>
      <c r="AX34" s="340"/>
      <c r="AY34" s="321"/>
      <c r="AZ34" s="341"/>
      <c r="BA34" s="333"/>
      <c r="BC34" s="303">
        <v>26</v>
      </c>
      <c r="BD34" s="325">
        <f t="shared" si="11"/>
        <v>0</v>
      </c>
      <c r="BE34" s="305">
        <f t="shared" si="7"/>
        <v>0</v>
      </c>
      <c r="BF34" s="326">
        <f t="shared" si="12"/>
        <v>0</v>
      </c>
      <c r="BG34" s="307">
        <f t="shared" si="8"/>
        <v>0</v>
      </c>
      <c r="BH34" s="305" t="e">
        <f t="shared" si="9"/>
        <v>#DIV/0!</v>
      </c>
      <c r="BI34" s="305" t="e">
        <f t="shared" si="9"/>
        <v>#DIV/0!</v>
      </c>
    </row>
    <row r="35" spans="1:61" ht="18" customHeight="1">
      <c r="B35" s="302"/>
      <c r="C35" s="303">
        <v>27</v>
      </c>
      <c r="D35" s="281"/>
      <c r="E35" s="458">
        <f>'SQ-1'!U31+'SQ-2'!U31+'SQ-3'!U31+'SQ-4'!U31+'SQ-5'!U31+'SQ-6'!U31+'SQ-7'!U31+'SQ-8'!U31+'SQ-9'!U31</f>
        <v>0</v>
      </c>
      <c r="F35" s="305">
        <f t="shared" si="2"/>
        <v>0</v>
      </c>
      <c r="G35" s="303">
        <f t="shared" si="10"/>
        <v>27</v>
      </c>
      <c r="H35" s="325">
        <f t="shared" si="3"/>
        <v>0</v>
      </c>
      <c r="I35" s="325">
        <f t="shared" si="0"/>
        <v>0</v>
      </c>
      <c r="J35" s="459">
        <f>'SQ-1'!P31+'SQ-2'!P31+'SQ-3'!P31+'SQ-4'!P31+'SQ-5'!P31+'SQ-6'!P31+'SQ-7'!P31+'SQ-8'!P31+'SQ-9'!P31</f>
        <v>0</v>
      </c>
      <c r="K35" s="330">
        <f t="shared" si="4"/>
        <v>0</v>
      </c>
      <c r="L35" s="325" t="e">
        <f t="shared" si="5"/>
        <v>#DIV/0!</v>
      </c>
      <c r="M35" s="325" t="e">
        <f t="shared" si="6"/>
        <v>#DIV/0!</v>
      </c>
      <c r="N35" s="306"/>
      <c r="O35" s="308" t="e">
        <f t="shared" si="1"/>
        <v>#DIV/0!</v>
      </c>
      <c r="P35" s="458">
        <f>'SQ-1'!T31+'SQ-2'!T31+'SQ-3'!T31+'SQ-4'!T31+'SQ-5'!T31+'SQ-6'!T31+'SQ-7'!T31+'SQ-8'!T31+'SQ-9'!T31</f>
        <v>0</v>
      </c>
      <c r="Q35" s="309"/>
      <c r="R35" s="309"/>
      <c r="S35" s="309"/>
      <c r="T35" s="312"/>
      <c r="U35" s="335"/>
      <c r="V35" s="342"/>
      <c r="W35" s="304"/>
      <c r="X35" s="304"/>
      <c r="Y35" s="304"/>
      <c r="Z35" s="304"/>
      <c r="AA35" s="304"/>
      <c r="AB35" s="314"/>
      <c r="AC35" s="327"/>
      <c r="AD35" s="327"/>
      <c r="AE35" s="304"/>
      <c r="AF35" s="304"/>
      <c r="AG35" s="304"/>
      <c r="AH35" s="304"/>
      <c r="AI35" s="304"/>
      <c r="AJ35" s="304"/>
      <c r="AK35" s="304"/>
      <c r="AL35" s="304"/>
      <c r="AM35" s="304"/>
      <c r="AN35" s="316"/>
      <c r="AO35" s="316"/>
      <c r="AP35" s="317"/>
      <c r="AQ35" s="267"/>
      <c r="AR35" s="331"/>
      <c r="AS35" s="309"/>
      <c r="AT35" s="304"/>
      <c r="AU35" s="319"/>
      <c r="AV35" s="304"/>
      <c r="AW35" s="304"/>
      <c r="AX35" s="340"/>
      <c r="AY35" s="321"/>
      <c r="AZ35" s="341"/>
      <c r="BA35" s="323"/>
      <c r="BB35" s="220"/>
      <c r="BC35" s="303">
        <v>27</v>
      </c>
      <c r="BD35" s="325">
        <f t="shared" si="11"/>
        <v>0</v>
      </c>
      <c r="BE35" s="325">
        <f t="shared" si="7"/>
        <v>0</v>
      </c>
      <c r="BF35" s="326">
        <f t="shared" si="12"/>
        <v>0</v>
      </c>
      <c r="BG35" s="330">
        <f t="shared" si="8"/>
        <v>0</v>
      </c>
      <c r="BH35" s="325" t="e">
        <f t="shared" si="9"/>
        <v>#DIV/0!</v>
      </c>
      <c r="BI35" s="325" t="e">
        <f t="shared" si="9"/>
        <v>#DIV/0!</v>
      </c>
    </row>
    <row r="36" spans="1:61" ht="18" customHeight="1">
      <c r="A36" s="19" t="s">
        <v>161</v>
      </c>
      <c r="B36" s="302"/>
      <c r="C36" s="303">
        <v>28</v>
      </c>
      <c r="D36" s="281"/>
      <c r="E36" s="458">
        <f>'SQ-1'!U32+'SQ-2'!U32+'SQ-3'!U32+'SQ-4'!U32+'SQ-5'!U32+'SQ-6'!U32+'SQ-7'!U32+'SQ-8'!U32+'SQ-9'!U32</f>
        <v>0</v>
      </c>
      <c r="F36" s="305">
        <f t="shared" si="2"/>
        <v>0</v>
      </c>
      <c r="G36" s="303">
        <f t="shared" si="10"/>
        <v>28</v>
      </c>
      <c r="H36" s="305">
        <f t="shared" si="3"/>
        <v>0</v>
      </c>
      <c r="I36" s="305">
        <f t="shared" si="0"/>
        <v>0</v>
      </c>
      <c r="J36" s="459">
        <f>'SQ-1'!P32+'SQ-2'!P32+'SQ-3'!P32+'SQ-4'!P32+'SQ-5'!P32+'SQ-6'!P32+'SQ-7'!P32+'SQ-8'!P32+'SQ-9'!P32</f>
        <v>0</v>
      </c>
      <c r="K36" s="307">
        <f t="shared" si="4"/>
        <v>0</v>
      </c>
      <c r="L36" s="305" t="e">
        <f t="shared" si="5"/>
        <v>#DIV/0!</v>
      </c>
      <c r="M36" s="305" t="e">
        <f t="shared" si="6"/>
        <v>#DIV/0!</v>
      </c>
      <c r="N36" s="306"/>
      <c r="O36" s="308" t="e">
        <f t="shared" si="1"/>
        <v>#DIV/0!</v>
      </c>
      <c r="P36" s="458">
        <f>'SQ-1'!T32+'SQ-2'!T32+'SQ-3'!T32+'SQ-4'!T32+'SQ-5'!T32+'SQ-6'!T32+'SQ-7'!T32+'SQ-8'!T32+'SQ-9'!T32</f>
        <v>0</v>
      </c>
      <c r="Q36" s="309"/>
      <c r="R36" s="309"/>
      <c r="S36" s="309"/>
      <c r="T36" s="312"/>
      <c r="U36" s="335"/>
      <c r="V36" s="342"/>
      <c r="W36" s="304"/>
      <c r="X36" s="304"/>
      <c r="Y36" s="304"/>
      <c r="Z36" s="304"/>
      <c r="AA36" s="304"/>
      <c r="AB36" s="314"/>
      <c r="AC36" s="327"/>
      <c r="AD36" s="327"/>
      <c r="AE36" s="304"/>
      <c r="AF36" s="304"/>
      <c r="AG36" s="304"/>
      <c r="AH36" s="304"/>
      <c r="AI36" s="304"/>
      <c r="AJ36" s="304"/>
      <c r="AK36" s="304"/>
      <c r="AL36" s="304"/>
      <c r="AM36" s="304"/>
      <c r="AN36" s="316"/>
      <c r="AO36" s="316"/>
      <c r="AP36" s="317"/>
      <c r="AQ36" s="267"/>
      <c r="AR36" s="331"/>
      <c r="AS36" s="309"/>
      <c r="AT36" s="304"/>
      <c r="AU36" s="319"/>
      <c r="AV36" s="304"/>
      <c r="AW36" s="304"/>
      <c r="AX36" s="340"/>
      <c r="AY36" s="321"/>
      <c r="AZ36" s="341"/>
      <c r="BA36" s="328"/>
      <c r="BC36" s="303">
        <v>28</v>
      </c>
      <c r="BD36" s="325">
        <f t="shared" si="11"/>
        <v>0</v>
      </c>
      <c r="BE36" s="305">
        <f t="shared" si="7"/>
        <v>0</v>
      </c>
      <c r="BF36" s="326">
        <f t="shared" si="12"/>
        <v>0</v>
      </c>
      <c r="BG36" s="307">
        <f t="shared" si="8"/>
        <v>0</v>
      </c>
      <c r="BH36" s="305" t="e">
        <f t="shared" si="9"/>
        <v>#DIV/0!</v>
      </c>
      <c r="BI36" s="305" t="e">
        <f t="shared" si="9"/>
        <v>#DIV/0!</v>
      </c>
    </row>
    <row r="37" spans="1:61" ht="18" customHeight="1">
      <c r="B37" s="302"/>
      <c r="C37" s="303">
        <v>29</v>
      </c>
      <c r="D37" s="281"/>
      <c r="E37" s="458">
        <f>'SQ-1'!U33+'SQ-2'!U33+'SQ-3'!U33+'SQ-4'!U33+'SQ-5'!U33+'SQ-6'!U33+'SQ-7'!U33+'SQ-8'!U33+'SQ-9'!U33</f>
        <v>0</v>
      </c>
      <c r="F37" s="305">
        <f t="shared" si="2"/>
        <v>0</v>
      </c>
      <c r="G37" s="303">
        <f t="shared" si="10"/>
        <v>29</v>
      </c>
      <c r="H37" s="305">
        <f t="shared" si="3"/>
        <v>0</v>
      </c>
      <c r="I37" s="305">
        <f t="shared" si="0"/>
        <v>0</v>
      </c>
      <c r="J37" s="459">
        <f>'SQ-1'!P33+'SQ-2'!P33+'SQ-3'!P33+'SQ-4'!P33+'SQ-5'!P33+'SQ-6'!P33+'SQ-7'!P33+'SQ-8'!P33+'SQ-9'!P33</f>
        <v>0</v>
      </c>
      <c r="K37" s="307">
        <f t="shared" si="4"/>
        <v>0</v>
      </c>
      <c r="L37" s="305" t="e">
        <f t="shared" si="5"/>
        <v>#DIV/0!</v>
      </c>
      <c r="M37" s="305" t="e">
        <f t="shared" si="6"/>
        <v>#DIV/0!</v>
      </c>
      <c r="N37" s="306"/>
      <c r="O37" s="308" t="e">
        <f t="shared" si="1"/>
        <v>#DIV/0!</v>
      </c>
      <c r="P37" s="458">
        <f>'SQ-1'!T33+'SQ-2'!T33+'SQ-3'!T33+'SQ-4'!T33+'SQ-5'!T33+'SQ-6'!T33+'SQ-7'!T33+'SQ-8'!T33+'SQ-9'!T33</f>
        <v>0</v>
      </c>
      <c r="Q37" s="309"/>
      <c r="R37" s="309"/>
      <c r="S37" s="309"/>
      <c r="T37" s="310"/>
      <c r="U37" s="311"/>
      <c r="V37" s="312"/>
      <c r="W37" s="304"/>
      <c r="X37" s="304"/>
      <c r="Y37" s="304"/>
      <c r="Z37" s="304"/>
      <c r="AA37" s="304"/>
      <c r="AB37" s="314"/>
      <c r="AC37" s="327"/>
      <c r="AD37" s="327"/>
      <c r="AE37" s="304"/>
      <c r="AF37" s="304"/>
      <c r="AG37" s="304"/>
      <c r="AH37" s="304"/>
      <c r="AI37" s="304"/>
      <c r="AJ37" s="304"/>
      <c r="AK37" s="304"/>
      <c r="AL37" s="304"/>
      <c r="AM37" s="304"/>
      <c r="AN37" s="316"/>
      <c r="AO37" s="316"/>
      <c r="AP37" s="317"/>
      <c r="AQ37" s="267"/>
      <c r="AR37" s="318"/>
      <c r="AS37" s="309"/>
      <c r="AT37" s="304"/>
      <c r="AU37" s="319"/>
      <c r="AV37" s="304"/>
      <c r="AW37" s="304"/>
      <c r="AX37" s="340"/>
      <c r="AY37" s="321"/>
      <c r="AZ37" s="341"/>
      <c r="BA37" s="328"/>
      <c r="BC37" s="303">
        <f>IF($B37="-","",BC36+1)</f>
        <v>29</v>
      </c>
      <c r="BD37" s="325">
        <f t="shared" si="11"/>
        <v>0</v>
      </c>
      <c r="BE37" s="305">
        <f t="shared" si="7"/>
        <v>0</v>
      </c>
      <c r="BF37" s="326">
        <f t="shared" si="12"/>
        <v>0</v>
      </c>
      <c r="BG37" s="307">
        <f t="shared" si="8"/>
        <v>0</v>
      </c>
      <c r="BH37" s="305" t="e">
        <f t="shared" si="9"/>
        <v>#DIV/0!</v>
      </c>
      <c r="BI37" s="305" t="e">
        <f t="shared" si="9"/>
        <v>#DIV/0!</v>
      </c>
    </row>
    <row r="38" spans="1:61" ht="18" customHeight="1">
      <c r="A38" s="19" t="s">
        <v>161</v>
      </c>
      <c r="B38" s="302"/>
      <c r="C38" s="303">
        <v>30</v>
      </c>
      <c r="D38" s="281"/>
      <c r="E38" s="458">
        <f>'SQ-1'!U34+'SQ-2'!U34+'SQ-3'!U34+'SQ-4'!U34+'SQ-5'!U34+'SQ-6'!U34+'SQ-7'!U34+'SQ-8'!U34+'SQ-9'!U34</f>
        <v>0</v>
      </c>
      <c r="F38" s="305">
        <f t="shared" si="2"/>
        <v>0</v>
      </c>
      <c r="G38" s="303">
        <f t="shared" si="10"/>
        <v>30</v>
      </c>
      <c r="H38" s="325">
        <f t="shared" si="3"/>
        <v>0</v>
      </c>
      <c r="I38" s="305">
        <f t="shared" si="0"/>
        <v>0</v>
      </c>
      <c r="J38" s="459">
        <f>'SQ-1'!P34+'SQ-2'!P34+'SQ-3'!P34+'SQ-4'!P34+'SQ-5'!P34+'SQ-6'!P34+'SQ-7'!P34+'SQ-8'!P34+'SQ-9'!P34</f>
        <v>0</v>
      </c>
      <c r="K38" s="307">
        <f t="shared" si="4"/>
        <v>0</v>
      </c>
      <c r="L38" s="305" t="e">
        <f t="shared" si="5"/>
        <v>#DIV/0!</v>
      </c>
      <c r="M38" s="305" t="e">
        <f t="shared" si="6"/>
        <v>#DIV/0!</v>
      </c>
      <c r="N38" s="306"/>
      <c r="O38" s="308" t="e">
        <f t="shared" si="1"/>
        <v>#DIV/0!</v>
      </c>
      <c r="P38" s="458">
        <f>'SQ-1'!T34+'SQ-2'!T34+'SQ-3'!T34+'SQ-4'!T34+'SQ-5'!T34+'SQ-6'!T34+'SQ-7'!T34+'SQ-8'!T34+'SQ-9'!T34</f>
        <v>0</v>
      </c>
      <c r="Q38" s="309"/>
      <c r="R38" s="309"/>
      <c r="S38" s="309"/>
      <c r="T38" s="310"/>
      <c r="U38" s="311"/>
      <c r="V38" s="312"/>
      <c r="W38" s="304"/>
      <c r="X38" s="304"/>
      <c r="Y38" s="304"/>
      <c r="Z38" s="304"/>
      <c r="AA38" s="304"/>
      <c r="AB38" s="314"/>
      <c r="AC38" s="327"/>
      <c r="AD38" s="327"/>
      <c r="AE38" s="304"/>
      <c r="AF38" s="304"/>
      <c r="AG38" s="304"/>
      <c r="AH38" s="304"/>
      <c r="AI38" s="304"/>
      <c r="AJ38" s="304"/>
      <c r="AK38" s="304"/>
      <c r="AL38" s="304"/>
      <c r="AM38" s="304"/>
      <c r="AN38" s="316"/>
      <c r="AO38" s="316"/>
      <c r="AP38" s="317"/>
      <c r="AQ38" s="267"/>
      <c r="AR38" s="318"/>
      <c r="AS38" s="309"/>
      <c r="AT38" s="304"/>
      <c r="AU38" s="319"/>
      <c r="AV38" s="304"/>
      <c r="AW38" s="304"/>
      <c r="AX38" s="340"/>
      <c r="AY38" s="321"/>
      <c r="AZ38" s="343"/>
      <c r="BA38" s="328"/>
      <c r="BC38" s="303">
        <f>IF($B38="-","",BC37+1)</f>
        <v>30</v>
      </c>
      <c r="BD38" s="325">
        <f t="shared" si="11"/>
        <v>0</v>
      </c>
      <c r="BE38" s="305">
        <f t="shared" si="7"/>
        <v>0</v>
      </c>
      <c r="BF38" s="326">
        <f t="shared" si="12"/>
        <v>0</v>
      </c>
      <c r="BG38" s="307">
        <f t="shared" si="8"/>
        <v>0</v>
      </c>
      <c r="BH38" s="305" t="e">
        <f t="shared" si="9"/>
        <v>#DIV/0!</v>
      </c>
      <c r="BI38" s="305" t="e">
        <f t="shared" si="9"/>
        <v>#DIV/0!</v>
      </c>
    </row>
    <row r="39" spans="1:61" ht="18" customHeight="1">
      <c r="B39" s="302"/>
      <c r="C39" s="303">
        <v>31</v>
      </c>
      <c r="D39" s="281"/>
      <c r="E39" s="458">
        <f>'SQ-1'!U35+'SQ-2'!U35+'SQ-3'!U35+'SQ-4'!U35+'SQ-5'!U35+'SQ-6'!U35+'SQ-7'!U35+'SQ-8'!U35+'SQ-9'!U35</f>
        <v>0</v>
      </c>
      <c r="F39" s="305">
        <f t="shared" si="2"/>
        <v>0</v>
      </c>
      <c r="G39" s="303">
        <f t="shared" si="10"/>
        <v>31</v>
      </c>
      <c r="H39" s="305">
        <f t="shared" si="3"/>
        <v>0</v>
      </c>
      <c r="I39" s="305"/>
      <c r="J39" s="459">
        <f>'SQ-1'!P35+'SQ-2'!P35+'SQ-3'!P35+'SQ-4'!P35+'SQ-5'!P35+'SQ-6'!P35+'SQ-7'!P35+'SQ-8'!P35+'SQ-9'!P35</f>
        <v>0</v>
      </c>
      <c r="K39" s="307">
        <f t="shared" si="4"/>
        <v>0</v>
      </c>
      <c r="L39" s="305" t="e">
        <f>E39/J39</f>
        <v>#DIV/0!</v>
      </c>
      <c r="M39" s="305" t="e">
        <f>H39/K39</f>
        <v>#DIV/0!</v>
      </c>
      <c r="N39" s="306"/>
      <c r="O39" s="308" t="e">
        <f t="shared" si="1"/>
        <v>#DIV/0!</v>
      </c>
      <c r="P39" s="458">
        <f>'SQ-1'!T35+'SQ-2'!T35+'SQ-3'!T35+'SQ-4'!T35+'SQ-5'!T35+'SQ-6'!T35+'SQ-7'!T35+'SQ-8'!T35+'SQ-9'!T35</f>
        <v>0</v>
      </c>
      <c r="Q39" s="309"/>
      <c r="R39" s="309"/>
      <c r="S39" s="309"/>
      <c r="T39" s="310"/>
      <c r="U39" s="311"/>
      <c r="V39" s="312"/>
      <c r="W39" s="304"/>
      <c r="X39" s="304"/>
      <c r="Y39" s="304"/>
      <c r="Z39" s="304"/>
      <c r="AA39" s="304"/>
      <c r="AB39" s="314"/>
      <c r="AC39" s="327"/>
      <c r="AD39" s="327"/>
      <c r="AE39" s="304"/>
      <c r="AF39" s="304"/>
      <c r="AG39" s="304"/>
      <c r="AH39" s="304"/>
      <c r="AI39" s="304"/>
      <c r="AJ39" s="304"/>
      <c r="AK39" s="304"/>
      <c r="AL39" s="304"/>
      <c r="AM39" s="304"/>
      <c r="AN39" s="316"/>
      <c r="AO39" s="316"/>
      <c r="AP39" s="317"/>
      <c r="AQ39" s="267"/>
      <c r="AR39" s="331"/>
      <c r="AS39" s="309"/>
      <c r="AT39" s="304"/>
      <c r="AU39" s="319"/>
      <c r="AV39" s="304"/>
      <c r="AW39" s="304"/>
      <c r="AX39" s="340"/>
      <c r="AY39" s="321"/>
      <c r="AZ39" s="341"/>
      <c r="BA39" s="344"/>
      <c r="BC39" s="303">
        <f>IF($B39="-","",BC38+1)</f>
        <v>31</v>
      </c>
      <c r="BD39" s="325">
        <f t="shared" si="11"/>
        <v>0</v>
      </c>
      <c r="BE39" s="305">
        <f t="shared" si="7"/>
        <v>0</v>
      </c>
      <c r="BF39" s="326">
        <f t="shared" si="12"/>
        <v>0</v>
      </c>
      <c r="BG39" s="307">
        <f t="shared" si="8"/>
        <v>0</v>
      </c>
      <c r="BH39" s="305" t="e">
        <f t="shared" si="9"/>
        <v>#DIV/0!</v>
      </c>
      <c r="BI39" s="305" t="e">
        <f t="shared" si="9"/>
        <v>#DIV/0!</v>
      </c>
    </row>
    <row r="40" spans="1:61" ht="18" customHeight="1">
      <c r="D40" s="345">
        <f>SUM(D9:D39)</f>
        <v>0</v>
      </c>
      <c r="E40" s="304">
        <f>SUM(E9:E39)</f>
        <v>0</v>
      </c>
      <c r="F40" s="346"/>
      <c r="G40" s="347"/>
      <c r="H40" s="346">
        <f>H39</f>
        <v>0</v>
      </c>
      <c r="I40" s="346"/>
      <c r="J40" s="348">
        <f>SUM(J9:J39)</f>
        <v>0</v>
      </c>
      <c r="K40" s="346"/>
      <c r="L40" s="346"/>
      <c r="M40" s="346"/>
      <c r="N40" s="349">
        <f>SUM(N9:N39)</f>
        <v>49.480000000000011</v>
      </c>
      <c r="O40" s="308" t="e">
        <f t="shared" si="1"/>
        <v>#DIV/0!</v>
      </c>
      <c r="P40" s="345">
        <f>SUM(P9:P39)</f>
        <v>0</v>
      </c>
      <c r="Q40" s="345">
        <f>SUM(Q9:Q39)</f>
        <v>0</v>
      </c>
      <c r="R40" s="345">
        <f>SUM(R9:R39)</f>
        <v>0</v>
      </c>
      <c r="S40" s="345">
        <f>SUM(S9:S39)</f>
        <v>0</v>
      </c>
      <c r="T40" s="350" t="e">
        <f>(J40-N40)/R40*60</f>
        <v>#DIV/0!</v>
      </c>
      <c r="U40" s="351" t="e">
        <f>S40/R40</f>
        <v>#DIV/0!</v>
      </c>
      <c r="V40" s="350">
        <f>H40/N40/60</f>
        <v>0</v>
      </c>
      <c r="W40" s="345">
        <f t="shared" ref="W40:AQ40" si="13">SUM(W9:W39)</f>
        <v>0</v>
      </c>
      <c r="X40" s="345">
        <f t="shared" si="13"/>
        <v>0</v>
      </c>
      <c r="Y40" s="345">
        <f t="shared" si="13"/>
        <v>0</v>
      </c>
      <c r="Z40" s="345">
        <f t="shared" si="13"/>
        <v>0</v>
      </c>
      <c r="AA40" s="345">
        <f t="shared" si="13"/>
        <v>0</v>
      </c>
      <c r="AB40" s="345">
        <f t="shared" si="13"/>
        <v>0</v>
      </c>
      <c r="AC40" s="345">
        <f t="shared" si="13"/>
        <v>0</v>
      </c>
      <c r="AD40" s="345">
        <f t="shared" si="13"/>
        <v>0</v>
      </c>
      <c r="AE40" s="345">
        <f t="shared" si="13"/>
        <v>0</v>
      </c>
      <c r="AF40" s="345">
        <f t="shared" si="13"/>
        <v>0</v>
      </c>
      <c r="AG40" s="345">
        <f t="shared" si="13"/>
        <v>0</v>
      </c>
      <c r="AH40" s="345">
        <f t="shared" si="13"/>
        <v>0</v>
      </c>
      <c r="AI40" s="345">
        <f t="shared" si="13"/>
        <v>0</v>
      </c>
      <c r="AJ40" s="345">
        <f t="shared" si="13"/>
        <v>0</v>
      </c>
      <c r="AK40" s="345">
        <f t="shared" si="13"/>
        <v>0</v>
      </c>
      <c r="AL40" s="345">
        <f t="shared" si="13"/>
        <v>0</v>
      </c>
      <c r="AM40" s="345">
        <f t="shared" si="13"/>
        <v>0</v>
      </c>
      <c r="AN40" s="345">
        <f t="shared" si="13"/>
        <v>0</v>
      </c>
      <c r="AO40" s="345">
        <f t="shared" si="13"/>
        <v>0</v>
      </c>
      <c r="AP40" s="317">
        <f t="shared" si="13"/>
        <v>0</v>
      </c>
      <c r="AQ40" s="345">
        <f t="shared" si="13"/>
        <v>0</v>
      </c>
      <c r="AR40" s="318">
        <f>SUM(AN40:AQ40)</f>
        <v>0</v>
      </c>
      <c r="AS40" s="345">
        <f>SUM(AS9:AS39)</f>
        <v>0</v>
      </c>
      <c r="AT40" s="345">
        <f>SUM(AT9:AT39)</f>
        <v>0</v>
      </c>
      <c r="AU40" s="319" t="e">
        <f>1-(AT40/AS40)</f>
        <v>#DIV/0!</v>
      </c>
      <c r="AV40" s="345">
        <f>SUM(AV9:AV39)</f>
        <v>0</v>
      </c>
      <c r="AW40" s="345">
        <f>SUM(AW9:AW39)</f>
        <v>0</v>
      </c>
      <c r="AX40" s="352"/>
      <c r="AY40" s="352"/>
      <c r="AZ40" s="353">
        <f>SUM(AZ9:AZ39)</f>
        <v>0</v>
      </c>
      <c r="BA40" s="354" t="s">
        <v>162</v>
      </c>
      <c r="BC40" s="220"/>
      <c r="BD40" s="345">
        <f>SUM(BD9:BD39)</f>
        <v>0</v>
      </c>
      <c r="BE40" s="345"/>
      <c r="BF40" s="345">
        <f>SUM(BF9:BF39)</f>
        <v>0</v>
      </c>
      <c r="BG40" s="346"/>
      <c r="BH40" s="346"/>
      <c r="BI40" s="346"/>
    </row>
    <row r="41" spans="1:61" ht="18" customHeight="1">
      <c r="L41" s="19" t="str">
        <f>IF(E41="","",ROUND(E41/J41*60,0))</f>
        <v/>
      </c>
      <c r="Q41" s="79"/>
      <c r="R41" s="79"/>
      <c r="S41" s="79"/>
      <c r="T41" s="79"/>
      <c r="U41" s="79"/>
      <c r="V41" s="79"/>
      <c r="W41" s="346"/>
      <c r="AB41" s="79"/>
      <c r="AC41" s="346">
        <f>SUM(AC40:AL40)</f>
        <v>0</v>
      </c>
      <c r="AN41" s="355"/>
      <c r="AO41" s="355"/>
      <c r="AP41" s="355"/>
      <c r="AQ41" s="355"/>
      <c r="AR41" s="356"/>
      <c r="AS41" s="346"/>
    </row>
    <row r="42" spans="1:61" s="357" customFormat="1" ht="18" customHeight="1">
      <c r="C42" s="358"/>
      <c r="D42" s="359"/>
      <c r="E42" s="359"/>
      <c r="F42" s="359"/>
      <c r="G42" s="356"/>
      <c r="H42" s="359"/>
      <c r="I42" s="359"/>
      <c r="J42" s="359"/>
      <c r="K42" s="359"/>
      <c r="L42" s="359"/>
      <c r="M42" s="359"/>
      <c r="N42" s="359"/>
      <c r="O42" s="360"/>
      <c r="AB42" s="361"/>
      <c r="AC42" s="361"/>
      <c r="AD42" s="361"/>
      <c r="AN42" s="356"/>
      <c r="AO42" s="356"/>
      <c r="AP42" s="356"/>
      <c r="AQ42" s="356"/>
      <c r="AR42" s="362"/>
      <c r="AU42" s="363"/>
      <c r="AZ42" s="364"/>
      <c r="BA42" s="365"/>
      <c r="BF42" s="398"/>
    </row>
    <row r="43" spans="1:61">
      <c r="C43" s="227" t="s">
        <v>163</v>
      </c>
      <c r="J43" s="356"/>
      <c r="K43" s="356"/>
      <c r="L43" s="357" t="s">
        <v>164</v>
      </c>
      <c r="AL43" s="356"/>
      <c r="AM43" s="357"/>
      <c r="AN43" s="356"/>
      <c r="AO43" s="356"/>
      <c r="AP43" s="356"/>
      <c r="AQ43" s="356"/>
      <c r="AR43" s="356"/>
      <c r="AS43" s="356"/>
      <c r="AT43" s="356"/>
    </row>
    <row r="44" spans="1:61" ht="56.25" customHeight="1">
      <c r="C44" s="267"/>
      <c r="D44" s="269" t="s">
        <v>165</v>
      </c>
      <c r="E44" s="269" t="s">
        <v>166</v>
      </c>
      <c r="F44" s="269"/>
      <c r="G44" s="270"/>
      <c r="H44" s="269" t="s">
        <v>167</v>
      </c>
      <c r="I44" s="269" t="s">
        <v>168</v>
      </c>
      <c r="J44" s="269" t="s">
        <v>169</v>
      </c>
      <c r="L44" s="368"/>
      <c r="M44" s="253" t="s">
        <v>170</v>
      </c>
      <c r="AL44" s="356"/>
      <c r="AM44" s="52"/>
      <c r="AN44" s="369"/>
      <c r="AO44" s="369"/>
      <c r="AP44" s="369"/>
      <c r="AQ44" s="369"/>
      <c r="AR44" s="369"/>
      <c r="AS44" s="369"/>
      <c r="AT44" s="356"/>
    </row>
    <row r="45" spans="1:61" ht="18" customHeight="1">
      <c r="B45" s="370"/>
      <c r="C45" s="303"/>
      <c r="D45" s="371"/>
      <c r="E45" s="372"/>
      <c r="F45" s="373"/>
      <c r="G45" s="371"/>
      <c r="H45" s="370"/>
      <c r="I45" s="374"/>
      <c r="J45" s="375"/>
      <c r="L45" s="376" t="s">
        <v>171</v>
      </c>
      <c r="M45" s="377" t="e">
        <f>ROUND(SUM(E9:E12)/SUM(J9:J12),0)</f>
        <v>#DIV/0!</v>
      </c>
      <c r="AL45" s="356"/>
      <c r="AM45" s="356"/>
      <c r="AN45" s="378"/>
      <c r="AO45" s="378"/>
      <c r="AP45" s="378"/>
      <c r="AQ45" s="378"/>
      <c r="AR45" s="378"/>
      <c r="AS45" s="378"/>
      <c r="AT45" s="356"/>
    </row>
    <row r="46" spans="1:61" ht="18" customHeight="1">
      <c r="B46" s="370"/>
      <c r="C46" s="303"/>
      <c r="D46" s="371"/>
      <c r="E46" s="372"/>
      <c r="F46" s="373"/>
      <c r="G46" s="371"/>
      <c r="H46" s="370"/>
      <c r="I46" s="374"/>
      <c r="J46" s="375"/>
      <c r="L46" s="379" t="s">
        <v>172</v>
      </c>
      <c r="M46" s="377" t="e">
        <f>ROUND(SUM(E13:E19)/SUM(J13:J19),0)</f>
        <v>#DIV/0!</v>
      </c>
      <c r="AL46" s="356"/>
      <c r="AM46" s="358"/>
      <c r="AN46" s="380"/>
      <c r="AO46" s="359"/>
      <c r="AP46" s="381"/>
      <c r="AQ46" s="382"/>
      <c r="AR46" s="359"/>
      <c r="AS46" s="359"/>
      <c r="AT46" s="356"/>
    </row>
    <row r="47" spans="1:61" ht="18" customHeight="1">
      <c r="B47" s="383"/>
      <c r="C47" s="303"/>
      <c r="D47" s="371"/>
      <c r="E47" s="372"/>
      <c r="F47" s="373"/>
      <c r="G47" s="371"/>
      <c r="H47" s="370"/>
      <c r="I47" s="374"/>
      <c r="J47" s="375"/>
      <c r="L47" s="379" t="s">
        <v>173</v>
      </c>
      <c r="M47" s="377" t="e">
        <f>ROUND(SUM(E21:E26)/SUM(J21:J26),0)</f>
        <v>#DIV/0!</v>
      </c>
      <c r="AL47" s="356"/>
      <c r="AM47" s="358"/>
      <c r="AN47" s="380"/>
      <c r="AO47" s="359"/>
      <c r="AP47" s="381"/>
      <c r="AQ47" s="382"/>
      <c r="AR47" s="359"/>
      <c r="AS47" s="359"/>
      <c r="AT47" s="356"/>
    </row>
    <row r="48" spans="1:61" ht="18" customHeight="1">
      <c r="B48" s="383"/>
      <c r="C48" s="384"/>
      <c r="D48" s="370"/>
      <c r="E48" s="372"/>
      <c r="F48" s="373"/>
      <c r="G48" s="371"/>
      <c r="H48" s="370"/>
      <c r="I48" s="374"/>
      <c r="J48" s="375"/>
      <c r="L48" s="379" t="s">
        <v>174</v>
      </c>
      <c r="M48" s="377" t="e">
        <f>ROUND(SUM(E28:E33)/SUM(J28:J33),0)</f>
        <v>#DIV/0!</v>
      </c>
      <c r="AL48" s="356"/>
      <c r="AM48" s="358"/>
      <c r="AN48" s="359"/>
      <c r="AO48" s="359"/>
      <c r="AP48" s="381"/>
      <c r="AQ48" s="382"/>
      <c r="AR48" s="359"/>
      <c r="AS48" s="359"/>
      <c r="AT48" s="356"/>
    </row>
    <row r="49" spans="2:46" ht="18" customHeight="1">
      <c r="B49" s="383"/>
      <c r="C49" s="384"/>
      <c r="D49" s="370"/>
      <c r="E49" s="372"/>
      <c r="F49" s="373"/>
      <c r="G49" s="371"/>
      <c r="H49" s="370"/>
      <c r="I49" s="374"/>
      <c r="J49" s="375"/>
      <c r="L49" s="379" t="s">
        <v>175</v>
      </c>
      <c r="M49" s="377" t="e">
        <f>ROUND(SUM(E35:E38)/SUM(J35:J38),0)</f>
        <v>#DIV/0!</v>
      </c>
      <c r="Q49" s="36"/>
      <c r="R49" s="36"/>
      <c r="S49" s="36"/>
      <c r="T49" s="36"/>
      <c r="U49" s="36"/>
      <c r="V49" s="36"/>
      <c r="W49" s="36"/>
      <c r="X49" s="36"/>
      <c r="AL49" s="356"/>
      <c r="AM49" s="358"/>
      <c r="AN49" s="359"/>
      <c r="AO49" s="359"/>
      <c r="AP49" s="381"/>
      <c r="AQ49" s="382"/>
      <c r="AR49" s="359"/>
      <c r="AS49" s="359"/>
      <c r="AT49" s="356"/>
    </row>
    <row r="50" spans="2:46" ht="18" customHeight="1">
      <c r="B50" s="383"/>
      <c r="C50" s="384"/>
      <c r="D50" s="370"/>
      <c r="E50" s="372"/>
      <c r="F50" s="373"/>
      <c r="G50" s="371"/>
      <c r="H50" s="370"/>
      <c r="I50" s="374"/>
      <c r="J50" s="375"/>
      <c r="L50" s="379" t="s">
        <v>176</v>
      </c>
      <c r="M50" s="386"/>
      <c r="Q50" s="36"/>
      <c r="R50" s="36"/>
      <c r="S50" s="36"/>
      <c r="T50" s="36"/>
      <c r="U50" s="36"/>
      <c r="V50" s="36"/>
      <c r="W50" s="36"/>
      <c r="X50" s="387"/>
      <c r="AL50" s="356"/>
      <c r="AM50" s="358"/>
      <c r="AN50" s="359"/>
      <c r="AO50" s="359"/>
      <c r="AP50" s="381"/>
      <c r="AQ50" s="382"/>
      <c r="AR50" s="359"/>
      <c r="AS50" s="359"/>
      <c r="AT50" s="356"/>
    </row>
    <row r="51" spans="2:46" ht="18" customHeight="1">
      <c r="B51" s="370"/>
      <c r="C51" s="384"/>
      <c r="D51" s="371"/>
      <c r="E51" s="372"/>
      <c r="F51" s="373"/>
      <c r="G51" s="371"/>
      <c r="H51" s="370"/>
      <c r="I51" s="388"/>
      <c r="J51" s="370"/>
      <c r="L51" s="399"/>
      <c r="M51" s="400"/>
      <c r="Q51" s="36"/>
      <c r="R51" s="36"/>
      <c r="S51" s="36"/>
      <c r="T51" s="36"/>
      <c r="U51" s="36"/>
      <c r="V51" s="36"/>
      <c r="W51" s="36"/>
      <c r="X51" s="387"/>
      <c r="AL51" s="356"/>
      <c r="AM51" s="358"/>
      <c r="AN51" s="359"/>
      <c r="AO51" s="359"/>
      <c r="AP51" s="381"/>
      <c r="AQ51" s="382"/>
      <c r="AR51" s="359"/>
      <c r="AS51" s="359"/>
      <c r="AT51" s="356"/>
    </row>
    <row r="52" spans="2:46" ht="18" customHeight="1">
      <c r="B52" s="370"/>
      <c r="C52" s="384"/>
      <c r="D52" s="371"/>
      <c r="E52" s="372"/>
      <c r="F52" s="373"/>
      <c r="G52" s="371"/>
      <c r="H52" s="370"/>
      <c r="I52" s="374"/>
      <c r="J52" s="370"/>
      <c r="L52" s="401"/>
      <c r="M52" s="390"/>
      <c r="Q52" s="36"/>
      <c r="R52" s="36"/>
      <c r="S52" s="36"/>
      <c r="T52" s="36"/>
      <c r="U52" s="36"/>
      <c r="V52" s="36"/>
      <c r="W52" s="36"/>
      <c r="X52" s="387"/>
      <c r="AL52" s="356"/>
      <c r="AM52" s="358"/>
      <c r="AN52" s="359"/>
      <c r="AO52" s="359"/>
      <c r="AP52" s="381"/>
      <c r="AQ52" s="382"/>
      <c r="AR52" s="359"/>
      <c r="AS52" s="359"/>
      <c r="AT52" s="356"/>
    </row>
    <row r="53" spans="2:46" ht="18" customHeight="1">
      <c r="B53" s="370"/>
      <c r="C53" s="384"/>
      <c r="D53" s="371"/>
      <c r="E53" s="372"/>
      <c r="F53" s="373"/>
      <c r="G53" s="371"/>
      <c r="H53" s="370"/>
      <c r="I53" s="374"/>
      <c r="J53" s="375"/>
      <c r="L53" s="401"/>
      <c r="M53" s="391"/>
      <c r="Q53" s="36"/>
      <c r="R53" s="36"/>
      <c r="S53" s="36"/>
      <c r="T53" s="36"/>
      <c r="U53" s="36"/>
      <c r="V53" s="36"/>
      <c r="W53" s="36"/>
      <c r="X53" s="36"/>
      <c r="AL53" s="356"/>
      <c r="AM53" s="358"/>
      <c r="AN53" s="359"/>
      <c r="AO53" s="359"/>
      <c r="AP53" s="381"/>
      <c r="AQ53" s="382"/>
      <c r="AR53" s="359"/>
      <c r="AS53" s="359"/>
      <c r="AT53" s="356"/>
    </row>
    <row r="54" spans="2:46" ht="18" customHeight="1">
      <c r="B54" s="370"/>
      <c r="C54" s="384"/>
      <c r="D54" s="371"/>
      <c r="E54" s="372"/>
      <c r="F54" s="373"/>
      <c r="G54" s="371"/>
      <c r="H54" s="370"/>
      <c r="I54" s="374"/>
      <c r="J54" s="375"/>
      <c r="L54" s="401"/>
      <c r="M54" s="390"/>
      <c r="Q54" s="36"/>
      <c r="R54" s="36"/>
      <c r="S54" s="36"/>
      <c r="T54" s="36"/>
      <c r="U54" s="36"/>
      <c r="V54" s="36"/>
      <c r="W54" s="36"/>
      <c r="X54" s="387"/>
      <c r="AL54" s="356"/>
      <c r="AM54" s="358"/>
      <c r="AN54" s="359"/>
      <c r="AO54" s="359"/>
      <c r="AP54" s="381"/>
      <c r="AQ54" s="382"/>
      <c r="AR54" s="359"/>
      <c r="AS54" s="359"/>
      <c r="AT54" s="356"/>
    </row>
    <row r="55" spans="2:46" ht="18" customHeight="1">
      <c r="B55" s="383"/>
      <c r="C55" s="384"/>
      <c r="D55" s="371"/>
      <c r="E55" s="372"/>
      <c r="F55" s="373"/>
      <c r="G55" s="371"/>
      <c r="H55" s="370"/>
      <c r="I55" s="374"/>
      <c r="J55" s="375"/>
      <c r="L55" s="401"/>
      <c r="M55" s="390"/>
      <c r="Q55" s="36"/>
      <c r="R55" s="36"/>
      <c r="S55" s="36"/>
      <c r="T55" s="36"/>
      <c r="U55" s="36"/>
      <c r="V55" s="36"/>
      <c r="W55" s="36"/>
      <c r="X55" s="387"/>
      <c r="AL55" s="356"/>
      <c r="AM55" s="358"/>
      <c r="AN55" s="359"/>
      <c r="AO55" s="359"/>
      <c r="AP55" s="381"/>
      <c r="AQ55" s="382"/>
      <c r="AR55" s="359"/>
      <c r="AS55" s="359"/>
      <c r="AT55" s="356"/>
    </row>
    <row r="56" spans="2:46" ht="18" customHeight="1">
      <c r="B56" s="370"/>
      <c r="C56" s="384"/>
      <c r="D56" s="371"/>
      <c r="E56" s="372"/>
      <c r="F56" s="373"/>
      <c r="G56" s="371"/>
      <c r="H56" s="370"/>
      <c r="I56" s="374"/>
      <c r="J56" s="375"/>
      <c r="L56" s="401"/>
      <c r="M56" s="390"/>
      <c r="Q56" s="36"/>
      <c r="R56" s="36"/>
      <c r="S56" s="36"/>
      <c r="T56" s="36"/>
      <c r="U56" s="36"/>
      <c r="V56" s="36"/>
      <c r="W56" s="36"/>
      <c r="X56" s="387"/>
      <c r="AL56" s="356"/>
      <c r="AM56" s="358"/>
      <c r="AN56" s="359"/>
      <c r="AO56" s="359"/>
      <c r="AP56" s="381"/>
      <c r="AQ56" s="382"/>
      <c r="AR56" s="359"/>
      <c r="AS56" s="359"/>
      <c r="AT56" s="356"/>
    </row>
    <row r="57" spans="2:46" ht="18" customHeight="1">
      <c r="B57" s="370"/>
      <c r="C57" s="384"/>
      <c r="D57" s="370"/>
      <c r="E57" s="372"/>
      <c r="F57" s="373"/>
      <c r="G57" s="371"/>
      <c r="H57" s="370"/>
      <c r="I57" s="374"/>
      <c r="J57" s="375"/>
      <c r="L57" s="401"/>
      <c r="M57" s="390"/>
      <c r="Q57" s="36"/>
      <c r="R57" s="36"/>
      <c r="S57" s="36"/>
      <c r="T57" s="36"/>
      <c r="U57" s="36"/>
      <c r="V57" s="36"/>
      <c r="W57" s="36"/>
      <c r="X57" s="36"/>
      <c r="AL57" s="356"/>
      <c r="AM57" s="358"/>
      <c r="AN57" s="359"/>
      <c r="AO57" s="359"/>
      <c r="AP57" s="381"/>
      <c r="AQ57" s="382"/>
      <c r="AR57" s="359"/>
      <c r="AS57" s="359"/>
      <c r="AT57" s="356"/>
    </row>
    <row r="58" spans="2:46" ht="18" customHeight="1">
      <c r="B58" s="392"/>
      <c r="C58" s="384"/>
      <c r="D58" s="370"/>
      <c r="E58" s="372"/>
      <c r="F58" s="373"/>
      <c r="G58" s="371"/>
      <c r="H58" s="370"/>
      <c r="I58" s="374"/>
      <c r="J58" s="375"/>
      <c r="AL58" s="356"/>
      <c r="AM58" s="358"/>
      <c r="AN58" s="359"/>
      <c r="AO58" s="359"/>
      <c r="AP58" s="381"/>
      <c r="AQ58" s="382"/>
      <c r="AR58" s="359"/>
      <c r="AS58" s="359"/>
      <c r="AT58" s="356"/>
    </row>
    <row r="59" spans="2:46" ht="18" customHeight="1">
      <c r="B59" s="383"/>
      <c r="C59" s="384"/>
      <c r="D59" s="370"/>
      <c r="E59" s="372"/>
      <c r="F59" s="373"/>
      <c r="G59" s="371"/>
      <c r="H59" s="370"/>
      <c r="I59" s="374"/>
      <c r="J59" s="375"/>
      <c r="K59" s="356"/>
      <c r="L59" s="356"/>
      <c r="AL59" s="356"/>
      <c r="AM59" s="358"/>
      <c r="AN59" s="359"/>
      <c r="AO59" s="359"/>
      <c r="AP59" s="381"/>
      <c r="AQ59" s="382"/>
      <c r="AR59" s="359"/>
      <c r="AS59" s="359"/>
      <c r="AT59" s="356"/>
    </row>
    <row r="60" spans="2:46" ht="18" customHeight="1">
      <c r="AL60" s="356"/>
      <c r="AM60" s="358"/>
      <c r="AN60" s="359"/>
      <c r="AO60" s="359"/>
      <c r="AP60" s="381"/>
      <c r="AQ60" s="382"/>
      <c r="AR60" s="359"/>
      <c r="AS60" s="359"/>
      <c r="AT60" s="356"/>
    </row>
    <row r="61" spans="2:46" ht="18" customHeight="1">
      <c r="AL61" s="356"/>
      <c r="AM61" s="358"/>
      <c r="AN61" s="359"/>
      <c r="AO61" s="359"/>
      <c r="AP61" s="381"/>
      <c r="AQ61" s="382"/>
      <c r="AR61" s="359"/>
      <c r="AS61" s="359"/>
      <c r="AT61" s="356"/>
    </row>
    <row r="62" spans="2:46" ht="18" customHeight="1">
      <c r="AL62" s="356"/>
      <c r="AM62" s="358"/>
      <c r="AN62" s="359"/>
      <c r="AO62" s="359"/>
      <c r="AP62" s="381"/>
      <c r="AQ62" s="382"/>
      <c r="AR62" s="359"/>
      <c r="AS62" s="359"/>
      <c r="AT62" s="356"/>
    </row>
    <row r="63" spans="2:46" ht="18" customHeight="1">
      <c r="AL63" s="356"/>
      <c r="AM63" s="358"/>
      <c r="AN63" s="359"/>
      <c r="AO63" s="359"/>
      <c r="AP63" s="381"/>
      <c r="AQ63" s="382"/>
      <c r="AR63" s="359"/>
      <c r="AS63" s="359"/>
      <c r="AT63" s="356"/>
    </row>
    <row r="64" spans="2:46" ht="18" customHeight="1">
      <c r="AL64" s="356"/>
      <c r="AM64" s="358"/>
      <c r="AN64" s="359"/>
      <c r="AO64" s="359"/>
      <c r="AP64" s="381"/>
      <c r="AQ64" s="382"/>
      <c r="AR64" s="359"/>
      <c r="AS64" s="359"/>
      <c r="AT64" s="356"/>
    </row>
    <row r="65" spans="38:46">
      <c r="AL65" s="356"/>
      <c r="AM65" s="358"/>
      <c r="AN65" s="359"/>
      <c r="AO65" s="359"/>
      <c r="AP65" s="381"/>
      <c r="AQ65" s="382"/>
      <c r="AR65" s="359"/>
      <c r="AS65" s="359"/>
      <c r="AT65" s="356"/>
    </row>
    <row r="66" spans="38:46">
      <c r="AL66" s="356"/>
      <c r="AM66" s="358"/>
      <c r="AN66" s="359"/>
      <c r="AO66" s="359"/>
      <c r="AP66" s="381"/>
      <c r="AQ66" s="382"/>
      <c r="AR66" s="359"/>
      <c r="AS66" s="359"/>
      <c r="AT66" s="356"/>
    </row>
    <row r="67" spans="38:46">
      <c r="AL67" s="356"/>
      <c r="AM67" s="358"/>
      <c r="AN67" s="359"/>
      <c r="AO67" s="359"/>
      <c r="AP67" s="381"/>
      <c r="AQ67" s="382"/>
      <c r="AR67" s="359"/>
      <c r="AS67" s="359"/>
      <c r="AT67" s="356"/>
    </row>
    <row r="68" spans="38:46">
      <c r="AL68" s="356"/>
      <c r="AM68" s="358"/>
      <c r="AN68" s="359"/>
      <c r="AO68" s="359"/>
      <c r="AP68" s="381"/>
      <c r="AQ68" s="382"/>
      <c r="AR68" s="359"/>
      <c r="AS68" s="359"/>
      <c r="AT68" s="356"/>
    </row>
    <row r="69" spans="38:46">
      <c r="AL69" s="356"/>
      <c r="AM69" s="358"/>
      <c r="AN69" s="359"/>
      <c r="AO69" s="359"/>
      <c r="AP69" s="381"/>
      <c r="AQ69" s="382"/>
      <c r="AR69" s="359"/>
      <c r="AS69" s="359"/>
      <c r="AT69" s="356"/>
    </row>
    <row r="70" spans="38:46">
      <c r="AL70" s="356"/>
      <c r="AM70" s="358"/>
      <c r="AN70" s="359"/>
      <c r="AO70" s="359"/>
      <c r="AP70" s="381"/>
      <c r="AQ70" s="382"/>
      <c r="AR70" s="359"/>
      <c r="AS70" s="359"/>
      <c r="AT70" s="356"/>
    </row>
    <row r="71" spans="38:46">
      <c r="AL71" s="356"/>
      <c r="AM71" s="358"/>
      <c r="AN71" s="359"/>
      <c r="AO71" s="359"/>
      <c r="AP71" s="381"/>
      <c r="AQ71" s="382"/>
      <c r="AR71" s="359"/>
      <c r="AS71" s="359"/>
      <c r="AT71" s="356"/>
    </row>
    <row r="72" spans="38:46">
      <c r="AL72" s="356"/>
      <c r="AM72" s="358"/>
      <c r="AN72" s="359"/>
      <c r="AO72" s="359"/>
      <c r="AP72" s="381"/>
      <c r="AQ72" s="382"/>
      <c r="AR72" s="359"/>
      <c r="AS72" s="359"/>
      <c r="AT72" s="356"/>
    </row>
    <row r="73" spans="38:46">
      <c r="AL73" s="356"/>
      <c r="AM73" s="358"/>
      <c r="AN73" s="359"/>
      <c r="AO73" s="359"/>
      <c r="AP73" s="381"/>
      <c r="AQ73" s="382"/>
      <c r="AR73" s="359"/>
      <c r="AS73" s="359"/>
      <c r="AT73" s="356"/>
    </row>
    <row r="74" spans="38:46">
      <c r="AL74" s="356"/>
      <c r="AM74" s="393"/>
      <c r="AN74" s="359"/>
      <c r="AO74" s="359"/>
      <c r="AP74" s="381"/>
      <c r="AQ74" s="382"/>
      <c r="AR74" s="359"/>
      <c r="AS74" s="359"/>
      <c r="AT74" s="356"/>
    </row>
    <row r="75" spans="38:46">
      <c r="AL75" s="356"/>
      <c r="AM75" s="393"/>
      <c r="AN75" s="359"/>
      <c r="AO75" s="359"/>
      <c r="AP75" s="381"/>
      <c r="AQ75" s="382"/>
      <c r="AR75" s="359"/>
      <c r="AS75" s="359"/>
      <c r="AT75" s="356"/>
    </row>
    <row r="76" spans="38:46">
      <c r="AL76" s="356"/>
      <c r="AM76" s="393"/>
      <c r="AN76" s="359"/>
      <c r="AO76" s="359"/>
      <c r="AP76" s="381"/>
      <c r="AQ76" s="382"/>
      <c r="AR76" s="359"/>
      <c r="AS76" s="359"/>
      <c r="AT76" s="356"/>
    </row>
    <row r="77" spans="38:46">
      <c r="AL77" s="356"/>
      <c r="AM77" s="356"/>
      <c r="AN77" s="394"/>
      <c r="AO77" s="394"/>
      <c r="AP77" s="395"/>
      <c r="AQ77" s="394"/>
      <c r="AR77" s="394"/>
      <c r="AS77" s="394"/>
      <c r="AT77" s="356"/>
    </row>
    <row r="78" spans="38:46">
      <c r="AL78" s="356"/>
      <c r="AM78" s="356"/>
      <c r="AN78" s="356"/>
      <c r="AO78" s="356"/>
      <c r="AP78" s="356"/>
      <c r="AQ78" s="356"/>
      <c r="AR78" s="356"/>
      <c r="AS78" s="356"/>
      <c r="AT78" s="356"/>
    </row>
  </sheetData>
  <mergeCells count="7">
    <mergeCell ref="AN7:AR7"/>
    <mergeCell ref="AS7:AU7"/>
    <mergeCell ref="L5:M5"/>
    <mergeCell ref="L6:M6"/>
    <mergeCell ref="W6:AB6"/>
    <mergeCell ref="AE6:AL6"/>
    <mergeCell ref="AS6:AU6"/>
  </mergeCells>
  <conditionalFormatting sqref="BC9:BI39 AU9:AU40 AV9:BA39 E40 D9:AT39">
    <cfRule type="expression" dxfId="557" priority="71" stopIfTrue="1">
      <formula>$B9="*"</formula>
    </cfRule>
    <cfRule type="expression" dxfId="556" priority="72" stopIfTrue="1">
      <formula>$B9="-"</formula>
    </cfRule>
  </conditionalFormatting>
  <conditionalFormatting sqref="BA20">
    <cfRule type="expression" dxfId="555" priority="69" stopIfTrue="1">
      <formula>$B20="*"</formula>
    </cfRule>
    <cfRule type="expression" dxfId="554" priority="70" stopIfTrue="1">
      <formula>$B20="-"</formula>
    </cfRule>
  </conditionalFormatting>
  <conditionalFormatting sqref="BA20:BA22">
    <cfRule type="expression" dxfId="553" priority="67" stopIfTrue="1">
      <formula>$B20="*"</formula>
    </cfRule>
    <cfRule type="expression" dxfId="552" priority="68" stopIfTrue="1">
      <formula>$B20="-"</formula>
    </cfRule>
  </conditionalFormatting>
  <conditionalFormatting sqref="BA32">
    <cfRule type="expression" dxfId="551" priority="65" stopIfTrue="1">
      <formula>$B32="*"</formula>
    </cfRule>
    <cfRule type="expression" dxfId="550" priority="66" stopIfTrue="1">
      <formula>$B32="-"</formula>
    </cfRule>
  </conditionalFormatting>
  <conditionalFormatting sqref="T9:U9">
    <cfRule type="expression" dxfId="549" priority="63" stopIfTrue="1">
      <formula>$B9="*"</formula>
    </cfRule>
    <cfRule type="expression" dxfId="548" priority="64" stopIfTrue="1">
      <formula>$B9="-"</formula>
    </cfRule>
  </conditionalFormatting>
  <conditionalFormatting sqref="T9:U9">
    <cfRule type="expression" dxfId="547" priority="61" stopIfTrue="1">
      <formula>$B9="*"</formula>
    </cfRule>
    <cfRule type="expression" dxfId="546" priority="62" stopIfTrue="1">
      <formula>$B9="-"</formula>
    </cfRule>
  </conditionalFormatting>
  <conditionalFormatting sqref="T9:U9">
    <cfRule type="expression" dxfId="545" priority="59" stopIfTrue="1">
      <formula>$B9="*"</formula>
    </cfRule>
    <cfRule type="expression" dxfId="544" priority="60" stopIfTrue="1">
      <formula>$B9="-"</formula>
    </cfRule>
  </conditionalFormatting>
  <conditionalFormatting sqref="T9:U9">
    <cfRule type="expression" dxfId="543" priority="57" stopIfTrue="1">
      <formula>$B9="*"</formula>
    </cfRule>
    <cfRule type="expression" dxfId="542" priority="58" stopIfTrue="1">
      <formula>$B9="-"</formula>
    </cfRule>
  </conditionalFormatting>
  <conditionalFormatting sqref="T10:U14 T16:U20 T24:U28 T30:U34 T37:U39">
    <cfRule type="expression" dxfId="541" priority="55" stopIfTrue="1">
      <formula>$B10="*"</formula>
    </cfRule>
    <cfRule type="expression" dxfId="540" priority="56" stopIfTrue="1">
      <formula>$B10="-"</formula>
    </cfRule>
  </conditionalFormatting>
  <conditionalFormatting sqref="T10:U14 T16:U20 T24:U28 T30:U34 T37:U39">
    <cfRule type="expression" dxfId="539" priority="53" stopIfTrue="1">
      <formula>$B10="*"</formula>
    </cfRule>
    <cfRule type="expression" dxfId="538" priority="54" stopIfTrue="1">
      <formula>$B10="-"</formula>
    </cfRule>
  </conditionalFormatting>
  <conditionalFormatting sqref="T10:U14 T16:U20 T24:U28 T30:U34 T37:U39">
    <cfRule type="expression" dxfId="537" priority="51" stopIfTrue="1">
      <formula>$B10="*"</formula>
    </cfRule>
    <cfRule type="expression" dxfId="536" priority="52" stopIfTrue="1">
      <formula>$B10="-"</formula>
    </cfRule>
  </conditionalFormatting>
  <conditionalFormatting sqref="T10:U14 T16:U20 T24:U28 T30:U34 T37:U39">
    <cfRule type="expression" dxfId="535" priority="49" stopIfTrue="1">
      <formula>$B10="*"</formula>
    </cfRule>
    <cfRule type="expression" dxfId="534" priority="50" stopIfTrue="1">
      <formula>$B10="-"</formula>
    </cfRule>
  </conditionalFormatting>
  <conditionalFormatting sqref="AZ28:BA28">
    <cfRule type="expression" dxfId="533" priority="47" stopIfTrue="1">
      <formula>$B28="*"</formula>
    </cfRule>
    <cfRule type="expression" dxfId="532" priority="48" stopIfTrue="1">
      <formula>$B28="-"</formula>
    </cfRule>
  </conditionalFormatting>
  <conditionalFormatting sqref="T15:U15">
    <cfRule type="expression" dxfId="531" priority="45" stopIfTrue="1">
      <formula>$B15="*"</formula>
    </cfRule>
    <cfRule type="expression" dxfId="530" priority="46" stopIfTrue="1">
      <formula>$B15="-"</formula>
    </cfRule>
  </conditionalFormatting>
  <conditionalFormatting sqref="T15:U15">
    <cfRule type="expression" dxfId="529" priority="43" stopIfTrue="1">
      <formula>$B15="*"</formula>
    </cfRule>
    <cfRule type="expression" dxfId="528" priority="44" stopIfTrue="1">
      <formula>$B15="-"</formula>
    </cfRule>
  </conditionalFormatting>
  <conditionalFormatting sqref="T15:U15">
    <cfRule type="expression" dxfId="527" priority="41" stopIfTrue="1">
      <formula>$B15="*"</formula>
    </cfRule>
    <cfRule type="expression" dxfId="526" priority="42" stopIfTrue="1">
      <formula>$B15="-"</formula>
    </cfRule>
  </conditionalFormatting>
  <conditionalFormatting sqref="T15:U15">
    <cfRule type="expression" dxfId="525" priority="39" stopIfTrue="1">
      <formula>$B15="*"</formula>
    </cfRule>
    <cfRule type="expression" dxfId="524" priority="40" stopIfTrue="1">
      <formula>$B15="-"</formula>
    </cfRule>
  </conditionalFormatting>
  <conditionalFormatting sqref="T29:U29">
    <cfRule type="expression" dxfId="523" priority="37" stopIfTrue="1">
      <formula>$B29="*"</formula>
    </cfRule>
    <cfRule type="expression" dxfId="522" priority="38" stopIfTrue="1">
      <formula>$B29="-"</formula>
    </cfRule>
  </conditionalFormatting>
  <conditionalFormatting sqref="T29:U29">
    <cfRule type="expression" dxfId="521" priority="35" stopIfTrue="1">
      <formula>$B29="*"</formula>
    </cfRule>
    <cfRule type="expression" dxfId="520" priority="36" stopIfTrue="1">
      <formula>$B29="-"</formula>
    </cfRule>
  </conditionalFormatting>
  <conditionalFormatting sqref="T29:U29">
    <cfRule type="expression" dxfId="519" priority="33" stopIfTrue="1">
      <formula>$B29="*"</formula>
    </cfRule>
    <cfRule type="expression" dxfId="518" priority="34" stopIfTrue="1">
      <formula>$B29="-"</formula>
    </cfRule>
  </conditionalFormatting>
  <conditionalFormatting sqref="T29:U29">
    <cfRule type="expression" dxfId="517" priority="31" stopIfTrue="1">
      <formula>$B29="*"</formula>
    </cfRule>
    <cfRule type="expression" dxfId="516" priority="32" stopIfTrue="1">
      <formula>$B29="-"</formula>
    </cfRule>
  </conditionalFormatting>
  <conditionalFormatting sqref="T39:U39">
    <cfRule type="expression" dxfId="515" priority="29" stopIfTrue="1">
      <formula>$B39="*"</formula>
    </cfRule>
    <cfRule type="expression" dxfId="514" priority="30" stopIfTrue="1">
      <formula>$B39="-"</formula>
    </cfRule>
  </conditionalFormatting>
  <conditionalFormatting sqref="T39:U39">
    <cfRule type="expression" dxfId="513" priority="27" stopIfTrue="1">
      <formula>$B39="*"</formula>
    </cfRule>
    <cfRule type="expression" dxfId="512" priority="28" stopIfTrue="1">
      <formula>$B39="-"</formula>
    </cfRule>
  </conditionalFormatting>
  <conditionalFormatting sqref="T39:U39">
    <cfRule type="expression" dxfId="511" priority="25" stopIfTrue="1">
      <formula>$B39="*"</formula>
    </cfRule>
    <cfRule type="expression" dxfId="510" priority="26" stopIfTrue="1">
      <formula>$B39="-"</formula>
    </cfRule>
  </conditionalFormatting>
  <conditionalFormatting sqref="T39:U39">
    <cfRule type="expression" dxfId="509" priority="23" stopIfTrue="1">
      <formula>$B39="*"</formula>
    </cfRule>
    <cfRule type="expression" dxfId="508" priority="24" stopIfTrue="1">
      <formula>$B39="-"</formula>
    </cfRule>
  </conditionalFormatting>
  <conditionalFormatting sqref="D9:D39">
    <cfRule type="expression" dxfId="507" priority="21" stopIfTrue="1">
      <formula>$B9="*"</formula>
    </cfRule>
    <cfRule type="expression" dxfId="506" priority="22" stopIfTrue="1">
      <formula>$B9="-"</formula>
    </cfRule>
  </conditionalFormatting>
  <conditionalFormatting sqref="D9:D39">
    <cfRule type="expression" dxfId="505" priority="19" stopIfTrue="1">
      <formula>$B9="*"</formula>
    </cfRule>
    <cfRule type="expression" dxfId="504" priority="20" stopIfTrue="1">
      <formula>$B9="-"</formula>
    </cfRule>
  </conditionalFormatting>
  <conditionalFormatting sqref="T21:U21">
    <cfRule type="expression" dxfId="503" priority="17" stopIfTrue="1">
      <formula>$B21="*"</formula>
    </cfRule>
    <cfRule type="expression" dxfId="502" priority="18" stopIfTrue="1">
      <formula>$B21="-"</formula>
    </cfRule>
  </conditionalFormatting>
  <conditionalFormatting sqref="T21:U21">
    <cfRule type="expression" dxfId="501" priority="15" stopIfTrue="1">
      <formula>$B21="*"</formula>
    </cfRule>
    <cfRule type="expression" dxfId="500" priority="16" stopIfTrue="1">
      <formula>$B21="-"</formula>
    </cfRule>
  </conditionalFormatting>
  <conditionalFormatting sqref="T21:U21">
    <cfRule type="expression" dxfId="499" priority="13" stopIfTrue="1">
      <formula>$B21="*"</formula>
    </cfRule>
    <cfRule type="expression" dxfId="498" priority="14" stopIfTrue="1">
      <formula>$B21="-"</formula>
    </cfRule>
  </conditionalFormatting>
  <conditionalFormatting sqref="T21:U21">
    <cfRule type="expression" dxfId="497" priority="11" stopIfTrue="1">
      <formula>$B21="*"</formula>
    </cfRule>
    <cfRule type="expression" dxfId="496" priority="12" stopIfTrue="1">
      <formula>$B21="-"</formula>
    </cfRule>
  </conditionalFormatting>
  <conditionalFormatting sqref="BA24">
    <cfRule type="expression" dxfId="495" priority="9" stopIfTrue="1">
      <formula>$B24="*"</formula>
    </cfRule>
    <cfRule type="expression" dxfId="494" priority="10" stopIfTrue="1">
      <formula>$B24="-"</formula>
    </cfRule>
  </conditionalFormatting>
  <conditionalFormatting sqref="BA23">
    <cfRule type="expression" dxfId="493" priority="7" stopIfTrue="1">
      <formula>$B23="*"</formula>
    </cfRule>
    <cfRule type="expression" dxfId="492" priority="8" stopIfTrue="1">
      <formula>$B23="-"</formula>
    </cfRule>
  </conditionalFormatting>
  <conditionalFormatting sqref="BA23">
    <cfRule type="expression" dxfId="491" priority="5" stopIfTrue="1">
      <formula>$B23="*"</formula>
    </cfRule>
    <cfRule type="expression" dxfId="490" priority="6" stopIfTrue="1">
      <formula>$B23="-"</formula>
    </cfRule>
  </conditionalFormatting>
  <conditionalFormatting sqref="BA23">
    <cfRule type="expression" dxfId="489" priority="3" stopIfTrue="1">
      <formula>$B23="*"</formula>
    </cfRule>
    <cfRule type="expression" dxfId="488" priority="4" stopIfTrue="1">
      <formula>$B23="-"</formula>
    </cfRule>
  </conditionalFormatting>
  <conditionalFormatting sqref="C9:C39">
    <cfRule type="expression" dxfId="487" priority="1" stopIfTrue="1">
      <formula>$B9="*"</formula>
    </cfRule>
    <cfRule type="expression" dxfId="486" priority="2" stopIfTrue="1">
      <formula>$B9="-"</formula>
    </cfRule>
  </conditionalFormatting>
  <pageMargins left="0.19685039370078741" right="0" top="0.74803149606299213" bottom="0.6692913385826772" header="0.51181102362204722" footer="0.51181102362204722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1"/>
    <pageSetUpPr fitToPage="1"/>
  </sheetPr>
  <dimension ref="A1:AE50"/>
  <sheetViews>
    <sheetView tabSelected="1" zoomScale="80" zoomScaleNormal="80" workbookViewId="0">
      <pane ySplit="4" topLeftCell="A5" activePane="bottomLeft" state="frozen"/>
      <selection activeCell="A3" sqref="A3"/>
      <selection pane="bottomLeft" activeCell="D8" sqref="D8"/>
    </sheetView>
  </sheetViews>
  <sheetFormatPr defaultRowHeight="15"/>
  <cols>
    <col min="1" max="1" width="8" style="1" bestFit="1" customWidth="1"/>
    <col min="2" max="2" width="9.5703125" style="1" customWidth="1"/>
    <col min="3" max="3" width="8.7109375" style="1" customWidth="1"/>
    <col min="4" max="5" width="10.140625" style="1" customWidth="1"/>
    <col min="6" max="6" width="9.7109375" style="1" bestFit="1" customWidth="1"/>
    <col min="7" max="7" width="9.85546875" style="1" customWidth="1"/>
    <col min="8" max="8" width="9.140625" style="1"/>
    <col min="9" max="9" width="10.140625" style="1" customWidth="1"/>
    <col min="10" max="10" width="9.28515625" style="1" customWidth="1"/>
    <col min="11" max="12" width="10.140625" style="1" customWidth="1"/>
    <col min="13" max="15" width="9.140625" style="1"/>
    <col min="16" max="16" width="10.140625" style="1" customWidth="1"/>
    <col min="17" max="17" width="8.7109375" style="1" customWidth="1"/>
    <col min="18" max="19" width="10.140625" style="1" customWidth="1"/>
    <col min="20" max="23" width="9.140625" style="1"/>
    <col min="24" max="24" width="9.140625" style="10"/>
    <col min="25" max="25" width="13.5703125" style="10" customWidth="1"/>
    <col min="26" max="26" width="11" style="10" customWidth="1"/>
    <col min="27" max="28" width="9.5703125" style="10" bestFit="1" customWidth="1"/>
    <col min="29" max="30" width="9.140625" style="10"/>
  </cols>
  <sheetData>
    <row r="1" spans="1:31" ht="25.5" customHeight="1" thickBot="1">
      <c r="A1" s="593" t="s">
        <v>4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444"/>
      <c r="X1" s="9"/>
      <c r="Y1" s="9"/>
      <c r="Z1" s="9"/>
      <c r="AA1" s="9"/>
      <c r="AB1" s="9"/>
      <c r="AC1" s="9"/>
      <c r="AD1" s="9"/>
    </row>
    <row r="2" spans="1:31" ht="15.75" thickBot="1">
      <c r="A2" s="585" t="s">
        <v>0</v>
      </c>
      <c r="B2" s="567" t="s">
        <v>207</v>
      </c>
      <c r="C2" s="568"/>
      <c r="D2" s="568"/>
      <c r="E2" s="568"/>
      <c r="F2" s="568"/>
      <c r="G2" s="568"/>
      <c r="H2" s="569"/>
      <c r="I2" s="567" t="s">
        <v>208</v>
      </c>
      <c r="J2" s="568"/>
      <c r="K2" s="568"/>
      <c r="L2" s="568"/>
      <c r="M2" s="568"/>
      <c r="N2" s="568"/>
      <c r="O2" s="569"/>
      <c r="P2" s="567" t="s">
        <v>209</v>
      </c>
      <c r="Q2" s="568"/>
      <c r="R2" s="568"/>
      <c r="S2" s="568"/>
      <c r="T2" s="568"/>
      <c r="U2" s="568"/>
      <c r="V2" s="569"/>
      <c r="W2" s="572" t="s">
        <v>3</v>
      </c>
      <c r="X2" s="573"/>
      <c r="Y2" s="573"/>
      <c r="Z2" s="573"/>
      <c r="AA2" s="573"/>
      <c r="AB2" s="573"/>
      <c r="AC2" s="574"/>
      <c r="AD2" s="16"/>
    </row>
    <row r="3" spans="1:31" ht="15" customHeight="1">
      <c r="A3" s="596"/>
      <c r="B3" s="565" t="s">
        <v>203</v>
      </c>
      <c r="C3" s="570" t="s">
        <v>204</v>
      </c>
      <c r="D3" s="570" t="s">
        <v>205</v>
      </c>
      <c r="E3" s="575" t="s">
        <v>199</v>
      </c>
      <c r="F3" s="587" t="s">
        <v>202</v>
      </c>
      <c r="G3" s="597" t="s">
        <v>1</v>
      </c>
      <c r="H3" s="597" t="s">
        <v>2</v>
      </c>
      <c r="I3" s="565" t="s">
        <v>203</v>
      </c>
      <c r="J3" s="570" t="s">
        <v>204</v>
      </c>
      <c r="K3" s="570" t="s">
        <v>205</v>
      </c>
      <c r="L3" s="577" t="s">
        <v>199</v>
      </c>
      <c r="M3" s="587" t="s">
        <v>200</v>
      </c>
      <c r="N3" s="587" t="s">
        <v>1</v>
      </c>
      <c r="O3" s="585" t="s">
        <v>2</v>
      </c>
      <c r="P3" s="565" t="s">
        <v>203</v>
      </c>
      <c r="Q3" s="570" t="s">
        <v>204</v>
      </c>
      <c r="R3" s="570" t="s">
        <v>205</v>
      </c>
      <c r="S3" s="579" t="s">
        <v>199</v>
      </c>
      <c r="T3" s="580" t="s">
        <v>200</v>
      </c>
      <c r="U3" s="580" t="s">
        <v>1</v>
      </c>
      <c r="V3" s="594" t="s">
        <v>2</v>
      </c>
      <c r="W3" s="582" t="s">
        <v>203</v>
      </c>
      <c r="X3" s="579" t="s">
        <v>204</v>
      </c>
      <c r="Y3" s="583" t="s">
        <v>205</v>
      </c>
      <c r="Z3" s="577" t="s">
        <v>199</v>
      </c>
      <c r="AA3" s="587" t="s">
        <v>200</v>
      </c>
      <c r="AB3" s="585" t="s">
        <v>1</v>
      </c>
      <c r="AC3" s="587" t="s">
        <v>2</v>
      </c>
      <c r="AD3" s="589" t="s">
        <v>13</v>
      </c>
      <c r="AE3" s="591" t="s">
        <v>218</v>
      </c>
    </row>
    <row r="4" spans="1:31" ht="15.75" thickBot="1">
      <c r="A4" s="586"/>
      <c r="B4" s="566"/>
      <c r="C4" s="571"/>
      <c r="D4" s="571"/>
      <c r="E4" s="576"/>
      <c r="F4" s="588"/>
      <c r="G4" s="588"/>
      <c r="H4" s="588"/>
      <c r="I4" s="566"/>
      <c r="J4" s="571"/>
      <c r="K4" s="571"/>
      <c r="L4" s="578"/>
      <c r="M4" s="588"/>
      <c r="N4" s="588"/>
      <c r="O4" s="586"/>
      <c r="P4" s="566"/>
      <c r="Q4" s="571"/>
      <c r="R4" s="571"/>
      <c r="S4" s="571"/>
      <c r="T4" s="581"/>
      <c r="U4" s="581"/>
      <c r="V4" s="595"/>
      <c r="W4" s="566"/>
      <c r="X4" s="571"/>
      <c r="Y4" s="584"/>
      <c r="Z4" s="578"/>
      <c r="AA4" s="588"/>
      <c r="AB4" s="586"/>
      <c r="AC4" s="588"/>
      <c r="AD4" s="590"/>
      <c r="AE4" s="592"/>
    </row>
    <row r="5" spans="1:31">
      <c r="A5" s="435">
        <v>43952</v>
      </c>
      <c r="B5" s="518"/>
      <c r="C5" s="464">
        <f t="shared" ref="C5:C14" si="0">B5-(D5/60)</f>
        <v>0</v>
      </c>
      <c r="D5" s="5"/>
      <c r="E5" s="3"/>
      <c r="F5" s="434"/>
      <c r="G5" s="5"/>
      <c r="H5" s="6" t="e">
        <f t="shared" ref="H5:H14" si="1">G5/B5</f>
        <v>#DIV/0!</v>
      </c>
      <c r="I5" s="518"/>
      <c r="J5" s="464">
        <f t="shared" ref="J5:J14" si="2">I5-(K5/60)</f>
        <v>0</v>
      </c>
      <c r="K5" s="3"/>
      <c r="L5" s="3"/>
      <c r="M5" s="3"/>
      <c r="N5" s="5"/>
      <c r="O5" s="6" t="e">
        <f t="shared" ref="O5:O14" si="3">N5/I5</f>
        <v>#DIV/0!</v>
      </c>
      <c r="P5" s="518"/>
      <c r="Q5" s="464">
        <f t="shared" ref="Q5:Q14" si="4">P5-(R5/60)</f>
        <v>0</v>
      </c>
      <c r="R5" s="3"/>
      <c r="S5" s="3"/>
      <c r="T5" s="3"/>
      <c r="U5" s="5"/>
      <c r="V5" s="6" t="e">
        <f t="shared" ref="V5:V14" si="5">U5/P5</f>
        <v>#DIV/0!</v>
      </c>
      <c r="W5" s="502">
        <f>B5+I5+P5</f>
        <v>0</v>
      </c>
      <c r="X5" s="471">
        <f t="shared" ref="X5:X35" si="6">C5+J5+Q5</f>
        <v>0</v>
      </c>
      <c r="Y5" s="473">
        <f t="shared" ref="Y5:Y35" si="7">D5+K5+R5</f>
        <v>0</v>
      </c>
      <c r="Z5" s="473">
        <f t="shared" ref="Z5:Z35" si="8">E5+L5+S5</f>
        <v>0</v>
      </c>
      <c r="AA5" s="473">
        <f t="shared" ref="AA5:AA35" si="9">F5+M5+T5</f>
        <v>0</v>
      </c>
      <c r="AB5" s="473">
        <f t="shared" ref="AB5:AB35" si="10">G5+N5+U5</f>
        <v>0</v>
      </c>
      <c r="AC5" s="473" t="e">
        <f>AB5/W5</f>
        <v>#DIV/0!</v>
      </c>
      <c r="AD5" s="474" t="e">
        <f>(AA5/1000)/W5</f>
        <v>#DIV/0!</v>
      </c>
      <c r="AE5" s="475" t="e">
        <f>AA5/Z5</f>
        <v>#DIV/0!</v>
      </c>
    </row>
    <row r="6" spans="1:31">
      <c r="A6" s="435">
        <v>43953</v>
      </c>
      <c r="B6" s="518"/>
      <c r="C6" s="464">
        <f t="shared" si="0"/>
        <v>0</v>
      </c>
      <c r="D6" s="5"/>
      <c r="E6" s="3"/>
      <c r="F6" s="434"/>
      <c r="G6" s="5"/>
      <c r="H6" s="6" t="e">
        <f t="shared" si="1"/>
        <v>#DIV/0!</v>
      </c>
      <c r="I6" s="518"/>
      <c r="J6" s="464">
        <f t="shared" si="2"/>
        <v>0</v>
      </c>
      <c r="K6" s="3"/>
      <c r="L6" s="3"/>
      <c r="M6" s="3"/>
      <c r="N6" s="5"/>
      <c r="O6" s="6" t="e">
        <f t="shared" si="3"/>
        <v>#DIV/0!</v>
      </c>
      <c r="P6" s="518"/>
      <c r="Q6" s="464">
        <f t="shared" si="4"/>
        <v>0</v>
      </c>
      <c r="R6" s="3"/>
      <c r="S6" s="3"/>
      <c r="T6" s="3"/>
      <c r="U6" s="5"/>
      <c r="V6" s="6" t="e">
        <f t="shared" si="5"/>
        <v>#DIV/0!</v>
      </c>
      <c r="W6" s="502">
        <f>B6+I6+P6</f>
        <v>0</v>
      </c>
      <c r="X6" s="474">
        <f t="shared" si="6"/>
        <v>0</v>
      </c>
      <c r="Y6" s="473">
        <f t="shared" si="7"/>
        <v>0</v>
      </c>
      <c r="Z6" s="473">
        <f t="shared" si="8"/>
        <v>0</v>
      </c>
      <c r="AA6" s="473">
        <f t="shared" si="9"/>
        <v>0</v>
      </c>
      <c r="AB6" s="473">
        <f t="shared" si="10"/>
        <v>0</v>
      </c>
      <c r="AC6" s="473" t="e">
        <f t="shared" ref="AC6:AC35" si="11">AB6/W6</f>
        <v>#DIV/0!</v>
      </c>
      <c r="AD6" s="474" t="e">
        <f t="shared" ref="AD6:AD35" si="12">(AA6/1000)/W6</f>
        <v>#DIV/0!</v>
      </c>
      <c r="AE6" s="475" t="e">
        <f t="shared" ref="AE6:AE35" si="13">AA6/Z6</f>
        <v>#DIV/0!</v>
      </c>
    </row>
    <row r="7" spans="1:31">
      <c r="A7" s="435">
        <v>43954</v>
      </c>
      <c r="B7" s="518"/>
      <c r="C7" s="464">
        <f t="shared" si="0"/>
        <v>0</v>
      </c>
      <c r="D7" s="5"/>
      <c r="E7" s="3"/>
      <c r="F7" s="434"/>
      <c r="G7" s="5"/>
      <c r="H7" s="6" t="e">
        <f t="shared" si="1"/>
        <v>#DIV/0!</v>
      </c>
      <c r="I7" s="518"/>
      <c r="J7" s="464">
        <f t="shared" si="2"/>
        <v>0</v>
      </c>
      <c r="K7" s="3"/>
      <c r="L7" s="3"/>
      <c r="M7" s="3"/>
      <c r="N7" s="5"/>
      <c r="O7" s="6" t="e">
        <f t="shared" si="3"/>
        <v>#DIV/0!</v>
      </c>
      <c r="P7" s="518"/>
      <c r="Q7" s="464">
        <f t="shared" si="4"/>
        <v>0</v>
      </c>
      <c r="R7" s="3"/>
      <c r="S7" s="3"/>
      <c r="T7" s="3"/>
      <c r="U7" s="5"/>
      <c r="V7" s="6" t="e">
        <f t="shared" si="5"/>
        <v>#DIV/0!</v>
      </c>
      <c r="W7" s="502">
        <f t="shared" ref="W7:W35" si="14">B7+I7+P7</f>
        <v>0</v>
      </c>
      <c r="X7" s="474">
        <f t="shared" si="6"/>
        <v>0</v>
      </c>
      <c r="Y7" s="473">
        <f t="shared" si="7"/>
        <v>0</v>
      </c>
      <c r="Z7" s="473">
        <f t="shared" si="8"/>
        <v>0</v>
      </c>
      <c r="AA7" s="473">
        <f t="shared" si="9"/>
        <v>0</v>
      </c>
      <c r="AB7" s="473">
        <f t="shared" si="10"/>
        <v>0</v>
      </c>
      <c r="AC7" s="473" t="e">
        <f t="shared" si="11"/>
        <v>#DIV/0!</v>
      </c>
      <c r="AD7" s="474" t="e">
        <f t="shared" si="12"/>
        <v>#DIV/0!</v>
      </c>
      <c r="AE7" s="475" t="e">
        <f t="shared" si="13"/>
        <v>#DIV/0!</v>
      </c>
    </row>
    <row r="8" spans="1:31">
      <c r="A8" s="435">
        <v>43955</v>
      </c>
      <c r="B8" s="518"/>
      <c r="C8" s="464">
        <f t="shared" si="0"/>
        <v>0</v>
      </c>
      <c r="D8" s="5"/>
      <c r="E8" s="3"/>
      <c r="F8" s="434"/>
      <c r="G8" s="5"/>
      <c r="H8" s="6" t="e">
        <f t="shared" si="1"/>
        <v>#DIV/0!</v>
      </c>
      <c r="I8" s="518"/>
      <c r="J8" s="464">
        <f t="shared" si="2"/>
        <v>0</v>
      </c>
      <c r="K8" s="3"/>
      <c r="L8" s="3"/>
      <c r="M8" s="3"/>
      <c r="N8" s="5"/>
      <c r="O8" s="6" t="e">
        <f t="shared" si="3"/>
        <v>#DIV/0!</v>
      </c>
      <c r="P8" s="518"/>
      <c r="Q8" s="464">
        <f t="shared" si="4"/>
        <v>0</v>
      </c>
      <c r="R8" s="3"/>
      <c r="S8" s="3"/>
      <c r="T8" s="3"/>
      <c r="U8" s="5"/>
      <c r="V8" s="6" t="e">
        <f t="shared" si="5"/>
        <v>#DIV/0!</v>
      </c>
      <c r="W8" s="502">
        <f t="shared" si="14"/>
        <v>0</v>
      </c>
      <c r="X8" s="474">
        <f t="shared" si="6"/>
        <v>0</v>
      </c>
      <c r="Y8" s="473">
        <f t="shared" si="7"/>
        <v>0</v>
      </c>
      <c r="Z8" s="473">
        <f t="shared" si="8"/>
        <v>0</v>
      </c>
      <c r="AA8" s="473">
        <f t="shared" si="9"/>
        <v>0</v>
      </c>
      <c r="AB8" s="473">
        <f t="shared" si="10"/>
        <v>0</v>
      </c>
      <c r="AC8" s="473" t="e">
        <f t="shared" si="11"/>
        <v>#DIV/0!</v>
      </c>
      <c r="AD8" s="474" t="e">
        <f t="shared" si="12"/>
        <v>#DIV/0!</v>
      </c>
      <c r="AE8" s="475" t="e">
        <f t="shared" si="13"/>
        <v>#DIV/0!</v>
      </c>
    </row>
    <row r="9" spans="1:31">
      <c r="A9" s="435">
        <v>43956</v>
      </c>
      <c r="B9" s="518"/>
      <c r="C9" s="464">
        <f t="shared" ref="C9:C12" si="15">B9-(D9/60)</f>
        <v>0</v>
      </c>
      <c r="D9" s="5"/>
      <c r="E9" s="3"/>
      <c r="F9" s="434"/>
      <c r="G9" s="5"/>
      <c r="H9" s="6" t="e">
        <f t="shared" ref="H9:H12" si="16">G9/B9</f>
        <v>#DIV/0!</v>
      </c>
      <c r="I9" s="518"/>
      <c r="J9" s="464">
        <f t="shared" ref="J9:J12" si="17">I9-(K9/60)</f>
        <v>0</v>
      </c>
      <c r="K9" s="3"/>
      <c r="L9" s="3"/>
      <c r="M9" s="3"/>
      <c r="N9" s="5"/>
      <c r="O9" s="6" t="e">
        <f t="shared" ref="O9:O12" si="18">N9/I9</f>
        <v>#DIV/0!</v>
      </c>
      <c r="P9" s="518"/>
      <c r="Q9" s="464">
        <f t="shared" ref="Q9:Q12" si="19">P9-(R9/60)</f>
        <v>0</v>
      </c>
      <c r="R9" s="3"/>
      <c r="S9" s="3"/>
      <c r="T9" s="3"/>
      <c r="U9" s="5"/>
      <c r="V9" s="6" t="e">
        <f t="shared" ref="V9:V12" si="20">U9/P9</f>
        <v>#DIV/0!</v>
      </c>
      <c r="W9" s="502">
        <f>B9+I9+P9</f>
        <v>0</v>
      </c>
      <c r="X9" s="474">
        <f t="shared" si="6"/>
        <v>0</v>
      </c>
      <c r="Y9" s="473">
        <f t="shared" si="7"/>
        <v>0</v>
      </c>
      <c r="Z9" s="473">
        <f t="shared" si="8"/>
        <v>0</v>
      </c>
      <c r="AA9" s="473">
        <f t="shared" si="9"/>
        <v>0</v>
      </c>
      <c r="AB9" s="473">
        <f t="shared" si="10"/>
        <v>0</v>
      </c>
      <c r="AC9" s="473" t="e">
        <f t="shared" si="11"/>
        <v>#DIV/0!</v>
      </c>
      <c r="AD9" s="474" t="e">
        <f t="shared" si="12"/>
        <v>#DIV/0!</v>
      </c>
      <c r="AE9" s="475" t="e">
        <f t="shared" si="13"/>
        <v>#DIV/0!</v>
      </c>
    </row>
    <row r="10" spans="1:31">
      <c r="A10" s="435">
        <v>43957</v>
      </c>
      <c r="B10" s="518"/>
      <c r="C10" s="464">
        <f t="shared" si="15"/>
        <v>0</v>
      </c>
      <c r="D10" s="5"/>
      <c r="E10" s="3"/>
      <c r="F10" s="434"/>
      <c r="G10" s="5"/>
      <c r="H10" s="6" t="e">
        <f t="shared" si="16"/>
        <v>#DIV/0!</v>
      </c>
      <c r="I10" s="518"/>
      <c r="J10" s="464">
        <f t="shared" si="17"/>
        <v>0</v>
      </c>
      <c r="K10" s="3"/>
      <c r="L10" s="3"/>
      <c r="M10" s="3"/>
      <c r="N10" s="5"/>
      <c r="O10" s="6" t="e">
        <f t="shared" si="18"/>
        <v>#DIV/0!</v>
      </c>
      <c r="P10" s="518"/>
      <c r="Q10" s="464">
        <f t="shared" si="19"/>
        <v>0</v>
      </c>
      <c r="R10" s="3"/>
      <c r="S10" s="3"/>
      <c r="T10" s="3"/>
      <c r="U10" s="5"/>
      <c r="V10" s="6" t="e">
        <f t="shared" si="20"/>
        <v>#DIV/0!</v>
      </c>
      <c r="W10" s="502">
        <f>B10+I10+P10</f>
        <v>0</v>
      </c>
      <c r="X10" s="474">
        <f t="shared" si="6"/>
        <v>0</v>
      </c>
      <c r="Y10" s="473">
        <f t="shared" si="7"/>
        <v>0</v>
      </c>
      <c r="Z10" s="473">
        <f t="shared" si="8"/>
        <v>0</v>
      </c>
      <c r="AA10" s="473">
        <f t="shared" si="9"/>
        <v>0</v>
      </c>
      <c r="AB10" s="473">
        <f t="shared" si="10"/>
        <v>0</v>
      </c>
      <c r="AC10" s="473" t="e">
        <f t="shared" si="11"/>
        <v>#DIV/0!</v>
      </c>
      <c r="AD10" s="474" t="e">
        <f t="shared" si="12"/>
        <v>#DIV/0!</v>
      </c>
      <c r="AE10" s="475" t="e">
        <f t="shared" si="13"/>
        <v>#DIV/0!</v>
      </c>
    </row>
    <row r="11" spans="1:31">
      <c r="A11" s="435">
        <v>43958</v>
      </c>
      <c r="B11" s="518"/>
      <c r="C11" s="464">
        <f t="shared" si="15"/>
        <v>0</v>
      </c>
      <c r="D11" s="5"/>
      <c r="E11" s="3"/>
      <c r="F11" s="434"/>
      <c r="G11" s="5"/>
      <c r="H11" s="6" t="e">
        <f t="shared" si="16"/>
        <v>#DIV/0!</v>
      </c>
      <c r="I11" s="518"/>
      <c r="J11" s="464">
        <f t="shared" si="17"/>
        <v>0</v>
      </c>
      <c r="K11" s="3"/>
      <c r="L11" s="3"/>
      <c r="M11" s="3"/>
      <c r="N11" s="5"/>
      <c r="O11" s="6" t="e">
        <f t="shared" si="18"/>
        <v>#DIV/0!</v>
      </c>
      <c r="P11" s="518"/>
      <c r="Q11" s="464">
        <f t="shared" si="19"/>
        <v>0</v>
      </c>
      <c r="R11" s="3"/>
      <c r="S11" s="3"/>
      <c r="T11" s="3"/>
      <c r="U11" s="5"/>
      <c r="V11" s="6" t="e">
        <f t="shared" si="20"/>
        <v>#DIV/0!</v>
      </c>
      <c r="W11" s="502">
        <f t="shared" si="14"/>
        <v>0</v>
      </c>
      <c r="X11" s="474">
        <f t="shared" si="6"/>
        <v>0</v>
      </c>
      <c r="Y11" s="473">
        <f t="shared" si="7"/>
        <v>0</v>
      </c>
      <c r="Z11" s="473">
        <f t="shared" si="8"/>
        <v>0</v>
      </c>
      <c r="AA11" s="473">
        <f t="shared" si="9"/>
        <v>0</v>
      </c>
      <c r="AB11" s="473">
        <f t="shared" si="10"/>
        <v>0</v>
      </c>
      <c r="AC11" s="473" t="e">
        <f t="shared" si="11"/>
        <v>#DIV/0!</v>
      </c>
      <c r="AD11" s="474" t="e">
        <f t="shared" si="12"/>
        <v>#DIV/0!</v>
      </c>
      <c r="AE11" s="475" t="e">
        <f t="shared" si="13"/>
        <v>#DIV/0!</v>
      </c>
    </row>
    <row r="12" spans="1:31">
      <c r="A12" s="435">
        <v>43959</v>
      </c>
      <c r="B12" s="518"/>
      <c r="C12" s="464">
        <f t="shared" si="15"/>
        <v>0</v>
      </c>
      <c r="D12" s="5"/>
      <c r="E12" s="3"/>
      <c r="F12" s="434"/>
      <c r="G12" s="5"/>
      <c r="H12" s="6" t="e">
        <f t="shared" si="16"/>
        <v>#DIV/0!</v>
      </c>
      <c r="I12" s="518"/>
      <c r="J12" s="464">
        <f t="shared" si="17"/>
        <v>0</v>
      </c>
      <c r="K12" s="3"/>
      <c r="L12" s="3"/>
      <c r="M12" s="3"/>
      <c r="N12" s="5"/>
      <c r="O12" s="6" t="e">
        <f t="shared" si="18"/>
        <v>#DIV/0!</v>
      </c>
      <c r="P12" s="518"/>
      <c r="Q12" s="464">
        <f t="shared" si="19"/>
        <v>0</v>
      </c>
      <c r="R12" s="3"/>
      <c r="S12" s="3"/>
      <c r="T12" s="3"/>
      <c r="U12" s="5"/>
      <c r="V12" s="6" t="e">
        <f t="shared" si="20"/>
        <v>#DIV/0!</v>
      </c>
      <c r="W12" s="502">
        <f t="shared" si="14"/>
        <v>0</v>
      </c>
      <c r="X12" s="474">
        <f t="shared" si="6"/>
        <v>0</v>
      </c>
      <c r="Y12" s="473">
        <f t="shared" si="7"/>
        <v>0</v>
      </c>
      <c r="Z12" s="473">
        <f t="shared" si="8"/>
        <v>0</v>
      </c>
      <c r="AA12" s="473">
        <f t="shared" si="9"/>
        <v>0</v>
      </c>
      <c r="AB12" s="473">
        <f t="shared" si="10"/>
        <v>0</v>
      </c>
      <c r="AC12" s="473" t="e">
        <f t="shared" si="11"/>
        <v>#DIV/0!</v>
      </c>
      <c r="AD12" s="474" t="e">
        <f t="shared" si="12"/>
        <v>#DIV/0!</v>
      </c>
      <c r="AE12" s="475" t="e">
        <f t="shared" si="13"/>
        <v>#DIV/0!</v>
      </c>
    </row>
    <row r="13" spans="1:31">
      <c r="A13" s="435">
        <v>43960</v>
      </c>
      <c r="B13" s="518"/>
      <c r="C13" s="464">
        <f t="shared" si="0"/>
        <v>0</v>
      </c>
      <c r="D13" s="5"/>
      <c r="E13" s="3"/>
      <c r="F13" s="434"/>
      <c r="G13" s="5"/>
      <c r="H13" s="6" t="e">
        <f t="shared" si="1"/>
        <v>#DIV/0!</v>
      </c>
      <c r="I13" s="518"/>
      <c r="J13" s="464">
        <f t="shared" si="2"/>
        <v>0</v>
      </c>
      <c r="K13" s="3"/>
      <c r="L13" s="3"/>
      <c r="M13" s="3"/>
      <c r="N13" s="5"/>
      <c r="O13" s="6" t="e">
        <f t="shared" si="3"/>
        <v>#DIV/0!</v>
      </c>
      <c r="P13" s="518"/>
      <c r="Q13" s="464">
        <f t="shared" si="4"/>
        <v>0</v>
      </c>
      <c r="R13" s="3"/>
      <c r="S13" s="3"/>
      <c r="T13" s="3"/>
      <c r="U13" s="5"/>
      <c r="V13" s="6" t="e">
        <f t="shared" si="5"/>
        <v>#DIV/0!</v>
      </c>
      <c r="W13" s="502">
        <f t="shared" si="14"/>
        <v>0</v>
      </c>
      <c r="X13" s="474">
        <f t="shared" si="6"/>
        <v>0</v>
      </c>
      <c r="Y13" s="473">
        <f t="shared" si="7"/>
        <v>0</v>
      </c>
      <c r="Z13" s="473">
        <f t="shared" si="8"/>
        <v>0</v>
      </c>
      <c r="AA13" s="473">
        <f t="shared" si="9"/>
        <v>0</v>
      </c>
      <c r="AB13" s="473">
        <f t="shared" si="10"/>
        <v>0</v>
      </c>
      <c r="AC13" s="473" t="e">
        <f t="shared" si="11"/>
        <v>#DIV/0!</v>
      </c>
      <c r="AD13" s="474" t="e">
        <f t="shared" si="12"/>
        <v>#DIV/0!</v>
      </c>
      <c r="AE13" s="475" t="e">
        <f t="shared" si="13"/>
        <v>#DIV/0!</v>
      </c>
    </row>
    <row r="14" spans="1:31">
      <c r="A14" s="435">
        <v>43961</v>
      </c>
      <c r="B14" s="518"/>
      <c r="C14" s="464">
        <f t="shared" si="0"/>
        <v>0</v>
      </c>
      <c r="D14" s="5"/>
      <c r="E14" s="3"/>
      <c r="F14" s="434"/>
      <c r="G14" s="5"/>
      <c r="H14" s="6" t="e">
        <f t="shared" si="1"/>
        <v>#DIV/0!</v>
      </c>
      <c r="I14" s="518"/>
      <c r="J14" s="464">
        <f t="shared" si="2"/>
        <v>0</v>
      </c>
      <c r="K14" s="3"/>
      <c r="L14" s="3"/>
      <c r="M14" s="3"/>
      <c r="N14" s="5"/>
      <c r="O14" s="6" t="e">
        <f t="shared" si="3"/>
        <v>#DIV/0!</v>
      </c>
      <c r="P14" s="518"/>
      <c r="Q14" s="464">
        <f t="shared" si="4"/>
        <v>0</v>
      </c>
      <c r="R14" s="3"/>
      <c r="S14" s="3"/>
      <c r="T14" s="3"/>
      <c r="U14" s="5"/>
      <c r="V14" s="6" t="e">
        <f t="shared" si="5"/>
        <v>#DIV/0!</v>
      </c>
      <c r="W14" s="502">
        <f t="shared" si="14"/>
        <v>0</v>
      </c>
      <c r="X14" s="474">
        <f t="shared" si="6"/>
        <v>0</v>
      </c>
      <c r="Y14" s="473">
        <f t="shared" si="7"/>
        <v>0</v>
      </c>
      <c r="Z14" s="473">
        <f t="shared" si="8"/>
        <v>0</v>
      </c>
      <c r="AA14" s="473">
        <f t="shared" si="9"/>
        <v>0</v>
      </c>
      <c r="AB14" s="473">
        <f t="shared" si="10"/>
        <v>0</v>
      </c>
      <c r="AC14" s="473" t="e">
        <f t="shared" si="11"/>
        <v>#DIV/0!</v>
      </c>
      <c r="AD14" s="474" t="e">
        <f t="shared" si="12"/>
        <v>#DIV/0!</v>
      </c>
      <c r="AE14" s="475" t="e">
        <f t="shared" si="13"/>
        <v>#DIV/0!</v>
      </c>
    </row>
    <row r="15" spans="1:31">
      <c r="A15" s="435">
        <v>43962</v>
      </c>
      <c r="B15" s="518"/>
      <c r="C15" s="464">
        <f t="shared" ref="C15:C22" si="21">B15-(D15/60)</f>
        <v>0</v>
      </c>
      <c r="D15" s="5"/>
      <c r="E15" s="3"/>
      <c r="F15" s="434"/>
      <c r="G15" s="5"/>
      <c r="H15" s="6" t="e">
        <f t="shared" ref="H15:H22" si="22">G15/B15</f>
        <v>#DIV/0!</v>
      </c>
      <c r="I15" s="518"/>
      <c r="J15" s="464">
        <f t="shared" ref="J15:J22" si="23">I15-(K15/60)</f>
        <v>0</v>
      </c>
      <c r="K15" s="3"/>
      <c r="L15" s="3"/>
      <c r="M15" s="3"/>
      <c r="N15" s="5"/>
      <c r="O15" s="6" t="e">
        <f t="shared" ref="O15:O22" si="24">N15/I15</f>
        <v>#DIV/0!</v>
      </c>
      <c r="P15" s="518"/>
      <c r="Q15" s="464">
        <f t="shared" ref="Q15:Q22" si="25">P15-(R15/60)</f>
        <v>0</v>
      </c>
      <c r="R15" s="3"/>
      <c r="S15" s="3"/>
      <c r="T15" s="3"/>
      <c r="U15" s="5"/>
      <c r="V15" s="6" t="e">
        <f t="shared" ref="V15:V22" si="26">U15/P15</f>
        <v>#DIV/0!</v>
      </c>
      <c r="W15" s="502">
        <f t="shared" si="14"/>
        <v>0</v>
      </c>
      <c r="X15" s="474">
        <f t="shared" si="6"/>
        <v>0</v>
      </c>
      <c r="Y15" s="473">
        <f t="shared" si="7"/>
        <v>0</v>
      </c>
      <c r="Z15" s="473">
        <f t="shared" si="8"/>
        <v>0</v>
      </c>
      <c r="AA15" s="473">
        <f t="shared" si="9"/>
        <v>0</v>
      </c>
      <c r="AB15" s="473">
        <f t="shared" si="10"/>
        <v>0</v>
      </c>
      <c r="AC15" s="473" t="e">
        <f t="shared" si="11"/>
        <v>#DIV/0!</v>
      </c>
      <c r="AD15" s="474" t="e">
        <f t="shared" si="12"/>
        <v>#DIV/0!</v>
      </c>
      <c r="AE15" s="475" t="e">
        <f t="shared" si="13"/>
        <v>#DIV/0!</v>
      </c>
    </row>
    <row r="16" spans="1:31">
      <c r="A16" s="435">
        <v>43963</v>
      </c>
      <c r="B16" s="518"/>
      <c r="C16" s="464">
        <f t="shared" si="21"/>
        <v>0</v>
      </c>
      <c r="D16" s="5"/>
      <c r="E16" s="3"/>
      <c r="F16" s="434"/>
      <c r="G16" s="5"/>
      <c r="H16" s="6" t="e">
        <f t="shared" si="22"/>
        <v>#DIV/0!</v>
      </c>
      <c r="I16" s="518"/>
      <c r="J16" s="464">
        <f t="shared" si="23"/>
        <v>0</v>
      </c>
      <c r="K16" s="3"/>
      <c r="L16" s="3"/>
      <c r="M16" s="3"/>
      <c r="N16" s="5"/>
      <c r="O16" s="6" t="e">
        <f t="shared" si="24"/>
        <v>#DIV/0!</v>
      </c>
      <c r="P16" s="518"/>
      <c r="Q16" s="464">
        <f t="shared" si="25"/>
        <v>0</v>
      </c>
      <c r="R16" s="3"/>
      <c r="S16" s="3"/>
      <c r="T16" s="3"/>
      <c r="U16" s="5"/>
      <c r="V16" s="6" t="e">
        <f t="shared" si="26"/>
        <v>#DIV/0!</v>
      </c>
      <c r="W16" s="502">
        <f t="shared" si="14"/>
        <v>0</v>
      </c>
      <c r="X16" s="474">
        <f t="shared" si="6"/>
        <v>0</v>
      </c>
      <c r="Y16" s="473">
        <f t="shared" si="7"/>
        <v>0</v>
      </c>
      <c r="Z16" s="473">
        <f t="shared" si="8"/>
        <v>0</v>
      </c>
      <c r="AA16" s="473">
        <f t="shared" si="9"/>
        <v>0</v>
      </c>
      <c r="AB16" s="473">
        <f t="shared" si="10"/>
        <v>0</v>
      </c>
      <c r="AC16" s="473" t="e">
        <f t="shared" si="11"/>
        <v>#DIV/0!</v>
      </c>
      <c r="AD16" s="474" t="e">
        <f t="shared" si="12"/>
        <v>#DIV/0!</v>
      </c>
      <c r="AE16" s="475" t="e">
        <f t="shared" si="13"/>
        <v>#DIV/0!</v>
      </c>
    </row>
    <row r="17" spans="1:31">
      <c r="A17" s="435">
        <v>43964</v>
      </c>
      <c r="B17" s="518"/>
      <c r="C17" s="464">
        <f t="shared" si="21"/>
        <v>0</v>
      </c>
      <c r="D17" s="5"/>
      <c r="E17" s="3"/>
      <c r="F17" s="434"/>
      <c r="G17" s="5"/>
      <c r="H17" s="6" t="e">
        <f t="shared" si="22"/>
        <v>#DIV/0!</v>
      </c>
      <c r="I17" s="518"/>
      <c r="J17" s="464">
        <f t="shared" si="23"/>
        <v>0</v>
      </c>
      <c r="K17" s="3"/>
      <c r="L17" s="3"/>
      <c r="M17" s="3"/>
      <c r="N17" s="5"/>
      <c r="O17" s="6" t="e">
        <f t="shared" si="24"/>
        <v>#DIV/0!</v>
      </c>
      <c r="P17" s="518"/>
      <c r="Q17" s="464">
        <f t="shared" si="25"/>
        <v>0</v>
      </c>
      <c r="R17" s="3"/>
      <c r="S17" s="3"/>
      <c r="T17" s="3"/>
      <c r="U17" s="5"/>
      <c r="V17" s="6" t="e">
        <f t="shared" si="26"/>
        <v>#DIV/0!</v>
      </c>
      <c r="W17" s="502">
        <f t="shared" si="14"/>
        <v>0</v>
      </c>
      <c r="X17" s="474">
        <f t="shared" si="6"/>
        <v>0</v>
      </c>
      <c r="Y17" s="473">
        <f t="shared" si="7"/>
        <v>0</v>
      </c>
      <c r="Z17" s="473">
        <f t="shared" si="8"/>
        <v>0</v>
      </c>
      <c r="AA17" s="473">
        <f t="shared" si="9"/>
        <v>0</v>
      </c>
      <c r="AB17" s="473">
        <f t="shared" si="10"/>
        <v>0</v>
      </c>
      <c r="AC17" s="473" t="e">
        <f t="shared" si="11"/>
        <v>#DIV/0!</v>
      </c>
      <c r="AD17" s="474" t="e">
        <f t="shared" si="12"/>
        <v>#DIV/0!</v>
      </c>
      <c r="AE17" s="475" t="e">
        <f t="shared" si="13"/>
        <v>#DIV/0!</v>
      </c>
    </row>
    <row r="18" spans="1:31">
      <c r="A18" s="435">
        <v>43965</v>
      </c>
      <c r="B18" s="518"/>
      <c r="C18" s="464">
        <f t="shared" si="21"/>
        <v>0</v>
      </c>
      <c r="D18" s="5"/>
      <c r="E18" s="3"/>
      <c r="F18" s="434"/>
      <c r="G18" s="5"/>
      <c r="H18" s="6" t="e">
        <f t="shared" si="22"/>
        <v>#DIV/0!</v>
      </c>
      <c r="I18" s="518"/>
      <c r="J18" s="464">
        <f t="shared" si="23"/>
        <v>0</v>
      </c>
      <c r="K18" s="3"/>
      <c r="L18" s="3"/>
      <c r="M18" s="3"/>
      <c r="N18" s="5"/>
      <c r="O18" s="6" t="e">
        <f t="shared" si="24"/>
        <v>#DIV/0!</v>
      </c>
      <c r="P18" s="518"/>
      <c r="Q18" s="464">
        <f t="shared" si="25"/>
        <v>0</v>
      </c>
      <c r="R18" s="3"/>
      <c r="S18" s="3"/>
      <c r="T18" s="3"/>
      <c r="U18" s="5"/>
      <c r="V18" s="6" t="e">
        <f t="shared" si="26"/>
        <v>#DIV/0!</v>
      </c>
      <c r="W18" s="502">
        <f t="shared" si="14"/>
        <v>0</v>
      </c>
      <c r="X18" s="474">
        <f t="shared" si="6"/>
        <v>0</v>
      </c>
      <c r="Y18" s="473">
        <f t="shared" si="7"/>
        <v>0</v>
      </c>
      <c r="Z18" s="473">
        <f t="shared" si="8"/>
        <v>0</v>
      </c>
      <c r="AA18" s="473">
        <f t="shared" si="9"/>
        <v>0</v>
      </c>
      <c r="AB18" s="473">
        <f t="shared" si="10"/>
        <v>0</v>
      </c>
      <c r="AC18" s="473" t="e">
        <f t="shared" si="11"/>
        <v>#DIV/0!</v>
      </c>
      <c r="AD18" s="474" t="e">
        <f t="shared" si="12"/>
        <v>#DIV/0!</v>
      </c>
      <c r="AE18" s="475" t="e">
        <f t="shared" si="13"/>
        <v>#DIV/0!</v>
      </c>
    </row>
    <row r="19" spans="1:31">
      <c r="A19" s="435">
        <v>43966</v>
      </c>
      <c r="B19" s="518"/>
      <c r="C19" s="464">
        <f t="shared" si="21"/>
        <v>0</v>
      </c>
      <c r="D19" s="5"/>
      <c r="E19" s="3"/>
      <c r="F19" s="434"/>
      <c r="G19" s="5"/>
      <c r="H19" s="6" t="e">
        <f t="shared" si="22"/>
        <v>#DIV/0!</v>
      </c>
      <c r="I19" s="518"/>
      <c r="J19" s="464">
        <f t="shared" si="23"/>
        <v>0</v>
      </c>
      <c r="K19" s="3"/>
      <c r="L19" s="3"/>
      <c r="M19" s="3"/>
      <c r="N19" s="5"/>
      <c r="O19" s="6" t="e">
        <f t="shared" si="24"/>
        <v>#DIV/0!</v>
      </c>
      <c r="P19" s="518"/>
      <c r="Q19" s="464">
        <f t="shared" si="25"/>
        <v>0</v>
      </c>
      <c r="R19" s="3"/>
      <c r="S19" s="3"/>
      <c r="T19" s="3"/>
      <c r="U19" s="5"/>
      <c r="V19" s="6" t="e">
        <f t="shared" si="26"/>
        <v>#DIV/0!</v>
      </c>
      <c r="W19" s="502">
        <f t="shared" si="14"/>
        <v>0</v>
      </c>
      <c r="X19" s="474">
        <f t="shared" si="6"/>
        <v>0</v>
      </c>
      <c r="Y19" s="473">
        <f t="shared" si="7"/>
        <v>0</v>
      </c>
      <c r="Z19" s="473">
        <f t="shared" si="8"/>
        <v>0</v>
      </c>
      <c r="AA19" s="473">
        <f t="shared" si="9"/>
        <v>0</v>
      </c>
      <c r="AB19" s="473">
        <f t="shared" si="10"/>
        <v>0</v>
      </c>
      <c r="AC19" s="473" t="e">
        <f t="shared" si="11"/>
        <v>#DIV/0!</v>
      </c>
      <c r="AD19" s="474" t="e">
        <f t="shared" si="12"/>
        <v>#DIV/0!</v>
      </c>
      <c r="AE19" s="475" t="e">
        <f t="shared" si="13"/>
        <v>#DIV/0!</v>
      </c>
    </row>
    <row r="20" spans="1:31">
      <c r="A20" s="435">
        <v>43967</v>
      </c>
      <c r="B20" s="518"/>
      <c r="C20" s="464">
        <f t="shared" si="21"/>
        <v>0</v>
      </c>
      <c r="D20" s="5"/>
      <c r="E20" s="3"/>
      <c r="F20" s="434"/>
      <c r="G20" s="5"/>
      <c r="H20" s="6" t="e">
        <f t="shared" si="22"/>
        <v>#DIV/0!</v>
      </c>
      <c r="I20" s="518"/>
      <c r="J20" s="464">
        <f t="shared" si="23"/>
        <v>0</v>
      </c>
      <c r="K20" s="3"/>
      <c r="L20" s="3"/>
      <c r="M20" s="3"/>
      <c r="N20" s="5"/>
      <c r="O20" s="6" t="e">
        <f t="shared" si="24"/>
        <v>#DIV/0!</v>
      </c>
      <c r="P20" s="518"/>
      <c r="Q20" s="464">
        <f t="shared" si="25"/>
        <v>0</v>
      </c>
      <c r="R20" s="3"/>
      <c r="S20" s="3"/>
      <c r="T20" s="3"/>
      <c r="U20" s="5"/>
      <c r="V20" s="6" t="e">
        <f t="shared" si="26"/>
        <v>#DIV/0!</v>
      </c>
      <c r="W20" s="502">
        <f t="shared" si="14"/>
        <v>0</v>
      </c>
      <c r="X20" s="474">
        <f t="shared" si="6"/>
        <v>0</v>
      </c>
      <c r="Y20" s="473">
        <f t="shared" si="7"/>
        <v>0</v>
      </c>
      <c r="Z20" s="473">
        <f t="shared" si="8"/>
        <v>0</v>
      </c>
      <c r="AA20" s="473">
        <f t="shared" si="9"/>
        <v>0</v>
      </c>
      <c r="AB20" s="473">
        <f t="shared" si="10"/>
        <v>0</v>
      </c>
      <c r="AC20" s="473" t="e">
        <f t="shared" si="11"/>
        <v>#DIV/0!</v>
      </c>
      <c r="AD20" s="474" t="e">
        <f t="shared" si="12"/>
        <v>#DIV/0!</v>
      </c>
      <c r="AE20" s="475" t="e">
        <f t="shared" si="13"/>
        <v>#DIV/0!</v>
      </c>
    </row>
    <row r="21" spans="1:31">
      <c r="A21" s="435">
        <v>43968</v>
      </c>
      <c r="B21" s="518"/>
      <c r="C21" s="464">
        <f t="shared" si="21"/>
        <v>0</v>
      </c>
      <c r="D21" s="5"/>
      <c r="E21" s="3"/>
      <c r="F21" s="434"/>
      <c r="G21" s="5"/>
      <c r="H21" s="6" t="e">
        <f t="shared" si="22"/>
        <v>#DIV/0!</v>
      </c>
      <c r="I21" s="518"/>
      <c r="J21" s="464">
        <f t="shared" si="23"/>
        <v>0</v>
      </c>
      <c r="K21" s="3"/>
      <c r="L21" s="3"/>
      <c r="M21" s="3"/>
      <c r="N21" s="5"/>
      <c r="O21" s="6" t="e">
        <f t="shared" si="24"/>
        <v>#DIV/0!</v>
      </c>
      <c r="P21" s="518"/>
      <c r="Q21" s="464">
        <f t="shared" si="25"/>
        <v>0</v>
      </c>
      <c r="R21" s="3"/>
      <c r="S21" s="3"/>
      <c r="T21" s="3"/>
      <c r="U21" s="5"/>
      <c r="V21" s="6" t="e">
        <f t="shared" si="26"/>
        <v>#DIV/0!</v>
      </c>
      <c r="W21" s="502">
        <f t="shared" si="14"/>
        <v>0</v>
      </c>
      <c r="X21" s="474">
        <f t="shared" si="6"/>
        <v>0</v>
      </c>
      <c r="Y21" s="473">
        <f t="shared" si="7"/>
        <v>0</v>
      </c>
      <c r="Z21" s="473">
        <f t="shared" si="8"/>
        <v>0</v>
      </c>
      <c r="AA21" s="473">
        <f t="shared" si="9"/>
        <v>0</v>
      </c>
      <c r="AB21" s="473">
        <f t="shared" si="10"/>
        <v>0</v>
      </c>
      <c r="AC21" s="473" t="e">
        <f t="shared" si="11"/>
        <v>#DIV/0!</v>
      </c>
      <c r="AD21" s="474" t="e">
        <f t="shared" si="12"/>
        <v>#DIV/0!</v>
      </c>
      <c r="AE21" s="475" t="e">
        <f t="shared" si="13"/>
        <v>#DIV/0!</v>
      </c>
    </row>
    <row r="22" spans="1:31">
      <c r="A22" s="435">
        <v>43969</v>
      </c>
      <c r="B22" s="518"/>
      <c r="C22" s="464">
        <f t="shared" si="21"/>
        <v>0</v>
      </c>
      <c r="D22" s="5"/>
      <c r="E22" s="3"/>
      <c r="F22" s="434"/>
      <c r="G22" s="5"/>
      <c r="H22" s="6" t="e">
        <f t="shared" si="22"/>
        <v>#DIV/0!</v>
      </c>
      <c r="I22" s="518"/>
      <c r="J22" s="464">
        <f t="shared" si="23"/>
        <v>0</v>
      </c>
      <c r="K22" s="3"/>
      <c r="L22" s="3"/>
      <c r="M22" s="3"/>
      <c r="N22" s="5"/>
      <c r="O22" s="6" t="e">
        <f t="shared" si="24"/>
        <v>#DIV/0!</v>
      </c>
      <c r="P22" s="518"/>
      <c r="Q22" s="464">
        <f t="shared" si="25"/>
        <v>0</v>
      </c>
      <c r="R22" s="3"/>
      <c r="S22" s="3"/>
      <c r="T22" s="3"/>
      <c r="U22" s="5"/>
      <c r="V22" s="6" t="e">
        <f t="shared" si="26"/>
        <v>#DIV/0!</v>
      </c>
      <c r="W22" s="502">
        <f t="shared" si="14"/>
        <v>0</v>
      </c>
      <c r="X22" s="474">
        <f t="shared" si="6"/>
        <v>0</v>
      </c>
      <c r="Y22" s="473">
        <f t="shared" si="7"/>
        <v>0</v>
      </c>
      <c r="Z22" s="473">
        <f t="shared" si="8"/>
        <v>0</v>
      </c>
      <c r="AA22" s="473">
        <f t="shared" si="9"/>
        <v>0</v>
      </c>
      <c r="AB22" s="473">
        <f t="shared" si="10"/>
        <v>0</v>
      </c>
      <c r="AC22" s="473" t="e">
        <f t="shared" si="11"/>
        <v>#DIV/0!</v>
      </c>
      <c r="AD22" s="474" t="e">
        <f t="shared" si="12"/>
        <v>#DIV/0!</v>
      </c>
      <c r="AE22" s="475" t="e">
        <f t="shared" si="13"/>
        <v>#DIV/0!</v>
      </c>
    </row>
    <row r="23" spans="1:31">
      <c r="A23" s="435">
        <v>43970</v>
      </c>
      <c r="B23" s="518"/>
      <c r="C23" s="464">
        <f t="shared" ref="C23:C30" si="27">B23-(D23/60)</f>
        <v>0</v>
      </c>
      <c r="D23" s="5"/>
      <c r="E23" s="3"/>
      <c r="F23" s="434"/>
      <c r="G23" s="5"/>
      <c r="H23" s="6" t="e">
        <f t="shared" ref="H23:H30" si="28">G23/B23</f>
        <v>#DIV/0!</v>
      </c>
      <c r="I23" s="518"/>
      <c r="J23" s="464">
        <f t="shared" ref="J23:J30" si="29">I23-(K23/60)</f>
        <v>0</v>
      </c>
      <c r="K23" s="3"/>
      <c r="L23" s="3"/>
      <c r="M23" s="3"/>
      <c r="N23" s="5"/>
      <c r="O23" s="6" t="e">
        <f t="shared" ref="O23:O30" si="30">N23/I23</f>
        <v>#DIV/0!</v>
      </c>
      <c r="P23" s="518"/>
      <c r="Q23" s="464">
        <f t="shared" ref="Q23:Q30" si="31">P23-(R23/60)</f>
        <v>0</v>
      </c>
      <c r="R23" s="3"/>
      <c r="S23" s="3"/>
      <c r="T23" s="3"/>
      <c r="U23" s="5"/>
      <c r="V23" s="6" t="e">
        <f t="shared" ref="V23:V30" si="32">U23/P23</f>
        <v>#DIV/0!</v>
      </c>
      <c r="W23" s="502">
        <f t="shared" si="14"/>
        <v>0</v>
      </c>
      <c r="X23" s="474">
        <f t="shared" si="6"/>
        <v>0</v>
      </c>
      <c r="Y23" s="473">
        <f t="shared" si="7"/>
        <v>0</v>
      </c>
      <c r="Z23" s="473">
        <f t="shared" si="8"/>
        <v>0</v>
      </c>
      <c r="AA23" s="473">
        <f t="shared" si="9"/>
        <v>0</v>
      </c>
      <c r="AB23" s="473">
        <f t="shared" si="10"/>
        <v>0</v>
      </c>
      <c r="AC23" s="473" t="e">
        <f t="shared" si="11"/>
        <v>#DIV/0!</v>
      </c>
      <c r="AD23" s="474" t="e">
        <f t="shared" si="12"/>
        <v>#DIV/0!</v>
      </c>
      <c r="AE23" s="475" t="e">
        <f t="shared" si="13"/>
        <v>#DIV/0!</v>
      </c>
    </row>
    <row r="24" spans="1:31">
      <c r="A24" s="435">
        <v>43971</v>
      </c>
      <c r="B24" s="518"/>
      <c r="C24" s="464">
        <f t="shared" si="27"/>
        <v>0</v>
      </c>
      <c r="D24" s="5"/>
      <c r="E24" s="3"/>
      <c r="F24" s="434"/>
      <c r="G24" s="5"/>
      <c r="H24" s="6" t="e">
        <f t="shared" si="28"/>
        <v>#DIV/0!</v>
      </c>
      <c r="I24" s="518"/>
      <c r="J24" s="464">
        <f t="shared" si="29"/>
        <v>0</v>
      </c>
      <c r="K24" s="3"/>
      <c r="L24" s="3"/>
      <c r="M24" s="3"/>
      <c r="N24" s="5"/>
      <c r="O24" s="6" t="e">
        <f t="shared" si="30"/>
        <v>#DIV/0!</v>
      </c>
      <c r="P24" s="518"/>
      <c r="Q24" s="464">
        <f t="shared" si="31"/>
        <v>0</v>
      </c>
      <c r="R24" s="3"/>
      <c r="S24" s="3"/>
      <c r="T24" s="3"/>
      <c r="U24" s="5"/>
      <c r="V24" s="6" t="e">
        <f t="shared" si="32"/>
        <v>#DIV/0!</v>
      </c>
      <c r="W24" s="502">
        <f t="shared" si="14"/>
        <v>0</v>
      </c>
      <c r="X24" s="474">
        <f t="shared" si="6"/>
        <v>0</v>
      </c>
      <c r="Y24" s="473">
        <f t="shared" si="7"/>
        <v>0</v>
      </c>
      <c r="Z24" s="473">
        <f t="shared" si="8"/>
        <v>0</v>
      </c>
      <c r="AA24" s="473">
        <f t="shared" si="9"/>
        <v>0</v>
      </c>
      <c r="AB24" s="473">
        <f t="shared" si="10"/>
        <v>0</v>
      </c>
      <c r="AC24" s="473" t="e">
        <f t="shared" si="11"/>
        <v>#DIV/0!</v>
      </c>
      <c r="AD24" s="474" t="e">
        <f t="shared" si="12"/>
        <v>#DIV/0!</v>
      </c>
      <c r="AE24" s="475" t="e">
        <f t="shared" si="13"/>
        <v>#DIV/0!</v>
      </c>
    </row>
    <row r="25" spans="1:31">
      <c r="A25" s="435">
        <v>43972</v>
      </c>
      <c r="B25" s="518"/>
      <c r="C25" s="464">
        <f t="shared" si="27"/>
        <v>0</v>
      </c>
      <c r="D25" s="5"/>
      <c r="E25" s="3"/>
      <c r="F25" s="434"/>
      <c r="G25" s="5"/>
      <c r="H25" s="6" t="e">
        <f t="shared" si="28"/>
        <v>#DIV/0!</v>
      </c>
      <c r="I25" s="518"/>
      <c r="J25" s="464">
        <f t="shared" si="29"/>
        <v>0</v>
      </c>
      <c r="K25" s="3"/>
      <c r="L25" s="3"/>
      <c r="M25" s="3"/>
      <c r="N25" s="5"/>
      <c r="O25" s="6" t="e">
        <f t="shared" si="30"/>
        <v>#DIV/0!</v>
      </c>
      <c r="P25" s="518"/>
      <c r="Q25" s="464">
        <f t="shared" si="31"/>
        <v>0</v>
      </c>
      <c r="R25" s="3"/>
      <c r="S25" s="3"/>
      <c r="T25" s="3"/>
      <c r="U25" s="5"/>
      <c r="V25" s="6" t="e">
        <f t="shared" si="32"/>
        <v>#DIV/0!</v>
      </c>
      <c r="W25" s="502">
        <f t="shared" si="14"/>
        <v>0</v>
      </c>
      <c r="X25" s="474">
        <f t="shared" si="6"/>
        <v>0</v>
      </c>
      <c r="Y25" s="473">
        <f t="shared" si="7"/>
        <v>0</v>
      </c>
      <c r="Z25" s="473">
        <f t="shared" si="8"/>
        <v>0</v>
      </c>
      <c r="AA25" s="473">
        <f t="shared" si="9"/>
        <v>0</v>
      </c>
      <c r="AB25" s="473">
        <f t="shared" si="10"/>
        <v>0</v>
      </c>
      <c r="AC25" s="473" t="e">
        <f>AB25/W25</f>
        <v>#DIV/0!</v>
      </c>
      <c r="AD25" s="474" t="e">
        <f t="shared" si="12"/>
        <v>#DIV/0!</v>
      </c>
      <c r="AE25" s="475" t="e">
        <f t="shared" si="13"/>
        <v>#DIV/0!</v>
      </c>
    </row>
    <row r="26" spans="1:31">
      <c r="A26" s="435">
        <v>43973</v>
      </c>
      <c r="B26" s="518"/>
      <c r="C26" s="464">
        <f t="shared" si="27"/>
        <v>0</v>
      </c>
      <c r="D26" s="5"/>
      <c r="E26" s="3"/>
      <c r="F26" s="434"/>
      <c r="G26" s="5"/>
      <c r="H26" s="6" t="e">
        <f t="shared" si="28"/>
        <v>#DIV/0!</v>
      </c>
      <c r="I26" s="518"/>
      <c r="J26" s="464">
        <f t="shared" si="29"/>
        <v>0</v>
      </c>
      <c r="K26" s="3"/>
      <c r="L26" s="3"/>
      <c r="M26" s="3"/>
      <c r="N26" s="5"/>
      <c r="O26" s="6" t="e">
        <f t="shared" si="30"/>
        <v>#DIV/0!</v>
      </c>
      <c r="P26" s="518"/>
      <c r="Q26" s="464">
        <f t="shared" si="31"/>
        <v>0</v>
      </c>
      <c r="R26" s="3"/>
      <c r="S26" s="3"/>
      <c r="T26" s="3"/>
      <c r="U26" s="5"/>
      <c r="V26" s="6" t="e">
        <f t="shared" si="32"/>
        <v>#DIV/0!</v>
      </c>
      <c r="W26" s="502">
        <f t="shared" si="14"/>
        <v>0</v>
      </c>
      <c r="X26" s="474">
        <f t="shared" si="6"/>
        <v>0</v>
      </c>
      <c r="Y26" s="473">
        <f t="shared" si="7"/>
        <v>0</v>
      </c>
      <c r="Z26" s="473">
        <f t="shared" si="8"/>
        <v>0</v>
      </c>
      <c r="AA26" s="473">
        <f t="shared" si="9"/>
        <v>0</v>
      </c>
      <c r="AB26" s="473">
        <f t="shared" si="10"/>
        <v>0</v>
      </c>
      <c r="AC26" s="473" t="e">
        <f t="shared" si="11"/>
        <v>#DIV/0!</v>
      </c>
      <c r="AD26" s="474" t="e">
        <f t="shared" si="12"/>
        <v>#DIV/0!</v>
      </c>
      <c r="AE26" s="475" t="e">
        <f t="shared" si="13"/>
        <v>#DIV/0!</v>
      </c>
    </row>
    <row r="27" spans="1:31">
      <c r="A27" s="435">
        <v>43974</v>
      </c>
      <c r="B27" s="518"/>
      <c r="C27" s="464">
        <f t="shared" si="27"/>
        <v>0</v>
      </c>
      <c r="D27" s="5"/>
      <c r="E27" s="3"/>
      <c r="F27" s="434"/>
      <c r="G27" s="5"/>
      <c r="H27" s="6" t="e">
        <f t="shared" si="28"/>
        <v>#DIV/0!</v>
      </c>
      <c r="I27" s="518"/>
      <c r="J27" s="464">
        <f t="shared" si="29"/>
        <v>0</v>
      </c>
      <c r="K27" s="3"/>
      <c r="L27" s="3"/>
      <c r="M27" s="3"/>
      <c r="N27" s="5"/>
      <c r="O27" s="6" t="e">
        <f t="shared" si="30"/>
        <v>#DIV/0!</v>
      </c>
      <c r="P27" s="518"/>
      <c r="Q27" s="464">
        <f t="shared" si="31"/>
        <v>0</v>
      </c>
      <c r="R27" s="3"/>
      <c r="S27" s="3"/>
      <c r="T27" s="3"/>
      <c r="U27" s="5"/>
      <c r="V27" s="6" t="e">
        <f t="shared" si="32"/>
        <v>#DIV/0!</v>
      </c>
      <c r="W27" s="502">
        <f t="shared" si="14"/>
        <v>0</v>
      </c>
      <c r="X27" s="474">
        <f t="shared" si="6"/>
        <v>0</v>
      </c>
      <c r="Y27" s="473">
        <f t="shared" si="7"/>
        <v>0</v>
      </c>
      <c r="Z27" s="473">
        <f t="shared" si="8"/>
        <v>0</v>
      </c>
      <c r="AA27" s="473">
        <f t="shared" si="9"/>
        <v>0</v>
      </c>
      <c r="AB27" s="473">
        <f t="shared" si="10"/>
        <v>0</v>
      </c>
      <c r="AC27" s="473" t="e">
        <f t="shared" si="11"/>
        <v>#DIV/0!</v>
      </c>
      <c r="AD27" s="474" t="e">
        <f t="shared" si="12"/>
        <v>#DIV/0!</v>
      </c>
      <c r="AE27" s="475" t="e">
        <f t="shared" si="13"/>
        <v>#DIV/0!</v>
      </c>
    </row>
    <row r="28" spans="1:31">
      <c r="A28" s="435">
        <v>43975</v>
      </c>
      <c r="B28" s="518"/>
      <c r="C28" s="464">
        <f t="shared" si="27"/>
        <v>0</v>
      </c>
      <c r="D28" s="5"/>
      <c r="E28" s="3"/>
      <c r="F28" s="434"/>
      <c r="G28" s="5"/>
      <c r="H28" s="6" t="e">
        <f t="shared" si="28"/>
        <v>#DIV/0!</v>
      </c>
      <c r="I28" s="518"/>
      <c r="J28" s="464">
        <f t="shared" si="29"/>
        <v>0</v>
      </c>
      <c r="K28" s="3"/>
      <c r="L28" s="3"/>
      <c r="M28" s="3"/>
      <c r="N28" s="5"/>
      <c r="O28" s="6" t="e">
        <f t="shared" si="30"/>
        <v>#DIV/0!</v>
      </c>
      <c r="P28" s="518"/>
      <c r="Q28" s="464">
        <f t="shared" si="31"/>
        <v>0</v>
      </c>
      <c r="R28" s="3"/>
      <c r="S28" s="3"/>
      <c r="T28" s="3"/>
      <c r="U28" s="5"/>
      <c r="V28" s="6" t="e">
        <f t="shared" si="32"/>
        <v>#DIV/0!</v>
      </c>
      <c r="W28" s="502">
        <f t="shared" si="14"/>
        <v>0</v>
      </c>
      <c r="X28" s="474">
        <f t="shared" si="6"/>
        <v>0</v>
      </c>
      <c r="Y28" s="473">
        <f t="shared" si="7"/>
        <v>0</v>
      </c>
      <c r="Z28" s="473">
        <f t="shared" si="8"/>
        <v>0</v>
      </c>
      <c r="AA28" s="473">
        <f t="shared" si="9"/>
        <v>0</v>
      </c>
      <c r="AB28" s="473">
        <f t="shared" si="10"/>
        <v>0</v>
      </c>
      <c r="AC28" s="473" t="e">
        <f t="shared" si="11"/>
        <v>#DIV/0!</v>
      </c>
      <c r="AD28" s="474" t="e">
        <f t="shared" si="12"/>
        <v>#DIV/0!</v>
      </c>
      <c r="AE28" s="475" t="e">
        <f t="shared" si="13"/>
        <v>#DIV/0!</v>
      </c>
    </row>
    <row r="29" spans="1:31">
      <c r="A29" s="435">
        <v>43976</v>
      </c>
      <c r="B29" s="518"/>
      <c r="C29" s="464">
        <f t="shared" si="27"/>
        <v>0</v>
      </c>
      <c r="D29" s="5"/>
      <c r="E29" s="3"/>
      <c r="F29" s="434"/>
      <c r="G29" s="5"/>
      <c r="H29" s="6" t="e">
        <f t="shared" si="28"/>
        <v>#DIV/0!</v>
      </c>
      <c r="I29" s="518"/>
      <c r="J29" s="464">
        <f t="shared" si="29"/>
        <v>0</v>
      </c>
      <c r="K29" s="3"/>
      <c r="L29" s="3"/>
      <c r="M29" s="3"/>
      <c r="N29" s="5"/>
      <c r="O29" s="6" t="e">
        <f t="shared" si="30"/>
        <v>#DIV/0!</v>
      </c>
      <c r="P29" s="518"/>
      <c r="Q29" s="464">
        <f t="shared" si="31"/>
        <v>0</v>
      </c>
      <c r="R29" s="3"/>
      <c r="S29" s="3"/>
      <c r="T29" s="3"/>
      <c r="U29" s="5"/>
      <c r="V29" s="6" t="e">
        <f t="shared" si="32"/>
        <v>#DIV/0!</v>
      </c>
      <c r="W29" s="502">
        <f t="shared" si="14"/>
        <v>0</v>
      </c>
      <c r="X29" s="474">
        <f t="shared" si="6"/>
        <v>0</v>
      </c>
      <c r="Y29" s="473">
        <f t="shared" si="7"/>
        <v>0</v>
      </c>
      <c r="Z29" s="473">
        <f t="shared" si="8"/>
        <v>0</v>
      </c>
      <c r="AA29" s="473">
        <f t="shared" si="9"/>
        <v>0</v>
      </c>
      <c r="AB29" s="473">
        <f t="shared" si="10"/>
        <v>0</v>
      </c>
      <c r="AC29" s="473" t="e">
        <f t="shared" si="11"/>
        <v>#DIV/0!</v>
      </c>
      <c r="AD29" s="474" t="e">
        <f t="shared" si="12"/>
        <v>#DIV/0!</v>
      </c>
      <c r="AE29" s="475" t="e">
        <f t="shared" si="13"/>
        <v>#DIV/0!</v>
      </c>
    </row>
    <row r="30" spans="1:31">
      <c r="A30" s="435">
        <v>43977</v>
      </c>
      <c r="B30" s="518"/>
      <c r="C30" s="464">
        <f t="shared" si="27"/>
        <v>0</v>
      </c>
      <c r="D30" s="5"/>
      <c r="E30" s="3"/>
      <c r="F30" s="434"/>
      <c r="G30" s="5"/>
      <c r="H30" s="6" t="e">
        <f t="shared" si="28"/>
        <v>#DIV/0!</v>
      </c>
      <c r="I30" s="518"/>
      <c r="J30" s="464">
        <f t="shared" si="29"/>
        <v>0</v>
      </c>
      <c r="K30" s="3"/>
      <c r="L30" s="3"/>
      <c r="M30" s="3"/>
      <c r="N30" s="5"/>
      <c r="O30" s="6" t="e">
        <f t="shared" si="30"/>
        <v>#DIV/0!</v>
      </c>
      <c r="P30" s="518"/>
      <c r="Q30" s="464">
        <f t="shared" si="31"/>
        <v>0</v>
      </c>
      <c r="R30" s="3"/>
      <c r="S30" s="3"/>
      <c r="T30" s="3"/>
      <c r="U30" s="5"/>
      <c r="V30" s="6" t="e">
        <f t="shared" si="32"/>
        <v>#DIV/0!</v>
      </c>
      <c r="W30" s="502">
        <f t="shared" si="14"/>
        <v>0</v>
      </c>
      <c r="X30" s="474">
        <f t="shared" si="6"/>
        <v>0</v>
      </c>
      <c r="Y30" s="473">
        <f t="shared" si="7"/>
        <v>0</v>
      </c>
      <c r="Z30" s="473">
        <f t="shared" si="8"/>
        <v>0</v>
      </c>
      <c r="AA30" s="473">
        <f t="shared" si="9"/>
        <v>0</v>
      </c>
      <c r="AB30" s="473">
        <f t="shared" si="10"/>
        <v>0</v>
      </c>
      <c r="AC30" s="473" t="e">
        <f t="shared" si="11"/>
        <v>#DIV/0!</v>
      </c>
      <c r="AD30" s="474" t="e">
        <f t="shared" si="12"/>
        <v>#DIV/0!</v>
      </c>
      <c r="AE30" s="475" t="e">
        <f t="shared" si="13"/>
        <v>#DIV/0!</v>
      </c>
    </row>
    <row r="31" spans="1:31">
      <c r="A31" s="435">
        <v>43978</v>
      </c>
      <c r="B31" s="518"/>
      <c r="C31" s="464">
        <f t="shared" ref="C31:C33" si="33">B31-(D31/60)</f>
        <v>0</v>
      </c>
      <c r="D31" s="3"/>
      <c r="E31" s="3"/>
      <c r="F31" s="3"/>
      <c r="G31" s="5"/>
      <c r="H31" s="6" t="e">
        <f t="shared" ref="H31:H33" si="34">G31/B31</f>
        <v>#DIV/0!</v>
      </c>
      <c r="I31" s="518"/>
      <c r="J31" s="464">
        <f t="shared" ref="J31:J33" si="35">I31-(K31/60)</f>
        <v>0</v>
      </c>
      <c r="K31" s="5"/>
      <c r="L31" s="3"/>
      <c r="M31" s="434"/>
      <c r="N31" s="5"/>
      <c r="O31" s="6" t="e">
        <f t="shared" ref="O31:O33" si="36">N31/I31</f>
        <v>#DIV/0!</v>
      </c>
      <c r="P31" s="518"/>
      <c r="Q31" s="464">
        <f t="shared" ref="Q31:Q33" si="37">P31-(R31/60)</f>
        <v>0</v>
      </c>
      <c r="R31" s="3"/>
      <c r="S31" s="3"/>
      <c r="T31" s="3"/>
      <c r="U31" s="5"/>
      <c r="V31" s="6" t="e">
        <f t="shared" ref="V31:V33" si="38">U31/P31</f>
        <v>#DIV/0!</v>
      </c>
      <c r="W31" s="502">
        <f t="shared" si="14"/>
        <v>0</v>
      </c>
      <c r="X31" s="474">
        <f t="shared" si="6"/>
        <v>0</v>
      </c>
      <c r="Y31" s="473">
        <f t="shared" si="7"/>
        <v>0</v>
      </c>
      <c r="Z31" s="473">
        <f t="shared" si="8"/>
        <v>0</v>
      </c>
      <c r="AA31" s="473">
        <f t="shared" si="9"/>
        <v>0</v>
      </c>
      <c r="AB31" s="473">
        <f t="shared" si="10"/>
        <v>0</v>
      </c>
      <c r="AC31" s="473" t="e">
        <f t="shared" si="11"/>
        <v>#DIV/0!</v>
      </c>
      <c r="AD31" s="474" t="e">
        <f t="shared" si="12"/>
        <v>#DIV/0!</v>
      </c>
      <c r="AE31" s="475" t="e">
        <f t="shared" si="13"/>
        <v>#DIV/0!</v>
      </c>
    </row>
    <row r="32" spans="1:31">
      <c r="A32" s="435">
        <v>43979</v>
      </c>
      <c r="B32" s="518"/>
      <c r="C32" s="464">
        <f t="shared" si="33"/>
        <v>0</v>
      </c>
      <c r="D32" s="3"/>
      <c r="E32" s="3"/>
      <c r="F32" s="3"/>
      <c r="G32" s="5"/>
      <c r="H32" s="6" t="e">
        <f t="shared" si="34"/>
        <v>#DIV/0!</v>
      </c>
      <c r="I32" s="518"/>
      <c r="J32" s="464">
        <f t="shared" si="35"/>
        <v>0</v>
      </c>
      <c r="K32" s="5"/>
      <c r="L32" s="3"/>
      <c r="M32" s="434"/>
      <c r="N32" s="5"/>
      <c r="O32" s="6" t="e">
        <f t="shared" si="36"/>
        <v>#DIV/0!</v>
      </c>
      <c r="P32" s="518"/>
      <c r="Q32" s="464">
        <f t="shared" si="37"/>
        <v>0</v>
      </c>
      <c r="R32" s="3"/>
      <c r="S32" s="3"/>
      <c r="T32" s="3"/>
      <c r="U32" s="5"/>
      <c r="V32" s="6" t="e">
        <f t="shared" si="38"/>
        <v>#DIV/0!</v>
      </c>
      <c r="W32" s="502">
        <f t="shared" si="14"/>
        <v>0</v>
      </c>
      <c r="X32" s="474">
        <f t="shared" si="6"/>
        <v>0</v>
      </c>
      <c r="Y32" s="473">
        <f t="shared" si="7"/>
        <v>0</v>
      </c>
      <c r="Z32" s="473">
        <f t="shared" si="8"/>
        <v>0</v>
      </c>
      <c r="AA32" s="473">
        <f t="shared" si="9"/>
        <v>0</v>
      </c>
      <c r="AB32" s="473">
        <f t="shared" si="10"/>
        <v>0</v>
      </c>
      <c r="AC32" s="473" t="e">
        <f t="shared" si="11"/>
        <v>#DIV/0!</v>
      </c>
      <c r="AD32" s="474" t="e">
        <f t="shared" si="12"/>
        <v>#DIV/0!</v>
      </c>
      <c r="AE32" s="475" t="e">
        <f t="shared" si="13"/>
        <v>#DIV/0!</v>
      </c>
    </row>
    <row r="33" spans="1:31">
      <c r="A33" s="435">
        <v>43980</v>
      </c>
      <c r="B33" s="518"/>
      <c r="C33" s="464">
        <f t="shared" si="33"/>
        <v>0</v>
      </c>
      <c r="D33" s="3"/>
      <c r="E33" s="3"/>
      <c r="F33" s="3"/>
      <c r="G33" s="5"/>
      <c r="H33" s="6" t="e">
        <f t="shared" si="34"/>
        <v>#DIV/0!</v>
      </c>
      <c r="I33" s="518"/>
      <c r="J33" s="464">
        <f t="shared" si="35"/>
        <v>0</v>
      </c>
      <c r="K33" s="5"/>
      <c r="L33" s="3"/>
      <c r="M33" s="434"/>
      <c r="N33" s="5"/>
      <c r="O33" s="6" t="e">
        <f t="shared" si="36"/>
        <v>#DIV/0!</v>
      </c>
      <c r="P33" s="518"/>
      <c r="Q33" s="464">
        <f t="shared" si="37"/>
        <v>0</v>
      </c>
      <c r="R33" s="3"/>
      <c r="S33" s="3"/>
      <c r="T33" s="3"/>
      <c r="U33" s="5"/>
      <c r="V33" s="6" t="e">
        <f t="shared" si="38"/>
        <v>#DIV/0!</v>
      </c>
      <c r="W33" s="502">
        <f t="shared" si="14"/>
        <v>0</v>
      </c>
      <c r="X33" s="474">
        <f t="shared" si="6"/>
        <v>0</v>
      </c>
      <c r="Y33" s="473">
        <f t="shared" si="7"/>
        <v>0</v>
      </c>
      <c r="Z33" s="473">
        <f t="shared" si="8"/>
        <v>0</v>
      </c>
      <c r="AA33" s="473">
        <f t="shared" si="9"/>
        <v>0</v>
      </c>
      <c r="AB33" s="473">
        <f t="shared" si="10"/>
        <v>0</v>
      </c>
      <c r="AC33" s="473" t="e">
        <f t="shared" si="11"/>
        <v>#DIV/0!</v>
      </c>
      <c r="AD33" s="474" t="e">
        <f t="shared" si="12"/>
        <v>#DIV/0!</v>
      </c>
      <c r="AE33" s="475" t="e">
        <f t="shared" si="13"/>
        <v>#DIV/0!</v>
      </c>
    </row>
    <row r="34" spans="1:31">
      <c r="A34" s="435">
        <v>43981</v>
      </c>
      <c r="B34" s="522"/>
      <c r="C34" s="464">
        <f t="shared" ref="C34:C35" si="39">B34-(D34/60)</f>
        <v>0</v>
      </c>
      <c r="D34" s="3"/>
      <c r="E34" s="3"/>
      <c r="F34" s="3"/>
      <c r="G34" s="3"/>
      <c r="H34" s="6" t="e">
        <f t="shared" ref="H34:H36" si="40">G34/B34</f>
        <v>#DIV/0!</v>
      </c>
      <c r="I34" s="518"/>
      <c r="J34" s="464">
        <f t="shared" ref="J34:J35" si="41">I34-(K34/60)</f>
        <v>0</v>
      </c>
      <c r="K34" s="3"/>
      <c r="L34" s="3"/>
      <c r="M34" s="3"/>
      <c r="N34" s="3"/>
      <c r="O34" s="6" t="e">
        <f t="shared" ref="O34:O35" si="42">N34/I34</f>
        <v>#DIV/0!</v>
      </c>
      <c r="P34" s="518"/>
      <c r="Q34" s="464">
        <f t="shared" ref="Q34" si="43">P34-(R34/60)</f>
        <v>0</v>
      </c>
      <c r="R34" s="3"/>
      <c r="S34" s="3"/>
      <c r="T34" s="3"/>
      <c r="U34" s="5"/>
      <c r="V34" s="6" t="e">
        <f t="shared" ref="V34:V35" si="44">U34/P34</f>
        <v>#DIV/0!</v>
      </c>
      <c r="W34" s="502">
        <f t="shared" si="14"/>
        <v>0</v>
      </c>
      <c r="X34" s="474">
        <f t="shared" si="6"/>
        <v>0</v>
      </c>
      <c r="Y34" s="473">
        <f t="shared" si="7"/>
        <v>0</v>
      </c>
      <c r="Z34" s="473">
        <f t="shared" si="8"/>
        <v>0</v>
      </c>
      <c r="AA34" s="473">
        <f t="shared" si="9"/>
        <v>0</v>
      </c>
      <c r="AB34" s="473">
        <f t="shared" si="10"/>
        <v>0</v>
      </c>
      <c r="AC34" s="473" t="e">
        <f t="shared" si="11"/>
        <v>#DIV/0!</v>
      </c>
      <c r="AD34" s="474" t="e">
        <f t="shared" si="12"/>
        <v>#DIV/0!</v>
      </c>
      <c r="AE34" s="475" t="e">
        <f t="shared" si="13"/>
        <v>#DIV/0!</v>
      </c>
    </row>
    <row r="35" spans="1:31" ht="15.75" thickBot="1">
      <c r="A35" s="435">
        <v>43982</v>
      </c>
      <c r="B35" s="519"/>
      <c r="C35" s="524">
        <f t="shared" si="39"/>
        <v>0</v>
      </c>
      <c r="D35" s="463"/>
      <c r="E35" s="463"/>
      <c r="F35" s="463"/>
      <c r="G35" s="463"/>
      <c r="H35" s="452" t="e">
        <f t="shared" si="40"/>
        <v>#DIV/0!</v>
      </c>
      <c r="I35" s="519"/>
      <c r="J35" s="524">
        <f t="shared" si="41"/>
        <v>0</v>
      </c>
      <c r="K35" s="463"/>
      <c r="L35" s="463"/>
      <c r="M35" s="463"/>
      <c r="N35" s="463"/>
      <c r="O35" s="452" t="e">
        <f t="shared" si="42"/>
        <v>#DIV/0!</v>
      </c>
      <c r="P35" s="521"/>
      <c r="Q35" s="524">
        <f t="shared" ref="Q35" si="45">P35-(R35/60)</f>
        <v>0</v>
      </c>
      <c r="R35" s="4"/>
      <c r="S35" s="4"/>
      <c r="T35" s="4"/>
      <c r="U35" s="4"/>
      <c r="V35" s="452" t="e">
        <f t="shared" si="44"/>
        <v>#DIV/0!</v>
      </c>
      <c r="W35" s="506">
        <f t="shared" si="14"/>
        <v>0</v>
      </c>
      <c r="X35" s="480">
        <f t="shared" si="6"/>
        <v>0</v>
      </c>
      <c r="Y35" s="507">
        <f t="shared" si="7"/>
        <v>0</v>
      </c>
      <c r="Z35" s="507">
        <f t="shared" si="8"/>
        <v>0</v>
      </c>
      <c r="AA35" s="507">
        <f t="shared" si="9"/>
        <v>0</v>
      </c>
      <c r="AB35" s="507">
        <f t="shared" si="10"/>
        <v>0</v>
      </c>
      <c r="AC35" s="507" t="e">
        <f t="shared" si="11"/>
        <v>#DIV/0!</v>
      </c>
      <c r="AD35" s="474" t="e">
        <f t="shared" si="12"/>
        <v>#DIV/0!</v>
      </c>
      <c r="AE35" s="475" t="e">
        <f t="shared" si="13"/>
        <v>#DIV/0!</v>
      </c>
    </row>
    <row r="36" spans="1:31" ht="20.100000000000001" customHeight="1" thickBot="1">
      <c r="A36" s="2" t="s">
        <v>3</v>
      </c>
      <c r="B36" s="520">
        <f>SUM(B5:B35)</f>
        <v>0</v>
      </c>
      <c r="C36" s="8">
        <f>SUM(C5:C35)</f>
        <v>0</v>
      </c>
      <c r="D36" s="7">
        <f>SUM(D5:D35)</f>
        <v>0</v>
      </c>
      <c r="E36" s="7">
        <f>SUM(E5:E35)</f>
        <v>0</v>
      </c>
      <c r="F36" s="7">
        <f>SUM(F5:F35)</f>
        <v>0</v>
      </c>
      <c r="G36" s="7">
        <f t="shared" ref="G36:AB36" si="46">SUM(G5:G35)</f>
        <v>0</v>
      </c>
      <c r="H36" s="454" t="e">
        <f t="shared" si="40"/>
        <v>#DIV/0!</v>
      </c>
      <c r="I36" s="8">
        <f t="shared" si="46"/>
        <v>0</v>
      </c>
      <c r="J36" s="8">
        <f t="shared" si="46"/>
        <v>0</v>
      </c>
      <c r="K36" s="7">
        <f>SUM(K5:K35)</f>
        <v>0</v>
      </c>
      <c r="L36" s="7">
        <f>SUM(L5:L35)</f>
        <v>0</v>
      </c>
      <c r="M36" s="7">
        <f t="shared" si="46"/>
        <v>0</v>
      </c>
      <c r="N36" s="7">
        <f t="shared" si="46"/>
        <v>0</v>
      </c>
      <c r="O36" s="454" t="e">
        <f>N36/I36</f>
        <v>#DIV/0!</v>
      </c>
      <c r="P36" s="8">
        <f>SUM(P5:P35)</f>
        <v>0</v>
      </c>
      <c r="Q36" s="8">
        <f t="shared" si="46"/>
        <v>0</v>
      </c>
      <c r="R36" s="446">
        <f>SUM(R5:R35)</f>
        <v>0</v>
      </c>
      <c r="S36" s="446">
        <f>SUM(S5:S35)</f>
        <v>0</v>
      </c>
      <c r="T36" s="446">
        <f t="shared" si="46"/>
        <v>0</v>
      </c>
      <c r="U36" s="446">
        <f t="shared" si="46"/>
        <v>0</v>
      </c>
      <c r="V36" s="7" t="e">
        <f>U36/P36</f>
        <v>#DIV/0!</v>
      </c>
      <c r="W36" s="8">
        <f>SUM(W5:W35)</f>
        <v>0</v>
      </c>
      <c r="X36" s="7">
        <f t="shared" si="46"/>
        <v>0</v>
      </c>
      <c r="Y36" s="8">
        <f>SUM(Y5:Y35)</f>
        <v>0</v>
      </c>
      <c r="Z36" s="8">
        <f>SUM(Z5:Z35)</f>
        <v>0</v>
      </c>
      <c r="AA36" s="7">
        <f t="shared" si="46"/>
        <v>0</v>
      </c>
      <c r="AB36" s="7">
        <f t="shared" si="46"/>
        <v>0</v>
      </c>
      <c r="AC36" s="7" t="e">
        <f>AB36/W36</f>
        <v>#DIV/0!</v>
      </c>
      <c r="AD36" s="455"/>
      <c r="AE36" s="468" t="e">
        <f>AA36/Z36</f>
        <v>#DIV/0!</v>
      </c>
    </row>
    <row r="38" spans="1:31">
      <c r="L38" s="1" t="s">
        <v>161</v>
      </c>
    </row>
    <row r="40" spans="1:31">
      <c r="X40" s="10" t="s">
        <v>161</v>
      </c>
    </row>
    <row r="50" spans="7:7">
      <c r="G50" s="432"/>
    </row>
  </sheetData>
  <mergeCells count="36">
    <mergeCell ref="AD3:AD4"/>
    <mergeCell ref="AE3:AE4"/>
    <mergeCell ref="A1:V1"/>
    <mergeCell ref="V3:V4"/>
    <mergeCell ref="A2:A4"/>
    <mergeCell ref="C3:C4"/>
    <mergeCell ref="F3:F4"/>
    <mergeCell ref="G3:G4"/>
    <mergeCell ref="H3:H4"/>
    <mergeCell ref="J3:J4"/>
    <mergeCell ref="M3:M4"/>
    <mergeCell ref="N3:N4"/>
    <mergeCell ref="O3:O4"/>
    <mergeCell ref="K3:K4"/>
    <mergeCell ref="R3:R4"/>
    <mergeCell ref="AA3:AA4"/>
    <mergeCell ref="W2:AC2"/>
    <mergeCell ref="E3:E4"/>
    <mergeCell ref="L3:L4"/>
    <mergeCell ref="S3:S4"/>
    <mergeCell ref="Z3:Z4"/>
    <mergeCell ref="U3:U4"/>
    <mergeCell ref="I3:I4"/>
    <mergeCell ref="P3:P4"/>
    <mergeCell ref="W3:W4"/>
    <mergeCell ref="Y3:Y4"/>
    <mergeCell ref="P2:V2"/>
    <mergeCell ref="T3:T4"/>
    <mergeCell ref="X3:X4"/>
    <mergeCell ref="AB3:AB4"/>
    <mergeCell ref="AC3:AC4"/>
    <mergeCell ref="B3:B4"/>
    <mergeCell ref="B2:H2"/>
    <mergeCell ref="D3:D4"/>
    <mergeCell ref="I2:O2"/>
    <mergeCell ref="Q3:Q4"/>
  </mergeCells>
  <conditionalFormatting sqref="B34:B35">
    <cfRule type="expression" dxfId="485" priority="363" stopIfTrue="1">
      <formula>$C34="*"</formula>
    </cfRule>
    <cfRule type="expression" dxfId="484" priority="364" stopIfTrue="1">
      <formula>$C34="-"</formula>
    </cfRule>
  </conditionalFormatting>
  <conditionalFormatting sqref="P34:P35">
    <cfRule type="expression" dxfId="483" priority="329" stopIfTrue="1">
      <formula>$C34="*"</formula>
    </cfRule>
    <cfRule type="expression" dxfId="482" priority="330" stopIfTrue="1">
      <formula>$C34="-"</formula>
    </cfRule>
  </conditionalFormatting>
  <conditionalFormatting sqref="I34:I35">
    <cfRule type="expression" dxfId="481" priority="143" stopIfTrue="1">
      <formula>$C34="*"</formula>
    </cfRule>
    <cfRule type="expression" dxfId="480" priority="144" stopIfTrue="1">
      <formula>$C34="-"</formula>
    </cfRule>
  </conditionalFormatting>
  <conditionalFormatting sqref="P31:P33">
    <cfRule type="expression" dxfId="479" priority="141" stopIfTrue="1">
      <formula>$C31="*"</formula>
    </cfRule>
    <cfRule type="expression" dxfId="478" priority="142" stopIfTrue="1">
      <formula>$C31="-"</formula>
    </cfRule>
  </conditionalFormatting>
  <conditionalFormatting sqref="B31:B33">
    <cfRule type="expression" dxfId="477" priority="139" stopIfTrue="1">
      <formula>$C31="*"</formula>
    </cfRule>
    <cfRule type="expression" dxfId="476" priority="140" stopIfTrue="1">
      <formula>$C31="-"</formula>
    </cfRule>
  </conditionalFormatting>
  <conditionalFormatting sqref="I31:I33">
    <cfRule type="expression" dxfId="475" priority="137" stopIfTrue="1">
      <formula>$C31="*"</formula>
    </cfRule>
    <cfRule type="expression" dxfId="474" priority="138" stopIfTrue="1">
      <formula>$C31="-"</formula>
    </cfRule>
  </conditionalFormatting>
  <conditionalFormatting sqref="I23:I30">
    <cfRule type="expression" dxfId="473" priority="71" stopIfTrue="1">
      <formula>$C23="*"</formula>
    </cfRule>
    <cfRule type="expression" dxfId="472" priority="72" stopIfTrue="1">
      <formula>$C23="-"</formula>
    </cfRule>
  </conditionalFormatting>
  <conditionalFormatting sqref="P23:P30">
    <cfRule type="expression" dxfId="471" priority="69" stopIfTrue="1">
      <formula>$C23="*"</formula>
    </cfRule>
    <cfRule type="expression" dxfId="470" priority="70" stopIfTrue="1">
      <formula>$C23="-"</formula>
    </cfRule>
  </conditionalFormatting>
  <conditionalFormatting sqref="B23:B30">
    <cfRule type="expression" dxfId="469" priority="67" stopIfTrue="1">
      <formula>$C23="*"</formula>
    </cfRule>
    <cfRule type="expression" dxfId="468" priority="68" stopIfTrue="1">
      <formula>$C23="-"</formula>
    </cfRule>
  </conditionalFormatting>
  <conditionalFormatting sqref="I15:I21">
    <cfRule type="expression" dxfId="467" priority="45" stopIfTrue="1">
      <formula>$C15="*"</formula>
    </cfRule>
    <cfRule type="expression" dxfId="466" priority="46" stopIfTrue="1">
      <formula>$C15="-"</formula>
    </cfRule>
  </conditionalFormatting>
  <conditionalFormatting sqref="P15:P22">
    <cfRule type="expression" dxfId="465" priority="43" stopIfTrue="1">
      <formula>$C15="*"</formula>
    </cfRule>
    <cfRule type="expression" dxfId="464" priority="44" stopIfTrue="1">
      <formula>$C15="-"</formula>
    </cfRule>
  </conditionalFormatting>
  <conditionalFormatting sqref="B15:B22">
    <cfRule type="expression" dxfId="463" priority="41" stopIfTrue="1">
      <formula>$C15="*"</formula>
    </cfRule>
    <cfRule type="expression" dxfId="462" priority="42" stopIfTrue="1">
      <formula>$C15="-"</formula>
    </cfRule>
  </conditionalFormatting>
  <conditionalFormatting sqref="I13:I14">
    <cfRule type="expression" dxfId="461" priority="27" stopIfTrue="1">
      <formula>$C13="*"</formula>
    </cfRule>
    <cfRule type="expression" dxfId="460" priority="28" stopIfTrue="1">
      <formula>$C13="-"</formula>
    </cfRule>
  </conditionalFormatting>
  <conditionalFormatting sqref="P13:P14">
    <cfRule type="expression" dxfId="459" priority="25" stopIfTrue="1">
      <formula>$C13="*"</formula>
    </cfRule>
    <cfRule type="expression" dxfId="458" priority="26" stopIfTrue="1">
      <formula>$C13="-"</formula>
    </cfRule>
  </conditionalFormatting>
  <conditionalFormatting sqref="B13:B14">
    <cfRule type="expression" dxfId="457" priority="23" stopIfTrue="1">
      <formula>$C13="*"</formula>
    </cfRule>
    <cfRule type="expression" dxfId="456" priority="24" stopIfTrue="1">
      <formula>$C13="-"</formula>
    </cfRule>
  </conditionalFormatting>
  <conditionalFormatting sqref="I5:I8">
    <cfRule type="expression" dxfId="455" priority="21" stopIfTrue="1">
      <formula>$C5="*"</formula>
    </cfRule>
    <cfRule type="expression" dxfId="454" priority="22" stopIfTrue="1">
      <formula>$C5="-"</formula>
    </cfRule>
  </conditionalFormatting>
  <conditionalFormatting sqref="P5:P8">
    <cfRule type="expression" dxfId="453" priority="19" stopIfTrue="1">
      <formula>$C5="*"</formula>
    </cfRule>
    <cfRule type="expression" dxfId="452" priority="20" stopIfTrue="1">
      <formula>$C5="-"</formula>
    </cfRule>
  </conditionalFormatting>
  <conditionalFormatting sqref="B5 B7:B8">
    <cfRule type="expression" dxfId="451" priority="17" stopIfTrue="1">
      <formula>$C5="*"</formula>
    </cfRule>
    <cfRule type="expression" dxfId="450" priority="18" stopIfTrue="1">
      <formula>$C5="-"</formula>
    </cfRule>
  </conditionalFormatting>
  <conditionalFormatting sqref="I9:I12">
    <cfRule type="expression" dxfId="449" priority="9" stopIfTrue="1">
      <formula>$C9="*"</formula>
    </cfRule>
    <cfRule type="expression" dxfId="448" priority="10" stopIfTrue="1">
      <formula>$C9="-"</formula>
    </cfRule>
  </conditionalFormatting>
  <conditionalFormatting sqref="P9:P12">
    <cfRule type="expression" dxfId="447" priority="7" stopIfTrue="1">
      <formula>$C9="*"</formula>
    </cfRule>
    <cfRule type="expression" dxfId="446" priority="8" stopIfTrue="1">
      <formula>$C9="-"</formula>
    </cfRule>
  </conditionalFormatting>
  <conditionalFormatting sqref="B9:B12">
    <cfRule type="expression" dxfId="445" priority="5" stopIfTrue="1">
      <formula>$C9="*"</formula>
    </cfRule>
    <cfRule type="expression" dxfId="444" priority="6" stopIfTrue="1">
      <formula>$C9="-"</formula>
    </cfRule>
  </conditionalFormatting>
  <conditionalFormatting sqref="B6">
    <cfRule type="expression" dxfId="443" priority="3" stopIfTrue="1">
      <formula>$C6="*"</formula>
    </cfRule>
    <cfRule type="expression" dxfId="442" priority="4" stopIfTrue="1">
      <formula>$C6="-"</formula>
    </cfRule>
  </conditionalFormatting>
  <conditionalFormatting sqref="I22">
    <cfRule type="expression" dxfId="441" priority="1" stopIfTrue="1">
      <formula>$C22="*"</formula>
    </cfRule>
    <cfRule type="expression" dxfId="440" priority="2" stopIfTrue="1">
      <formula>$C22="-"</formula>
    </cfRule>
  </conditionalFormatting>
  <pageMargins left="0.70866141732283472" right="0.70866141732283472" top="0.74803149606299213" bottom="0.74803149606299213" header="0.31496062992125984" footer="0.31496062992125984"/>
  <pageSetup scale="8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1"/>
  </sheetPr>
  <dimension ref="A1:AE48"/>
  <sheetViews>
    <sheetView topLeftCell="K1" zoomScale="80" zoomScaleNormal="80" workbookViewId="0">
      <pane ySplit="4" topLeftCell="A5" activePane="bottomLeft" state="frozen"/>
      <selection activeCell="E18" sqref="E18"/>
      <selection pane="bottomLeft" activeCell="A5" sqref="A5"/>
    </sheetView>
  </sheetViews>
  <sheetFormatPr defaultRowHeight="15"/>
  <cols>
    <col min="1" max="1" width="10.7109375" style="1" bestFit="1" customWidth="1"/>
    <col min="2" max="2" width="10.7109375" style="1" customWidth="1"/>
    <col min="3" max="5" width="10.140625" style="1" customWidth="1"/>
    <col min="6" max="6" width="9.7109375" style="1" bestFit="1" customWidth="1"/>
    <col min="7" max="7" width="9.140625" style="1"/>
    <col min="8" max="9" width="9.140625" style="1" customWidth="1"/>
    <col min="10" max="12" width="10.140625" style="1" customWidth="1"/>
    <col min="13" max="14" width="9.140625" style="1"/>
    <col min="15" max="16" width="9.140625" style="1" customWidth="1"/>
    <col min="17" max="19" width="10.140625" style="1" customWidth="1"/>
    <col min="20" max="21" width="9.140625" style="1"/>
    <col min="22" max="23" width="9.140625" style="1" customWidth="1"/>
    <col min="24" max="25" width="9.140625" style="10"/>
    <col min="26" max="26" width="12.42578125" style="10" customWidth="1"/>
    <col min="27" max="27" width="9.5703125" style="10" customWidth="1"/>
    <col min="28" max="28" width="9.5703125" style="10" bestFit="1" customWidth="1"/>
    <col min="29" max="29" width="9.140625" style="10"/>
  </cols>
  <sheetData>
    <row r="1" spans="1:31" ht="21.75" thickBot="1">
      <c r="A1" s="593" t="s">
        <v>5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444"/>
      <c r="X1" s="9"/>
      <c r="Y1" s="9"/>
      <c r="Z1" s="9"/>
      <c r="AA1" s="9"/>
      <c r="AB1" s="9"/>
      <c r="AC1" s="9"/>
    </row>
    <row r="2" spans="1:31" ht="15.75" thickBot="1">
      <c r="A2" s="585" t="s">
        <v>0</v>
      </c>
      <c r="B2" s="567" t="s">
        <v>207</v>
      </c>
      <c r="C2" s="568"/>
      <c r="D2" s="568"/>
      <c r="E2" s="568"/>
      <c r="F2" s="568"/>
      <c r="G2" s="568"/>
      <c r="H2" s="569"/>
      <c r="I2" s="567" t="s">
        <v>208</v>
      </c>
      <c r="J2" s="568"/>
      <c r="K2" s="568"/>
      <c r="L2" s="568"/>
      <c r="M2" s="568"/>
      <c r="N2" s="568"/>
      <c r="O2" s="569"/>
      <c r="P2" s="567" t="s">
        <v>209</v>
      </c>
      <c r="Q2" s="568"/>
      <c r="R2" s="568"/>
      <c r="S2" s="568"/>
      <c r="T2" s="568"/>
      <c r="U2" s="568"/>
      <c r="V2" s="569"/>
      <c r="W2" s="572" t="s">
        <v>3</v>
      </c>
      <c r="X2" s="573"/>
      <c r="Y2" s="573"/>
      <c r="Z2" s="573"/>
      <c r="AA2" s="573"/>
      <c r="AB2" s="573"/>
      <c r="AC2" s="599"/>
      <c r="AD2" s="16"/>
    </row>
    <row r="3" spans="1:31" ht="15" customHeight="1">
      <c r="A3" s="596"/>
      <c r="B3" s="565" t="s">
        <v>203</v>
      </c>
      <c r="C3" s="570" t="s">
        <v>204</v>
      </c>
      <c r="D3" s="570" t="s">
        <v>205</v>
      </c>
      <c r="E3" s="598" t="s">
        <v>199</v>
      </c>
      <c r="F3" s="587" t="s">
        <v>202</v>
      </c>
      <c r="G3" s="587" t="s">
        <v>1</v>
      </c>
      <c r="H3" s="587" t="s">
        <v>2</v>
      </c>
      <c r="I3" s="565" t="s">
        <v>203</v>
      </c>
      <c r="J3" s="570" t="s">
        <v>204</v>
      </c>
      <c r="K3" s="570" t="s">
        <v>205</v>
      </c>
      <c r="L3" s="577" t="s">
        <v>199</v>
      </c>
      <c r="M3" s="587" t="s">
        <v>200</v>
      </c>
      <c r="N3" s="587" t="s">
        <v>1</v>
      </c>
      <c r="O3" s="585" t="s">
        <v>2</v>
      </c>
      <c r="P3" s="565" t="s">
        <v>203</v>
      </c>
      <c r="Q3" s="570" t="s">
        <v>204</v>
      </c>
      <c r="R3" s="570" t="s">
        <v>205</v>
      </c>
      <c r="S3" s="579" t="s">
        <v>199</v>
      </c>
      <c r="T3" s="580" t="s">
        <v>200</v>
      </c>
      <c r="U3" s="580" t="s">
        <v>1</v>
      </c>
      <c r="V3" s="594" t="s">
        <v>2</v>
      </c>
      <c r="W3" s="582" t="s">
        <v>203</v>
      </c>
      <c r="X3" s="579" t="s">
        <v>204</v>
      </c>
      <c r="Y3" s="583" t="s">
        <v>205</v>
      </c>
      <c r="Z3" s="577" t="s">
        <v>199</v>
      </c>
      <c r="AA3" s="587" t="s">
        <v>200</v>
      </c>
      <c r="AB3" s="585" t="s">
        <v>1</v>
      </c>
      <c r="AC3" s="587" t="s">
        <v>2</v>
      </c>
      <c r="AD3" s="589" t="s">
        <v>13</v>
      </c>
      <c r="AE3" s="591" t="s">
        <v>218</v>
      </c>
    </row>
    <row r="4" spans="1:31" ht="15.75" thickBot="1">
      <c r="A4" s="586"/>
      <c r="B4" s="566"/>
      <c r="C4" s="571"/>
      <c r="D4" s="571"/>
      <c r="E4" s="576"/>
      <c r="F4" s="588"/>
      <c r="G4" s="588"/>
      <c r="H4" s="588"/>
      <c r="I4" s="566"/>
      <c r="J4" s="571"/>
      <c r="K4" s="571"/>
      <c r="L4" s="578"/>
      <c r="M4" s="588"/>
      <c r="N4" s="588"/>
      <c r="O4" s="586"/>
      <c r="P4" s="566"/>
      <c r="Q4" s="571"/>
      <c r="R4" s="571"/>
      <c r="S4" s="571"/>
      <c r="T4" s="581"/>
      <c r="U4" s="581"/>
      <c r="V4" s="595"/>
      <c r="W4" s="566"/>
      <c r="X4" s="571"/>
      <c r="Y4" s="584"/>
      <c r="Z4" s="578"/>
      <c r="AA4" s="588"/>
      <c r="AB4" s="586"/>
      <c r="AC4" s="588"/>
      <c r="AD4" s="590"/>
      <c r="AE4" s="592"/>
    </row>
    <row r="5" spans="1:31">
      <c r="A5" s="435">
        <f>'SQ-1'!A5</f>
        <v>43952</v>
      </c>
      <c r="B5" s="518"/>
      <c r="C5" s="464">
        <f t="shared" ref="C5:C26" si="0">B5-(D5/60)</f>
        <v>0</v>
      </c>
      <c r="D5" s="5"/>
      <c r="E5" s="3"/>
      <c r="F5" s="434"/>
      <c r="G5" s="5"/>
      <c r="H5" s="6" t="e">
        <f t="shared" ref="H5:H26" si="1">G5/B5</f>
        <v>#DIV/0!</v>
      </c>
      <c r="I5" s="518"/>
      <c r="J5" s="464">
        <f t="shared" ref="J5" si="2">I5-(K5/60)</f>
        <v>0</v>
      </c>
      <c r="K5" s="3"/>
      <c r="L5" s="3"/>
      <c r="M5" s="3"/>
      <c r="N5" s="5"/>
      <c r="O5" s="6" t="e">
        <f t="shared" ref="O5:O24" si="3">N5/I5</f>
        <v>#DIV/0!</v>
      </c>
      <c r="P5" s="518"/>
      <c r="Q5" s="464">
        <f t="shared" ref="Q5" si="4">P5-(R5/60)</f>
        <v>0</v>
      </c>
      <c r="R5" s="3"/>
      <c r="S5" s="3"/>
      <c r="T5" s="3"/>
      <c r="U5" s="5"/>
      <c r="V5" s="6" t="e">
        <f t="shared" ref="V5:V24" si="5">U5/P5</f>
        <v>#DIV/0!</v>
      </c>
      <c r="W5" s="502">
        <f t="shared" ref="W5:W26" si="6">B5+I5+P5</f>
        <v>0</v>
      </c>
      <c r="X5" s="472">
        <f t="shared" ref="X5:AB5" si="7">C5+J5+Q5</f>
        <v>0</v>
      </c>
      <c r="Y5" s="472">
        <f t="shared" si="7"/>
        <v>0</v>
      </c>
      <c r="Z5" s="471">
        <f t="shared" si="7"/>
        <v>0</v>
      </c>
      <c r="AA5" s="485">
        <f t="shared" si="7"/>
        <v>0</v>
      </c>
      <c r="AB5" s="473">
        <f t="shared" si="7"/>
        <v>0</v>
      </c>
      <c r="AC5" s="473" t="e">
        <f t="shared" ref="AC5:AC35" si="8">AB5/W5</f>
        <v>#DIV/0!</v>
      </c>
      <c r="AD5" s="474" t="e">
        <f>(AA5/1000)/W5</f>
        <v>#DIV/0!</v>
      </c>
      <c r="AE5" s="475" t="e">
        <f>AA5/Z5</f>
        <v>#DIV/0!</v>
      </c>
    </row>
    <row r="6" spans="1:31">
      <c r="A6" s="435">
        <f>'SQ-1'!A6</f>
        <v>43953</v>
      </c>
      <c r="B6" s="518"/>
      <c r="C6" s="464">
        <f t="shared" si="0"/>
        <v>0</v>
      </c>
      <c r="D6" s="5"/>
      <c r="E6" s="3"/>
      <c r="F6" s="434"/>
      <c r="G6" s="5"/>
      <c r="H6" s="6" t="e">
        <f t="shared" si="1"/>
        <v>#DIV/0!</v>
      </c>
      <c r="I6" s="518"/>
      <c r="J6" s="464">
        <f t="shared" ref="J6:J26" si="9">I6-(K6/60)</f>
        <v>0</v>
      </c>
      <c r="K6" s="5"/>
      <c r="L6" s="3"/>
      <c r="M6" s="434"/>
      <c r="N6" s="5"/>
      <c r="O6" s="6" t="e">
        <f t="shared" si="3"/>
        <v>#DIV/0!</v>
      </c>
      <c r="P6" s="518"/>
      <c r="Q6" s="464">
        <f t="shared" ref="Q6:Q26" si="10">P6-(R6/60)</f>
        <v>0</v>
      </c>
      <c r="R6" s="5"/>
      <c r="S6" s="3"/>
      <c r="T6" s="434"/>
      <c r="U6" s="5"/>
      <c r="V6" s="6" t="e">
        <f t="shared" si="5"/>
        <v>#DIV/0!</v>
      </c>
      <c r="W6" s="503">
        <f t="shared" si="6"/>
        <v>0</v>
      </c>
      <c r="X6" s="477">
        <f>C6+J6+Q6</f>
        <v>0</v>
      </c>
      <c r="Y6" s="477">
        <f t="shared" ref="Y6:Y35" si="11">D6+K6+R6</f>
        <v>0</v>
      </c>
      <c r="Z6" s="474">
        <f t="shared" ref="Z6:AB7" si="12">E6+L6+S6</f>
        <v>0</v>
      </c>
      <c r="AA6" s="486">
        <f t="shared" si="12"/>
        <v>0</v>
      </c>
      <c r="AB6" s="478">
        <f t="shared" si="12"/>
        <v>0</v>
      </c>
      <c r="AC6" s="478" t="e">
        <f t="shared" si="8"/>
        <v>#DIV/0!</v>
      </c>
      <c r="AD6" s="474" t="e">
        <f t="shared" ref="AD6:AD35" si="13">(AA6/1000)/W6</f>
        <v>#DIV/0!</v>
      </c>
      <c r="AE6" s="475" t="e">
        <f t="shared" ref="AE6:AE35" si="14">AA6/Z6</f>
        <v>#DIV/0!</v>
      </c>
    </row>
    <row r="7" spans="1:31">
      <c r="A7" s="435">
        <f>'SQ-1'!A7</f>
        <v>43954</v>
      </c>
      <c r="B7" s="518"/>
      <c r="C7" s="464">
        <f t="shared" si="0"/>
        <v>0</v>
      </c>
      <c r="D7" s="5"/>
      <c r="E7" s="3"/>
      <c r="F7" s="434"/>
      <c r="G7" s="5"/>
      <c r="H7" s="6" t="e">
        <f t="shared" si="1"/>
        <v>#DIV/0!</v>
      </c>
      <c r="I7" s="518"/>
      <c r="J7" s="464">
        <f t="shared" si="9"/>
        <v>0</v>
      </c>
      <c r="K7" s="5"/>
      <c r="L7" s="3"/>
      <c r="M7" s="434"/>
      <c r="N7" s="5"/>
      <c r="O7" s="6" t="e">
        <f t="shared" si="3"/>
        <v>#DIV/0!</v>
      </c>
      <c r="P7" s="518"/>
      <c r="Q7" s="464">
        <f t="shared" si="10"/>
        <v>0</v>
      </c>
      <c r="R7" s="5"/>
      <c r="S7" s="3"/>
      <c r="T7" s="434"/>
      <c r="U7" s="5"/>
      <c r="V7" s="6" t="e">
        <f t="shared" si="5"/>
        <v>#DIV/0!</v>
      </c>
      <c r="W7" s="503">
        <f t="shared" si="6"/>
        <v>0</v>
      </c>
      <c r="X7" s="477">
        <f>C7+J7+Q7</f>
        <v>0</v>
      </c>
      <c r="Y7" s="477">
        <f t="shared" si="11"/>
        <v>0</v>
      </c>
      <c r="Z7" s="474">
        <f t="shared" si="12"/>
        <v>0</v>
      </c>
      <c r="AA7" s="486">
        <f t="shared" si="12"/>
        <v>0</v>
      </c>
      <c r="AB7" s="478">
        <f t="shared" si="12"/>
        <v>0</v>
      </c>
      <c r="AC7" s="478" t="e">
        <f t="shared" si="8"/>
        <v>#DIV/0!</v>
      </c>
      <c r="AD7" s="474" t="e">
        <f t="shared" si="13"/>
        <v>#DIV/0!</v>
      </c>
      <c r="AE7" s="475" t="e">
        <f t="shared" si="14"/>
        <v>#DIV/0!</v>
      </c>
    </row>
    <row r="8" spans="1:31">
      <c r="A8" s="435">
        <f>'SQ-1'!A8</f>
        <v>43955</v>
      </c>
      <c r="B8" s="518"/>
      <c r="C8" s="464">
        <f t="shared" si="0"/>
        <v>0</v>
      </c>
      <c r="D8" s="5"/>
      <c r="E8" s="3"/>
      <c r="F8" s="434"/>
      <c r="G8" s="5"/>
      <c r="H8" s="6" t="e">
        <f t="shared" si="1"/>
        <v>#DIV/0!</v>
      </c>
      <c r="I8" s="518"/>
      <c r="J8" s="464">
        <f t="shared" si="9"/>
        <v>0</v>
      </c>
      <c r="K8" s="5"/>
      <c r="L8" s="3"/>
      <c r="M8" s="434"/>
      <c r="N8" s="5"/>
      <c r="O8" s="6" t="e">
        <f t="shared" si="3"/>
        <v>#DIV/0!</v>
      </c>
      <c r="P8" s="518"/>
      <c r="Q8" s="464">
        <f t="shared" si="10"/>
        <v>0</v>
      </c>
      <c r="R8" s="5"/>
      <c r="S8" s="3"/>
      <c r="T8" s="434"/>
      <c r="U8" s="5"/>
      <c r="V8" s="6" t="e">
        <f t="shared" si="5"/>
        <v>#DIV/0!</v>
      </c>
      <c r="W8" s="503">
        <f t="shared" si="6"/>
        <v>0</v>
      </c>
      <c r="X8" s="477">
        <f t="shared" ref="X8:X35" si="15">C8+J8+Q8</f>
        <v>0</v>
      </c>
      <c r="Y8" s="477">
        <f t="shared" si="11"/>
        <v>0</v>
      </c>
      <c r="Z8" s="474">
        <f t="shared" ref="Z8:Z35" si="16">E8+L8+S8</f>
        <v>0</v>
      </c>
      <c r="AA8" s="486">
        <f t="shared" ref="AA8:AA35" si="17">F8+M8+T8</f>
        <v>0</v>
      </c>
      <c r="AB8" s="478">
        <f t="shared" ref="AB8:AB35" si="18">G8+N8+U8</f>
        <v>0</v>
      </c>
      <c r="AC8" s="478" t="e">
        <f t="shared" si="8"/>
        <v>#DIV/0!</v>
      </c>
      <c r="AD8" s="474" t="e">
        <f t="shared" si="13"/>
        <v>#DIV/0!</v>
      </c>
      <c r="AE8" s="475" t="e">
        <f t="shared" si="14"/>
        <v>#DIV/0!</v>
      </c>
    </row>
    <row r="9" spans="1:31">
      <c r="A9" s="435">
        <f>'SQ-1'!A9</f>
        <v>43956</v>
      </c>
      <c r="B9" s="518"/>
      <c r="C9" s="464">
        <f t="shared" si="0"/>
        <v>0</v>
      </c>
      <c r="D9" s="5"/>
      <c r="E9" s="3"/>
      <c r="F9" s="434"/>
      <c r="G9" s="5"/>
      <c r="H9" s="6" t="e">
        <f t="shared" si="1"/>
        <v>#DIV/0!</v>
      </c>
      <c r="I9" s="518"/>
      <c r="J9" s="464">
        <f t="shared" si="9"/>
        <v>0</v>
      </c>
      <c r="K9" s="5"/>
      <c r="L9" s="3"/>
      <c r="M9" s="434"/>
      <c r="N9" s="5"/>
      <c r="O9" s="6" t="e">
        <f t="shared" si="3"/>
        <v>#DIV/0!</v>
      </c>
      <c r="P9" s="518"/>
      <c r="Q9" s="464">
        <f t="shared" si="10"/>
        <v>0</v>
      </c>
      <c r="R9" s="5"/>
      <c r="S9" s="3"/>
      <c r="T9" s="434"/>
      <c r="U9" s="5"/>
      <c r="V9" s="6" t="e">
        <f t="shared" si="5"/>
        <v>#DIV/0!</v>
      </c>
      <c r="W9" s="503">
        <f t="shared" si="6"/>
        <v>0</v>
      </c>
      <c r="X9" s="477">
        <f t="shared" si="15"/>
        <v>0</v>
      </c>
      <c r="Y9" s="477">
        <f t="shared" si="11"/>
        <v>0</v>
      </c>
      <c r="Z9" s="474">
        <f t="shared" si="16"/>
        <v>0</v>
      </c>
      <c r="AA9" s="486">
        <f t="shared" si="17"/>
        <v>0</v>
      </c>
      <c r="AB9" s="478">
        <f t="shared" si="18"/>
        <v>0</v>
      </c>
      <c r="AC9" s="478" t="e">
        <f t="shared" si="8"/>
        <v>#DIV/0!</v>
      </c>
      <c r="AD9" s="474" t="e">
        <f t="shared" si="13"/>
        <v>#DIV/0!</v>
      </c>
      <c r="AE9" s="475" t="e">
        <f t="shared" si="14"/>
        <v>#DIV/0!</v>
      </c>
    </row>
    <row r="10" spans="1:31">
      <c r="A10" s="435">
        <f>'SQ-1'!A10</f>
        <v>43957</v>
      </c>
      <c r="B10" s="518"/>
      <c r="C10" s="464">
        <f t="shared" si="0"/>
        <v>0</v>
      </c>
      <c r="D10" s="5"/>
      <c r="E10" s="3"/>
      <c r="F10" s="434"/>
      <c r="G10" s="5"/>
      <c r="H10" s="6" t="e">
        <f t="shared" si="1"/>
        <v>#DIV/0!</v>
      </c>
      <c r="I10" s="518"/>
      <c r="J10" s="464">
        <f t="shared" si="9"/>
        <v>0</v>
      </c>
      <c r="K10" s="5"/>
      <c r="L10" s="3"/>
      <c r="M10" s="434"/>
      <c r="N10" s="5"/>
      <c r="O10" s="6" t="e">
        <f t="shared" si="3"/>
        <v>#DIV/0!</v>
      </c>
      <c r="P10" s="518"/>
      <c r="Q10" s="464">
        <f t="shared" si="10"/>
        <v>0</v>
      </c>
      <c r="R10" s="5"/>
      <c r="S10" s="3"/>
      <c r="T10" s="434"/>
      <c r="U10" s="5"/>
      <c r="V10" s="6" t="e">
        <f t="shared" si="5"/>
        <v>#DIV/0!</v>
      </c>
      <c r="W10" s="503">
        <f t="shared" si="6"/>
        <v>0</v>
      </c>
      <c r="X10" s="477">
        <f t="shared" si="15"/>
        <v>0</v>
      </c>
      <c r="Y10" s="477">
        <f t="shared" si="11"/>
        <v>0</v>
      </c>
      <c r="Z10" s="474">
        <f t="shared" si="16"/>
        <v>0</v>
      </c>
      <c r="AA10" s="486">
        <f t="shared" si="17"/>
        <v>0</v>
      </c>
      <c r="AB10" s="478">
        <f t="shared" si="18"/>
        <v>0</v>
      </c>
      <c r="AC10" s="478" t="e">
        <f t="shared" si="8"/>
        <v>#DIV/0!</v>
      </c>
      <c r="AD10" s="474" t="e">
        <f t="shared" si="13"/>
        <v>#DIV/0!</v>
      </c>
      <c r="AE10" s="475" t="e">
        <f t="shared" si="14"/>
        <v>#DIV/0!</v>
      </c>
    </row>
    <row r="11" spans="1:31">
      <c r="A11" s="435">
        <f>'SQ-1'!A11</f>
        <v>43958</v>
      </c>
      <c r="B11" s="518"/>
      <c r="C11" s="464">
        <f t="shared" si="0"/>
        <v>0</v>
      </c>
      <c r="D11" s="5"/>
      <c r="E11" s="3"/>
      <c r="F11" s="434"/>
      <c r="G11" s="5"/>
      <c r="H11" s="6" t="e">
        <f t="shared" si="1"/>
        <v>#DIV/0!</v>
      </c>
      <c r="I11" s="518"/>
      <c r="J11" s="464">
        <f t="shared" si="9"/>
        <v>0</v>
      </c>
      <c r="K11" s="5"/>
      <c r="L11" s="3"/>
      <c r="M11" s="434"/>
      <c r="N11" s="5"/>
      <c r="O11" s="6" t="e">
        <f t="shared" si="3"/>
        <v>#DIV/0!</v>
      </c>
      <c r="P11" s="518"/>
      <c r="Q11" s="464">
        <f t="shared" si="10"/>
        <v>0</v>
      </c>
      <c r="R11" s="5"/>
      <c r="S11" s="3"/>
      <c r="T11" s="434"/>
      <c r="U11" s="5"/>
      <c r="V11" s="6" t="e">
        <f t="shared" si="5"/>
        <v>#DIV/0!</v>
      </c>
      <c r="W11" s="503">
        <f t="shared" si="6"/>
        <v>0</v>
      </c>
      <c r="X11" s="477">
        <f t="shared" si="15"/>
        <v>0</v>
      </c>
      <c r="Y11" s="477">
        <f t="shared" si="11"/>
        <v>0</v>
      </c>
      <c r="Z11" s="474">
        <f t="shared" si="16"/>
        <v>0</v>
      </c>
      <c r="AA11" s="486">
        <f t="shared" si="17"/>
        <v>0</v>
      </c>
      <c r="AB11" s="478">
        <f t="shared" si="18"/>
        <v>0</v>
      </c>
      <c r="AC11" s="478" t="e">
        <f t="shared" si="8"/>
        <v>#DIV/0!</v>
      </c>
      <c r="AD11" s="474" t="e">
        <f t="shared" si="13"/>
        <v>#DIV/0!</v>
      </c>
      <c r="AE11" s="475" t="e">
        <f t="shared" si="14"/>
        <v>#DIV/0!</v>
      </c>
    </row>
    <row r="12" spans="1:31">
      <c r="A12" s="435">
        <f>'SQ-1'!A12</f>
        <v>43959</v>
      </c>
      <c r="B12" s="518"/>
      <c r="C12" s="464">
        <f t="shared" si="0"/>
        <v>0</v>
      </c>
      <c r="D12" s="5"/>
      <c r="E12" s="3"/>
      <c r="F12" s="434"/>
      <c r="G12" s="5"/>
      <c r="H12" s="6" t="e">
        <f t="shared" si="1"/>
        <v>#DIV/0!</v>
      </c>
      <c r="I12" s="518"/>
      <c r="J12" s="464">
        <f t="shared" si="9"/>
        <v>0</v>
      </c>
      <c r="K12" s="5"/>
      <c r="L12" s="3"/>
      <c r="M12" s="434"/>
      <c r="N12" s="5"/>
      <c r="O12" s="6" t="e">
        <f t="shared" si="3"/>
        <v>#DIV/0!</v>
      </c>
      <c r="P12" s="518"/>
      <c r="Q12" s="464">
        <f t="shared" si="10"/>
        <v>0</v>
      </c>
      <c r="R12" s="5"/>
      <c r="S12" s="3"/>
      <c r="T12" s="434"/>
      <c r="U12" s="5"/>
      <c r="V12" s="6" t="e">
        <f t="shared" si="5"/>
        <v>#DIV/0!</v>
      </c>
      <c r="W12" s="503">
        <f t="shared" si="6"/>
        <v>0</v>
      </c>
      <c r="X12" s="477">
        <f t="shared" si="15"/>
        <v>0</v>
      </c>
      <c r="Y12" s="477">
        <f t="shared" si="11"/>
        <v>0</v>
      </c>
      <c r="Z12" s="474">
        <f t="shared" si="16"/>
        <v>0</v>
      </c>
      <c r="AA12" s="486">
        <f t="shared" si="17"/>
        <v>0</v>
      </c>
      <c r="AB12" s="478">
        <f t="shared" si="18"/>
        <v>0</v>
      </c>
      <c r="AC12" s="478" t="e">
        <f t="shared" si="8"/>
        <v>#DIV/0!</v>
      </c>
      <c r="AD12" s="474" t="e">
        <f t="shared" si="13"/>
        <v>#DIV/0!</v>
      </c>
      <c r="AE12" s="475" t="e">
        <f t="shared" si="14"/>
        <v>#DIV/0!</v>
      </c>
    </row>
    <row r="13" spans="1:31">
      <c r="A13" s="435">
        <f>'SQ-1'!A13</f>
        <v>43960</v>
      </c>
      <c r="B13" s="518"/>
      <c r="C13" s="464">
        <f t="shared" si="0"/>
        <v>0</v>
      </c>
      <c r="D13" s="5"/>
      <c r="E13" s="3"/>
      <c r="F13" s="434"/>
      <c r="G13" s="5"/>
      <c r="H13" s="6" t="e">
        <f t="shared" si="1"/>
        <v>#DIV/0!</v>
      </c>
      <c r="I13" s="518"/>
      <c r="J13" s="464">
        <f t="shared" si="9"/>
        <v>0</v>
      </c>
      <c r="K13" s="5"/>
      <c r="L13" s="3"/>
      <c r="M13" s="434"/>
      <c r="N13" s="5"/>
      <c r="O13" s="6" t="e">
        <f t="shared" si="3"/>
        <v>#DIV/0!</v>
      </c>
      <c r="P13" s="518"/>
      <c r="Q13" s="464">
        <f t="shared" si="10"/>
        <v>0</v>
      </c>
      <c r="R13" s="5"/>
      <c r="S13" s="3"/>
      <c r="T13" s="434"/>
      <c r="U13" s="5"/>
      <c r="V13" s="6" t="e">
        <f t="shared" si="5"/>
        <v>#DIV/0!</v>
      </c>
      <c r="W13" s="503">
        <f t="shared" si="6"/>
        <v>0</v>
      </c>
      <c r="X13" s="477">
        <f t="shared" si="15"/>
        <v>0</v>
      </c>
      <c r="Y13" s="477">
        <f t="shared" si="11"/>
        <v>0</v>
      </c>
      <c r="Z13" s="474">
        <f t="shared" si="16"/>
        <v>0</v>
      </c>
      <c r="AA13" s="486">
        <f t="shared" si="17"/>
        <v>0</v>
      </c>
      <c r="AB13" s="478">
        <f t="shared" si="18"/>
        <v>0</v>
      </c>
      <c r="AC13" s="478" t="e">
        <f t="shared" si="8"/>
        <v>#DIV/0!</v>
      </c>
      <c r="AD13" s="474" t="e">
        <f t="shared" si="13"/>
        <v>#DIV/0!</v>
      </c>
      <c r="AE13" s="475" t="e">
        <f t="shared" si="14"/>
        <v>#DIV/0!</v>
      </c>
    </row>
    <row r="14" spans="1:31">
      <c r="A14" s="435">
        <f>'SQ-1'!A14</f>
        <v>43961</v>
      </c>
      <c r="B14" s="518"/>
      <c r="C14" s="464">
        <f t="shared" si="0"/>
        <v>0</v>
      </c>
      <c r="D14" s="5"/>
      <c r="E14" s="3"/>
      <c r="F14" s="434"/>
      <c r="G14" s="5"/>
      <c r="H14" s="6" t="e">
        <f t="shared" si="1"/>
        <v>#DIV/0!</v>
      </c>
      <c r="I14" s="518"/>
      <c r="J14" s="464">
        <f t="shared" si="9"/>
        <v>0</v>
      </c>
      <c r="K14" s="5"/>
      <c r="L14" s="3"/>
      <c r="M14" s="434"/>
      <c r="N14" s="5"/>
      <c r="O14" s="6" t="e">
        <f t="shared" si="3"/>
        <v>#DIV/0!</v>
      </c>
      <c r="P14" s="518"/>
      <c r="Q14" s="464">
        <f t="shared" si="10"/>
        <v>0</v>
      </c>
      <c r="R14" s="5"/>
      <c r="S14" s="3"/>
      <c r="T14" s="434"/>
      <c r="U14" s="5"/>
      <c r="V14" s="6" t="e">
        <f t="shared" si="5"/>
        <v>#DIV/0!</v>
      </c>
      <c r="W14" s="503">
        <f t="shared" si="6"/>
        <v>0</v>
      </c>
      <c r="X14" s="477">
        <f t="shared" si="15"/>
        <v>0</v>
      </c>
      <c r="Y14" s="477">
        <f t="shared" si="11"/>
        <v>0</v>
      </c>
      <c r="Z14" s="474">
        <f t="shared" si="16"/>
        <v>0</v>
      </c>
      <c r="AA14" s="486">
        <f t="shared" si="17"/>
        <v>0</v>
      </c>
      <c r="AB14" s="478">
        <f t="shared" si="18"/>
        <v>0</v>
      </c>
      <c r="AC14" s="478" t="e">
        <f t="shared" si="8"/>
        <v>#DIV/0!</v>
      </c>
      <c r="AD14" s="474" t="e">
        <f t="shared" si="13"/>
        <v>#DIV/0!</v>
      </c>
      <c r="AE14" s="475" t="e">
        <f t="shared" si="14"/>
        <v>#DIV/0!</v>
      </c>
    </row>
    <row r="15" spans="1:31">
      <c r="A15" s="435">
        <f>'SQ-1'!A15</f>
        <v>43962</v>
      </c>
      <c r="B15" s="518"/>
      <c r="C15" s="464">
        <f t="shared" si="0"/>
        <v>0</v>
      </c>
      <c r="D15" s="5"/>
      <c r="E15" s="3"/>
      <c r="F15" s="434"/>
      <c r="G15" s="5"/>
      <c r="H15" s="6" t="e">
        <f t="shared" si="1"/>
        <v>#DIV/0!</v>
      </c>
      <c r="I15" s="518"/>
      <c r="J15" s="464">
        <f t="shared" si="9"/>
        <v>0</v>
      </c>
      <c r="K15" s="5"/>
      <c r="L15" s="3"/>
      <c r="M15" s="434"/>
      <c r="N15" s="5"/>
      <c r="O15" s="6" t="e">
        <f t="shared" si="3"/>
        <v>#DIV/0!</v>
      </c>
      <c r="P15" s="518"/>
      <c r="Q15" s="464">
        <f t="shared" si="10"/>
        <v>0</v>
      </c>
      <c r="R15" s="5"/>
      <c r="S15" s="3"/>
      <c r="T15" s="434"/>
      <c r="U15" s="5"/>
      <c r="V15" s="6" t="e">
        <f t="shared" si="5"/>
        <v>#DIV/0!</v>
      </c>
      <c r="W15" s="503">
        <f t="shared" si="6"/>
        <v>0</v>
      </c>
      <c r="X15" s="477">
        <f t="shared" si="15"/>
        <v>0</v>
      </c>
      <c r="Y15" s="477">
        <f t="shared" si="11"/>
        <v>0</v>
      </c>
      <c r="Z15" s="474">
        <f t="shared" si="16"/>
        <v>0</v>
      </c>
      <c r="AA15" s="486">
        <f t="shared" si="17"/>
        <v>0</v>
      </c>
      <c r="AB15" s="478">
        <f t="shared" si="18"/>
        <v>0</v>
      </c>
      <c r="AC15" s="478" t="e">
        <f t="shared" si="8"/>
        <v>#DIV/0!</v>
      </c>
      <c r="AD15" s="474" t="e">
        <f t="shared" si="13"/>
        <v>#DIV/0!</v>
      </c>
      <c r="AE15" s="475" t="e">
        <f t="shared" si="14"/>
        <v>#DIV/0!</v>
      </c>
    </row>
    <row r="16" spans="1:31">
      <c r="A16" s="435">
        <f>'SQ-1'!A16</f>
        <v>43963</v>
      </c>
      <c r="B16" s="518"/>
      <c r="C16" s="464">
        <f t="shared" si="0"/>
        <v>0</v>
      </c>
      <c r="D16" s="5"/>
      <c r="E16" s="3"/>
      <c r="F16" s="434"/>
      <c r="G16" s="5"/>
      <c r="H16" s="6" t="e">
        <f t="shared" si="1"/>
        <v>#DIV/0!</v>
      </c>
      <c r="I16" s="518"/>
      <c r="J16" s="464">
        <f t="shared" si="9"/>
        <v>0</v>
      </c>
      <c r="K16" s="5"/>
      <c r="L16" s="3"/>
      <c r="M16" s="434"/>
      <c r="N16" s="5"/>
      <c r="O16" s="6" t="e">
        <f t="shared" si="3"/>
        <v>#DIV/0!</v>
      </c>
      <c r="P16" s="518"/>
      <c r="Q16" s="464">
        <f t="shared" si="10"/>
        <v>0</v>
      </c>
      <c r="R16" s="5"/>
      <c r="S16" s="3"/>
      <c r="T16" s="434"/>
      <c r="U16" s="5"/>
      <c r="V16" s="6" t="e">
        <f t="shared" si="5"/>
        <v>#DIV/0!</v>
      </c>
      <c r="W16" s="503">
        <f t="shared" si="6"/>
        <v>0</v>
      </c>
      <c r="X16" s="477">
        <f t="shared" si="15"/>
        <v>0</v>
      </c>
      <c r="Y16" s="477">
        <f t="shared" si="11"/>
        <v>0</v>
      </c>
      <c r="Z16" s="474">
        <f t="shared" si="16"/>
        <v>0</v>
      </c>
      <c r="AA16" s="486">
        <f t="shared" si="17"/>
        <v>0</v>
      </c>
      <c r="AB16" s="478">
        <f t="shared" si="18"/>
        <v>0</v>
      </c>
      <c r="AC16" s="478" t="e">
        <f t="shared" si="8"/>
        <v>#DIV/0!</v>
      </c>
      <c r="AD16" s="474" t="e">
        <f t="shared" si="13"/>
        <v>#DIV/0!</v>
      </c>
      <c r="AE16" s="475" t="e">
        <f t="shared" si="14"/>
        <v>#DIV/0!</v>
      </c>
    </row>
    <row r="17" spans="1:31">
      <c r="A17" s="435">
        <f>'SQ-1'!A17</f>
        <v>43964</v>
      </c>
      <c r="B17" s="518"/>
      <c r="C17" s="464">
        <f t="shared" si="0"/>
        <v>0</v>
      </c>
      <c r="D17" s="5"/>
      <c r="E17" s="3"/>
      <c r="F17" s="434"/>
      <c r="G17" s="5"/>
      <c r="H17" s="6" t="e">
        <f t="shared" si="1"/>
        <v>#DIV/0!</v>
      </c>
      <c r="I17" s="518"/>
      <c r="J17" s="464">
        <f t="shared" si="9"/>
        <v>0</v>
      </c>
      <c r="K17" s="5"/>
      <c r="L17" s="3"/>
      <c r="M17" s="434"/>
      <c r="N17" s="5"/>
      <c r="O17" s="6" t="e">
        <f t="shared" si="3"/>
        <v>#DIV/0!</v>
      </c>
      <c r="P17" s="518"/>
      <c r="Q17" s="464">
        <f t="shared" si="10"/>
        <v>0</v>
      </c>
      <c r="R17" s="5"/>
      <c r="S17" s="3"/>
      <c r="T17" s="434"/>
      <c r="U17" s="5"/>
      <c r="V17" s="6" t="e">
        <f t="shared" si="5"/>
        <v>#DIV/0!</v>
      </c>
      <c r="W17" s="503">
        <f t="shared" si="6"/>
        <v>0</v>
      </c>
      <c r="X17" s="477">
        <f t="shared" si="15"/>
        <v>0</v>
      </c>
      <c r="Y17" s="477">
        <f t="shared" si="11"/>
        <v>0</v>
      </c>
      <c r="Z17" s="474">
        <f t="shared" si="16"/>
        <v>0</v>
      </c>
      <c r="AA17" s="486">
        <f t="shared" si="17"/>
        <v>0</v>
      </c>
      <c r="AB17" s="478">
        <f t="shared" si="18"/>
        <v>0</v>
      </c>
      <c r="AC17" s="478" t="e">
        <f t="shared" si="8"/>
        <v>#DIV/0!</v>
      </c>
      <c r="AD17" s="474" t="e">
        <f t="shared" si="13"/>
        <v>#DIV/0!</v>
      </c>
      <c r="AE17" s="475" t="e">
        <f t="shared" si="14"/>
        <v>#DIV/0!</v>
      </c>
    </row>
    <row r="18" spans="1:31">
      <c r="A18" s="435">
        <f>'SQ-1'!A18</f>
        <v>43965</v>
      </c>
      <c r="B18" s="518"/>
      <c r="C18" s="464">
        <f t="shared" si="0"/>
        <v>0</v>
      </c>
      <c r="D18" s="5"/>
      <c r="E18" s="3"/>
      <c r="F18" s="434"/>
      <c r="G18" s="5"/>
      <c r="H18" s="6" t="e">
        <f t="shared" si="1"/>
        <v>#DIV/0!</v>
      </c>
      <c r="I18" s="518"/>
      <c r="J18" s="464">
        <f t="shared" si="9"/>
        <v>0</v>
      </c>
      <c r="K18" s="5"/>
      <c r="L18" s="3"/>
      <c r="M18" s="434"/>
      <c r="N18" s="5"/>
      <c r="O18" s="6" t="e">
        <f t="shared" si="3"/>
        <v>#DIV/0!</v>
      </c>
      <c r="P18" s="518"/>
      <c r="Q18" s="464">
        <f t="shared" si="10"/>
        <v>0</v>
      </c>
      <c r="R18" s="5"/>
      <c r="S18" s="3"/>
      <c r="T18" s="434"/>
      <c r="U18" s="5"/>
      <c r="V18" s="6" t="e">
        <f t="shared" si="5"/>
        <v>#DIV/0!</v>
      </c>
      <c r="W18" s="503">
        <f t="shared" si="6"/>
        <v>0</v>
      </c>
      <c r="X18" s="477">
        <f t="shared" si="15"/>
        <v>0</v>
      </c>
      <c r="Y18" s="477">
        <f t="shared" si="11"/>
        <v>0</v>
      </c>
      <c r="Z18" s="474">
        <f t="shared" si="16"/>
        <v>0</v>
      </c>
      <c r="AA18" s="486">
        <f t="shared" si="17"/>
        <v>0</v>
      </c>
      <c r="AB18" s="478">
        <f t="shared" si="18"/>
        <v>0</v>
      </c>
      <c r="AC18" s="478" t="e">
        <f t="shared" si="8"/>
        <v>#DIV/0!</v>
      </c>
      <c r="AD18" s="474" t="e">
        <f t="shared" si="13"/>
        <v>#DIV/0!</v>
      </c>
      <c r="AE18" s="475" t="e">
        <f t="shared" si="14"/>
        <v>#DIV/0!</v>
      </c>
    </row>
    <row r="19" spans="1:31">
      <c r="A19" s="435">
        <f>'SQ-1'!A19</f>
        <v>43966</v>
      </c>
      <c r="B19" s="518"/>
      <c r="C19" s="464">
        <f t="shared" si="0"/>
        <v>0</v>
      </c>
      <c r="D19" s="5"/>
      <c r="E19" s="3"/>
      <c r="F19" s="434"/>
      <c r="G19" s="5"/>
      <c r="H19" s="6" t="e">
        <f t="shared" si="1"/>
        <v>#DIV/0!</v>
      </c>
      <c r="I19" s="518"/>
      <c r="J19" s="464">
        <f t="shared" si="9"/>
        <v>0</v>
      </c>
      <c r="K19" s="5"/>
      <c r="L19" s="3"/>
      <c r="M19" s="434"/>
      <c r="N19" s="5"/>
      <c r="O19" s="6" t="e">
        <f t="shared" si="3"/>
        <v>#DIV/0!</v>
      </c>
      <c r="P19" s="518"/>
      <c r="Q19" s="464">
        <f t="shared" si="10"/>
        <v>0</v>
      </c>
      <c r="R19" s="5"/>
      <c r="S19" s="3"/>
      <c r="T19" s="434"/>
      <c r="U19" s="5"/>
      <c r="V19" s="6" t="e">
        <f t="shared" si="5"/>
        <v>#DIV/0!</v>
      </c>
      <c r="W19" s="503">
        <f t="shared" si="6"/>
        <v>0</v>
      </c>
      <c r="X19" s="477">
        <f t="shared" si="15"/>
        <v>0</v>
      </c>
      <c r="Y19" s="477">
        <f t="shared" si="11"/>
        <v>0</v>
      </c>
      <c r="Z19" s="474">
        <f t="shared" si="16"/>
        <v>0</v>
      </c>
      <c r="AA19" s="486">
        <f t="shared" si="17"/>
        <v>0</v>
      </c>
      <c r="AB19" s="478">
        <f t="shared" si="18"/>
        <v>0</v>
      </c>
      <c r="AC19" s="478" t="e">
        <f t="shared" si="8"/>
        <v>#DIV/0!</v>
      </c>
      <c r="AD19" s="474" t="e">
        <f t="shared" si="13"/>
        <v>#DIV/0!</v>
      </c>
      <c r="AE19" s="475" t="e">
        <f t="shared" si="14"/>
        <v>#DIV/0!</v>
      </c>
    </row>
    <row r="20" spans="1:31">
      <c r="A20" s="435">
        <f>'SQ-1'!A20</f>
        <v>43967</v>
      </c>
      <c r="B20" s="518"/>
      <c r="C20" s="464">
        <f t="shared" si="0"/>
        <v>0</v>
      </c>
      <c r="D20" s="5"/>
      <c r="E20" s="3"/>
      <c r="F20" s="434"/>
      <c r="G20" s="5"/>
      <c r="H20" s="6" t="e">
        <f t="shared" si="1"/>
        <v>#DIV/0!</v>
      </c>
      <c r="I20" s="518"/>
      <c r="J20" s="464">
        <f t="shared" si="9"/>
        <v>0</v>
      </c>
      <c r="K20" s="5"/>
      <c r="L20" s="3"/>
      <c r="M20" s="434"/>
      <c r="N20" s="5"/>
      <c r="O20" s="6" t="e">
        <f t="shared" si="3"/>
        <v>#DIV/0!</v>
      </c>
      <c r="P20" s="518"/>
      <c r="Q20" s="464">
        <f t="shared" si="10"/>
        <v>0</v>
      </c>
      <c r="R20" s="5"/>
      <c r="S20" s="3"/>
      <c r="T20" s="434"/>
      <c r="U20" s="5"/>
      <c r="V20" s="6" t="e">
        <f t="shared" si="5"/>
        <v>#DIV/0!</v>
      </c>
      <c r="W20" s="503">
        <f t="shared" si="6"/>
        <v>0</v>
      </c>
      <c r="X20" s="477">
        <f t="shared" si="15"/>
        <v>0</v>
      </c>
      <c r="Y20" s="477">
        <f t="shared" si="11"/>
        <v>0</v>
      </c>
      <c r="Z20" s="474">
        <f t="shared" si="16"/>
        <v>0</v>
      </c>
      <c r="AA20" s="486">
        <f t="shared" si="17"/>
        <v>0</v>
      </c>
      <c r="AB20" s="478">
        <f t="shared" si="18"/>
        <v>0</v>
      </c>
      <c r="AC20" s="478" t="e">
        <f t="shared" si="8"/>
        <v>#DIV/0!</v>
      </c>
      <c r="AD20" s="474" t="e">
        <f t="shared" si="13"/>
        <v>#DIV/0!</v>
      </c>
      <c r="AE20" s="475" t="e">
        <f t="shared" si="14"/>
        <v>#DIV/0!</v>
      </c>
    </row>
    <row r="21" spans="1:31">
      <c r="A21" s="435">
        <f>'SQ-1'!A21</f>
        <v>43968</v>
      </c>
      <c r="B21" s="518"/>
      <c r="C21" s="464">
        <f t="shared" si="0"/>
        <v>0</v>
      </c>
      <c r="D21" s="5"/>
      <c r="E21" s="3"/>
      <c r="F21" s="434"/>
      <c r="G21" s="5"/>
      <c r="H21" s="6" t="e">
        <f t="shared" si="1"/>
        <v>#DIV/0!</v>
      </c>
      <c r="I21" s="518"/>
      <c r="J21" s="464">
        <f t="shared" si="9"/>
        <v>0</v>
      </c>
      <c r="K21" s="5"/>
      <c r="L21" s="3"/>
      <c r="M21" s="434"/>
      <c r="N21" s="5"/>
      <c r="O21" s="6" t="e">
        <f t="shared" si="3"/>
        <v>#DIV/0!</v>
      </c>
      <c r="P21" s="518"/>
      <c r="Q21" s="464">
        <f t="shared" si="10"/>
        <v>0</v>
      </c>
      <c r="R21" s="5"/>
      <c r="S21" s="3"/>
      <c r="T21" s="434"/>
      <c r="U21" s="5"/>
      <c r="V21" s="6" t="e">
        <f t="shared" si="5"/>
        <v>#DIV/0!</v>
      </c>
      <c r="W21" s="503">
        <f t="shared" si="6"/>
        <v>0</v>
      </c>
      <c r="X21" s="477">
        <f t="shared" si="15"/>
        <v>0</v>
      </c>
      <c r="Y21" s="477">
        <f t="shared" si="11"/>
        <v>0</v>
      </c>
      <c r="Z21" s="474">
        <f t="shared" si="16"/>
        <v>0</v>
      </c>
      <c r="AA21" s="486">
        <f t="shared" si="17"/>
        <v>0</v>
      </c>
      <c r="AB21" s="478">
        <f t="shared" si="18"/>
        <v>0</v>
      </c>
      <c r="AC21" s="478" t="e">
        <f t="shared" si="8"/>
        <v>#DIV/0!</v>
      </c>
      <c r="AD21" s="474" t="e">
        <f t="shared" si="13"/>
        <v>#DIV/0!</v>
      </c>
      <c r="AE21" s="475" t="e">
        <f t="shared" si="14"/>
        <v>#DIV/0!</v>
      </c>
    </row>
    <row r="22" spans="1:31">
      <c r="A22" s="435">
        <f>'SQ-1'!A22</f>
        <v>43969</v>
      </c>
      <c r="B22" s="518"/>
      <c r="C22" s="464">
        <f t="shared" si="0"/>
        <v>0</v>
      </c>
      <c r="D22" s="5"/>
      <c r="E22" s="3"/>
      <c r="F22" s="434"/>
      <c r="G22" s="5"/>
      <c r="H22" s="6" t="e">
        <f t="shared" si="1"/>
        <v>#DIV/0!</v>
      </c>
      <c r="I22" s="518"/>
      <c r="J22" s="464">
        <f t="shared" si="9"/>
        <v>0</v>
      </c>
      <c r="K22" s="5"/>
      <c r="L22" s="3"/>
      <c r="M22" s="434"/>
      <c r="N22" s="5"/>
      <c r="O22" s="6" t="e">
        <f t="shared" si="3"/>
        <v>#DIV/0!</v>
      </c>
      <c r="P22" s="518"/>
      <c r="Q22" s="464">
        <f t="shared" si="10"/>
        <v>0</v>
      </c>
      <c r="R22" s="5"/>
      <c r="S22" s="3"/>
      <c r="T22" s="434"/>
      <c r="U22" s="5"/>
      <c r="V22" s="6" t="e">
        <f t="shared" si="5"/>
        <v>#DIV/0!</v>
      </c>
      <c r="W22" s="503">
        <f t="shared" si="6"/>
        <v>0</v>
      </c>
      <c r="X22" s="477">
        <f t="shared" si="15"/>
        <v>0</v>
      </c>
      <c r="Y22" s="477">
        <f t="shared" si="11"/>
        <v>0</v>
      </c>
      <c r="Z22" s="474">
        <f t="shared" si="16"/>
        <v>0</v>
      </c>
      <c r="AA22" s="486">
        <f t="shared" si="17"/>
        <v>0</v>
      </c>
      <c r="AB22" s="478">
        <f t="shared" si="18"/>
        <v>0</v>
      </c>
      <c r="AC22" s="478" t="e">
        <f t="shared" si="8"/>
        <v>#DIV/0!</v>
      </c>
      <c r="AD22" s="474" t="e">
        <f t="shared" si="13"/>
        <v>#DIV/0!</v>
      </c>
      <c r="AE22" s="475" t="e">
        <f t="shared" si="14"/>
        <v>#DIV/0!</v>
      </c>
    </row>
    <row r="23" spans="1:31">
      <c r="A23" s="435">
        <f>'SQ-1'!A23</f>
        <v>43970</v>
      </c>
      <c r="B23" s="518"/>
      <c r="C23" s="464">
        <f t="shared" si="0"/>
        <v>0</v>
      </c>
      <c r="D23" s="5"/>
      <c r="E23" s="3"/>
      <c r="F23" s="434"/>
      <c r="G23" s="5"/>
      <c r="H23" s="6" t="e">
        <f t="shared" si="1"/>
        <v>#DIV/0!</v>
      </c>
      <c r="I23" s="518"/>
      <c r="J23" s="464">
        <f t="shared" si="9"/>
        <v>0</v>
      </c>
      <c r="K23" s="5"/>
      <c r="L23" s="3"/>
      <c r="M23" s="434"/>
      <c r="N23" s="5"/>
      <c r="O23" s="6" t="e">
        <f t="shared" si="3"/>
        <v>#DIV/0!</v>
      </c>
      <c r="P23" s="518"/>
      <c r="Q23" s="464">
        <f t="shared" si="10"/>
        <v>0</v>
      </c>
      <c r="R23" s="5"/>
      <c r="S23" s="3"/>
      <c r="T23" s="434"/>
      <c r="U23" s="5"/>
      <c r="V23" s="6" t="e">
        <f t="shared" si="5"/>
        <v>#DIV/0!</v>
      </c>
      <c r="W23" s="503">
        <f t="shared" si="6"/>
        <v>0</v>
      </c>
      <c r="X23" s="477">
        <f t="shared" si="15"/>
        <v>0</v>
      </c>
      <c r="Y23" s="477">
        <f t="shared" si="11"/>
        <v>0</v>
      </c>
      <c r="Z23" s="474">
        <f t="shared" si="16"/>
        <v>0</v>
      </c>
      <c r="AA23" s="486">
        <f t="shared" si="17"/>
        <v>0</v>
      </c>
      <c r="AB23" s="478">
        <f t="shared" si="18"/>
        <v>0</v>
      </c>
      <c r="AC23" s="478" t="e">
        <f t="shared" si="8"/>
        <v>#DIV/0!</v>
      </c>
      <c r="AD23" s="474" t="e">
        <f t="shared" si="13"/>
        <v>#DIV/0!</v>
      </c>
      <c r="AE23" s="475" t="e">
        <f t="shared" si="14"/>
        <v>#DIV/0!</v>
      </c>
    </row>
    <row r="24" spans="1:31">
      <c r="A24" s="435">
        <f>'SQ-1'!A24</f>
        <v>43971</v>
      </c>
      <c r="B24" s="518"/>
      <c r="C24" s="464">
        <f t="shared" si="0"/>
        <v>0</v>
      </c>
      <c r="D24" s="5"/>
      <c r="E24" s="3"/>
      <c r="F24" s="434"/>
      <c r="G24" s="5"/>
      <c r="H24" s="6" t="e">
        <f t="shared" si="1"/>
        <v>#DIV/0!</v>
      </c>
      <c r="I24" s="518"/>
      <c r="J24" s="464">
        <f t="shared" si="9"/>
        <v>0</v>
      </c>
      <c r="K24" s="5"/>
      <c r="L24" s="3"/>
      <c r="M24" s="434"/>
      <c r="N24" s="5"/>
      <c r="O24" s="6" t="e">
        <f t="shared" si="3"/>
        <v>#DIV/0!</v>
      </c>
      <c r="P24" s="518"/>
      <c r="Q24" s="464">
        <f t="shared" si="10"/>
        <v>0</v>
      </c>
      <c r="R24" s="5"/>
      <c r="S24" s="3"/>
      <c r="T24" s="434"/>
      <c r="U24" s="5"/>
      <c r="V24" s="6" t="e">
        <f t="shared" si="5"/>
        <v>#DIV/0!</v>
      </c>
      <c r="W24" s="503">
        <f t="shared" si="6"/>
        <v>0</v>
      </c>
      <c r="X24" s="477">
        <f t="shared" si="15"/>
        <v>0</v>
      </c>
      <c r="Y24" s="477">
        <f t="shared" si="11"/>
        <v>0</v>
      </c>
      <c r="Z24" s="474">
        <f t="shared" si="16"/>
        <v>0</v>
      </c>
      <c r="AA24" s="486">
        <f t="shared" si="17"/>
        <v>0</v>
      </c>
      <c r="AB24" s="478">
        <f t="shared" si="18"/>
        <v>0</v>
      </c>
      <c r="AC24" s="478" t="e">
        <f t="shared" si="8"/>
        <v>#DIV/0!</v>
      </c>
      <c r="AD24" s="474" t="e">
        <f t="shared" si="13"/>
        <v>#DIV/0!</v>
      </c>
      <c r="AE24" s="475" t="e">
        <f t="shared" si="14"/>
        <v>#DIV/0!</v>
      </c>
    </row>
    <row r="25" spans="1:31">
      <c r="A25" s="435">
        <f>'SQ-1'!A25</f>
        <v>43972</v>
      </c>
      <c r="B25" s="518"/>
      <c r="C25" s="464">
        <f t="shared" si="0"/>
        <v>0</v>
      </c>
      <c r="D25" s="5"/>
      <c r="E25" s="3"/>
      <c r="F25" s="434"/>
      <c r="G25" s="5"/>
      <c r="H25" s="6" t="e">
        <f t="shared" si="1"/>
        <v>#DIV/0!</v>
      </c>
      <c r="I25" s="518"/>
      <c r="J25" s="464">
        <f t="shared" si="9"/>
        <v>0</v>
      </c>
      <c r="K25" s="5"/>
      <c r="L25" s="3"/>
      <c r="M25" s="434"/>
      <c r="N25" s="5"/>
      <c r="O25" s="6" t="e">
        <f t="shared" ref="O25:O35" si="19">N25/I25</f>
        <v>#DIV/0!</v>
      </c>
      <c r="P25" s="518"/>
      <c r="Q25" s="464">
        <f t="shared" si="10"/>
        <v>0</v>
      </c>
      <c r="R25" s="5"/>
      <c r="S25" s="3"/>
      <c r="T25" s="434"/>
      <c r="U25" s="5"/>
      <c r="V25" s="6" t="e">
        <f t="shared" ref="V25:V35" si="20">U25/P25</f>
        <v>#DIV/0!</v>
      </c>
      <c r="W25" s="503">
        <f t="shared" si="6"/>
        <v>0</v>
      </c>
      <c r="X25" s="477">
        <f t="shared" si="15"/>
        <v>0</v>
      </c>
      <c r="Y25" s="477">
        <f t="shared" si="11"/>
        <v>0</v>
      </c>
      <c r="Z25" s="474">
        <f t="shared" si="16"/>
        <v>0</v>
      </c>
      <c r="AA25" s="486">
        <f t="shared" si="17"/>
        <v>0</v>
      </c>
      <c r="AB25" s="478">
        <f t="shared" si="18"/>
        <v>0</v>
      </c>
      <c r="AC25" s="478" t="e">
        <f t="shared" si="8"/>
        <v>#DIV/0!</v>
      </c>
      <c r="AD25" s="474" t="e">
        <f t="shared" si="13"/>
        <v>#DIV/0!</v>
      </c>
      <c r="AE25" s="475" t="e">
        <f t="shared" si="14"/>
        <v>#DIV/0!</v>
      </c>
    </row>
    <row r="26" spans="1:31">
      <c r="A26" s="435">
        <f>'SQ-1'!A26</f>
        <v>43973</v>
      </c>
      <c r="B26" s="518"/>
      <c r="C26" s="464">
        <f t="shared" si="0"/>
        <v>0</v>
      </c>
      <c r="D26" s="5"/>
      <c r="E26" s="3"/>
      <c r="F26" s="434"/>
      <c r="G26" s="5"/>
      <c r="H26" s="6" t="e">
        <f t="shared" si="1"/>
        <v>#DIV/0!</v>
      </c>
      <c r="I26" s="518"/>
      <c r="J26" s="464">
        <f t="shared" si="9"/>
        <v>0</v>
      </c>
      <c r="K26" s="5"/>
      <c r="L26" s="3"/>
      <c r="M26" s="434"/>
      <c r="N26" s="5"/>
      <c r="O26" s="6" t="e">
        <f t="shared" si="19"/>
        <v>#DIV/0!</v>
      </c>
      <c r="P26" s="518"/>
      <c r="Q26" s="464">
        <f t="shared" si="10"/>
        <v>0</v>
      </c>
      <c r="R26" s="5"/>
      <c r="S26" s="3"/>
      <c r="T26" s="434"/>
      <c r="U26" s="5"/>
      <c r="V26" s="6" t="e">
        <f t="shared" si="20"/>
        <v>#DIV/0!</v>
      </c>
      <c r="W26" s="503">
        <f t="shared" si="6"/>
        <v>0</v>
      </c>
      <c r="X26" s="477">
        <f t="shared" si="15"/>
        <v>0</v>
      </c>
      <c r="Y26" s="477">
        <f t="shared" si="11"/>
        <v>0</v>
      </c>
      <c r="Z26" s="474">
        <f t="shared" si="16"/>
        <v>0</v>
      </c>
      <c r="AA26" s="486">
        <f t="shared" si="17"/>
        <v>0</v>
      </c>
      <c r="AB26" s="478">
        <f t="shared" si="18"/>
        <v>0</v>
      </c>
      <c r="AC26" s="478" t="e">
        <f t="shared" si="8"/>
        <v>#DIV/0!</v>
      </c>
      <c r="AD26" s="474" t="e">
        <f t="shared" si="13"/>
        <v>#DIV/0!</v>
      </c>
      <c r="AE26" s="475" t="e">
        <f t="shared" si="14"/>
        <v>#DIV/0!</v>
      </c>
    </row>
    <row r="27" spans="1:31">
      <c r="A27" s="435">
        <f>'SQ-1'!A27</f>
        <v>43974</v>
      </c>
      <c r="B27" s="518"/>
      <c r="C27" s="464">
        <f t="shared" ref="C27:C35" si="21">B27-(D27/60)</f>
        <v>0</v>
      </c>
      <c r="D27" s="5"/>
      <c r="E27" s="3"/>
      <c r="F27" s="434"/>
      <c r="G27" s="5"/>
      <c r="H27" s="6" t="e">
        <f t="shared" ref="H27:H35" si="22">G27/B27</f>
        <v>#DIV/0!</v>
      </c>
      <c r="I27" s="518"/>
      <c r="J27" s="464">
        <f t="shared" ref="J27:J35" si="23">I27-(K27/60)</f>
        <v>0</v>
      </c>
      <c r="K27" s="3"/>
      <c r="L27" s="3"/>
      <c r="M27" s="3"/>
      <c r="N27" s="5"/>
      <c r="O27" s="6" t="e">
        <f t="shared" si="19"/>
        <v>#DIV/0!</v>
      </c>
      <c r="P27" s="518"/>
      <c r="Q27" s="464">
        <f t="shared" ref="Q27:Q35" si="24">P27-(R27/60)</f>
        <v>0</v>
      </c>
      <c r="R27" s="3"/>
      <c r="S27" s="3"/>
      <c r="T27" s="3"/>
      <c r="U27" s="5"/>
      <c r="V27" s="6" t="e">
        <f t="shared" si="20"/>
        <v>#DIV/0!</v>
      </c>
      <c r="W27" s="503">
        <f t="shared" ref="W27:W35" si="25">B27+I27+P27</f>
        <v>0</v>
      </c>
      <c r="X27" s="477">
        <f t="shared" si="15"/>
        <v>0</v>
      </c>
      <c r="Y27" s="477">
        <f t="shared" si="11"/>
        <v>0</v>
      </c>
      <c r="Z27" s="474">
        <f t="shared" si="16"/>
        <v>0</v>
      </c>
      <c r="AA27" s="486">
        <f t="shared" si="17"/>
        <v>0</v>
      </c>
      <c r="AB27" s="478">
        <f t="shared" si="18"/>
        <v>0</v>
      </c>
      <c r="AC27" s="478" t="e">
        <f t="shared" si="8"/>
        <v>#DIV/0!</v>
      </c>
      <c r="AD27" s="474" t="e">
        <f t="shared" si="13"/>
        <v>#DIV/0!</v>
      </c>
      <c r="AE27" s="475" t="e">
        <f t="shared" si="14"/>
        <v>#DIV/0!</v>
      </c>
    </row>
    <row r="28" spans="1:31">
      <c r="A28" s="435">
        <f>'SQ-1'!A28</f>
        <v>43975</v>
      </c>
      <c r="B28" s="518"/>
      <c r="C28" s="464">
        <f t="shared" si="21"/>
        <v>0</v>
      </c>
      <c r="D28" s="5"/>
      <c r="E28" s="3"/>
      <c r="F28" s="434"/>
      <c r="G28" s="5"/>
      <c r="H28" s="6" t="e">
        <f t="shared" si="22"/>
        <v>#DIV/0!</v>
      </c>
      <c r="I28" s="518"/>
      <c r="J28" s="464">
        <f t="shared" si="23"/>
        <v>0</v>
      </c>
      <c r="K28" s="3"/>
      <c r="L28" s="3"/>
      <c r="M28" s="3"/>
      <c r="N28" s="5"/>
      <c r="O28" s="6" t="e">
        <f t="shared" si="19"/>
        <v>#DIV/0!</v>
      </c>
      <c r="P28" s="518"/>
      <c r="Q28" s="464">
        <f t="shared" si="24"/>
        <v>0</v>
      </c>
      <c r="R28" s="3"/>
      <c r="S28" s="3"/>
      <c r="T28" s="3"/>
      <c r="U28" s="5"/>
      <c r="V28" s="6" t="e">
        <f t="shared" si="20"/>
        <v>#DIV/0!</v>
      </c>
      <c r="W28" s="503">
        <f t="shared" si="25"/>
        <v>0</v>
      </c>
      <c r="X28" s="477">
        <f t="shared" si="15"/>
        <v>0</v>
      </c>
      <c r="Y28" s="477">
        <f t="shared" si="11"/>
        <v>0</v>
      </c>
      <c r="Z28" s="474">
        <f t="shared" si="16"/>
        <v>0</v>
      </c>
      <c r="AA28" s="486">
        <f t="shared" si="17"/>
        <v>0</v>
      </c>
      <c r="AB28" s="478">
        <f t="shared" si="18"/>
        <v>0</v>
      </c>
      <c r="AC28" s="478" t="e">
        <f t="shared" si="8"/>
        <v>#DIV/0!</v>
      </c>
      <c r="AD28" s="474" t="e">
        <f t="shared" si="13"/>
        <v>#DIV/0!</v>
      </c>
      <c r="AE28" s="475" t="e">
        <f t="shared" si="14"/>
        <v>#DIV/0!</v>
      </c>
    </row>
    <row r="29" spans="1:31" ht="16.5" customHeight="1">
      <c r="A29" s="435">
        <f>'SQ-1'!A29</f>
        <v>43976</v>
      </c>
      <c r="B29" s="518"/>
      <c r="C29" s="464">
        <f t="shared" si="21"/>
        <v>0</v>
      </c>
      <c r="D29" s="5"/>
      <c r="E29" s="3"/>
      <c r="F29" s="434"/>
      <c r="G29" s="5"/>
      <c r="H29" s="6" t="e">
        <f t="shared" si="22"/>
        <v>#DIV/0!</v>
      </c>
      <c r="I29" s="518"/>
      <c r="J29" s="464">
        <f t="shared" si="23"/>
        <v>0</v>
      </c>
      <c r="K29" s="3"/>
      <c r="L29" s="3"/>
      <c r="M29" s="3"/>
      <c r="N29" s="5"/>
      <c r="O29" s="6" t="e">
        <f t="shared" si="19"/>
        <v>#DIV/0!</v>
      </c>
      <c r="P29" s="518"/>
      <c r="Q29" s="464">
        <f t="shared" si="24"/>
        <v>0</v>
      </c>
      <c r="R29" s="3"/>
      <c r="S29" s="3"/>
      <c r="T29" s="3"/>
      <c r="U29" s="5"/>
      <c r="V29" s="6" t="e">
        <f t="shared" si="20"/>
        <v>#DIV/0!</v>
      </c>
      <c r="W29" s="503">
        <f t="shared" si="25"/>
        <v>0</v>
      </c>
      <c r="X29" s="477">
        <f t="shared" si="15"/>
        <v>0</v>
      </c>
      <c r="Y29" s="477">
        <f t="shared" si="11"/>
        <v>0</v>
      </c>
      <c r="Z29" s="474">
        <f t="shared" si="16"/>
        <v>0</v>
      </c>
      <c r="AA29" s="486">
        <f t="shared" si="17"/>
        <v>0</v>
      </c>
      <c r="AB29" s="478">
        <f t="shared" si="18"/>
        <v>0</v>
      </c>
      <c r="AC29" s="478" t="e">
        <f t="shared" si="8"/>
        <v>#DIV/0!</v>
      </c>
      <c r="AD29" s="474" t="e">
        <f t="shared" si="13"/>
        <v>#DIV/0!</v>
      </c>
      <c r="AE29" s="475" t="e">
        <f t="shared" si="14"/>
        <v>#DIV/0!</v>
      </c>
    </row>
    <row r="30" spans="1:31">
      <c r="A30" s="435">
        <f>'SQ-1'!A30</f>
        <v>43977</v>
      </c>
      <c r="B30" s="518"/>
      <c r="C30" s="464">
        <f t="shared" si="21"/>
        <v>0</v>
      </c>
      <c r="D30" s="5"/>
      <c r="E30" s="3"/>
      <c r="F30" s="434"/>
      <c r="G30" s="5"/>
      <c r="H30" s="6" t="e">
        <f t="shared" si="22"/>
        <v>#DIV/0!</v>
      </c>
      <c r="I30" s="518"/>
      <c r="J30" s="464">
        <f t="shared" si="23"/>
        <v>0</v>
      </c>
      <c r="K30" s="3"/>
      <c r="L30" s="3"/>
      <c r="M30" s="3"/>
      <c r="N30" s="5"/>
      <c r="O30" s="6" t="e">
        <f t="shared" si="19"/>
        <v>#DIV/0!</v>
      </c>
      <c r="P30" s="518"/>
      <c r="Q30" s="464">
        <f t="shared" si="24"/>
        <v>0</v>
      </c>
      <c r="R30" s="3"/>
      <c r="S30" s="3"/>
      <c r="T30" s="3"/>
      <c r="U30" s="5"/>
      <c r="V30" s="6" t="e">
        <f t="shared" si="20"/>
        <v>#DIV/0!</v>
      </c>
      <c r="W30" s="503">
        <f t="shared" si="25"/>
        <v>0</v>
      </c>
      <c r="X30" s="477">
        <f t="shared" si="15"/>
        <v>0</v>
      </c>
      <c r="Y30" s="477">
        <f t="shared" si="11"/>
        <v>0</v>
      </c>
      <c r="Z30" s="474">
        <f t="shared" si="16"/>
        <v>0</v>
      </c>
      <c r="AA30" s="486">
        <f t="shared" si="17"/>
        <v>0</v>
      </c>
      <c r="AB30" s="478">
        <f t="shared" si="18"/>
        <v>0</v>
      </c>
      <c r="AC30" s="478" t="e">
        <f t="shared" si="8"/>
        <v>#DIV/0!</v>
      </c>
      <c r="AD30" s="474" t="e">
        <f t="shared" si="13"/>
        <v>#DIV/0!</v>
      </c>
      <c r="AE30" s="475" t="e">
        <f t="shared" si="14"/>
        <v>#DIV/0!</v>
      </c>
    </row>
    <row r="31" spans="1:31">
      <c r="A31" s="435">
        <f>'SQ-1'!A31</f>
        <v>43978</v>
      </c>
      <c r="B31" s="518"/>
      <c r="C31" s="464">
        <f t="shared" si="21"/>
        <v>0</v>
      </c>
      <c r="D31" s="3"/>
      <c r="E31" s="3"/>
      <c r="F31" s="3"/>
      <c r="G31" s="5"/>
      <c r="H31" s="6" t="e">
        <f t="shared" si="22"/>
        <v>#DIV/0!</v>
      </c>
      <c r="I31" s="518"/>
      <c r="J31" s="464">
        <f t="shared" si="23"/>
        <v>0</v>
      </c>
      <c r="K31" s="5"/>
      <c r="L31" s="3"/>
      <c r="M31" s="434"/>
      <c r="N31" s="5"/>
      <c r="O31" s="6" t="e">
        <f t="shared" si="19"/>
        <v>#DIV/0!</v>
      </c>
      <c r="P31" s="518"/>
      <c r="Q31" s="464">
        <f t="shared" si="24"/>
        <v>0</v>
      </c>
      <c r="R31" s="3"/>
      <c r="S31" s="3"/>
      <c r="T31" s="3"/>
      <c r="U31" s="5"/>
      <c r="V31" s="6" t="e">
        <f t="shared" si="20"/>
        <v>#DIV/0!</v>
      </c>
      <c r="W31" s="503">
        <f t="shared" si="25"/>
        <v>0</v>
      </c>
      <c r="X31" s="477">
        <f t="shared" si="15"/>
        <v>0</v>
      </c>
      <c r="Y31" s="477">
        <f t="shared" si="11"/>
        <v>0</v>
      </c>
      <c r="Z31" s="474">
        <f t="shared" si="16"/>
        <v>0</v>
      </c>
      <c r="AA31" s="486">
        <f t="shared" si="17"/>
        <v>0</v>
      </c>
      <c r="AB31" s="478">
        <f t="shared" si="18"/>
        <v>0</v>
      </c>
      <c r="AC31" s="478" t="e">
        <f t="shared" si="8"/>
        <v>#DIV/0!</v>
      </c>
      <c r="AD31" s="474" t="e">
        <f t="shared" si="13"/>
        <v>#DIV/0!</v>
      </c>
      <c r="AE31" s="475" t="e">
        <f t="shared" si="14"/>
        <v>#DIV/0!</v>
      </c>
    </row>
    <row r="32" spans="1:31">
      <c r="A32" s="435">
        <f>'SQ-1'!A32</f>
        <v>43979</v>
      </c>
      <c r="B32" s="518"/>
      <c r="C32" s="464">
        <f t="shared" si="21"/>
        <v>0</v>
      </c>
      <c r="D32" s="3"/>
      <c r="E32" s="3"/>
      <c r="F32" s="3"/>
      <c r="G32" s="5"/>
      <c r="H32" s="6" t="e">
        <f t="shared" si="22"/>
        <v>#DIV/0!</v>
      </c>
      <c r="I32" s="518"/>
      <c r="J32" s="464">
        <f t="shared" si="23"/>
        <v>0</v>
      </c>
      <c r="K32" s="5"/>
      <c r="L32" s="3"/>
      <c r="M32" s="434"/>
      <c r="N32" s="5"/>
      <c r="O32" s="6" t="e">
        <f t="shared" si="19"/>
        <v>#DIV/0!</v>
      </c>
      <c r="P32" s="518"/>
      <c r="Q32" s="464">
        <f t="shared" si="24"/>
        <v>0</v>
      </c>
      <c r="R32" s="3"/>
      <c r="S32" s="3"/>
      <c r="T32" s="3"/>
      <c r="U32" s="5"/>
      <c r="V32" s="6" t="e">
        <f t="shared" si="20"/>
        <v>#DIV/0!</v>
      </c>
      <c r="W32" s="503">
        <f>B32+I32+P32</f>
        <v>0</v>
      </c>
      <c r="X32" s="477">
        <f t="shared" si="15"/>
        <v>0</v>
      </c>
      <c r="Y32" s="477">
        <f t="shared" si="11"/>
        <v>0</v>
      </c>
      <c r="Z32" s="474">
        <f t="shared" si="16"/>
        <v>0</v>
      </c>
      <c r="AA32" s="486">
        <f t="shared" si="17"/>
        <v>0</v>
      </c>
      <c r="AB32" s="478">
        <f t="shared" si="18"/>
        <v>0</v>
      </c>
      <c r="AC32" s="478" t="e">
        <f t="shared" si="8"/>
        <v>#DIV/0!</v>
      </c>
      <c r="AD32" s="474" t="e">
        <f t="shared" si="13"/>
        <v>#DIV/0!</v>
      </c>
      <c r="AE32" s="475" t="e">
        <f t="shared" si="14"/>
        <v>#DIV/0!</v>
      </c>
    </row>
    <row r="33" spans="1:31">
      <c r="A33" s="435">
        <f>'SQ-1'!A33</f>
        <v>43980</v>
      </c>
      <c r="B33" s="518"/>
      <c r="C33" s="464">
        <f t="shared" si="21"/>
        <v>0</v>
      </c>
      <c r="D33" s="3"/>
      <c r="E33" s="3"/>
      <c r="F33" s="3"/>
      <c r="G33" s="5"/>
      <c r="H33" s="6" t="e">
        <f t="shared" si="22"/>
        <v>#DIV/0!</v>
      </c>
      <c r="I33" s="518"/>
      <c r="J33" s="464">
        <f t="shared" si="23"/>
        <v>0</v>
      </c>
      <c r="K33" s="5"/>
      <c r="L33" s="3"/>
      <c r="M33" s="434"/>
      <c r="N33" s="5"/>
      <c r="O33" s="6" t="e">
        <f t="shared" si="19"/>
        <v>#DIV/0!</v>
      </c>
      <c r="P33" s="518"/>
      <c r="Q33" s="464">
        <f t="shared" si="24"/>
        <v>0</v>
      </c>
      <c r="R33" s="3"/>
      <c r="S33" s="3"/>
      <c r="T33" s="3"/>
      <c r="U33" s="5"/>
      <c r="V33" s="6" t="e">
        <f t="shared" si="20"/>
        <v>#DIV/0!</v>
      </c>
      <c r="W33" s="503">
        <f t="shared" si="25"/>
        <v>0</v>
      </c>
      <c r="X33" s="477">
        <f t="shared" si="15"/>
        <v>0</v>
      </c>
      <c r="Y33" s="477">
        <f t="shared" si="11"/>
        <v>0</v>
      </c>
      <c r="Z33" s="474">
        <f t="shared" si="16"/>
        <v>0</v>
      </c>
      <c r="AA33" s="486">
        <f t="shared" si="17"/>
        <v>0</v>
      </c>
      <c r="AB33" s="478">
        <f t="shared" si="18"/>
        <v>0</v>
      </c>
      <c r="AC33" s="478" t="e">
        <f t="shared" si="8"/>
        <v>#DIV/0!</v>
      </c>
      <c r="AD33" s="474" t="e">
        <f t="shared" si="13"/>
        <v>#DIV/0!</v>
      </c>
      <c r="AE33" s="475" t="e">
        <f t="shared" si="14"/>
        <v>#DIV/0!</v>
      </c>
    </row>
    <row r="34" spans="1:31">
      <c r="A34" s="435">
        <f>'SQ-1'!A34</f>
        <v>43981</v>
      </c>
      <c r="B34" s="518"/>
      <c r="C34" s="464">
        <f t="shared" si="21"/>
        <v>0</v>
      </c>
      <c r="D34" s="3"/>
      <c r="E34" s="3"/>
      <c r="F34" s="3"/>
      <c r="G34" s="3"/>
      <c r="H34" s="6" t="e">
        <f t="shared" si="22"/>
        <v>#DIV/0!</v>
      </c>
      <c r="I34" s="518"/>
      <c r="J34" s="464">
        <f t="shared" si="23"/>
        <v>0</v>
      </c>
      <c r="K34" s="3"/>
      <c r="L34" s="3"/>
      <c r="M34" s="3"/>
      <c r="N34" s="3"/>
      <c r="O34" s="6" t="e">
        <f t="shared" si="19"/>
        <v>#DIV/0!</v>
      </c>
      <c r="P34" s="518"/>
      <c r="Q34" s="464">
        <f t="shared" si="24"/>
        <v>0</v>
      </c>
      <c r="R34" s="3"/>
      <c r="S34" s="3"/>
      <c r="T34" s="3"/>
      <c r="U34" s="5"/>
      <c r="V34" s="6" t="e">
        <f t="shared" si="20"/>
        <v>#DIV/0!</v>
      </c>
      <c r="W34" s="503">
        <f t="shared" si="25"/>
        <v>0</v>
      </c>
      <c r="X34" s="477">
        <f t="shared" si="15"/>
        <v>0</v>
      </c>
      <c r="Y34" s="477">
        <f t="shared" si="11"/>
        <v>0</v>
      </c>
      <c r="Z34" s="474">
        <f t="shared" si="16"/>
        <v>0</v>
      </c>
      <c r="AA34" s="486">
        <f t="shared" si="17"/>
        <v>0</v>
      </c>
      <c r="AB34" s="478">
        <f t="shared" si="18"/>
        <v>0</v>
      </c>
      <c r="AC34" s="478" t="e">
        <f t="shared" si="8"/>
        <v>#DIV/0!</v>
      </c>
      <c r="AD34" s="474" t="e">
        <f t="shared" si="13"/>
        <v>#DIV/0!</v>
      </c>
      <c r="AE34" s="475" t="e">
        <f t="shared" si="14"/>
        <v>#DIV/0!</v>
      </c>
    </row>
    <row r="35" spans="1:31" ht="15.75" thickBot="1">
      <c r="A35" s="435">
        <f>'SQ-1'!A35</f>
        <v>43982</v>
      </c>
      <c r="B35" s="519"/>
      <c r="C35" s="524">
        <f t="shared" si="21"/>
        <v>0</v>
      </c>
      <c r="D35" s="463"/>
      <c r="E35" s="463"/>
      <c r="F35" s="463"/>
      <c r="G35" s="463"/>
      <c r="H35" s="452" t="e">
        <f t="shared" si="22"/>
        <v>#DIV/0!</v>
      </c>
      <c r="I35" s="519"/>
      <c r="J35" s="524">
        <f t="shared" si="23"/>
        <v>0</v>
      </c>
      <c r="K35" s="463"/>
      <c r="L35" s="463"/>
      <c r="M35" s="463"/>
      <c r="N35" s="463"/>
      <c r="O35" s="452" t="e">
        <f t="shared" si="19"/>
        <v>#DIV/0!</v>
      </c>
      <c r="P35" s="521"/>
      <c r="Q35" s="524">
        <f t="shared" si="24"/>
        <v>0</v>
      </c>
      <c r="R35" s="4"/>
      <c r="S35" s="4"/>
      <c r="T35" s="4"/>
      <c r="U35" s="4"/>
      <c r="V35" s="452" t="e">
        <f t="shared" si="20"/>
        <v>#DIV/0!</v>
      </c>
      <c r="W35" s="504">
        <f t="shared" si="25"/>
        <v>0</v>
      </c>
      <c r="X35" s="481">
        <f t="shared" si="15"/>
        <v>0</v>
      </c>
      <c r="Y35" s="481">
        <f t="shared" si="11"/>
        <v>0</v>
      </c>
      <c r="Z35" s="480">
        <f t="shared" si="16"/>
        <v>0</v>
      </c>
      <c r="AA35" s="505">
        <f t="shared" si="17"/>
        <v>0</v>
      </c>
      <c r="AB35" s="482">
        <f t="shared" si="18"/>
        <v>0</v>
      </c>
      <c r="AC35" s="478" t="e">
        <f t="shared" si="8"/>
        <v>#DIV/0!</v>
      </c>
      <c r="AD35" s="474" t="e">
        <f t="shared" si="13"/>
        <v>#DIV/0!</v>
      </c>
      <c r="AE35" s="475" t="e">
        <f t="shared" si="14"/>
        <v>#DIV/0!</v>
      </c>
    </row>
    <row r="36" spans="1:31" ht="20.100000000000001" customHeight="1" thickBot="1">
      <c r="A36" s="2" t="s">
        <v>3</v>
      </c>
      <c r="B36" s="8">
        <f>SUM(B5:B35)</f>
        <v>0</v>
      </c>
      <c r="C36" s="8">
        <f>SUM(C5:C35)</f>
        <v>0</v>
      </c>
      <c r="D36" s="7">
        <f>SUM(D5:D35)</f>
        <v>0</v>
      </c>
      <c r="E36" s="7">
        <f>SUM(E5:E35)</f>
        <v>0</v>
      </c>
      <c r="F36" s="7">
        <f t="shared" ref="F36:AB36" si="26">SUM(F5:F35)</f>
        <v>0</v>
      </c>
      <c r="G36" s="7">
        <f t="shared" si="26"/>
        <v>0</v>
      </c>
      <c r="H36" s="8" t="e">
        <f>G36/B36</f>
        <v>#DIV/0!</v>
      </c>
      <c r="I36" s="8">
        <f t="shared" ref="I36:N36" si="27">SUM(I5:I35)</f>
        <v>0</v>
      </c>
      <c r="J36" s="8">
        <f t="shared" si="27"/>
        <v>0</v>
      </c>
      <c r="K36" s="7">
        <f t="shared" si="27"/>
        <v>0</v>
      </c>
      <c r="L36" s="7">
        <f t="shared" si="27"/>
        <v>0</v>
      </c>
      <c r="M36" s="7">
        <f t="shared" si="27"/>
        <v>0</v>
      </c>
      <c r="N36" s="7">
        <f t="shared" si="27"/>
        <v>0</v>
      </c>
      <c r="O36" s="8" t="e">
        <f>N36/I36</f>
        <v>#DIV/0!</v>
      </c>
      <c r="P36" s="8">
        <f>SUM(P5:P35)</f>
        <v>0</v>
      </c>
      <c r="Q36" s="8">
        <f t="shared" si="26"/>
        <v>0</v>
      </c>
      <c r="R36" s="7">
        <f>SUM(R5:R35)</f>
        <v>0</v>
      </c>
      <c r="S36" s="7">
        <f>SUM(S5:S35)</f>
        <v>0</v>
      </c>
      <c r="T36" s="7">
        <f t="shared" si="26"/>
        <v>0</v>
      </c>
      <c r="U36" s="7">
        <f t="shared" si="26"/>
        <v>0</v>
      </c>
      <c r="V36" s="7" t="e">
        <f>U36/P36</f>
        <v>#DIV/0!</v>
      </c>
      <c r="W36" s="443">
        <f>SUM(W5:W35)</f>
        <v>0</v>
      </c>
      <c r="X36" s="7">
        <f t="shared" si="26"/>
        <v>0</v>
      </c>
      <c r="Y36" s="7">
        <f>SUM(Y5:Y35)</f>
        <v>0</v>
      </c>
      <c r="Z36" s="8">
        <f>SUM(Z5:Z35)</f>
        <v>0</v>
      </c>
      <c r="AA36" s="7">
        <f t="shared" si="26"/>
        <v>0</v>
      </c>
      <c r="AB36" s="7">
        <f t="shared" si="26"/>
        <v>0</v>
      </c>
      <c r="AC36" s="7" t="e">
        <f>AB36/W36</f>
        <v>#DIV/0!</v>
      </c>
      <c r="AD36" s="455"/>
      <c r="AE36" s="468" t="e">
        <f>AA36/Z36</f>
        <v>#DIV/0!</v>
      </c>
    </row>
    <row r="48" spans="1:31">
      <c r="N48" s="1">
        <v>2</v>
      </c>
    </row>
  </sheetData>
  <mergeCells count="36">
    <mergeCell ref="AD3:AD4"/>
    <mergeCell ref="AE3:AE4"/>
    <mergeCell ref="AA3:AA4"/>
    <mergeCell ref="AB3:AB4"/>
    <mergeCell ref="AC3:AC4"/>
    <mergeCell ref="A1:V1"/>
    <mergeCell ref="V3:V4"/>
    <mergeCell ref="A2:A4"/>
    <mergeCell ref="C3:C4"/>
    <mergeCell ref="F3:F4"/>
    <mergeCell ref="G3:G4"/>
    <mergeCell ref="H3:H4"/>
    <mergeCell ref="J3:J4"/>
    <mergeCell ref="M3:M4"/>
    <mergeCell ref="N3:N4"/>
    <mergeCell ref="O3:O4"/>
    <mergeCell ref="Q3:Q4"/>
    <mergeCell ref="B2:H2"/>
    <mergeCell ref="B3:B4"/>
    <mergeCell ref="D3:D4"/>
    <mergeCell ref="I2:O2"/>
    <mergeCell ref="E3:E4"/>
    <mergeCell ref="L3:L4"/>
    <mergeCell ref="S3:S4"/>
    <mergeCell ref="T3:T4"/>
    <mergeCell ref="W2:AC2"/>
    <mergeCell ref="P2:V2"/>
    <mergeCell ref="I3:I4"/>
    <mergeCell ref="K3:K4"/>
    <mergeCell ref="P3:P4"/>
    <mergeCell ref="R3:R4"/>
    <mergeCell ref="Z3:Z4"/>
    <mergeCell ref="U3:U4"/>
    <mergeCell ref="W3:W4"/>
    <mergeCell ref="Y3:Y4"/>
    <mergeCell ref="X3:X4"/>
  </mergeCells>
  <conditionalFormatting sqref="B34:B35">
    <cfRule type="expression" dxfId="439" priority="181" stopIfTrue="1">
      <formula>$C34="*"</formula>
    </cfRule>
    <cfRule type="expression" dxfId="438" priority="182" stopIfTrue="1">
      <formula>$C34="-"</formula>
    </cfRule>
  </conditionalFormatting>
  <conditionalFormatting sqref="P34:P35">
    <cfRule type="expression" dxfId="437" priority="179" stopIfTrue="1">
      <formula>$C34="*"</formula>
    </cfRule>
    <cfRule type="expression" dxfId="436" priority="180" stopIfTrue="1">
      <formula>$C34="-"</formula>
    </cfRule>
  </conditionalFormatting>
  <conditionalFormatting sqref="I34:I35">
    <cfRule type="expression" dxfId="435" priority="177" stopIfTrue="1">
      <formula>$C34="*"</formula>
    </cfRule>
    <cfRule type="expression" dxfId="434" priority="178" stopIfTrue="1">
      <formula>$C34="-"</formula>
    </cfRule>
  </conditionalFormatting>
  <conditionalFormatting sqref="P31:P33">
    <cfRule type="expression" dxfId="433" priority="175" stopIfTrue="1">
      <formula>$C31="*"</formula>
    </cfRule>
    <cfRule type="expression" dxfId="432" priority="176" stopIfTrue="1">
      <formula>$C31="-"</formula>
    </cfRule>
  </conditionalFormatting>
  <conditionalFormatting sqref="B31:B33">
    <cfRule type="expression" dxfId="431" priority="173" stopIfTrue="1">
      <formula>$C31="*"</formula>
    </cfRule>
    <cfRule type="expression" dxfId="430" priority="174" stopIfTrue="1">
      <formula>$C31="-"</formula>
    </cfRule>
  </conditionalFormatting>
  <conditionalFormatting sqref="I31:I33">
    <cfRule type="expression" dxfId="429" priority="171" stopIfTrue="1">
      <formula>$C31="*"</formula>
    </cfRule>
    <cfRule type="expression" dxfId="428" priority="172" stopIfTrue="1">
      <formula>$C31="-"</formula>
    </cfRule>
  </conditionalFormatting>
  <conditionalFormatting sqref="I27:I30">
    <cfRule type="expression" dxfId="427" priority="151" stopIfTrue="1">
      <formula>$C27="*"</formula>
    </cfRule>
    <cfRule type="expression" dxfId="426" priority="152" stopIfTrue="1">
      <formula>$C27="-"</formula>
    </cfRule>
  </conditionalFormatting>
  <conditionalFormatting sqref="P27:P30">
    <cfRule type="expression" dxfId="425" priority="149" stopIfTrue="1">
      <formula>$C27="*"</formula>
    </cfRule>
    <cfRule type="expression" dxfId="424" priority="150" stopIfTrue="1">
      <formula>$C27="-"</formula>
    </cfRule>
  </conditionalFormatting>
  <conditionalFormatting sqref="B25:B30">
    <cfRule type="expression" dxfId="423" priority="147" stopIfTrue="1">
      <formula>$C25="*"</formula>
    </cfRule>
    <cfRule type="expression" dxfId="422" priority="148" stopIfTrue="1">
      <formula>$C25="-"</formula>
    </cfRule>
  </conditionalFormatting>
  <conditionalFormatting sqref="B9:B12">
    <cfRule type="expression" dxfId="421" priority="41" stopIfTrue="1">
      <formula>$C9="*"</formula>
    </cfRule>
    <cfRule type="expression" dxfId="420" priority="42" stopIfTrue="1">
      <formula>$C9="-"</formula>
    </cfRule>
  </conditionalFormatting>
  <conditionalFormatting sqref="B13:B14">
    <cfRule type="expression" dxfId="419" priority="53" stopIfTrue="1">
      <formula>$C13="*"</formula>
    </cfRule>
    <cfRule type="expression" dxfId="418" priority="54" stopIfTrue="1">
      <formula>$C13="-"</formula>
    </cfRule>
  </conditionalFormatting>
  <conditionalFormatting sqref="B23:B24">
    <cfRule type="expression" dxfId="417" priority="65" stopIfTrue="1">
      <formula>$C23="*"</formula>
    </cfRule>
    <cfRule type="expression" dxfId="416" priority="66" stopIfTrue="1">
      <formula>$C23="-"</formula>
    </cfRule>
  </conditionalFormatting>
  <conditionalFormatting sqref="B6">
    <cfRule type="expression" dxfId="415" priority="35" stopIfTrue="1">
      <formula>$C6="*"</formula>
    </cfRule>
    <cfRule type="expression" dxfId="414" priority="36" stopIfTrue="1">
      <formula>$C6="-"</formula>
    </cfRule>
  </conditionalFormatting>
  <conditionalFormatting sqref="B5 B7:B8">
    <cfRule type="expression" dxfId="413" priority="47" stopIfTrue="1">
      <formula>$C5="*"</formula>
    </cfRule>
    <cfRule type="expression" dxfId="412" priority="48" stopIfTrue="1">
      <formula>$C5="-"</formula>
    </cfRule>
  </conditionalFormatting>
  <conditionalFormatting sqref="B15:B22">
    <cfRule type="expression" dxfId="411" priority="59" stopIfTrue="1">
      <formula>$C15="*"</formula>
    </cfRule>
    <cfRule type="expression" dxfId="410" priority="60" stopIfTrue="1">
      <formula>$C15="-"</formula>
    </cfRule>
  </conditionalFormatting>
  <conditionalFormatting sqref="I5">
    <cfRule type="expression" dxfId="409" priority="51" stopIfTrue="1">
      <formula>$C5="*"</formula>
    </cfRule>
    <cfRule type="expression" dxfId="408" priority="52" stopIfTrue="1">
      <formula>$C5="-"</formula>
    </cfRule>
  </conditionalFormatting>
  <conditionalFormatting sqref="P5">
    <cfRule type="expression" dxfId="407" priority="49" stopIfTrue="1">
      <formula>$C5="*"</formula>
    </cfRule>
    <cfRule type="expression" dxfId="406" priority="50" stopIfTrue="1">
      <formula>$C5="-"</formula>
    </cfRule>
  </conditionalFormatting>
  <conditionalFormatting sqref="I9:I12">
    <cfRule type="expression" dxfId="405" priority="17" stopIfTrue="1">
      <formula>$C9="*"</formula>
    </cfRule>
    <cfRule type="expression" dxfId="404" priority="18" stopIfTrue="1">
      <formula>$C9="-"</formula>
    </cfRule>
  </conditionalFormatting>
  <conditionalFormatting sqref="P15:P22">
    <cfRule type="expression" dxfId="403" priority="9" stopIfTrue="1">
      <formula>$C15="*"</formula>
    </cfRule>
    <cfRule type="expression" dxfId="402" priority="10" stopIfTrue="1">
      <formula>$C15="-"</formula>
    </cfRule>
  </conditionalFormatting>
  <conditionalFormatting sqref="P7:P8">
    <cfRule type="expression" dxfId="401" priority="5" stopIfTrue="1">
      <formula>$C7="*"</formula>
    </cfRule>
    <cfRule type="expression" dxfId="400" priority="6" stopIfTrue="1">
      <formula>$C7="-"</formula>
    </cfRule>
  </conditionalFormatting>
  <conditionalFormatting sqref="P9:P12">
    <cfRule type="expression" dxfId="399" priority="3" stopIfTrue="1">
      <formula>$C9="*"</formula>
    </cfRule>
    <cfRule type="expression" dxfId="398" priority="4" stopIfTrue="1">
      <formula>$C9="-"</formula>
    </cfRule>
  </conditionalFormatting>
  <conditionalFormatting sqref="P6">
    <cfRule type="expression" dxfId="397" priority="1" stopIfTrue="1">
      <formula>$C6="*"</formula>
    </cfRule>
    <cfRule type="expression" dxfId="396" priority="2" stopIfTrue="1">
      <formula>$C6="-"</formula>
    </cfRule>
  </conditionalFormatting>
  <conditionalFormatting sqref="I25:I26">
    <cfRule type="expression" dxfId="395" priority="27" stopIfTrue="1">
      <formula>$C25="*"</formula>
    </cfRule>
    <cfRule type="expression" dxfId="394" priority="28" stopIfTrue="1">
      <formula>$C25="-"</formula>
    </cfRule>
  </conditionalFormatting>
  <conditionalFormatting sqref="I23:I24">
    <cfRule type="expression" dxfId="393" priority="25" stopIfTrue="1">
      <formula>$C23="*"</formula>
    </cfRule>
    <cfRule type="expression" dxfId="392" priority="26" stopIfTrue="1">
      <formula>$C23="-"</formula>
    </cfRule>
  </conditionalFormatting>
  <conditionalFormatting sqref="I15:I22">
    <cfRule type="expression" dxfId="391" priority="23" stopIfTrue="1">
      <formula>$C15="*"</formula>
    </cfRule>
    <cfRule type="expression" dxfId="390" priority="24" stopIfTrue="1">
      <formula>$C15="-"</formula>
    </cfRule>
  </conditionalFormatting>
  <conditionalFormatting sqref="I13:I14">
    <cfRule type="expression" dxfId="389" priority="21" stopIfTrue="1">
      <formula>$C13="*"</formula>
    </cfRule>
    <cfRule type="expression" dxfId="388" priority="22" stopIfTrue="1">
      <formula>$C13="-"</formula>
    </cfRule>
  </conditionalFormatting>
  <conditionalFormatting sqref="I7:I8">
    <cfRule type="expression" dxfId="387" priority="19" stopIfTrue="1">
      <formula>$C7="*"</formula>
    </cfRule>
    <cfRule type="expression" dxfId="386" priority="20" stopIfTrue="1">
      <formula>$C7="-"</formula>
    </cfRule>
  </conditionalFormatting>
  <conditionalFormatting sqref="I6">
    <cfRule type="expression" dxfId="385" priority="15" stopIfTrue="1">
      <formula>$C6="*"</formula>
    </cfRule>
    <cfRule type="expression" dxfId="384" priority="16" stopIfTrue="1">
      <formula>$C6="-"</formula>
    </cfRule>
  </conditionalFormatting>
  <conditionalFormatting sqref="P25:P26">
    <cfRule type="expression" dxfId="383" priority="13" stopIfTrue="1">
      <formula>$C25="*"</formula>
    </cfRule>
    <cfRule type="expression" dxfId="382" priority="14" stopIfTrue="1">
      <formula>$C25="-"</formula>
    </cfRule>
  </conditionalFormatting>
  <conditionalFormatting sqref="P23:P24">
    <cfRule type="expression" dxfId="381" priority="11" stopIfTrue="1">
      <formula>$C23="*"</formula>
    </cfRule>
    <cfRule type="expression" dxfId="380" priority="12" stopIfTrue="1">
      <formula>$C23="-"</formula>
    </cfRule>
  </conditionalFormatting>
  <conditionalFormatting sqref="P13:P14">
    <cfRule type="expression" dxfId="379" priority="7" stopIfTrue="1">
      <formula>$C13="*"</formula>
    </cfRule>
    <cfRule type="expression" dxfId="378" priority="8" stopIfTrue="1">
      <formula>$C13="-"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1"/>
  </sheetPr>
  <dimension ref="A1:AE36"/>
  <sheetViews>
    <sheetView topLeftCell="J1" zoomScale="70" zoomScaleNormal="70" workbookViewId="0">
      <pane ySplit="4" topLeftCell="A5" activePane="bottomLeft" state="frozen"/>
      <selection activeCell="E18" sqref="E18"/>
      <selection pane="bottomLeft" activeCell="A5" sqref="A5"/>
    </sheetView>
  </sheetViews>
  <sheetFormatPr defaultRowHeight="15"/>
  <cols>
    <col min="1" max="1" width="10.7109375" style="1" bestFit="1" customWidth="1"/>
    <col min="2" max="2" width="10.7109375" style="1" customWidth="1"/>
    <col min="3" max="5" width="10.140625" style="1" customWidth="1"/>
    <col min="6" max="6" width="9.7109375" style="1" customWidth="1"/>
    <col min="7" max="7" width="12" style="1" customWidth="1"/>
    <col min="8" max="9" width="8.85546875" style="1" customWidth="1"/>
    <col min="10" max="12" width="10.140625" style="1" customWidth="1"/>
    <col min="13" max="13" width="10.5703125" style="1" customWidth="1"/>
    <col min="14" max="14" width="11.28515625" style="1" customWidth="1"/>
    <col min="15" max="16" width="8.85546875" style="1" customWidth="1"/>
    <col min="17" max="19" width="10.140625" style="1" customWidth="1"/>
    <col min="20" max="20" width="8.85546875" style="1" customWidth="1"/>
    <col min="21" max="21" width="11.140625" style="1" customWidth="1"/>
    <col min="22" max="22" width="9.85546875" style="1" customWidth="1"/>
    <col min="23" max="23" width="8.85546875" style="1" customWidth="1"/>
    <col min="24" max="26" width="12.5703125" style="10" customWidth="1"/>
    <col min="27" max="27" width="10.7109375" style="10" bestFit="1" customWidth="1"/>
    <col min="28" max="28" width="9.5703125" style="10" bestFit="1" customWidth="1"/>
    <col min="29" max="29" width="9.140625" style="10"/>
    <col min="30" max="30" width="10.28515625" customWidth="1"/>
  </cols>
  <sheetData>
    <row r="1" spans="1:31" ht="21.75" thickBot="1">
      <c r="A1" s="593" t="s">
        <v>6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444"/>
      <c r="X1" s="9"/>
      <c r="Y1" s="9"/>
      <c r="Z1" s="9"/>
      <c r="AA1" s="9"/>
      <c r="AB1" s="9"/>
      <c r="AC1" s="9"/>
    </row>
    <row r="2" spans="1:31" ht="15.75" thickBot="1">
      <c r="A2" s="585" t="s">
        <v>0</v>
      </c>
      <c r="B2" s="567" t="s">
        <v>207</v>
      </c>
      <c r="C2" s="568"/>
      <c r="D2" s="568"/>
      <c r="E2" s="568"/>
      <c r="F2" s="568"/>
      <c r="G2" s="568"/>
      <c r="H2" s="569"/>
      <c r="I2" s="567" t="s">
        <v>208</v>
      </c>
      <c r="J2" s="568"/>
      <c r="K2" s="568"/>
      <c r="L2" s="568"/>
      <c r="M2" s="568"/>
      <c r="N2" s="568"/>
      <c r="O2" s="569"/>
      <c r="P2" s="567" t="s">
        <v>209</v>
      </c>
      <c r="Q2" s="568"/>
      <c r="R2" s="568"/>
      <c r="S2" s="568"/>
      <c r="T2" s="568"/>
      <c r="U2" s="568"/>
      <c r="V2" s="569"/>
      <c r="W2" s="572" t="s">
        <v>3</v>
      </c>
      <c r="X2" s="573"/>
      <c r="Y2" s="573"/>
      <c r="Z2" s="573"/>
      <c r="AA2" s="573"/>
      <c r="AB2" s="573"/>
      <c r="AC2" s="599"/>
    </row>
    <row r="3" spans="1:31" ht="15" customHeight="1">
      <c r="A3" s="596"/>
      <c r="B3" s="565" t="s">
        <v>203</v>
      </c>
      <c r="C3" s="570" t="s">
        <v>204</v>
      </c>
      <c r="D3" s="570" t="s">
        <v>205</v>
      </c>
      <c r="E3" s="575" t="s">
        <v>199</v>
      </c>
      <c r="F3" s="587" t="s">
        <v>202</v>
      </c>
      <c r="G3" s="597" t="s">
        <v>1</v>
      </c>
      <c r="H3" s="597" t="s">
        <v>2</v>
      </c>
      <c r="I3" s="565" t="s">
        <v>203</v>
      </c>
      <c r="J3" s="570" t="s">
        <v>204</v>
      </c>
      <c r="K3" s="570" t="s">
        <v>205</v>
      </c>
      <c r="L3" s="577" t="s">
        <v>199</v>
      </c>
      <c r="M3" s="587" t="s">
        <v>200</v>
      </c>
      <c r="N3" s="587" t="s">
        <v>1</v>
      </c>
      <c r="O3" s="587" t="s">
        <v>2</v>
      </c>
      <c r="P3" s="565" t="s">
        <v>203</v>
      </c>
      <c r="Q3" s="570" t="s">
        <v>204</v>
      </c>
      <c r="R3" s="570" t="s">
        <v>205</v>
      </c>
      <c r="S3" s="579" t="s">
        <v>199</v>
      </c>
      <c r="T3" s="580" t="s">
        <v>200</v>
      </c>
      <c r="U3" s="580" t="s">
        <v>1</v>
      </c>
      <c r="V3" s="594" t="s">
        <v>2</v>
      </c>
      <c r="W3" s="582" t="s">
        <v>203</v>
      </c>
      <c r="X3" s="579" t="s">
        <v>204</v>
      </c>
      <c r="Y3" s="583" t="s">
        <v>205</v>
      </c>
      <c r="Z3" s="577" t="s">
        <v>199</v>
      </c>
      <c r="AA3" s="587" t="s">
        <v>200</v>
      </c>
      <c r="AB3" s="585" t="s">
        <v>1</v>
      </c>
      <c r="AC3" s="587" t="s">
        <v>2</v>
      </c>
      <c r="AD3" s="589" t="s">
        <v>13</v>
      </c>
      <c r="AE3" s="591" t="s">
        <v>218</v>
      </c>
    </row>
    <row r="4" spans="1:31" ht="15.75" thickBot="1">
      <c r="A4" s="586"/>
      <c r="B4" s="566"/>
      <c r="C4" s="571"/>
      <c r="D4" s="571"/>
      <c r="E4" s="576"/>
      <c r="F4" s="588"/>
      <c r="G4" s="588"/>
      <c r="H4" s="588"/>
      <c r="I4" s="566"/>
      <c r="J4" s="571"/>
      <c r="K4" s="571"/>
      <c r="L4" s="578"/>
      <c r="M4" s="588"/>
      <c r="N4" s="588"/>
      <c r="O4" s="588"/>
      <c r="P4" s="566"/>
      <c r="Q4" s="571"/>
      <c r="R4" s="571"/>
      <c r="S4" s="571"/>
      <c r="T4" s="581"/>
      <c r="U4" s="581"/>
      <c r="V4" s="595"/>
      <c r="W4" s="566"/>
      <c r="X4" s="571"/>
      <c r="Y4" s="584"/>
      <c r="Z4" s="578"/>
      <c r="AA4" s="588"/>
      <c r="AB4" s="586"/>
      <c r="AC4" s="588"/>
      <c r="AD4" s="590"/>
      <c r="AE4" s="592"/>
    </row>
    <row r="5" spans="1:31">
      <c r="A5" s="435">
        <f>'SQ-1'!A5</f>
        <v>43952</v>
      </c>
      <c r="B5" s="518"/>
      <c r="C5" s="464">
        <f t="shared" ref="C5:C35" si="0">B5-(D5/60)</f>
        <v>0</v>
      </c>
      <c r="D5" s="5"/>
      <c r="E5" s="3"/>
      <c r="F5" s="434"/>
      <c r="G5" s="5"/>
      <c r="H5" s="6" t="e">
        <f t="shared" ref="H5:H35" si="1">G5/B5</f>
        <v>#DIV/0!</v>
      </c>
      <c r="I5" s="518"/>
      <c r="J5" s="464">
        <f t="shared" ref="J5:J35" si="2">I5-(K5/60)</f>
        <v>0</v>
      </c>
      <c r="K5" s="3"/>
      <c r="L5" s="3"/>
      <c r="M5" s="3"/>
      <c r="N5" s="5"/>
      <c r="O5" s="6" t="e">
        <f t="shared" ref="O5:O35" si="3">N5/I5</f>
        <v>#DIV/0!</v>
      </c>
      <c r="P5" s="518"/>
      <c r="Q5" s="464">
        <f t="shared" ref="Q5:Q35" si="4">P5-(R5/60)</f>
        <v>0</v>
      </c>
      <c r="R5" s="3"/>
      <c r="S5" s="3"/>
      <c r="T5" s="3"/>
      <c r="U5" s="5"/>
      <c r="V5" s="6" t="e">
        <f t="shared" ref="V5:V24" si="5">U5/P5</f>
        <v>#DIV/0!</v>
      </c>
      <c r="W5" s="499">
        <f t="shared" ref="W5:AB5" si="6">B5+I5+P5</f>
        <v>0</v>
      </c>
      <c r="X5" s="474">
        <f t="shared" si="6"/>
        <v>0</v>
      </c>
      <c r="Y5" s="477">
        <f t="shared" si="6"/>
        <v>0</v>
      </c>
      <c r="Z5" s="478">
        <f t="shared" si="6"/>
        <v>0</v>
      </c>
      <c r="AA5" s="500">
        <f t="shared" si="6"/>
        <v>0</v>
      </c>
      <c r="AB5" s="500">
        <f t="shared" si="6"/>
        <v>0</v>
      </c>
      <c r="AC5" s="501" t="e">
        <f>AB5/W5</f>
        <v>#DIV/0!</v>
      </c>
      <c r="AD5" s="474" t="e">
        <f>(AA5/1000)/W5</f>
        <v>#DIV/0!</v>
      </c>
      <c r="AE5" s="475" t="e">
        <f>AA5/Z5</f>
        <v>#DIV/0!</v>
      </c>
    </row>
    <row r="6" spans="1:31">
      <c r="A6" s="435">
        <f>'SQ-1'!A6</f>
        <v>43953</v>
      </c>
      <c r="B6" s="518"/>
      <c r="C6" s="464">
        <f t="shared" si="0"/>
        <v>0</v>
      </c>
      <c r="D6" s="5"/>
      <c r="E6" s="3"/>
      <c r="F6" s="434"/>
      <c r="G6" s="5"/>
      <c r="H6" s="6" t="e">
        <f t="shared" si="1"/>
        <v>#DIV/0!</v>
      </c>
      <c r="I6" s="518"/>
      <c r="J6" s="464">
        <f t="shared" si="2"/>
        <v>0</v>
      </c>
      <c r="K6" s="5"/>
      <c r="L6" s="3"/>
      <c r="M6" s="434"/>
      <c r="N6" s="5"/>
      <c r="O6" s="6" t="e">
        <f t="shared" si="3"/>
        <v>#DIV/0!</v>
      </c>
      <c r="P6" s="518"/>
      <c r="Q6" s="464">
        <f t="shared" si="4"/>
        <v>0</v>
      </c>
      <c r="R6" s="3"/>
      <c r="S6" s="3"/>
      <c r="T6" s="3"/>
      <c r="U6" s="5"/>
      <c r="V6" s="6" t="e">
        <f t="shared" si="5"/>
        <v>#DIV/0!</v>
      </c>
      <c r="W6" s="499">
        <f t="shared" ref="W6:W35" si="7">B6+I6+P6</f>
        <v>0</v>
      </c>
      <c r="X6" s="474">
        <f t="shared" ref="X6:X35" si="8">C6+J6+Q6</f>
        <v>0</v>
      </c>
      <c r="Y6" s="477">
        <f t="shared" ref="Y6:Y35" si="9">D6+K6+R6</f>
        <v>0</v>
      </c>
      <c r="Z6" s="478">
        <f t="shared" ref="Z6:Z35" si="10">E6+L6+S6</f>
        <v>0</v>
      </c>
      <c r="AA6" s="500">
        <f t="shared" ref="AA6:AA35" si="11">F6+M6+T6</f>
        <v>0</v>
      </c>
      <c r="AB6" s="500">
        <f t="shared" ref="AB6:AB35" si="12">G6+N6+U6</f>
        <v>0</v>
      </c>
      <c r="AC6" s="501" t="e">
        <f t="shared" ref="AC6:AC35" si="13">AB6/W6</f>
        <v>#DIV/0!</v>
      </c>
      <c r="AD6" s="474" t="e">
        <f t="shared" ref="AD6:AD35" si="14">(AA6/1000)/W6</f>
        <v>#DIV/0!</v>
      </c>
      <c r="AE6" s="475" t="e">
        <f t="shared" ref="AE6:AE35" si="15">AA6/Z6</f>
        <v>#DIV/0!</v>
      </c>
    </row>
    <row r="7" spans="1:31">
      <c r="A7" s="435">
        <f>'SQ-1'!A7</f>
        <v>43954</v>
      </c>
      <c r="B7" s="518"/>
      <c r="C7" s="464">
        <f t="shared" si="0"/>
        <v>0</v>
      </c>
      <c r="D7" s="5"/>
      <c r="E7" s="3"/>
      <c r="F7" s="434"/>
      <c r="G7" s="5"/>
      <c r="H7" s="6" t="e">
        <f t="shared" si="1"/>
        <v>#DIV/0!</v>
      </c>
      <c r="I7" s="518"/>
      <c r="J7" s="464">
        <f t="shared" si="2"/>
        <v>0</v>
      </c>
      <c r="K7" s="5"/>
      <c r="L7" s="3"/>
      <c r="M7" s="434"/>
      <c r="N7" s="5"/>
      <c r="O7" s="6" t="e">
        <f t="shared" si="3"/>
        <v>#DIV/0!</v>
      </c>
      <c r="P7" s="518"/>
      <c r="Q7" s="464">
        <f t="shared" si="4"/>
        <v>0</v>
      </c>
      <c r="R7" s="3"/>
      <c r="S7" s="3"/>
      <c r="T7" s="3"/>
      <c r="U7" s="5"/>
      <c r="V7" s="6" t="e">
        <f t="shared" si="5"/>
        <v>#DIV/0!</v>
      </c>
      <c r="W7" s="499">
        <f t="shared" si="7"/>
        <v>0</v>
      </c>
      <c r="X7" s="474">
        <f t="shared" si="8"/>
        <v>0</v>
      </c>
      <c r="Y7" s="477">
        <f t="shared" si="9"/>
        <v>0</v>
      </c>
      <c r="Z7" s="478">
        <f t="shared" si="10"/>
        <v>0</v>
      </c>
      <c r="AA7" s="500">
        <f t="shared" si="11"/>
        <v>0</v>
      </c>
      <c r="AB7" s="500">
        <f t="shared" si="12"/>
        <v>0</v>
      </c>
      <c r="AC7" s="501" t="e">
        <f t="shared" si="13"/>
        <v>#DIV/0!</v>
      </c>
      <c r="AD7" s="474" t="e">
        <f t="shared" si="14"/>
        <v>#DIV/0!</v>
      </c>
      <c r="AE7" s="475" t="e">
        <f t="shared" si="15"/>
        <v>#DIV/0!</v>
      </c>
    </row>
    <row r="8" spans="1:31">
      <c r="A8" s="435">
        <f>'SQ-1'!A8</f>
        <v>43955</v>
      </c>
      <c r="B8" s="518"/>
      <c r="C8" s="464">
        <f t="shared" si="0"/>
        <v>0</v>
      </c>
      <c r="D8" s="5"/>
      <c r="E8" s="3"/>
      <c r="F8" s="434"/>
      <c r="G8" s="5"/>
      <c r="H8" s="6" t="e">
        <f t="shared" si="1"/>
        <v>#DIV/0!</v>
      </c>
      <c r="I8" s="518"/>
      <c r="J8" s="464">
        <f t="shared" si="2"/>
        <v>0</v>
      </c>
      <c r="K8" s="3"/>
      <c r="L8" s="3"/>
      <c r="M8" s="3"/>
      <c r="N8" s="5"/>
      <c r="O8" s="6" t="e">
        <f t="shared" si="3"/>
        <v>#DIV/0!</v>
      </c>
      <c r="P8" s="518"/>
      <c r="Q8" s="464">
        <f t="shared" si="4"/>
        <v>0</v>
      </c>
      <c r="R8" s="3"/>
      <c r="S8" s="3"/>
      <c r="T8" s="3"/>
      <c r="U8" s="5"/>
      <c r="V8" s="6" t="e">
        <f t="shared" si="5"/>
        <v>#DIV/0!</v>
      </c>
      <c r="W8" s="499">
        <f t="shared" si="7"/>
        <v>0</v>
      </c>
      <c r="X8" s="474">
        <f t="shared" si="8"/>
        <v>0</v>
      </c>
      <c r="Y8" s="477">
        <f t="shared" si="9"/>
        <v>0</v>
      </c>
      <c r="Z8" s="478">
        <f t="shared" si="10"/>
        <v>0</v>
      </c>
      <c r="AA8" s="500">
        <f t="shared" si="11"/>
        <v>0</v>
      </c>
      <c r="AB8" s="500">
        <f t="shared" si="12"/>
        <v>0</v>
      </c>
      <c r="AC8" s="501" t="e">
        <f t="shared" si="13"/>
        <v>#DIV/0!</v>
      </c>
      <c r="AD8" s="474" t="e">
        <f t="shared" si="14"/>
        <v>#DIV/0!</v>
      </c>
      <c r="AE8" s="475" t="e">
        <f t="shared" si="15"/>
        <v>#DIV/0!</v>
      </c>
    </row>
    <row r="9" spans="1:31">
      <c r="A9" s="435">
        <f>'SQ-1'!A9</f>
        <v>43956</v>
      </c>
      <c r="B9" s="518"/>
      <c r="C9" s="464">
        <f t="shared" si="0"/>
        <v>0</v>
      </c>
      <c r="D9" s="5"/>
      <c r="E9" s="3"/>
      <c r="F9" s="434"/>
      <c r="G9" s="5"/>
      <c r="H9" s="6" t="e">
        <f t="shared" si="1"/>
        <v>#DIV/0!</v>
      </c>
      <c r="I9" s="518"/>
      <c r="J9" s="464">
        <f t="shared" si="2"/>
        <v>0</v>
      </c>
      <c r="K9" s="3"/>
      <c r="L9" s="3"/>
      <c r="M9" s="3"/>
      <c r="N9" s="5"/>
      <c r="O9" s="6" t="e">
        <f t="shared" si="3"/>
        <v>#DIV/0!</v>
      </c>
      <c r="P9" s="518"/>
      <c r="Q9" s="464">
        <f t="shared" si="4"/>
        <v>0</v>
      </c>
      <c r="R9" s="3"/>
      <c r="S9" s="3"/>
      <c r="T9" s="3"/>
      <c r="U9" s="5"/>
      <c r="V9" s="6" t="e">
        <f t="shared" si="5"/>
        <v>#DIV/0!</v>
      </c>
      <c r="W9" s="499">
        <f t="shared" si="7"/>
        <v>0</v>
      </c>
      <c r="X9" s="474">
        <f t="shared" si="8"/>
        <v>0</v>
      </c>
      <c r="Y9" s="477">
        <f t="shared" si="9"/>
        <v>0</v>
      </c>
      <c r="Z9" s="478">
        <f t="shared" si="10"/>
        <v>0</v>
      </c>
      <c r="AA9" s="500">
        <f t="shared" si="11"/>
        <v>0</v>
      </c>
      <c r="AB9" s="500">
        <f t="shared" si="12"/>
        <v>0</v>
      </c>
      <c r="AC9" s="501" t="e">
        <f t="shared" si="13"/>
        <v>#DIV/0!</v>
      </c>
      <c r="AD9" s="474" t="e">
        <f t="shared" si="14"/>
        <v>#DIV/0!</v>
      </c>
      <c r="AE9" s="475" t="e">
        <f t="shared" si="15"/>
        <v>#DIV/0!</v>
      </c>
    </row>
    <row r="10" spans="1:31">
      <c r="A10" s="435">
        <f>'SQ-1'!A10</f>
        <v>43957</v>
      </c>
      <c r="B10" s="518"/>
      <c r="C10" s="464">
        <f t="shared" si="0"/>
        <v>0</v>
      </c>
      <c r="D10" s="5"/>
      <c r="E10" s="3"/>
      <c r="F10" s="434"/>
      <c r="G10" s="5"/>
      <c r="H10" s="6" t="e">
        <f t="shared" si="1"/>
        <v>#DIV/0!</v>
      </c>
      <c r="I10" s="518"/>
      <c r="J10" s="464">
        <f t="shared" si="2"/>
        <v>0</v>
      </c>
      <c r="K10" s="3"/>
      <c r="L10" s="3"/>
      <c r="M10" s="3"/>
      <c r="N10" s="5"/>
      <c r="O10" s="6" t="e">
        <f t="shared" si="3"/>
        <v>#DIV/0!</v>
      </c>
      <c r="P10" s="518"/>
      <c r="Q10" s="464">
        <f t="shared" si="4"/>
        <v>0</v>
      </c>
      <c r="R10" s="3"/>
      <c r="S10" s="3"/>
      <c r="T10" s="3"/>
      <c r="U10" s="5"/>
      <c r="V10" s="6" t="e">
        <f t="shared" si="5"/>
        <v>#DIV/0!</v>
      </c>
      <c r="W10" s="499">
        <f t="shared" si="7"/>
        <v>0</v>
      </c>
      <c r="X10" s="474">
        <f t="shared" si="8"/>
        <v>0</v>
      </c>
      <c r="Y10" s="477">
        <f t="shared" si="9"/>
        <v>0</v>
      </c>
      <c r="Z10" s="478">
        <f t="shared" si="10"/>
        <v>0</v>
      </c>
      <c r="AA10" s="500">
        <f t="shared" si="11"/>
        <v>0</v>
      </c>
      <c r="AB10" s="500">
        <f t="shared" si="12"/>
        <v>0</v>
      </c>
      <c r="AC10" s="501" t="e">
        <f t="shared" si="13"/>
        <v>#DIV/0!</v>
      </c>
      <c r="AD10" s="474" t="e">
        <f t="shared" si="14"/>
        <v>#DIV/0!</v>
      </c>
      <c r="AE10" s="475" t="e">
        <f t="shared" si="15"/>
        <v>#DIV/0!</v>
      </c>
    </row>
    <row r="11" spans="1:31">
      <c r="A11" s="435">
        <f>'SQ-1'!A11</f>
        <v>43958</v>
      </c>
      <c r="B11" s="518"/>
      <c r="C11" s="464">
        <f t="shared" si="0"/>
        <v>0</v>
      </c>
      <c r="D11" s="5"/>
      <c r="E11" s="3"/>
      <c r="F11" s="434"/>
      <c r="G11" s="5"/>
      <c r="H11" s="6" t="e">
        <f t="shared" si="1"/>
        <v>#DIV/0!</v>
      </c>
      <c r="I11" s="518"/>
      <c r="J11" s="464">
        <f t="shared" si="2"/>
        <v>0</v>
      </c>
      <c r="K11" s="3"/>
      <c r="L11" s="3"/>
      <c r="M11" s="3"/>
      <c r="N11" s="5"/>
      <c r="O11" s="6" t="e">
        <f t="shared" si="3"/>
        <v>#DIV/0!</v>
      </c>
      <c r="P11" s="518"/>
      <c r="Q11" s="464">
        <f t="shared" si="4"/>
        <v>0</v>
      </c>
      <c r="R11" s="3"/>
      <c r="S11" s="3"/>
      <c r="T11" s="3"/>
      <c r="U11" s="5"/>
      <c r="V11" s="6" t="e">
        <f t="shared" si="5"/>
        <v>#DIV/0!</v>
      </c>
      <c r="W11" s="499">
        <f t="shared" si="7"/>
        <v>0</v>
      </c>
      <c r="X11" s="474">
        <f t="shared" si="8"/>
        <v>0</v>
      </c>
      <c r="Y11" s="477">
        <f t="shared" si="9"/>
        <v>0</v>
      </c>
      <c r="Z11" s="478">
        <f t="shared" si="10"/>
        <v>0</v>
      </c>
      <c r="AA11" s="500">
        <f t="shared" si="11"/>
        <v>0</v>
      </c>
      <c r="AB11" s="500">
        <f t="shared" si="12"/>
        <v>0</v>
      </c>
      <c r="AC11" s="501" t="e">
        <f t="shared" si="13"/>
        <v>#DIV/0!</v>
      </c>
      <c r="AD11" s="474" t="e">
        <f t="shared" si="14"/>
        <v>#DIV/0!</v>
      </c>
      <c r="AE11" s="475" t="e">
        <f t="shared" si="15"/>
        <v>#DIV/0!</v>
      </c>
    </row>
    <row r="12" spans="1:31">
      <c r="A12" s="435">
        <f>'SQ-1'!A12</f>
        <v>43959</v>
      </c>
      <c r="B12" s="518"/>
      <c r="C12" s="464">
        <f t="shared" si="0"/>
        <v>0</v>
      </c>
      <c r="D12" s="5"/>
      <c r="E12" s="3"/>
      <c r="F12" s="434"/>
      <c r="G12" s="5"/>
      <c r="H12" s="6" t="e">
        <f t="shared" si="1"/>
        <v>#DIV/0!</v>
      </c>
      <c r="I12" s="518"/>
      <c r="J12" s="464">
        <f t="shared" si="2"/>
        <v>0</v>
      </c>
      <c r="K12" s="3"/>
      <c r="L12" s="3"/>
      <c r="M12" s="3"/>
      <c r="N12" s="5"/>
      <c r="O12" s="6" t="e">
        <f t="shared" si="3"/>
        <v>#DIV/0!</v>
      </c>
      <c r="P12" s="518"/>
      <c r="Q12" s="464">
        <f t="shared" si="4"/>
        <v>0</v>
      </c>
      <c r="R12" s="3"/>
      <c r="S12" s="3"/>
      <c r="T12" s="3"/>
      <c r="U12" s="5"/>
      <c r="V12" s="6" t="e">
        <f t="shared" si="5"/>
        <v>#DIV/0!</v>
      </c>
      <c r="W12" s="499">
        <f t="shared" si="7"/>
        <v>0</v>
      </c>
      <c r="X12" s="474">
        <f t="shared" si="8"/>
        <v>0</v>
      </c>
      <c r="Y12" s="477">
        <f t="shared" si="9"/>
        <v>0</v>
      </c>
      <c r="Z12" s="478">
        <f t="shared" si="10"/>
        <v>0</v>
      </c>
      <c r="AA12" s="500">
        <f t="shared" si="11"/>
        <v>0</v>
      </c>
      <c r="AB12" s="500">
        <f t="shared" si="12"/>
        <v>0</v>
      </c>
      <c r="AC12" s="501" t="e">
        <f t="shared" si="13"/>
        <v>#DIV/0!</v>
      </c>
      <c r="AD12" s="474" t="e">
        <f t="shared" si="14"/>
        <v>#DIV/0!</v>
      </c>
      <c r="AE12" s="475" t="e">
        <f t="shared" si="15"/>
        <v>#DIV/0!</v>
      </c>
    </row>
    <row r="13" spans="1:31">
      <c r="A13" s="435">
        <f>'SQ-1'!A13</f>
        <v>43960</v>
      </c>
      <c r="B13" s="518"/>
      <c r="C13" s="464">
        <f t="shared" si="0"/>
        <v>0</v>
      </c>
      <c r="D13" s="5"/>
      <c r="E13" s="3"/>
      <c r="F13" s="434"/>
      <c r="G13" s="5"/>
      <c r="H13" s="6" t="e">
        <f t="shared" si="1"/>
        <v>#DIV/0!</v>
      </c>
      <c r="I13" s="518"/>
      <c r="J13" s="464">
        <f t="shared" si="2"/>
        <v>0</v>
      </c>
      <c r="K13" s="3"/>
      <c r="L13" s="3"/>
      <c r="M13" s="3"/>
      <c r="N13" s="5"/>
      <c r="O13" s="6" t="e">
        <f t="shared" si="3"/>
        <v>#DIV/0!</v>
      </c>
      <c r="P13" s="518"/>
      <c r="Q13" s="464">
        <f t="shared" si="4"/>
        <v>0</v>
      </c>
      <c r="R13" s="3"/>
      <c r="S13" s="3"/>
      <c r="T13" s="3"/>
      <c r="U13" s="5"/>
      <c r="V13" s="6" t="e">
        <f t="shared" si="5"/>
        <v>#DIV/0!</v>
      </c>
      <c r="W13" s="499">
        <f t="shared" si="7"/>
        <v>0</v>
      </c>
      <c r="X13" s="474">
        <f t="shared" si="8"/>
        <v>0</v>
      </c>
      <c r="Y13" s="477">
        <f t="shared" si="9"/>
        <v>0</v>
      </c>
      <c r="Z13" s="478">
        <f t="shared" si="10"/>
        <v>0</v>
      </c>
      <c r="AA13" s="500">
        <f t="shared" si="11"/>
        <v>0</v>
      </c>
      <c r="AB13" s="500">
        <f t="shared" si="12"/>
        <v>0</v>
      </c>
      <c r="AC13" s="501" t="e">
        <f t="shared" si="13"/>
        <v>#DIV/0!</v>
      </c>
      <c r="AD13" s="474" t="e">
        <f t="shared" si="14"/>
        <v>#DIV/0!</v>
      </c>
      <c r="AE13" s="475" t="e">
        <f t="shared" si="15"/>
        <v>#DIV/0!</v>
      </c>
    </row>
    <row r="14" spans="1:31">
      <c r="A14" s="435">
        <f>'SQ-1'!A14</f>
        <v>43961</v>
      </c>
      <c r="B14" s="518"/>
      <c r="C14" s="464">
        <f t="shared" si="0"/>
        <v>0</v>
      </c>
      <c r="D14" s="5"/>
      <c r="E14" s="3"/>
      <c r="F14" s="434"/>
      <c r="G14" s="5"/>
      <c r="H14" s="6" t="e">
        <f t="shared" si="1"/>
        <v>#DIV/0!</v>
      </c>
      <c r="I14" s="518"/>
      <c r="J14" s="464">
        <f t="shared" si="2"/>
        <v>0</v>
      </c>
      <c r="K14" s="3"/>
      <c r="L14" s="3"/>
      <c r="M14" s="3"/>
      <c r="N14" s="5"/>
      <c r="O14" s="6" t="e">
        <f t="shared" si="3"/>
        <v>#DIV/0!</v>
      </c>
      <c r="P14" s="518"/>
      <c r="Q14" s="464">
        <f t="shared" si="4"/>
        <v>0</v>
      </c>
      <c r="R14" s="3"/>
      <c r="S14" s="3"/>
      <c r="T14" s="3"/>
      <c r="U14" s="5"/>
      <c r="V14" s="6" t="e">
        <f t="shared" si="5"/>
        <v>#DIV/0!</v>
      </c>
      <c r="W14" s="499">
        <f t="shared" si="7"/>
        <v>0</v>
      </c>
      <c r="X14" s="474">
        <f t="shared" si="8"/>
        <v>0</v>
      </c>
      <c r="Y14" s="477">
        <f t="shared" si="9"/>
        <v>0</v>
      </c>
      <c r="Z14" s="478">
        <f t="shared" si="10"/>
        <v>0</v>
      </c>
      <c r="AA14" s="500">
        <f t="shared" si="11"/>
        <v>0</v>
      </c>
      <c r="AB14" s="500">
        <f t="shared" si="12"/>
        <v>0</v>
      </c>
      <c r="AC14" s="501" t="e">
        <f t="shared" si="13"/>
        <v>#DIV/0!</v>
      </c>
      <c r="AD14" s="474" t="e">
        <f t="shared" si="14"/>
        <v>#DIV/0!</v>
      </c>
      <c r="AE14" s="475" t="e">
        <f t="shared" si="15"/>
        <v>#DIV/0!</v>
      </c>
    </row>
    <row r="15" spans="1:31">
      <c r="A15" s="435">
        <f>'SQ-1'!A15</f>
        <v>43962</v>
      </c>
      <c r="B15" s="518"/>
      <c r="C15" s="464">
        <f t="shared" si="0"/>
        <v>0</v>
      </c>
      <c r="D15" s="5"/>
      <c r="E15" s="3"/>
      <c r="F15" s="434"/>
      <c r="G15" s="5"/>
      <c r="H15" s="6" t="e">
        <f t="shared" si="1"/>
        <v>#DIV/0!</v>
      </c>
      <c r="I15" s="518"/>
      <c r="J15" s="464">
        <f t="shared" si="2"/>
        <v>0</v>
      </c>
      <c r="K15" s="3"/>
      <c r="L15" s="3"/>
      <c r="M15" s="3"/>
      <c r="N15" s="5"/>
      <c r="O15" s="6" t="e">
        <f t="shared" si="3"/>
        <v>#DIV/0!</v>
      </c>
      <c r="P15" s="518"/>
      <c r="Q15" s="464">
        <f t="shared" si="4"/>
        <v>0</v>
      </c>
      <c r="R15" s="3"/>
      <c r="S15" s="3"/>
      <c r="T15" s="3"/>
      <c r="U15" s="5"/>
      <c r="V15" s="6" t="e">
        <f t="shared" si="5"/>
        <v>#DIV/0!</v>
      </c>
      <c r="W15" s="499">
        <f t="shared" si="7"/>
        <v>0</v>
      </c>
      <c r="X15" s="474">
        <f t="shared" si="8"/>
        <v>0</v>
      </c>
      <c r="Y15" s="477">
        <f t="shared" si="9"/>
        <v>0</v>
      </c>
      <c r="Z15" s="478">
        <f t="shared" si="10"/>
        <v>0</v>
      </c>
      <c r="AA15" s="500">
        <f t="shared" si="11"/>
        <v>0</v>
      </c>
      <c r="AB15" s="500">
        <f t="shared" si="12"/>
        <v>0</v>
      </c>
      <c r="AC15" s="501" t="e">
        <f t="shared" si="13"/>
        <v>#DIV/0!</v>
      </c>
      <c r="AD15" s="474" t="e">
        <f t="shared" si="14"/>
        <v>#DIV/0!</v>
      </c>
      <c r="AE15" s="475" t="e">
        <f t="shared" si="15"/>
        <v>#DIV/0!</v>
      </c>
    </row>
    <row r="16" spans="1:31">
      <c r="A16" s="435">
        <f>'SQ-1'!A16</f>
        <v>43963</v>
      </c>
      <c r="B16" s="518"/>
      <c r="C16" s="464">
        <f t="shared" si="0"/>
        <v>0</v>
      </c>
      <c r="D16" s="5"/>
      <c r="E16" s="3"/>
      <c r="F16" s="434"/>
      <c r="G16" s="5"/>
      <c r="H16" s="6" t="e">
        <f t="shared" si="1"/>
        <v>#DIV/0!</v>
      </c>
      <c r="I16" s="518"/>
      <c r="J16" s="464">
        <f t="shared" si="2"/>
        <v>0</v>
      </c>
      <c r="K16" s="3"/>
      <c r="L16" s="3"/>
      <c r="M16" s="3"/>
      <c r="N16" s="5"/>
      <c r="O16" s="6" t="e">
        <f t="shared" si="3"/>
        <v>#DIV/0!</v>
      </c>
      <c r="P16" s="518"/>
      <c r="Q16" s="464">
        <f t="shared" si="4"/>
        <v>0</v>
      </c>
      <c r="R16" s="3"/>
      <c r="S16" s="3"/>
      <c r="T16" s="3"/>
      <c r="U16" s="5"/>
      <c r="V16" s="6" t="e">
        <f t="shared" si="5"/>
        <v>#DIV/0!</v>
      </c>
      <c r="W16" s="499">
        <f t="shared" si="7"/>
        <v>0</v>
      </c>
      <c r="X16" s="474">
        <f t="shared" si="8"/>
        <v>0</v>
      </c>
      <c r="Y16" s="477">
        <f t="shared" si="9"/>
        <v>0</v>
      </c>
      <c r="Z16" s="478">
        <f t="shared" si="10"/>
        <v>0</v>
      </c>
      <c r="AA16" s="500">
        <f t="shared" si="11"/>
        <v>0</v>
      </c>
      <c r="AB16" s="500">
        <f t="shared" si="12"/>
        <v>0</v>
      </c>
      <c r="AC16" s="501" t="e">
        <f t="shared" si="13"/>
        <v>#DIV/0!</v>
      </c>
      <c r="AD16" s="474" t="e">
        <f t="shared" si="14"/>
        <v>#DIV/0!</v>
      </c>
      <c r="AE16" s="475" t="e">
        <f t="shared" si="15"/>
        <v>#DIV/0!</v>
      </c>
    </row>
    <row r="17" spans="1:31">
      <c r="A17" s="435">
        <f>'SQ-1'!A17</f>
        <v>43964</v>
      </c>
      <c r="B17" s="518"/>
      <c r="C17" s="464">
        <f t="shared" si="0"/>
        <v>0</v>
      </c>
      <c r="D17" s="5"/>
      <c r="E17" s="3"/>
      <c r="F17" s="434"/>
      <c r="G17" s="5"/>
      <c r="H17" s="6" t="e">
        <f t="shared" si="1"/>
        <v>#DIV/0!</v>
      </c>
      <c r="I17" s="518"/>
      <c r="J17" s="464">
        <f t="shared" si="2"/>
        <v>0</v>
      </c>
      <c r="K17" s="3"/>
      <c r="L17" s="3"/>
      <c r="M17" s="3"/>
      <c r="N17" s="5"/>
      <c r="O17" s="6" t="e">
        <f t="shared" si="3"/>
        <v>#DIV/0!</v>
      </c>
      <c r="P17" s="518"/>
      <c r="Q17" s="464">
        <f t="shared" si="4"/>
        <v>0</v>
      </c>
      <c r="R17" s="3"/>
      <c r="S17" s="3"/>
      <c r="T17" s="3"/>
      <c r="U17" s="5"/>
      <c r="V17" s="6" t="e">
        <f t="shared" si="5"/>
        <v>#DIV/0!</v>
      </c>
      <c r="W17" s="499">
        <f t="shared" si="7"/>
        <v>0</v>
      </c>
      <c r="X17" s="474">
        <f t="shared" si="8"/>
        <v>0</v>
      </c>
      <c r="Y17" s="477">
        <f t="shared" si="9"/>
        <v>0</v>
      </c>
      <c r="Z17" s="478">
        <f t="shared" si="10"/>
        <v>0</v>
      </c>
      <c r="AA17" s="500">
        <f t="shared" si="11"/>
        <v>0</v>
      </c>
      <c r="AB17" s="500">
        <f t="shared" si="12"/>
        <v>0</v>
      </c>
      <c r="AC17" s="501" t="e">
        <f t="shared" si="13"/>
        <v>#DIV/0!</v>
      </c>
      <c r="AD17" s="474" t="e">
        <f t="shared" si="14"/>
        <v>#DIV/0!</v>
      </c>
      <c r="AE17" s="475" t="e">
        <f t="shared" si="15"/>
        <v>#DIV/0!</v>
      </c>
    </row>
    <row r="18" spans="1:31">
      <c r="A18" s="435">
        <f>'SQ-1'!A18</f>
        <v>43965</v>
      </c>
      <c r="B18" s="518"/>
      <c r="C18" s="464">
        <f t="shared" si="0"/>
        <v>0</v>
      </c>
      <c r="D18" s="5"/>
      <c r="E18" s="3"/>
      <c r="F18" s="434"/>
      <c r="G18" s="5"/>
      <c r="H18" s="6" t="e">
        <f t="shared" si="1"/>
        <v>#DIV/0!</v>
      </c>
      <c r="I18" s="518"/>
      <c r="J18" s="464">
        <f t="shared" si="2"/>
        <v>0</v>
      </c>
      <c r="K18" s="3"/>
      <c r="L18" s="3"/>
      <c r="M18" s="3"/>
      <c r="N18" s="5"/>
      <c r="O18" s="6" t="e">
        <f t="shared" si="3"/>
        <v>#DIV/0!</v>
      </c>
      <c r="P18" s="518"/>
      <c r="Q18" s="464">
        <f t="shared" si="4"/>
        <v>0</v>
      </c>
      <c r="R18" s="3"/>
      <c r="S18" s="3"/>
      <c r="T18" s="3"/>
      <c r="U18" s="5"/>
      <c r="V18" s="6" t="e">
        <f t="shared" si="5"/>
        <v>#DIV/0!</v>
      </c>
      <c r="W18" s="499">
        <f t="shared" si="7"/>
        <v>0</v>
      </c>
      <c r="X18" s="474">
        <f t="shared" si="8"/>
        <v>0</v>
      </c>
      <c r="Y18" s="477">
        <f t="shared" si="9"/>
        <v>0</v>
      </c>
      <c r="Z18" s="478">
        <f t="shared" si="10"/>
        <v>0</v>
      </c>
      <c r="AA18" s="500">
        <f t="shared" si="11"/>
        <v>0</v>
      </c>
      <c r="AB18" s="500">
        <f t="shared" si="12"/>
        <v>0</v>
      </c>
      <c r="AC18" s="501" t="e">
        <f t="shared" si="13"/>
        <v>#DIV/0!</v>
      </c>
      <c r="AD18" s="474" t="e">
        <f t="shared" si="14"/>
        <v>#DIV/0!</v>
      </c>
      <c r="AE18" s="475" t="e">
        <f t="shared" si="15"/>
        <v>#DIV/0!</v>
      </c>
    </row>
    <row r="19" spans="1:31">
      <c r="A19" s="435">
        <f>'SQ-1'!A19</f>
        <v>43966</v>
      </c>
      <c r="B19" s="518"/>
      <c r="C19" s="464">
        <f t="shared" si="0"/>
        <v>0</v>
      </c>
      <c r="D19" s="5"/>
      <c r="E19" s="3"/>
      <c r="F19" s="434"/>
      <c r="G19" s="5"/>
      <c r="H19" s="6" t="e">
        <f t="shared" si="1"/>
        <v>#DIV/0!</v>
      </c>
      <c r="I19" s="518"/>
      <c r="J19" s="464">
        <f t="shared" si="2"/>
        <v>0</v>
      </c>
      <c r="K19" s="3"/>
      <c r="L19" s="3"/>
      <c r="M19" s="3"/>
      <c r="N19" s="5"/>
      <c r="O19" s="6" t="e">
        <f t="shared" si="3"/>
        <v>#DIV/0!</v>
      </c>
      <c r="P19" s="518"/>
      <c r="Q19" s="464">
        <f t="shared" si="4"/>
        <v>0</v>
      </c>
      <c r="R19" s="3"/>
      <c r="S19" s="3"/>
      <c r="T19" s="3"/>
      <c r="U19" s="5"/>
      <c r="V19" s="6" t="e">
        <f t="shared" si="5"/>
        <v>#DIV/0!</v>
      </c>
      <c r="W19" s="499">
        <f t="shared" si="7"/>
        <v>0</v>
      </c>
      <c r="X19" s="474">
        <f t="shared" si="8"/>
        <v>0</v>
      </c>
      <c r="Y19" s="477">
        <f t="shared" si="9"/>
        <v>0</v>
      </c>
      <c r="Z19" s="478">
        <f t="shared" si="10"/>
        <v>0</v>
      </c>
      <c r="AA19" s="500">
        <f t="shared" si="11"/>
        <v>0</v>
      </c>
      <c r="AB19" s="500">
        <f t="shared" si="12"/>
        <v>0</v>
      </c>
      <c r="AC19" s="501" t="e">
        <f t="shared" si="13"/>
        <v>#DIV/0!</v>
      </c>
      <c r="AD19" s="474" t="e">
        <f t="shared" si="14"/>
        <v>#DIV/0!</v>
      </c>
      <c r="AE19" s="475" t="e">
        <f t="shared" si="15"/>
        <v>#DIV/0!</v>
      </c>
    </row>
    <row r="20" spans="1:31">
      <c r="A20" s="435">
        <f>'SQ-1'!A20</f>
        <v>43967</v>
      </c>
      <c r="B20" s="518"/>
      <c r="C20" s="464">
        <f t="shared" si="0"/>
        <v>0</v>
      </c>
      <c r="D20" s="5"/>
      <c r="E20" s="3"/>
      <c r="F20" s="434"/>
      <c r="G20" s="5"/>
      <c r="H20" s="6" t="e">
        <f t="shared" si="1"/>
        <v>#DIV/0!</v>
      </c>
      <c r="I20" s="518"/>
      <c r="J20" s="464">
        <f t="shared" si="2"/>
        <v>0</v>
      </c>
      <c r="K20" s="3"/>
      <c r="L20" s="3"/>
      <c r="M20" s="3"/>
      <c r="N20" s="5"/>
      <c r="O20" s="6" t="e">
        <f t="shared" si="3"/>
        <v>#DIV/0!</v>
      </c>
      <c r="P20" s="518"/>
      <c r="Q20" s="464">
        <f t="shared" si="4"/>
        <v>0</v>
      </c>
      <c r="R20" s="3"/>
      <c r="S20" s="3"/>
      <c r="T20" s="3"/>
      <c r="U20" s="5"/>
      <c r="V20" s="6" t="e">
        <f t="shared" si="5"/>
        <v>#DIV/0!</v>
      </c>
      <c r="W20" s="499">
        <f t="shared" si="7"/>
        <v>0</v>
      </c>
      <c r="X20" s="474">
        <f t="shared" si="8"/>
        <v>0</v>
      </c>
      <c r="Y20" s="477">
        <f t="shared" si="9"/>
        <v>0</v>
      </c>
      <c r="Z20" s="478">
        <f t="shared" si="10"/>
        <v>0</v>
      </c>
      <c r="AA20" s="500">
        <f t="shared" si="11"/>
        <v>0</v>
      </c>
      <c r="AB20" s="500">
        <f t="shared" si="12"/>
        <v>0</v>
      </c>
      <c r="AC20" s="501" t="e">
        <f t="shared" si="13"/>
        <v>#DIV/0!</v>
      </c>
      <c r="AD20" s="474" t="e">
        <f t="shared" si="14"/>
        <v>#DIV/0!</v>
      </c>
      <c r="AE20" s="475" t="e">
        <f t="shared" si="15"/>
        <v>#DIV/0!</v>
      </c>
    </row>
    <row r="21" spans="1:31">
      <c r="A21" s="435">
        <f>'SQ-1'!A21</f>
        <v>43968</v>
      </c>
      <c r="B21" s="518"/>
      <c r="C21" s="464">
        <f t="shared" si="0"/>
        <v>0</v>
      </c>
      <c r="D21" s="5"/>
      <c r="E21" s="3"/>
      <c r="F21" s="434"/>
      <c r="G21" s="5"/>
      <c r="H21" s="6" t="e">
        <f t="shared" si="1"/>
        <v>#DIV/0!</v>
      </c>
      <c r="I21" s="518"/>
      <c r="J21" s="464">
        <f t="shared" si="2"/>
        <v>0</v>
      </c>
      <c r="K21" s="3"/>
      <c r="L21" s="3"/>
      <c r="M21" s="3"/>
      <c r="N21" s="5"/>
      <c r="O21" s="6" t="e">
        <f t="shared" si="3"/>
        <v>#DIV/0!</v>
      </c>
      <c r="P21" s="518"/>
      <c r="Q21" s="464">
        <f t="shared" si="4"/>
        <v>0</v>
      </c>
      <c r="R21" s="3"/>
      <c r="S21" s="3"/>
      <c r="T21" s="3"/>
      <c r="U21" s="5"/>
      <c r="V21" s="6" t="e">
        <f t="shared" si="5"/>
        <v>#DIV/0!</v>
      </c>
      <c r="W21" s="499">
        <f t="shared" si="7"/>
        <v>0</v>
      </c>
      <c r="X21" s="474">
        <f t="shared" si="8"/>
        <v>0</v>
      </c>
      <c r="Y21" s="477">
        <f t="shared" si="9"/>
        <v>0</v>
      </c>
      <c r="Z21" s="478">
        <f t="shared" si="10"/>
        <v>0</v>
      </c>
      <c r="AA21" s="500">
        <f t="shared" si="11"/>
        <v>0</v>
      </c>
      <c r="AB21" s="500">
        <f t="shared" si="12"/>
        <v>0</v>
      </c>
      <c r="AC21" s="501" t="e">
        <f t="shared" si="13"/>
        <v>#DIV/0!</v>
      </c>
      <c r="AD21" s="474" t="e">
        <f t="shared" si="14"/>
        <v>#DIV/0!</v>
      </c>
      <c r="AE21" s="475" t="e">
        <f t="shared" si="15"/>
        <v>#DIV/0!</v>
      </c>
    </row>
    <row r="22" spans="1:31">
      <c r="A22" s="435">
        <f>'SQ-1'!A22</f>
        <v>43969</v>
      </c>
      <c r="B22" s="518"/>
      <c r="C22" s="464">
        <f t="shared" si="0"/>
        <v>0</v>
      </c>
      <c r="D22" s="5"/>
      <c r="E22" s="3"/>
      <c r="F22" s="434"/>
      <c r="G22" s="5"/>
      <c r="H22" s="6" t="e">
        <f t="shared" si="1"/>
        <v>#DIV/0!</v>
      </c>
      <c r="I22" s="518"/>
      <c r="J22" s="464">
        <f t="shared" si="2"/>
        <v>0</v>
      </c>
      <c r="K22" s="3"/>
      <c r="L22" s="3"/>
      <c r="M22" s="3"/>
      <c r="N22" s="5"/>
      <c r="O22" s="6" t="e">
        <f t="shared" si="3"/>
        <v>#DIV/0!</v>
      </c>
      <c r="P22" s="518"/>
      <c r="Q22" s="464">
        <f t="shared" si="4"/>
        <v>0</v>
      </c>
      <c r="R22" s="3"/>
      <c r="S22" s="3"/>
      <c r="T22" s="3"/>
      <c r="U22" s="5"/>
      <c r="V22" s="6" t="e">
        <f t="shared" si="5"/>
        <v>#DIV/0!</v>
      </c>
      <c r="W22" s="499">
        <f t="shared" si="7"/>
        <v>0</v>
      </c>
      <c r="X22" s="474">
        <f t="shared" si="8"/>
        <v>0</v>
      </c>
      <c r="Y22" s="477">
        <f>D22+K22+R22</f>
        <v>0</v>
      </c>
      <c r="Z22" s="478">
        <f t="shared" si="10"/>
        <v>0</v>
      </c>
      <c r="AA22" s="500">
        <f t="shared" si="11"/>
        <v>0</v>
      </c>
      <c r="AB22" s="500">
        <f t="shared" si="12"/>
        <v>0</v>
      </c>
      <c r="AC22" s="501" t="e">
        <f t="shared" si="13"/>
        <v>#DIV/0!</v>
      </c>
      <c r="AD22" s="474" t="e">
        <f t="shared" si="14"/>
        <v>#DIV/0!</v>
      </c>
      <c r="AE22" s="475" t="e">
        <f t="shared" si="15"/>
        <v>#DIV/0!</v>
      </c>
    </row>
    <row r="23" spans="1:31">
      <c r="A23" s="435">
        <f>'SQ-1'!A23</f>
        <v>43970</v>
      </c>
      <c r="B23" s="518"/>
      <c r="C23" s="464">
        <f t="shared" si="0"/>
        <v>0</v>
      </c>
      <c r="D23" s="5"/>
      <c r="E23" s="3"/>
      <c r="F23" s="434"/>
      <c r="G23" s="5"/>
      <c r="H23" s="6" t="e">
        <f t="shared" si="1"/>
        <v>#DIV/0!</v>
      </c>
      <c r="I23" s="518"/>
      <c r="J23" s="464">
        <f t="shared" si="2"/>
        <v>0</v>
      </c>
      <c r="K23" s="3"/>
      <c r="L23" s="3"/>
      <c r="M23" s="3"/>
      <c r="N23" s="5"/>
      <c r="O23" s="6" t="e">
        <f t="shared" si="3"/>
        <v>#DIV/0!</v>
      </c>
      <c r="P23" s="518"/>
      <c r="Q23" s="464">
        <f t="shared" si="4"/>
        <v>0</v>
      </c>
      <c r="R23" s="3"/>
      <c r="S23" s="3"/>
      <c r="T23" s="3"/>
      <c r="U23" s="5"/>
      <c r="V23" s="6" t="e">
        <f t="shared" si="5"/>
        <v>#DIV/0!</v>
      </c>
      <c r="W23" s="499">
        <f t="shared" si="7"/>
        <v>0</v>
      </c>
      <c r="X23" s="474">
        <f t="shared" si="8"/>
        <v>0</v>
      </c>
      <c r="Y23" s="477">
        <f t="shared" si="9"/>
        <v>0</v>
      </c>
      <c r="Z23" s="478">
        <f t="shared" si="10"/>
        <v>0</v>
      </c>
      <c r="AA23" s="500">
        <f>F23+M23+T23</f>
        <v>0</v>
      </c>
      <c r="AB23" s="500">
        <f t="shared" si="12"/>
        <v>0</v>
      </c>
      <c r="AC23" s="501" t="e">
        <f t="shared" si="13"/>
        <v>#DIV/0!</v>
      </c>
      <c r="AD23" s="474" t="e">
        <f t="shared" si="14"/>
        <v>#DIV/0!</v>
      </c>
      <c r="AE23" s="475" t="e">
        <f t="shared" si="15"/>
        <v>#DIV/0!</v>
      </c>
    </row>
    <row r="24" spans="1:31">
      <c r="A24" s="435">
        <f>'SQ-1'!A24</f>
        <v>43971</v>
      </c>
      <c r="B24" s="518"/>
      <c r="C24" s="464">
        <f t="shared" si="0"/>
        <v>0</v>
      </c>
      <c r="D24" s="5"/>
      <c r="E24" s="3"/>
      <c r="F24" s="434"/>
      <c r="G24" s="5"/>
      <c r="H24" s="6" t="e">
        <f t="shared" si="1"/>
        <v>#DIV/0!</v>
      </c>
      <c r="I24" s="518"/>
      <c r="J24" s="464">
        <f t="shared" si="2"/>
        <v>0</v>
      </c>
      <c r="K24" s="3"/>
      <c r="L24" s="3"/>
      <c r="M24" s="3"/>
      <c r="N24" s="5"/>
      <c r="O24" s="6" t="e">
        <f t="shared" si="3"/>
        <v>#DIV/0!</v>
      </c>
      <c r="P24" s="518"/>
      <c r="Q24" s="464">
        <f t="shared" si="4"/>
        <v>0</v>
      </c>
      <c r="R24" s="3"/>
      <c r="S24" s="3"/>
      <c r="T24" s="3"/>
      <c r="U24" s="5"/>
      <c r="V24" s="6" t="e">
        <f t="shared" si="5"/>
        <v>#DIV/0!</v>
      </c>
      <c r="W24" s="499">
        <f t="shared" si="7"/>
        <v>0</v>
      </c>
      <c r="X24" s="474">
        <f t="shared" si="8"/>
        <v>0</v>
      </c>
      <c r="Y24" s="477">
        <f t="shared" si="9"/>
        <v>0</v>
      </c>
      <c r="Z24" s="478">
        <f t="shared" si="10"/>
        <v>0</v>
      </c>
      <c r="AA24" s="500">
        <f t="shared" si="11"/>
        <v>0</v>
      </c>
      <c r="AB24" s="500">
        <f t="shared" si="12"/>
        <v>0</v>
      </c>
      <c r="AC24" s="501" t="e">
        <f t="shared" si="13"/>
        <v>#DIV/0!</v>
      </c>
      <c r="AD24" s="474" t="e">
        <f t="shared" si="14"/>
        <v>#DIV/0!</v>
      </c>
      <c r="AE24" s="475" t="e">
        <f t="shared" si="15"/>
        <v>#DIV/0!</v>
      </c>
    </row>
    <row r="25" spans="1:31">
      <c r="A25" s="435">
        <f>'SQ-1'!A25</f>
        <v>43972</v>
      </c>
      <c r="B25" s="518"/>
      <c r="C25" s="464">
        <f t="shared" si="0"/>
        <v>0</v>
      </c>
      <c r="D25" s="5"/>
      <c r="E25" s="3"/>
      <c r="F25" s="434"/>
      <c r="G25" s="5"/>
      <c r="H25" s="6" t="e">
        <f t="shared" si="1"/>
        <v>#DIV/0!</v>
      </c>
      <c r="I25" s="518"/>
      <c r="J25" s="464">
        <f t="shared" si="2"/>
        <v>0</v>
      </c>
      <c r="K25" s="3"/>
      <c r="L25" s="3"/>
      <c r="M25" s="3"/>
      <c r="N25" s="5"/>
      <c r="O25" s="6" t="e">
        <f t="shared" si="3"/>
        <v>#DIV/0!</v>
      </c>
      <c r="P25" s="518"/>
      <c r="Q25" s="464">
        <f t="shared" si="4"/>
        <v>0</v>
      </c>
      <c r="R25" s="3"/>
      <c r="S25" s="3"/>
      <c r="T25" s="3"/>
      <c r="U25" s="5"/>
      <c r="V25" s="6" t="e">
        <f t="shared" ref="V25:V35" si="16">U25/P25</f>
        <v>#DIV/0!</v>
      </c>
      <c r="W25" s="499">
        <f t="shared" si="7"/>
        <v>0</v>
      </c>
      <c r="X25" s="474">
        <f t="shared" si="8"/>
        <v>0</v>
      </c>
      <c r="Y25" s="477">
        <f t="shared" si="9"/>
        <v>0</v>
      </c>
      <c r="Z25" s="478">
        <f t="shared" si="10"/>
        <v>0</v>
      </c>
      <c r="AA25" s="500">
        <f t="shared" si="11"/>
        <v>0</v>
      </c>
      <c r="AB25" s="500">
        <f t="shared" si="12"/>
        <v>0</v>
      </c>
      <c r="AC25" s="501" t="e">
        <f t="shared" si="13"/>
        <v>#DIV/0!</v>
      </c>
      <c r="AD25" s="474" t="e">
        <f t="shared" si="14"/>
        <v>#DIV/0!</v>
      </c>
      <c r="AE25" s="475" t="e">
        <f t="shared" si="15"/>
        <v>#DIV/0!</v>
      </c>
    </row>
    <row r="26" spans="1:31">
      <c r="A26" s="435">
        <f>'SQ-1'!A26</f>
        <v>43973</v>
      </c>
      <c r="B26" s="518"/>
      <c r="C26" s="464">
        <f t="shared" si="0"/>
        <v>0</v>
      </c>
      <c r="D26" s="5"/>
      <c r="E26" s="3"/>
      <c r="F26" s="434"/>
      <c r="G26" s="5"/>
      <c r="H26" s="6" t="e">
        <f t="shared" si="1"/>
        <v>#DIV/0!</v>
      </c>
      <c r="I26" s="518"/>
      <c r="J26" s="464">
        <f t="shared" si="2"/>
        <v>0</v>
      </c>
      <c r="K26" s="3"/>
      <c r="L26" s="3"/>
      <c r="M26" s="3"/>
      <c r="N26" s="5"/>
      <c r="O26" s="6" t="e">
        <f t="shared" si="3"/>
        <v>#DIV/0!</v>
      </c>
      <c r="P26" s="518"/>
      <c r="Q26" s="464">
        <f t="shared" si="4"/>
        <v>0</v>
      </c>
      <c r="R26" s="3"/>
      <c r="S26" s="3"/>
      <c r="T26" s="3"/>
      <c r="U26" s="5"/>
      <c r="V26" s="6" t="e">
        <f t="shared" si="16"/>
        <v>#DIV/0!</v>
      </c>
      <c r="W26" s="499">
        <f t="shared" si="7"/>
        <v>0</v>
      </c>
      <c r="X26" s="474">
        <f t="shared" si="8"/>
        <v>0</v>
      </c>
      <c r="Y26" s="477">
        <f t="shared" si="9"/>
        <v>0</v>
      </c>
      <c r="Z26" s="478">
        <f t="shared" si="10"/>
        <v>0</v>
      </c>
      <c r="AA26" s="500">
        <f t="shared" si="11"/>
        <v>0</v>
      </c>
      <c r="AB26" s="500">
        <f t="shared" si="12"/>
        <v>0</v>
      </c>
      <c r="AC26" s="501" t="e">
        <f t="shared" si="13"/>
        <v>#DIV/0!</v>
      </c>
      <c r="AD26" s="474" t="e">
        <f t="shared" si="14"/>
        <v>#DIV/0!</v>
      </c>
      <c r="AE26" s="475" t="e">
        <f t="shared" si="15"/>
        <v>#DIV/0!</v>
      </c>
    </row>
    <row r="27" spans="1:31">
      <c r="A27" s="435">
        <f>'SQ-1'!A27</f>
        <v>43974</v>
      </c>
      <c r="B27" s="518"/>
      <c r="C27" s="464">
        <f t="shared" si="0"/>
        <v>0</v>
      </c>
      <c r="D27" s="5"/>
      <c r="E27" s="3"/>
      <c r="F27" s="434"/>
      <c r="G27" s="5"/>
      <c r="H27" s="6" t="e">
        <f t="shared" si="1"/>
        <v>#DIV/0!</v>
      </c>
      <c r="I27" s="518"/>
      <c r="J27" s="464">
        <f t="shared" si="2"/>
        <v>0</v>
      </c>
      <c r="K27" s="3"/>
      <c r="L27" s="3"/>
      <c r="M27" s="3"/>
      <c r="N27" s="5"/>
      <c r="O27" s="6" t="e">
        <f t="shared" si="3"/>
        <v>#DIV/0!</v>
      </c>
      <c r="P27" s="518"/>
      <c r="Q27" s="464">
        <f t="shared" si="4"/>
        <v>0</v>
      </c>
      <c r="R27" s="3"/>
      <c r="S27" s="3"/>
      <c r="T27" s="3"/>
      <c r="U27" s="5"/>
      <c r="V27" s="6" t="e">
        <f t="shared" si="16"/>
        <v>#DIV/0!</v>
      </c>
      <c r="W27" s="499">
        <f t="shared" si="7"/>
        <v>0</v>
      </c>
      <c r="X27" s="474">
        <f t="shared" si="8"/>
        <v>0</v>
      </c>
      <c r="Y27" s="477">
        <f t="shared" si="9"/>
        <v>0</v>
      </c>
      <c r="Z27" s="478">
        <f t="shared" si="10"/>
        <v>0</v>
      </c>
      <c r="AA27" s="500">
        <f t="shared" si="11"/>
        <v>0</v>
      </c>
      <c r="AB27" s="500">
        <f t="shared" si="12"/>
        <v>0</v>
      </c>
      <c r="AC27" s="501" t="e">
        <f t="shared" si="13"/>
        <v>#DIV/0!</v>
      </c>
      <c r="AD27" s="474" t="e">
        <f t="shared" si="14"/>
        <v>#DIV/0!</v>
      </c>
      <c r="AE27" s="475" t="e">
        <f t="shared" si="15"/>
        <v>#DIV/0!</v>
      </c>
    </row>
    <row r="28" spans="1:31">
      <c r="A28" s="435">
        <f>'SQ-1'!A28</f>
        <v>43975</v>
      </c>
      <c r="B28" s="518"/>
      <c r="C28" s="464">
        <f t="shared" si="0"/>
        <v>0</v>
      </c>
      <c r="D28" s="5"/>
      <c r="E28" s="3"/>
      <c r="F28" s="434"/>
      <c r="G28" s="5"/>
      <c r="H28" s="6" t="e">
        <f t="shared" si="1"/>
        <v>#DIV/0!</v>
      </c>
      <c r="I28" s="518"/>
      <c r="J28" s="464">
        <f t="shared" si="2"/>
        <v>0</v>
      </c>
      <c r="K28" s="3"/>
      <c r="L28" s="3"/>
      <c r="M28" s="3"/>
      <c r="N28" s="5"/>
      <c r="O28" s="6" t="e">
        <f t="shared" si="3"/>
        <v>#DIV/0!</v>
      </c>
      <c r="P28" s="518"/>
      <c r="Q28" s="464">
        <f t="shared" si="4"/>
        <v>0</v>
      </c>
      <c r="R28" s="3"/>
      <c r="S28" s="3"/>
      <c r="T28" s="3"/>
      <c r="U28" s="5"/>
      <c r="V28" s="6" t="e">
        <f t="shared" si="16"/>
        <v>#DIV/0!</v>
      </c>
      <c r="W28" s="499">
        <f>B28+I28+P28</f>
        <v>0</v>
      </c>
      <c r="X28" s="474">
        <f t="shared" si="8"/>
        <v>0</v>
      </c>
      <c r="Y28" s="477">
        <f t="shared" si="9"/>
        <v>0</v>
      </c>
      <c r="Z28" s="478">
        <f t="shared" si="10"/>
        <v>0</v>
      </c>
      <c r="AA28" s="500">
        <f t="shared" si="11"/>
        <v>0</v>
      </c>
      <c r="AB28" s="500">
        <f t="shared" si="12"/>
        <v>0</v>
      </c>
      <c r="AC28" s="501" t="e">
        <f t="shared" si="13"/>
        <v>#DIV/0!</v>
      </c>
      <c r="AD28" s="474" t="e">
        <f t="shared" si="14"/>
        <v>#DIV/0!</v>
      </c>
      <c r="AE28" s="475" t="e">
        <f t="shared" si="15"/>
        <v>#DIV/0!</v>
      </c>
    </row>
    <row r="29" spans="1:31">
      <c r="A29" s="435">
        <f>'SQ-1'!A29</f>
        <v>43976</v>
      </c>
      <c r="B29" s="518"/>
      <c r="C29" s="464">
        <f t="shared" si="0"/>
        <v>0</v>
      </c>
      <c r="D29" s="5"/>
      <c r="E29" s="3"/>
      <c r="F29" s="434"/>
      <c r="G29" s="5"/>
      <c r="H29" s="6" t="e">
        <f t="shared" si="1"/>
        <v>#DIV/0!</v>
      </c>
      <c r="I29" s="518"/>
      <c r="J29" s="464">
        <f t="shared" si="2"/>
        <v>0</v>
      </c>
      <c r="K29" s="3"/>
      <c r="L29" s="3"/>
      <c r="M29" s="3"/>
      <c r="N29" s="5"/>
      <c r="O29" s="6" t="e">
        <f t="shared" si="3"/>
        <v>#DIV/0!</v>
      </c>
      <c r="P29" s="518"/>
      <c r="Q29" s="464">
        <f t="shared" si="4"/>
        <v>0</v>
      </c>
      <c r="R29" s="3"/>
      <c r="S29" s="3"/>
      <c r="T29" s="3"/>
      <c r="U29" s="5"/>
      <c r="V29" s="6" t="e">
        <f t="shared" si="16"/>
        <v>#DIV/0!</v>
      </c>
      <c r="W29" s="499">
        <f t="shared" si="7"/>
        <v>0</v>
      </c>
      <c r="X29" s="474">
        <f t="shared" si="8"/>
        <v>0</v>
      </c>
      <c r="Y29" s="477">
        <f t="shared" si="9"/>
        <v>0</v>
      </c>
      <c r="Z29" s="478">
        <f t="shared" si="10"/>
        <v>0</v>
      </c>
      <c r="AA29" s="500">
        <f t="shared" si="11"/>
        <v>0</v>
      </c>
      <c r="AB29" s="500">
        <f t="shared" si="12"/>
        <v>0</v>
      </c>
      <c r="AC29" s="501" t="e">
        <f t="shared" si="13"/>
        <v>#DIV/0!</v>
      </c>
      <c r="AD29" s="474" t="e">
        <f t="shared" si="14"/>
        <v>#DIV/0!</v>
      </c>
      <c r="AE29" s="475" t="e">
        <f t="shared" si="15"/>
        <v>#DIV/0!</v>
      </c>
    </row>
    <row r="30" spans="1:31">
      <c r="A30" s="435">
        <f>'SQ-1'!A30</f>
        <v>43977</v>
      </c>
      <c r="B30" s="518"/>
      <c r="C30" s="464">
        <f t="shared" si="0"/>
        <v>0</v>
      </c>
      <c r="D30" s="5"/>
      <c r="E30" s="3"/>
      <c r="F30" s="434"/>
      <c r="G30" s="5"/>
      <c r="H30" s="6" t="e">
        <f t="shared" si="1"/>
        <v>#DIV/0!</v>
      </c>
      <c r="I30" s="518"/>
      <c r="J30" s="464">
        <f t="shared" si="2"/>
        <v>0</v>
      </c>
      <c r="K30" s="3"/>
      <c r="L30" s="3"/>
      <c r="M30" s="3"/>
      <c r="N30" s="5"/>
      <c r="O30" s="6" t="e">
        <f t="shared" si="3"/>
        <v>#DIV/0!</v>
      </c>
      <c r="P30" s="518"/>
      <c r="Q30" s="464">
        <f t="shared" si="4"/>
        <v>0</v>
      </c>
      <c r="R30" s="3"/>
      <c r="S30" s="3"/>
      <c r="T30" s="3"/>
      <c r="U30" s="5"/>
      <c r="V30" s="6" t="e">
        <f t="shared" si="16"/>
        <v>#DIV/0!</v>
      </c>
      <c r="W30" s="499">
        <f t="shared" si="7"/>
        <v>0</v>
      </c>
      <c r="X30" s="474">
        <f t="shared" si="8"/>
        <v>0</v>
      </c>
      <c r="Y30" s="477">
        <f t="shared" si="9"/>
        <v>0</v>
      </c>
      <c r="Z30" s="478">
        <f t="shared" si="10"/>
        <v>0</v>
      </c>
      <c r="AA30" s="500">
        <f t="shared" si="11"/>
        <v>0</v>
      </c>
      <c r="AB30" s="500">
        <f t="shared" si="12"/>
        <v>0</v>
      </c>
      <c r="AC30" s="501" t="e">
        <f t="shared" si="13"/>
        <v>#DIV/0!</v>
      </c>
      <c r="AD30" s="474" t="e">
        <f t="shared" si="14"/>
        <v>#DIV/0!</v>
      </c>
      <c r="AE30" s="475" t="e">
        <f t="shared" si="15"/>
        <v>#DIV/0!</v>
      </c>
    </row>
    <row r="31" spans="1:31">
      <c r="A31" s="435">
        <f>'SQ-1'!A31</f>
        <v>43978</v>
      </c>
      <c r="B31" s="518"/>
      <c r="C31" s="464">
        <f t="shared" si="0"/>
        <v>0</v>
      </c>
      <c r="D31" s="3"/>
      <c r="E31" s="3"/>
      <c r="F31" s="3"/>
      <c r="G31" s="5"/>
      <c r="H31" s="6" t="e">
        <f t="shared" si="1"/>
        <v>#DIV/0!</v>
      </c>
      <c r="I31" s="518"/>
      <c r="J31" s="464">
        <f t="shared" si="2"/>
        <v>0</v>
      </c>
      <c r="K31" s="5"/>
      <c r="L31" s="3"/>
      <c r="M31" s="434"/>
      <c r="N31" s="5"/>
      <c r="O31" s="6" t="e">
        <f t="shared" si="3"/>
        <v>#DIV/0!</v>
      </c>
      <c r="P31" s="518"/>
      <c r="Q31" s="464">
        <f t="shared" si="4"/>
        <v>0</v>
      </c>
      <c r="R31" s="3"/>
      <c r="S31" s="3"/>
      <c r="T31" s="3"/>
      <c r="U31" s="5"/>
      <c r="V31" s="6" t="e">
        <f t="shared" si="16"/>
        <v>#DIV/0!</v>
      </c>
      <c r="W31" s="499">
        <f t="shared" si="7"/>
        <v>0</v>
      </c>
      <c r="X31" s="474">
        <f t="shared" si="8"/>
        <v>0</v>
      </c>
      <c r="Y31" s="477">
        <f t="shared" si="9"/>
        <v>0</v>
      </c>
      <c r="Z31" s="478">
        <f t="shared" si="10"/>
        <v>0</v>
      </c>
      <c r="AA31" s="500">
        <f>F31+M31+T31</f>
        <v>0</v>
      </c>
      <c r="AB31" s="500">
        <f t="shared" si="12"/>
        <v>0</v>
      </c>
      <c r="AC31" s="501" t="e">
        <f t="shared" si="13"/>
        <v>#DIV/0!</v>
      </c>
      <c r="AD31" s="474" t="e">
        <f t="shared" si="14"/>
        <v>#DIV/0!</v>
      </c>
      <c r="AE31" s="475" t="e">
        <f t="shared" si="15"/>
        <v>#DIV/0!</v>
      </c>
    </row>
    <row r="32" spans="1:31">
      <c r="A32" s="435">
        <f>'SQ-1'!A32</f>
        <v>43979</v>
      </c>
      <c r="B32" s="518"/>
      <c r="C32" s="464">
        <f t="shared" si="0"/>
        <v>0</v>
      </c>
      <c r="D32" s="3"/>
      <c r="E32" s="3"/>
      <c r="F32" s="3"/>
      <c r="G32" s="5"/>
      <c r="H32" s="6" t="e">
        <f t="shared" si="1"/>
        <v>#DIV/0!</v>
      </c>
      <c r="I32" s="518"/>
      <c r="J32" s="464">
        <f t="shared" si="2"/>
        <v>0</v>
      </c>
      <c r="K32" s="5"/>
      <c r="L32" s="3"/>
      <c r="M32" s="434"/>
      <c r="N32" s="5"/>
      <c r="O32" s="6" t="e">
        <f t="shared" si="3"/>
        <v>#DIV/0!</v>
      </c>
      <c r="P32" s="518"/>
      <c r="Q32" s="464">
        <f t="shared" si="4"/>
        <v>0</v>
      </c>
      <c r="R32" s="3"/>
      <c r="S32" s="3"/>
      <c r="T32" s="3"/>
      <c r="U32" s="5"/>
      <c r="V32" s="6" t="e">
        <f t="shared" si="16"/>
        <v>#DIV/0!</v>
      </c>
      <c r="W32" s="499">
        <f t="shared" si="7"/>
        <v>0</v>
      </c>
      <c r="X32" s="474">
        <f t="shared" si="8"/>
        <v>0</v>
      </c>
      <c r="Y32" s="477">
        <f t="shared" si="9"/>
        <v>0</v>
      </c>
      <c r="Z32" s="478">
        <f t="shared" si="10"/>
        <v>0</v>
      </c>
      <c r="AA32" s="500">
        <f t="shared" si="11"/>
        <v>0</v>
      </c>
      <c r="AB32" s="500">
        <f t="shared" si="12"/>
        <v>0</v>
      </c>
      <c r="AC32" s="501" t="e">
        <f t="shared" si="13"/>
        <v>#DIV/0!</v>
      </c>
      <c r="AD32" s="474" t="e">
        <f t="shared" si="14"/>
        <v>#DIV/0!</v>
      </c>
      <c r="AE32" s="475" t="e">
        <f t="shared" si="15"/>
        <v>#DIV/0!</v>
      </c>
    </row>
    <row r="33" spans="1:31">
      <c r="A33" s="435">
        <f>'SQ-1'!A33</f>
        <v>43980</v>
      </c>
      <c r="B33" s="518"/>
      <c r="C33" s="464">
        <f t="shared" si="0"/>
        <v>0</v>
      </c>
      <c r="D33" s="3"/>
      <c r="E33" s="3"/>
      <c r="F33" s="3"/>
      <c r="G33" s="5"/>
      <c r="H33" s="6" t="e">
        <f t="shared" si="1"/>
        <v>#DIV/0!</v>
      </c>
      <c r="I33" s="518"/>
      <c r="J33" s="464">
        <f t="shared" si="2"/>
        <v>0</v>
      </c>
      <c r="K33" s="5"/>
      <c r="L33" s="3"/>
      <c r="M33" s="434"/>
      <c r="N33" s="5"/>
      <c r="O33" s="6" t="e">
        <f t="shared" si="3"/>
        <v>#DIV/0!</v>
      </c>
      <c r="P33" s="518"/>
      <c r="Q33" s="464">
        <f t="shared" si="4"/>
        <v>0</v>
      </c>
      <c r="R33" s="3"/>
      <c r="S33" s="3"/>
      <c r="T33" s="3"/>
      <c r="U33" s="5"/>
      <c r="V33" s="6" t="e">
        <f t="shared" si="16"/>
        <v>#DIV/0!</v>
      </c>
      <c r="W33" s="499">
        <f t="shared" si="7"/>
        <v>0</v>
      </c>
      <c r="X33" s="474">
        <f t="shared" si="8"/>
        <v>0</v>
      </c>
      <c r="Y33" s="477">
        <f>D33+K33+R33</f>
        <v>0</v>
      </c>
      <c r="Z33" s="478">
        <f t="shared" si="10"/>
        <v>0</v>
      </c>
      <c r="AA33" s="500">
        <f t="shared" si="11"/>
        <v>0</v>
      </c>
      <c r="AB33" s="500">
        <f t="shared" si="12"/>
        <v>0</v>
      </c>
      <c r="AC33" s="501" t="e">
        <f t="shared" si="13"/>
        <v>#DIV/0!</v>
      </c>
      <c r="AD33" s="474" t="e">
        <f t="shared" si="14"/>
        <v>#DIV/0!</v>
      </c>
      <c r="AE33" s="475" t="e">
        <f t="shared" si="15"/>
        <v>#DIV/0!</v>
      </c>
    </row>
    <row r="34" spans="1:31">
      <c r="A34" s="435">
        <f>'SQ-1'!A34</f>
        <v>43981</v>
      </c>
      <c r="B34" s="518"/>
      <c r="C34" s="464">
        <f t="shared" si="0"/>
        <v>0</v>
      </c>
      <c r="D34" s="3"/>
      <c r="E34" s="3"/>
      <c r="F34" s="3"/>
      <c r="G34" s="3"/>
      <c r="H34" s="6" t="e">
        <f t="shared" si="1"/>
        <v>#DIV/0!</v>
      </c>
      <c r="I34" s="518"/>
      <c r="J34" s="464">
        <f t="shared" si="2"/>
        <v>0</v>
      </c>
      <c r="K34" s="3"/>
      <c r="L34" s="3"/>
      <c r="M34" s="3"/>
      <c r="N34" s="3"/>
      <c r="O34" s="6" t="e">
        <f t="shared" si="3"/>
        <v>#DIV/0!</v>
      </c>
      <c r="P34" s="518"/>
      <c r="Q34" s="464">
        <f t="shared" si="4"/>
        <v>0</v>
      </c>
      <c r="R34" s="3"/>
      <c r="S34" s="3"/>
      <c r="T34" s="3"/>
      <c r="U34" s="5"/>
      <c r="V34" s="6" t="e">
        <f t="shared" si="16"/>
        <v>#DIV/0!</v>
      </c>
      <c r="W34" s="499">
        <f t="shared" si="7"/>
        <v>0</v>
      </c>
      <c r="X34" s="474">
        <f t="shared" si="8"/>
        <v>0</v>
      </c>
      <c r="Y34" s="477">
        <f t="shared" si="9"/>
        <v>0</v>
      </c>
      <c r="Z34" s="478">
        <f t="shared" si="10"/>
        <v>0</v>
      </c>
      <c r="AA34" s="500">
        <f t="shared" si="11"/>
        <v>0</v>
      </c>
      <c r="AB34" s="500">
        <f t="shared" si="12"/>
        <v>0</v>
      </c>
      <c r="AC34" s="501" t="e">
        <f t="shared" si="13"/>
        <v>#DIV/0!</v>
      </c>
      <c r="AD34" s="474" t="e">
        <f t="shared" si="14"/>
        <v>#DIV/0!</v>
      </c>
      <c r="AE34" s="475" t="e">
        <f t="shared" si="15"/>
        <v>#DIV/0!</v>
      </c>
    </row>
    <row r="35" spans="1:31" ht="15.75" thickBot="1">
      <c r="A35" s="435">
        <f>'SQ-1'!A35</f>
        <v>43982</v>
      </c>
      <c r="B35" s="519"/>
      <c r="C35" s="524">
        <f t="shared" si="0"/>
        <v>0</v>
      </c>
      <c r="D35" s="463"/>
      <c r="E35" s="463"/>
      <c r="F35" s="463"/>
      <c r="G35" s="463"/>
      <c r="H35" s="452" t="e">
        <f t="shared" si="1"/>
        <v>#DIV/0!</v>
      </c>
      <c r="I35" s="519"/>
      <c r="J35" s="524">
        <f t="shared" si="2"/>
        <v>0</v>
      </c>
      <c r="K35" s="463"/>
      <c r="L35" s="463"/>
      <c r="M35" s="463"/>
      <c r="N35" s="463"/>
      <c r="O35" s="452" t="e">
        <f t="shared" si="3"/>
        <v>#DIV/0!</v>
      </c>
      <c r="P35" s="521"/>
      <c r="Q35" s="524">
        <f t="shared" si="4"/>
        <v>0</v>
      </c>
      <c r="R35" s="4"/>
      <c r="S35" s="4"/>
      <c r="T35" s="4"/>
      <c r="U35" s="4"/>
      <c r="V35" s="452" t="e">
        <f t="shared" si="16"/>
        <v>#DIV/0!</v>
      </c>
      <c r="W35" s="499">
        <f t="shared" si="7"/>
        <v>0</v>
      </c>
      <c r="X35" s="474">
        <f t="shared" si="8"/>
        <v>0</v>
      </c>
      <c r="Y35" s="477">
        <f t="shared" si="9"/>
        <v>0</v>
      </c>
      <c r="Z35" s="478">
        <f t="shared" si="10"/>
        <v>0</v>
      </c>
      <c r="AA35" s="500">
        <f t="shared" si="11"/>
        <v>0</v>
      </c>
      <c r="AB35" s="500">
        <f t="shared" si="12"/>
        <v>0</v>
      </c>
      <c r="AC35" s="501" t="e">
        <f t="shared" si="13"/>
        <v>#DIV/0!</v>
      </c>
      <c r="AD35" s="474" t="e">
        <f t="shared" si="14"/>
        <v>#DIV/0!</v>
      </c>
      <c r="AE35" s="475" t="e">
        <f t="shared" si="15"/>
        <v>#DIV/0!</v>
      </c>
    </row>
    <row r="36" spans="1:31" ht="20.100000000000001" customHeight="1" thickBot="1">
      <c r="A36" s="449" t="s">
        <v>3</v>
      </c>
      <c r="B36" s="523">
        <f t="shared" ref="B36:G36" si="17">SUM(B5:B35)</f>
        <v>0</v>
      </c>
      <c r="C36" s="523">
        <f t="shared" si="17"/>
        <v>0</v>
      </c>
      <c r="D36" s="433">
        <f t="shared" si="17"/>
        <v>0</v>
      </c>
      <c r="E36" s="433">
        <f t="shared" si="17"/>
        <v>0</v>
      </c>
      <c r="F36" s="433">
        <f t="shared" si="17"/>
        <v>0</v>
      </c>
      <c r="G36" s="433">
        <f t="shared" si="17"/>
        <v>0</v>
      </c>
      <c r="H36" s="445" t="e">
        <f>G36/B36</f>
        <v>#DIV/0!</v>
      </c>
      <c r="I36" s="523">
        <f t="shared" ref="I36:N36" si="18">SUM(I5:I35)</f>
        <v>0</v>
      </c>
      <c r="J36" s="523">
        <f t="shared" si="18"/>
        <v>0</v>
      </c>
      <c r="K36" s="433">
        <f t="shared" si="18"/>
        <v>0</v>
      </c>
      <c r="L36" s="433">
        <f t="shared" si="18"/>
        <v>0</v>
      </c>
      <c r="M36" s="433">
        <f t="shared" si="18"/>
        <v>0</v>
      </c>
      <c r="N36" s="433">
        <f t="shared" si="18"/>
        <v>0</v>
      </c>
      <c r="O36" s="445" t="e">
        <f>N36/I36</f>
        <v>#DIV/0!</v>
      </c>
      <c r="P36" s="523">
        <f t="shared" ref="P36:U36" si="19">SUM(P5:P35)</f>
        <v>0</v>
      </c>
      <c r="Q36" s="523">
        <f t="shared" si="19"/>
        <v>0</v>
      </c>
      <c r="R36" s="433">
        <f t="shared" si="19"/>
        <v>0</v>
      </c>
      <c r="S36" s="433">
        <f t="shared" si="19"/>
        <v>0</v>
      </c>
      <c r="T36" s="433">
        <f t="shared" si="19"/>
        <v>0</v>
      </c>
      <c r="U36" s="433">
        <f t="shared" si="19"/>
        <v>0</v>
      </c>
      <c r="V36" s="7" t="e">
        <f>U36/P36</f>
        <v>#DIV/0!</v>
      </c>
      <c r="W36" s="433">
        <f t="shared" ref="W36:AB36" si="20">SUM(W5:W35)</f>
        <v>0</v>
      </c>
      <c r="X36" s="7">
        <f t="shared" si="20"/>
        <v>0</v>
      </c>
      <c r="Y36" s="433">
        <f t="shared" si="20"/>
        <v>0</v>
      </c>
      <c r="Z36" s="443">
        <f t="shared" si="20"/>
        <v>0</v>
      </c>
      <c r="AA36" s="7">
        <f t="shared" si="20"/>
        <v>0</v>
      </c>
      <c r="AB36" s="7">
        <f t="shared" si="20"/>
        <v>0</v>
      </c>
      <c r="AC36" s="7" t="e">
        <f>AB36/W36</f>
        <v>#DIV/0!</v>
      </c>
      <c r="AD36" s="455"/>
      <c r="AE36" s="468" t="e">
        <f>AA36/Z36</f>
        <v>#DIV/0!</v>
      </c>
    </row>
  </sheetData>
  <mergeCells count="36">
    <mergeCell ref="AD3:AD4"/>
    <mergeCell ref="AE3:AE4"/>
    <mergeCell ref="E3:E4"/>
    <mergeCell ref="D3:D4"/>
    <mergeCell ref="AC3:AC4"/>
    <mergeCell ref="I3:I4"/>
    <mergeCell ref="L3:L4"/>
    <mergeCell ref="Z3:Z4"/>
    <mergeCell ref="X3:X4"/>
    <mergeCell ref="W2:AC2"/>
    <mergeCell ref="K3:K4"/>
    <mergeCell ref="P3:P4"/>
    <mergeCell ref="R3:R4"/>
    <mergeCell ref="W3:W4"/>
    <mergeCell ref="Y3:Y4"/>
    <mergeCell ref="S3:S4"/>
    <mergeCell ref="AA3:AA4"/>
    <mergeCell ref="P2:V2"/>
    <mergeCell ref="T3:T4"/>
    <mergeCell ref="AB3:AB4"/>
    <mergeCell ref="A1:V1"/>
    <mergeCell ref="V3:V4"/>
    <mergeCell ref="A2:A4"/>
    <mergeCell ref="C3:C4"/>
    <mergeCell ref="F3:F4"/>
    <mergeCell ref="G3:G4"/>
    <mergeCell ref="H3:H4"/>
    <mergeCell ref="J3:J4"/>
    <mergeCell ref="M3:M4"/>
    <mergeCell ref="N3:N4"/>
    <mergeCell ref="O3:O4"/>
    <mergeCell ref="Q3:Q4"/>
    <mergeCell ref="U3:U4"/>
    <mergeCell ref="B2:H2"/>
    <mergeCell ref="B3:B4"/>
    <mergeCell ref="I2:O2"/>
  </mergeCells>
  <conditionalFormatting sqref="B34:B35">
    <cfRule type="expression" dxfId="377" priority="53" stopIfTrue="1">
      <formula>$C34="*"</formula>
    </cfRule>
    <cfRule type="expression" dxfId="376" priority="54" stopIfTrue="1">
      <formula>$C34="-"</formula>
    </cfRule>
  </conditionalFormatting>
  <conditionalFormatting sqref="P34:P35">
    <cfRule type="expression" dxfId="375" priority="51" stopIfTrue="1">
      <formula>$C34="*"</formula>
    </cfRule>
    <cfRule type="expression" dxfId="374" priority="52" stopIfTrue="1">
      <formula>$C34="-"</formula>
    </cfRule>
  </conditionalFormatting>
  <conditionalFormatting sqref="I34:I35">
    <cfRule type="expression" dxfId="373" priority="49" stopIfTrue="1">
      <formula>$C34="*"</formula>
    </cfRule>
    <cfRule type="expression" dxfId="372" priority="50" stopIfTrue="1">
      <formula>$C34="-"</formula>
    </cfRule>
  </conditionalFormatting>
  <conditionalFormatting sqref="P31:P33">
    <cfRule type="expression" dxfId="371" priority="47" stopIfTrue="1">
      <formula>$C31="*"</formula>
    </cfRule>
    <cfRule type="expression" dxfId="370" priority="48" stopIfTrue="1">
      <formula>$C31="-"</formula>
    </cfRule>
  </conditionalFormatting>
  <conditionalFormatting sqref="B31:B33">
    <cfRule type="expression" dxfId="369" priority="45" stopIfTrue="1">
      <formula>$C31="*"</formula>
    </cfRule>
    <cfRule type="expression" dxfId="368" priority="46" stopIfTrue="1">
      <formula>$C31="-"</formula>
    </cfRule>
  </conditionalFormatting>
  <conditionalFormatting sqref="I31:I33">
    <cfRule type="expression" dxfId="367" priority="43" stopIfTrue="1">
      <formula>$C31="*"</formula>
    </cfRule>
    <cfRule type="expression" dxfId="366" priority="44" stopIfTrue="1">
      <formula>$C31="-"</formula>
    </cfRule>
  </conditionalFormatting>
  <conditionalFormatting sqref="I25:I30">
    <cfRule type="expression" dxfId="365" priority="41" stopIfTrue="1">
      <formula>$C25="*"</formula>
    </cfRule>
    <cfRule type="expression" dxfId="364" priority="42" stopIfTrue="1">
      <formula>$C25="-"</formula>
    </cfRule>
  </conditionalFormatting>
  <conditionalFormatting sqref="P25:P30">
    <cfRule type="expression" dxfId="363" priority="39" stopIfTrue="1">
      <formula>$C25="*"</formula>
    </cfRule>
    <cfRule type="expression" dxfId="362" priority="40" stopIfTrue="1">
      <formula>$C25="-"</formula>
    </cfRule>
  </conditionalFormatting>
  <conditionalFormatting sqref="B25:B30">
    <cfRule type="expression" dxfId="361" priority="37" stopIfTrue="1">
      <formula>$C25="*"</formula>
    </cfRule>
    <cfRule type="expression" dxfId="360" priority="38" stopIfTrue="1">
      <formula>$C25="-"</formula>
    </cfRule>
  </conditionalFormatting>
  <conditionalFormatting sqref="I23:I24">
    <cfRule type="expression" dxfId="359" priority="35" stopIfTrue="1">
      <formula>$C23="*"</formula>
    </cfRule>
    <cfRule type="expression" dxfId="358" priority="36" stopIfTrue="1">
      <formula>$C23="-"</formula>
    </cfRule>
  </conditionalFormatting>
  <conditionalFormatting sqref="P23:P24">
    <cfRule type="expression" dxfId="357" priority="33" stopIfTrue="1">
      <formula>$C23="*"</formula>
    </cfRule>
    <cfRule type="expression" dxfId="356" priority="34" stopIfTrue="1">
      <formula>$C23="-"</formula>
    </cfRule>
  </conditionalFormatting>
  <conditionalFormatting sqref="B23:B24">
    <cfRule type="expression" dxfId="355" priority="31" stopIfTrue="1">
      <formula>$C23="*"</formula>
    </cfRule>
    <cfRule type="expression" dxfId="354" priority="32" stopIfTrue="1">
      <formula>$C23="-"</formula>
    </cfRule>
  </conditionalFormatting>
  <conditionalFormatting sqref="I15:I22">
    <cfRule type="expression" dxfId="353" priority="29" stopIfTrue="1">
      <formula>$C15="*"</formula>
    </cfRule>
    <cfRule type="expression" dxfId="352" priority="30" stopIfTrue="1">
      <formula>$C15="-"</formula>
    </cfRule>
  </conditionalFormatting>
  <conditionalFormatting sqref="P15:P22">
    <cfRule type="expression" dxfId="351" priority="27" stopIfTrue="1">
      <formula>$C15="*"</formula>
    </cfRule>
    <cfRule type="expression" dxfId="350" priority="28" stopIfTrue="1">
      <formula>$C15="-"</formula>
    </cfRule>
  </conditionalFormatting>
  <conditionalFormatting sqref="B15:B22">
    <cfRule type="expression" dxfId="349" priority="25" stopIfTrue="1">
      <formula>$C15="*"</formula>
    </cfRule>
    <cfRule type="expression" dxfId="348" priority="26" stopIfTrue="1">
      <formula>$C15="-"</formula>
    </cfRule>
  </conditionalFormatting>
  <conditionalFormatting sqref="I13:I14">
    <cfRule type="expression" dxfId="347" priority="23" stopIfTrue="1">
      <formula>$C13="*"</formula>
    </cfRule>
    <cfRule type="expression" dxfId="346" priority="24" stopIfTrue="1">
      <formula>$C13="-"</formula>
    </cfRule>
  </conditionalFormatting>
  <conditionalFormatting sqref="P13:P14">
    <cfRule type="expression" dxfId="345" priority="21" stopIfTrue="1">
      <formula>$C13="*"</formula>
    </cfRule>
    <cfRule type="expression" dxfId="344" priority="22" stopIfTrue="1">
      <formula>$C13="-"</formula>
    </cfRule>
  </conditionalFormatting>
  <conditionalFormatting sqref="B13:B14">
    <cfRule type="expression" dxfId="343" priority="19" stopIfTrue="1">
      <formula>$C13="*"</formula>
    </cfRule>
    <cfRule type="expression" dxfId="342" priority="20" stopIfTrue="1">
      <formula>$C13="-"</formula>
    </cfRule>
  </conditionalFormatting>
  <conditionalFormatting sqref="I5 I8">
    <cfRule type="expression" dxfId="341" priority="17" stopIfTrue="1">
      <formula>$C5="*"</formula>
    </cfRule>
    <cfRule type="expression" dxfId="340" priority="18" stopIfTrue="1">
      <formula>$C5="-"</formula>
    </cfRule>
  </conditionalFormatting>
  <conditionalFormatting sqref="P5:P8">
    <cfRule type="expression" dxfId="339" priority="15" stopIfTrue="1">
      <formula>$C5="*"</formula>
    </cfRule>
    <cfRule type="expression" dxfId="338" priority="16" stopIfTrue="1">
      <formula>$C5="-"</formula>
    </cfRule>
  </conditionalFormatting>
  <conditionalFormatting sqref="B5 B7:B8">
    <cfRule type="expression" dxfId="337" priority="13" stopIfTrue="1">
      <formula>$C5="*"</formula>
    </cfRule>
    <cfRule type="expression" dxfId="336" priority="14" stopIfTrue="1">
      <formula>$C5="-"</formula>
    </cfRule>
  </conditionalFormatting>
  <conditionalFormatting sqref="I9:I12">
    <cfRule type="expression" dxfId="335" priority="11" stopIfTrue="1">
      <formula>$C9="*"</formula>
    </cfRule>
    <cfRule type="expression" dxfId="334" priority="12" stopIfTrue="1">
      <formula>$C9="-"</formula>
    </cfRule>
  </conditionalFormatting>
  <conditionalFormatting sqref="P9:P12">
    <cfRule type="expression" dxfId="333" priority="9" stopIfTrue="1">
      <formula>$C9="*"</formula>
    </cfRule>
    <cfRule type="expression" dxfId="332" priority="10" stopIfTrue="1">
      <formula>$C9="-"</formula>
    </cfRule>
  </conditionalFormatting>
  <conditionalFormatting sqref="B9:B12">
    <cfRule type="expression" dxfId="331" priority="7" stopIfTrue="1">
      <formula>$C9="*"</formula>
    </cfRule>
    <cfRule type="expression" dxfId="330" priority="8" stopIfTrue="1">
      <formula>$C9="-"</formula>
    </cfRule>
  </conditionalFormatting>
  <conditionalFormatting sqref="I6">
    <cfRule type="expression" dxfId="329" priority="5" stopIfTrue="1">
      <formula>$C6="*"</formula>
    </cfRule>
    <cfRule type="expression" dxfId="328" priority="6" stopIfTrue="1">
      <formula>$C6="-"</formula>
    </cfRule>
  </conditionalFormatting>
  <conditionalFormatting sqref="B6">
    <cfRule type="expression" dxfId="327" priority="3" stopIfTrue="1">
      <formula>$C6="*"</formula>
    </cfRule>
    <cfRule type="expression" dxfId="326" priority="4" stopIfTrue="1">
      <formula>$C6="-"</formula>
    </cfRule>
  </conditionalFormatting>
  <conditionalFormatting sqref="I7">
    <cfRule type="expression" dxfId="325" priority="1" stopIfTrue="1">
      <formula>$C7="*"</formula>
    </cfRule>
    <cfRule type="expression" dxfId="324" priority="2" stopIfTrue="1">
      <formula>$C7="-"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1"/>
    <pageSetUpPr fitToPage="1"/>
  </sheetPr>
  <dimension ref="A1:AE36"/>
  <sheetViews>
    <sheetView topLeftCell="K1" zoomScale="80" zoomScaleNormal="80" workbookViewId="0">
      <pane ySplit="4" topLeftCell="A5" activePane="bottomLeft" state="frozen"/>
      <selection activeCell="E18" sqref="E18"/>
      <selection pane="bottomLeft" activeCell="A5" sqref="A5"/>
    </sheetView>
  </sheetViews>
  <sheetFormatPr defaultRowHeight="15"/>
  <cols>
    <col min="1" max="1" width="10.7109375" style="1" bestFit="1" customWidth="1"/>
    <col min="2" max="2" width="10.7109375" style="1" customWidth="1"/>
    <col min="3" max="5" width="10.140625" style="1" customWidth="1"/>
    <col min="6" max="6" width="9.7109375" style="1" bestFit="1" customWidth="1"/>
    <col min="7" max="9" width="9.140625" style="1"/>
    <col min="10" max="12" width="10.140625" style="1" customWidth="1"/>
    <col min="13" max="16" width="9.140625" style="1"/>
    <col min="17" max="19" width="10.140625" style="1" customWidth="1"/>
    <col min="20" max="23" width="9.140625" style="1"/>
    <col min="24" max="25" width="9.140625" style="10"/>
    <col min="26" max="26" width="10.7109375" style="10" customWidth="1"/>
    <col min="27" max="27" width="9.7109375" style="10" bestFit="1" customWidth="1"/>
    <col min="28" max="28" width="9.5703125" style="10" bestFit="1" customWidth="1"/>
    <col min="29" max="29" width="9.140625" style="10"/>
    <col min="30" max="30" width="11.85546875" customWidth="1"/>
    <col min="31" max="31" width="12.28515625" style="1" customWidth="1"/>
  </cols>
  <sheetData>
    <row r="1" spans="1:31" ht="21.75" thickBot="1">
      <c r="A1" s="593" t="s">
        <v>7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444"/>
      <c r="X1" s="9"/>
      <c r="Y1" s="9"/>
      <c r="Z1" s="9"/>
      <c r="AA1" s="9"/>
      <c r="AB1" s="9"/>
      <c r="AC1" s="9"/>
    </row>
    <row r="2" spans="1:31" ht="15.75" thickBot="1">
      <c r="A2" s="585" t="s">
        <v>0</v>
      </c>
      <c r="B2" s="567" t="s">
        <v>207</v>
      </c>
      <c r="C2" s="568"/>
      <c r="D2" s="568"/>
      <c r="E2" s="568"/>
      <c r="F2" s="568"/>
      <c r="G2" s="568"/>
      <c r="H2" s="569"/>
      <c r="I2" s="567" t="s">
        <v>208</v>
      </c>
      <c r="J2" s="568"/>
      <c r="K2" s="568"/>
      <c r="L2" s="568"/>
      <c r="M2" s="568"/>
      <c r="N2" s="568"/>
      <c r="O2" s="569"/>
      <c r="P2" s="567" t="s">
        <v>209</v>
      </c>
      <c r="Q2" s="568"/>
      <c r="R2" s="568"/>
      <c r="S2" s="568"/>
      <c r="T2" s="568"/>
      <c r="U2" s="568"/>
      <c r="V2" s="569"/>
      <c r="W2" s="572" t="s">
        <v>3</v>
      </c>
      <c r="X2" s="573"/>
      <c r="Y2" s="573"/>
      <c r="Z2" s="573"/>
      <c r="AA2" s="573"/>
      <c r="AB2" s="573"/>
      <c r="AC2" s="599"/>
      <c r="AD2" s="16"/>
    </row>
    <row r="3" spans="1:31" ht="15" customHeight="1">
      <c r="A3" s="596"/>
      <c r="B3" s="565" t="s">
        <v>203</v>
      </c>
      <c r="C3" s="570" t="s">
        <v>204</v>
      </c>
      <c r="D3" s="570" t="s">
        <v>205</v>
      </c>
      <c r="E3" s="575" t="s">
        <v>199</v>
      </c>
      <c r="F3" s="587" t="s">
        <v>202</v>
      </c>
      <c r="G3" s="597" t="s">
        <v>1</v>
      </c>
      <c r="H3" s="597" t="s">
        <v>2</v>
      </c>
      <c r="I3" s="565" t="s">
        <v>203</v>
      </c>
      <c r="J3" s="570" t="s">
        <v>204</v>
      </c>
      <c r="K3" s="570" t="s">
        <v>205</v>
      </c>
      <c r="L3" s="577" t="s">
        <v>199</v>
      </c>
      <c r="M3" s="587" t="s">
        <v>200</v>
      </c>
      <c r="N3" s="587" t="s">
        <v>1</v>
      </c>
      <c r="O3" s="587" t="s">
        <v>2</v>
      </c>
      <c r="P3" s="565" t="s">
        <v>203</v>
      </c>
      <c r="Q3" s="570" t="s">
        <v>204</v>
      </c>
      <c r="R3" s="570" t="s">
        <v>205</v>
      </c>
      <c r="S3" s="579" t="s">
        <v>199</v>
      </c>
      <c r="T3" s="580" t="s">
        <v>200</v>
      </c>
      <c r="U3" s="580" t="s">
        <v>1</v>
      </c>
      <c r="V3" s="594" t="s">
        <v>2</v>
      </c>
      <c r="W3" s="582" t="s">
        <v>203</v>
      </c>
      <c r="X3" s="579" t="s">
        <v>204</v>
      </c>
      <c r="Y3" s="583" t="s">
        <v>205</v>
      </c>
      <c r="Z3" s="577" t="s">
        <v>199</v>
      </c>
      <c r="AA3" s="587" t="s">
        <v>200</v>
      </c>
      <c r="AB3" s="585" t="s">
        <v>1</v>
      </c>
      <c r="AC3" s="587" t="s">
        <v>2</v>
      </c>
      <c r="AD3" s="589" t="s">
        <v>13</v>
      </c>
      <c r="AE3" s="591" t="s">
        <v>218</v>
      </c>
    </row>
    <row r="4" spans="1:31" ht="15.75" thickBot="1">
      <c r="A4" s="586"/>
      <c r="B4" s="566"/>
      <c r="C4" s="571"/>
      <c r="D4" s="571"/>
      <c r="E4" s="576"/>
      <c r="F4" s="588"/>
      <c r="G4" s="588"/>
      <c r="H4" s="588"/>
      <c r="I4" s="566"/>
      <c r="J4" s="571"/>
      <c r="K4" s="571"/>
      <c r="L4" s="578"/>
      <c r="M4" s="588"/>
      <c r="N4" s="588"/>
      <c r="O4" s="588"/>
      <c r="P4" s="566"/>
      <c r="Q4" s="571"/>
      <c r="R4" s="571"/>
      <c r="S4" s="571"/>
      <c r="T4" s="581"/>
      <c r="U4" s="581"/>
      <c r="V4" s="595"/>
      <c r="W4" s="566"/>
      <c r="X4" s="571"/>
      <c r="Y4" s="584"/>
      <c r="Z4" s="578"/>
      <c r="AA4" s="588"/>
      <c r="AB4" s="586"/>
      <c r="AC4" s="588"/>
      <c r="AD4" s="590"/>
      <c r="AE4" s="592"/>
    </row>
    <row r="5" spans="1:31">
      <c r="A5" s="435">
        <f>'SQ-1'!A5</f>
        <v>43952</v>
      </c>
      <c r="B5" s="518"/>
      <c r="C5" s="464">
        <f t="shared" ref="C5:C35" si="0">B5-(D5/60)</f>
        <v>0</v>
      </c>
      <c r="D5" s="5"/>
      <c r="E5" s="3"/>
      <c r="F5" s="434"/>
      <c r="G5" s="5"/>
      <c r="H5" s="6" t="e">
        <f t="shared" ref="H5:H35" si="1">G5/B5</f>
        <v>#DIV/0!</v>
      </c>
      <c r="I5" s="518"/>
      <c r="J5" s="464">
        <f t="shared" ref="J5:J35" si="2">I5-(K5/60)</f>
        <v>0</v>
      </c>
      <c r="K5" s="3"/>
      <c r="L5" s="3"/>
      <c r="M5" s="3"/>
      <c r="N5" s="5"/>
      <c r="O5" s="6" t="e">
        <f t="shared" ref="O5:O35" si="3">N5/I5</f>
        <v>#DIV/0!</v>
      </c>
      <c r="P5" s="518"/>
      <c r="Q5" s="464">
        <f t="shared" ref="Q5:Q35" si="4">P5-(R5/60)</f>
        <v>0</v>
      </c>
      <c r="R5" s="3"/>
      <c r="S5" s="3"/>
      <c r="T5" s="3"/>
      <c r="U5" s="5"/>
      <c r="V5" s="6" t="e">
        <f t="shared" ref="V5:V24" si="5">U5/P5</f>
        <v>#DIV/0!</v>
      </c>
      <c r="W5" s="495">
        <f t="shared" ref="W5:AB5" si="6">B5+I5+P5</f>
        <v>0</v>
      </c>
      <c r="X5" s="474">
        <f t="shared" si="6"/>
        <v>0</v>
      </c>
      <c r="Y5" s="477">
        <f t="shared" si="6"/>
        <v>0</v>
      </c>
      <c r="Z5" s="474">
        <f t="shared" si="6"/>
        <v>0</v>
      </c>
      <c r="AA5" s="486">
        <f t="shared" si="6"/>
        <v>0</v>
      </c>
      <c r="AB5" s="478">
        <f t="shared" si="6"/>
        <v>0</v>
      </c>
      <c r="AC5" s="478" t="e">
        <f>AB5/W5</f>
        <v>#DIV/0!</v>
      </c>
      <c r="AD5" s="474" t="e">
        <f>(AA5/1000)/W5</f>
        <v>#DIV/0!</v>
      </c>
      <c r="AE5" s="497" t="e">
        <f>AA5/Z5</f>
        <v>#DIV/0!</v>
      </c>
    </row>
    <row r="6" spans="1:31">
      <c r="A6" s="435">
        <f>'SQ-1'!A6</f>
        <v>43953</v>
      </c>
      <c r="B6" s="518"/>
      <c r="C6" s="464">
        <f t="shared" si="0"/>
        <v>0</v>
      </c>
      <c r="D6" s="5"/>
      <c r="E6" s="3"/>
      <c r="F6" s="434"/>
      <c r="G6" s="5"/>
      <c r="H6" s="6" t="e">
        <f t="shared" si="1"/>
        <v>#DIV/0!</v>
      </c>
      <c r="I6" s="518"/>
      <c r="J6" s="464">
        <f t="shared" si="2"/>
        <v>0</v>
      </c>
      <c r="K6" s="5"/>
      <c r="L6" s="3"/>
      <c r="M6" s="434"/>
      <c r="N6" s="5"/>
      <c r="O6" s="6" t="e">
        <f t="shared" si="3"/>
        <v>#DIV/0!</v>
      </c>
      <c r="P6" s="518"/>
      <c r="Q6" s="464">
        <f t="shared" si="4"/>
        <v>0</v>
      </c>
      <c r="R6" s="3"/>
      <c r="S6" s="3"/>
      <c r="T6" s="3"/>
      <c r="U6" s="5"/>
      <c r="V6" s="6" t="e">
        <f t="shared" si="5"/>
        <v>#DIV/0!</v>
      </c>
      <c r="W6" s="495">
        <f t="shared" ref="W6:W34" si="7">B6+I6+P6</f>
        <v>0</v>
      </c>
      <c r="X6" s="474">
        <f t="shared" ref="X6:X35" si="8">C6+J6+Q6</f>
        <v>0</v>
      </c>
      <c r="Y6" s="477">
        <f t="shared" ref="Y6:Y35" si="9">D6+K6+R6</f>
        <v>0</v>
      </c>
      <c r="Z6" s="474">
        <f t="shared" ref="Z6:Z35" si="10">E6+L6+S6</f>
        <v>0</v>
      </c>
      <c r="AA6" s="486">
        <f t="shared" ref="AA6:AA35" si="11">F6+M6+T6</f>
        <v>0</v>
      </c>
      <c r="AB6" s="478">
        <f t="shared" ref="AB6:AB35" si="12">G6+N6+U6</f>
        <v>0</v>
      </c>
      <c r="AC6" s="478" t="e">
        <f t="shared" ref="AC6:AC35" si="13">AB6/W6</f>
        <v>#DIV/0!</v>
      </c>
      <c r="AD6" s="474" t="e">
        <f t="shared" ref="AD6:AD35" si="14">(AA6/1000)/W6</f>
        <v>#DIV/0!</v>
      </c>
      <c r="AE6" s="497" t="e">
        <f t="shared" ref="AE6:AE35" si="15">AA6/Z6</f>
        <v>#DIV/0!</v>
      </c>
    </row>
    <row r="7" spans="1:31">
      <c r="A7" s="435">
        <f>'SQ-1'!A7</f>
        <v>43954</v>
      </c>
      <c r="B7" s="518"/>
      <c r="C7" s="464">
        <f t="shared" si="0"/>
        <v>0</v>
      </c>
      <c r="D7" s="5"/>
      <c r="E7" s="3"/>
      <c r="F7" s="434"/>
      <c r="G7" s="5"/>
      <c r="H7" s="6" t="e">
        <f t="shared" si="1"/>
        <v>#DIV/0!</v>
      </c>
      <c r="I7" s="518"/>
      <c r="J7" s="464">
        <f t="shared" si="2"/>
        <v>0</v>
      </c>
      <c r="K7" s="5"/>
      <c r="L7" s="3"/>
      <c r="M7" s="434"/>
      <c r="N7" s="5"/>
      <c r="O7" s="6" t="e">
        <f t="shared" si="3"/>
        <v>#DIV/0!</v>
      </c>
      <c r="P7" s="518"/>
      <c r="Q7" s="464">
        <f t="shared" si="4"/>
        <v>0</v>
      </c>
      <c r="R7" s="3"/>
      <c r="S7" s="3"/>
      <c r="T7" s="3"/>
      <c r="U7" s="5"/>
      <c r="V7" s="6" t="e">
        <f t="shared" si="5"/>
        <v>#DIV/0!</v>
      </c>
      <c r="W7" s="495">
        <f t="shared" si="7"/>
        <v>0</v>
      </c>
      <c r="X7" s="474">
        <f t="shared" si="8"/>
        <v>0</v>
      </c>
      <c r="Y7" s="477">
        <f t="shared" si="9"/>
        <v>0</v>
      </c>
      <c r="Z7" s="474">
        <f t="shared" si="10"/>
        <v>0</v>
      </c>
      <c r="AA7" s="486">
        <f t="shared" si="11"/>
        <v>0</v>
      </c>
      <c r="AB7" s="478">
        <f t="shared" si="12"/>
        <v>0</v>
      </c>
      <c r="AC7" s="478" t="e">
        <f t="shared" si="13"/>
        <v>#DIV/0!</v>
      </c>
      <c r="AD7" s="474" t="e">
        <f t="shared" si="14"/>
        <v>#DIV/0!</v>
      </c>
      <c r="AE7" s="497" t="e">
        <f t="shared" si="15"/>
        <v>#DIV/0!</v>
      </c>
    </row>
    <row r="8" spans="1:31">
      <c r="A8" s="435">
        <f>'SQ-1'!A8</f>
        <v>43955</v>
      </c>
      <c r="B8" s="518"/>
      <c r="C8" s="464">
        <f t="shared" si="0"/>
        <v>0</v>
      </c>
      <c r="D8" s="5"/>
      <c r="E8" s="3"/>
      <c r="F8" s="434"/>
      <c r="G8" s="5"/>
      <c r="H8" s="6" t="e">
        <f t="shared" si="1"/>
        <v>#DIV/0!</v>
      </c>
      <c r="I8" s="518"/>
      <c r="J8" s="464">
        <f t="shared" si="2"/>
        <v>0</v>
      </c>
      <c r="K8" s="3"/>
      <c r="L8" s="3"/>
      <c r="M8" s="3"/>
      <c r="N8" s="5"/>
      <c r="O8" s="6" t="e">
        <f t="shared" si="3"/>
        <v>#DIV/0!</v>
      </c>
      <c r="P8" s="518"/>
      <c r="Q8" s="464">
        <f t="shared" si="4"/>
        <v>0</v>
      </c>
      <c r="R8" s="3"/>
      <c r="S8" s="3"/>
      <c r="T8" s="3"/>
      <c r="U8" s="5"/>
      <c r="V8" s="6" t="e">
        <f t="shared" si="5"/>
        <v>#DIV/0!</v>
      </c>
      <c r="W8" s="495">
        <f t="shared" si="7"/>
        <v>0</v>
      </c>
      <c r="X8" s="474">
        <f t="shared" si="8"/>
        <v>0</v>
      </c>
      <c r="Y8" s="477">
        <f t="shared" si="9"/>
        <v>0</v>
      </c>
      <c r="Z8" s="474">
        <f t="shared" si="10"/>
        <v>0</v>
      </c>
      <c r="AA8" s="486">
        <f t="shared" si="11"/>
        <v>0</v>
      </c>
      <c r="AB8" s="478">
        <f t="shared" si="12"/>
        <v>0</v>
      </c>
      <c r="AC8" s="478" t="e">
        <f t="shared" si="13"/>
        <v>#DIV/0!</v>
      </c>
      <c r="AD8" s="474" t="e">
        <f t="shared" si="14"/>
        <v>#DIV/0!</v>
      </c>
      <c r="AE8" s="497" t="e">
        <f t="shared" si="15"/>
        <v>#DIV/0!</v>
      </c>
    </row>
    <row r="9" spans="1:31">
      <c r="A9" s="435">
        <f>'SQ-1'!A9</f>
        <v>43956</v>
      </c>
      <c r="B9" s="518"/>
      <c r="C9" s="464">
        <f t="shared" si="0"/>
        <v>0</v>
      </c>
      <c r="D9" s="5"/>
      <c r="E9" s="3"/>
      <c r="F9" s="434"/>
      <c r="G9" s="5"/>
      <c r="H9" s="6" t="e">
        <f t="shared" si="1"/>
        <v>#DIV/0!</v>
      </c>
      <c r="I9" s="518"/>
      <c r="J9" s="464">
        <f t="shared" si="2"/>
        <v>0</v>
      </c>
      <c r="K9" s="3"/>
      <c r="L9" s="3"/>
      <c r="M9" s="3"/>
      <c r="N9" s="5"/>
      <c r="O9" s="6" t="e">
        <f t="shared" si="3"/>
        <v>#DIV/0!</v>
      </c>
      <c r="P9" s="518"/>
      <c r="Q9" s="464">
        <f t="shared" si="4"/>
        <v>0</v>
      </c>
      <c r="R9" s="3"/>
      <c r="S9" s="3"/>
      <c r="T9" s="3"/>
      <c r="U9" s="5"/>
      <c r="V9" s="6" t="e">
        <f t="shared" si="5"/>
        <v>#DIV/0!</v>
      </c>
      <c r="W9" s="495">
        <f t="shared" si="7"/>
        <v>0</v>
      </c>
      <c r="X9" s="474">
        <f t="shared" si="8"/>
        <v>0</v>
      </c>
      <c r="Y9" s="477">
        <f t="shared" si="9"/>
        <v>0</v>
      </c>
      <c r="Z9" s="474">
        <f t="shared" si="10"/>
        <v>0</v>
      </c>
      <c r="AA9" s="486">
        <f t="shared" si="11"/>
        <v>0</v>
      </c>
      <c r="AB9" s="478">
        <f t="shared" si="12"/>
        <v>0</v>
      </c>
      <c r="AC9" s="478" t="e">
        <f t="shared" si="13"/>
        <v>#DIV/0!</v>
      </c>
      <c r="AD9" s="474" t="e">
        <f t="shared" si="14"/>
        <v>#DIV/0!</v>
      </c>
      <c r="AE9" s="497" t="e">
        <f t="shared" si="15"/>
        <v>#DIV/0!</v>
      </c>
    </row>
    <row r="10" spans="1:31">
      <c r="A10" s="435">
        <f>'SQ-1'!A10</f>
        <v>43957</v>
      </c>
      <c r="B10" s="518"/>
      <c r="C10" s="464">
        <f t="shared" si="0"/>
        <v>0</v>
      </c>
      <c r="D10" s="5"/>
      <c r="E10" s="3"/>
      <c r="F10" s="434"/>
      <c r="G10" s="5"/>
      <c r="H10" s="6" t="e">
        <f t="shared" si="1"/>
        <v>#DIV/0!</v>
      </c>
      <c r="I10" s="518"/>
      <c r="J10" s="464">
        <f t="shared" si="2"/>
        <v>0</v>
      </c>
      <c r="K10" s="3"/>
      <c r="L10" s="3"/>
      <c r="M10" s="3"/>
      <c r="N10" s="5"/>
      <c r="O10" s="6" t="e">
        <f t="shared" si="3"/>
        <v>#DIV/0!</v>
      </c>
      <c r="P10" s="518"/>
      <c r="Q10" s="464">
        <f t="shared" si="4"/>
        <v>0</v>
      </c>
      <c r="R10" s="3"/>
      <c r="S10" s="3"/>
      <c r="T10" s="3"/>
      <c r="U10" s="5"/>
      <c r="V10" s="6" t="e">
        <f t="shared" si="5"/>
        <v>#DIV/0!</v>
      </c>
      <c r="W10" s="495">
        <f t="shared" si="7"/>
        <v>0</v>
      </c>
      <c r="X10" s="474">
        <f t="shared" si="8"/>
        <v>0</v>
      </c>
      <c r="Y10" s="477">
        <f t="shared" si="9"/>
        <v>0</v>
      </c>
      <c r="Z10" s="474">
        <f t="shared" si="10"/>
        <v>0</v>
      </c>
      <c r="AA10" s="486">
        <f t="shared" si="11"/>
        <v>0</v>
      </c>
      <c r="AB10" s="478">
        <f t="shared" si="12"/>
        <v>0</v>
      </c>
      <c r="AC10" s="478" t="e">
        <f t="shared" si="13"/>
        <v>#DIV/0!</v>
      </c>
      <c r="AD10" s="474" t="e">
        <f t="shared" si="14"/>
        <v>#DIV/0!</v>
      </c>
      <c r="AE10" s="497" t="e">
        <f t="shared" si="15"/>
        <v>#DIV/0!</v>
      </c>
    </row>
    <row r="11" spans="1:31">
      <c r="A11" s="435">
        <f>'SQ-1'!A11</f>
        <v>43958</v>
      </c>
      <c r="B11" s="518"/>
      <c r="C11" s="464">
        <f t="shared" si="0"/>
        <v>0</v>
      </c>
      <c r="D11" s="5"/>
      <c r="E11" s="3"/>
      <c r="F11" s="434"/>
      <c r="G11" s="5"/>
      <c r="H11" s="6" t="e">
        <f t="shared" si="1"/>
        <v>#DIV/0!</v>
      </c>
      <c r="I11" s="518"/>
      <c r="J11" s="464">
        <f t="shared" si="2"/>
        <v>0</v>
      </c>
      <c r="K11" s="3"/>
      <c r="L11" s="3"/>
      <c r="M11" s="3"/>
      <c r="N11" s="5"/>
      <c r="O11" s="6" t="e">
        <f t="shared" si="3"/>
        <v>#DIV/0!</v>
      </c>
      <c r="P11" s="518"/>
      <c r="Q11" s="464">
        <f t="shared" si="4"/>
        <v>0</v>
      </c>
      <c r="R11" s="3"/>
      <c r="S11" s="3"/>
      <c r="T11" s="3"/>
      <c r="U11" s="5"/>
      <c r="V11" s="6" t="e">
        <f t="shared" si="5"/>
        <v>#DIV/0!</v>
      </c>
      <c r="W11" s="495">
        <f t="shared" si="7"/>
        <v>0</v>
      </c>
      <c r="X11" s="474">
        <f t="shared" si="8"/>
        <v>0</v>
      </c>
      <c r="Y11" s="477">
        <f t="shared" si="9"/>
        <v>0</v>
      </c>
      <c r="Z11" s="474">
        <f t="shared" si="10"/>
        <v>0</v>
      </c>
      <c r="AA11" s="486">
        <f t="shared" si="11"/>
        <v>0</v>
      </c>
      <c r="AB11" s="478">
        <f t="shared" si="12"/>
        <v>0</v>
      </c>
      <c r="AC11" s="478" t="e">
        <f t="shared" si="13"/>
        <v>#DIV/0!</v>
      </c>
      <c r="AD11" s="474" t="e">
        <f t="shared" si="14"/>
        <v>#DIV/0!</v>
      </c>
      <c r="AE11" s="497" t="e">
        <f t="shared" si="15"/>
        <v>#DIV/0!</v>
      </c>
    </row>
    <row r="12" spans="1:31">
      <c r="A12" s="435">
        <f>'SQ-1'!A12</f>
        <v>43959</v>
      </c>
      <c r="B12" s="518"/>
      <c r="C12" s="464">
        <f t="shared" si="0"/>
        <v>0</v>
      </c>
      <c r="D12" s="5"/>
      <c r="E12" s="3"/>
      <c r="F12" s="434"/>
      <c r="G12" s="5"/>
      <c r="H12" s="6" t="e">
        <f t="shared" si="1"/>
        <v>#DIV/0!</v>
      </c>
      <c r="I12" s="518"/>
      <c r="J12" s="464">
        <f t="shared" si="2"/>
        <v>0</v>
      </c>
      <c r="K12" s="3"/>
      <c r="L12" s="3"/>
      <c r="M12" s="3"/>
      <c r="N12" s="5"/>
      <c r="O12" s="6" t="e">
        <f t="shared" si="3"/>
        <v>#DIV/0!</v>
      </c>
      <c r="P12" s="518"/>
      <c r="Q12" s="464">
        <f t="shared" si="4"/>
        <v>0</v>
      </c>
      <c r="R12" s="3"/>
      <c r="S12" s="3"/>
      <c r="T12" s="3"/>
      <c r="U12" s="5"/>
      <c r="V12" s="6" t="e">
        <f t="shared" si="5"/>
        <v>#DIV/0!</v>
      </c>
      <c r="W12" s="495">
        <f t="shared" si="7"/>
        <v>0</v>
      </c>
      <c r="X12" s="474">
        <f t="shared" si="8"/>
        <v>0</v>
      </c>
      <c r="Y12" s="477">
        <f t="shared" si="9"/>
        <v>0</v>
      </c>
      <c r="Z12" s="474">
        <f t="shared" si="10"/>
        <v>0</v>
      </c>
      <c r="AA12" s="486">
        <f t="shared" si="11"/>
        <v>0</v>
      </c>
      <c r="AB12" s="478">
        <f t="shared" si="12"/>
        <v>0</v>
      </c>
      <c r="AC12" s="478" t="e">
        <f t="shared" si="13"/>
        <v>#DIV/0!</v>
      </c>
      <c r="AD12" s="474" t="e">
        <f t="shared" si="14"/>
        <v>#DIV/0!</v>
      </c>
      <c r="AE12" s="497" t="e">
        <f t="shared" si="15"/>
        <v>#DIV/0!</v>
      </c>
    </row>
    <row r="13" spans="1:31">
      <c r="A13" s="435">
        <f>'SQ-1'!A13</f>
        <v>43960</v>
      </c>
      <c r="B13" s="518"/>
      <c r="C13" s="464">
        <f t="shared" si="0"/>
        <v>0</v>
      </c>
      <c r="D13" s="5"/>
      <c r="E13" s="3"/>
      <c r="F13" s="434"/>
      <c r="G13" s="5"/>
      <c r="H13" s="6" t="e">
        <f t="shared" si="1"/>
        <v>#DIV/0!</v>
      </c>
      <c r="I13" s="518"/>
      <c r="J13" s="464">
        <f t="shared" si="2"/>
        <v>0</v>
      </c>
      <c r="K13" s="3"/>
      <c r="L13" s="3"/>
      <c r="M13" s="3"/>
      <c r="N13" s="5"/>
      <c r="O13" s="6" t="e">
        <f t="shared" si="3"/>
        <v>#DIV/0!</v>
      </c>
      <c r="P13" s="518"/>
      <c r="Q13" s="464">
        <f t="shared" si="4"/>
        <v>0</v>
      </c>
      <c r="R13" s="3"/>
      <c r="S13" s="3"/>
      <c r="T13" s="3"/>
      <c r="U13" s="5"/>
      <c r="V13" s="6" t="e">
        <f t="shared" si="5"/>
        <v>#DIV/0!</v>
      </c>
      <c r="W13" s="495">
        <f t="shared" si="7"/>
        <v>0</v>
      </c>
      <c r="X13" s="474">
        <f t="shared" si="8"/>
        <v>0</v>
      </c>
      <c r="Y13" s="477">
        <f t="shared" si="9"/>
        <v>0</v>
      </c>
      <c r="Z13" s="474">
        <f t="shared" si="10"/>
        <v>0</v>
      </c>
      <c r="AA13" s="486">
        <f t="shared" si="11"/>
        <v>0</v>
      </c>
      <c r="AB13" s="478">
        <f t="shared" si="12"/>
        <v>0</v>
      </c>
      <c r="AC13" s="478" t="e">
        <f t="shared" si="13"/>
        <v>#DIV/0!</v>
      </c>
      <c r="AD13" s="474" t="e">
        <f t="shared" si="14"/>
        <v>#DIV/0!</v>
      </c>
      <c r="AE13" s="497" t="e">
        <f t="shared" si="15"/>
        <v>#DIV/0!</v>
      </c>
    </row>
    <row r="14" spans="1:31">
      <c r="A14" s="435">
        <f>'SQ-1'!A14</f>
        <v>43961</v>
      </c>
      <c r="B14" s="518"/>
      <c r="C14" s="464">
        <f t="shared" si="0"/>
        <v>0</v>
      </c>
      <c r="D14" s="5"/>
      <c r="E14" s="3"/>
      <c r="F14" s="434"/>
      <c r="G14" s="5"/>
      <c r="H14" s="6" t="e">
        <f t="shared" si="1"/>
        <v>#DIV/0!</v>
      </c>
      <c r="I14" s="518"/>
      <c r="J14" s="464">
        <f t="shared" si="2"/>
        <v>0</v>
      </c>
      <c r="K14" s="3"/>
      <c r="L14" s="3"/>
      <c r="M14" s="3"/>
      <c r="N14" s="5"/>
      <c r="O14" s="6" t="e">
        <f t="shared" si="3"/>
        <v>#DIV/0!</v>
      </c>
      <c r="P14" s="518"/>
      <c r="Q14" s="464">
        <f t="shared" si="4"/>
        <v>0</v>
      </c>
      <c r="R14" s="3"/>
      <c r="S14" s="3"/>
      <c r="T14" s="3"/>
      <c r="U14" s="5"/>
      <c r="V14" s="6" t="e">
        <f t="shared" si="5"/>
        <v>#DIV/0!</v>
      </c>
      <c r="W14" s="495">
        <f t="shared" si="7"/>
        <v>0</v>
      </c>
      <c r="X14" s="474">
        <f t="shared" si="8"/>
        <v>0</v>
      </c>
      <c r="Y14" s="477">
        <f t="shared" si="9"/>
        <v>0</v>
      </c>
      <c r="Z14" s="474">
        <f t="shared" si="10"/>
        <v>0</v>
      </c>
      <c r="AA14" s="486">
        <f t="shared" si="11"/>
        <v>0</v>
      </c>
      <c r="AB14" s="478">
        <f t="shared" si="12"/>
        <v>0</v>
      </c>
      <c r="AC14" s="478" t="e">
        <f t="shared" si="13"/>
        <v>#DIV/0!</v>
      </c>
      <c r="AD14" s="474" t="e">
        <f t="shared" si="14"/>
        <v>#DIV/0!</v>
      </c>
      <c r="AE14" s="497" t="e">
        <f t="shared" si="15"/>
        <v>#DIV/0!</v>
      </c>
    </row>
    <row r="15" spans="1:31">
      <c r="A15" s="435">
        <f>'SQ-1'!A15</f>
        <v>43962</v>
      </c>
      <c r="B15" s="518"/>
      <c r="C15" s="464">
        <f t="shared" si="0"/>
        <v>0</v>
      </c>
      <c r="D15" s="5"/>
      <c r="E15" s="3"/>
      <c r="F15" s="434"/>
      <c r="G15" s="5"/>
      <c r="H15" s="6" t="e">
        <f t="shared" si="1"/>
        <v>#DIV/0!</v>
      </c>
      <c r="I15" s="518"/>
      <c r="J15" s="464">
        <f t="shared" si="2"/>
        <v>0</v>
      </c>
      <c r="K15" s="3"/>
      <c r="L15" s="3"/>
      <c r="M15" s="3"/>
      <c r="N15" s="5"/>
      <c r="O15" s="6" t="e">
        <f t="shared" si="3"/>
        <v>#DIV/0!</v>
      </c>
      <c r="P15" s="518"/>
      <c r="Q15" s="464">
        <f t="shared" si="4"/>
        <v>0</v>
      </c>
      <c r="R15" s="3"/>
      <c r="S15" s="3"/>
      <c r="T15" s="3"/>
      <c r="U15" s="5"/>
      <c r="V15" s="6" t="e">
        <f t="shared" si="5"/>
        <v>#DIV/0!</v>
      </c>
      <c r="W15" s="495">
        <f t="shared" si="7"/>
        <v>0</v>
      </c>
      <c r="X15" s="474">
        <f t="shared" si="8"/>
        <v>0</v>
      </c>
      <c r="Y15" s="477">
        <f t="shared" si="9"/>
        <v>0</v>
      </c>
      <c r="Z15" s="474">
        <f t="shared" si="10"/>
        <v>0</v>
      </c>
      <c r="AA15" s="486">
        <f t="shared" si="11"/>
        <v>0</v>
      </c>
      <c r="AB15" s="478">
        <f t="shared" si="12"/>
        <v>0</v>
      </c>
      <c r="AC15" s="478" t="e">
        <f t="shared" si="13"/>
        <v>#DIV/0!</v>
      </c>
      <c r="AD15" s="474" t="e">
        <f t="shared" si="14"/>
        <v>#DIV/0!</v>
      </c>
      <c r="AE15" s="497" t="e">
        <f t="shared" si="15"/>
        <v>#DIV/0!</v>
      </c>
    </row>
    <row r="16" spans="1:31">
      <c r="A16" s="435">
        <f>'SQ-1'!A16</f>
        <v>43963</v>
      </c>
      <c r="B16" s="518"/>
      <c r="C16" s="464">
        <f t="shared" si="0"/>
        <v>0</v>
      </c>
      <c r="D16" s="5"/>
      <c r="E16" s="3"/>
      <c r="F16" s="434"/>
      <c r="G16" s="5"/>
      <c r="H16" s="6" t="e">
        <f t="shared" si="1"/>
        <v>#DIV/0!</v>
      </c>
      <c r="I16" s="518"/>
      <c r="J16" s="464">
        <f t="shared" si="2"/>
        <v>0</v>
      </c>
      <c r="K16" s="3"/>
      <c r="L16" s="3"/>
      <c r="M16" s="3"/>
      <c r="N16" s="5"/>
      <c r="O16" s="6" t="e">
        <f t="shared" si="3"/>
        <v>#DIV/0!</v>
      </c>
      <c r="P16" s="518"/>
      <c r="Q16" s="464">
        <f t="shared" si="4"/>
        <v>0</v>
      </c>
      <c r="R16" s="3"/>
      <c r="S16" s="3"/>
      <c r="T16" s="3"/>
      <c r="U16" s="5"/>
      <c r="V16" s="6" t="e">
        <f t="shared" si="5"/>
        <v>#DIV/0!</v>
      </c>
      <c r="W16" s="495">
        <f t="shared" si="7"/>
        <v>0</v>
      </c>
      <c r="X16" s="474">
        <f t="shared" si="8"/>
        <v>0</v>
      </c>
      <c r="Y16" s="477">
        <f t="shared" si="9"/>
        <v>0</v>
      </c>
      <c r="Z16" s="474">
        <f t="shared" si="10"/>
        <v>0</v>
      </c>
      <c r="AA16" s="486">
        <f t="shared" si="11"/>
        <v>0</v>
      </c>
      <c r="AB16" s="478">
        <f t="shared" si="12"/>
        <v>0</v>
      </c>
      <c r="AC16" s="478" t="e">
        <f t="shared" si="13"/>
        <v>#DIV/0!</v>
      </c>
      <c r="AD16" s="474" t="e">
        <f t="shared" si="14"/>
        <v>#DIV/0!</v>
      </c>
      <c r="AE16" s="497" t="e">
        <f t="shared" si="15"/>
        <v>#DIV/0!</v>
      </c>
    </row>
    <row r="17" spans="1:31">
      <c r="A17" s="435">
        <f>'SQ-1'!A17</f>
        <v>43964</v>
      </c>
      <c r="B17" s="518"/>
      <c r="C17" s="464">
        <f t="shared" si="0"/>
        <v>0</v>
      </c>
      <c r="D17" s="5"/>
      <c r="E17" s="3"/>
      <c r="F17" s="434"/>
      <c r="G17" s="5"/>
      <c r="H17" s="6" t="e">
        <f t="shared" si="1"/>
        <v>#DIV/0!</v>
      </c>
      <c r="I17" s="518"/>
      <c r="J17" s="464">
        <f t="shared" si="2"/>
        <v>0</v>
      </c>
      <c r="K17" s="3"/>
      <c r="L17" s="3"/>
      <c r="M17" s="3"/>
      <c r="N17" s="5"/>
      <c r="O17" s="6" t="e">
        <f t="shared" si="3"/>
        <v>#DIV/0!</v>
      </c>
      <c r="P17" s="518"/>
      <c r="Q17" s="464">
        <f t="shared" si="4"/>
        <v>0</v>
      </c>
      <c r="R17" s="3"/>
      <c r="S17" s="3"/>
      <c r="T17" s="3"/>
      <c r="U17" s="5"/>
      <c r="V17" s="6" t="e">
        <f t="shared" si="5"/>
        <v>#DIV/0!</v>
      </c>
      <c r="W17" s="495">
        <f t="shared" si="7"/>
        <v>0</v>
      </c>
      <c r="X17" s="474">
        <f t="shared" si="8"/>
        <v>0</v>
      </c>
      <c r="Y17" s="477">
        <f t="shared" si="9"/>
        <v>0</v>
      </c>
      <c r="Z17" s="474">
        <f t="shared" si="10"/>
        <v>0</v>
      </c>
      <c r="AA17" s="486">
        <f t="shared" si="11"/>
        <v>0</v>
      </c>
      <c r="AB17" s="478">
        <f t="shared" si="12"/>
        <v>0</v>
      </c>
      <c r="AC17" s="478" t="e">
        <f t="shared" si="13"/>
        <v>#DIV/0!</v>
      </c>
      <c r="AD17" s="474" t="e">
        <f t="shared" si="14"/>
        <v>#DIV/0!</v>
      </c>
      <c r="AE17" s="497" t="e">
        <f t="shared" si="15"/>
        <v>#DIV/0!</v>
      </c>
    </row>
    <row r="18" spans="1:31">
      <c r="A18" s="435">
        <f>'SQ-1'!A18</f>
        <v>43965</v>
      </c>
      <c r="B18" s="518"/>
      <c r="C18" s="464">
        <f t="shared" si="0"/>
        <v>0</v>
      </c>
      <c r="D18" s="5"/>
      <c r="E18" s="3"/>
      <c r="F18" s="434"/>
      <c r="G18" s="5"/>
      <c r="H18" s="6" t="e">
        <f t="shared" si="1"/>
        <v>#DIV/0!</v>
      </c>
      <c r="I18" s="518"/>
      <c r="J18" s="464">
        <f t="shared" si="2"/>
        <v>0</v>
      </c>
      <c r="K18" s="3"/>
      <c r="L18" s="3"/>
      <c r="M18" s="3"/>
      <c r="N18" s="5"/>
      <c r="O18" s="6" t="e">
        <f t="shared" si="3"/>
        <v>#DIV/0!</v>
      </c>
      <c r="P18" s="518"/>
      <c r="Q18" s="464">
        <f t="shared" si="4"/>
        <v>0</v>
      </c>
      <c r="R18" s="3"/>
      <c r="S18" s="3"/>
      <c r="T18" s="3"/>
      <c r="U18" s="5"/>
      <c r="V18" s="6" t="e">
        <f t="shared" si="5"/>
        <v>#DIV/0!</v>
      </c>
      <c r="W18" s="495">
        <f t="shared" si="7"/>
        <v>0</v>
      </c>
      <c r="X18" s="474">
        <f t="shared" si="8"/>
        <v>0</v>
      </c>
      <c r="Y18" s="477">
        <f t="shared" si="9"/>
        <v>0</v>
      </c>
      <c r="Z18" s="474">
        <f t="shared" si="10"/>
        <v>0</v>
      </c>
      <c r="AA18" s="486">
        <f t="shared" si="11"/>
        <v>0</v>
      </c>
      <c r="AB18" s="478">
        <f t="shared" si="12"/>
        <v>0</v>
      </c>
      <c r="AC18" s="478" t="e">
        <f t="shared" si="13"/>
        <v>#DIV/0!</v>
      </c>
      <c r="AD18" s="474" t="e">
        <f t="shared" si="14"/>
        <v>#DIV/0!</v>
      </c>
      <c r="AE18" s="497" t="e">
        <f t="shared" si="15"/>
        <v>#DIV/0!</v>
      </c>
    </row>
    <row r="19" spans="1:31">
      <c r="A19" s="435">
        <f>'SQ-1'!A19</f>
        <v>43966</v>
      </c>
      <c r="B19" s="518"/>
      <c r="C19" s="464">
        <f t="shared" si="0"/>
        <v>0</v>
      </c>
      <c r="D19" s="5"/>
      <c r="E19" s="3"/>
      <c r="F19" s="434"/>
      <c r="G19" s="5"/>
      <c r="H19" s="6" t="e">
        <f t="shared" si="1"/>
        <v>#DIV/0!</v>
      </c>
      <c r="I19" s="518"/>
      <c r="J19" s="464">
        <f t="shared" si="2"/>
        <v>0</v>
      </c>
      <c r="K19" s="3"/>
      <c r="L19" s="3"/>
      <c r="M19" s="3"/>
      <c r="N19" s="5"/>
      <c r="O19" s="6" t="e">
        <f t="shared" si="3"/>
        <v>#DIV/0!</v>
      </c>
      <c r="P19" s="518"/>
      <c r="Q19" s="464">
        <f t="shared" si="4"/>
        <v>0</v>
      </c>
      <c r="R19" s="3"/>
      <c r="S19" s="3"/>
      <c r="T19" s="3"/>
      <c r="U19" s="5"/>
      <c r="V19" s="6" t="e">
        <f t="shared" si="5"/>
        <v>#DIV/0!</v>
      </c>
      <c r="W19" s="495">
        <f t="shared" si="7"/>
        <v>0</v>
      </c>
      <c r="X19" s="474">
        <f t="shared" si="8"/>
        <v>0</v>
      </c>
      <c r="Y19" s="477">
        <f t="shared" si="9"/>
        <v>0</v>
      </c>
      <c r="Z19" s="474">
        <f t="shared" si="10"/>
        <v>0</v>
      </c>
      <c r="AA19" s="486">
        <f t="shared" si="11"/>
        <v>0</v>
      </c>
      <c r="AB19" s="478">
        <f t="shared" si="12"/>
        <v>0</v>
      </c>
      <c r="AC19" s="478" t="e">
        <f t="shared" si="13"/>
        <v>#DIV/0!</v>
      </c>
      <c r="AD19" s="474" t="e">
        <f t="shared" si="14"/>
        <v>#DIV/0!</v>
      </c>
      <c r="AE19" s="497" t="e">
        <f t="shared" si="15"/>
        <v>#DIV/0!</v>
      </c>
    </row>
    <row r="20" spans="1:31">
      <c r="A20" s="435">
        <f>'SQ-1'!A20</f>
        <v>43967</v>
      </c>
      <c r="B20" s="518"/>
      <c r="C20" s="464">
        <f t="shared" si="0"/>
        <v>0</v>
      </c>
      <c r="D20" s="5"/>
      <c r="E20" s="3"/>
      <c r="F20" s="434"/>
      <c r="G20" s="5"/>
      <c r="H20" s="6" t="e">
        <f t="shared" si="1"/>
        <v>#DIV/0!</v>
      </c>
      <c r="I20" s="518"/>
      <c r="J20" s="464">
        <f t="shared" si="2"/>
        <v>0</v>
      </c>
      <c r="K20" s="3"/>
      <c r="L20" s="3"/>
      <c r="M20" s="3"/>
      <c r="N20" s="5"/>
      <c r="O20" s="6" t="e">
        <f t="shared" si="3"/>
        <v>#DIV/0!</v>
      </c>
      <c r="P20" s="518"/>
      <c r="Q20" s="464">
        <f t="shared" si="4"/>
        <v>0</v>
      </c>
      <c r="R20" s="3"/>
      <c r="S20" s="3"/>
      <c r="T20" s="3"/>
      <c r="U20" s="5"/>
      <c r="V20" s="6" t="e">
        <f t="shared" si="5"/>
        <v>#DIV/0!</v>
      </c>
      <c r="W20" s="495">
        <f t="shared" si="7"/>
        <v>0</v>
      </c>
      <c r="X20" s="474">
        <f t="shared" si="8"/>
        <v>0</v>
      </c>
      <c r="Y20" s="477">
        <f t="shared" si="9"/>
        <v>0</v>
      </c>
      <c r="Z20" s="474">
        <f t="shared" si="10"/>
        <v>0</v>
      </c>
      <c r="AA20" s="486">
        <f t="shared" si="11"/>
        <v>0</v>
      </c>
      <c r="AB20" s="478">
        <f t="shared" si="12"/>
        <v>0</v>
      </c>
      <c r="AC20" s="478" t="e">
        <f t="shared" si="13"/>
        <v>#DIV/0!</v>
      </c>
      <c r="AD20" s="474" t="e">
        <f t="shared" si="14"/>
        <v>#DIV/0!</v>
      </c>
      <c r="AE20" s="497" t="e">
        <f t="shared" si="15"/>
        <v>#DIV/0!</v>
      </c>
    </row>
    <row r="21" spans="1:31">
      <c r="A21" s="435">
        <f>'SQ-1'!A21</f>
        <v>43968</v>
      </c>
      <c r="B21" s="518"/>
      <c r="C21" s="464">
        <f t="shared" si="0"/>
        <v>0</v>
      </c>
      <c r="D21" s="5"/>
      <c r="E21" s="3"/>
      <c r="F21" s="434"/>
      <c r="G21" s="5"/>
      <c r="H21" s="6" t="e">
        <f t="shared" si="1"/>
        <v>#DIV/0!</v>
      </c>
      <c r="I21" s="518"/>
      <c r="J21" s="464">
        <f t="shared" si="2"/>
        <v>0</v>
      </c>
      <c r="K21" s="3"/>
      <c r="L21" s="3"/>
      <c r="M21" s="3"/>
      <c r="N21" s="5"/>
      <c r="O21" s="6" t="e">
        <f t="shared" si="3"/>
        <v>#DIV/0!</v>
      </c>
      <c r="P21" s="518"/>
      <c r="Q21" s="464">
        <f t="shared" si="4"/>
        <v>0</v>
      </c>
      <c r="R21" s="3"/>
      <c r="S21" s="3"/>
      <c r="T21" s="3"/>
      <c r="U21" s="5"/>
      <c r="V21" s="6" t="e">
        <f t="shared" si="5"/>
        <v>#DIV/0!</v>
      </c>
      <c r="W21" s="495">
        <f t="shared" si="7"/>
        <v>0</v>
      </c>
      <c r="X21" s="474">
        <f t="shared" si="8"/>
        <v>0</v>
      </c>
      <c r="Y21" s="477">
        <f t="shared" si="9"/>
        <v>0</v>
      </c>
      <c r="Z21" s="474">
        <f t="shared" si="10"/>
        <v>0</v>
      </c>
      <c r="AA21" s="486">
        <f t="shared" si="11"/>
        <v>0</v>
      </c>
      <c r="AB21" s="478">
        <f t="shared" si="12"/>
        <v>0</v>
      </c>
      <c r="AC21" s="478" t="e">
        <f t="shared" si="13"/>
        <v>#DIV/0!</v>
      </c>
      <c r="AD21" s="474" t="e">
        <f t="shared" si="14"/>
        <v>#DIV/0!</v>
      </c>
      <c r="AE21" s="497" t="e">
        <f t="shared" si="15"/>
        <v>#DIV/0!</v>
      </c>
    </row>
    <row r="22" spans="1:31">
      <c r="A22" s="435">
        <f>'SQ-1'!A22</f>
        <v>43969</v>
      </c>
      <c r="B22" s="518"/>
      <c r="C22" s="464">
        <f t="shared" si="0"/>
        <v>0</v>
      </c>
      <c r="D22" s="5"/>
      <c r="E22" s="3"/>
      <c r="F22" s="434"/>
      <c r="G22" s="5"/>
      <c r="H22" s="6" t="e">
        <f t="shared" si="1"/>
        <v>#DIV/0!</v>
      </c>
      <c r="I22" s="518"/>
      <c r="J22" s="464">
        <f t="shared" si="2"/>
        <v>0</v>
      </c>
      <c r="K22" s="3"/>
      <c r="L22" s="3"/>
      <c r="M22" s="3"/>
      <c r="N22" s="5"/>
      <c r="O22" s="6" t="e">
        <f t="shared" si="3"/>
        <v>#DIV/0!</v>
      </c>
      <c r="P22" s="518"/>
      <c r="Q22" s="464">
        <f t="shared" si="4"/>
        <v>0</v>
      </c>
      <c r="R22" s="3"/>
      <c r="S22" s="3"/>
      <c r="T22" s="3"/>
      <c r="U22" s="5"/>
      <c r="V22" s="6" t="e">
        <f t="shared" si="5"/>
        <v>#DIV/0!</v>
      </c>
      <c r="W22" s="495">
        <f t="shared" si="7"/>
        <v>0</v>
      </c>
      <c r="X22" s="474">
        <f t="shared" si="8"/>
        <v>0</v>
      </c>
      <c r="Y22" s="477">
        <f t="shared" si="9"/>
        <v>0</v>
      </c>
      <c r="Z22" s="474">
        <f t="shared" si="10"/>
        <v>0</v>
      </c>
      <c r="AA22" s="486">
        <f t="shared" si="11"/>
        <v>0</v>
      </c>
      <c r="AB22" s="478">
        <f t="shared" si="12"/>
        <v>0</v>
      </c>
      <c r="AC22" s="478" t="e">
        <f t="shared" si="13"/>
        <v>#DIV/0!</v>
      </c>
      <c r="AD22" s="474" t="e">
        <f t="shared" si="14"/>
        <v>#DIV/0!</v>
      </c>
      <c r="AE22" s="497" t="e">
        <f t="shared" si="15"/>
        <v>#DIV/0!</v>
      </c>
    </row>
    <row r="23" spans="1:31">
      <c r="A23" s="435">
        <f>'SQ-1'!A23</f>
        <v>43970</v>
      </c>
      <c r="B23" s="518"/>
      <c r="C23" s="464">
        <f t="shared" si="0"/>
        <v>0</v>
      </c>
      <c r="D23" s="5"/>
      <c r="E23" s="3"/>
      <c r="F23" s="434"/>
      <c r="G23" s="5"/>
      <c r="H23" s="6" t="e">
        <f t="shared" si="1"/>
        <v>#DIV/0!</v>
      </c>
      <c r="I23" s="518"/>
      <c r="J23" s="464">
        <f t="shared" si="2"/>
        <v>0</v>
      </c>
      <c r="K23" s="3"/>
      <c r="L23" s="3"/>
      <c r="M23" s="3"/>
      <c r="N23" s="5"/>
      <c r="O23" s="6" t="e">
        <f t="shared" si="3"/>
        <v>#DIV/0!</v>
      </c>
      <c r="P23" s="518"/>
      <c r="Q23" s="464">
        <f t="shared" si="4"/>
        <v>0</v>
      </c>
      <c r="R23" s="3"/>
      <c r="S23" s="3"/>
      <c r="T23" s="3"/>
      <c r="U23" s="5"/>
      <c r="V23" s="6" t="e">
        <f t="shared" si="5"/>
        <v>#DIV/0!</v>
      </c>
      <c r="W23" s="495">
        <f t="shared" si="7"/>
        <v>0</v>
      </c>
      <c r="X23" s="474">
        <f t="shared" si="8"/>
        <v>0</v>
      </c>
      <c r="Y23" s="477">
        <f t="shared" si="9"/>
        <v>0</v>
      </c>
      <c r="Z23" s="474">
        <f t="shared" si="10"/>
        <v>0</v>
      </c>
      <c r="AA23" s="486">
        <f t="shared" si="11"/>
        <v>0</v>
      </c>
      <c r="AB23" s="478">
        <f t="shared" si="12"/>
        <v>0</v>
      </c>
      <c r="AC23" s="478" t="e">
        <f t="shared" si="13"/>
        <v>#DIV/0!</v>
      </c>
      <c r="AD23" s="474" t="e">
        <f t="shared" si="14"/>
        <v>#DIV/0!</v>
      </c>
      <c r="AE23" s="497" t="e">
        <f t="shared" si="15"/>
        <v>#DIV/0!</v>
      </c>
    </row>
    <row r="24" spans="1:31">
      <c r="A24" s="435">
        <f>'SQ-1'!A24</f>
        <v>43971</v>
      </c>
      <c r="B24" s="518"/>
      <c r="C24" s="464">
        <f t="shared" si="0"/>
        <v>0</v>
      </c>
      <c r="D24" s="5"/>
      <c r="E24" s="3"/>
      <c r="F24" s="434"/>
      <c r="G24" s="5"/>
      <c r="H24" s="6" t="e">
        <f t="shared" si="1"/>
        <v>#DIV/0!</v>
      </c>
      <c r="I24" s="518"/>
      <c r="J24" s="464">
        <f t="shared" si="2"/>
        <v>0</v>
      </c>
      <c r="K24" s="3"/>
      <c r="L24" s="3"/>
      <c r="M24" s="3"/>
      <c r="N24" s="5"/>
      <c r="O24" s="6" t="e">
        <f t="shared" si="3"/>
        <v>#DIV/0!</v>
      </c>
      <c r="P24" s="518"/>
      <c r="Q24" s="464">
        <f t="shared" si="4"/>
        <v>0</v>
      </c>
      <c r="R24" s="3"/>
      <c r="S24" s="3"/>
      <c r="T24" s="3"/>
      <c r="U24" s="5"/>
      <c r="V24" s="6" t="e">
        <f t="shared" si="5"/>
        <v>#DIV/0!</v>
      </c>
      <c r="W24" s="495">
        <f t="shared" si="7"/>
        <v>0</v>
      </c>
      <c r="X24" s="474">
        <f t="shared" si="8"/>
        <v>0</v>
      </c>
      <c r="Y24" s="477">
        <f t="shared" si="9"/>
        <v>0</v>
      </c>
      <c r="Z24" s="474">
        <f t="shared" si="10"/>
        <v>0</v>
      </c>
      <c r="AA24" s="486">
        <f t="shared" si="11"/>
        <v>0</v>
      </c>
      <c r="AB24" s="478">
        <f t="shared" si="12"/>
        <v>0</v>
      </c>
      <c r="AC24" s="478" t="e">
        <f t="shared" si="13"/>
        <v>#DIV/0!</v>
      </c>
      <c r="AD24" s="474" t="e">
        <f t="shared" si="14"/>
        <v>#DIV/0!</v>
      </c>
      <c r="AE24" s="497" t="e">
        <f t="shared" si="15"/>
        <v>#DIV/0!</v>
      </c>
    </row>
    <row r="25" spans="1:31">
      <c r="A25" s="435">
        <f>'SQ-1'!A25</f>
        <v>43972</v>
      </c>
      <c r="B25" s="518"/>
      <c r="C25" s="464">
        <f t="shared" si="0"/>
        <v>0</v>
      </c>
      <c r="D25" s="5"/>
      <c r="E25" s="3"/>
      <c r="F25" s="434"/>
      <c r="G25" s="5"/>
      <c r="H25" s="6" t="e">
        <f t="shared" si="1"/>
        <v>#DIV/0!</v>
      </c>
      <c r="I25" s="518"/>
      <c r="J25" s="464">
        <f t="shared" si="2"/>
        <v>0</v>
      </c>
      <c r="K25" s="3"/>
      <c r="L25" s="3"/>
      <c r="M25" s="3"/>
      <c r="N25" s="5"/>
      <c r="O25" s="6" t="e">
        <f t="shared" si="3"/>
        <v>#DIV/0!</v>
      </c>
      <c r="P25" s="518"/>
      <c r="Q25" s="464">
        <f t="shared" si="4"/>
        <v>0</v>
      </c>
      <c r="R25" s="3"/>
      <c r="S25" s="3"/>
      <c r="T25" s="3"/>
      <c r="U25" s="5"/>
      <c r="V25" s="6" t="e">
        <f t="shared" ref="V25:V35" si="16">U25/P25</f>
        <v>#DIV/0!</v>
      </c>
      <c r="W25" s="495">
        <f t="shared" si="7"/>
        <v>0</v>
      </c>
      <c r="X25" s="474">
        <f t="shared" si="8"/>
        <v>0</v>
      </c>
      <c r="Y25" s="477">
        <f t="shared" si="9"/>
        <v>0</v>
      </c>
      <c r="Z25" s="474">
        <f t="shared" si="10"/>
        <v>0</v>
      </c>
      <c r="AA25" s="486">
        <f t="shared" si="11"/>
        <v>0</v>
      </c>
      <c r="AB25" s="478">
        <f t="shared" si="12"/>
        <v>0</v>
      </c>
      <c r="AC25" s="478" t="e">
        <f t="shared" si="13"/>
        <v>#DIV/0!</v>
      </c>
      <c r="AD25" s="474" t="e">
        <f t="shared" si="14"/>
        <v>#DIV/0!</v>
      </c>
      <c r="AE25" s="497" t="e">
        <f t="shared" si="15"/>
        <v>#DIV/0!</v>
      </c>
    </row>
    <row r="26" spans="1:31">
      <c r="A26" s="435">
        <f>'SQ-1'!A26</f>
        <v>43973</v>
      </c>
      <c r="B26" s="518"/>
      <c r="C26" s="464">
        <f t="shared" si="0"/>
        <v>0</v>
      </c>
      <c r="D26" s="5"/>
      <c r="E26" s="3"/>
      <c r="F26" s="434"/>
      <c r="G26" s="5"/>
      <c r="H26" s="6" t="e">
        <f t="shared" si="1"/>
        <v>#DIV/0!</v>
      </c>
      <c r="I26" s="518"/>
      <c r="J26" s="464">
        <f t="shared" si="2"/>
        <v>0</v>
      </c>
      <c r="K26" s="3"/>
      <c r="L26" s="3"/>
      <c r="M26" s="3"/>
      <c r="N26" s="5"/>
      <c r="O26" s="6" t="e">
        <f t="shared" si="3"/>
        <v>#DIV/0!</v>
      </c>
      <c r="P26" s="518"/>
      <c r="Q26" s="464">
        <f t="shared" si="4"/>
        <v>0</v>
      </c>
      <c r="R26" s="3"/>
      <c r="S26" s="3"/>
      <c r="T26" s="3"/>
      <c r="U26" s="5"/>
      <c r="V26" s="6" t="e">
        <f t="shared" si="16"/>
        <v>#DIV/0!</v>
      </c>
      <c r="W26" s="495">
        <f t="shared" si="7"/>
        <v>0</v>
      </c>
      <c r="X26" s="474">
        <f t="shared" si="8"/>
        <v>0</v>
      </c>
      <c r="Y26" s="477">
        <f t="shared" si="9"/>
        <v>0</v>
      </c>
      <c r="Z26" s="474">
        <f t="shared" si="10"/>
        <v>0</v>
      </c>
      <c r="AA26" s="486">
        <f t="shared" si="11"/>
        <v>0</v>
      </c>
      <c r="AB26" s="478">
        <f t="shared" si="12"/>
        <v>0</v>
      </c>
      <c r="AC26" s="478" t="e">
        <f t="shared" si="13"/>
        <v>#DIV/0!</v>
      </c>
      <c r="AD26" s="474" t="e">
        <f t="shared" si="14"/>
        <v>#DIV/0!</v>
      </c>
      <c r="AE26" s="497" t="e">
        <f t="shared" si="15"/>
        <v>#DIV/0!</v>
      </c>
    </row>
    <row r="27" spans="1:31">
      <c r="A27" s="435">
        <f>'SQ-1'!A27</f>
        <v>43974</v>
      </c>
      <c r="B27" s="518"/>
      <c r="C27" s="464">
        <f t="shared" si="0"/>
        <v>0</v>
      </c>
      <c r="D27" s="5"/>
      <c r="E27" s="3"/>
      <c r="F27" s="434"/>
      <c r="G27" s="5"/>
      <c r="H27" s="6" t="e">
        <f t="shared" si="1"/>
        <v>#DIV/0!</v>
      </c>
      <c r="I27" s="518"/>
      <c r="J27" s="464">
        <f t="shared" si="2"/>
        <v>0</v>
      </c>
      <c r="K27" s="3"/>
      <c r="L27" s="3"/>
      <c r="M27" s="3"/>
      <c r="N27" s="5"/>
      <c r="O27" s="6" t="e">
        <f t="shared" si="3"/>
        <v>#DIV/0!</v>
      </c>
      <c r="P27" s="518"/>
      <c r="Q27" s="464">
        <f t="shared" si="4"/>
        <v>0</v>
      </c>
      <c r="R27" s="3"/>
      <c r="S27" s="3"/>
      <c r="T27" s="3"/>
      <c r="U27" s="5"/>
      <c r="V27" s="6" t="e">
        <f t="shared" si="16"/>
        <v>#DIV/0!</v>
      </c>
      <c r="W27" s="495">
        <f t="shared" si="7"/>
        <v>0</v>
      </c>
      <c r="X27" s="474">
        <f t="shared" si="8"/>
        <v>0</v>
      </c>
      <c r="Y27" s="477">
        <f t="shared" si="9"/>
        <v>0</v>
      </c>
      <c r="Z27" s="474">
        <f t="shared" si="10"/>
        <v>0</v>
      </c>
      <c r="AA27" s="486">
        <f t="shared" si="11"/>
        <v>0</v>
      </c>
      <c r="AB27" s="478">
        <f t="shared" si="12"/>
        <v>0</v>
      </c>
      <c r="AC27" s="478" t="e">
        <f t="shared" si="13"/>
        <v>#DIV/0!</v>
      </c>
      <c r="AD27" s="474" t="e">
        <f t="shared" si="14"/>
        <v>#DIV/0!</v>
      </c>
      <c r="AE27" s="497" t="e">
        <f t="shared" si="15"/>
        <v>#DIV/0!</v>
      </c>
    </row>
    <row r="28" spans="1:31">
      <c r="A28" s="435">
        <f>'SQ-1'!A28</f>
        <v>43975</v>
      </c>
      <c r="B28" s="518"/>
      <c r="C28" s="464">
        <f t="shared" si="0"/>
        <v>0</v>
      </c>
      <c r="D28" s="5"/>
      <c r="E28" s="3"/>
      <c r="F28" s="434"/>
      <c r="G28" s="5"/>
      <c r="H28" s="6" t="e">
        <f t="shared" si="1"/>
        <v>#DIV/0!</v>
      </c>
      <c r="I28" s="518"/>
      <c r="J28" s="464">
        <f t="shared" si="2"/>
        <v>0</v>
      </c>
      <c r="K28" s="3"/>
      <c r="L28" s="3"/>
      <c r="M28" s="3"/>
      <c r="N28" s="5"/>
      <c r="O28" s="6" t="e">
        <f t="shared" si="3"/>
        <v>#DIV/0!</v>
      </c>
      <c r="P28" s="518"/>
      <c r="Q28" s="464">
        <f t="shared" si="4"/>
        <v>0</v>
      </c>
      <c r="R28" s="3"/>
      <c r="S28" s="3"/>
      <c r="T28" s="3"/>
      <c r="U28" s="5"/>
      <c r="V28" s="6" t="e">
        <f t="shared" si="16"/>
        <v>#DIV/0!</v>
      </c>
      <c r="W28" s="495">
        <f t="shared" si="7"/>
        <v>0</v>
      </c>
      <c r="X28" s="474">
        <f t="shared" si="8"/>
        <v>0</v>
      </c>
      <c r="Y28" s="477">
        <f t="shared" si="9"/>
        <v>0</v>
      </c>
      <c r="Z28" s="474">
        <f t="shared" si="10"/>
        <v>0</v>
      </c>
      <c r="AA28" s="486">
        <f t="shared" si="11"/>
        <v>0</v>
      </c>
      <c r="AB28" s="478">
        <f t="shared" si="12"/>
        <v>0</v>
      </c>
      <c r="AC28" s="478" t="e">
        <f t="shared" si="13"/>
        <v>#DIV/0!</v>
      </c>
      <c r="AD28" s="474" t="e">
        <f t="shared" si="14"/>
        <v>#DIV/0!</v>
      </c>
      <c r="AE28" s="497" t="e">
        <f t="shared" si="15"/>
        <v>#DIV/0!</v>
      </c>
    </row>
    <row r="29" spans="1:31">
      <c r="A29" s="435">
        <f>'SQ-1'!A29</f>
        <v>43976</v>
      </c>
      <c r="B29" s="518"/>
      <c r="C29" s="464">
        <f t="shared" si="0"/>
        <v>0</v>
      </c>
      <c r="D29" s="5"/>
      <c r="E29" s="3"/>
      <c r="F29" s="434"/>
      <c r="G29" s="5"/>
      <c r="H29" s="6" t="e">
        <f t="shared" si="1"/>
        <v>#DIV/0!</v>
      </c>
      <c r="I29" s="518"/>
      <c r="J29" s="464">
        <f t="shared" si="2"/>
        <v>0</v>
      </c>
      <c r="K29" s="3"/>
      <c r="L29" s="3"/>
      <c r="M29" s="3"/>
      <c r="N29" s="5"/>
      <c r="O29" s="6" t="e">
        <f t="shared" si="3"/>
        <v>#DIV/0!</v>
      </c>
      <c r="P29" s="518"/>
      <c r="Q29" s="464">
        <f t="shared" si="4"/>
        <v>0</v>
      </c>
      <c r="R29" s="3"/>
      <c r="S29" s="3"/>
      <c r="T29" s="3"/>
      <c r="U29" s="5"/>
      <c r="V29" s="6" t="e">
        <f t="shared" si="16"/>
        <v>#DIV/0!</v>
      </c>
      <c r="W29" s="495">
        <f>B29+I29+P29</f>
        <v>0</v>
      </c>
      <c r="X29" s="474">
        <f t="shared" si="8"/>
        <v>0</v>
      </c>
      <c r="Y29" s="477">
        <f t="shared" si="9"/>
        <v>0</v>
      </c>
      <c r="Z29" s="474">
        <f t="shared" si="10"/>
        <v>0</v>
      </c>
      <c r="AA29" s="486">
        <f t="shared" si="11"/>
        <v>0</v>
      </c>
      <c r="AB29" s="478">
        <f t="shared" si="12"/>
        <v>0</v>
      </c>
      <c r="AC29" s="478" t="e">
        <f t="shared" si="13"/>
        <v>#DIV/0!</v>
      </c>
      <c r="AD29" s="474" t="e">
        <f t="shared" si="14"/>
        <v>#DIV/0!</v>
      </c>
      <c r="AE29" s="497" t="e">
        <f t="shared" si="15"/>
        <v>#DIV/0!</v>
      </c>
    </row>
    <row r="30" spans="1:31">
      <c r="A30" s="435">
        <f>'SQ-1'!A30</f>
        <v>43977</v>
      </c>
      <c r="B30" s="518"/>
      <c r="C30" s="464">
        <f t="shared" si="0"/>
        <v>0</v>
      </c>
      <c r="D30" s="5"/>
      <c r="E30" s="3"/>
      <c r="F30" s="434"/>
      <c r="G30" s="5"/>
      <c r="H30" s="6" t="e">
        <f t="shared" si="1"/>
        <v>#DIV/0!</v>
      </c>
      <c r="I30" s="518"/>
      <c r="J30" s="464">
        <f t="shared" si="2"/>
        <v>0</v>
      </c>
      <c r="K30" s="3"/>
      <c r="L30" s="3"/>
      <c r="M30" s="3"/>
      <c r="N30" s="5"/>
      <c r="O30" s="6" t="e">
        <f t="shared" si="3"/>
        <v>#DIV/0!</v>
      </c>
      <c r="P30" s="518"/>
      <c r="Q30" s="464">
        <f t="shared" si="4"/>
        <v>0</v>
      </c>
      <c r="R30" s="3"/>
      <c r="S30" s="3"/>
      <c r="T30" s="3"/>
      <c r="U30" s="5"/>
      <c r="V30" s="6" t="e">
        <f t="shared" si="16"/>
        <v>#DIV/0!</v>
      </c>
      <c r="W30" s="495">
        <f t="shared" si="7"/>
        <v>0</v>
      </c>
      <c r="X30" s="474">
        <f t="shared" si="8"/>
        <v>0</v>
      </c>
      <c r="Y30" s="477">
        <f>D30+K30+R30</f>
        <v>0</v>
      </c>
      <c r="Z30" s="474">
        <f t="shared" si="10"/>
        <v>0</v>
      </c>
      <c r="AA30" s="486">
        <f t="shared" si="11"/>
        <v>0</v>
      </c>
      <c r="AB30" s="478">
        <f t="shared" si="12"/>
        <v>0</v>
      </c>
      <c r="AC30" s="478" t="e">
        <f t="shared" si="13"/>
        <v>#DIV/0!</v>
      </c>
      <c r="AD30" s="474" t="e">
        <f t="shared" si="14"/>
        <v>#DIV/0!</v>
      </c>
      <c r="AE30" s="497" t="e">
        <f t="shared" si="15"/>
        <v>#DIV/0!</v>
      </c>
    </row>
    <row r="31" spans="1:31">
      <c r="A31" s="435">
        <f>'SQ-1'!A31</f>
        <v>43978</v>
      </c>
      <c r="B31" s="518"/>
      <c r="C31" s="464">
        <f t="shared" si="0"/>
        <v>0</v>
      </c>
      <c r="D31" s="3"/>
      <c r="E31" s="3"/>
      <c r="F31" s="3"/>
      <c r="G31" s="5"/>
      <c r="H31" s="6" t="e">
        <f t="shared" si="1"/>
        <v>#DIV/0!</v>
      </c>
      <c r="I31" s="518"/>
      <c r="J31" s="464">
        <f t="shared" si="2"/>
        <v>0</v>
      </c>
      <c r="K31" s="5"/>
      <c r="L31" s="3"/>
      <c r="M31" s="434"/>
      <c r="N31" s="5"/>
      <c r="O31" s="6" t="e">
        <f t="shared" si="3"/>
        <v>#DIV/0!</v>
      </c>
      <c r="P31" s="518"/>
      <c r="Q31" s="464">
        <f t="shared" si="4"/>
        <v>0</v>
      </c>
      <c r="R31" s="3"/>
      <c r="S31" s="3"/>
      <c r="T31" s="3"/>
      <c r="U31" s="5"/>
      <c r="V31" s="6" t="e">
        <f t="shared" si="16"/>
        <v>#DIV/0!</v>
      </c>
      <c r="W31" s="495">
        <f t="shared" si="7"/>
        <v>0</v>
      </c>
      <c r="X31" s="474">
        <f t="shared" si="8"/>
        <v>0</v>
      </c>
      <c r="Y31" s="477">
        <f t="shared" si="9"/>
        <v>0</v>
      </c>
      <c r="Z31" s="474">
        <f t="shared" si="10"/>
        <v>0</v>
      </c>
      <c r="AA31" s="486">
        <f t="shared" si="11"/>
        <v>0</v>
      </c>
      <c r="AB31" s="478">
        <f t="shared" si="12"/>
        <v>0</v>
      </c>
      <c r="AC31" s="478" t="e">
        <f>AB31/W31</f>
        <v>#DIV/0!</v>
      </c>
      <c r="AD31" s="474" t="e">
        <f t="shared" si="14"/>
        <v>#DIV/0!</v>
      </c>
      <c r="AE31" s="497" t="e">
        <f t="shared" si="15"/>
        <v>#DIV/0!</v>
      </c>
    </row>
    <row r="32" spans="1:31">
      <c r="A32" s="435">
        <f>'SQ-1'!A32</f>
        <v>43979</v>
      </c>
      <c r="B32" s="518"/>
      <c r="C32" s="464">
        <f t="shared" si="0"/>
        <v>0</v>
      </c>
      <c r="D32" s="3"/>
      <c r="E32" s="3"/>
      <c r="F32" s="3"/>
      <c r="G32" s="5"/>
      <c r="H32" s="6" t="e">
        <f t="shared" si="1"/>
        <v>#DIV/0!</v>
      </c>
      <c r="I32" s="518"/>
      <c r="J32" s="464">
        <f t="shared" si="2"/>
        <v>0</v>
      </c>
      <c r="K32" s="5"/>
      <c r="L32" s="3"/>
      <c r="M32" s="434"/>
      <c r="N32" s="5"/>
      <c r="O32" s="6" t="e">
        <f t="shared" si="3"/>
        <v>#DIV/0!</v>
      </c>
      <c r="P32" s="518"/>
      <c r="Q32" s="464">
        <f t="shared" si="4"/>
        <v>0</v>
      </c>
      <c r="R32" s="3"/>
      <c r="S32" s="3"/>
      <c r="T32" s="3"/>
      <c r="U32" s="5"/>
      <c r="V32" s="6" t="e">
        <f t="shared" si="16"/>
        <v>#DIV/0!</v>
      </c>
      <c r="W32" s="495">
        <f t="shared" si="7"/>
        <v>0</v>
      </c>
      <c r="X32" s="474">
        <f t="shared" si="8"/>
        <v>0</v>
      </c>
      <c r="Y32" s="477">
        <f t="shared" si="9"/>
        <v>0</v>
      </c>
      <c r="Z32" s="474">
        <f t="shared" si="10"/>
        <v>0</v>
      </c>
      <c r="AA32" s="486">
        <f t="shared" si="11"/>
        <v>0</v>
      </c>
      <c r="AB32" s="478">
        <f t="shared" si="12"/>
        <v>0</v>
      </c>
      <c r="AC32" s="478" t="e">
        <f t="shared" si="13"/>
        <v>#DIV/0!</v>
      </c>
      <c r="AD32" s="474" t="e">
        <f t="shared" si="14"/>
        <v>#DIV/0!</v>
      </c>
      <c r="AE32" s="497" t="e">
        <f t="shared" si="15"/>
        <v>#DIV/0!</v>
      </c>
    </row>
    <row r="33" spans="1:31">
      <c r="A33" s="435">
        <f>'SQ-1'!A33</f>
        <v>43980</v>
      </c>
      <c r="B33" s="518"/>
      <c r="C33" s="464">
        <f t="shared" si="0"/>
        <v>0</v>
      </c>
      <c r="D33" s="3"/>
      <c r="E33" s="3"/>
      <c r="F33" s="3"/>
      <c r="G33" s="5"/>
      <c r="H33" s="6" t="e">
        <f t="shared" si="1"/>
        <v>#DIV/0!</v>
      </c>
      <c r="I33" s="518"/>
      <c r="J33" s="464">
        <f t="shared" si="2"/>
        <v>0</v>
      </c>
      <c r="K33" s="5"/>
      <c r="L33" s="3"/>
      <c r="M33" s="434"/>
      <c r="N33" s="5"/>
      <c r="O33" s="6" t="e">
        <f t="shared" si="3"/>
        <v>#DIV/0!</v>
      </c>
      <c r="P33" s="518"/>
      <c r="Q33" s="464">
        <f t="shared" si="4"/>
        <v>0</v>
      </c>
      <c r="R33" s="3"/>
      <c r="S33" s="3"/>
      <c r="T33" s="3"/>
      <c r="U33" s="5"/>
      <c r="V33" s="6" t="e">
        <f t="shared" si="16"/>
        <v>#DIV/0!</v>
      </c>
      <c r="W33" s="495">
        <f t="shared" si="7"/>
        <v>0</v>
      </c>
      <c r="X33" s="474">
        <f t="shared" si="8"/>
        <v>0</v>
      </c>
      <c r="Y33" s="477">
        <f t="shared" si="9"/>
        <v>0</v>
      </c>
      <c r="Z33" s="474">
        <f t="shared" si="10"/>
        <v>0</v>
      </c>
      <c r="AA33" s="486">
        <f t="shared" si="11"/>
        <v>0</v>
      </c>
      <c r="AB33" s="478">
        <f t="shared" si="12"/>
        <v>0</v>
      </c>
      <c r="AC33" s="478" t="e">
        <f t="shared" si="13"/>
        <v>#DIV/0!</v>
      </c>
      <c r="AD33" s="474" t="e">
        <f t="shared" si="14"/>
        <v>#DIV/0!</v>
      </c>
      <c r="AE33" s="497" t="e">
        <f t="shared" si="15"/>
        <v>#DIV/0!</v>
      </c>
    </row>
    <row r="34" spans="1:31">
      <c r="A34" s="435">
        <f>'SQ-1'!A34</f>
        <v>43981</v>
      </c>
      <c r="B34" s="518"/>
      <c r="C34" s="464">
        <f t="shared" si="0"/>
        <v>0</v>
      </c>
      <c r="D34" s="3"/>
      <c r="E34" s="3"/>
      <c r="F34" s="3"/>
      <c r="G34" s="3"/>
      <c r="H34" s="6" t="e">
        <f t="shared" si="1"/>
        <v>#DIV/0!</v>
      </c>
      <c r="I34" s="518"/>
      <c r="J34" s="464">
        <f t="shared" si="2"/>
        <v>0</v>
      </c>
      <c r="K34" s="3"/>
      <c r="L34" s="3"/>
      <c r="M34" s="3"/>
      <c r="N34" s="3"/>
      <c r="O34" s="6" t="e">
        <f t="shared" si="3"/>
        <v>#DIV/0!</v>
      </c>
      <c r="P34" s="518"/>
      <c r="Q34" s="464">
        <f t="shared" si="4"/>
        <v>0</v>
      </c>
      <c r="R34" s="3"/>
      <c r="S34" s="3"/>
      <c r="T34" s="3"/>
      <c r="U34" s="5"/>
      <c r="V34" s="6" t="e">
        <f t="shared" si="16"/>
        <v>#DIV/0!</v>
      </c>
      <c r="W34" s="495">
        <f t="shared" si="7"/>
        <v>0</v>
      </c>
      <c r="X34" s="474">
        <f t="shared" si="8"/>
        <v>0</v>
      </c>
      <c r="Y34" s="477">
        <f t="shared" si="9"/>
        <v>0</v>
      </c>
      <c r="Z34" s="474">
        <f t="shared" si="10"/>
        <v>0</v>
      </c>
      <c r="AA34" s="486">
        <f t="shared" si="11"/>
        <v>0</v>
      </c>
      <c r="AB34" s="478">
        <f t="shared" si="12"/>
        <v>0</v>
      </c>
      <c r="AC34" s="478" t="e">
        <f t="shared" si="13"/>
        <v>#DIV/0!</v>
      </c>
      <c r="AD34" s="474" t="e">
        <f t="shared" si="14"/>
        <v>#DIV/0!</v>
      </c>
      <c r="AE34" s="497" t="e">
        <f t="shared" si="15"/>
        <v>#DIV/0!</v>
      </c>
    </row>
    <row r="35" spans="1:31" ht="15.75" thickBot="1">
      <c r="A35" s="435">
        <f>'SQ-1'!A35</f>
        <v>43982</v>
      </c>
      <c r="B35" s="519"/>
      <c r="C35" s="524">
        <f t="shared" si="0"/>
        <v>0</v>
      </c>
      <c r="D35" s="463"/>
      <c r="E35" s="463"/>
      <c r="F35" s="463"/>
      <c r="G35" s="463"/>
      <c r="H35" s="452" t="e">
        <f t="shared" si="1"/>
        <v>#DIV/0!</v>
      </c>
      <c r="I35" s="519"/>
      <c r="J35" s="524">
        <f t="shared" si="2"/>
        <v>0</v>
      </c>
      <c r="K35" s="463"/>
      <c r="L35" s="463"/>
      <c r="M35" s="463"/>
      <c r="N35" s="463"/>
      <c r="O35" s="452" t="e">
        <f t="shared" si="3"/>
        <v>#DIV/0!</v>
      </c>
      <c r="P35" s="521"/>
      <c r="Q35" s="524">
        <f t="shared" si="4"/>
        <v>0</v>
      </c>
      <c r="R35" s="4"/>
      <c r="S35" s="4"/>
      <c r="T35" s="4"/>
      <c r="U35" s="4"/>
      <c r="V35" s="452" t="e">
        <f t="shared" si="16"/>
        <v>#DIV/0!</v>
      </c>
      <c r="W35" s="496">
        <f>B35+I35+P35</f>
        <v>0</v>
      </c>
      <c r="X35" s="480">
        <f t="shared" si="8"/>
        <v>0</v>
      </c>
      <c r="Y35" s="481">
        <f t="shared" si="9"/>
        <v>0</v>
      </c>
      <c r="Z35" s="474">
        <f t="shared" si="10"/>
        <v>0</v>
      </c>
      <c r="AA35" s="486">
        <f t="shared" si="11"/>
        <v>0</v>
      </c>
      <c r="AB35" s="478">
        <f t="shared" si="12"/>
        <v>0</v>
      </c>
      <c r="AC35" s="478" t="e">
        <f t="shared" si="13"/>
        <v>#DIV/0!</v>
      </c>
      <c r="AD35" s="474" t="e">
        <f t="shared" si="14"/>
        <v>#DIV/0!</v>
      </c>
      <c r="AE35" s="497" t="e">
        <f t="shared" si="15"/>
        <v>#DIV/0!</v>
      </c>
    </row>
    <row r="36" spans="1:31" ht="20.100000000000001" customHeight="1" thickBot="1">
      <c r="A36" s="2" t="s">
        <v>3</v>
      </c>
      <c r="B36" s="8">
        <f>SUM(B5:B35)</f>
        <v>0</v>
      </c>
      <c r="C36" s="8">
        <f>SUM(C5:C35)</f>
        <v>0</v>
      </c>
      <c r="D36" s="7">
        <f>SUM(D5:D35)</f>
        <v>0</v>
      </c>
      <c r="E36" s="7">
        <f>SUM(E5:E35)</f>
        <v>0</v>
      </c>
      <c r="F36" s="7">
        <f t="shared" ref="F36:AB36" si="17">SUM(F5:F35)</f>
        <v>0</v>
      </c>
      <c r="G36" s="7">
        <f t="shared" si="17"/>
        <v>0</v>
      </c>
      <c r="H36" s="443" t="e">
        <f>G36/B36</f>
        <v>#DIV/0!</v>
      </c>
      <c r="I36" s="8">
        <f>SUM(I5:I35)</f>
        <v>0</v>
      </c>
      <c r="J36" s="8">
        <f t="shared" si="17"/>
        <v>0</v>
      </c>
      <c r="K36" s="7">
        <f>SUM(K5:K35)</f>
        <v>0</v>
      </c>
      <c r="L36" s="7">
        <f>SUM(L5:L35)</f>
        <v>0</v>
      </c>
      <c r="M36" s="7">
        <f t="shared" si="17"/>
        <v>0</v>
      </c>
      <c r="N36" s="7">
        <f t="shared" si="17"/>
        <v>0</v>
      </c>
      <c r="O36" s="443" t="e">
        <f>N36/I36</f>
        <v>#DIV/0!</v>
      </c>
      <c r="P36" s="8">
        <f>SUM(P5:P35)</f>
        <v>0</v>
      </c>
      <c r="Q36" s="8">
        <f t="shared" si="17"/>
        <v>0</v>
      </c>
      <c r="R36" s="7">
        <f>SUM(R5:R35)</f>
        <v>0</v>
      </c>
      <c r="S36" s="7">
        <f>SUM(S5:S35)</f>
        <v>0</v>
      </c>
      <c r="T36" s="7">
        <f t="shared" si="17"/>
        <v>0</v>
      </c>
      <c r="U36" s="7">
        <f t="shared" si="17"/>
        <v>0</v>
      </c>
      <c r="V36" s="443" t="e">
        <f>U36/P36</f>
        <v>#DIV/0!</v>
      </c>
      <c r="W36" s="7">
        <f>SUM(W5:W35)</f>
        <v>0</v>
      </c>
      <c r="X36" s="7">
        <f t="shared" si="17"/>
        <v>0</v>
      </c>
      <c r="Y36" s="7">
        <f>SUM(Y5:Y35)</f>
        <v>0</v>
      </c>
      <c r="Z36" s="8">
        <f>SUM(Z5:Z35)</f>
        <v>0</v>
      </c>
      <c r="AA36" s="7">
        <f t="shared" si="17"/>
        <v>0</v>
      </c>
      <c r="AB36" s="7">
        <f t="shared" si="17"/>
        <v>0</v>
      </c>
      <c r="AC36" s="7" t="e">
        <f>AB36/W36</f>
        <v>#DIV/0!</v>
      </c>
      <c r="AD36" s="455"/>
      <c r="AE36" s="498" t="e">
        <f>AA36/Z36</f>
        <v>#DIV/0!</v>
      </c>
    </row>
  </sheetData>
  <mergeCells count="36">
    <mergeCell ref="AD3:AD4"/>
    <mergeCell ref="AE3:AE4"/>
    <mergeCell ref="E3:E4"/>
    <mergeCell ref="D3:D4"/>
    <mergeCell ref="AC3:AC4"/>
    <mergeCell ref="I3:I4"/>
    <mergeCell ref="L3:L4"/>
    <mergeCell ref="Z3:Z4"/>
    <mergeCell ref="X3:X4"/>
    <mergeCell ref="W2:AC2"/>
    <mergeCell ref="K3:K4"/>
    <mergeCell ref="P3:P4"/>
    <mergeCell ref="R3:R4"/>
    <mergeCell ref="W3:W4"/>
    <mergeCell ref="Y3:Y4"/>
    <mergeCell ref="S3:S4"/>
    <mergeCell ref="AA3:AA4"/>
    <mergeCell ref="P2:V2"/>
    <mergeCell ref="T3:T4"/>
    <mergeCell ref="AB3:AB4"/>
    <mergeCell ref="A1:V1"/>
    <mergeCell ref="V3:V4"/>
    <mergeCell ref="A2:A4"/>
    <mergeCell ref="C3:C4"/>
    <mergeCell ref="F3:F4"/>
    <mergeCell ref="G3:G4"/>
    <mergeCell ref="H3:H4"/>
    <mergeCell ref="J3:J4"/>
    <mergeCell ref="M3:M4"/>
    <mergeCell ref="N3:N4"/>
    <mergeCell ref="O3:O4"/>
    <mergeCell ref="Q3:Q4"/>
    <mergeCell ref="U3:U4"/>
    <mergeCell ref="B2:H2"/>
    <mergeCell ref="B3:B4"/>
    <mergeCell ref="I2:O2"/>
  </mergeCells>
  <conditionalFormatting sqref="B34:B35">
    <cfRule type="expression" dxfId="323" priority="53" stopIfTrue="1">
      <formula>$C34="*"</formula>
    </cfRule>
    <cfRule type="expression" dxfId="322" priority="54" stopIfTrue="1">
      <formula>$C34="-"</formula>
    </cfRule>
  </conditionalFormatting>
  <conditionalFormatting sqref="P34:P35">
    <cfRule type="expression" dxfId="321" priority="51" stopIfTrue="1">
      <formula>$C34="*"</formula>
    </cfRule>
    <cfRule type="expression" dxfId="320" priority="52" stopIfTrue="1">
      <formula>$C34="-"</formula>
    </cfRule>
  </conditionalFormatting>
  <conditionalFormatting sqref="I34:I35">
    <cfRule type="expression" dxfId="319" priority="49" stopIfTrue="1">
      <formula>$C34="*"</formula>
    </cfRule>
    <cfRule type="expression" dxfId="318" priority="50" stopIfTrue="1">
      <formula>$C34="-"</formula>
    </cfRule>
  </conditionalFormatting>
  <conditionalFormatting sqref="P31:P33">
    <cfRule type="expression" dxfId="317" priority="47" stopIfTrue="1">
      <formula>$C31="*"</formula>
    </cfRule>
    <cfRule type="expression" dxfId="316" priority="48" stopIfTrue="1">
      <formula>$C31="-"</formula>
    </cfRule>
  </conditionalFormatting>
  <conditionalFormatting sqref="B31:B33">
    <cfRule type="expression" dxfId="315" priority="45" stopIfTrue="1">
      <formula>$C31="*"</formula>
    </cfRule>
    <cfRule type="expression" dxfId="314" priority="46" stopIfTrue="1">
      <formula>$C31="-"</formula>
    </cfRule>
  </conditionalFormatting>
  <conditionalFormatting sqref="I31:I33">
    <cfRule type="expression" dxfId="313" priority="43" stopIfTrue="1">
      <formula>$C31="*"</formula>
    </cfRule>
    <cfRule type="expression" dxfId="312" priority="44" stopIfTrue="1">
      <formula>$C31="-"</formula>
    </cfRule>
  </conditionalFormatting>
  <conditionalFormatting sqref="I25:I30">
    <cfRule type="expression" dxfId="311" priority="41" stopIfTrue="1">
      <formula>$C25="*"</formula>
    </cfRule>
    <cfRule type="expression" dxfId="310" priority="42" stopIfTrue="1">
      <formula>$C25="-"</formula>
    </cfRule>
  </conditionalFormatting>
  <conditionalFormatting sqref="P25:P30">
    <cfRule type="expression" dxfId="309" priority="39" stopIfTrue="1">
      <formula>$C25="*"</formula>
    </cfRule>
    <cfRule type="expression" dxfId="308" priority="40" stopIfTrue="1">
      <formula>$C25="-"</formula>
    </cfRule>
  </conditionalFormatting>
  <conditionalFormatting sqref="B25:B30">
    <cfRule type="expression" dxfId="307" priority="37" stopIfTrue="1">
      <formula>$C25="*"</formula>
    </cfRule>
    <cfRule type="expression" dxfId="306" priority="38" stopIfTrue="1">
      <formula>$C25="-"</formula>
    </cfRule>
  </conditionalFormatting>
  <conditionalFormatting sqref="I23:I24">
    <cfRule type="expression" dxfId="305" priority="35" stopIfTrue="1">
      <formula>$C23="*"</formula>
    </cfRule>
    <cfRule type="expression" dxfId="304" priority="36" stopIfTrue="1">
      <formula>$C23="-"</formula>
    </cfRule>
  </conditionalFormatting>
  <conditionalFormatting sqref="P23:P24">
    <cfRule type="expression" dxfId="303" priority="33" stopIfTrue="1">
      <formula>$C23="*"</formula>
    </cfRule>
    <cfRule type="expression" dxfId="302" priority="34" stopIfTrue="1">
      <formula>$C23="-"</formula>
    </cfRule>
  </conditionalFormatting>
  <conditionalFormatting sqref="B23:B24">
    <cfRule type="expression" dxfId="301" priority="31" stopIfTrue="1">
      <formula>$C23="*"</formula>
    </cfRule>
    <cfRule type="expression" dxfId="300" priority="32" stopIfTrue="1">
      <formula>$C23="-"</formula>
    </cfRule>
  </conditionalFormatting>
  <conditionalFormatting sqref="I15:I22">
    <cfRule type="expression" dxfId="299" priority="29" stopIfTrue="1">
      <formula>$C15="*"</formula>
    </cfRule>
    <cfRule type="expression" dxfId="298" priority="30" stopIfTrue="1">
      <formula>$C15="-"</formula>
    </cfRule>
  </conditionalFormatting>
  <conditionalFormatting sqref="P15:P22">
    <cfRule type="expression" dxfId="297" priority="27" stopIfTrue="1">
      <formula>$C15="*"</formula>
    </cfRule>
    <cfRule type="expression" dxfId="296" priority="28" stopIfTrue="1">
      <formula>$C15="-"</formula>
    </cfRule>
  </conditionalFormatting>
  <conditionalFormatting sqref="B15:B22">
    <cfRule type="expression" dxfId="295" priority="25" stopIfTrue="1">
      <formula>$C15="*"</formula>
    </cfRule>
    <cfRule type="expression" dxfId="294" priority="26" stopIfTrue="1">
      <formula>$C15="-"</formula>
    </cfRule>
  </conditionalFormatting>
  <conditionalFormatting sqref="I13:I14">
    <cfRule type="expression" dxfId="293" priority="23" stopIfTrue="1">
      <formula>$C13="*"</formula>
    </cfRule>
    <cfRule type="expression" dxfId="292" priority="24" stopIfTrue="1">
      <formula>$C13="-"</formula>
    </cfRule>
  </conditionalFormatting>
  <conditionalFormatting sqref="P13:P14">
    <cfRule type="expression" dxfId="291" priority="21" stopIfTrue="1">
      <formula>$C13="*"</formula>
    </cfRule>
    <cfRule type="expression" dxfId="290" priority="22" stopIfTrue="1">
      <formula>$C13="-"</formula>
    </cfRule>
  </conditionalFormatting>
  <conditionalFormatting sqref="B13:B14">
    <cfRule type="expression" dxfId="289" priority="19" stopIfTrue="1">
      <formula>$C13="*"</formula>
    </cfRule>
    <cfRule type="expression" dxfId="288" priority="20" stopIfTrue="1">
      <formula>$C13="-"</formula>
    </cfRule>
  </conditionalFormatting>
  <conditionalFormatting sqref="I5 I8">
    <cfRule type="expression" dxfId="287" priority="17" stopIfTrue="1">
      <formula>$C5="*"</formula>
    </cfRule>
    <cfRule type="expression" dxfId="286" priority="18" stopIfTrue="1">
      <formula>$C5="-"</formula>
    </cfRule>
  </conditionalFormatting>
  <conditionalFormatting sqref="P5:P8">
    <cfRule type="expression" dxfId="285" priority="15" stopIfTrue="1">
      <formula>$C5="*"</formula>
    </cfRule>
    <cfRule type="expression" dxfId="284" priority="16" stopIfTrue="1">
      <formula>$C5="-"</formula>
    </cfRule>
  </conditionalFormatting>
  <conditionalFormatting sqref="B5 B7:B8">
    <cfRule type="expression" dxfId="283" priority="13" stopIfTrue="1">
      <formula>$C5="*"</formula>
    </cfRule>
    <cfRule type="expression" dxfId="282" priority="14" stopIfTrue="1">
      <formula>$C5="-"</formula>
    </cfRule>
  </conditionalFormatting>
  <conditionalFormatting sqref="I9:I12">
    <cfRule type="expression" dxfId="281" priority="11" stopIfTrue="1">
      <formula>$C9="*"</formula>
    </cfRule>
    <cfRule type="expression" dxfId="280" priority="12" stopIfTrue="1">
      <formula>$C9="-"</formula>
    </cfRule>
  </conditionalFormatting>
  <conditionalFormatting sqref="P9:P12">
    <cfRule type="expression" dxfId="279" priority="9" stopIfTrue="1">
      <formula>$C9="*"</formula>
    </cfRule>
    <cfRule type="expression" dxfId="278" priority="10" stopIfTrue="1">
      <formula>$C9="-"</formula>
    </cfRule>
  </conditionalFormatting>
  <conditionalFormatting sqref="B9:B12">
    <cfRule type="expression" dxfId="277" priority="7" stopIfTrue="1">
      <formula>$C9="*"</formula>
    </cfRule>
    <cfRule type="expression" dxfId="276" priority="8" stopIfTrue="1">
      <formula>$C9="-"</formula>
    </cfRule>
  </conditionalFormatting>
  <conditionalFormatting sqref="I6">
    <cfRule type="expression" dxfId="275" priority="5" stopIfTrue="1">
      <formula>$C6="*"</formula>
    </cfRule>
    <cfRule type="expression" dxfId="274" priority="6" stopIfTrue="1">
      <formula>$C6="-"</formula>
    </cfRule>
  </conditionalFormatting>
  <conditionalFormatting sqref="B6">
    <cfRule type="expression" dxfId="273" priority="3" stopIfTrue="1">
      <formula>$C6="*"</formula>
    </cfRule>
    <cfRule type="expression" dxfId="272" priority="4" stopIfTrue="1">
      <formula>$C6="-"</formula>
    </cfRule>
  </conditionalFormatting>
  <conditionalFormatting sqref="I7">
    <cfRule type="expression" dxfId="271" priority="1" stopIfTrue="1">
      <formula>$C7="*"</formula>
    </cfRule>
    <cfRule type="expression" dxfId="270" priority="2" stopIfTrue="1">
      <formula>$C7="-"</formula>
    </cfRule>
  </conditionalFormatting>
  <pageMargins left="0.70866141732283472" right="0.70866141732283472" top="0.74803149606299213" bottom="0.74803149606299213" header="0.31496062992125984" footer="0.31496062992125984"/>
  <pageSetup scale="93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1"/>
  </sheetPr>
  <dimension ref="A1:AE36"/>
  <sheetViews>
    <sheetView topLeftCell="K1" zoomScale="80" zoomScaleNormal="80" workbookViewId="0">
      <pane ySplit="4" topLeftCell="A14" activePane="bottomLeft" state="frozen"/>
      <selection activeCell="E18" sqref="E18"/>
      <selection pane="bottomLeft" activeCell="A5" sqref="A5"/>
    </sheetView>
  </sheetViews>
  <sheetFormatPr defaultRowHeight="15"/>
  <cols>
    <col min="1" max="1" width="10.7109375" style="1" bestFit="1" customWidth="1"/>
    <col min="2" max="2" width="10.7109375" style="1" customWidth="1"/>
    <col min="3" max="5" width="10.140625" style="1" customWidth="1"/>
    <col min="6" max="6" width="9.7109375" style="1" bestFit="1" customWidth="1"/>
    <col min="7" max="7" width="9.140625" style="1"/>
    <col min="8" max="9" width="9.140625" style="1" customWidth="1"/>
    <col min="10" max="12" width="10.140625" style="1" customWidth="1"/>
    <col min="13" max="14" width="9.140625" style="1"/>
    <col min="15" max="16" width="9.140625" style="1" customWidth="1"/>
    <col min="17" max="19" width="10.140625" style="1" customWidth="1"/>
    <col min="20" max="21" width="9.140625" style="1"/>
    <col min="22" max="23" width="9.140625" style="1" customWidth="1"/>
    <col min="24" max="25" width="9.140625" style="10"/>
    <col min="26" max="26" width="11.7109375" style="10" customWidth="1"/>
    <col min="27" max="28" width="9.5703125" style="10" bestFit="1" customWidth="1"/>
    <col min="29" max="30" width="9.140625" style="10"/>
  </cols>
  <sheetData>
    <row r="1" spans="1:31" ht="21.75" thickBot="1">
      <c r="A1" s="593" t="s">
        <v>8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444"/>
      <c r="X1" s="9"/>
      <c r="Y1" s="9"/>
      <c r="Z1" s="9"/>
      <c r="AA1" s="9"/>
      <c r="AB1" s="9"/>
      <c r="AC1" s="9"/>
      <c r="AD1" s="9"/>
    </row>
    <row r="2" spans="1:31" ht="15.75" thickBot="1">
      <c r="A2" s="585" t="s">
        <v>0</v>
      </c>
      <c r="B2" s="567" t="s">
        <v>207</v>
      </c>
      <c r="C2" s="568"/>
      <c r="D2" s="568"/>
      <c r="E2" s="568"/>
      <c r="F2" s="568"/>
      <c r="G2" s="568"/>
      <c r="H2" s="569"/>
      <c r="I2" s="567" t="s">
        <v>208</v>
      </c>
      <c r="J2" s="568"/>
      <c r="K2" s="568"/>
      <c r="L2" s="568"/>
      <c r="M2" s="568"/>
      <c r="N2" s="568"/>
      <c r="O2" s="569"/>
      <c r="P2" s="567" t="s">
        <v>209</v>
      </c>
      <c r="Q2" s="568"/>
      <c r="R2" s="568"/>
      <c r="S2" s="568"/>
      <c r="T2" s="568"/>
      <c r="U2" s="568"/>
      <c r="V2" s="569"/>
      <c r="W2" s="572" t="s">
        <v>3</v>
      </c>
      <c r="X2" s="573"/>
      <c r="Y2" s="573"/>
      <c r="Z2" s="573"/>
      <c r="AA2" s="573"/>
      <c r="AB2" s="573"/>
      <c r="AC2" s="599"/>
      <c r="AD2" s="469"/>
    </row>
    <row r="3" spans="1:31" ht="15" customHeight="1">
      <c r="A3" s="596"/>
      <c r="B3" s="565" t="s">
        <v>203</v>
      </c>
      <c r="C3" s="570" t="s">
        <v>204</v>
      </c>
      <c r="D3" s="570" t="s">
        <v>205</v>
      </c>
      <c r="E3" s="575" t="s">
        <v>199</v>
      </c>
      <c r="F3" s="587" t="s">
        <v>202</v>
      </c>
      <c r="G3" s="597" t="s">
        <v>1</v>
      </c>
      <c r="H3" s="597" t="s">
        <v>2</v>
      </c>
      <c r="I3" s="565" t="s">
        <v>203</v>
      </c>
      <c r="J3" s="570" t="s">
        <v>204</v>
      </c>
      <c r="K3" s="570" t="s">
        <v>205</v>
      </c>
      <c r="L3" s="577" t="s">
        <v>199</v>
      </c>
      <c r="M3" s="587" t="s">
        <v>200</v>
      </c>
      <c r="N3" s="587" t="s">
        <v>1</v>
      </c>
      <c r="O3" s="587" t="s">
        <v>2</v>
      </c>
      <c r="P3" s="565" t="s">
        <v>203</v>
      </c>
      <c r="Q3" s="570" t="s">
        <v>204</v>
      </c>
      <c r="R3" s="570" t="s">
        <v>205</v>
      </c>
      <c r="S3" s="579" t="s">
        <v>199</v>
      </c>
      <c r="T3" s="580" t="s">
        <v>200</v>
      </c>
      <c r="U3" s="580" t="s">
        <v>1</v>
      </c>
      <c r="V3" s="594" t="s">
        <v>2</v>
      </c>
      <c r="W3" s="582" t="s">
        <v>203</v>
      </c>
      <c r="X3" s="579" t="s">
        <v>204</v>
      </c>
      <c r="Y3" s="583" t="s">
        <v>205</v>
      </c>
      <c r="Z3" s="577" t="s">
        <v>199</v>
      </c>
      <c r="AA3" s="587" t="s">
        <v>200</v>
      </c>
      <c r="AB3" s="585" t="s">
        <v>1</v>
      </c>
      <c r="AC3" s="587" t="s">
        <v>2</v>
      </c>
      <c r="AD3" s="589" t="s">
        <v>13</v>
      </c>
      <c r="AE3" s="591" t="s">
        <v>218</v>
      </c>
    </row>
    <row r="4" spans="1:31" ht="15.75" thickBot="1">
      <c r="A4" s="586"/>
      <c r="B4" s="566"/>
      <c r="C4" s="571"/>
      <c r="D4" s="571"/>
      <c r="E4" s="576"/>
      <c r="F4" s="588"/>
      <c r="G4" s="588"/>
      <c r="H4" s="588"/>
      <c r="I4" s="566"/>
      <c r="J4" s="571"/>
      <c r="K4" s="571"/>
      <c r="L4" s="578"/>
      <c r="M4" s="588"/>
      <c r="N4" s="588"/>
      <c r="O4" s="588"/>
      <c r="P4" s="566"/>
      <c r="Q4" s="571"/>
      <c r="R4" s="571"/>
      <c r="S4" s="571"/>
      <c r="T4" s="581"/>
      <c r="U4" s="581"/>
      <c r="V4" s="595"/>
      <c r="W4" s="566"/>
      <c r="X4" s="571"/>
      <c r="Y4" s="584"/>
      <c r="Z4" s="578"/>
      <c r="AA4" s="588"/>
      <c r="AB4" s="586"/>
      <c r="AC4" s="588"/>
      <c r="AD4" s="590"/>
      <c r="AE4" s="592"/>
    </row>
    <row r="5" spans="1:31">
      <c r="A5" s="435">
        <f>'SQ-1'!A5</f>
        <v>43952</v>
      </c>
      <c r="B5" s="518"/>
      <c r="C5" s="464">
        <f t="shared" ref="C5:C35" si="0">B5-(D5/60)</f>
        <v>0</v>
      </c>
      <c r="D5" s="5"/>
      <c r="E5" s="3"/>
      <c r="F5" s="434"/>
      <c r="G5" s="5"/>
      <c r="H5" s="6" t="e">
        <f t="shared" ref="H5:H35" si="1">G5/B5</f>
        <v>#DIV/0!</v>
      </c>
      <c r="I5" s="518"/>
      <c r="J5" s="464">
        <f t="shared" ref="J5:J35" si="2">I5-(K5/60)</f>
        <v>0</v>
      </c>
      <c r="K5" s="3"/>
      <c r="L5" s="3"/>
      <c r="M5" s="3"/>
      <c r="N5" s="5"/>
      <c r="O5" s="6" t="e">
        <f t="shared" ref="O5:O35" si="3">N5/I5</f>
        <v>#DIV/0!</v>
      </c>
      <c r="P5" s="518"/>
      <c r="Q5" s="464">
        <f t="shared" ref="Q5:Q35" si="4">P5-(R5/60)</f>
        <v>0</v>
      </c>
      <c r="R5" s="3"/>
      <c r="S5" s="3"/>
      <c r="T5" s="3"/>
      <c r="U5" s="5"/>
      <c r="V5" s="6" t="e">
        <f t="shared" ref="V5:V24" si="5">U5/P5</f>
        <v>#DIV/0!</v>
      </c>
      <c r="W5" s="487">
        <f t="shared" ref="W5:AB5" si="6">B5+I5+P5</f>
        <v>0</v>
      </c>
      <c r="X5" s="474">
        <f t="shared" si="6"/>
        <v>0</v>
      </c>
      <c r="Y5" s="477">
        <f t="shared" si="6"/>
        <v>0</v>
      </c>
      <c r="Z5" s="474">
        <f t="shared" si="6"/>
        <v>0</v>
      </c>
      <c r="AA5" s="486">
        <f t="shared" si="6"/>
        <v>0</v>
      </c>
      <c r="AB5" s="478">
        <f t="shared" si="6"/>
        <v>0</v>
      </c>
      <c r="AC5" s="488" t="e">
        <f>AB5/W5</f>
        <v>#DIV/0!</v>
      </c>
      <c r="AD5" s="474" t="e">
        <f>(AA5/1000)/W5</f>
        <v>#DIV/0!</v>
      </c>
      <c r="AE5" s="475" t="e">
        <f>AA5/Z5</f>
        <v>#DIV/0!</v>
      </c>
    </row>
    <row r="6" spans="1:31">
      <c r="A6" s="435">
        <f>'SQ-1'!A6</f>
        <v>43953</v>
      </c>
      <c r="B6" s="518"/>
      <c r="C6" s="464">
        <f t="shared" si="0"/>
        <v>0</v>
      </c>
      <c r="D6" s="5"/>
      <c r="E6" s="3"/>
      <c r="F6" s="434"/>
      <c r="G6" s="5"/>
      <c r="H6" s="6" t="e">
        <f t="shared" si="1"/>
        <v>#DIV/0!</v>
      </c>
      <c r="I6" s="518"/>
      <c r="J6" s="464">
        <f t="shared" si="2"/>
        <v>0</v>
      </c>
      <c r="K6" s="5"/>
      <c r="L6" s="3"/>
      <c r="M6" s="434"/>
      <c r="N6" s="5"/>
      <c r="O6" s="6" t="e">
        <f t="shared" si="3"/>
        <v>#DIV/0!</v>
      </c>
      <c r="P6" s="518"/>
      <c r="Q6" s="464">
        <f t="shared" si="4"/>
        <v>0</v>
      </c>
      <c r="R6" s="3"/>
      <c r="S6" s="3"/>
      <c r="T6" s="3"/>
      <c r="U6" s="5"/>
      <c r="V6" s="6" t="e">
        <f t="shared" si="5"/>
        <v>#DIV/0!</v>
      </c>
      <c r="W6" s="487">
        <f t="shared" ref="W6:W35" si="7">B6+I6+P6</f>
        <v>0</v>
      </c>
      <c r="X6" s="474">
        <f t="shared" ref="X6:X35" si="8">C6+J6+Q6</f>
        <v>0</v>
      </c>
      <c r="Y6" s="477">
        <f t="shared" ref="Y6:Y35" si="9">D6+K6+R6</f>
        <v>0</v>
      </c>
      <c r="Z6" s="474">
        <f t="shared" ref="Z6:Z35" si="10">E6+L6+S6</f>
        <v>0</v>
      </c>
      <c r="AA6" s="486">
        <f t="shared" ref="AA6:AA35" si="11">F6+M6+T6</f>
        <v>0</v>
      </c>
      <c r="AB6" s="478">
        <f t="shared" ref="AB6:AB35" si="12">G6+N6+U6</f>
        <v>0</v>
      </c>
      <c r="AC6" s="488" t="e">
        <f t="shared" ref="AC6:AC35" si="13">AB6/W6</f>
        <v>#DIV/0!</v>
      </c>
      <c r="AD6" s="474" t="e">
        <f t="shared" ref="AD6:AD35" si="14">(AA6/1000)/W6</f>
        <v>#DIV/0!</v>
      </c>
      <c r="AE6" s="475" t="e">
        <f t="shared" ref="AE6:AE35" si="15">AA6/Z6</f>
        <v>#DIV/0!</v>
      </c>
    </row>
    <row r="7" spans="1:31">
      <c r="A7" s="435">
        <f>'SQ-1'!A7</f>
        <v>43954</v>
      </c>
      <c r="B7" s="518"/>
      <c r="C7" s="464">
        <f t="shared" si="0"/>
        <v>0</v>
      </c>
      <c r="D7" s="5"/>
      <c r="E7" s="3"/>
      <c r="F7" s="434"/>
      <c r="G7" s="5"/>
      <c r="H7" s="6" t="e">
        <f t="shared" si="1"/>
        <v>#DIV/0!</v>
      </c>
      <c r="I7" s="518"/>
      <c r="J7" s="464">
        <f t="shared" si="2"/>
        <v>0</v>
      </c>
      <c r="K7" s="5"/>
      <c r="L7" s="3"/>
      <c r="M7" s="434"/>
      <c r="N7" s="5"/>
      <c r="O7" s="6" t="e">
        <f t="shared" si="3"/>
        <v>#DIV/0!</v>
      </c>
      <c r="P7" s="518"/>
      <c r="Q7" s="464">
        <f t="shared" si="4"/>
        <v>0</v>
      </c>
      <c r="R7" s="3"/>
      <c r="S7" s="3"/>
      <c r="T7" s="3"/>
      <c r="U7" s="5"/>
      <c r="V7" s="6" t="e">
        <f t="shared" si="5"/>
        <v>#DIV/0!</v>
      </c>
      <c r="W7" s="487">
        <f t="shared" si="7"/>
        <v>0</v>
      </c>
      <c r="X7" s="474">
        <f t="shared" si="8"/>
        <v>0</v>
      </c>
      <c r="Y7" s="477">
        <f t="shared" si="9"/>
        <v>0</v>
      </c>
      <c r="Z7" s="474">
        <f t="shared" si="10"/>
        <v>0</v>
      </c>
      <c r="AA7" s="486">
        <f t="shared" si="11"/>
        <v>0</v>
      </c>
      <c r="AB7" s="478">
        <f t="shared" si="12"/>
        <v>0</v>
      </c>
      <c r="AC7" s="488" t="e">
        <f t="shared" si="13"/>
        <v>#DIV/0!</v>
      </c>
      <c r="AD7" s="474" t="e">
        <f t="shared" si="14"/>
        <v>#DIV/0!</v>
      </c>
      <c r="AE7" s="475" t="e">
        <f t="shared" si="15"/>
        <v>#DIV/0!</v>
      </c>
    </row>
    <row r="8" spans="1:31">
      <c r="A8" s="435">
        <f>'SQ-1'!A8</f>
        <v>43955</v>
      </c>
      <c r="B8" s="518"/>
      <c r="C8" s="464">
        <f t="shared" si="0"/>
        <v>0</v>
      </c>
      <c r="D8" s="5"/>
      <c r="E8" s="3"/>
      <c r="F8" s="434"/>
      <c r="G8" s="5"/>
      <c r="H8" s="6" t="e">
        <f t="shared" si="1"/>
        <v>#DIV/0!</v>
      </c>
      <c r="I8" s="518"/>
      <c r="J8" s="464">
        <f t="shared" si="2"/>
        <v>0</v>
      </c>
      <c r="K8" s="3"/>
      <c r="L8" s="3"/>
      <c r="M8" s="3"/>
      <c r="N8" s="5"/>
      <c r="O8" s="6" t="e">
        <f t="shared" si="3"/>
        <v>#DIV/0!</v>
      </c>
      <c r="P8" s="518"/>
      <c r="Q8" s="464">
        <f t="shared" si="4"/>
        <v>0</v>
      </c>
      <c r="R8" s="3"/>
      <c r="S8" s="3"/>
      <c r="T8" s="3"/>
      <c r="U8" s="5"/>
      <c r="V8" s="6" t="e">
        <f t="shared" si="5"/>
        <v>#DIV/0!</v>
      </c>
      <c r="W8" s="487">
        <f t="shared" si="7"/>
        <v>0</v>
      </c>
      <c r="X8" s="474">
        <f t="shared" si="8"/>
        <v>0</v>
      </c>
      <c r="Y8" s="477">
        <f t="shared" si="9"/>
        <v>0</v>
      </c>
      <c r="Z8" s="474">
        <f t="shared" si="10"/>
        <v>0</v>
      </c>
      <c r="AA8" s="486">
        <f t="shared" si="11"/>
        <v>0</v>
      </c>
      <c r="AB8" s="478">
        <f t="shared" si="12"/>
        <v>0</v>
      </c>
      <c r="AC8" s="488" t="e">
        <f t="shared" si="13"/>
        <v>#DIV/0!</v>
      </c>
      <c r="AD8" s="474" t="e">
        <f t="shared" si="14"/>
        <v>#DIV/0!</v>
      </c>
      <c r="AE8" s="475" t="e">
        <f t="shared" si="15"/>
        <v>#DIV/0!</v>
      </c>
    </row>
    <row r="9" spans="1:31">
      <c r="A9" s="435">
        <f>'SQ-1'!A9</f>
        <v>43956</v>
      </c>
      <c r="B9" s="518"/>
      <c r="C9" s="464">
        <f t="shared" si="0"/>
        <v>0</v>
      </c>
      <c r="D9" s="5"/>
      <c r="E9" s="3"/>
      <c r="F9" s="434"/>
      <c r="G9" s="5"/>
      <c r="H9" s="6" t="e">
        <f t="shared" si="1"/>
        <v>#DIV/0!</v>
      </c>
      <c r="I9" s="518"/>
      <c r="J9" s="464">
        <f t="shared" si="2"/>
        <v>0</v>
      </c>
      <c r="K9" s="3"/>
      <c r="L9" s="3"/>
      <c r="M9" s="3"/>
      <c r="N9" s="5"/>
      <c r="O9" s="6" t="e">
        <f t="shared" si="3"/>
        <v>#DIV/0!</v>
      </c>
      <c r="P9" s="518"/>
      <c r="Q9" s="464">
        <f t="shared" si="4"/>
        <v>0</v>
      </c>
      <c r="R9" s="3"/>
      <c r="S9" s="3"/>
      <c r="T9" s="3"/>
      <c r="U9" s="5"/>
      <c r="V9" s="6" t="e">
        <f t="shared" si="5"/>
        <v>#DIV/0!</v>
      </c>
      <c r="W9" s="487">
        <f t="shared" si="7"/>
        <v>0</v>
      </c>
      <c r="X9" s="474">
        <f t="shared" si="8"/>
        <v>0</v>
      </c>
      <c r="Y9" s="477">
        <f t="shared" si="9"/>
        <v>0</v>
      </c>
      <c r="Z9" s="474">
        <f t="shared" si="10"/>
        <v>0</v>
      </c>
      <c r="AA9" s="486">
        <f t="shared" si="11"/>
        <v>0</v>
      </c>
      <c r="AB9" s="478">
        <f t="shared" si="12"/>
        <v>0</v>
      </c>
      <c r="AC9" s="488" t="e">
        <f t="shared" si="13"/>
        <v>#DIV/0!</v>
      </c>
      <c r="AD9" s="474" t="e">
        <f t="shared" si="14"/>
        <v>#DIV/0!</v>
      </c>
      <c r="AE9" s="475" t="e">
        <f t="shared" si="15"/>
        <v>#DIV/0!</v>
      </c>
    </row>
    <row r="10" spans="1:31">
      <c r="A10" s="435">
        <f>'SQ-1'!A10</f>
        <v>43957</v>
      </c>
      <c r="B10" s="518"/>
      <c r="C10" s="464">
        <f t="shared" si="0"/>
        <v>0</v>
      </c>
      <c r="D10" s="5"/>
      <c r="E10" s="3"/>
      <c r="F10" s="434"/>
      <c r="G10" s="5"/>
      <c r="H10" s="6" t="e">
        <f t="shared" si="1"/>
        <v>#DIV/0!</v>
      </c>
      <c r="I10" s="518"/>
      <c r="J10" s="464">
        <f t="shared" si="2"/>
        <v>0</v>
      </c>
      <c r="K10" s="3"/>
      <c r="L10" s="3"/>
      <c r="M10" s="3"/>
      <c r="N10" s="5"/>
      <c r="O10" s="6" t="e">
        <f t="shared" si="3"/>
        <v>#DIV/0!</v>
      </c>
      <c r="P10" s="518"/>
      <c r="Q10" s="464">
        <f t="shared" si="4"/>
        <v>0</v>
      </c>
      <c r="R10" s="3"/>
      <c r="S10" s="3"/>
      <c r="T10" s="3"/>
      <c r="U10" s="5"/>
      <c r="V10" s="6" t="e">
        <f t="shared" si="5"/>
        <v>#DIV/0!</v>
      </c>
      <c r="W10" s="487">
        <f t="shared" si="7"/>
        <v>0</v>
      </c>
      <c r="X10" s="474">
        <f t="shared" si="8"/>
        <v>0</v>
      </c>
      <c r="Y10" s="477">
        <f t="shared" si="9"/>
        <v>0</v>
      </c>
      <c r="Z10" s="474">
        <f t="shared" si="10"/>
        <v>0</v>
      </c>
      <c r="AA10" s="486">
        <f t="shared" si="11"/>
        <v>0</v>
      </c>
      <c r="AB10" s="478">
        <f t="shared" si="12"/>
        <v>0</v>
      </c>
      <c r="AC10" s="488" t="e">
        <f t="shared" si="13"/>
        <v>#DIV/0!</v>
      </c>
      <c r="AD10" s="474" t="e">
        <f t="shared" si="14"/>
        <v>#DIV/0!</v>
      </c>
      <c r="AE10" s="475" t="e">
        <f t="shared" si="15"/>
        <v>#DIV/0!</v>
      </c>
    </row>
    <row r="11" spans="1:31">
      <c r="A11" s="435">
        <f>'SQ-1'!A11</f>
        <v>43958</v>
      </c>
      <c r="B11" s="518"/>
      <c r="C11" s="464">
        <f t="shared" si="0"/>
        <v>0</v>
      </c>
      <c r="D11" s="5"/>
      <c r="E11" s="3"/>
      <c r="F11" s="434"/>
      <c r="G11" s="5"/>
      <c r="H11" s="6" t="e">
        <f t="shared" si="1"/>
        <v>#DIV/0!</v>
      </c>
      <c r="I11" s="518"/>
      <c r="J11" s="464">
        <f t="shared" si="2"/>
        <v>0</v>
      </c>
      <c r="K11" s="3"/>
      <c r="L11" s="3"/>
      <c r="M11" s="3"/>
      <c r="N11" s="5"/>
      <c r="O11" s="6" t="e">
        <f t="shared" si="3"/>
        <v>#DIV/0!</v>
      </c>
      <c r="P11" s="518"/>
      <c r="Q11" s="464">
        <f t="shared" si="4"/>
        <v>0</v>
      </c>
      <c r="R11" s="3"/>
      <c r="S11" s="3"/>
      <c r="T11" s="3"/>
      <c r="U11" s="5"/>
      <c r="V11" s="6" t="e">
        <f t="shared" si="5"/>
        <v>#DIV/0!</v>
      </c>
      <c r="W11" s="487">
        <f t="shared" si="7"/>
        <v>0</v>
      </c>
      <c r="X11" s="474">
        <f t="shared" si="8"/>
        <v>0</v>
      </c>
      <c r="Y11" s="477">
        <f t="shared" si="9"/>
        <v>0</v>
      </c>
      <c r="Z11" s="474">
        <f t="shared" si="10"/>
        <v>0</v>
      </c>
      <c r="AA11" s="486">
        <f t="shared" si="11"/>
        <v>0</v>
      </c>
      <c r="AB11" s="478">
        <f t="shared" si="12"/>
        <v>0</v>
      </c>
      <c r="AC11" s="488" t="e">
        <f t="shared" si="13"/>
        <v>#DIV/0!</v>
      </c>
      <c r="AD11" s="474" t="e">
        <f t="shared" si="14"/>
        <v>#DIV/0!</v>
      </c>
      <c r="AE11" s="475" t="e">
        <f t="shared" si="15"/>
        <v>#DIV/0!</v>
      </c>
    </row>
    <row r="12" spans="1:31">
      <c r="A12" s="435">
        <f>'SQ-1'!A12</f>
        <v>43959</v>
      </c>
      <c r="B12" s="518"/>
      <c r="C12" s="464">
        <f t="shared" si="0"/>
        <v>0</v>
      </c>
      <c r="D12" s="5"/>
      <c r="E12" s="3"/>
      <c r="F12" s="434"/>
      <c r="G12" s="5"/>
      <c r="H12" s="6" t="e">
        <f t="shared" si="1"/>
        <v>#DIV/0!</v>
      </c>
      <c r="I12" s="518"/>
      <c r="J12" s="464">
        <f t="shared" si="2"/>
        <v>0</v>
      </c>
      <c r="K12" s="3"/>
      <c r="L12" s="3"/>
      <c r="M12" s="3"/>
      <c r="N12" s="5"/>
      <c r="O12" s="6" t="e">
        <f t="shared" si="3"/>
        <v>#DIV/0!</v>
      </c>
      <c r="P12" s="518"/>
      <c r="Q12" s="464">
        <f t="shared" si="4"/>
        <v>0</v>
      </c>
      <c r="R12" s="3"/>
      <c r="S12" s="3"/>
      <c r="T12" s="3"/>
      <c r="U12" s="5"/>
      <c r="V12" s="6" t="e">
        <f t="shared" si="5"/>
        <v>#DIV/0!</v>
      </c>
      <c r="W12" s="487">
        <f t="shared" si="7"/>
        <v>0</v>
      </c>
      <c r="X12" s="474">
        <f t="shared" si="8"/>
        <v>0</v>
      </c>
      <c r="Y12" s="477">
        <f t="shared" si="9"/>
        <v>0</v>
      </c>
      <c r="Z12" s="474">
        <f t="shared" si="10"/>
        <v>0</v>
      </c>
      <c r="AA12" s="486">
        <f t="shared" si="11"/>
        <v>0</v>
      </c>
      <c r="AB12" s="478">
        <f t="shared" si="12"/>
        <v>0</v>
      </c>
      <c r="AC12" s="488" t="e">
        <f t="shared" si="13"/>
        <v>#DIV/0!</v>
      </c>
      <c r="AD12" s="474" t="e">
        <f t="shared" si="14"/>
        <v>#DIV/0!</v>
      </c>
      <c r="AE12" s="475" t="e">
        <f t="shared" si="15"/>
        <v>#DIV/0!</v>
      </c>
    </row>
    <row r="13" spans="1:31">
      <c r="A13" s="435">
        <f>'SQ-1'!A13</f>
        <v>43960</v>
      </c>
      <c r="B13" s="518"/>
      <c r="C13" s="464">
        <f t="shared" si="0"/>
        <v>0</v>
      </c>
      <c r="D13" s="5"/>
      <c r="E13" s="3"/>
      <c r="F13" s="434"/>
      <c r="G13" s="5"/>
      <c r="H13" s="6" t="e">
        <f t="shared" si="1"/>
        <v>#DIV/0!</v>
      </c>
      <c r="I13" s="518"/>
      <c r="J13" s="464">
        <f t="shared" si="2"/>
        <v>0</v>
      </c>
      <c r="K13" s="3"/>
      <c r="L13" s="3"/>
      <c r="M13" s="3"/>
      <c r="N13" s="5"/>
      <c r="O13" s="6" t="e">
        <f t="shared" si="3"/>
        <v>#DIV/0!</v>
      </c>
      <c r="P13" s="518"/>
      <c r="Q13" s="464">
        <f t="shared" si="4"/>
        <v>0</v>
      </c>
      <c r="R13" s="3"/>
      <c r="S13" s="3"/>
      <c r="T13" s="3"/>
      <c r="U13" s="5"/>
      <c r="V13" s="6" t="e">
        <f t="shared" si="5"/>
        <v>#DIV/0!</v>
      </c>
      <c r="W13" s="487">
        <f t="shared" si="7"/>
        <v>0</v>
      </c>
      <c r="X13" s="474">
        <f t="shared" si="8"/>
        <v>0</v>
      </c>
      <c r="Y13" s="477">
        <f t="shared" si="9"/>
        <v>0</v>
      </c>
      <c r="Z13" s="474">
        <f t="shared" si="10"/>
        <v>0</v>
      </c>
      <c r="AA13" s="486">
        <f t="shared" si="11"/>
        <v>0</v>
      </c>
      <c r="AB13" s="478">
        <f t="shared" si="12"/>
        <v>0</v>
      </c>
      <c r="AC13" s="488" t="e">
        <f t="shared" si="13"/>
        <v>#DIV/0!</v>
      </c>
      <c r="AD13" s="474" t="e">
        <f t="shared" si="14"/>
        <v>#DIV/0!</v>
      </c>
      <c r="AE13" s="475" t="e">
        <f t="shared" si="15"/>
        <v>#DIV/0!</v>
      </c>
    </row>
    <row r="14" spans="1:31">
      <c r="A14" s="435">
        <f>'SQ-1'!A14</f>
        <v>43961</v>
      </c>
      <c r="B14" s="518"/>
      <c r="C14" s="464">
        <f t="shared" si="0"/>
        <v>0</v>
      </c>
      <c r="D14" s="5"/>
      <c r="E14" s="3"/>
      <c r="F14" s="434"/>
      <c r="G14" s="5"/>
      <c r="H14" s="6" t="e">
        <f t="shared" si="1"/>
        <v>#DIV/0!</v>
      </c>
      <c r="I14" s="518"/>
      <c r="J14" s="464">
        <f t="shared" si="2"/>
        <v>0</v>
      </c>
      <c r="K14" s="3"/>
      <c r="L14" s="3"/>
      <c r="M14" s="3"/>
      <c r="N14" s="5"/>
      <c r="O14" s="6" t="e">
        <f t="shared" si="3"/>
        <v>#DIV/0!</v>
      </c>
      <c r="P14" s="518"/>
      <c r="Q14" s="464">
        <f t="shared" si="4"/>
        <v>0</v>
      </c>
      <c r="R14" s="3"/>
      <c r="S14" s="3"/>
      <c r="T14" s="3"/>
      <c r="U14" s="5"/>
      <c r="V14" s="6" t="e">
        <f t="shared" si="5"/>
        <v>#DIV/0!</v>
      </c>
      <c r="W14" s="487">
        <f t="shared" si="7"/>
        <v>0</v>
      </c>
      <c r="X14" s="474">
        <f t="shared" si="8"/>
        <v>0</v>
      </c>
      <c r="Y14" s="477">
        <f t="shared" si="9"/>
        <v>0</v>
      </c>
      <c r="Z14" s="474">
        <f t="shared" si="10"/>
        <v>0</v>
      </c>
      <c r="AA14" s="486">
        <f t="shared" si="11"/>
        <v>0</v>
      </c>
      <c r="AB14" s="478">
        <f t="shared" si="12"/>
        <v>0</v>
      </c>
      <c r="AC14" s="488" t="e">
        <f t="shared" si="13"/>
        <v>#DIV/0!</v>
      </c>
      <c r="AD14" s="474" t="e">
        <f t="shared" si="14"/>
        <v>#DIV/0!</v>
      </c>
      <c r="AE14" s="475" t="e">
        <f t="shared" si="15"/>
        <v>#DIV/0!</v>
      </c>
    </row>
    <row r="15" spans="1:31">
      <c r="A15" s="435">
        <f>'SQ-1'!A15</f>
        <v>43962</v>
      </c>
      <c r="B15" s="518"/>
      <c r="C15" s="464">
        <f t="shared" si="0"/>
        <v>0</v>
      </c>
      <c r="D15" s="5"/>
      <c r="E15" s="3"/>
      <c r="F15" s="434"/>
      <c r="G15" s="5"/>
      <c r="H15" s="6" t="e">
        <f t="shared" si="1"/>
        <v>#DIV/0!</v>
      </c>
      <c r="I15" s="518"/>
      <c r="J15" s="464">
        <f t="shared" si="2"/>
        <v>0</v>
      </c>
      <c r="K15" s="3"/>
      <c r="L15" s="3"/>
      <c r="M15" s="3"/>
      <c r="N15" s="5"/>
      <c r="O15" s="6" t="e">
        <f t="shared" si="3"/>
        <v>#DIV/0!</v>
      </c>
      <c r="P15" s="518"/>
      <c r="Q15" s="464">
        <f t="shared" si="4"/>
        <v>0</v>
      </c>
      <c r="R15" s="3"/>
      <c r="S15" s="3"/>
      <c r="T15" s="3"/>
      <c r="U15" s="5"/>
      <c r="V15" s="6" t="e">
        <f t="shared" si="5"/>
        <v>#DIV/0!</v>
      </c>
      <c r="W15" s="487">
        <f t="shared" si="7"/>
        <v>0</v>
      </c>
      <c r="X15" s="474">
        <f t="shared" si="8"/>
        <v>0</v>
      </c>
      <c r="Y15" s="477">
        <f t="shared" si="9"/>
        <v>0</v>
      </c>
      <c r="Z15" s="474">
        <f t="shared" si="10"/>
        <v>0</v>
      </c>
      <c r="AA15" s="486">
        <f t="shared" si="11"/>
        <v>0</v>
      </c>
      <c r="AB15" s="478">
        <f t="shared" si="12"/>
        <v>0</v>
      </c>
      <c r="AC15" s="488" t="e">
        <f t="shared" si="13"/>
        <v>#DIV/0!</v>
      </c>
      <c r="AD15" s="474" t="e">
        <f t="shared" si="14"/>
        <v>#DIV/0!</v>
      </c>
      <c r="AE15" s="475" t="e">
        <f t="shared" si="15"/>
        <v>#DIV/0!</v>
      </c>
    </row>
    <row r="16" spans="1:31">
      <c r="A16" s="435">
        <f>'SQ-1'!A16</f>
        <v>43963</v>
      </c>
      <c r="B16" s="518"/>
      <c r="C16" s="464">
        <f t="shared" si="0"/>
        <v>0</v>
      </c>
      <c r="D16" s="5"/>
      <c r="E16" s="3"/>
      <c r="F16" s="434"/>
      <c r="G16" s="5"/>
      <c r="H16" s="6" t="e">
        <f t="shared" si="1"/>
        <v>#DIV/0!</v>
      </c>
      <c r="I16" s="518"/>
      <c r="J16" s="464">
        <f t="shared" si="2"/>
        <v>0</v>
      </c>
      <c r="K16" s="3"/>
      <c r="L16" s="3"/>
      <c r="M16" s="3"/>
      <c r="N16" s="5"/>
      <c r="O16" s="6" t="e">
        <f t="shared" si="3"/>
        <v>#DIV/0!</v>
      </c>
      <c r="P16" s="518"/>
      <c r="Q16" s="464">
        <f t="shared" si="4"/>
        <v>0</v>
      </c>
      <c r="R16" s="3"/>
      <c r="S16" s="3"/>
      <c r="T16" s="3"/>
      <c r="U16" s="5"/>
      <c r="V16" s="6" t="e">
        <f t="shared" si="5"/>
        <v>#DIV/0!</v>
      </c>
      <c r="W16" s="487">
        <f t="shared" si="7"/>
        <v>0</v>
      </c>
      <c r="X16" s="474">
        <f t="shared" si="8"/>
        <v>0</v>
      </c>
      <c r="Y16" s="477">
        <f t="shared" si="9"/>
        <v>0</v>
      </c>
      <c r="Z16" s="474">
        <f t="shared" si="10"/>
        <v>0</v>
      </c>
      <c r="AA16" s="486">
        <f t="shared" si="11"/>
        <v>0</v>
      </c>
      <c r="AB16" s="478">
        <f t="shared" si="12"/>
        <v>0</v>
      </c>
      <c r="AC16" s="488" t="e">
        <f t="shared" si="13"/>
        <v>#DIV/0!</v>
      </c>
      <c r="AD16" s="474" t="e">
        <f t="shared" si="14"/>
        <v>#DIV/0!</v>
      </c>
      <c r="AE16" s="475" t="e">
        <f t="shared" si="15"/>
        <v>#DIV/0!</v>
      </c>
    </row>
    <row r="17" spans="1:31">
      <c r="A17" s="435">
        <f>'SQ-1'!A17</f>
        <v>43964</v>
      </c>
      <c r="B17" s="518"/>
      <c r="C17" s="464">
        <f t="shared" si="0"/>
        <v>0</v>
      </c>
      <c r="D17" s="5"/>
      <c r="E17" s="3"/>
      <c r="F17" s="434"/>
      <c r="G17" s="5"/>
      <c r="H17" s="6" t="e">
        <f t="shared" si="1"/>
        <v>#DIV/0!</v>
      </c>
      <c r="I17" s="518"/>
      <c r="J17" s="464">
        <f t="shared" si="2"/>
        <v>0</v>
      </c>
      <c r="K17" s="3"/>
      <c r="L17" s="3"/>
      <c r="M17" s="3"/>
      <c r="N17" s="5"/>
      <c r="O17" s="6" t="e">
        <f t="shared" si="3"/>
        <v>#DIV/0!</v>
      </c>
      <c r="P17" s="518"/>
      <c r="Q17" s="464">
        <f t="shared" si="4"/>
        <v>0</v>
      </c>
      <c r="R17" s="3"/>
      <c r="S17" s="3"/>
      <c r="T17" s="3"/>
      <c r="U17" s="5"/>
      <c r="V17" s="6" t="e">
        <f t="shared" si="5"/>
        <v>#DIV/0!</v>
      </c>
      <c r="W17" s="487">
        <f t="shared" si="7"/>
        <v>0</v>
      </c>
      <c r="X17" s="474">
        <f t="shared" si="8"/>
        <v>0</v>
      </c>
      <c r="Y17" s="477">
        <f t="shared" si="9"/>
        <v>0</v>
      </c>
      <c r="Z17" s="474">
        <f t="shared" si="10"/>
        <v>0</v>
      </c>
      <c r="AA17" s="486">
        <f t="shared" si="11"/>
        <v>0</v>
      </c>
      <c r="AB17" s="478">
        <f t="shared" si="12"/>
        <v>0</v>
      </c>
      <c r="AC17" s="488" t="e">
        <f t="shared" si="13"/>
        <v>#DIV/0!</v>
      </c>
      <c r="AD17" s="474" t="e">
        <f t="shared" si="14"/>
        <v>#DIV/0!</v>
      </c>
      <c r="AE17" s="475" t="e">
        <f t="shared" si="15"/>
        <v>#DIV/0!</v>
      </c>
    </row>
    <row r="18" spans="1:31">
      <c r="A18" s="435">
        <f>'SQ-1'!A18</f>
        <v>43965</v>
      </c>
      <c r="B18" s="518"/>
      <c r="C18" s="464">
        <f t="shared" si="0"/>
        <v>0</v>
      </c>
      <c r="D18" s="5"/>
      <c r="E18" s="3"/>
      <c r="F18" s="434"/>
      <c r="G18" s="5"/>
      <c r="H18" s="6" t="e">
        <f t="shared" si="1"/>
        <v>#DIV/0!</v>
      </c>
      <c r="I18" s="518"/>
      <c r="J18" s="464">
        <f t="shared" si="2"/>
        <v>0</v>
      </c>
      <c r="K18" s="3"/>
      <c r="L18" s="3"/>
      <c r="M18" s="3"/>
      <c r="N18" s="5"/>
      <c r="O18" s="6" t="e">
        <f t="shared" si="3"/>
        <v>#DIV/0!</v>
      </c>
      <c r="P18" s="518"/>
      <c r="Q18" s="464">
        <f t="shared" si="4"/>
        <v>0</v>
      </c>
      <c r="R18" s="3"/>
      <c r="S18" s="3"/>
      <c r="T18" s="3"/>
      <c r="U18" s="5"/>
      <c r="V18" s="6" t="e">
        <f t="shared" si="5"/>
        <v>#DIV/0!</v>
      </c>
      <c r="W18" s="487">
        <f t="shared" si="7"/>
        <v>0</v>
      </c>
      <c r="X18" s="474">
        <f t="shared" si="8"/>
        <v>0</v>
      </c>
      <c r="Y18" s="477">
        <f t="shared" si="9"/>
        <v>0</v>
      </c>
      <c r="Z18" s="474">
        <f t="shared" si="10"/>
        <v>0</v>
      </c>
      <c r="AA18" s="486">
        <f t="shared" si="11"/>
        <v>0</v>
      </c>
      <c r="AB18" s="478">
        <f t="shared" si="12"/>
        <v>0</v>
      </c>
      <c r="AC18" s="488" t="e">
        <f t="shared" si="13"/>
        <v>#DIV/0!</v>
      </c>
      <c r="AD18" s="474" t="e">
        <f t="shared" si="14"/>
        <v>#DIV/0!</v>
      </c>
      <c r="AE18" s="475" t="e">
        <f t="shared" si="15"/>
        <v>#DIV/0!</v>
      </c>
    </row>
    <row r="19" spans="1:31">
      <c r="A19" s="435">
        <f>'SQ-1'!A19</f>
        <v>43966</v>
      </c>
      <c r="B19" s="518"/>
      <c r="C19" s="464">
        <f t="shared" si="0"/>
        <v>0</v>
      </c>
      <c r="D19" s="5"/>
      <c r="E19" s="3"/>
      <c r="F19" s="434"/>
      <c r="G19" s="5"/>
      <c r="H19" s="6" t="e">
        <f t="shared" si="1"/>
        <v>#DIV/0!</v>
      </c>
      <c r="I19" s="518"/>
      <c r="J19" s="464">
        <f t="shared" si="2"/>
        <v>0</v>
      </c>
      <c r="K19" s="3"/>
      <c r="L19" s="3"/>
      <c r="M19" s="3"/>
      <c r="N19" s="5"/>
      <c r="O19" s="6" t="e">
        <f t="shared" si="3"/>
        <v>#DIV/0!</v>
      </c>
      <c r="P19" s="518"/>
      <c r="Q19" s="464">
        <f t="shared" si="4"/>
        <v>0</v>
      </c>
      <c r="R19" s="3"/>
      <c r="S19" s="3"/>
      <c r="T19" s="3"/>
      <c r="U19" s="5"/>
      <c r="V19" s="6" t="e">
        <f t="shared" si="5"/>
        <v>#DIV/0!</v>
      </c>
      <c r="W19" s="487">
        <f t="shared" si="7"/>
        <v>0</v>
      </c>
      <c r="X19" s="474">
        <f t="shared" si="8"/>
        <v>0</v>
      </c>
      <c r="Y19" s="477">
        <f t="shared" si="9"/>
        <v>0</v>
      </c>
      <c r="Z19" s="474">
        <f t="shared" si="10"/>
        <v>0</v>
      </c>
      <c r="AA19" s="486">
        <f t="shared" si="11"/>
        <v>0</v>
      </c>
      <c r="AB19" s="478">
        <f t="shared" si="12"/>
        <v>0</v>
      </c>
      <c r="AC19" s="488" t="e">
        <f t="shared" si="13"/>
        <v>#DIV/0!</v>
      </c>
      <c r="AD19" s="474" t="e">
        <f t="shared" si="14"/>
        <v>#DIV/0!</v>
      </c>
      <c r="AE19" s="475" t="e">
        <f t="shared" si="15"/>
        <v>#DIV/0!</v>
      </c>
    </row>
    <row r="20" spans="1:31">
      <c r="A20" s="435">
        <f>'SQ-1'!A20</f>
        <v>43967</v>
      </c>
      <c r="B20" s="518"/>
      <c r="C20" s="464">
        <f t="shared" si="0"/>
        <v>0</v>
      </c>
      <c r="D20" s="5"/>
      <c r="E20" s="3"/>
      <c r="F20" s="434"/>
      <c r="G20" s="5"/>
      <c r="H20" s="6" t="e">
        <f t="shared" si="1"/>
        <v>#DIV/0!</v>
      </c>
      <c r="I20" s="518"/>
      <c r="J20" s="464">
        <f t="shared" si="2"/>
        <v>0</v>
      </c>
      <c r="K20" s="3"/>
      <c r="L20" s="3"/>
      <c r="M20" s="3"/>
      <c r="N20" s="5"/>
      <c r="O20" s="6" t="e">
        <f t="shared" si="3"/>
        <v>#DIV/0!</v>
      </c>
      <c r="P20" s="518"/>
      <c r="Q20" s="464">
        <f t="shared" si="4"/>
        <v>0</v>
      </c>
      <c r="R20" s="3"/>
      <c r="S20" s="3"/>
      <c r="T20" s="3"/>
      <c r="U20" s="5"/>
      <c r="V20" s="6" t="e">
        <f t="shared" si="5"/>
        <v>#DIV/0!</v>
      </c>
      <c r="W20" s="487">
        <f t="shared" si="7"/>
        <v>0</v>
      </c>
      <c r="X20" s="474">
        <f t="shared" si="8"/>
        <v>0</v>
      </c>
      <c r="Y20" s="477">
        <f t="shared" si="9"/>
        <v>0</v>
      </c>
      <c r="Z20" s="474">
        <f t="shared" si="10"/>
        <v>0</v>
      </c>
      <c r="AA20" s="486">
        <f t="shared" si="11"/>
        <v>0</v>
      </c>
      <c r="AB20" s="478">
        <f t="shared" si="12"/>
        <v>0</v>
      </c>
      <c r="AC20" s="488" t="e">
        <f t="shared" si="13"/>
        <v>#DIV/0!</v>
      </c>
      <c r="AD20" s="474" t="e">
        <f t="shared" si="14"/>
        <v>#DIV/0!</v>
      </c>
      <c r="AE20" s="475" t="e">
        <f t="shared" si="15"/>
        <v>#DIV/0!</v>
      </c>
    </row>
    <row r="21" spans="1:31">
      <c r="A21" s="435">
        <f>'SQ-1'!A21</f>
        <v>43968</v>
      </c>
      <c r="B21" s="518"/>
      <c r="C21" s="464">
        <f t="shared" si="0"/>
        <v>0</v>
      </c>
      <c r="D21" s="5"/>
      <c r="E21" s="3"/>
      <c r="F21" s="434"/>
      <c r="G21" s="5"/>
      <c r="H21" s="6" t="e">
        <f t="shared" si="1"/>
        <v>#DIV/0!</v>
      </c>
      <c r="I21" s="518"/>
      <c r="J21" s="464">
        <f t="shared" si="2"/>
        <v>0</v>
      </c>
      <c r="K21" s="3"/>
      <c r="L21" s="3"/>
      <c r="M21" s="3"/>
      <c r="N21" s="5"/>
      <c r="O21" s="6" t="e">
        <f t="shared" si="3"/>
        <v>#DIV/0!</v>
      </c>
      <c r="P21" s="518"/>
      <c r="Q21" s="464">
        <f t="shared" si="4"/>
        <v>0</v>
      </c>
      <c r="R21" s="3"/>
      <c r="S21" s="3"/>
      <c r="T21" s="3"/>
      <c r="U21" s="5"/>
      <c r="V21" s="6" t="e">
        <f t="shared" si="5"/>
        <v>#DIV/0!</v>
      </c>
      <c r="W21" s="487">
        <f t="shared" si="7"/>
        <v>0</v>
      </c>
      <c r="X21" s="474">
        <f t="shared" si="8"/>
        <v>0</v>
      </c>
      <c r="Y21" s="477">
        <f t="shared" si="9"/>
        <v>0</v>
      </c>
      <c r="Z21" s="474">
        <f t="shared" si="10"/>
        <v>0</v>
      </c>
      <c r="AA21" s="486">
        <f t="shared" si="11"/>
        <v>0</v>
      </c>
      <c r="AB21" s="478">
        <f t="shared" si="12"/>
        <v>0</v>
      </c>
      <c r="AC21" s="488" t="e">
        <f t="shared" si="13"/>
        <v>#DIV/0!</v>
      </c>
      <c r="AD21" s="474" t="e">
        <f t="shared" si="14"/>
        <v>#DIV/0!</v>
      </c>
      <c r="AE21" s="475" t="e">
        <f t="shared" si="15"/>
        <v>#DIV/0!</v>
      </c>
    </row>
    <row r="22" spans="1:31">
      <c r="A22" s="435">
        <f>'SQ-1'!A22</f>
        <v>43969</v>
      </c>
      <c r="B22" s="518"/>
      <c r="C22" s="464">
        <f t="shared" si="0"/>
        <v>0</v>
      </c>
      <c r="D22" s="5"/>
      <c r="E22" s="3"/>
      <c r="F22" s="434"/>
      <c r="G22" s="5"/>
      <c r="H22" s="6" t="e">
        <f t="shared" si="1"/>
        <v>#DIV/0!</v>
      </c>
      <c r="I22" s="518"/>
      <c r="J22" s="464">
        <f t="shared" si="2"/>
        <v>0</v>
      </c>
      <c r="K22" s="3"/>
      <c r="L22" s="3"/>
      <c r="M22" s="3"/>
      <c r="N22" s="5"/>
      <c r="O22" s="6" t="e">
        <f t="shared" si="3"/>
        <v>#DIV/0!</v>
      </c>
      <c r="P22" s="518"/>
      <c r="Q22" s="464">
        <f t="shared" si="4"/>
        <v>0</v>
      </c>
      <c r="R22" s="3"/>
      <c r="S22" s="3"/>
      <c r="T22" s="3"/>
      <c r="U22" s="5"/>
      <c r="V22" s="6" t="e">
        <f t="shared" si="5"/>
        <v>#DIV/0!</v>
      </c>
      <c r="W22" s="487">
        <f t="shared" si="7"/>
        <v>0</v>
      </c>
      <c r="X22" s="474">
        <f t="shared" si="8"/>
        <v>0</v>
      </c>
      <c r="Y22" s="477">
        <f t="shared" si="9"/>
        <v>0</v>
      </c>
      <c r="Z22" s="474">
        <f t="shared" si="10"/>
        <v>0</v>
      </c>
      <c r="AA22" s="486">
        <f t="shared" si="11"/>
        <v>0</v>
      </c>
      <c r="AB22" s="478">
        <f t="shared" si="12"/>
        <v>0</v>
      </c>
      <c r="AC22" s="488" t="e">
        <f t="shared" si="13"/>
        <v>#DIV/0!</v>
      </c>
      <c r="AD22" s="474" t="e">
        <f t="shared" si="14"/>
        <v>#DIV/0!</v>
      </c>
      <c r="AE22" s="475" t="e">
        <f t="shared" si="15"/>
        <v>#DIV/0!</v>
      </c>
    </row>
    <row r="23" spans="1:31">
      <c r="A23" s="435">
        <f>'SQ-1'!A23</f>
        <v>43970</v>
      </c>
      <c r="B23" s="518"/>
      <c r="C23" s="464">
        <f t="shared" si="0"/>
        <v>0</v>
      </c>
      <c r="D23" s="5"/>
      <c r="E23" s="3"/>
      <c r="F23" s="434"/>
      <c r="G23" s="5"/>
      <c r="H23" s="6" t="e">
        <f t="shared" si="1"/>
        <v>#DIV/0!</v>
      </c>
      <c r="I23" s="518"/>
      <c r="J23" s="464">
        <f t="shared" si="2"/>
        <v>0</v>
      </c>
      <c r="K23" s="3"/>
      <c r="L23" s="3"/>
      <c r="M23" s="3"/>
      <c r="N23" s="5"/>
      <c r="O23" s="6" t="e">
        <f t="shared" si="3"/>
        <v>#DIV/0!</v>
      </c>
      <c r="P23" s="518"/>
      <c r="Q23" s="464">
        <f t="shared" si="4"/>
        <v>0</v>
      </c>
      <c r="R23" s="3"/>
      <c r="S23" s="3"/>
      <c r="T23" s="3"/>
      <c r="U23" s="5"/>
      <c r="V23" s="6" t="e">
        <f t="shared" si="5"/>
        <v>#DIV/0!</v>
      </c>
      <c r="W23" s="487">
        <f t="shared" si="7"/>
        <v>0</v>
      </c>
      <c r="X23" s="474">
        <f t="shared" si="8"/>
        <v>0</v>
      </c>
      <c r="Y23" s="477">
        <f t="shared" si="9"/>
        <v>0</v>
      </c>
      <c r="Z23" s="474">
        <f t="shared" si="10"/>
        <v>0</v>
      </c>
      <c r="AA23" s="486">
        <f t="shared" si="11"/>
        <v>0</v>
      </c>
      <c r="AB23" s="478">
        <f t="shared" si="12"/>
        <v>0</v>
      </c>
      <c r="AC23" s="488" t="e">
        <f t="shared" si="13"/>
        <v>#DIV/0!</v>
      </c>
      <c r="AD23" s="474" t="e">
        <f t="shared" si="14"/>
        <v>#DIV/0!</v>
      </c>
      <c r="AE23" s="475" t="e">
        <f t="shared" si="15"/>
        <v>#DIV/0!</v>
      </c>
    </row>
    <row r="24" spans="1:31">
      <c r="A24" s="435">
        <f>'SQ-1'!A24</f>
        <v>43971</v>
      </c>
      <c r="B24" s="518"/>
      <c r="C24" s="464">
        <f t="shared" si="0"/>
        <v>0</v>
      </c>
      <c r="D24" s="5"/>
      <c r="E24" s="3"/>
      <c r="F24" s="434"/>
      <c r="G24" s="5"/>
      <c r="H24" s="6" t="e">
        <f t="shared" si="1"/>
        <v>#DIV/0!</v>
      </c>
      <c r="I24" s="518"/>
      <c r="J24" s="464">
        <f t="shared" si="2"/>
        <v>0</v>
      </c>
      <c r="K24" s="3"/>
      <c r="L24" s="3"/>
      <c r="M24" s="3"/>
      <c r="N24" s="5"/>
      <c r="O24" s="6" t="e">
        <f t="shared" si="3"/>
        <v>#DIV/0!</v>
      </c>
      <c r="P24" s="518"/>
      <c r="Q24" s="464">
        <f t="shared" si="4"/>
        <v>0</v>
      </c>
      <c r="R24" s="3"/>
      <c r="S24" s="3"/>
      <c r="T24" s="3"/>
      <c r="U24" s="5"/>
      <c r="V24" s="6" t="e">
        <f t="shared" si="5"/>
        <v>#DIV/0!</v>
      </c>
      <c r="W24" s="487">
        <f t="shared" si="7"/>
        <v>0</v>
      </c>
      <c r="X24" s="474">
        <f t="shared" si="8"/>
        <v>0</v>
      </c>
      <c r="Y24" s="477">
        <f t="shared" si="9"/>
        <v>0</v>
      </c>
      <c r="Z24" s="474">
        <f t="shared" si="10"/>
        <v>0</v>
      </c>
      <c r="AA24" s="486">
        <f t="shared" si="11"/>
        <v>0</v>
      </c>
      <c r="AB24" s="478">
        <f t="shared" si="12"/>
        <v>0</v>
      </c>
      <c r="AC24" s="488" t="e">
        <f t="shared" si="13"/>
        <v>#DIV/0!</v>
      </c>
      <c r="AD24" s="474" t="e">
        <f t="shared" si="14"/>
        <v>#DIV/0!</v>
      </c>
      <c r="AE24" s="475" t="e">
        <f t="shared" si="15"/>
        <v>#DIV/0!</v>
      </c>
    </row>
    <row r="25" spans="1:31">
      <c r="A25" s="435">
        <f>'SQ-1'!A25</f>
        <v>43972</v>
      </c>
      <c r="B25" s="518"/>
      <c r="C25" s="464">
        <f t="shared" si="0"/>
        <v>0</v>
      </c>
      <c r="D25" s="5"/>
      <c r="E25" s="3"/>
      <c r="F25" s="434"/>
      <c r="G25" s="5"/>
      <c r="H25" s="6" t="e">
        <f t="shared" si="1"/>
        <v>#DIV/0!</v>
      </c>
      <c r="I25" s="518"/>
      <c r="J25" s="464">
        <f t="shared" si="2"/>
        <v>0</v>
      </c>
      <c r="K25" s="3"/>
      <c r="L25" s="3"/>
      <c r="M25" s="3"/>
      <c r="N25" s="5"/>
      <c r="O25" s="6" t="e">
        <f t="shared" si="3"/>
        <v>#DIV/0!</v>
      </c>
      <c r="P25" s="518"/>
      <c r="Q25" s="464">
        <f t="shared" si="4"/>
        <v>0</v>
      </c>
      <c r="R25" s="3"/>
      <c r="S25" s="3"/>
      <c r="T25" s="3"/>
      <c r="U25" s="5"/>
      <c r="V25" s="6" t="e">
        <f t="shared" ref="V25:V35" si="16">U25/P25</f>
        <v>#DIV/0!</v>
      </c>
      <c r="W25" s="487">
        <f t="shared" si="7"/>
        <v>0</v>
      </c>
      <c r="X25" s="474">
        <f t="shared" si="8"/>
        <v>0</v>
      </c>
      <c r="Y25" s="477">
        <f t="shared" si="9"/>
        <v>0</v>
      </c>
      <c r="Z25" s="474">
        <f t="shared" si="10"/>
        <v>0</v>
      </c>
      <c r="AA25" s="486">
        <f t="shared" si="11"/>
        <v>0</v>
      </c>
      <c r="AB25" s="478">
        <f t="shared" si="12"/>
        <v>0</v>
      </c>
      <c r="AC25" s="488" t="e">
        <f>AB25/W25</f>
        <v>#DIV/0!</v>
      </c>
      <c r="AD25" s="474" t="e">
        <f t="shared" si="14"/>
        <v>#DIV/0!</v>
      </c>
      <c r="AE25" s="475" t="e">
        <f t="shared" si="15"/>
        <v>#DIV/0!</v>
      </c>
    </row>
    <row r="26" spans="1:31">
      <c r="A26" s="435">
        <f>'SQ-1'!A26</f>
        <v>43973</v>
      </c>
      <c r="B26" s="518"/>
      <c r="C26" s="464">
        <f t="shared" si="0"/>
        <v>0</v>
      </c>
      <c r="D26" s="5"/>
      <c r="E26" s="3"/>
      <c r="F26" s="434"/>
      <c r="G26" s="5"/>
      <c r="H26" s="6" t="e">
        <f t="shared" si="1"/>
        <v>#DIV/0!</v>
      </c>
      <c r="I26" s="518"/>
      <c r="J26" s="464">
        <f t="shared" si="2"/>
        <v>0</v>
      </c>
      <c r="K26" s="3"/>
      <c r="L26" s="3"/>
      <c r="M26" s="3"/>
      <c r="N26" s="5"/>
      <c r="O26" s="6" t="e">
        <f t="shared" si="3"/>
        <v>#DIV/0!</v>
      </c>
      <c r="P26" s="518"/>
      <c r="Q26" s="464">
        <f t="shared" si="4"/>
        <v>0</v>
      </c>
      <c r="R26" s="3"/>
      <c r="S26" s="3"/>
      <c r="T26" s="3"/>
      <c r="U26" s="5"/>
      <c r="V26" s="6" t="e">
        <f t="shared" si="16"/>
        <v>#DIV/0!</v>
      </c>
      <c r="W26" s="487">
        <f t="shared" si="7"/>
        <v>0</v>
      </c>
      <c r="X26" s="474">
        <f t="shared" si="8"/>
        <v>0</v>
      </c>
      <c r="Y26" s="477">
        <f t="shared" si="9"/>
        <v>0</v>
      </c>
      <c r="Z26" s="474">
        <f t="shared" si="10"/>
        <v>0</v>
      </c>
      <c r="AA26" s="486">
        <f t="shared" si="11"/>
        <v>0</v>
      </c>
      <c r="AB26" s="478">
        <f t="shared" si="12"/>
        <v>0</v>
      </c>
      <c r="AC26" s="488" t="e">
        <f t="shared" si="13"/>
        <v>#DIV/0!</v>
      </c>
      <c r="AD26" s="474" t="e">
        <f t="shared" si="14"/>
        <v>#DIV/0!</v>
      </c>
      <c r="AE26" s="475" t="e">
        <f t="shared" si="15"/>
        <v>#DIV/0!</v>
      </c>
    </row>
    <row r="27" spans="1:31">
      <c r="A27" s="435">
        <f>'SQ-1'!A27</f>
        <v>43974</v>
      </c>
      <c r="B27" s="518"/>
      <c r="C27" s="464">
        <f t="shared" si="0"/>
        <v>0</v>
      </c>
      <c r="D27" s="5"/>
      <c r="E27" s="3"/>
      <c r="F27" s="434"/>
      <c r="G27" s="5"/>
      <c r="H27" s="6" t="e">
        <f t="shared" si="1"/>
        <v>#DIV/0!</v>
      </c>
      <c r="I27" s="518"/>
      <c r="J27" s="464">
        <f t="shared" si="2"/>
        <v>0</v>
      </c>
      <c r="K27" s="3"/>
      <c r="L27" s="3"/>
      <c r="M27" s="3"/>
      <c r="N27" s="5"/>
      <c r="O27" s="6" t="e">
        <f t="shared" si="3"/>
        <v>#DIV/0!</v>
      </c>
      <c r="P27" s="518"/>
      <c r="Q27" s="464">
        <f t="shared" si="4"/>
        <v>0</v>
      </c>
      <c r="R27" s="3"/>
      <c r="S27" s="3"/>
      <c r="T27" s="3"/>
      <c r="U27" s="5"/>
      <c r="V27" s="6" t="e">
        <f t="shared" si="16"/>
        <v>#DIV/0!</v>
      </c>
      <c r="W27" s="487">
        <f t="shared" si="7"/>
        <v>0</v>
      </c>
      <c r="X27" s="474">
        <f t="shared" si="8"/>
        <v>0</v>
      </c>
      <c r="Y27" s="477">
        <f t="shared" si="9"/>
        <v>0</v>
      </c>
      <c r="Z27" s="474">
        <f t="shared" si="10"/>
        <v>0</v>
      </c>
      <c r="AA27" s="486">
        <f t="shared" si="11"/>
        <v>0</v>
      </c>
      <c r="AB27" s="478">
        <f t="shared" si="12"/>
        <v>0</v>
      </c>
      <c r="AC27" s="488" t="e">
        <f t="shared" si="13"/>
        <v>#DIV/0!</v>
      </c>
      <c r="AD27" s="474" t="e">
        <f t="shared" si="14"/>
        <v>#DIV/0!</v>
      </c>
      <c r="AE27" s="475" t="e">
        <f t="shared" si="15"/>
        <v>#DIV/0!</v>
      </c>
    </row>
    <row r="28" spans="1:31">
      <c r="A28" s="435">
        <f>'SQ-1'!A28</f>
        <v>43975</v>
      </c>
      <c r="B28" s="518"/>
      <c r="C28" s="464">
        <f t="shared" si="0"/>
        <v>0</v>
      </c>
      <c r="D28" s="5"/>
      <c r="E28" s="3"/>
      <c r="F28" s="434"/>
      <c r="G28" s="5"/>
      <c r="H28" s="6" t="e">
        <f t="shared" si="1"/>
        <v>#DIV/0!</v>
      </c>
      <c r="I28" s="518"/>
      <c r="J28" s="464">
        <f t="shared" si="2"/>
        <v>0</v>
      </c>
      <c r="K28" s="3"/>
      <c r="L28" s="3"/>
      <c r="M28" s="3"/>
      <c r="N28" s="5"/>
      <c r="O28" s="6" t="e">
        <f t="shared" si="3"/>
        <v>#DIV/0!</v>
      </c>
      <c r="P28" s="518"/>
      <c r="Q28" s="464">
        <f t="shared" si="4"/>
        <v>0</v>
      </c>
      <c r="R28" s="3"/>
      <c r="S28" s="3"/>
      <c r="T28" s="3"/>
      <c r="U28" s="5"/>
      <c r="V28" s="6" t="e">
        <f t="shared" si="16"/>
        <v>#DIV/0!</v>
      </c>
      <c r="W28" s="487">
        <f t="shared" si="7"/>
        <v>0</v>
      </c>
      <c r="X28" s="474">
        <f>C28+J28+Q28</f>
        <v>0</v>
      </c>
      <c r="Y28" s="477">
        <f t="shared" si="9"/>
        <v>0</v>
      </c>
      <c r="Z28" s="474">
        <f t="shared" si="10"/>
        <v>0</v>
      </c>
      <c r="AA28" s="486">
        <f>F28+M28+T28</f>
        <v>0</v>
      </c>
      <c r="AB28" s="478">
        <f>G28+N28+U28</f>
        <v>0</v>
      </c>
      <c r="AC28" s="488" t="e">
        <f t="shared" si="13"/>
        <v>#DIV/0!</v>
      </c>
      <c r="AD28" s="474" t="e">
        <f t="shared" si="14"/>
        <v>#DIV/0!</v>
      </c>
      <c r="AE28" s="475" t="e">
        <f t="shared" si="15"/>
        <v>#DIV/0!</v>
      </c>
    </row>
    <row r="29" spans="1:31">
      <c r="A29" s="435">
        <f>'SQ-1'!A29</f>
        <v>43976</v>
      </c>
      <c r="B29" s="518"/>
      <c r="C29" s="464">
        <f t="shared" si="0"/>
        <v>0</v>
      </c>
      <c r="D29" s="5"/>
      <c r="E29" s="3"/>
      <c r="F29" s="434"/>
      <c r="G29" s="5"/>
      <c r="H29" s="6" t="e">
        <f t="shared" si="1"/>
        <v>#DIV/0!</v>
      </c>
      <c r="I29" s="518"/>
      <c r="J29" s="464">
        <f t="shared" si="2"/>
        <v>0</v>
      </c>
      <c r="K29" s="3"/>
      <c r="L29" s="3"/>
      <c r="M29" s="3"/>
      <c r="N29" s="5"/>
      <c r="O29" s="6" t="e">
        <f t="shared" si="3"/>
        <v>#DIV/0!</v>
      </c>
      <c r="P29" s="518"/>
      <c r="Q29" s="464">
        <f t="shared" si="4"/>
        <v>0</v>
      </c>
      <c r="R29" s="3"/>
      <c r="S29" s="3"/>
      <c r="T29" s="3"/>
      <c r="U29" s="5"/>
      <c r="V29" s="6" t="e">
        <f t="shared" si="16"/>
        <v>#DIV/0!</v>
      </c>
      <c r="W29" s="487">
        <f t="shared" si="7"/>
        <v>0</v>
      </c>
      <c r="X29" s="474">
        <f>C29+J29+Q29</f>
        <v>0</v>
      </c>
      <c r="Y29" s="477">
        <f t="shared" si="9"/>
        <v>0</v>
      </c>
      <c r="Z29" s="474">
        <f t="shared" si="10"/>
        <v>0</v>
      </c>
      <c r="AA29" s="486">
        <f>F29+M29+T29</f>
        <v>0</v>
      </c>
      <c r="AB29" s="478">
        <f>G29+N29+U29</f>
        <v>0</v>
      </c>
      <c r="AC29" s="488" t="e">
        <f t="shared" si="13"/>
        <v>#DIV/0!</v>
      </c>
      <c r="AD29" s="474" t="e">
        <f t="shared" si="14"/>
        <v>#DIV/0!</v>
      </c>
      <c r="AE29" s="475" t="e">
        <f t="shared" si="15"/>
        <v>#DIV/0!</v>
      </c>
    </row>
    <row r="30" spans="1:31">
      <c r="A30" s="435">
        <f>'SQ-1'!A30</f>
        <v>43977</v>
      </c>
      <c r="B30" s="518"/>
      <c r="C30" s="464">
        <f t="shared" si="0"/>
        <v>0</v>
      </c>
      <c r="D30" s="5"/>
      <c r="E30" s="3"/>
      <c r="F30" s="434"/>
      <c r="G30" s="5"/>
      <c r="H30" s="6" t="e">
        <f t="shared" si="1"/>
        <v>#DIV/0!</v>
      </c>
      <c r="I30" s="518"/>
      <c r="J30" s="464">
        <f t="shared" si="2"/>
        <v>0</v>
      </c>
      <c r="K30" s="3"/>
      <c r="L30" s="3"/>
      <c r="M30" s="3"/>
      <c r="N30" s="5"/>
      <c r="O30" s="6" t="e">
        <f t="shared" si="3"/>
        <v>#DIV/0!</v>
      </c>
      <c r="P30" s="518"/>
      <c r="Q30" s="464">
        <f t="shared" si="4"/>
        <v>0</v>
      </c>
      <c r="R30" s="3"/>
      <c r="S30" s="3"/>
      <c r="T30" s="3"/>
      <c r="U30" s="5"/>
      <c r="V30" s="6" t="e">
        <f t="shared" si="16"/>
        <v>#DIV/0!</v>
      </c>
      <c r="W30" s="487">
        <f t="shared" si="7"/>
        <v>0</v>
      </c>
      <c r="X30" s="474">
        <f t="shared" si="8"/>
        <v>0</v>
      </c>
      <c r="Y30" s="477">
        <f t="shared" si="9"/>
        <v>0</v>
      </c>
      <c r="Z30" s="474">
        <f t="shared" si="10"/>
        <v>0</v>
      </c>
      <c r="AA30" s="486">
        <f t="shared" si="11"/>
        <v>0</v>
      </c>
      <c r="AB30" s="478">
        <f t="shared" si="12"/>
        <v>0</v>
      </c>
      <c r="AC30" s="488" t="e">
        <f t="shared" si="13"/>
        <v>#DIV/0!</v>
      </c>
      <c r="AD30" s="474" t="e">
        <f t="shared" si="14"/>
        <v>#DIV/0!</v>
      </c>
      <c r="AE30" s="475" t="e">
        <f t="shared" si="15"/>
        <v>#DIV/0!</v>
      </c>
    </row>
    <row r="31" spans="1:31">
      <c r="A31" s="435">
        <f>'SQ-1'!A31</f>
        <v>43978</v>
      </c>
      <c r="B31" s="518"/>
      <c r="C31" s="464">
        <f t="shared" si="0"/>
        <v>0</v>
      </c>
      <c r="D31" s="3"/>
      <c r="E31" s="3"/>
      <c r="F31" s="3"/>
      <c r="G31" s="5"/>
      <c r="H31" s="6" t="e">
        <f t="shared" si="1"/>
        <v>#DIV/0!</v>
      </c>
      <c r="I31" s="518"/>
      <c r="J31" s="464">
        <f t="shared" si="2"/>
        <v>0</v>
      </c>
      <c r="K31" s="5"/>
      <c r="L31" s="3"/>
      <c r="M31" s="434"/>
      <c r="N31" s="5"/>
      <c r="O31" s="6" t="e">
        <f t="shared" si="3"/>
        <v>#DIV/0!</v>
      </c>
      <c r="P31" s="518"/>
      <c r="Q31" s="464">
        <f t="shared" si="4"/>
        <v>0</v>
      </c>
      <c r="R31" s="3"/>
      <c r="S31" s="3"/>
      <c r="T31" s="3"/>
      <c r="U31" s="5"/>
      <c r="V31" s="6" t="e">
        <f t="shared" si="16"/>
        <v>#DIV/0!</v>
      </c>
      <c r="W31" s="487">
        <f t="shared" si="7"/>
        <v>0</v>
      </c>
      <c r="X31" s="474">
        <f t="shared" si="8"/>
        <v>0</v>
      </c>
      <c r="Y31" s="477">
        <f t="shared" si="9"/>
        <v>0</v>
      </c>
      <c r="Z31" s="474">
        <f t="shared" si="10"/>
        <v>0</v>
      </c>
      <c r="AA31" s="486">
        <f t="shared" si="11"/>
        <v>0</v>
      </c>
      <c r="AB31" s="478">
        <f t="shared" si="12"/>
        <v>0</v>
      </c>
      <c r="AC31" s="488" t="e">
        <f t="shared" si="13"/>
        <v>#DIV/0!</v>
      </c>
      <c r="AD31" s="474" t="e">
        <f t="shared" si="14"/>
        <v>#DIV/0!</v>
      </c>
      <c r="AE31" s="475" t="e">
        <f t="shared" si="15"/>
        <v>#DIV/0!</v>
      </c>
    </row>
    <row r="32" spans="1:31">
      <c r="A32" s="435">
        <f>'SQ-1'!A32</f>
        <v>43979</v>
      </c>
      <c r="B32" s="518"/>
      <c r="C32" s="464">
        <f t="shared" si="0"/>
        <v>0</v>
      </c>
      <c r="D32" s="3"/>
      <c r="E32" s="3"/>
      <c r="F32" s="3"/>
      <c r="G32" s="5"/>
      <c r="H32" s="6" t="e">
        <f t="shared" si="1"/>
        <v>#DIV/0!</v>
      </c>
      <c r="I32" s="518"/>
      <c r="J32" s="464">
        <f t="shared" si="2"/>
        <v>0</v>
      </c>
      <c r="K32" s="5"/>
      <c r="L32" s="3"/>
      <c r="M32" s="434"/>
      <c r="N32" s="5"/>
      <c r="O32" s="6" t="e">
        <f t="shared" si="3"/>
        <v>#DIV/0!</v>
      </c>
      <c r="P32" s="518"/>
      <c r="Q32" s="464">
        <f t="shared" si="4"/>
        <v>0</v>
      </c>
      <c r="R32" s="3"/>
      <c r="S32" s="3"/>
      <c r="T32" s="3"/>
      <c r="U32" s="5"/>
      <c r="V32" s="6" t="e">
        <f t="shared" si="16"/>
        <v>#DIV/0!</v>
      </c>
      <c r="W32" s="487">
        <f t="shared" si="7"/>
        <v>0</v>
      </c>
      <c r="X32" s="474">
        <f t="shared" si="8"/>
        <v>0</v>
      </c>
      <c r="Y32" s="477">
        <f t="shared" si="9"/>
        <v>0</v>
      </c>
      <c r="Z32" s="474">
        <f t="shared" si="10"/>
        <v>0</v>
      </c>
      <c r="AA32" s="486">
        <f t="shared" si="11"/>
        <v>0</v>
      </c>
      <c r="AB32" s="478">
        <f t="shared" si="12"/>
        <v>0</v>
      </c>
      <c r="AC32" s="488" t="e">
        <f t="shared" si="13"/>
        <v>#DIV/0!</v>
      </c>
      <c r="AD32" s="474" t="e">
        <f t="shared" si="14"/>
        <v>#DIV/0!</v>
      </c>
      <c r="AE32" s="475" t="e">
        <f t="shared" si="15"/>
        <v>#DIV/0!</v>
      </c>
    </row>
    <row r="33" spans="1:31">
      <c r="A33" s="435">
        <f>'SQ-1'!A33</f>
        <v>43980</v>
      </c>
      <c r="B33" s="518"/>
      <c r="C33" s="464">
        <f t="shared" si="0"/>
        <v>0</v>
      </c>
      <c r="D33" s="3"/>
      <c r="E33" s="3"/>
      <c r="F33" s="3"/>
      <c r="G33" s="5"/>
      <c r="H33" s="6" t="e">
        <f t="shared" si="1"/>
        <v>#DIV/0!</v>
      </c>
      <c r="I33" s="518"/>
      <c r="J33" s="464">
        <f t="shared" si="2"/>
        <v>0</v>
      </c>
      <c r="K33" s="5"/>
      <c r="L33" s="3"/>
      <c r="M33" s="434"/>
      <c r="N33" s="5"/>
      <c r="O33" s="6" t="e">
        <f t="shared" si="3"/>
        <v>#DIV/0!</v>
      </c>
      <c r="P33" s="518"/>
      <c r="Q33" s="464">
        <f t="shared" si="4"/>
        <v>0</v>
      </c>
      <c r="R33" s="3"/>
      <c r="S33" s="3"/>
      <c r="T33" s="3"/>
      <c r="U33" s="5"/>
      <c r="V33" s="6" t="e">
        <f t="shared" si="16"/>
        <v>#DIV/0!</v>
      </c>
      <c r="W33" s="487">
        <f t="shared" si="7"/>
        <v>0</v>
      </c>
      <c r="X33" s="474">
        <f t="shared" si="8"/>
        <v>0</v>
      </c>
      <c r="Y33" s="477">
        <f t="shared" si="9"/>
        <v>0</v>
      </c>
      <c r="Z33" s="474">
        <f t="shared" si="10"/>
        <v>0</v>
      </c>
      <c r="AA33" s="486">
        <f t="shared" si="11"/>
        <v>0</v>
      </c>
      <c r="AB33" s="478">
        <f t="shared" si="12"/>
        <v>0</v>
      </c>
      <c r="AC33" s="488" t="e">
        <f t="shared" si="13"/>
        <v>#DIV/0!</v>
      </c>
      <c r="AD33" s="474" t="e">
        <f t="shared" si="14"/>
        <v>#DIV/0!</v>
      </c>
      <c r="AE33" s="475" t="e">
        <f t="shared" si="15"/>
        <v>#DIV/0!</v>
      </c>
    </row>
    <row r="34" spans="1:31">
      <c r="A34" s="435">
        <f>'SQ-1'!A34</f>
        <v>43981</v>
      </c>
      <c r="B34" s="518"/>
      <c r="C34" s="464">
        <f t="shared" si="0"/>
        <v>0</v>
      </c>
      <c r="D34" s="3"/>
      <c r="E34" s="3"/>
      <c r="F34" s="3"/>
      <c r="G34" s="3"/>
      <c r="H34" s="6" t="e">
        <f t="shared" si="1"/>
        <v>#DIV/0!</v>
      </c>
      <c r="I34" s="518"/>
      <c r="J34" s="464">
        <f t="shared" si="2"/>
        <v>0</v>
      </c>
      <c r="K34" s="3"/>
      <c r="L34" s="3"/>
      <c r="M34" s="3"/>
      <c r="N34" s="3"/>
      <c r="O34" s="6" t="e">
        <f t="shared" si="3"/>
        <v>#DIV/0!</v>
      </c>
      <c r="P34" s="518"/>
      <c r="Q34" s="464">
        <f t="shared" si="4"/>
        <v>0</v>
      </c>
      <c r="R34" s="3"/>
      <c r="S34" s="3"/>
      <c r="T34" s="3"/>
      <c r="U34" s="5"/>
      <c r="V34" s="6" t="e">
        <f t="shared" si="16"/>
        <v>#DIV/0!</v>
      </c>
      <c r="W34" s="487">
        <f t="shared" si="7"/>
        <v>0</v>
      </c>
      <c r="X34" s="474">
        <f t="shared" si="8"/>
        <v>0</v>
      </c>
      <c r="Y34" s="477">
        <f t="shared" si="9"/>
        <v>0</v>
      </c>
      <c r="Z34" s="474">
        <f t="shared" si="10"/>
        <v>0</v>
      </c>
      <c r="AA34" s="486">
        <f t="shared" si="11"/>
        <v>0</v>
      </c>
      <c r="AB34" s="478">
        <f t="shared" si="12"/>
        <v>0</v>
      </c>
      <c r="AC34" s="488" t="e">
        <f t="shared" si="13"/>
        <v>#DIV/0!</v>
      </c>
      <c r="AD34" s="474" t="e">
        <f t="shared" si="14"/>
        <v>#DIV/0!</v>
      </c>
      <c r="AE34" s="475" t="e">
        <f t="shared" si="15"/>
        <v>#DIV/0!</v>
      </c>
    </row>
    <row r="35" spans="1:31" ht="15.75" thickBot="1">
      <c r="A35" s="435">
        <f>'SQ-1'!A35</f>
        <v>43982</v>
      </c>
      <c r="B35" s="519"/>
      <c r="C35" s="524">
        <f t="shared" si="0"/>
        <v>0</v>
      </c>
      <c r="D35" s="463"/>
      <c r="E35" s="463"/>
      <c r="F35" s="463"/>
      <c r="G35" s="463"/>
      <c r="H35" s="452" t="e">
        <f t="shared" si="1"/>
        <v>#DIV/0!</v>
      </c>
      <c r="I35" s="519"/>
      <c r="J35" s="524">
        <f t="shared" si="2"/>
        <v>0</v>
      </c>
      <c r="K35" s="463"/>
      <c r="L35" s="463"/>
      <c r="M35" s="463"/>
      <c r="N35" s="463"/>
      <c r="O35" s="452" t="e">
        <f t="shared" si="3"/>
        <v>#DIV/0!</v>
      </c>
      <c r="P35" s="521"/>
      <c r="Q35" s="524">
        <f t="shared" si="4"/>
        <v>0</v>
      </c>
      <c r="R35" s="4"/>
      <c r="S35" s="4"/>
      <c r="T35" s="4"/>
      <c r="U35" s="4"/>
      <c r="V35" s="452" t="e">
        <f t="shared" si="16"/>
        <v>#DIV/0!</v>
      </c>
      <c r="W35" s="489">
        <f t="shared" si="7"/>
        <v>0</v>
      </c>
      <c r="X35" s="490">
        <f t="shared" si="8"/>
        <v>0</v>
      </c>
      <c r="Y35" s="491">
        <f t="shared" si="9"/>
        <v>0</v>
      </c>
      <c r="Z35" s="490">
        <f t="shared" si="10"/>
        <v>0</v>
      </c>
      <c r="AA35" s="494">
        <f t="shared" si="11"/>
        <v>0</v>
      </c>
      <c r="AB35" s="492">
        <f t="shared" si="12"/>
        <v>0</v>
      </c>
      <c r="AC35" s="493" t="e">
        <f t="shared" si="13"/>
        <v>#DIV/0!</v>
      </c>
      <c r="AD35" s="474" t="e">
        <f t="shared" si="14"/>
        <v>#DIV/0!</v>
      </c>
      <c r="AE35" s="475" t="e">
        <f t="shared" si="15"/>
        <v>#DIV/0!</v>
      </c>
    </row>
    <row r="36" spans="1:31" ht="20.100000000000001" customHeight="1" thickBot="1">
      <c r="A36" s="2" t="s">
        <v>3</v>
      </c>
      <c r="B36" s="8">
        <f>SUM(B5:B35)</f>
        <v>0</v>
      </c>
      <c r="C36" s="8">
        <f>SUM(C5:C35)</f>
        <v>0</v>
      </c>
      <c r="D36" s="7">
        <f>SUM(D5:D35)</f>
        <v>0</v>
      </c>
      <c r="E36" s="7">
        <f>SUM(E5:E35)</f>
        <v>0</v>
      </c>
      <c r="F36" s="7">
        <f t="shared" ref="F36:AB36" si="17">SUM(F5:F35)</f>
        <v>0</v>
      </c>
      <c r="G36" s="7">
        <f t="shared" si="17"/>
        <v>0</v>
      </c>
      <c r="H36" s="454" t="e">
        <f>G36/B36</f>
        <v>#DIV/0!</v>
      </c>
      <c r="I36" s="8">
        <f>SUM(I5:I35)</f>
        <v>0</v>
      </c>
      <c r="J36" s="8">
        <f t="shared" si="17"/>
        <v>0</v>
      </c>
      <c r="K36" s="7">
        <f>SUM(K5:K35)</f>
        <v>0</v>
      </c>
      <c r="L36" s="7">
        <f>SUM(L5:L35)</f>
        <v>0</v>
      </c>
      <c r="M36" s="7">
        <f t="shared" si="17"/>
        <v>0</v>
      </c>
      <c r="N36" s="7">
        <f t="shared" si="17"/>
        <v>0</v>
      </c>
      <c r="O36" s="8" t="e">
        <f>N36/I36</f>
        <v>#DIV/0!</v>
      </c>
      <c r="P36" s="8">
        <f>SUM(P5:P35)</f>
        <v>0</v>
      </c>
      <c r="Q36" s="8">
        <f t="shared" si="17"/>
        <v>0</v>
      </c>
      <c r="R36" s="7">
        <f>SUM(R5:R35)</f>
        <v>0</v>
      </c>
      <c r="S36" s="446">
        <f>SUM(S5:S35)</f>
        <v>0</v>
      </c>
      <c r="T36" s="446">
        <f t="shared" si="17"/>
        <v>0</v>
      </c>
      <c r="U36" s="446">
        <f t="shared" si="17"/>
        <v>0</v>
      </c>
      <c r="V36" s="7" t="e">
        <f>U36/P36</f>
        <v>#DIV/0!</v>
      </c>
      <c r="W36" s="446">
        <f>SUM(W5:W35)</f>
        <v>0</v>
      </c>
      <c r="X36" s="446">
        <f t="shared" si="17"/>
        <v>0</v>
      </c>
      <c r="Y36" s="446">
        <f>SUM(Y5:Y35)</f>
        <v>0</v>
      </c>
      <c r="Z36" s="447">
        <f>SUM(Z5:Z35)</f>
        <v>0</v>
      </c>
      <c r="AA36" s="446">
        <f t="shared" si="17"/>
        <v>0</v>
      </c>
      <c r="AB36" s="446">
        <f t="shared" si="17"/>
        <v>0</v>
      </c>
      <c r="AC36" s="451" t="e">
        <f>AB36/W36</f>
        <v>#DIV/0!</v>
      </c>
      <c r="AD36" s="455"/>
      <c r="AE36" s="468" t="e">
        <f>AA36/Z36</f>
        <v>#DIV/0!</v>
      </c>
    </row>
  </sheetData>
  <mergeCells count="36">
    <mergeCell ref="AE3:AE4"/>
    <mergeCell ref="AD3:AD4"/>
    <mergeCell ref="Y3:Y4"/>
    <mergeCell ref="K3:K4"/>
    <mergeCell ref="P3:P4"/>
    <mergeCell ref="S3:S4"/>
    <mergeCell ref="AB3:AB4"/>
    <mergeCell ref="T3:T4"/>
    <mergeCell ref="R3:R4"/>
    <mergeCell ref="W3:W4"/>
    <mergeCell ref="L3:L4"/>
    <mergeCell ref="X3:X4"/>
    <mergeCell ref="AA3:AA4"/>
    <mergeCell ref="A1:V1"/>
    <mergeCell ref="V3:V4"/>
    <mergeCell ref="A2:A4"/>
    <mergeCell ref="C3:C4"/>
    <mergeCell ref="F3:F4"/>
    <mergeCell ref="G3:G4"/>
    <mergeCell ref="H3:H4"/>
    <mergeCell ref="J3:J4"/>
    <mergeCell ref="M3:M4"/>
    <mergeCell ref="N3:N4"/>
    <mergeCell ref="O3:O4"/>
    <mergeCell ref="Q3:Q4"/>
    <mergeCell ref="D3:D4"/>
    <mergeCell ref="E3:E4"/>
    <mergeCell ref="U3:U4"/>
    <mergeCell ref="I2:O2"/>
    <mergeCell ref="B2:H2"/>
    <mergeCell ref="B3:B4"/>
    <mergeCell ref="I3:I4"/>
    <mergeCell ref="AC3:AC4"/>
    <mergeCell ref="Z3:Z4"/>
    <mergeCell ref="P2:V2"/>
    <mergeCell ref="W2:AC2"/>
  </mergeCells>
  <conditionalFormatting sqref="B34:B35">
    <cfRule type="expression" dxfId="269" priority="53" stopIfTrue="1">
      <formula>$C34="*"</formula>
    </cfRule>
    <cfRule type="expression" dxfId="268" priority="54" stopIfTrue="1">
      <formula>$C34="-"</formula>
    </cfRule>
  </conditionalFormatting>
  <conditionalFormatting sqref="P34:P35">
    <cfRule type="expression" dxfId="267" priority="51" stopIfTrue="1">
      <formula>$C34="*"</formula>
    </cfRule>
    <cfRule type="expression" dxfId="266" priority="52" stopIfTrue="1">
      <formula>$C34="-"</formula>
    </cfRule>
  </conditionalFormatting>
  <conditionalFormatting sqref="I34:I35">
    <cfRule type="expression" dxfId="265" priority="49" stopIfTrue="1">
      <formula>$C34="*"</formula>
    </cfRule>
    <cfRule type="expression" dxfId="264" priority="50" stopIfTrue="1">
      <formula>$C34="-"</formula>
    </cfRule>
  </conditionalFormatting>
  <conditionalFormatting sqref="P31:P33">
    <cfRule type="expression" dxfId="263" priority="47" stopIfTrue="1">
      <formula>$C31="*"</formula>
    </cfRule>
    <cfRule type="expression" dxfId="262" priority="48" stopIfTrue="1">
      <formula>$C31="-"</formula>
    </cfRule>
  </conditionalFormatting>
  <conditionalFormatting sqref="B31:B33">
    <cfRule type="expression" dxfId="261" priority="45" stopIfTrue="1">
      <formula>$C31="*"</formula>
    </cfRule>
    <cfRule type="expression" dxfId="260" priority="46" stopIfTrue="1">
      <formula>$C31="-"</formula>
    </cfRule>
  </conditionalFormatting>
  <conditionalFormatting sqref="I31:I33">
    <cfRule type="expression" dxfId="259" priority="43" stopIfTrue="1">
      <formula>$C31="*"</formula>
    </cfRule>
    <cfRule type="expression" dxfId="258" priority="44" stopIfTrue="1">
      <formula>$C31="-"</formula>
    </cfRule>
  </conditionalFormatting>
  <conditionalFormatting sqref="I25:I30">
    <cfRule type="expression" dxfId="257" priority="41" stopIfTrue="1">
      <formula>$C25="*"</formula>
    </cfRule>
    <cfRule type="expression" dxfId="256" priority="42" stopIfTrue="1">
      <formula>$C25="-"</formula>
    </cfRule>
  </conditionalFormatting>
  <conditionalFormatting sqref="P25:P30">
    <cfRule type="expression" dxfId="255" priority="39" stopIfTrue="1">
      <formula>$C25="*"</formula>
    </cfRule>
    <cfRule type="expression" dxfId="254" priority="40" stopIfTrue="1">
      <formula>$C25="-"</formula>
    </cfRule>
  </conditionalFormatting>
  <conditionalFormatting sqref="B25:B30">
    <cfRule type="expression" dxfId="253" priority="37" stopIfTrue="1">
      <formula>$C25="*"</formula>
    </cfRule>
    <cfRule type="expression" dxfId="252" priority="38" stopIfTrue="1">
      <formula>$C25="-"</formula>
    </cfRule>
  </conditionalFormatting>
  <conditionalFormatting sqref="I23:I24">
    <cfRule type="expression" dxfId="251" priority="35" stopIfTrue="1">
      <formula>$C23="*"</formula>
    </cfRule>
    <cfRule type="expression" dxfId="250" priority="36" stopIfTrue="1">
      <formula>$C23="-"</formula>
    </cfRule>
  </conditionalFormatting>
  <conditionalFormatting sqref="P23:P24">
    <cfRule type="expression" dxfId="249" priority="33" stopIfTrue="1">
      <formula>$C23="*"</formula>
    </cfRule>
    <cfRule type="expression" dxfId="248" priority="34" stopIfTrue="1">
      <formula>$C23="-"</formula>
    </cfRule>
  </conditionalFormatting>
  <conditionalFormatting sqref="B23:B24">
    <cfRule type="expression" dxfId="247" priority="31" stopIfTrue="1">
      <formula>$C23="*"</formula>
    </cfRule>
    <cfRule type="expression" dxfId="246" priority="32" stopIfTrue="1">
      <formula>$C23="-"</formula>
    </cfRule>
  </conditionalFormatting>
  <conditionalFormatting sqref="I15:I22">
    <cfRule type="expression" dxfId="245" priority="29" stopIfTrue="1">
      <formula>$C15="*"</formula>
    </cfRule>
    <cfRule type="expression" dxfId="244" priority="30" stopIfTrue="1">
      <formula>$C15="-"</formula>
    </cfRule>
  </conditionalFormatting>
  <conditionalFormatting sqref="P15:P22">
    <cfRule type="expression" dxfId="243" priority="27" stopIfTrue="1">
      <formula>$C15="*"</formula>
    </cfRule>
    <cfRule type="expression" dxfId="242" priority="28" stopIfTrue="1">
      <formula>$C15="-"</formula>
    </cfRule>
  </conditionalFormatting>
  <conditionalFormatting sqref="B15:B22">
    <cfRule type="expression" dxfId="241" priority="25" stopIfTrue="1">
      <formula>$C15="*"</formula>
    </cfRule>
    <cfRule type="expression" dxfId="240" priority="26" stopIfTrue="1">
      <formula>$C15="-"</formula>
    </cfRule>
  </conditionalFormatting>
  <conditionalFormatting sqref="I13:I14">
    <cfRule type="expression" dxfId="239" priority="23" stopIfTrue="1">
      <formula>$C13="*"</formula>
    </cfRule>
    <cfRule type="expression" dxfId="238" priority="24" stopIfTrue="1">
      <formula>$C13="-"</formula>
    </cfRule>
  </conditionalFormatting>
  <conditionalFormatting sqref="P13:P14">
    <cfRule type="expression" dxfId="237" priority="21" stopIfTrue="1">
      <formula>$C13="*"</formula>
    </cfRule>
    <cfRule type="expression" dxfId="236" priority="22" stopIfTrue="1">
      <formula>$C13="-"</formula>
    </cfRule>
  </conditionalFormatting>
  <conditionalFormatting sqref="B13:B14">
    <cfRule type="expression" dxfId="235" priority="19" stopIfTrue="1">
      <formula>$C13="*"</formula>
    </cfRule>
    <cfRule type="expression" dxfId="234" priority="20" stopIfTrue="1">
      <formula>$C13="-"</formula>
    </cfRule>
  </conditionalFormatting>
  <conditionalFormatting sqref="I5 I8">
    <cfRule type="expression" dxfId="233" priority="17" stopIfTrue="1">
      <formula>$C5="*"</formula>
    </cfRule>
    <cfRule type="expression" dxfId="232" priority="18" stopIfTrue="1">
      <formula>$C5="-"</formula>
    </cfRule>
  </conditionalFormatting>
  <conditionalFormatting sqref="P5:P8">
    <cfRule type="expression" dxfId="231" priority="15" stopIfTrue="1">
      <formula>$C5="*"</formula>
    </cfRule>
    <cfRule type="expression" dxfId="230" priority="16" stopIfTrue="1">
      <formula>$C5="-"</formula>
    </cfRule>
  </conditionalFormatting>
  <conditionalFormatting sqref="B5 B7:B8">
    <cfRule type="expression" dxfId="229" priority="13" stopIfTrue="1">
      <formula>$C5="*"</formula>
    </cfRule>
    <cfRule type="expression" dxfId="228" priority="14" stopIfTrue="1">
      <formula>$C5="-"</formula>
    </cfRule>
  </conditionalFormatting>
  <conditionalFormatting sqref="I9:I12">
    <cfRule type="expression" dxfId="227" priority="11" stopIfTrue="1">
      <formula>$C9="*"</formula>
    </cfRule>
    <cfRule type="expression" dxfId="226" priority="12" stopIfTrue="1">
      <formula>$C9="-"</formula>
    </cfRule>
  </conditionalFormatting>
  <conditionalFormatting sqref="P9:P12">
    <cfRule type="expression" dxfId="225" priority="9" stopIfTrue="1">
      <formula>$C9="*"</formula>
    </cfRule>
    <cfRule type="expression" dxfId="224" priority="10" stopIfTrue="1">
      <formula>$C9="-"</formula>
    </cfRule>
  </conditionalFormatting>
  <conditionalFormatting sqref="B9:B12">
    <cfRule type="expression" dxfId="223" priority="7" stopIfTrue="1">
      <formula>$C9="*"</formula>
    </cfRule>
    <cfRule type="expression" dxfId="222" priority="8" stopIfTrue="1">
      <formula>$C9="-"</formula>
    </cfRule>
  </conditionalFormatting>
  <conditionalFormatting sqref="I6">
    <cfRule type="expression" dxfId="221" priority="5" stopIfTrue="1">
      <formula>$C6="*"</formula>
    </cfRule>
    <cfRule type="expression" dxfId="220" priority="6" stopIfTrue="1">
      <formula>$C6="-"</formula>
    </cfRule>
  </conditionalFormatting>
  <conditionalFormatting sqref="B6">
    <cfRule type="expression" dxfId="219" priority="3" stopIfTrue="1">
      <formula>$C6="*"</formula>
    </cfRule>
    <cfRule type="expression" dxfId="218" priority="4" stopIfTrue="1">
      <formula>$C6="-"</formula>
    </cfRule>
  </conditionalFormatting>
  <conditionalFormatting sqref="I7">
    <cfRule type="expression" dxfId="217" priority="1" stopIfTrue="1">
      <formula>$C7="*"</formula>
    </cfRule>
    <cfRule type="expression" dxfId="216" priority="2" stopIfTrue="1">
      <formula>$C7="-"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1"/>
  </sheetPr>
  <dimension ref="A1:AE36"/>
  <sheetViews>
    <sheetView topLeftCell="I1" zoomScale="70" zoomScaleNormal="70" workbookViewId="0">
      <pane ySplit="4" topLeftCell="A5" activePane="bottomLeft" state="frozen"/>
      <selection activeCell="E18" sqref="E18"/>
      <selection pane="bottomLeft" activeCell="A5" sqref="A5"/>
    </sheetView>
  </sheetViews>
  <sheetFormatPr defaultRowHeight="15"/>
  <cols>
    <col min="1" max="1" width="10.7109375" style="1" bestFit="1" customWidth="1"/>
    <col min="2" max="2" width="10.7109375" style="1" customWidth="1"/>
    <col min="3" max="5" width="10.140625" style="1" customWidth="1"/>
    <col min="6" max="6" width="9.7109375" style="1" bestFit="1" customWidth="1"/>
    <col min="7" max="7" width="11.85546875" style="1" customWidth="1"/>
    <col min="8" max="8" width="10.42578125" style="1" customWidth="1"/>
    <col min="9" max="9" width="9.140625" style="1" customWidth="1"/>
    <col min="10" max="12" width="10.140625" style="1" customWidth="1"/>
    <col min="13" max="13" width="10.28515625" style="1" bestFit="1" customWidth="1"/>
    <col min="14" max="14" width="11.5703125" style="1" customWidth="1"/>
    <col min="15" max="16" width="9.140625" style="1" customWidth="1"/>
    <col min="17" max="19" width="10.140625" style="1" customWidth="1"/>
    <col min="20" max="20" width="9.140625" style="1"/>
    <col min="21" max="21" width="11.85546875" style="1" customWidth="1"/>
    <col min="22" max="22" width="9.7109375" style="1" customWidth="1"/>
    <col min="23" max="23" width="9.140625" style="1" customWidth="1"/>
    <col min="24" max="25" width="9.140625" style="10"/>
    <col min="26" max="26" width="12.85546875" style="10" customWidth="1"/>
    <col min="27" max="27" width="10.140625" style="10" customWidth="1"/>
    <col min="28" max="28" width="9.5703125" style="10" bestFit="1" customWidth="1"/>
    <col min="29" max="29" width="9.140625" style="10"/>
  </cols>
  <sheetData>
    <row r="1" spans="1:31" ht="21.75" thickBot="1">
      <c r="A1" s="593" t="s">
        <v>9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444"/>
      <c r="X1" s="9"/>
      <c r="Y1" s="9"/>
      <c r="Z1" s="9"/>
      <c r="AA1" s="9"/>
      <c r="AB1" s="9"/>
      <c r="AC1" s="9"/>
    </row>
    <row r="2" spans="1:31" ht="15.75" thickBot="1">
      <c r="A2" s="585" t="s">
        <v>0</v>
      </c>
      <c r="B2" s="567" t="s">
        <v>207</v>
      </c>
      <c r="C2" s="568"/>
      <c r="D2" s="568"/>
      <c r="E2" s="568"/>
      <c r="F2" s="568"/>
      <c r="G2" s="568"/>
      <c r="H2" s="569"/>
      <c r="I2" s="567" t="s">
        <v>208</v>
      </c>
      <c r="J2" s="568"/>
      <c r="K2" s="568"/>
      <c r="L2" s="568"/>
      <c r="M2" s="568"/>
      <c r="N2" s="568"/>
      <c r="O2" s="569"/>
      <c r="P2" s="567" t="s">
        <v>209</v>
      </c>
      <c r="Q2" s="568"/>
      <c r="R2" s="568"/>
      <c r="S2" s="568"/>
      <c r="T2" s="568"/>
      <c r="U2" s="568"/>
      <c r="V2" s="569"/>
      <c r="W2" s="572" t="s">
        <v>3</v>
      </c>
      <c r="X2" s="573"/>
      <c r="Y2" s="573"/>
      <c r="Z2" s="573"/>
      <c r="AA2" s="573"/>
      <c r="AB2" s="573"/>
      <c r="AC2" s="599"/>
      <c r="AD2" s="484"/>
    </row>
    <row r="3" spans="1:31" ht="15" customHeight="1">
      <c r="A3" s="596"/>
      <c r="B3" s="565" t="s">
        <v>203</v>
      </c>
      <c r="C3" s="570" t="s">
        <v>204</v>
      </c>
      <c r="D3" s="570" t="s">
        <v>205</v>
      </c>
      <c r="E3" s="575" t="s">
        <v>199</v>
      </c>
      <c r="F3" s="587" t="s">
        <v>202</v>
      </c>
      <c r="G3" s="597" t="s">
        <v>1</v>
      </c>
      <c r="H3" s="597" t="s">
        <v>2</v>
      </c>
      <c r="I3" s="565" t="s">
        <v>203</v>
      </c>
      <c r="J3" s="570" t="s">
        <v>204</v>
      </c>
      <c r="K3" s="570" t="s">
        <v>205</v>
      </c>
      <c r="L3" s="577" t="s">
        <v>199</v>
      </c>
      <c r="M3" s="587" t="s">
        <v>200</v>
      </c>
      <c r="N3" s="587" t="s">
        <v>1</v>
      </c>
      <c r="O3" s="587" t="s">
        <v>2</v>
      </c>
      <c r="P3" s="565" t="s">
        <v>203</v>
      </c>
      <c r="Q3" s="570" t="s">
        <v>204</v>
      </c>
      <c r="R3" s="570" t="s">
        <v>205</v>
      </c>
      <c r="S3" s="579" t="s">
        <v>199</v>
      </c>
      <c r="T3" s="580" t="s">
        <v>200</v>
      </c>
      <c r="U3" s="580" t="s">
        <v>1</v>
      </c>
      <c r="V3" s="594" t="s">
        <v>2</v>
      </c>
      <c r="W3" s="582" t="s">
        <v>203</v>
      </c>
      <c r="X3" s="579" t="s">
        <v>204</v>
      </c>
      <c r="Y3" s="583" t="s">
        <v>205</v>
      </c>
      <c r="Z3" s="577" t="s">
        <v>199</v>
      </c>
      <c r="AA3" s="587" t="s">
        <v>200</v>
      </c>
      <c r="AB3" s="600" t="s">
        <v>1</v>
      </c>
      <c r="AC3" s="587" t="s">
        <v>2</v>
      </c>
      <c r="AD3" s="589" t="s">
        <v>13</v>
      </c>
      <c r="AE3" s="591" t="s">
        <v>218</v>
      </c>
    </row>
    <row r="4" spans="1:31" ht="15.75" thickBot="1">
      <c r="A4" s="586"/>
      <c r="B4" s="566"/>
      <c r="C4" s="571"/>
      <c r="D4" s="571"/>
      <c r="E4" s="576"/>
      <c r="F4" s="588"/>
      <c r="G4" s="588"/>
      <c r="H4" s="588"/>
      <c r="I4" s="566"/>
      <c r="J4" s="571"/>
      <c r="K4" s="571"/>
      <c r="L4" s="578"/>
      <c r="M4" s="588"/>
      <c r="N4" s="588"/>
      <c r="O4" s="588"/>
      <c r="P4" s="566"/>
      <c r="Q4" s="571"/>
      <c r="R4" s="571"/>
      <c r="S4" s="571"/>
      <c r="T4" s="581"/>
      <c r="U4" s="581"/>
      <c r="V4" s="595"/>
      <c r="W4" s="566"/>
      <c r="X4" s="571"/>
      <c r="Y4" s="584"/>
      <c r="Z4" s="578"/>
      <c r="AA4" s="588"/>
      <c r="AB4" s="601"/>
      <c r="AC4" s="588"/>
      <c r="AD4" s="590"/>
      <c r="AE4" s="592"/>
    </row>
    <row r="5" spans="1:31">
      <c r="A5" s="435">
        <f>'SQ-1'!A5</f>
        <v>43952</v>
      </c>
      <c r="B5" s="518"/>
      <c r="C5" s="464">
        <f t="shared" ref="C5:C35" si="0">B5-(D5/60)</f>
        <v>0</v>
      </c>
      <c r="D5" s="5"/>
      <c r="E5" s="3"/>
      <c r="F5" s="434"/>
      <c r="G5" s="5"/>
      <c r="H5" s="6" t="e">
        <f t="shared" ref="H5:H35" si="1">G5/B5</f>
        <v>#DIV/0!</v>
      </c>
      <c r="I5" s="518"/>
      <c r="J5" s="464">
        <f t="shared" ref="J5:J35" si="2">I5-(K5/60)</f>
        <v>0</v>
      </c>
      <c r="K5" s="3"/>
      <c r="L5" s="3"/>
      <c r="M5" s="3"/>
      <c r="N5" s="5"/>
      <c r="O5" s="6" t="e">
        <f t="shared" ref="O5:O35" si="3">N5/I5</f>
        <v>#DIV/0!</v>
      </c>
      <c r="P5" s="518"/>
      <c r="Q5" s="464">
        <f t="shared" ref="Q5:Q35" si="4">P5-(R5/60)</f>
        <v>0</v>
      </c>
      <c r="R5" s="3"/>
      <c r="S5" s="3"/>
      <c r="T5" s="3"/>
      <c r="U5" s="5"/>
      <c r="V5" s="6" t="e">
        <f t="shared" ref="V5:V24" si="5">U5/P5</f>
        <v>#DIV/0!</v>
      </c>
      <c r="W5" s="487">
        <f t="shared" ref="W5:AB5" si="6">B5+I5+P5</f>
        <v>0</v>
      </c>
      <c r="X5" s="474">
        <f t="shared" si="6"/>
        <v>0</v>
      </c>
      <c r="Y5" s="477">
        <f t="shared" si="6"/>
        <v>0</v>
      </c>
      <c r="Z5" s="478">
        <f t="shared" si="6"/>
        <v>0</v>
      </c>
      <c r="AA5" s="478">
        <f t="shared" si="6"/>
        <v>0</v>
      </c>
      <c r="AB5" s="478">
        <f t="shared" si="6"/>
        <v>0</v>
      </c>
      <c r="AC5" s="488" t="e">
        <f>AB5/W5</f>
        <v>#DIV/0!</v>
      </c>
      <c r="AD5" s="471" t="e">
        <f>(AA5/1000)/W5</f>
        <v>#DIV/0!</v>
      </c>
      <c r="AE5" s="483" t="e">
        <f>AA5/Z5</f>
        <v>#DIV/0!</v>
      </c>
    </row>
    <row r="6" spans="1:31">
      <c r="A6" s="435">
        <f>'SQ-1'!A6</f>
        <v>43953</v>
      </c>
      <c r="B6" s="518"/>
      <c r="C6" s="464">
        <f t="shared" si="0"/>
        <v>0</v>
      </c>
      <c r="D6" s="5"/>
      <c r="E6" s="3"/>
      <c r="F6" s="434"/>
      <c r="G6" s="5"/>
      <c r="H6" s="6" t="e">
        <f t="shared" si="1"/>
        <v>#DIV/0!</v>
      </c>
      <c r="I6" s="518"/>
      <c r="J6" s="464">
        <f t="shared" si="2"/>
        <v>0</v>
      </c>
      <c r="K6" s="5"/>
      <c r="L6" s="3"/>
      <c r="M6" s="434"/>
      <c r="N6" s="5"/>
      <c r="O6" s="6" t="e">
        <f t="shared" si="3"/>
        <v>#DIV/0!</v>
      </c>
      <c r="P6" s="518"/>
      <c r="Q6" s="464">
        <f t="shared" si="4"/>
        <v>0</v>
      </c>
      <c r="R6" s="3"/>
      <c r="S6" s="3"/>
      <c r="T6" s="3"/>
      <c r="U6" s="5"/>
      <c r="V6" s="6" t="e">
        <f t="shared" si="5"/>
        <v>#DIV/0!</v>
      </c>
      <c r="W6" s="487">
        <f t="shared" ref="W6:W35" si="7">B6+I6+P6</f>
        <v>0</v>
      </c>
      <c r="X6" s="474">
        <f t="shared" ref="X6:X27" si="8">C6+J6+Q6</f>
        <v>0</v>
      </c>
      <c r="Y6" s="477">
        <f t="shared" ref="Y6:Y35" si="9">D6+K6+R6</f>
        <v>0</v>
      </c>
      <c r="Z6" s="478">
        <f t="shared" ref="Z6:Z35" si="10">E6+L6+S6</f>
        <v>0</v>
      </c>
      <c r="AA6" s="478">
        <f t="shared" ref="AA6:AA35" si="11">F6+M6+T6</f>
        <v>0</v>
      </c>
      <c r="AB6" s="478">
        <f t="shared" ref="AB6:AB27" si="12">G6+N6+U6</f>
        <v>0</v>
      </c>
      <c r="AC6" s="488" t="e">
        <f t="shared" ref="AC6:AC35" si="13">AB6/W6</f>
        <v>#DIV/0!</v>
      </c>
      <c r="AD6" s="474" t="e">
        <f t="shared" ref="AD6:AD35" si="14">(AA6/1000)/W6</f>
        <v>#DIV/0!</v>
      </c>
      <c r="AE6" s="475" t="e">
        <f t="shared" ref="AE6:AE35" si="15">AA6/Z6</f>
        <v>#DIV/0!</v>
      </c>
    </row>
    <row r="7" spans="1:31">
      <c r="A7" s="435">
        <f>'SQ-1'!A7</f>
        <v>43954</v>
      </c>
      <c r="B7" s="518"/>
      <c r="C7" s="464">
        <f t="shared" si="0"/>
        <v>0</v>
      </c>
      <c r="D7" s="5"/>
      <c r="E7" s="3"/>
      <c r="F7" s="434"/>
      <c r="G7" s="5"/>
      <c r="H7" s="6" t="e">
        <f t="shared" si="1"/>
        <v>#DIV/0!</v>
      </c>
      <c r="I7" s="518"/>
      <c r="J7" s="464">
        <f t="shared" si="2"/>
        <v>0</v>
      </c>
      <c r="K7" s="5"/>
      <c r="L7" s="3"/>
      <c r="M7" s="434"/>
      <c r="N7" s="5"/>
      <c r="O7" s="6" t="e">
        <f t="shared" si="3"/>
        <v>#DIV/0!</v>
      </c>
      <c r="P7" s="518"/>
      <c r="Q7" s="464">
        <f t="shared" si="4"/>
        <v>0</v>
      </c>
      <c r="R7" s="3"/>
      <c r="S7" s="3"/>
      <c r="T7" s="3"/>
      <c r="U7" s="5"/>
      <c r="V7" s="6" t="e">
        <f t="shared" si="5"/>
        <v>#DIV/0!</v>
      </c>
      <c r="W7" s="487">
        <f t="shared" si="7"/>
        <v>0</v>
      </c>
      <c r="X7" s="474">
        <f t="shared" si="8"/>
        <v>0</v>
      </c>
      <c r="Y7" s="477">
        <f t="shared" si="9"/>
        <v>0</v>
      </c>
      <c r="Z7" s="478">
        <f t="shared" si="10"/>
        <v>0</v>
      </c>
      <c r="AA7" s="478">
        <f t="shared" si="11"/>
        <v>0</v>
      </c>
      <c r="AB7" s="478">
        <f t="shared" si="12"/>
        <v>0</v>
      </c>
      <c r="AC7" s="488" t="e">
        <f t="shared" si="13"/>
        <v>#DIV/0!</v>
      </c>
      <c r="AD7" s="474" t="e">
        <f t="shared" si="14"/>
        <v>#DIV/0!</v>
      </c>
      <c r="AE7" s="475" t="e">
        <f t="shared" si="15"/>
        <v>#DIV/0!</v>
      </c>
    </row>
    <row r="8" spans="1:31">
      <c r="A8" s="435">
        <f>'SQ-1'!A8</f>
        <v>43955</v>
      </c>
      <c r="B8" s="518"/>
      <c r="C8" s="464">
        <f t="shared" si="0"/>
        <v>0</v>
      </c>
      <c r="D8" s="5"/>
      <c r="E8" s="3"/>
      <c r="F8" s="434"/>
      <c r="G8" s="5"/>
      <c r="H8" s="6" t="e">
        <f t="shared" si="1"/>
        <v>#DIV/0!</v>
      </c>
      <c r="I8" s="518"/>
      <c r="J8" s="464">
        <f t="shared" si="2"/>
        <v>0</v>
      </c>
      <c r="K8" s="3"/>
      <c r="L8" s="3"/>
      <c r="M8" s="3"/>
      <c r="N8" s="5"/>
      <c r="O8" s="6" t="e">
        <f t="shared" si="3"/>
        <v>#DIV/0!</v>
      </c>
      <c r="P8" s="518"/>
      <c r="Q8" s="464">
        <f t="shared" si="4"/>
        <v>0</v>
      </c>
      <c r="R8" s="3"/>
      <c r="S8" s="3"/>
      <c r="T8" s="3"/>
      <c r="U8" s="5"/>
      <c r="V8" s="6" t="e">
        <f t="shared" si="5"/>
        <v>#DIV/0!</v>
      </c>
      <c r="W8" s="487">
        <f t="shared" si="7"/>
        <v>0</v>
      </c>
      <c r="X8" s="474">
        <f t="shared" si="8"/>
        <v>0</v>
      </c>
      <c r="Y8" s="477">
        <f t="shared" si="9"/>
        <v>0</v>
      </c>
      <c r="Z8" s="478">
        <f t="shared" si="10"/>
        <v>0</v>
      </c>
      <c r="AA8" s="478">
        <f t="shared" si="11"/>
        <v>0</v>
      </c>
      <c r="AB8" s="478">
        <f t="shared" si="12"/>
        <v>0</v>
      </c>
      <c r="AC8" s="488" t="e">
        <f t="shared" si="13"/>
        <v>#DIV/0!</v>
      </c>
      <c r="AD8" s="474" t="e">
        <f t="shared" si="14"/>
        <v>#DIV/0!</v>
      </c>
      <c r="AE8" s="475" t="e">
        <f t="shared" si="15"/>
        <v>#DIV/0!</v>
      </c>
    </row>
    <row r="9" spans="1:31">
      <c r="A9" s="435">
        <f>'SQ-1'!A9</f>
        <v>43956</v>
      </c>
      <c r="B9" s="518"/>
      <c r="C9" s="464">
        <f t="shared" si="0"/>
        <v>0</v>
      </c>
      <c r="D9" s="5"/>
      <c r="E9" s="3"/>
      <c r="F9" s="434"/>
      <c r="G9" s="5"/>
      <c r="H9" s="6" t="e">
        <f t="shared" si="1"/>
        <v>#DIV/0!</v>
      </c>
      <c r="I9" s="518"/>
      <c r="J9" s="464">
        <f t="shared" si="2"/>
        <v>0</v>
      </c>
      <c r="K9" s="3"/>
      <c r="L9" s="3"/>
      <c r="M9" s="3"/>
      <c r="N9" s="5"/>
      <c r="O9" s="6" t="e">
        <f t="shared" si="3"/>
        <v>#DIV/0!</v>
      </c>
      <c r="P9" s="518"/>
      <c r="Q9" s="464">
        <f t="shared" si="4"/>
        <v>0</v>
      </c>
      <c r="R9" s="3"/>
      <c r="S9" s="3"/>
      <c r="T9" s="3"/>
      <c r="U9" s="5"/>
      <c r="V9" s="6" t="e">
        <f t="shared" si="5"/>
        <v>#DIV/0!</v>
      </c>
      <c r="W9" s="487">
        <f t="shared" si="7"/>
        <v>0</v>
      </c>
      <c r="X9" s="474">
        <f t="shared" si="8"/>
        <v>0</v>
      </c>
      <c r="Y9" s="477">
        <f t="shared" si="9"/>
        <v>0</v>
      </c>
      <c r="Z9" s="478">
        <f t="shared" si="10"/>
        <v>0</v>
      </c>
      <c r="AA9" s="478">
        <f t="shared" si="11"/>
        <v>0</v>
      </c>
      <c r="AB9" s="478">
        <f t="shared" si="12"/>
        <v>0</v>
      </c>
      <c r="AC9" s="488" t="e">
        <f t="shared" si="13"/>
        <v>#DIV/0!</v>
      </c>
      <c r="AD9" s="474" t="e">
        <f t="shared" si="14"/>
        <v>#DIV/0!</v>
      </c>
      <c r="AE9" s="475" t="e">
        <f t="shared" si="15"/>
        <v>#DIV/0!</v>
      </c>
    </row>
    <row r="10" spans="1:31">
      <c r="A10" s="435">
        <f>'SQ-1'!A10</f>
        <v>43957</v>
      </c>
      <c r="B10" s="518"/>
      <c r="C10" s="464">
        <f t="shared" si="0"/>
        <v>0</v>
      </c>
      <c r="D10" s="5"/>
      <c r="E10" s="3"/>
      <c r="F10" s="434"/>
      <c r="G10" s="5"/>
      <c r="H10" s="6" t="e">
        <f t="shared" si="1"/>
        <v>#DIV/0!</v>
      </c>
      <c r="I10" s="518"/>
      <c r="J10" s="464">
        <f t="shared" si="2"/>
        <v>0</v>
      </c>
      <c r="K10" s="3"/>
      <c r="L10" s="3"/>
      <c r="M10" s="3"/>
      <c r="N10" s="5"/>
      <c r="O10" s="6" t="e">
        <f t="shared" si="3"/>
        <v>#DIV/0!</v>
      </c>
      <c r="P10" s="518"/>
      <c r="Q10" s="464">
        <f t="shared" si="4"/>
        <v>0</v>
      </c>
      <c r="R10" s="3"/>
      <c r="S10" s="3"/>
      <c r="T10" s="3"/>
      <c r="U10" s="5"/>
      <c r="V10" s="6" t="e">
        <f t="shared" si="5"/>
        <v>#DIV/0!</v>
      </c>
      <c r="W10" s="487">
        <f t="shared" si="7"/>
        <v>0</v>
      </c>
      <c r="X10" s="474">
        <f t="shared" si="8"/>
        <v>0</v>
      </c>
      <c r="Y10" s="477">
        <f t="shared" si="9"/>
        <v>0</v>
      </c>
      <c r="Z10" s="478">
        <f t="shared" si="10"/>
        <v>0</v>
      </c>
      <c r="AA10" s="478">
        <f t="shared" si="11"/>
        <v>0</v>
      </c>
      <c r="AB10" s="478">
        <f t="shared" si="12"/>
        <v>0</v>
      </c>
      <c r="AC10" s="488" t="e">
        <f t="shared" si="13"/>
        <v>#DIV/0!</v>
      </c>
      <c r="AD10" s="474" t="e">
        <f t="shared" si="14"/>
        <v>#DIV/0!</v>
      </c>
      <c r="AE10" s="475" t="e">
        <f t="shared" si="15"/>
        <v>#DIV/0!</v>
      </c>
    </row>
    <row r="11" spans="1:31">
      <c r="A11" s="435">
        <f>'SQ-1'!A11</f>
        <v>43958</v>
      </c>
      <c r="B11" s="518"/>
      <c r="C11" s="464">
        <f t="shared" si="0"/>
        <v>0</v>
      </c>
      <c r="D11" s="5"/>
      <c r="E11" s="3"/>
      <c r="F11" s="434"/>
      <c r="G11" s="5"/>
      <c r="H11" s="6" t="e">
        <f t="shared" si="1"/>
        <v>#DIV/0!</v>
      </c>
      <c r="I11" s="518"/>
      <c r="J11" s="464">
        <f t="shared" si="2"/>
        <v>0</v>
      </c>
      <c r="K11" s="3"/>
      <c r="L11" s="3"/>
      <c r="M11" s="3"/>
      <c r="N11" s="5"/>
      <c r="O11" s="6" t="e">
        <f t="shared" si="3"/>
        <v>#DIV/0!</v>
      </c>
      <c r="P11" s="518"/>
      <c r="Q11" s="464">
        <f t="shared" si="4"/>
        <v>0</v>
      </c>
      <c r="R11" s="3"/>
      <c r="S11" s="3"/>
      <c r="T11" s="3"/>
      <c r="U11" s="5"/>
      <c r="V11" s="6" t="e">
        <f t="shared" si="5"/>
        <v>#DIV/0!</v>
      </c>
      <c r="W11" s="487">
        <f t="shared" si="7"/>
        <v>0</v>
      </c>
      <c r="X11" s="474">
        <f t="shared" si="8"/>
        <v>0</v>
      </c>
      <c r="Y11" s="477">
        <f t="shared" si="9"/>
        <v>0</v>
      </c>
      <c r="Z11" s="478">
        <f t="shared" si="10"/>
        <v>0</v>
      </c>
      <c r="AA11" s="478">
        <f t="shared" si="11"/>
        <v>0</v>
      </c>
      <c r="AB11" s="478">
        <f t="shared" si="12"/>
        <v>0</v>
      </c>
      <c r="AC11" s="488" t="e">
        <f t="shared" si="13"/>
        <v>#DIV/0!</v>
      </c>
      <c r="AD11" s="474" t="e">
        <f t="shared" si="14"/>
        <v>#DIV/0!</v>
      </c>
      <c r="AE11" s="475" t="e">
        <f t="shared" si="15"/>
        <v>#DIV/0!</v>
      </c>
    </row>
    <row r="12" spans="1:31">
      <c r="A12" s="435">
        <f>'SQ-1'!A12</f>
        <v>43959</v>
      </c>
      <c r="B12" s="518"/>
      <c r="C12" s="464">
        <f t="shared" si="0"/>
        <v>0</v>
      </c>
      <c r="D12" s="5"/>
      <c r="E12" s="3"/>
      <c r="F12" s="434"/>
      <c r="G12" s="5"/>
      <c r="H12" s="6" t="e">
        <f t="shared" si="1"/>
        <v>#DIV/0!</v>
      </c>
      <c r="I12" s="518"/>
      <c r="J12" s="464">
        <f t="shared" si="2"/>
        <v>0</v>
      </c>
      <c r="K12" s="3"/>
      <c r="L12" s="3"/>
      <c r="M12" s="3"/>
      <c r="N12" s="5"/>
      <c r="O12" s="6" t="e">
        <f t="shared" si="3"/>
        <v>#DIV/0!</v>
      </c>
      <c r="P12" s="518"/>
      <c r="Q12" s="464">
        <f t="shared" si="4"/>
        <v>0</v>
      </c>
      <c r="R12" s="3"/>
      <c r="S12" s="3"/>
      <c r="T12" s="3"/>
      <c r="U12" s="5"/>
      <c r="V12" s="6" t="e">
        <f t="shared" si="5"/>
        <v>#DIV/0!</v>
      </c>
      <c r="W12" s="487">
        <f t="shared" si="7"/>
        <v>0</v>
      </c>
      <c r="X12" s="474">
        <f t="shared" si="8"/>
        <v>0</v>
      </c>
      <c r="Y12" s="477">
        <f t="shared" si="9"/>
        <v>0</v>
      </c>
      <c r="Z12" s="478">
        <f t="shared" si="10"/>
        <v>0</v>
      </c>
      <c r="AA12" s="478">
        <f t="shared" si="11"/>
        <v>0</v>
      </c>
      <c r="AB12" s="478">
        <f t="shared" si="12"/>
        <v>0</v>
      </c>
      <c r="AC12" s="488" t="e">
        <f t="shared" si="13"/>
        <v>#DIV/0!</v>
      </c>
      <c r="AD12" s="474" t="e">
        <f t="shared" si="14"/>
        <v>#DIV/0!</v>
      </c>
      <c r="AE12" s="475" t="e">
        <f t="shared" si="15"/>
        <v>#DIV/0!</v>
      </c>
    </row>
    <row r="13" spans="1:31">
      <c r="A13" s="435">
        <f>'SQ-1'!A13</f>
        <v>43960</v>
      </c>
      <c r="B13" s="518"/>
      <c r="C13" s="464">
        <f t="shared" si="0"/>
        <v>0</v>
      </c>
      <c r="D13" s="5"/>
      <c r="E13" s="3"/>
      <c r="F13" s="434"/>
      <c r="G13" s="5"/>
      <c r="H13" s="6" t="e">
        <f t="shared" si="1"/>
        <v>#DIV/0!</v>
      </c>
      <c r="I13" s="518"/>
      <c r="J13" s="464">
        <f t="shared" si="2"/>
        <v>0</v>
      </c>
      <c r="K13" s="3"/>
      <c r="L13" s="3"/>
      <c r="M13" s="3"/>
      <c r="N13" s="5"/>
      <c r="O13" s="6" t="e">
        <f t="shared" si="3"/>
        <v>#DIV/0!</v>
      </c>
      <c r="P13" s="518"/>
      <c r="Q13" s="464">
        <f t="shared" si="4"/>
        <v>0</v>
      </c>
      <c r="R13" s="3"/>
      <c r="S13" s="3"/>
      <c r="T13" s="3"/>
      <c r="U13" s="5"/>
      <c r="V13" s="6" t="e">
        <f t="shared" si="5"/>
        <v>#DIV/0!</v>
      </c>
      <c r="W13" s="487">
        <f t="shared" si="7"/>
        <v>0</v>
      </c>
      <c r="X13" s="474">
        <f t="shared" si="8"/>
        <v>0</v>
      </c>
      <c r="Y13" s="477">
        <f t="shared" si="9"/>
        <v>0</v>
      </c>
      <c r="Z13" s="478">
        <f t="shared" si="10"/>
        <v>0</v>
      </c>
      <c r="AA13" s="478">
        <f t="shared" si="11"/>
        <v>0</v>
      </c>
      <c r="AB13" s="478">
        <f t="shared" si="12"/>
        <v>0</v>
      </c>
      <c r="AC13" s="488" t="e">
        <f t="shared" si="13"/>
        <v>#DIV/0!</v>
      </c>
      <c r="AD13" s="474" t="e">
        <f t="shared" si="14"/>
        <v>#DIV/0!</v>
      </c>
      <c r="AE13" s="475" t="e">
        <f t="shared" si="15"/>
        <v>#DIV/0!</v>
      </c>
    </row>
    <row r="14" spans="1:31">
      <c r="A14" s="435">
        <f>'SQ-1'!A14</f>
        <v>43961</v>
      </c>
      <c r="B14" s="518"/>
      <c r="C14" s="464">
        <f t="shared" si="0"/>
        <v>0</v>
      </c>
      <c r="D14" s="5"/>
      <c r="E14" s="3"/>
      <c r="F14" s="434"/>
      <c r="G14" s="5"/>
      <c r="H14" s="6" t="e">
        <f t="shared" si="1"/>
        <v>#DIV/0!</v>
      </c>
      <c r="I14" s="518"/>
      <c r="J14" s="464">
        <f t="shared" si="2"/>
        <v>0</v>
      </c>
      <c r="K14" s="3"/>
      <c r="L14" s="3"/>
      <c r="M14" s="3"/>
      <c r="N14" s="5"/>
      <c r="O14" s="6" t="e">
        <f t="shared" si="3"/>
        <v>#DIV/0!</v>
      </c>
      <c r="P14" s="518"/>
      <c r="Q14" s="464">
        <f t="shared" si="4"/>
        <v>0</v>
      </c>
      <c r="R14" s="3"/>
      <c r="S14" s="3"/>
      <c r="T14" s="3"/>
      <c r="U14" s="5"/>
      <c r="V14" s="6" t="e">
        <f t="shared" si="5"/>
        <v>#DIV/0!</v>
      </c>
      <c r="W14" s="487">
        <f t="shared" si="7"/>
        <v>0</v>
      </c>
      <c r="X14" s="474">
        <f t="shared" si="8"/>
        <v>0</v>
      </c>
      <c r="Y14" s="477">
        <f t="shared" si="9"/>
        <v>0</v>
      </c>
      <c r="Z14" s="478">
        <f t="shared" si="10"/>
        <v>0</v>
      </c>
      <c r="AA14" s="478">
        <f t="shared" si="11"/>
        <v>0</v>
      </c>
      <c r="AB14" s="478">
        <f t="shared" si="12"/>
        <v>0</v>
      </c>
      <c r="AC14" s="488" t="e">
        <f t="shared" si="13"/>
        <v>#DIV/0!</v>
      </c>
      <c r="AD14" s="474" t="e">
        <f t="shared" si="14"/>
        <v>#DIV/0!</v>
      </c>
      <c r="AE14" s="475" t="e">
        <f t="shared" si="15"/>
        <v>#DIV/0!</v>
      </c>
    </row>
    <row r="15" spans="1:31">
      <c r="A15" s="435">
        <f>'SQ-1'!A15</f>
        <v>43962</v>
      </c>
      <c r="B15" s="518"/>
      <c r="C15" s="464">
        <f t="shared" si="0"/>
        <v>0</v>
      </c>
      <c r="D15" s="5"/>
      <c r="E15" s="3"/>
      <c r="F15" s="434"/>
      <c r="G15" s="5"/>
      <c r="H15" s="6" t="e">
        <f t="shared" si="1"/>
        <v>#DIV/0!</v>
      </c>
      <c r="I15" s="518"/>
      <c r="J15" s="464">
        <f t="shared" si="2"/>
        <v>0</v>
      </c>
      <c r="K15" s="3"/>
      <c r="L15" s="3"/>
      <c r="M15" s="3"/>
      <c r="N15" s="5"/>
      <c r="O15" s="6" t="e">
        <f t="shared" si="3"/>
        <v>#DIV/0!</v>
      </c>
      <c r="P15" s="518"/>
      <c r="Q15" s="464">
        <f t="shared" si="4"/>
        <v>0</v>
      </c>
      <c r="R15" s="3"/>
      <c r="S15" s="3"/>
      <c r="T15" s="3"/>
      <c r="U15" s="5"/>
      <c r="V15" s="6" t="e">
        <f t="shared" si="5"/>
        <v>#DIV/0!</v>
      </c>
      <c r="W15" s="487">
        <f t="shared" si="7"/>
        <v>0</v>
      </c>
      <c r="X15" s="474">
        <f t="shared" si="8"/>
        <v>0</v>
      </c>
      <c r="Y15" s="477">
        <f t="shared" si="9"/>
        <v>0</v>
      </c>
      <c r="Z15" s="478">
        <f t="shared" si="10"/>
        <v>0</v>
      </c>
      <c r="AA15" s="478">
        <f t="shared" si="11"/>
        <v>0</v>
      </c>
      <c r="AB15" s="478">
        <f t="shared" si="12"/>
        <v>0</v>
      </c>
      <c r="AC15" s="488" t="e">
        <f t="shared" si="13"/>
        <v>#DIV/0!</v>
      </c>
      <c r="AD15" s="474" t="e">
        <f t="shared" si="14"/>
        <v>#DIV/0!</v>
      </c>
      <c r="AE15" s="475" t="e">
        <f t="shared" si="15"/>
        <v>#DIV/0!</v>
      </c>
    </row>
    <row r="16" spans="1:31">
      <c r="A16" s="435">
        <f>'SQ-1'!A16</f>
        <v>43963</v>
      </c>
      <c r="B16" s="518"/>
      <c r="C16" s="464">
        <f t="shared" si="0"/>
        <v>0</v>
      </c>
      <c r="D16" s="5"/>
      <c r="E16" s="3"/>
      <c r="F16" s="434"/>
      <c r="G16" s="5"/>
      <c r="H16" s="6" t="e">
        <f t="shared" si="1"/>
        <v>#DIV/0!</v>
      </c>
      <c r="I16" s="518"/>
      <c r="J16" s="464">
        <f t="shared" si="2"/>
        <v>0</v>
      </c>
      <c r="K16" s="3"/>
      <c r="L16" s="3"/>
      <c r="M16" s="3"/>
      <c r="N16" s="5"/>
      <c r="O16" s="6" t="e">
        <f t="shared" si="3"/>
        <v>#DIV/0!</v>
      </c>
      <c r="P16" s="518"/>
      <c r="Q16" s="464">
        <f t="shared" si="4"/>
        <v>0</v>
      </c>
      <c r="R16" s="3"/>
      <c r="S16" s="3"/>
      <c r="T16" s="3"/>
      <c r="U16" s="5"/>
      <c r="V16" s="6" t="e">
        <f t="shared" si="5"/>
        <v>#DIV/0!</v>
      </c>
      <c r="W16" s="487">
        <f t="shared" si="7"/>
        <v>0</v>
      </c>
      <c r="X16" s="474">
        <f t="shared" si="8"/>
        <v>0</v>
      </c>
      <c r="Y16" s="477">
        <f t="shared" si="9"/>
        <v>0</v>
      </c>
      <c r="Z16" s="478">
        <f t="shared" si="10"/>
        <v>0</v>
      </c>
      <c r="AA16" s="478">
        <f t="shared" si="11"/>
        <v>0</v>
      </c>
      <c r="AB16" s="478">
        <f t="shared" si="12"/>
        <v>0</v>
      </c>
      <c r="AC16" s="488" t="e">
        <f t="shared" si="13"/>
        <v>#DIV/0!</v>
      </c>
      <c r="AD16" s="474" t="e">
        <f t="shared" si="14"/>
        <v>#DIV/0!</v>
      </c>
      <c r="AE16" s="475" t="e">
        <f t="shared" si="15"/>
        <v>#DIV/0!</v>
      </c>
    </row>
    <row r="17" spans="1:31">
      <c r="A17" s="435">
        <f>'SQ-1'!A17</f>
        <v>43964</v>
      </c>
      <c r="B17" s="518"/>
      <c r="C17" s="464">
        <f t="shared" si="0"/>
        <v>0</v>
      </c>
      <c r="D17" s="5"/>
      <c r="E17" s="3"/>
      <c r="F17" s="434"/>
      <c r="G17" s="5"/>
      <c r="H17" s="6" t="e">
        <f t="shared" si="1"/>
        <v>#DIV/0!</v>
      </c>
      <c r="I17" s="518"/>
      <c r="J17" s="464">
        <f t="shared" si="2"/>
        <v>0</v>
      </c>
      <c r="K17" s="3"/>
      <c r="L17" s="3"/>
      <c r="M17" s="3"/>
      <c r="N17" s="5"/>
      <c r="O17" s="6" t="e">
        <f t="shared" si="3"/>
        <v>#DIV/0!</v>
      </c>
      <c r="P17" s="518"/>
      <c r="Q17" s="464">
        <f t="shared" si="4"/>
        <v>0</v>
      </c>
      <c r="R17" s="3"/>
      <c r="S17" s="3"/>
      <c r="T17" s="3"/>
      <c r="U17" s="5"/>
      <c r="V17" s="6" t="e">
        <f t="shared" si="5"/>
        <v>#DIV/0!</v>
      </c>
      <c r="W17" s="487">
        <f t="shared" si="7"/>
        <v>0</v>
      </c>
      <c r="X17" s="474">
        <f t="shared" si="8"/>
        <v>0</v>
      </c>
      <c r="Y17" s="477">
        <f t="shared" si="9"/>
        <v>0</v>
      </c>
      <c r="Z17" s="478">
        <f t="shared" si="10"/>
        <v>0</v>
      </c>
      <c r="AA17" s="478">
        <f t="shared" si="11"/>
        <v>0</v>
      </c>
      <c r="AB17" s="478">
        <f t="shared" si="12"/>
        <v>0</v>
      </c>
      <c r="AC17" s="488" t="e">
        <f t="shared" si="13"/>
        <v>#DIV/0!</v>
      </c>
      <c r="AD17" s="474" t="e">
        <f t="shared" si="14"/>
        <v>#DIV/0!</v>
      </c>
      <c r="AE17" s="475" t="e">
        <f t="shared" si="15"/>
        <v>#DIV/0!</v>
      </c>
    </row>
    <row r="18" spans="1:31">
      <c r="A18" s="435">
        <f>'SQ-1'!A18</f>
        <v>43965</v>
      </c>
      <c r="B18" s="518"/>
      <c r="C18" s="464">
        <f t="shared" si="0"/>
        <v>0</v>
      </c>
      <c r="D18" s="5"/>
      <c r="E18" s="3"/>
      <c r="F18" s="434"/>
      <c r="G18" s="5"/>
      <c r="H18" s="6" t="e">
        <f t="shared" si="1"/>
        <v>#DIV/0!</v>
      </c>
      <c r="I18" s="518"/>
      <c r="J18" s="464">
        <f t="shared" si="2"/>
        <v>0</v>
      </c>
      <c r="K18" s="3"/>
      <c r="L18" s="3"/>
      <c r="M18" s="3"/>
      <c r="N18" s="5"/>
      <c r="O18" s="6" t="e">
        <f t="shared" si="3"/>
        <v>#DIV/0!</v>
      </c>
      <c r="P18" s="518"/>
      <c r="Q18" s="464">
        <f t="shared" si="4"/>
        <v>0</v>
      </c>
      <c r="R18" s="3"/>
      <c r="S18" s="3"/>
      <c r="T18" s="3"/>
      <c r="U18" s="5"/>
      <c r="V18" s="6" t="e">
        <f t="shared" si="5"/>
        <v>#DIV/0!</v>
      </c>
      <c r="W18" s="487">
        <f t="shared" si="7"/>
        <v>0</v>
      </c>
      <c r="X18" s="474">
        <f t="shared" si="8"/>
        <v>0</v>
      </c>
      <c r="Y18" s="477">
        <f t="shared" si="9"/>
        <v>0</v>
      </c>
      <c r="Z18" s="478">
        <f t="shared" si="10"/>
        <v>0</v>
      </c>
      <c r="AA18" s="478">
        <f t="shared" si="11"/>
        <v>0</v>
      </c>
      <c r="AB18" s="478">
        <f t="shared" si="12"/>
        <v>0</v>
      </c>
      <c r="AC18" s="488" t="e">
        <f t="shared" si="13"/>
        <v>#DIV/0!</v>
      </c>
      <c r="AD18" s="474" t="e">
        <f t="shared" si="14"/>
        <v>#DIV/0!</v>
      </c>
      <c r="AE18" s="475" t="e">
        <f t="shared" si="15"/>
        <v>#DIV/0!</v>
      </c>
    </row>
    <row r="19" spans="1:31">
      <c r="A19" s="435">
        <f>'SQ-1'!A19</f>
        <v>43966</v>
      </c>
      <c r="B19" s="518"/>
      <c r="C19" s="464">
        <f t="shared" si="0"/>
        <v>0</v>
      </c>
      <c r="D19" s="5"/>
      <c r="E19" s="3"/>
      <c r="F19" s="434"/>
      <c r="G19" s="5"/>
      <c r="H19" s="6" t="e">
        <f t="shared" si="1"/>
        <v>#DIV/0!</v>
      </c>
      <c r="I19" s="518"/>
      <c r="J19" s="464">
        <f t="shared" si="2"/>
        <v>0</v>
      </c>
      <c r="K19" s="3"/>
      <c r="L19" s="3"/>
      <c r="M19" s="3"/>
      <c r="N19" s="5"/>
      <c r="O19" s="6" t="e">
        <f t="shared" si="3"/>
        <v>#DIV/0!</v>
      </c>
      <c r="P19" s="518"/>
      <c r="Q19" s="464">
        <f t="shared" si="4"/>
        <v>0</v>
      </c>
      <c r="R19" s="3"/>
      <c r="S19" s="3"/>
      <c r="T19" s="3"/>
      <c r="U19" s="5"/>
      <c r="V19" s="6" t="e">
        <f t="shared" si="5"/>
        <v>#DIV/0!</v>
      </c>
      <c r="W19" s="487">
        <f t="shared" si="7"/>
        <v>0</v>
      </c>
      <c r="X19" s="474">
        <f t="shared" si="8"/>
        <v>0</v>
      </c>
      <c r="Y19" s="477">
        <f t="shared" si="9"/>
        <v>0</v>
      </c>
      <c r="Z19" s="478">
        <f t="shared" si="10"/>
        <v>0</v>
      </c>
      <c r="AA19" s="478">
        <f t="shared" si="11"/>
        <v>0</v>
      </c>
      <c r="AB19" s="478">
        <f t="shared" si="12"/>
        <v>0</v>
      </c>
      <c r="AC19" s="488" t="e">
        <f t="shared" si="13"/>
        <v>#DIV/0!</v>
      </c>
      <c r="AD19" s="474" t="e">
        <f t="shared" si="14"/>
        <v>#DIV/0!</v>
      </c>
      <c r="AE19" s="475" t="e">
        <f t="shared" si="15"/>
        <v>#DIV/0!</v>
      </c>
    </row>
    <row r="20" spans="1:31">
      <c r="A20" s="435">
        <f>'SQ-1'!A20</f>
        <v>43967</v>
      </c>
      <c r="B20" s="518"/>
      <c r="C20" s="464">
        <f t="shared" si="0"/>
        <v>0</v>
      </c>
      <c r="D20" s="5"/>
      <c r="E20" s="3"/>
      <c r="F20" s="434"/>
      <c r="G20" s="5"/>
      <c r="H20" s="6" t="e">
        <f t="shared" si="1"/>
        <v>#DIV/0!</v>
      </c>
      <c r="I20" s="518"/>
      <c r="J20" s="464">
        <f t="shared" si="2"/>
        <v>0</v>
      </c>
      <c r="K20" s="3"/>
      <c r="L20" s="3"/>
      <c r="M20" s="3"/>
      <c r="N20" s="5"/>
      <c r="O20" s="6" t="e">
        <f t="shared" si="3"/>
        <v>#DIV/0!</v>
      </c>
      <c r="P20" s="518"/>
      <c r="Q20" s="464">
        <f t="shared" si="4"/>
        <v>0</v>
      </c>
      <c r="R20" s="3"/>
      <c r="S20" s="3"/>
      <c r="T20" s="3"/>
      <c r="U20" s="5"/>
      <c r="V20" s="6" t="e">
        <f t="shared" si="5"/>
        <v>#DIV/0!</v>
      </c>
      <c r="W20" s="487">
        <f t="shared" si="7"/>
        <v>0</v>
      </c>
      <c r="X20" s="474">
        <f t="shared" si="8"/>
        <v>0</v>
      </c>
      <c r="Y20" s="477">
        <f t="shared" si="9"/>
        <v>0</v>
      </c>
      <c r="Z20" s="478">
        <f t="shared" si="10"/>
        <v>0</v>
      </c>
      <c r="AA20" s="478">
        <f t="shared" si="11"/>
        <v>0</v>
      </c>
      <c r="AB20" s="478">
        <f t="shared" si="12"/>
        <v>0</v>
      </c>
      <c r="AC20" s="488" t="e">
        <f t="shared" si="13"/>
        <v>#DIV/0!</v>
      </c>
      <c r="AD20" s="474" t="e">
        <f t="shared" si="14"/>
        <v>#DIV/0!</v>
      </c>
      <c r="AE20" s="475" t="e">
        <f t="shared" si="15"/>
        <v>#DIV/0!</v>
      </c>
    </row>
    <row r="21" spans="1:31">
      <c r="A21" s="435">
        <f>'SQ-1'!A21</f>
        <v>43968</v>
      </c>
      <c r="B21" s="518"/>
      <c r="C21" s="464">
        <f t="shared" si="0"/>
        <v>0</v>
      </c>
      <c r="D21" s="5"/>
      <c r="E21" s="3"/>
      <c r="F21" s="434"/>
      <c r="G21" s="5"/>
      <c r="H21" s="6" t="e">
        <f t="shared" si="1"/>
        <v>#DIV/0!</v>
      </c>
      <c r="I21" s="518"/>
      <c r="J21" s="464">
        <f t="shared" si="2"/>
        <v>0</v>
      </c>
      <c r="K21" s="3"/>
      <c r="L21" s="3"/>
      <c r="M21" s="3"/>
      <c r="N21" s="5"/>
      <c r="O21" s="6" t="e">
        <f t="shared" si="3"/>
        <v>#DIV/0!</v>
      </c>
      <c r="P21" s="518"/>
      <c r="Q21" s="464">
        <f t="shared" si="4"/>
        <v>0</v>
      </c>
      <c r="R21" s="3"/>
      <c r="S21" s="3"/>
      <c r="T21" s="3"/>
      <c r="U21" s="5"/>
      <c r="V21" s="6" t="e">
        <f t="shared" si="5"/>
        <v>#DIV/0!</v>
      </c>
      <c r="W21" s="487">
        <f t="shared" si="7"/>
        <v>0</v>
      </c>
      <c r="X21" s="474">
        <f t="shared" si="8"/>
        <v>0</v>
      </c>
      <c r="Y21" s="477">
        <f t="shared" si="9"/>
        <v>0</v>
      </c>
      <c r="Z21" s="478">
        <f t="shared" si="10"/>
        <v>0</v>
      </c>
      <c r="AA21" s="478">
        <f t="shared" si="11"/>
        <v>0</v>
      </c>
      <c r="AB21" s="478">
        <f t="shared" si="12"/>
        <v>0</v>
      </c>
      <c r="AC21" s="488" t="e">
        <f t="shared" si="13"/>
        <v>#DIV/0!</v>
      </c>
      <c r="AD21" s="474" t="e">
        <f t="shared" si="14"/>
        <v>#DIV/0!</v>
      </c>
      <c r="AE21" s="475" t="e">
        <f t="shared" si="15"/>
        <v>#DIV/0!</v>
      </c>
    </row>
    <row r="22" spans="1:31">
      <c r="A22" s="435">
        <f>'SQ-1'!A22</f>
        <v>43969</v>
      </c>
      <c r="B22" s="518"/>
      <c r="C22" s="464">
        <f t="shared" si="0"/>
        <v>0</v>
      </c>
      <c r="D22" s="5"/>
      <c r="E22" s="3"/>
      <c r="F22" s="434"/>
      <c r="G22" s="5"/>
      <c r="H22" s="6" t="e">
        <f t="shared" si="1"/>
        <v>#DIV/0!</v>
      </c>
      <c r="I22" s="518"/>
      <c r="J22" s="464">
        <f t="shared" si="2"/>
        <v>0</v>
      </c>
      <c r="K22" s="3"/>
      <c r="L22" s="3"/>
      <c r="M22" s="3"/>
      <c r="N22" s="5"/>
      <c r="O22" s="6" t="e">
        <f t="shared" si="3"/>
        <v>#DIV/0!</v>
      </c>
      <c r="P22" s="518"/>
      <c r="Q22" s="464">
        <f t="shared" si="4"/>
        <v>0</v>
      </c>
      <c r="R22" s="3"/>
      <c r="S22" s="3"/>
      <c r="T22" s="3"/>
      <c r="U22" s="5"/>
      <c r="V22" s="6" t="e">
        <f t="shared" si="5"/>
        <v>#DIV/0!</v>
      </c>
      <c r="W22" s="487">
        <f t="shared" si="7"/>
        <v>0</v>
      </c>
      <c r="X22" s="474">
        <f t="shared" si="8"/>
        <v>0</v>
      </c>
      <c r="Y22" s="477">
        <f t="shared" si="9"/>
        <v>0</v>
      </c>
      <c r="Z22" s="478">
        <f t="shared" si="10"/>
        <v>0</v>
      </c>
      <c r="AA22" s="478">
        <f t="shared" si="11"/>
        <v>0</v>
      </c>
      <c r="AB22" s="478">
        <f t="shared" si="12"/>
        <v>0</v>
      </c>
      <c r="AC22" s="488" t="e">
        <f t="shared" si="13"/>
        <v>#DIV/0!</v>
      </c>
      <c r="AD22" s="474" t="e">
        <f t="shared" si="14"/>
        <v>#DIV/0!</v>
      </c>
      <c r="AE22" s="475" t="e">
        <f t="shared" si="15"/>
        <v>#DIV/0!</v>
      </c>
    </row>
    <row r="23" spans="1:31">
      <c r="A23" s="435">
        <f>'SQ-1'!A23</f>
        <v>43970</v>
      </c>
      <c r="B23" s="518"/>
      <c r="C23" s="464">
        <f t="shared" si="0"/>
        <v>0</v>
      </c>
      <c r="D23" s="5"/>
      <c r="E23" s="3"/>
      <c r="F23" s="434"/>
      <c r="G23" s="5"/>
      <c r="H23" s="6" t="e">
        <f t="shared" si="1"/>
        <v>#DIV/0!</v>
      </c>
      <c r="I23" s="518"/>
      <c r="J23" s="464">
        <f t="shared" si="2"/>
        <v>0</v>
      </c>
      <c r="K23" s="3"/>
      <c r="L23" s="3"/>
      <c r="M23" s="3"/>
      <c r="N23" s="5"/>
      <c r="O23" s="6" t="e">
        <f t="shared" si="3"/>
        <v>#DIV/0!</v>
      </c>
      <c r="P23" s="518"/>
      <c r="Q23" s="464">
        <f t="shared" si="4"/>
        <v>0</v>
      </c>
      <c r="R23" s="3"/>
      <c r="S23" s="3"/>
      <c r="T23" s="3"/>
      <c r="U23" s="5"/>
      <c r="V23" s="6" t="e">
        <f t="shared" si="5"/>
        <v>#DIV/0!</v>
      </c>
      <c r="W23" s="487">
        <f t="shared" si="7"/>
        <v>0</v>
      </c>
      <c r="X23" s="474">
        <f t="shared" si="8"/>
        <v>0</v>
      </c>
      <c r="Y23" s="477">
        <f t="shared" si="9"/>
        <v>0</v>
      </c>
      <c r="Z23" s="478">
        <f t="shared" si="10"/>
        <v>0</v>
      </c>
      <c r="AA23" s="478">
        <f t="shared" si="11"/>
        <v>0</v>
      </c>
      <c r="AB23" s="478">
        <f t="shared" si="12"/>
        <v>0</v>
      </c>
      <c r="AC23" s="488" t="e">
        <f t="shared" si="13"/>
        <v>#DIV/0!</v>
      </c>
      <c r="AD23" s="474" t="e">
        <f t="shared" si="14"/>
        <v>#DIV/0!</v>
      </c>
      <c r="AE23" s="475" t="e">
        <f t="shared" si="15"/>
        <v>#DIV/0!</v>
      </c>
    </row>
    <row r="24" spans="1:31">
      <c r="A24" s="435">
        <f>'SQ-1'!A24</f>
        <v>43971</v>
      </c>
      <c r="B24" s="518"/>
      <c r="C24" s="464">
        <f t="shared" si="0"/>
        <v>0</v>
      </c>
      <c r="D24" s="5"/>
      <c r="E24" s="3"/>
      <c r="F24" s="434"/>
      <c r="G24" s="5"/>
      <c r="H24" s="6" t="e">
        <f t="shared" si="1"/>
        <v>#DIV/0!</v>
      </c>
      <c r="I24" s="518"/>
      <c r="J24" s="464">
        <f t="shared" si="2"/>
        <v>0</v>
      </c>
      <c r="K24" s="3"/>
      <c r="L24" s="3"/>
      <c r="M24" s="3"/>
      <c r="N24" s="5"/>
      <c r="O24" s="6" t="e">
        <f t="shared" si="3"/>
        <v>#DIV/0!</v>
      </c>
      <c r="P24" s="518"/>
      <c r="Q24" s="464">
        <f t="shared" si="4"/>
        <v>0</v>
      </c>
      <c r="R24" s="3"/>
      <c r="S24" s="3"/>
      <c r="T24" s="3"/>
      <c r="U24" s="5"/>
      <c r="V24" s="6" t="e">
        <f t="shared" si="5"/>
        <v>#DIV/0!</v>
      </c>
      <c r="W24" s="487">
        <f t="shared" si="7"/>
        <v>0</v>
      </c>
      <c r="X24" s="474">
        <f t="shared" si="8"/>
        <v>0</v>
      </c>
      <c r="Y24" s="477">
        <f t="shared" si="9"/>
        <v>0</v>
      </c>
      <c r="Z24" s="478">
        <f t="shared" si="10"/>
        <v>0</v>
      </c>
      <c r="AA24" s="478">
        <f t="shared" si="11"/>
        <v>0</v>
      </c>
      <c r="AB24" s="478">
        <f t="shared" si="12"/>
        <v>0</v>
      </c>
      <c r="AC24" s="488" t="e">
        <f t="shared" si="13"/>
        <v>#DIV/0!</v>
      </c>
      <c r="AD24" s="474" t="e">
        <f t="shared" si="14"/>
        <v>#DIV/0!</v>
      </c>
      <c r="AE24" s="475" t="e">
        <f t="shared" si="15"/>
        <v>#DIV/0!</v>
      </c>
    </row>
    <row r="25" spans="1:31">
      <c r="A25" s="435">
        <f>'SQ-1'!A25</f>
        <v>43972</v>
      </c>
      <c r="B25" s="518"/>
      <c r="C25" s="464">
        <f t="shared" si="0"/>
        <v>0</v>
      </c>
      <c r="D25" s="5"/>
      <c r="E25" s="3"/>
      <c r="F25" s="434"/>
      <c r="G25" s="5"/>
      <c r="H25" s="6" t="e">
        <f t="shared" si="1"/>
        <v>#DIV/0!</v>
      </c>
      <c r="I25" s="518"/>
      <c r="J25" s="464">
        <f t="shared" si="2"/>
        <v>0</v>
      </c>
      <c r="K25" s="3"/>
      <c r="L25" s="3"/>
      <c r="M25" s="3"/>
      <c r="N25" s="5"/>
      <c r="O25" s="6" t="e">
        <f t="shared" si="3"/>
        <v>#DIV/0!</v>
      </c>
      <c r="P25" s="518"/>
      <c r="Q25" s="464">
        <f t="shared" si="4"/>
        <v>0</v>
      </c>
      <c r="R25" s="3"/>
      <c r="S25" s="3"/>
      <c r="T25" s="3"/>
      <c r="U25" s="5"/>
      <c r="V25" s="6" t="e">
        <f t="shared" ref="V25:V35" si="16">U25/P25</f>
        <v>#DIV/0!</v>
      </c>
      <c r="W25" s="487">
        <f t="shared" si="7"/>
        <v>0</v>
      </c>
      <c r="X25" s="474">
        <f t="shared" si="8"/>
        <v>0</v>
      </c>
      <c r="Y25" s="477">
        <f t="shared" si="9"/>
        <v>0</v>
      </c>
      <c r="Z25" s="478">
        <f t="shared" si="10"/>
        <v>0</v>
      </c>
      <c r="AA25" s="478">
        <f t="shared" si="11"/>
        <v>0</v>
      </c>
      <c r="AB25" s="478">
        <f t="shared" si="12"/>
        <v>0</v>
      </c>
      <c r="AC25" s="488" t="e">
        <f t="shared" si="13"/>
        <v>#DIV/0!</v>
      </c>
      <c r="AD25" s="474" t="e">
        <f t="shared" si="14"/>
        <v>#DIV/0!</v>
      </c>
      <c r="AE25" s="475" t="e">
        <f t="shared" si="15"/>
        <v>#DIV/0!</v>
      </c>
    </row>
    <row r="26" spans="1:31">
      <c r="A26" s="435">
        <f>'SQ-1'!A26</f>
        <v>43973</v>
      </c>
      <c r="B26" s="518"/>
      <c r="C26" s="464">
        <f t="shared" si="0"/>
        <v>0</v>
      </c>
      <c r="D26" s="5"/>
      <c r="E26" s="3"/>
      <c r="F26" s="434"/>
      <c r="G26" s="5"/>
      <c r="H26" s="6" t="e">
        <f t="shared" si="1"/>
        <v>#DIV/0!</v>
      </c>
      <c r="I26" s="518"/>
      <c r="J26" s="464">
        <f t="shared" si="2"/>
        <v>0</v>
      </c>
      <c r="K26" s="3"/>
      <c r="L26" s="3"/>
      <c r="M26" s="3"/>
      <c r="N26" s="5"/>
      <c r="O26" s="6" t="e">
        <f t="shared" si="3"/>
        <v>#DIV/0!</v>
      </c>
      <c r="P26" s="518"/>
      <c r="Q26" s="464">
        <f t="shared" si="4"/>
        <v>0</v>
      </c>
      <c r="R26" s="3"/>
      <c r="S26" s="3"/>
      <c r="T26" s="3"/>
      <c r="U26" s="5"/>
      <c r="V26" s="6" t="e">
        <f t="shared" si="16"/>
        <v>#DIV/0!</v>
      </c>
      <c r="W26" s="487">
        <f t="shared" si="7"/>
        <v>0</v>
      </c>
      <c r="X26" s="474">
        <f t="shared" si="8"/>
        <v>0</v>
      </c>
      <c r="Y26" s="477">
        <f t="shared" si="9"/>
        <v>0</v>
      </c>
      <c r="Z26" s="478">
        <f t="shared" si="10"/>
        <v>0</v>
      </c>
      <c r="AA26" s="478">
        <f t="shared" si="11"/>
        <v>0</v>
      </c>
      <c r="AB26" s="478">
        <f t="shared" si="12"/>
        <v>0</v>
      </c>
      <c r="AC26" s="488" t="e">
        <f t="shared" si="13"/>
        <v>#DIV/0!</v>
      </c>
      <c r="AD26" s="474" t="e">
        <f t="shared" si="14"/>
        <v>#DIV/0!</v>
      </c>
      <c r="AE26" s="475" t="e">
        <f t="shared" si="15"/>
        <v>#DIV/0!</v>
      </c>
    </row>
    <row r="27" spans="1:31">
      <c r="A27" s="435">
        <f>'SQ-1'!A27</f>
        <v>43974</v>
      </c>
      <c r="B27" s="518"/>
      <c r="C27" s="464">
        <f t="shared" si="0"/>
        <v>0</v>
      </c>
      <c r="D27" s="5"/>
      <c r="E27" s="3"/>
      <c r="F27" s="434"/>
      <c r="G27" s="5"/>
      <c r="H27" s="6" t="e">
        <f t="shared" si="1"/>
        <v>#DIV/0!</v>
      </c>
      <c r="I27" s="518"/>
      <c r="J27" s="464">
        <f t="shared" si="2"/>
        <v>0</v>
      </c>
      <c r="K27" s="3"/>
      <c r="L27" s="3"/>
      <c r="M27" s="3"/>
      <c r="N27" s="5"/>
      <c r="O27" s="6" t="e">
        <f t="shared" si="3"/>
        <v>#DIV/0!</v>
      </c>
      <c r="P27" s="518"/>
      <c r="Q27" s="464">
        <f t="shared" si="4"/>
        <v>0</v>
      </c>
      <c r="R27" s="3"/>
      <c r="S27" s="3"/>
      <c r="T27" s="3"/>
      <c r="U27" s="5"/>
      <c r="V27" s="6" t="e">
        <f t="shared" si="16"/>
        <v>#DIV/0!</v>
      </c>
      <c r="W27" s="487">
        <f t="shared" si="7"/>
        <v>0</v>
      </c>
      <c r="X27" s="474">
        <f t="shared" si="8"/>
        <v>0</v>
      </c>
      <c r="Y27" s="477">
        <f t="shared" si="9"/>
        <v>0</v>
      </c>
      <c r="Z27" s="478">
        <f t="shared" si="10"/>
        <v>0</v>
      </c>
      <c r="AA27" s="478">
        <f t="shared" si="11"/>
        <v>0</v>
      </c>
      <c r="AB27" s="478">
        <f t="shared" si="12"/>
        <v>0</v>
      </c>
      <c r="AC27" s="488" t="e">
        <f t="shared" si="13"/>
        <v>#DIV/0!</v>
      </c>
      <c r="AD27" s="474" t="e">
        <f t="shared" si="14"/>
        <v>#DIV/0!</v>
      </c>
      <c r="AE27" s="475" t="e">
        <f t="shared" si="15"/>
        <v>#DIV/0!</v>
      </c>
    </row>
    <row r="28" spans="1:31">
      <c r="A28" s="435">
        <f>'SQ-1'!A28</f>
        <v>43975</v>
      </c>
      <c r="B28" s="518"/>
      <c r="C28" s="464">
        <f t="shared" si="0"/>
        <v>0</v>
      </c>
      <c r="D28" s="5"/>
      <c r="E28" s="3"/>
      <c r="F28" s="434"/>
      <c r="G28" s="5"/>
      <c r="H28" s="6" t="e">
        <f t="shared" si="1"/>
        <v>#DIV/0!</v>
      </c>
      <c r="I28" s="518"/>
      <c r="J28" s="464">
        <f t="shared" si="2"/>
        <v>0</v>
      </c>
      <c r="K28" s="3"/>
      <c r="L28" s="3"/>
      <c r="M28" s="3"/>
      <c r="N28" s="5"/>
      <c r="O28" s="6" t="e">
        <f t="shared" si="3"/>
        <v>#DIV/0!</v>
      </c>
      <c r="P28" s="518"/>
      <c r="Q28" s="464">
        <f t="shared" si="4"/>
        <v>0</v>
      </c>
      <c r="R28" s="3"/>
      <c r="S28" s="3"/>
      <c r="T28" s="3"/>
      <c r="U28" s="5"/>
      <c r="V28" s="6" t="e">
        <f t="shared" si="16"/>
        <v>#DIV/0!</v>
      </c>
      <c r="W28" s="487">
        <f t="shared" si="7"/>
        <v>0</v>
      </c>
      <c r="X28" s="474">
        <f t="shared" ref="X28:X35" si="17">C28+J28+Q28</f>
        <v>0</v>
      </c>
      <c r="Y28" s="477">
        <f t="shared" si="9"/>
        <v>0</v>
      </c>
      <c r="Z28" s="478">
        <f t="shared" si="10"/>
        <v>0</v>
      </c>
      <c r="AA28" s="478">
        <f t="shared" si="11"/>
        <v>0</v>
      </c>
      <c r="AB28" s="478">
        <f t="shared" ref="AB28:AB35" si="18">G28+N28+U28</f>
        <v>0</v>
      </c>
      <c r="AC28" s="488" t="e">
        <f t="shared" si="13"/>
        <v>#DIV/0!</v>
      </c>
      <c r="AD28" s="474" t="e">
        <f t="shared" si="14"/>
        <v>#DIV/0!</v>
      </c>
      <c r="AE28" s="475" t="e">
        <f t="shared" si="15"/>
        <v>#DIV/0!</v>
      </c>
    </row>
    <row r="29" spans="1:31">
      <c r="A29" s="435">
        <f>'SQ-1'!A29</f>
        <v>43976</v>
      </c>
      <c r="B29" s="518"/>
      <c r="C29" s="464">
        <f t="shared" si="0"/>
        <v>0</v>
      </c>
      <c r="D29" s="5"/>
      <c r="E29" s="3"/>
      <c r="F29" s="434"/>
      <c r="G29" s="5"/>
      <c r="H29" s="6" t="e">
        <f t="shared" si="1"/>
        <v>#DIV/0!</v>
      </c>
      <c r="I29" s="518"/>
      <c r="J29" s="464">
        <f t="shared" si="2"/>
        <v>0</v>
      </c>
      <c r="K29" s="3"/>
      <c r="L29" s="3"/>
      <c r="M29" s="3"/>
      <c r="N29" s="5"/>
      <c r="O29" s="6" t="e">
        <f t="shared" si="3"/>
        <v>#DIV/0!</v>
      </c>
      <c r="P29" s="518"/>
      <c r="Q29" s="464">
        <f t="shared" si="4"/>
        <v>0</v>
      </c>
      <c r="R29" s="3"/>
      <c r="S29" s="3"/>
      <c r="T29" s="3"/>
      <c r="U29" s="5"/>
      <c r="V29" s="6" t="e">
        <f t="shared" si="16"/>
        <v>#DIV/0!</v>
      </c>
      <c r="W29" s="487">
        <f t="shared" si="7"/>
        <v>0</v>
      </c>
      <c r="X29" s="474">
        <f t="shared" si="17"/>
        <v>0</v>
      </c>
      <c r="Y29" s="477">
        <f t="shared" si="9"/>
        <v>0</v>
      </c>
      <c r="Z29" s="478">
        <f t="shared" si="10"/>
        <v>0</v>
      </c>
      <c r="AA29" s="478">
        <f t="shared" si="11"/>
        <v>0</v>
      </c>
      <c r="AB29" s="478">
        <f t="shared" si="18"/>
        <v>0</v>
      </c>
      <c r="AC29" s="488" t="e">
        <f t="shared" si="13"/>
        <v>#DIV/0!</v>
      </c>
      <c r="AD29" s="474" t="e">
        <f t="shared" si="14"/>
        <v>#DIV/0!</v>
      </c>
      <c r="AE29" s="475" t="e">
        <f t="shared" si="15"/>
        <v>#DIV/0!</v>
      </c>
    </row>
    <row r="30" spans="1:31">
      <c r="A30" s="435">
        <f>'SQ-1'!A30</f>
        <v>43977</v>
      </c>
      <c r="B30" s="518"/>
      <c r="C30" s="464">
        <f t="shared" si="0"/>
        <v>0</v>
      </c>
      <c r="D30" s="5"/>
      <c r="E30" s="3"/>
      <c r="F30" s="434"/>
      <c r="G30" s="5"/>
      <c r="H30" s="6" t="e">
        <f t="shared" si="1"/>
        <v>#DIV/0!</v>
      </c>
      <c r="I30" s="518"/>
      <c r="J30" s="464">
        <f t="shared" si="2"/>
        <v>0</v>
      </c>
      <c r="K30" s="3"/>
      <c r="L30" s="3"/>
      <c r="M30" s="3"/>
      <c r="N30" s="5"/>
      <c r="O30" s="6" t="e">
        <f t="shared" si="3"/>
        <v>#DIV/0!</v>
      </c>
      <c r="P30" s="518"/>
      <c r="Q30" s="464">
        <f t="shared" si="4"/>
        <v>0</v>
      </c>
      <c r="R30" s="3"/>
      <c r="S30" s="3"/>
      <c r="T30" s="3"/>
      <c r="U30" s="5"/>
      <c r="V30" s="6" t="e">
        <f t="shared" si="16"/>
        <v>#DIV/0!</v>
      </c>
      <c r="W30" s="487">
        <f t="shared" si="7"/>
        <v>0</v>
      </c>
      <c r="X30" s="474">
        <f t="shared" si="17"/>
        <v>0</v>
      </c>
      <c r="Y30" s="477">
        <f t="shared" si="9"/>
        <v>0</v>
      </c>
      <c r="Z30" s="478">
        <f t="shared" si="10"/>
        <v>0</v>
      </c>
      <c r="AA30" s="478">
        <f t="shared" si="11"/>
        <v>0</v>
      </c>
      <c r="AB30" s="478">
        <f t="shared" si="18"/>
        <v>0</v>
      </c>
      <c r="AC30" s="488" t="e">
        <f t="shared" si="13"/>
        <v>#DIV/0!</v>
      </c>
      <c r="AD30" s="474" t="e">
        <f t="shared" si="14"/>
        <v>#DIV/0!</v>
      </c>
      <c r="AE30" s="475" t="e">
        <f t="shared" si="15"/>
        <v>#DIV/0!</v>
      </c>
    </row>
    <row r="31" spans="1:31">
      <c r="A31" s="435">
        <f>'SQ-1'!A31</f>
        <v>43978</v>
      </c>
      <c r="B31" s="518"/>
      <c r="C31" s="464">
        <f t="shared" si="0"/>
        <v>0</v>
      </c>
      <c r="D31" s="3"/>
      <c r="E31" s="3"/>
      <c r="F31" s="3"/>
      <c r="G31" s="5"/>
      <c r="H31" s="6" t="e">
        <f t="shared" si="1"/>
        <v>#DIV/0!</v>
      </c>
      <c r="I31" s="518"/>
      <c r="J31" s="464">
        <f t="shared" si="2"/>
        <v>0</v>
      </c>
      <c r="K31" s="5"/>
      <c r="L31" s="3"/>
      <c r="M31" s="434"/>
      <c r="N31" s="5"/>
      <c r="O31" s="6" t="e">
        <f t="shared" si="3"/>
        <v>#DIV/0!</v>
      </c>
      <c r="P31" s="518"/>
      <c r="Q31" s="464">
        <f t="shared" si="4"/>
        <v>0</v>
      </c>
      <c r="R31" s="3"/>
      <c r="S31" s="3"/>
      <c r="T31" s="3"/>
      <c r="U31" s="5"/>
      <c r="V31" s="6" t="e">
        <f t="shared" si="16"/>
        <v>#DIV/0!</v>
      </c>
      <c r="W31" s="487">
        <f t="shared" si="7"/>
        <v>0</v>
      </c>
      <c r="X31" s="474">
        <f t="shared" si="17"/>
        <v>0</v>
      </c>
      <c r="Y31" s="477">
        <f t="shared" si="9"/>
        <v>0</v>
      </c>
      <c r="Z31" s="478">
        <f t="shared" si="10"/>
        <v>0</v>
      </c>
      <c r="AA31" s="478">
        <f t="shared" si="11"/>
        <v>0</v>
      </c>
      <c r="AB31" s="478">
        <f t="shared" si="18"/>
        <v>0</v>
      </c>
      <c r="AC31" s="488" t="e">
        <f t="shared" si="13"/>
        <v>#DIV/0!</v>
      </c>
      <c r="AD31" s="474" t="e">
        <f t="shared" si="14"/>
        <v>#DIV/0!</v>
      </c>
      <c r="AE31" s="475" t="e">
        <f t="shared" si="15"/>
        <v>#DIV/0!</v>
      </c>
    </row>
    <row r="32" spans="1:31">
      <c r="A32" s="435">
        <f>'SQ-1'!A32</f>
        <v>43979</v>
      </c>
      <c r="B32" s="518"/>
      <c r="C32" s="464">
        <f t="shared" si="0"/>
        <v>0</v>
      </c>
      <c r="D32" s="3"/>
      <c r="E32" s="3"/>
      <c r="F32" s="3"/>
      <c r="G32" s="5"/>
      <c r="H32" s="6" t="e">
        <f t="shared" si="1"/>
        <v>#DIV/0!</v>
      </c>
      <c r="I32" s="518"/>
      <c r="J32" s="464">
        <f t="shared" si="2"/>
        <v>0</v>
      </c>
      <c r="K32" s="5"/>
      <c r="L32" s="3"/>
      <c r="M32" s="434"/>
      <c r="N32" s="5"/>
      <c r="O32" s="6" t="e">
        <f t="shared" si="3"/>
        <v>#DIV/0!</v>
      </c>
      <c r="P32" s="518"/>
      <c r="Q32" s="464">
        <f t="shared" si="4"/>
        <v>0</v>
      </c>
      <c r="R32" s="3"/>
      <c r="S32" s="3"/>
      <c r="T32" s="3"/>
      <c r="U32" s="5"/>
      <c r="V32" s="6" t="e">
        <f t="shared" si="16"/>
        <v>#DIV/0!</v>
      </c>
      <c r="W32" s="487">
        <f t="shared" si="7"/>
        <v>0</v>
      </c>
      <c r="X32" s="474">
        <f t="shared" si="17"/>
        <v>0</v>
      </c>
      <c r="Y32" s="477">
        <f t="shared" si="9"/>
        <v>0</v>
      </c>
      <c r="Z32" s="478">
        <f t="shared" si="10"/>
        <v>0</v>
      </c>
      <c r="AA32" s="478">
        <f>F32+M32+T32</f>
        <v>0</v>
      </c>
      <c r="AB32" s="478">
        <f t="shared" si="18"/>
        <v>0</v>
      </c>
      <c r="AC32" s="488" t="e">
        <f t="shared" si="13"/>
        <v>#DIV/0!</v>
      </c>
      <c r="AD32" s="474" t="e">
        <f t="shared" si="14"/>
        <v>#DIV/0!</v>
      </c>
      <c r="AE32" s="475" t="e">
        <f t="shared" si="15"/>
        <v>#DIV/0!</v>
      </c>
    </row>
    <row r="33" spans="1:31">
      <c r="A33" s="435">
        <f>'SQ-1'!A33</f>
        <v>43980</v>
      </c>
      <c r="B33" s="518"/>
      <c r="C33" s="464">
        <f t="shared" si="0"/>
        <v>0</v>
      </c>
      <c r="D33" s="3"/>
      <c r="E33" s="3"/>
      <c r="F33" s="3"/>
      <c r="G33" s="5"/>
      <c r="H33" s="6" t="e">
        <f t="shared" si="1"/>
        <v>#DIV/0!</v>
      </c>
      <c r="I33" s="518"/>
      <c r="J33" s="464">
        <f t="shared" si="2"/>
        <v>0</v>
      </c>
      <c r="K33" s="5"/>
      <c r="L33" s="3"/>
      <c r="M33" s="434"/>
      <c r="N33" s="5"/>
      <c r="O33" s="6" t="e">
        <f t="shared" si="3"/>
        <v>#DIV/0!</v>
      </c>
      <c r="P33" s="518"/>
      <c r="Q33" s="464">
        <f t="shared" si="4"/>
        <v>0</v>
      </c>
      <c r="R33" s="3"/>
      <c r="S33" s="3"/>
      <c r="T33" s="3"/>
      <c r="U33" s="5"/>
      <c r="V33" s="6" t="e">
        <f t="shared" si="16"/>
        <v>#DIV/0!</v>
      </c>
      <c r="W33" s="487">
        <f t="shared" si="7"/>
        <v>0</v>
      </c>
      <c r="X33" s="474">
        <f t="shared" si="17"/>
        <v>0</v>
      </c>
      <c r="Y33" s="477">
        <f t="shared" si="9"/>
        <v>0</v>
      </c>
      <c r="Z33" s="478">
        <f t="shared" si="10"/>
        <v>0</v>
      </c>
      <c r="AA33" s="478">
        <f t="shared" si="11"/>
        <v>0</v>
      </c>
      <c r="AB33" s="478">
        <f t="shared" si="18"/>
        <v>0</v>
      </c>
      <c r="AC33" s="488" t="e">
        <f t="shared" si="13"/>
        <v>#DIV/0!</v>
      </c>
      <c r="AD33" s="474" t="e">
        <f t="shared" si="14"/>
        <v>#DIV/0!</v>
      </c>
      <c r="AE33" s="475" t="e">
        <f t="shared" si="15"/>
        <v>#DIV/0!</v>
      </c>
    </row>
    <row r="34" spans="1:31">
      <c r="A34" s="435">
        <f>'SQ-1'!A34</f>
        <v>43981</v>
      </c>
      <c r="B34" s="518"/>
      <c r="C34" s="464">
        <f t="shared" si="0"/>
        <v>0</v>
      </c>
      <c r="D34" s="3"/>
      <c r="E34" s="3"/>
      <c r="F34" s="3"/>
      <c r="G34" s="3"/>
      <c r="H34" s="6" t="e">
        <f t="shared" si="1"/>
        <v>#DIV/0!</v>
      </c>
      <c r="I34" s="518"/>
      <c r="J34" s="464">
        <f t="shared" si="2"/>
        <v>0</v>
      </c>
      <c r="K34" s="3"/>
      <c r="L34" s="3"/>
      <c r="M34" s="3"/>
      <c r="N34" s="3"/>
      <c r="O34" s="6" t="e">
        <f t="shared" si="3"/>
        <v>#DIV/0!</v>
      </c>
      <c r="P34" s="518"/>
      <c r="Q34" s="464">
        <f t="shared" si="4"/>
        <v>0</v>
      </c>
      <c r="R34" s="3"/>
      <c r="S34" s="3"/>
      <c r="T34" s="3"/>
      <c r="U34" s="5"/>
      <c r="V34" s="6" t="e">
        <f t="shared" si="16"/>
        <v>#DIV/0!</v>
      </c>
      <c r="W34" s="487">
        <f t="shared" si="7"/>
        <v>0</v>
      </c>
      <c r="X34" s="474">
        <f t="shared" si="17"/>
        <v>0</v>
      </c>
      <c r="Y34" s="477">
        <f t="shared" si="9"/>
        <v>0</v>
      </c>
      <c r="Z34" s="478">
        <f t="shared" si="10"/>
        <v>0</v>
      </c>
      <c r="AA34" s="478">
        <f t="shared" si="11"/>
        <v>0</v>
      </c>
      <c r="AB34" s="478">
        <f t="shared" si="18"/>
        <v>0</v>
      </c>
      <c r="AC34" s="488" t="e">
        <f t="shared" si="13"/>
        <v>#DIV/0!</v>
      </c>
      <c r="AD34" s="474" t="e">
        <f t="shared" si="14"/>
        <v>#DIV/0!</v>
      </c>
      <c r="AE34" s="475" t="e">
        <f t="shared" si="15"/>
        <v>#DIV/0!</v>
      </c>
    </row>
    <row r="35" spans="1:31" ht="15.75" thickBot="1">
      <c r="A35" s="435">
        <f>'SQ-1'!A35</f>
        <v>43982</v>
      </c>
      <c r="B35" s="519"/>
      <c r="C35" s="524">
        <f t="shared" si="0"/>
        <v>0</v>
      </c>
      <c r="D35" s="463"/>
      <c r="E35" s="463"/>
      <c r="F35" s="463"/>
      <c r="G35" s="463"/>
      <c r="H35" s="452" t="e">
        <f t="shared" si="1"/>
        <v>#DIV/0!</v>
      </c>
      <c r="I35" s="519"/>
      <c r="J35" s="524">
        <f t="shared" si="2"/>
        <v>0</v>
      </c>
      <c r="K35" s="463"/>
      <c r="L35" s="463"/>
      <c r="M35" s="463"/>
      <c r="N35" s="463"/>
      <c r="O35" s="452" t="e">
        <f t="shared" si="3"/>
        <v>#DIV/0!</v>
      </c>
      <c r="P35" s="521"/>
      <c r="Q35" s="524">
        <f t="shared" si="4"/>
        <v>0</v>
      </c>
      <c r="R35" s="4"/>
      <c r="S35" s="4"/>
      <c r="T35" s="4"/>
      <c r="U35" s="4"/>
      <c r="V35" s="452" t="e">
        <f t="shared" si="16"/>
        <v>#DIV/0!</v>
      </c>
      <c r="W35" s="489">
        <f t="shared" si="7"/>
        <v>0</v>
      </c>
      <c r="X35" s="490">
        <f t="shared" si="17"/>
        <v>0</v>
      </c>
      <c r="Y35" s="491">
        <f t="shared" si="9"/>
        <v>0</v>
      </c>
      <c r="Z35" s="492">
        <f t="shared" si="10"/>
        <v>0</v>
      </c>
      <c r="AA35" s="492">
        <f t="shared" si="11"/>
        <v>0</v>
      </c>
      <c r="AB35" s="492">
        <f t="shared" si="18"/>
        <v>0</v>
      </c>
      <c r="AC35" s="493" t="e">
        <f t="shared" si="13"/>
        <v>#DIV/0!</v>
      </c>
      <c r="AD35" s="474" t="e">
        <f t="shared" si="14"/>
        <v>#DIV/0!</v>
      </c>
      <c r="AE35" s="475" t="e">
        <f t="shared" si="15"/>
        <v>#DIV/0!</v>
      </c>
    </row>
    <row r="36" spans="1:31" ht="20.100000000000001" customHeight="1" thickBot="1">
      <c r="A36" s="2" t="s">
        <v>3</v>
      </c>
      <c r="B36" s="523">
        <f>SUM(B5:B35)</f>
        <v>0</v>
      </c>
      <c r="C36" s="523">
        <f>SUM(C5:C35)</f>
        <v>0</v>
      </c>
      <c r="D36" s="433">
        <f>SUM(D5:D35)</f>
        <v>0</v>
      </c>
      <c r="E36" s="433">
        <f>SUM(E5:E35)</f>
        <v>0</v>
      </c>
      <c r="F36" s="433">
        <f t="shared" ref="F36:AB36" si="19">SUM(F5:F35)</f>
        <v>0</v>
      </c>
      <c r="G36" s="433">
        <f t="shared" si="19"/>
        <v>0</v>
      </c>
      <c r="H36" s="443" t="e">
        <f>G36/B36</f>
        <v>#DIV/0!</v>
      </c>
      <c r="I36" s="523">
        <f>SUM(I5:I35)</f>
        <v>0</v>
      </c>
      <c r="J36" s="8">
        <f t="shared" si="19"/>
        <v>0</v>
      </c>
      <c r="K36" s="433">
        <f>SUM(K5:K35)</f>
        <v>0</v>
      </c>
      <c r="L36" s="7">
        <f>SUM(L5:L35)</f>
        <v>0</v>
      </c>
      <c r="M36" s="7">
        <f t="shared" si="19"/>
        <v>0</v>
      </c>
      <c r="N36" s="7">
        <f t="shared" si="19"/>
        <v>0</v>
      </c>
      <c r="O36" s="454" t="e">
        <f>N36/I36</f>
        <v>#DIV/0!</v>
      </c>
      <c r="P36" s="523">
        <f>SUM(P5:P35)</f>
        <v>0</v>
      </c>
      <c r="Q36" s="8">
        <f t="shared" si="19"/>
        <v>0</v>
      </c>
      <c r="R36" s="433">
        <f>SUM(R5:R35)</f>
        <v>0</v>
      </c>
      <c r="S36" s="7">
        <f>SUM(S5:S35)</f>
        <v>0</v>
      </c>
      <c r="T36" s="7">
        <f t="shared" si="19"/>
        <v>0</v>
      </c>
      <c r="U36" s="7">
        <f t="shared" si="19"/>
        <v>0</v>
      </c>
      <c r="V36" s="7" t="e">
        <f>U36/P36</f>
        <v>#DIV/0!</v>
      </c>
      <c r="W36" s="460">
        <f>SUM(W5:W35)</f>
        <v>0</v>
      </c>
      <c r="X36" s="446">
        <f t="shared" si="19"/>
        <v>0</v>
      </c>
      <c r="Y36" s="448">
        <f>SUM(Y5:Y35)</f>
        <v>0</v>
      </c>
      <c r="Z36" s="450">
        <f>SUM(Z5:Z35)</f>
        <v>0</v>
      </c>
      <c r="AA36" s="446">
        <f t="shared" si="19"/>
        <v>0</v>
      </c>
      <c r="AB36" s="446">
        <f t="shared" si="19"/>
        <v>0</v>
      </c>
      <c r="AC36" s="446" t="e">
        <f>AB36/W36</f>
        <v>#DIV/0!</v>
      </c>
      <c r="AD36" s="455"/>
      <c r="AE36" s="468" t="e">
        <f>AA36/Z36</f>
        <v>#DIV/0!</v>
      </c>
    </row>
  </sheetData>
  <mergeCells count="36">
    <mergeCell ref="AD3:AD4"/>
    <mergeCell ref="AE3:AE4"/>
    <mergeCell ref="E3:E4"/>
    <mergeCell ref="D3:D4"/>
    <mergeCell ref="AC3:AC4"/>
    <mergeCell ref="I3:I4"/>
    <mergeCell ref="L3:L4"/>
    <mergeCell ref="Z3:Z4"/>
    <mergeCell ref="X3:X4"/>
    <mergeCell ref="W2:AC2"/>
    <mergeCell ref="K3:K4"/>
    <mergeCell ref="P3:P4"/>
    <mergeCell ref="R3:R4"/>
    <mergeCell ref="W3:W4"/>
    <mergeCell ref="Y3:Y4"/>
    <mergeCell ref="S3:S4"/>
    <mergeCell ref="AA3:AA4"/>
    <mergeCell ref="P2:V2"/>
    <mergeCell ref="T3:T4"/>
    <mergeCell ref="AB3:AB4"/>
    <mergeCell ref="A1:V1"/>
    <mergeCell ref="V3:V4"/>
    <mergeCell ref="A2:A4"/>
    <mergeCell ref="C3:C4"/>
    <mergeCell ref="F3:F4"/>
    <mergeCell ref="G3:G4"/>
    <mergeCell ref="H3:H4"/>
    <mergeCell ref="J3:J4"/>
    <mergeCell ref="M3:M4"/>
    <mergeCell ref="N3:N4"/>
    <mergeCell ref="O3:O4"/>
    <mergeCell ref="Q3:Q4"/>
    <mergeCell ref="U3:U4"/>
    <mergeCell ref="B2:H2"/>
    <mergeCell ref="B3:B4"/>
    <mergeCell ref="I2:O2"/>
  </mergeCells>
  <conditionalFormatting sqref="B34:B35">
    <cfRule type="expression" dxfId="215" priority="53" stopIfTrue="1">
      <formula>$C34="*"</formula>
    </cfRule>
    <cfRule type="expression" dxfId="214" priority="54" stopIfTrue="1">
      <formula>$C34="-"</formula>
    </cfRule>
  </conditionalFormatting>
  <conditionalFormatting sqref="P34:P35">
    <cfRule type="expression" dxfId="213" priority="51" stopIfTrue="1">
      <formula>$C34="*"</formula>
    </cfRule>
    <cfRule type="expression" dxfId="212" priority="52" stopIfTrue="1">
      <formula>$C34="-"</formula>
    </cfRule>
  </conditionalFormatting>
  <conditionalFormatting sqref="I34:I35">
    <cfRule type="expression" dxfId="211" priority="49" stopIfTrue="1">
      <formula>$C34="*"</formula>
    </cfRule>
    <cfRule type="expression" dxfId="210" priority="50" stopIfTrue="1">
      <formula>$C34="-"</formula>
    </cfRule>
  </conditionalFormatting>
  <conditionalFormatting sqref="P31:P33">
    <cfRule type="expression" dxfId="209" priority="47" stopIfTrue="1">
      <formula>$C31="*"</formula>
    </cfRule>
    <cfRule type="expression" dxfId="208" priority="48" stopIfTrue="1">
      <formula>$C31="-"</formula>
    </cfRule>
  </conditionalFormatting>
  <conditionalFormatting sqref="B31:B33">
    <cfRule type="expression" dxfId="207" priority="45" stopIfTrue="1">
      <formula>$C31="*"</formula>
    </cfRule>
    <cfRule type="expression" dxfId="206" priority="46" stopIfTrue="1">
      <formula>$C31="-"</formula>
    </cfRule>
  </conditionalFormatting>
  <conditionalFormatting sqref="I31:I33">
    <cfRule type="expression" dxfId="205" priority="43" stopIfTrue="1">
      <formula>$C31="*"</formula>
    </cfRule>
    <cfRule type="expression" dxfId="204" priority="44" stopIfTrue="1">
      <formula>$C31="-"</formula>
    </cfRule>
  </conditionalFormatting>
  <conditionalFormatting sqref="I25:I30">
    <cfRule type="expression" dxfId="203" priority="41" stopIfTrue="1">
      <formula>$C25="*"</formula>
    </cfRule>
    <cfRule type="expression" dxfId="202" priority="42" stopIfTrue="1">
      <formula>$C25="-"</formula>
    </cfRule>
  </conditionalFormatting>
  <conditionalFormatting sqref="P25:P30">
    <cfRule type="expression" dxfId="201" priority="39" stopIfTrue="1">
      <formula>$C25="*"</formula>
    </cfRule>
    <cfRule type="expression" dxfId="200" priority="40" stopIfTrue="1">
      <formula>$C25="-"</formula>
    </cfRule>
  </conditionalFormatting>
  <conditionalFormatting sqref="B25:B30">
    <cfRule type="expression" dxfId="199" priority="37" stopIfTrue="1">
      <formula>$C25="*"</formula>
    </cfRule>
    <cfRule type="expression" dxfId="198" priority="38" stopIfTrue="1">
      <formula>$C25="-"</formula>
    </cfRule>
  </conditionalFormatting>
  <conditionalFormatting sqref="I23:I24">
    <cfRule type="expression" dxfId="197" priority="35" stopIfTrue="1">
      <formula>$C23="*"</formula>
    </cfRule>
    <cfRule type="expression" dxfId="196" priority="36" stopIfTrue="1">
      <formula>$C23="-"</formula>
    </cfRule>
  </conditionalFormatting>
  <conditionalFormatting sqref="P23:P24">
    <cfRule type="expression" dxfId="195" priority="33" stopIfTrue="1">
      <formula>$C23="*"</formula>
    </cfRule>
    <cfRule type="expression" dxfId="194" priority="34" stopIfTrue="1">
      <formula>$C23="-"</formula>
    </cfRule>
  </conditionalFormatting>
  <conditionalFormatting sqref="B23:B24">
    <cfRule type="expression" dxfId="193" priority="31" stopIfTrue="1">
      <formula>$C23="*"</formula>
    </cfRule>
    <cfRule type="expression" dxfId="192" priority="32" stopIfTrue="1">
      <formula>$C23="-"</formula>
    </cfRule>
  </conditionalFormatting>
  <conditionalFormatting sqref="I15:I22">
    <cfRule type="expression" dxfId="191" priority="29" stopIfTrue="1">
      <formula>$C15="*"</formula>
    </cfRule>
    <cfRule type="expression" dxfId="190" priority="30" stopIfTrue="1">
      <formula>$C15="-"</formula>
    </cfRule>
  </conditionalFormatting>
  <conditionalFormatting sqref="P15:P22">
    <cfRule type="expression" dxfId="189" priority="27" stopIfTrue="1">
      <formula>$C15="*"</formula>
    </cfRule>
    <cfRule type="expression" dxfId="188" priority="28" stopIfTrue="1">
      <formula>$C15="-"</formula>
    </cfRule>
  </conditionalFormatting>
  <conditionalFormatting sqref="B15:B22">
    <cfRule type="expression" dxfId="187" priority="25" stopIfTrue="1">
      <formula>$C15="*"</formula>
    </cfRule>
    <cfRule type="expression" dxfId="186" priority="26" stopIfTrue="1">
      <formula>$C15="-"</formula>
    </cfRule>
  </conditionalFormatting>
  <conditionalFormatting sqref="I13:I14">
    <cfRule type="expression" dxfId="185" priority="23" stopIfTrue="1">
      <formula>$C13="*"</formula>
    </cfRule>
    <cfRule type="expression" dxfId="184" priority="24" stopIfTrue="1">
      <formula>$C13="-"</formula>
    </cfRule>
  </conditionalFormatting>
  <conditionalFormatting sqref="P14">
    <cfRule type="expression" dxfId="183" priority="21" stopIfTrue="1">
      <formula>$C14="*"</formula>
    </cfRule>
    <cfRule type="expression" dxfId="182" priority="22" stopIfTrue="1">
      <formula>$C14="-"</formula>
    </cfRule>
  </conditionalFormatting>
  <conditionalFormatting sqref="B13:B14">
    <cfRule type="expression" dxfId="181" priority="19" stopIfTrue="1">
      <formula>$C13="*"</formula>
    </cfRule>
    <cfRule type="expression" dxfId="180" priority="20" stopIfTrue="1">
      <formula>$C13="-"</formula>
    </cfRule>
  </conditionalFormatting>
  <conditionalFormatting sqref="I5 I8">
    <cfRule type="expression" dxfId="179" priority="17" stopIfTrue="1">
      <formula>$C5="*"</formula>
    </cfRule>
    <cfRule type="expression" dxfId="178" priority="18" stopIfTrue="1">
      <formula>$C5="-"</formula>
    </cfRule>
  </conditionalFormatting>
  <conditionalFormatting sqref="P5:P13">
    <cfRule type="expression" dxfId="177" priority="15" stopIfTrue="1">
      <formula>$C5="*"</formula>
    </cfRule>
    <cfRule type="expression" dxfId="176" priority="16" stopIfTrue="1">
      <formula>$C5="-"</formula>
    </cfRule>
  </conditionalFormatting>
  <conditionalFormatting sqref="B5 B7:B8">
    <cfRule type="expression" dxfId="175" priority="13" stopIfTrue="1">
      <formula>$C5="*"</formula>
    </cfRule>
    <cfRule type="expression" dxfId="174" priority="14" stopIfTrue="1">
      <formula>$C5="-"</formula>
    </cfRule>
  </conditionalFormatting>
  <conditionalFormatting sqref="I9:I12">
    <cfRule type="expression" dxfId="173" priority="11" stopIfTrue="1">
      <formula>$C9="*"</formula>
    </cfRule>
    <cfRule type="expression" dxfId="172" priority="12" stopIfTrue="1">
      <formula>$C9="-"</formula>
    </cfRule>
  </conditionalFormatting>
  <conditionalFormatting sqref="B9:B12">
    <cfRule type="expression" dxfId="171" priority="7" stopIfTrue="1">
      <formula>$C9="*"</formula>
    </cfRule>
    <cfRule type="expression" dxfId="170" priority="8" stopIfTrue="1">
      <formula>$C9="-"</formula>
    </cfRule>
  </conditionalFormatting>
  <conditionalFormatting sqref="I6">
    <cfRule type="expression" dxfId="169" priority="5" stopIfTrue="1">
      <formula>$C6="*"</formula>
    </cfRule>
    <cfRule type="expression" dxfId="168" priority="6" stopIfTrue="1">
      <formula>$C6="-"</formula>
    </cfRule>
  </conditionalFormatting>
  <conditionalFormatting sqref="B6">
    <cfRule type="expression" dxfId="167" priority="3" stopIfTrue="1">
      <formula>$C6="*"</formula>
    </cfRule>
    <cfRule type="expression" dxfId="166" priority="4" stopIfTrue="1">
      <formula>$C6="-"</formula>
    </cfRule>
  </conditionalFormatting>
  <conditionalFormatting sqref="I7">
    <cfRule type="expression" dxfId="165" priority="1" stopIfTrue="1">
      <formula>$C7="*"</formula>
    </cfRule>
    <cfRule type="expression" dxfId="164" priority="2" stopIfTrue="1">
      <formula>$C7="-"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1"/>
  </sheetPr>
  <dimension ref="A1:AE36"/>
  <sheetViews>
    <sheetView topLeftCell="I1" zoomScale="70" zoomScaleNormal="70" workbookViewId="0">
      <pane ySplit="4" topLeftCell="A5" activePane="bottomLeft" state="frozen"/>
      <selection activeCell="E18" sqref="E18"/>
      <selection pane="bottomLeft" activeCell="A5" sqref="A5"/>
    </sheetView>
  </sheetViews>
  <sheetFormatPr defaultRowHeight="15"/>
  <cols>
    <col min="1" max="1" width="10.7109375" style="1" bestFit="1" customWidth="1"/>
    <col min="2" max="2" width="10.7109375" style="1" customWidth="1"/>
    <col min="3" max="5" width="10.140625" style="1" customWidth="1"/>
    <col min="6" max="6" width="9.7109375" style="1" bestFit="1" customWidth="1"/>
    <col min="7" max="7" width="11.140625" style="1" customWidth="1"/>
    <col min="8" max="8" width="10.5703125" style="1" customWidth="1"/>
    <col min="9" max="9" width="9.140625" style="1" customWidth="1"/>
    <col min="10" max="12" width="10.140625" style="1" customWidth="1"/>
    <col min="13" max="13" width="10.7109375" style="1" customWidth="1"/>
    <col min="14" max="14" width="11.140625" style="1" customWidth="1"/>
    <col min="15" max="16" width="9.140625" style="1" customWidth="1"/>
    <col min="17" max="19" width="10.140625" style="1" customWidth="1"/>
    <col min="20" max="20" width="9.140625" style="1"/>
    <col min="21" max="21" width="11.85546875" style="1" customWidth="1"/>
    <col min="22" max="23" width="9.140625" style="1" customWidth="1"/>
    <col min="24" max="25" width="9.140625" style="10"/>
    <col min="26" max="26" width="11.7109375" style="10" customWidth="1"/>
    <col min="27" max="28" width="9.5703125" style="10" bestFit="1" customWidth="1"/>
    <col min="29" max="30" width="9.140625" style="10"/>
    <col min="31" max="31" width="14.85546875" customWidth="1"/>
  </cols>
  <sheetData>
    <row r="1" spans="1:31" ht="21.75" thickBot="1">
      <c r="A1" s="593" t="s">
        <v>10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444"/>
      <c r="X1" s="9"/>
      <c r="Y1" s="9"/>
      <c r="Z1" s="9"/>
      <c r="AA1" s="9"/>
      <c r="AB1" s="9"/>
      <c r="AC1" s="9"/>
      <c r="AD1" s="9"/>
    </row>
    <row r="2" spans="1:31" ht="15.75" thickBot="1">
      <c r="A2" s="585" t="s">
        <v>0</v>
      </c>
      <c r="B2" s="567" t="s">
        <v>207</v>
      </c>
      <c r="C2" s="568"/>
      <c r="D2" s="568"/>
      <c r="E2" s="568"/>
      <c r="F2" s="568"/>
      <c r="G2" s="568"/>
      <c r="H2" s="569"/>
      <c r="I2" s="567" t="s">
        <v>208</v>
      </c>
      <c r="J2" s="568"/>
      <c r="K2" s="568"/>
      <c r="L2" s="568"/>
      <c r="M2" s="568"/>
      <c r="N2" s="568"/>
      <c r="O2" s="569"/>
      <c r="P2" s="567" t="s">
        <v>209</v>
      </c>
      <c r="Q2" s="568"/>
      <c r="R2" s="568"/>
      <c r="S2" s="568"/>
      <c r="T2" s="568"/>
      <c r="U2" s="568"/>
      <c r="V2" s="569"/>
      <c r="W2" s="572" t="s">
        <v>3</v>
      </c>
      <c r="X2" s="573"/>
      <c r="Y2" s="573"/>
      <c r="Z2" s="573"/>
      <c r="AA2" s="573"/>
      <c r="AB2" s="573"/>
      <c r="AC2" s="599"/>
      <c r="AD2" s="484"/>
    </row>
    <row r="3" spans="1:31" ht="15" customHeight="1">
      <c r="A3" s="596"/>
      <c r="B3" s="582" t="s">
        <v>203</v>
      </c>
      <c r="C3" s="579" t="s">
        <v>204</v>
      </c>
      <c r="D3" s="583" t="s">
        <v>205</v>
      </c>
      <c r="E3" s="598" t="s">
        <v>199</v>
      </c>
      <c r="F3" s="587" t="s">
        <v>202</v>
      </c>
      <c r="G3" s="587" t="s">
        <v>1</v>
      </c>
      <c r="H3" s="587" t="s">
        <v>2</v>
      </c>
      <c r="I3" s="582" t="s">
        <v>203</v>
      </c>
      <c r="J3" s="579" t="s">
        <v>204</v>
      </c>
      <c r="K3" s="583" t="s">
        <v>205</v>
      </c>
      <c r="L3" s="577" t="s">
        <v>199</v>
      </c>
      <c r="M3" s="587" t="s">
        <v>200</v>
      </c>
      <c r="N3" s="587" t="s">
        <v>1</v>
      </c>
      <c r="O3" s="587" t="s">
        <v>2</v>
      </c>
      <c r="P3" s="582" t="s">
        <v>203</v>
      </c>
      <c r="Q3" s="579" t="s">
        <v>204</v>
      </c>
      <c r="R3" s="583" t="s">
        <v>205</v>
      </c>
      <c r="S3" s="579" t="s">
        <v>199</v>
      </c>
      <c r="T3" s="580" t="s">
        <v>200</v>
      </c>
      <c r="U3" s="580" t="s">
        <v>1</v>
      </c>
      <c r="V3" s="594" t="s">
        <v>2</v>
      </c>
      <c r="W3" s="582" t="s">
        <v>203</v>
      </c>
      <c r="X3" s="579" t="s">
        <v>204</v>
      </c>
      <c r="Y3" s="583" t="s">
        <v>205</v>
      </c>
      <c r="Z3" s="577" t="s">
        <v>199</v>
      </c>
      <c r="AA3" s="587" t="s">
        <v>200</v>
      </c>
      <c r="AB3" s="600" t="s">
        <v>1</v>
      </c>
      <c r="AC3" s="585" t="s">
        <v>2</v>
      </c>
      <c r="AD3" s="602" t="s">
        <v>13</v>
      </c>
      <c r="AE3" s="604" t="s">
        <v>218</v>
      </c>
    </row>
    <row r="4" spans="1:31" ht="15.75" thickBot="1">
      <c r="A4" s="586"/>
      <c r="B4" s="566"/>
      <c r="C4" s="571"/>
      <c r="D4" s="584"/>
      <c r="E4" s="576"/>
      <c r="F4" s="588"/>
      <c r="G4" s="588"/>
      <c r="H4" s="588"/>
      <c r="I4" s="566"/>
      <c r="J4" s="571"/>
      <c r="K4" s="584"/>
      <c r="L4" s="578"/>
      <c r="M4" s="588"/>
      <c r="N4" s="588"/>
      <c r="O4" s="588"/>
      <c r="P4" s="566"/>
      <c r="Q4" s="571"/>
      <c r="R4" s="584"/>
      <c r="S4" s="571"/>
      <c r="T4" s="581"/>
      <c r="U4" s="581"/>
      <c r="V4" s="595"/>
      <c r="W4" s="566"/>
      <c r="X4" s="571"/>
      <c r="Y4" s="584"/>
      <c r="Z4" s="578"/>
      <c r="AA4" s="588"/>
      <c r="AB4" s="601"/>
      <c r="AC4" s="586"/>
      <c r="AD4" s="603"/>
      <c r="AE4" s="605"/>
    </row>
    <row r="5" spans="1:31">
      <c r="A5" s="435">
        <f>'SQ-1'!A5</f>
        <v>43952</v>
      </c>
      <c r="B5" s="518"/>
      <c r="C5" s="464">
        <f t="shared" ref="C5:C35" si="0">B5-(D5/60)</f>
        <v>0</v>
      </c>
      <c r="D5" s="5"/>
      <c r="E5" s="3"/>
      <c r="F5" s="434"/>
      <c r="G5" s="5"/>
      <c r="H5" s="6" t="e">
        <f t="shared" ref="H5:H35" si="1">G5/B5</f>
        <v>#DIV/0!</v>
      </c>
      <c r="I5" s="518"/>
      <c r="J5" s="464">
        <f t="shared" ref="J5:J35" si="2">I5-(K5/60)</f>
        <v>0</v>
      </c>
      <c r="K5" s="3"/>
      <c r="L5" s="3"/>
      <c r="M5" s="3"/>
      <c r="N5" s="5"/>
      <c r="O5" s="6" t="e">
        <f t="shared" ref="O5:O35" si="3">N5/I5</f>
        <v>#DIV/0!</v>
      </c>
      <c r="P5" s="518"/>
      <c r="Q5" s="464">
        <f t="shared" ref="Q5:Q35" si="4">P5-(R5/60)</f>
        <v>0</v>
      </c>
      <c r="R5" s="3"/>
      <c r="S5" s="3"/>
      <c r="T5" s="3"/>
      <c r="U5" s="5"/>
      <c r="V5" s="6" t="e">
        <f t="shared" ref="V5:V24" si="5">U5/P5</f>
        <v>#DIV/0!</v>
      </c>
      <c r="W5" s="470">
        <f t="shared" ref="W5:AB5" si="6">B5+I5+P5</f>
        <v>0</v>
      </c>
      <c r="X5" s="471">
        <f t="shared" si="6"/>
        <v>0</v>
      </c>
      <c r="Y5" s="472">
        <f t="shared" si="6"/>
        <v>0</v>
      </c>
      <c r="Z5" s="471">
        <f t="shared" si="6"/>
        <v>0</v>
      </c>
      <c r="AA5" s="485">
        <f t="shared" si="6"/>
        <v>0</v>
      </c>
      <c r="AB5" s="473">
        <f t="shared" si="6"/>
        <v>0</v>
      </c>
      <c r="AC5" s="473" t="e">
        <f>AB5/W5</f>
        <v>#DIV/0!</v>
      </c>
      <c r="AD5" s="471" t="e">
        <f>(AA5/1000)/W5</f>
        <v>#DIV/0!</v>
      </c>
      <c r="AE5" s="475" t="e">
        <f>AA5/Z5</f>
        <v>#DIV/0!</v>
      </c>
    </row>
    <row r="6" spans="1:31">
      <c r="A6" s="435">
        <f>'SQ-1'!A6</f>
        <v>43953</v>
      </c>
      <c r="B6" s="518"/>
      <c r="C6" s="464">
        <f t="shared" si="0"/>
        <v>0</v>
      </c>
      <c r="D6" s="5"/>
      <c r="E6" s="3"/>
      <c r="F6" s="434"/>
      <c r="G6" s="5"/>
      <c r="H6" s="6" t="e">
        <f t="shared" si="1"/>
        <v>#DIV/0!</v>
      </c>
      <c r="I6" s="518"/>
      <c r="J6" s="464">
        <f t="shared" si="2"/>
        <v>0</v>
      </c>
      <c r="K6" s="5"/>
      <c r="L6" s="3"/>
      <c r="M6" s="434"/>
      <c r="N6" s="5"/>
      <c r="O6" s="6" t="e">
        <f t="shared" si="3"/>
        <v>#DIV/0!</v>
      </c>
      <c r="P6" s="518"/>
      <c r="Q6" s="464">
        <f t="shared" si="4"/>
        <v>0</v>
      </c>
      <c r="R6" s="3"/>
      <c r="S6" s="3"/>
      <c r="T6" s="3"/>
      <c r="U6" s="5"/>
      <c r="V6" s="6" t="e">
        <f t="shared" si="5"/>
        <v>#DIV/0!</v>
      </c>
      <c r="W6" s="476">
        <f t="shared" ref="W6:W35" si="7">B6+I6+P6</f>
        <v>0</v>
      </c>
      <c r="X6" s="474">
        <f t="shared" ref="X6:X26" si="8">C6+J6+Q6</f>
        <v>0</v>
      </c>
      <c r="Y6" s="477">
        <f t="shared" ref="Y6:Y35" si="9">D6+K6+R6</f>
        <v>0</v>
      </c>
      <c r="Z6" s="474">
        <f t="shared" ref="Z6:Z35" si="10">E6+L6+S6</f>
        <v>0</v>
      </c>
      <c r="AA6" s="486">
        <f t="shared" ref="AA6:AA35" si="11">F6+M6+T6</f>
        <v>0</v>
      </c>
      <c r="AB6" s="478">
        <f t="shared" ref="AB6:AB25" si="12">G6+N6+U6</f>
        <v>0</v>
      </c>
      <c r="AC6" s="478" t="e">
        <f t="shared" ref="AC6:AC35" si="13">AB6/W6</f>
        <v>#DIV/0!</v>
      </c>
      <c r="AD6" s="474" t="e">
        <f t="shared" ref="AD6:AD35" si="14">(AA6/1000)/W6</f>
        <v>#DIV/0!</v>
      </c>
      <c r="AE6" s="475" t="e">
        <f t="shared" ref="AE6:AE35" si="15">AA6/Z6</f>
        <v>#DIV/0!</v>
      </c>
    </row>
    <row r="7" spans="1:31">
      <c r="A7" s="435">
        <f>'SQ-1'!A7</f>
        <v>43954</v>
      </c>
      <c r="B7" s="518"/>
      <c r="C7" s="464">
        <f t="shared" si="0"/>
        <v>0</v>
      </c>
      <c r="D7" s="5"/>
      <c r="E7" s="3"/>
      <c r="F7" s="434"/>
      <c r="G7" s="5"/>
      <c r="H7" s="6" t="e">
        <f t="shared" si="1"/>
        <v>#DIV/0!</v>
      </c>
      <c r="I7" s="518"/>
      <c r="J7" s="464">
        <f t="shared" si="2"/>
        <v>0</v>
      </c>
      <c r="K7" s="5"/>
      <c r="L7" s="3"/>
      <c r="M7" s="434"/>
      <c r="N7" s="5"/>
      <c r="O7" s="6" t="e">
        <f t="shared" si="3"/>
        <v>#DIV/0!</v>
      </c>
      <c r="P7" s="518"/>
      <c r="Q7" s="464">
        <f t="shared" si="4"/>
        <v>0</v>
      </c>
      <c r="R7" s="3"/>
      <c r="S7" s="3"/>
      <c r="T7" s="3"/>
      <c r="U7" s="5"/>
      <c r="V7" s="6" t="e">
        <f t="shared" si="5"/>
        <v>#DIV/0!</v>
      </c>
      <c r="W7" s="476">
        <f t="shared" si="7"/>
        <v>0</v>
      </c>
      <c r="X7" s="474">
        <f t="shared" si="8"/>
        <v>0</v>
      </c>
      <c r="Y7" s="477">
        <f t="shared" si="9"/>
        <v>0</v>
      </c>
      <c r="Z7" s="474">
        <f t="shared" si="10"/>
        <v>0</v>
      </c>
      <c r="AA7" s="486">
        <f t="shared" si="11"/>
        <v>0</v>
      </c>
      <c r="AB7" s="478">
        <f t="shared" si="12"/>
        <v>0</v>
      </c>
      <c r="AC7" s="478" t="e">
        <f t="shared" si="13"/>
        <v>#DIV/0!</v>
      </c>
      <c r="AD7" s="474" t="e">
        <f t="shared" si="14"/>
        <v>#DIV/0!</v>
      </c>
      <c r="AE7" s="475" t="e">
        <f t="shared" si="15"/>
        <v>#DIV/0!</v>
      </c>
    </row>
    <row r="8" spans="1:31">
      <c r="A8" s="435">
        <f>'SQ-1'!A8</f>
        <v>43955</v>
      </c>
      <c r="B8" s="518"/>
      <c r="C8" s="464">
        <f t="shared" si="0"/>
        <v>0</v>
      </c>
      <c r="D8" s="5"/>
      <c r="E8" s="3"/>
      <c r="F8" s="434"/>
      <c r="G8" s="5"/>
      <c r="H8" s="6" t="e">
        <f t="shared" si="1"/>
        <v>#DIV/0!</v>
      </c>
      <c r="I8" s="518"/>
      <c r="J8" s="464">
        <f t="shared" si="2"/>
        <v>0</v>
      </c>
      <c r="K8" s="3"/>
      <c r="L8" s="3"/>
      <c r="M8" s="3"/>
      <c r="N8" s="5"/>
      <c r="O8" s="6" t="e">
        <f t="shared" si="3"/>
        <v>#DIV/0!</v>
      </c>
      <c r="P8" s="518"/>
      <c r="Q8" s="464">
        <f t="shared" si="4"/>
        <v>0</v>
      </c>
      <c r="R8" s="3"/>
      <c r="S8" s="3"/>
      <c r="T8" s="3"/>
      <c r="U8" s="5"/>
      <c r="V8" s="6" t="e">
        <f t="shared" si="5"/>
        <v>#DIV/0!</v>
      </c>
      <c r="W8" s="476">
        <f t="shared" si="7"/>
        <v>0</v>
      </c>
      <c r="X8" s="474">
        <f t="shared" si="8"/>
        <v>0</v>
      </c>
      <c r="Y8" s="477">
        <f t="shared" si="9"/>
        <v>0</v>
      </c>
      <c r="Z8" s="474">
        <f t="shared" si="10"/>
        <v>0</v>
      </c>
      <c r="AA8" s="486">
        <f t="shared" si="11"/>
        <v>0</v>
      </c>
      <c r="AB8" s="478">
        <f t="shared" si="12"/>
        <v>0</v>
      </c>
      <c r="AC8" s="478" t="e">
        <f t="shared" si="13"/>
        <v>#DIV/0!</v>
      </c>
      <c r="AD8" s="474" t="e">
        <f t="shared" si="14"/>
        <v>#DIV/0!</v>
      </c>
      <c r="AE8" s="475" t="e">
        <f t="shared" si="15"/>
        <v>#DIV/0!</v>
      </c>
    </row>
    <row r="9" spans="1:31">
      <c r="A9" s="435">
        <f>'SQ-1'!A9</f>
        <v>43956</v>
      </c>
      <c r="B9" s="518"/>
      <c r="C9" s="464">
        <f t="shared" si="0"/>
        <v>0</v>
      </c>
      <c r="D9" s="5"/>
      <c r="E9" s="3"/>
      <c r="F9" s="434"/>
      <c r="G9" s="5"/>
      <c r="H9" s="6" t="e">
        <f t="shared" si="1"/>
        <v>#DIV/0!</v>
      </c>
      <c r="I9" s="518"/>
      <c r="J9" s="464">
        <f t="shared" si="2"/>
        <v>0</v>
      </c>
      <c r="K9" s="3"/>
      <c r="L9" s="3"/>
      <c r="M9" s="3"/>
      <c r="N9" s="5"/>
      <c r="O9" s="6" t="e">
        <f t="shared" si="3"/>
        <v>#DIV/0!</v>
      </c>
      <c r="P9" s="518"/>
      <c r="Q9" s="464">
        <f t="shared" si="4"/>
        <v>0</v>
      </c>
      <c r="R9" s="3"/>
      <c r="S9" s="3"/>
      <c r="T9" s="3"/>
      <c r="U9" s="5"/>
      <c r="V9" s="6" t="e">
        <f t="shared" si="5"/>
        <v>#DIV/0!</v>
      </c>
      <c r="W9" s="476">
        <f t="shared" si="7"/>
        <v>0</v>
      </c>
      <c r="X9" s="474">
        <f t="shared" si="8"/>
        <v>0</v>
      </c>
      <c r="Y9" s="477">
        <f t="shared" si="9"/>
        <v>0</v>
      </c>
      <c r="Z9" s="474">
        <f t="shared" si="10"/>
        <v>0</v>
      </c>
      <c r="AA9" s="486">
        <f t="shared" si="11"/>
        <v>0</v>
      </c>
      <c r="AB9" s="478">
        <f t="shared" si="12"/>
        <v>0</v>
      </c>
      <c r="AC9" s="478" t="e">
        <f t="shared" si="13"/>
        <v>#DIV/0!</v>
      </c>
      <c r="AD9" s="474" t="e">
        <f t="shared" si="14"/>
        <v>#DIV/0!</v>
      </c>
      <c r="AE9" s="475" t="e">
        <f t="shared" si="15"/>
        <v>#DIV/0!</v>
      </c>
    </row>
    <row r="10" spans="1:31">
      <c r="A10" s="435">
        <f>'SQ-1'!A10</f>
        <v>43957</v>
      </c>
      <c r="B10" s="518"/>
      <c r="C10" s="464">
        <f t="shared" si="0"/>
        <v>0</v>
      </c>
      <c r="D10" s="5"/>
      <c r="E10" s="3"/>
      <c r="F10" s="434"/>
      <c r="G10" s="5"/>
      <c r="H10" s="6" t="e">
        <f t="shared" si="1"/>
        <v>#DIV/0!</v>
      </c>
      <c r="I10" s="518"/>
      <c r="J10" s="464">
        <f t="shared" si="2"/>
        <v>0</v>
      </c>
      <c r="K10" s="3"/>
      <c r="L10" s="3"/>
      <c r="M10" s="3"/>
      <c r="N10" s="5"/>
      <c r="O10" s="6" t="e">
        <f t="shared" si="3"/>
        <v>#DIV/0!</v>
      </c>
      <c r="P10" s="518"/>
      <c r="Q10" s="464">
        <f t="shared" si="4"/>
        <v>0</v>
      </c>
      <c r="R10" s="3"/>
      <c r="S10" s="3"/>
      <c r="T10" s="3"/>
      <c r="U10" s="5"/>
      <c r="V10" s="6" t="e">
        <f t="shared" si="5"/>
        <v>#DIV/0!</v>
      </c>
      <c r="W10" s="476">
        <f t="shared" si="7"/>
        <v>0</v>
      </c>
      <c r="X10" s="474">
        <f t="shared" si="8"/>
        <v>0</v>
      </c>
      <c r="Y10" s="477">
        <f t="shared" si="9"/>
        <v>0</v>
      </c>
      <c r="Z10" s="474">
        <f t="shared" si="10"/>
        <v>0</v>
      </c>
      <c r="AA10" s="486">
        <f t="shared" si="11"/>
        <v>0</v>
      </c>
      <c r="AB10" s="478">
        <f t="shared" si="12"/>
        <v>0</v>
      </c>
      <c r="AC10" s="478" t="e">
        <f t="shared" si="13"/>
        <v>#DIV/0!</v>
      </c>
      <c r="AD10" s="474" t="e">
        <f t="shared" si="14"/>
        <v>#DIV/0!</v>
      </c>
      <c r="AE10" s="475" t="e">
        <f t="shared" si="15"/>
        <v>#DIV/0!</v>
      </c>
    </row>
    <row r="11" spans="1:31">
      <c r="A11" s="435">
        <f>'SQ-1'!A11</f>
        <v>43958</v>
      </c>
      <c r="B11" s="518"/>
      <c r="C11" s="464">
        <f t="shared" si="0"/>
        <v>0</v>
      </c>
      <c r="D11" s="5"/>
      <c r="E11" s="3"/>
      <c r="F11" s="434"/>
      <c r="G11" s="5"/>
      <c r="H11" s="6" t="e">
        <f t="shared" si="1"/>
        <v>#DIV/0!</v>
      </c>
      <c r="I11" s="518"/>
      <c r="J11" s="464">
        <f t="shared" si="2"/>
        <v>0</v>
      </c>
      <c r="K11" s="3"/>
      <c r="L11" s="3"/>
      <c r="M11" s="3"/>
      <c r="N11" s="5"/>
      <c r="O11" s="6" t="e">
        <f t="shared" si="3"/>
        <v>#DIV/0!</v>
      </c>
      <c r="P11" s="518"/>
      <c r="Q11" s="464">
        <f t="shared" si="4"/>
        <v>0</v>
      </c>
      <c r="R11" s="3"/>
      <c r="S11" s="3"/>
      <c r="T11" s="3"/>
      <c r="U11" s="5"/>
      <c r="V11" s="6" t="e">
        <f t="shared" si="5"/>
        <v>#DIV/0!</v>
      </c>
      <c r="W11" s="476">
        <f t="shared" si="7"/>
        <v>0</v>
      </c>
      <c r="X11" s="474">
        <f t="shared" si="8"/>
        <v>0</v>
      </c>
      <c r="Y11" s="477">
        <f t="shared" si="9"/>
        <v>0</v>
      </c>
      <c r="Z11" s="474">
        <f t="shared" si="10"/>
        <v>0</v>
      </c>
      <c r="AA11" s="486">
        <f t="shared" si="11"/>
        <v>0</v>
      </c>
      <c r="AB11" s="478">
        <f t="shared" si="12"/>
        <v>0</v>
      </c>
      <c r="AC11" s="478" t="e">
        <f t="shared" si="13"/>
        <v>#DIV/0!</v>
      </c>
      <c r="AD11" s="474" t="e">
        <f t="shared" si="14"/>
        <v>#DIV/0!</v>
      </c>
      <c r="AE11" s="475" t="e">
        <f t="shared" si="15"/>
        <v>#DIV/0!</v>
      </c>
    </row>
    <row r="12" spans="1:31">
      <c r="A12" s="435">
        <f>'SQ-1'!A12</f>
        <v>43959</v>
      </c>
      <c r="B12" s="518"/>
      <c r="C12" s="464">
        <f t="shared" si="0"/>
        <v>0</v>
      </c>
      <c r="D12" s="5"/>
      <c r="E12" s="3"/>
      <c r="F12" s="434"/>
      <c r="G12" s="5"/>
      <c r="H12" s="6" t="e">
        <f t="shared" si="1"/>
        <v>#DIV/0!</v>
      </c>
      <c r="I12" s="518"/>
      <c r="J12" s="464">
        <f t="shared" si="2"/>
        <v>0</v>
      </c>
      <c r="K12" s="3"/>
      <c r="L12" s="3"/>
      <c r="M12" s="3"/>
      <c r="N12" s="5"/>
      <c r="O12" s="6" t="e">
        <f t="shared" si="3"/>
        <v>#DIV/0!</v>
      </c>
      <c r="P12" s="518"/>
      <c r="Q12" s="464">
        <f t="shared" si="4"/>
        <v>0</v>
      </c>
      <c r="R12" s="3"/>
      <c r="S12" s="3"/>
      <c r="T12" s="3"/>
      <c r="U12" s="5"/>
      <c r="V12" s="6" t="e">
        <f t="shared" si="5"/>
        <v>#DIV/0!</v>
      </c>
      <c r="W12" s="476">
        <f t="shared" si="7"/>
        <v>0</v>
      </c>
      <c r="X12" s="474">
        <f t="shared" si="8"/>
        <v>0</v>
      </c>
      <c r="Y12" s="477">
        <f t="shared" si="9"/>
        <v>0</v>
      </c>
      <c r="Z12" s="474">
        <f t="shared" si="10"/>
        <v>0</v>
      </c>
      <c r="AA12" s="486">
        <f t="shared" si="11"/>
        <v>0</v>
      </c>
      <c r="AB12" s="478">
        <f t="shared" si="12"/>
        <v>0</v>
      </c>
      <c r="AC12" s="478" t="e">
        <f t="shared" si="13"/>
        <v>#DIV/0!</v>
      </c>
      <c r="AD12" s="474" t="e">
        <f t="shared" si="14"/>
        <v>#DIV/0!</v>
      </c>
      <c r="AE12" s="475" t="e">
        <f t="shared" si="15"/>
        <v>#DIV/0!</v>
      </c>
    </row>
    <row r="13" spans="1:31">
      <c r="A13" s="435">
        <f>'SQ-1'!A13</f>
        <v>43960</v>
      </c>
      <c r="B13" s="518"/>
      <c r="C13" s="464">
        <f t="shared" si="0"/>
        <v>0</v>
      </c>
      <c r="D13" s="5"/>
      <c r="E13" s="3"/>
      <c r="F13" s="434"/>
      <c r="G13" s="5"/>
      <c r="H13" s="6" t="e">
        <f t="shared" si="1"/>
        <v>#DIV/0!</v>
      </c>
      <c r="I13" s="518"/>
      <c r="J13" s="464">
        <f t="shared" si="2"/>
        <v>0</v>
      </c>
      <c r="K13" s="3"/>
      <c r="L13" s="3"/>
      <c r="M13" s="3"/>
      <c r="N13" s="5"/>
      <c r="O13" s="6" t="e">
        <f t="shared" si="3"/>
        <v>#DIV/0!</v>
      </c>
      <c r="P13" s="518"/>
      <c r="Q13" s="464">
        <f t="shared" si="4"/>
        <v>0</v>
      </c>
      <c r="R13" s="3"/>
      <c r="S13" s="3"/>
      <c r="T13" s="3"/>
      <c r="U13" s="5"/>
      <c r="V13" s="6" t="e">
        <f t="shared" si="5"/>
        <v>#DIV/0!</v>
      </c>
      <c r="W13" s="476">
        <f t="shared" si="7"/>
        <v>0</v>
      </c>
      <c r="X13" s="474">
        <f t="shared" si="8"/>
        <v>0</v>
      </c>
      <c r="Y13" s="477">
        <f t="shared" si="9"/>
        <v>0</v>
      </c>
      <c r="Z13" s="474">
        <f t="shared" si="10"/>
        <v>0</v>
      </c>
      <c r="AA13" s="486">
        <f t="shared" si="11"/>
        <v>0</v>
      </c>
      <c r="AB13" s="478">
        <f t="shared" si="12"/>
        <v>0</v>
      </c>
      <c r="AC13" s="478" t="e">
        <f t="shared" si="13"/>
        <v>#DIV/0!</v>
      </c>
      <c r="AD13" s="474" t="e">
        <f t="shared" si="14"/>
        <v>#DIV/0!</v>
      </c>
      <c r="AE13" s="475" t="e">
        <f t="shared" si="15"/>
        <v>#DIV/0!</v>
      </c>
    </row>
    <row r="14" spans="1:31">
      <c r="A14" s="435">
        <f>'SQ-1'!A14</f>
        <v>43961</v>
      </c>
      <c r="B14" s="518"/>
      <c r="C14" s="464">
        <f t="shared" si="0"/>
        <v>0</v>
      </c>
      <c r="D14" s="5"/>
      <c r="E14" s="3"/>
      <c r="F14" s="434"/>
      <c r="G14" s="5"/>
      <c r="H14" s="6" t="e">
        <f t="shared" si="1"/>
        <v>#DIV/0!</v>
      </c>
      <c r="I14" s="518"/>
      <c r="J14" s="464">
        <f t="shared" si="2"/>
        <v>0</v>
      </c>
      <c r="K14" s="3"/>
      <c r="L14" s="3"/>
      <c r="M14" s="3"/>
      <c r="N14" s="5"/>
      <c r="O14" s="6" t="e">
        <f t="shared" si="3"/>
        <v>#DIV/0!</v>
      </c>
      <c r="P14" s="518"/>
      <c r="Q14" s="464">
        <f t="shared" si="4"/>
        <v>0</v>
      </c>
      <c r="R14" s="3"/>
      <c r="S14" s="3"/>
      <c r="T14" s="3"/>
      <c r="U14" s="5"/>
      <c r="V14" s="6" t="e">
        <f t="shared" si="5"/>
        <v>#DIV/0!</v>
      </c>
      <c r="W14" s="476">
        <f t="shared" si="7"/>
        <v>0</v>
      </c>
      <c r="X14" s="474">
        <f t="shared" si="8"/>
        <v>0</v>
      </c>
      <c r="Y14" s="477">
        <f t="shared" si="9"/>
        <v>0</v>
      </c>
      <c r="Z14" s="474">
        <f t="shared" si="10"/>
        <v>0</v>
      </c>
      <c r="AA14" s="486">
        <f t="shared" si="11"/>
        <v>0</v>
      </c>
      <c r="AB14" s="478">
        <f t="shared" si="12"/>
        <v>0</v>
      </c>
      <c r="AC14" s="478" t="e">
        <f t="shared" si="13"/>
        <v>#DIV/0!</v>
      </c>
      <c r="AD14" s="474" t="e">
        <f t="shared" si="14"/>
        <v>#DIV/0!</v>
      </c>
      <c r="AE14" s="475" t="e">
        <f t="shared" si="15"/>
        <v>#DIV/0!</v>
      </c>
    </row>
    <row r="15" spans="1:31">
      <c r="A15" s="435">
        <f>'SQ-1'!A15</f>
        <v>43962</v>
      </c>
      <c r="B15" s="518"/>
      <c r="C15" s="464">
        <f t="shared" si="0"/>
        <v>0</v>
      </c>
      <c r="D15" s="5"/>
      <c r="E15" s="3"/>
      <c r="F15" s="434"/>
      <c r="G15" s="5"/>
      <c r="H15" s="6" t="e">
        <f t="shared" si="1"/>
        <v>#DIV/0!</v>
      </c>
      <c r="I15" s="518"/>
      <c r="J15" s="464">
        <f t="shared" si="2"/>
        <v>0</v>
      </c>
      <c r="K15" s="3"/>
      <c r="L15" s="3"/>
      <c r="M15" s="3"/>
      <c r="N15" s="5"/>
      <c r="O15" s="6" t="e">
        <f t="shared" si="3"/>
        <v>#DIV/0!</v>
      </c>
      <c r="P15" s="518"/>
      <c r="Q15" s="464">
        <f t="shared" si="4"/>
        <v>0</v>
      </c>
      <c r="R15" s="3"/>
      <c r="S15" s="3"/>
      <c r="T15" s="3"/>
      <c r="U15" s="5"/>
      <c r="V15" s="6" t="e">
        <f t="shared" si="5"/>
        <v>#DIV/0!</v>
      </c>
      <c r="W15" s="476">
        <f t="shared" si="7"/>
        <v>0</v>
      </c>
      <c r="X15" s="474">
        <f t="shared" si="8"/>
        <v>0</v>
      </c>
      <c r="Y15" s="477">
        <f t="shared" si="9"/>
        <v>0</v>
      </c>
      <c r="Z15" s="474">
        <f t="shared" si="10"/>
        <v>0</v>
      </c>
      <c r="AA15" s="486">
        <f t="shared" si="11"/>
        <v>0</v>
      </c>
      <c r="AB15" s="478">
        <f t="shared" si="12"/>
        <v>0</v>
      </c>
      <c r="AC15" s="478" t="e">
        <f t="shared" si="13"/>
        <v>#DIV/0!</v>
      </c>
      <c r="AD15" s="474" t="e">
        <f t="shared" si="14"/>
        <v>#DIV/0!</v>
      </c>
      <c r="AE15" s="475" t="e">
        <f t="shared" si="15"/>
        <v>#DIV/0!</v>
      </c>
    </row>
    <row r="16" spans="1:31">
      <c r="A16" s="435">
        <f>'SQ-1'!A16</f>
        <v>43963</v>
      </c>
      <c r="B16" s="518"/>
      <c r="C16" s="464">
        <f t="shared" si="0"/>
        <v>0</v>
      </c>
      <c r="D16" s="5"/>
      <c r="E16" s="3"/>
      <c r="F16" s="434"/>
      <c r="G16" s="5"/>
      <c r="H16" s="6" t="e">
        <f t="shared" si="1"/>
        <v>#DIV/0!</v>
      </c>
      <c r="I16" s="518"/>
      <c r="J16" s="464">
        <f t="shared" si="2"/>
        <v>0</v>
      </c>
      <c r="K16" s="3"/>
      <c r="L16" s="3"/>
      <c r="M16" s="3"/>
      <c r="N16" s="5"/>
      <c r="O16" s="6" t="e">
        <f t="shared" si="3"/>
        <v>#DIV/0!</v>
      </c>
      <c r="P16" s="518"/>
      <c r="Q16" s="464">
        <f t="shared" si="4"/>
        <v>0</v>
      </c>
      <c r="R16" s="3"/>
      <c r="S16" s="3"/>
      <c r="T16" s="3"/>
      <c r="U16" s="5"/>
      <c r="V16" s="6" t="e">
        <f t="shared" si="5"/>
        <v>#DIV/0!</v>
      </c>
      <c r="W16" s="476">
        <f t="shared" si="7"/>
        <v>0</v>
      </c>
      <c r="X16" s="474">
        <f t="shared" si="8"/>
        <v>0</v>
      </c>
      <c r="Y16" s="477">
        <f t="shared" si="9"/>
        <v>0</v>
      </c>
      <c r="Z16" s="474">
        <f t="shared" si="10"/>
        <v>0</v>
      </c>
      <c r="AA16" s="486">
        <f t="shared" si="11"/>
        <v>0</v>
      </c>
      <c r="AB16" s="478">
        <f t="shared" si="12"/>
        <v>0</v>
      </c>
      <c r="AC16" s="478" t="e">
        <f t="shared" si="13"/>
        <v>#DIV/0!</v>
      </c>
      <c r="AD16" s="474" t="e">
        <f t="shared" si="14"/>
        <v>#DIV/0!</v>
      </c>
      <c r="AE16" s="475" t="e">
        <f t="shared" si="15"/>
        <v>#DIV/0!</v>
      </c>
    </row>
    <row r="17" spans="1:31">
      <c r="A17" s="435">
        <f>'SQ-1'!A17</f>
        <v>43964</v>
      </c>
      <c r="B17" s="518"/>
      <c r="C17" s="464">
        <f t="shared" si="0"/>
        <v>0</v>
      </c>
      <c r="D17" s="5"/>
      <c r="E17" s="3"/>
      <c r="F17" s="434"/>
      <c r="G17" s="5"/>
      <c r="H17" s="6" t="e">
        <f t="shared" si="1"/>
        <v>#DIV/0!</v>
      </c>
      <c r="I17" s="518"/>
      <c r="J17" s="464">
        <f t="shared" si="2"/>
        <v>0</v>
      </c>
      <c r="K17" s="3"/>
      <c r="L17" s="3"/>
      <c r="M17" s="3"/>
      <c r="N17" s="5"/>
      <c r="O17" s="6" t="e">
        <f t="shared" si="3"/>
        <v>#DIV/0!</v>
      </c>
      <c r="P17" s="518"/>
      <c r="Q17" s="464">
        <f t="shared" si="4"/>
        <v>0</v>
      </c>
      <c r="R17" s="3"/>
      <c r="S17" s="3"/>
      <c r="T17" s="3"/>
      <c r="U17" s="5"/>
      <c r="V17" s="6" t="e">
        <f t="shared" si="5"/>
        <v>#DIV/0!</v>
      </c>
      <c r="W17" s="476">
        <f t="shared" si="7"/>
        <v>0</v>
      </c>
      <c r="X17" s="474">
        <f t="shared" si="8"/>
        <v>0</v>
      </c>
      <c r="Y17" s="477">
        <f t="shared" si="9"/>
        <v>0</v>
      </c>
      <c r="Z17" s="474">
        <f t="shared" si="10"/>
        <v>0</v>
      </c>
      <c r="AA17" s="486">
        <f t="shared" si="11"/>
        <v>0</v>
      </c>
      <c r="AB17" s="478">
        <f t="shared" si="12"/>
        <v>0</v>
      </c>
      <c r="AC17" s="478" t="e">
        <f t="shared" si="13"/>
        <v>#DIV/0!</v>
      </c>
      <c r="AD17" s="474" t="e">
        <f t="shared" si="14"/>
        <v>#DIV/0!</v>
      </c>
      <c r="AE17" s="475" t="e">
        <f t="shared" si="15"/>
        <v>#DIV/0!</v>
      </c>
    </row>
    <row r="18" spans="1:31">
      <c r="A18" s="435">
        <f>'SQ-1'!A18</f>
        <v>43965</v>
      </c>
      <c r="B18" s="518"/>
      <c r="C18" s="464">
        <f t="shared" si="0"/>
        <v>0</v>
      </c>
      <c r="D18" s="5"/>
      <c r="E18" s="3"/>
      <c r="F18" s="434"/>
      <c r="G18" s="5"/>
      <c r="H18" s="6" t="e">
        <f t="shared" si="1"/>
        <v>#DIV/0!</v>
      </c>
      <c r="I18" s="518"/>
      <c r="J18" s="464">
        <f t="shared" si="2"/>
        <v>0</v>
      </c>
      <c r="K18" s="3"/>
      <c r="L18" s="3"/>
      <c r="M18" s="3"/>
      <c r="N18" s="5"/>
      <c r="O18" s="6" t="e">
        <f t="shared" si="3"/>
        <v>#DIV/0!</v>
      </c>
      <c r="P18" s="518"/>
      <c r="Q18" s="464">
        <f t="shared" si="4"/>
        <v>0</v>
      </c>
      <c r="R18" s="3"/>
      <c r="S18" s="3"/>
      <c r="T18" s="3"/>
      <c r="U18" s="5"/>
      <c r="V18" s="6" t="e">
        <f t="shared" si="5"/>
        <v>#DIV/0!</v>
      </c>
      <c r="W18" s="476">
        <f t="shared" si="7"/>
        <v>0</v>
      </c>
      <c r="X18" s="474">
        <f t="shared" si="8"/>
        <v>0</v>
      </c>
      <c r="Y18" s="477">
        <f t="shared" si="9"/>
        <v>0</v>
      </c>
      <c r="Z18" s="474">
        <f t="shared" si="10"/>
        <v>0</v>
      </c>
      <c r="AA18" s="486">
        <f t="shared" si="11"/>
        <v>0</v>
      </c>
      <c r="AB18" s="478">
        <f t="shared" si="12"/>
        <v>0</v>
      </c>
      <c r="AC18" s="478" t="e">
        <f t="shared" si="13"/>
        <v>#DIV/0!</v>
      </c>
      <c r="AD18" s="474" t="e">
        <f t="shared" si="14"/>
        <v>#DIV/0!</v>
      </c>
      <c r="AE18" s="475" t="e">
        <f t="shared" si="15"/>
        <v>#DIV/0!</v>
      </c>
    </row>
    <row r="19" spans="1:31">
      <c r="A19" s="435">
        <f>'SQ-1'!A19</f>
        <v>43966</v>
      </c>
      <c r="B19" s="518"/>
      <c r="C19" s="464">
        <f t="shared" si="0"/>
        <v>0</v>
      </c>
      <c r="D19" s="5"/>
      <c r="E19" s="3"/>
      <c r="F19" s="434"/>
      <c r="G19" s="5"/>
      <c r="H19" s="6" t="e">
        <f t="shared" si="1"/>
        <v>#DIV/0!</v>
      </c>
      <c r="I19" s="518"/>
      <c r="J19" s="464">
        <f t="shared" si="2"/>
        <v>0</v>
      </c>
      <c r="K19" s="3"/>
      <c r="L19" s="3"/>
      <c r="M19" s="3"/>
      <c r="N19" s="5"/>
      <c r="O19" s="6" t="e">
        <f t="shared" si="3"/>
        <v>#DIV/0!</v>
      </c>
      <c r="P19" s="518"/>
      <c r="Q19" s="464">
        <f t="shared" si="4"/>
        <v>0</v>
      </c>
      <c r="R19" s="3"/>
      <c r="S19" s="3"/>
      <c r="T19" s="3"/>
      <c r="U19" s="5"/>
      <c r="V19" s="6" t="e">
        <f t="shared" si="5"/>
        <v>#DIV/0!</v>
      </c>
      <c r="W19" s="476">
        <f t="shared" si="7"/>
        <v>0</v>
      </c>
      <c r="X19" s="474">
        <f t="shared" si="8"/>
        <v>0</v>
      </c>
      <c r="Y19" s="477">
        <f t="shared" si="9"/>
        <v>0</v>
      </c>
      <c r="Z19" s="474">
        <f t="shared" si="10"/>
        <v>0</v>
      </c>
      <c r="AA19" s="486">
        <f t="shared" si="11"/>
        <v>0</v>
      </c>
      <c r="AB19" s="478">
        <f t="shared" si="12"/>
        <v>0</v>
      </c>
      <c r="AC19" s="478" t="e">
        <f t="shared" si="13"/>
        <v>#DIV/0!</v>
      </c>
      <c r="AD19" s="474" t="e">
        <f t="shared" si="14"/>
        <v>#DIV/0!</v>
      </c>
      <c r="AE19" s="475" t="e">
        <f t="shared" si="15"/>
        <v>#DIV/0!</v>
      </c>
    </row>
    <row r="20" spans="1:31">
      <c r="A20" s="435">
        <f>'SQ-1'!A20</f>
        <v>43967</v>
      </c>
      <c r="B20" s="518"/>
      <c r="C20" s="464">
        <f t="shared" si="0"/>
        <v>0</v>
      </c>
      <c r="D20" s="5"/>
      <c r="E20" s="3"/>
      <c r="F20" s="434"/>
      <c r="G20" s="5"/>
      <c r="H20" s="6" t="e">
        <f t="shared" si="1"/>
        <v>#DIV/0!</v>
      </c>
      <c r="I20" s="518"/>
      <c r="J20" s="464">
        <f t="shared" si="2"/>
        <v>0</v>
      </c>
      <c r="K20" s="3"/>
      <c r="L20" s="3"/>
      <c r="M20" s="3"/>
      <c r="N20" s="5"/>
      <c r="O20" s="6" t="e">
        <f t="shared" si="3"/>
        <v>#DIV/0!</v>
      </c>
      <c r="P20" s="518"/>
      <c r="Q20" s="464">
        <f t="shared" si="4"/>
        <v>0</v>
      </c>
      <c r="R20" s="3"/>
      <c r="S20" s="3"/>
      <c r="T20" s="3"/>
      <c r="U20" s="5"/>
      <c r="V20" s="6" t="e">
        <f t="shared" si="5"/>
        <v>#DIV/0!</v>
      </c>
      <c r="W20" s="476">
        <f t="shared" si="7"/>
        <v>0</v>
      </c>
      <c r="X20" s="474">
        <f t="shared" si="8"/>
        <v>0</v>
      </c>
      <c r="Y20" s="477">
        <f t="shared" si="9"/>
        <v>0</v>
      </c>
      <c r="Z20" s="474">
        <f t="shared" si="10"/>
        <v>0</v>
      </c>
      <c r="AA20" s="486">
        <f t="shared" si="11"/>
        <v>0</v>
      </c>
      <c r="AB20" s="478">
        <f t="shared" si="12"/>
        <v>0</v>
      </c>
      <c r="AC20" s="478" t="e">
        <f t="shared" si="13"/>
        <v>#DIV/0!</v>
      </c>
      <c r="AD20" s="474" t="e">
        <f t="shared" si="14"/>
        <v>#DIV/0!</v>
      </c>
      <c r="AE20" s="475" t="e">
        <f t="shared" si="15"/>
        <v>#DIV/0!</v>
      </c>
    </row>
    <row r="21" spans="1:31">
      <c r="A21" s="435">
        <f>'SQ-1'!A21</f>
        <v>43968</v>
      </c>
      <c r="B21" s="518"/>
      <c r="C21" s="464">
        <f t="shared" si="0"/>
        <v>0</v>
      </c>
      <c r="D21" s="5"/>
      <c r="E21" s="3"/>
      <c r="F21" s="434"/>
      <c r="G21" s="5"/>
      <c r="H21" s="6" t="e">
        <f t="shared" si="1"/>
        <v>#DIV/0!</v>
      </c>
      <c r="I21" s="518"/>
      <c r="J21" s="464">
        <f t="shared" si="2"/>
        <v>0</v>
      </c>
      <c r="K21" s="3"/>
      <c r="L21" s="3"/>
      <c r="M21" s="3"/>
      <c r="N21" s="5"/>
      <c r="O21" s="6" t="e">
        <f t="shared" si="3"/>
        <v>#DIV/0!</v>
      </c>
      <c r="P21" s="518"/>
      <c r="Q21" s="464">
        <f t="shared" si="4"/>
        <v>0</v>
      </c>
      <c r="R21" s="3"/>
      <c r="S21" s="3"/>
      <c r="T21" s="3"/>
      <c r="U21" s="5"/>
      <c r="V21" s="6" t="e">
        <f t="shared" si="5"/>
        <v>#DIV/0!</v>
      </c>
      <c r="W21" s="476">
        <f t="shared" si="7"/>
        <v>0</v>
      </c>
      <c r="X21" s="474">
        <f t="shared" si="8"/>
        <v>0</v>
      </c>
      <c r="Y21" s="477">
        <f t="shared" si="9"/>
        <v>0</v>
      </c>
      <c r="Z21" s="474">
        <f t="shared" si="10"/>
        <v>0</v>
      </c>
      <c r="AA21" s="486">
        <f t="shared" si="11"/>
        <v>0</v>
      </c>
      <c r="AB21" s="478">
        <f t="shared" si="12"/>
        <v>0</v>
      </c>
      <c r="AC21" s="478" t="e">
        <f t="shared" si="13"/>
        <v>#DIV/0!</v>
      </c>
      <c r="AD21" s="474" t="e">
        <f t="shared" si="14"/>
        <v>#DIV/0!</v>
      </c>
      <c r="AE21" s="475" t="e">
        <f t="shared" si="15"/>
        <v>#DIV/0!</v>
      </c>
    </row>
    <row r="22" spans="1:31">
      <c r="A22" s="435">
        <f>'SQ-1'!A22</f>
        <v>43969</v>
      </c>
      <c r="B22" s="518"/>
      <c r="C22" s="464">
        <f t="shared" si="0"/>
        <v>0</v>
      </c>
      <c r="D22" s="5"/>
      <c r="E22" s="3"/>
      <c r="F22" s="434"/>
      <c r="G22" s="5"/>
      <c r="H22" s="6" t="e">
        <f t="shared" si="1"/>
        <v>#DIV/0!</v>
      </c>
      <c r="I22" s="518"/>
      <c r="J22" s="464">
        <f t="shared" si="2"/>
        <v>0</v>
      </c>
      <c r="K22" s="3"/>
      <c r="L22" s="3"/>
      <c r="M22" s="3"/>
      <c r="N22" s="5"/>
      <c r="O22" s="6" t="e">
        <f t="shared" si="3"/>
        <v>#DIV/0!</v>
      </c>
      <c r="P22" s="518"/>
      <c r="Q22" s="464">
        <f t="shared" si="4"/>
        <v>0</v>
      </c>
      <c r="R22" s="3"/>
      <c r="S22" s="3"/>
      <c r="T22" s="3"/>
      <c r="U22" s="5"/>
      <c r="V22" s="6" t="e">
        <f t="shared" si="5"/>
        <v>#DIV/0!</v>
      </c>
      <c r="W22" s="476">
        <f t="shared" si="7"/>
        <v>0</v>
      </c>
      <c r="X22" s="474">
        <f t="shared" si="8"/>
        <v>0</v>
      </c>
      <c r="Y22" s="477">
        <f t="shared" si="9"/>
        <v>0</v>
      </c>
      <c r="Z22" s="474">
        <f t="shared" si="10"/>
        <v>0</v>
      </c>
      <c r="AA22" s="486">
        <f t="shared" si="11"/>
        <v>0</v>
      </c>
      <c r="AB22" s="478">
        <f t="shared" si="12"/>
        <v>0</v>
      </c>
      <c r="AC22" s="478" t="e">
        <f t="shared" si="13"/>
        <v>#DIV/0!</v>
      </c>
      <c r="AD22" s="474" t="e">
        <f t="shared" si="14"/>
        <v>#DIV/0!</v>
      </c>
      <c r="AE22" s="475" t="e">
        <f t="shared" si="15"/>
        <v>#DIV/0!</v>
      </c>
    </row>
    <row r="23" spans="1:31">
      <c r="A23" s="435">
        <f>'SQ-1'!A23</f>
        <v>43970</v>
      </c>
      <c r="B23" s="518"/>
      <c r="C23" s="464">
        <f t="shared" si="0"/>
        <v>0</v>
      </c>
      <c r="D23" s="5"/>
      <c r="E23" s="3"/>
      <c r="F23" s="434"/>
      <c r="G23" s="5"/>
      <c r="H23" s="6" t="e">
        <f t="shared" si="1"/>
        <v>#DIV/0!</v>
      </c>
      <c r="I23" s="518"/>
      <c r="J23" s="464">
        <f t="shared" si="2"/>
        <v>0</v>
      </c>
      <c r="K23" s="3"/>
      <c r="L23" s="3"/>
      <c r="M23" s="3"/>
      <c r="N23" s="5"/>
      <c r="O23" s="6" t="e">
        <f t="shared" si="3"/>
        <v>#DIV/0!</v>
      </c>
      <c r="P23" s="518"/>
      <c r="Q23" s="464">
        <f t="shared" si="4"/>
        <v>0</v>
      </c>
      <c r="R23" s="3"/>
      <c r="S23" s="3"/>
      <c r="T23" s="3"/>
      <c r="U23" s="5"/>
      <c r="V23" s="6" t="e">
        <f t="shared" si="5"/>
        <v>#DIV/0!</v>
      </c>
      <c r="W23" s="476">
        <f t="shared" si="7"/>
        <v>0</v>
      </c>
      <c r="X23" s="474">
        <f t="shared" si="8"/>
        <v>0</v>
      </c>
      <c r="Y23" s="477">
        <f t="shared" si="9"/>
        <v>0</v>
      </c>
      <c r="Z23" s="474">
        <f t="shared" si="10"/>
        <v>0</v>
      </c>
      <c r="AA23" s="486">
        <f t="shared" si="11"/>
        <v>0</v>
      </c>
      <c r="AB23" s="478">
        <f t="shared" si="12"/>
        <v>0</v>
      </c>
      <c r="AC23" s="478" t="e">
        <f t="shared" si="13"/>
        <v>#DIV/0!</v>
      </c>
      <c r="AD23" s="474" t="e">
        <f t="shared" si="14"/>
        <v>#DIV/0!</v>
      </c>
      <c r="AE23" s="475" t="e">
        <f t="shared" si="15"/>
        <v>#DIV/0!</v>
      </c>
    </row>
    <row r="24" spans="1:31">
      <c r="A24" s="435">
        <f>'SQ-1'!A24</f>
        <v>43971</v>
      </c>
      <c r="B24" s="518"/>
      <c r="C24" s="464">
        <f t="shared" si="0"/>
        <v>0</v>
      </c>
      <c r="D24" s="5"/>
      <c r="E24" s="3"/>
      <c r="F24" s="434"/>
      <c r="G24" s="5"/>
      <c r="H24" s="6" t="e">
        <f t="shared" si="1"/>
        <v>#DIV/0!</v>
      </c>
      <c r="I24" s="518"/>
      <c r="J24" s="464">
        <f t="shared" si="2"/>
        <v>0</v>
      </c>
      <c r="K24" s="3"/>
      <c r="L24" s="3"/>
      <c r="M24" s="3"/>
      <c r="N24" s="5"/>
      <c r="O24" s="6" t="e">
        <f t="shared" si="3"/>
        <v>#DIV/0!</v>
      </c>
      <c r="P24" s="518"/>
      <c r="Q24" s="464">
        <f t="shared" si="4"/>
        <v>0</v>
      </c>
      <c r="R24" s="3"/>
      <c r="S24" s="3"/>
      <c r="T24" s="3"/>
      <c r="U24" s="5"/>
      <c r="V24" s="6" t="e">
        <f t="shared" si="5"/>
        <v>#DIV/0!</v>
      </c>
      <c r="W24" s="476">
        <f t="shared" si="7"/>
        <v>0</v>
      </c>
      <c r="X24" s="474">
        <f t="shared" si="8"/>
        <v>0</v>
      </c>
      <c r="Y24" s="477">
        <f t="shared" si="9"/>
        <v>0</v>
      </c>
      <c r="Z24" s="474">
        <f t="shared" si="10"/>
        <v>0</v>
      </c>
      <c r="AA24" s="486">
        <f t="shared" si="11"/>
        <v>0</v>
      </c>
      <c r="AB24" s="478">
        <f t="shared" si="12"/>
        <v>0</v>
      </c>
      <c r="AC24" s="478" t="e">
        <f t="shared" si="13"/>
        <v>#DIV/0!</v>
      </c>
      <c r="AD24" s="474" t="e">
        <f t="shared" si="14"/>
        <v>#DIV/0!</v>
      </c>
      <c r="AE24" s="475" t="e">
        <f t="shared" si="15"/>
        <v>#DIV/0!</v>
      </c>
    </row>
    <row r="25" spans="1:31">
      <c r="A25" s="435">
        <f>'SQ-1'!A25</f>
        <v>43972</v>
      </c>
      <c r="B25" s="518"/>
      <c r="C25" s="464">
        <f t="shared" si="0"/>
        <v>0</v>
      </c>
      <c r="D25" s="5"/>
      <c r="E25" s="3"/>
      <c r="F25" s="434"/>
      <c r="G25" s="5"/>
      <c r="H25" s="6" t="e">
        <f t="shared" si="1"/>
        <v>#DIV/0!</v>
      </c>
      <c r="I25" s="518"/>
      <c r="J25" s="464">
        <f t="shared" si="2"/>
        <v>0</v>
      </c>
      <c r="K25" s="3"/>
      <c r="L25" s="3"/>
      <c r="M25" s="3"/>
      <c r="N25" s="5"/>
      <c r="O25" s="6" t="e">
        <f t="shared" si="3"/>
        <v>#DIV/0!</v>
      </c>
      <c r="P25" s="518"/>
      <c r="Q25" s="464">
        <f t="shared" si="4"/>
        <v>0</v>
      </c>
      <c r="R25" s="3"/>
      <c r="S25" s="3"/>
      <c r="T25" s="3"/>
      <c r="U25" s="5"/>
      <c r="V25" s="6" t="e">
        <f t="shared" ref="V25:V35" si="16">U25/P25</f>
        <v>#DIV/0!</v>
      </c>
      <c r="W25" s="476">
        <f t="shared" si="7"/>
        <v>0</v>
      </c>
      <c r="X25" s="474">
        <f t="shared" si="8"/>
        <v>0</v>
      </c>
      <c r="Y25" s="477">
        <f t="shared" si="9"/>
        <v>0</v>
      </c>
      <c r="Z25" s="474">
        <f t="shared" si="10"/>
        <v>0</v>
      </c>
      <c r="AA25" s="486">
        <f t="shared" si="11"/>
        <v>0</v>
      </c>
      <c r="AB25" s="478">
        <f t="shared" si="12"/>
        <v>0</v>
      </c>
      <c r="AC25" s="478" t="e">
        <f t="shared" si="13"/>
        <v>#DIV/0!</v>
      </c>
      <c r="AD25" s="474" t="e">
        <f t="shared" si="14"/>
        <v>#DIV/0!</v>
      </c>
      <c r="AE25" s="475" t="e">
        <f t="shared" si="15"/>
        <v>#DIV/0!</v>
      </c>
    </row>
    <row r="26" spans="1:31">
      <c r="A26" s="435">
        <f>'SQ-1'!A26</f>
        <v>43973</v>
      </c>
      <c r="B26" s="518"/>
      <c r="C26" s="464">
        <f t="shared" si="0"/>
        <v>0</v>
      </c>
      <c r="D26" s="5"/>
      <c r="E26" s="3"/>
      <c r="F26" s="434"/>
      <c r="G26" s="5"/>
      <c r="H26" s="6" t="e">
        <f t="shared" si="1"/>
        <v>#DIV/0!</v>
      </c>
      <c r="I26" s="518"/>
      <c r="J26" s="464">
        <f t="shared" si="2"/>
        <v>0</v>
      </c>
      <c r="K26" s="3"/>
      <c r="L26" s="3"/>
      <c r="M26" s="3"/>
      <c r="N26" s="5"/>
      <c r="O26" s="6" t="e">
        <f t="shared" si="3"/>
        <v>#DIV/0!</v>
      </c>
      <c r="P26" s="518"/>
      <c r="Q26" s="464">
        <f t="shared" si="4"/>
        <v>0</v>
      </c>
      <c r="R26" s="3"/>
      <c r="S26" s="3"/>
      <c r="T26" s="3"/>
      <c r="U26" s="5"/>
      <c r="V26" s="6" t="e">
        <f t="shared" si="16"/>
        <v>#DIV/0!</v>
      </c>
      <c r="W26" s="476">
        <f t="shared" si="7"/>
        <v>0</v>
      </c>
      <c r="X26" s="474">
        <f t="shared" si="8"/>
        <v>0</v>
      </c>
      <c r="Y26" s="477">
        <f t="shared" si="9"/>
        <v>0</v>
      </c>
      <c r="Z26" s="474">
        <f t="shared" si="10"/>
        <v>0</v>
      </c>
      <c r="AA26" s="486">
        <f>F26+M26+T26</f>
        <v>0</v>
      </c>
      <c r="AB26" s="478">
        <f>G26+N26+U26</f>
        <v>0</v>
      </c>
      <c r="AC26" s="478" t="e">
        <f t="shared" si="13"/>
        <v>#DIV/0!</v>
      </c>
      <c r="AD26" s="474" t="e">
        <f t="shared" si="14"/>
        <v>#DIV/0!</v>
      </c>
      <c r="AE26" s="475" t="e">
        <f t="shared" si="15"/>
        <v>#DIV/0!</v>
      </c>
    </row>
    <row r="27" spans="1:31">
      <c r="A27" s="435">
        <f>'SQ-1'!A27</f>
        <v>43974</v>
      </c>
      <c r="B27" s="518"/>
      <c r="C27" s="464">
        <f t="shared" si="0"/>
        <v>0</v>
      </c>
      <c r="D27" s="5"/>
      <c r="E27" s="3"/>
      <c r="F27" s="434"/>
      <c r="G27" s="5"/>
      <c r="H27" s="6" t="e">
        <f t="shared" si="1"/>
        <v>#DIV/0!</v>
      </c>
      <c r="I27" s="518"/>
      <c r="J27" s="464">
        <f t="shared" si="2"/>
        <v>0</v>
      </c>
      <c r="K27" s="3"/>
      <c r="L27" s="3"/>
      <c r="M27" s="3"/>
      <c r="N27" s="5"/>
      <c r="O27" s="6" t="e">
        <f t="shared" si="3"/>
        <v>#DIV/0!</v>
      </c>
      <c r="P27" s="518"/>
      <c r="Q27" s="464">
        <f t="shared" si="4"/>
        <v>0</v>
      </c>
      <c r="R27" s="3"/>
      <c r="S27" s="3"/>
      <c r="T27" s="3"/>
      <c r="U27" s="5"/>
      <c r="V27" s="6" t="e">
        <f t="shared" si="16"/>
        <v>#DIV/0!</v>
      </c>
      <c r="W27" s="476">
        <f t="shared" si="7"/>
        <v>0</v>
      </c>
      <c r="X27" s="474">
        <f>C27+J27+Q27</f>
        <v>0</v>
      </c>
      <c r="Y27" s="477">
        <f t="shared" si="9"/>
        <v>0</v>
      </c>
      <c r="Z27" s="474">
        <f t="shared" si="10"/>
        <v>0</v>
      </c>
      <c r="AA27" s="486">
        <f t="shared" si="11"/>
        <v>0</v>
      </c>
      <c r="AB27" s="478">
        <f>G27+N27+U27</f>
        <v>0</v>
      </c>
      <c r="AC27" s="478" t="e">
        <f t="shared" si="13"/>
        <v>#DIV/0!</v>
      </c>
      <c r="AD27" s="474" t="e">
        <f t="shared" si="14"/>
        <v>#DIV/0!</v>
      </c>
      <c r="AE27" s="475" t="e">
        <f t="shared" si="15"/>
        <v>#DIV/0!</v>
      </c>
    </row>
    <row r="28" spans="1:31">
      <c r="A28" s="435">
        <f>'SQ-1'!A28</f>
        <v>43975</v>
      </c>
      <c r="B28" s="518"/>
      <c r="C28" s="464">
        <f t="shared" si="0"/>
        <v>0</v>
      </c>
      <c r="D28" s="5"/>
      <c r="E28" s="3"/>
      <c r="F28" s="434"/>
      <c r="G28" s="5"/>
      <c r="H28" s="6" t="e">
        <f t="shared" si="1"/>
        <v>#DIV/0!</v>
      </c>
      <c r="I28" s="518"/>
      <c r="J28" s="464">
        <f t="shared" si="2"/>
        <v>0</v>
      </c>
      <c r="K28" s="3"/>
      <c r="L28" s="3"/>
      <c r="M28" s="3"/>
      <c r="N28" s="5"/>
      <c r="O28" s="6" t="e">
        <f t="shared" si="3"/>
        <v>#DIV/0!</v>
      </c>
      <c r="P28" s="518"/>
      <c r="Q28" s="464">
        <f t="shared" si="4"/>
        <v>0</v>
      </c>
      <c r="R28" s="3"/>
      <c r="S28" s="3"/>
      <c r="T28" s="3"/>
      <c r="U28" s="5"/>
      <c r="V28" s="6" t="e">
        <f t="shared" si="16"/>
        <v>#DIV/0!</v>
      </c>
      <c r="W28" s="476">
        <f t="shared" si="7"/>
        <v>0</v>
      </c>
      <c r="X28" s="474">
        <f t="shared" ref="X28:X35" si="17">C28+J28+Q28</f>
        <v>0</v>
      </c>
      <c r="Y28" s="477">
        <f t="shared" si="9"/>
        <v>0</v>
      </c>
      <c r="Z28" s="474">
        <f t="shared" si="10"/>
        <v>0</v>
      </c>
      <c r="AA28" s="486">
        <f t="shared" si="11"/>
        <v>0</v>
      </c>
      <c r="AB28" s="478">
        <f t="shared" ref="AB28:AB35" si="18">G28+N28+U28</f>
        <v>0</v>
      </c>
      <c r="AC28" s="478" t="e">
        <f t="shared" si="13"/>
        <v>#DIV/0!</v>
      </c>
      <c r="AD28" s="474" t="e">
        <f t="shared" si="14"/>
        <v>#DIV/0!</v>
      </c>
      <c r="AE28" s="475" t="e">
        <f t="shared" si="15"/>
        <v>#DIV/0!</v>
      </c>
    </row>
    <row r="29" spans="1:31">
      <c r="A29" s="435">
        <f>'SQ-1'!A29</f>
        <v>43976</v>
      </c>
      <c r="B29" s="518"/>
      <c r="C29" s="464">
        <f t="shared" si="0"/>
        <v>0</v>
      </c>
      <c r="D29" s="5"/>
      <c r="E29" s="3"/>
      <c r="F29" s="434"/>
      <c r="G29" s="5"/>
      <c r="H29" s="6" t="e">
        <f t="shared" si="1"/>
        <v>#DIV/0!</v>
      </c>
      <c r="I29" s="518"/>
      <c r="J29" s="464">
        <f t="shared" si="2"/>
        <v>0</v>
      </c>
      <c r="K29" s="3"/>
      <c r="L29" s="3"/>
      <c r="M29" s="3"/>
      <c r="N29" s="5"/>
      <c r="O29" s="6" t="e">
        <f t="shared" si="3"/>
        <v>#DIV/0!</v>
      </c>
      <c r="P29" s="518"/>
      <c r="Q29" s="464">
        <f t="shared" si="4"/>
        <v>0</v>
      </c>
      <c r="R29" s="3"/>
      <c r="S29" s="3"/>
      <c r="T29" s="3"/>
      <c r="U29" s="5"/>
      <c r="V29" s="6" t="e">
        <f t="shared" si="16"/>
        <v>#DIV/0!</v>
      </c>
      <c r="W29" s="476">
        <f t="shared" si="7"/>
        <v>0</v>
      </c>
      <c r="X29" s="474">
        <f t="shared" si="17"/>
        <v>0</v>
      </c>
      <c r="Y29" s="477">
        <f t="shared" si="9"/>
        <v>0</v>
      </c>
      <c r="Z29" s="474">
        <f t="shared" si="10"/>
        <v>0</v>
      </c>
      <c r="AA29" s="486">
        <f t="shared" si="11"/>
        <v>0</v>
      </c>
      <c r="AB29" s="478">
        <f t="shared" si="18"/>
        <v>0</v>
      </c>
      <c r="AC29" s="478" t="e">
        <f t="shared" si="13"/>
        <v>#DIV/0!</v>
      </c>
      <c r="AD29" s="474" t="e">
        <f t="shared" si="14"/>
        <v>#DIV/0!</v>
      </c>
      <c r="AE29" s="475" t="e">
        <f t="shared" si="15"/>
        <v>#DIV/0!</v>
      </c>
    </row>
    <row r="30" spans="1:31">
      <c r="A30" s="435">
        <f>'SQ-1'!A30</f>
        <v>43977</v>
      </c>
      <c r="B30" s="518"/>
      <c r="C30" s="464">
        <f t="shared" si="0"/>
        <v>0</v>
      </c>
      <c r="D30" s="5"/>
      <c r="E30" s="3"/>
      <c r="F30" s="434"/>
      <c r="G30" s="5"/>
      <c r="H30" s="6" t="e">
        <f t="shared" si="1"/>
        <v>#DIV/0!</v>
      </c>
      <c r="I30" s="518"/>
      <c r="J30" s="464">
        <f t="shared" si="2"/>
        <v>0</v>
      </c>
      <c r="K30" s="3"/>
      <c r="L30" s="3"/>
      <c r="M30" s="3"/>
      <c r="N30" s="5"/>
      <c r="O30" s="6" t="e">
        <f t="shared" si="3"/>
        <v>#DIV/0!</v>
      </c>
      <c r="P30" s="518"/>
      <c r="Q30" s="464">
        <f t="shared" si="4"/>
        <v>0</v>
      </c>
      <c r="R30" s="3"/>
      <c r="S30" s="3"/>
      <c r="T30" s="3"/>
      <c r="U30" s="5"/>
      <c r="V30" s="6" t="e">
        <f t="shared" si="16"/>
        <v>#DIV/0!</v>
      </c>
      <c r="W30" s="476">
        <f t="shared" si="7"/>
        <v>0</v>
      </c>
      <c r="X30" s="474">
        <f t="shared" si="17"/>
        <v>0</v>
      </c>
      <c r="Y30" s="477">
        <f t="shared" si="9"/>
        <v>0</v>
      </c>
      <c r="Z30" s="474">
        <f t="shared" si="10"/>
        <v>0</v>
      </c>
      <c r="AA30" s="486">
        <f t="shared" si="11"/>
        <v>0</v>
      </c>
      <c r="AB30" s="478">
        <f t="shared" si="18"/>
        <v>0</v>
      </c>
      <c r="AC30" s="478" t="e">
        <f t="shared" si="13"/>
        <v>#DIV/0!</v>
      </c>
      <c r="AD30" s="474" t="e">
        <f t="shared" si="14"/>
        <v>#DIV/0!</v>
      </c>
      <c r="AE30" s="475" t="e">
        <f t="shared" si="15"/>
        <v>#DIV/0!</v>
      </c>
    </row>
    <row r="31" spans="1:31">
      <c r="A31" s="435">
        <f>'SQ-1'!A31</f>
        <v>43978</v>
      </c>
      <c r="B31" s="518"/>
      <c r="C31" s="464">
        <f t="shared" si="0"/>
        <v>0</v>
      </c>
      <c r="D31" s="3"/>
      <c r="E31" s="3"/>
      <c r="F31" s="3"/>
      <c r="G31" s="5"/>
      <c r="H31" s="6" t="e">
        <f t="shared" si="1"/>
        <v>#DIV/0!</v>
      </c>
      <c r="I31" s="518"/>
      <c r="J31" s="464">
        <f t="shared" si="2"/>
        <v>0</v>
      </c>
      <c r="K31" s="5"/>
      <c r="L31" s="3"/>
      <c r="M31" s="434"/>
      <c r="N31" s="5"/>
      <c r="O31" s="6" t="e">
        <f t="shared" si="3"/>
        <v>#DIV/0!</v>
      </c>
      <c r="P31" s="518"/>
      <c r="Q31" s="464">
        <f t="shared" si="4"/>
        <v>0</v>
      </c>
      <c r="R31" s="3"/>
      <c r="S31" s="3"/>
      <c r="T31" s="3"/>
      <c r="U31" s="5"/>
      <c r="V31" s="6" t="e">
        <f t="shared" si="16"/>
        <v>#DIV/0!</v>
      </c>
      <c r="W31" s="476">
        <f t="shared" si="7"/>
        <v>0</v>
      </c>
      <c r="X31" s="474">
        <f t="shared" si="17"/>
        <v>0</v>
      </c>
      <c r="Y31" s="477">
        <f t="shared" si="9"/>
        <v>0</v>
      </c>
      <c r="Z31" s="474">
        <f t="shared" si="10"/>
        <v>0</v>
      </c>
      <c r="AA31" s="486">
        <f t="shared" si="11"/>
        <v>0</v>
      </c>
      <c r="AB31" s="478">
        <f t="shared" si="18"/>
        <v>0</v>
      </c>
      <c r="AC31" s="478" t="e">
        <f t="shared" si="13"/>
        <v>#DIV/0!</v>
      </c>
      <c r="AD31" s="474" t="e">
        <f t="shared" si="14"/>
        <v>#DIV/0!</v>
      </c>
      <c r="AE31" s="475" t="e">
        <f t="shared" si="15"/>
        <v>#DIV/0!</v>
      </c>
    </row>
    <row r="32" spans="1:31">
      <c r="A32" s="435">
        <f>'SQ-1'!A32</f>
        <v>43979</v>
      </c>
      <c r="B32" s="518"/>
      <c r="C32" s="464">
        <f t="shared" si="0"/>
        <v>0</v>
      </c>
      <c r="D32" s="3"/>
      <c r="E32" s="3"/>
      <c r="F32" s="3"/>
      <c r="G32" s="5"/>
      <c r="H32" s="6" t="e">
        <f t="shared" si="1"/>
        <v>#DIV/0!</v>
      </c>
      <c r="I32" s="518"/>
      <c r="J32" s="464">
        <f t="shared" si="2"/>
        <v>0</v>
      </c>
      <c r="K32" s="5"/>
      <c r="L32" s="3"/>
      <c r="M32" s="434"/>
      <c r="N32" s="5"/>
      <c r="O32" s="6" t="e">
        <f t="shared" si="3"/>
        <v>#DIV/0!</v>
      </c>
      <c r="P32" s="518"/>
      <c r="Q32" s="464">
        <f t="shared" si="4"/>
        <v>0</v>
      </c>
      <c r="R32" s="3"/>
      <c r="S32" s="3"/>
      <c r="T32" s="3"/>
      <c r="U32" s="5"/>
      <c r="V32" s="6" t="e">
        <f t="shared" si="16"/>
        <v>#DIV/0!</v>
      </c>
      <c r="W32" s="476">
        <f t="shared" si="7"/>
        <v>0</v>
      </c>
      <c r="X32" s="474">
        <f t="shared" si="17"/>
        <v>0</v>
      </c>
      <c r="Y32" s="477">
        <f t="shared" si="9"/>
        <v>0</v>
      </c>
      <c r="Z32" s="474">
        <f t="shared" si="10"/>
        <v>0</v>
      </c>
      <c r="AA32" s="486">
        <f t="shared" si="11"/>
        <v>0</v>
      </c>
      <c r="AB32" s="478">
        <f t="shared" si="18"/>
        <v>0</v>
      </c>
      <c r="AC32" s="478" t="e">
        <f t="shared" si="13"/>
        <v>#DIV/0!</v>
      </c>
      <c r="AD32" s="474" t="e">
        <f t="shared" si="14"/>
        <v>#DIV/0!</v>
      </c>
      <c r="AE32" s="475" t="e">
        <f t="shared" si="15"/>
        <v>#DIV/0!</v>
      </c>
    </row>
    <row r="33" spans="1:31">
      <c r="A33" s="435">
        <f>'SQ-1'!A33</f>
        <v>43980</v>
      </c>
      <c r="B33" s="518"/>
      <c r="C33" s="464">
        <f t="shared" si="0"/>
        <v>0</v>
      </c>
      <c r="D33" s="3"/>
      <c r="E33" s="3"/>
      <c r="F33" s="3"/>
      <c r="G33" s="5"/>
      <c r="H33" s="6" t="e">
        <f t="shared" si="1"/>
        <v>#DIV/0!</v>
      </c>
      <c r="I33" s="518"/>
      <c r="J33" s="464">
        <f t="shared" si="2"/>
        <v>0</v>
      </c>
      <c r="K33" s="5"/>
      <c r="L33" s="3"/>
      <c r="M33" s="434"/>
      <c r="N33" s="5"/>
      <c r="O33" s="6" t="e">
        <f t="shared" si="3"/>
        <v>#DIV/0!</v>
      </c>
      <c r="P33" s="518"/>
      <c r="Q33" s="464">
        <f t="shared" si="4"/>
        <v>0</v>
      </c>
      <c r="R33" s="3"/>
      <c r="S33" s="3"/>
      <c r="T33" s="3"/>
      <c r="U33" s="5"/>
      <c r="V33" s="6" t="e">
        <f t="shared" si="16"/>
        <v>#DIV/0!</v>
      </c>
      <c r="W33" s="476">
        <f t="shared" si="7"/>
        <v>0</v>
      </c>
      <c r="X33" s="474">
        <f t="shared" si="17"/>
        <v>0</v>
      </c>
      <c r="Y33" s="477">
        <f t="shared" si="9"/>
        <v>0</v>
      </c>
      <c r="Z33" s="474">
        <f t="shared" si="10"/>
        <v>0</v>
      </c>
      <c r="AA33" s="486">
        <f t="shared" si="11"/>
        <v>0</v>
      </c>
      <c r="AB33" s="478">
        <f t="shared" si="18"/>
        <v>0</v>
      </c>
      <c r="AC33" s="478" t="e">
        <f t="shared" si="13"/>
        <v>#DIV/0!</v>
      </c>
      <c r="AD33" s="474" t="e">
        <f t="shared" si="14"/>
        <v>#DIV/0!</v>
      </c>
      <c r="AE33" s="475" t="e">
        <f t="shared" si="15"/>
        <v>#DIV/0!</v>
      </c>
    </row>
    <row r="34" spans="1:31">
      <c r="A34" s="435">
        <f>'SQ-1'!A34</f>
        <v>43981</v>
      </c>
      <c r="B34" s="518"/>
      <c r="C34" s="464">
        <f t="shared" si="0"/>
        <v>0</v>
      </c>
      <c r="D34" s="3"/>
      <c r="E34" s="3"/>
      <c r="F34" s="3"/>
      <c r="G34" s="3"/>
      <c r="H34" s="6" t="e">
        <f t="shared" si="1"/>
        <v>#DIV/0!</v>
      </c>
      <c r="I34" s="518"/>
      <c r="J34" s="464">
        <f t="shared" si="2"/>
        <v>0</v>
      </c>
      <c r="K34" s="3"/>
      <c r="L34" s="3"/>
      <c r="M34" s="3"/>
      <c r="N34" s="3"/>
      <c r="O34" s="6" t="e">
        <f t="shared" si="3"/>
        <v>#DIV/0!</v>
      </c>
      <c r="P34" s="518"/>
      <c r="Q34" s="464">
        <f t="shared" si="4"/>
        <v>0</v>
      </c>
      <c r="R34" s="3"/>
      <c r="S34" s="3"/>
      <c r="T34" s="3"/>
      <c r="U34" s="5"/>
      <c r="V34" s="6" t="e">
        <f t="shared" si="16"/>
        <v>#DIV/0!</v>
      </c>
      <c r="W34" s="476">
        <f t="shared" si="7"/>
        <v>0</v>
      </c>
      <c r="X34" s="474">
        <f t="shared" si="17"/>
        <v>0</v>
      </c>
      <c r="Y34" s="477">
        <f t="shared" si="9"/>
        <v>0</v>
      </c>
      <c r="Z34" s="474">
        <f t="shared" si="10"/>
        <v>0</v>
      </c>
      <c r="AA34" s="486">
        <f t="shared" si="11"/>
        <v>0</v>
      </c>
      <c r="AB34" s="478">
        <f t="shared" si="18"/>
        <v>0</v>
      </c>
      <c r="AC34" s="478" t="e">
        <f t="shared" si="13"/>
        <v>#DIV/0!</v>
      </c>
      <c r="AD34" s="474" t="e">
        <f t="shared" si="14"/>
        <v>#DIV/0!</v>
      </c>
      <c r="AE34" s="475" t="e">
        <f t="shared" si="15"/>
        <v>#DIV/0!</v>
      </c>
    </row>
    <row r="35" spans="1:31" ht="15.75" thickBot="1">
      <c r="A35" s="435">
        <f>'SQ-1'!A35</f>
        <v>43982</v>
      </c>
      <c r="B35" s="519"/>
      <c r="C35" s="524">
        <f t="shared" si="0"/>
        <v>0</v>
      </c>
      <c r="D35" s="463"/>
      <c r="E35" s="463"/>
      <c r="F35" s="463"/>
      <c r="G35" s="463"/>
      <c r="H35" s="452" t="e">
        <f t="shared" si="1"/>
        <v>#DIV/0!</v>
      </c>
      <c r="I35" s="519"/>
      <c r="J35" s="524">
        <f t="shared" si="2"/>
        <v>0</v>
      </c>
      <c r="K35" s="463"/>
      <c r="L35" s="463"/>
      <c r="M35" s="463"/>
      <c r="N35" s="463"/>
      <c r="O35" s="452" t="e">
        <f t="shared" si="3"/>
        <v>#DIV/0!</v>
      </c>
      <c r="P35" s="521"/>
      <c r="Q35" s="524">
        <f t="shared" si="4"/>
        <v>0</v>
      </c>
      <c r="R35" s="4"/>
      <c r="S35" s="4"/>
      <c r="T35" s="4"/>
      <c r="U35" s="4"/>
      <c r="V35" s="452" t="e">
        <f t="shared" si="16"/>
        <v>#DIV/0!</v>
      </c>
      <c r="W35" s="476">
        <f t="shared" si="7"/>
        <v>0</v>
      </c>
      <c r="X35" s="480">
        <f t="shared" si="17"/>
        <v>0</v>
      </c>
      <c r="Y35" s="477">
        <f t="shared" si="9"/>
        <v>0</v>
      </c>
      <c r="Z35" s="474">
        <f t="shared" si="10"/>
        <v>0</v>
      </c>
      <c r="AA35" s="486">
        <f t="shared" si="11"/>
        <v>0</v>
      </c>
      <c r="AB35" s="478">
        <f t="shared" si="18"/>
        <v>0</v>
      </c>
      <c r="AC35" s="478" t="e">
        <f t="shared" si="13"/>
        <v>#DIV/0!</v>
      </c>
      <c r="AD35" s="474" t="e">
        <f t="shared" si="14"/>
        <v>#DIV/0!</v>
      </c>
      <c r="AE35" s="475" t="e">
        <f t="shared" si="15"/>
        <v>#DIV/0!</v>
      </c>
    </row>
    <row r="36" spans="1:31" ht="20.100000000000001" customHeight="1" thickBot="1">
      <c r="A36" s="2" t="s">
        <v>3</v>
      </c>
      <c r="B36" s="8">
        <f>SUM(B5:B35)</f>
        <v>0</v>
      </c>
      <c r="C36" s="8">
        <f>SUM(C5:C35)</f>
        <v>0</v>
      </c>
      <c r="D36" s="7">
        <f>SUM(D5:D35)</f>
        <v>0</v>
      </c>
      <c r="E36" s="7">
        <f>SUM(E5:E35)</f>
        <v>0</v>
      </c>
      <c r="F36" s="7">
        <f t="shared" ref="F36:AB36" si="19">SUM(F5:F35)</f>
        <v>0</v>
      </c>
      <c r="G36" s="7">
        <f t="shared" si="19"/>
        <v>0</v>
      </c>
      <c r="H36" s="7" t="e">
        <f>G36/B36</f>
        <v>#DIV/0!</v>
      </c>
      <c r="I36" s="8">
        <f>SUM(I5:I35)</f>
        <v>0</v>
      </c>
      <c r="J36" s="8">
        <f t="shared" si="19"/>
        <v>0</v>
      </c>
      <c r="K36" s="7">
        <f>SUM(K5:K35)</f>
        <v>0</v>
      </c>
      <c r="L36" s="7">
        <f>SUM(L5:L35)</f>
        <v>0</v>
      </c>
      <c r="M36" s="7">
        <f t="shared" si="19"/>
        <v>0</v>
      </c>
      <c r="N36" s="7">
        <f t="shared" si="19"/>
        <v>0</v>
      </c>
      <c r="O36" s="7" t="e">
        <f>N36/I36</f>
        <v>#DIV/0!</v>
      </c>
      <c r="P36" s="8">
        <f>SUM(P5:P35)</f>
        <v>0</v>
      </c>
      <c r="Q36" s="8">
        <f t="shared" si="19"/>
        <v>0</v>
      </c>
      <c r="R36" s="7">
        <f>SUM(R5:R35)</f>
        <v>0</v>
      </c>
      <c r="S36" s="446">
        <f>SUM(S5:S35)</f>
        <v>0</v>
      </c>
      <c r="T36" s="446">
        <f t="shared" si="19"/>
        <v>0</v>
      </c>
      <c r="U36" s="446">
        <f t="shared" si="19"/>
        <v>0</v>
      </c>
      <c r="V36" s="7" t="e">
        <f>U36/P36</f>
        <v>#DIV/0!</v>
      </c>
      <c r="W36" s="454">
        <f>SUM(W5:W35)</f>
        <v>0</v>
      </c>
      <c r="X36" s="7">
        <f t="shared" si="19"/>
        <v>0</v>
      </c>
      <c r="Y36" s="7">
        <f>SUM(Y5:Y35)</f>
        <v>0</v>
      </c>
      <c r="Z36" s="443">
        <f>SUM(Z5:Z35)</f>
        <v>0</v>
      </c>
      <c r="AA36" s="7">
        <f t="shared" si="19"/>
        <v>0</v>
      </c>
      <c r="AB36" s="7">
        <f t="shared" si="19"/>
        <v>0</v>
      </c>
      <c r="AC36" s="7" t="e">
        <f>AB36/W36</f>
        <v>#DIV/0!</v>
      </c>
      <c r="AD36" s="455"/>
      <c r="AE36" s="468" t="e">
        <f>AA36/Z36</f>
        <v>#DIV/0!</v>
      </c>
    </row>
  </sheetData>
  <mergeCells count="36">
    <mergeCell ref="AD3:AD4"/>
    <mergeCell ref="AE3:AE4"/>
    <mergeCell ref="E3:E4"/>
    <mergeCell ref="D3:D4"/>
    <mergeCell ref="AC3:AC4"/>
    <mergeCell ref="I3:I4"/>
    <mergeCell ref="L3:L4"/>
    <mergeCell ref="Z3:Z4"/>
    <mergeCell ref="X3:X4"/>
    <mergeCell ref="W2:AC2"/>
    <mergeCell ref="K3:K4"/>
    <mergeCell ref="P3:P4"/>
    <mergeCell ref="R3:R4"/>
    <mergeCell ref="W3:W4"/>
    <mergeCell ref="Y3:Y4"/>
    <mergeCell ref="S3:S4"/>
    <mergeCell ref="AA3:AA4"/>
    <mergeCell ref="P2:V2"/>
    <mergeCell ref="T3:T4"/>
    <mergeCell ref="AB3:AB4"/>
    <mergeCell ref="A1:V1"/>
    <mergeCell ref="V3:V4"/>
    <mergeCell ref="A2:A4"/>
    <mergeCell ref="C3:C4"/>
    <mergeCell ref="F3:F4"/>
    <mergeCell ref="G3:G4"/>
    <mergeCell ref="H3:H4"/>
    <mergeCell ref="J3:J4"/>
    <mergeCell ref="M3:M4"/>
    <mergeCell ref="N3:N4"/>
    <mergeCell ref="O3:O4"/>
    <mergeCell ref="Q3:Q4"/>
    <mergeCell ref="U3:U4"/>
    <mergeCell ref="B2:H2"/>
    <mergeCell ref="B3:B4"/>
    <mergeCell ref="I2:O2"/>
  </mergeCells>
  <conditionalFormatting sqref="B34:B35">
    <cfRule type="expression" dxfId="163" priority="55" stopIfTrue="1">
      <formula>$C34="*"</formula>
    </cfRule>
    <cfRule type="expression" dxfId="162" priority="56" stopIfTrue="1">
      <formula>$C34="-"</formula>
    </cfRule>
  </conditionalFormatting>
  <conditionalFormatting sqref="P34:P35">
    <cfRule type="expression" dxfId="161" priority="53" stopIfTrue="1">
      <formula>$C34="*"</formula>
    </cfRule>
    <cfRule type="expression" dxfId="160" priority="54" stopIfTrue="1">
      <formula>$C34="-"</formula>
    </cfRule>
  </conditionalFormatting>
  <conditionalFormatting sqref="I34:I35">
    <cfRule type="expression" dxfId="159" priority="51" stopIfTrue="1">
      <formula>$C34="*"</formula>
    </cfRule>
    <cfRule type="expression" dxfId="158" priority="52" stopIfTrue="1">
      <formula>$C34="-"</formula>
    </cfRule>
  </conditionalFormatting>
  <conditionalFormatting sqref="P31:P33">
    <cfRule type="expression" dxfId="157" priority="49" stopIfTrue="1">
      <formula>$C31="*"</formula>
    </cfRule>
    <cfRule type="expression" dxfId="156" priority="50" stopIfTrue="1">
      <formula>$C31="-"</formula>
    </cfRule>
  </conditionalFormatting>
  <conditionalFormatting sqref="B31:B33">
    <cfRule type="expression" dxfId="155" priority="47" stopIfTrue="1">
      <formula>$C31="*"</formula>
    </cfRule>
    <cfRule type="expression" dxfId="154" priority="48" stopIfTrue="1">
      <formula>$C31="-"</formula>
    </cfRule>
  </conditionalFormatting>
  <conditionalFormatting sqref="I31:I33">
    <cfRule type="expression" dxfId="153" priority="45" stopIfTrue="1">
      <formula>$C31="*"</formula>
    </cfRule>
    <cfRule type="expression" dxfId="152" priority="46" stopIfTrue="1">
      <formula>$C31="-"</formula>
    </cfRule>
  </conditionalFormatting>
  <conditionalFormatting sqref="I25:I30">
    <cfRule type="expression" dxfId="151" priority="43" stopIfTrue="1">
      <formula>$C25="*"</formula>
    </cfRule>
    <cfRule type="expression" dxfId="150" priority="44" stopIfTrue="1">
      <formula>$C25="-"</formula>
    </cfRule>
  </conditionalFormatting>
  <conditionalFormatting sqref="P25:P30">
    <cfRule type="expression" dxfId="149" priority="41" stopIfTrue="1">
      <formula>$C25="*"</formula>
    </cfRule>
    <cfRule type="expression" dxfId="148" priority="42" stopIfTrue="1">
      <formula>$C25="-"</formula>
    </cfRule>
  </conditionalFormatting>
  <conditionalFormatting sqref="B25:B30">
    <cfRule type="expression" dxfId="147" priority="39" stopIfTrue="1">
      <formula>$C25="*"</formula>
    </cfRule>
    <cfRule type="expression" dxfId="146" priority="40" stopIfTrue="1">
      <formula>$C25="-"</formula>
    </cfRule>
  </conditionalFormatting>
  <conditionalFormatting sqref="I23:I24">
    <cfRule type="expression" dxfId="145" priority="37" stopIfTrue="1">
      <formula>$C23="*"</formula>
    </cfRule>
    <cfRule type="expression" dxfId="144" priority="38" stopIfTrue="1">
      <formula>$C23="-"</formula>
    </cfRule>
  </conditionalFormatting>
  <conditionalFormatting sqref="P23:P24">
    <cfRule type="expression" dxfId="143" priority="35" stopIfTrue="1">
      <formula>$C23="*"</formula>
    </cfRule>
    <cfRule type="expression" dxfId="142" priority="36" stopIfTrue="1">
      <formula>$C23="-"</formula>
    </cfRule>
  </conditionalFormatting>
  <conditionalFormatting sqref="B23:B24">
    <cfRule type="expression" dxfId="141" priority="33" stopIfTrue="1">
      <formula>$C23="*"</formula>
    </cfRule>
    <cfRule type="expression" dxfId="140" priority="34" stopIfTrue="1">
      <formula>$C23="-"</formula>
    </cfRule>
  </conditionalFormatting>
  <conditionalFormatting sqref="I15:I22">
    <cfRule type="expression" dxfId="139" priority="31" stopIfTrue="1">
      <formula>$C15="*"</formula>
    </cfRule>
    <cfRule type="expression" dxfId="138" priority="32" stopIfTrue="1">
      <formula>$C15="-"</formula>
    </cfRule>
  </conditionalFormatting>
  <conditionalFormatting sqref="P15:P22">
    <cfRule type="expression" dxfId="137" priority="29" stopIfTrue="1">
      <formula>$C15="*"</formula>
    </cfRule>
    <cfRule type="expression" dxfId="136" priority="30" stopIfTrue="1">
      <formula>$C15="-"</formula>
    </cfRule>
  </conditionalFormatting>
  <conditionalFormatting sqref="B15:B22">
    <cfRule type="expression" dxfId="135" priority="27" stopIfTrue="1">
      <formula>$C15="*"</formula>
    </cfRule>
    <cfRule type="expression" dxfId="134" priority="28" stopIfTrue="1">
      <formula>$C15="-"</formula>
    </cfRule>
  </conditionalFormatting>
  <conditionalFormatting sqref="I13">
    <cfRule type="expression" dxfId="133" priority="25" stopIfTrue="1">
      <formula>$C13="*"</formula>
    </cfRule>
    <cfRule type="expression" dxfId="132" priority="26" stopIfTrue="1">
      <formula>$C13="-"</formula>
    </cfRule>
  </conditionalFormatting>
  <conditionalFormatting sqref="P13:P14">
    <cfRule type="expression" dxfId="131" priority="23" stopIfTrue="1">
      <formula>$C13="*"</formula>
    </cfRule>
    <cfRule type="expression" dxfId="130" priority="24" stopIfTrue="1">
      <formula>$C13="-"</formula>
    </cfRule>
  </conditionalFormatting>
  <conditionalFormatting sqref="B13:B14">
    <cfRule type="expression" dxfId="129" priority="21" stopIfTrue="1">
      <formula>$C13="*"</formula>
    </cfRule>
    <cfRule type="expression" dxfId="128" priority="22" stopIfTrue="1">
      <formula>$C13="-"</formula>
    </cfRule>
  </conditionalFormatting>
  <conditionalFormatting sqref="I5 I8">
    <cfRule type="expression" dxfId="127" priority="19" stopIfTrue="1">
      <formula>$C5="*"</formula>
    </cfRule>
    <cfRule type="expression" dxfId="126" priority="20" stopIfTrue="1">
      <formula>$C5="-"</formula>
    </cfRule>
  </conditionalFormatting>
  <conditionalFormatting sqref="P5:P8">
    <cfRule type="expression" dxfId="125" priority="17" stopIfTrue="1">
      <formula>$C5="*"</formula>
    </cfRule>
    <cfRule type="expression" dxfId="124" priority="18" stopIfTrue="1">
      <formula>$C5="-"</formula>
    </cfRule>
  </conditionalFormatting>
  <conditionalFormatting sqref="B5 B7:B8">
    <cfRule type="expression" dxfId="123" priority="15" stopIfTrue="1">
      <formula>$C5="*"</formula>
    </cfRule>
    <cfRule type="expression" dxfId="122" priority="16" stopIfTrue="1">
      <formula>$C5="-"</formula>
    </cfRule>
  </conditionalFormatting>
  <conditionalFormatting sqref="I9:I12">
    <cfRule type="expression" dxfId="121" priority="13" stopIfTrue="1">
      <formula>$C9="*"</formula>
    </cfRule>
    <cfRule type="expression" dxfId="120" priority="14" stopIfTrue="1">
      <formula>$C9="-"</formula>
    </cfRule>
  </conditionalFormatting>
  <conditionalFormatting sqref="P9:P12">
    <cfRule type="expression" dxfId="119" priority="11" stopIfTrue="1">
      <formula>$C9="*"</formula>
    </cfRule>
    <cfRule type="expression" dxfId="118" priority="12" stopIfTrue="1">
      <formula>$C9="-"</formula>
    </cfRule>
  </conditionalFormatting>
  <conditionalFormatting sqref="B9:B12">
    <cfRule type="expression" dxfId="117" priority="9" stopIfTrue="1">
      <formula>$C9="*"</formula>
    </cfRule>
    <cfRule type="expression" dxfId="116" priority="10" stopIfTrue="1">
      <formula>$C9="-"</formula>
    </cfRule>
  </conditionalFormatting>
  <conditionalFormatting sqref="I6">
    <cfRule type="expression" dxfId="115" priority="7" stopIfTrue="1">
      <formula>$C6="*"</formula>
    </cfRule>
    <cfRule type="expression" dxfId="114" priority="8" stopIfTrue="1">
      <formula>$C6="-"</formula>
    </cfRule>
  </conditionalFormatting>
  <conditionalFormatting sqref="B6">
    <cfRule type="expression" dxfId="113" priority="5" stopIfTrue="1">
      <formula>$C6="*"</formula>
    </cfRule>
    <cfRule type="expression" dxfId="112" priority="6" stopIfTrue="1">
      <formula>$C6="-"</formula>
    </cfRule>
  </conditionalFormatting>
  <conditionalFormatting sqref="I7">
    <cfRule type="expression" dxfId="111" priority="3" stopIfTrue="1">
      <formula>$C7="*"</formula>
    </cfRule>
    <cfRule type="expression" dxfId="110" priority="4" stopIfTrue="1">
      <formula>$C7="-"</formula>
    </cfRule>
  </conditionalFormatting>
  <conditionalFormatting sqref="I14">
    <cfRule type="expression" dxfId="109" priority="1" stopIfTrue="1">
      <formula>$C14="*"</formula>
    </cfRule>
    <cfRule type="expression" dxfId="108" priority="2" stopIfTrue="1">
      <formula>$C14="-"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1"/>
  </sheetPr>
  <dimension ref="A1:AE36"/>
  <sheetViews>
    <sheetView topLeftCell="J1" zoomScale="70" zoomScaleNormal="70" workbookViewId="0">
      <pane ySplit="4" topLeftCell="A5" activePane="bottomLeft" state="frozen"/>
      <selection activeCell="E18" sqref="E18"/>
      <selection pane="bottomLeft" activeCell="A5" sqref="A5"/>
    </sheetView>
  </sheetViews>
  <sheetFormatPr defaultRowHeight="15"/>
  <cols>
    <col min="1" max="1" width="10.7109375" style="1" bestFit="1" customWidth="1"/>
    <col min="2" max="2" width="10.7109375" style="1" customWidth="1"/>
    <col min="3" max="5" width="10.140625" style="1" customWidth="1"/>
    <col min="6" max="6" width="9.7109375" style="1" bestFit="1" customWidth="1"/>
    <col min="7" max="7" width="13" style="1" bestFit="1" customWidth="1"/>
    <col min="8" max="9" width="9.140625" style="1" customWidth="1"/>
    <col min="10" max="13" width="10.140625" style="1" customWidth="1"/>
    <col min="14" max="14" width="13" style="1" bestFit="1" customWidth="1"/>
    <col min="15" max="16" width="9.140625" style="1" customWidth="1"/>
    <col min="17" max="19" width="10.140625" style="1" customWidth="1"/>
    <col min="20" max="20" width="9.140625" style="1"/>
    <col min="21" max="21" width="13" style="1" bestFit="1" customWidth="1"/>
    <col min="22" max="22" width="9.7109375" style="1" customWidth="1"/>
    <col min="23" max="23" width="9.140625" style="1"/>
    <col min="24" max="25" width="9.140625" style="10"/>
    <col min="26" max="26" width="12.85546875" style="10" customWidth="1"/>
    <col min="27" max="27" width="11" style="10" customWidth="1"/>
    <col min="28" max="29" width="9.140625" style="10"/>
    <col min="30" max="30" width="13.7109375" customWidth="1"/>
    <col min="31" max="31" width="12.5703125" bestFit="1" customWidth="1"/>
  </cols>
  <sheetData>
    <row r="1" spans="1:31" ht="21.75" thickBot="1">
      <c r="A1" s="593" t="s">
        <v>11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444"/>
      <c r="X1" s="9"/>
      <c r="Y1" s="9"/>
      <c r="Z1" s="9"/>
      <c r="AA1" s="9"/>
      <c r="AB1" s="9"/>
      <c r="AC1" s="9"/>
    </row>
    <row r="2" spans="1:31" ht="15.75" thickBot="1">
      <c r="A2" s="585" t="s">
        <v>0</v>
      </c>
      <c r="B2" s="567" t="s">
        <v>207</v>
      </c>
      <c r="C2" s="568"/>
      <c r="D2" s="568"/>
      <c r="E2" s="568"/>
      <c r="F2" s="568"/>
      <c r="G2" s="568"/>
      <c r="H2" s="569"/>
      <c r="I2" s="567" t="s">
        <v>208</v>
      </c>
      <c r="J2" s="568"/>
      <c r="K2" s="568"/>
      <c r="L2" s="568"/>
      <c r="M2" s="568"/>
      <c r="N2" s="568"/>
      <c r="O2" s="569"/>
      <c r="P2" s="567" t="s">
        <v>209</v>
      </c>
      <c r="Q2" s="568"/>
      <c r="R2" s="568"/>
      <c r="S2" s="568"/>
      <c r="T2" s="568"/>
      <c r="U2" s="568"/>
      <c r="V2" s="569"/>
      <c r="W2" s="572" t="s">
        <v>3</v>
      </c>
      <c r="X2" s="573"/>
      <c r="Y2" s="573"/>
      <c r="Z2" s="573"/>
      <c r="AA2" s="573"/>
      <c r="AB2" s="573"/>
      <c r="AC2" s="599"/>
    </row>
    <row r="3" spans="1:31" ht="15" customHeight="1">
      <c r="A3" s="596"/>
      <c r="B3" s="606" t="s">
        <v>203</v>
      </c>
      <c r="C3" s="610" t="s">
        <v>204</v>
      </c>
      <c r="D3" s="608" t="s">
        <v>205</v>
      </c>
      <c r="E3" s="598" t="s">
        <v>199</v>
      </c>
      <c r="F3" s="587" t="s">
        <v>202</v>
      </c>
      <c r="G3" s="587" t="s">
        <v>1</v>
      </c>
      <c r="H3" s="587" t="s">
        <v>2</v>
      </c>
      <c r="I3" s="606" t="s">
        <v>203</v>
      </c>
      <c r="J3" s="610" t="s">
        <v>204</v>
      </c>
      <c r="K3" s="608" t="s">
        <v>205</v>
      </c>
      <c r="L3" s="577" t="s">
        <v>199</v>
      </c>
      <c r="M3" s="587" t="s">
        <v>200</v>
      </c>
      <c r="N3" s="587" t="s">
        <v>1</v>
      </c>
      <c r="O3" s="587" t="s">
        <v>2</v>
      </c>
      <c r="P3" s="582" t="s">
        <v>203</v>
      </c>
      <c r="Q3" s="579" t="s">
        <v>204</v>
      </c>
      <c r="R3" s="583" t="s">
        <v>205</v>
      </c>
      <c r="S3" s="616" t="s">
        <v>199</v>
      </c>
      <c r="T3" s="587" t="s">
        <v>200</v>
      </c>
      <c r="U3" s="612" t="s">
        <v>1</v>
      </c>
      <c r="V3" s="594" t="s">
        <v>2</v>
      </c>
      <c r="W3" s="582" t="s">
        <v>203</v>
      </c>
      <c r="X3" s="579" t="s">
        <v>204</v>
      </c>
      <c r="Y3" s="583" t="s">
        <v>205</v>
      </c>
      <c r="Z3" s="577" t="s">
        <v>199</v>
      </c>
      <c r="AA3" s="587" t="s">
        <v>200</v>
      </c>
      <c r="AB3" s="600" t="s">
        <v>1</v>
      </c>
      <c r="AC3" s="585" t="s">
        <v>2</v>
      </c>
      <c r="AD3" s="602" t="s">
        <v>13</v>
      </c>
      <c r="AE3" s="614" t="s">
        <v>218</v>
      </c>
    </row>
    <row r="4" spans="1:31" ht="15.75" thickBot="1">
      <c r="A4" s="586"/>
      <c r="B4" s="607"/>
      <c r="C4" s="611"/>
      <c r="D4" s="609"/>
      <c r="E4" s="576"/>
      <c r="F4" s="588"/>
      <c r="G4" s="588"/>
      <c r="H4" s="588"/>
      <c r="I4" s="607"/>
      <c r="J4" s="611"/>
      <c r="K4" s="609"/>
      <c r="L4" s="578"/>
      <c r="M4" s="588"/>
      <c r="N4" s="588"/>
      <c r="O4" s="588"/>
      <c r="P4" s="566"/>
      <c r="Q4" s="571"/>
      <c r="R4" s="584"/>
      <c r="S4" s="617"/>
      <c r="T4" s="588"/>
      <c r="U4" s="613"/>
      <c r="V4" s="595"/>
      <c r="W4" s="566"/>
      <c r="X4" s="571"/>
      <c r="Y4" s="584"/>
      <c r="Z4" s="578"/>
      <c r="AA4" s="588"/>
      <c r="AB4" s="601"/>
      <c r="AC4" s="586"/>
      <c r="AD4" s="603"/>
      <c r="AE4" s="615"/>
    </row>
    <row r="5" spans="1:31">
      <c r="A5" s="435">
        <f>'SQ-1'!A5</f>
        <v>43952</v>
      </c>
      <c r="B5" s="518"/>
      <c r="C5" s="464">
        <f t="shared" ref="C5:C35" si="0">B5-(D5/60)</f>
        <v>0</v>
      </c>
      <c r="D5" s="5"/>
      <c r="E5" s="3"/>
      <c r="F5" s="434"/>
      <c r="G5" s="5"/>
      <c r="H5" s="6" t="e">
        <f t="shared" ref="H5:H35" si="1">G5/B5</f>
        <v>#DIV/0!</v>
      </c>
      <c r="I5" s="518"/>
      <c r="J5" s="464">
        <f t="shared" ref="J5:J35" si="2">I5-(K5/60)</f>
        <v>0</v>
      </c>
      <c r="K5" s="3"/>
      <c r="L5" s="3"/>
      <c r="M5" s="3"/>
      <c r="N5" s="5"/>
      <c r="O5" s="6" t="e">
        <f t="shared" ref="O5:O35" si="3">N5/I5</f>
        <v>#DIV/0!</v>
      </c>
      <c r="P5" s="518"/>
      <c r="Q5" s="464">
        <f t="shared" ref="Q5:Q35" si="4">P5-(R5/60)</f>
        <v>0</v>
      </c>
      <c r="R5" s="3"/>
      <c r="S5" s="3"/>
      <c r="T5" s="3"/>
      <c r="U5" s="5"/>
      <c r="V5" s="6" t="e">
        <f t="shared" ref="V5:V24" si="5">U5/P5</f>
        <v>#DIV/0!</v>
      </c>
      <c r="W5" s="470">
        <f t="shared" ref="W5:AB5" si="6">B5+I5+P5</f>
        <v>0</v>
      </c>
      <c r="X5" s="471">
        <f t="shared" si="6"/>
        <v>0</v>
      </c>
      <c r="Y5" s="472">
        <f t="shared" si="6"/>
        <v>0</v>
      </c>
      <c r="Z5" s="473">
        <f t="shared" si="6"/>
        <v>0</v>
      </c>
      <c r="AA5" s="473">
        <f t="shared" si="6"/>
        <v>0</v>
      </c>
      <c r="AB5" s="473">
        <f t="shared" si="6"/>
        <v>0</v>
      </c>
      <c r="AC5" s="473" t="e">
        <f>AB5/W5</f>
        <v>#DIV/0!</v>
      </c>
      <c r="AD5" s="471" t="e">
        <f>(AA5/1000)/W5</f>
        <v>#DIV/0!</v>
      </c>
      <c r="AE5" s="483" t="e">
        <f>AA5/Z5</f>
        <v>#DIV/0!</v>
      </c>
    </row>
    <row r="6" spans="1:31" ht="15" customHeight="1">
      <c r="A6" s="435">
        <f>'SQ-1'!A6</f>
        <v>43953</v>
      </c>
      <c r="B6" s="518"/>
      <c r="C6" s="464">
        <f t="shared" si="0"/>
        <v>0</v>
      </c>
      <c r="D6" s="5"/>
      <c r="E6" s="3"/>
      <c r="F6" s="434"/>
      <c r="G6" s="5"/>
      <c r="H6" s="6" t="e">
        <f t="shared" si="1"/>
        <v>#DIV/0!</v>
      </c>
      <c r="I6" s="518"/>
      <c r="J6" s="464">
        <f t="shared" si="2"/>
        <v>0</v>
      </c>
      <c r="K6" s="5"/>
      <c r="L6" s="3"/>
      <c r="M6" s="434"/>
      <c r="N6" s="5"/>
      <c r="O6" s="6" t="e">
        <f t="shared" si="3"/>
        <v>#DIV/0!</v>
      </c>
      <c r="P6" s="518"/>
      <c r="Q6" s="464">
        <f t="shared" si="4"/>
        <v>0</v>
      </c>
      <c r="R6" s="3"/>
      <c r="S6" s="3"/>
      <c r="T6" s="3"/>
      <c r="U6" s="5"/>
      <c r="V6" s="6" t="e">
        <f t="shared" si="5"/>
        <v>#DIV/0!</v>
      </c>
      <c r="W6" s="476">
        <f t="shared" ref="W6:W35" si="7">B6+I6+P6</f>
        <v>0</v>
      </c>
      <c r="X6" s="474">
        <f t="shared" ref="X6:X35" si="8">C6+J6+Q6</f>
        <v>0</v>
      </c>
      <c r="Y6" s="477">
        <f t="shared" ref="Y6:Y35" si="9">D6+K6+R6</f>
        <v>0</v>
      </c>
      <c r="Z6" s="478">
        <f t="shared" ref="Z6:Z34" si="10">E6+L6+S6</f>
        <v>0</v>
      </c>
      <c r="AA6" s="478">
        <f t="shared" ref="AA6:AA35" si="11">F6+M6+T6</f>
        <v>0</v>
      </c>
      <c r="AB6" s="478">
        <f t="shared" ref="AB6:AB35" si="12">G6+N6+U6</f>
        <v>0</v>
      </c>
      <c r="AC6" s="478" t="e">
        <f t="shared" ref="AC6:AC35" si="13">AB6/W6</f>
        <v>#DIV/0!</v>
      </c>
      <c r="AD6" s="474" t="e">
        <f t="shared" ref="AD6:AD35" si="14">(AA6/1000)/W6</f>
        <v>#DIV/0!</v>
      </c>
      <c r="AE6" s="475" t="e">
        <f t="shared" ref="AE6:AE35" si="15">AA6/Z6</f>
        <v>#DIV/0!</v>
      </c>
    </row>
    <row r="7" spans="1:31">
      <c r="A7" s="435">
        <f>'SQ-1'!A7</f>
        <v>43954</v>
      </c>
      <c r="B7" s="518"/>
      <c r="C7" s="464">
        <f t="shared" si="0"/>
        <v>0</v>
      </c>
      <c r="D7" s="5"/>
      <c r="E7" s="3"/>
      <c r="F7" s="434"/>
      <c r="G7" s="5"/>
      <c r="H7" s="6" t="e">
        <f t="shared" si="1"/>
        <v>#DIV/0!</v>
      </c>
      <c r="I7" s="518"/>
      <c r="J7" s="464">
        <f t="shared" si="2"/>
        <v>0</v>
      </c>
      <c r="K7" s="5"/>
      <c r="L7" s="3"/>
      <c r="M7" s="434"/>
      <c r="N7" s="5"/>
      <c r="O7" s="6" t="e">
        <f t="shared" si="3"/>
        <v>#DIV/0!</v>
      </c>
      <c r="P7" s="518"/>
      <c r="Q7" s="464">
        <f t="shared" si="4"/>
        <v>0</v>
      </c>
      <c r="R7" s="3"/>
      <c r="S7" s="3"/>
      <c r="T7" s="3"/>
      <c r="U7" s="5"/>
      <c r="V7" s="6" t="e">
        <f t="shared" si="5"/>
        <v>#DIV/0!</v>
      </c>
      <c r="W7" s="476">
        <f t="shared" si="7"/>
        <v>0</v>
      </c>
      <c r="X7" s="474">
        <f t="shared" si="8"/>
        <v>0</v>
      </c>
      <c r="Y7" s="477">
        <f>D7+K7+R7</f>
        <v>0</v>
      </c>
      <c r="Z7" s="478">
        <f t="shared" si="10"/>
        <v>0</v>
      </c>
      <c r="AA7" s="478">
        <f t="shared" si="11"/>
        <v>0</v>
      </c>
      <c r="AB7" s="478">
        <f t="shared" si="12"/>
        <v>0</v>
      </c>
      <c r="AC7" s="478" t="e">
        <f t="shared" si="13"/>
        <v>#DIV/0!</v>
      </c>
      <c r="AD7" s="474" t="e">
        <f t="shared" si="14"/>
        <v>#DIV/0!</v>
      </c>
      <c r="AE7" s="475" t="e">
        <f t="shared" si="15"/>
        <v>#DIV/0!</v>
      </c>
    </row>
    <row r="8" spans="1:31">
      <c r="A8" s="435">
        <f>'SQ-1'!A8</f>
        <v>43955</v>
      </c>
      <c r="B8" s="518"/>
      <c r="C8" s="464">
        <f t="shared" si="0"/>
        <v>0</v>
      </c>
      <c r="D8" s="5"/>
      <c r="E8" s="3"/>
      <c r="F8" s="434"/>
      <c r="G8" s="5"/>
      <c r="H8" s="6" t="e">
        <f t="shared" si="1"/>
        <v>#DIV/0!</v>
      </c>
      <c r="I8" s="518"/>
      <c r="J8" s="464">
        <f t="shared" si="2"/>
        <v>0</v>
      </c>
      <c r="K8" s="3"/>
      <c r="L8" s="3"/>
      <c r="M8" s="3"/>
      <c r="N8" s="5"/>
      <c r="O8" s="6" t="e">
        <f t="shared" si="3"/>
        <v>#DIV/0!</v>
      </c>
      <c r="P8" s="518"/>
      <c r="Q8" s="464">
        <f t="shared" si="4"/>
        <v>0</v>
      </c>
      <c r="R8" s="3"/>
      <c r="S8" s="3"/>
      <c r="T8" s="3"/>
      <c r="U8" s="5"/>
      <c r="V8" s="6" t="e">
        <f t="shared" si="5"/>
        <v>#DIV/0!</v>
      </c>
      <c r="W8" s="476">
        <f t="shared" si="7"/>
        <v>0</v>
      </c>
      <c r="X8" s="474">
        <f t="shared" si="8"/>
        <v>0</v>
      </c>
      <c r="Y8" s="477">
        <f>D8+K8+R8</f>
        <v>0</v>
      </c>
      <c r="Z8" s="478">
        <f t="shared" si="10"/>
        <v>0</v>
      </c>
      <c r="AA8" s="478">
        <f t="shared" si="11"/>
        <v>0</v>
      </c>
      <c r="AB8" s="478">
        <f t="shared" si="12"/>
        <v>0</v>
      </c>
      <c r="AC8" s="478" t="e">
        <f t="shared" si="13"/>
        <v>#DIV/0!</v>
      </c>
      <c r="AD8" s="474" t="e">
        <f t="shared" si="14"/>
        <v>#DIV/0!</v>
      </c>
      <c r="AE8" s="475" t="e">
        <f t="shared" si="15"/>
        <v>#DIV/0!</v>
      </c>
    </row>
    <row r="9" spans="1:31">
      <c r="A9" s="435">
        <f>'SQ-1'!A9</f>
        <v>43956</v>
      </c>
      <c r="B9" s="518"/>
      <c r="C9" s="464">
        <f t="shared" si="0"/>
        <v>0</v>
      </c>
      <c r="D9" s="5"/>
      <c r="E9" s="3"/>
      <c r="F9" s="434"/>
      <c r="G9" s="5"/>
      <c r="H9" s="6" t="e">
        <f t="shared" si="1"/>
        <v>#DIV/0!</v>
      </c>
      <c r="I9" s="518"/>
      <c r="J9" s="464">
        <f t="shared" si="2"/>
        <v>0</v>
      </c>
      <c r="K9" s="3"/>
      <c r="L9" s="3"/>
      <c r="M9" s="3"/>
      <c r="N9" s="5"/>
      <c r="O9" s="6" t="e">
        <f t="shared" si="3"/>
        <v>#DIV/0!</v>
      </c>
      <c r="P9" s="518"/>
      <c r="Q9" s="464">
        <f t="shared" si="4"/>
        <v>0</v>
      </c>
      <c r="R9" s="3"/>
      <c r="S9" s="3"/>
      <c r="T9" s="3"/>
      <c r="U9" s="5"/>
      <c r="V9" s="6" t="e">
        <f t="shared" si="5"/>
        <v>#DIV/0!</v>
      </c>
      <c r="W9" s="476">
        <f t="shared" si="7"/>
        <v>0</v>
      </c>
      <c r="X9" s="474">
        <f t="shared" si="8"/>
        <v>0</v>
      </c>
      <c r="Y9" s="477">
        <f t="shared" si="9"/>
        <v>0</v>
      </c>
      <c r="Z9" s="478">
        <f t="shared" si="10"/>
        <v>0</v>
      </c>
      <c r="AA9" s="478">
        <f t="shared" si="11"/>
        <v>0</v>
      </c>
      <c r="AB9" s="478">
        <f t="shared" si="12"/>
        <v>0</v>
      </c>
      <c r="AC9" s="478" t="e">
        <f t="shared" si="13"/>
        <v>#DIV/0!</v>
      </c>
      <c r="AD9" s="474" t="e">
        <f t="shared" si="14"/>
        <v>#DIV/0!</v>
      </c>
      <c r="AE9" s="475" t="e">
        <f t="shared" si="15"/>
        <v>#DIV/0!</v>
      </c>
    </row>
    <row r="10" spans="1:31">
      <c r="A10" s="435">
        <f>'SQ-1'!A10</f>
        <v>43957</v>
      </c>
      <c r="B10" s="518"/>
      <c r="C10" s="464">
        <f t="shared" si="0"/>
        <v>0</v>
      </c>
      <c r="D10" s="5"/>
      <c r="E10" s="3"/>
      <c r="F10" s="434"/>
      <c r="G10" s="5"/>
      <c r="H10" s="6" t="e">
        <f t="shared" si="1"/>
        <v>#DIV/0!</v>
      </c>
      <c r="I10" s="518"/>
      <c r="J10" s="464">
        <f t="shared" si="2"/>
        <v>0</v>
      </c>
      <c r="K10" s="3"/>
      <c r="L10" s="3"/>
      <c r="M10" s="3"/>
      <c r="N10" s="5"/>
      <c r="O10" s="6" t="e">
        <f t="shared" si="3"/>
        <v>#DIV/0!</v>
      </c>
      <c r="P10" s="518"/>
      <c r="Q10" s="464">
        <f t="shared" si="4"/>
        <v>0</v>
      </c>
      <c r="R10" s="3"/>
      <c r="S10" s="3"/>
      <c r="T10" s="3"/>
      <c r="U10" s="5"/>
      <c r="V10" s="6" t="e">
        <f t="shared" si="5"/>
        <v>#DIV/0!</v>
      </c>
      <c r="W10" s="476">
        <f t="shared" si="7"/>
        <v>0</v>
      </c>
      <c r="X10" s="474">
        <f t="shared" si="8"/>
        <v>0</v>
      </c>
      <c r="Y10" s="477">
        <f t="shared" si="9"/>
        <v>0</v>
      </c>
      <c r="Z10" s="478">
        <f t="shared" si="10"/>
        <v>0</v>
      </c>
      <c r="AA10" s="478">
        <f t="shared" si="11"/>
        <v>0</v>
      </c>
      <c r="AB10" s="478">
        <f t="shared" si="12"/>
        <v>0</v>
      </c>
      <c r="AC10" s="478" t="e">
        <f t="shared" si="13"/>
        <v>#DIV/0!</v>
      </c>
      <c r="AD10" s="474" t="e">
        <f t="shared" si="14"/>
        <v>#DIV/0!</v>
      </c>
      <c r="AE10" s="475" t="e">
        <f t="shared" si="15"/>
        <v>#DIV/0!</v>
      </c>
    </row>
    <row r="11" spans="1:31">
      <c r="A11" s="435">
        <f>'SQ-1'!A11</f>
        <v>43958</v>
      </c>
      <c r="B11" s="518"/>
      <c r="C11" s="464">
        <f t="shared" si="0"/>
        <v>0</v>
      </c>
      <c r="D11" s="5"/>
      <c r="E11" s="3"/>
      <c r="F11" s="434"/>
      <c r="G11" s="5"/>
      <c r="H11" s="6" t="e">
        <f t="shared" si="1"/>
        <v>#DIV/0!</v>
      </c>
      <c r="I11" s="518"/>
      <c r="J11" s="464">
        <f t="shared" si="2"/>
        <v>0</v>
      </c>
      <c r="K11" s="3"/>
      <c r="L11" s="3"/>
      <c r="M11" s="3"/>
      <c r="N11" s="5"/>
      <c r="O11" s="6" t="e">
        <f t="shared" si="3"/>
        <v>#DIV/0!</v>
      </c>
      <c r="P11" s="518"/>
      <c r="Q11" s="464">
        <f t="shared" si="4"/>
        <v>0</v>
      </c>
      <c r="R11" s="3"/>
      <c r="S11" s="3"/>
      <c r="T11" s="3"/>
      <c r="U11" s="5"/>
      <c r="V11" s="6" t="e">
        <f t="shared" si="5"/>
        <v>#DIV/0!</v>
      </c>
      <c r="W11" s="476">
        <f t="shared" si="7"/>
        <v>0</v>
      </c>
      <c r="X11" s="474">
        <f t="shared" si="8"/>
        <v>0</v>
      </c>
      <c r="Y11" s="477">
        <f t="shared" si="9"/>
        <v>0</v>
      </c>
      <c r="Z11" s="478">
        <f t="shared" si="10"/>
        <v>0</v>
      </c>
      <c r="AA11" s="478">
        <f t="shared" si="11"/>
        <v>0</v>
      </c>
      <c r="AB11" s="478">
        <f t="shared" si="12"/>
        <v>0</v>
      </c>
      <c r="AC11" s="478" t="e">
        <f t="shared" si="13"/>
        <v>#DIV/0!</v>
      </c>
      <c r="AD11" s="474" t="e">
        <f t="shared" si="14"/>
        <v>#DIV/0!</v>
      </c>
      <c r="AE11" s="475" t="e">
        <f t="shared" si="15"/>
        <v>#DIV/0!</v>
      </c>
    </row>
    <row r="12" spans="1:31">
      <c r="A12" s="435">
        <f>'SQ-1'!A12</f>
        <v>43959</v>
      </c>
      <c r="B12" s="518"/>
      <c r="C12" s="464">
        <f t="shared" si="0"/>
        <v>0</v>
      </c>
      <c r="D12" s="5"/>
      <c r="E12" s="3"/>
      <c r="F12" s="434"/>
      <c r="G12" s="5"/>
      <c r="H12" s="6" t="e">
        <f t="shared" si="1"/>
        <v>#DIV/0!</v>
      </c>
      <c r="I12" s="518"/>
      <c r="J12" s="464">
        <f t="shared" si="2"/>
        <v>0</v>
      </c>
      <c r="K12" s="3"/>
      <c r="L12" s="3"/>
      <c r="M12" s="3"/>
      <c r="N12" s="5"/>
      <c r="O12" s="6" t="e">
        <f t="shared" si="3"/>
        <v>#DIV/0!</v>
      </c>
      <c r="P12" s="518"/>
      <c r="Q12" s="464">
        <f t="shared" si="4"/>
        <v>0</v>
      </c>
      <c r="R12" s="3"/>
      <c r="S12" s="3"/>
      <c r="T12" s="3"/>
      <c r="U12" s="5"/>
      <c r="V12" s="6" t="e">
        <f t="shared" si="5"/>
        <v>#DIV/0!</v>
      </c>
      <c r="W12" s="476">
        <f t="shared" si="7"/>
        <v>0</v>
      </c>
      <c r="X12" s="474">
        <f t="shared" si="8"/>
        <v>0</v>
      </c>
      <c r="Y12" s="477">
        <f t="shared" si="9"/>
        <v>0</v>
      </c>
      <c r="Z12" s="478">
        <f t="shared" si="10"/>
        <v>0</v>
      </c>
      <c r="AA12" s="478">
        <f t="shared" si="11"/>
        <v>0</v>
      </c>
      <c r="AB12" s="478">
        <f t="shared" si="12"/>
        <v>0</v>
      </c>
      <c r="AC12" s="478" t="e">
        <f t="shared" si="13"/>
        <v>#DIV/0!</v>
      </c>
      <c r="AD12" s="474" t="e">
        <f t="shared" si="14"/>
        <v>#DIV/0!</v>
      </c>
      <c r="AE12" s="475" t="e">
        <f t="shared" si="15"/>
        <v>#DIV/0!</v>
      </c>
    </row>
    <row r="13" spans="1:31">
      <c r="A13" s="435">
        <f>'SQ-1'!A13</f>
        <v>43960</v>
      </c>
      <c r="B13" s="518"/>
      <c r="C13" s="464">
        <f t="shared" si="0"/>
        <v>0</v>
      </c>
      <c r="D13" s="5"/>
      <c r="E13" s="3"/>
      <c r="F13" s="434"/>
      <c r="G13" s="5"/>
      <c r="H13" s="6" t="e">
        <f t="shared" si="1"/>
        <v>#DIV/0!</v>
      </c>
      <c r="I13" s="518"/>
      <c r="J13" s="464">
        <f t="shared" si="2"/>
        <v>0</v>
      </c>
      <c r="K13" s="3"/>
      <c r="L13" s="3"/>
      <c r="M13" s="3"/>
      <c r="N13" s="5"/>
      <c r="O13" s="6" t="e">
        <f t="shared" si="3"/>
        <v>#DIV/0!</v>
      </c>
      <c r="P13" s="518"/>
      <c r="Q13" s="464">
        <f t="shared" si="4"/>
        <v>0</v>
      </c>
      <c r="R13" s="3"/>
      <c r="S13" s="3"/>
      <c r="T13" s="3"/>
      <c r="U13" s="5"/>
      <c r="V13" s="6" t="e">
        <f t="shared" si="5"/>
        <v>#DIV/0!</v>
      </c>
      <c r="W13" s="476">
        <f t="shared" si="7"/>
        <v>0</v>
      </c>
      <c r="X13" s="474">
        <f t="shared" si="8"/>
        <v>0</v>
      </c>
      <c r="Y13" s="477">
        <f t="shared" si="9"/>
        <v>0</v>
      </c>
      <c r="Z13" s="478">
        <f t="shared" si="10"/>
        <v>0</v>
      </c>
      <c r="AA13" s="478">
        <f t="shared" si="11"/>
        <v>0</v>
      </c>
      <c r="AB13" s="478">
        <f t="shared" si="12"/>
        <v>0</v>
      </c>
      <c r="AC13" s="478" t="e">
        <f t="shared" si="13"/>
        <v>#DIV/0!</v>
      </c>
      <c r="AD13" s="474" t="e">
        <f t="shared" si="14"/>
        <v>#DIV/0!</v>
      </c>
      <c r="AE13" s="475" t="e">
        <f t="shared" si="15"/>
        <v>#DIV/0!</v>
      </c>
    </row>
    <row r="14" spans="1:31">
      <c r="A14" s="435">
        <f>'SQ-1'!A14</f>
        <v>43961</v>
      </c>
      <c r="B14" s="518"/>
      <c r="C14" s="464">
        <f t="shared" si="0"/>
        <v>0</v>
      </c>
      <c r="D14" s="5"/>
      <c r="E14" s="3"/>
      <c r="F14" s="434"/>
      <c r="G14" s="5"/>
      <c r="H14" s="6" t="e">
        <f t="shared" si="1"/>
        <v>#DIV/0!</v>
      </c>
      <c r="I14" s="518"/>
      <c r="J14" s="464">
        <f t="shared" si="2"/>
        <v>0</v>
      </c>
      <c r="K14" s="3"/>
      <c r="L14" s="3"/>
      <c r="M14" s="3"/>
      <c r="N14" s="5"/>
      <c r="O14" s="6" t="e">
        <f t="shared" si="3"/>
        <v>#DIV/0!</v>
      </c>
      <c r="P14" s="518"/>
      <c r="Q14" s="464">
        <f t="shared" si="4"/>
        <v>0</v>
      </c>
      <c r="R14" s="3"/>
      <c r="S14" s="3"/>
      <c r="T14" s="3"/>
      <c r="U14" s="5"/>
      <c r="V14" s="6" t="e">
        <f t="shared" si="5"/>
        <v>#DIV/0!</v>
      </c>
      <c r="W14" s="476">
        <f t="shared" si="7"/>
        <v>0</v>
      </c>
      <c r="X14" s="474">
        <f t="shared" si="8"/>
        <v>0</v>
      </c>
      <c r="Y14" s="477">
        <f t="shared" si="9"/>
        <v>0</v>
      </c>
      <c r="Z14" s="478">
        <f t="shared" si="10"/>
        <v>0</v>
      </c>
      <c r="AA14" s="478">
        <f t="shared" si="11"/>
        <v>0</v>
      </c>
      <c r="AB14" s="478">
        <f t="shared" si="12"/>
        <v>0</v>
      </c>
      <c r="AC14" s="478" t="e">
        <f t="shared" si="13"/>
        <v>#DIV/0!</v>
      </c>
      <c r="AD14" s="474" t="e">
        <f t="shared" si="14"/>
        <v>#DIV/0!</v>
      </c>
      <c r="AE14" s="475" t="e">
        <f t="shared" si="15"/>
        <v>#DIV/0!</v>
      </c>
    </row>
    <row r="15" spans="1:31">
      <c r="A15" s="435">
        <f>'SQ-1'!A15</f>
        <v>43962</v>
      </c>
      <c r="B15" s="518"/>
      <c r="C15" s="464">
        <f t="shared" si="0"/>
        <v>0</v>
      </c>
      <c r="D15" s="5"/>
      <c r="E15" s="3"/>
      <c r="F15" s="434"/>
      <c r="G15" s="5"/>
      <c r="H15" s="6" t="e">
        <f t="shared" si="1"/>
        <v>#DIV/0!</v>
      </c>
      <c r="I15" s="518"/>
      <c r="J15" s="464">
        <f t="shared" si="2"/>
        <v>0</v>
      </c>
      <c r="K15" s="3"/>
      <c r="L15" s="3"/>
      <c r="M15" s="3"/>
      <c r="N15" s="5"/>
      <c r="O15" s="6" t="e">
        <f t="shared" si="3"/>
        <v>#DIV/0!</v>
      </c>
      <c r="P15" s="518"/>
      <c r="Q15" s="464">
        <f t="shared" si="4"/>
        <v>0</v>
      </c>
      <c r="R15" s="3"/>
      <c r="S15" s="3"/>
      <c r="T15" s="3"/>
      <c r="U15" s="5"/>
      <c r="V15" s="6" t="e">
        <f t="shared" si="5"/>
        <v>#DIV/0!</v>
      </c>
      <c r="W15" s="476">
        <f t="shared" si="7"/>
        <v>0</v>
      </c>
      <c r="X15" s="474">
        <f t="shared" si="8"/>
        <v>0</v>
      </c>
      <c r="Y15" s="477">
        <f t="shared" si="9"/>
        <v>0</v>
      </c>
      <c r="Z15" s="478">
        <f t="shared" si="10"/>
        <v>0</v>
      </c>
      <c r="AA15" s="478">
        <f t="shared" si="11"/>
        <v>0</v>
      </c>
      <c r="AB15" s="478">
        <f t="shared" si="12"/>
        <v>0</v>
      </c>
      <c r="AC15" s="478" t="e">
        <f t="shared" si="13"/>
        <v>#DIV/0!</v>
      </c>
      <c r="AD15" s="474" t="e">
        <f t="shared" si="14"/>
        <v>#DIV/0!</v>
      </c>
      <c r="AE15" s="475" t="e">
        <f t="shared" si="15"/>
        <v>#DIV/0!</v>
      </c>
    </row>
    <row r="16" spans="1:31">
      <c r="A16" s="435">
        <f>'SQ-1'!A16</f>
        <v>43963</v>
      </c>
      <c r="B16" s="518"/>
      <c r="C16" s="464">
        <f t="shared" si="0"/>
        <v>0</v>
      </c>
      <c r="D16" s="5"/>
      <c r="E16" s="3"/>
      <c r="F16" s="434"/>
      <c r="G16" s="5"/>
      <c r="H16" s="6" t="e">
        <f t="shared" si="1"/>
        <v>#DIV/0!</v>
      </c>
      <c r="I16" s="518"/>
      <c r="J16" s="464">
        <f t="shared" si="2"/>
        <v>0</v>
      </c>
      <c r="K16" s="3"/>
      <c r="L16" s="3"/>
      <c r="M16" s="3"/>
      <c r="N16" s="5"/>
      <c r="O16" s="6" t="e">
        <f t="shared" si="3"/>
        <v>#DIV/0!</v>
      </c>
      <c r="P16" s="518"/>
      <c r="Q16" s="464">
        <f t="shared" si="4"/>
        <v>0</v>
      </c>
      <c r="R16" s="3"/>
      <c r="S16" s="3"/>
      <c r="T16" s="3"/>
      <c r="U16" s="5"/>
      <c r="V16" s="6" t="e">
        <f t="shared" si="5"/>
        <v>#DIV/0!</v>
      </c>
      <c r="W16" s="476">
        <f t="shared" si="7"/>
        <v>0</v>
      </c>
      <c r="X16" s="474">
        <f t="shared" si="8"/>
        <v>0</v>
      </c>
      <c r="Y16" s="477">
        <f t="shared" si="9"/>
        <v>0</v>
      </c>
      <c r="Z16" s="478">
        <f t="shared" si="10"/>
        <v>0</v>
      </c>
      <c r="AA16" s="478">
        <f t="shared" si="11"/>
        <v>0</v>
      </c>
      <c r="AB16" s="478">
        <f t="shared" si="12"/>
        <v>0</v>
      </c>
      <c r="AC16" s="478" t="e">
        <f t="shared" si="13"/>
        <v>#DIV/0!</v>
      </c>
      <c r="AD16" s="474" t="e">
        <f t="shared" si="14"/>
        <v>#DIV/0!</v>
      </c>
      <c r="AE16" s="475" t="e">
        <f t="shared" si="15"/>
        <v>#DIV/0!</v>
      </c>
    </row>
    <row r="17" spans="1:31">
      <c r="A17" s="435">
        <f>'SQ-1'!A17</f>
        <v>43964</v>
      </c>
      <c r="B17" s="518"/>
      <c r="C17" s="464">
        <f t="shared" si="0"/>
        <v>0</v>
      </c>
      <c r="D17" s="5"/>
      <c r="E17" s="3"/>
      <c r="F17" s="434"/>
      <c r="G17" s="5"/>
      <c r="H17" s="6" t="e">
        <f t="shared" si="1"/>
        <v>#DIV/0!</v>
      </c>
      <c r="I17" s="518"/>
      <c r="J17" s="464">
        <f t="shared" si="2"/>
        <v>0</v>
      </c>
      <c r="K17" s="3"/>
      <c r="L17" s="3"/>
      <c r="M17" s="3"/>
      <c r="N17" s="5"/>
      <c r="O17" s="6" t="e">
        <f t="shared" si="3"/>
        <v>#DIV/0!</v>
      </c>
      <c r="P17" s="518"/>
      <c r="Q17" s="464">
        <f t="shared" si="4"/>
        <v>0</v>
      </c>
      <c r="R17" s="3"/>
      <c r="S17" s="3"/>
      <c r="T17" s="3"/>
      <c r="U17" s="5"/>
      <c r="V17" s="6" t="e">
        <f t="shared" si="5"/>
        <v>#DIV/0!</v>
      </c>
      <c r="W17" s="476">
        <f t="shared" si="7"/>
        <v>0</v>
      </c>
      <c r="X17" s="474">
        <f t="shared" si="8"/>
        <v>0</v>
      </c>
      <c r="Y17" s="477">
        <f t="shared" si="9"/>
        <v>0</v>
      </c>
      <c r="Z17" s="478">
        <f t="shared" si="10"/>
        <v>0</v>
      </c>
      <c r="AA17" s="478">
        <f t="shared" si="11"/>
        <v>0</v>
      </c>
      <c r="AB17" s="478">
        <f t="shared" si="12"/>
        <v>0</v>
      </c>
      <c r="AC17" s="478" t="e">
        <f t="shared" si="13"/>
        <v>#DIV/0!</v>
      </c>
      <c r="AD17" s="474" t="e">
        <f t="shared" si="14"/>
        <v>#DIV/0!</v>
      </c>
      <c r="AE17" s="475" t="e">
        <f t="shared" si="15"/>
        <v>#DIV/0!</v>
      </c>
    </row>
    <row r="18" spans="1:31">
      <c r="A18" s="435">
        <f>'SQ-1'!A18</f>
        <v>43965</v>
      </c>
      <c r="B18" s="518"/>
      <c r="C18" s="464">
        <f t="shared" si="0"/>
        <v>0</v>
      </c>
      <c r="D18" s="5"/>
      <c r="E18" s="3"/>
      <c r="F18" s="434"/>
      <c r="G18" s="5"/>
      <c r="H18" s="6" t="e">
        <f t="shared" si="1"/>
        <v>#DIV/0!</v>
      </c>
      <c r="I18" s="518"/>
      <c r="J18" s="464">
        <f t="shared" si="2"/>
        <v>0</v>
      </c>
      <c r="K18" s="3"/>
      <c r="L18" s="3"/>
      <c r="M18" s="3"/>
      <c r="N18" s="5"/>
      <c r="O18" s="6" t="e">
        <f t="shared" si="3"/>
        <v>#DIV/0!</v>
      </c>
      <c r="P18" s="518"/>
      <c r="Q18" s="464">
        <f t="shared" si="4"/>
        <v>0</v>
      </c>
      <c r="R18" s="3"/>
      <c r="S18" s="3"/>
      <c r="T18" s="3"/>
      <c r="U18" s="5"/>
      <c r="V18" s="6" t="e">
        <f t="shared" si="5"/>
        <v>#DIV/0!</v>
      </c>
      <c r="W18" s="476">
        <f t="shared" si="7"/>
        <v>0</v>
      </c>
      <c r="X18" s="474">
        <f t="shared" si="8"/>
        <v>0</v>
      </c>
      <c r="Y18" s="477">
        <f t="shared" si="9"/>
        <v>0</v>
      </c>
      <c r="Z18" s="478">
        <f t="shared" si="10"/>
        <v>0</v>
      </c>
      <c r="AA18" s="478">
        <f t="shared" si="11"/>
        <v>0</v>
      </c>
      <c r="AB18" s="478">
        <f t="shared" si="12"/>
        <v>0</v>
      </c>
      <c r="AC18" s="478" t="e">
        <f t="shared" si="13"/>
        <v>#DIV/0!</v>
      </c>
      <c r="AD18" s="474" t="e">
        <f t="shared" si="14"/>
        <v>#DIV/0!</v>
      </c>
      <c r="AE18" s="475" t="e">
        <f t="shared" si="15"/>
        <v>#DIV/0!</v>
      </c>
    </row>
    <row r="19" spans="1:31">
      <c r="A19" s="435">
        <f>'SQ-1'!A19</f>
        <v>43966</v>
      </c>
      <c r="B19" s="518"/>
      <c r="C19" s="464">
        <f t="shared" si="0"/>
        <v>0</v>
      </c>
      <c r="D19" s="5"/>
      <c r="E19" s="3"/>
      <c r="F19" s="434"/>
      <c r="G19" s="5"/>
      <c r="H19" s="6" t="e">
        <f t="shared" si="1"/>
        <v>#DIV/0!</v>
      </c>
      <c r="I19" s="518"/>
      <c r="J19" s="464">
        <f t="shared" si="2"/>
        <v>0</v>
      </c>
      <c r="K19" s="3"/>
      <c r="L19" s="3"/>
      <c r="M19" s="3"/>
      <c r="N19" s="5"/>
      <c r="O19" s="6" t="e">
        <f t="shared" si="3"/>
        <v>#DIV/0!</v>
      </c>
      <c r="P19" s="518"/>
      <c r="Q19" s="464">
        <f t="shared" si="4"/>
        <v>0</v>
      </c>
      <c r="R19" s="3"/>
      <c r="S19" s="3"/>
      <c r="T19" s="3"/>
      <c r="U19" s="5"/>
      <c r="V19" s="6" t="e">
        <f t="shared" si="5"/>
        <v>#DIV/0!</v>
      </c>
      <c r="W19" s="476">
        <f t="shared" si="7"/>
        <v>0</v>
      </c>
      <c r="X19" s="474">
        <f t="shared" si="8"/>
        <v>0</v>
      </c>
      <c r="Y19" s="477">
        <f t="shared" si="9"/>
        <v>0</v>
      </c>
      <c r="Z19" s="478">
        <f t="shared" si="10"/>
        <v>0</v>
      </c>
      <c r="AA19" s="478">
        <f t="shared" si="11"/>
        <v>0</v>
      </c>
      <c r="AB19" s="478">
        <f t="shared" si="12"/>
        <v>0</v>
      </c>
      <c r="AC19" s="478" t="e">
        <f t="shared" si="13"/>
        <v>#DIV/0!</v>
      </c>
      <c r="AD19" s="474" t="e">
        <f t="shared" si="14"/>
        <v>#DIV/0!</v>
      </c>
      <c r="AE19" s="475" t="e">
        <f t="shared" si="15"/>
        <v>#DIV/0!</v>
      </c>
    </row>
    <row r="20" spans="1:31">
      <c r="A20" s="435">
        <f>'SQ-1'!A20</f>
        <v>43967</v>
      </c>
      <c r="B20" s="518"/>
      <c r="C20" s="464">
        <f t="shared" si="0"/>
        <v>0</v>
      </c>
      <c r="D20" s="5"/>
      <c r="E20" s="3"/>
      <c r="F20" s="434"/>
      <c r="G20" s="5"/>
      <c r="H20" s="6" t="e">
        <f t="shared" si="1"/>
        <v>#DIV/0!</v>
      </c>
      <c r="I20" s="518"/>
      <c r="J20" s="464">
        <f t="shared" si="2"/>
        <v>0</v>
      </c>
      <c r="K20" s="3"/>
      <c r="L20" s="3"/>
      <c r="M20" s="3"/>
      <c r="N20" s="5"/>
      <c r="O20" s="6" t="e">
        <f t="shared" si="3"/>
        <v>#DIV/0!</v>
      </c>
      <c r="P20" s="518"/>
      <c r="Q20" s="464">
        <f t="shared" si="4"/>
        <v>0</v>
      </c>
      <c r="R20" s="3"/>
      <c r="S20" s="3"/>
      <c r="T20" s="3"/>
      <c r="U20" s="5"/>
      <c r="V20" s="6" t="e">
        <f t="shared" si="5"/>
        <v>#DIV/0!</v>
      </c>
      <c r="W20" s="476">
        <f t="shared" si="7"/>
        <v>0</v>
      </c>
      <c r="X20" s="474">
        <f t="shared" si="8"/>
        <v>0</v>
      </c>
      <c r="Y20" s="477">
        <f t="shared" si="9"/>
        <v>0</v>
      </c>
      <c r="Z20" s="478">
        <f t="shared" si="10"/>
        <v>0</v>
      </c>
      <c r="AA20" s="478">
        <f t="shared" si="11"/>
        <v>0</v>
      </c>
      <c r="AB20" s="478">
        <f t="shared" si="12"/>
        <v>0</v>
      </c>
      <c r="AC20" s="478" t="e">
        <f t="shared" si="13"/>
        <v>#DIV/0!</v>
      </c>
      <c r="AD20" s="474" t="e">
        <f t="shared" si="14"/>
        <v>#DIV/0!</v>
      </c>
      <c r="AE20" s="475" t="e">
        <f t="shared" si="15"/>
        <v>#DIV/0!</v>
      </c>
    </row>
    <row r="21" spans="1:31">
      <c r="A21" s="435">
        <f>'SQ-1'!A21</f>
        <v>43968</v>
      </c>
      <c r="B21" s="518"/>
      <c r="C21" s="464">
        <f t="shared" si="0"/>
        <v>0</v>
      </c>
      <c r="D21" s="5"/>
      <c r="E21" s="3"/>
      <c r="F21" s="434"/>
      <c r="G21" s="5"/>
      <c r="H21" s="6" t="e">
        <f t="shared" si="1"/>
        <v>#DIV/0!</v>
      </c>
      <c r="I21" s="518"/>
      <c r="J21" s="464">
        <f t="shared" si="2"/>
        <v>0</v>
      </c>
      <c r="K21" s="3"/>
      <c r="L21" s="3"/>
      <c r="M21" s="3"/>
      <c r="N21" s="5"/>
      <c r="O21" s="6" t="e">
        <f t="shared" si="3"/>
        <v>#DIV/0!</v>
      </c>
      <c r="P21" s="518"/>
      <c r="Q21" s="464">
        <f t="shared" si="4"/>
        <v>0</v>
      </c>
      <c r="R21" s="3"/>
      <c r="S21" s="3"/>
      <c r="T21" s="3"/>
      <c r="U21" s="5"/>
      <c r="V21" s="6" t="e">
        <f t="shared" si="5"/>
        <v>#DIV/0!</v>
      </c>
      <c r="W21" s="476">
        <f t="shared" si="7"/>
        <v>0</v>
      </c>
      <c r="X21" s="474">
        <f t="shared" si="8"/>
        <v>0</v>
      </c>
      <c r="Y21" s="477">
        <f t="shared" si="9"/>
        <v>0</v>
      </c>
      <c r="Z21" s="478">
        <f t="shared" si="10"/>
        <v>0</v>
      </c>
      <c r="AA21" s="478">
        <f t="shared" si="11"/>
        <v>0</v>
      </c>
      <c r="AB21" s="478">
        <f t="shared" si="12"/>
        <v>0</v>
      </c>
      <c r="AC21" s="478" t="e">
        <f t="shared" si="13"/>
        <v>#DIV/0!</v>
      </c>
      <c r="AD21" s="474" t="e">
        <f t="shared" si="14"/>
        <v>#DIV/0!</v>
      </c>
      <c r="AE21" s="475" t="e">
        <f t="shared" si="15"/>
        <v>#DIV/0!</v>
      </c>
    </row>
    <row r="22" spans="1:31">
      <c r="A22" s="435">
        <f>'SQ-1'!A22</f>
        <v>43969</v>
      </c>
      <c r="B22" s="518"/>
      <c r="C22" s="464">
        <f t="shared" si="0"/>
        <v>0</v>
      </c>
      <c r="D22" s="5"/>
      <c r="E22" s="3"/>
      <c r="F22" s="434"/>
      <c r="G22" s="5"/>
      <c r="H22" s="6" t="e">
        <f t="shared" si="1"/>
        <v>#DIV/0!</v>
      </c>
      <c r="I22" s="518"/>
      <c r="J22" s="464">
        <f t="shared" si="2"/>
        <v>0</v>
      </c>
      <c r="K22" s="3"/>
      <c r="L22" s="3"/>
      <c r="M22" s="3"/>
      <c r="N22" s="5"/>
      <c r="O22" s="6" t="e">
        <f t="shared" si="3"/>
        <v>#DIV/0!</v>
      </c>
      <c r="P22" s="518"/>
      <c r="Q22" s="464">
        <f t="shared" si="4"/>
        <v>0</v>
      </c>
      <c r="R22" s="3"/>
      <c r="S22" s="3"/>
      <c r="T22" s="3"/>
      <c r="U22" s="5"/>
      <c r="V22" s="6" t="e">
        <f t="shared" si="5"/>
        <v>#DIV/0!</v>
      </c>
      <c r="W22" s="476">
        <f t="shared" si="7"/>
        <v>0</v>
      </c>
      <c r="X22" s="474">
        <f t="shared" si="8"/>
        <v>0</v>
      </c>
      <c r="Y22" s="477">
        <f t="shared" si="9"/>
        <v>0</v>
      </c>
      <c r="Z22" s="478">
        <f t="shared" si="10"/>
        <v>0</v>
      </c>
      <c r="AA22" s="478">
        <f t="shared" si="11"/>
        <v>0</v>
      </c>
      <c r="AB22" s="478">
        <f t="shared" si="12"/>
        <v>0</v>
      </c>
      <c r="AC22" s="478" t="e">
        <f t="shared" si="13"/>
        <v>#DIV/0!</v>
      </c>
      <c r="AD22" s="474" t="e">
        <f t="shared" si="14"/>
        <v>#DIV/0!</v>
      </c>
      <c r="AE22" s="475" t="e">
        <f t="shared" si="15"/>
        <v>#DIV/0!</v>
      </c>
    </row>
    <row r="23" spans="1:31">
      <c r="A23" s="435">
        <f>'SQ-1'!A23</f>
        <v>43970</v>
      </c>
      <c r="B23" s="518"/>
      <c r="C23" s="464">
        <f t="shared" si="0"/>
        <v>0</v>
      </c>
      <c r="D23" s="5"/>
      <c r="E23" s="3"/>
      <c r="F23" s="434"/>
      <c r="G23" s="5"/>
      <c r="H23" s="6" t="e">
        <f t="shared" si="1"/>
        <v>#DIV/0!</v>
      </c>
      <c r="I23" s="518"/>
      <c r="J23" s="464">
        <f t="shared" si="2"/>
        <v>0</v>
      </c>
      <c r="K23" s="3"/>
      <c r="L23" s="3"/>
      <c r="M23" s="3"/>
      <c r="N23" s="5"/>
      <c r="O23" s="6" t="e">
        <f t="shared" si="3"/>
        <v>#DIV/0!</v>
      </c>
      <c r="P23" s="518"/>
      <c r="Q23" s="464">
        <f t="shared" si="4"/>
        <v>0</v>
      </c>
      <c r="R23" s="3"/>
      <c r="S23" s="3"/>
      <c r="T23" s="3"/>
      <c r="U23" s="5"/>
      <c r="V23" s="6" t="e">
        <f t="shared" si="5"/>
        <v>#DIV/0!</v>
      </c>
      <c r="W23" s="476">
        <f t="shared" si="7"/>
        <v>0</v>
      </c>
      <c r="X23" s="474">
        <f t="shared" si="8"/>
        <v>0</v>
      </c>
      <c r="Y23" s="477">
        <f t="shared" si="9"/>
        <v>0</v>
      </c>
      <c r="Z23" s="478">
        <f>E23+L23+S23</f>
        <v>0</v>
      </c>
      <c r="AA23" s="478">
        <f t="shared" si="11"/>
        <v>0</v>
      </c>
      <c r="AB23" s="478">
        <f t="shared" si="12"/>
        <v>0</v>
      </c>
      <c r="AC23" s="478" t="e">
        <f t="shared" si="13"/>
        <v>#DIV/0!</v>
      </c>
      <c r="AD23" s="474" t="e">
        <f t="shared" si="14"/>
        <v>#DIV/0!</v>
      </c>
      <c r="AE23" s="475" t="e">
        <f t="shared" si="15"/>
        <v>#DIV/0!</v>
      </c>
    </row>
    <row r="24" spans="1:31">
      <c r="A24" s="435">
        <f>'SQ-1'!A24</f>
        <v>43971</v>
      </c>
      <c r="B24" s="518"/>
      <c r="C24" s="464">
        <f t="shared" si="0"/>
        <v>0</v>
      </c>
      <c r="D24" s="5"/>
      <c r="E24" s="3"/>
      <c r="F24" s="434"/>
      <c r="G24" s="5"/>
      <c r="H24" s="6" t="e">
        <f t="shared" si="1"/>
        <v>#DIV/0!</v>
      </c>
      <c r="I24" s="518"/>
      <c r="J24" s="464">
        <f t="shared" si="2"/>
        <v>0</v>
      </c>
      <c r="K24" s="3"/>
      <c r="L24" s="3"/>
      <c r="M24" s="3"/>
      <c r="N24" s="5"/>
      <c r="O24" s="6" t="e">
        <f t="shared" si="3"/>
        <v>#DIV/0!</v>
      </c>
      <c r="P24" s="518"/>
      <c r="Q24" s="464">
        <f t="shared" si="4"/>
        <v>0</v>
      </c>
      <c r="R24" s="3"/>
      <c r="S24" s="3"/>
      <c r="T24" s="3"/>
      <c r="U24" s="5"/>
      <c r="V24" s="6" t="e">
        <f t="shared" si="5"/>
        <v>#DIV/0!</v>
      </c>
      <c r="W24" s="476">
        <f t="shared" si="7"/>
        <v>0</v>
      </c>
      <c r="X24" s="474">
        <f t="shared" si="8"/>
        <v>0</v>
      </c>
      <c r="Y24" s="477">
        <f t="shared" si="9"/>
        <v>0</v>
      </c>
      <c r="Z24" s="478">
        <f t="shared" si="10"/>
        <v>0</v>
      </c>
      <c r="AA24" s="478">
        <f t="shared" si="11"/>
        <v>0</v>
      </c>
      <c r="AB24" s="478">
        <f t="shared" si="12"/>
        <v>0</v>
      </c>
      <c r="AC24" s="478" t="e">
        <f t="shared" si="13"/>
        <v>#DIV/0!</v>
      </c>
      <c r="AD24" s="474" t="e">
        <f t="shared" si="14"/>
        <v>#DIV/0!</v>
      </c>
      <c r="AE24" s="475" t="e">
        <f t="shared" si="15"/>
        <v>#DIV/0!</v>
      </c>
    </row>
    <row r="25" spans="1:31">
      <c r="A25" s="435">
        <f>'SQ-1'!A25</f>
        <v>43972</v>
      </c>
      <c r="B25" s="518"/>
      <c r="C25" s="464">
        <f t="shared" si="0"/>
        <v>0</v>
      </c>
      <c r="D25" s="5"/>
      <c r="E25" s="3"/>
      <c r="F25" s="434"/>
      <c r="G25" s="5"/>
      <c r="H25" s="6" t="e">
        <f t="shared" si="1"/>
        <v>#DIV/0!</v>
      </c>
      <c r="I25" s="518"/>
      <c r="J25" s="464">
        <f t="shared" si="2"/>
        <v>0</v>
      </c>
      <c r="K25" s="3"/>
      <c r="L25" s="3"/>
      <c r="M25" s="3"/>
      <c r="N25" s="5"/>
      <c r="O25" s="6" t="e">
        <f t="shared" si="3"/>
        <v>#DIV/0!</v>
      </c>
      <c r="P25" s="518"/>
      <c r="Q25" s="464">
        <f t="shared" si="4"/>
        <v>0</v>
      </c>
      <c r="R25" s="3"/>
      <c r="S25" s="3"/>
      <c r="T25" s="3"/>
      <c r="U25" s="5"/>
      <c r="V25" s="6" t="e">
        <f t="shared" ref="V25:V35" si="16">U25/P25</f>
        <v>#DIV/0!</v>
      </c>
      <c r="W25" s="476">
        <f t="shared" si="7"/>
        <v>0</v>
      </c>
      <c r="X25" s="474">
        <f t="shared" si="8"/>
        <v>0</v>
      </c>
      <c r="Y25" s="477">
        <f t="shared" si="9"/>
        <v>0</v>
      </c>
      <c r="Z25" s="478">
        <f t="shared" si="10"/>
        <v>0</v>
      </c>
      <c r="AA25" s="478">
        <f t="shared" si="11"/>
        <v>0</v>
      </c>
      <c r="AB25" s="478">
        <f t="shared" si="12"/>
        <v>0</v>
      </c>
      <c r="AC25" s="478" t="e">
        <f t="shared" si="13"/>
        <v>#DIV/0!</v>
      </c>
      <c r="AD25" s="474" t="e">
        <f t="shared" si="14"/>
        <v>#DIV/0!</v>
      </c>
      <c r="AE25" s="475" t="e">
        <f t="shared" si="15"/>
        <v>#DIV/0!</v>
      </c>
    </row>
    <row r="26" spans="1:31">
      <c r="A26" s="435">
        <f>'SQ-1'!A26</f>
        <v>43973</v>
      </c>
      <c r="B26" s="518"/>
      <c r="C26" s="464">
        <f t="shared" si="0"/>
        <v>0</v>
      </c>
      <c r="D26" s="5"/>
      <c r="E26" s="3"/>
      <c r="F26" s="434"/>
      <c r="G26" s="5"/>
      <c r="H26" s="6" t="e">
        <f t="shared" si="1"/>
        <v>#DIV/0!</v>
      </c>
      <c r="I26" s="518"/>
      <c r="J26" s="464">
        <f t="shared" si="2"/>
        <v>0</v>
      </c>
      <c r="K26" s="3"/>
      <c r="L26" s="3"/>
      <c r="M26" s="3"/>
      <c r="N26" s="5"/>
      <c r="O26" s="6" t="e">
        <f t="shared" si="3"/>
        <v>#DIV/0!</v>
      </c>
      <c r="P26" s="518"/>
      <c r="Q26" s="464">
        <f t="shared" si="4"/>
        <v>0</v>
      </c>
      <c r="R26" s="3"/>
      <c r="S26" s="3"/>
      <c r="T26" s="3"/>
      <c r="U26" s="5"/>
      <c r="V26" s="6" t="e">
        <f t="shared" si="16"/>
        <v>#DIV/0!</v>
      </c>
      <c r="W26" s="476">
        <f t="shared" si="7"/>
        <v>0</v>
      </c>
      <c r="X26" s="474">
        <f t="shared" si="8"/>
        <v>0</v>
      </c>
      <c r="Y26" s="477">
        <f t="shared" si="9"/>
        <v>0</v>
      </c>
      <c r="Z26" s="478">
        <f t="shared" si="10"/>
        <v>0</v>
      </c>
      <c r="AA26" s="478">
        <f t="shared" si="11"/>
        <v>0</v>
      </c>
      <c r="AB26" s="478">
        <f t="shared" si="12"/>
        <v>0</v>
      </c>
      <c r="AC26" s="478" t="e">
        <f t="shared" si="13"/>
        <v>#DIV/0!</v>
      </c>
      <c r="AD26" s="474" t="e">
        <f t="shared" si="14"/>
        <v>#DIV/0!</v>
      </c>
      <c r="AE26" s="475" t="e">
        <f t="shared" si="15"/>
        <v>#DIV/0!</v>
      </c>
    </row>
    <row r="27" spans="1:31">
      <c r="A27" s="435">
        <f>'SQ-1'!A27</f>
        <v>43974</v>
      </c>
      <c r="B27" s="518"/>
      <c r="C27" s="464">
        <f t="shared" si="0"/>
        <v>0</v>
      </c>
      <c r="D27" s="5"/>
      <c r="E27" s="3"/>
      <c r="F27" s="434"/>
      <c r="G27" s="5"/>
      <c r="H27" s="6" t="e">
        <f t="shared" si="1"/>
        <v>#DIV/0!</v>
      </c>
      <c r="I27" s="518"/>
      <c r="J27" s="464">
        <f t="shared" si="2"/>
        <v>0</v>
      </c>
      <c r="K27" s="3"/>
      <c r="L27" s="3"/>
      <c r="M27" s="3"/>
      <c r="N27" s="5"/>
      <c r="O27" s="6" t="e">
        <f t="shared" si="3"/>
        <v>#DIV/0!</v>
      </c>
      <c r="P27" s="518"/>
      <c r="Q27" s="464">
        <f t="shared" si="4"/>
        <v>0</v>
      </c>
      <c r="R27" s="3"/>
      <c r="S27" s="3"/>
      <c r="T27" s="3"/>
      <c r="U27" s="5"/>
      <c r="V27" s="6" t="e">
        <f t="shared" si="16"/>
        <v>#DIV/0!</v>
      </c>
      <c r="W27" s="476">
        <f t="shared" si="7"/>
        <v>0</v>
      </c>
      <c r="X27" s="474">
        <f t="shared" si="8"/>
        <v>0</v>
      </c>
      <c r="Y27" s="477">
        <f t="shared" si="9"/>
        <v>0</v>
      </c>
      <c r="Z27" s="478">
        <f t="shared" si="10"/>
        <v>0</v>
      </c>
      <c r="AA27" s="478">
        <f t="shared" si="11"/>
        <v>0</v>
      </c>
      <c r="AB27" s="478">
        <f t="shared" si="12"/>
        <v>0</v>
      </c>
      <c r="AC27" s="478" t="e">
        <f t="shared" si="13"/>
        <v>#DIV/0!</v>
      </c>
      <c r="AD27" s="474" t="e">
        <f t="shared" si="14"/>
        <v>#DIV/0!</v>
      </c>
      <c r="AE27" s="475" t="e">
        <f t="shared" si="15"/>
        <v>#DIV/0!</v>
      </c>
    </row>
    <row r="28" spans="1:31">
      <c r="A28" s="435">
        <f>'SQ-1'!A28</f>
        <v>43975</v>
      </c>
      <c r="B28" s="518"/>
      <c r="C28" s="464">
        <f t="shared" si="0"/>
        <v>0</v>
      </c>
      <c r="D28" s="5"/>
      <c r="E28" s="3"/>
      <c r="F28" s="434"/>
      <c r="G28" s="5"/>
      <c r="H28" s="6" t="e">
        <f t="shared" si="1"/>
        <v>#DIV/0!</v>
      </c>
      <c r="I28" s="518"/>
      <c r="J28" s="464">
        <f t="shared" si="2"/>
        <v>0</v>
      </c>
      <c r="K28" s="3"/>
      <c r="L28" s="3"/>
      <c r="M28" s="3"/>
      <c r="N28" s="5"/>
      <c r="O28" s="6" t="e">
        <f t="shared" si="3"/>
        <v>#DIV/0!</v>
      </c>
      <c r="P28" s="518"/>
      <c r="Q28" s="464">
        <f t="shared" si="4"/>
        <v>0</v>
      </c>
      <c r="R28" s="3"/>
      <c r="S28" s="3"/>
      <c r="T28" s="3"/>
      <c r="U28" s="5"/>
      <c r="V28" s="6" t="e">
        <f t="shared" si="16"/>
        <v>#DIV/0!</v>
      </c>
      <c r="W28" s="476">
        <f t="shared" si="7"/>
        <v>0</v>
      </c>
      <c r="X28" s="474">
        <f t="shared" si="8"/>
        <v>0</v>
      </c>
      <c r="Y28" s="477">
        <f t="shared" si="9"/>
        <v>0</v>
      </c>
      <c r="Z28" s="478">
        <f t="shared" si="10"/>
        <v>0</v>
      </c>
      <c r="AA28" s="478">
        <f t="shared" si="11"/>
        <v>0</v>
      </c>
      <c r="AB28" s="478">
        <f t="shared" si="12"/>
        <v>0</v>
      </c>
      <c r="AC28" s="478" t="e">
        <f t="shared" si="13"/>
        <v>#DIV/0!</v>
      </c>
      <c r="AD28" s="474" t="e">
        <f t="shared" si="14"/>
        <v>#DIV/0!</v>
      </c>
      <c r="AE28" s="475" t="e">
        <f t="shared" si="15"/>
        <v>#DIV/0!</v>
      </c>
    </row>
    <row r="29" spans="1:31">
      <c r="A29" s="435">
        <f>'SQ-1'!A29</f>
        <v>43976</v>
      </c>
      <c r="B29" s="518"/>
      <c r="C29" s="464">
        <f t="shared" si="0"/>
        <v>0</v>
      </c>
      <c r="D29" s="5"/>
      <c r="E29" s="3"/>
      <c r="F29" s="434"/>
      <c r="G29" s="5"/>
      <c r="H29" s="6" t="e">
        <f t="shared" si="1"/>
        <v>#DIV/0!</v>
      </c>
      <c r="I29" s="518"/>
      <c r="J29" s="464">
        <f t="shared" si="2"/>
        <v>0</v>
      </c>
      <c r="K29" s="3"/>
      <c r="L29" s="3"/>
      <c r="M29" s="3"/>
      <c r="N29" s="5"/>
      <c r="O29" s="6" t="e">
        <f t="shared" si="3"/>
        <v>#DIV/0!</v>
      </c>
      <c r="P29" s="518"/>
      <c r="Q29" s="464">
        <f t="shared" si="4"/>
        <v>0</v>
      </c>
      <c r="R29" s="3"/>
      <c r="S29" s="3"/>
      <c r="T29" s="3"/>
      <c r="U29" s="5"/>
      <c r="V29" s="6" t="e">
        <f t="shared" si="16"/>
        <v>#DIV/0!</v>
      </c>
      <c r="W29" s="476">
        <f t="shared" si="7"/>
        <v>0</v>
      </c>
      <c r="X29" s="474">
        <f t="shared" si="8"/>
        <v>0</v>
      </c>
      <c r="Y29" s="477">
        <f t="shared" si="9"/>
        <v>0</v>
      </c>
      <c r="Z29" s="478">
        <f>E29+L29+S29</f>
        <v>0</v>
      </c>
      <c r="AA29" s="478">
        <f t="shared" si="11"/>
        <v>0</v>
      </c>
      <c r="AB29" s="478">
        <f t="shared" si="12"/>
        <v>0</v>
      </c>
      <c r="AC29" s="478" t="e">
        <f t="shared" si="13"/>
        <v>#DIV/0!</v>
      </c>
      <c r="AD29" s="474" t="e">
        <f t="shared" si="14"/>
        <v>#DIV/0!</v>
      </c>
      <c r="AE29" s="475" t="e">
        <f t="shared" si="15"/>
        <v>#DIV/0!</v>
      </c>
    </row>
    <row r="30" spans="1:31">
      <c r="A30" s="435">
        <f>'SQ-1'!A30</f>
        <v>43977</v>
      </c>
      <c r="B30" s="518"/>
      <c r="C30" s="464">
        <f t="shared" si="0"/>
        <v>0</v>
      </c>
      <c r="D30" s="5"/>
      <c r="E30" s="3"/>
      <c r="F30" s="434"/>
      <c r="G30" s="5"/>
      <c r="H30" s="6" t="e">
        <f t="shared" si="1"/>
        <v>#DIV/0!</v>
      </c>
      <c r="I30" s="518"/>
      <c r="J30" s="464">
        <f t="shared" si="2"/>
        <v>0</v>
      </c>
      <c r="K30" s="3"/>
      <c r="L30" s="3"/>
      <c r="M30" s="3"/>
      <c r="N30" s="5"/>
      <c r="O30" s="6" t="e">
        <f t="shared" si="3"/>
        <v>#DIV/0!</v>
      </c>
      <c r="P30" s="518"/>
      <c r="Q30" s="464">
        <f t="shared" si="4"/>
        <v>0</v>
      </c>
      <c r="R30" s="3"/>
      <c r="S30" s="3"/>
      <c r="T30" s="3"/>
      <c r="U30" s="5"/>
      <c r="V30" s="6" t="e">
        <f t="shared" si="16"/>
        <v>#DIV/0!</v>
      </c>
      <c r="W30" s="476">
        <f t="shared" si="7"/>
        <v>0</v>
      </c>
      <c r="X30" s="474">
        <f t="shared" si="8"/>
        <v>0</v>
      </c>
      <c r="Y30" s="477">
        <f t="shared" si="9"/>
        <v>0</v>
      </c>
      <c r="Z30" s="478">
        <f t="shared" si="10"/>
        <v>0</v>
      </c>
      <c r="AA30" s="478">
        <f t="shared" si="11"/>
        <v>0</v>
      </c>
      <c r="AB30" s="478">
        <f t="shared" si="12"/>
        <v>0</v>
      </c>
      <c r="AC30" s="478" t="e">
        <f t="shared" si="13"/>
        <v>#DIV/0!</v>
      </c>
      <c r="AD30" s="474" t="e">
        <f t="shared" si="14"/>
        <v>#DIV/0!</v>
      </c>
      <c r="AE30" s="475" t="e">
        <f t="shared" si="15"/>
        <v>#DIV/0!</v>
      </c>
    </row>
    <row r="31" spans="1:31">
      <c r="A31" s="435">
        <f>'SQ-1'!A31</f>
        <v>43978</v>
      </c>
      <c r="B31" s="518"/>
      <c r="C31" s="464">
        <f t="shared" si="0"/>
        <v>0</v>
      </c>
      <c r="D31" s="3"/>
      <c r="E31" s="3"/>
      <c r="F31" s="3"/>
      <c r="G31" s="5"/>
      <c r="H31" s="6" t="e">
        <f t="shared" si="1"/>
        <v>#DIV/0!</v>
      </c>
      <c r="I31" s="518"/>
      <c r="J31" s="464">
        <f t="shared" si="2"/>
        <v>0</v>
      </c>
      <c r="K31" s="5"/>
      <c r="L31" s="3"/>
      <c r="M31" s="434"/>
      <c r="N31" s="5"/>
      <c r="O31" s="6" t="e">
        <f t="shared" si="3"/>
        <v>#DIV/0!</v>
      </c>
      <c r="P31" s="518"/>
      <c r="Q31" s="464">
        <f t="shared" si="4"/>
        <v>0</v>
      </c>
      <c r="R31" s="3"/>
      <c r="S31" s="3"/>
      <c r="T31" s="3"/>
      <c r="U31" s="5"/>
      <c r="V31" s="6" t="e">
        <f t="shared" si="16"/>
        <v>#DIV/0!</v>
      </c>
      <c r="W31" s="476">
        <f t="shared" si="7"/>
        <v>0</v>
      </c>
      <c r="X31" s="474">
        <f t="shared" si="8"/>
        <v>0</v>
      </c>
      <c r="Y31" s="477">
        <f t="shared" si="9"/>
        <v>0</v>
      </c>
      <c r="Z31" s="478">
        <f t="shared" si="10"/>
        <v>0</v>
      </c>
      <c r="AA31" s="478">
        <f t="shared" si="11"/>
        <v>0</v>
      </c>
      <c r="AB31" s="478">
        <f t="shared" si="12"/>
        <v>0</v>
      </c>
      <c r="AC31" s="478" t="e">
        <f t="shared" si="13"/>
        <v>#DIV/0!</v>
      </c>
      <c r="AD31" s="474" t="e">
        <f t="shared" si="14"/>
        <v>#DIV/0!</v>
      </c>
      <c r="AE31" s="475" t="e">
        <f t="shared" si="15"/>
        <v>#DIV/0!</v>
      </c>
    </row>
    <row r="32" spans="1:31">
      <c r="A32" s="435">
        <f>'SQ-1'!A32</f>
        <v>43979</v>
      </c>
      <c r="B32" s="518"/>
      <c r="C32" s="464">
        <f t="shared" si="0"/>
        <v>0</v>
      </c>
      <c r="D32" s="3"/>
      <c r="E32" s="3"/>
      <c r="F32" s="3"/>
      <c r="G32" s="5"/>
      <c r="H32" s="6" t="e">
        <f t="shared" si="1"/>
        <v>#DIV/0!</v>
      </c>
      <c r="I32" s="518"/>
      <c r="J32" s="464">
        <f t="shared" si="2"/>
        <v>0</v>
      </c>
      <c r="K32" s="5"/>
      <c r="L32" s="3"/>
      <c r="M32" s="434"/>
      <c r="N32" s="5"/>
      <c r="O32" s="6" t="e">
        <f t="shared" si="3"/>
        <v>#DIV/0!</v>
      </c>
      <c r="P32" s="518"/>
      <c r="Q32" s="464">
        <f t="shared" si="4"/>
        <v>0</v>
      </c>
      <c r="R32" s="3"/>
      <c r="S32" s="3"/>
      <c r="T32" s="3"/>
      <c r="U32" s="5"/>
      <c r="V32" s="6" t="e">
        <f t="shared" si="16"/>
        <v>#DIV/0!</v>
      </c>
      <c r="W32" s="476">
        <f t="shared" si="7"/>
        <v>0</v>
      </c>
      <c r="X32" s="474">
        <f t="shared" si="8"/>
        <v>0</v>
      </c>
      <c r="Y32" s="477">
        <f t="shared" si="9"/>
        <v>0</v>
      </c>
      <c r="Z32" s="478">
        <f t="shared" si="10"/>
        <v>0</v>
      </c>
      <c r="AA32" s="478">
        <f t="shared" si="11"/>
        <v>0</v>
      </c>
      <c r="AB32" s="478">
        <f t="shared" si="12"/>
        <v>0</v>
      </c>
      <c r="AC32" s="478" t="e">
        <f t="shared" si="13"/>
        <v>#DIV/0!</v>
      </c>
      <c r="AD32" s="474" t="e">
        <f t="shared" si="14"/>
        <v>#DIV/0!</v>
      </c>
      <c r="AE32" s="475" t="e">
        <f t="shared" si="15"/>
        <v>#DIV/0!</v>
      </c>
    </row>
    <row r="33" spans="1:31">
      <c r="A33" s="435">
        <f>'SQ-1'!A33</f>
        <v>43980</v>
      </c>
      <c r="B33" s="518"/>
      <c r="C33" s="464">
        <f t="shared" si="0"/>
        <v>0</v>
      </c>
      <c r="D33" s="3"/>
      <c r="E33" s="3"/>
      <c r="F33" s="3"/>
      <c r="G33" s="5"/>
      <c r="H33" s="6" t="e">
        <f t="shared" si="1"/>
        <v>#DIV/0!</v>
      </c>
      <c r="I33" s="518"/>
      <c r="J33" s="464">
        <f t="shared" si="2"/>
        <v>0</v>
      </c>
      <c r="K33" s="5"/>
      <c r="L33" s="3"/>
      <c r="M33" s="434"/>
      <c r="N33" s="5"/>
      <c r="O33" s="6" t="e">
        <f t="shared" si="3"/>
        <v>#DIV/0!</v>
      </c>
      <c r="P33" s="518"/>
      <c r="Q33" s="464">
        <f t="shared" si="4"/>
        <v>0</v>
      </c>
      <c r="R33" s="3"/>
      <c r="S33" s="3"/>
      <c r="T33" s="3"/>
      <c r="U33" s="5"/>
      <c r="V33" s="6" t="e">
        <f t="shared" si="16"/>
        <v>#DIV/0!</v>
      </c>
      <c r="W33" s="476">
        <f t="shared" si="7"/>
        <v>0</v>
      </c>
      <c r="X33" s="474">
        <f t="shared" si="8"/>
        <v>0</v>
      </c>
      <c r="Y33" s="477">
        <f t="shared" si="9"/>
        <v>0</v>
      </c>
      <c r="Z33" s="478">
        <f t="shared" si="10"/>
        <v>0</v>
      </c>
      <c r="AA33" s="478">
        <f t="shared" si="11"/>
        <v>0</v>
      </c>
      <c r="AB33" s="478">
        <f t="shared" si="12"/>
        <v>0</v>
      </c>
      <c r="AC33" s="478" t="e">
        <f t="shared" si="13"/>
        <v>#DIV/0!</v>
      </c>
      <c r="AD33" s="474" t="e">
        <f t="shared" si="14"/>
        <v>#DIV/0!</v>
      </c>
      <c r="AE33" s="475" t="e">
        <f t="shared" si="15"/>
        <v>#DIV/0!</v>
      </c>
    </row>
    <row r="34" spans="1:31">
      <c r="A34" s="435">
        <f>'SQ-1'!A34</f>
        <v>43981</v>
      </c>
      <c r="B34" s="518"/>
      <c r="C34" s="464">
        <f t="shared" si="0"/>
        <v>0</v>
      </c>
      <c r="D34" s="3"/>
      <c r="E34" s="3"/>
      <c r="F34" s="3"/>
      <c r="G34" s="3"/>
      <c r="H34" s="6" t="e">
        <f t="shared" si="1"/>
        <v>#DIV/0!</v>
      </c>
      <c r="I34" s="518"/>
      <c r="J34" s="464">
        <f t="shared" si="2"/>
        <v>0</v>
      </c>
      <c r="K34" s="3"/>
      <c r="L34" s="3"/>
      <c r="M34" s="3"/>
      <c r="N34" s="3"/>
      <c r="O34" s="6" t="e">
        <f t="shared" si="3"/>
        <v>#DIV/0!</v>
      </c>
      <c r="P34" s="518"/>
      <c r="Q34" s="464">
        <f t="shared" si="4"/>
        <v>0</v>
      </c>
      <c r="R34" s="3"/>
      <c r="S34" s="3"/>
      <c r="T34" s="3"/>
      <c r="U34" s="5"/>
      <c r="V34" s="6" t="e">
        <f t="shared" si="16"/>
        <v>#DIV/0!</v>
      </c>
      <c r="W34" s="476">
        <f t="shared" si="7"/>
        <v>0</v>
      </c>
      <c r="X34" s="474">
        <f t="shared" si="8"/>
        <v>0</v>
      </c>
      <c r="Y34" s="477">
        <f t="shared" si="9"/>
        <v>0</v>
      </c>
      <c r="Z34" s="478">
        <f t="shared" si="10"/>
        <v>0</v>
      </c>
      <c r="AA34" s="478">
        <f t="shared" si="11"/>
        <v>0</v>
      </c>
      <c r="AB34" s="478">
        <f t="shared" si="12"/>
        <v>0</v>
      </c>
      <c r="AC34" s="478" t="e">
        <f t="shared" si="13"/>
        <v>#DIV/0!</v>
      </c>
      <c r="AD34" s="474" t="e">
        <f t="shared" si="14"/>
        <v>#DIV/0!</v>
      </c>
      <c r="AE34" s="475" t="e">
        <f t="shared" si="15"/>
        <v>#DIV/0!</v>
      </c>
    </row>
    <row r="35" spans="1:31" ht="15.75" thickBot="1">
      <c r="A35" s="435">
        <f>'SQ-1'!A35</f>
        <v>43982</v>
      </c>
      <c r="B35" s="519"/>
      <c r="C35" s="524">
        <f t="shared" si="0"/>
        <v>0</v>
      </c>
      <c r="D35" s="463"/>
      <c r="E35" s="463"/>
      <c r="F35" s="463"/>
      <c r="G35" s="463"/>
      <c r="H35" s="452" t="e">
        <f t="shared" si="1"/>
        <v>#DIV/0!</v>
      </c>
      <c r="I35" s="519"/>
      <c r="J35" s="524">
        <f t="shared" si="2"/>
        <v>0</v>
      </c>
      <c r="K35" s="463"/>
      <c r="L35" s="463"/>
      <c r="M35" s="463"/>
      <c r="N35" s="463"/>
      <c r="O35" s="452" t="e">
        <f t="shared" si="3"/>
        <v>#DIV/0!</v>
      </c>
      <c r="P35" s="521"/>
      <c r="Q35" s="524">
        <f t="shared" si="4"/>
        <v>0</v>
      </c>
      <c r="R35" s="4"/>
      <c r="S35" s="4"/>
      <c r="T35" s="4"/>
      <c r="U35" s="4"/>
      <c r="V35" s="452" t="e">
        <f t="shared" si="16"/>
        <v>#DIV/0!</v>
      </c>
      <c r="W35" s="476">
        <f t="shared" si="7"/>
        <v>0</v>
      </c>
      <c r="X35" s="474">
        <f t="shared" si="8"/>
        <v>0</v>
      </c>
      <c r="Y35" s="477">
        <f t="shared" si="9"/>
        <v>0</v>
      </c>
      <c r="Z35" s="478">
        <f>E35+L35+S35</f>
        <v>0</v>
      </c>
      <c r="AA35" s="478">
        <f t="shared" si="11"/>
        <v>0</v>
      </c>
      <c r="AB35" s="478">
        <f t="shared" si="12"/>
        <v>0</v>
      </c>
      <c r="AC35" s="478" t="e">
        <f t="shared" si="13"/>
        <v>#DIV/0!</v>
      </c>
      <c r="AD35" s="474" t="e">
        <f t="shared" si="14"/>
        <v>#DIV/0!</v>
      </c>
      <c r="AE35" s="475" t="e">
        <f t="shared" si="15"/>
        <v>#DIV/0!</v>
      </c>
    </row>
    <row r="36" spans="1:31" ht="20.100000000000001" customHeight="1" thickBot="1">
      <c r="A36" s="2"/>
      <c r="B36" s="8">
        <f>SUM(B5:B35)</f>
        <v>0</v>
      </c>
      <c r="C36" s="8">
        <f>SUM(C5:C35)</f>
        <v>0</v>
      </c>
      <c r="D36" s="7">
        <f>SUM(D5:D35)</f>
        <v>0</v>
      </c>
      <c r="E36" s="7">
        <f>SUM(E5:E35)</f>
        <v>0</v>
      </c>
      <c r="F36" s="7">
        <f t="shared" ref="F36:AB36" si="17">SUM(F5:F35)</f>
        <v>0</v>
      </c>
      <c r="G36" s="7">
        <f t="shared" si="17"/>
        <v>0</v>
      </c>
      <c r="H36" s="8" t="e">
        <f>G36/B36</f>
        <v>#DIV/0!</v>
      </c>
      <c r="I36" s="8">
        <f>SUM(I5:I35)</f>
        <v>0</v>
      </c>
      <c r="J36" s="8">
        <f t="shared" si="17"/>
        <v>0</v>
      </c>
      <c r="K36" s="7">
        <f>SUM(K5:K35)</f>
        <v>0</v>
      </c>
      <c r="L36" s="7">
        <f>SUM(L5:L35)</f>
        <v>0</v>
      </c>
      <c r="M36" s="7">
        <f t="shared" si="17"/>
        <v>0</v>
      </c>
      <c r="N36" s="7">
        <f t="shared" si="17"/>
        <v>0</v>
      </c>
      <c r="O36" s="8" t="e">
        <f>N36/I36</f>
        <v>#DIV/0!</v>
      </c>
      <c r="P36" s="8">
        <f>SUM(P5:P35)</f>
        <v>0</v>
      </c>
      <c r="Q36" s="8">
        <f t="shared" si="17"/>
        <v>0</v>
      </c>
      <c r="R36" s="7">
        <f>SUM(R5:R35)</f>
        <v>0</v>
      </c>
      <c r="S36" s="7">
        <f>SUM(S5:S35)</f>
        <v>0</v>
      </c>
      <c r="T36" s="7">
        <f t="shared" si="17"/>
        <v>0</v>
      </c>
      <c r="U36" s="7">
        <f t="shared" si="17"/>
        <v>0</v>
      </c>
      <c r="V36" s="7" t="e">
        <f>U36/P36</f>
        <v>#DIV/0!</v>
      </c>
      <c r="W36" s="443">
        <f>SUM(W5:W35)</f>
        <v>0</v>
      </c>
      <c r="X36" s="7">
        <f t="shared" si="17"/>
        <v>0</v>
      </c>
      <c r="Y36" s="7">
        <f>SUM(Y5:Y35)</f>
        <v>0</v>
      </c>
      <c r="Z36" s="443">
        <f>SUM(Z5:Z35)</f>
        <v>0</v>
      </c>
      <c r="AA36" s="7">
        <f t="shared" si="17"/>
        <v>0</v>
      </c>
      <c r="AB36" s="7">
        <f t="shared" si="17"/>
        <v>0</v>
      </c>
      <c r="AC36" s="15" t="e">
        <f>AB36/W36</f>
        <v>#DIV/0!</v>
      </c>
      <c r="AD36" s="455"/>
      <c r="AE36" s="468" t="e">
        <f>AA36/Z36</f>
        <v>#DIV/0!</v>
      </c>
    </row>
  </sheetData>
  <mergeCells count="36">
    <mergeCell ref="AD3:AD4"/>
    <mergeCell ref="AE3:AE4"/>
    <mergeCell ref="P2:V2"/>
    <mergeCell ref="E3:E4"/>
    <mergeCell ref="AC3:AC4"/>
    <mergeCell ref="T3:T4"/>
    <mergeCell ref="Z3:Z4"/>
    <mergeCell ref="S3:S4"/>
    <mergeCell ref="W2:AC2"/>
    <mergeCell ref="R3:R4"/>
    <mergeCell ref="W3:W4"/>
    <mergeCell ref="Y3:Y4"/>
    <mergeCell ref="X3:X4"/>
    <mergeCell ref="AA3:AA4"/>
    <mergeCell ref="AB3:AB4"/>
    <mergeCell ref="A1:V1"/>
    <mergeCell ref="V3:V4"/>
    <mergeCell ref="A2:A4"/>
    <mergeCell ref="C3:C4"/>
    <mergeCell ref="F3:F4"/>
    <mergeCell ref="G3:G4"/>
    <mergeCell ref="H3:H4"/>
    <mergeCell ref="J3:J4"/>
    <mergeCell ref="M3:M4"/>
    <mergeCell ref="N3:N4"/>
    <mergeCell ref="O3:O4"/>
    <mergeCell ref="Q3:Q4"/>
    <mergeCell ref="I2:O2"/>
    <mergeCell ref="U3:U4"/>
    <mergeCell ref="B2:H2"/>
    <mergeCell ref="L3:L4"/>
    <mergeCell ref="B3:B4"/>
    <mergeCell ref="D3:D4"/>
    <mergeCell ref="I3:I4"/>
    <mergeCell ref="K3:K4"/>
    <mergeCell ref="P3:P4"/>
  </mergeCells>
  <conditionalFormatting sqref="B34:B35">
    <cfRule type="expression" dxfId="107" priority="53" stopIfTrue="1">
      <formula>$C34="*"</formula>
    </cfRule>
    <cfRule type="expression" dxfId="106" priority="54" stopIfTrue="1">
      <formula>$C34="-"</formula>
    </cfRule>
  </conditionalFormatting>
  <conditionalFormatting sqref="P34:P35">
    <cfRule type="expression" dxfId="105" priority="51" stopIfTrue="1">
      <formula>$C34="*"</formula>
    </cfRule>
    <cfRule type="expression" dxfId="104" priority="52" stopIfTrue="1">
      <formula>$C34="-"</formula>
    </cfRule>
  </conditionalFormatting>
  <conditionalFormatting sqref="I34:I35">
    <cfRule type="expression" dxfId="103" priority="49" stopIfTrue="1">
      <formula>$C34="*"</formula>
    </cfRule>
    <cfRule type="expression" dxfId="102" priority="50" stopIfTrue="1">
      <formula>$C34="-"</formula>
    </cfRule>
  </conditionalFormatting>
  <conditionalFormatting sqref="P31:P33">
    <cfRule type="expression" dxfId="101" priority="47" stopIfTrue="1">
      <formula>$C31="*"</formula>
    </cfRule>
    <cfRule type="expression" dxfId="100" priority="48" stopIfTrue="1">
      <formula>$C31="-"</formula>
    </cfRule>
  </conditionalFormatting>
  <conditionalFormatting sqref="B31:B33">
    <cfRule type="expression" dxfId="99" priority="45" stopIfTrue="1">
      <formula>$C31="*"</formula>
    </cfRule>
    <cfRule type="expression" dxfId="98" priority="46" stopIfTrue="1">
      <formula>$C31="-"</formula>
    </cfRule>
  </conditionalFormatting>
  <conditionalFormatting sqref="I31:I33">
    <cfRule type="expression" dxfId="97" priority="43" stopIfTrue="1">
      <formula>$C31="*"</formula>
    </cfRule>
    <cfRule type="expression" dxfId="96" priority="44" stopIfTrue="1">
      <formula>$C31="-"</formula>
    </cfRule>
  </conditionalFormatting>
  <conditionalFormatting sqref="I25:I30">
    <cfRule type="expression" dxfId="95" priority="41" stopIfTrue="1">
      <formula>$C25="*"</formula>
    </cfRule>
    <cfRule type="expression" dxfId="94" priority="42" stopIfTrue="1">
      <formula>$C25="-"</formula>
    </cfRule>
  </conditionalFormatting>
  <conditionalFormatting sqref="P25:P30">
    <cfRule type="expression" dxfId="93" priority="39" stopIfTrue="1">
      <formula>$C25="*"</formula>
    </cfRule>
    <cfRule type="expression" dxfId="92" priority="40" stopIfTrue="1">
      <formula>$C25="-"</formula>
    </cfRule>
  </conditionalFormatting>
  <conditionalFormatting sqref="B25:B30">
    <cfRule type="expression" dxfId="91" priority="37" stopIfTrue="1">
      <formula>$C25="*"</formula>
    </cfRule>
    <cfRule type="expression" dxfId="90" priority="38" stopIfTrue="1">
      <formula>$C25="-"</formula>
    </cfRule>
  </conditionalFormatting>
  <conditionalFormatting sqref="I23:I24">
    <cfRule type="expression" dxfId="89" priority="35" stopIfTrue="1">
      <formula>$C23="*"</formula>
    </cfRule>
    <cfRule type="expression" dxfId="88" priority="36" stopIfTrue="1">
      <formula>$C23="-"</formula>
    </cfRule>
  </conditionalFormatting>
  <conditionalFormatting sqref="P23:P24">
    <cfRule type="expression" dxfId="87" priority="33" stopIfTrue="1">
      <formula>$C23="*"</formula>
    </cfRule>
    <cfRule type="expression" dxfId="86" priority="34" stopIfTrue="1">
      <formula>$C23="-"</formula>
    </cfRule>
  </conditionalFormatting>
  <conditionalFormatting sqref="B23:B24">
    <cfRule type="expression" dxfId="85" priority="31" stopIfTrue="1">
      <formula>$C23="*"</formula>
    </cfRule>
    <cfRule type="expression" dxfId="84" priority="32" stopIfTrue="1">
      <formula>$C23="-"</formula>
    </cfRule>
  </conditionalFormatting>
  <conditionalFormatting sqref="I15:I22">
    <cfRule type="expression" dxfId="83" priority="29" stopIfTrue="1">
      <formula>$C15="*"</formula>
    </cfRule>
    <cfRule type="expression" dxfId="82" priority="30" stopIfTrue="1">
      <formula>$C15="-"</formula>
    </cfRule>
  </conditionalFormatting>
  <conditionalFormatting sqref="P15:P22">
    <cfRule type="expression" dxfId="81" priority="27" stopIfTrue="1">
      <formula>$C15="*"</formula>
    </cfRule>
    <cfRule type="expression" dxfId="80" priority="28" stopIfTrue="1">
      <formula>$C15="-"</formula>
    </cfRule>
  </conditionalFormatting>
  <conditionalFormatting sqref="B15:B22">
    <cfRule type="expression" dxfId="79" priority="25" stopIfTrue="1">
      <formula>$C15="*"</formula>
    </cfRule>
    <cfRule type="expression" dxfId="78" priority="26" stopIfTrue="1">
      <formula>$C15="-"</formula>
    </cfRule>
  </conditionalFormatting>
  <conditionalFormatting sqref="I13:I14">
    <cfRule type="expression" dxfId="77" priority="23" stopIfTrue="1">
      <formula>$C13="*"</formula>
    </cfRule>
    <cfRule type="expression" dxfId="76" priority="24" stopIfTrue="1">
      <formula>$C13="-"</formula>
    </cfRule>
  </conditionalFormatting>
  <conditionalFormatting sqref="P13:P14">
    <cfRule type="expression" dxfId="75" priority="21" stopIfTrue="1">
      <formula>$C13="*"</formula>
    </cfRule>
    <cfRule type="expression" dxfId="74" priority="22" stopIfTrue="1">
      <formula>$C13="-"</formula>
    </cfRule>
  </conditionalFormatting>
  <conditionalFormatting sqref="B13:B14">
    <cfRule type="expression" dxfId="73" priority="19" stopIfTrue="1">
      <formula>$C13="*"</formula>
    </cfRule>
    <cfRule type="expression" dxfId="72" priority="20" stopIfTrue="1">
      <formula>$C13="-"</formula>
    </cfRule>
  </conditionalFormatting>
  <conditionalFormatting sqref="I5 I8">
    <cfRule type="expression" dxfId="71" priority="17" stopIfTrue="1">
      <formula>$C5="*"</formula>
    </cfRule>
    <cfRule type="expression" dxfId="70" priority="18" stopIfTrue="1">
      <formula>$C5="-"</formula>
    </cfRule>
  </conditionalFormatting>
  <conditionalFormatting sqref="P5:P8">
    <cfRule type="expression" dxfId="69" priority="15" stopIfTrue="1">
      <formula>$C5="*"</formula>
    </cfRule>
    <cfRule type="expression" dxfId="68" priority="16" stopIfTrue="1">
      <formula>$C5="-"</formula>
    </cfRule>
  </conditionalFormatting>
  <conditionalFormatting sqref="B5 B7:B8">
    <cfRule type="expression" dxfId="67" priority="13" stopIfTrue="1">
      <formula>$C5="*"</formula>
    </cfRule>
    <cfRule type="expression" dxfId="66" priority="14" stopIfTrue="1">
      <formula>$C5="-"</formula>
    </cfRule>
  </conditionalFormatting>
  <conditionalFormatting sqref="I9:I12">
    <cfRule type="expression" dxfId="65" priority="11" stopIfTrue="1">
      <formula>$C9="*"</formula>
    </cfRule>
    <cfRule type="expression" dxfId="64" priority="12" stopIfTrue="1">
      <formula>$C9="-"</formula>
    </cfRule>
  </conditionalFormatting>
  <conditionalFormatting sqref="P9:P12">
    <cfRule type="expression" dxfId="63" priority="9" stopIfTrue="1">
      <formula>$C9="*"</formula>
    </cfRule>
    <cfRule type="expression" dxfId="62" priority="10" stopIfTrue="1">
      <formula>$C9="-"</formula>
    </cfRule>
  </conditionalFormatting>
  <conditionalFormatting sqref="B9:B12">
    <cfRule type="expression" dxfId="61" priority="7" stopIfTrue="1">
      <formula>$C9="*"</formula>
    </cfRule>
    <cfRule type="expression" dxfId="60" priority="8" stopIfTrue="1">
      <formula>$C9="-"</formula>
    </cfRule>
  </conditionalFormatting>
  <conditionalFormatting sqref="I6">
    <cfRule type="expression" dxfId="59" priority="5" stopIfTrue="1">
      <formula>$C6="*"</formula>
    </cfRule>
    <cfRule type="expression" dxfId="58" priority="6" stopIfTrue="1">
      <formula>$C6="-"</formula>
    </cfRule>
  </conditionalFormatting>
  <conditionalFormatting sqref="B6">
    <cfRule type="expression" dxfId="57" priority="3" stopIfTrue="1">
      <formula>$C6="*"</formula>
    </cfRule>
    <cfRule type="expression" dxfId="56" priority="4" stopIfTrue="1">
      <formula>$C6="-"</formula>
    </cfRule>
  </conditionalFormatting>
  <conditionalFormatting sqref="I7">
    <cfRule type="expression" dxfId="55" priority="1" stopIfTrue="1">
      <formula>$C7="*"</formula>
    </cfRule>
    <cfRule type="expression" dxfId="54" priority="2" stopIfTrue="1">
      <formula>$C7="-"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1"/>
  </sheetPr>
  <dimension ref="A1:AE36"/>
  <sheetViews>
    <sheetView topLeftCell="I1" zoomScale="70" zoomScaleNormal="70" workbookViewId="0">
      <pane ySplit="4" topLeftCell="A5" activePane="bottomLeft" state="frozen"/>
      <selection activeCell="E18" sqref="E18"/>
      <selection pane="bottomLeft" activeCell="AB13" sqref="AB13"/>
    </sheetView>
  </sheetViews>
  <sheetFormatPr defaultRowHeight="15"/>
  <cols>
    <col min="1" max="1" width="10.7109375" style="1" bestFit="1" customWidth="1"/>
    <col min="2" max="2" width="12.140625" style="1" customWidth="1"/>
    <col min="3" max="3" width="10.140625" style="1" customWidth="1"/>
    <col min="4" max="4" width="10.5703125" style="1" customWidth="1"/>
    <col min="5" max="5" width="10.140625" style="1" customWidth="1"/>
    <col min="6" max="6" width="9.7109375" style="1" bestFit="1" customWidth="1"/>
    <col min="7" max="7" width="9.140625" style="1"/>
    <col min="8" max="9" width="9.140625" style="1" customWidth="1"/>
    <col min="10" max="13" width="10.140625" style="1" customWidth="1"/>
    <col min="14" max="14" width="9.140625" style="1"/>
    <col min="15" max="16" width="9.140625" style="1" customWidth="1"/>
    <col min="17" max="19" width="10.140625" style="1" customWidth="1"/>
    <col min="20" max="21" width="9.140625" style="1"/>
    <col min="22" max="22" width="9.7109375" style="1" customWidth="1"/>
    <col min="23" max="23" width="9.140625" style="1" customWidth="1"/>
    <col min="24" max="25" width="9.140625" style="10"/>
    <col min="26" max="26" width="12.5703125" style="10" customWidth="1"/>
    <col min="27" max="27" width="9.5703125" style="10" bestFit="1" customWidth="1"/>
    <col min="28" max="29" width="9.140625" style="10"/>
  </cols>
  <sheetData>
    <row r="1" spans="1:31" ht="18.75" customHeight="1" thickBot="1">
      <c r="A1" s="593" t="s">
        <v>12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444"/>
      <c r="X1" s="9"/>
      <c r="Y1" s="9"/>
      <c r="Z1" s="9"/>
      <c r="AA1" s="9"/>
      <c r="AB1" s="9"/>
      <c r="AC1" s="9"/>
    </row>
    <row r="2" spans="1:31" ht="15.75" thickBot="1">
      <c r="A2" s="585" t="s">
        <v>0</v>
      </c>
      <c r="B2" s="567" t="s">
        <v>207</v>
      </c>
      <c r="C2" s="568"/>
      <c r="D2" s="568"/>
      <c r="E2" s="568"/>
      <c r="F2" s="568"/>
      <c r="G2" s="568"/>
      <c r="H2" s="569"/>
      <c r="I2" s="567" t="s">
        <v>208</v>
      </c>
      <c r="J2" s="568"/>
      <c r="K2" s="568"/>
      <c r="L2" s="568"/>
      <c r="M2" s="568"/>
      <c r="N2" s="568"/>
      <c r="O2" s="569"/>
      <c r="P2" s="567" t="s">
        <v>209</v>
      </c>
      <c r="Q2" s="568"/>
      <c r="R2" s="568"/>
      <c r="S2" s="568"/>
      <c r="T2" s="568"/>
      <c r="U2" s="568"/>
      <c r="V2" s="569"/>
      <c r="W2" s="572" t="s">
        <v>3</v>
      </c>
      <c r="X2" s="573"/>
      <c r="Y2" s="573"/>
      <c r="Z2" s="573"/>
      <c r="AA2" s="573"/>
      <c r="AB2" s="573"/>
      <c r="AC2" s="599"/>
      <c r="AD2" s="484"/>
    </row>
    <row r="3" spans="1:31" ht="15" customHeight="1">
      <c r="A3" s="596"/>
      <c r="B3" s="582" t="s">
        <v>203</v>
      </c>
      <c r="C3" s="579" t="s">
        <v>204</v>
      </c>
      <c r="D3" s="583" t="s">
        <v>205</v>
      </c>
      <c r="E3" s="598" t="s">
        <v>199</v>
      </c>
      <c r="F3" s="587" t="s">
        <v>202</v>
      </c>
      <c r="G3" s="577" t="s">
        <v>1</v>
      </c>
      <c r="H3" s="587" t="s">
        <v>2</v>
      </c>
      <c r="I3" s="606" t="s">
        <v>203</v>
      </c>
      <c r="J3" s="610" t="s">
        <v>204</v>
      </c>
      <c r="K3" s="608" t="s">
        <v>205</v>
      </c>
      <c r="L3" s="577" t="s">
        <v>199</v>
      </c>
      <c r="M3" s="587" t="s">
        <v>200</v>
      </c>
      <c r="N3" s="577" t="s">
        <v>1</v>
      </c>
      <c r="O3" s="587" t="s">
        <v>2</v>
      </c>
      <c r="P3" s="606" t="s">
        <v>203</v>
      </c>
      <c r="Q3" s="610" t="s">
        <v>204</v>
      </c>
      <c r="R3" s="608" t="s">
        <v>205</v>
      </c>
      <c r="S3" s="616" t="s">
        <v>199</v>
      </c>
      <c r="T3" s="587" t="s">
        <v>200</v>
      </c>
      <c r="U3" s="577" t="s">
        <v>1</v>
      </c>
      <c r="V3" s="618" t="s">
        <v>2</v>
      </c>
      <c r="W3" s="582" t="s">
        <v>203</v>
      </c>
      <c r="X3" s="579" t="s">
        <v>204</v>
      </c>
      <c r="Y3" s="583" t="s">
        <v>205</v>
      </c>
      <c r="Z3" s="577" t="s">
        <v>199</v>
      </c>
      <c r="AA3" s="587" t="s">
        <v>200</v>
      </c>
      <c r="AB3" s="600" t="s">
        <v>1</v>
      </c>
      <c r="AC3" s="585" t="s">
        <v>2</v>
      </c>
      <c r="AD3" s="602" t="s">
        <v>13</v>
      </c>
      <c r="AE3" s="614" t="s">
        <v>218</v>
      </c>
    </row>
    <row r="4" spans="1:31" ht="45.75" customHeight="1" thickBot="1">
      <c r="A4" s="586"/>
      <c r="B4" s="566"/>
      <c r="C4" s="571"/>
      <c r="D4" s="584"/>
      <c r="E4" s="576"/>
      <c r="F4" s="588"/>
      <c r="G4" s="578"/>
      <c r="H4" s="588"/>
      <c r="I4" s="607"/>
      <c r="J4" s="611"/>
      <c r="K4" s="609"/>
      <c r="L4" s="578"/>
      <c r="M4" s="588"/>
      <c r="N4" s="578"/>
      <c r="O4" s="588"/>
      <c r="P4" s="607"/>
      <c r="Q4" s="611"/>
      <c r="R4" s="609"/>
      <c r="S4" s="617"/>
      <c r="T4" s="588"/>
      <c r="U4" s="578"/>
      <c r="V4" s="619"/>
      <c r="W4" s="566"/>
      <c r="X4" s="571"/>
      <c r="Y4" s="584"/>
      <c r="Z4" s="578"/>
      <c r="AA4" s="588"/>
      <c r="AB4" s="601"/>
      <c r="AC4" s="586"/>
      <c r="AD4" s="603"/>
      <c r="AE4" s="615"/>
    </row>
    <row r="5" spans="1:31">
      <c r="A5" s="435">
        <f>'SQ-1'!A5</f>
        <v>43952</v>
      </c>
      <c r="B5" s="518"/>
      <c r="C5" s="464">
        <f t="shared" ref="C5:C35" si="0">B5-(D5/60)</f>
        <v>0</v>
      </c>
      <c r="D5" s="5"/>
      <c r="E5" s="3"/>
      <c r="F5" s="434"/>
      <c r="G5" s="5"/>
      <c r="H5" s="6" t="e">
        <f t="shared" ref="H5:H35" si="1">G5/B5</f>
        <v>#DIV/0!</v>
      </c>
      <c r="I5" s="518"/>
      <c r="J5" s="464">
        <f t="shared" ref="J5:J35" si="2">I5-(K5/60)</f>
        <v>0</v>
      </c>
      <c r="K5" s="3"/>
      <c r="L5" s="3"/>
      <c r="M5" s="3"/>
      <c r="N5" s="5"/>
      <c r="O5" s="6" t="e">
        <f t="shared" ref="O5:O35" si="3">N5/I5</f>
        <v>#DIV/0!</v>
      </c>
      <c r="P5" s="518"/>
      <c r="Q5" s="464">
        <f t="shared" ref="Q5:Q35" si="4">P5-(R5/60)</f>
        <v>0</v>
      </c>
      <c r="R5" s="3"/>
      <c r="S5" s="3"/>
      <c r="T5" s="3"/>
      <c r="U5" s="5"/>
      <c r="V5" s="6" t="e">
        <f t="shared" ref="V5:V24" si="5">U5/P5</f>
        <v>#DIV/0!</v>
      </c>
      <c r="W5" s="470">
        <f t="shared" ref="W5:AB5" si="6">B5+I5+P5</f>
        <v>0</v>
      </c>
      <c r="X5" s="471">
        <f t="shared" si="6"/>
        <v>0</v>
      </c>
      <c r="Y5" s="472">
        <f t="shared" si="6"/>
        <v>0</v>
      </c>
      <c r="Z5" s="473">
        <f t="shared" si="6"/>
        <v>0</v>
      </c>
      <c r="AA5" s="473">
        <f t="shared" si="6"/>
        <v>0</v>
      </c>
      <c r="AB5" s="473">
        <f t="shared" si="6"/>
        <v>0</v>
      </c>
      <c r="AC5" s="473" t="e">
        <f>AB5/W5</f>
        <v>#DIV/0!</v>
      </c>
      <c r="AD5" s="471" t="e">
        <f>(AA5/1000)/W5</f>
        <v>#DIV/0!</v>
      </c>
      <c r="AE5" s="483" t="e">
        <f>AA5/Z5</f>
        <v>#DIV/0!</v>
      </c>
    </row>
    <row r="6" spans="1:31">
      <c r="A6" s="435">
        <f>'SQ-1'!A6</f>
        <v>43953</v>
      </c>
      <c r="B6" s="518"/>
      <c r="C6" s="464">
        <f t="shared" si="0"/>
        <v>0</v>
      </c>
      <c r="D6" s="5"/>
      <c r="E6" s="3"/>
      <c r="F6" s="434"/>
      <c r="G6" s="5"/>
      <c r="H6" s="6" t="e">
        <f t="shared" si="1"/>
        <v>#DIV/0!</v>
      </c>
      <c r="I6" s="518"/>
      <c r="J6" s="464">
        <f t="shared" si="2"/>
        <v>0</v>
      </c>
      <c r="K6" s="5"/>
      <c r="L6" s="3"/>
      <c r="M6" s="434"/>
      <c r="N6" s="5"/>
      <c r="O6" s="6" t="e">
        <f t="shared" si="3"/>
        <v>#DIV/0!</v>
      </c>
      <c r="P6" s="518"/>
      <c r="Q6" s="464">
        <f t="shared" si="4"/>
        <v>0</v>
      </c>
      <c r="R6" s="3"/>
      <c r="S6" s="3"/>
      <c r="T6" s="3"/>
      <c r="U6" s="5"/>
      <c r="V6" s="6" t="e">
        <f t="shared" si="5"/>
        <v>#DIV/0!</v>
      </c>
      <c r="W6" s="476">
        <f t="shared" ref="W6:W35" si="7">B6+I6+P6</f>
        <v>0</v>
      </c>
      <c r="X6" s="474">
        <f t="shared" ref="X6:X35" si="8">C6+J6+Q6</f>
        <v>0</v>
      </c>
      <c r="Y6" s="477">
        <f t="shared" ref="Y6:Y35" si="9">D6+K6+R6</f>
        <v>0</v>
      </c>
      <c r="Z6" s="478">
        <f t="shared" ref="Z6:Z35" si="10">E6+L6+S6</f>
        <v>0</v>
      </c>
      <c r="AA6" s="478">
        <f t="shared" ref="AA6:AA35" si="11">F6+M6+T6</f>
        <v>0</v>
      </c>
      <c r="AB6" s="478">
        <f t="shared" ref="AB6:AB35" si="12">G6+N6+U6</f>
        <v>0</v>
      </c>
      <c r="AC6" s="478" t="e">
        <f t="shared" ref="AC6:AC35" si="13">AB6/W6</f>
        <v>#DIV/0!</v>
      </c>
      <c r="AD6" s="474" t="e">
        <f t="shared" ref="AD6:AD35" si="14">(AA6/1000)/W6</f>
        <v>#DIV/0!</v>
      </c>
      <c r="AE6" s="475" t="e">
        <f t="shared" ref="AE6:AE35" si="15">AA6/Z6</f>
        <v>#DIV/0!</v>
      </c>
    </row>
    <row r="7" spans="1:31">
      <c r="A7" s="435">
        <f>'SQ-1'!A7</f>
        <v>43954</v>
      </c>
      <c r="B7" s="518"/>
      <c r="C7" s="464">
        <f t="shared" si="0"/>
        <v>0</v>
      </c>
      <c r="D7" s="5"/>
      <c r="E7" s="3"/>
      <c r="F7" s="434"/>
      <c r="G7" s="5"/>
      <c r="H7" s="6" t="e">
        <f t="shared" si="1"/>
        <v>#DIV/0!</v>
      </c>
      <c r="I7" s="518"/>
      <c r="J7" s="464">
        <f t="shared" si="2"/>
        <v>0</v>
      </c>
      <c r="K7" s="5"/>
      <c r="L7" s="3"/>
      <c r="M7" s="434"/>
      <c r="N7" s="5"/>
      <c r="O7" s="6" t="e">
        <f t="shared" si="3"/>
        <v>#DIV/0!</v>
      </c>
      <c r="P7" s="518"/>
      <c r="Q7" s="464">
        <f t="shared" si="4"/>
        <v>0</v>
      </c>
      <c r="R7" s="3"/>
      <c r="S7" s="3"/>
      <c r="T7" s="3"/>
      <c r="U7" s="5"/>
      <c r="V7" s="6" t="e">
        <f t="shared" si="5"/>
        <v>#DIV/0!</v>
      </c>
      <c r="W7" s="476">
        <f t="shared" si="7"/>
        <v>0</v>
      </c>
      <c r="X7" s="474">
        <f t="shared" si="8"/>
        <v>0</v>
      </c>
      <c r="Y7" s="477">
        <f t="shared" si="9"/>
        <v>0</v>
      </c>
      <c r="Z7" s="478">
        <f t="shared" si="10"/>
        <v>0</v>
      </c>
      <c r="AA7" s="478">
        <f t="shared" si="11"/>
        <v>0</v>
      </c>
      <c r="AB7" s="478">
        <f t="shared" si="12"/>
        <v>0</v>
      </c>
      <c r="AC7" s="478" t="e">
        <f t="shared" si="13"/>
        <v>#DIV/0!</v>
      </c>
      <c r="AD7" s="474" t="e">
        <f>(AA7/1000)/W7</f>
        <v>#DIV/0!</v>
      </c>
      <c r="AE7" s="475" t="e">
        <f t="shared" si="15"/>
        <v>#DIV/0!</v>
      </c>
    </row>
    <row r="8" spans="1:31">
      <c r="A8" s="435">
        <f>'SQ-1'!A8</f>
        <v>43955</v>
      </c>
      <c r="B8" s="518"/>
      <c r="C8" s="464">
        <f t="shared" si="0"/>
        <v>0</v>
      </c>
      <c r="D8" s="5"/>
      <c r="E8" s="3"/>
      <c r="F8" s="434"/>
      <c r="G8" s="5"/>
      <c r="H8" s="6" t="e">
        <f t="shared" si="1"/>
        <v>#DIV/0!</v>
      </c>
      <c r="I8" s="518"/>
      <c r="J8" s="464">
        <f t="shared" si="2"/>
        <v>0</v>
      </c>
      <c r="K8" s="3"/>
      <c r="L8" s="3"/>
      <c r="M8" s="3"/>
      <c r="N8" s="5"/>
      <c r="O8" s="6" t="e">
        <f t="shared" si="3"/>
        <v>#DIV/0!</v>
      </c>
      <c r="P8" s="518"/>
      <c r="Q8" s="464">
        <f t="shared" si="4"/>
        <v>0</v>
      </c>
      <c r="R8" s="3"/>
      <c r="S8" s="3"/>
      <c r="T8" s="3"/>
      <c r="U8" s="5"/>
      <c r="V8" s="6" t="e">
        <f t="shared" si="5"/>
        <v>#DIV/0!</v>
      </c>
      <c r="W8" s="476">
        <f t="shared" si="7"/>
        <v>0</v>
      </c>
      <c r="X8" s="474">
        <f t="shared" si="8"/>
        <v>0</v>
      </c>
      <c r="Y8" s="477">
        <f t="shared" si="9"/>
        <v>0</v>
      </c>
      <c r="Z8" s="478">
        <f t="shared" si="10"/>
        <v>0</v>
      </c>
      <c r="AA8" s="478">
        <f t="shared" si="11"/>
        <v>0</v>
      </c>
      <c r="AB8" s="478">
        <f t="shared" si="12"/>
        <v>0</v>
      </c>
      <c r="AC8" s="478" t="e">
        <f t="shared" si="13"/>
        <v>#DIV/0!</v>
      </c>
      <c r="AD8" s="474" t="e">
        <f t="shared" si="14"/>
        <v>#DIV/0!</v>
      </c>
      <c r="AE8" s="475" t="e">
        <f t="shared" si="15"/>
        <v>#DIV/0!</v>
      </c>
    </row>
    <row r="9" spans="1:31">
      <c r="A9" s="435">
        <f>'SQ-1'!A9</f>
        <v>43956</v>
      </c>
      <c r="B9" s="518"/>
      <c r="C9" s="464">
        <f t="shared" si="0"/>
        <v>0</v>
      </c>
      <c r="D9" s="5"/>
      <c r="E9" s="3"/>
      <c r="F9" s="434"/>
      <c r="G9" s="5"/>
      <c r="H9" s="6" t="e">
        <f t="shared" si="1"/>
        <v>#DIV/0!</v>
      </c>
      <c r="I9" s="518"/>
      <c r="J9" s="464">
        <f t="shared" si="2"/>
        <v>0</v>
      </c>
      <c r="K9" s="3"/>
      <c r="L9" s="3"/>
      <c r="M9" s="3"/>
      <c r="N9" s="5"/>
      <c r="O9" s="6" t="e">
        <f t="shared" si="3"/>
        <v>#DIV/0!</v>
      </c>
      <c r="P9" s="518"/>
      <c r="Q9" s="464">
        <f t="shared" si="4"/>
        <v>0</v>
      </c>
      <c r="R9" s="3"/>
      <c r="S9" s="3"/>
      <c r="T9" s="3"/>
      <c r="U9" s="5"/>
      <c r="V9" s="6" t="e">
        <f t="shared" si="5"/>
        <v>#DIV/0!</v>
      </c>
      <c r="W9" s="476">
        <f t="shared" si="7"/>
        <v>0</v>
      </c>
      <c r="X9" s="474">
        <f t="shared" si="8"/>
        <v>0</v>
      </c>
      <c r="Y9" s="477">
        <f t="shared" si="9"/>
        <v>0</v>
      </c>
      <c r="Z9" s="478">
        <f t="shared" si="10"/>
        <v>0</v>
      </c>
      <c r="AA9" s="478">
        <f t="shared" si="11"/>
        <v>0</v>
      </c>
      <c r="AB9" s="478">
        <f t="shared" si="12"/>
        <v>0</v>
      </c>
      <c r="AC9" s="478" t="e">
        <f t="shared" si="13"/>
        <v>#DIV/0!</v>
      </c>
      <c r="AD9" s="474" t="e">
        <f t="shared" si="14"/>
        <v>#DIV/0!</v>
      </c>
      <c r="AE9" s="475" t="e">
        <f t="shared" si="15"/>
        <v>#DIV/0!</v>
      </c>
    </row>
    <row r="10" spans="1:31">
      <c r="A10" s="435">
        <f>'SQ-1'!A10</f>
        <v>43957</v>
      </c>
      <c r="B10" s="518"/>
      <c r="C10" s="464">
        <f t="shared" si="0"/>
        <v>0</v>
      </c>
      <c r="D10" s="5"/>
      <c r="E10" s="3"/>
      <c r="F10" s="434"/>
      <c r="G10" s="5"/>
      <c r="H10" s="6" t="e">
        <f t="shared" si="1"/>
        <v>#DIV/0!</v>
      </c>
      <c r="I10" s="518"/>
      <c r="J10" s="464">
        <f t="shared" si="2"/>
        <v>0</v>
      </c>
      <c r="K10" s="3"/>
      <c r="L10" s="3"/>
      <c r="M10" s="3"/>
      <c r="N10" s="5"/>
      <c r="O10" s="6" t="e">
        <f t="shared" si="3"/>
        <v>#DIV/0!</v>
      </c>
      <c r="P10" s="518"/>
      <c r="Q10" s="464">
        <f t="shared" si="4"/>
        <v>0</v>
      </c>
      <c r="R10" s="3"/>
      <c r="S10" s="3"/>
      <c r="T10" s="3"/>
      <c r="U10" s="5"/>
      <c r="V10" s="6" t="e">
        <f t="shared" si="5"/>
        <v>#DIV/0!</v>
      </c>
      <c r="W10" s="476">
        <f t="shared" si="7"/>
        <v>0</v>
      </c>
      <c r="X10" s="474">
        <f t="shared" si="8"/>
        <v>0</v>
      </c>
      <c r="Y10" s="477">
        <f t="shared" si="9"/>
        <v>0</v>
      </c>
      <c r="Z10" s="478">
        <f t="shared" si="10"/>
        <v>0</v>
      </c>
      <c r="AA10" s="478">
        <f t="shared" si="11"/>
        <v>0</v>
      </c>
      <c r="AB10" s="478">
        <f t="shared" si="12"/>
        <v>0</v>
      </c>
      <c r="AC10" s="478" t="e">
        <f t="shared" si="13"/>
        <v>#DIV/0!</v>
      </c>
      <c r="AD10" s="474" t="e">
        <f t="shared" si="14"/>
        <v>#DIV/0!</v>
      </c>
      <c r="AE10" s="475" t="e">
        <f>AA10/Z10</f>
        <v>#DIV/0!</v>
      </c>
    </row>
    <row r="11" spans="1:31">
      <c r="A11" s="435">
        <f>'SQ-1'!A11</f>
        <v>43958</v>
      </c>
      <c r="B11" s="518"/>
      <c r="C11" s="464">
        <f t="shared" si="0"/>
        <v>0</v>
      </c>
      <c r="D11" s="5"/>
      <c r="E11" s="3"/>
      <c r="F11" s="434"/>
      <c r="G11" s="5"/>
      <c r="H11" s="6" t="e">
        <f t="shared" si="1"/>
        <v>#DIV/0!</v>
      </c>
      <c r="I11" s="518"/>
      <c r="J11" s="464">
        <f t="shared" si="2"/>
        <v>0</v>
      </c>
      <c r="K11" s="3"/>
      <c r="L11" s="3"/>
      <c r="M11" s="3"/>
      <c r="N11" s="5"/>
      <c r="O11" s="6" t="e">
        <f t="shared" si="3"/>
        <v>#DIV/0!</v>
      </c>
      <c r="P11" s="518"/>
      <c r="Q11" s="464">
        <f t="shared" si="4"/>
        <v>0</v>
      </c>
      <c r="R11" s="3"/>
      <c r="S11" s="3"/>
      <c r="T11" s="3"/>
      <c r="U11" s="5"/>
      <c r="V11" s="6" t="e">
        <f t="shared" si="5"/>
        <v>#DIV/0!</v>
      </c>
      <c r="W11" s="476">
        <f t="shared" si="7"/>
        <v>0</v>
      </c>
      <c r="X11" s="474">
        <f t="shared" si="8"/>
        <v>0</v>
      </c>
      <c r="Y11" s="477">
        <f t="shared" si="9"/>
        <v>0</v>
      </c>
      <c r="Z11" s="478">
        <f t="shared" si="10"/>
        <v>0</v>
      </c>
      <c r="AA11" s="478">
        <f t="shared" si="11"/>
        <v>0</v>
      </c>
      <c r="AB11" s="478">
        <f t="shared" si="12"/>
        <v>0</v>
      </c>
      <c r="AC11" s="478" t="e">
        <f t="shared" si="13"/>
        <v>#DIV/0!</v>
      </c>
      <c r="AD11" s="474" t="e">
        <f t="shared" si="14"/>
        <v>#DIV/0!</v>
      </c>
      <c r="AE11" s="475" t="e">
        <f t="shared" si="15"/>
        <v>#DIV/0!</v>
      </c>
    </row>
    <row r="12" spans="1:31">
      <c r="A12" s="435">
        <f>'SQ-1'!A12</f>
        <v>43959</v>
      </c>
      <c r="B12" s="518"/>
      <c r="C12" s="464">
        <f t="shared" si="0"/>
        <v>0</v>
      </c>
      <c r="D12" s="5"/>
      <c r="E12" s="3"/>
      <c r="F12" s="434"/>
      <c r="G12" s="5"/>
      <c r="H12" s="6" t="e">
        <f t="shared" si="1"/>
        <v>#DIV/0!</v>
      </c>
      <c r="I12" s="518"/>
      <c r="J12" s="464">
        <f t="shared" si="2"/>
        <v>0</v>
      </c>
      <c r="K12" s="3"/>
      <c r="L12" s="3"/>
      <c r="M12" s="3"/>
      <c r="N12" s="5"/>
      <c r="O12" s="6" t="e">
        <f t="shared" si="3"/>
        <v>#DIV/0!</v>
      </c>
      <c r="P12" s="518"/>
      <c r="Q12" s="464">
        <f t="shared" si="4"/>
        <v>0</v>
      </c>
      <c r="R12" s="3"/>
      <c r="S12" s="3"/>
      <c r="T12" s="3"/>
      <c r="U12" s="5"/>
      <c r="V12" s="6" t="e">
        <f t="shared" si="5"/>
        <v>#DIV/0!</v>
      </c>
      <c r="W12" s="476">
        <f t="shared" si="7"/>
        <v>0</v>
      </c>
      <c r="X12" s="474">
        <f t="shared" si="8"/>
        <v>0</v>
      </c>
      <c r="Y12" s="477">
        <f t="shared" si="9"/>
        <v>0</v>
      </c>
      <c r="Z12" s="478">
        <f t="shared" si="10"/>
        <v>0</v>
      </c>
      <c r="AA12" s="478">
        <f t="shared" si="11"/>
        <v>0</v>
      </c>
      <c r="AB12" s="478">
        <f t="shared" si="12"/>
        <v>0</v>
      </c>
      <c r="AC12" s="478" t="e">
        <f t="shared" si="13"/>
        <v>#DIV/0!</v>
      </c>
      <c r="AD12" s="474" t="e">
        <f t="shared" si="14"/>
        <v>#DIV/0!</v>
      </c>
      <c r="AE12" s="475" t="e">
        <f t="shared" si="15"/>
        <v>#DIV/0!</v>
      </c>
    </row>
    <row r="13" spans="1:31">
      <c r="A13" s="435">
        <f>'SQ-1'!A13</f>
        <v>43960</v>
      </c>
      <c r="B13" s="518"/>
      <c r="C13" s="464">
        <f t="shared" si="0"/>
        <v>0</v>
      </c>
      <c r="D13" s="5"/>
      <c r="E13" s="3"/>
      <c r="F13" s="434"/>
      <c r="G13" s="5"/>
      <c r="H13" s="6" t="e">
        <f t="shared" si="1"/>
        <v>#DIV/0!</v>
      </c>
      <c r="I13" s="518"/>
      <c r="J13" s="464">
        <f t="shared" si="2"/>
        <v>0</v>
      </c>
      <c r="K13" s="3"/>
      <c r="L13" s="3"/>
      <c r="M13" s="3"/>
      <c r="N13" s="5"/>
      <c r="O13" s="6" t="e">
        <f t="shared" si="3"/>
        <v>#DIV/0!</v>
      </c>
      <c r="P13" s="518"/>
      <c r="Q13" s="464">
        <f t="shared" si="4"/>
        <v>0</v>
      </c>
      <c r="R13" s="3"/>
      <c r="S13" s="3"/>
      <c r="T13" s="3"/>
      <c r="U13" s="5"/>
      <c r="V13" s="6" t="e">
        <f t="shared" si="5"/>
        <v>#DIV/0!</v>
      </c>
      <c r="W13" s="476">
        <f t="shared" si="7"/>
        <v>0</v>
      </c>
      <c r="X13" s="474">
        <f t="shared" si="8"/>
        <v>0</v>
      </c>
      <c r="Y13" s="477">
        <f t="shared" si="9"/>
        <v>0</v>
      </c>
      <c r="Z13" s="478">
        <f t="shared" si="10"/>
        <v>0</v>
      </c>
      <c r="AA13" s="478">
        <f t="shared" si="11"/>
        <v>0</v>
      </c>
      <c r="AB13" s="478">
        <f t="shared" si="12"/>
        <v>0</v>
      </c>
      <c r="AC13" s="478" t="e">
        <f t="shared" si="13"/>
        <v>#DIV/0!</v>
      </c>
      <c r="AD13" s="474" t="e">
        <f t="shared" si="14"/>
        <v>#DIV/0!</v>
      </c>
      <c r="AE13" s="475" t="e">
        <f t="shared" si="15"/>
        <v>#DIV/0!</v>
      </c>
    </row>
    <row r="14" spans="1:31">
      <c r="A14" s="435">
        <f>'SQ-1'!A14</f>
        <v>43961</v>
      </c>
      <c r="B14" s="518"/>
      <c r="C14" s="464">
        <f t="shared" si="0"/>
        <v>0</v>
      </c>
      <c r="D14" s="5"/>
      <c r="E14" s="3"/>
      <c r="F14" s="434"/>
      <c r="G14" s="5"/>
      <c r="H14" s="6" t="e">
        <f t="shared" si="1"/>
        <v>#DIV/0!</v>
      </c>
      <c r="I14" s="518"/>
      <c r="J14" s="464">
        <f t="shared" si="2"/>
        <v>0</v>
      </c>
      <c r="K14" s="3"/>
      <c r="L14" s="3"/>
      <c r="M14" s="3"/>
      <c r="N14" s="5"/>
      <c r="O14" s="6" t="e">
        <f t="shared" si="3"/>
        <v>#DIV/0!</v>
      </c>
      <c r="P14" s="518"/>
      <c r="Q14" s="464">
        <f t="shared" si="4"/>
        <v>0</v>
      </c>
      <c r="R14" s="3"/>
      <c r="S14" s="3"/>
      <c r="T14" s="3"/>
      <c r="U14" s="5"/>
      <c r="V14" s="6" t="e">
        <f t="shared" si="5"/>
        <v>#DIV/0!</v>
      </c>
      <c r="W14" s="476">
        <f t="shared" si="7"/>
        <v>0</v>
      </c>
      <c r="X14" s="474">
        <f t="shared" si="8"/>
        <v>0</v>
      </c>
      <c r="Y14" s="477">
        <f t="shared" si="9"/>
        <v>0</v>
      </c>
      <c r="Z14" s="478">
        <f t="shared" si="10"/>
        <v>0</v>
      </c>
      <c r="AA14" s="478">
        <f t="shared" si="11"/>
        <v>0</v>
      </c>
      <c r="AB14" s="478">
        <f t="shared" si="12"/>
        <v>0</v>
      </c>
      <c r="AC14" s="478" t="e">
        <f t="shared" si="13"/>
        <v>#DIV/0!</v>
      </c>
      <c r="AD14" s="474" t="e">
        <f t="shared" si="14"/>
        <v>#DIV/0!</v>
      </c>
      <c r="AE14" s="475" t="e">
        <f t="shared" si="15"/>
        <v>#DIV/0!</v>
      </c>
    </row>
    <row r="15" spans="1:31">
      <c r="A15" s="435">
        <f>'SQ-1'!A15</f>
        <v>43962</v>
      </c>
      <c r="B15" s="518"/>
      <c r="C15" s="464">
        <f t="shared" si="0"/>
        <v>0</v>
      </c>
      <c r="D15" s="5"/>
      <c r="E15" s="3"/>
      <c r="F15" s="434"/>
      <c r="G15" s="5"/>
      <c r="H15" s="6" t="e">
        <f t="shared" si="1"/>
        <v>#DIV/0!</v>
      </c>
      <c r="I15" s="518"/>
      <c r="J15" s="464">
        <f t="shared" si="2"/>
        <v>0</v>
      </c>
      <c r="K15" s="3"/>
      <c r="L15" s="3"/>
      <c r="M15" s="3"/>
      <c r="N15" s="5"/>
      <c r="O15" s="6" t="e">
        <f t="shared" si="3"/>
        <v>#DIV/0!</v>
      </c>
      <c r="P15" s="518"/>
      <c r="Q15" s="464">
        <f t="shared" si="4"/>
        <v>0</v>
      </c>
      <c r="R15" s="3"/>
      <c r="S15" s="3"/>
      <c r="T15" s="3"/>
      <c r="U15" s="5"/>
      <c r="V15" s="6" t="e">
        <f t="shared" si="5"/>
        <v>#DIV/0!</v>
      </c>
      <c r="W15" s="476">
        <f t="shared" si="7"/>
        <v>0</v>
      </c>
      <c r="X15" s="474">
        <f t="shared" si="8"/>
        <v>0</v>
      </c>
      <c r="Y15" s="477">
        <f t="shared" si="9"/>
        <v>0</v>
      </c>
      <c r="Z15" s="478">
        <f t="shared" si="10"/>
        <v>0</v>
      </c>
      <c r="AA15" s="478">
        <f t="shared" si="11"/>
        <v>0</v>
      </c>
      <c r="AB15" s="478">
        <f t="shared" si="12"/>
        <v>0</v>
      </c>
      <c r="AC15" s="478" t="e">
        <f t="shared" si="13"/>
        <v>#DIV/0!</v>
      </c>
      <c r="AD15" s="474" t="e">
        <f t="shared" si="14"/>
        <v>#DIV/0!</v>
      </c>
      <c r="AE15" s="475" t="e">
        <f t="shared" si="15"/>
        <v>#DIV/0!</v>
      </c>
    </row>
    <row r="16" spans="1:31">
      <c r="A16" s="435">
        <f>'SQ-1'!A16</f>
        <v>43963</v>
      </c>
      <c r="B16" s="518"/>
      <c r="C16" s="464">
        <f t="shared" si="0"/>
        <v>0</v>
      </c>
      <c r="D16" s="5"/>
      <c r="E16" s="3"/>
      <c r="F16" s="434"/>
      <c r="G16" s="5"/>
      <c r="H16" s="6" t="e">
        <f t="shared" si="1"/>
        <v>#DIV/0!</v>
      </c>
      <c r="I16" s="518"/>
      <c r="J16" s="464">
        <f t="shared" si="2"/>
        <v>0</v>
      </c>
      <c r="K16" s="3"/>
      <c r="L16" s="3"/>
      <c r="M16" s="3"/>
      <c r="N16" s="5"/>
      <c r="O16" s="6" t="e">
        <f t="shared" si="3"/>
        <v>#DIV/0!</v>
      </c>
      <c r="P16" s="518"/>
      <c r="Q16" s="464">
        <f t="shared" si="4"/>
        <v>0</v>
      </c>
      <c r="R16" s="3"/>
      <c r="S16" s="3"/>
      <c r="T16" s="3"/>
      <c r="U16" s="5"/>
      <c r="V16" s="6" t="e">
        <f t="shared" si="5"/>
        <v>#DIV/0!</v>
      </c>
      <c r="W16" s="476">
        <f t="shared" si="7"/>
        <v>0</v>
      </c>
      <c r="X16" s="474">
        <f t="shared" si="8"/>
        <v>0</v>
      </c>
      <c r="Y16" s="477">
        <f t="shared" si="9"/>
        <v>0</v>
      </c>
      <c r="Z16" s="478">
        <f t="shared" si="10"/>
        <v>0</v>
      </c>
      <c r="AA16" s="478">
        <f t="shared" si="11"/>
        <v>0</v>
      </c>
      <c r="AB16" s="478">
        <f t="shared" si="12"/>
        <v>0</v>
      </c>
      <c r="AC16" s="478" t="e">
        <f t="shared" si="13"/>
        <v>#DIV/0!</v>
      </c>
      <c r="AD16" s="474" t="e">
        <f t="shared" si="14"/>
        <v>#DIV/0!</v>
      </c>
      <c r="AE16" s="475" t="e">
        <f t="shared" si="15"/>
        <v>#DIV/0!</v>
      </c>
    </row>
    <row r="17" spans="1:31">
      <c r="A17" s="435">
        <f>'SQ-1'!A17</f>
        <v>43964</v>
      </c>
      <c r="B17" s="518"/>
      <c r="C17" s="464">
        <f t="shared" si="0"/>
        <v>0</v>
      </c>
      <c r="D17" s="5"/>
      <c r="E17" s="3"/>
      <c r="F17" s="434"/>
      <c r="G17" s="5"/>
      <c r="H17" s="6" t="e">
        <f t="shared" si="1"/>
        <v>#DIV/0!</v>
      </c>
      <c r="I17" s="518"/>
      <c r="J17" s="464">
        <f t="shared" si="2"/>
        <v>0</v>
      </c>
      <c r="K17" s="3"/>
      <c r="L17" s="3"/>
      <c r="M17" s="3"/>
      <c r="N17" s="5"/>
      <c r="O17" s="6" t="e">
        <f t="shared" si="3"/>
        <v>#DIV/0!</v>
      </c>
      <c r="P17" s="518"/>
      <c r="Q17" s="464">
        <f t="shared" si="4"/>
        <v>0</v>
      </c>
      <c r="R17" s="3"/>
      <c r="S17" s="3"/>
      <c r="T17" s="3"/>
      <c r="U17" s="5"/>
      <c r="V17" s="6" t="e">
        <f t="shared" si="5"/>
        <v>#DIV/0!</v>
      </c>
      <c r="W17" s="476">
        <f t="shared" si="7"/>
        <v>0</v>
      </c>
      <c r="X17" s="474">
        <f>C17+J17+Q17</f>
        <v>0</v>
      </c>
      <c r="Y17" s="477">
        <f t="shared" si="9"/>
        <v>0</v>
      </c>
      <c r="Z17" s="478">
        <f t="shared" si="10"/>
        <v>0</v>
      </c>
      <c r="AA17" s="478">
        <f t="shared" si="11"/>
        <v>0</v>
      </c>
      <c r="AB17" s="478">
        <f t="shared" si="12"/>
        <v>0</v>
      </c>
      <c r="AC17" s="478" t="e">
        <f t="shared" si="13"/>
        <v>#DIV/0!</v>
      </c>
      <c r="AD17" s="474" t="e">
        <f t="shared" si="14"/>
        <v>#DIV/0!</v>
      </c>
      <c r="AE17" s="475" t="e">
        <f t="shared" si="15"/>
        <v>#DIV/0!</v>
      </c>
    </row>
    <row r="18" spans="1:31">
      <c r="A18" s="435">
        <f>'SQ-1'!A18</f>
        <v>43965</v>
      </c>
      <c r="B18" s="518"/>
      <c r="C18" s="464">
        <f t="shared" si="0"/>
        <v>0</v>
      </c>
      <c r="D18" s="5"/>
      <c r="E18" s="3"/>
      <c r="F18" s="434"/>
      <c r="G18" s="5"/>
      <c r="H18" s="6" t="e">
        <f t="shared" si="1"/>
        <v>#DIV/0!</v>
      </c>
      <c r="I18" s="518"/>
      <c r="J18" s="464">
        <f t="shared" si="2"/>
        <v>0</v>
      </c>
      <c r="K18" s="3"/>
      <c r="L18" s="3"/>
      <c r="M18" s="3"/>
      <c r="N18" s="5"/>
      <c r="O18" s="6" t="e">
        <f t="shared" si="3"/>
        <v>#DIV/0!</v>
      </c>
      <c r="P18" s="518"/>
      <c r="Q18" s="464">
        <f t="shared" si="4"/>
        <v>0</v>
      </c>
      <c r="R18" s="3"/>
      <c r="S18" s="3"/>
      <c r="T18" s="3"/>
      <c r="U18" s="5"/>
      <c r="V18" s="6" t="e">
        <f t="shared" si="5"/>
        <v>#DIV/0!</v>
      </c>
      <c r="W18" s="476">
        <f t="shared" si="7"/>
        <v>0</v>
      </c>
      <c r="X18" s="474">
        <f>C18+J18+Q18</f>
        <v>0</v>
      </c>
      <c r="Y18" s="477">
        <f t="shared" si="9"/>
        <v>0</v>
      </c>
      <c r="Z18" s="478">
        <f t="shared" si="10"/>
        <v>0</v>
      </c>
      <c r="AA18" s="478">
        <f t="shared" si="11"/>
        <v>0</v>
      </c>
      <c r="AB18" s="478">
        <f t="shared" si="12"/>
        <v>0</v>
      </c>
      <c r="AC18" s="478" t="e">
        <f t="shared" si="13"/>
        <v>#DIV/0!</v>
      </c>
      <c r="AD18" s="474" t="e">
        <f t="shared" si="14"/>
        <v>#DIV/0!</v>
      </c>
      <c r="AE18" s="475" t="e">
        <f t="shared" si="15"/>
        <v>#DIV/0!</v>
      </c>
    </row>
    <row r="19" spans="1:31">
      <c r="A19" s="435">
        <f>'SQ-1'!A19</f>
        <v>43966</v>
      </c>
      <c r="B19" s="518"/>
      <c r="C19" s="464">
        <f t="shared" si="0"/>
        <v>0</v>
      </c>
      <c r="D19" s="5"/>
      <c r="E19" s="3"/>
      <c r="F19" s="434"/>
      <c r="G19" s="5"/>
      <c r="H19" s="6" t="e">
        <f t="shared" si="1"/>
        <v>#DIV/0!</v>
      </c>
      <c r="I19" s="518"/>
      <c r="J19" s="464">
        <f t="shared" si="2"/>
        <v>0</v>
      </c>
      <c r="K19" s="3"/>
      <c r="L19" s="3"/>
      <c r="M19" s="3"/>
      <c r="N19" s="5"/>
      <c r="O19" s="6" t="e">
        <f t="shared" si="3"/>
        <v>#DIV/0!</v>
      </c>
      <c r="P19" s="518"/>
      <c r="Q19" s="464">
        <f t="shared" si="4"/>
        <v>0</v>
      </c>
      <c r="R19" s="3"/>
      <c r="S19" s="3"/>
      <c r="T19" s="3"/>
      <c r="U19" s="5"/>
      <c r="V19" s="6" t="e">
        <f t="shared" si="5"/>
        <v>#DIV/0!</v>
      </c>
      <c r="W19" s="476">
        <f t="shared" si="7"/>
        <v>0</v>
      </c>
      <c r="X19" s="474">
        <f t="shared" si="8"/>
        <v>0</v>
      </c>
      <c r="Y19" s="477">
        <f t="shared" si="9"/>
        <v>0</v>
      </c>
      <c r="Z19" s="478">
        <f t="shared" si="10"/>
        <v>0</v>
      </c>
      <c r="AA19" s="478">
        <f t="shared" si="11"/>
        <v>0</v>
      </c>
      <c r="AB19" s="478">
        <f t="shared" si="12"/>
        <v>0</v>
      </c>
      <c r="AC19" s="478" t="e">
        <f t="shared" si="13"/>
        <v>#DIV/0!</v>
      </c>
      <c r="AD19" s="474" t="e">
        <f t="shared" si="14"/>
        <v>#DIV/0!</v>
      </c>
      <c r="AE19" s="475" t="e">
        <f t="shared" si="15"/>
        <v>#DIV/0!</v>
      </c>
    </row>
    <row r="20" spans="1:31" ht="14.25" customHeight="1">
      <c r="A20" s="435">
        <f>'SQ-1'!A20</f>
        <v>43967</v>
      </c>
      <c r="B20" s="518"/>
      <c r="C20" s="464">
        <f t="shared" si="0"/>
        <v>0</v>
      </c>
      <c r="D20" s="5"/>
      <c r="E20" s="3"/>
      <c r="F20" s="434"/>
      <c r="G20" s="5"/>
      <c r="H20" s="6" t="e">
        <f t="shared" si="1"/>
        <v>#DIV/0!</v>
      </c>
      <c r="I20" s="518"/>
      <c r="J20" s="464">
        <f t="shared" si="2"/>
        <v>0</v>
      </c>
      <c r="K20" s="3"/>
      <c r="L20" s="3"/>
      <c r="M20" s="3"/>
      <c r="N20" s="5"/>
      <c r="O20" s="6" t="e">
        <f t="shared" si="3"/>
        <v>#DIV/0!</v>
      </c>
      <c r="P20" s="518"/>
      <c r="Q20" s="464">
        <f t="shared" si="4"/>
        <v>0</v>
      </c>
      <c r="R20" s="3"/>
      <c r="S20" s="3"/>
      <c r="T20" s="3"/>
      <c r="U20" s="5"/>
      <c r="V20" s="6" t="e">
        <f t="shared" si="5"/>
        <v>#DIV/0!</v>
      </c>
      <c r="W20" s="476">
        <f t="shared" si="7"/>
        <v>0</v>
      </c>
      <c r="X20" s="474">
        <f t="shared" si="8"/>
        <v>0</v>
      </c>
      <c r="Y20" s="477">
        <f t="shared" si="9"/>
        <v>0</v>
      </c>
      <c r="Z20" s="478">
        <f t="shared" si="10"/>
        <v>0</v>
      </c>
      <c r="AA20" s="478">
        <f t="shared" si="11"/>
        <v>0</v>
      </c>
      <c r="AB20" s="478">
        <f t="shared" si="12"/>
        <v>0</v>
      </c>
      <c r="AC20" s="478" t="e">
        <f t="shared" si="13"/>
        <v>#DIV/0!</v>
      </c>
      <c r="AD20" s="474" t="e">
        <f t="shared" si="14"/>
        <v>#DIV/0!</v>
      </c>
      <c r="AE20" s="475" t="e">
        <f t="shared" si="15"/>
        <v>#DIV/0!</v>
      </c>
    </row>
    <row r="21" spans="1:31">
      <c r="A21" s="435">
        <f>'SQ-1'!A21</f>
        <v>43968</v>
      </c>
      <c r="B21" s="518"/>
      <c r="C21" s="464">
        <f t="shared" si="0"/>
        <v>0</v>
      </c>
      <c r="D21" s="5"/>
      <c r="E21" s="3"/>
      <c r="F21" s="434"/>
      <c r="G21" s="5"/>
      <c r="H21" s="6" t="e">
        <f t="shared" si="1"/>
        <v>#DIV/0!</v>
      </c>
      <c r="I21" s="518"/>
      <c r="J21" s="464">
        <f t="shared" si="2"/>
        <v>0</v>
      </c>
      <c r="K21" s="3"/>
      <c r="L21" s="3"/>
      <c r="M21" s="3"/>
      <c r="N21" s="5"/>
      <c r="O21" s="6" t="e">
        <f t="shared" si="3"/>
        <v>#DIV/0!</v>
      </c>
      <c r="P21" s="518"/>
      <c r="Q21" s="464">
        <f t="shared" si="4"/>
        <v>0</v>
      </c>
      <c r="R21" s="3"/>
      <c r="S21" s="3"/>
      <c r="T21" s="3"/>
      <c r="U21" s="5"/>
      <c r="V21" s="6" t="e">
        <f t="shared" si="5"/>
        <v>#DIV/0!</v>
      </c>
      <c r="W21" s="476">
        <f t="shared" si="7"/>
        <v>0</v>
      </c>
      <c r="X21" s="474">
        <f t="shared" si="8"/>
        <v>0</v>
      </c>
      <c r="Y21" s="477">
        <f t="shared" si="9"/>
        <v>0</v>
      </c>
      <c r="Z21" s="478">
        <f t="shared" si="10"/>
        <v>0</v>
      </c>
      <c r="AA21" s="478">
        <f t="shared" si="11"/>
        <v>0</v>
      </c>
      <c r="AB21" s="478">
        <f t="shared" si="12"/>
        <v>0</v>
      </c>
      <c r="AC21" s="478" t="e">
        <f t="shared" si="13"/>
        <v>#DIV/0!</v>
      </c>
      <c r="AD21" s="474" t="e">
        <f t="shared" si="14"/>
        <v>#DIV/0!</v>
      </c>
      <c r="AE21" s="475" t="e">
        <f t="shared" si="15"/>
        <v>#DIV/0!</v>
      </c>
    </row>
    <row r="22" spans="1:31">
      <c r="A22" s="435">
        <f>'SQ-1'!A22</f>
        <v>43969</v>
      </c>
      <c r="B22" s="518"/>
      <c r="C22" s="464">
        <f t="shared" si="0"/>
        <v>0</v>
      </c>
      <c r="D22" s="5"/>
      <c r="E22" s="3"/>
      <c r="F22" s="434"/>
      <c r="G22" s="5"/>
      <c r="H22" s="6" t="e">
        <f t="shared" si="1"/>
        <v>#DIV/0!</v>
      </c>
      <c r="I22" s="518"/>
      <c r="J22" s="464">
        <f t="shared" si="2"/>
        <v>0</v>
      </c>
      <c r="K22" s="3"/>
      <c r="L22" s="3"/>
      <c r="M22" s="3"/>
      <c r="N22" s="5"/>
      <c r="O22" s="6" t="e">
        <f t="shared" si="3"/>
        <v>#DIV/0!</v>
      </c>
      <c r="P22" s="518"/>
      <c r="Q22" s="464">
        <f t="shared" si="4"/>
        <v>0</v>
      </c>
      <c r="R22" s="3"/>
      <c r="S22" s="3"/>
      <c r="T22" s="3"/>
      <c r="U22" s="5"/>
      <c r="V22" s="6" t="e">
        <f t="shared" si="5"/>
        <v>#DIV/0!</v>
      </c>
      <c r="W22" s="476">
        <f t="shared" si="7"/>
        <v>0</v>
      </c>
      <c r="X22" s="474">
        <f t="shared" si="8"/>
        <v>0</v>
      </c>
      <c r="Y22" s="477">
        <f t="shared" si="9"/>
        <v>0</v>
      </c>
      <c r="Z22" s="478">
        <f t="shared" si="10"/>
        <v>0</v>
      </c>
      <c r="AA22" s="478">
        <f t="shared" si="11"/>
        <v>0</v>
      </c>
      <c r="AB22" s="478">
        <f t="shared" si="12"/>
        <v>0</v>
      </c>
      <c r="AC22" s="478" t="e">
        <f t="shared" si="13"/>
        <v>#DIV/0!</v>
      </c>
      <c r="AD22" s="474" t="e">
        <f t="shared" si="14"/>
        <v>#DIV/0!</v>
      </c>
      <c r="AE22" s="475" t="e">
        <f t="shared" si="15"/>
        <v>#DIV/0!</v>
      </c>
    </row>
    <row r="23" spans="1:31">
      <c r="A23" s="435">
        <f>'SQ-1'!A23</f>
        <v>43970</v>
      </c>
      <c r="B23" s="518"/>
      <c r="C23" s="464">
        <f t="shared" si="0"/>
        <v>0</v>
      </c>
      <c r="D23" s="5"/>
      <c r="E23" s="3"/>
      <c r="F23" s="434"/>
      <c r="G23" s="5"/>
      <c r="H23" s="6" t="e">
        <f t="shared" si="1"/>
        <v>#DIV/0!</v>
      </c>
      <c r="I23" s="518"/>
      <c r="J23" s="464">
        <f t="shared" si="2"/>
        <v>0</v>
      </c>
      <c r="K23" s="3"/>
      <c r="L23" s="3"/>
      <c r="M23" s="3"/>
      <c r="N23" s="5"/>
      <c r="O23" s="6" t="e">
        <f t="shared" si="3"/>
        <v>#DIV/0!</v>
      </c>
      <c r="P23" s="518"/>
      <c r="Q23" s="464">
        <f t="shared" si="4"/>
        <v>0</v>
      </c>
      <c r="R23" s="3"/>
      <c r="S23" s="3"/>
      <c r="T23" s="3"/>
      <c r="U23" s="5"/>
      <c r="V23" s="6" t="e">
        <f t="shared" si="5"/>
        <v>#DIV/0!</v>
      </c>
      <c r="W23" s="476">
        <f t="shared" si="7"/>
        <v>0</v>
      </c>
      <c r="X23" s="474">
        <f t="shared" si="8"/>
        <v>0</v>
      </c>
      <c r="Y23" s="477">
        <f t="shared" si="9"/>
        <v>0</v>
      </c>
      <c r="Z23" s="478">
        <f t="shared" si="10"/>
        <v>0</v>
      </c>
      <c r="AA23" s="478">
        <f t="shared" si="11"/>
        <v>0</v>
      </c>
      <c r="AB23" s="478">
        <f t="shared" si="12"/>
        <v>0</v>
      </c>
      <c r="AC23" s="478" t="e">
        <f t="shared" si="13"/>
        <v>#DIV/0!</v>
      </c>
      <c r="AD23" s="474" t="e">
        <f t="shared" si="14"/>
        <v>#DIV/0!</v>
      </c>
      <c r="AE23" s="475" t="e">
        <f t="shared" si="15"/>
        <v>#DIV/0!</v>
      </c>
    </row>
    <row r="24" spans="1:31">
      <c r="A24" s="435">
        <f>'SQ-1'!A24</f>
        <v>43971</v>
      </c>
      <c r="B24" s="518"/>
      <c r="C24" s="464">
        <f t="shared" si="0"/>
        <v>0</v>
      </c>
      <c r="D24" s="5"/>
      <c r="E24" s="3"/>
      <c r="F24" s="434"/>
      <c r="G24" s="5"/>
      <c r="H24" s="6" t="e">
        <f t="shared" si="1"/>
        <v>#DIV/0!</v>
      </c>
      <c r="I24" s="518"/>
      <c r="J24" s="464">
        <f t="shared" si="2"/>
        <v>0</v>
      </c>
      <c r="K24" s="3"/>
      <c r="L24" s="3"/>
      <c r="M24" s="3"/>
      <c r="N24" s="5"/>
      <c r="O24" s="6" t="e">
        <f t="shared" si="3"/>
        <v>#DIV/0!</v>
      </c>
      <c r="P24" s="518"/>
      <c r="Q24" s="464">
        <f t="shared" si="4"/>
        <v>0</v>
      </c>
      <c r="R24" s="3"/>
      <c r="S24" s="3"/>
      <c r="T24" s="3"/>
      <c r="U24" s="5"/>
      <c r="V24" s="6" t="e">
        <f t="shared" si="5"/>
        <v>#DIV/0!</v>
      </c>
      <c r="W24" s="476">
        <f t="shared" si="7"/>
        <v>0</v>
      </c>
      <c r="X24" s="474">
        <f t="shared" si="8"/>
        <v>0</v>
      </c>
      <c r="Y24" s="477">
        <f t="shared" si="9"/>
        <v>0</v>
      </c>
      <c r="Z24" s="478">
        <f t="shared" si="10"/>
        <v>0</v>
      </c>
      <c r="AA24" s="478">
        <f t="shared" si="11"/>
        <v>0</v>
      </c>
      <c r="AB24" s="478">
        <f t="shared" si="12"/>
        <v>0</v>
      </c>
      <c r="AC24" s="478" t="e">
        <f t="shared" si="13"/>
        <v>#DIV/0!</v>
      </c>
      <c r="AD24" s="474" t="e">
        <f t="shared" si="14"/>
        <v>#DIV/0!</v>
      </c>
      <c r="AE24" s="475" t="e">
        <f t="shared" si="15"/>
        <v>#DIV/0!</v>
      </c>
    </row>
    <row r="25" spans="1:31">
      <c r="A25" s="435">
        <f>'SQ-1'!A25</f>
        <v>43972</v>
      </c>
      <c r="B25" s="518"/>
      <c r="C25" s="464">
        <f t="shared" si="0"/>
        <v>0</v>
      </c>
      <c r="D25" s="5"/>
      <c r="E25" s="3"/>
      <c r="F25" s="434"/>
      <c r="G25" s="5"/>
      <c r="H25" s="6" t="e">
        <f t="shared" si="1"/>
        <v>#DIV/0!</v>
      </c>
      <c r="I25" s="518"/>
      <c r="J25" s="464">
        <f t="shared" si="2"/>
        <v>0</v>
      </c>
      <c r="K25" s="3"/>
      <c r="L25" s="3"/>
      <c r="M25" s="3"/>
      <c r="N25" s="5"/>
      <c r="O25" s="6" t="e">
        <f t="shared" si="3"/>
        <v>#DIV/0!</v>
      </c>
      <c r="P25" s="518"/>
      <c r="Q25" s="464">
        <f t="shared" si="4"/>
        <v>0</v>
      </c>
      <c r="R25" s="3"/>
      <c r="S25" s="3"/>
      <c r="T25" s="3"/>
      <c r="U25" s="5"/>
      <c r="V25" s="6" t="e">
        <f t="shared" ref="V25:V35" si="16">U25/P25</f>
        <v>#DIV/0!</v>
      </c>
      <c r="W25" s="476">
        <f t="shared" si="7"/>
        <v>0</v>
      </c>
      <c r="X25" s="474">
        <f t="shared" si="8"/>
        <v>0</v>
      </c>
      <c r="Y25" s="477">
        <f t="shared" si="9"/>
        <v>0</v>
      </c>
      <c r="Z25" s="478">
        <f t="shared" si="10"/>
        <v>0</v>
      </c>
      <c r="AA25" s="478">
        <f t="shared" si="11"/>
        <v>0</v>
      </c>
      <c r="AB25" s="478">
        <f t="shared" si="12"/>
        <v>0</v>
      </c>
      <c r="AC25" s="478" t="e">
        <f t="shared" si="13"/>
        <v>#DIV/0!</v>
      </c>
      <c r="AD25" s="474" t="e">
        <f t="shared" si="14"/>
        <v>#DIV/0!</v>
      </c>
      <c r="AE25" s="475" t="e">
        <f t="shared" si="15"/>
        <v>#DIV/0!</v>
      </c>
    </row>
    <row r="26" spans="1:31">
      <c r="A26" s="435">
        <f>'SQ-1'!A26</f>
        <v>43973</v>
      </c>
      <c r="B26" s="518"/>
      <c r="C26" s="464">
        <f t="shared" si="0"/>
        <v>0</v>
      </c>
      <c r="D26" s="5"/>
      <c r="E26" s="3"/>
      <c r="F26" s="434"/>
      <c r="G26" s="5"/>
      <c r="H26" s="6" t="e">
        <f t="shared" si="1"/>
        <v>#DIV/0!</v>
      </c>
      <c r="I26" s="518"/>
      <c r="J26" s="464">
        <f t="shared" si="2"/>
        <v>0</v>
      </c>
      <c r="K26" s="3"/>
      <c r="L26" s="3"/>
      <c r="M26" s="3"/>
      <c r="N26" s="5"/>
      <c r="O26" s="6" t="e">
        <f t="shared" si="3"/>
        <v>#DIV/0!</v>
      </c>
      <c r="P26" s="518"/>
      <c r="Q26" s="464">
        <f t="shared" si="4"/>
        <v>0</v>
      </c>
      <c r="R26" s="3"/>
      <c r="S26" s="3"/>
      <c r="T26" s="3"/>
      <c r="U26" s="5"/>
      <c r="V26" s="6" t="e">
        <f t="shared" si="16"/>
        <v>#DIV/0!</v>
      </c>
      <c r="W26" s="476">
        <f t="shared" si="7"/>
        <v>0</v>
      </c>
      <c r="X26" s="474">
        <f t="shared" si="8"/>
        <v>0</v>
      </c>
      <c r="Y26" s="477">
        <f t="shared" si="9"/>
        <v>0</v>
      </c>
      <c r="Z26" s="478">
        <f t="shared" si="10"/>
        <v>0</v>
      </c>
      <c r="AA26" s="478">
        <f t="shared" si="11"/>
        <v>0</v>
      </c>
      <c r="AB26" s="478">
        <f t="shared" si="12"/>
        <v>0</v>
      </c>
      <c r="AC26" s="478" t="e">
        <f t="shared" si="13"/>
        <v>#DIV/0!</v>
      </c>
      <c r="AD26" s="474" t="e">
        <f t="shared" si="14"/>
        <v>#DIV/0!</v>
      </c>
      <c r="AE26" s="475" t="e">
        <f t="shared" si="15"/>
        <v>#DIV/0!</v>
      </c>
    </row>
    <row r="27" spans="1:31">
      <c r="A27" s="435">
        <f>'SQ-1'!A27</f>
        <v>43974</v>
      </c>
      <c r="B27" s="518"/>
      <c r="C27" s="464">
        <f t="shared" si="0"/>
        <v>0</v>
      </c>
      <c r="D27" s="5"/>
      <c r="E27" s="3"/>
      <c r="F27" s="434"/>
      <c r="G27" s="5"/>
      <c r="H27" s="6" t="e">
        <f t="shared" si="1"/>
        <v>#DIV/0!</v>
      </c>
      <c r="I27" s="518"/>
      <c r="J27" s="464">
        <f t="shared" si="2"/>
        <v>0</v>
      </c>
      <c r="K27" s="3"/>
      <c r="L27" s="3"/>
      <c r="M27" s="3"/>
      <c r="N27" s="5"/>
      <c r="O27" s="6" t="e">
        <f t="shared" si="3"/>
        <v>#DIV/0!</v>
      </c>
      <c r="P27" s="518"/>
      <c r="Q27" s="464">
        <f t="shared" si="4"/>
        <v>0</v>
      </c>
      <c r="R27" s="3"/>
      <c r="S27" s="3"/>
      <c r="T27" s="3"/>
      <c r="U27" s="5"/>
      <c r="V27" s="6" t="e">
        <f t="shared" si="16"/>
        <v>#DIV/0!</v>
      </c>
      <c r="W27" s="476">
        <f t="shared" si="7"/>
        <v>0</v>
      </c>
      <c r="X27" s="474">
        <f t="shared" si="8"/>
        <v>0</v>
      </c>
      <c r="Y27" s="477">
        <f t="shared" si="9"/>
        <v>0</v>
      </c>
      <c r="Z27" s="478">
        <f t="shared" si="10"/>
        <v>0</v>
      </c>
      <c r="AA27" s="478">
        <f t="shared" si="11"/>
        <v>0</v>
      </c>
      <c r="AB27" s="478">
        <f t="shared" si="12"/>
        <v>0</v>
      </c>
      <c r="AC27" s="478" t="e">
        <f t="shared" si="13"/>
        <v>#DIV/0!</v>
      </c>
      <c r="AD27" s="474" t="e">
        <f t="shared" si="14"/>
        <v>#DIV/0!</v>
      </c>
      <c r="AE27" s="475" t="e">
        <f t="shared" si="15"/>
        <v>#DIV/0!</v>
      </c>
    </row>
    <row r="28" spans="1:31">
      <c r="A28" s="435">
        <f>'SQ-1'!A28</f>
        <v>43975</v>
      </c>
      <c r="B28" s="518"/>
      <c r="C28" s="464">
        <f t="shared" si="0"/>
        <v>0</v>
      </c>
      <c r="D28" s="5"/>
      <c r="E28" s="3"/>
      <c r="F28" s="434"/>
      <c r="G28" s="5"/>
      <c r="H28" s="6" t="e">
        <f t="shared" si="1"/>
        <v>#DIV/0!</v>
      </c>
      <c r="I28" s="518"/>
      <c r="J28" s="464">
        <f t="shared" si="2"/>
        <v>0</v>
      </c>
      <c r="K28" s="3"/>
      <c r="L28" s="3"/>
      <c r="M28" s="3"/>
      <c r="N28" s="5"/>
      <c r="O28" s="6" t="e">
        <f t="shared" si="3"/>
        <v>#DIV/0!</v>
      </c>
      <c r="P28" s="518"/>
      <c r="Q28" s="464">
        <f t="shared" si="4"/>
        <v>0</v>
      </c>
      <c r="R28" s="3"/>
      <c r="S28" s="3"/>
      <c r="T28" s="3"/>
      <c r="U28" s="5"/>
      <c r="V28" s="6" t="e">
        <f t="shared" si="16"/>
        <v>#DIV/0!</v>
      </c>
      <c r="W28" s="476">
        <f t="shared" si="7"/>
        <v>0</v>
      </c>
      <c r="X28" s="474">
        <f t="shared" si="8"/>
        <v>0</v>
      </c>
      <c r="Y28" s="477">
        <f t="shared" si="9"/>
        <v>0</v>
      </c>
      <c r="Z28" s="478">
        <f t="shared" si="10"/>
        <v>0</v>
      </c>
      <c r="AA28" s="478">
        <f t="shared" si="11"/>
        <v>0</v>
      </c>
      <c r="AB28" s="478">
        <f t="shared" si="12"/>
        <v>0</v>
      </c>
      <c r="AC28" s="478" t="e">
        <f t="shared" si="13"/>
        <v>#DIV/0!</v>
      </c>
      <c r="AD28" s="474" t="e">
        <f t="shared" si="14"/>
        <v>#DIV/0!</v>
      </c>
      <c r="AE28" s="475" t="e">
        <f t="shared" si="15"/>
        <v>#DIV/0!</v>
      </c>
    </row>
    <row r="29" spans="1:31">
      <c r="A29" s="435">
        <f>'SQ-1'!A29</f>
        <v>43976</v>
      </c>
      <c r="B29" s="518"/>
      <c r="C29" s="464">
        <f t="shared" si="0"/>
        <v>0</v>
      </c>
      <c r="D29" s="5"/>
      <c r="E29" s="3"/>
      <c r="F29" s="434"/>
      <c r="G29" s="5"/>
      <c r="H29" s="6" t="e">
        <f t="shared" si="1"/>
        <v>#DIV/0!</v>
      </c>
      <c r="I29" s="518"/>
      <c r="J29" s="464">
        <f t="shared" si="2"/>
        <v>0</v>
      </c>
      <c r="K29" s="3"/>
      <c r="L29" s="3"/>
      <c r="M29" s="3"/>
      <c r="N29" s="5"/>
      <c r="O29" s="6" t="e">
        <f t="shared" si="3"/>
        <v>#DIV/0!</v>
      </c>
      <c r="P29" s="518"/>
      <c r="Q29" s="464">
        <f t="shared" si="4"/>
        <v>0</v>
      </c>
      <c r="R29" s="3"/>
      <c r="S29" s="3"/>
      <c r="T29" s="3"/>
      <c r="U29" s="5"/>
      <c r="V29" s="6" t="e">
        <f t="shared" si="16"/>
        <v>#DIV/0!</v>
      </c>
      <c r="W29" s="476">
        <f t="shared" si="7"/>
        <v>0</v>
      </c>
      <c r="X29" s="474">
        <f t="shared" si="8"/>
        <v>0</v>
      </c>
      <c r="Y29" s="477">
        <f t="shared" si="9"/>
        <v>0</v>
      </c>
      <c r="Z29" s="478">
        <f t="shared" si="10"/>
        <v>0</v>
      </c>
      <c r="AA29" s="478">
        <f t="shared" si="11"/>
        <v>0</v>
      </c>
      <c r="AB29" s="478">
        <f t="shared" si="12"/>
        <v>0</v>
      </c>
      <c r="AC29" s="478" t="e">
        <f t="shared" si="13"/>
        <v>#DIV/0!</v>
      </c>
      <c r="AD29" s="474" t="e">
        <f t="shared" si="14"/>
        <v>#DIV/0!</v>
      </c>
      <c r="AE29" s="475" t="e">
        <f t="shared" si="15"/>
        <v>#DIV/0!</v>
      </c>
    </row>
    <row r="30" spans="1:31">
      <c r="A30" s="435">
        <f>'SQ-1'!A30</f>
        <v>43977</v>
      </c>
      <c r="B30" s="518"/>
      <c r="C30" s="464">
        <f t="shared" si="0"/>
        <v>0</v>
      </c>
      <c r="D30" s="5"/>
      <c r="E30" s="3"/>
      <c r="F30" s="434"/>
      <c r="G30" s="5"/>
      <c r="H30" s="6" t="e">
        <f t="shared" si="1"/>
        <v>#DIV/0!</v>
      </c>
      <c r="I30" s="518"/>
      <c r="J30" s="464">
        <f t="shared" si="2"/>
        <v>0</v>
      </c>
      <c r="K30" s="3"/>
      <c r="L30" s="3"/>
      <c r="M30" s="3"/>
      <c r="N30" s="5"/>
      <c r="O30" s="6" t="e">
        <f t="shared" si="3"/>
        <v>#DIV/0!</v>
      </c>
      <c r="P30" s="518"/>
      <c r="Q30" s="464">
        <f t="shared" si="4"/>
        <v>0</v>
      </c>
      <c r="R30" s="3"/>
      <c r="S30" s="3"/>
      <c r="T30" s="3"/>
      <c r="U30" s="5"/>
      <c r="V30" s="6" t="e">
        <f t="shared" si="16"/>
        <v>#DIV/0!</v>
      </c>
      <c r="W30" s="476">
        <f t="shared" si="7"/>
        <v>0</v>
      </c>
      <c r="X30" s="474">
        <f t="shared" si="8"/>
        <v>0</v>
      </c>
      <c r="Y30" s="477">
        <f t="shared" si="9"/>
        <v>0</v>
      </c>
      <c r="Z30" s="478">
        <f t="shared" si="10"/>
        <v>0</v>
      </c>
      <c r="AA30" s="478">
        <f t="shared" si="11"/>
        <v>0</v>
      </c>
      <c r="AB30" s="478">
        <f t="shared" si="12"/>
        <v>0</v>
      </c>
      <c r="AC30" s="478" t="e">
        <f t="shared" si="13"/>
        <v>#DIV/0!</v>
      </c>
      <c r="AD30" s="474" t="e">
        <f t="shared" si="14"/>
        <v>#DIV/0!</v>
      </c>
      <c r="AE30" s="475" t="e">
        <f t="shared" si="15"/>
        <v>#DIV/0!</v>
      </c>
    </row>
    <row r="31" spans="1:31">
      <c r="A31" s="435">
        <f>'SQ-1'!A31</f>
        <v>43978</v>
      </c>
      <c r="B31" s="518"/>
      <c r="C31" s="464">
        <f t="shared" si="0"/>
        <v>0</v>
      </c>
      <c r="D31" s="3"/>
      <c r="E31" s="3"/>
      <c r="F31" s="3"/>
      <c r="G31" s="5"/>
      <c r="H31" s="6" t="e">
        <f t="shared" si="1"/>
        <v>#DIV/0!</v>
      </c>
      <c r="I31" s="518"/>
      <c r="J31" s="464">
        <f t="shared" si="2"/>
        <v>0</v>
      </c>
      <c r="K31" s="5"/>
      <c r="L31" s="3"/>
      <c r="M31" s="434"/>
      <c r="N31" s="5"/>
      <c r="O31" s="6" t="e">
        <f t="shared" si="3"/>
        <v>#DIV/0!</v>
      </c>
      <c r="P31" s="518"/>
      <c r="Q31" s="464">
        <f t="shared" si="4"/>
        <v>0</v>
      </c>
      <c r="R31" s="3"/>
      <c r="S31" s="3"/>
      <c r="T31" s="3"/>
      <c r="U31" s="5"/>
      <c r="V31" s="6" t="e">
        <f t="shared" si="16"/>
        <v>#DIV/0!</v>
      </c>
      <c r="W31" s="476">
        <f>B31+I31+P31</f>
        <v>0</v>
      </c>
      <c r="X31" s="474">
        <f t="shared" si="8"/>
        <v>0</v>
      </c>
      <c r="Y31" s="477">
        <f t="shared" si="9"/>
        <v>0</v>
      </c>
      <c r="Z31" s="478">
        <f t="shared" si="10"/>
        <v>0</v>
      </c>
      <c r="AA31" s="478">
        <f t="shared" si="11"/>
        <v>0</v>
      </c>
      <c r="AB31" s="478">
        <f t="shared" si="12"/>
        <v>0</v>
      </c>
      <c r="AC31" s="478" t="e">
        <f t="shared" si="13"/>
        <v>#DIV/0!</v>
      </c>
      <c r="AD31" s="474" t="e">
        <f t="shared" si="14"/>
        <v>#DIV/0!</v>
      </c>
      <c r="AE31" s="475" t="e">
        <f t="shared" si="15"/>
        <v>#DIV/0!</v>
      </c>
    </row>
    <row r="32" spans="1:31">
      <c r="A32" s="435">
        <f>'SQ-1'!A32</f>
        <v>43979</v>
      </c>
      <c r="B32" s="518"/>
      <c r="C32" s="464">
        <f t="shared" si="0"/>
        <v>0</v>
      </c>
      <c r="D32" s="3"/>
      <c r="E32" s="3"/>
      <c r="F32" s="3"/>
      <c r="G32" s="5"/>
      <c r="H32" s="6" t="e">
        <f t="shared" si="1"/>
        <v>#DIV/0!</v>
      </c>
      <c r="I32" s="518"/>
      <c r="J32" s="464">
        <f t="shared" si="2"/>
        <v>0</v>
      </c>
      <c r="K32" s="5"/>
      <c r="L32" s="3"/>
      <c r="M32" s="434"/>
      <c r="N32" s="5"/>
      <c r="O32" s="6" t="e">
        <f t="shared" si="3"/>
        <v>#DIV/0!</v>
      </c>
      <c r="P32" s="518"/>
      <c r="Q32" s="464">
        <f t="shared" si="4"/>
        <v>0</v>
      </c>
      <c r="R32" s="3"/>
      <c r="S32" s="3"/>
      <c r="T32" s="3"/>
      <c r="U32" s="5"/>
      <c r="V32" s="6" t="e">
        <f t="shared" si="16"/>
        <v>#DIV/0!</v>
      </c>
      <c r="W32" s="476">
        <f t="shared" si="7"/>
        <v>0</v>
      </c>
      <c r="X32" s="474">
        <f t="shared" si="8"/>
        <v>0</v>
      </c>
      <c r="Y32" s="477">
        <f t="shared" si="9"/>
        <v>0</v>
      </c>
      <c r="Z32" s="478">
        <f t="shared" si="10"/>
        <v>0</v>
      </c>
      <c r="AA32" s="478">
        <f t="shared" si="11"/>
        <v>0</v>
      </c>
      <c r="AB32" s="478">
        <f t="shared" si="12"/>
        <v>0</v>
      </c>
      <c r="AC32" s="478" t="e">
        <f t="shared" si="13"/>
        <v>#DIV/0!</v>
      </c>
      <c r="AD32" s="474" t="e">
        <f t="shared" si="14"/>
        <v>#DIV/0!</v>
      </c>
      <c r="AE32" s="475" t="e">
        <f t="shared" si="15"/>
        <v>#DIV/0!</v>
      </c>
    </row>
    <row r="33" spans="1:31">
      <c r="A33" s="435">
        <f>'SQ-1'!A33</f>
        <v>43980</v>
      </c>
      <c r="B33" s="518"/>
      <c r="C33" s="464">
        <f t="shared" si="0"/>
        <v>0</v>
      </c>
      <c r="D33" s="3"/>
      <c r="E33" s="3"/>
      <c r="F33" s="3"/>
      <c r="G33" s="5"/>
      <c r="H33" s="6" t="e">
        <f t="shared" si="1"/>
        <v>#DIV/0!</v>
      </c>
      <c r="I33" s="518"/>
      <c r="J33" s="464">
        <f t="shared" si="2"/>
        <v>0</v>
      </c>
      <c r="K33" s="5"/>
      <c r="L33" s="3"/>
      <c r="M33" s="434"/>
      <c r="N33" s="5"/>
      <c r="O33" s="6" t="e">
        <f t="shared" si="3"/>
        <v>#DIV/0!</v>
      </c>
      <c r="P33" s="518"/>
      <c r="Q33" s="464">
        <f t="shared" si="4"/>
        <v>0</v>
      </c>
      <c r="R33" s="3"/>
      <c r="S33" s="3"/>
      <c r="T33" s="3"/>
      <c r="U33" s="5"/>
      <c r="V33" s="6" t="e">
        <f t="shared" si="16"/>
        <v>#DIV/0!</v>
      </c>
      <c r="W33" s="476">
        <f t="shared" si="7"/>
        <v>0</v>
      </c>
      <c r="X33" s="474">
        <f t="shared" si="8"/>
        <v>0</v>
      </c>
      <c r="Y33" s="477">
        <f t="shared" si="9"/>
        <v>0</v>
      </c>
      <c r="Z33" s="478">
        <f t="shared" si="10"/>
        <v>0</v>
      </c>
      <c r="AA33" s="478">
        <f t="shared" si="11"/>
        <v>0</v>
      </c>
      <c r="AB33" s="478">
        <f t="shared" si="12"/>
        <v>0</v>
      </c>
      <c r="AC33" s="478" t="e">
        <f t="shared" si="13"/>
        <v>#DIV/0!</v>
      </c>
      <c r="AD33" s="474" t="e">
        <f t="shared" si="14"/>
        <v>#DIV/0!</v>
      </c>
      <c r="AE33" s="475" t="e">
        <f t="shared" si="15"/>
        <v>#DIV/0!</v>
      </c>
    </row>
    <row r="34" spans="1:31">
      <c r="A34" s="435">
        <f>'SQ-1'!A34</f>
        <v>43981</v>
      </c>
      <c r="B34" s="518"/>
      <c r="C34" s="464">
        <f t="shared" si="0"/>
        <v>0</v>
      </c>
      <c r="D34" s="3"/>
      <c r="E34" s="3"/>
      <c r="F34" s="3"/>
      <c r="G34" s="3"/>
      <c r="H34" s="6" t="e">
        <f t="shared" si="1"/>
        <v>#DIV/0!</v>
      </c>
      <c r="I34" s="518"/>
      <c r="J34" s="464">
        <f t="shared" si="2"/>
        <v>0</v>
      </c>
      <c r="K34" s="3"/>
      <c r="L34" s="3"/>
      <c r="M34" s="3"/>
      <c r="N34" s="3"/>
      <c r="O34" s="6" t="e">
        <f t="shared" si="3"/>
        <v>#DIV/0!</v>
      </c>
      <c r="P34" s="518"/>
      <c r="Q34" s="464">
        <f t="shared" si="4"/>
        <v>0</v>
      </c>
      <c r="R34" s="3"/>
      <c r="S34" s="3"/>
      <c r="T34" s="3"/>
      <c r="U34" s="5"/>
      <c r="V34" s="6" t="e">
        <f t="shared" si="16"/>
        <v>#DIV/0!</v>
      </c>
      <c r="W34" s="476">
        <f t="shared" si="7"/>
        <v>0</v>
      </c>
      <c r="X34" s="474">
        <f t="shared" si="8"/>
        <v>0</v>
      </c>
      <c r="Y34" s="477">
        <f t="shared" si="9"/>
        <v>0</v>
      </c>
      <c r="Z34" s="478">
        <f t="shared" si="10"/>
        <v>0</v>
      </c>
      <c r="AA34" s="478">
        <f t="shared" si="11"/>
        <v>0</v>
      </c>
      <c r="AB34" s="478">
        <f t="shared" si="12"/>
        <v>0</v>
      </c>
      <c r="AC34" s="478" t="e">
        <f t="shared" si="13"/>
        <v>#DIV/0!</v>
      </c>
      <c r="AD34" s="474" t="e">
        <f t="shared" si="14"/>
        <v>#DIV/0!</v>
      </c>
      <c r="AE34" s="475" t="e">
        <f t="shared" si="15"/>
        <v>#DIV/0!</v>
      </c>
    </row>
    <row r="35" spans="1:31" ht="15.75" thickBot="1">
      <c r="A35" s="435">
        <f>'SQ-1'!A35</f>
        <v>43982</v>
      </c>
      <c r="B35" s="519"/>
      <c r="C35" s="524">
        <f t="shared" si="0"/>
        <v>0</v>
      </c>
      <c r="D35" s="463"/>
      <c r="E35" s="463"/>
      <c r="F35" s="463"/>
      <c r="G35" s="463"/>
      <c r="H35" s="452" t="e">
        <f t="shared" si="1"/>
        <v>#DIV/0!</v>
      </c>
      <c r="I35" s="519"/>
      <c r="J35" s="524">
        <f t="shared" si="2"/>
        <v>0</v>
      </c>
      <c r="K35" s="463"/>
      <c r="L35" s="463"/>
      <c r="M35" s="463"/>
      <c r="N35" s="463"/>
      <c r="O35" s="452" t="e">
        <f t="shared" si="3"/>
        <v>#DIV/0!</v>
      </c>
      <c r="P35" s="521"/>
      <c r="Q35" s="524">
        <f t="shared" si="4"/>
        <v>0</v>
      </c>
      <c r="R35" s="4"/>
      <c r="S35" s="4"/>
      <c r="T35" s="4"/>
      <c r="U35" s="4"/>
      <c r="V35" s="452" t="e">
        <f t="shared" si="16"/>
        <v>#DIV/0!</v>
      </c>
      <c r="W35" s="479">
        <f t="shared" si="7"/>
        <v>0</v>
      </c>
      <c r="X35" s="480">
        <f t="shared" si="8"/>
        <v>0</v>
      </c>
      <c r="Y35" s="481">
        <f t="shared" si="9"/>
        <v>0</v>
      </c>
      <c r="Z35" s="482">
        <f t="shared" si="10"/>
        <v>0</v>
      </c>
      <c r="AA35" s="482">
        <f t="shared" si="11"/>
        <v>0</v>
      </c>
      <c r="AB35" s="482">
        <f t="shared" si="12"/>
        <v>0</v>
      </c>
      <c r="AC35" s="478" t="e">
        <f t="shared" si="13"/>
        <v>#DIV/0!</v>
      </c>
      <c r="AD35" s="474" t="e">
        <f t="shared" si="14"/>
        <v>#DIV/0!</v>
      </c>
      <c r="AE35" s="475" t="e">
        <f t="shared" si="15"/>
        <v>#DIV/0!</v>
      </c>
    </row>
    <row r="36" spans="1:31" ht="20.100000000000001" customHeight="1" thickBot="1">
      <c r="A36" s="2" t="s">
        <v>3</v>
      </c>
      <c r="B36" s="523">
        <f>SUM(B5:B35)</f>
        <v>0</v>
      </c>
      <c r="C36" s="523">
        <f>SUM(C5:C35)</f>
        <v>0</v>
      </c>
      <c r="D36" s="433">
        <f>SUM(D5:D35)</f>
        <v>0</v>
      </c>
      <c r="E36" s="433">
        <f>SUM(E5:E35)</f>
        <v>0</v>
      </c>
      <c r="F36" s="433">
        <f t="shared" ref="F36:AB36" si="17">SUM(F5:F35)</f>
        <v>0</v>
      </c>
      <c r="G36" s="433">
        <f t="shared" si="17"/>
        <v>0</v>
      </c>
      <c r="H36" s="433" t="e">
        <f>G36/B36</f>
        <v>#DIV/0!</v>
      </c>
      <c r="I36" s="523">
        <f>SUM(I5:I35)</f>
        <v>0</v>
      </c>
      <c r="J36" s="523">
        <f t="shared" si="17"/>
        <v>0</v>
      </c>
      <c r="K36" s="433">
        <f>SUM(K5:K35)</f>
        <v>0</v>
      </c>
      <c r="L36" s="433">
        <f>SUM(L5:L35)</f>
        <v>0</v>
      </c>
      <c r="M36" s="433">
        <f t="shared" si="17"/>
        <v>0</v>
      </c>
      <c r="N36" s="433">
        <f t="shared" si="17"/>
        <v>0</v>
      </c>
      <c r="O36" s="433" t="e">
        <f>N36/I36</f>
        <v>#DIV/0!</v>
      </c>
      <c r="P36" s="523">
        <f>SUM(P5:P35)</f>
        <v>0</v>
      </c>
      <c r="Q36" s="523">
        <f t="shared" si="17"/>
        <v>0</v>
      </c>
      <c r="R36" s="448">
        <f>SUM(R5:R35)</f>
        <v>0</v>
      </c>
      <c r="S36" s="448">
        <f>SUM(S5:S35)</f>
        <v>0</v>
      </c>
      <c r="T36" s="448">
        <f t="shared" si="17"/>
        <v>0</v>
      </c>
      <c r="U36" s="448">
        <f t="shared" si="17"/>
        <v>0</v>
      </c>
      <c r="V36" s="7" t="e">
        <f>U36/P36</f>
        <v>#DIV/0!</v>
      </c>
      <c r="W36" s="433">
        <f>SUM(W5:W35)</f>
        <v>0</v>
      </c>
      <c r="X36" s="7">
        <f t="shared" si="17"/>
        <v>0</v>
      </c>
      <c r="Y36" s="433">
        <f>SUM(Y5:Y35)</f>
        <v>0</v>
      </c>
      <c r="Z36" s="443">
        <f>SUM(Z5:Z35)</f>
        <v>0</v>
      </c>
      <c r="AA36" s="7">
        <f t="shared" si="17"/>
        <v>0</v>
      </c>
      <c r="AB36" s="7">
        <f t="shared" si="17"/>
        <v>0</v>
      </c>
      <c r="AC36" s="7" t="e">
        <f>AB36/W36</f>
        <v>#DIV/0!</v>
      </c>
      <c r="AD36" s="455"/>
      <c r="AE36" s="468" t="e">
        <f>AA36/Z36</f>
        <v>#DIV/0!</v>
      </c>
    </row>
  </sheetData>
  <mergeCells count="36">
    <mergeCell ref="AD3:AD4"/>
    <mergeCell ref="AE3:AE4"/>
    <mergeCell ref="P2:V2"/>
    <mergeCell ref="E3:E4"/>
    <mergeCell ref="AC3:AC4"/>
    <mergeCell ref="T3:T4"/>
    <mergeCell ref="Z3:Z4"/>
    <mergeCell ref="S3:S4"/>
    <mergeCell ref="W2:AC2"/>
    <mergeCell ref="R3:R4"/>
    <mergeCell ref="W3:W4"/>
    <mergeCell ref="Y3:Y4"/>
    <mergeCell ref="X3:X4"/>
    <mergeCell ref="AA3:AA4"/>
    <mergeCell ref="AB3:AB4"/>
    <mergeCell ref="A1:V1"/>
    <mergeCell ref="V3:V4"/>
    <mergeCell ref="A2:A4"/>
    <mergeCell ref="C3:C4"/>
    <mergeCell ref="F3:F4"/>
    <mergeCell ref="G3:G4"/>
    <mergeCell ref="H3:H4"/>
    <mergeCell ref="J3:J4"/>
    <mergeCell ref="M3:M4"/>
    <mergeCell ref="N3:N4"/>
    <mergeCell ref="O3:O4"/>
    <mergeCell ref="Q3:Q4"/>
    <mergeCell ref="I2:O2"/>
    <mergeCell ref="U3:U4"/>
    <mergeCell ref="B2:H2"/>
    <mergeCell ref="L3:L4"/>
    <mergeCell ref="B3:B4"/>
    <mergeCell ref="D3:D4"/>
    <mergeCell ref="I3:I4"/>
    <mergeCell ref="K3:K4"/>
    <mergeCell ref="P3:P4"/>
  </mergeCells>
  <conditionalFormatting sqref="B34:B35">
    <cfRule type="expression" dxfId="53" priority="53" stopIfTrue="1">
      <formula>$C34="*"</formula>
    </cfRule>
    <cfRule type="expression" dxfId="52" priority="54" stopIfTrue="1">
      <formula>$C34="-"</formula>
    </cfRule>
  </conditionalFormatting>
  <conditionalFormatting sqref="P34:P35">
    <cfRule type="expression" dxfId="51" priority="51" stopIfTrue="1">
      <formula>$C34="*"</formula>
    </cfRule>
    <cfRule type="expression" dxfId="50" priority="52" stopIfTrue="1">
      <formula>$C34="-"</formula>
    </cfRule>
  </conditionalFormatting>
  <conditionalFormatting sqref="I34:I35">
    <cfRule type="expression" dxfId="49" priority="49" stopIfTrue="1">
      <formula>$C34="*"</formula>
    </cfRule>
    <cfRule type="expression" dxfId="48" priority="50" stopIfTrue="1">
      <formula>$C34="-"</formula>
    </cfRule>
  </conditionalFormatting>
  <conditionalFormatting sqref="P31:P33">
    <cfRule type="expression" dxfId="47" priority="47" stopIfTrue="1">
      <formula>$C31="*"</formula>
    </cfRule>
    <cfRule type="expression" dxfId="46" priority="48" stopIfTrue="1">
      <formula>$C31="-"</formula>
    </cfRule>
  </conditionalFormatting>
  <conditionalFormatting sqref="B31:B33">
    <cfRule type="expression" dxfId="45" priority="45" stopIfTrue="1">
      <formula>$C31="*"</formula>
    </cfRule>
    <cfRule type="expression" dxfId="44" priority="46" stopIfTrue="1">
      <formula>$C31="-"</formula>
    </cfRule>
  </conditionalFormatting>
  <conditionalFormatting sqref="I31:I33">
    <cfRule type="expression" dxfId="43" priority="43" stopIfTrue="1">
      <formula>$C31="*"</formula>
    </cfRule>
    <cfRule type="expression" dxfId="42" priority="44" stopIfTrue="1">
      <formula>$C31="-"</formula>
    </cfRule>
  </conditionalFormatting>
  <conditionalFormatting sqref="I25:I30">
    <cfRule type="expression" dxfId="41" priority="41" stopIfTrue="1">
      <formula>$C25="*"</formula>
    </cfRule>
    <cfRule type="expression" dxfId="40" priority="42" stopIfTrue="1">
      <formula>$C25="-"</formula>
    </cfRule>
  </conditionalFormatting>
  <conditionalFormatting sqref="P25:P30">
    <cfRule type="expression" dxfId="39" priority="39" stopIfTrue="1">
      <formula>$C25="*"</formula>
    </cfRule>
    <cfRule type="expression" dxfId="38" priority="40" stopIfTrue="1">
      <formula>$C25="-"</formula>
    </cfRule>
  </conditionalFormatting>
  <conditionalFormatting sqref="B25:B30">
    <cfRule type="expression" dxfId="37" priority="37" stopIfTrue="1">
      <formula>$C25="*"</formula>
    </cfRule>
    <cfRule type="expression" dxfId="36" priority="38" stopIfTrue="1">
      <formula>$C25="-"</formula>
    </cfRule>
  </conditionalFormatting>
  <conditionalFormatting sqref="I23:I24">
    <cfRule type="expression" dxfId="35" priority="35" stopIfTrue="1">
      <formula>$C23="*"</formula>
    </cfRule>
    <cfRule type="expression" dxfId="34" priority="36" stopIfTrue="1">
      <formula>$C23="-"</formula>
    </cfRule>
  </conditionalFormatting>
  <conditionalFormatting sqref="P23:P24">
    <cfRule type="expression" dxfId="33" priority="33" stopIfTrue="1">
      <formula>$C23="*"</formula>
    </cfRule>
    <cfRule type="expression" dxfId="32" priority="34" stopIfTrue="1">
      <formula>$C23="-"</formula>
    </cfRule>
  </conditionalFormatting>
  <conditionalFormatting sqref="B23:B24">
    <cfRule type="expression" dxfId="31" priority="31" stopIfTrue="1">
      <formula>$C23="*"</formula>
    </cfRule>
    <cfRule type="expression" dxfId="30" priority="32" stopIfTrue="1">
      <formula>$C23="-"</formula>
    </cfRule>
  </conditionalFormatting>
  <conditionalFormatting sqref="I15:I22">
    <cfRule type="expression" dxfId="29" priority="29" stopIfTrue="1">
      <formula>$C15="*"</formula>
    </cfRule>
    <cfRule type="expression" dxfId="28" priority="30" stopIfTrue="1">
      <formula>$C15="-"</formula>
    </cfRule>
  </conditionalFormatting>
  <conditionalFormatting sqref="P15:P22">
    <cfRule type="expression" dxfId="27" priority="27" stopIfTrue="1">
      <formula>$C15="*"</formula>
    </cfRule>
    <cfRule type="expression" dxfId="26" priority="28" stopIfTrue="1">
      <formula>$C15="-"</formula>
    </cfRule>
  </conditionalFormatting>
  <conditionalFormatting sqref="B15:B22">
    <cfRule type="expression" dxfId="25" priority="25" stopIfTrue="1">
      <formula>$C15="*"</formula>
    </cfRule>
    <cfRule type="expression" dxfId="24" priority="26" stopIfTrue="1">
      <formula>$C15="-"</formula>
    </cfRule>
  </conditionalFormatting>
  <conditionalFormatting sqref="I13:I14">
    <cfRule type="expression" dxfId="23" priority="23" stopIfTrue="1">
      <formula>$C13="*"</formula>
    </cfRule>
    <cfRule type="expression" dxfId="22" priority="24" stopIfTrue="1">
      <formula>$C13="-"</formula>
    </cfRule>
  </conditionalFormatting>
  <conditionalFormatting sqref="P13:P14">
    <cfRule type="expression" dxfId="21" priority="21" stopIfTrue="1">
      <formula>$C13="*"</formula>
    </cfRule>
    <cfRule type="expression" dxfId="20" priority="22" stopIfTrue="1">
      <formula>$C13="-"</formula>
    </cfRule>
  </conditionalFormatting>
  <conditionalFormatting sqref="B13:B14">
    <cfRule type="expression" dxfId="19" priority="19" stopIfTrue="1">
      <formula>$C13="*"</formula>
    </cfRule>
    <cfRule type="expression" dxfId="18" priority="20" stopIfTrue="1">
      <formula>$C13="-"</formula>
    </cfRule>
  </conditionalFormatting>
  <conditionalFormatting sqref="I5 I8">
    <cfRule type="expression" dxfId="17" priority="17" stopIfTrue="1">
      <formula>$C5="*"</formula>
    </cfRule>
    <cfRule type="expression" dxfId="16" priority="18" stopIfTrue="1">
      <formula>$C5="-"</formula>
    </cfRule>
  </conditionalFormatting>
  <conditionalFormatting sqref="P5:P8">
    <cfRule type="expression" dxfId="15" priority="15" stopIfTrue="1">
      <formula>$C5="*"</formula>
    </cfRule>
    <cfRule type="expression" dxfId="14" priority="16" stopIfTrue="1">
      <formula>$C5="-"</formula>
    </cfRule>
  </conditionalFormatting>
  <conditionalFormatting sqref="B5 B7:B8">
    <cfRule type="expression" dxfId="13" priority="13" stopIfTrue="1">
      <formula>$C5="*"</formula>
    </cfRule>
    <cfRule type="expression" dxfId="12" priority="14" stopIfTrue="1">
      <formula>$C5="-"</formula>
    </cfRule>
  </conditionalFormatting>
  <conditionalFormatting sqref="I9:I12">
    <cfRule type="expression" dxfId="11" priority="11" stopIfTrue="1">
      <formula>$C9="*"</formula>
    </cfRule>
    <cfRule type="expression" dxfId="10" priority="12" stopIfTrue="1">
      <formula>$C9="-"</formula>
    </cfRule>
  </conditionalFormatting>
  <conditionalFormatting sqref="P9:P12">
    <cfRule type="expression" dxfId="9" priority="9" stopIfTrue="1">
      <formula>$C9="*"</formula>
    </cfRule>
    <cfRule type="expression" dxfId="8" priority="10" stopIfTrue="1">
      <formula>$C9="-"</formula>
    </cfRule>
  </conditionalFormatting>
  <conditionalFormatting sqref="B9:B12">
    <cfRule type="expression" dxfId="7" priority="7" stopIfTrue="1">
      <formula>$C9="*"</formula>
    </cfRule>
    <cfRule type="expression" dxfId="6" priority="8" stopIfTrue="1">
      <formula>$C9="-"</formula>
    </cfRule>
  </conditionalFormatting>
  <conditionalFormatting sqref="I6">
    <cfRule type="expression" dxfId="5" priority="5" stopIfTrue="1">
      <formula>$C6="*"</formula>
    </cfRule>
    <cfRule type="expression" dxfId="4" priority="6" stopIfTrue="1">
      <formula>$C6="-"</formula>
    </cfRule>
  </conditionalFormatting>
  <conditionalFormatting sqref="B6">
    <cfRule type="expression" dxfId="3" priority="3" stopIfTrue="1">
      <formula>$C6="*"</formula>
    </cfRule>
    <cfRule type="expression" dxfId="2" priority="4" stopIfTrue="1">
      <formula>$C6="-"</formula>
    </cfRule>
  </conditionalFormatting>
  <conditionalFormatting sqref="I7">
    <cfRule type="expression" dxfId="1" priority="1" stopIfTrue="1">
      <formula>$C7="*"</formula>
    </cfRule>
    <cfRule type="expression" dxfId="0" priority="2" stopIfTrue="1">
      <formula>$C7="-"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X46"/>
  <sheetViews>
    <sheetView zoomScale="80" zoomScaleNormal="80" workbookViewId="0">
      <selection activeCell="L18" sqref="L18"/>
    </sheetView>
  </sheetViews>
  <sheetFormatPr defaultRowHeight="15"/>
  <cols>
    <col min="1" max="1" width="10.42578125" bestFit="1" customWidth="1"/>
    <col min="2" max="2" width="11.42578125" customWidth="1"/>
    <col min="3" max="3" width="10.28515625" hidden="1" customWidth="1"/>
    <col min="4" max="4" width="10.28515625" customWidth="1"/>
    <col min="5" max="6" width="11.28515625" bestFit="1" customWidth="1"/>
    <col min="7" max="7" width="11.7109375" customWidth="1"/>
    <col min="8" max="8" width="8.42578125" customWidth="1"/>
    <col min="20" max="20" width="0" hidden="1" customWidth="1"/>
    <col min="21" max="21" width="9.85546875" hidden="1" customWidth="1"/>
    <col min="22" max="23" width="0" hidden="1" customWidth="1"/>
    <col min="24" max="24" width="13.140625" hidden="1" customWidth="1"/>
    <col min="25" max="39" width="0" hidden="1" customWidth="1"/>
  </cols>
  <sheetData>
    <row r="1" spans="1:24" ht="15.75" thickBot="1"/>
    <row r="2" spans="1:24" ht="24" customHeight="1" thickBot="1">
      <c r="A2" s="585" t="s">
        <v>0</v>
      </c>
      <c r="B2" s="620" t="s">
        <v>3</v>
      </c>
      <c r="C2" s="621"/>
      <c r="D2" s="621"/>
      <c r="E2" s="621"/>
      <c r="F2" s="621"/>
      <c r="G2" s="622"/>
      <c r="W2" s="516" t="s">
        <v>225</v>
      </c>
      <c r="X2" s="516">
        <v>20</v>
      </c>
    </row>
    <row r="3" spans="1:24" ht="27" customHeight="1">
      <c r="A3" s="596"/>
      <c r="B3" s="577" t="s">
        <v>206</v>
      </c>
      <c r="C3" s="610"/>
      <c r="D3" s="577" t="s">
        <v>227</v>
      </c>
      <c r="E3" s="577" t="s">
        <v>199</v>
      </c>
      <c r="F3" s="587" t="s">
        <v>196</v>
      </c>
      <c r="G3" s="587" t="s">
        <v>1</v>
      </c>
      <c r="T3" s="623" t="s">
        <v>0</v>
      </c>
      <c r="U3" s="623" t="s">
        <v>221</v>
      </c>
      <c r="V3" s="624" t="s">
        <v>222</v>
      </c>
      <c r="W3" s="623" t="s">
        <v>223</v>
      </c>
      <c r="X3" s="623" t="s">
        <v>224</v>
      </c>
    </row>
    <row r="4" spans="1:24" ht="15.75" customHeight="1" thickBot="1">
      <c r="A4" s="586"/>
      <c r="B4" s="578"/>
      <c r="C4" s="611"/>
      <c r="D4" s="578"/>
      <c r="E4" s="578"/>
      <c r="F4" s="588"/>
      <c r="G4" s="588"/>
      <c r="T4" s="623"/>
      <c r="U4" s="623"/>
      <c r="V4" s="624"/>
      <c r="W4" s="623"/>
      <c r="X4" s="623"/>
    </row>
    <row r="5" spans="1:24" ht="15" customHeight="1">
      <c r="A5" s="435">
        <f>'SQ-1'!A5</f>
        <v>43952</v>
      </c>
      <c r="B5" s="517">
        <f>'SQ-1'!W5+'SQ-2'!W5+'SQ-3'!W5+'SQ-4'!W5+'SQ-5'!W5+'SQ-6'!W5+'SQ-7'!W5+'SQ-8'!W5+'SQ-9'!W5</f>
        <v>0</v>
      </c>
      <c r="C5" s="517">
        <f>'SQ-1'!X5+'SQ-2'!X5+'SQ-3'!X5+'SQ-4'!X5+'SQ-5'!X5+'SQ-6'!X5+'SQ-7'!X5+'SQ-8'!X5+'SQ-9'!X5</f>
        <v>0</v>
      </c>
      <c r="D5" s="517">
        <f>'SQ-1'!Y5+'SQ-2'!Y5+'SQ-3'!Y5+'SQ-4'!Y5+'SQ-5'!Y5+'SQ-6'!Y5+'SQ-7'!Y5+'SQ-8'!Y5+'SQ-9'!Y5</f>
        <v>0</v>
      </c>
      <c r="E5" s="12">
        <f>'SQ-1'!Z5+'SQ-2'!Z5+'SQ-3'!Z5+'SQ-4'!Z5+'SQ-5'!Z5+'SQ-6'!Z5+'SQ-7'!Z5+'SQ-8'!Z5+'SQ-9'!Z5</f>
        <v>0</v>
      </c>
      <c r="F5" s="12">
        <f>'SQ-1'!AA5+'SQ-2'!AA5+'SQ-3'!AA5+'SQ-4'!AA5+'SQ-5'!AA5+'SQ-6'!AA5+'SQ-7'!AA5+'SQ-8'!AA5+'SQ-9'!AA5</f>
        <v>0</v>
      </c>
      <c r="G5" s="12">
        <f>'SQ-1'!AB5+'SQ-2'!AB5+'SQ-3'!AB5+'SQ-4'!AB5+'SQ-5'!AB5+'SQ-6'!AB5+'SQ-7'!AB5+'SQ-8'!AB5+'SQ-9'!AB5</f>
        <v>0</v>
      </c>
      <c r="H5" s="453"/>
      <c r="T5" s="513">
        <f>A5</f>
        <v>43952</v>
      </c>
      <c r="U5" s="512">
        <f>F5/1000</f>
        <v>0</v>
      </c>
      <c r="V5" s="512">
        <f>B5</f>
        <v>0</v>
      </c>
      <c r="W5" s="514" t="e">
        <f>U5/V5</f>
        <v>#DIV/0!</v>
      </c>
      <c r="X5" s="514" t="e">
        <f>(V5*$X$2)/U5</f>
        <v>#DIV/0!</v>
      </c>
    </row>
    <row r="6" spans="1:24">
      <c r="A6" s="435">
        <f>'SQ-1'!A6</f>
        <v>43953</v>
      </c>
      <c r="B6" s="517">
        <f>'SQ-1'!W6+'SQ-2'!W6+'SQ-3'!W6+'SQ-4'!W6+'SQ-5'!W6+'SQ-6'!W6+'SQ-7'!W6+'SQ-8'!W6+'SQ-9'!W6</f>
        <v>0</v>
      </c>
      <c r="C6" s="517">
        <f>'SQ-1'!X6+'SQ-2'!X6+'SQ-3'!X6+'SQ-4'!X6+'SQ-5'!X6+'SQ-6'!X6+'SQ-7'!X6+'SQ-8'!X6+'SQ-9'!X6</f>
        <v>0</v>
      </c>
      <c r="D6" s="517">
        <f>'SQ-1'!Y6+'SQ-2'!Y6+'SQ-3'!Y6+'SQ-4'!Y6+'SQ-5'!Y6+'SQ-6'!Y6+'SQ-7'!Y6+'SQ-8'!Y6+'SQ-9'!Y6</f>
        <v>0</v>
      </c>
      <c r="E6" s="12">
        <f>'SQ-1'!Z6+'SQ-2'!Z6+'SQ-3'!Z6+'SQ-4'!Z6+'SQ-5'!Z6+'SQ-6'!Z6+'SQ-7'!Z6+'SQ-8'!Z6+'SQ-9'!Z6</f>
        <v>0</v>
      </c>
      <c r="F6" s="12">
        <f>'SQ-1'!AA6+'SQ-2'!AA6+'SQ-3'!AA6+'SQ-4'!AA6+'SQ-5'!AA6+'SQ-6'!AA6+'SQ-7'!AA6+'SQ-8'!AA6+'SQ-9'!AA6</f>
        <v>0</v>
      </c>
      <c r="G6" s="12">
        <f>'SQ-1'!AB6+'SQ-2'!AB6+'SQ-3'!AB6+'SQ-4'!AB6+'SQ-5'!AB6+'SQ-6'!AB6+'SQ-7'!AB6+'SQ-8'!AB6+'SQ-9'!AB6</f>
        <v>0</v>
      </c>
      <c r="H6" s="453"/>
      <c r="T6" s="513">
        <f t="shared" ref="T6:T35" si="0">A6</f>
        <v>43953</v>
      </c>
      <c r="U6" s="512">
        <f>F6/1000</f>
        <v>0</v>
      </c>
      <c r="V6" s="512">
        <f t="shared" ref="V6:V35" si="1">B6</f>
        <v>0</v>
      </c>
      <c r="W6" s="514" t="e">
        <f t="shared" ref="W6:W35" si="2">U6/V6</f>
        <v>#DIV/0!</v>
      </c>
      <c r="X6" s="514" t="e">
        <f t="shared" ref="X6:X35" si="3">(V6*$X$2)/U6</f>
        <v>#DIV/0!</v>
      </c>
    </row>
    <row r="7" spans="1:24">
      <c r="A7" s="435">
        <f>'SQ-1'!A7</f>
        <v>43954</v>
      </c>
      <c r="B7" s="517">
        <f>'SQ-1'!W7+'SQ-2'!W7+'SQ-3'!W7+'SQ-4'!W7+'SQ-5'!W7+'SQ-6'!W7+'SQ-7'!W7+'SQ-8'!W7+'SQ-9'!W7</f>
        <v>0</v>
      </c>
      <c r="C7" s="517">
        <f>'SQ-1'!X7+'SQ-2'!X7+'SQ-3'!X7+'SQ-4'!X7+'SQ-5'!X7+'SQ-6'!X7+'SQ-7'!X7+'SQ-8'!X7+'SQ-9'!X7</f>
        <v>0</v>
      </c>
      <c r="D7" s="517">
        <f>'SQ-1'!Y7+'SQ-2'!Y7+'SQ-3'!Y7+'SQ-4'!Y7+'SQ-5'!Y7+'SQ-6'!Y7+'SQ-7'!Y7+'SQ-8'!Y7+'SQ-9'!Y7</f>
        <v>0</v>
      </c>
      <c r="E7" s="12">
        <f>'SQ-1'!Z7+'SQ-2'!Z7+'SQ-3'!Z7+'SQ-4'!Z7+'SQ-5'!Z7+'SQ-6'!Z7+'SQ-7'!Z7+'SQ-8'!Z7+'SQ-9'!Z7</f>
        <v>0</v>
      </c>
      <c r="F7" s="12">
        <f>'SQ-1'!AA7+'SQ-2'!AA7+'SQ-3'!AA7+'SQ-4'!AA7+'SQ-5'!AA7+'SQ-6'!AA7+'SQ-7'!AA7+'SQ-8'!AA7+'SQ-9'!AA7</f>
        <v>0</v>
      </c>
      <c r="G7" s="12">
        <f>'SQ-1'!AB7+'SQ-2'!AB7+'SQ-3'!AB7+'SQ-4'!AB7+'SQ-5'!AB7+'SQ-6'!AB7+'SQ-7'!AB7+'SQ-8'!AB7+'SQ-9'!AB7</f>
        <v>0</v>
      </c>
      <c r="H7" s="453"/>
      <c r="T7" s="513">
        <f t="shared" si="0"/>
        <v>43954</v>
      </c>
      <c r="U7" s="512">
        <f t="shared" ref="U7:U35" si="4">F7/1000</f>
        <v>0</v>
      </c>
      <c r="V7" s="512">
        <f t="shared" si="1"/>
        <v>0</v>
      </c>
      <c r="W7" s="514" t="e">
        <f t="shared" si="2"/>
        <v>#DIV/0!</v>
      </c>
      <c r="X7" s="514" t="e">
        <f t="shared" si="3"/>
        <v>#DIV/0!</v>
      </c>
    </row>
    <row r="8" spans="1:24">
      <c r="A8" s="435">
        <f>'SQ-1'!A8</f>
        <v>43955</v>
      </c>
      <c r="B8" s="517">
        <f>'SQ-1'!W8+'SQ-2'!W8+'SQ-3'!W8+'SQ-4'!W8+'SQ-5'!W8+'SQ-6'!W8+'SQ-7'!W8+'SQ-8'!W8+'SQ-9'!W8</f>
        <v>0</v>
      </c>
      <c r="C8" s="517">
        <f>'SQ-1'!X8+'SQ-2'!X8+'SQ-3'!X8+'SQ-4'!X8+'SQ-5'!X8+'SQ-6'!X8+'SQ-7'!X8+'SQ-8'!X8+'SQ-9'!X8</f>
        <v>0</v>
      </c>
      <c r="D8" s="517">
        <f>'SQ-1'!Y8+'SQ-2'!Y8+'SQ-3'!Y8+'SQ-4'!Y8+'SQ-5'!Y8+'SQ-6'!Y8+'SQ-7'!Y8+'SQ-8'!Y8+'SQ-9'!Y8</f>
        <v>0</v>
      </c>
      <c r="E8" s="12">
        <f>'SQ-1'!Z8+'SQ-2'!Z8+'SQ-3'!Z8+'SQ-4'!Z8+'SQ-5'!Z8+'SQ-6'!Z8+'SQ-7'!Z8+'SQ-8'!Z8+'SQ-9'!Z8</f>
        <v>0</v>
      </c>
      <c r="F8" s="12">
        <f>'SQ-1'!AA8+'SQ-2'!AA8+'SQ-3'!AA8+'SQ-4'!AA8+'SQ-5'!AA8+'SQ-6'!AA8+'SQ-7'!AA8+'SQ-8'!AA8+'SQ-9'!AA8</f>
        <v>0</v>
      </c>
      <c r="G8" s="12">
        <f>'SQ-1'!AB8+'SQ-2'!AB8+'SQ-3'!AB8+'SQ-4'!AB8+'SQ-5'!AB8+'SQ-6'!AB8+'SQ-7'!AB8+'SQ-8'!AB8+'SQ-9'!AB8</f>
        <v>0</v>
      </c>
      <c r="H8" s="453"/>
      <c r="T8" s="513">
        <f t="shared" si="0"/>
        <v>43955</v>
      </c>
      <c r="U8" s="512">
        <f t="shared" si="4"/>
        <v>0</v>
      </c>
      <c r="V8" s="512">
        <f t="shared" si="1"/>
        <v>0</v>
      </c>
      <c r="W8" s="514" t="e">
        <f t="shared" si="2"/>
        <v>#DIV/0!</v>
      </c>
      <c r="X8" s="514" t="e">
        <f t="shared" si="3"/>
        <v>#DIV/0!</v>
      </c>
    </row>
    <row r="9" spans="1:24">
      <c r="A9" s="435">
        <f>'SQ-1'!A9</f>
        <v>43956</v>
      </c>
      <c r="B9" s="517">
        <f>'SQ-1'!W9+'SQ-2'!W9+'SQ-3'!W9+'SQ-4'!W9+'SQ-5'!W9+'SQ-6'!W9+'SQ-7'!W9+'SQ-8'!W9+'SQ-9'!W9</f>
        <v>0</v>
      </c>
      <c r="C9" s="517">
        <f>'SQ-1'!X9+'SQ-2'!X9+'SQ-3'!X9+'SQ-4'!X9+'SQ-5'!X9+'SQ-6'!X9+'SQ-7'!X9+'SQ-8'!X9+'SQ-9'!X9</f>
        <v>0</v>
      </c>
      <c r="D9" s="517">
        <f>'SQ-1'!Y9+'SQ-2'!Y9+'SQ-3'!Y9+'SQ-4'!Y9+'SQ-5'!Y9+'SQ-6'!Y9+'SQ-7'!Y9+'SQ-8'!Y9+'SQ-9'!Y9</f>
        <v>0</v>
      </c>
      <c r="E9" s="12">
        <f>'SQ-1'!Z9+'SQ-2'!Z9+'SQ-3'!Z9+'SQ-4'!Z9+'SQ-5'!Z9+'SQ-6'!Z9+'SQ-7'!Z9+'SQ-8'!Z9+'SQ-9'!Z9</f>
        <v>0</v>
      </c>
      <c r="F9" s="12">
        <f>'SQ-1'!AA9+'SQ-2'!AA9+'SQ-3'!AA9+'SQ-4'!AA9+'SQ-5'!AA9+'SQ-6'!AA9+'SQ-7'!AA9+'SQ-8'!AA9+'SQ-9'!AA9</f>
        <v>0</v>
      </c>
      <c r="G9" s="12">
        <f>'SQ-1'!AB9+'SQ-2'!AB9+'SQ-3'!AB9+'SQ-4'!AB9+'SQ-5'!AB9+'SQ-6'!AB9+'SQ-7'!AB9+'SQ-8'!AB9+'SQ-9'!AB9</f>
        <v>0</v>
      </c>
      <c r="H9" s="453"/>
      <c r="T9" s="513">
        <f t="shared" si="0"/>
        <v>43956</v>
      </c>
      <c r="U9" s="512">
        <f t="shared" si="4"/>
        <v>0</v>
      </c>
      <c r="V9" s="512">
        <f t="shared" si="1"/>
        <v>0</v>
      </c>
      <c r="W9" s="514" t="e">
        <f t="shared" si="2"/>
        <v>#DIV/0!</v>
      </c>
      <c r="X9" s="514" t="e">
        <f t="shared" si="3"/>
        <v>#DIV/0!</v>
      </c>
    </row>
    <row r="10" spans="1:24">
      <c r="A10" s="435">
        <f>'SQ-1'!A10</f>
        <v>43957</v>
      </c>
      <c r="B10" s="517">
        <f>'SQ-1'!W10+'SQ-2'!W10+'SQ-3'!W10+'SQ-4'!W10+'SQ-5'!W10+'SQ-6'!W10+'SQ-7'!W10+'SQ-8'!W10+'SQ-9'!W10</f>
        <v>0</v>
      </c>
      <c r="C10" s="517">
        <f>'SQ-1'!X10+'SQ-2'!X10+'SQ-3'!X10+'SQ-4'!X10+'SQ-5'!X10+'SQ-6'!X10+'SQ-7'!X10+'SQ-8'!X10+'SQ-9'!X10</f>
        <v>0</v>
      </c>
      <c r="D10" s="517">
        <f>'SQ-1'!Y10+'SQ-2'!Y10+'SQ-3'!Y10+'SQ-4'!Y10+'SQ-5'!Y10+'SQ-6'!Y10+'SQ-7'!Y10+'SQ-8'!Y10+'SQ-9'!Y10</f>
        <v>0</v>
      </c>
      <c r="E10" s="12">
        <f>'SQ-1'!Z10+'SQ-2'!Z10+'SQ-3'!Z10+'SQ-4'!Z10+'SQ-5'!Z10+'SQ-6'!Z10+'SQ-7'!Z10+'SQ-8'!Z10+'SQ-9'!Z10</f>
        <v>0</v>
      </c>
      <c r="F10" s="12">
        <f>'SQ-1'!AA10+'SQ-2'!AA10+'SQ-3'!AA10+'SQ-4'!AA10+'SQ-5'!AA10+'SQ-6'!AA10+'SQ-7'!AA10+'SQ-8'!AA10+'SQ-9'!AA10</f>
        <v>0</v>
      </c>
      <c r="G10" s="12">
        <f>'SQ-1'!AB10+'SQ-2'!AB10+'SQ-3'!AB10+'SQ-4'!AB10+'SQ-5'!AB10+'SQ-6'!AB10+'SQ-7'!AB10+'SQ-8'!AB10+'SQ-9'!AB10</f>
        <v>0</v>
      </c>
      <c r="H10" s="453"/>
      <c r="T10" s="513">
        <f t="shared" si="0"/>
        <v>43957</v>
      </c>
      <c r="U10" s="512">
        <f t="shared" si="4"/>
        <v>0</v>
      </c>
      <c r="V10" s="512">
        <f t="shared" si="1"/>
        <v>0</v>
      </c>
      <c r="W10" s="514" t="e">
        <f t="shared" si="2"/>
        <v>#DIV/0!</v>
      </c>
      <c r="X10" s="514" t="e">
        <f t="shared" si="3"/>
        <v>#DIV/0!</v>
      </c>
    </row>
    <row r="11" spans="1:24">
      <c r="A11" s="435">
        <f>'SQ-1'!A11</f>
        <v>43958</v>
      </c>
      <c r="B11" s="517">
        <f>'SQ-1'!W11+'SQ-2'!W11+'SQ-3'!W11+'SQ-4'!W11+'SQ-5'!W11+'SQ-6'!W11+'SQ-7'!W11+'SQ-8'!W11+'SQ-9'!W11</f>
        <v>0</v>
      </c>
      <c r="C11" s="517">
        <f>'SQ-1'!X11+'SQ-2'!X11+'SQ-3'!X11+'SQ-4'!X11+'SQ-5'!X11+'SQ-6'!X11+'SQ-7'!X11+'SQ-8'!X11+'SQ-9'!X11</f>
        <v>0</v>
      </c>
      <c r="D11" s="517">
        <f>'SQ-1'!Y11+'SQ-2'!Y11+'SQ-3'!Y11+'SQ-4'!Y11+'SQ-5'!Y11+'SQ-6'!Y11+'SQ-7'!Y11+'SQ-8'!Y11+'SQ-9'!Y11</f>
        <v>0</v>
      </c>
      <c r="E11" s="12">
        <f>'SQ-1'!Z11+'SQ-2'!Z11+'SQ-3'!Z11+'SQ-4'!Z11+'SQ-5'!Z11+'SQ-6'!Z11+'SQ-7'!Z11+'SQ-8'!Z11+'SQ-9'!Z11</f>
        <v>0</v>
      </c>
      <c r="F11" s="12">
        <f>'SQ-1'!AA11+'SQ-2'!AA11+'SQ-3'!AA11+'SQ-4'!AA11+'SQ-5'!AA11+'SQ-6'!AA11+'SQ-7'!AA11+'SQ-8'!AA11+'SQ-9'!AA11</f>
        <v>0</v>
      </c>
      <c r="G11" s="12">
        <f>'SQ-1'!AB11+'SQ-2'!AB11+'SQ-3'!AB11+'SQ-4'!AB11+'SQ-5'!AB11+'SQ-6'!AB11+'SQ-7'!AB11+'SQ-8'!AB11+'SQ-9'!AB11</f>
        <v>0</v>
      </c>
      <c r="H11" s="453"/>
      <c r="T11" s="513">
        <f t="shared" si="0"/>
        <v>43958</v>
      </c>
      <c r="U11" s="512">
        <f t="shared" si="4"/>
        <v>0</v>
      </c>
      <c r="V11" s="512">
        <f t="shared" si="1"/>
        <v>0</v>
      </c>
      <c r="W11" s="514" t="e">
        <f t="shared" si="2"/>
        <v>#DIV/0!</v>
      </c>
      <c r="X11" s="514" t="e">
        <f t="shared" si="3"/>
        <v>#DIV/0!</v>
      </c>
    </row>
    <row r="12" spans="1:24">
      <c r="A12" s="435">
        <f>'SQ-1'!A12</f>
        <v>43959</v>
      </c>
      <c r="B12" s="517">
        <f>'SQ-1'!W12+'SQ-2'!W12+'SQ-3'!W12+'SQ-4'!W12+'SQ-5'!W12+'SQ-6'!W12+'SQ-7'!W12+'SQ-8'!W12+'SQ-9'!W12</f>
        <v>0</v>
      </c>
      <c r="C12" s="517">
        <f>'SQ-1'!X12+'SQ-2'!X12+'SQ-3'!X12+'SQ-4'!X12+'SQ-5'!X12+'SQ-6'!X12+'SQ-7'!X12+'SQ-8'!X12+'SQ-9'!X12</f>
        <v>0</v>
      </c>
      <c r="D12" s="517">
        <f>'SQ-1'!Y12+'SQ-2'!Y12+'SQ-3'!Y12+'SQ-4'!Y12+'SQ-5'!Y12+'SQ-6'!Y12+'SQ-7'!Y12+'SQ-8'!Y12+'SQ-9'!Y12</f>
        <v>0</v>
      </c>
      <c r="E12" s="12">
        <f>'SQ-1'!Z12+'SQ-2'!Z12+'SQ-3'!Z12+'SQ-4'!Z12+'SQ-5'!Z12+'SQ-6'!Z12+'SQ-7'!Z12+'SQ-8'!Z12+'SQ-9'!Z12</f>
        <v>0</v>
      </c>
      <c r="F12" s="12">
        <f>'SQ-1'!AA12+'SQ-2'!AA12+'SQ-3'!AA12+'SQ-4'!AA12+'SQ-5'!AA12+'SQ-6'!AA12+'SQ-7'!AA12+'SQ-8'!AA12+'SQ-9'!AA12</f>
        <v>0</v>
      </c>
      <c r="G12" s="12">
        <f>'SQ-1'!AB12+'SQ-2'!AB12+'SQ-3'!AB12+'SQ-4'!AB12+'SQ-5'!AB12+'SQ-6'!AB12+'SQ-7'!AB12+'SQ-8'!AB12+'SQ-9'!AB12</f>
        <v>0</v>
      </c>
      <c r="H12" s="453"/>
      <c r="T12" s="513">
        <f t="shared" si="0"/>
        <v>43959</v>
      </c>
      <c r="U12" s="512">
        <f t="shared" si="4"/>
        <v>0</v>
      </c>
      <c r="V12" s="512">
        <f t="shared" si="1"/>
        <v>0</v>
      </c>
      <c r="W12" s="514" t="e">
        <f t="shared" si="2"/>
        <v>#DIV/0!</v>
      </c>
      <c r="X12" s="514" t="e">
        <f t="shared" si="3"/>
        <v>#DIV/0!</v>
      </c>
    </row>
    <row r="13" spans="1:24">
      <c r="A13" s="435">
        <f>'SQ-1'!A13</f>
        <v>43960</v>
      </c>
      <c r="B13" s="517">
        <f>'SQ-1'!W13+'SQ-2'!W13+'SQ-3'!W13+'SQ-4'!W13+'SQ-5'!W13+'SQ-6'!W13+'SQ-7'!W13+'SQ-8'!W13+'SQ-9'!W13</f>
        <v>0</v>
      </c>
      <c r="C13" s="517">
        <f>'SQ-1'!X13+'SQ-2'!X13+'SQ-3'!X13+'SQ-4'!X13+'SQ-5'!X13+'SQ-6'!X13+'SQ-7'!X13+'SQ-8'!X13+'SQ-9'!X13</f>
        <v>0</v>
      </c>
      <c r="D13" s="517">
        <f>'SQ-1'!Y13+'SQ-2'!Y13+'SQ-3'!Y13+'SQ-4'!Y13+'SQ-5'!Y13+'SQ-6'!Y13+'SQ-7'!Y13+'SQ-8'!Y13+'SQ-9'!Y13</f>
        <v>0</v>
      </c>
      <c r="E13" s="12">
        <f>'SQ-1'!Z13+'SQ-2'!Z13+'SQ-3'!Z13+'SQ-4'!Z13+'SQ-5'!Z13+'SQ-6'!Z13+'SQ-7'!Z13+'SQ-8'!Z13+'SQ-9'!Z13</f>
        <v>0</v>
      </c>
      <c r="F13" s="12">
        <f>'SQ-1'!AA13+'SQ-2'!AA13+'SQ-3'!AA13+'SQ-4'!AA13+'SQ-5'!AA13+'SQ-6'!AA13+'SQ-7'!AA13+'SQ-8'!AA13+'SQ-9'!AA13</f>
        <v>0</v>
      </c>
      <c r="G13" s="12">
        <f>'SQ-1'!AB13+'SQ-2'!AB13+'SQ-3'!AB13+'SQ-4'!AB13+'SQ-5'!AB13+'SQ-6'!AB13+'SQ-7'!AB13+'SQ-8'!AB13+'SQ-9'!AB13</f>
        <v>0</v>
      </c>
      <c r="H13" s="453"/>
      <c r="T13" s="513">
        <f t="shared" si="0"/>
        <v>43960</v>
      </c>
      <c r="U13" s="512">
        <f t="shared" si="4"/>
        <v>0</v>
      </c>
      <c r="V13" s="512">
        <f t="shared" si="1"/>
        <v>0</v>
      </c>
      <c r="W13" s="514" t="e">
        <f t="shared" si="2"/>
        <v>#DIV/0!</v>
      </c>
      <c r="X13" s="514" t="e">
        <f t="shared" si="3"/>
        <v>#DIV/0!</v>
      </c>
    </row>
    <row r="14" spans="1:24">
      <c r="A14" s="435">
        <f>'SQ-1'!A14</f>
        <v>43961</v>
      </c>
      <c r="B14" s="517">
        <f>'SQ-1'!W14+'SQ-2'!W14+'SQ-3'!W14+'SQ-4'!W14+'SQ-5'!W14+'SQ-6'!W14+'SQ-7'!W14+'SQ-8'!W14+'SQ-9'!W14</f>
        <v>0</v>
      </c>
      <c r="C14" s="517">
        <f>'SQ-1'!X14+'SQ-2'!X14+'SQ-3'!X14+'SQ-4'!X14+'SQ-5'!X14+'SQ-6'!X14+'SQ-7'!X14+'SQ-8'!X14+'SQ-9'!X14</f>
        <v>0</v>
      </c>
      <c r="D14" s="517">
        <f>'SQ-1'!Y14+'SQ-2'!Y14+'SQ-3'!Y14+'SQ-4'!Y14+'SQ-5'!Y14+'SQ-6'!Y14+'SQ-7'!Y14+'SQ-8'!Y14+'SQ-9'!Y14</f>
        <v>0</v>
      </c>
      <c r="E14" s="12">
        <f>'SQ-1'!Z14+'SQ-2'!Z14+'SQ-3'!Z14+'SQ-4'!Z14+'SQ-5'!Z14+'SQ-6'!Z14+'SQ-7'!Z14+'SQ-8'!Z14+'SQ-9'!Z14</f>
        <v>0</v>
      </c>
      <c r="F14" s="12">
        <f>'SQ-1'!AA14+'SQ-2'!AA14+'SQ-3'!AA14+'SQ-4'!AA14+'SQ-5'!AA14+'SQ-6'!AA14+'SQ-7'!AA14+'SQ-8'!AA14+'SQ-9'!AA14</f>
        <v>0</v>
      </c>
      <c r="G14" s="12">
        <f>'SQ-1'!AB14+'SQ-2'!AB14+'SQ-3'!AB14+'SQ-4'!AB14+'SQ-5'!AB14+'SQ-6'!AB14+'SQ-7'!AB14+'SQ-8'!AB14+'SQ-9'!AB14</f>
        <v>0</v>
      </c>
      <c r="H14" s="453"/>
      <c r="T14" s="513">
        <f t="shared" si="0"/>
        <v>43961</v>
      </c>
      <c r="U14" s="512">
        <f t="shared" si="4"/>
        <v>0</v>
      </c>
      <c r="V14" s="512">
        <f t="shared" si="1"/>
        <v>0</v>
      </c>
      <c r="W14" s="514" t="e">
        <f t="shared" si="2"/>
        <v>#DIV/0!</v>
      </c>
      <c r="X14" s="514" t="e">
        <f t="shared" si="3"/>
        <v>#DIV/0!</v>
      </c>
    </row>
    <row r="15" spans="1:24">
      <c r="A15" s="435">
        <f>'SQ-1'!A15</f>
        <v>43962</v>
      </c>
      <c r="B15" s="517">
        <f>'SQ-1'!W15+'SQ-2'!W15+'SQ-3'!W15+'SQ-4'!W15+'SQ-5'!W15+'SQ-6'!W15+'SQ-7'!W15+'SQ-8'!W15+'SQ-9'!W15</f>
        <v>0</v>
      </c>
      <c r="C15" s="517">
        <f>'SQ-1'!X15+'SQ-2'!X15+'SQ-3'!X15+'SQ-4'!X15+'SQ-5'!X15+'SQ-6'!X15+'SQ-7'!X15+'SQ-8'!X15+'SQ-9'!X15</f>
        <v>0</v>
      </c>
      <c r="D15" s="517">
        <f>'SQ-1'!Y15+'SQ-2'!Y15+'SQ-3'!Y15+'SQ-4'!Y15+'SQ-5'!Y15+'SQ-6'!Y15+'SQ-7'!Y15+'SQ-8'!Y15+'SQ-9'!Y15</f>
        <v>0</v>
      </c>
      <c r="E15" s="12">
        <f>'SQ-1'!Z15+'SQ-2'!Z15+'SQ-3'!Z15+'SQ-4'!Z15+'SQ-5'!Z15+'SQ-6'!Z15+'SQ-7'!Z15+'SQ-8'!Z15+'SQ-9'!Z15</f>
        <v>0</v>
      </c>
      <c r="F15" s="12">
        <f>'SQ-1'!AA15+'SQ-2'!AA15+'SQ-3'!AA15+'SQ-4'!AA15+'SQ-5'!AA15+'SQ-6'!AA15+'SQ-7'!AA15+'SQ-8'!AA15+'SQ-9'!AA15</f>
        <v>0</v>
      </c>
      <c r="G15" s="12">
        <f>'SQ-1'!AB15+'SQ-2'!AB15+'SQ-3'!AB15+'SQ-4'!AB15+'SQ-5'!AB15+'SQ-6'!AB15+'SQ-7'!AB15+'SQ-8'!AB15+'SQ-9'!AB15</f>
        <v>0</v>
      </c>
      <c r="H15" s="453"/>
      <c r="T15" s="513">
        <f t="shared" si="0"/>
        <v>43962</v>
      </c>
      <c r="U15" s="512">
        <f t="shared" si="4"/>
        <v>0</v>
      </c>
      <c r="V15" s="512">
        <f t="shared" si="1"/>
        <v>0</v>
      </c>
      <c r="W15" s="514" t="e">
        <f t="shared" si="2"/>
        <v>#DIV/0!</v>
      </c>
      <c r="X15" s="514" t="e">
        <f t="shared" si="3"/>
        <v>#DIV/0!</v>
      </c>
    </row>
    <row r="16" spans="1:24">
      <c r="A16" s="435">
        <f>'SQ-1'!A16</f>
        <v>43963</v>
      </c>
      <c r="B16" s="517">
        <f>'SQ-1'!W16+'SQ-2'!W16+'SQ-3'!W16+'SQ-4'!W16+'SQ-5'!W16+'SQ-6'!W16+'SQ-7'!W16+'SQ-8'!W16+'SQ-9'!W16</f>
        <v>0</v>
      </c>
      <c r="C16" s="517">
        <f>'SQ-1'!X16+'SQ-2'!X16+'SQ-3'!X16+'SQ-4'!X16+'SQ-5'!X16+'SQ-6'!X16+'SQ-7'!X16+'SQ-8'!X16+'SQ-9'!X16</f>
        <v>0</v>
      </c>
      <c r="D16" s="517">
        <f>'SQ-1'!Y16+'SQ-2'!Y16+'SQ-3'!Y16+'SQ-4'!Y16+'SQ-5'!Y16+'SQ-6'!Y16+'SQ-7'!Y16+'SQ-8'!Y16+'SQ-9'!Y16</f>
        <v>0</v>
      </c>
      <c r="E16" s="12">
        <f>'SQ-1'!Z16+'SQ-2'!Z16+'SQ-3'!Z16+'SQ-4'!Z16+'SQ-5'!Z16+'SQ-6'!Z16+'SQ-7'!Z16+'SQ-8'!Z16+'SQ-9'!Z16</f>
        <v>0</v>
      </c>
      <c r="F16" s="12">
        <f>'SQ-1'!AA16+'SQ-2'!AA16+'SQ-3'!AA16+'SQ-4'!AA16+'SQ-5'!AA16+'SQ-6'!AA16+'SQ-7'!AA16+'SQ-8'!AA16+'SQ-9'!AA16</f>
        <v>0</v>
      </c>
      <c r="G16" s="12">
        <f>'SQ-1'!AB16+'SQ-2'!AB16+'SQ-3'!AB16+'SQ-4'!AB16+'SQ-5'!AB16+'SQ-6'!AB16+'SQ-7'!AB16+'SQ-8'!AB16+'SQ-9'!AB16</f>
        <v>0</v>
      </c>
      <c r="H16" s="453"/>
      <c r="T16" s="513">
        <f t="shared" si="0"/>
        <v>43963</v>
      </c>
      <c r="U16" s="512">
        <f t="shared" si="4"/>
        <v>0</v>
      </c>
      <c r="V16" s="512">
        <f t="shared" si="1"/>
        <v>0</v>
      </c>
      <c r="W16" s="514" t="e">
        <f t="shared" si="2"/>
        <v>#DIV/0!</v>
      </c>
      <c r="X16" s="514" t="e">
        <f t="shared" si="3"/>
        <v>#DIV/0!</v>
      </c>
    </row>
    <row r="17" spans="1:24">
      <c r="A17" s="435">
        <f>'SQ-1'!A17</f>
        <v>43964</v>
      </c>
      <c r="B17" s="517">
        <f>'SQ-1'!W17+'SQ-2'!W17+'SQ-3'!W17+'SQ-4'!W17+'SQ-5'!W17+'SQ-6'!W17+'SQ-7'!W17+'SQ-8'!W17+'SQ-9'!W17</f>
        <v>0</v>
      </c>
      <c r="C17" s="517">
        <f>'SQ-1'!X17+'SQ-2'!X17+'SQ-3'!X17+'SQ-4'!X17+'SQ-5'!X17+'SQ-6'!X17+'SQ-7'!X17+'SQ-8'!X17+'SQ-9'!X17</f>
        <v>0</v>
      </c>
      <c r="D17" s="517">
        <f>'SQ-1'!Y17+'SQ-2'!Y17+'SQ-3'!Y17+'SQ-4'!Y17+'SQ-5'!Y17+'SQ-6'!Y17+'SQ-7'!Y17+'SQ-8'!Y17+'SQ-9'!Y17</f>
        <v>0</v>
      </c>
      <c r="E17" s="12">
        <f>'SQ-1'!Z17+'SQ-2'!Z17+'SQ-3'!Z17+'SQ-4'!Z17+'SQ-5'!Z17+'SQ-6'!Z17+'SQ-7'!Z17+'SQ-8'!Z17+'SQ-9'!Z17</f>
        <v>0</v>
      </c>
      <c r="F17" s="12">
        <f>'SQ-1'!AA17+'SQ-2'!AA17+'SQ-3'!AA17+'SQ-4'!AA17+'SQ-5'!AA17+'SQ-6'!AA17+'SQ-7'!AA17+'SQ-8'!AA17+'SQ-9'!AA17</f>
        <v>0</v>
      </c>
      <c r="G17" s="12">
        <f>'SQ-1'!AB17+'SQ-2'!AB17+'SQ-3'!AB17+'SQ-4'!AB17+'SQ-5'!AB17+'SQ-6'!AB17+'SQ-7'!AB17+'SQ-8'!AB17+'SQ-9'!AB17</f>
        <v>0</v>
      </c>
      <c r="H17" s="453"/>
      <c r="T17" s="513">
        <f t="shared" si="0"/>
        <v>43964</v>
      </c>
      <c r="U17" s="512">
        <f t="shared" si="4"/>
        <v>0</v>
      </c>
      <c r="V17" s="512">
        <f t="shared" si="1"/>
        <v>0</v>
      </c>
      <c r="W17" s="514" t="e">
        <f t="shared" si="2"/>
        <v>#DIV/0!</v>
      </c>
      <c r="X17" s="514" t="e">
        <f t="shared" si="3"/>
        <v>#DIV/0!</v>
      </c>
    </row>
    <row r="18" spans="1:24">
      <c r="A18" s="435">
        <f>'SQ-1'!A18</f>
        <v>43965</v>
      </c>
      <c r="B18" s="517">
        <f>'SQ-1'!W18+'SQ-2'!W18+'SQ-3'!W18+'SQ-4'!W18+'SQ-5'!W18+'SQ-6'!W18+'SQ-7'!W18+'SQ-8'!W18+'SQ-9'!W18</f>
        <v>0</v>
      </c>
      <c r="C18" s="517">
        <f>'SQ-1'!X18+'SQ-2'!X18+'SQ-3'!X18+'SQ-4'!X18+'SQ-5'!X18+'SQ-6'!X18+'SQ-7'!X18+'SQ-8'!X18+'SQ-9'!X18</f>
        <v>0</v>
      </c>
      <c r="D18" s="517">
        <f>'SQ-1'!Y18+'SQ-2'!Y18+'SQ-3'!Y18+'SQ-4'!Y18+'SQ-5'!Y18+'SQ-6'!Y18+'SQ-7'!Y18+'SQ-8'!Y18+'SQ-9'!Y18</f>
        <v>0</v>
      </c>
      <c r="E18" s="12">
        <f>'SQ-1'!Z18+'SQ-2'!Z18+'SQ-3'!Z18+'SQ-4'!Z18+'SQ-5'!Z18+'SQ-6'!Z18+'SQ-7'!Z18+'SQ-8'!Z18+'SQ-9'!Z18</f>
        <v>0</v>
      </c>
      <c r="F18" s="12">
        <f>'SQ-1'!AA18+'SQ-2'!AA18+'SQ-3'!AA18+'SQ-4'!AA18+'SQ-5'!AA18+'SQ-6'!AA18+'SQ-7'!AA18+'SQ-8'!AA18+'SQ-9'!AA18</f>
        <v>0</v>
      </c>
      <c r="G18" s="12">
        <f>'SQ-1'!AB18+'SQ-2'!AB18+'SQ-3'!AB18+'SQ-4'!AB18+'SQ-5'!AB18+'SQ-6'!AB18+'SQ-7'!AB18+'SQ-8'!AB18+'SQ-9'!AB18</f>
        <v>0</v>
      </c>
      <c r="H18" s="453"/>
      <c r="T18" s="513">
        <f t="shared" si="0"/>
        <v>43965</v>
      </c>
      <c r="U18" s="512">
        <f t="shared" si="4"/>
        <v>0</v>
      </c>
      <c r="V18" s="512">
        <f t="shared" si="1"/>
        <v>0</v>
      </c>
      <c r="W18" s="514" t="e">
        <f t="shared" si="2"/>
        <v>#DIV/0!</v>
      </c>
      <c r="X18" s="514" t="e">
        <f t="shared" si="3"/>
        <v>#DIV/0!</v>
      </c>
    </row>
    <row r="19" spans="1:24">
      <c r="A19" s="435">
        <f>'SQ-1'!A19</f>
        <v>43966</v>
      </c>
      <c r="B19" s="517">
        <f>'SQ-1'!W19+'SQ-2'!W19+'SQ-3'!W19+'SQ-4'!W19+'SQ-5'!W19+'SQ-6'!W19+'SQ-7'!W19+'SQ-8'!W19+'SQ-9'!W19</f>
        <v>0</v>
      </c>
      <c r="C19" s="517">
        <f>'SQ-1'!X19+'SQ-2'!X19+'SQ-3'!X19+'SQ-4'!X19+'SQ-5'!X19+'SQ-6'!X19+'SQ-7'!X19+'SQ-8'!X19+'SQ-9'!X19</f>
        <v>0</v>
      </c>
      <c r="D19" s="517">
        <f>'SQ-1'!Y19+'SQ-2'!Y19+'SQ-3'!Y19+'SQ-4'!Y19+'SQ-5'!Y19+'SQ-6'!Y19+'SQ-7'!Y19+'SQ-8'!Y19+'SQ-9'!Y19</f>
        <v>0</v>
      </c>
      <c r="E19" s="12">
        <f>'SQ-1'!Z19+'SQ-2'!Z19+'SQ-3'!Z19+'SQ-4'!Z19+'SQ-5'!Z19+'SQ-6'!Z19+'SQ-7'!Z19+'SQ-8'!Z19+'SQ-9'!Z19</f>
        <v>0</v>
      </c>
      <c r="F19" s="12">
        <f>'SQ-1'!AA19+'SQ-2'!AA19+'SQ-3'!AA19+'SQ-4'!AA19+'SQ-5'!AA19+'SQ-6'!AA19+'SQ-7'!AA19+'SQ-8'!AA19+'SQ-9'!AA19</f>
        <v>0</v>
      </c>
      <c r="G19" s="12">
        <f>'SQ-1'!AB19+'SQ-2'!AB19+'SQ-3'!AB19+'SQ-4'!AB19+'SQ-5'!AB19+'SQ-6'!AB19+'SQ-7'!AB19+'SQ-8'!AB19+'SQ-9'!AB19</f>
        <v>0</v>
      </c>
      <c r="H19" s="453"/>
      <c r="T19" s="513">
        <f t="shared" si="0"/>
        <v>43966</v>
      </c>
      <c r="U19" s="512">
        <f t="shared" si="4"/>
        <v>0</v>
      </c>
      <c r="V19" s="512">
        <f t="shared" si="1"/>
        <v>0</v>
      </c>
      <c r="W19" s="514" t="e">
        <f t="shared" si="2"/>
        <v>#DIV/0!</v>
      </c>
      <c r="X19" s="514" t="e">
        <f t="shared" si="3"/>
        <v>#DIV/0!</v>
      </c>
    </row>
    <row r="20" spans="1:24">
      <c r="A20" s="435">
        <f>'SQ-1'!A20</f>
        <v>43967</v>
      </c>
      <c r="B20" s="517">
        <f>'SQ-1'!W20+'SQ-2'!W20+'SQ-3'!W20+'SQ-4'!W20+'SQ-5'!W20+'SQ-6'!W20+'SQ-7'!W20+'SQ-8'!W20+'SQ-9'!W20</f>
        <v>0</v>
      </c>
      <c r="C20" s="517">
        <f>'SQ-1'!X20+'SQ-2'!X20+'SQ-3'!X20+'SQ-4'!X20+'SQ-5'!X20+'SQ-6'!X20+'SQ-7'!X20+'SQ-8'!X20+'SQ-9'!X20</f>
        <v>0</v>
      </c>
      <c r="D20" s="517">
        <f>'SQ-1'!Y20+'SQ-2'!Y20+'SQ-3'!Y20+'SQ-4'!Y20+'SQ-5'!Y20+'SQ-6'!Y20+'SQ-7'!Y20+'SQ-8'!Y20+'SQ-9'!Y20</f>
        <v>0</v>
      </c>
      <c r="E20" s="12">
        <f>'SQ-1'!Z20+'SQ-2'!Z20+'SQ-3'!Z20+'SQ-4'!Z20+'SQ-5'!Z20+'SQ-6'!Z20+'SQ-7'!Z20+'SQ-8'!Z20+'SQ-9'!Z20</f>
        <v>0</v>
      </c>
      <c r="F20" s="12">
        <f>'SQ-1'!AA20+'SQ-2'!AA20+'SQ-3'!AA20+'SQ-4'!AA20+'SQ-5'!AA20+'SQ-6'!AA20+'SQ-7'!AA20+'SQ-8'!AA20+'SQ-9'!AA20</f>
        <v>0</v>
      </c>
      <c r="G20" s="12">
        <f>'SQ-1'!AB20+'SQ-2'!AB20+'SQ-3'!AB20+'SQ-4'!AB20+'SQ-5'!AB20+'SQ-6'!AB20+'SQ-7'!AB20+'SQ-8'!AB20+'SQ-9'!AB20</f>
        <v>0</v>
      </c>
      <c r="H20" s="453"/>
      <c r="T20" s="513">
        <f t="shared" si="0"/>
        <v>43967</v>
      </c>
      <c r="U20" s="512">
        <f t="shared" si="4"/>
        <v>0</v>
      </c>
      <c r="V20" s="512">
        <f t="shared" si="1"/>
        <v>0</v>
      </c>
      <c r="W20" s="514" t="e">
        <f t="shared" si="2"/>
        <v>#DIV/0!</v>
      </c>
      <c r="X20" s="514" t="e">
        <f t="shared" si="3"/>
        <v>#DIV/0!</v>
      </c>
    </row>
    <row r="21" spans="1:24">
      <c r="A21" s="435">
        <f>'SQ-1'!A21</f>
        <v>43968</v>
      </c>
      <c r="B21" s="517">
        <f>'SQ-1'!W21+'SQ-2'!W21+'SQ-3'!W21+'SQ-4'!W21+'SQ-5'!W21+'SQ-6'!W21+'SQ-7'!W21+'SQ-8'!W21+'SQ-9'!W21</f>
        <v>0</v>
      </c>
      <c r="C21" s="517">
        <f>'SQ-1'!X21+'SQ-2'!X21+'SQ-3'!X21+'SQ-4'!X21+'SQ-5'!X21+'SQ-6'!X21+'SQ-7'!X21+'SQ-8'!X21+'SQ-9'!X21</f>
        <v>0</v>
      </c>
      <c r="D21" s="517">
        <f>'SQ-1'!Y21+'SQ-2'!Y21+'SQ-3'!Y21+'SQ-4'!Y21+'SQ-5'!Y21+'SQ-6'!Y21+'SQ-7'!Y21+'SQ-8'!Y21+'SQ-9'!Y21</f>
        <v>0</v>
      </c>
      <c r="E21" s="12">
        <f>'SQ-1'!Z21+'SQ-2'!Z21+'SQ-3'!Z21+'SQ-4'!Z21+'SQ-5'!Z21+'SQ-6'!Z21+'SQ-7'!Z21+'SQ-8'!Z21+'SQ-9'!Z21</f>
        <v>0</v>
      </c>
      <c r="F21" s="12">
        <f>'SQ-1'!AA21+'SQ-2'!AA21+'SQ-3'!AA21+'SQ-4'!AA21+'SQ-5'!AA21+'SQ-6'!AA21+'SQ-7'!AA21+'SQ-8'!AA21+'SQ-9'!AA21</f>
        <v>0</v>
      </c>
      <c r="G21" s="12">
        <f>'SQ-1'!AB21+'SQ-2'!AB21+'SQ-3'!AB21+'SQ-4'!AB21+'SQ-5'!AB21+'SQ-6'!AB21+'SQ-7'!AB21+'SQ-8'!AB21+'SQ-9'!AB21</f>
        <v>0</v>
      </c>
      <c r="H21" s="453"/>
      <c r="T21" s="513">
        <f t="shared" si="0"/>
        <v>43968</v>
      </c>
      <c r="U21" s="512">
        <f t="shared" si="4"/>
        <v>0</v>
      </c>
      <c r="V21" s="512">
        <f t="shared" si="1"/>
        <v>0</v>
      </c>
      <c r="W21" s="514" t="e">
        <f t="shared" si="2"/>
        <v>#DIV/0!</v>
      </c>
      <c r="X21" s="514" t="e">
        <f t="shared" si="3"/>
        <v>#DIV/0!</v>
      </c>
    </row>
    <row r="22" spans="1:24">
      <c r="A22" s="435">
        <f>'SQ-1'!A22</f>
        <v>43969</v>
      </c>
      <c r="B22" s="517">
        <f>'SQ-1'!W22+'SQ-2'!W22+'SQ-3'!W22+'SQ-4'!W22+'SQ-5'!W22+'SQ-6'!W22+'SQ-7'!W22+'SQ-8'!W22+'SQ-9'!W22</f>
        <v>0</v>
      </c>
      <c r="C22" s="517">
        <f>'SQ-1'!X22+'SQ-2'!X22+'SQ-3'!X22+'SQ-4'!X22+'SQ-5'!X22+'SQ-6'!X22+'SQ-7'!X22+'SQ-8'!X22+'SQ-9'!X22</f>
        <v>0</v>
      </c>
      <c r="D22" s="517">
        <f>'SQ-1'!Y22+'SQ-2'!Y22+'SQ-3'!Y22+'SQ-4'!Y22+'SQ-5'!Y22+'SQ-6'!Y22+'SQ-7'!Y22+'SQ-8'!Y22+'SQ-9'!Y22</f>
        <v>0</v>
      </c>
      <c r="E22" s="12">
        <f>'SQ-1'!Z22+'SQ-2'!Z22+'SQ-3'!Z22+'SQ-4'!Z22+'SQ-5'!Z22+'SQ-6'!Z22+'SQ-7'!Z22+'SQ-8'!Z22+'SQ-9'!Z22</f>
        <v>0</v>
      </c>
      <c r="F22" s="12">
        <f>'SQ-1'!AA22+'SQ-2'!AA22+'SQ-3'!AA22+'SQ-4'!AA22+'SQ-5'!AA22+'SQ-6'!AA22+'SQ-7'!AA22+'SQ-8'!AA22+'SQ-9'!AA22</f>
        <v>0</v>
      </c>
      <c r="G22" s="12">
        <f>'SQ-1'!AB22+'SQ-2'!AB22+'SQ-3'!AB22+'SQ-4'!AB22+'SQ-5'!AB22+'SQ-6'!AB22+'SQ-7'!AB22+'SQ-8'!AB22+'SQ-9'!AB22</f>
        <v>0</v>
      </c>
      <c r="H22" s="453"/>
      <c r="T22" s="513">
        <f t="shared" si="0"/>
        <v>43969</v>
      </c>
      <c r="U22" s="512">
        <f t="shared" si="4"/>
        <v>0</v>
      </c>
      <c r="V22" s="512">
        <f t="shared" si="1"/>
        <v>0</v>
      </c>
      <c r="W22" s="514" t="e">
        <f t="shared" si="2"/>
        <v>#DIV/0!</v>
      </c>
      <c r="X22" s="514" t="e">
        <f>(V22*$X$2)/U22</f>
        <v>#DIV/0!</v>
      </c>
    </row>
    <row r="23" spans="1:24">
      <c r="A23" s="435">
        <f>'SQ-1'!A23</f>
        <v>43970</v>
      </c>
      <c r="B23" s="517">
        <f>'SQ-1'!W23+'SQ-2'!W23+'SQ-3'!W23+'SQ-4'!W23+'SQ-5'!W23+'SQ-6'!W23+'SQ-7'!W23+'SQ-8'!W23+'SQ-9'!W23</f>
        <v>0</v>
      </c>
      <c r="C23" s="517">
        <f>'SQ-1'!X23+'SQ-2'!X23+'SQ-3'!X23+'SQ-4'!X23+'SQ-5'!X23+'SQ-6'!X23+'SQ-7'!X23+'SQ-8'!X23+'SQ-9'!X23</f>
        <v>0</v>
      </c>
      <c r="D23" s="517">
        <f>'SQ-1'!Y23+'SQ-2'!Y23+'SQ-3'!Y23+'SQ-4'!Y23+'SQ-5'!Y23+'SQ-6'!Y23+'SQ-7'!Y23+'SQ-8'!Y23+'SQ-9'!Y23</f>
        <v>0</v>
      </c>
      <c r="E23" s="12">
        <f>'SQ-1'!Z23+'SQ-2'!Z23+'SQ-3'!Z23+'SQ-4'!Z23+'SQ-5'!Z23+'SQ-6'!Z23+'SQ-7'!Z23+'SQ-8'!Z23+'SQ-9'!Z23</f>
        <v>0</v>
      </c>
      <c r="F23" s="12">
        <f>'SQ-1'!AA23+'SQ-2'!AA23+'SQ-3'!AA23+'SQ-4'!AA23+'SQ-5'!AA23+'SQ-6'!AA23+'SQ-7'!AA23+'SQ-8'!AA23+'SQ-9'!AA23</f>
        <v>0</v>
      </c>
      <c r="G23" s="12">
        <f>'SQ-1'!AB23+'SQ-2'!AB23+'SQ-3'!AB23+'SQ-4'!AB23+'SQ-5'!AB23+'SQ-6'!AB23+'SQ-7'!AB23+'SQ-8'!AB23+'SQ-9'!AB23</f>
        <v>0</v>
      </c>
      <c r="H23" s="453"/>
      <c r="T23" s="513">
        <f t="shared" si="0"/>
        <v>43970</v>
      </c>
      <c r="U23" s="512">
        <f t="shared" si="4"/>
        <v>0</v>
      </c>
      <c r="V23" s="512">
        <f t="shared" si="1"/>
        <v>0</v>
      </c>
      <c r="W23" s="514" t="e">
        <f t="shared" si="2"/>
        <v>#DIV/0!</v>
      </c>
      <c r="X23" s="514" t="e">
        <f t="shared" si="3"/>
        <v>#DIV/0!</v>
      </c>
    </row>
    <row r="24" spans="1:24">
      <c r="A24" s="435">
        <f>'SQ-1'!A24</f>
        <v>43971</v>
      </c>
      <c r="B24" s="517">
        <f>'SQ-1'!W24+'SQ-2'!W24+'SQ-3'!W24+'SQ-4'!W24+'SQ-5'!W24+'SQ-6'!W24+'SQ-7'!W24+'SQ-8'!W24+'SQ-9'!W24</f>
        <v>0</v>
      </c>
      <c r="C24" s="517">
        <f>'SQ-1'!X24+'SQ-2'!X24+'SQ-3'!X24+'SQ-4'!X24+'SQ-5'!X24+'SQ-6'!X24+'SQ-7'!X24+'SQ-8'!X24+'SQ-9'!X24</f>
        <v>0</v>
      </c>
      <c r="D24" s="517">
        <f>'SQ-1'!Y24+'SQ-2'!Y24+'SQ-3'!Y24+'SQ-4'!Y24+'SQ-5'!Y24+'SQ-6'!Y24+'SQ-7'!Y24+'SQ-8'!Y24+'SQ-9'!Y24</f>
        <v>0</v>
      </c>
      <c r="E24" s="12">
        <f>'SQ-1'!Z24+'SQ-2'!Z24+'SQ-3'!Z24+'SQ-4'!Z24+'SQ-5'!Z24+'SQ-6'!Z24+'SQ-7'!Z24+'SQ-8'!Z24+'SQ-9'!Z24</f>
        <v>0</v>
      </c>
      <c r="F24" s="12">
        <f>'SQ-1'!AA24+'SQ-2'!AA24+'SQ-3'!AA24+'SQ-4'!AA24+'SQ-5'!AA24+'SQ-6'!AA24+'SQ-7'!AA24+'SQ-8'!AA24+'SQ-9'!AA24</f>
        <v>0</v>
      </c>
      <c r="G24" s="12">
        <f>'SQ-1'!AB24+'SQ-2'!AB24+'SQ-3'!AB24+'SQ-4'!AB24+'SQ-5'!AB24+'SQ-6'!AB24+'SQ-7'!AB24+'SQ-8'!AB24+'SQ-9'!AB24</f>
        <v>0</v>
      </c>
      <c r="H24" s="453"/>
      <c r="T24" s="513">
        <f t="shared" si="0"/>
        <v>43971</v>
      </c>
      <c r="U24" s="512">
        <f t="shared" si="4"/>
        <v>0</v>
      </c>
      <c r="V24" s="512">
        <f t="shared" si="1"/>
        <v>0</v>
      </c>
      <c r="W24" s="514" t="e">
        <f t="shared" si="2"/>
        <v>#DIV/0!</v>
      </c>
      <c r="X24" s="514" t="e">
        <f t="shared" si="3"/>
        <v>#DIV/0!</v>
      </c>
    </row>
    <row r="25" spans="1:24">
      <c r="A25" s="435">
        <f>'SQ-1'!A25</f>
        <v>43972</v>
      </c>
      <c r="B25" s="517">
        <f>'SQ-1'!W25+'SQ-2'!W25+'SQ-3'!W25+'SQ-4'!W25+'SQ-5'!W25+'SQ-6'!W25+'SQ-7'!W25+'SQ-8'!W25+'SQ-9'!W25</f>
        <v>0</v>
      </c>
      <c r="C25" s="517">
        <f>'SQ-1'!X25+'SQ-2'!X25+'SQ-3'!X25+'SQ-4'!X25+'SQ-5'!X25+'SQ-6'!X25+'SQ-7'!X25+'SQ-8'!X25+'SQ-9'!X25</f>
        <v>0</v>
      </c>
      <c r="D25" s="517">
        <f>'SQ-1'!Y25+'SQ-2'!Y25+'SQ-3'!Y25+'SQ-4'!Y25+'SQ-5'!Y25+'SQ-6'!Y25+'SQ-7'!Y25+'SQ-8'!Y25+'SQ-9'!Y25</f>
        <v>0</v>
      </c>
      <c r="E25" s="12">
        <f>'SQ-1'!Z25+'SQ-2'!Z25+'SQ-3'!Z25+'SQ-4'!Z25+'SQ-5'!Z25+'SQ-6'!Z25+'SQ-7'!Z25+'SQ-8'!Z25+'SQ-9'!Z25</f>
        <v>0</v>
      </c>
      <c r="F25" s="12">
        <f>'SQ-1'!AA25+'SQ-2'!AA25+'SQ-3'!AA25+'SQ-4'!AA25+'SQ-5'!AA25+'SQ-6'!AA25+'SQ-7'!AA25+'SQ-8'!AA25+'SQ-9'!AA25</f>
        <v>0</v>
      </c>
      <c r="G25" s="12">
        <f>'SQ-1'!AB25+'SQ-2'!AB25+'SQ-3'!AB25+'SQ-4'!AB25+'SQ-5'!AB25+'SQ-6'!AB25+'SQ-7'!AB25+'SQ-8'!AB25+'SQ-9'!AB25</f>
        <v>0</v>
      </c>
      <c r="H25" s="453"/>
      <c r="T25" s="513">
        <f t="shared" si="0"/>
        <v>43972</v>
      </c>
      <c r="U25" s="512">
        <f t="shared" si="4"/>
        <v>0</v>
      </c>
      <c r="V25" s="512">
        <f t="shared" si="1"/>
        <v>0</v>
      </c>
      <c r="W25" s="514" t="e">
        <f t="shared" si="2"/>
        <v>#DIV/0!</v>
      </c>
      <c r="X25" s="514" t="e">
        <f t="shared" si="3"/>
        <v>#DIV/0!</v>
      </c>
    </row>
    <row r="26" spans="1:24">
      <c r="A26" s="435">
        <f>'SQ-1'!A26</f>
        <v>43973</v>
      </c>
      <c r="B26" s="517">
        <f>'SQ-1'!W26+'SQ-2'!W26+'SQ-3'!W26+'SQ-4'!W26+'SQ-5'!W26+'SQ-6'!W26+'SQ-7'!W26+'SQ-8'!W26+'SQ-9'!W26</f>
        <v>0</v>
      </c>
      <c r="C26" s="517">
        <f>'SQ-1'!X26+'SQ-2'!X26+'SQ-3'!X26+'SQ-4'!X26+'SQ-5'!X26+'SQ-6'!X26+'SQ-7'!X26+'SQ-8'!X26+'SQ-9'!X26</f>
        <v>0</v>
      </c>
      <c r="D26" s="517">
        <f>'SQ-1'!Y26+'SQ-2'!Y26+'SQ-3'!Y26+'SQ-4'!Y26+'SQ-5'!Y26+'SQ-6'!Y26+'SQ-7'!Y26+'SQ-8'!Y26+'SQ-9'!Y26</f>
        <v>0</v>
      </c>
      <c r="E26" s="12">
        <f>'SQ-1'!Z26+'SQ-2'!Z26+'SQ-3'!Z26+'SQ-4'!Z26+'SQ-5'!Z26+'SQ-6'!Z26+'SQ-7'!Z26+'SQ-8'!Z26+'SQ-9'!Z26</f>
        <v>0</v>
      </c>
      <c r="F26" s="12">
        <f>'SQ-1'!AA26+'SQ-2'!AA26+'SQ-3'!AA26+'SQ-4'!AA26+'SQ-5'!AA26+'SQ-6'!AA26+'SQ-7'!AA26+'SQ-8'!AA26+'SQ-9'!AA26</f>
        <v>0</v>
      </c>
      <c r="G26" s="12">
        <f>'SQ-1'!AB26+'SQ-2'!AB26+'SQ-3'!AB26+'SQ-4'!AB26+'SQ-5'!AB26+'SQ-6'!AB26+'SQ-7'!AB26+'SQ-8'!AB26+'SQ-9'!AB26</f>
        <v>0</v>
      </c>
      <c r="H26" s="453"/>
      <c r="T26" s="513">
        <f t="shared" si="0"/>
        <v>43973</v>
      </c>
      <c r="U26" s="512">
        <f t="shared" si="4"/>
        <v>0</v>
      </c>
      <c r="V26" s="512">
        <f t="shared" si="1"/>
        <v>0</v>
      </c>
      <c r="W26" s="514" t="e">
        <f t="shared" si="2"/>
        <v>#DIV/0!</v>
      </c>
      <c r="X26" s="514" t="e">
        <f t="shared" si="3"/>
        <v>#DIV/0!</v>
      </c>
    </row>
    <row r="27" spans="1:24">
      <c r="A27" s="435">
        <f>'SQ-1'!A27</f>
        <v>43974</v>
      </c>
      <c r="B27" s="517">
        <f>'SQ-1'!W27+'SQ-2'!W27+'SQ-3'!W27+'SQ-4'!W27+'SQ-5'!W27+'SQ-6'!W27+'SQ-7'!W27+'SQ-8'!W27+'SQ-9'!W27</f>
        <v>0</v>
      </c>
      <c r="C27" s="517">
        <f>'SQ-1'!X27+'SQ-2'!X27+'SQ-3'!X27+'SQ-4'!X27+'SQ-5'!X27+'SQ-6'!X27+'SQ-7'!X27+'SQ-8'!X27+'SQ-9'!X27</f>
        <v>0</v>
      </c>
      <c r="D27" s="517">
        <f>'SQ-1'!Y27+'SQ-2'!Y27+'SQ-3'!Y27+'SQ-4'!Y27+'SQ-5'!Y27+'SQ-6'!Y27+'SQ-7'!Y27+'SQ-8'!Y27+'SQ-9'!Y27</f>
        <v>0</v>
      </c>
      <c r="E27" s="12">
        <f>'SQ-1'!Z27+'SQ-2'!Z27+'SQ-3'!Z27+'SQ-4'!Z27+'SQ-5'!Z27+'SQ-6'!Z27+'SQ-7'!Z27+'SQ-8'!Z27+'SQ-9'!Z27</f>
        <v>0</v>
      </c>
      <c r="F27" s="12">
        <f>'SQ-1'!AA27+'SQ-2'!AA27+'SQ-3'!AA27+'SQ-4'!AA27+'SQ-5'!AA27+'SQ-6'!AA27+'SQ-7'!AA27+'SQ-8'!AA27+'SQ-9'!AA27</f>
        <v>0</v>
      </c>
      <c r="G27" s="12">
        <f>'SQ-1'!AB27+'SQ-2'!AB27+'SQ-3'!AB27+'SQ-4'!AB27+'SQ-5'!AB27+'SQ-6'!AB27+'SQ-7'!AB27+'SQ-8'!AB27+'SQ-9'!AB27</f>
        <v>0</v>
      </c>
      <c r="H27" s="453"/>
      <c r="T27" s="513">
        <f t="shared" si="0"/>
        <v>43974</v>
      </c>
      <c r="U27" s="512">
        <f t="shared" si="4"/>
        <v>0</v>
      </c>
      <c r="V27" s="512">
        <f t="shared" si="1"/>
        <v>0</v>
      </c>
      <c r="W27" s="514" t="e">
        <f t="shared" si="2"/>
        <v>#DIV/0!</v>
      </c>
      <c r="X27" s="514" t="e">
        <f t="shared" si="3"/>
        <v>#DIV/0!</v>
      </c>
    </row>
    <row r="28" spans="1:24" ht="15.75" customHeight="1">
      <c r="A28" s="435">
        <f>'SQ-1'!A28</f>
        <v>43975</v>
      </c>
      <c r="B28" s="517">
        <f>'SQ-1'!W28+'SQ-2'!W28+'SQ-3'!W28+'SQ-4'!W28+'SQ-5'!W28+'SQ-6'!W28+'SQ-7'!W28+'SQ-8'!W28+'SQ-9'!W28</f>
        <v>0</v>
      </c>
      <c r="C28" s="517">
        <f>'SQ-1'!X28+'SQ-2'!X28+'SQ-3'!X28+'SQ-4'!X28+'SQ-5'!X28+'SQ-6'!X28+'SQ-7'!X28+'SQ-8'!X28+'SQ-9'!X28</f>
        <v>0</v>
      </c>
      <c r="D28" s="517">
        <f>'SQ-1'!Y28+'SQ-2'!Y28+'SQ-3'!Y28+'SQ-4'!Y28+'SQ-5'!Y28+'SQ-6'!Y28+'SQ-7'!Y28+'SQ-8'!Y28+'SQ-9'!Y28</f>
        <v>0</v>
      </c>
      <c r="E28" s="12">
        <f>'SQ-1'!Z28+'SQ-2'!Z28+'SQ-3'!Z28+'SQ-4'!Z28+'SQ-5'!Z28+'SQ-6'!Z28+'SQ-7'!Z28+'SQ-8'!Z28+'SQ-9'!Z28</f>
        <v>0</v>
      </c>
      <c r="F28" s="12">
        <f>'SQ-1'!AA28+'SQ-2'!AA28+'SQ-3'!AA28+'SQ-4'!AA28+'SQ-5'!AA28+'SQ-6'!AA28+'SQ-7'!AA28+'SQ-8'!AA28+'SQ-9'!AA28</f>
        <v>0</v>
      </c>
      <c r="G28" s="12">
        <f>'SQ-1'!AB28+'SQ-2'!AB28+'SQ-3'!AB28+'SQ-4'!AB28+'SQ-5'!AB28+'SQ-6'!AB28+'SQ-7'!AB28+'SQ-8'!AB28+'SQ-9'!AB28</f>
        <v>0</v>
      </c>
      <c r="H28" s="453"/>
      <c r="T28" s="513">
        <f t="shared" si="0"/>
        <v>43975</v>
      </c>
      <c r="U28" s="512">
        <f t="shared" si="4"/>
        <v>0</v>
      </c>
      <c r="V28" s="512">
        <f t="shared" si="1"/>
        <v>0</v>
      </c>
      <c r="W28" s="514" t="e">
        <f t="shared" si="2"/>
        <v>#DIV/0!</v>
      </c>
      <c r="X28" s="514" t="e">
        <f t="shared" si="3"/>
        <v>#DIV/0!</v>
      </c>
    </row>
    <row r="29" spans="1:24">
      <c r="A29" s="435">
        <f>'SQ-1'!A29</f>
        <v>43976</v>
      </c>
      <c r="B29" s="517">
        <f>'SQ-1'!W29+'SQ-2'!W29+'SQ-3'!W29+'SQ-4'!W29+'SQ-5'!W29+'SQ-6'!W29+'SQ-7'!W29+'SQ-8'!W29+'SQ-9'!W29</f>
        <v>0</v>
      </c>
      <c r="C29" s="517">
        <f>'SQ-1'!X29+'SQ-2'!X29+'SQ-3'!X29+'SQ-4'!X29+'SQ-5'!X29+'SQ-6'!X29+'SQ-7'!X29+'SQ-8'!X29+'SQ-9'!X29</f>
        <v>0</v>
      </c>
      <c r="D29" s="517">
        <f>'SQ-1'!Y29+'SQ-2'!Y29+'SQ-3'!Y29+'SQ-4'!Y29+'SQ-5'!Y29+'SQ-6'!Y29+'SQ-7'!Y29+'SQ-8'!Y29+'SQ-9'!Y29</f>
        <v>0</v>
      </c>
      <c r="E29" s="12">
        <f>'SQ-1'!Z29+'SQ-2'!Z29+'SQ-3'!Z29+'SQ-4'!Z29+'SQ-5'!Z29+'SQ-6'!Z29+'SQ-7'!Z29+'SQ-8'!Z29+'SQ-9'!Z29</f>
        <v>0</v>
      </c>
      <c r="F29" s="12">
        <f>'SQ-1'!AA29+'SQ-2'!AA29+'SQ-3'!AA29+'SQ-4'!AA29+'SQ-5'!AA29+'SQ-6'!AA29+'SQ-7'!AA29+'SQ-8'!AA29+'SQ-9'!AA29</f>
        <v>0</v>
      </c>
      <c r="G29" s="12">
        <f>'SQ-1'!AB29+'SQ-2'!AB29+'SQ-3'!AB29+'SQ-4'!AB29+'SQ-5'!AB29+'SQ-6'!AB29+'SQ-7'!AB29+'SQ-8'!AB29+'SQ-9'!AB29</f>
        <v>0</v>
      </c>
      <c r="H29" s="453"/>
      <c r="T29" s="513">
        <f t="shared" si="0"/>
        <v>43976</v>
      </c>
      <c r="U29" s="512">
        <f t="shared" si="4"/>
        <v>0</v>
      </c>
      <c r="V29" s="512">
        <f t="shared" si="1"/>
        <v>0</v>
      </c>
      <c r="W29" s="514" t="e">
        <f t="shared" si="2"/>
        <v>#DIV/0!</v>
      </c>
      <c r="X29" s="514" t="e">
        <f t="shared" si="3"/>
        <v>#DIV/0!</v>
      </c>
    </row>
    <row r="30" spans="1:24">
      <c r="A30" s="435">
        <f>'SQ-1'!A30</f>
        <v>43977</v>
      </c>
      <c r="B30" s="517">
        <f>'SQ-1'!W30+'SQ-2'!W30+'SQ-3'!W30+'SQ-4'!W30+'SQ-5'!W30+'SQ-6'!W30+'SQ-7'!W30+'SQ-8'!W30+'SQ-9'!W30</f>
        <v>0</v>
      </c>
      <c r="C30" s="517">
        <f>'SQ-1'!X30+'SQ-2'!X30+'SQ-3'!X30+'SQ-4'!X30+'SQ-5'!X30+'SQ-6'!X30+'SQ-7'!X30+'SQ-8'!X30+'SQ-9'!X30</f>
        <v>0</v>
      </c>
      <c r="D30" s="517">
        <f>'SQ-1'!Y30+'SQ-2'!Y30+'SQ-3'!Y30+'SQ-4'!Y30+'SQ-5'!Y30+'SQ-6'!Y30+'SQ-7'!Y30+'SQ-8'!Y30+'SQ-9'!Y30</f>
        <v>0</v>
      </c>
      <c r="E30" s="12">
        <f>'SQ-1'!Z30+'SQ-2'!Z30+'SQ-3'!Z30+'SQ-4'!Z30+'SQ-5'!Z30+'SQ-6'!Z30+'SQ-7'!Z30+'SQ-8'!Z30+'SQ-9'!Z30</f>
        <v>0</v>
      </c>
      <c r="F30" s="12">
        <f>'SQ-1'!AA30+'SQ-2'!AA30+'SQ-3'!AA30+'SQ-4'!AA30+'SQ-5'!AA30+'SQ-6'!AA30+'SQ-7'!AA30+'SQ-8'!AA30+'SQ-9'!AA30</f>
        <v>0</v>
      </c>
      <c r="G30" s="12">
        <f>'SQ-1'!AB30+'SQ-2'!AB30+'SQ-3'!AB30+'SQ-4'!AB30+'SQ-5'!AB30+'SQ-6'!AB30+'SQ-7'!AB30+'SQ-8'!AB30+'SQ-9'!AB30</f>
        <v>0</v>
      </c>
      <c r="H30" s="453"/>
      <c r="T30" s="513">
        <f t="shared" si="0"/>
        <v>43977</v>
      </c>
      <c r="U30" s="512">
        <f t="shared" si="4"/>
        <v>0</v>
      </c>
      <c r="V30" s="512">
        <f t="shared" si="1"/>
        <v>0</v>
      </c>
      <c r="W30" s="514" t="e">
        <f t="shared" si="2"/>
        <v>#DIV/0!</v>
      </c>
      <c r="X30" s="514" t="e">
        <f t="shared" si="3"/>
        <v>#DIV/0!</v>
      </c>
    </row>
    <row r="31" spans="1:24">
      <c r="A31" s="435">
        <f>'SQ-1'!A31</f>
        <v>43978</v>
      </c>
      <c r="B31" s="517">
        <f>'SQ-1'!W31+'SQ-2'!W31+'SQ-3'!W31+'SQ-4'!W31+'SQ-5'!W31+'SQ-6'!W31+'SQ-7'!W31+'SQ-8'!W31+'SQ-9'!W31</f>
        <v>0</v>
      </c>
      <c r="C31" s="517">
        <f>'SQ-1'!X31+'SQ-2'!X31+'SQ-3'!X31+'SQ-4'!X31+'SQ-5'!X31+'SQ-6'!X31+'SQ-7'!X31+'SQ-8'!X31+'SQ-9'!X31</f>
        <v>0</v>
      </c>
      <c r="D31" s="517">
        <f>'SQ-1'!Y31+'SQ-2'!Y31+'SQ-3'!Y31+'SQ-4'!Y31+'SQ-5'!Y31+'SQ-6'!Y31+'SQ-7'!Y31+'SQ-8'!Y31+'SQ-9'!Y31</f>
        <v>0</v>
      </c>
      <c r="E31" s="12">
        <f>'SQ-1'!Z31+'SQ-2'!Z31+'SQ-3'!Z31+'SQ-4'!Z31+'SQ-5'!Z31+'SQ-6'!Z31+'SQ-7'!Z31+'SQ-8'!Z31+'SQ-9'!Z31</f>
        <v>0</v>
      </c>
      <c r="F31" s="12">
        <f>'SQ-1'!AA31+'SQ-2'!AA31+'SQ-3'!AA31+'SQ-4'!AA31+'SQ-5'!AA31+'SQ-6'!AA31+'SQ-7'!AA31+'SQ-8'!AA31+'SQ-9'!AA31</f>
        <v>0</v>
      </c>
      <c r="G31" s="12">
        <f>'SQ-1'!AB31+'SQ-2'!AB31+'SQ-3'!AB31+'SQ-4'!AB31+'SQ-5'!AB31+'SQ-6'!AB31+'SQ-7'!AB31+'SQ-8'!AB31+'SQ-9'!AB31</f>
        <v>0</v>
      </c>
      <c r="H31" s="453"/>
      <c r="T31" s="513">
        <f t="shared" si="0"/>
        <v>43978</v>
      </c>
      <c r="U31" s="512">
        <f t="shared" si="4"/>
        <v>0</v>
      </c>
      <c r="V31" s="512">
        <f t="shared" si="1"/>
        <v>0</v>
      </c>
      <c r="W31" s="514" t="e">
        <f t="shared" si="2"/>
        <v>#DIV/0!</v>
      </c>
      <c r="X31" s="514" t="e">
        <f t="shared" si="3"/>
        <v>#DIV/0!</v>
      </c>
    </row>
    <row r="32" spans="1:24">
      <c r="A32" s="435">
        <f>'SQ-1'!A32</f>
        <v>43979</v>
      </c>
      <c r="B32" s="517">
        <f>'SQ-1'!W32+'SQ-2'!W32+'SQ-3'!W32+'SQ-4'!W32+'SQ-5'!W32+'SQ-6'!W32+'SQ-7'!W32+'SQ-8'!W32+'SQ-9'!W32</f>
        <v>0</v>
      </c>
      <c r="C32" s="517">
        <f>'SQ-1'!X32+'SQ-2'!X32+'SQ-3'!X32+'SQ-4'!X32+'SQ-5'!X32+'SQ-6'!X32+'SQ-7'!X32+'SQ-8'!X32+'SQ-9'!X32</f>
        <v>0</v>
      </c>
      <c r="D32" s="517">
        <f>'SQ-1'!Y32+'SQ-2'!Y32+'SQ-3'!Y32+'SQ-4'!Y32+'SQ-5'!Y32+'SQ-6'!Y32+'SQ-7'!Y32+'SQ-8'!Y32+'SQ-9'!Y32</f>
        <v>0</v>
      </c>
      <c r="E32" s="12">
        <f>'SQ-1'!Z32+'SQ-2'!Z32+'SQ-3'!Z32+'SQ-4'!Z32+'SQ-5'!Z32+'SQ-6'!Z32+'SQ-7'!Z32+'SQ-8'!Z32+'SQ-9'!Z32</f>
        <v>0</v>
      </c>
      <c r="F32" s="12">
        <f>'SQ-1'!AA32+'SQ-2'!AA32+'SQ-3'!AA32+'SQ-4'!AA32+'SQ-5'!AA32+'SQ-6'!AA32+'SQ-7'!AA32+'SQ-8'!AA32+'SQ-9'!AA32</f>
        <v>0</v>
      </c>
      <c r="G32" s="12">
        <f>'SQ-1'!AB32+'SQ-2'!AB32+'SQ-3'!AB32+'SQ-4'!AB32+'SQ-5'!AB32+'SQ-6'!AB32+'SQ-7'!AB32+'SQ-8'!AB32+'SQ-9'!AB32</f>
        <v>0</v>
      </c>
      <c r="H32" s="453"/>
      <c r="T32" s="513">
        <f t="shared" si="0"/>
        <v>43979</v>
      </c>
      <c r="U32" s="512">
        <f t="shared" si="4"/>
        <v>0</v>
      </c>
      <c r="V32" s="512">
        <f t="shared" si="1"/>
        <v>0</v>
      </c>
      <c r="W32" s="514" t="e">
        <f t="shared" si="2"/>
        <v>#DIV/0!</v>
      </c>
      <c r="X32" s="514" t="e">
        <f t="shared" si="3"/>
        <v>#DIV/0!</v>
      </c>
    </row>
    <row r="33" spans="1:24">
      <c r="A33" s="435">
        <f>'SQ-1'!A33</f>
        <v>43980</v>
      </c>
      <c r="B33" s="517">
        <f>'SQ-1'!W33+'SQ-2'!W33+'SQ-3'!W33+'SQ-4'!W33+'SQ-5'!W33+'SQ-6'!W33+'SQ-7'!W33+'SQ-8'!W33+'SQ-9'!W33</f>
        <v>0</v>
      </c>
      <c r="C33" s="517">
        <f>'SQ-1'!X33+'SQ-2'!X33+'SQ-3'!X33+'SQ-4'!X33+'SQ-5'!X33+'SQ-6'!X33+'SQ-7'!X33+'SQ-8'!X33+'SQ-9'!X33</f>
        <v>0</v>
      </c>
      <c r="D33" s="517">
        <f>'SQ-1'!Y33+'SQ-2'!Y33+'SQ-3'!Y33+'SQ-4'!Y33+'SQ-5'!Y33+'SQ-6'!Y33+'SQ-7'!Y33+'SQ-8'!Y33+'SQ-9'!Y33</f>
        <v>0</v>
      </c>
      <c r="E33" s="12">
        <f>'SQ-1'!Z33+'SQ-2'!Z33+'SQ-3'!Z33+'SQ-4'!Z33+'SQ-5'!Z33+'SQ-6'!Z33+'SQ-7'!Z33+'SQ-8'!Z33+'SQ-9'!Z33</f>
        <v>0</v>
      </c>
      <c r="F33" s="12">
        <f>'SQ-1'!AA33+'SQ-2'!AA33+'SQ-3'!AA33+'SQ-4'!AA33+'SQ-5'!AA33+'SQ-6'!AA33+'SQ-7'!AA33+'SQ-8'!AA33+'SQ-9'!AA33</f>
        <v>0</v>
      </c>
      <c r="G33" s="12">
        <f>'SQ-1'!AB33+'SQ-2'!AB33+'SQ-3'!AB33+'SQ-4'!AB33+'SQ-5'!AB33+'SQ-6'!AB33+'SQ-7'!AB33+'SQ-8'!AB33+'SQ-9'!AB33</f>
        <v>0</v>
      </c>
      <c r="H33" s="453"/>
      <c r="T33" s="513">
        <f t="shared" si="0"/>
        <v>43980</v>
      </c>
      <c r="U33" s="512">
        <f t="shared" si="4"/>
        <v>0</v>
      </c>
      <c r="V33" s="512">
        <f t="shared" si="1"/>
        <v>0</v>
      </c>
      <c r="W33" s="514" t="e">
        <f t="shared" si="2"/>
        <v>#DIV/0!</v>
      </c>
      <c r="X33" s="514" t="e">
        <f t="shared" si="3"/>
        <v>#DIV/0!</v>
      </c>
    </row>
    <row r="34" spans="1:24">
      <c r="A34" s="435">
        <f>'SQ-1'!A34</f>
        <v>43981</v>
      </c>
      <c r="B34" s="517">
        <f>'SQ-1'!W34+'SQ-2'!W34+'SQ-3'!W34+'SQ-4'!W34+'SQ-5'!W34+'SQ-6'!W34+'SQ-7'!W34+'SQ-8'!W34+'SQ-9'!W34</f>
        <v>0</v>
      </c>
      <c r="C34" s="517">
        <f>'SQ-1'!X34+'SQ-2'!X34+'SQ-3'!X34+'SQ-4'!X34+'SQ-5'!X34+'SQ-6'!X34+'SQ-7'!X34+'SQ-8'!X34+'SQ-9'!X34</f>
        <v>0</v>
      </c>
      <c r="D34" s="517">
        <f>'SQ-1'!Y34+'SQ-2'!Y34+'SQ-3'!Y34+'SQ-4'!Y34+'SQ-5'!Y34+'SQ-6'!Y34+'SQ-7'!Y34+'SQ-8'!Y34+'SQ-9'!Y34</f>
        <v>0</v>
      </c>
      <c r="E34" s="12">
        <f>'SQ-1'!Z34+'SQ-2'!Z34+'SQ-3'!Z34+'SQ-4'!Z34+'SQ-5'!Z34+'SQ-6'!Z34+'SQ-7'!Z34+'SQ-8'!Z34+'SQ-9'!Z34</f>
        <v>0</v>
      </c>
      <c r="F34" s="12">
        <f>'SQ-1'!AA34+'SQ-2'!AA34+'SQ-3'!AA34+'SQ-4'!AA34+'SQ-5'!AA34+'SQ-6'!AA34+'SQ-7'!AA34+'SQ-8'!AA34+'SQ-9'!AA34</f>
        <v>0</v>
      </c>
      <c r="G34" s="12">
        <f>'SQ-1'!AB34+'SQ-2'!AB34+'SQ-3'!AB34+'SQ-4'!AB34+'SQ-5'!AB34+'SQ-6'!AB34+'SQ-7'!AB34+'SQ-8'!AB34+'SQ-9'!AB34</f>
        <v>0</v>
      </c>
      <c r="H34" s="453"/>
      <c r="T34" s="513">
        <f t="shared" si="0"/>
        <v>43981</v>
      </c>
      <c r="U34" s="512">
        <f t="shared" si="4"/>
        <v>0</v>
      </c>
      <c r="V34" s="512">
        <f t="shared" si="1"/>
        <v>0</v>
      </c>
      <c r="W34" s="514" t="e">
        <f t="shared" si="2"/>
        <v>#DIV/0!</v>
      </c>
      <c r="X34" s="514" t="e">
        <f t="shared" si="3"/>
        <v>#DIV/0!</v>
      </c>
    </row>
    <row r="35" spans="1:24">
      <c r="A35" s="435">
        <f>'SQ-1'!A35</f>
        <v>43982</v>
      </c>
      <c r="B35" s="517">
        <f>'SQ-1'!W35+'SQ-2'!W35+'SQ-3'!W35+'SQ-4'!W35+'SQ-5'!W35+'SQ-6'!W35+'SQ-7'!W35+'SQ-8'!W35+'SQ-9'!W35</f>
        <v>0</v>
      </c>
      <c r="C35" s="517">
        <f>'SQ-1'!X35+'SQ-2'!X35+'SQ-3'!X35+'SQ-4'!X35+'SQ-5'!X35+'SQ-6'!X35+'SQ-7'!X35+'SQ-8'!X35+'SQ-9'!X35</f>
        <v>0</v>
      </c>
      <c r="D35" s="517">
        <f>'SQ-1'!Y35+'SQ-2'!Y35+'SQ-3'!Y35+'SQ-4'!Y35+'SQ-5'!Y35+'SQ-6'!Y35+'SQ-7'!Y35+'SQ-8'!Y35+'SQ-9'!Y35</f>
        <v>0</v>
      </c>
      <c r="E35" s="12">
        <f>'SQ-1'!Z35+'SQ-2'!Z35+'SQ-3'!Z35+'SQ-4'!Z35+'SQ-5'!Z35+'SQ-6'!Z35+'SQ-7'!Z35+'SQ-8'!Z35+'SQ-9'!Z35</f>
        <v>0</v>
      </c>
      <c r="F35" s="12">
        <f>'SQ-1'!AA35+'SQ-2'!AA35+'SQ-3'!AA35+'SQ-4'!AA35+'SQ-5'!AA35+'SQ-6'!AA35+'SQ-7'!AA35+'SQ-8'!AA35+'SQ-9'!AA35</f>
        <v>0</v>
      </c>
      <c r="G35" s="12">
        <f>'SQ-1'!AB35+'SQ-2'!AB35+'SQ-3'!AB35+'SQ-4'!AB35+'SQ-5'!AB35+'SQ-6'!AB35+'SQ-7'!AB35+'SQ-8'!AB35+'SQ-9'!AB35</f>
        <v>0</v>
      </c>
      <c r="H35" s="453"/>
      <c r="T35" s="513">
        <f t="shared" si="0"/>
        <v>43982</v>
      </c>
      <c r="U35" s="512">
        <f t="shared" si="4"/>
        <v>0</v>
      </c>
      <c r="V35" s="512">
        <f t="shared" si="1"/>
        <v>0</v>
      </c>
      <c r="W35" s="514" t="e">
        <f t="shared" si="2"/>
        <v>#DIV/0!</v>
      </c>
      <c r="X35" s="514" t="e">
        <f t="shared" si="3"/>
        <v>#DIV/0!</v>
      </c>
    </row>
    <row r="36" spans="1:24" ht="23.25" customHeight="1">
      <c r="A36" s="11" t="s">
        <v>3</v>
      </c>
      <c r="B36" s="465">
        <f t="shared" ref="B36:G36" si="5">SUM(B5:B35)</f>
        <v>0</v>
      </c>
      <c r="C36" s="13">
        <f t="shared" si="5"/>
        <v>0</v>
      </c>
      <c r="D36" s="13">
        <f t="shared" si="5"/>
        <v>0</v>
      </c>
      <c r="E36" s="13">
        <f t="shared" si="5"/>
        <v>0</v>
      </c>
      <c r="F36" s="13">
        <f t="shared" si="5"/>
        <v>0</v>
      </c>
      <c r="G36" s="13">
        <f t="shared" si="5"/>
        <v>0</v>
      </c>
      <c r="T36" s="508" t="s">
        <v>3</v>
      </c>
      <c r="U36" s="515">
        <f>SUM(U5:U35)</f>
        <v>0</v>
      </c>
      <c r="V36" s="515">
        <f t="shared" ref="V36:X36" si="6">SUM(V5:V35)</f>
        <v>0</v>
      </c>
      <c r="W36" s="515" t="e">
        <f t="shared" si="6"/>
        <v>#DIV/0!</v>
      </c>
      <c r="X36" s="515" t="e">
        <f t="shared" si="6"/>
        <v>#DIV/0!</v>
      </c>
    </row>
    <row r="37" spans="1:24" ht="23.25" customHeight="1">
      <c r="A37" s="510"/>
      <c r="B37" s="511"/>
      <c r="C37" s="511"/>
      <c r="D37" s="511"/>
      <c r="E37" s="511"/>
      <c r="F37" s="511"/>
      <c r="G37" s="511"/>
      <c r="H37" s="511"/>
      <c r="I37" s="511"/>
      <c r="J37" s="511"/>
    </row>
    <row r="38" spans="1:24">
      <c r="E38" s="509" t="s">
        <v>219</v>
      </c>
      <c r="F38" s="498" t="e">
        <f>F36/E36</f>
        <v>#DIV/0!</v>
      </c>
    </row>
    <row r="39" spans="1:24">
      <c r="E39" s="509" t="s">
        <v>2</v>
      </c>
      <c r="F39" s="461" t="e">
        <f>G36/B36</f>
        <v>#DIV/0!</v>
      </c>
      <c r="G39" s="14"/>
    </row>
    <row r="40" spans="1:24">
      <c r="E40" s="509" t="s">
        <v>220</v>
      </c>
      <c r="F40" s="512">
        <f>F36/1000</f>
        <v>0</v>
      </c>
      <c r="G40" s="14"/>
    </row>
    <row r="41" spans="1:24">
      <c r="F41" s="14"/>
    </row>
    <row r="42" spans="1:24">
      <c r="F42" s="14"/>
    </row>
    <row r="46" spans="1:24">
      <c r="G46" s="14"/>
    </row>
  </sheetData>
  <mergeCells count="13">
    <mergeCell ref="T3:T4"/>
    <mergeCell ref="U3:U4"/>
    <mergeCell ref="V3:V4"/>
    <mergeCell ref="W3:W4"/>
    <mergeCell ref="X3:X4"/>
    <mergeCell ref="A2:A4"/>
    <mergeCell ref="E3:E4"/>
    <mergeCell ref="C3:C4"/>
    <mergeCell ref="F3:F4"/>
    <mergeCell ref="G3:G4"/>
    <mergeCell ref="B3:B4"/>
    <mergeCell ref="B2:G2"/>
    <mergeCell ref="D3:D4"/>
  </mergeCell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66:AJ100"/>
  <sheetViews>
    <sheetView zoomScale="70" zoomScaleNormal="70" workbookViewId="0">
      <selection activeCell="H69" sqref="H69"/>
    </sheetView>
  </sheetViews>
  <sheetFormatPr defaultRowHeight="15"/>
  <cols>
    <col min="1" max="1" width="10.7109375" customWidth="1"/>
    <col min="2" max="2" width="11.140625" customWidth="1"/>
    <col min="3" max="3" width="9.140625" customWidth="1"/>
    <col min="4" max="4" width="13.7109375" customWidth="1"/>
    <col min="5" max="5" width="11.28515625" customWidth="1"/>
    <col min="6" max="6" width="13.140625" customWidth="1"/>
    <col min="7" max="7" width="12.42578125" customWidth="1"/>
    <col min="10" max="10" width="11.5703125" customWidth="1"/>
    <col min="11" max="11" width="10.5703125" customWidth="1"/>
    <col min="12" max="12" width="9.140625" customWidth="1"/>
    <col min="13" max="13" width="14.5703125" customWidth="1"/>
    <col min="14" max="14" width="10.85546875" customWidth="1"/>
    <col min="15" max="16" width="11.5703125" customWidth="1"/>
    <col min="19" max="19" width="11.5703125" customWidth="1"/>
    <col min="20" max="20" width="11.42578125" customWidth="1"/>
    <col min="21" max="21" width="9.140625" customWidth="1"/>
    <col min="22" max="22" width="12.5703125" customWidth="1"/>
    <col min="24" max="24" width="11.5703125" customWidth="1"/>
    <col min="25" max="25" width="12.5703125" customWidth="1"/>
    <col min="29" max="29" width="11.140625" customWidth="1"/>
    <col min="30" max="30" width="12.42578125" customWidth="1"/>
    <col min="31" max="31" width="9" customWidth="1"/>
    <col min="32" max="32" width="13.140625" customWidth="1"/>
    <col min="35" max="35" width="10.5703125" customWidth="1"/>
  </cols>
  <sheetData>
    <row r="66" spans="1:36">
      <c r="A66" s="625" t="s">
        <v>0</v>
      </c>
      <c r="B66" s="627" t="s">
        <v>211</v>
      </c>
      <c r="C66" s="627"/>
      <c r="D66" s="627"/>
      <c r="E66" s="627"/>
      <c r="F66" s="627"/>
      <c r="G66" s="627"/>
      <c r="H66" s="627"/>
      <c r="J66" s="625" t="s">
        <v>0</v>
      </c>
      <c r="K66" s="627" t="s">
        <v>208</v>
      </c>
      <c r="L66" s="627"/>
      <c r="M66" s="627"/>
      <c r="N66" s="627"/>
      <c r="O66" s="627"/>
      <c r="P66" s="627"/>
      <c r="Q66" s="627"/>
      <c r="S66" s="625" t="s">
        <v>0</v>
      </c>
      <c r="T66" s="627" t="s">
        <v>209</v>
      </c>
      <c r="U66" s="627"/>
      <c r="V66" s="627"/>
      <c r="W66" s="627"/>
      <c r="X66" s="627"/>
      <c r="Y66" s="627"/>
      <c r="Z66" s="627"/>
      <c r="AC66" s="625" t="s">
        <v>0</v>
      </c>
      <c r="AD66" s="627" t="s">
        <v>3</v>
      </c>
      <c r="AE66" s="627"/>
      <c r="AF66" s="627"/>
      <c r="AG66" s="627"/>
      <c r="AH66" s="627"/>
      <c r="AI66" s="627"/>
      <c r="AJ66" s="627"/>
    </row>
    <row r="67" spans="1:36" ht="15" customHeight="1">
      <c r="A67" s="625"/>
      <c r="B67" s="626" t="s">
        <v>206</v>
      </c>
      <c r="C67" s="626" t="s">
        <v>227</v>
      </c>
      <c r="D67" s="626" t="s">
        <v>199</v>
      </c>
      <c r="E67" s="625" t="s">
        <v>196</v>
      </c>
      <c r="F67" s="625" t="s">
        <v>1</v>
      </c>
      <c r="G67" s="626" t="s">
        <v>210</v>
      </c>
      <c r="H67" s="626" t="s">
        <v>219</v>
      </c>
      <c r="J67" s="625"/>
      <c r="K67" s="626" t="s">
        <v>206</v>
      </c>
      <c r="L67" s="626" t="s">
        <v>227</v>
      </c>
      <c r="M67" s="626" t="s">
        <v>199</v>
      </c>
      <c r="N67" s="625" t="s">
        <v>196</v>
      </c>
      <c r="O67" s="625" t="s">
        <v>1</v>
      </c>
      <c r="P67" s="626" t="s">
        <v>210</v>
      </c>
      <c r="Q67" s="626" t="s">
        <v>219</v>
      </c>
      <c r="S67" s="625"/>
      <c r="T67" s="626" t="s">
        <v>206</v>
      </c>
      <c r="U67" s="626" t="s">
        <v>227</v>
      </c>
      <c r="V67" s="626" t="s">
        <v>199</v>
      </c>
      <c r="W67" s="625" t="s">
        <v>196</v>
      </c>
      <c r="X67" s="625" t="s">
        <v>1</v>
      </c>
      <c r="Y67" s="626" t="s">
        <v>210</v>
      </c>
      <c r="Z67" s="626" t="s">
        <v>219</v>
      </c>
      <c r="AC67" s="625"/>
      <c r="AD67" s="626" t="s">
        <v>206</v>
      </c>
      <c r="AE67" s="626" t="s">
        <v>227</v>
      </c>
      <c r="AF67" s="626" t="s">
        <v>199</v>
      </c>
      <c r="AG67" s="625" t="s">
        <v>196</v>
      </c>
      <c r="AH67" s="625" t="s">
        <v>1</v>
      </c>
      <c r="AI67" s="626" t="s">
        <v>210</v>
      </c>
      <c r="AJ67" s="626" t="s">
        <v>219</v>
      </c>
    </row>
    <row r="68" spans="1:36">
      <c r="A68" s="625"/>
      <c r="B68" s="626"/>
      <c r="C68" s="626"/>
      <c r="D68" s="626"/>
      <c r="E68" s="625"/>
      <c r="F68" s="625"/>
      <c r="G68" s="626"/>
      <c r="H68" s="626"/>
      <c r="J68" s="625"/>
      <c r="K68" s="626"/>
      <c r="L68" s="626"/>
      <c r="M68" s="626"/>
      <c r="N68" s="625"/>
      <c r="O68" s="625"/>
      <c r="P68" s="626"/>
      <c r="Q68" s="626"/>
      <c r="S68" s="625"/>
      <c r="T68" s="626"/>
      <c r="U68" s="626"/>
      <c r="V68" s="626"/>
      <c r="W68" s="625"/>
      <c r="X68" s="625"/>
      <c r="Y68" s="626"/>
      <c r="Z68" s="626"/>
      <c r="AC68" s="625"/>
      <c r="AD68" s="626"/>
      <c r="AE68" s="626"/>
      <c r="AF68" s="626"/>
      <c r="AG68" s="625"/>
      <c r="AH68" s="625"/>
      <c r="AI68" s="626"/>
      <c r="AJ68" s="626"/>
    </row>
    <row r="69" spans="1:36">
      <c r="A69" s="462">
        <f>'SQ-1'!A5</f>
        <v>43952</v>
      </c>
      <c r="B69" s="461">
        <f>'SQ-1'!B5+'SQ-2'!B5+'SQ-3'!B5+'SQ-4'!B5+'SQ-5'!B5+'SQ-6'!B5+'SQ-7'!B5+'SQ-8'!B5+'SQ-9'!B5</f>
        <v>0</v>
      </c>
      <c r="C69" s="461">
        <f>'SQ-1'!D5+'SQ-2'!D5+'SQ-3'!D5+'SQ-4'!D5+'SQ-5'!D5+'SQ-6'!D5+'SQ-7'!D5+'SQ-8'!D5+'SQ-9'!D5</f>
        <v>0</v>
      </c>
      <c r="D69" s="461">
        <f>'SQ-1'!E5+'SQ-2'!E5+'SQ-3'!E5+'SQ-4'!E5+'SQ-5'!E5+'SQ-6'!E5+'SQ-7'!E5+'SQ-8'!E5+'SQ-9'!E5</f>
        <v>0</v>
      </c>
      <c r="E69" s="461">
        <f>'SQ-1'!F5+'SQ-2'!F5+'SQ-3'!F5+'SQ-4'!F5+'SQ-5'!F5+'SQ-6'!F5+'SQ-7'!F5+'SQ-8'!F5+'SQ-9'!F5</f>
        <v>0</v>
      </c>
      <c r="F69" s="461">
        <f>'SQ-1'!G5+'SQ-2'!G5+'SQ-3'!G5+'SQ-4'!G5+'SQ-5'!G5+'SQ-6'!G5+'SQ-7'!G5+'SQ-8'!G5+'SQ-9'!G5</f>
        <v>0</v>
      </c>
      <c r="G69" s="461" t="e">
        <f>F69/B69</f>
        <v>#DIV/0!</v>
      </c>
      <c r="H69" s="467" t="e">
        <f>E69/D69</f>
        <v>#DIV/0!</v>
      </c>
      <c r="J69" s="462">
        <f>'SQ-1'!A5</f>
        <v>43952</v>
      </c>
      <c r="K69" s="461">
        <f>'SQ-1'!I5+'SQ-2'!I5+'SQ-3'!I5+'SQ-4'!I5+'SQ-5'!I5+'SQ-6'!I5+'SQ-7'!I5+'SQ-8'!I5+'SQ-9'!I5</f>
        <v>0</v>
      </c>
      <c r="L69" s="461">
        <f>'SQ-1'!K5+'SQ-2'!K5+'SQ-3'!K5+'SQ-4'!K5+'SQ-5'!K5+'SQ-6'!K5+'SQ-7'!K5+'SQ-8'!K5+'SQ-9'!K5</f>
        <v>0</v>
      </c>
      <c r="M69" s="461">
        <f>'SQ-1'!L5+'SQ-2'!L5+'SQ-3'!L5+'SQ-4'!L5+'SQ-5'!L5+'SQ-6'!L5+'SQ-7'!L5+'SQ-8'!L5+'SQ-9'!L5</f>
        <v>0</v>
      </c>
      <c r="N69" s="461">
        <f>'SQ-1'!M5+'SQ-2'!M5+'SQ-3'!M5+'SQ-4'!M5+'SQ-5'!M5+'SQ-6'!M5+'SQ-7'!M5+'SQ-8'!M5+'SQ-9'!M5</f>
        <v>0</v>
      </c>
      <c r="O69" s="461">
        <f>'SQ-1'!N5+'SQ-2'!N5+'SQ-3'!N5+'SQ-4'!N5+'SQ-5'!N5+'SQ-6'!N5+'SQ-7'!N5+'SQ-8'!N5+'SQ-9'!N5</f>
        <v>0</v>
      </c>
      <c r="P69" s="461" t="e">
        <f>O69/K69</f>
        <v>#DIV/0!</v>
      </c>
      <c r="Q69" s="467" t="e">
        <f>N69/M69</f>
        <v>#DIV/0!</v>
      </c>
      <c r="S69" s="462">
        <f>'SQ-1'!A5</f>
        <v>43952</v>
      </c>
      <c r="T69" s="461">
        <f>'SQ-1'!P5+'SQ-2'!P5+'SQ-3'!P5+'SQ-4'!P5+'SQ-5'!P5+'SQ-6'!P5+'SQ-7'!P5+'SQ-8'!P5+'SQ-9'!P5</f>
        <v>0</v>
      </c>
      <c r="U69" s="461">
        <f>'SQ-1'!R5+'SQ-2'!R5+'SQ-3'!R5+'SQ-4'!R5+'SQ-5'!R5+'SQ-6'!R5+'SQ-7'!R5+'SQ-8'!R5+'SQ-9'!R5</f>
        <v>0</v>
      </c>
      <c r="V69" s="461">
        <f>'SQ-1'!S5+'SQ-2'!S5+'SQ-3'!S5+'SQ-4'!S5+'SQ-5'!S5+'SQ-6'!S5+'SQ-7'!S5+'SQ-8'!S5+'SQ-9'!S5</f>
        <v>0</v>
      </c>
      <c r="W69" s="461">
        <f>'SQ-1'!T5+'SQ-2'!T5+'SQ-3'!T5+'SQ-4'!T5+'SQ-5'!T5+'SQ-6'!T5+'SQ-7'!T5+'SQ-8'!T5+'SQ-9'!T5</f>
        <v>0</v>
      </c>
      <c r="X69" s="461">
        <f>'SQ-1'!U5+'SQ-2'!U5+'SQ-3'!U5+'SQ-4'!U5+'SQ-5'!U5+'SQ-6'!U5+'SQ-7'!U5+'SQ-8'!U5+'SQ-9'!U5</f>
        <v>0</v>
      </c>
      <c r="Y69" s="461" t="e">
        <f t="shared" ref="Y69:Y100" si="0">X69/T69</f>
        <v>#DIV/0!</v>
      </c>
      <c r="Z69" s="467" t="e">
        <f>W69/V69</f>
        <v>#DIV/0!</v>
      </c>
      <c r="AC69" s="462">
        <f>A69</f>
        <v>43952</v>
      </c>
      <c r="AD69" s="461">
        <f>B69+K69+T69</f>
        <v>0</v>
      </c>
      <c r="AE69" s="461">
        <f>C69+L69+U69</f>
        <v>0</v>
      </c>
      <c r="AF69" s="461">
        <f>D69+M69+V69</f>
        <v>0</v>
      </c>
      <c r="AG69" s="461">
        <f>E69+N69+W69</f>
        <v>0</v>
      </c>
      <c r="AH69" s="461">
        <f>F69+O69+X69</f>
        <v>0</v>
      </c>
      <c r="AI69" s="461" t="e">
        <f>AH69/AD69</f>
        <v>#DIV/0!</v>
      </c>
      <c r="AJ69" s="467" t="e">
        <f>AG69/AF69</f>
        <v>#DIV/0!</v>
      </c>
    </row>
    <row r="70" spans="1:36">
      <c r="A70" s="462">
        <f>'SQ-1'!A6</f>
        <v>43953</v>
      </c>
      <c r="B70" s="461">
        <f>'SQ-1'!B6+'SQ-2'!B6+'SQ-3'!B6+'SQ-4'!B6+'SQ-5'!B6+'SQ-6'!B6+'SQ-7'!B6+'SQ-8'!B6+'SQ-9'!B6</f>
        <v>0</v>
      </c>
      <c r="C70" s="461">
        <f>'SQ-1'!D6+'SQ-2'!D6+'SQ-3'!D6+'SQ-4'!D6+'SQ-5'!D6+'SQ-6'!D6+'SQ-7'!D6+'SQ-8'!D6+'SQ-9'!D6</f>
        <v>0</v>
      </c>
      <c r="D70" s="461">
        <f>'SQ-1'!E6+'SQ-2'!E6+'SQ-3'!E6+'SQ-4'!E6+'SQ-5'!E6+'SQ-6'!E6+'SQ-7'!E6+'SQ-8'!E6+'SQ-9'!E6</f>
        <v>0</v>
      </c>
      <c r="E70" s="461">
        <f>'SQ-1'!F6+'SQ-2'!F6+'SQ-3'!F6+'SQ-4'!F6+'SQ-5'!F6+'SQ-6'!F6+'SQ-7'!F6+'SQ-8'!F6+'SQ-9'!F6</f>
        <v>0</v>
      </c>
      <c r="F70" s="461">
        <f>'SQ-1'!G6+'SQ-2'!G6+'SQ-3'!G6+'SQ-4'!G6+'SQ-5'!G6+'SQ-6'!G6+'SQ-7'!G6+'SQ-8'!G6+'SQ-9'!G6</f>
        <v>0</v>
      </c>
      <c r="G70" s="461" t="e">
        <f t="shared" ref="G70:G100" si="1">F70/B70</f>
        <v>#DIV/0!</v>
      </c>
      <c r="H70" s="467" t="e">
        <f t="shared" ref="H70:H100" si="2">E70/D70</f>
        <v>#DIV/0!</v>
      </c>
      <c r="J70" s="462">
        <f>'SQ-1'!A6</f>
        <v>43953</v>
      </c>
      <c r="K70" s="461">
        <f>'SQ-1'!I6+'SQ-2'!I6+'SQ-3'!I6+'SQ-4'!I6+'SQ-5'!I6+'SQ-6'!I6+'SQ-7'!I6+'SQ-8'!I6+'SQ-9'!I6</f>
        <v>0</v>
      </c>
      <c r="L70" s="461">
        <f>'SQ-1'!K6+'SQ-2'!K6+'SQ-3'!K6+'SQ-4'!K6+'SQ-5'!K6+'SQ-6'!K6+'SQ-7'!K6+'SQ-8'!K6+'SQ-9'!K6</f>
        <v>0</v>
      </c>
      <c r="M70" s="461">
        <f>'SQ-1'!L6+'SQ-2'!L6+'SQ-3'!L6+'SQ-4'!L6+'SQ-5'!L6+'SQ-6'!L6+'SQ-7'!L6+'SQ-8'!L6+'SQ-9'!L6</f>
        <v>0</v>
      </c>
      <c r="N70" s="461">
        <f>'SQ-1'!M6+'SQ-2'!M6+'SQ-3'!M6+'SQ-4'!M6+'SQ-5'!M6+'SQ-6'!M6+'SQ-7'!M6+'SQ-8'!M6+'SQ-9'!M6</f>
        <v>0</v>
      </c>
      <c r="O70" s="461">
        <f>'SQ-1'!N6+'SQ-2'!N6+'SQ-3'!N6+'SQ-4'!N6+'SQ-5'!N6+'SQ-6'!N6+'SQ-7'!N6+'SQ-8'!N6+'SQ-9'!N6</f>
        <v>0</v>
      </c>
      <c r="P70" s="461" t="e">
        <f t="shared" ref="P70:P100" si="3">O70/K70</f>
        <v>#DIV/0!</v>
      </c>
      <c r="Q70" s="467" t="e">
        <f t="shared" ref="Q70:Q100" si="4">N70/M70</f>
        <v>#DIV/0!</v>
      </c>
      <c r="S70" s="462">
        <f>'SQ-1'!A6</f>
        <v>43953</v>
      </c>
      <c r="T70" s="461">
        <f>'SQ-1'!P6+'SQ-2'!P6+'SQ-3'!P6+'SQ-4'!P6+'SQ-5'!P6+'SQ-6'!P6+'SQ-7'!P6+'SQ-8'!P6+'SQ-9'!P6</f>
        <v>0</v>
      </c>
      <c r="U70" s="461">
        <f>'SQ-1'!R6+'SQ-2'!R6+'SQ-3'!R6+'SQ-4'!R6+'SQ-5'!R6+'SQ-6'!R6+'SQ-7'!R6+'SQ-8'!R6+'SQ-9'!R6</f>
        <v>0</v>
      </c>
      <c r="V70" s="461">
        <f>'SQ-1'!S6+'SQ-2'!S6+'SQ-3'!S6+'SQ-4'!S6+'SQ-5'!S6+'SQ-6'!S6+'SQ-7'!S6+'SQ-8'!S6+'SQ-9'!S6</f>
        <v>0</v>
      </c>
      <c r="W70" s="461">
        <f>'SQ-1'!T6+'SQ-2'!T6+'SQ-3'!T6+'SQ-4'!T6+'SQ-5'!T6+'SQ-6'!T6+'SQ-7'!T6+'SQ-8'!T6+'SQ-9'!T6</f>
        <v>0</v>
      </c>
      <c r="X70" s="461">
        <f>'SQ-1'!U6+'SQ-2'!U6+'SQ-3'!U6+'SQ-4'!U6+'SQ-5'!U6+'SQ-6'!U6+'SQ-7'!U6+'SQ-8'!U6+'SQ-9'!U6</f>
        <v>0</v>
      </c>
      <c r="Y70" s="461" t="e">
        <f t="shared" si="0"/>
        <v>#DIV/0!</v>
      </c>
      <c r="Z70" s="467" t="e">
        <f t="shared" ref="Z70:Z100" si="5">W70/V70</f>
        <v>#DIV/0!</v>
      </c>
      <c r="AC70" s="462">
        <f t="shared" ref="AC70:AC99" si="6">A70</f>
        <v>43953</v>
      </c>
      <c r="AD70" s="461">
        <f t="shared" ref="AD70:AD99" si="7">B70+K70+T70</f>
        <v>0</v>
      </c>
      <c r="AE70" s="461">
        <f t="shared" ref="AE70:AE99" si="8">C70+L70+U70</f>
        <v>0</v>
      </c>
      <c r="AF70" s="461">
        <f t="shared" ref="AF70:AF99" si="9">D70+M70+V70</f>
        <v>0</v>
      </c>
      <c r="AG70" s="461">
        <f t="shared" ref="AG70:AG99" si="10">E70+N70+W70</f>
        <v>0</v>
      </c>
      <c r="AH70" s="461">
        <f t="shared" ref="AH70:AH99" si="11">F70+O70+X70</f>
        <v>0</v>
      </c>
      <c r="AI70" s="461" t="e">
        <f t="shared" ref="AI70:AI99" si="12">AH70/AD70</f>
        <v>#DIV/0!</v>
      </c>
      <c r="AJ70" s="467" t="e">
        <f t="shared" ref="AJ70:AJ99" si="13">AG70/AF70</f>
        <v>#DIV/0!</v>
      </c>
    </row>
    <row r="71" spans="1:36">
      <c r="A71" s="462">
        <f>'SQ-1'!A7</f>
        <v>43954</v>
      </c>
      <c r="B71" s="461">
        <f>'SQ-1'!B7+'SQ-2'!B7+'SQ-3'!B7+'SQ-4'!B7+'SQ-5'!B7+'SQ-6'!B7+'SQ-7'!B7+'SQ-8'!B7+'SQ-9'!B7</f>
        <v>0</v>
      </c>
      <c r="C71" s="461">
        <f>'SQ-1'!D7+'SQ-2'!D7+'SQ-3'!D7+'SQ-4'!D7+'SQ-5'!D7+'SQ-6'!D7+'SQ-7'!D7+'SQ-8'!D7+'SQ-9'!D7</f>
        <v>0</v>
      </c>
      <c r="D71" s="461">
        <f>'SQ-1'!E7+'SQ-2'!E7+'SQ-3'!E7+'SQ-4'!E7+'SQ-5'!E7+'SQ-6'!E7+'SQ-7'!E7+'SQ-8'!E7+'SQ-9'!E7</f>
        <v>0</v>
      </c>
      <c r="E71" s="461">
        <f>'SQ-1'!F7+'SQ-2'!F7+'SQ-3'!F7+'SQ-4'!F7+'SQ-5'!F7+'SQ-6'!F7+'SQ-7'!F7+'SQ-8'!F7+'SQ-9'!F7</f>
        <v>0</v>
      </c>
      <c r="F71" s="461">
        <f>'SQ-1'!G7+'SQ-2'!G7+'SQ-3'!G7+'SQ-4'!G7+'SQ-5'!G7+'SQ-6'!G7+'SQ-7'!G7+'SQ-8'!G7+'SQ-9'!G7</f>
        <v>0</v>
      </c>
      <c r="G71" s="461" t="e">
        <f t="shared" si="1"/>
        <v>#DIV/0!</v>
      </c>
      <c r="H71" s="467" t="e">
        <f t="shared" si="2"/>
        <v>#DIV/0!</v>
      </c>
      <c r="J71" s="462">
        <f>'SQ-1'!A7</f>
        <v>43954</v>
      </c>
      <c r="K71" s="461">
        <f>'SQ-1'!I7+'SQ-2'!I7+'SQ-3'!I7+'SQ-4'!I7+'SQ-5'!I7+'SQ-6'!I7+'SQ-7'!I7+'SQ-8'!I7+'SQ-9'!I7</f>
        <v>0</v>
      </c>
      <c r="L71" s="461">
        <f>'SQ-1'!K7+'SQ-2'!K7+'SQ-3'!K7+'SQ-4'!K7+'SQ-5'!K7+'SQ-6'!K7+'SQ-7'!K7+'SQ-8'!K7+'SQ-9'!K7</f>
        <v>0</v>
      </c>
      <c r="M71" s="461">
        <f>'SQ-1'!L7+'SQ-2'!L7+'SQ-3'!L7+'SQ-4'!L7+'SQ-5'!L7+'SQ-6'!L7+'SQ-7'!L7+'SQ-8'!L7+'SQ-9'!L7</f>
        <v>0</v>
      </c>
      <c r="N71" s="461">
        <f>'SQ-1'!M7+'SQ-2'!M7+'SQ-3'!M7+'SQ-4'!M7+'SQ-5'!M7+'SQ-6'!M7+'SQ-7'!M7+'SQ-8'!M7+'SQ-9'!M7</f>
        <v>0</v>
      </c>
      <c r="O71" s="461">
        <f>'SQ-1'!N7+'SQ-2'!N7+'SQ-3'!N7+'SQ-4'!N7+'SQ-5'!N7+'SQ-6'!N7+'SQ-7'!N7+'SQ-8'!N7+'SQ-9'!N7</f>
        <v>0</v>
      </c>
      <c r="P71" s="461" t="e">
        <f t="shared" si="3"/>
        <v>#DIV/0!</v>
      </c>
      <c r="Q71" s="467" t="e">
        <f t="shared" si="4"/>
        <v>#DIV/0!</v>
      </c>
      <c r="S71" s="462">
        <f>'SQ-1'!A7</f>
        <v>43954</v>
      </c>
      <c r="T71" s="461">
        <f>'SQ-1'!P7+'SQ-2'!P7+'SQ-3'!P7+'SQ-4'!P7+'SQ-5'!P7+'SQ-6'!P7+'SQ-7'!P7+'SQ-8'!P7+'SQ-9'!P7</f>
        <v>0</v>
      </c>
      <c r="U71" s="461">
        <f>'SQ-1'!R7+'SQ-2'!R7+'SQ-3'!R7+'SQ-4'!R7+'SQ-5'!R7+'SQ-6'!R7+'SQ-7'!R7+'SQ-8'!R7+'SQ-9'!R7</f>
        <v>0</v>
      </c>
      <c r="V71" s="461">
        <f>'SQ-1'!S7+'SQ-2'!S7+'SQ-3'!S7+'SQ-4'!S7+'SQ-5'!S7+'SQ-6'!S7+'SQ-7'!S7+'SQ-8'!S7+'SQ-9'!S7</f>
        <v>0</v>
      </c>
      <c r="W71" s="461">
        <f>'SQ-1'!T7+'SQ-2'!T7+'SQ-3'!T7+'SQ-4'!T7+'SQ-5'!T7+'SQ-6'!T7+'SQ-7'!T7+'SQ-8'!T7+'SQ-9'!T7</f>
        <v>0</v>
      </c>
      <c r="X71" s="461">
        <f>'SQ-1'!U7+'SQ-2'!U7+'SQ-3'!U7+'SQ-4'!U7+'SQ-5'!U7+'SQ-6'!U7+'SQ-7'!U7+'SQ-8'!U7+'SQ-9'!U7</f>
        <v>0</v>
      </c>
      <c r="Y71" s="461" t="e">
        <f t="shared" si="0"/>
        <v>#DIV/0!</v>
      </c>
      <c r="Z71" s="467" t="e">
        <f t="shared" si="5"/>
        <v>#DIV/0!</v>
      </c>
      <c r="AC71" s="462">
        <f t="shared" si="6"/>
        <v>43954</v>
      </c>
      <c r="AD71" s="461">
        <f t="shared" si="7"/>
        <v>0</v>
      </c>
      <c r="AE71" s="461">
        <f t="shared" si="8"/>
        <v>0</v>
      </c>
      <c r="AF71" s="461">
        <f t="shared" si="9"/>
        <v>0</v>
      </c>
      <c r="AG71" s="461">
        <f t="shared" si="10"/>
        <v>0</v>
      </c>
      <c r="AH71" s="461">
        <f t="shared" si="11"/>
        <v>0</v>
      </c>
      <c r="AI71" s="461" t="e">
        <f t="shared" si="12"/>
        <v>#DIV/0!</v>
      </c>
      <c r="AJ71" s="467" t="e">
        <f t="shared" si="13"/>
        <v>#DIV/0!</v>
      </c>
    </row>
    <row r="72" spans="1:36">
      <c r="A72" s="462">
        <f>'SQ-1'!A8</f>
        <v>43955</v>
      </c>
      <c r="B72" s="461">
        <f>'SQ-1'!B8+'SQ-2'!B8+'SQ-3'!B8+'SQ-4'!B8+'SQ-5'!B8+'SQ-6'!B8+'SQ-7'!B8+'SQ-8'!B8+'SQ-9'!B8</f>
        <v>0</v>
      </c>
      <c r="C72" s="461">
        <f>'SQ-1'!D8+'SQ-2'!D8+'SQ-3'!D8+'SQ-4'!D8+'SQ-5'!D8+'SQ-6'!D8+'SQ-7'!D8+'SQ-8'!D8+'SQ-9'!D8</f>
        <v>0</v>
      </c>
      <c r="D72" s="461">
        <f>'SQ-1'!E8+'SQ-2'!E8+'SQ-3'!E8+'SQ-4'!E8+'SQ-5'!E8+'SQ-6'!E8+'SQ-7'!E8+'SQ-8'!E8+'SQ-9'!E8</f>
        <v>0</v>
      </c>
      <c r="E72" s="461">
        <f>'SQ-1'!F8+'SQ-2'!F8+'SQ-3'!F8+'SQ-4'!F8+'SQ-5'!F8+'SQ-6'!F8+'SQ-7'!F8+'SQ-8'!F8+'SQ-9'!F8</f>
        <v>0</v>
      </c>
      <c r="F72" s="461">
        <f>'SQ-1'!G8+'SQ-2'!G8+'SQ-3'!G8+'SQ-4'!G8+'SQ-5'!G8+'SQ-6'!G8+'SQ-7'!G8+'SQ-8'!G8+'SQ-9'!G8</f>
        <v>0</v>
      </c>
      <c r="G72" s="461" t="e">
        <f t="shared" si="1"/>
        <v>#DIV/0!</v>
      </c>
      <c r="H72" s="467" t="e">
        <f t="shared" si="2"/>
        <v>#DIV/0!</v>
      </c>
      <c r="J72" s="462">
        <f>'SQ-1'!A8</f>
        <v>43955</v>
      </c>
      <c r="K72" s="461">
        <f>'SQ-1'!I8+'SQ-2'!I8+'SQ-3'!I8+'SQ-4'!I8+'SQ-5'!I8+'SQ-6'!I8+'SQ-7'!I8+'SQ-8'!I8+'SQ-9'!I8</f>
        <v>0</v>
      </c>
      <c r="L72" s="461">
        <f>'SQ-1'!K8+'SQ-2'!K8+'SQ-3'!K8+'SQ-4'!K8+'SQ-5'!K8+'SQ-6'!K8+'SQ-7'!K8+'SQ-8'!K8+'SQ-9'!K8</f>
        <v>0</v>
      </c>
      <c r="M72" s="461">
        <f>'SQ-1'!L8+'SQ-2'!L8+'SQ-3'!L8+'SQ-4'!L8+'SQ-5'!L8+'SQ-6'!L8+'SQ-7'!L8+'SQ-8'!L8+'SQ-9'!L8</f>
        <v>0</v>
      </c>
      <c r="N72" s="461">
        <f>'SQ-1'!M8+'SQ-2'!M8+'SQ-3'!M8+'SQ-4'!M8+'SQ-5'!M8+'SQ-6'!M8+'SQ-7'!M8+'SQ-8'!M8+'SQ-9'!M8</f>
        <v>0</v>
      </c>
      <c r="O72" s="461">
        <f>'SQ-1'!N8+'SQ-2'!N8+'SQ-3'!N8+'SQ-4'!N8+'SQ-5'!N8+'SQ-6'!N8+'SQ-7'!N8+'SQ-8'!N8+'SQ-9'!N8</f>
        <v>0</v>
      </c>
      <c r="P72" s="461" t="e">
        <f t="shared" si="3"/>
        <v>#DIV/0!</v>
      </c>
      <c r="Q72" s="467" t="e">
        <f>N72/M72</f>
        <v>#DIV/0!</v>
      </c>
      <c r="S72" s="462">
        <f>'SQ-1'!A8</f>
        <v>43955</v>
      </c>
      <c r="T72" s="461">
        <f>'SQ-1'!P8+'SQ-2'!P8+'SQ-3'!P8+'SQ-4'!P8+'SQ-5'!P8+'SQ-6'!P8+'SQ-7'!P8+'SQ-8'!P8+'SQ-9'!P8</f>
        <v>0</v>
      </c>
      <c r="U72" s="461">
        <f>'SQ-1'!R8+'SQ-2'!R8+'SQ-3'!R8+'SQ-4'!R8+'SQ-5'!R8+'SQ-6'!R8+'SQ-7'!R8+'SQ-8'!R8+'SQ-9'!R8</f>
        <v>0</v>
      </c>
      <c r="V72" s="461">
        <f>'SQ-1'!S8+'SQ-2'!S8+'SQ-3'!S8+'SQ-4'!S8+'SQ-5'!S8+'SQ-6'!S8+'SQ-7'!S8+'SQ-8'!S8+'SQ-9'!S8</f>
        <v>0</v>
      </c>
      <c r="W72" s="461">
        <f>'SQ-1'!T8+'SQ-2'!T8+'SQ-3'!T8+'SQ-4'!T8+'SQ-5'!T8+'SQ-6'!T8+'SQ-7'!T8+'SQ-8'!T8+'SQ-9'!T8</f>
        <v>0</v>
      </c>
      <c r="X72" s="461">
        <f>'SQ-1'!U8+'SQ-2'!U8+'SQ-3'!U8+'SQ-4'!U8+'SQ-5'!U8+'SQ-6'!U8+'SQ-7'!U8+'SQ-8'!U8+'SQ-9'!U8</f>
        <v>0</v>
      </c>
      <c r="Y72" s="461" t="e">
        <f t="shared" si="0"/>
        <v>#DIV/0!</v>
      </c>
      <c r="Z72" s="467" t="e">
        <f t="shared" si="5"/>
        <v>#DIV/0!</v>
      </c>
      <c r="AC72" s="462">
        <f t="shared" si="6"/>
        <v>43955</v>
      </c>
      <c r="AD72" s="461">
        <f t="shared" si="7"/>
        <v>0</v>
      </c>
      <c r="AE72" s="461">
        <f t="shared" si="8"/>
        <v>0</v>
      </c>
      <c r="AF72" s="461">
        <f t="shared" si="9"/>
        <v>0</v>
      </c>
      <c r="AG72" s="461">
        <f t="shared" si="10"/>
        <v>0</v>
      </c>
      <c r="AH72" s="461">
        <f t="shared" si="11"/>
        <v>0</v>
      </c>
      <c r="AI72" s="461" t="e">
        <f t="shared" si="12"/>
        <v>#DIV/0!</v>
      </c>
      <c r="AJ72" s="467" t="e">
        <f t="shared" si="13"/>
        <v>#DIV/0!</v>
      </c>
    </row>
    <row r="73" spans="1:36">
      <c r="A73" s="462">
        <f>'SQ-1'!A9</f>
        <v>43956</v>
      </c>
      <c r="B73" s="461">
        <f>'SQ-1'!B9+'SQ-2'!B9+'SQ-3'!B9+'SQ-4'!B9+'SQ-5'!B9+'SQ-6'!B9+'SQ-7'!B9+'SQ-8'!B9+'SQ-9'!B9</f>
        <v>0</v>
      </c>
      <c r="C73" s="461">
        <f>'SQ-1'!D9+'SQ-2'!D9+'SQ-3'!D9+'SQ-4'!D9+'SQ-5'!D9+'SQ-6'!D9+'SQ-7'!D9+'SQ-8'!D9+'SQ-9'!D9</f>
        <v>0</v>
      </c>
      <c r="D73" s="461">
        <f>'SQ-1'!E9+'SQ-2'!E9+'SQ-3'!E9+'SQ-4'!E9+'SQ-5'!E9+'SQ-6'!E9+'SQ-7'!E9+'SQ-8'!E9+'SQ-9'!E9</f>
        <v>0</v>
      </c>
      <c r="E73" s="461">
        <f>'SQ-1'!F9+'SQ-2'!F9+'SQ-3'!F9+'SQ-4'!F9+'SQ-5'!F9+'SQ-6'!F9+'SQ-7'!F9+'SQ-8'!F9+'SQ-9'!F9</f>
        <v>0</v>
      </c>
      <c r="F73" s="461">
        <f>'SQ-1'!G9+'SQ-2'!G9+'SQ-3'!G9+'SQ-4'!G9+'SQ-5'!G9+'SQ-6'!G9+'SQ-7'!G9+'SQ-8'!G9+'SQ-9'!G9</f>
        <v>0</v>
      </c>
      <c r="G73" s="461" t="e">
        <f t="shared" si="1"/>
        <v>#DIV/0!</v>
      </c>
      <c r="H73" s="467" t="e">
        <f t="shared" si="2"/>
        <v>#DIV/0!</v>
      </c>
      <c r="J73" s="462">
        <f>'SQ-1'!A9</f>
        <v>43956</v>
      </c>
      <c r="K73" s="461">
        <f>'SQ-1'!I9+'SQ-2'!I9+'SQ-3'!I9+'SQ-4'!I9+'SQ-5'!I9+'SQ-6'!I9+'SQ-7'!I9+'SQ-8'!I9+'SQ-9'!I9</f>
        <v>0</v>
      </c>
      <c r="L73" s="461">
        <f>'SQ-1'!K9+'SQ-2'!K9+'SQ-3'!K9+'SQ-4'!K9+'SQ-5'!K9+'SQ-6'!K9+'SQ-7'!K9+'SQ-8'!K9+'SQ-9'!K9</f>
        <v>0</v>
      </c>
      <c r="M73" s="461">
        <f>'SQ-1'!L9+'SQ-2'!L9+'SQ-3'!L9+'SQ-4'!L9+'SQ-5'!L9+'SQ-6'!L9+'SQ-7'!L9+'SQ-8'!L9+'SQ-9'!L9</f>
        <v>0</v>
      </c>
      <c r="N73" s="461">
        <f>'SQ-1'!M9+'SQ-2'!M9+'SQ-3'!M9+'SQ-4'!M9+'SQ-5'!M9+'SQ-6'!M9+'SQ-7'!M9+'SQ-8'!M9+'SQ-9'!M9</f>
        <v>0</v>
      </c>
      <c r="O73" s="461">
        <f>'SQ-1'!N9+'SQ-2'!N9+'SQ-3'!N9+'SQ-4'!N9+'SQ-5'!N9+'SQ-6'!N9+'SQ-7'!N9+'SQ-8'!N9+'SQ-9'!N9</f>
        <v>0</v>
      </c>
      <c r="P73" s="461" t="e">
        <f t="shared" si="3"/>
        <v>#DIV/0!</v>
      </c>
      <c r="Q73" s="467" t="e">
        <f t="shared" si="4"/>
        <v>#DIV/0!</v>
      </c>
      <c r="S73" s="462">
        <f>'SQ-1'!A9</f>
        <v>43956</v>
      </c>
      <c r="T73" s="461">
        <f>'SQ-1'!P9+'SQ-2'!P9+'SQ-3'!P9+'SQ-4'!P9+'SQ-5'!P9+'SQ-6'!P9+'SQ-7'!P9+'SQ-8'!P9+'SQ-9'!P9</f>
        <v>0</v>
      </c>
      <c r="U73" s="461">
        <f>'SQ-1'!R9+'SQ-2'!R9+'SQ-3'!R9+'SQ-4'!R9+'SQ-5'!R9+'SQ-6'!R9+'SQ-7'!R9+'SQ-8'!R9+'SQ-9'!R9</f>
        <v>0</v>
      </c>
      <c r="V73" s="461">
        <f>'SQ-1'!S9+'SQ-2'!S9+'SQ-3'!S9+'SQ-4'!S9+'SQ-5'!S9+'SQ-6'!S9+'SQ-7'!S9+'SQ-8'!S9+'SQ-9'!S9</f>
        <v>0</v>
      </c>
      <c r="W73" s="461">
        <f>'SQ-1'!T9+'SQ-2'!T9+'SQ-3'!T9+'SQ-4'!T9+'SQ-5'!T9+'SQ-6'!T9+'SQ-7'!T9+'SQ-8'!T9+'SQ-9'!T9</f>
        <v>0</v>
      </c>
      <c r="X73" s="461">
        <f>'SQ-1'!U9+'SQ-2'!U9+'SQ-3'!U9+'SQ-4'!U9+'SQ-5'!U9+'SQ-6'!U9+'SQ-7'!U9+'SQ-8'!U9+'SQ-9'!U9</f>
        <v>0</v>
      </c>
      <c r="Y73" s="461" t="e">
        <f t="shared" si="0"/>
        <v>#DIV/0!</v>
      </c>
      <c r="Z73" s="467" t="e">
        <f t="shared" si="5"/>
        <v>#DIV/0!</v>
      </c>
      <c r="AC73" s="462">
        <f t="shared" si="6"/>
        <v>43956</v>
      </c>
      <c r="AD73" s="461">
        <f t="shared" si="7"/>
        <v>0</v>
      </c>
      <c r="AE73" s="461">
        <f t="shared" si="8"/>
        <v>0</v>
      </c>
      <c r="AF73" s="461">
        <f t="shared" si="9"/>
        <v>0</v>
      </c>
      <c r="AG73" s="461">
        <f t="shared" si="10"/>
        <v>0</v>
      </c>
      <c r="AH73" s="461">
        <f t="shared" si="11"/>
        <v>0</v>
      </c>
      <c r="AI73" s="461" t="e">
        <f t="shared" si="12"/>
        <v>#DIV/0!</v>
      </c>
      <c r="AJ73" s="467" t="e">
        <f t="shared" si="13"/>
        <v>#DIV/0!</v>
      </c>
    </row>
    <row r="74" spans="1:36">
      <c r="A74" s="462">
        <f>'SQ-1'!A10</f>
        <v>43957</v>
      </c>
      <c r="B74" s="461">
        <f>'SQ-1'!B10+'SQ-2'!B10+'SQ-3'!B10+'SQ-4'!B10+'SQ-5'!B10+'SQ-6'!B10+'SQ-7'!B10+'SQ-8'!B10+'SQ-9'!B10</f>
        <v>0</v>
      </c>
      <c r="C74" s="461">
        <f>'SQ-1'!D10+'SQ-2'!D10+'SQ-3'!D10+'SQ-4'!D10+'SQ-5'!D10+'SQ-6'!D10+'SQ-7'!D10+'SQ-8'!D10+'SQ-9'!D10</f>
        <v>0</v>
      </c>
      <c r="D74" s="461">
        <f>'SQ-1'!E10+'SQ-2'!E10+'SQ-3'!E10+'SQ-4'!E10+'SQ-5'!E10+'SQ-6'!E10+'SQ-7'!E10+'SQ-8'!E10+'SQ-9'!E10</f>
        <v>0</v>
      </c>
      <c r="E74" s="461">
        <f>'SQ-1'!F10+'SQ-2'!F10+'SQ-3'!F10+'SQ-4'!F10+'SQ-5'!F10+'SQ-6'!F10+'SQ-7'!F10+'SQ-8'!F10+'SQ-9'!F10</f>
        <v>0</v>
      </c>
      <c r="F74" s="461">
        <f>'SQ-1'!G10+'SQ-2'!G10+'SQ-3'!G10+'SQ-4'!G10+'SQ-5'!G10+'SQ-6'!G10+'SQ-7'!G10+'SQ-8'!G10+'SQ-9'!G10</f>
        <v>0</v>
      </c>
      <c r="G74" s="461" t="e">
        <f t="shared" si="1"/>
        <v>#DIV/0!</v>
      </c>
      <c r="H74" s="467" t="e">
        <f t="shared" si="2"/>
        <v>#DIV/0!</v>
      </c>
      <c r="J74" s="462">
        <f>'SQ-1'!A10</f>
        <v>43957</v>
      </c>
      <c r="K74" s="461">
        <f>'SQ-1'!I10+'SQ-2'!I10+'SQ-3'!I10+'SQ-4'!I10+'SQ-5'!I10+'SQ-6'!I10+'SQ-7'!I10+'SQ-8'!I10+'SQ-9'!I10</f>
        <v>0</v>
      </c>
      <c r="L74" s="461">
        <f>'SQ-1'!K10+'SQ-2'!K10+'SQ-3'!K10+'SQ-4'!K10+'SQ-5'!K10+'SQ-6'!K10+'SQ-7'!K10+'SQ-8'!K10+'SQ-9'!K10</f>
        <v>0</v>
      </c>
      <c r="M74" s="461">
        <f>'SQ-1'!L10+'SQ-2'!L10+'SQ-3'!L10+'SQ-4'!L10+'SQ-5'!L10+'SQ-6'!L10+'SQ-7'!L10+'SQ-8'!L10+'SQ-9'!L10</f>
        <v>0</v>
      </c>
      <c r="N74" s="461">
        <f>'SQ-1'!M10+'SQ-2'!M10+'SQ-3'!M10+'SQ-4'!M10+'SQ-5'!M10+'SQ-6'!M10+'SQ-7'!M10+'SQ-8'!M10+'SQ-9'!M10</f>
        <v>0</v>
      </c>
      <c r="O74" s="461">
        <f>'SQ-1'!N10+'SQ-2'!N10+'SQ-3'!N10+'SQ-4'!N10+'SQ-5'!N10+'SQ-6'!N10+'SQ-7'!N10+'SQ-8'!N10+'SQ-9'!N10</f>
        <v>0</v>
      </c>
      <c r="P74" s="461" t="e">
        <f t="shared" si="3"/>
        <v>#DIV/0!</v>
      </c>
      <c r="Q74" s="467" t="e">
        <f t="shared" si="4"/>
        <v>#DIV/0!</v>
      </c>
      <c r="S74" s="462">
        <f>'SQ-1'!A10</f>
        <v>43957</v>
      </c>
      <c r="T74" s="461">
        <f>'SQ-1'!P10+'SQ-2'!P10+'SQ-3'!P10+'SQ-4'!P10+'SQ-5'!P10+'SQ-6'!P10+'SQ-7'!P10+'SQ-8'!P10+'SQ-9'!P10</f>
        <v>0</v>
      </c>
      <c r="U74" s="461">
        <f>'SQ-1'!R10+'SQ-2'!R10+'SQ-3'!R10+'SQ-4'!R10+'SQ-5'!R10+'SQ-6'!R10+'SQ-7'!R10+'SQ-8'!R10+'SQ-9'!R10</f>
        <v>0</v>
      </c>
      <c r="V74" s="461">
        <f>'SQ-1'!S10+'SQ-2'!S10+'SQ-3'!S10+'SQ-4'!S10+'SQ-5'!S10+'SQ-6'!S10+'SQ-7'!S10+'SQ-8'!S10+'SQ-9'!S10</f>
        <v>0</v>
      </c>
      <c r="W74" s="461">
        <f>'SQ-1'!T10+'SQ-2'!T10+'SQ-3'!T10+'SQ-4'!T10+'SQ-5'!T10+'SQ-6'!T10+'SQ-7'!T10+'SQ-8'!T10+'SQ-9'!T10</f>
        <v>0</v>
      </c>
      <c r="X74" s="461">
        <f>'SQ-1'!U10+'SQ-2'!U10+'SQ-3'!U10+'SQ-4'!U10+'SQ-5'!U10+'SQ-6'!U10+'SQ-7'!U10+'SQ-8'!U10+'SQ-9'!U10</f>
        <v>0</v>
      </c>
      <c r="Y74" s="461" t="e">
        <f t="shared" si="0"/>
        <v>#DIV/0!</v>
      </c>
      <c r="Z74" s="467" t="e">
        <f t="shared" si="5"/>
        <v>#DIV/0!</v>
      </c>
      <c r="AC74" s="462">
        <f t="shared" si="6"/>
        <v>43957</v>
      </c>
      <c r="AD74" s="461">
        <f t="shared" si="7"/>
        <v>0</v>
      </c>
      <c r="AE74" s="461">
        <f t="shared" si="8"/>
        <v>0</v>
      </c>
      <c r="AF74" s="461">
        <f t="shared" si="9"/>
        <v>0</v>
      </c>
      <c r="AG74" s="461">
        <f t="shared" si="10"/>
        <v>0</v>
      </c>
      <c r="AH74" s="461">
        <f t="shared" si="11"/>
        <v>0</v>
      </c>
      <c r="AI74" s="461" t="e">
        <f t="shared" si="12"/>
        <v>#DIV/0!</v>
      </c>
      <c r="AJ74" s="467" t="e">
        <f t="shared" si="13"/>
        <v>#DIV/0!</v>
      </c>
    </row>
    <row r="75" spans="1:36">
      <c r="A75" s="462">
        <f>'SQ-1'!A11</f>
        <v>43958</v>
      </c>
      <c r="B75" s="461">
        <f>'SQ-1'!B11+'SQ-2'!B11+'SQ-3'!B11+'SQ-4'!B11+'SQ-5'!B11+'SQ-6'!B11+'SQ-7'!B11+'SQ-8'!B11+'SQ-9'!B11</f>
        <v>0</v>
      </c>
      <c r="C75" s="461">
        <f>'SQ-1'!D11+'SQ-2'!D11+'SQ-3'!D11+'SQ-4'!D11+'SQ-5'!D11+'SQ-6'!D11+'SQ-7'!D11+'SQ-8'!D11+'SQ-9'!D11</f>
        <v>0</v>
      </c>
      <c r="D75" s="461">
        <f>'SQ-1'!E11+'SQ-2'!E11+'SQ-3'!E11+'SQ-4'!E11+'SQ-5'!E11+'SQ-6'!E11+'SQ-7'!E11+'SQ-8'!E11+'SQ-9'!E11</f>
        <v>0</v>
      </c>
      <c r="E75" s="461">
        <f>'SQ-1'!F11+'SQ-2'!F11+'SQ-3'!F11+'SQ-4'!F11+'SQ-5'!F11+'SQ-6'!F11+'SQ-7'!F11+'SQ-8'!F11+'SQ-9'!F11</f>
        <v>0</v>
      </c>
      <c r="F75" s="461">
        <f>'SQ-1'!G11+'SQ-2'!G11+'SQ-3'!G11+'SQ-4'!G11+'SQ-5'!G11+'SQ-6'!G11+'SQ-7'!G11+'SQ-8'!G11+'SQ-9'!G11</f>
        <v>0</v>
      </c>
      <c r="G75" s="461" t="e">
        <f t="shared" si="1"/>
        <v>#DIV/0!</v>
      </c>
      <c r="H75" s="467" t="e">
        <f t="shared" si="2"/>
        <v>#DIV/0!</v>
      </c>
      <c r="J75" s="462">
        <f>'SQ-1'!A11</f>
        <v>43958</v>
      </c>
      <c r="K75" s="461">
        <f>'SQ-1'!I11+'SQ-2'!I11+'SQ-3'!I11+'SQ-4'!I11+'SQ-5'!I11+'SQ-6'!I11+'SQ-7'!I11+'SQ-8'!I11+'SQ-9'!I11</f>
        <v>0</v>
      </c>
      <c r="L75" s="461">
        <f>'SQ-1'!K11+'SQ-2'!K11+'SQ-3'!K11+'SQ-4'!K11+'SQ-5'!K11+'SQ-6'!K11+'SQ-7'!K11+'SQ-8'!K11+'SQ-9'!K11</f>
        <v>0</v>
      </c>
      <c r="M75" s="461">
        <f>'SQ-1'!L11+'SQ-2'!L11+'SQ-3'!L11+'SQ-4'!L11+'SQ-5'!L11+'SQ-6'!L11+'SQ-7'!L11+'SQ-8'!L11+'SQ-9'!L11</f>
        <v>0</v>
      </c>
      <c r="N75" s="461">
        <f>'SQ-1'!M11+'SQ-2'!M11+'SQ-3'!M11+'SQ-4'!M11+'SQ-5'!M11+'SQ-6'!M11+'SQ-7'!M11+'SQ-8'!M11+'SQ-9'!M11</f>
        <v>0</v>
      </c>
      <c r="O75" s="461">
        <f>'SQ-1'!N11+'SQ-2'!N11+'SQ-3'!N11+'SQ-4'!N11+'SQ-5'!N11+'SQ-6'!N11+'SQ-7'!N11+'SQ-8'!N11+'SQ-9'!N11</f>
        <v>0</v>
      </c>
      <c r="P75" s="461" t="e">
        <f t="shared" si="3"/>
        <v>#DIV/0!</v>
      </c>
      <c r="Q75" s="467" t="e">
        <f t="shared" si="4"/>
        <v>#DIV/0!</v>
      </c>
      <c r="S75" s="462">
        <f>'SQ-1'!A11</f>
        <v>43958</v>
      </c>
      <c r="T75" s="461">
        <f>'SQ-1'!P11+'SQ-2'!P11+'SQ-3'!P11+'SQ-4'!P11+'SQ-5'!P11+'SQ-6'!P11+'SQ-7'!P11+'SQ-8'!P11+'SQ-9'!P11</f>
        <v>0</v>
      </c>
      <c r="U75" s="461">
        <f>'SQ-1'!R11+'SQ-2'!R11+'SQ-3'!R11+'SQ-4'!R11+'SQ-5'!R11+'SQ-6'!R11+'SQ-7'!R11+'SQ-8'!R11+'SQ-9'!R11</f>
        <v>0</v>
      </c>
      <c r="V75" s="461">
        <f>'SQ-1'!S11+'SQ-2'!S11+'SQ-3'!S11+'SQ-4'!S11+'SQ-5'!S11+'SQ-6'!S11+'SQ-7'!S11+'SQ-8'!S11+'SQ-9'!S11</f>
        <v>0</v>
      </c>
      <c r="W75" s="461">
        <f>'SQ-1'!T11+'SQ-2'!T11+'SQ-3'!T11+'SQ-4'!T11+'SQ-5'!T11+'SQ-6'!T11+'SQ-7'!T11+'SQ-8'!T11+'SQ-9'!T11</f>
        <v>0</v>
      </c>
      <c r="X75" s="461">
        <f>'SQ-1'!U11+'SQ-2'!U11+'SQ-3'!U11+'SQ-4'!U11+'SQ-5'!U11+'SQ-6'!U11+'SQ-7'!U11+'SQ-8'!U11+'SQ-9'!U11</f>
        <v>0</v>
      </c>
      <c r="Y75" s="461" t="e">
        <f t="shared" si="0"/>
        <v>#DIV/0!</v>
      </c>
      <c r="Z75" s="467" t="e">
        <f t="shared" si="5"/>
        <v>#DIV/0!</v>
      </c>
      <c r="AC75" s="462">
        <f t="shared" si="6"/>
        <v>43958</v>
      </c>
      <c r="AD75" s="461">
        <f t="shared" si="7"/>
        <v>0</v>
      </c>
      <c r="AE75" s="461">
        <f t="shared" si="8"/>
        <v>0</v>
      </c>
      <c r="AF75" s="461">
        <f t="shared" si="9"/>
        <v>0</v>
      </c>
      <c r="AG75" s="461">
        <f t="shared" si="10"/>
        <v>0</v>
      </c>
      <c r="AH75" s="461">
        <f t="shared" si="11"/>
        <v>0</v>
      </c>
      <c r="AI75" s="461" t="e">
        <f t="shared" si="12"/>
        <v>#DIV/0!</v>
      </c>
      <c r="AJ75" s="467" t="e">
        <f t="shared" si="13"/>
        <v>#DIV/0!</v>
      </c>
    </row>
    <row r="76" spans="1:36">
      <c r="A76" s="462">
        <f>'SQ-1'!A12</f>
        <v>43959</v>
      </c>
      <c r="B76" s="461">
        <f>'SQ-1'!B12+'SQ-2'!B12+'SQ-3'!B12+'SQ-4'!B12+'SQ-5'!B12+'SQ-6'!B12+'SQ-7'!B12+'SQ-8'!B12+'SQ-9'!B12</f>
        <v>0</v>
      </c>
      <c r="C76" s="461">
        <f>'SQ-1'!D12+'SQ-2'!D12+'SQ-3'!D12+'SQ-4'!D12+'SQ-5'!D12+'SQ-6'!D12+'SQ-7'!D12+'SQ-8'!D12+'SQ-9'!D12</f>
        <v>0</v>
      </c>
      <c r="D76" s="461">
        <f>'SQ-1'!E12+'SQ-2'!E12+'SQ-3'!E12+'SQ-4'!E12+'SQ-5'!E12+'SQ-6'!E12+'SQ-7'!E12+'SQ-8'!E12+'SQ-9'!E12</f>
        <v>0</v>
      </c>
      <c r="E76" s="461">
        <f>'SQ-1'!F12+'SQ-2'!F12+'SQ-3'!F12+'SQ-4'!F12+'SQ-5'!F12+'SQ-6'!F12+'SQ-7'!F12+'SQ-8'!F12+'SQ-9'!F12</f>
        <v>0</v>
      </c>
      <c r="F76" s="461">
        <f>'SQ-1'!G12+'SQ-2'!G12+'SQ-3'!G12+'SQ-4'!G12+'SQ-5'!G12+'SQ-6'!G12+'SQ-7'!G12+'SQ-8'!G12+'SQ-9'!G12</f>
        <v>0</v>
      </c>
      <c r="G76" s="461" t="e">
        <f t="shared" si="1"/>
        <v>#DIV/0!</v>
      </c>
      <c r="H76" s="467" t="e">
        <f t="shared" si="2"/>
        <v>#DIV/0!</v>
      </c>
      <c r="J76" s="462">
        <f>'SQ-1'!A12</f>
        <v>43959</v>
      </c>
      <c r="K76" s="461">
        <f>'SQ-1'!I12+'SQ-2'!I12+'SQ-3'!I12+'SQ-4'!I12+'SQ-5'!I12+'SQ-6'!I12+'SQ-7'!I12+'SQ-8'!I12+'SQ-9'!I12</f>
        <v>0</v>
      </c>
      <c r="L76" s="461">
        <f>'SQ-1'!K12+'SQ-2'!K12+'SQ-3'!K12+'SQ-4'!K12+'SQ-5'!K12+'SQ-6'!K12+'SQ-7'!K12+'SQ-8'!K12+'SQ-9'!K12</f>
        <v>0</v>
      </c>
      <c r="M76" s="461">
        <f>'SQ-1'!L12+'SQ-2'!L12+'SQ-3'!L12+'SQ-4'!L12+'SQ-5'!L12+'SQ-6'!L12+'SQ-7'!L12+'SQ-8'!L12+'SQ-9'!L12</f>
        <v>0</v>
      </c>
      <c r="N76" s="461">
        <f>'SQ-1'!M12+'SQ-2'!M12+'SQ-3'!M12+'SQ-4'!M12+'SQ-5'!M12+'SQ-6'!M12+'SQ-7'!M12+'SQ-8'!M12+'SQ-9'!M12</f>
        <v>0</v>
      </c>
      <c r="O76" s="461">
        <f>'SQ-1'!N12+'SQ-2'!N12+'SQ-3'!N12+'SQ-4'!N12+'SQ-5'!N12+'SQ-6'!N12+'SQ-7'!N12+'SQ-8'!N12+'SQ-9'!N12</f>
        <v>0</v>
      </c>
      <c r="P76" s="461" t="e">
        <f t="shared" si="3"/>
        <v>#DIV/0!</v>
      </c>
      <c r="Q76" s="467" t="e">
        <f t="shared" si="4"/>
        <v>#DIV/0!</v>
      </c>
      <c r="S76" s="462">
        <f>'SQ-1'!A12</f>
        <v>43959</v>
      </c>
      <c r="T76" s="461">
        <f>'SQ-1'!P12+'SQ-2'!P12+'SQ-3'!P12+'SQ-4'!P12+'SQ-5'!P12+'SQ-6'!P12+'SQ-7'!P12+'SQ-8'!P12+'SQ-9'!P12</f>
        <v>0</v>
      </c>
      <c r="U76" s="461">
        <f>'SQ-1'!R12+'SQ-2'!R12+'SQ-3'!R12+'SQ-4'!R12+'SQ-5'!R12+'SQ-6'!R12+'SQ-7'!R12+'SQ-8'!R12+'SQ-9'!R12</f>
        <v>0</v>
      </c>
      <c r="V76" s="461">
        <f>'SQ-1'!S12+'SQ-2'!S12+'SQ-3'!S12+'SQ-4'!S12+'SQ-5'!S12+'SQ-6'!S12+'SQ-7'!S12+'SQ-8'!S12+'SQ-9'!S12</f>
        <v>0</v>
      </c>
      <c r="W76" s="461">
        <f>'SQ-1'!T12+'SQ-2'!T12+'SQ-3'!T12+'SQ-4'!T12+'SQ-5'!T12+'SQ-6'!T12+'SQ-7'!T12+'SQ-8'!T12+'SQ-9'!T12</f>
        <v>0</v>
      </c>
      <c r="X76" s="461">
        <f>'SQ-1'!U12+'SQ-2'!U12+'SQ-3'!U12+'SQ-4'!U12+'SQ-5'!U12+'SQ-6'!U12+'SQ-7'!U12+'SQ-8'!U12+'SQ-9'!U12</f>
        <v>0</v>
      </c>
      <c r="Y76" s="461" t="e">
        <f t="shared" si="0"/>
        <v>#DIV/0!</v>
      </c>
      <c r="Z76" s="467" t="e">
        <f t="shared" si="5"/>
        <v>#DIV/0!</v>
      </c>
      <c r="AC76" s="462">
        <f t="shared" si="6"/>
        <v>43959</v>
      </c>
      <c r="AD76" s="461">
        <f t="shared" si="7"/>
        <v>0</v>
      </c>
      <c r="AE76" s="461">
        <f t="shared" si="8"/>
        <v>0</v>
      </c>
      <c r="AF76" s="461">
        <f t="shared" si="9"/>
        <v>0</v>
      </c>
      <c r="AG76" s="461">
        <f t="shared" si="10"/>
        <v>0</v>
      </c>
      <c r="AH76" s="461">
        <f t="shared" si="11"/>
        <v>0</v>
      </c>
      <c r="AI76" s="461" t="e">
        <f t="shared" si="12"/>
        <v>#DIV/0!</v>
      </c>
      <c r="AJ76" s="467" t="e">
        <f t="shared" si="13"/>
        <v>#DIV/0!</v>
      </c>
    </row>
    <row r="77" spans="1:36">
      <c r="A77" s="462">
        <f>'SQ-1'!A13</f>
        <v>43960</v>
      </c>
      <c r="B77" s="461">
        <f>'SQ-1'!B13+'SQ-2'!B13+'SQ-3'!B13+'SQ-4'!B13+'SQ-5'!B13+'SQ-6'!B13+'SQ-7'!B13+'SQ-8'!B13+'SQ-9'!B13</f>
        <v>0</v>
      </c>
      <c r="C77" s="461">
        <f>'SQ-1'!D13+'SQ-2'!D13+'SQ-3'!D13+'SQ-4'!D13+'SQ-5'!D13+'SQ-6'!D13+'SQ-7'!D13+'SQ-8'!D13+'SQ-9'!D13</f>
        <v>0</v>
      </c>
      <c r="D77" s="461">
        <f>'SQ-1'!E13+'SQ-2'!E13+'SQ-3'!E13+'SQ-4'!E13+'SQ-5'!E13+'SQ-6'!E13+'SQ-7'!E13+'SQ-8'!E13+'SQ-9'!E13</f>
        <v>0</v>
      </c>
      <c r="E77" s="461">
        <f>'SQ-1'!F13+'SQ-2'!F13+'SQ-3'!F13+'SQ-4'!F13+'SQ-5'!F13+'SQ-6'!F13+'SQ-7'!F13+'SQ-8'!F13+'SQ-9'!F13</f>
        <v>0</v>
      </c>
      <c r="F77" s="461">
        <f>'SQ-1'!G13+'SQ-2'!G13+'SQ-3'!G13+'SQ-4'!G13+'SQ-5'!G13+'SQ-6'!G13+'SQ-7'!G13+'SQ-8'!G13+'SQ-9'!G13</f>
        <v>0</v>
      </c>
      <c r="G77" s="461" t="e">
        <f t="shared" si="1"/>
        <v>#DIV/0!</v>
      </c>
      <c r="H77" s="467" t="e">
        <f t="shared" si="2"/>
        <v>#DIV/0!</v>
      </c>
      <c r="J77" s="462">
        <f>'SQ-1'!A13</f>
        <v>43960</v>
      </c>
      <c r="K77" s="461">
        <f>'SQ-1'!I13+'SQ-2'!I13+'SQ-3'!I13+'SQ-4'!I13+'SQ-5'!I13+'SQ-6'!I13+'SQ-7'!I13+'SQ-8'!I13+'SQ-9'!I13</f>
        <v>0</v>
      </c>
      <c r="L77" s="461">
        <f>'SQ-1'!K13+'SQ-2'!K13+'SQ-3'!K13+'SQ-4'!K13+'SQ-5'!K13+'SQ-6'!K13+'SQ-7'!K13+'SQ-8'!K13+'SQ-9'!K13</f>
        <v>0</v>
      </c>
      <c r="M77" s="461">
        <f>'SQ-1'!L13+'SQ-2'!L13+'SQ-3'!L13+'SQ-4'!L13+'SQ-5'!L13+'SQ-6'!L13+'SQ-7'!L13+'SQ-8'!L13+'SQ-9'!L13</f>
        <v>0</v>
      </c>
      <c r="N77" s="461">
        <f>'SQ-1'!M13+'SQ-2'!M13+'SQ-3'!M13+'SQ-4'!M13+'SQ-5'!M13+'SQ-6'!M13+'SQ-7'!M13+'SQ-8'!M13+'SQ-9'!M13</f>
        <v>0</v>
      </c>
      <c r="O77" s="461">
        <f>'SQ-1'!N13+'SQ-2'!N13+'SQ-3'!N13+'SQ-4'!N13+'SQ-5'!N13+'SQ-6'!N13+'SQ-7'!N13+'SQ-8'!N13+'SQ-9'!N13</f>
        <v>0</v>
      </c>
      <c r="P77" s="461" t="e">
        <f t="shared" si="3"/>
        <v>#DIV/0!</v>
      </c>
      <c r="Q77" s="467" t="e">
        <f t="shared" si="4"/>
        <v>#DIV/0!</v>
      </c>
      <c r="S77" s="462">
        <f>'SQ-1'!A13</f>
        <v>43960</v>
      </c>
      <c r="T77" s="461">
        <f>'SQ-1'!P13+'SQ-2'!P13+'SQ-3'!P13+'SQ-4'!P13+'SQ-5'!P13+'SQ-6'!P13+'SQ-7'!P13+'SQ-8'!P13+'SQ-9'!P13</f>
        <v>0</v>
      </c>
      <c r="U77" s="461">
        <f>'SQ-1'!R13+'SQ-2'!R13+'SQ-3'!R13+'SQ-4'!R13+'SQ-5'!R13+'SQ-6'!R13+'SQ-7'!R13+'SQ-8'!R13+'SQ-9'!R13</f>
        <v>0</v>
      </c>
      <c r="V77" s="461">
        <f>'SQ-1'!S13+'SQ-2'!S13+'SQ-3'!S13+'SQ-4'!S13+'SQ-5'!S13+'SQ-6'!S13+'SQ-7'!S13+'SQ-8'!S13+'SQ-9'!S13</f>
        <v>0</v>
      </c>
      <c r="W77" s="461">
        <f>'SQ-1'!T13+'SQ-2'!T13+'SQ-3'!T13+'SQ-4'!T13+'SQ-5'!T13+'SQ-6'!T13+'SQ-7'!T13+'SQ-8'!T13+'SQ-9'!T13</f>
        <v>0</v>
      </c>
      <c r="X77" s="461">
        <f>'SQ-1'!U13+'SQ-2'!U13+'SQ-3'!U13+'SQ-4'!U13+'SQ-5'!U13+'SQ-6'!U13+'SQ-7'!U13+'SQ-8'!U13+'SQ-9'!U13</f>
        <v>0</v>
      </c>
      <c r="Y77" s="461" t="e">
        <f t="shared" si="0"/>
        <v>#DIV/0!</v>
      </c>
      <c r="Z77" s="467" t="e">
        <f t="shared" si="5"/>
        <v>#DIV/0!</v>
      </c>
      <c r="AC77" s="462">
        <f t="shared" si="6"/>
        <v>43960</v>
      </c>
      <c r="AD77" s="461">
        <f t="shared" si="7"/>
        <v>0</v>
      </c>
      <c r="AE77" s="461">
        <f t="shared" si="8"/>
        <v>0</v>
      </c>
      <c r="AF77" s="461">
        <f t="shared" si="9"/>
        <v>0</v>
      </c>
      <c r="AG77" s="461">
        <f t="shared" si="10"/>
        <v>0</v>
      </c>
      <c r="AH77" s="461">
        <f t="shared" si="11"/>
        <v>0</v>
      </c>
      <c r="AI77" s="461" t="e">
        <f t="shared" si="12"/>
        <v>#DIV/0!</v>
      </c>
      <c r="AJ77" s="467" t="e">
        <f t="shared" si="13"/>
        <v>#DIV/0!</v>
      </c>
    </row>
    <row r="78" spans="1:36">
      <c r="A78" s="462">
        <f>'SQ-1'!A14</f>
        <v>43961</v>
      </c>
      <c r="B78" s="461">
        <f>'SQ-1'!B14+'SQ-2'!B14+'SQ-3'!B14+'SQ-4'!B14+'SQ-5'!B14+'SQ-6'!B14+'SQ-7'!B14+'SQ-8'!B14+'SQ-9'!B14</f>
        <v>0</v>
      </c>
      <c r="C78" s="461">
        <f>'SQ-1'!D14+'SQ-2'!D14+'SQ-3'!D14+'SQ-4'!D14+'SQ-5'!D14+'SQ-6'!D14+'SQ-7'!D14+'SQ-8'!D14+'SQ-9'!D14</f>
        <v>0</v>
      </c>
      <c r="D78" s="461">
        <f>'SQ-1'!E14+'SQ-2'!E14+'SQ-3'!E14+'SQ-4'!E14+'SQ-5'!E14+'SQ-6'!E14+'SQ-7'!E14+'SQ-8'!E14+'SQ-9'!E14</f>
        <v>0</v>
      </c>
      <c r="E78" s="461">
        <f>'SQ-1'!F14+'SQ-2'!F14+'SQ-3'!F14+'SQ-4'!F14+'SQ-5'!F14+'SQ-6'!F14+'SQ-7'!F14+'SQ-8'!F14+'SQ-9'!F14</f>
        <v>0</v>
      </c>
      <c r="F78" s="461">
        <f>'SQ-1'!G14+'SQ-2'!G14+'SQ-3'!G14+'SQ-4'!G14+'SQ-5'!G14+'SQ-6'!G14+'SQ-7'!G14+'SQ-8'!G14+'SQ-9'!G14</f>
        <v>0</v>
      </c>
      <c r="G78" s="461" t="e">
        <f t="shared" si="1"/>
        <v>#DIV/0!</v>
      </c>
      <c r="H78" s="467" t="e">
        <f t="shared" si="2"/>
        <v>#DIV/0!</v>
      </c>
      <c r="J78" s="462">
        <f>'SQ-1'!A14</f>
        <v>43961</v>
      </c>
      <c r="K78" s="461">
        <f>'SQ-1'!I14+'SQ-2'!I14+'SQ-3'!I14+'SQ-4'!I14+'SQ-5'!I14+'SQ-6'!I14+'SQ-7'!I14+'SQ-8'!I14+'SQ-9'!I14</f>
        <v>0</v>
      </c>
      <c r="L78" s="461">
        <f>'SQ-1'!K14+'SQ-2'!K14+'SQ-3'!K14+'SQ-4'!K14+'SQ-5'!K14+'SQ-6'!K14+'SQ-7'!K14+'SQ-8'!K14+'SQ-9'!K14</f>
        <v>0</v>
      </c>
      <c r="M78" s="461">
        <f>'SQ-1'!L14+'SQ-2'!L14+'SQ-3'!L14+'SQ-4'!L14+'SQ-5'!L14+'SQ-6'!L14+'SQ-7'!L14+'SQ-8'!L14+'SQ-9'!L14</f>
        <v>0</v>
      </c>
      <c r="N78" s="461">
        <f>'SQ-1'!M14+'SQ-2'!M14+'SQ-3'!M14+'SQ-4'!M14+'SQ-5'!M14+'SQ-6'!M14+'SQ-7'!M14+'SQ-8'!M14+'SQ-9'!M14</f>
        <v>0</v>
      </c>
      <c r="O78" s="461">
        <f>'SQ-1'!N14+'SQ-2'!N14+'SQ-3'!N14+'SQ-4'!N14+'SQ-5'!N14+'SQ-6'!N14+'SQ-7'!N14+'SQ-8'!N14+'SQ-9'!N14</f>
        <v>0</v>
      </c>
      <c r="P78" s="461" t="e">
        <f t="shared" si="3"/>
        <v>#DIV/0!</v>
      </c>
      <c r="Q78" s="467" t="e">
        <f t="shared" si="4"/>
        <v>#DIV/0!</v>
      </c>
      <c r="S78" s="462">
        <f>'SQ-1'!A14</f>
        <v>43961</v>
      </c>
      <c r="T78" s="461">
        <f>'SQ-1'!P14+'SQ-2'!P14+'SQ-3'!P14+'SQ-4'!P14+'SQ-5'!P14+'SQ-6'!P14+'SQ-7'!P14+'SQ-8'!P14+'SQ-9'!P14</f>
        <v>0</v>
      </c>
      <c r="U78" s="461">
        <f>'SQ-1'!R14+'SQ-2'!R14+'SQ-3'!R14+'SQ-4'!R14+'SQ-5'!R14+'SQ-6'!R14+'SQ-7'!R14+'SQ-8'!R14+'SQ-9'!R14</f>
        <v>0</v>
      </c>
      <c r="V78" s="461">
        <f>'SQ-1'!S14+'SQ-2'!S14+'SQ-3'!S14+'SQ-4'!S14+'SQ-5'!S14+'SQ-6'!S14+'SQ-7'!S14+'SQ-8'!S14+'SQ-9'!S14</f>
        <v>0</v>
      </c>
      <c r="W78" s="461">
        <f>'SQ-1'!T14+'SQ-2'!T14+'SQ-3'!T14+'SQ-4'!T14+'SQ-5'!T14+'SQ-6'!T14+'SQ-7'!T14+'SQ-8'!T14+'SQ-9'!T14</f>
        <v>0</v>
      </c>
      <c r="X78" s="461">
        <f>'SQ-1'!U14+'SQ-2'!U14+'SQ-3'!U14+'SQ-4'!U14+'SQ-5'!U14+'SQ-6'!U14+'SQ-7'!U14+'SQ-8'!U14+'SQ-9'!U14</f>
        <v>0</v>
      </c>
      <c r="Y78" s="461" t="e">
        <f t="shared" si="0"/>
        <v>#DIV/0!</v>
      </c>
      <c r="Z78" s="467" t="e">
        <f t="shared" si="5"/>
        <v>#DIV/0!</v>
      </c>
      <c r="AC78" s="462">
        <f t="shared" si="6"/>
        <v>43961</v>
      </c>
      <c r="AD78" s="461">
        <f t="shared" si="7"/>
        <v>0</v>
      </c>
      <c r="AE78" s="461">
        <f t="shared" si="8"/>
        <v>0</v>
      </c>
      <c r="AF78" s="461">
        <f t="shared" si="9"/>
        <v>0</v>
      </c>
      <c r="AG78" s="461">
        <f t="shared" si="10"/>
        <v>0</v>
      </c>
      <c r="AH78" s="461">
        <f t="shared" si="11"/>
        <v>0</v>
      </c>
      <c r="AI78" s="461" t="e">
        <f t="shared" si="12"/>
        <v>#DIV/0!</v>
      </c>
      <c r="AJ78" s="467" t="e">
        <f t="shared" si="13"/>
        <v>#DIV/0!</v>
      </c>
    </row>
    <row r="79" spans="1:36">
      <c r="A79" s="462">
        <f>'SQ-1'!A15</f>
        <v>43962</v>
      </c>
      <c r="B79" s="461">
        <f>'SQ-1'!B15+'SQ-2'!B15+'SQ-3'!B15+'SQ-4'!B15+'SQ-5'!B15+'SQ-6'!B15+'SQ-7'!B15+'SQ-8'!B15+'SQ-9'!B15</f>
        <v>0</v>
      </c>
      <c r="C79" s="461">
        <f>'SQ-1'!D15+'SQ-2'!D15+'SQ-3'!D15+'SQ-4'!D15+'SQ-5'!D15+'SQ-6'!D15+'SQ-7'!D15+'SQ-8'!D15+'SQ-9'!D15</f>
        <v>0</v>
      </c>
      <c r="D79" s="461">
        <f>'SQ-1'!E15+'SQ-2'!E15+'SQ-3'!E15+'SQ-4'!E15+'SQ-5'!E15+'SQ-6'!E15+'SQ-7'!E15+'SQ-8'!E15+'SQ-9'!E15</f>
        <v>0</v>
      </c>
      <c r="E79" s="461">
        <f>'SQ-1'!F15+'SQ-2'!F15+'SQ-3'!F15+'SQ-4'!F15+'SQ-5'!F15+'SQ-6'!F15+'SQ-7'!F15+'SQ-8'!F15+'SQ-9'!F15</f>
        <v>0</v>
      </c>
      <c r="F79" s="461">
        <f>'SQ-1'!G15+'SQ-2'!G15+'SQ-3'!G15+'SQ-4'!G15+'SQ-5'!G15+'SQ-6'!G15+'SQ-7'!G15+'SQ-8'!G15+'SQ-9'!G15</f>
        <v>0</v>
      </c>
      <c r="G79" s="461" t="e">
        <f t="shared" si="1"/>
        <v>#DIV/0!</v>
      </c>
      <c r="H79" s="467" t="e">
        <f t="shared" si="2"/>
        <v>#DIV/0!</v>
      </c>
      <c r="J79" s="462">
        <f>'SQ-1'!A15</f>
        <v>43962</v>
      </c>
      <c r="K79" s="461">
        <f>'SQ-1'!I15+'SQ-2'!I15+'SQ-3'!I15+'SQ-4'!I15+'SQ-5'!I15+'SQ-6'!I15+'SQ-7'!I15+'SQ-8'!I15+'SQ-9'!I15</f>
        <v>0</v>
      </c>
      <c r="L79" s="461">
        <f>'SQ-1'!K15+'SQ-2'!K15+'SQ-3'!K15+'SQ-4'!K15+'SQ-5'!K15+'SQ-6'!K15+'SQ-7'!K15+'SQ-8'!K15+'SQ-9'!K15</f>
        <v>0</v>
      </c>
      <c r="M79" s="461">
        <f>'SQ-1'!L15+'SQ-2'!L15+'SQ-3'!L15+'SQ-4'!L15+'SQ-5'!L15+'SQ-6'!L15+'SQ-7'!L15+'SQ-8'!L15+'SQ-9'!L15</f>
        <v>0</v>
      </c>
      <c r="N79" s="461">
        <f>'SQ-1'!M15+'SQ-2'!M15+'SQ-3'!M15+'SQ-4'!M15+'SQ-5'!M15+'SQ-6'!M15+'SQ-7'!M15+'SQ-8'!M15+'SQ-9'!M15</f>
        <v>0</v>
      </c>
      <c r="O79" s="461">
        <f>'SQ-1'!N15+'SQ-2'!N15+'SQ-3'!N15+'SQ-4'!N15+'SQ-5'!N15+'SQ-6'!N15+'SQ-7'!N15+'SQ-8'!N15+'SQ-9'!N15</f>
        <v>0</v>
      </c>
      <c r="P79" s="461" t="e">
        <f t="shared" si="3"/>
        <v>#DIV/0!</v>
      </c>
      <c r="Q79" s="467" t="e">
        <f t="shared" si="4"/>
        <v>#DIV/0!</v>
      </c>
      <c r="S79" s="462">
        <f>'SQ-1'!A15</f>
        <v>43962</v>
      </c>
      <c r="T79" s="461">
        <f>'SQ-1'!P15+'SQ-2'!P15+'SQ-3'!P15+'SQ-4'!P15+'SQ-5'!P15+'SQ-6'!P15+'SQ-7'!P15+'SQ-8'!P15+'SQ-9'!P15</f>
        <v>0</v>
      </c>
      <c r="U79" s="461">
        <f>'SQ-1'!R15+'SQ-2'!R15+'SQ-3'!R15+'SQ-4'!R15+'SQ-5'!R15+'SQ-6'!R15+'SQ-7'!R15+'SQ-8'!R15+'SQ-9'!R15</f>
        <v>0</v>
      </c>
      <c r="V79" s="461">
        <f>'SQ-1'!S15+'SQ-2'!S15+'SQ-3'!S15+'SQ-4'!S15+'SQ-5'!S15+'SQ-6'!S15+'SQ-7'!S15+'SQ-8'!S15+'SQ-9'!S15</f>
        <v>0</v>
      </c>
      <c r="W79" s="461">
        <f>'SQ-1'!T15+'SQ-2'!T15+'SQ-3'!T15+'SQ-4'!T15+'SQ-5'!T15+'SQ-6'!T15+'SQ-7'!T15+'SQ-8'!T15+'SQ-9'!T15</f>
        <v>0</v>
      </c>
      <c r="X79" s="461">
        <f>'SQ-1'!U15+'SQ-2'!U15+'SQ-3'!U15+'SQ-4'!U15+'SQ-5'!U15+'SQ-6'!U15+'SQ-7'!U15+'SQ-8'!U15+'SQ-9'!U15</f>
        <v>0</v>
      </c>
      <c r="Y79" s="461" t="e">
        <f t="shared" si="0"/>
        <v>#DIV/0!</v>
      </c>
      <c r="Z79" s="467" t="e">
        <f t="shared" si="5"/>
        <v>#DIV/0!</v>
      </c>
      <c r="AC79" s="462">
        <f t="shared" si="6"/>
        <v>43962</v>
      </c>
      <c r="AD79" s="461">
        <f t="shared" si="7"/>
        <v>0</v>
      </c>
      <c r="AE79" s="461">
        <f t="shared" si="8"/>
        <v>0</v>
      </c>
      <c r="AF79" s="461">
        <f t="shared" si="9"/>
        <v>0</v>
      </c>
      <c r="AG79" s="461">
        <f t="shared" si="10"/>
        <v>0</v>
      </c>
      <c r="AH79" s="461">
        <f t="shared" si="11"/>
        <v>0</v>
      </c>
      <c r="AI79" s="461" t="e">
        <f t="shared" si="12"/>
        <v>#DIV/0!</v>
      </c>
      <c r="AJ79" s="467" t="e">
        <f t="shared" si="13"/>
        <v>#DIV/0!</v>
      </c>
    </row>
    <row r="80" spans="1:36">
      <c r="A80" s="462">
        <f>'SQ-1'!A16</f>
        <v>43963</v>
      </c>
      <c r="B80" s="461">
        <f>'SQ-1'!B16+'SQ-2'!B16+'SQ-3'!B16+'SQ-4'!B16+'SQ-5'!B16+'SQ-6'!B16+'SQ-7'!B16+'SQ-8'!B16+'SQ-9'!B16</f>
        <v>0</v>
      </c>
      <c r="C80" s="461">
        <f>'SQ-1'!D16+'SQ-2'!D16+'SQ-3'!D16+'SQ-4'!D16+'SQ-5'!D16+'SQ-6'!D16+'SQ-7'!D16+'SQ-8'!D16+'SQ-9'!D16</f>
        <v>0</v>
      </c>
      <c r="D80" s="461">
        <f>'SQ-1'!E16+'SQ-2'!E16+'SQ-3'!E16+'SQ-4'!E16+'SQ-5'!E16+'SQ-6'!E16+'SQ-7'!E16+'SQ-8'!E16+'SQ-9'!E16</f>
        <v>0</v>
      </c>
      <c r="E80" s="461">
        <f>'SQ-1'!F16+'SQ-2'!F16+'SQ-3'!F16+'SQ-4'!F16+'SQ-5'!F16+'SQ-6'!F16+'SQ-7'!F16+'SQ-8'!F16+'SQ-9'!F16</f>
        <v>0</v>
      </c>
      <c r="F80" s="461">
        <f>'SQ-1'!G16+'SQ-2'!G16+'SQ-3'!G16+'SQ-4'!G16+'SQ-5'!G16+'SQ-6'!G16+'SQ-7'!G16+'SQ-8'!G16+'SQ-9'!G16</f>
        <v>0</v>
      </c>
      <c r="G80" s="461" t="e">
        <f t="shared" si="1"/>
        <v>#DIV/0!</v>
      </c>
      <c r="H80" s="467" t="e">
        <f t="shared" si="2"/>
        <v>#DIV/0!</v>
      </c>
      <c r="J80" s="462">
        <f>'SQ-1'!A16</f>
        <v>43963</v>
      </c>
      <c r="K80" s="461">
        <f>'SQ-1'!I16+'SQ-2'!I16+'SQ-3'!I16+'SQ-4'!I16+'SQ-5'!I16+'SQ-6'!I16+'SQ-7'!I16+'SQ-8'!I16+'SQ-9'!I16</f>
        <v>0</v>
      </c>
      <c r="L80" s="461">
        <f>'SQ-1'!K16+'SQ-2'!K16+'SQ-3'!K16+'SQ-4'!K16+'SQ-5'!K16+'SQ-6'!K16+'SQ-7'!K16+'SQ-8'!K16+'SQ-9'!K16</f>
        <v>0</v>
      </c>
      <c r="M80" s="461">
        <f>'SQ-1'!L16+'SQ-2'!L16+'SQ-3'!L16+'SQ-4'!L16+'SQ-5'!L16+'SQ-6'!L16+'SQ-7'!L16+'SQ-8'!L16+'SQ-9'!L16</f>
        <v>0</v>
      </c>
      <c r="N80" s="461">
        <f>'SQ-1'!M16+'SQ-2'!M16+'SQ-3'!M16+'SQ-4'!M16+'SQ-5'!M16+'SQ-6'!M16+'SQ-7'!M16+'SQ-8'!M16+'SQ-9'!M16</f>
        <v>0</v>
      </c>
      <c r="O80" s="461">
        <f>'SQ-1'!N16+'SQ-2'!N16+'SQ-3'!N16+'SQ-4'!N16+'SQ-5'!N16+'SQ-6'!N16+'SQ-7'!N16+'SQ-8'!N16+'SQ-9'!N16</f>
        <v>0</v>
      </c>
      <c r="P80" s="461" t="e">
        <f t="shared" si="3"/>
        <v>#DIV/0!</v>
      </c>
      <c r="Q80" s="467" t="e">
        <f t="shared" si="4"/>
        <v>#DIV/0!</v>
      </c>
      <c r="S80" s="462">
        <f>'SQ-1'!A16</f>
        <v>43963</v>
      </c>
      <c r="T80" s="461">
        <f>'SQ-1'!P16+'SQ-2'!P16+'SQ-3'!P16+'SQ-4'!P16+'SQ-5'!P16+'SQ-6'!P16+'SQ-7'!P16+'SQ-8'!P16+'SQ-9'!P16</f>
        <v>0</v>
      </c>
      <c r="U80" s="461">
        <f>'SQ-1'!R16+'SQ-2'!R16+'SQ-3'!R16+'SQ-4'!R16+'SQ-5'!R16+'SQ-6'!R16+'SQ-7'!R16+'SQ-8'!R16+'SQ-9'!R16</f>
        <v>0</v>
      </c>
      <c r="V80" s="461">
        <f>'SQ-1'!S16+'SQ-2'!S16+'SQ-3'!S16+'SQ-4'!S16+'SQ-5'!S16+'SQ-6'!S16+'SQ-7'!S16+'SQ-8'!S16+'SQ-9'!S16</f>
        <v>0</v>
      </c>
      <c r="W80" s="461">
        <f>'SQ-1'!T16+'SQ-2'!T16+'SQ-3'!T16+'SQ-4'!T16+'SQ-5'!T16+'SQ-6'!T16+'SQ-7'!T16+'SQ-8'!T16+'SQ-9'!T16</f>
        <v>0</v>
      </c>
      <c r="X80" s="461">
        <f>'SQ-1'!U16+'SQ-2'!U16+'SQ-3'!U16+'SQ-4'!U16+'SQ-5'!U16+'SQ-6'!U16+'SQ-7'!U16+'SQ-8'!U16+'SQ-9'!U16</f>
        <v>0</v>
      </c>
      <c r="Y80" s="461" t="e">
        <f t="shared" si="0"/>
        <v>#DIV/0!</v>
      </c>
      <c r="Z80" s="467" t="e">
        <f t="shared" si="5"/>
        <v>#DIV/0!</v>
      </c>
      <c r="AC80" s="462">
        <f t="shared" si="6"/>
        <v>43963</v>
      </c>
      <c r="AD80" s="461">
        <f t="shared" si="7"/>
        <v>0</v>
      </c>
      <c r="AE80" s="461">
        <f t="shared" si="8"/>
        <v>0</v>
      </c>
      <c r="AF80" s="461">
        <f t="shared" si="9"/>
        <v>0</v>
      </c>
      <c r="AG80" s="461">
        <f t="shared" si="10"/>
        <v>0</v>
      </c>
      <c r="AH80" s="461">
        <f t="shared" si="11"/>
        <v>0</v>
      </c>
      <c r="AI80" s="461" t="e">
        <f t="shared" si="12"/>
        <v>#DIV/0!</v>
      </c>
      <c r="AJ80" s="467" t="e">
        <f t="shared" si="13"/>
        <v>#DIV/0!</v>
      </c>
    </row>
    <row r="81" spans="1:36">
      <c r="A81" s="462">
        <f>'SQ-1'!A17</f>
        <v>43964</v>
      </c>
      <c r="B81" s="461">
        <f>'SQ-1'!B17+'SQ-2'!B17+'SQ-3'!B17+'SQ-4'!B17+'SQ-5'!B17+'SQ-6'!B17+'SQ-7'!B17+'SQ-8'!B17+'SQ-9'!B17</f>
        <v>0</v>
      </c>
      <c r="C81" s="461">
        <f>'SQ-1'!D17+'SQ-2'!D17+'SQ-3'!D17+'SQ-4'!D17+'SQ-5'!D17+'SQ-6'!D17+'SQ-7'!D17+'SQ-8'!D17+'SQ-9'!D17</f>
        <v>0</v>
      </c>
      <c r="D81" s="461">
        <f>'SQ-1'!E17+'SQ-2'!E17+'SQ-3'!E17+'SQ-4'!E17+'SQ-5'!E17+'SQ-6'!E17+'SQ-7'!E17+'SQ-8'!E17+'SQ-9'!E17</f>
        <v>0</v>
      </c>
      <c r="E81" s="461">
        <f>'SQ-1'!F17+'SQ-2'!F17+'SQ-3'!F17+'SQ-4'!F17+'SQ-5'!F17+'SQ-6'!F17+'SQ-7'!F17+'SQ-8'!F17+'SQ-9'!F17</f>
        <v>0</v>
      </c>
      <c r="F81" s="461">
        <f>'SQ-1'!G17+'SQ-2'!G17+'SQ-3'!G17+'SQ-4'!G17+'SQ-5'!G17+'SQ-6'!G17+'SQ-7'!G17+'SQ-8'!G17+'SQ-9'!G17</f>
        <v>0</v>
      </c>
      <c r="G81" s="461" t="e">
        <f t="shared" si="1"/>
        <v>#DIV/0!</v>
      </c>
      <c r="H81" s="467" t="e">
        <f t="shared" si="2"/>
        <v>#DIV/0!</v>
      </c>
      <c r="J81" s="462">
        <f>'SQ-1'!A17</f>
        <v>43964</v>
      </c>
      <c r="K81" s="461">
        <f>'SQ-1'!I17+'SQ-2'!I17+'SQ-3'!I17+'SQ-4'!I17+'SQ-5'!I17+'SQ-6'!I17+'SQ-7'!I17+'SQ-8'!I17+'SQ-9'!I17</f>
        <v>0</v>
      </c>
      <c r="L81" s="461">
        <f>'SQ-1'!K17+'SQ-2'!K17+'SQ-3'!K17+'SQ-4'!K17+'SQ-5'!K17+'SQ-6'!K17+'SQ-7'!K17+'SQ-8'!K17+'SQ-9'!K17</f>
        <v>0</v>
      </c>
      <c r="M81" s="461">
        <f>'SQ-1'!L17+'SQ-2'!L17+'SQ-3'!L17+'SQ-4'!L17+'SQ-5'!L17+'SQ-6'!L17+'SQ-7'!L17+'SQ-8'!L17+'SQ-9'!L17</f>
        <v>0</v>
      </c>
      <c r="N81" s="461">
        <f>'SQ-1'!M17+'SQ-2'!M17+'SQ-3'!M17+'SQ-4'!M17+'SQ-5'!M17+'SQ-6'!M17+'SQ-7'!M17+'SQ-8'!M17+'SQ-9'!M17</f>
        <v>0</v>
      </c>
      <c r="O81" s="461">
        <f>'SQ-1'!N17+'SQ-2'!N17+'SQ-3'!N17+'SQ-4'!N17+'SQ-5'!N17+'SQ-6'!N17+'SQ-7'!N17+'SQ-8'!N17+'SQ-9'!N17</f>
        <v>0</v>
      </c>
      <c r="P81" s="461" t="e">
        <f t="shared" si="3"/>
        <v>#DIV/0!</v>
      </c>
      <c r="Q81" s="467" t="e">
        <f t="shared" si="4"/>
        <v>#DIV/0!</v>
      </c>
      <c r="S81" s="462">
        <f>'SQ-1'!A17</f>
        <v>43964</v>
      </c>
      <c r="T81" s="461">
        <f>'SQ-1'!P17+'SQ-2'!P17+'SQ-3'!P17+'SQ-4'!P17+'SQ-5'!P17+'SQ-6'!P17+'SQ-7'!P17+'SQ-8'!P17+'SQ-9'!P17</f>
        <v>0</v>
      </c>
      <c r="U81" s="461">
        <f>'SQ-1'!R17+'SQ-2'!R17+'SQ-3'!R17+'SQ-4'!R17+'SQ-5'!R17+'SQ-6'!R17+'SQ-7'!R17+'SQ-8'!R17+'SQ-9'!R17</f>
        <v>0</v>
      </c>
      <c r="V81" s="461">
        <f>'SQ-1'!S17+'SQ-2'!S17+'SQ-3'!S17+'SQ-4'!S17+'SQ-5'!S17+'SQ-6'!S17+'SQ-7'!S17+'SQ-8'!S17+'SQ-9'!S17</f>
        <v>0</v>
      </c>
      <c r="W81" s="461">
        <f>'SQ-1'!T17+'SQ-2'!T17+'SQ-3'!T17+'SQ-4'!T17+'SQ-5'!T17+'SQ-6'!T17+'SQ-7'!T17+'SQ-8'!T17+'SQ-9'!T17</f>
        <v>0</v>
      </c>
      <c r="X81" s="461">
        <f>'SQ-1'!U17+'SQ-2'!U17+'SQ-3'!U17+'SQ-4'!U17+'SQ-5'!U17+'SQ-6'!U17+'SQ-7'!U17+'SQ-8'!U17+'SQ-9'!U17</f>
        <v>0</v>
      </c>
      <c r="Y81" s="461" t="e">
        <f t="shared" si="0"/>
        <v>#DIV/0!</v>
      </c>
      <c r="Z81" s="467" t="e">
        <f t="shared" si="5"/>
        <v>#DIV/0!</v>
      </c>
      <c r="AC81" s="462">
        <f t="shared" si="6"/>
        <v>43964</v>
      </c>
      <c r="AD81" s="461">
        <f t="shared" si="7"/>
        <v>0</v>
      </c>
      <c r="AE81" s="461">
        <f t="shared" si="8"/>
        <v>0</v>
      </c>
      <c r="AF81" s="461">
        <f t="shared" si="9"/>
        <v>0</v>
      </c>
      <c r="AG81" s="461">
        <f t="shared" si="10"/>
        <v>0</v>
      </c>
      <c r="AH81" s="461">
        <f t="shared" si="11"/>
        <v>0</v>
      </c>
      <c r="AI81" s="461" t="e">
        <f t="shared" si="12"/>
        <v>#DIV/0!</v>
      </c>
      <c r="AJ81" s="467" t="e">
        <f t="shared" si="13"/>
        <v>#DIV/0!</v>
      </c>
    </row>
    <row r="82" spans="1:36">
      <c r="A82" s="462">
        <f>'SQ-1'!A18</f>
        <v>43965</v>
      </c>
      <c r="B82" s="461">
        <f>'SQ-1'!B18+'SQ-2'!B18+'SQ-3'!B18+'SQ-4'!B18+'SQ-5'!B18+'SQ-6'!B18+'SQ-7'!B18+'SQ-8'!B18+'SQ-9'!B18</f>
        <v>0</v>
      </c>
      <c r="C82" s="461">
        <f>'SQ-1'!D18+'SQ-2'!D18+'SQ-3'!D18+'SQ-4'!D18+'SQ-5'!D18+'SQ-6'!D18+'SQ-7'!D18+'SQ-8'!D18+'SQ-9'!D18</f>
        <v>0</v>
      </c>
      <c r="D82" s="461">
        <f>'SQ-1'!E18+'SQ-2'!E18+'SQ-3'!E18+'SQ-4'!E18+'SQ-5'!E18+'SQ-6'!E18+'SQ-7'!E18+'SQ-8'!E18+'SQ-9'!E18</f>
        <v>0</v>
      </c>
      <c r="E82" s="461">
        <f>'SQ-1'!F18+'SQ-2'!F18+'SQ-3'!F18+'SQ-4'!F18+'SQ-5'!F18+'SQ-6'!F18+'SQ-7'!F18+'SQ-8'!F18+'SQ-9'!F18</f>
        <v>0</v>
      </c>
      <c r="F82" s="461">
        <f>'SQ-1'!G18+'SQ-2'!G18+'SQ-3'!G18+'SQ-4'!G18+'SQ-5'!G18+'SQ-6'!G18+'SQ-7'!G18+'SQ-8'!G18+'SQ-9'!G18</f>
        <v>0</v>
      </c>
      <c r="G82" s="461" t="e">
        <f t="shared" si="1"/>
        <v>#DIV/0!</v>
      </c>
      <c r="H82" s="467" t="e">
        <f t="shared" si="2"/>
        <v>#DIV/0!</v>
      </c>
      <c r="J82" s="462">
        <f>'SQ-1'!A18</f>
        <v>43965</v>
      </c>
      <c r="K82" s="461">
        <f>'SQ-1'!I18+'SQ-2'!I18+'SQ-3'!I18+'SQ-4'!I18+'SQ-5'!I18+'SQ-6'!I18+'SQ-7'!I18+'SQ-8'!I18+'SQ-9'!I18</f>
        <v>0</v>
      </c>
      <c r="L82" s="461">
        <f>'SQ-1'!K18+'SQ-2'!K18+'SQ-3'!K18+'SQ-4'!K18+'SQ-5'!K18+'SQ-6'!K18+'SQ-7'!K18+'SQ-8'!K18+'SQ-9'!K18</f>
        <v>0</v>
      </c>
      <c r="M82" s="461">
        <f>'SQ-1'!L18+'SQ-2'!L18+'SQ-3'!L18+'SQ-4'!L18+'SQ-5'!L18+'SQ-6'!L18+'SQ-7'!L18+'SQ-8'!L18+'SQ-9'!L18</f>
        <v>0</v>
      </c>
      <c r="N82" s="461">
        <f>'SQ-1'!M18+'SQ-2'!M18+'SQ-3'!M18+'SQ-4'!M18+'SQ-5'!M18+'SQ-6'!M18+'SQ-7'!M18+'SQ-8'!M18+'SQ-9'!M18</f>
        <v>0</v>
      </c>
      <c r="O82" s="461">
        <f>'SQ-1'!N18+'SQ-2'!N18+'SQ-3'!N18+'SQ-4'!N18+'SQ-5'!N18+'SQ-6'!N18+'SQ-7'!N18+'SQ-8'!N18+'SQ-9'!N18</f>
        <v>0</v>
      </c>
      <c r="P82" s="461" t="e">
        <f t="shared" si="3"/>
        <v>#DIV/0!</v>
      </c>
      <c r="Q82" s="467" t="e">
        <f t="shared" si="4"/>
        <v>#DIV/0!</v>
      </c>
      <c r="S82" s="462">
        <f>'SQ-1'!A18</f>
        <v>43965</v>
      </c>
      <c r="T82" s="461">
        <f>'SQ-1'!P18+'SQ-2'!P18+'SQ-3'!P18+'SQ-4'!P18+'SQ-5'!P18+'SQ-6'!P18+'SQ-7'!P18+'SQ-8'!P18+'SQ-9'!P18</f>
        <v>0</v>
      </c>
      <c r="U82" s="461">
        <f>'SQ-1'!R18+'SQ-2'!R18+'SQ-3'!R18+'SQ-4'!R18+'SQ-5'!R18+'SQ-6'!R18+'SQ-7'!R18+'SQ-8'!R18+'SQ-9'!R18</f>
        <v>0</v>
      </c>
      <c r="V82" s="461">
        <f>'SQ-1'!S18+'SQ-2'!S18+'SQ-3'!S18+'SQ-4'!S18+'SQ-5'!S18+'SQ-6'!S18+'SQ-7'!S18+'SQ-8'!S18+'SQ-9'!S18</f>
        <v>0</v>
      </c>
      <c r="W82" s="461">
        <f>'SQ-1'!T18+'SQ-2'!T18+'SQ-3'!T18+'SQ-4'!T18+'SQ-5'!T18+'SQ-6'!T18+'SQ-7'!T18+'SQ-8'!T18+'SQ-9'!T18</f>
        <v>0</v>
      </c>
      <c r="X82" s="461">
        <f>'SQ-1'!U18+'SQ-2'!U18+'SQ-3'!U18+'SQ-4'!U18+'SQ-5'!U18+'SQ-6'!U18+'SQ-7'!U18+'SQ-8'!U18+'SQ-9'!U18</f>
        <v>0</v>
      </c>
      <c r="Y82" s="461" t="e">
        <f t="shared" si="0"/>
        <v>#DIV/0!</v>
      </c>
      <c r="Z82" s="467" t="e">
        <f t="shared" si="5"/>
        <v>#DIV/0!</v>
      </c>
      <c r="AC82" s="462">
        <f t="shared" si="6"/>
        <v>43965</v>
      </c>
      <c r="AD82" s="461">
        <f t="shared" si="7"/>
        <v>0</v>
      </c>
      <c r="AE82" s="461">
        <f t="shared" si="8"/>
        <v>0</v>
      </c>
      <c r="AF82" s="461">
        <f t="shared" si="9"/>
        <v>0</v>
      </c>
      <c r="AG82" s="461">
        <f t="shared" si="10"/>
        <v>0</v>
      </c>
      <c r="AH82" s="461">
        <f t="shared" si="11"/>
        <v>0</v>
      </c>
      <c r="AI82" s="461" t="e">
        <f t="shared" si="12"/>
        <v>#DIV/0!</v>
      </c>
      <c r="AJ82" s="467" t="e">
        <f t="shared" si="13"/>
        <v>#DIV/0!</v>
      </c>
    </row>
    <row r="83" spans="1:36">
      <c r="A83" s="462">
        <f>'SQ-1'!A19</f>
        <v>43966</v>
      </c>
      <c r="B83" s="461">
        <f>'SQ-1'!B19+'SQ-2'!B19+'SQ-3'!B19+'SQ-4'!B19+'SQ-5'!B19+'SQ-6'!B19+'SQ-7'!B19+'SQ-8'!B19+'SQ-9'!B19</f>
        <v>0</v>
      </c>
      <c r="C83" s="461">
        <f>'SQ-1'!D19+'SQ-2'!D19+'SQ-3'!D19+'SQ-4'!D19+'SQ-5'!D19+'SQ-6'!D19+'SQ-7'!D19+'SQ-8'!D19+'SQ-9'!D19</f>
        <v>0</v>
      </c>
      <c r="D83" s="461">
        <f>'SQ-1'!E19+'SQ-2'!E19+'SQ-3'!E19+'SQ-4'!E19+'SQ-5'!E19+'SQ-6'!E19+'SQ-7'!E19+'SQ-8'!E19+'SQ-9'!E19</f>
        <v>0</v>
      </c>
      <c r="E83" s="461">
        <f>'SQ-1'!F19+'SQ-2'!F19+'SQ-3'!F19+'SQ-4'!F19+'SQ-5'!F19+'SQ-6'!F19+'SQ-7'!F19+'SQ-8'!F19+'SQ-9'!F19</f>
        <v>0</v>
      </c>
      <c r="F83" s="461">
        <f>'SQ-1'!G19+'SQ-2'!G19+'SQ-3'!G19+'SQ-4'!G19+'SQ-5'!G19+'SQ-6'!G19+'SQ-7'!G19+'SQ-8'!G19+'SQ-9'!G19</f>
        <v>0</v>
      </c>
      <c r="G83" s="461" t="e">
        <f t="shared" si="1"/>
        <v>#DIV/0!</v>
      </c>
      <c r="H83" s="467" t="e">
        <f t="shared" si="2"/>
        <v>#DIV/0!</v>
      </c>
      <c r="J83" s="462">
        <f>'SQ-1'!A19</f>
        <v>43966</v>
      </c>
      <c r="K83" s="461">
        <f>'SQ-1'!I19+'SQ-2'!I19+'SQ-3'!I19+'SQ-4'!I19+'SQ-5'!I19+'SQ-6'!I19+'SQ-7'!I19+'SQ-8'!I19+'SQ-9'!I19</f>
        <v>0</v>
      </c>
      <c r="L83" s="461">
        <f>'SQ-1'!K19+'SQ-2'!K19+'SQ-3'!K19+'SQ-4'!K19+'SQ-5'!K19+'SQ-6'!K19+'SQ-7'!K19+'SQ-8'!K19+'SQ-9'!K19</f>
        <v>0</v>
      </c>
      <c r="M83" s="461">
        <f>'SQ-1'!L19+'SQ-2'!L19+'SQ-3'!L19+'SQ-4'!L19+'SQ-5'!L19+'SQ-6'!L19+'SQ-7'!L19+'SQ-8'!L19+'SQ-9'!L19</f>
        <v>0</v>
      </c>
      <c r="N83" s="461">
        <f>'SQ-1'!M19+'SQ-2'!M19+'SQ-3'!M19+'SQ-4'!M19+'SQ-5'!M19+'SQ-6'!M19+'SQ-7'!M19+'SQ-8'!M19+'SQ-9'!M19</f>
        <v>0</v>
      </c>
      <c r="O83" s="461">
        <f>'SQ-1'!N19+'SQ-2'!N19+'SQ-3'!N19+'SQ-4'!N19+'SQ-5'!N19+'SQ-6'!N19+'SQ-7'!N19+'SQ-8'!N19+'SQ-9'!N19</f>
        <v>0</v>
      </c>
      <c r="P83" s="461" t="e">
        <f t="shared" si="3"/>
        <v>#DIV/0!</v>
      </c>
      <c r="Q83" s="467" t="e">
        <f t="shared" si="4"/>
        <v>#DIV/0!</v>
      </c>
      <c r="S83" s="462">
        <f>'SQ-1'!A19</f>
        <v>43966</v>
      </c>
      <c r="T83" s="461">
        <f>'SQ-1'!P19+'SQ-2'!P19+'SQ-3'!P19+'SQ-4'!P19+'SQ-5'!P19+'SQ-6'!P19+'SQ-7'!P19+'SQ-8'!P19+'SQ-9'!P19</f>
        <v>0</v>
      </c>
      <c r="U83" s="461">
        <f>'SQ-1'!R19+'SQ-2'!R19+'SQ-3'!R19+'SQ-4'!R19+'SQ-5'!R19+'SQ-6'!R19+'SQ-7'!R19+'SQ-8'!R19+'SQ-9'!R19</f>
        <v>0</v>
      </c>
      <c r="V83" s="461">
        <f>'SQ-1'!S19+'SQ-2'!S19+'SQ-3'!S19+'SQ-4'!S19+'SQ-5'!S19+'SQ-6'!S19+'SQ-7'!S19+'SQ-8'!S19+'SQ-9'!S19</f>
        <v>0</v>
      </c>
      <c r="W83" s="461">
        <f>'SQ-1'!T19+'SQ-2'!T19+'SQ-3'!T19+'SQ-4'!T19+'SQ-5'!T19+'SQ-6'!T19+'SQ-7'!T19+'SQ-8'!T19+'SQ-9'!T19</f>
        <v>0</v>
      </c>
      <c r="X83" s="461">
        <f>'SQ-1'!U19+'SQ-2'!U19+'SQ-3'!U19+'SQ-4'!U19+'SQ-5'!U19+'SQ-6'!U19+'SQ-7'!U19+'SQ-8'!U19+'SQ-9'!U19</f>
        <v>0</v>
      </c>
      <c r="Y83" s="461" t="e">
        <f t="shared" si="0"/>
        <v>#DIV/0!</v>
      </c>
      <c r="Z83" s="467" t="e">
        <f t="shared" si="5"/>
        <v>#DIV/0!</v>
      </c>
      <c r="AC83" s="462">
        <f t="shared" si="6"/>
        <v>43966</v>
      </c>
      <c r="AD83" s="461">
        <f t="shared" si="7"/>
        <v>0</v>
      </c>
      <c r="AE83" s="461">
        <f t="shared" si="8"/>
        <v>0</v>
      </c>
      <c r="AF83" s="461">
        <f t="shared" si="9"/>
        <v>0</v>
      </c>
      <c r="AG83" s="461">
        <f t="shared" si="10"/>
        <v>0</v>
      </c>
      <c r="AH83" s="461">
        <f t="shared" si="11"/>
        <v>0</v>
      </c>
      <c r="AI83" s="461" t="e">
        <f t="shared" si="12"/>
        <v>#DIV/0!</v>
      </c>
      <c r="AJ83" s="467" t="e">
        <f t="shared" si="13"/>
        <v>#DIV/0!</v>
      </c>
    </row>
    <row r="84" spans="1:36">
      <c r="A84" s="462">
        <f>'SQ-1'!A20</f>
        <v>43967</v>
      </c>
      <c r="B84" s="461">
        <f>'SQ-1'!B20+'SQ-2'!B20+'SQ-3'!B20+'SQ-4'!B20+'SQ-5'!B20+'SQ-6'!B20+'SQ-7'!B20+'SQ-8'!B20+'SQ-9'!B20</f>
        <v>0</v>
      </c>
      <c r="C84" s="461">
        <f>'SQ-1'!D20+'SQ-2'!D20+'SQ-3'!D20+'SQ-4'!D20+'SQ-5'!D20+'SQ-6'!D20+'SQ-7'!D20+'SQ-8'!D20+'SQ-9'!D20</f>
        <v>0</v>
      </c>
      <c r="D84" s="461">
        <f>'SQ-1'!E20+'SQ-2'!E20+'SQ-3'!E20+'SQ-4'!E20+'SQ-5'!E20+'SQ-6'!E20+'SQ-7'!E20+'SQ-8'!E20+'SQ-9'!E20</f>
        <v>0</v>
      </c>
      <c r="E84" s="461">
        <f>'SQ-1'!F20+'SQ-2'!F20+'SQ-3'!F20+'SQ-4'!F20+'SQ-5'!F20+'SQ-6'!F20+'SQ-7'!F20+'SQ-8'!F20+'SQ-9'!F20</f>
        <v>0</v>
      </c>
      <c r="F84" s="461">
        <f>'SQ-1'!G20+'SQ-2'!G20+'SQ-3'!G20+'SQ-4'!G20+'SQ-5'!G20+'SQ-6'!G20+'SQ-7'!G20+'SQ-8'!G20+'SQ-9'!G20</f>
        <v>0</v>
      </c>
      <c r="G84" s="461" t="e">
        <f t="shared" si="1"/>
        <v>#DIV/0!</v>
      </c>
      <c r="H84" s="467" t="e">
        <f t="shared" si="2"/>
        <v>#DIV/0!</v>
      </c>
      <c r="J84" s="462">
        <f>'SQ-1'!A20</f>
        <v>43967</v>
      </c>
      <c r="K84" s="461">
        <f>'SQ-1'!I20+'SQ-2'!I20+'SQ-3'!I20+'SQ-4'!I20+'SQ-5'!I20+'SQ-6'!I20+'SQ-7'!I20+'SQ-8'!I20+'SQ-9'!I20</f>
        <v>0</v>
      </c>
      <c r="L84" s="461">
        <f>'SQ-1'!K20+'SQ-2'!K20+'SQ-3'!K20+'SQ-4'!K20+'SQ-5'!K20+'SQ-6'!K20+'SQ-7'!K20+'SQ-8'!K20+'SQ-9'!K20</f>
        <v>0</v>
      </c>
      <c r="M84" s="461">
        <f>'SQ-1'!L20+'SQ-2'!L20+'SQ-3'!L20+'SQ-4'!L20+'SQ-5'!L20+'SQ-6'!L20+'SQ-7'!L20+'SQ-8'!L20+'SQ-9'!L20</f>
        <v>0</v>
      </c>
      <c r="N84" s="461">
        <f>'SQ-1'!M20+'SQ-2'!M20+'SQ-3'!M20+'SQ-4'!M20+'SQ-5'!M20+'SQ-6'!M20+'SQ-7'!M20+'SQ-8'!M20+'SQ-9'!M20</f>
        <v>0</v>
      </c>
      <c r="O84" s="461">
        <f>'SQ-1'!N20+'SQ-2'!N20+'SQ-3'!N20+'SQ-4'!N20+'SQ-5'!N20+'SQ-6'!N20+'SQ-7'!N20+'SQ-8'!N20+'SQ-9'!N20</f>
        <v>0</v>
      </c>
      <c r="P84" s="461" t="e">
        <f t="shared" si="3"/>
        <v>#DIV/0!</v>
      </c>
      <c r="Q84" s="467" t="e">
        <f t="shared" si="4"/>
        <v>#DIV/0!</v>
      </c>
      <c r="S84" s="462">
        <f>'SQ-1'!A20</f>
        <v>43967</v>
      </c>
      <c r="T84" s="461">
        <f>'SQ-1'!P20+'SQ-2'!P20+'SQ-3'!P20+'SQ-4'!P20+'SQ-5'!P20+'SQ-6'!P20+'SQ-7'!P20+'SQ-8'!P20+'SQ-9'!P20</f>
        <v>0</v>
      </c>
      <c r="U84" s="461">
        <f>'SQ-1'!R20+'SQ-2'!R20+'SQ-3'!R20+'SQ-4'!R20+'SQ-5'!R20+'SQ-6'!R20+'SQ-7'!R20+'SQ-8'!R20+'SQ-9'!R20</f>
        <v>0</v>
      </c>
      <c r="V84" s="461">
        <f>'SQ-1'!S20+'SQ-2'!S20+'SQ-3'!S20+'SQ-4'!S20+'SQ-5'!S20+'SQ-6'!S20+'SQ-7'!S20+'SQ-8'!S20+'SQ-9'!S20</f>
        <v>0</v>
      </c>
      <c r="W84" s="461">
        <f>'SQ-1'!T20+'SQ-2'!T20+'SQ-3'!T20+'SQ-4'!T20+'SQ-5'!T20+'SQ-6'!T20+'SQ-7'!T20+'SQ-8'!T20+'SQ-9'!T20</f>
        <v>0</v>
      </c>
      <c r="X84" s="461">
        <f>'SQ-1'!U20+'SQ-2'!U20+'SQ-3'!U20+'SQ-4'!U20+'SQ-5'!U20+'SQ-6'!U20+'SQ-7'!U20+'SQ-8'!U20+'SQ-9'!U20</f>
        <v>0</v>
      </c>
      <c r="Y84" s="461" t="e">
        <f t="shared" si="0"/>
        <v>#DIV/0!</v>
      </c>
      <c r="Z84" s="467" t="e">
        <f t="shared" si="5"/>
        <v>#DIV/0!</v>
      </c>
      <c r="AC84" s="462">
        <f t="shared" si="6"/>
        <v>43967</v>
      </c>
      <c r="AD84" s="461">
        <f t="shared" si="7"/>
        <v>0</v>
      </c>
      <c r="AE84" s="461">
        <f t="shared" si="8"/>
        <v>0</v>
      </c>
      <c r="AF84" s="461">
        <f t="shared" si="9"/>
        <v>0</v>
      </c>
      <c r="AG84" s="461">
        <f t="shared" si="10"/>
        <v>0</v>
      </c>
      <c r="AH84" s="461">
        <f t="shared" si="11"/>
        <v>0</v>
      </c>
      <c r="AI84" s="461" t="e">
        <f t="shared" si="12"/>
        <v>#DIV/0!</v>
      </c>
      <c r="AJ84" s="467" t="e">
        <f t="shared" si="13"/>
        <v>#DIV/0!</v>
      </c>
    </row>
    <row r="85" spans="1:36">
      <c r="A85" s="462">
        <f>'SQ-1'!A21</f>
        <v>43968</v>
      </c>
      <c r="B85" s="461">
        <f>'SQ-1'!B21+'SQ-2'!B21+'SQ-3'!B21+'SQ-4'!B21+'SQ-5'!B21+'SQ-6'!B21+'SQ-7'!B21+'SQ-8'!B21+'SQ-9'!B21</f>
        <v>0</v>
      </c>
      <c r="C85" s="461">
        <f>'SQ-1'!D21+'SQ-2'!D21+'SQ-3'!D21+'SQ-4'!D21+'SQ-5'!D21+'SQ-6'!D21+'SQ-7'!D21+'SQ-8'!D21+'SQ-9'!D21</f>
        <v>0</v>
      </c>
      <c r="D85" s="461">
        <f>'SQ-1'!E21+'SQ-2'!E21+'SQ-3'!E21+'SQ-4'!E21+'SQ-5'!E21+'SQ-6'!E21+'SQ-7'!E21+'SQ-8'!E21+'SQ-9'!E21</f>
        <v>0</v>
      </c>
      <c r="E85" s="461">
        <f>'SQ-1'!F21+'SQ-2'!F21+'SQ-3'!F21+'SQ-4'!F21+'SQ-5'!F21+'SQ-6'!F21+'SQ-7'!F21+'SQ-8'!F21+'SQ-9'!F21</f>
        <v>0</v>
      </c>
      <c r="F85" s="461">
        <f>'SQ-1'!G21+'SQ-2'!G21+'SQ-3'!G21+'SQ-4'!G21+'SQ-5'!G21+'SQ-6'!G21+'SQ-7'!G21+'SQ-8'!G21+'SQ-9'!G21</f>
        <v>0</v>
      </c>
      <c r="G85" s="461" t="e">
        <f t="shared" si="1"/>
        <v>#DIV/0!</v>
      </c>
      <c r="H85" s="467" t="e">
        <f t="shared" si="2"/>
        <v>#DIV/0!</v>
      </c>
      <c r="J85" s="462">
        <f>'SQ-1'!A21</f>
        <v>43968</v>
      </c>
      <c r="K85" s="461">
        <f>'SQ-1'!I21+'SQ-2'!I21+'SQ-3'!I21+'SQ-4'!I21+'SQ-5'!I21+'SQ-6'!I21+'SQ-7'!I21+'SQ-8'!I21+'SQ-9'!I21</f>
        <v>0</v>
      </c>
      <c r="L85" s="461">
        <f>'SQ-1'!K21+'SQ-2'!K21+'SQ-3'!K21+'SQ-4'!K21+'SQ-5'!K21+'SQ-6'!K21+'SQ-7'!K21+'SQ-8'!K21+'SQ-9'!K21</f>
        <v>0</v>
      </c>
      <c r="M85" s="461">
        <f>'SQ-1'!L21+'SQ-2'!L21+'SQ-3'!L21+'SQ-4'!L21+'SQ-5'!L21+'SQ-6'!L21+'SQ-7'!L21+'SQ-8'!L21+'SQ-9'!L21</f>
        <v>0</v>
      </c>
      <c r="N85" s="461">
        <f>'SQ-1'!M21+'SQ-2'!M21+'SQ-3'!M21+'SQ-4'!M21+'SQ-5'!M21+'SQ-6'!M21+'SQ-7'!M21+'SQ-8'!M21+'SQ-9'!M21</f>
        <v>0</v>
      </c>
      <c r="O85" s="461">
        <f>'SQ-1'!N21+'SQ-2'!N21+'SQ-3'!N21+'SQ-4'!N21+'SQ-5'!N21+'SQ-6'!N21+'SQ-7'!N21+'SQ-8'!N21+'SQ-9'!N21</f>
        <v>0</v>
      </c>
      <c r="P85" s="461" t="e">
        <f t="shared" si="3"/>
        <v>#DIV/0!</v>
      </c>
      <c r="Q85" s="467" t="e">
        <f t="shared" si="4"/>
        <v>#DIV/0!</v>
      </c>
      <c r="S85" s="462">
        <f>'SQ-1'!A21</f>
        <v>43968</v>
      </c>
      <c r="T85" s="461">
        <f>'SQ-1'!P21+'SQ-2'!P21+'SQ-3'!P21+'SQ-4'!P21+'SQ-5'!P21+'SQ-6'!P21+'SQ-7'!P21+'SQ-8'!P21+'SQ-9'!P21</f>
        <v>0</v>
      </c>
      <c r="U85" s="461">
        <f>'SQ-1'!R21+'SQ-2'!R21+'SQ-3'!R21+'SQ-4'!R21+'SQ-5'!R21+'SQ-6'!R21+'SQ-7'!R21+'SQ-8'!R21+'SQ-9'!R21</f>
        <v>0</v>
      </c>
      <c r="V85" s="461">
        <f>'SQ-1'!S21+'SQ-2'!S21+'SQ-3'!S21+'SQ-4'!S21+'SQ-5'!S21+'SQ-6'!S21+'SQ-7'!S21+'SQ-8'!S21+'SQ-9'!S21</f>
        <v>0</v>
      </c>
      <c r="W85" s="461">
        <f>'SQ-1'!T21+'SQ-2'!T21+'SQ-3'!T21+'SQ-4'!T21+'SQ-5'!T21+'SQ-6'!T21+'SQ-7'!T21+'SQ-8'!T21+'SQ-9'!T21</f>
        <v>0</v>
      </c>
      <c r="X85" s="461">
        <f>'SQ-1'!U21+'SQ-2'!U21+'SQ-3'!U21+'SQ-4'!U21+'SQ-5'!U21+'SQ-6'!U21+'SQ-7'!U21+'SQ-8'!U21+'SQ-9'!U21</f>
        <v>0</v>
      </c>
      <c r="Y85" s="461" t="e">
        <f t="shared" si="0"/>
        <v>#DIV/0!</v>
      </c>
      <c r="Z85" s="467" t="e">
        <f t="shared" si="5"/>
        <v>#DIV/0!</v>
      </c>
      <c r="AC85" s="462">
        <f t="shared" si="6"/>
        <v>43968</v>
      </c>
      <c r="AD85" s="461">
        <f t="shared" si="7"/>
        <v>0</v>
      </c>
      <c r="AE85" s="461">
        <f t="shared" si="8"/>
        <v>0</v>
      </c>
      <c r="AF85" s="461">
        <f t="shared" si="9"/>
        <v>0</v>
      </c>
      <c r="AG85" s="461">
        <f t="shared" si="10"/>
        <v>0</v>
      </c>
      <c r="AH85" s="461">
        <f t="shared" si="11"/>
        <v>0</v>
      </c>
      <c r="AI85" s="461" t="e">
        <f t="shared" si="12"/>
        <v>#DIV/0!</v>
      </c>
      <c r="AJ85" s="467" t="e">
        <f t="shared" si="13"/>
        <v>#DIV/0!</v>
      </c>
    </row>
    <row r="86" spans="1:36">
      <c r="A86" s="462">
        <f>'SQ-1'!A22</f>
        <v>43969</v>
      </c>
      <c r="B86" s="461">
        <f>'SQ-1'!B22+'SQ-2'!B22+'SQ-3'!B22+'SQ-4'!B22+'SQ-5'!B22+'SQ-6'!B22+'SQ-7'!B22+'SQ-8'!B22+'SQ-9'!B22</f>
        <v>0</v>
      </c>
      <c r="C86" s="461">
        <f>'SQ-1'!D22+'SQ-2'!D22+'SQ-3'!D22+'SQ-4'!D22+'SQ-5'!D22+'SQ-6'!D22+'SQ-7'!D22+'SQ-8'!D22+'SQ-9'!D22</f>
        <v>0</v>
      </c>
      <c r="D86" s="461">
        <f>'SQ-1'!E22+'SQ-2'!E22+'SQ-3'!E22+'SQ-4'!E22+'SQ-5'!E22+'SQ-6'!E22+'SQ-7'!E22+'SQ-8'!E22+'SQ-9'!E22</f>
        <v>0</v>
      </c>
      <c r="E86" s="461">
        <f>'SQ-1'!F22+'SQ-2'!F22+'SQ-3'!F22+'SQ-4'!F22+'SQ-5'!F22+'SQ-6'!F22+'SQ-7'!F22+'SQ-8'!F22+'SQ-9'!F22</f>
        <v>0</v>
      </c>
      <c r="F86" s="461">
        <f>'SQ-1'!G22+'SQ-2'!G22+'SQ-3'!G22+'SQ-4'!G22+'SQ-5'!G22+'SQ-6'!G22+'SQ-7'!G22+'SQ-8'!G22+'SQ-9'!G22</f>
        <v>0</v>
      </c>
      <c r="G86" s="461" t="e">
        <f t="shared" si="1"/>
        <v>#DIV/0!</v>
      </c>
      <c r="H86" s="467" t="e">
        <f t="shared" si="2"/>
        <v>#DIV/0!</v>
      </c>
      <c r="J86" s="462">
        <f>'SQ-1'!A22</f>
        <v>43969</v>
      </c>
      <c r="K86" s="461">
        <f>'SQ-1'!I22+'SQ-2'!I22+'SQ-3'!I22+'SQ-4'!I22+'SQ-5'!I22+'SQ-6'!I22+'SQ-7'!I22+'SQ-8'!I22+'SQ-9'!I22</f>
        <v>0</v>
      </c>
      <c r="L86" s="461">
        <f>'SQ-1'!K22+'SQ-2'!K22+'SQ-3'!K22+'SQ-4'!K22+'SQ-5'!K22+'SQ-6'!K22+'SQ-7'!K22+'SQ-8'!K22+'SQ-9'!K22</f>
        <v>0</v>
      </c>
      <c r="M86" s="461">
        <f>'SQ-1'!L22+'SQ-2'!L22+'SQ-3'!L22+'SQ-4'!L22+'SQ-5'!L22+'SQ-6'!L22+'SQ-7'!L22+'SQ-8'!L22+'SQ-9'!L22</f>
        <v>0</v>
      </c>
      <c r="N86" s="461">
        <f>'SQ-1'!M22+'SQ-2'!M22+'SQ-3'!M22+'SQ-4'!M22+'SQ-5'!M22+'SQ-6'!M22+'SQ-7'!M22+'SQ-8'!M22+'SQ-9'!M22</f>
        <v>0</v>
      </c>
      <c r="O86" s="461">
        <f>'SQ-1'!N22+'SQ-2'!N22+'SQ-3'!N22+'SQ-4'!N22+'SQ-5'!N22+'SQ-6'!N22+'SQ-7'!N22+'SQ-8'!N22+'SQ-9'!N22</f>
        <v>0</v>
      </c>
      <c r="P86" s="461" t="e">
        <f t="shared" si="3"/>
        <v>#DIV/0!</v>
      </c>
      <c r="Q86" s="467" t="e">
        <f t="shared" si="4"/>
        <v>#DIV/0!</v>
      </c>
      <c r="S86" s="462">
        <f>'SQ-1'!A22</f>
        <v>43969</v>
      </c>
      <c r="T86" s="461">
        <f>'SQ-1'!P22+'SQ-2'!P22+'SQ-3'!P22+'SQ-4'!P22+'SQ-5'!P22+'SQ-6'!P22+'SQ-7'!P22+'SQ-8'!P22+'SQ-9'!P22</f>
        <v>0</v>
      </c>
      <c r="U86" s="461">
        <f>'SQ-1'!R22+'SQ-2'!R22+'SQ-3'!R22+'SQ-4'!R22+'SQ-5'!R22+'SQ-6'!R22+'SQ-7'!R22+'SQ-8'!R22+'SQ-9'!R22</f>
        <v>0</v>
      </c>
      <c r="V86" s="461">
        <f>'SQ-1'!S22+'SQ-2'!S22+'SQ-3'!S22+'SQ-4'!S22+'SQ-5'!S22+'SQ-6'!S22+'SQ-7'!S22+'SQ-8'!S22+'SQ-9'!S22</f>
        <v>0</v>
      </c>
      <c r="W86" s="461">
        <f>'SQ-1'!T22+'SQ-2'!T22+'SQ-3'!T22+'SQ-4'!T22+'SQ-5'!T22+'SQ-6'!T22+'SQ-7'!T22+'SQ-8'!T22+'SQ-9'!T22</f>
        <v>0</v>
      </c>
      <c r="X86" s="461">
        <f>'SQ-1'!U22+'SQ-2'!U22+'SQ-3'!U22+'SQ-4'!U22+'SQ-5'!U22+'SQ-6'!U22+'SQ-7'!U22+'SQ-8'!U22+'SQ-9'!U22</f>
        <v>0</v>
      </c>
      <c r="Y86" s="461" t="e">
        <f t="shared" si="0"/>
        <v>#DIV/0!</v>
      </c>
      <c r="Z86" s="467" t="e">
        <f t="shared" si="5"/>
        <v>#DIV/0!</v>
      </c>
      <c r="AC86" s="462">
        <f t="shared" si="6"/>
        <v>43969</v>
      </c>
      <c r="AD86" s="461">
        <f t="shared" si="7"/>
        <v>0</v>
      </c>
      <c r="AE86" s="461">
        <f t="shared" si="8"/>
        <v>0</v>
      </c>
      <c r="AF86" s="461">
        <f t="shared" si="9"/>
        <v>0</v>
      </c>
      <c r="AG86" s="461">
        <f t="shared" si="10"/>
        <v>0</v>
      </c>
      <c r="AH86" s="461">
        <f t="shared" si="11"/>
        <v>0</v>
      </c>
      <c r="AI86" s="461" t="e">
        <f t="shared" si="12"/>
        <v>#DIV/0!</v>
      </c>
      <c r="AJ86" s="467" t="e">
        <f t="shared" si="13"/>
        <v>#DIV/0!</v>
      </c>
    </row>
    <row r="87" spans="1:36">
      <c r="A87" s="462">
        <f>'SQ-1'!A23</f>
        <v>43970</v>
      </c>
      <c r="B87" s="461">
        <f>'SQ-1'!B23+'SQ-2'!B23+'SQ-3'!B23+'SQ-4'!B23+'SQ-5'!B23+'SQ-6'!B23+'SQ-7'!B23+'SQ-8'!B23+'SQ-9'!B23</f>
        <v>0</v>
      </c>
      <c r="C87" s="461">
        <f>'SQ-1'!D23+'SQ-2'!D23+'SQ-3'!D23+'SQ-4'!D23+'SQ-5'!D23+'SQ-6'!D23+'SQ-7'!D23+'SQ-8'!D23+'SQ-9'!D23</f>
        <v>0</v>
      </c>
      <c r="D87" s="461">
        <f>'SQ-1'!E23+'SQ-2'!E23+'SQ-3'!E23+'SQ-4'!E23+'SQ-5'!E23+'SQ-6'!E23+'SQ-7'!E23+'SQ-8'!E23+'SQ-9'!E23</f>
        <v>0</v>
      </c>
      <c r="E87" s="461">
        <f>'SQ-1'!F23+'SQ-2'!F23+'SQ-3'!F23+'SQ-4'!F23+'SQ-5'!F23+'SQ-6'!F23+'SQ-7'!F23+'SQ-8'!F23+'SQ-9'!F23</f>
        <v>0</v>
      </c>
      <c r="F87" s="461">
        <f>'SQ-1'!G23+'SQ-2'!G23+'SQ-3'!G23+'SQ-4'!G23+'SQ-5'!G23+'SQ-6'!G23+'SQ-7'!G23+'SQ-8'!G23+'SQ-9'!G23</f>
        <v>0</v>
      </c>
      <c r="G87" s="461" t="e">
        <f t="shared" si="1"/>
        <v>#DIV/0!</v>
      </c>
      <c r="H87" s="467" t="e">
        <f t="shared" si="2"/>
        <v>#DIV/0!</v>
      </c>
      <c r="J87" s="462">
        <f>'SQ-1'!A23</f>
        <v>43970</v>
      </c>
      <c r="K87" s="461">
        <f>'SQ-1'!I23+'SQ-2'!I23+'SQ-3'!I23+'SQ-4'!I23+'SQ-5'!I23+'SQ-6'!I23+'SQ-7'!I23+'SQ-8'!I23+'SQ-9'!I23</f>
        <v>0</v>
      </c>
      <c r="L87" s="461">
        <f>'SQ-1'!K23+'SQ-2'!K23+'SQ-3'!K23+'SQ-4'!K23+'SQ-5'!K23+'SQ-6'!K23+'SQ-7'!K23+'SQ-8'!K23+'SQ-9'!K23</f>
        <v>0</v>
      </c>
      <c r="M87" s="461">
        <f>'SQ-1'!L23+'SQ-2'!L23+'SQ-3'!L23+'SQ-4'!L23+'SQ-5'!L23+'SQ-6'!L23+'SQ-7'!L23+'SQ-8'!L23+'SQ-9'!L23</f>
        <v>0</v>
      </c>
      <c r="N87" s="461">
        <f>'SQ-1'!M23+'SQ-2'!M23+'SQ-3'!M23+'SQ-4'!M23+'SQ-5'!M23+'SQ-6'!M23+'SQ-7'!M23+'SQ-8'!M23+'SQ-9'!M23</f>
        <v>0</v>
      </c>
      <c r="O87" s="461">
        <f>'SQ-1'!N23+'SQ-2'!N23+'SQ-3'!N23+'SQ-4'!N23+'SQ-5'!N23+'SQ-6'!N23+'SQ-7'!N23+'SQ-8'!N23+'SQ-9'!N23</f>
        <v>0</v>
      </c>
      <c r="P87" s="461" t="e">
        <f t="shared" si="3"/>
        <v>#DIV/0!</v>
      </c>
      <c r="Q87" s="467" t="e">
        <f t="shared" si="4"/>
        <v>#DIV/0!</v>
      </c>
      <c r="S87" s="462">
        <f>'SQ-1'!A23</f>
        <v>43970</v>
      </c>
      <c r="T87" s="461">
        <f>'SQ-1'!P23+'SQ-2'!P23+'SQ-3'!P23+'SQ-4'!P23+'SQ-5'!P23+'SQ-6'!P23+'SQ-7'!P23+'SQ-8'!P23+'SQ-9'!P23</f>
        <v>0</v>
      </c>
      <c r="U87" s="461">
        <f>'SQ-1'!R23+'SQ-2'!R23+'SQ-3'!R23+'SQ-4'!R23+'SQ-5'!R23+'SQ-6'!R23+'SQ-7'!R23+'SQ-8'!R23+'SQ-9'!R23</f>
        <v>0</v>
      </c>
      <c r="V87" s="461">
        <f>'SQ-1'!S23+'SQ-2'!S23+'SQ-3'!S23+'SQ-4'!S23+'SQ-5'!S23+'SQ-6'!S23+'SQ-7'!S23+'SQ-8'!S23+'SQ-9'!S23</f>
        <v>0</v>
      </c>
      <c r="W87" s="461">
        <f>'SQ-1'!T23+'SQ-2'!T23+'SQ-3'!T23+'SQ-4'!T23+'SQ-5'!T23+'SQ-6'!T23+'SQ-7'!T23+'SQ-8'!T23+'SQ-9'!T23</f>
        <v>0</v>
      </c>
      <c r="X87" s="461">
        <f>'SQ-1'!U23+'SQ-2'!U23+'SQ-3'!U23+'SQ-4'!U23+'SQ-5'!U23+'SQ-6'!U23+'SQ-7'!U23+'SQ-8'!U23+'SQ-9'!U23</f>
        <v>0</v>
      </c>
      <c r="Y87" s="461" t="e">
        <f t="shared" si="0"/>
        <v>#DIV/0!</v>
      </c>
      <c r="Z87" s="467" t="e">
        <f t="shared" si="5"/>
        <v>#DIV/0!</v>
      </c>
      <c r="AC87" s="462">
        <f t="shared" si="6"/>
        <v>43970</v>
      </c>
      <c r="AD87" s="461">
        <f t="shared" si="7"/>
        <v>0</v>
      </c>
      <c r="AE87" s="461">
        <f t="shared" si="8"/>
        <v>0</v>
      </c>
      <c r="AF87" s="461">
        <f t="shared" si="9"/>
        <v>0</v>
      </c>
      <c r="AG87" s="461">
        <f t="shared" si="10"/>
        <v>0</v>
      </c>
      <c r="AH87" s="461">
        <f t="shared" si="11"/>
        <v>0</v>
      </c>
      <c r="AI87" s="461" t="e">
        <f t="shared" si="12"/>
        <v>#DIV/0!</v>
      </c>
      <c r="AJ87" s="467" t="e">
        <f t="shared" si="13"/>
        <v>#DIV/0!</v>
      </c>
    </row>
    <row r="88" spans="1:36">
      <c r="A88" s="462">
        <f>'SQ-1'!A24</f>
        <v>43971</v>
      </c>
      <c r="B88" s="461">
        <f>'SQ-1'!B24+'SQ-2'!B24+'SQ-3'!B24+'SQ-4'!B24+'SQ-5'!B24+'SQ-6'!B24+'SQ-7'!B24+'SQ-8'!B24+'SQ-9'!B24</f>
        <v>0</v>
      </c>
      <c r="C88" s="461">
        <f>'SQ-1'!D24+'SQ-2'!D24+'SQ-3'!D24+'SQ-4'!D24+'SQ-5'!D24+'SQ-6'!D24+'SQ-7'!D24+'SQ-8'!D24+'SQ-9'!D24</f>
        <v>0</v>
      </c>
      <c r="D88" s="461">
        <f>'SQ-1'!E24+'SQ-2'!E24+'SQ-3'!E24+'SQ-4'!E24+'SQ-5'!E24+'SQ-6'!E24+'SQ-7'!E24+'SQ-8'!E24+'SQ-9'!E24</f>
        <v>0</v>
      </c>
      <c r="E88" s="461">
        <f>'SQ-1'!F24+'SQ-2'!F24+'SQ-3'!F24+'SQ-4'!F24+'SQ-5'!F24+'SQ-6'!F24+'SQ-7'!F24+'SQ-8'!F24+'SQ-9'!F24</f>
        <v>0</v>
      </c>
      <c r="F88" s="461">
        <f>'SQ-1'!G24+'SQ-2'!G24+'SQ-3'!G24+'SQ-4'!G24+'SQ-5'!G24+'SQ-6'!G24+'SQ-7'!G24+'SQ-8'!G24+'SQ-9'!G24</f>
        <v>0</v>
      </c>
      <c r="G88" s="461" t="e">
        <f t="shared" si="1"/>
        <v>#DIV/0!</v>
      </c>
      <c r="H88" s="467" t="e">
        <f t="shared" si="2"/>
        <v>#DIV/0!</v>
      </c>
      <c r="J88" s="462">
        <f>'SQ-1'!A24</f>
        <v>43971</v>
      </c>
      <c r="K88" s="461">
        <f>'SQ-1'!I24+'SQ-2'!I24+'SQ-3'!I24+'SQ-4'!I24+'SQ-5'!I24+'SQ-6'!I24+'SQ-7'!I24+'SQ-8'!I24+'SQ-9'!I24</f>
        <v>0</v>
      </c>
      <c r="L88" s="461">
        <f>'SQ-1'!K24+'SQ-2'!K24+'SQ-3'!K24+'SQ-4'!K24+'SQ-5'!K24+'SQ-6'!K24+'SQ-7'!K24+'SQ-8'!K24+'SQ-9'!K24</f>
        <v>0</v>
      </c>
      <c r="M88" s="461">
        <f>'SQ-1'!L24+'SQ-2'!L24+'SQ-3'!L24+'SQ-4'!L24+'SQ-5'!L24+'SQ-6'!L24+'SQ-7'!L24+'SQ-8'!L24+'SQ-9'!L24</f>
        <v>0</v>
      </c>
      <c r="N88" s="461">
        <f>'SQ-1'!M24+'SQ-2'!M24+'SQ-3'!M24+'SQ-4'!M24+'SQ-5'!M24+'SQ-6'!M24+'SQ-7'!M24+'SQ-8'!M24+'SQ-9'!M24</f>
        <v>0</v>
      </c>
      <c r="O88" s="461">
        <f>'SQ-1'!N24+'SQ-2'!N24+'SQ-3'!N24+'SQ-4'!N24+'SQ-5'!N24+'SQ-6'!N24+'SQ-7'!N24+'SQ-8'!N24+'SQ-9'!N24</f>
        <v>0</v>
      </c>
      <c r="P88" s="461" t="e">
        <f t="shared" si="3"/>
        <v>#DIV/0!</v>
      </c>
      <c r="Q88" s="467" t="e">
        <f t="shared" si="4"/>
        <v>#DIV/0!</v>
      </c>
      <c r="S88" s="462">
        <f>'SQ-1'!A24</f>
        <v>43971</v>
      </c>
      <c r="T88" s="461">
        <f>'SQ-1'!P24+'SQ-2'!P24+'SQ-3'!P24+'SQ-4'!P24+'SQ-5'!P24+'SQ-6'!P24+'SQ-7'!P24+'SQ-8'!P24+'SQ-9'!P24</f>
        <v>0</v>
      </c>
      <c r="U88" s="461">
        <f>'SQ-1'!R24+'SQ-2'!R24+'SQ-3'!R24+'SQ-4'!R24+'SQ-5'!R24+'SQ-6'!R24+'SQ-7'!R24+'SQ-8'!R24+'SQ-9'!R24</f>
        <v>0</v>
      </c>
      <c r="V88" s="461">
        <f>'SQ-1'!S24+'SQ-2'!S24+'SQ-3'!S24+'SQ-4'!S24+'SQ-5'!S24+'SQ-6'!S24+'SQ-7'!S24+'SQ-8'!S24+'SQ-9'!S24</f>
        <v>0</v>
      </c>
      <c r="W88" s="461">
        <f>'SQ-1'!T24+'SQ-2'!T24+'SQ-3'!T24+'SQ-4'!T24+'SQ-5'!T24+'SQ-6'!T24+'SQ-7'!T24+'SQ-8'!T24+'SQ-9'!T24</f>
        <v>0</v>
      </c>
      <c r="X88" s="461">
        <f>'SQ-1'!U24+'SQ-2'!U24+'SQ-3'!U24+'SQ-4'!U24+'SQ-5'!U24+'SQ-6'!U24+'SQ-7'!U24+'SQ-8'!U24+'SQ-9'!U24</f>
        <v>0</v>
      </c>
      <c r="Y88" s="461" t="e">
        <f t="shared" si="0"/>
        <v>#DIV/0!</v>
      </c>
      <c r="Z88" s="467" t="e">
        <f t="shared" si="5"/>
        <v>#DIV/0!</v>
      </c>
      <c r="AC88" s="462">
        <f t="shared" si="6"/>
        <v>43971</v>
      </c>
      <c r="AD88" s="461">
        <f t="shared" si="7"/>
        <v>0</v>
      </c>
      <c r="AE88" s="461">
        <f t="shared" si="8"/>
        <v>0</v>
      </c>
      <c r="AF88" s="461">
        <f t="shared" si="9"/>
        <v>0</v>
      </c>
      <c r="AG88" s="461">
        <f t="shared" si="10"/>
        <v>0</v>
      </c>
      <c r="AH88" s="461">
        <f t="shared" si="11"/>
        <v>0</v>
      </c>
      <c r="AI88" s="461" t="e">
        <f t="shared" si="12"/>
        <v>#DIV/0!</v>
      </c>
      <c r="AJ88" s="467" t="e">
        <f t="shared" si="13"/>
        <v>#DIV/0!</v>
      </c>
    </row>
    <row r="89" spans="1:36">
      <c r="A89" s="462">
        <f>'SQ-1'!A25</f>
        <v>43972</v>
      </c>
      <c r="B89" s="461">
        <f>'SQ-1'!B25+'SQ-2'!B25+'SQ-3'!B25+'SQ-4'!B25+'SQ-5'!B25+'SQ-6'!B25+'SQ-7'!B25+'SQ-8'!B25+'SQ-9'!B25</f>
        <v>0</v>
      </c>
      <c r="C89" s="461">
        <f>'SQ-1'!D25+'SQ-2'!D25+'SQ-3'!D25+'SQ-4'!D25+'SQ-5'!D25+'SQ-6'!D25+'SQ-7'!D25+'SQ-8'!D25+'SQ-9'!D25</f>
        <v>0</v>
      </c>
      <c r="D89" s="461">
        <f>'SQ-1'!E25+'SQ-2'!E25+'SQ-3'!E25+'SQ-4'!E25+'SQ-5'!E25+'SQ-6'!E25+'SQ-7'!E25+'SQ-8'!E25+'SQ-9'!E25</f>
        <v>0</v>
      </c>
      <c r="E89" s="461">
        <f>'SQ-1'!F25+'SQ-2'!F25+'SQ-3'!F25+'SQ-4'!F25+'SQ-5'!F25+'SQ-6'!F25+'SQ-7'!F25+'SQ-8'!F25+'SQ-9'!F25</f>
        <v>0</v>
      </c>
      <c r="F89" s="461">
        <f>'SQ-1'!G25+'SQ-2'!G25+'SQ-3'!G25+'SQ-4'!G25+'SQ-5'!G25+'SQ-6'!G25+'SQ-7'!G25+'SQ-8'!G25+'SQ-9'!G25</f>
        <v>0</v>
      </c>
      <c r="G89" s="461" t="e">
        <f t="shared" si="1"/>
        <v>#DIV/0!</v>
      </c>
      <c r="H89" s="467" t="e">
        <f t="shared" si="2"/>
        <v>#DIV/0!</v>
      </c>
      <c r="J89" s="462">
        <f>'SQ-1'!A25</f>
        <v>43972</v>
      </c>
      <c r="K89" s="461">
        <f>'SQ-1'!I25+'SQ-2'!I25+'SQ-3'!I25+'SQ-4'!I25+'SQ-5'!I25+'SQ-6'!I25+'SQ-7'!I25+'SQ-8'!I25+'SQ-9'!I25</f>
        <v>0</v>
      </c>
      <c r="L89" s="461">
        <f>'SQ-1'!K25+'SQ-2'!K25+'SQ-3'!K25+'SQ-4'!K25+'SQ-5'!K25+'SQ-6'!K25+'SQ-7'!K25+'SQ-8'!K25+'SQ-9'!K25</f>
        <v>0</v>
      </c>
      <c r="M89" s="461">
        <f>'SQ-1'!L25+'SQ-2'!L25+'SQ-3'!L25+'SQ-4'!L25+'SQ-5'!L25+'SQ-6'!L25+'SQ-7'!L25+'SQ-8'!L25+'SQ-9'!L25</f>
        <v>0</v>
      </c>
      <c r="N89" s="461">
        <f>'SQ-1'!M25+'SQ-2'!M25+'SQ-3'!M25+'SQ-4'!M25+'SQ-5'!M25+'SQ-6'!M25+'SQ-7'!M25+'SQ-8'!M25+'SQ-9'!M25</f>
        <v>0</v>
      </c>
      <c r="O89" s="461">
        <f>'SQ-1'!N25+'SQ-2'!N25+'SQ-3'!N25+'SQ-4'!N25+'SQ-5'!N25+'SQ-6'!N25+'SQ-7'!N25+'SQ-8'!N25+'SQ-9'!N25</f>
        <v>0</v>
      </c>
      <c r="P89" s="461" t="e">
        <f t="shared" si="3"/>
        <v>#DIV/0!</v>
      </c>
      <c r="Q89" s="467" t="e">
        <f t="shared" si="4"/>
        <v>#DIV/0!</v>
      </c>
      <c r="S89" s="462">
        <f>'SQ-1'!A25</f>
        <v>43972</v>
      </c>
      <c r="T89" s="461">
        <f>'SQ-1'!P25+'SQ-2'!P25+'SQ-3'!P25+'SQ-4'!P25+'SQ-5'!P25+'SQ-6'!P25+'SQ-7'!P25+'SQ-8'!P25+'SQ-9'!P25</f>
        <v>0</v>
      </c>
      <c r="U89" s="461">
        <f>'SQ-1'!R25+'SQ-2'!R25+'SQ-3'!R25+'SQ-4'!R25+'SQ-5'!R25+'SQ-6'!R25+'SQ-7'!R25+'SQ-8'!R25+'SQ-9'!R25</f>
        <v>0</v>
      </c>
      <c r="V89" s="461">
        <f>'SQ-1'!S25+'SQ-2'!S25+'SQ-3'!S25+'SQ-4'!S25+'SQ-5'!S25+'SQ-6'!S25+'SQ-7'!S25+'SQ-8'!S25+'SQ-9'!S25</f>
        <v>0</v>
      </c>
      <c r="W89" s="461">
        <f>'SQ-1'!T25+'SQ-2'!T25+'SQ-3'!T25+'SQ-4'!T25+'SQ-5'!T25+'SQ-6'!T25+'SQ-7'!T25+'SQ-8'!T25+'SQ-9'!T25</f>
        <v>0</v>
      </c>
      <c r="X89" s="461">
        <f>'SQ-1'!U25+'SQ-2'!U25+'SQ-3'!U25+'SQ-4'!U25+'SQ-5'!U25+'SQ-6'!U25+'SQ-7'!U25+'SQ-8'!U25+'SQ-9'!U25</f>
        <v>0</v>
      </c>
      <c r="Y89" s="461" t="e">
        <f t="shared" si="0"/>
        <v>#DIV/0!</v>
      </c>
      <c r="Z89" s="467" t="e">
        <f t="shared" si="5"/>
        <v>#DIV/0!</v>
      </c>
      <c r="AC89" s="462">
        <f t="shared" si="6"/>
        <v>43972</v>
      </c>
      <c r="AD89" s="461">
        <f t="shared" si="7"/>
        <v>0</v>
      </c>
      <c r="AE89" s="461">
        <f t="shared" si="8"/>
        <v>0</v>
      </c>
      <c r="AF89" s="461">
        <f t="shared" si="9"/>
        <v>0</v>
      </c>
      <c r="AG89" s="461">
        <f t="shared" si="10"/>
        <v>0</v>
      </c>
      <c r="AH89" s="461">
        <f t="shared" si="11"/>
        <v>0</v>
      </c>
      <c r="AI89" s="461" t="e">
        <f t="shared" si="12"/>
        <v>#DIV/0!</v>
      </c>
      <c r="AJ89" s="467" t="e">
        <f t="shared" si="13"/>
        <v>#DIV/0!</v>
      </c>
    </row>
    <row r="90" spans="1:36">
      <c r="A90" s="462">
        <f>'SQ-1'!A26</f>
        <v>43973</v>
      </c>
      <c r="B90" s="461">
        <f>'SQ-1'!B26+'SQ-2'!B26+'SQ-3'!B26+'SQ-4'!B26+'SQ-5'!B26+'SQ-6'!B26+'SQ-7'!B26+'SQ-8'!B26+'SQ-9'!B26</f>
        <v>0</v>
      </c>
      <c r="C90" s="461">
        <f>'SQ-1'!D26+'SQ-2'!D26+'SQ-3'!D26+'SQ-4'!D26+'SQ-5'!D26+'SQ-6'!D26+'SQ-7'!D26+'SQ-8'!D26+'SQ-9'!D26</f>
        <v>0</v>
      </c>
      <c r="D90" s="461">
        <f>'SQ-1'!E26+'SQ-2'!E26+'SQ-3'!E26+'SQ-4'!E26+'SQ-5'!E26+'SQ-6'!E26+'SQ-7'!E26+'SQ-8'!E26+'SQ-9'!E26</f>
        <v>0</v>
      </c>
      <c r="E90" s="461">
        <f>'SQ-1'!F26+'SQ-2'!F26+'SQ-3'!F26+'SQ-4'!F26+'SQ-5'!F26+'SQ-6'!F26+'SQ-7'!F26+'SQ-8'!F26+'SQ-9'!F26</f>
        <v>0</v>
      </c>
      <c r="F90" s="461">
        <f>'SQ-1'!G26+'SQ-2'!G26+'SQ-3'!G26+'SQ-4'!G26+'SQ-5'!G26+'SQ-6'!G26+'SQ-7'!G26+'SQ-8'!G26+'SQ-9'!G26</f>
        <v>0</v>
      </c>
      <c r="G90" s="461" t="e">
        <f t="shared" si="1"/>
        <v>#DIV/0!</v>
      </c>
      <c r="H90" s="467" t="e">
        <f t="shared" si="2"/>
        <v>#DIV/0!</v>
      </c>
      <c r="J90" s="462">
        <f>'SQ-1'!A26</f>
        <v>43973</v>
      </c>
      <c r="K90" s="461">
        <f>'SQ-1'!I26+'SQ-2'!I26+'SQ-3'!I26+'SQ-4'!I26+'SQ-5'!I26+'SQ-6'!I26+'SQ-7'!I26+'SQ-8'!I26+'SQ-9'!I26</f>
        <v>0</v>
      </c>
      <c r="L90" s="461">
        <f>'SQ-1'!K26+'SQ-2'!K26+'SQ-3'!K26+'SQ-4'!K26+'SQ-5'!K26+'SQ-6'!K26+'SQ-7'!K26+'SQ-8'!K26+'SQ-9'!K26</f>
        <v>0</v>
      </c>
      <c r="M90" s="461">
        <f>'SQ-1'!L26+'SQ-2'!L26+'SQ-3'!L26+'SQ-4'!L26+'SQ-5'!L26+'SQ-6'!L26+'SQ-7'!L26+'SQ-8'!L26+'SQ-9'!L26</f>
        <v>0</v>
      </c>
      <c r="N90" s="461">
        <f>'SQ-1'!M26+'SQ-2'!M26+'SQ-3'!M26+'SQ-4'!M26+'SQ-5'!M26+'SQ-6'!M26+'SQ-7'!M26+'SQ-8'!M26+'SQ-9'!M26</f>
        <v>0</v>
      </c>
      <c r="O90" s="461">
        <f>'SQ-1'!N26+'SQ-2'!N26+'SQ-3'!N26+'SQ-4'!N26+'SQ-5'!N26+'SQ-6'!N26+'SQ-7'!N26+'SQ-8'!N26+'SQ-9'!N26</f>
        <v>0</v>
      </c>
      <c r="P90" s="461" t="e">
        <f t="shared" si="3"/>
        <v>#DIV/0!</v>
      </c>
      <c r="Q90" s="467" t="e">
        <f t="shared" si="4"/>
        <v>#DIV/0!</v>
      </c>
      <c r="S90" s="462">
        <f>'SQ-1'!A26</f>
        <v>43973</v>
      </c>
      <c r="T90" s="461">
        <f>'SQ-1'!P26+'SQ-2'!P26+'SQ-3'!P26+'SQ-4'!P26+'SQ-5'!P26+'SQ-6'!P26+'SQ-7'!P26+'SQ-8'!P26+'SQ-9'!P26</f>
        <v>0</v>
      </c>
      <c r="U90" s="461">
        <f>'SQ-1'!R26+'SQ-2'!R26+'SQ-3'!R26+'SQ-4'!R26+'SQ-5'!R26+'SQ-6'!R26+'SQ-7'!R26+'SQ-8'!R26+'SQ-9'!R26</f>
        <v>0</v>
      </c>
      <c r="V90" s="461">
        <f>'SQ-1'!S26+'SQ-2'!S26+'SQ-3'!S26+'SQ-4'!S26+'SQ-5'!S26+'SQ-6'!S26+'SQ-7'!S26+'SQ-8'!S26+'SQ-9'!S26</f>
        <v>0</v>
      </c>
      <c r="W90" s="461">
        <f>'SQ-1'!T26+'SQ-2'!T26+'SQ-3'!T26+'SQ-4'!T26+'SQ-5'!T26+'SQ-6'!T26+'SQ-7'!T26+'SQ-8'!T26+'SQ-9'!T26</f>
        <v>0</v>
      </c>
      <c r="X90" s="461">
        <f>'SQ-1'!U26+'SQ-2'!U26+'SQ-3'!U26+'SQ-4'!U26+'SQ-5'!U26+'SQ-6'!U26+'SQ-7'!U26+'SQ-8'!U26+'SQ-9'!U26</f>
        <v>0</v>
      </c>
      <c r="Y90" s="461" t="e">
        <f t="shared" si="0"/>
        <v>#DIV/0!</v>
      </c>
      <c r="Z90" s="467" t="e">
        <f t="shared" si="5"/>
        <v>#DIV/0!</v>
      </c>
      <c r="AC90" s="462">
        <f t="shared" si="6"/>
        <v>43973</v>
      </c>
      <c r="AD90" s="461">
        <f t="shared" si="7"/>
        <v>0</v>
      </c>
      <c r="AE90" s="461">
        <f t="shared" si="8"/>
        <v>0</v>
      </c>
      <c r="AF90" s="461">
        <f t="shared" si="9"/>
        <v>0</v>
      </c>
      <c r="AG90" s="461">
        <f t="shared" si="10"/>
        <v>0</v>
      </c>
      <c r="AH90" s="461">
        <f t="shared" si="11"/>
        <v>0</v>
      </c>
      <c r="AI90" s="461" t="e">
        <f t="shared" si="12"/>
        <v>#DIV/0!</v>
      </c>
      <c r="AJ90" s="467" t="e">
        <f t="shared" si="13"/>
        <v>#DIV/0!</v>
      </c>
    </row>
    <row r="91" spans="1:36">
      <c r="A91" s="462">
        <f>'SQ-1'!A27</f>
        <v>43974</v>
      </c>
      <c r="B91" s="461">
        <f>'SQ-1'!B27+'SQ-2'!B27+'SQ-3'!B27+'SQ-4'!B27+'SQ-5'!B27+'SQ-6'!B27+'SQ-7'!B27+'SQ-8'!B27+'SQ-9'!B27</f>
        <v>0</v>
      </c>
      <c r="C91" s="461">
        <f>'SQ-1'!D27+'SQ-2'!D27+'SQ-3'!D27+'SQ-4'!D27+'SQ-5'!D27+'SQ-6'!D27+'SQ-7'!D27+'SQ-8'!D27+'SQ-9'!D27</f>
        <v>0</v>
      </c>
      <c r="D91" s="461">
        <f>'SQ-1'!E27+'SQ-2'!E27+'SQ-3'!E27+'SQ-4'!E27+'SQ-5'!E27+'SQ-6'!E27+'SQ-7'!E27+'SQ-8'!E27+'SQ-9'!E27</f>
        <v>0</v>
      </c>
      <c r="E91" s="461">
        <f>'SQ-1'!F27+'SQ-2'!F27+'SQ-3'!F27+'SQ-4'!F27+'SQ-5'!F27+'SQ-6'!F27+'SQ-7'!F27+'SQ-8'!F27+'SQ-9'!F27</f>
        <v>0</v>
      </c>
      <c r="F91" s="461">
        <f>'SQ-1'!G27+'SQ-2'!G27+'SQ-3'!G27+'SQ-4'!G27+'SQ-5'!G27+'SQ-6'!G27+'SQ-7'!G27+'SQ-8'!G27+'SQ-9'!G27</f>
        <v>0</v>
      </c>
      <c r="G91" s="461" t="e">
        <f t="shared" si="1"/>
        <v>#DIV/0!</v>
      </c>
      <c r="H91" s="467" t="e">
        <f t="shared" si="2"/>
        <v>#DIV/0!</v>
      </c>
      <c r="J91" s="462">
        <f>'SQ-1'!A27</f>
        <v>43974</v>
      </c>
      <c r="K91" s="461">
        <f>'SQ-1'!I27+'SQ-2'!I27+'SQ-3'!I27+'SQ-4'!I27+'SQ-5'!I27+'SQ-6'!I27+'SQ-7'!I27+'SQ-8'!I27+'SQ-9'!I27</f>
        <v>0</v>
      </c>
      <c r="L91" s="461">
        <f>'SQ-1'!K27+'SQ-2'!K27+'SQ-3'!K27+'SQ-4'!K27+'SQ-5'!K27+'SQ-6'!K27+'SQ-7'!K27+'SQ-8'!K27+'SQ-9'!K27</f>
        <v>0</v>
      </c>
      <c r="M91" s="461">
        <f>'SQ-1'!L27+'SQ-2'!L27+'SQ-3'!L27+'SQ-4'!L27+'SQ-5'!L27+'SQ-6'!L27+'SQ-7'!L27+'SQ-8'!L27+'SQ-9'!L27</f>
        <v>0</v>
      </c>
      <c r="N91" s="461">
        <f>'SQ-1'!M27+'SQ-2'!M27+'SQ-3'!M27+'SQ-4'!M27+'SQ-5'!M27+'SQ-6'!M27+'SQ-7'!M27+'SQ-8'!M27+'SQ-9'!M27</f>
        <v>0</v>
      </c>
      <c r="O91" s="461">
        <f>'SQ-1'!N27+'SQ-2'!N27+'SQ-3'!N27+'SQ-4'!N27+'SQ-5'!N27+'SQ-6'!N27+'SQ-7'!N27+'SQ-8'!N27+'SQ-9'!N27</f>
        <v>0</v>
      </c>
      <c r="P91" s="461" t="e">
        <f t="shared" si="3"/>
        <v>#DIV/0!</v>
      </c>
      <c r="Q91" s="467" t="e">
        <f t="shared" si="4"/>
        <v>#DIV/0!</v>
      </c>
      <c r="S91" s="462">
        <f>'SQ-1'!A27</f>
        <v>43974</v>
      </c>
      <c r="T91" s="461">
        <f>'SQ-1'!P27+'SQ-2'!P27+'SQ-3'!P27+'SQ-4'!P27+'SQ-5'!P27+'SQ-6'!P27+'SQ-7'!P27+'SQ-8'!P27+'SQ-9'!P27</f>
        <v>0</v>
      </c>
      <c r="U91" s="461">
        <f>'SQ-1'!R27+'SQ-2'!R27+'SQ-3'!R27+'SQ-4'!R27+'SQ-5'!R27+'SQ-6'!R27+'SQ-7'!R27+'SQ-8'!R27+'SQ-9'!R27</f>
        <v>0</v>
      </c>
      <c r="V91" s="461">
        <f>'SQ-1'!S27+'SQ-2'!S27+'SQ-3'!S27+'SQ-4'!S27+'SQ-5'!S27+'SQ-6'!S27+'SQ-7'!S27+'SQ-8'!S27+'SQ-9'!S27</f>
        <v>0</v>
      </c>
      <c r="W91" s="461">
        <f>'SQ-1'!T27+'SQ-2'!T27+'SQ-3'!T27+'SQ-4'!T27+'SQ-5'!T27+'SQ-6'!T27+'SQ-7'!T27+'SQ-8'!T27+'SQ-9'!T27</f>
        <v>0</v>
      </c>
      <c r="X91" s="461">
        <f>'SQ-1'!U27+'SQ-2'!U27+'SQ-3'!U27+'SQ-4'!U27+'SQ-5'!U27+'SQ-6'!U27+'SQ-7'!U27+'SQ-8'!U27+'SQ-9'!U27</f>
        <v>0</v>
      </c>
      <c r="Y91" s="461" t="e">
        <f t="shared" si="0"/>
        <v>#DIV/0!</v>
      </c>
      <c r="Z91" s="467" t="e">
        <f t="shared" si="5"/>
        <v>#DIV/0!</v>
      </c>
      <c r="AC91" s="462">
        <f t="shared" si="6"/>
        <v>43974</v>
      </c>
      <c r="AD91" s="461">
        <f t="shared" si="7"/>
        <v>0</v>
      </c>
      <c r="AE91" s="461">
        <f t="shared" si="8"/>
        <v>0</v>
      </c>
      <c r="AF91" s="461">
        <f t="shared" si="9"/>
        <v>0</v>
      </c>
      <c r="AG91" s="461">
        <f t="shared" si="10"/>
        <v>0</v>
      </c>
      <c r="AH91" s="461">
        <f t="shared" si="11"/>
        <v>0</v>
      </c>
      <c r="AI91" s="461" t="e">
        <f t="shared" si="12"/>
        <v>#DIV/0!</v>
      </c>
      <c r="AJ91" s="467" t="e">
        <f t="shared" si="13"/>
        <v>#DIV/0!</v>
      </c>
    </row>
    <row r="92" spans="1:36">
      <c r="A92" s="462">
        <f>'SQ-1'!A28</f>
        <v>43975</v>
      </c>
      <c r="B92" s="461">
        <f>'SQ-1'!B28+'SQ-2'!B28+'SQ-3'!B28+'SQ-4'!B28+'SQ-5'!B28+'SQ-6'!B28+'SQ-7'!B28+'SQ-8'!B28+'SQ-9'!B28</f>
        <v>0</v>
      </c>
      <c r="C92" s="461">
        <f>'SQ-1'!D28+'SQ-2'!D28+'SQ-3'!D28+'SQ-4'!D28+'SQ-5'!D28+'SQ-6'!D28+'SQ-7'!D28+'SQ-8'!D28+'SQ-9'!D28</f>
        <v>0</v>
      </c>
      <c r="D92" s="461">
        <f>'SQ-1'!E28+'SQ-2'!E28+'SQ-3'!E28+'SQ-4'!E28+'SQ-5'!E28+'SQ-6'!E28+'SQ-7'!E28+'SQ-8'!E28+'SQ-9'!E28</f>
        <v>0</v>
      </c>
      <c r="E92" s="461">
        <f>'SQ-1'!F28+'SQ-2'!F28+'SQ-3'!F28+'SQ-4'!F28+'SQ-5'!F28+'SQ-6'!F28+'SQ-7'!F28+'SQ-8'!F28+'SQ-9'!F28</f>
        <v>0</v>
      </c>
      <c r="F92" s="461">
        <f>'SQ-1'!G28+'SQ-2'!G28+'SQ-3'!G28+'SQ-4'!G28+'SQ-5'!G28+'SQ-6'!G28+'SQ-7'!G28+'SQ-8'!G28+'SQ-9'!G28</f>
        <v>0</v>
      </c>
      <c r="G92" s="461" t="e">
        <f t="shared" si="1"/>
        <v>#DIV/0!</v>
      </c>
      <c r="H92" s="467" t="e">
        <f t="shared" si="2"/>
        <v>#DIV/0!</v>
      </c>
      <c r="J92" s="462">
        <f>'SQ-1'!A28</f>
        <v>43975</v>
      </c>
      <c r="K92" s="461">
        <f>'SQ-1'!I28+'SQ-2'!I28+'SQ-3'!I28+'SQ-4'!I28+'SQ-5'!I28+'SQ-6'!I28+'SQ-7'!I28+'SQ-8'!I28+'SQ-9'!I28</f>
        <v>0</v>
      </c>
      <c r="L92" s="461">
        <f>'SQ-1'!K28+'SQ-2'!K28+'SQ-3'!K28+'SQ-4'!K28+'SQ-5'!K28+'SQ-6'!K28+'SQ-7'!K28+'SQ-8'!K28+'SQ-9'!K28</f>
        <v>0</v>
      </c>
      <c r="M92" s="461">
        <f>'SQ-1'!L28+'SQ-2'!L28+'SQ-3'!L28+'SQ-4'!L28+'SQ-5'!L28+'SQ-6'!L28+'SQ-7'!L28+'SQ-8'!L28+'SQ-9'!L28</f>
        <v>0</v>
      </c>
      <c r="N92" s="461">
        <f>'SQ-1'!M28+'SQ-2'!M28+'SQ-3'!M28+'SQ-4'!M28+'SQ-5'!M28+'SQ-6'!M28+'SQ-7'!M28+'SQ-8'!M28+'SQ-9'!M28</f>
        <v>0</v>
      </c>
      <c r="O92" s="461">
        <f>'SQ-1'!N28+'SQ-2'!N28+'SQ-3'!N28+'SQ-4'!N28+'SQ-5'!N28+'SQ-6'!N28+'SQ-7'!N28+'SQ-8'!N28+'SQ-9'!N28</f>
        <v>0</v>
      </c>
      <c r="P92" s="461" t="e">
        <f t="shared" si="3"/>
        <v>#DIV/0!</v>
      </c>
      <c r="Q92" s="467" t="e">
        <f t="shared" si="4"/>
        <v>#DIV/0!</v>
      </c>
      <c r="S92" s="462">
        <f>'SQ-1'!A28</f>
        <v>43975</v>
      </c>
      <c r="T92" s="461">
        <f>'SQ-1'!P28+'SQ-2'!P28+'SQ-3'!P28+'SQ-4'!P28+'SQ-5'!P28+'SQ-6'!P28+'SQ-7'!P28+'SQ-8'!P28+'SQ-9'!P28</f>
        <v>0</v>
      </c>
      <c r="U92" s="461">
        <f>'SQ-1'!R28+'SQ-2'!R28+'SQ-3'!R28+'SQ-4'!R28+'SQ-5'!R28+'SQ-6'!R28+'SQ-7'!R28+'SQ-8'!R28+'SQ-9'!R28</f>
        <v>0</v>
      </c>
      <c r="V92" s="461">
        <f>'SQ-1'!S28+'SQ-2'!S28+'SQ-3'!S28+'SQ-4'!S28+'SQ-5'!S28+'SQ-6'!S28+'SQ-7'!S28+'SQ-8'!S28+'SQ-9'!S28</f>
        <v>0</v>
      </c>
      <c r="W92" s="461">
        <f>'SQ-1'!T28+'SQ-2'!T28+'SQ-3'!T28+'SQ-4'!T28+'SQ-5'!T28+'SQ-6'!T28+'SQ-7'!T28+'SQ-8'!T28+'SQ-9'!T28</f>
        <v>0</v>
      </c>
      <c r="X92" s="461">
        <f>'SQ-1'!U28+'SQ-2'!U28+'SQ-3'!U28+'SQ-4'!U28+'SQ-5'!U28+'SQ-6'!U28+'SQ-7'!U28+'SQ-8'!U28+'SQ-9'!U28</f>
        <v>0</v>
      </c>
      <c r="Y92" s="461" t="e">
        <f t="shared" si="0"/>
        <v>#DIV/0!</v>
      </c>
      <c r="Z92" s="467" t="e">
        <f t="shared" si="5"/>
        <v>#DIV/0!</v>
      </c>
      <c r="AC92" s="462">
        <f t="shared" si="6"/>
        <v>43975</v>
      </c>
      <c r="AD92" s="461">
        <f t="shared" si="7"/>
        <v>0</v>
      </c>
      <c r="AE92" s="461">
        <f t="shared" si="8"/>
        <v>0</v>
      </c>
      <c r="AF92" s="461">
        <f t="shared" si="9"/>
        <v>0</v>
      </c>
      <c r="AG92" s="461">
        <f t="shared" si="10"/>
        <v>0</v>
      </c>
      <c r="AH92" s="461">
        <f t="shared" si="11"/>
        <v>0</v>
      </c>
      <c r="AI92" s="461" t="e">
        <f t="shared" si="12"/>
        <v>#DIV/0!</v>
      </c>
      <c r="AJ92" s="467" t="e">
        <f t="shared" si="13"/>
        <v>#DIV/0!</v>
      </c>
    </row>
    <row r="93" spans="1:36">
      <c r="A93" s="462">
        <f>'SQ-1'!A29</f>
        <v>43976</v>
      </c>
      <c r="B93" s="461">
        <f>'SQ-1'!B29+'SQ-2'!B29+'SQ-3'!B29+'SQ-4'!B29+'SQ-5'!B29+'SQ-6'!B29+'SQ-7'!B29+'SQ-8'!B29+'SQ-9'!B29</f>
        <v>0</v>
      </c>
      <c r="C93" s="461">
        <f>'SQ-1'!D29+'SQ-2'!D29+'SQ-3'!D29+'SQ-4'!D29+'SQ-5'!D29+'SQ-6'!D29+'SQ-7'!D29+'SQ-8'!D29+'SQ-9'!D29</f>
        <v>0</v>
      </c>
      <c r="D93" s="461">
        <f>'SQ-1'!E29+'SQ-2'!E29+'SQ-3'!E29+'SQ-4'!E29+'SQ-5'!E29+'SQ-6'!E29+'SQ-7'!E29+'SQ-8'!E29+'SQ-9'!E29</f>
        <v>0</v>
      </c>
      <c r="E93" s="461">
        <f>'SQ-1'!F29+'SQ-2'!F29+'SQ-3'!F29+'SQ-4'!F29+'SQ-5'!F29+'SQ-6'!F29+'SQ-7'!F29+'SQ-8'!F29+'SQ-9'!F29</f>
        <v>0</v>
      </c>
      <c r="F93" s="461">
        <f>'SQ-1'!G29+'SQ-2'!G29+'SQ-3'!G29+'SQ-4'!G29+'SQ-5'!G29+'SQ-6'!G29+'SQ-7'!G29+'SQ-8'!G29+'SQ-9'!G29</f>
        <v>0</v>
      </c>
      <c r="G93" s="461" t="e">
        <f t="shared" si="1"/>
        <v>#DIV/0!</v>
      </c>
      <c r="H93" s="467" t="e">
        <f t="shared" si="2"/>
        <v>#DIV/0!</v>
      </c>
      <c r="J93" s="462">
        <f>'SQ-1'!A29</f>
        <v>43976</v>
      </c>
      <c r="K93" s="461">
        <f>'SQ-1'!I29+'SQ-2'!I29+'SQ-3'!I29+'SQ-4'!I29+'SQ-5'!I29+'SQ-6'!I29+'SQ-7'!I29+'SQ-8'!I29+'SQ-9'!I29</f>
        <v>0</v>
      </c>
      <c r="L93" s="461">
        <f>'SQ-1'!K29+'SQ-2'!K29+'SQ-3'!K29+'SQ-4'!K29+'SQ-5'!K29+'SQ-6'!K29+'SQ-7'!K29+'SQ-8'!K29+'SQ-9'!K29</f>
        <v>0</v>
      </c>
      <c r="M93" s="461">
        <f>'SQ-1'!L29+'SQ-2'!L29+'SQ-3'!L29+'SQ-4'!L29+'SQ-5'!L29+'SQ-6'!L29+'SQ-7'!L29+'SQ-8'!L29+'SQ-9'!L29</f>
        <v>0</v>
      </c>
      <c r="N93" s="461">
        <f>'SQ-1'!M29+'SQ-2'!M29+'SQ-3'!M29+'SQ-4'!M29+'SQ-5'!M29+'SQ-6'!M29+'SQ-7'!M29+'SQ-8'!M29+'SQ-9'!M29</f>
        <v>0</v>
      </c>
      <c r="O93" s="461">
        <f>'SQ-1'!N29+'SQ-2'!N29+'SQ-3'!N29+'SQ-4'!N29+'SQ-5'!N29+'SQ-6'!N29+'SQ-7'!N29+'SQ-8'!N29+'SQ-9'!N29</f>
        <v>0</v>
      </c>
      <c r="P93" s="461" t="e">
        <f t="shared" si="3"/>
        <v>#DIV/0!</v>
      </c>
      <c r="Q93" s="467" t="e">
        <f t="shared" si="4"/>
        <v>#DIV/0!</v>
      </c>
      <c r="S93" s="462">
        <f>'SQ-1'!A29</f>
        <v>43976</v>
      </c>
      <c r="T93" s="461">
        <f>'SQ-1'!P29+'SQ-2'!P29+'SQ-3'!P29+'SQ-4'!P29+'SQ-5'!P29+'SQ-6'!P29+'SQ-7'!P29+'SQ-8'!P29+'SQ-9'!P29</f>
        <v>0</v>
      </c>
      <c r="U93" s="461">
        <f>'SQ-1'!R29+'SQ-2'!R29+'SQ-3'!R29+'SQ-4'!R29+'SQ-5'!R29+'SQ-6'!R29+'SQ-7'!R29+'SQ-8'!R29+'SQ-9'!R29</f>
        <v>0</v>
      </c>
      <c r="V93" s="461">
        <f>'SQ-1'!S29+'SQ-2'!S29+'SQ-3'!S29+'SQ-4'!S29+'SQ-5'!S29+'SQ-6'!S29+'SQ-7'!S29+'SQ-8'!S29+'SQ-9'!S29</f>
        <v>0</v>
      </c>
      <c r="W93" s="461">
        <f>'SQ-1'!T29+'SQ-2'!T29+'SQ-3'!T29+'SQ-4'!T29+'SQ-5'!T29+'SQ-6'!T29+'SQ-7'!T29+'SQ-8'!T29+'SQ-9'!T29</f>
        <v>0</v>
      </c>
      <c r="X93" s="461">
        <f>'SQ-1'!U29+'SQ-2'!U29+'SQ-3'!U29+'SQ-4'!U29+'SQ-5'!U29+'SQ-6'!U29+'SQ-7'!U29+'SQ-8'!U29+'SQ-9'!U29</f>
        <v>0</v>
      </c>
      <c r="Y93" s="461" t="e">
        <f t="shared" si="0"/>
        <v>#DIV/0!</v>
      </c>
      <c r="Z93" s="467" t="e">
        <f t="shared" si="5"/>
        <v>#DIV/0!</v>
      </c>
      <c r="AC93" s="462">
        <f t="shared" si="6"/>
        <v>43976</v>
      </c>
      <c r="AD93" s="461">
        <f t="shared" si="7"/>
        <v>0</v>
      </c>
      <c r="AE93" s="461">
        <f t="shared" si="8"/>
        <v>0</v>
      </c>
      <c r="AF93" s="461">
        <f t="shared" si="9"/>
        <v>0</v>
      </c>
      <c r="AG93" s="461">
        <f t="shared" si="10"/>
        <v>0</v>
      </c>
      <c r="AH93" s="461">
        <f t="shared" si="11"/>
        <v>0</v>
      </c>
      <c r="AI93" s="461" t="e">
        <f t="shared" si="12"/>
        <v>#DIV/0!</v>
      </c>
      <c r="AJ93" s="467" t="e">
        <f t="shared" si="13"/>
        <v>#DIV/0!</v>
      </c>
    </row>
    <row r="94" spans="1:36">
      <c r="A94" s="462">
        <f>'SQ-1'!A30</f>
        <v>43977</v>
      </c>
      <c r="B94" s="461">
        <f>'SQ-1'!B30+'SQ-2'!B30+'SQ-3'!B30+'SQ-4'!B30+'SQ-5'!B30+'SQ-6'!B30+'SQ-7'!B30+'SQ-8'!B30+'SQ-9'!B30</f>
        <v>0</v>
      </c>
      <c r="C94" s="461">
        <f>'SQ-1'!D30+'SQ-2'!D30+'SQ-3'!D30+'SQ-4'!D30+'SQ-5'!D30+'SQ-6'!D30+'SQ-7'!D30+'SQ-8'!D30+'SQ-9'!D30</f>
        <v>0</v>
      </c>
      <c r="D94" s="461">
        <f>'SQ-1'!E30+'SQ-2'!E30+'SQ-3'!E30+'SQ-4'!E30+'SQ-5'!E30+'SQ-6'!E30+'SQ-7'!E30+'SQ-8'!E30+'SQ-9'!E30</f>
        <v>0</v>
      </c>
      <c r="E94" s="461">
        <f>'SQ-1'!F30+'SQ-2'!F30+'SQ-3'!F30+'SQ-4'!F30+'SQ-5'!F30+'SQ-6'!F30+'SQ-7'!F30+'SQ-8'!F30+'SQ-9'!F30</f>
        <v>0</v>
      </c>
      <c r="F94" s="461">
        <f>'SQ-1'!G30+'SQ-2'!G30+'SQ-3'!G30+'SQ-4'!G30+'SQ-5'!G30+'SQ-6'!G30+'SQ-7'!G30+'SQ-8'!G30+'SQ-9'!G30</f>
        <v>0</v>
      </c>
      <c r="G94" s="461" t="e">
        <f t="shared" si="1"/>
        <v>#DIV/0!</v>
      </c>
      <c r="H94" s="467" t="e">
        <f t="shared" si="2"/>
        <v>#DIV/0!</v>
      </c>
      <c r="J94" s="462">
        <f>'SQ-1'!A30</f>
        <v>43977</v>
      </c>
      <c r="K94" s="461">
        <f>'SQ-1'!I30+'SQ-2'!I30+'SQ-3'!I30+'SQ-4'!I30+'SQ-5'!I30+'SQ-6'!I30+'SQ-7'!I30+'SQ-8'!I30+'SQ-9'!I30</f>
        <v>0</v>
      </c>
      <c r="L94" s="461">
        <f>'SQ-1'!K30+'SQ-2'!K30+'SQ-3'!K30+'SQ-4'!K30+'SQ-5'!K30+'SQ-6'!K30+'SQ-7'!K30+'SQ-8'!K30+'SQ-9'!K30</f>
        <v>0</v>
      </c>
      <c r="M94" s="461">
        <f>'SQ-1'!L30+'SQ-2'!L30+'SQ-3'!L30+'SQ-4'!L30+'SQ-5'!L30+'SQ-6'!L30+'SQ-7'!L30+'SQ-8'!L30+'SQ-9'!L30</f>
        <v>0</v>
      </c>
      <c r="N94" s="461">
        <f>'SQ-1'!M30+'SQ-2'!M30+'SQ-3'!M30+'SQ-4'!M30+'SQ-5'!M30+'SQ-6'!M30+'SQ-7'!M30+'SQ-8'!M30+'SQ-9'!M30</f>
        <v>0</v>
      </c>
      <c r="O94" s="461">
        <f>'SQ-1'!N30+'SQ-2'!N30+'SQ-3'!N30+'SQ-4'!N30+'SQ-5'!N30+'SQ-6'!N30+'SQ-7'!N30+'SQ-8'!N30+'SQ-9'!N30</f>
        <v>0</v>
      </c>
      <c r="P94" s="461" t="e">
        <f t="shared" si="3"/>
        <v>#DIV/0!</v>
      </c>
      <c r="Q94" s="467" t="e">
        <f t="shared" si="4"/>
        <v>#DIV/0!</v>
      </c>
      <c r="S94" s="462">
        <f>'SQ-1'!A30</f>
        <v>43977</v>
      </c>
      <c r="T94" s="461">
        <f>'SQ-1'!P30+'SQ-2'!P30+'SQ-3'!P30+'SQ-4'!P30+'SQ-5'!P30+'SQ-6'!P30+'SQ-7'!P30+'SQ-8'!P30+'SQ-9'!P30</f>
        <v>0</v>
      </c>
      <c r="U94" s="461">
        <f>'SQ-1'!R30+'SQ-2'!R30+'SQ-3'!R30+'SQ-4'!R30+'SQ-5'!R30+'SQ-6'!R30+'SQ-7'!R30+'SQ-8'!R30+'SQ-9'!R30</f>
        <v>0</v>
      </c>
      <c r="V94" s="461">
        <f>'SQ-1'!S30+'SQ-2'!S30+'SQ-3'!S30+'SQ-4'!S30+'SQ-5'!S30+'SQ-6'!S30+'SQ-7'!S30+'SQ-8'!S30+'SQ-9'!S30</f>
        <v>0</v>
      </c>
      <c r="W94" s="461">
        <f>'SQ-1'!T30+'SQ-2'!T30+'SQ-3'!T30+'SQ-4'!T30+'SQ-5'!T30+'SQ-6'!T30+'SQ-7'!T30+'SQ-8'!T30+'SQ-9'!T30</f>
        <v>0</v>
      </c>
      <c r="X94" s="461">
        <f>'SQ-1'!U30+'SQ-2'!U30+'SQ-3'!U30+'SQ-4'!U30+'SQ-5'!U30+'SQ-6'!U30+'SQ-7'!U30+'SQ-8'!U30+'SQ-9'!U30</f>
        <v>0</v>
      </c>
      <c r="Y94" s="461" t="e">
        <f t="shared" si="0"/>
        <v>#DIV/0!</v>
      </c>
      <c r="Z94" s="467" t="e">
        <f t="shared" si="5"/>
        <v>#DIV/0!</v>
      </c>
      <c r="AC94" s="462">
        <f t="shared" si="6"/>
        <v>43977</v>
      </c>
      <c r="AD94" s="461">
        <f t="shared" si="7"/>
        <v>0</v>
      </c>
      <c r="AE94" s="461">
        <f t="shared" si="8"/>
        <v>0</v>
      </c>
      <c r="AF94" s="461">
        <f t="shared" si="9"/>
        <v>0</v>
      </c>
      <c r="AG94" s="461">
        <f t="shared" si="10"/>
        <v>0</v>
      </c>
      <c r="AH94" s="461">
        <f t="shared" si="11"/>
        <v>0</v>
      </c>
      <c r="AI94" s="461" t="e">
        <f t="shared" si="12"/>
        <v>#DIV/0!</v>
      </c>
      <c r="AJ94" s="467" t="e">
        <f t="shared" si="13"/>
        <v>#DIV/0!</v>
      </c>
    </row>
    <row r="95" spans="1:36">
      <c r="A95" s="462">
        <f>'SQ-1'!A31</f>
        <v>43978</v>
      </c>
      <c r="B95" s="461">
        <f>'SQ-1'!B31+'SQ-2'!B31+'SQ-3'!B31+'SQ-4'!B31+'SQ-5'!B31+'SQ-6'!B31+'SQ-7'!B31+'SQ-8'!B31+'SQ-9'!B31</f>
        <v>0</v>
      </c>
      <c r="C95" s="461">
        <f>'SQ-1'!D31+'SQ-2'!D31+'SQ-3'!D31+'SQ-4'!D31+'SQ-5'!D31+'SQ-6'!D31+'SQ-7'!D31+'SQ-8'!D31+'SQ-9'!D31</f>
        <v>0</v>
      </c>
      <c r="D95" s="461">
        <f>'SQ-1'!E31+'SQ-2'!E31+'SQ-3'!E31+'SQ-4'!E31+'SQ-5'!E31+'SQ-6'!E31+'SQ-7'!E31+'SQ-8'!E31+'SQ-9'!E31</f>
        <v>0</v>
      </c>
      <c r="E95" s="461">
        <f>'SQ-1'!F31+'SQ-2'!F31+'SQ-3'!F31+'SQ-4'!F31+'SQ-5'!F31+'SQ-6'!F31+'SQ-7'!F31+'SQ-8'!F31+'SQ-9'!F31</f>
        <v>0</v>
      </c>
      <c r="F95" s="461">
        <f>'SQ-1'!G31+'SQ-2'!G31+'SQ-3'!G31+'SQ-4'!G31+'SQ-5'!G31+'SQ-6'!G31+'SQ-7'!G31+'SQ-8'!G31+'SQ-9'!G31</f>
        <v>0</v>
      </c>
      <c r="G95" s="461" t="e">
        <f t="shared" si="1"/>
        <v>#DIV/0!</v>
      </c>
      <c r="H95" s="467" t="e">
        <f t="shared" si="2"/>
        <v>#DIV/0!</v>
      </c>
      <c r="J95" s="462">
        <f>'SQ-1'!A31</f>
        <v>43978</v>
      </c>
      <c r="K95" s="461">
        <f>'SQ-1'!I31+'SQ-2'!I31+'SQ-3'!I31+'SQ-4'!I31+'SQ-5'!I31+'SQ-6'!I31+'SQ-7'!I31+'SQ-8'!I31+'SQ-9'!I31</f>
        <v>0</v>
      </c>
      <c r="L95" s="461">
        <f>'SQ-1'!K31+'SQ-2'!K31+'SQ-3'!K31+'SQ-4'!K31+'SQ-5'!K31+'SQ-6'!K31+'SQ-7'!K31+'SQ-8'!K31+'SQ-9'!K31</f>
        <v>0</v>
      </c>
      <c r="M95" s="461">
        <f>'SQ-1'!L31+'SQ-2'!L31+'SQ-3'!L31+'SQ-4'!L31+'SQ-5'!L31+'SQ-6'!L31+'SQ-7'!L31+'SQ-8'!L31+'SQ-9'!L31</f>
        <v>0</v>
      </c>
      <c r="N95" s="461">
        <f>'SQ-1'!M31+'SQ-2'!M31+'SQ-3'!M31+'SQ-4'!M31+'SQ-5'!M31+'SQ-6'!M31+'SQ-7'!M31+'SQ-8'!M31+'SQ-9'!M31</f>
        <v>0</v>
      </c>
      <c r="O95" s="461">
        <f>'SQ-1'!N31+'SQ-2'!N31+'SQ-3'!N31+'SQ-4'!N31+'SQ-5'!N31+'SQ-6'!N31+'SQ-7'!N31+'SQ-8'!N31+'SQ-9'!N31</f>
        <v>0</v>
      </c>
      <c r="P95" s="461" t="e">
        <f t="shared" si="3"/>
        <v>#DIV/0!</v>
      </c>
      <c r="Q95" s="467" t="e">
        <f t="shared" si="4"/>
        <v>#DIV/0!</v>
      </c>
      <c r="S95" s="462">
        <f>'SQ-1'!A31</f>
        <v>43978</v>
      </c>
      <c r="T95" s="461">
        <f>'SQ-1'!P31+'SQ-2'!P31+'SQ-3'!P31+'SQ-4'!P31+'SQ-5'!P31+'SQ-6'!P31+'SQ-7'!P31+'SQ-8'!P31+'SQ-9'!P31</f>
        <v>0</v>
      </c>
      <c r="U95" s="461">
        <f>'SQ-1'!R31+'SQ-2'!R31+'SQ-3'!R31+'SQ-4'!R31+'SQ-5'!R31+'SQ-6'!R31+'SQ-7'!R31+'SQ-8'!R31+'SQ-9'!R31</f>
        <v>0</v>
      </c>
      <c r="V95" s="461">
        <f>'SQ-1'!S31+'SQ-2'!S31+'SQ-3'!S31+'SQ-4'!S31+'SQ-5'!S31+'SQ-6'!S31+'SQ-7'!S31+'SQ-8'!S31+'SQ-9'!S31</f>
        <v>0</v>
      </c>
      <c r="W95" s="461">
        <f>'SQ-1'!T31+'SQ-2'!T31+'SQ-3'!T31+'SQ-4'!T31+'SQ-5'!T31+'SQ-6'!T31+'SQ-7'!T31+'SQ-8'!T31+'SQ-9'!T31</f>
        <v>0</v>
      </c>
      <c r="X95" s="461">
        <f>'SQ-1'!U31+'SQ-2'!U31+'SQ-3'!U31+'SQ-4'!U31+'SQ-5'!U31+'SQ-6'!U31+'SQ-7'!U31+'SQ-8'!U31+'SQ-9'!U31</f>
        <v>0</v>
      </c>
      <c r="Y95" s="461" t="e">
        <f t="shared" si="0"/>
        <v>#DIV/0!</v>
      </c>
      <c r="Z95" s="467" t="e">
        <f t="shared" si="5"/>
        <v>#DIV/0!</v>
      </c>
      <c r="AC95" s="462">
        <f t="shared" si="6"/>
        <v>43978</v>
      </c>
      <c r="AD95" s="461">
        <f t="shared" si="7"/>
        <v>0</v>
      </c>
      <c r="AE95" s="461">
        <f t="shared" si="8"/>
        <v>0</v>
      </c>
      <c r="AF95" s="461">
        <f t="shared" si="9"/>
        <v>0</v>
      </c>
      <c r="AG95" s="461">
        <f t="shared" si="10"/>
        <v>0</v>
      </c>
      <c r="AH95" s="461">
        <f t="shared" si="11"/>
        <v>0</v>
      </c>
      <c r="AI95" s="461" t="e">
        <f t="shared" si="12"/>
        <v>#DIV/0!</v>
      </c>
      <c r="AJ95" s="467" t="e">
        <f t="shared" si="13"/>
        <v>#DIV/0!</v>
      </c>
    </row>
    <row r="96" spans="1:36">
      <c r="A96" s="462">
        <f>'SQ-1'!A32</f>
        <v>43979</v>
      </c>
      <c r="B96" s="461">
        <f>'SQ-1'!B32+'SQ-2'!B32+'SQ-3'!B32+'SQ-4'!B32+'SQ-5'!B32+'SQ-6'!B32+'SQ-7'!B32+'SQ-8'!B32+'SQ-9'!B32</f>
        <v>0</v>
      </c>
      <c r="C96" s="461">
        <f>'SQ-1'!D32+'SQ-2'!D32+'SQ-3'!D32+'SQ-4'!D32+'SQ-5'!D32+'SQ-6'!D32+'SQ-7'!D32+'SQ-8'!D32+'SQ-9'!D32</f>
        <v>0</v>
      </c>
      <c r="D96" s="461">
        <f>'SQ-1'!E32+'SQ-2'!E32+'SQ-3'!E32+'SQ-4'!E32+'SQ-5'!E32+'SQ-6'!E32+'SQ-7'!E32+'SQ-8'!E32+'SQ-9'!E32</f>
        <v>0</v>
      </c>
      <c r="E96" s="461">
        <f>'SQ-1'!F32+'SQ-2'!F32+'SQ-3'!F32+'SQ-4'!F32+'SQ-5'!F32+'SQ-6'!F32+'SQ-7'!F32+'SQ-8'!F32+'SQ-9'!F32</f>
        <v>0</v>
      </c>
      <c r="F96" s="461">
        <f>'SQ-1'!G32+'SQ-2'!G32+'SQ-3'!G32+'SQ-4'!G32+'SQ-5'!G32+'SQ-6'!G32+'SQ-7'!G32+'SQ-8'!G32+'SQ-9'!G32</f>
        <v>0</v>
      </c>
      <c r="G96" s="461" t="e">
        <f t="shared" si="1"/>
        <v>#DIV/0!</v>
      </c>
      <c r="H96" s="467" t="e">
        <f t="shared" si="2"/>
        <v>#DIV/0!</v>
      </c>
      <c r="J96" s="462">
        <f>'SQ-1'!A32</f>
        <v>43979</v>
      </c>
      <c r="K96" s="461">
        <f>'SQ-1'!I32+'SQ-2'!I32+'SQ-3'!I32+'SQ-4'!I32+'SQ-5'!I32+'SQ-6'!I32+'SQ-7'!I32+'SQ-8'!I32+'SQ-9'!I32</f>
        <v>0</v>
      </c>
      <c r="L96" s="461">
        <f>'SQ-1'!K32+'SQ-2'!K32+'SQ-3'!K32+'SQ-4'!K32+'SQ-5'!K32+'SQ-6'!K32+'SQ-7'!K32+'SQ-8'!K32+'SQ-9'!K32</f>
        <v>0</v>
      </c>
      <c r="M96" s="461">
        <f>'SQ-1'!L32+'SQ-2'!L32+'SQ-3'!L32+'SQ-4'!L32+'SQ-5'!L32+'SQ-6'!L32+'SQ-7'!L32+'SQ-8'!L32+'SQ-9'!L32</f>
        <v>0</v>
      </c>
      <c r="N96" s="461">
        <f>'SQ-1'!M32+'SQ-2'!M32+'SQ-3'!M32+'SQ-4'!M32+'SQ-5'!M32+'SQ-6'!M32+'SQ-7'!M32+'SQ-8'!M32+'SQ-9'!M32</f>
        <v>0</v>
      </c>
      <c r="O96" s="461">
        <f>'SQ-1'!N32+'SQ-2'!N32+'SQ-3'!N32+'SQ-4'!N32+'SQ-5'!N32+'SQ-6'!N32+'SQ-7'!N32+'SQ-8'!N32+'SQ-9'!N32</f>
        <v>0</v>
      </c>
      <c r="P96" s="461" t="e">
        <f t="shared" si="3"/>
        <v>#DIV/0!</v>
      </c>
      <c r="Q96" s="467" t="e">
        <f t="shared" si="4"/>
        <v>#DIV/0!</v>
      </c>
      <c r="S96" s="462">
        <f>'SQ-1'!A32</f>
        <v>43979</v>
      </c>
      <c r="T96" s="461">
        <f>'SQ-1'!P32+'SQ-2'!P32+'SQ-3'!P32+'SQ-4'!P32+'SQ-5'!P32+'SQ-6'!P32+'SQ-7'!P32+'SQ-8'!P32+'SQ-9'!P32</f>
        <v>0</v>
      </c>
      <c r="U96" s="461">
        <f>'SQ-1'!R32+'SQ-2'!R32+'SQ-3'!R32+'SQ-4'!R32+'SQ-5'!R32+'SQ-6'!R32+'SQ-7'!R32+'SQ-8'!R32+'SQ-9'!R32</f>
        <v>0</v>
      </c>
      <c r="V96" s="461">
        <f>'SQ-1'!S32+'SQ-2'!S32+'SQ-3'!S32+'SQ-4'!S32+'SQ-5'!S32+'SQ-6'!S32+'SQ-7'!S32+'SQ-8'!S32+'SQ-9'!S32</f>
        <v>0</v>
      </c>
      <c r="W96" s="461">
        <f>'SQ-1'!T32+'SQ-2'!T32+'SQ-3'!T32+'SQ-4'!T32+'SQ-5'!T32+'SQ-6'!T32+'SQ-7'!T32+'SQ-8'!T32+'SQ-9'!T32</f>
        <v>0</v>
      </c>
      <c r="X96" s="461">
        <f>'SQ-1'!U32+'SQ-2'!U32+'SQ-3'!U32+'SQ-4'!U32+'SQ-5'!U32+'SQ-6'!U32+'SQ-7'!U32+'SQ-8'!U32+'SQ-9'!U32</f>
        <v>0</v>
      </c>
      <c r="Y96" s="461" t="e">
        <f t="shared" si="0"/>
        <v>#DIV/0!</v>
      </c>
      <c r="Z96" s="467" t="e">
        <f t="shared" si="5"/>
        <v>#DIV/0!</v>
      </c>
      <c r="AC96" s="462">
        <f t="shared" si="6"/>
        <v>43979</v>
      </c>
      <c r="AD96" s="461">
        <f t="shared" si="7"/>
        <v>0</v>
      </c>
      <c r="AE96" s="461">
        <f t="shared" si="8"/>
        <v>0</v>
      </c>
      <c r="AF96" s="461">
        <f t="shared" si="9"/>
        <v>0</v>
      </c>
      <c r="AG96" s="461">
        <f t="shared" si="10"/>
        <v>0</v>
      </c>
      <c r="AH96" s="461">
        <f t="shared" si="11"/>
        <v>0</v>
      </c>
      <c r="AI96" s="461" t="e">
        <f t="shared" si="12"/>
        <v>#DIV/0!</v>
      </c>
      <c r="AJ96" s="467" t="e">
        <f t="shared" si="13"/>
        <v>#DIV/0!</v>
      </c>
    </row>
    <row r="97" spans="1:36">
      <c r="A97" s="462">
        <f>'SQ-1'!A33</f>
        <v>43980</v>
      </c>
      <c r="B97" s="461">
        <f>'SQ-1'!B33+'SQ-2'!B33+'SQ-3'!B33+'SQ-4'!B33+'SQ-5'!B33+'SQ-6'!B33+'SQ-7'!B33+'SQ-8'!B33+'SQ-9'!B33</f>
        <v>0</v>
      </c>
      <c r="C97" s="461">
        <f>'SQ-1'!D33+'SQ-2'!D33+'SQ-3'!D33+'SQ-4'!D33+'SQ-5'!D33+'SQ-6'!D33+'SQ-7'!D33+'SQ-8'!D33+'SQ-9'!D33</f>
        <v>0</v>
      </c>
      <c r="D97" s="461">
        <f>'SQ-1'!E33+'SQ-2'!E33+'SQ-3'!E33+'SQ-4'!E33+'SQ-5'!E33+'SQ-6'!E33+'SQ-7'!E33+'SQ-8'!E33+'SQ-9'!E33</f>
        <v>0</v>
      </c>
      <c r="E97" s="461">
        <f>'SQ-1'!F33+'SQ-2'!F33+'SQ-3'!F33+'SQ-4'!F33+'SQ-5'!F33+'SQ-6'!F33+'SQ-7'!F33+'SQ-8'!F33+'SQ-9'!F33</f>
        <v>0</v>
      </c>
      <c r="F97" s="461">
        <f>'SQ-1'!G33+'SQ-2'!G33+'SQ-3'!G33+'SQ-4'!G33+'SQ-5'!G33+'SQ-6'!G33+'SQ-7'!G33+'SQ-8'!G33+'SQ-9'!G33</f>
        <v>0</v>
      </c>
      <c r="G97" s="461" t="e">
        <f t="shared" si="1"/>
        <v>#DIV/0!</v>
      </c>
      <c r="H97" s="467" t="e">
        <f t="shared" si="2"/>
        <v>#DIV/0!</v>
      </c>
      <c r="J97" s="462">
        <f>'SQ-1'!A33</f>
        <v>43980</v>
      </c>
      <c r="K97" s="461">
        <f>'SQ-1'!I33+'SQ-2'!I33+'SQ-3'!I33+'SQ-4'!I33+'SQ-5'!I33+'SQ-6'!I33+'SQ-7'!I33+'SQ-8'!I33+'SQ-9'!I33</f>
        <v>0</v>
      </c>
      <c r="L97" s="461">
        <f>'SQ-1'!K33+'SQ-2'!K33+'SQ-3'!K33+'SQ-4'!K33+'SQ-5'!K33+'SQ-6'!K33+'SQ-7'!K33+'SQ-8'!K33+'SQ-9'!K33</f>
        <v>0</v>
      </c>
      <c r="M97" s="461">
        <f>'SQ-1'!L33+'SQ-2'!L33+'SQ-3'!L33+'SQ-4'!L33+'SQ-5'!L33+'SQ-6'!L33+'SQ-7'!L33+'SQ-8'!L33+'SQ-9'!L33</f>
        <v>0</v>
      </c>
      <c r="N97" s="461">
        <f>'SQ-1'!M33+'SQ-2'!M33+'SQ-3'!M33+'SQ-4'!M33+'SQ-5'!M33+'SQ-6'!M33+'SQ-7'!M33+'SQ-8'!M33+'SQ-9'!M33</f>
        <v>0</v>
      </c>
      <c r="O97" s="461">
        <f>'SQ-1'!N33+'SQ-2'!N33+'SQ-3'!N33+'SQ-4'!N33+'SQ-5'!N33+'SQ-6'!N33+'SQ-7'!N33+'SQ-8'!N33+'SQ-9'!N33</f>
        <v>0</v>
      </c>
      <c r="P97" s="461" t="e">
        <f t="shared" si="3"/>
        <v>#DIV/0!</v>
      </c>
      <c r="Q97" s="467" t="e">
        <f t="shared" si="4"/>
        <v>#DIV/0!</v>
      </c>
      <c r="S97" s="462">
        <f>'SQ-1'!A33</f>
        <v>43980</v>
      </c>
      <c r="T97" s="461">
        <f>'SQ-1'!P33+'SQ-2'!P33+'SQ-3'!P33+'SQ-4'!P33+'SQ-5'!P33+'SQ-6'!P33+'SQ-7'!P33+'SQ-8'!P33+'SQ-9'!P33</f>
        <v>0</v>
      </c>
      <c r="U97" s="461">
        <f>'SQ-1'!R33+'SQ-2'!R33+'SQ-3'!R33+'SQ-4'!R33+'SQ-5'!R33+'SQ-6'!R33+'SQ-7'!R33+'SQ-8'!R33+'SQ-9'!R33</f>
        <v>0</v>
      </c>
      <c r="V97" s="461">
        <f>'SQ-1'!S33+'SQ-2'!S33+'SQ-3'!S33+'SQ-4'!S33+'SQ-5'!S33+'SQ-6'!S33+'SQ-7'!S33+'SQ-8'!S33+'SQ-9'!S33</f>
        <v>0</v>
      </c>
      <c r="W97" s="461">
        <f>'SQ-1'!T33+'SQ-2'!T33+'SQ-3'!T33+'SQ-4'!T33+'SQ-5'!T33+'SQ-6'!T33+'SQ-7'!T33+'SQ-8'!T33+'SQ-9'!T33</f>
        <v>0</v>
      </c>
      <c r="X97" s="461">
        <f>'SQ-1'!U33+'SQ-2'!U33+'SQ-3'!U33+'SQ-4'!U33+'SQ-5'!U33+'SQ-6'!U33+'SQ-7'!U33+'SQ-8'!U33+'SQ-9'!U33</f>
        <v>0</v>
      </c>
      <c r="Y97" s="461" t="e">
        <f t="shared" si="0"/>
        <v>#DIV/0!</v>
      </c>
      <c r="Z97" s="467" t="e">
        <f t="shared" si="5"/>
        <v>#DIV/0!</v>
      </c>
      <c r="AC97" s="462">
        <f t="shared" si="6"/>
        <v>43980</v>
      </c>
      <c r="AD97" s="461">
        <f t="shared" si="7"/>
        <v>0</v>
      </c>
      <c r="AE97" s="461">
        <f t="shared" si="8"/>
        <v>0</v>
      </c>
      <c r="AF97" s="461">
        <f t="shared" si="9"/>
        <v>0</v>
      </c>
      <c r="AG97" s="461">
        <f t="shared" si="10"/>
        <v>0</v>
      </c>
      <c r="AH97" s="461">
        <f t="shared" si="11"/>
        <v>0</v>
      </c>
      <c r="AI97" s="461" t="e">
        <f t="shared" si="12"/>
        <v>#DIV/0!</v>
      </c>
      <c r="AJ97" s="467" t="e">
        <f t="shared" si="13"/>
        <v>#DIV/0!</v>
      </c>
    </row>
    <row r="98" spans="1:36">
      <c r="A98" s="462">
        <f>'SQ-1'!A34</f>
        <v>43981</v>
      </c>
      <c r="B98" s="461">
        <f>'SQ-1'!B34+'SQ-2'!B34+'SQ-3'!B34+'SQ-4'!B34+'SQ-5'!B34+'SQ-6'!B34+'SQ-7'!B34+'SQ-8'!B34+'SQ-9'!B34</f>
        <v>0</v>
      </c>
      <c r="C98" s="461">
        <f>'SQ-1'!D34+'SQ-2'!D34+'SQ-3'!D34+'SQ-4'!D34+'SQ-5'!D34+'SQ-6'!D34+'SQ-7'!D34+'SQ-8'!D34+'SQ-9'!D34</f>
        <v>0</v>
      </c>
      <c r="D98" s="461">
        <f>'SQ-1'!E34+'SQ-2'!E34+'SQ-3'!E34+'SQ-4'!E34+'SQ-5'!E34+'SQ-6'!E34+'SQ-7'!E34+'SQ-8'!E34+'SQ-9'!E34</f>
        <v>0</v>
      </c>
      <c r="E98" s="461">
        <f>'SQ-1'!F34+'SQ-2'!F34+'SQ-3'!F34+'SQ-4'!F34+'SQ-5'!F34+'SQ-6'!F34+'SQ-7'!F34+'SQ-8'!F34+'SQ-9'!F34</f>
        <v>0</v>
      </c>
      <c r="F98" s="461">
        <f>'SQ-1'!G34+'SQ-2'!G34+'SQ-3'!G34+'SQ-4'!G34+'SQ-5'!G34+'SQ-6'!G34+'SQ-7'!G34+'SQ-8'!G34+'SQ-9'!G34</f>
        <v>0</v>
      </c>
      <c r="G98" s="461" t="e">
        <f t="shared" si="1"/>
        <v>#DIV/0!</v>
      </c>
      <c r="H98" s="467" t="e">
        <f t="shared" si="2"/>
        <v>#DIV/0!</v>
      </c>
      <c r="J98" s="462">
        <f>'SQ-1'!A34</f>
        <v>43981</v>
      </c>
      <c r="K98" s="461">
        <f>'SQ-1'!I34+'SQ-2'!I34+'SQ-3'!I34+'SQ-4'!I34+'SQ-5'!I34+'SQ-6'!I34+'SQ-7'!I34+'SQ-8'!I34+'SQ-9'!I34</f>
        <v>0</v>
      </c>
      <c r="L98" s="461">
        <f>'SQ-1'!K34+'SQ-2'!K34+'SQ-3'!K34+'SQ-4'!K34+'SQ-5'!K34+'SQ-6'!K34+'SQ-7'!K34+'SQ-8'!K34+'SQ-9'!K34</f>
        <v>0</v>
      </c>
      <c r="M98" s="461">
        <f>'SQ-1'!L34+'SQ-2'!L34+'SQ-3'!L34+'SQ-4'!L34+'SQ-5'!L34+'SQ-6'!L34+'SQ-7'!L34+'SQ-8'!L34+'SQ-9'!L34</f>
        <v>0</v>
      </c>
      <c r="N98" s="461">
        <f>'SQ-1'!M34+'SQ-2'!M34+'SQ-3'!M34+'SQ-4'!M34+'SQ-5'!M34+'SQ-6'!M34+'SQ-7'!M34+'SQ-8'!M34+'SQ-9'!M34</f>
        <v>0</v>
      </c>
      <c r="O98" s="461">
        <f>'SQ-1'!N34+'SQ-2'!N34+'SQ-3'!N34+'SQ-4'!N34+'SQ-5'!N34+'SQ-6'!N34+'SQ-7'!N34+'SQ-8'!N34+'SQ-9'!N34</f>
        <v>0</v>
      </c>
      <c r="P98" s="461" t="e">
        <f t="shared" si="3"/>
        <v>#DIV/0!</v>
      </c>
      <c r="Q98" s="467" t="e">
        <f t="shared" si="4"/>
        <v>#DIV/0!</v>
      </c>
      <c r="S98" s="462">
        <f>'SQ-1'!A34</f>
        <v>43981</v>
      </c>
      <c r="T98" s="461">
        <f>'SQ-1'!P34+'SQ-2'!P34+'SQ-3'!P34+'SQ-4'!P34+'SQ-5'!P34+'SQ-6'!P34+'SQ-7'!P34+'SQ-8'!P34+'SQ-9'!P34</f>
        <v>0</v>
      </c>
      <c r="U98" s="461">
        <f>'SQ-1'!R34+'SQ-2'!R34+'SQ-3'!R34+'SQ-4'!R34+'SQ-5'!R34+'SQ-6'!R34+'SQ-7'!R34+'SQ-8'!R34+'SQ-9'!R34</f>
        <v>0</v>
      </c>
      <c r="V98" s="461">
        <f>'SQ-1'!S34+'SQ-2'!S34+'SQ-3'!S34+'SQ-4'!S34+'SQ-5'!S34+'SQ-6'!S34+'SQ-7'!S34+'SQ-8'!S34+'SQ-9'!S34</f>
        <v>0</v>
      </c>
      <c r="W98" s="461">
        <f>'SQ-1'!T34+'SQ-2'!T34+'SQ-3'!T34+'SQ-4'!T34+'SQ-5'!T34+'SQ-6'!T34+'SQ-7'!T34+'SQ-8'!T34+'SQ-9'!T34</f>
        <v>0</v>
      </c>
      <c r="X98" s="461">
        <f>'SQ-1'!U34+'SQ-2'!U34+'SQ-3'!U34+'SQ-4'!U34+'SQ-5'!U34+'SQ-6'!U34+'SQ-7'!U34+'SQ-8'!U34+'SQ-9'!U34</f>
        <v>0</v>
      </c>
      <c r="Y98" s="461" t="e">
        <f t="shared" si="0"/>
        <v>#DIV/0!</v>
      </c>
      <c r="Z98" s="467" t="e">
        <f t="shared" si="5"/>
        <v>#DIV/0!</v>
      </c>
      <c r="AC98" s="462">
        <f t="shared" si="6"/>
        <v>43981</v>
      </c>
      <c r="AD98" s="461">
        <f t="shared" si="7"/>
        <v>0</v>
      </c>
      <c r="AE98" s="461">
        <f t="shared" si="8"/>
        <v>0</v>
      </c>
      <c r="AF98" s="461">
        <f t="shared" si="9"/>
        <v>0</v>
      </c>
      <c r="AG98" s="461">
        <f t="shared" si="10"/>
        <v>0</v>
      </c>
      <c r="AH98" s="461">
        <f t="shared" si="11"/>
        <v>0</v>
      </c>
      <c r="AI98" s="461" t="e">
        <f t="shared" si="12"/>
        <v>#DIV/0!</v>
      </c>
      <c r="AJ98" s="467" t="e">
        <f t="shared" si="13"/>
        <v>#DIV/0!</v>
      </c>
    </row>
    <row r="99" spans="1:36">
      <c r="A99" s="462">
        <f>'SQ-1'!A35</f>
        <v>43982</v>
      </c>
      <c r="B99" s="461">
        <f>'SQ-1'!B35+'SQ-2'!B35+'SQ-3'!B35+'SQ-4'!B35+'SQ-5'!B35+'SQ-6'!B35+'SQ-7'!B35+'SQ-8'!B35+'SQ-9'!B35</f>
        <v>0</v>
      </c>
      <c r="C99" s="461">
        <f>'SQ-1'!D35+'SQ-2'!D35+'SQ-3'!D35+'SQ-4'!D35+'SQ-5'!D35+'SQ-6'!D35+'SQ-7'!D35+'SQ-8'!D35+'SQ-9'!D35</f>
        <v>0</v>
      </c>
      <c r="D99" s="461">
        <f>'SQ-1'!E35+'SQ-2'!E35+'SQ-3'!E35+'SQ-4'!E35+'SQ-5'!E35+'SQ-6'!E35+'SQ-7'!E35+'SQ-8'!E35+'SQ-9'!E35</f>
        <v>0</v>
      </c>
      <c r="E99" s="461">
        <f>'SQ-1'!F35+'SQ-2'!F35+'SQ-3'!F35+'SQ-4'!F35+'SQ-5'!F35+'SQ-6'!F35+'SQ-7'!F35+'SQ-8'!F35+'SQ-9'!F35</f>
        <v>0</v>
      </c>
      <c r="F99" s="461">
        <f>'SQ-1'!G35+'SQ-2'!G35+'SQ-3'!G35+'SQ-4'!G35+'SQ-5'!G35+'SQ-6'!G35+'SQ-7'!G35+'SQ-8'!G35+'SQ-9'!G35</f>
        <v>0</v>
      </c>
      <c r="G99" s="461" t="e">
        <f t="shared" si="1"/>
        <v>#DIV/0!</v>
      </c>
      <c r="H99" s="467" t="e">
        <f t="shared" si="2"/>
        <v>#DIV/0!</v>
      </c>
      <c r="J99" s="462">
        <f>'SQ-1'!A35</f>
        <v>43982</v>
      </c>
      <c r="K99" s="461">
        <f>'SQ-1'!I35+'SQ-2'!I35+'SQ-3'!I35+'SQ-4'!I35+'SQ-5'!I35+'SQ-6'!I35+'SQ-7'!I35+'SQ-8'!I35+'SQ-9'!I35</f>
        <v>0</v>
      </c>
      <c r="L99" s="461">
        <f>'SQ-1'!K35+'SQ-2'!K35+'SQ-3'!K35+'SQ-4'!K35+'SQ-5'!K35+'SQ-6'!K35+'SQ-7'!K35+'SQ-8'!K35+'SQ-9'!K35</f>
        <v>0</v>
      </c>
      <c r="M99" s="461">
        <f>'SQ-1'!L35+'SQ-2'!L35+'SQ-3'!L35+'SQ-4'!L35+'SQ-5'!L35+'SQ-6'!L35+'SQ-7'!L35+'SQ-8'!L35+'SQ-9'!L35</f>
        <v>0</v>
      </c>
      <c r="N99" s="461">
        <f>'SQ-1'!M35+'SQ-2'!M35+'SQ-3'!M35+'SQ-4'!M35+'SQ-5'!M35+'SQ-6'!M35+'SQ-7'!M35+'SQ-8'!M35+'SQ-9'!M35</f>
        <v>0</v>
      </c>
      <c r="O99" s="461">
        <f>'SQ-1'!N35+'SQ-2'!N35+'SQ-3'!N35+'SQ-4'!N35+'SQ-5'!N35+'SQ-6'!N35+'SQ-7'!N35+'SQ-8'!N35+'SQ-9'!N35</f>
        <v>0</v>
      </c>
      <c r="P99" s="461" t="e">
        <f t="shared" si="3"/>
        <v>#DIV/0!</v>
      </c>
      <c r="Q99" s="467" t="e">
        <f t="shared" si="4"/>
        <v>#DIV/0!</v>
      </c>
      <c r="S99" s="462">
        <f>'SQ-1'!A35</f>
        <v>43982</v>
      </c>
      <c r="T99" s="461">
        <f>'SQ-1'!P35+'SQ-2'!P35+'SQ-3'!P35+'SQ-4'!P35+'SQ-5'!P35+'SQ-6'!P35+'SQ-7'!P35+'SQ-8'!P35+'SQ-9'!P35</f>
        <v>0</v>
      </c>
      <c r="U99" s="461">
        <f>'SQ-1'!R35+'SQ-2'!R35+'SQ-3'!R35+'SQ-4'!R35+'SQ-5'!R35+'SQ-6'!R35+'SQ-7'!R35+'SQ-8'!R35+'SQ-9'!R35</f>
        <v>0</v>
      </c>
      <c r="V99" s="461">
        <f>'SQ-1'!S35+'SQ-2'!S35+'SQ-3'!S35+'SQ-4'!S35+'SQ-5'!S35+'SQ-6'!S35+'SQ-7'!S35+'SQ-8'!S35+'SQ-9'!S35</f>
        <v>0</v>
      </c>
      <c r="W99" s="461">
        <f>'SQ-1'!T35+'SQ-2'!T35+'SQ-3'!T35+'SQ-4'!T35+'SQ-5'!T35+'SQ-6'!T35+'SQ-7'!T35+'SQ-8'!T35+'SQ-9'!T35</f>
        <v>0</v>
      </c>
      <c r="X99" s="461">
        <f>'SQ-1'!U35+'SQ-2'!U35+'SQ-3'!U35+'SQ-4'!U35+'SQ-5'!U35+'SQ-6'!U35+'SQ-7'!U35+'SQ-8'!U35+'SQ-9'!U35</f>
        <v>0</v>
      </c>
      <c r="Y99" s="461" t="e">
        <f t="shared" si="0"/>
        <v>#DIV/0!</v>
      </c>
      <c r="Z99" s="467" t="e">
        <f t="shared" si="5"/>
        <v>#DIV/0!</v>
      </c>
      <c r="AC99" s="462">
        <f t="shared" si="6"/>
        <v>43982</v>
      </c>
      <c r="AD99" s="461">
        <f t="shared" si="7"/>
        <v>0</v>
      </c>
      <c r="AE99" s="461">
        <f t="shared" si="8"/>
        <v>0</v>
      </c>
      <c r="AF99" s="461">
        <f t="shared" si="9"/>
        <v>0</v>
      </c>
      <c r="AG99" s="461">
        <f t="shared" si="10"/>
        <v>0</v>
      </c>
      <c r="AH99" s="461">
        <f t="shared" si="11"/>
        <v>0</v>
      </c>
      <c r="AI99" s="461" t="e">
        <f t="shared" si="12"/>
        <v>#DIV/0!</v>
      </c>
      <c r="AJ99" s="467" t="e">
        <f t="shared" si="13"/>
        <v>#DIV/0!</v>
      </c>
    </row>
    <row r="100" spans="1:36" ht="23.25">
      <c r="A100" s="11" t="s">
        <v>3</v>
      </c>
      <c r="B100" s="13">
        <f t="shared" ref="B100:F100" si="14">SUM(B69:B99)</f>
        <v>0</v>
      </c>
      <c r="C100" s="13">
        <f t="shared" si="14"/>
        <v>0</v>
      </c>
      <c r="D100" s="13">
        <f t="shared" si="14"/>
        <v>0</v>
      </c>
      <c r="E100" s="13">
        <f t="shared" si="14"/>
        <v>0</v>
      </c>
      <c r="F100" s="13">
        <f t="shared" si="14"/>
        <v>0</v>
      </c>
      <c r="G100" s="13" t="e">
        <f t="shared" si="1"/>
        <v>#DIV/0!</v>
      </c>
      <c r="H100" s="467" t="e">
        <f t="shared" si="2"/>
        <v>#DIV/0!</v>
      </c>
      <c r="J100" s="11" t="s">
        <v>3</v>
      </c>
      <c r="K100" s="13">
        <f>SUM(K69:K99)</f>
        <v>0</v>
      </c>
      <c r="L100" s="13">
        <f>SUM(L69:L99)</f>
        <v>0</v>
      </c>
      <c r="M100" s="13">
        <f>SUM(M69:M99)</f>
        <v>0</v>
      </c>
      <c r="N100" s="13">
        <f>SUM(N69:N99)</f>
        <v>0</v>
      </c>
      <c r="O100" s="13">
        <f t="shared" ref="O100" si="15">SUM(O69:O99)</f>
        <v>0</v>
      </c>
      <c r="P100" s="13" t="e">
        <f t="shared" si="3"/>
        <v>#DIV/0!</v>
      </c>
      <c r="Q100" s="467" t="e">
        <f t="shared" si="4"/>
        <v>#DIV/0!</v>
      </c>
      <c r="S100" s="11" t="s">
        <v>3</v>
      </c>
      <c r="T100" s="13">
        <f>SUM(T69:T99)</f>
        <v>0</v>
      </c>
      <c r="U100" s="13">
        <f>SUM(U69:U99)</f>
        <v>0</v>
      </c>
      <c r="V100" s="13">
        <f>SUM(V69:V99)</f>
        <v>0</v>
      </c>
      <c r="W100" s="13">
        <f>SUM(W69:W99)</f>
        <v>0</v>
      </c>
      <c r="X100" s="13">
        <f t="shared" ref="X100" si="16">SUM(X69:X99)</f>
        <v>0</v>
      </c>
      <c r="Y100" s="13" t="e">
        <f t="shared" si="0"/>
        <v>#DIV/0!</v>
      </c>
      <c r="Z100" s="467" t="e">
        <f t="shared" si="5"/>
        <v>#DIV/0!</v>
      </c>
      <c r="AC100" s="11" t="s">
        <v>3</v>
      </c>
      <c r="AD100" s="13">
        <f>SUM(AD69:AD99)</f>
        <v>0</v>
      </c>
      <c r="AE100" s="13">
        <f>SUM(AE69:AE99)</f>
        <v>0</v>
      </c>
      <c r="AF100" s="13">
        <f>SUM(AF69:AF99)</f>
        <v>0</v>
      </c>
      <c r="AG100" s="13">
        <f>SUM(AG69:AG99)</f>
        <v>0</v>
      </c>
      <c r="AH100" s="13">
        <f t="shared" ref="AH100" si="17">SUM(AH69:AH99)</f>
        <v>0</v>
      </c>
      <c r="AI100" s="13" t="e">
        <f>AH100/AD100</f>
        <v>#DIV/0!</v>
      </c>
      <c r="AJ100" s="467" t="e">
        <f>AG100/AF100</f>
        <v>#DIV/0!</v>
      </c>
    </row>
  </sheetData>
  <mergeCells count="36">
    <mergeCell ref="AD66:AJ66"/>
    <mergeCell ref="AD67:AD68"/>
    <mergeCell ref="AE67:AE68"/>
    <mergeCell ref="AF67:AF68"/>
    <mergeCell ref="AG67:AG68"/>
    <mergeCell ref="AH67:AH68"/>
    <mergeCell ref="AI67:AI68"/>
    <mergeCell ref="AJ67:AJ68"/>
    <mergeCell ref="Q67:Q68"/>
    <mergeCell ref="Z67:Z68"/>
    <mergeCell ref="K66:Q66"/>
    <mergeCell ref="T66:Z66"/>
    <mergeCell ref="AC66:AC68"/>
    <mergeCell ref="S66:S68"/>
    <mergeCell ref="T67:T68"/>
    <mergeCell ref="U67:U68"/>
    <mergeCell ref="V67:V68"/>
    <mergeCell ref="W67:W68"/>
    <mergeCell ref="X67:X68"/>
    <mergeCell ref="Y67:Y68"/>
    <mergeCell ref="N67:N68"/>
    <mergeCell ref="F67:F68"/>
    <mergeCell ref="O67:O68"/>
    <mergeCell ref="P67:P68"/>
    <mergeCell ref="H67:H68"/>
    <mergeCell ref="A66:A68"/>
    <mergeCell ref="B67:B68"/>
    <mergeCell ref="C67:C68"/>
    <mergeCell ref="D67:D68"/>
    <mergeCell ref="E67:E68"/>
    <mergeCell ref="B66:H66"/>
    <mergeCell ref="G67:G68"/>
    <mergeCell ref="J66:J68"/>
    <mergeCell ref="K67:K68"/>
    <mergeCell ref="L67:L68"/>
    <mergeCell ref="M67:M68"/>
  </mergeCell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"/>
  <sheetViews>
    <sheetView topLeftCell="A40" zoomScale="80" zoomScaleNormal="80" workbookViewId="0">
      <selection activeCell="S10" sqref="S10"/>
    </sheetView>
  </sheetViews>
  <sheetFormatPr defaultRowHeight="15"/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>
    <pageSetUpPr fitToPage="1"/>
  </sheetPr>
  <dimension ref="A1"/>
  <sheetViews>
    <sheetView zoomScale="40" zoomScaleNormal="40" workbookViewId="0">
      <selection activeCell="AJ26" sqref="AJ26"/>
    </sheetView>
  </sheetViews>
  <sheetFormatPr defaultRowHeight="15"/>
  <cols>
    <col min="14" max="14" width="12" bestFit="1" customWidth="1"/>
  </cols>
  <sheetData/>
  <pageMargins left="0.70866141732283472" right="0.70866141732283472" top="0.74803149606299213" bottom="0.74803149606299213" header="0.31496062992125984" footer="0.31496062992125984"/>
  <pageSetup paperSize="8" scale="1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"/>
  <sheetViews>
    <sheetView workbookViewId="0">
      <selection activeCell="N20" sqref="N2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</vt:i4>
      </vt:variant>
    </vt:vector>
  </HeadingPairs>
  <TitlesOfParts>
    <vt:vector size="26" baseType="lpstr">
      <vt:lpstr>SQ (Total)Graph</vt:lpstr>
      <vt:lpstr>SQ(Total) Data</vt:lpstr>
      <vt:lpstr>SQ(Team A)Graph</vt:lpstr>
      <vt:lpstr>SQ (Team B)Graph</vt:lpstr>
      <vt:lpstr>SQ(Team C)Graph</vt:lpstr>
      <vt:lpstr>SQ(Team A) Data</vt:lpstr>
      <vt:lpstr>SQ(Team B ) Data</vt:lpstr>
      <vt:lpstr>SQ (Team C) Data</vt:lpstr>
      <vt:lpstr>SQ-1</vt:lpstr>
      <vt:lpstr>SQ-2</vt:lpstr>
      <vt:lpstr>SQ-3</vt:lpstr>
      <vt:lpstr>SQ-4</vt:lpstr>
      <vt:lpstr>SQ-5</vt:lpstr>
      <vt:lpstr>SQ-6</vt:lpstr>
      <vt:lpstr>SQ-7</vt:lpstr>
      <vt:lpstr>SQ-8</vt:lpstr>
      <vt:lpstr>SQ-9</vt:lpstr>
      <vt:lpstr>TOTAL SQ</vt:lpstr>
      <vt:lpstr>TEAM WISE GRAPH</vt:lpstr>
      <vt:lpstr>GRAPH SQ MC WISE</vt:lpstr>
      <vt:lpstr>graph sq machines</vt:lpstr>
      <vt:lpstr>GRAPH</vt:lpstr>
      <vt:lpstr>'SQ (Team C) Data'!Print_Area</vt:lpstr>
      <vt:lpstr>'SQ(Team A) Data'!Print_Area</vt:lpstr>
      <vt:lpstr>'SQ(Team B ) Data'!Print_Area</vt:lpstr>
      <vt:lpstr>'SQ(Total) Data'!Print_Area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</dc:creator>
  <cp:lastModifiedBy>Bharathi K, Dhivya</cp:lastModifiedBy>
  <cp:lastPrinted>2016-08-29T06:44:53Z</cp:lastPrinted>
  <dcterms:created xsi:type="dcterms:W3CDTF">2012-12-08T06:59:52Z</dcterms:created>
  <dcterms:modified xsi:type="dcterms:W3CDTF">2020-09-12T14:34:52Z</dcterms:modified>
</cp:coreProperties>
</file>