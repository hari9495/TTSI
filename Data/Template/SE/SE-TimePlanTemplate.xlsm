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SE\"/>
    </mc:Choice>
  </mc:AlternateContent>
  <bookViews>
    <workbookView xWindow="0" yWindow="0" windowWidth="20490" windowHeight="7620"/>
  </bookViews>
  <sheets>
    <sheet name="Sheet1" sheetId="1" r:id="rId1"/>
    <sheet name="bgr" sheetId="3" state="hidden" r:id="rId2"/>
    <sheet name="Pending" sheetId="2" r:id="rId3"/>
    <sheet name="PendingDetails" sheetId="6" r:id="rId4"/>
    <sheet name="Consolidated" sheetId="9" r:id="rId5"/>
    <sheet name="Weight Monitoring" sheetId="8" r:id="rId6"/>
    <sheet name="partials" sheetId="10" r:id="rId7"/>
  </sheets>
  <definedNames>
    <definedName name="_xlnm._FilterDatabase" localSheetId="0" hidden="1">Sheet1!$A$5:$FW$129</definedName>
    <definedName name="_xlnm.Print_Area" localSheetId="0">Sheet1!$B$2:$AT$69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6" i="1" l="1"/>
  <c r="AD67" i="1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2" i="2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" i="1"/>
  <c r="AE66" i="1" l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Q62" i="2" l="1"/>
  <c r="Q61" i="2"/>
  <c r="Q60" i="2"/>
  <c r="B61" i="2"/>
  <c r="B62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M211" i="1" l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AL63" i="9" l="1"/>
  <c r="AK63" i="9"/>
  <c r="AI63" i="9"/>
  <c r="AF63" i="9"/>
  <c r="AD63" i="9"/>
  <c r="AC63" i="9"/>
  <c r="AB63" i="9"/>
  <c r="Y63" i="9"/>
  <c r="X63" i="9"/>
  <c r="W63" i="9"/>
  <c r="Z63" i="9" s="1"/>
  <c r="AA63" i="9" s="1"/>
  <c r="V63" i="9"/>
  <c r="U63" i="9"/>
  <c r="T63" i="9"/>
  <c r="R63" i="9"/>
  <c r="P63" i="9"/>
  <c r="K63" i="9"/>
  <c r="G63" i="9"/>
  <c r="F63" i="9"/>
  <c r="E63" i="9"/>
  <c r="D63" i="9"/>
  <c r="C63" i="9"/>
  <c r="A63" i="9"/>
  <c r="AL62" i="9"/>
  <c r="AK62" i="9"/>
  <c r="AI62" i="9"/>
  <c r="AF62" i="9"/>
  <c r="AD62" i="9"/>
  <c r="AC62" i="9"/>
  <c r="AB62" i="9"/>
  <c r="Y62" i="9"/>
  <c r="X62" i="9"/>
  <c r="W62" i="9"/>
  <c r="V62" i="9"/>
  <c r="U62" i="9"/>
  <c r="T62" i="9"/>
  <c r="R62" i="9"/>
  <c r="P62" i="9"/>
  <c r="K62" i="9"/>
  <c r="G62" i="9"/>
  <c r="F62" i="9"/>
  <c r="E62" i="9"/>
  <c r="D62" i="9"/>
  <c r="C62" i="9"/>
  <c r="A62" i="9"/>
  <c r="AL61" i="9"/>
  <c r="AK61" i="9"/>
  <c r="I61" i="9" s="1"/>
  <c r="AI61" i="9"/>
  <c r="AF61" i="9"/>
  <c r="AD61" i="9"/>
  <c r="AC61" i="9"/>
  <c r="AB61" i="9"/>
  <c r="Y61" i="9"/>
  <c r="Z61" i="9" s="1"/>
  <c r="AA61" i="9" s="1"/>
  <c r="X61" i="9"/>
  <c r="W61" i="9"/>
  <c r="V61" i="9"/>
  <c r="U61" i="9"/>
  <c r="T61" i="9"/>
  <c r="R61" i="9"/>
  <c r="P61" i="9"/>
  <c r="K61" i="9"/>
  <c r="G61" i="9"/>
  <c r="F61" i="9"/>
  <c r="E61" i="9"/>
  <c r="D61" i="9"/>
  <c r="C61" i="9"/>
  <c r="A61" i="9"/>
  <c r="AJ61" i="9" s="1"/>
  <c r="AL60" i="9"/>
  <c r="AK60" i="9"/>
  <c r="AI60" i="9"/>
  <c r="AF60" i="9"/>
  <c r="AD60" i="9"/>
  <c r="AC60" i="9"/>
  <c r="AB60" i="9"/>
  <c r="Y60" i="9"/>
  <c r="X60" i="9"/>
  <c r="W60" i="9"/>
  <c r="Z60" i="9" s="1"/>
  <c r="AA60" i="9" s="1"/>
  <c r="V60" i="9"/>
  <c r="U60" i="9"/>
  <c r="T60" i="9"/>
  <c r="R60" i="9"/>
  <c r="P60" i="9"/>
  <c r="K60" i="9"/>
  <c r="G60" i="9"/>
  <c r="F60" i="9"/>
  <c r="E60" i="9"/>
  <c r="D60" i="9"/>
  <c r="C60" i="9"/>
  <c r="A60" i="9"/>
  <c r="AL59" i="9"/>
  <c r="AK59" i="9"/>
  <c r="AI59" i="9"/>
  <c r="AF59" i="9"/>
  <c r="AD59" i="9"/>
  <c r="AC59" i="9"/>
  <c r="AB59" i="9"/>
  <c r="Y59" i="9"/>
  <c r="X59" i="9"/>
  <c r="W59" i="9"/>
  <c r="V59" i="9"/>
  <c r="U59" i="9"/>
  <c r="T59" i="9"/>
  <c r="R59" i="9"/>
  <c r="P59" i="9"/>
  <c r="K59" i="9"/>
  <c r="G59" i="9"/>
  <c r="F59" i="9"/>
  <c r="E59" i="9"/>
  <c r="D59" i="9"/>
  <c r="C59" i="9"/>
  <c r="A59" i="9"/>
  <c r="AL58" i="9"/>
  <c r="AK58" i="9"/>
  <c r="I58" i="9" s="1"/>
  <c r="AI58" i="9"/>
  <c r="AF58" i="9"/>
  <c r="AD58" i="9"/>
  <c r="AC58" i="9"/>
  <c r="AB58" i="9"/>
  <c r="Y58" i="9"/>
  <c r="X58" i="9"/>
  <c r="W58" i="9"/>
  <c r="V58" i="9"/>
  <c r="U58" i="9"/>
  <c r="T58" i="9"/>
  <c r="R58" i="9"/>
  <c r="P58" i="9"/>
  <c r="K58" i="9"/>
  <c r="G58" i="9"/>
  <c r="F58" i="9"/>
  <c r="E58" i="9"/>
  <c r="D58" i="9"/>
  <c r="C58" i="9"/>
  <c r="A58" i="9"/>
  <c r="AE58" i="9" s="1"/>
  <c r="AL57" i="9"/>
  <c r="AK57" i="9"/>
  <c r="AI57" i="9"/>
  <c r="AF57" i="9"/>
  <c r="AD57" i="9"/>
  <c r="AC57" i="9"/>
  <c r="AB57" i="9"/>
  <c r="Y57" i="9"/>
  <c r="X57" i="9"/>
  <c r="W57" i="9"/>
  <c r="Z57" i="9" s="1"/>
  <c r="AA57" i="9" s="1"/>
  <c r="V57" i="9"/>
  <c r="U57" i="9"/>
  <c r="T57" i="9"/>
  <c r="R57" i="9"/>
  <c r="P57" i="9"/>
  <c r="K57" i="9"/>
  <c r="G57" i="9"/>
  <c r="F57" i="9"/>
  <c r="E57" i="9"/>
  <c r="D57" i="9"/>
  <c r="C57" i="9"/>
  <c r="A57" i="9"/>
  <c r="AL56" i="9"/>
  <c r="AK56" i="9"/>
  <c r="AI56" i="9"/>
  <c r="AF56" i="9"/>
  <c r="AD56" i="9"/>
  <c r="AC56" i="9"/>
  <c r="AB56" i="9"/>
  <c r="Y56" i="9"/>
  <c r="X56" i="9"/>
  <c r="W56" i="9"/>
  <c r="V56" i="9"/>
  <c r="U56" i="9"/>
  <c r="T56" i="9"/>
  <c r="R56" i="9"/>
  <c r="P56" i="9"/>
  <c r="K56" i="9"/>
  <c r="G56" i="9"/>
  <c r="F56" i="9"/>
  <c r="E56" i="9"/>
  <c r="D56" i="9"/>
  <c r="C56" i="9"/>
  <c r="A56" i="9"/>
  <c r="AL55" i="9"/>
  <c r="AK55" i="9"/>
  <c r="I55" i="9" s="1"/>
  <c r="AI55" i="9"/>
  <c r="AF55" i="9"/>
  <c r="AD55" i="9"/>
  <c r="AC55" i="9"/>
  <c r="AB55" i="9"/>
  <c r="Y55" i="9"/>
  <c r="X55" i="9"/>
  <c r="W55" i="9"/>
  <c r="V55" i="9"/>
  <c r="U55" i="9"/>
  <c r="T55" i="9"/>
  <c r="R55" i="9"/>
  <c r="P55" i="9"/>
  <c r="K55" i="9"/>
  <c r="G55" i="9"/>
  <c r="F55" i="9"/>
  <c r="E55" i="9"/>
  <c r="D55" i="9"/>
  <c r="C55" i="9"/>
  <c r="A55" i="9"/>
  <c r="AE55" i="9" s="1"/>
  <c r="AL54" i="9"/>
  <c r="AK54" i="9"/>
  <c r="AI54" i="9"/>
  <c r="AF54" i="9"/>
  <c r="AD54" i="9"/>
  <c r="AC54" i="9"/>
  <c r="AB54" i="9"/>
  <c r="Y54" i="9"/>
  <c r="X54" i="9"/>
  <c r="W54" i="9"/>
  <c r="Z54" i="9" s="1"/>
  <c r="AA54" i="9" s="1"/>
  <c r="V54" i="9"/>
  <c r="U54" i="9"/>
  <c r="T54" i="9"/>
  <c r="R54" i="9"/>
  <c r="P54" i="9"/>
  <c r="K54" i="9"/>
  <c r="G54" i="9"/>
  <c r="F54" i="9"/>
  <c r="E54" i="9"/>
  <c r="D54" i="9"/>
  <c r="C54" i="9"/>
  <c r="A54" i="9"/>
  <c r="AL53" i="9"/>
  <c r="AK53" i="9"/>
  <c r="AI53" i="9"/>
  <c r="AF53" i="9"/>
  <c r="AD53" i="9"/>
  <c r="AC53" i="9"/>
  <c r="AB53" i="9"/>
  <c r="Y53" i="9"/>
  <c r="X53" i="9"/>
  <c r="W53" i="9"/>
  <c r="V53" i="9"/>
  <c r="U53" i="9"/>
  <c r="T53" i="9"/>
  <c r="R53" i="9"/>
  <c r="P53" i="9"/>
  <c r="K53" i="9"/>
  <c r="G53" i="9"/>
  <c r="F53" i="9"/>
  <c r="E53" i="9"/>
  <c r="D53" i="9"/>
  <c r="C53" i="9"/>
  <c r="A53" i="9"/>
  <c r="AL52" i="9"/>
  <c r="AK52" i="9"/>
  <c r="I52" i="9" s="1"/>
  <c r="AI52" i="9"/>
  <c r="AF52" i="9"/>
  <c r="AD52" i="9"/>
  <c r="AC52" i="9"/>
  <c r="AB52" i="9"/>
  <c r="Y52" i="9"/>
  <c r="Z52" i="9" s="1"/>
  <c r="AA52" i="9" s="1"/>
  <c r="X52" i="9"/>
  <c r="W52" i="9"/>
  <c r="V52" i="9"/>
  <c r="U52" i="9"/>
  <c r="T52" i="9"/>
  <c r="R52" i="9"/>
  <c r="P52" i="9"/>
  <c r="K52" i="9"/>
  <c r="G52" i="9"/>
  <c r="F52" i="9"/>
  <c r="E52" i="9"/>
  <c r="D52" i="9"/>
  <c r="C52" i="9"/>
  <c r="A52" i="9"/>
  <c r="AJ52" i="9" s="1"/>
  <c r="AL51" i="9"/>
  <c r="AK51" i="9"/>
  <c r="AI51" i="9"/>
  <c r="AF51" i="9"/>
  <c r="AD51" i="9"/>
  <c r="AC51" i="9"/>
  <c r="AB51" i="9"/>
  <c r="Y51" i="9"/>
  <c r="X51" i="9"/>
  <c r="W51" i="9"/>
  <c r="Z51" i="9" s="1"/>
  <c r="AA51" i="9" s="1"/>
  <c r="V51" i="9"/>
  <c r="U51" i="9"/>
  <c r="T51" i="9"/>
  <c r="R51" i="9"/>
  <c r="P51" i="9"/>
  <c r="K51" i="9"/>
  <c r="G51" i="9"/>
  <c r="F51" i="9"/>
  <c r="E51" i="9"/>
  <c r="D51" i="9"/>
  <c r="C51" i="9"/>
  <c r="A51" i="9"/>
  <c r="AL50" i="9"/>
  <c r="AK50" i="9"/>
  <c r="AI50" i="9"/>
  <c r="AF50" i="9"/>
  <c r="AD50" i="9"/>
  <c r="AC50" i="9"/>
  <c r="AB50" i="9"/>
  <c r="Y50" i="9"/>
  <c r="X50" i="9"/>
  <c r="W50" i="9"/>
  <c r="V50" i="9"/>
  <c r="Z50" i="9" s="1"/>
  <c r="AA50" i="9" s="1"/>
  <c r="U50" i="9"/>
  <c r="T50" i="9"/>
  <c r="R50" i="9"/>
  <c r="P50" i="9"/>
  <c r="K50" i="9"/>
  <c r="G50" i="9"/>
  <c r="F50" i="9"/>
  <c r="E50" i="9"/>
  <c r="D50" i="9"/>
  <c r="C50" i="9"/>
  <c r="A50" i="9"/>
  <c r="AL49" i="9"/>
  <c r="AK49" i="9"/>
  <c r="I49" i="9" s="1"/>
  <c r="AI49" i="9"/>
  <c r="AF49" i="9"/>
  <c r="AD49" i="9"/>
  <c r="AC49" i="9"/>
  <c r="AB49" i="9"/>
  <c r="Y49" i="9"/>
  <c r="Z49" i="9" s="1"/>
  <c r="AA49" i="9" s="1"/>
  <c r="X49" i="9"/>
  <c r="W49" i="9"/>
  <c r="V49" i="9"/>
  <c r="U49" i="9"/>
  <c r="T49" i="9"/>
  <c r="R49" i="9"/>
  <c r="P49" i="9"/>
  <c r="K49" i="9"/>
  <c r="G49" i="9"/>
  <c r="F49" i="9"/>
  <c r="E49" i="9"/>
  <c r="D49" i="9"/>
  <c r="C49" i="9"/>
  <c r="A49" i="9"/>
  <c r="AL48" i="9"/>
  <c r="AK48" i="9"/>
  <c r="AI48" i="9"/>
  <c r="AF48" i="9"/>
  <c r="AD48" i="9"/>
  <c r="AC48" i="9"/>
  <c r="AB48" i="9"/>
  <c r="Y48" i="9"/>
  <c r="X48" i="9"/>
  <c r="W48" i="9"/>
  <c r="Z48" i="9" s="1"/>
  <c r="AA48" i="9" s="1"/>
  <c r="V48" i="9"/>
  <c r="U48" i="9"/>
  <c r="T48" i="9"/>
  <c r="R48" i="9"/>
  <c r="P48" i="9"/>
  <c r="K48" i="9"/>
  <c r="G48" i="9"/>
  <c r="F48" i="9"/>
  <c r="E48" i="9"/>
  <c r="D48" i="9"/>
  <c r="C48" i="9"/>
  <c r="A48" i="9"/>
  <c r="AL47" i="9"/>
  <c r="AK47" i="9"/>
  <c r="AI47" i="9"/>
  <c r="AF47" i="9"/>
  <c r="AD47" i="9"/>
  <c r="AC47" i="9"/>
  <c r="AB47" i="9"/>
  <c r="Y47" i="9"/>
  <c r="X47" i="9"/>
  <c r="W47" i="9"/>
  <c r="V47" i="9"/>
  <c r="U47" i="9"/>
  <c r="T47" i="9"/>
  <c r="R47" i="9"/>
  <c r="P47" i="9"/>
  <c r="K47" i="9"/>
  <c r="G47" i="9"/>
  <c r="F47" i="9"/>
  <c r="E47" i="9"/>
  <c r="D47" i="9"/>
  <c r="C47" i="9"/>
  <c r="A47" i="9"/>
  <c r="AL46" i="9"/>
  <c r="AK46" i="9"/>
  <c r="I46" i="9" s="1"/>
  <c r="AI46" i="9"/>
  <c r="AF46" i="9"/>
  <c r="AD46" i="9"/>
  <c r="AC46" i="9"/>
  <c r="AB46" i="9"/>
  <c r="Y46" i="9"/>
  <c r="Z46" i="9" s="1"/>
  <c r="AA46" i="9" s="1"/>
  <c r="X46" i="9"/>
  <c r="W46" i="9"/>
  <c r="V46" i="9"/>
  <c r="U46" i="9"/>
  <c r="T46" i="9"/>
  <c r="R46" i="9"/>
  <c r="P46" i="9"/>
  <c r="K46" i="9"/>
  <c r="G46" i="9"/>
  <c r="F46" i="9"/>
  <c r="E46" i="9"/>
  <c r="D46" i="9"/>
  <c r="C46" i="9"/>
  <c r="A46" i="9"/>
  <c r="AJ46" i="9" s="1"/>
  <c r="AL45" i="9"/>
  <c r="AK45" i="9"/>
  <c r="AI45" i="9"/>
  <c r="AF45" i="9"/>
  <c r="AD45" i="9"/>
  <c r="AC45" i="9"/>
  <c r="AB45" i="9"/>
  <c r="Y45" i="9"/>
  <c r="X45" i="9"/>
  <c r="W45" i="9"/>
  <c r="Z45" i="9" s="1"/>
  <c r="AA45" i="9" s="1"/>
  <c r="V45" i="9"/>
  <c r="U45" i="9"/>
  <c r="T45" i="9"/>
  <c r="R45" i="9"/>
  <c r="P45" i="9"/>
  <c r="K45" i="9"/>
  <c r="G45" i="9"/>
  <c r="F45" i="9"/>
  <c r="E45" i="9"/>
  <c r="D45" i="9"/>
  <c r="C45" i="9"/>
  <c r="A45" i="9"/>
  <c r="AL44" i="9"/>
  <c r="AK44" i="9"/>
  <c r="AI44" i="9"/>
  <c r="AF44" i="9"/>
  <c r="AD44" i="9"/>
  <c r="AC44" i="9"/>
  <c r="AB44" i="9"/>
  <c r="Y44" i="9"/>
  <c r="X44" i="9"/>
  <c r="W44" i="9"/>
  <c r="V44" i="9"/>
  <c r="Z44" i="9" s="1"/>
  <c r="AA44" i="9" s="1"/>
  <c r="U44" i="9"/>
  <c r="T44" i="9"/>
  <c r="R44" i="9"/>
  <c r="P44" i="9"/>
  <c r="K44" i="9"/>
  <c r="G44" i="9"/>
  <c r="F44" i="9"/>
  <c r="E44" i="9"/>
  <c r="D44" i="9"/>
  <c r="C44" i="9"/>
  <c r="A44" i="9"/>
  <c r="AL43" i="9"/>
  <c r="AK43" i="9"/>
  <c r="I43" i="9" s="1"/>
  <c r="AI43" i="9"/>
  <c r="AF43" i="9"/>
  <c r="AD43" i="9"/>
  <c r="AC43" i="9"/>
  <c r="AB43" i="9"/>
  <c r="Y43" i="9"/>
  <c r="Z43" i="9" s="1"/>
  <c r="AA43" i="9" s="1"/>
  <c r="X43" i="9"/>
  <c r="W43" i="9"/>
  <c r="V43" i="9"/>
  <c r="U43" i="9"/>
  <c r="T43" i="9"/>
  <c r="R43" i="9"/>
  <c r="P43" i="9"/>
  <c r="K43" i="9"/>
  <c r="G43" i="9"/>
  <c r="F43" i="9"/>
  <c r="E43" i="9"/>
  <c r="D43" i="9"/>
  <c r="C43" i="9"/>
  <c r="A43" i="9"/>
  <c r="AE43" i="9" s="1"/>
  <c r="AL42" i="9"/>
  <c r="AK42" i="9"/>
  <c r="AI42" i="9"/>
  <c r="AF42" i="9"/>
  <c r="AD42" i="9"/>
  <c r="AC42" i="9"/>
  <c r="AB42" i="9"/>
  <c r="Y42" i="9"/>
  <c r="X42" i="9"/>
  <c r="W42" i="9"/>
  <c r="V42" i="9"/>
  <c r="U42" i="9"/>
  <c r="T42" i="9"/>
  <c r="R42" i="9"/>
  <c r="P42" i="9"/>
  <c r="K42" i="9"/>
  <c r="G42" i="9"/>
  <c r="F42" i="9"/>
  <c r="E42" i="9"/>
  <c r="D42" i="9"/>
  <c r="C42" i="9"/>
  <c r="A42" i="9"/>
  <c r="AL41" i="9"/>
  <c r="AK41" i="9"/>
  <c r="AI41" i="9"/>
  <c r="AF41" i="9"/>
  <c r="AD41" i="9"/>
  <c r="AC41" i="9"/>
  <c r="AB41" i="9"/>
  <c r="Y41" i="9"/>
  <c r="X41" i="9"/>
  <c r="W41" i="9"/>
  <c r="V41" i="9"/>
  <c r="Z41" i="9" s="1"/>
  <c r="AA41" i="9" s="1"/>
  <c r="U41" i="9"/>
  <c r="T41" i="9"/>
  <c r="R41" i="9"/>
  <c r="P41" i="9"/>
  <c r="K41" i="9"/>
  <c r="G41" i="9"/>
  <c r="F41" i="9"/>
  <c r="E41" i="9"/>
  <c r="D41" i="9"/>
  <c r="C41" i="9"/>
  <c r="A41" i="9"/>
  <c r="AL40" i="9"/>
  <c r="AK40" i="9"/>
  <c r="I40" i="9" s="1"/>
  <c r="AI40" i="9"/>
  <c r="AF40" i="9"/>
  <c r="AD40" i="9"/>
  <c r="AC40" i="9"/>
  <c r="AB40" i="9"/>
  <c r="Y40" i="9"/>
  <c r="Z40" i="9" s="1"/>
  <c r="AA40" i="9" s="1"/>
  <c r="X40" i="9"/>
  <c r="W40" i="9"/>
  <c r="V40" i="9"/>
  <c r="U40" i="9"/>
  <c r="T40" i="9"/>
  <c r="R40" i="9"/>
  <c r="P40" i="9"/>
  <c r="K40" i="9"/>
  <c r="G40" i="9"/>
  <c r="F40" i="9"/>
  <c r="E40" i="9"/>
  <c r="D40" i="9"/>
  <c r="C40" i="9"/>
  <c r="A40" i="9"/>
  <c r="AE40" i="9" s="1"/>
  <c r="AL39" i="9"/>
  <c r="AK39" i="9"/>
  <c r="AI39" i="9"/>
  <c r="AF39" i="9"/>
  <c r="AD39" i="9"/>
  <c r="AC39" i="9"/>
  <c r="AB39" i="9"/>
  <c r="Y39" i="9"/>
  <c r="X39" i="9"/>
  <c r="W39" i="9"/>
  <c r="Z39" i="9" s="1"/>
  <c r="AA39" i="9" s="1"/>
  <c r="V39" i="9"/>
  <c r="U39" i="9"/>
  <c r="T39" i="9"/>
  <c r="R39" i="9"/>
  <c r="P39" i="9"/>
  <c r="K39" i="9"/>
  <c r="G39" i="9"/>
  <c r="F39" i="9"/>
  <c r="E39" i="9"/>
  <c r="D39" i="9"/>
  <c r="C39" i="9"/>
  <c r="A39" i="9"/>
  <c r="AL38" i="9"/>
  <c r="AK38" i="9"/>
  <c r="AI38" i="9"/>
  <c r="AF38" i="9"/>
  <c r="AD38" i="9"/>
  <c r="AC38" i="9"/>
  <c r="AB38" i="9"/>
  <c r="Y38" i="9"/>
  <c r="X38" i="9"/>
  <c r="W38" i="9"/>
  <c r="V38" i="9"/>
  <c r="U38" i="9"/>
  <c r="T38" i="9"/>
  <c r="R38" i="9"/>
  <c r="P38" i="9"/>
  <c r="K38" i="9"/>
  <c r="G38" i="9"/>
  <c r="F38" i="9"/>
  <c r="E38" i="9"/>
  <c r="D38" i="9"/>
  <c r="C38" i="9"/>
  <c r="A38" i="9"/>
  <c r="AL37" i="9"/>
  <c r="AK37" i="9"/>
  <c r="I37" i="9" s="1"/>
  <c r="AI37" i="9"/>
  <c r="AF37" i="9"/>
  <c r="AD37" i="9"/>
  <c r="AC37" i="9"/>
  <c r="AB37" i="9"/>
  <c r="Y37" i="9"/>
  <c r="Z37" i="9" s="1"/>
  <c r="AA37" i="9" s="1"/>
  <c r="X37" i="9"/>
  <c r="W37" i="9"/>
  <c r="V37" i="9"/>
  <c r="U37" i="9"/>
  <c r="T37" i="9"/>
  <c r="R37" i="9"/>
  <c r="P37" i="9"/>
  <c r="K37" i="9"/>
  <c r="G37" i="9"/>
  <c r="F37" i="9"/>
  <c r="E37" i="9"/>
  <c r="D37" i="9"/>
  <c r="C37" i="9"/>
  <c r="A37" i="9"/>
  <c r="AE37" i="9" s="1"/>
  <c r="AL36" i="9"/>
  <c r="AK36" i="9"/>
  <c r="AI36" i="9"/>
  <c r="AF36" i="9"/>
  <c r="AD36" i="9"/>
  <c r="AC36" i="9"/>
  <c r="AB36" i="9"/>
  <c r="Y36" i="9"/>
  <c r="X36" i="9"/>
  <c r="W36" i="9"/>
  <c r="Z36" i="9" s="1"/>
  <c r="AA36" i="9" s="1"/>
  <c r="V36" i="9"/>
  <c r="U36" i="9"/>
  <c r="T36" i="9"/>
  <c r="R36" i="9"/>
  <c r="P36" i="9"/>
  <c r="K36" i="9"/>
  <c r="G36" i="9"/>
  <c r="F36" i="9"/>
  <c r="E36" i="9"/>
  <c r="D36" i="9"/>
  <c r="C36" i="9"/>
  <c r="A36" i="9"/>
  <c r="AL35" i="9"/>
  <c r="AK35" i="9"/>
  <c r="AI35" i="9"/>
  <c r="AF35" i="9"/>
  <c r="AD35" i="9"/>
  <c r="AC35" i="9"/>
  <c r="AB35" i="9"/>
  <c r="Y35" i="9"/>
  <c r="X35" i="9"/>
  <c r="W35" i="9"/>
  <c r="V35" i="9"/>
  <c r="U35" i="9"/>
  <c r="T35" i="9"/>
  <c r="R35" i="9"/>
  <c r="P35" i="9"/>
  <c r="K35" i="9"/>
  <c r="G35" i="9"/>
  <c r="F35" i="9"/>
  <c r="E35" i="9"/>
  <c r="D35" i="9"/>
  <c r="C35" i="9"/>
  <c r="A35" i="9"/>
  <c r="AL34" i="9"/>
  <c r="AK34" i="9"/>
  <c r="I34" i="9" s="1"/>
  <c r="AI34" i="9"/>
  <c r="AF34" i="9"/>
  <c r="AD34" i="9"/>
  <c r="AC34" i="9"/>
  <c r="AB34" i="9"/>
  <c r="Y34" i="9"/>
  <c r="Z34" i="9" s="1"/>
  <c r="AA34" i="9" s="1"/>
  <c r="X34" i="9"/>
  <c r="W34" i="9"/>
  <c r="V34" i="9"/>
  <c r="U34" i="9"/>
  <c r="T34" i="9"/>
  <c r="R34" i="9"/>
  <c r="P34" i="9"/>
  <c r="K34" i="9"/>
  <c r="G34" i="9"/>
  <c r="F34" i="9"/>
  <c r="E34" i="9"/>
  <c r="D34" i="9"/>
  <c r="C34" i="9"/>
  <c r="A34" i="9"/>
  <c r="AJ34" i="9" s="1"/>
  <c r="AL33" i="9"/>
  <c r="AK33" i="9"/>
  <c r="AI33" i="9"/>
  <c r="AF33" i="9"/>
  <c r="AD33" i="9"/>
  <c r="AC33" i="9"/>
  <c r="AB33" i="9"/>
  <c r="Y33" i="9"/>
  <c r="X33" i="9"/>
  <c r="W33" i="9"/>
  <c r="Z33" i="9" s="1"/>
  <c r="AA33" i="9" s="1"/>
  <c r="V33" i="9"/>
  <c r="U33" i="9"/>
  <c r="T33" i="9"/>
  <c r="R33" i="9"/>
  <c r="P33" i="9"/>
  <c r="K33" i="9"/>
  <c r="G33" i="9"/>
  <c r="F33" i="9"/>
  <c r="E33" i="9"/>
  <c r="D33" i="9"/>
  <c r="C33" i="9"/>
  <c r="A33" i="9"/>
  <c r="AL32" i="9"/>
  <c r="AK32" i="9"/>
  <c r="AI32" i="9"/>
  <c r="AF32" i="9"/>
  <c r="AD32" i="9"/>
  <c r="AC32" i="9"/>
  <c r="AB32" i="9"/>
  <c r="Y32" i="9"/>
  <c r="X32" i="9"/>
  <c r="W32" i="9"/>
  <c r="V32" i="9"/>
  <c r="U32" i="9"/>
  <c r="T32" i="9"/>
  <c r="R32" i="9"/>
  <c r="P32" i="9"/>
  <c r="K32" i="9"/>
  <c r="G32" i="9"/>
  <c r="F32" i="9"/>
  <c r="E32" i="9"/>
  <c r="D32" i="9"/>
  <c r="C32" i="9"/>
  <c r="A32" i="9"/>
  <c r="AL31" i="9"/>
  <c r="AK31" i="9"/>
  <c r="I31" i="9" s="1"/>
  <c r="AI31" i="9"/>
  <c r="AF31" i="9"/>
  <c r="AD31" i="9"/>
  <c r="AC31" i="9"/>
  <c r="AB31" i="9"/>
  <c r="Y31" i="9"/>
  <c r="Z31" i="9" s="1"/>
  <c r="AA31" i="9" s="1"/>
  <c r="X31" i="9"/>
  <c r="W31" i="9"/>
  <c r="V31" i="9"/>
  <c r="U31" i="9"/>
  <c r="T31" i="9"/>
  <c r="R31" i="9"/>
  <c r="P31" i="9"/>
  <c r="K31" i="9"/>
  <c r="G31" i="9"/>
  <c r="F31" i="9"/>
  <c r="E31" i="9"/>
  <c r="D31" i="9"/>
  <c r="C31" i="9"/>
  <c r="A31" i="9"/>
  <c r="AJ31" i="9" s="1"/>
  <c r="AL30" i="9"/>
  <c r="AK30" i="9"/>
  <c r="AI30" i="9"/>
  <c r="AF30" i="9"/>
  <c r="AD30" i="9"/>
  <c r="AC30" i="9"/>
  <c r="AB30" i="9"/>
  <c r="Y30" i="9"/>
  <c r="X30" i="9"/>
  <c r="W30" i="9"/>
  <c r="Z30" i="9" s="1"/>
  <c r="AA30" i="9" s="1"/>
  <c r="V30" i="9"/>
  <c r="U30" i="9"/>
  <c r="T30" i="9"/>
  <c r="R30" i="9"/>
  <c r="P30" i="9"/>
  <c r="K30" i="9"/>
  <c r="G30" i="9"/>
  <c r="F30" i="9"/>
  <c r="E30" i="9"/>
  <c r="D30" i="9"/>
  <c r="C30" i="9"/>
  <c r="A30" i="9"/>
  <c r="AL29" i="9"/>
  <c r="AK29" i="9"/>
  <c r="AI29" i="9"/>
  <c r="AF29" i="9"/>
  <c r="AD29" i="9"/>
  <c r="AC29" i="9"/>
  <c r="AB29" i="9"/>
  <c r="Y29" i="9"/>
  <c r="X29" i="9"/>
  <c r="W29" i="9"/>
  <c r="V29" i="9"/>
  <c r="U29" i="9"/>
  <c r="T29" i="9"/>
  <c r="R29" i="9"/>
  <c r="P29" i="9"/>
  <c r="K29" i="9"/>
  <c r="G29" i="9"/>
  <c r="F29" i="9"/>
  <c r="E29" i="9"/>
  <c r="D29" i="9"/>
  <c r="C29" i="9"/>
  <c r="A29" i="9"/>
  <c r="AL28" i="9"/>
  <c r="AK28" i="9"/>
  <c r="AI28" i="9"/>
  <c r="AF28" i="9"/>
  <c r="AD28" i="9"/>
  <c r="AC28" i="9"/>
  <c r="AB28" i="9"/>
  <c r="Y28" i="9"/>
  <c r="Z28" i="9" s="1"/>
  <c r="AA28" i="9" s="1"/>
  <c r="X28" i="9"/>
  <c r="W28" i="9"/>
  <c r="V28" i="9"/>
  <c r="U28" i="9"/>
  <c r="T28" i="9"/>
  <c r="R28" i="9"/>
  <c r="P28" i="9"/>
  <c r="K28" i="9"/>
  <c r="G28" i="9"/>
  <c r="F28" i="9"/>
  <c r="E28" i="9"/>
  <c r="D28" i="9"/>
  <c r="C28" i="9"/>
  <c r="A28" i="9"/>
  <c r="AJ28" i="9" s="1"/>
  <c r="AL27" i="9"/>
  <c r="AK27" i="9"/>
  <c r="AI27" i="9"/>
  <c r="AF27" i="9"/>
  <c r="AD27" i="9"/>
  <c r="AC27" i="9"/>
  <c r="AB27" i="9"/>
  <c r="Y27" i="9"/>
  <c r="X27" i="9"/>
  <c r="W27" i="9"/>
  <c r="Z27" i="9" s="1"/>
  <c r="AA27" i="9" s="1"/>
  <c r="V27" i="9"/>
  <c r="U27" i="9"/>
  <c r="T27" i="9"/>
  <c r="R27" i="9"/>
  <c r="P27" i="9"/>
  <c r="K27" i="9"/>
  <c r="G27" i="9"/>
  <c r="F27" i="9"/>
  <c r="E27" i="9"/>
  <c r="D27" i="9"/>
  <c r="C27" i="9"/>
  <c r="A27" i="9"/>
  <c r="AL26" i="9"/>
  <c r="AK26" i="9"/>
  <c r="AI26" i="9"/>
  <c r="AF26" i="9"/>
  <c r="AD26" i="9"/>
  <c r="AC26" i="9"/>
  <c r="AB26" i="9"/>
  <c r="Y26" i="9"/>
  <c r="X26" i="9"/>
  <c r="W26" i="9"/>
  <c r="V26" i="9"/>
  <c r="Z26" i="9" s="1"/>
  <c r="AA26" i="9" s="1"/>
  <c r="U26" i="9"/>
  <c r="T26" i="9"/>
  <c r="R26" i="9"/>
  <c r="P26" i="9"/>
  <c r="K26" i="9"/>
  <c r="G26" i="9"/>
  <c r="F26" i="9"/>
  <c r="E26" i="9"/>
  <c r="D26" i="9"/>
  <c r="C26" i="9"/>
  <c r="A26" i="9"/>
  <c r="AL25" i="9"/>
  <c r="AK25" i="9"/>
  <c r="I25" i="9" s="1"/>
  <c r="AI25" i="9"/>
  <c r="AF25" i="9"/>
  <c r="AD25" i="9"/>
  <c r="AC25" i="9"/>
  <c r="AB25" i="9"/>
  <c r="Y25" i="9"/>
  <c r="Z25" i="9" s="1"/>
  <c r="AA25" i="9" s="1"/>
  <c r="X25" i="9"/>
  <c r="W25" i="9"/>
  <c r="V25" i="9"/>
  <c r="U25" i="9"/>
  <c r="T25" i="9"/>
  <c r="R25" i="9"/>
  <c r="P25" i="9"/>
  <c r="K25" i="9"/>
  <c r="G25" i="9"/>
  <c r="F25" i="9"/>
  <c r="E25" i="9"/>
  <c r="D25" i="9"/>
  <c r="C25" i="9"/>
  <c r="A25" i="9"/>
  <c r="AJ25" i="9" s="1"/>
  <c r="AL24" i="9"/>
  <c r="AK24" i="9"/>
  <c r="AI24" i="9"/>
  <c r="AF24" i="9"/>
  <c r="AD24" i="9"/>
  <c r="AC24" i="9"/>
  <c r="AB24" i="9"/>
  <c r="Y24" i="9"/>
  <c r="X24" i="9"/>
  <c r="W24" i="9"/>
  <c r="Z24" i="9" s="1"/>
  <c r="AA24" i="9" s="1"/>
  <c r="V24" i="9"/>
  <c r="U24" i="9"/>
  <c r="T24" i="9"/>
  <c r="R24" i="9"/>
  <c r="P24" i="9"/>
  <c r="K24" i="9"/>
  <c r="G24" i="9"/>
  <c r="F24" i="9"/>
  <c r="E24" i="9"/>
  <c r="D24" i="9"/>
  <c r="C24" i="9"/>
  <c r="A24" i="9"/>
  <c r="AL23" i="9"/>
  <c r="AK23" i="9"/>
  <c r="AI23" i="9"/>
  <c r="AF23" i="9"/>
  <c r="AD23" i="9"/>
  <c r="AC23" i="9"/>
  <c r="AB23" i="9"/>
  <c r="Y23" i="9"/>
  <c r="X23" i="9"/>
  <c r="W23" i="9"/>
  <c r="V23" i="9"/>
  <c r="Z23" i="9" s="1"/>
  <c r="AA23" i="9" s="1"/>
  <c r="U23" i="9"/>
  <c r="T23" i="9"/>
  <c r="R23" i="9"/>
  <c r="P23" i="9"/>
  <c r="K23" i="9"/>
  <c r="G23" i="9"/>
  <c r="F23" i="9"/>
  <c r="E23" i="9"/>
  <c r="D23" i="9"/>
  <c r="C23" i="9"/>
  <c r="A23" i="9"/>
  <c r="AL22" i="9"/>
  <c r="AK22" i="9"/>
  <c r="I22" i="9" s="1"/>
  <c r="AI22" i="9"/>
  <c r="AF22" i="9"/>
  <c r="AD22" i="9"/>
  <c r="AC22" i="9"/>
  <c r="AB22" i="9"/>
  <c r="Y22" i="9"/>
  <c r="Z22" i="9" s="1"/>
  <c r="AA22" i="9" s="1"/>
  <c r="X22" i="9"/>
  <c r="W22" i="9"/>
  <c r="V22" i="9"/>
  <c r="U22" i="9"/>
  <c r="T22" i="9"/>
  <c r="R22" i="9"/>
  <c r="P22" i="9"/>
  <c r="K22" i="9"/>
  <c r="G22" i="9"/>
  <c r="F22" i="9"/>
  <c r="E22" i="9"/>
  <c r="D22" i="9"/>
  <c r="C22" i="9"/>
  <c r="A22" i="9"/>
  <c r="AJ22" i="9" s="1"/>
  <c r="AL21" i="9"/>
  <c r="AK21" i="9"/>
  <c r="AI21" i="9"/>
  <c r="AF21" i="9"/>
  <c r="AD21" i="9"/>
  <c r="AC21" i="9"/>
  <c r="AB21" i="9"/>
  <c r="Y21" i="9"/>
  <c r="X21" i="9"/>
  <c r="W21" i="9"/>
  <c r="Z21" i="9" s="1"/>
  <c r="AA21" i="9" s="1"/>
  <c r="V21" i="9"/>
  <c r="U21" i="9"/>
  <c r="T21" i="9"/>
  <c r="R21" i="9"/>
  <c r="P21" i="9"/>
  <c r="K21" i="9"/>
  <c r="G21" i="9"/>
  <c r="F21" i="9"/>
  <c r="E21" i="9"/>
  <c r="D21" i="9"/>
  <c r="C21" i="9"/>
  <c r="A21" i="9"/>
  <c r="AL20" i="9"/>
  <c r="AK20" i="9"/>
  <c r="AI20" i="9"/>
  <c r="AF20" i="9"/>
  <c r="AD20" i="9"/>
  <c r="AC20" i="9"/>
  <c r="AB20" i="9"/>
  <c r="Y20" i="9"/>
  <c r="X20" i="9"/>
  <c r="W20" i="9"/>
  <c r="V20" i="9"/>
  <c r="Z20" i="9" s="1"/>
  <c r="AA20" i="9" s="1"/>
  <c r="U20" i="9"/>
  <c r="T20" i="9"/>
  <c r="R20" i="9"/>
  <c r="P20" i="9"/>
  <c r="K20" i="9"/>
  <c r="G20" i="9"/>
  <c r="F20" i="9"/>
  <c r="E20" i="9"/>
  <c r="D20" i="9"/>
  <c r="C20" i="9"/>
  <c r="A20" i="9"/>
  <c r="AL19" i="9"/>
  <c r="J19" i="9" s="1"/>
  <c r="AK19" i="9"/>
  <c r="AI19" i="9"/>
  <c r="AF19" i="9"/>
  <c r="AD19" i="9"/>
  <c r="AC19" i="9"/>
  <c r="AB19" i="9"/>
  <c r="Y19" i="9"/>
  <c r="Z19" i="9" s="1"/>
  <c r="AA19" i="9" s="1"/>
  <c r="X19" i="9"/>
  <c r="W19" i="9"/>
  <c r="V19" i="9"/>
  <c r="U19" i="9"/>
  <c r="T19" i="9"/>
  <c r="R19" i="9"/>
  <c r="P19" i="9"/>
  <c r="K19" i="9"/>
  <c r="G19" i="9"/>
  <c r="F19" i="9"/>
  <c r="E19" i="9"/>
  <c r="D19" i="9"/>
  <c r="C19" i="9"/>
  <c r="A19" i="9"/>
  <c r="AJ19" i="9" s="1"/>
  <c r="AL18" i="9"/>
  <c r="AK18" i="9"/>
  <c r="AI18" i="9"/>
  <c r="AF18" i="9"/>
  <c r="AD18" i="9"/>
  <c r="AC18" i="9"/>
  <c r="AB18" i="9"/>
  <c r="Y18" i="9"/>
  <c r="X18" i="9"/>
  <c r="W18" i="9"/>
  <c r="Z18" i="9" s="1"/>
  <c r="AA18" i="9" s="1"/>
  <c r="V18" i="9"/>
  <c r="U18" i="9"/>
  <c r="T18" i="9"/>
  <c r="R18" i="9"/>
  <c r="P18" i="9"/>
  <c r="K18" i="9"/>
  <c r="G18" i="9"/>
  <c r="F18" i="9"/>
  <c r="E18" i="9"/>
  <c r="D18" i="9"/>
  <c r="C18" i="9"/>
  <c r="A18" i="9"/>
  <c r="AL17" i="9"/>
  <c r="AK17" i="9"/>
  <c r="AI17" i="9"/>
  <c r="AF17" i="9"/>
  <c r="AD17" i="9"/>
  <c r="AC17" i="9"/>
  <c r="AB17" i="9"/>
  <c r="Y17" i="9"/>
  <c r="X17" i="9"/>
  <c r="W17" i="9"/>
  <c r="V17" i="9"/>
  <c r="Z17" i="9" s="1"/>
  <c r="AA17" i="9" s="1"/>
  <c r="U17" i="9"/>
  <c r="T17" i="9"/>
  <c r="R17" i="9"/>
  <c r="P17" i="9"/>
  <c r="K17" i="9"/>
  <c r="G17" i="9"/>
  <c r="F17" i="9"/>
  <c r="E17" i="9"/>
  <c r="D17" i="9"/>
  <c r="C17" i="9"/>
  <c r="A17" i="9"/>
  <c r="AL16" i="9"/>
  <c r="J16" i="9" s="1"/>
  <c r="AK16" i="9"/>
  <c r="I16" i="9" s="1"/>
  <c r="AI16" i="9"/>
  <c r="AF16" i="9"/>
  <c r="AD16" i="9"/>
  <c r="AC16" i="9"/>
  <c r="AB16" i="9"/>
  <c r="Y16" i="9"/>
  <c r="Z16" i="9" s="1"/>
  <c r="AA16" i="9" s="1"/>
  <c r="X16" i="9"/>
  <c r="W16" i="9"/>
  <c r="V16" i="9"/>
  <c r="U16" i="9"/>
  <c r="T16" i="9"/>
  <c r="R16" i="9"/>
  <c r="P16" i="9"/>
  <c r="K16" i="9"/>
  <c r="G16" i="9"/>
  <c r="F16" i="9"/>
  <c r="E16" i="9"/>
  <c r="D16" i="9"/>
  <c r="C16" i="9"/>
  <c r="A16" i="9"/>
  <c r="AJ16" i="9" s="1"/>
  <c r="AL15" i="9"/>
  <c r="AK15" i="9"/>
  <c r="AI15" i="9"/>
  <c r="AF15" i="9"/>
  <c r="AD15" i="9"/>
  <c r="AC15" i="9"/>
  <c r="AB15" i="9"/>
  <c r="Y15" i="9"/>
  <c r="X15" i="9"/>
  <c r="W15" i="9"/>
  <c r="V15" i="9"/>
  <c r="U15" i="9"/>
  <c r="T15" i="9"/>
  <c r="R15" i="9"/>
  <c r="P15" i="9"/>
  <c r="K15" i="9"/>
  <c r="G15" i="9"/>
  <c r="F15" i="9"/>
  <c r="E15" i="9"/>
  <c r="D15" i="9"/>
  <c r="C15" i="9"/>
  <c r="A15" i="9"/>
  <c r="AL14" i="9"/>
  <c r="AK14" i="9"/>
  <c r="AI14" i="9"/>
  <c r="AF14" i="9"/>
  <c r="AD14" i="9"/>
  <c r="AC14" i="9"/>
  <c r="AB14" i="9"/>
  <c r="Y14" i="9"/>
  <c r="X14" i="9"/>
  <c r="W14" i="9"/>
  <c r="V14" i="9"/>
  <c r="Z14" i="9" s="1"/>
  <c r="AA14" i="9" s="1"/>
  <c r="U14" i="9"/>
  <c r="T14" i="9"/>
  <c r="R14" i="9"/>
  <c r="P14" i="9"/>
  <c r="K14" i="9"/>
  <c r="G14" i="9"/>
  <c r="F14" i="9"/>
  <c r="E14" i="9"/>
  <c r="D14" i="9"/>
  <c r="C14" i="9"/>
  <c r="A14" i="9"/>
  <c r="AL13" i="9"/>
  <c r="J13" i="9" s="1"/>
  <c r="AK13" i="9"/>
  <c r="I13" i="9" s="1"/>
  <c r="AI13" i="9"/>
  <c r="AF13" i="9"/>
  <c r="AD13" i="9"/>
  <c r="AC13" i="9"/>
  <c r="AB13" i="9"/>
  <c r="Y13" i="9"/>
  <c r="X13" i="9"/>
  <c r="W13" i="9"/>
  <c r="V13" i="9"/>
  <c r="U13" i="9"/>
  <c r="T13" i="9"/>
  <c r="R13" i="9"/>
  <c r="P13" i="9"/>
  <c r="K13" i="9"/>
  <c r="G13" i="9"/>
  <c r="F13" i="9"/>
  <c r="E13" i="9"/>
  <c r="D13" i="9"/>
  <c r="C13" i="9"/>
  <c r="A13" i="9"/>
  <c r="AL12" i="9"/>
  <c r="AK12" i="9"/>
  <c r="AI12" i="9"/>
  <c r="AF12" i="9"/>
  <c r="AD12" i="9"/>
  <c r="AC12" i="9"/>
  <c r="AB12" i="9"/>
  <c r="Y12" i="9"/>
  <c r="X12" i="9"/>
  <c r="W12" i="9"/>
  <c r="V12" i="9"/>
  <c r="U12" i="9"/>
  <c r="T12" i="9"/>
  <c r="R12" i="9"/>
  <c r="P12" i="9"/>
  <c r="K12" i="9"/>
  <c r="G12" i="9"/>
  <c r="F12" i="9"/>
  <c r="E12" i="9"/>
  <c r="D12" i="9"/>
  <c r="C12" i="9"/>
  <c r="A12" i="9"/>
  <c r="AL11" i="9"/>
  <c r="AK11" i="9"/>
  <c r="AI11" i="9"/>
  <c r="AF11" i="9"/>
  <c r="AD11" i="9"/>
  <c r="AC11" i="9"/>
  <c r="AB11" i="9"/>
  <c r="Y11" i="9"/>
  <c r="X11" i="9"/>
  <c r="W11" i="9"/>
  <c r="V11" i="9"/>
  <c r="U11" i="9"/>
  <c r="T11" i="9"/>
  <c r="R11" i="9"/>
  <c r="P11" i="9"/>
  <c r="K11" i="9"/>
  <c r="G11" i="9"/>
  <c r="F11" i="9"/>
  <c r="E11" i="9"/>
  <c r="D11" i="9"/>
  <c r="C11" i="9"/>
  <c r="A11" i="9"/>
  <c r="AL10" i="9"/>
  <c r="AK10" i="9"/>
  <c r="I10" i="9" s="1"/>
  <c r="AI10" i="9"/>
  <c r="AF10" i="9"/>
  <c r="AD10" i="9"/>
  <c r="AC10" i="9"/>
  <c r="AB10" i="9"/>
  <c r="Y10" i="9"/>
  <c r="Z10" i="9" s="1"/>
  <c r="AA10" i="9" s="1"/>
  <c r="X10" i="9"/>
  <c r="W10" i="9"/>
  <c r="V10" i="9"/>
  <c r="U10" i="9"/>
  <c r="T10" i="9"/>
  <c r="R10" i="9"/>
  <c r="P10" i="9"/>
  <c r="K10" i="9"/>
  <c r="G10" i="9"/>
  <c r="F10" i="9"/>
  <c r="E10" i="9"/>
  <c r="D10" i="9"/>
  <c r="C10" i="9"/>
  <c r="A10" i="9"/>
  <c r="AE10" i="9" s="1"/>
  <c r="AL9" i="9"/>
  <c r="AK9" i="9"/>
  <c r="AI9" i="9"/>
  <c r="AF9" i="9"/>
  <c r="AD9" i="9"/>
  <c r="AC9" i="9"/>
  <c r="AB9" i="9"/>
  <c r="Y9" i="9"/>
  <c r="X9" i="9"/>
  <c r="W9" i="9"/>
  <c r="Z9" i="9" s="1"/>
  <c r="AA9" i="9" s="1"/>
  <c r="V9" i="9"/>
  <c r="U9" i="9"/>
  <c r="T9" i="9"/>
  <c r="R9" i="9"/>
  <c r="P9" i="9"/>
  <c r="K9" i="9"/>
  <c r="G9" i="9"/>
  <c r="F9" i="9"/>
  <c r="E9" i="9"/>
  <c r="D9" i="9"/>
  <c r="C9" i="9"/>
  <c r="A9" i="9"/>
  <c r="AL8" i="9"/>
  <c r="AK8" i="9"/>
  <c r="AI8" i="9"/>
  <c r="AF8" i="9"/>
  <c r="AD8" i="9"/>
  <c r="AC8" i="9"/>
  <c r="AB8" i="9"/>
  <c r="Y8" i="9"/>
  <c r="X8" i="9"/>
  <c r="W8" i="9"/>
  <c r="V8" i="9"/>
  <c r="U8" i="9"/>
  <c r="T8" i="9"/>
  <c r="R8" i="9"/>
  <c r="P8" i="9"/>
  <c r="K8" i="9"/>
  <c r="G8" i="9"/>
  <c r="F8" i="9"/>
  <c r="E8" i="9"/>
  <c r="D8" i="9"/>
  <c r="C8" i="9"/>
  <c r="A8" i="9"/>
  <c r="AL7" i="9"/>
  <c r="AG7" i="9" s="1"/>
  <c r="AK7" i="9"/>
  <c r="I7" i="9" s="1"/>
  <c r="AI7" i="9"/>
  <c r="AF7" i="9"/>
  <c r="AD7" i="9"/>
  <c r="AC7" i="9"/>
  <c r="AB7" i="9"/>
  <c r="Y7" i="9"/>
  <c r="Z7" i="9" s="1"/>
  <c r="AA7" i="9" s="1"/>
  <c r="X7" i="9"/>
  <c r="W7" i="9"/>
  <c r="V7" i="9"/>
  <c r="U7" i="9"/>
  <c r="T7" i="9"/>
  <c r="R7" i="9"/>
  <c r="P7" i="9"/>
  <c r="K7" i="9"/>
  <c r="G7" i="9"/>
  <c r="F7" i="9"/>
  <c r="E7" i="9"/>
  <c r="D7" i="9"/>
  <c r="C7" i="9"/>
  <c r="A7" i="9"/>
  <c r="AJ7" i="9" s="1"/>
  <c r="AL6" i="9"/>
  <c r="AK6" i="9"/>
  <c r="AI6" i="9"/>
  <c r="AF6" i="9"/>
  <c r="AD6" i="9"/>
  <c r="AC6" i="9"/>
  <c r="AB6" i="9"/>
  <c r="Y6" i="9"/>
  <c r="X6" i="9"/>
  <c r="W6" i="9"/>
  <c r="V6" i="9"/>
  <c r="U6" i="9"/>
  <c r="T6" i="9"/>
  <c r="R6" i="9"/>
  <c r="P6" i="9"/>
  <c r="K6" i="9"/>
  <c r="G6" i="9"/>
  <c r="F6" i="9"/>
  <c r="E6" i="9"/>
  <c r="D6" i="9"/>
  <c r="C6" i="9"/>
  <c r="A6" i="9"/>
  <c r="AL5" i="9"/>
  <c r="AK5" i="9"/>
  <c r="AI5" i="9"/>
  <c r="AF5" i="9"/>
  <c r="AD5" i="9"/>
  <c r="AC5" i="9"/>
  <c r="AB5" i="9"/>
  <c r="Y5" i="9"/>
  <c r="X5" i="9"/>
  <c r="W5" i="9"/>
  <c r="V5" i="9"/>
  <c r="Z5" i="9" s="1"/>
  <c r="AA5" i="9" s="1"/>
  <c r="U5" i="9"/>
  <c r="T5" i="9"/>
  <c r="R5" i="9"/>
  <c r="P5" i="9"/>
  <c r="K5" i="9"/>
  <c r="G5" i="9"/>
  <c r="F5" i="9"/>
  <c r="E5" i="9"/>
  <c r="D5" i="9"/>
  <c r="C5" i="9"/>
  <c r="A5" i="9"/>
  <c r="AL4" i="9"/>
  <c r="J4" i="9" s="1"/>
  <c r="AK4" i="9"/>
  <c r="AI4" i="9"/>
  <c r="AF4" i="9"/>
  <c r="AD4" i="9"/>
  <c r="AC4" i="9"/>
  <c r="AB4" i="9"/>
  <c r="Y4" i="9"/>
  <c r="Z4" i="9" s="1"/>
  <c r="AA4" i="9" s="1"/>
  <c r="X4" i="9"/>
  <c r="W4" i="9"/>
  <c r="V4" i="9"/>
  <c r="U4" i="9"/>
  <c r="T4" i="9"/>
  <c r="R4" i="9"/>
  <c r="P4" i="9"/>
  <c r="K4" i="9"/>
  <c r="G4" i="9"/>
  <c r="F4" i="9"/>
  <c r="E4" i="9"/>
  <c r="D4" i="9"/>
  <c r="C4" i="9"/>
  <c r="A4" i="9"/>
  <c r="AJ4" i="9" s="1"/>
  <c r="AL3" i="9"/>
  <c r="AK3" i="9"/>
  <c r="AI3" i="9"/>
  <c r="AH3" i="9"/>
  <c r="AF3" i="9"/>
  <c r="AD3" i="9"/>
  <c r="AC3" i="9"/>
  <c r="AB3" i="9"/>
  <c r="Y3" i="9"/>
  <c r="X3" i="9"/>
  <c r="W3" i="9"/>
  <c r="V3" i="9"/>
  <c r="T3" i="9"/>
  <c r="R3" i="9"/>
  <c r="P3" i="9"/>
  <c r="L3" i="9"/>
  <c r="K3" i="9"/>
  <c r="G3" i="9"/>
  <c r="F3" i="9"/>
  <c r="E3" i="9"/>
  <c r="D3" i="9"/>
  <c r="C3" i="9"/>
  <c r="A3" i="9"/>
  <c r="AJ3" i="9" s="1"/>
  <c r="U2" i="9"/>
  <c r="U3" i="9" s="1"/>
  <c r="K2" i="9"/>
  <c r="E2" i="9"/>
  <c r="D2" i="9"/>
  <c r="C2" i="9"/>
  <c r="AG63" i="9"/>
  <c r="J63" i="9"/>
  <c r="I63" i="9"/>
  <c r="AE63" i="9"/>
  <c r="I62" i="9"/>
  <c r="AJ62" i="9"/>
  <c r="Z62" i="9"/>
  <c r="AA62" i="9" s="1"/>
  <c r="J62" i="9"/>
  <c r="AE62" i="9"/>
  <c r="AE61" i="9"/>
  <c r="AJ60" i="9"/>
  <c r="AG60" i="9"/>
  <c r="J60" i="9"/>
  <c r="I60" i="9"/>
  <c r="AE60" i="9"/>
  <c r="AG59" i="9"/>
  <c r="I59" i="9"/>
  <c r="AJ59" i="9"/>
  <c r="J59" i="9"/>
  <c r="AE59" i="9"/>
  <c r="Z58" i="9"/>
  <c r="AA58" i="9" s="1"/>
  <c r="AJ57" i="9"/>
  <c r="AG57" i="9"/>
  <c r="AE57" i="9"/>
  <c r="J57" i="9"/>
  <c r="I57" i="9"/>
  <c r="AG56" i="9"/>
  <c r="I56" i="9"/>
  <c r="AJ56" i="9"/>
  <c r="J56" i="9"/>
  <c r="AE56" i="9"/>
  <c r="Z55" i="9"/>
  <c r="AA55" i="9" s="1"/>
  <c r="AJ54" i="9"/>
  <c r="AG54" i="9"/>
  <c r="AE54" i="9"/>
  <c r="J54" i="9"/>
  <c r="I54" i="9"/>
  <c r="I53" i="9"/>
  <c r="AJ53" i="9"/>
  <c r="J53" i="9"/>
  <c r="AE53" i="9"/>
  <c r="AJ51" i="9"/>
  <c r="AG51" i="9"/>
  <c r="AE51" i="9"/>
  <c r="J51" i="9"/>
  <c r="I51" i="9"/>
  <c r="I50" i="9"/>
  <c r="AJ50" i="9"/>
  <c r="J50" i="9"/>
  <c r="AE50" i="9"/>
  <c r="AJ49" i="9"/>
  <c r="AJ48" i="9"/>
  <c r="AG48" i="9"/>
  <c r="AE48" i="9"/>
  <c r="J48" i="9"/>
  <c r="I48" i="9"/>
  <c r="AG47" i="9"/>
  <c r="I47" i="9"/>
  <c r="AJ47" i="9"/>
  <c r="J47" i="9"/>
  <c r="AE47" i="9"/>
  <c r="AJ45" i="9"/>
  <c r="AG45" i="9"/>
  <c r="AE45" i="9"/>
  <c r="J45" i="9"/>
  <c r="I45" i="9"/>
  <c r="AG44" i="9"/>
  <c r="I44" i="9"/>
  <c r="AJ44" i="9"/>
  <c r="J44" i="9"/>
  <c r="AE44" i="9"/>
  <c r="AJ43" i="9"/>
  <c r="AJ42" i="9"/>
  <c r="AG42" i="9"/>
  <c r="AE42" i="9"/>
  <c r="Z42" i="9"/>
  <c r="AA42" i="9" s="1"/>
  <c r="J42" i="9"/>
  <c r="I42" i="9"/>
  <c r="I41" i="9"/>
  <c r="AJ41" i="9"/>
  <c r="J41" i="9"/>
  <c r="AE41" i="9"/>
  <c r="AJ40" i="9"/>
  <c r="AJ39" i="9"/>
  <c r="AG39" i="9"/>
  <c r="AE39" i="9"/>
  <c r="J39" i="9"/>
  <c r="I39" i="9"/>
  <c r="AG38" i="9"/>
  <c r="I38" i="9"/>
  <c r="AJ38" i="9"/>
  <c r="J38" i="9"/>
  <c r="AE38" i="9"/>
  <c r="AJ37" i="9"/>
  <c r="AJ36" i="9"/>
  <c r="AG36" i="9"/>
  <c r="AE36" i="9"/>
  <c r="J36" i="9"/>
  <c r="I36" i="9"/>
  <c r="I35" i="9"/>
  <c r="AJ35" i="9"/>
  <c r="J35" i="9"/>
  <c r="AE35" i="9"/>
  <c r="AE34" i="9"/>
  <c r="AJ33" i="9"/>
  <c r="AG33" i="9"/>
  <c r="AE33" i="9"/>
  <c r="J33" i="9"/>
  <c r="I33" i="9"/>
  <c r="I32" i="9"/>
  <c r="AJ32" i="9"/>
  <c r="Z32" i="9"/>
  <c r="AA32" i="9" s="1"/>
  <c r="J32" i="9"/>
  <c r="AE32" i="9"/>
  <c r="AJ30" i="9"/>
  <c r="AG30" i="9"/>
  <c r="AE30" i="9"/>
  <c r="J30" i="9"/>
  <c r="I30" i="9"/>
  <c r="AG29" i="9"/>
  <c r="I29" i="9"/>
  <c r="AJ29" i="9"/>
  <c r="J29" i="9"/>
  <c r="AE29" i="9"/>
  <c r="I28" i="9"/>
  <c r="AJ27" i="9"/>
  <c r="AG27" i="9"/>
  <c r="AE27" i="9"/>
  <c r="J27" i="9"/>
  <c r="I27" i="9"/>
  <c r="AG26" i="9"/>
  <c r="I26" i="9"/>
  <c r="AJ26" i="9"/>
  <c r="J26" i="9"/>
  <c r="AE26" i="9"/>
  <c r="AJ24" i="9"/>
  <c r="AG24" i="9"/>
  <c r="AE24" i="9"/>
  <c r="J24" i="9"/>
  <c r="I24" i="9"/>
  <c r="I23" i="9"/>
  <c r="AJ23" i="9"/>
  <c r="J23" i="9"/>
  <c r="AE23" i="9"/>
  <c r="AJ21" i="9"/>
  <c r="AG21" i="9"/>
  <c r="AE21" i="9"/>
  <c r="J21" i="9"/>
  <c r="I21" i="9"/>
  <c r="AG20" i="9"/>
  <c r="I20" i="9"/>
  <c r="AJ20" i="9"/>
  <c r="I19" i="9"/>
  <c r="AJ18" i="9"/>
  <c r="AG18" i="9"/>
  <c r="AE18" i="9"/>
  <c r="J18" i="9"/>
  <c r="I18" i="9"/>
  <c r="I17" i="9"/>
  <c r="AJ17" i="9"/>
  <c r="AE17" i="9"/>
  <c r="J17" i="9"/>
  <c r="AJ15" i="9"/>
  <c r="AG15" i="9"/>
  <c r="AE15" i="9"/>
  <c r="J15" i="9"/>
  <c r="I15" i="9"/>
  <c r="I14" i="9"/>
  <c r="AE14" i="9"/>
  <c r="J14" i="9"/>
  <c r="AJ14" i="9"/>
  <c r="Z13" i="9"/>
  <c r="AA13" i="9" s="1"/>
  <c r="AE13" i="9"/>
  <c r="AG12" i="9"/>
  <c r="J12" i="9"/>
  <c r="I12" i="9"/>
  <c r="AE12" i="9"/>
  <c r="J11" i="9"/>
  <c r="AE11" i="9"/>
  <c r="Z11" i="9"/>
  <c r="AA11" i="9" s="1"/>
  <c r="I11" i="9"/>
  <c r="AJ11" i="9"/>
  <c r="J10" i="9"/>
  <c r="AG10" i="9"/>
  <c r="AJ10" i="9"/>
  <c r="I9" i="9"/>
  <c r="AJ9" i="9"/>
  <c r="J9" i="9"/>
  <c r="AE9" i="9"/>
  <c r="J8" i="9"/>
  <c r="AE8" i="9"/>
  <c r="Z8" i="9"/>
  <c r="AA8" i="9" s="1"/>
  <c r="I8" i="9"/>
  <c r="AJ8" i="9"/>
  <c r="J7" i="9"/>
  <c r="I6" i="9"/>
  <c r="AJ6" i="9"/>
  <c r="Z6" i="9"/>
  <c r="AA6" i="9" s="1"/>
  <c r="J6" i="9"/>
  <c r="AE6" i="9"/>
  <c r="J5" i="9"/>
  <c r="AE5" i="9"/>
  <c r="I5" i="9"/>
  <c r="AJ5" i="9"/>
  <c r="I4" i="9"/>
  <c r="AG3" i="9"/>
  <c r="Z3" i="9"/>
  <c r="AA3" i="9" s="1"/>
  <c r="J3" i="9"/>
  <c r="AJ12" i="9"/>
  <c r="AG13" i="9" l="1"/>
  <c r="AE52" i="9"/>
  <c r="AJ55" i="9"/>
  <c r="AJ58" i="9"/>
  <c r="AE4" i="9"/>
  <c r="AE16" i="9"/>
  <c r="AE22" i="9"/>
  <c r="AE25" i="9"/>
  <c r="AG4" i="9"/>
  <c r="AE7" i="9"/>
  <c r="AG19" i="9"/>
  <c r="AE3" i="9"/>
  <c r="J20" i="9"/>
  <c r="J28" i="9"/>
  <c r="AG28" i="9"/>
  <c r="AG35" i="9"/>
  <c r="J46" i="9"/>
  <c r="AG46" i="9"/>
  <c r="AG53" i="9"/>
  <c r="AG5" i="9"/>
  <c r="AG8" i="9"/>
  <c r="AG11" i="9"/>
  <c r="AG16" i="9"/>
  <c r="J25" i="9"/>
  <c r="AG25" i="9"/>
  <c r="AE31" i="9"/>
  <c r="AG32" i="9"/>
  <c r="Z38" i="9"/>
  <c r="AA38" i="9" s="1"/>
  <c r="J43" i="9"/>
  <c r="AG43" i="9"/>
  <c r="AE49" i="9"/>
  <c r="AG50" i="9"/>
  <c r="Z56" i="9"/>
  <c r="AA56" i="9" s="1"/>
  <c r="Z59" i="9"/>
  <c r="AA59" i="9" s="1"/>
  <c r="J61" i="9"/>
  <c r="AG61" i="9"/>
  <c r="AE20" i="9"/>
  <c r="I3" i="9"/>
  <c r="AJ13" i="9"/>
  <c r="Z15" i="9"/>
  <c r="AA15" i="9" s="1"/>
  <c r="AG17" i="9"/>
  <c r="J22" i="9"/>
  <c r="AG22" i="9"/>
  <c r="AE28" i="9"/>
  <c r="Z35" i="9"/>
  <c r="AA35" i="9" s="1"/>
  <c r="J40" i="9"/>
  <c r="AG40" i="9"/>
  <c r="AE46" i="9"/>
  <c r="Z53" i="9"/>
  <c r="AA53" i="9" s="1"/>
  <c r="J58" i="9"/>
  <c r="AG58" i="9"/>
  <c r="J31" i="9"/>
  <c r="AG31" i="9"/>
  <c r="J49" i="9"/>
  <c r="AG49" i="9"/>
  <c r="AG6" i="9"/>
  <c r="AE19" i="9"/>
  <c r="J37" i="9"/>
  <c r="AG37" i="9"/>
  <c r="J55" i="9"/>
  <c r="AG55" i="9"/>
  <c r="AG9" i="9"/>
  <c r="Z12" i="9"/>
  <c r="AA12" i="9" s="1"/>
  <c r="AG14" i="9"/>
  <c r="AG23" i="9"/>
  <c r="Z29" i="9"/>
  <c r="AA29" i="9" s="1"/>
  <c r="J34" i="9"/>
  <c r="AG34" i="9"/>
  <c r="AG41" i="9"/>
  <c r="Z47" i="9"/>
  <c r="AA47" i="9" s="1"/>
  <c r="J52" i="9"/>
  <c r="AG52" i="9"/>
  <c r="AG62" i="9"/>
  <c r="AJ63" i="9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6" i="8"/>
  <c r="I5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6" i="8"/>
  <c r="H5" i="8"/>
  <c r="E7" i="8"/>
  <c r="F7" i="8"/>
  <c r="G7" i="8"/>
  <c r="E8" i="8"/>
  <c r="F8" i="8"/>
  <c r="G8" i="8"/>
  <c r="E9" i="8"/>
  <c r="F9" i="8"/>
  <c r="G9" i="8"/>
  <c r="E10" i="8"/>
  <c r="F10" i="8"/>
  <c r="G10" i="8"/>
  <c r="E11" i="8"/>
  <c r="F11" i="8"/>
  <c r="G11" i="8"/>
  <c r="E12" i="8"/>
  <c r="F12" i="8"/>
  <c r="G12" i="8"/>
  <c r="E13" i="8"/>
  <c r="F13" i="8"/>
  <c r="G13" i="8"/>
  <c r="E14" i="8"/>
  <c r="F14" i="8"/>
  <c r="G14" i="8"/>
  <c r="E15" i="8"/>
  <c r="F15" i="8"/>
  <c r="G15" i="8"/>
  <c r="E16" i="8"/>
  <c r="F16" i="8"/>
  <c r="G16" i="8"/>
  <c r="E17" i="8"/>
  <c r="F17" i="8"/>
  <c r="G17" i="8"/>
  <c r="E18" i="8"/>
  <c r="F18" i="8"/>
  <c r="G18" i="8"/>
  <c r="E19" i="8"/>
  <c r="F19" i="8"/>
  <c r="G19" i="8"/>
  <c r="E20" i="8"/>
  <c r="F20" i="8"/>
  <c r="G20" i="8"/>
  <c r="E21" i="8"/>
  <c r="F21" i="8"/>
  <c r="G21" i="8"/>
  <c r="E22" i="8"/>
  <c r="F22" i="8"/>
  <c r="G22" i="8"/>
  <c r="E23" i="8"/>
  <c r="F23" i="8"/>
  <c r="G23" i="8"/>
  <c r="E24" i="8"/>
  <c r="F24" i="8"/>
  <c r="G24" i="8"/>
  <c r="E25" i="8"/>
  <c r="F25" i="8"/>
  <c r="G25" i="8"/>
  <c r="E26" i="8"/>
  <c r="F26" i="8"/>
  <c r="G26" i="8"/>
  <c r="E27" i="8"/>
  <c r="F27" i="8"/>
  <c r="G27" i="8"/>
  <c r="E28" i="8"/>
  <c r="F28" i="8"/>
  <c r="G28" i="8"/>
  <c r="E29" i="8"/>
  <c r="F29" i="8"/>
  <c r="G29" i="8"/>
  <c r="E30" i="8"/>
  <c r="F30" i="8"/>
  <c r="G30" i="8"/>
  <c r="E31" i="8"/>
  <c r="F31" i="8"/>
  <c r="G31" i="8"/>
  <c r="E32" i="8"/>
  <c r="F32" i="8"/>
  <c r="G32" i="8"/>
  <c r="E33" i="8"/>
  <c r="F33" i="8"/>
  <c r="G33" i="8"/>
  <c r="E34" i="8"/>
  <c r="F34" i="8"/>
  <c r="G34" i="8"/>
  <c r="E35" i="8"/>
  <c r="F35" i="8"/>
  <c r="G35" i="8"/>
  <c r="E36" i="8"/>
  <c r="F36" i="8"/>
  <c r="G36" i="8"/>
  <c r="E37" i="8"/>
  <c r="F37" i="8"/>
  <c r="G37" i="8"/>
  <c r="E38" i="8"/>
  <c r="F38" i="8"/>
  <c r="G38" i="8"/>
  <c r="E39" i="8"/>
  <c r="F39" i="8"/>
  <c r="G39" i="8"/>
  <c r="E40" i="8"/>
  <c r="F40" i="8"/>
  <c r="G40" i="8"/>
  <c r="E41" i="8"/>
  <c r="F41" i="8"/>
  <c r="G41" i="8"/>
  <c r="E42" i="8"/>
  <c r="F42" i="8"/>
  <c r="G42" i="8"/>
  <c r="E43" i="8"/>
  <c r="F43" i="8"/>
  <c r="G43" i="8"/>
  <c r="E44" i="8"/>
  <c r="F44" i="8"/>
  <c r="G44" i="8"/>
  <c r="G6" i="8"/>
  <c r="F6" i="8"/>
  <c r="E6" i="8"/>
  <c r="G5" i="8"/>
  <c r="F5" i="8"/>
  <c r="E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6" i="8"/>
  <c r="D5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6" i="8"/>
  <c r="C5" i="8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C53" i="2" l="1"/>
  <c r="C50" i="2"/>
  <c r="C62" i="2"/>
  <c r="C61" i="2"/>
  <c r="C60" i="2"/>
  <c r="C59" i="2"/>
  <c r="C58" i="2"/>
  <c r="C57" i="2"/>
  <c r="C56" i="2"/>
  <c r="C55" i="2"/>
  <c r="C54" i="2"/>
  <c r="C52" i="2"/>
  <c r="C51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3" i="2"/>
  <c r="C22" i="2"/>
  <c r="C21" i="2"/>
  <c r="C20" i="2"/>
  <c r="C19" i="2"/>
  <c r="C18" i="2"/>
  <c r="C17" i="2"/>
  <c r="C16" i="2"/>
  <c r="C15" i="2"/>
  <c r="C26" i="2"/>
  <c r="C25" i="2"/>
  <c r="C24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J159" i="3" l="1"/>
  <c r="CI159" i="3"/>
  <c r="CE159" i="3"/>
  <c r="CF159" i="3" s="1"/>
  <c r="CD159" i="3"/>
  <c r="CC159" i="3"/>
  <c r="CB159" i="3"/>
  <c r="CN159" i="3" s="1"/>
  <c r="CA159" i="3"/>
  <c r="BZ159" i="3"/>
  <c r="BY159" i="3"/>
  <c r="BX159" i="3"/>
  <c r="BW159" i="3"/>
  <c r="CM159" i="3" s="1"/>
  <c r="BU159" i="3"/>
  <c r="BV159" i="3" s="1"/>
  <c r="BT159" i="3"/>
  <c r="BS159" i="3"/>
  <c r="BR159" i="3"/>
  <c r="CL159" i="3" s="1"/>
  <c r="BP159" i="3"/>
  <c r="BQ159" i="3" s="1"/>
  <c r="BO159" i="3"/>
  <c r="BN159" i="3"/>
  <c r="BM159" i="3"/>
  <c r="CK159" i="3" s="1"/>
  <c r="BL159" i="3"/>
  <c r="BK159" i="3"/>
  <c r="BJ159" i="3"/>
  <c r="BI159" i="3"/>
  <c r="BH159" i="3"/>
  <c r="BG159" i="3"/>
  <c r="BF159" i="3"/>
  <c r="BE159" i="3"/>
  <c r="BD159" i="3"/>
  <c r="BC159" i="3"/>
  <c r="BA159" i="3"/>
  <c r="BB159" i="3" s="1"/>
  <c r="AZ159" i="3"/>
  <c r="AY159" i="3"/>
  <c r="AX159" i="3"/>
  <c r="CH159" i="3" s="1"/>
  <c r="AV159" i="3"/>
  <c r="AW159" i="3" s="1"/>
  <c r="AU159" i="3"/>
  <c r="AT159" i="3"/>
  <c r="AS159" i="3"/>
  <c r="CG159" i="3" s="1"/>
  <c r="CL158" i="3"/>
  <c r="CK158" i="3"/>
  <c r="CE158" i="3"/>
  <c r="CF158" i="3" s="1"/>
  <c r="CD158" i="3"/>
  <c r="CC158" i="3"/>
  <c r="CB158" i="3"/>
  <c r="CN158" i="3" s="1"/>
  <c r="BZ158" i="3"/>
  <c r="CA158" i="3" s="1"/>
  <c r="BY158" i="3"/>
  <c r="BX158" i="3"/>
  <c r="BW158" i="3"/>
  <c r="CM158" i="3" s="1"/>
  <c r="BV158" i="3"/>
  <c r="BU158" i="3"/>
  <c r="BT158" i="3"/>
  <c r="BS158" i="3"/>
  <c r="BR158" i="3"/>
  <c r="BQ158" i="3"/>
  <c r="BP158" i="3"/>
  <c r="BO158" i="3"/>
  <c r="BN158" i="3"/>
  <c r="BM158" i="3"/>
  <c r="BK158" i="3"/>
  <c r="BL158" i="3" s="1"/>
  <c r="BJ158" i="3"/>
  <c r="BI158" i="3"/>
  <c r="BH158" i="3"/>
  <c r="CJ158" i="3" s="1"/>
  <c r="BF158" i="3"/>
  <c r="BE158" i="3"/>
  <c r="BD158" i="3"/>
  <c r="BC158" i="3"/>
  <c r="CI158" i="3" s="1"/>
  <c r="BA158" i="3"/>
  <c r="BB158" i="3" s="1"/>
  <c r="AZ158" i="3"/>
  <c r="AY158" i="3"/>
  <c r="AX158" i="3"/>
  <c r="CH158" i="3" s="1"/>
  <c r="AW158" i="3"/>
  <c r="AV158" i="3"/>
  <c r="AU158" i="3"/>
  <c r="AT158" i="3"/>
  <c r="AS158" i="3"/>
  <c r="CG158" i="3" s="1"/>
  <c r="CO158" i="3" s="1"/>
  <c r="CN157" i="3"/>
  <c r="CM157" i="3"/>
  <c r="CE157" i="3"/>
  <c r="CF157" i="3" s="1"/>
  <c r="CD157" i="3"/>
  <c r="CC157" i="3"/>
  <c r="CB157" i="3"/>
  <c r="CA157" i="3"/>
  <c r="BZ157" i="3"/>
  <c r="BY157" i="3"/>
  <c r="BX157" i="3"/>
  <c r="BW157" i="3"/>
  <c r="BU157" i="3"/>
  <c r="BV157" i="3" s="1"/>
  <c r="BT157" i="3"/>
  <c r="BS157" i="3"/>
  <c r="BR157" i="3"/>
  <c r="CL157" i="3" s="1"/>
  <c r="BP157" i="3"/>
  <c r="BO157" i="3"/>
  <c r="BN157" i="3"/>
  <c r="BM157" i="3"/>
  <c r="CK157" i="3" s="1"/>
  <c r="BK157" i="3"/>
  <c r="BL157" i="3" s="1"/>
  <c r="BJ157" i="3"/>
  <c r="BI157" i="3"/>
  <c r="BH157" i="3"/>
  <c r="CJ157" i="3" s="1"/>
  <c r="BG157" i="3"/>
  <c r="BF157" i="3"/>
  <c r="BE157" i="3"/>
  <c r="BD157" i="3"/>
  <c r="BC157" i="3"/>
  <c r="CI157" i="3" s="1"/>
  <c r="BA157" i="3"/>
  <c r="BB157" i="3" s="1"/>
  <c r="AZ157" i="3"/>
  <c r="AY157" i="3"/>
  <c r="AX157" i="3"/>
  <c r="CH157" i="3" s="1"/>
  <c r="AV157" i="3"/>
  <c r="AW157" i="3" s="1"/>
  <c r="AU157" i="3"/>
  <c r="AT157" i="3"/>
  <c r="AS157" i="3"/>
  <c r="CG157" i="3" s="1"/>
  <c r="CH156" i="3"/>
  <c r="CE156" i="3"/>
  <c r="CF156" i="3" s="1"/>
  <c r="CD156" i="3"/>
  <c r="CC156" i="3"/>
  <c r="CB156" i="3"/>
  <c r="CN156" i="3" s="1"/>
  <c r="BZ156" i="3"/>
  <c r="CA156" i="3" s="1"/>
  <c r="BY156" i="3"/>
  <c r="BX156" i="3"/>
  <c r="BW156" i="3"/>
  <c r="CM156" i="3" s="1"/>
  <c r="BU156" i="3"/>
  <c r="BV156" i="3" s="1"/>
  <c r="BT156" i="3"/>
  <c r="BS156" i="3"/>
  <c r="BR156" i="3"/>
  <c r="CL156" i="3" s="1"/>
  <c r="BQ156" i="3"/>
  <c r="BP156" i="3"/>
  <c r="BO156" i="3"/>
  <c r="BN156" i="3"/>
  <c r="BM156" i="3"/>
  <c r="CK156" i="3" s="1"/>
  <c r="BK156" i="3"/>
  <c r="BJ156" i="3"/>
  <c r="BI156" i="3"/>
  <c r="BH156" i="3"/>
  <c r="CJ156" i="3" s="1"/>
  <c r="BF156" i="3"/>
  <c r="BG156" i="3" s="1"/>
  <c r="BE156" i="3"/>
  <c r="BD156" i="3"/>
  <c r="BC156" i="3"/>
  <c r="CI156" i="3" s="1"/>
  <c r="BA156" i="3"/>
  <c r="BB156" i="3" s="1"/>
  <c r="AZ156" i="3"/>
  <c r="AY156" i="3"/>
  <c r="AX156" i="3"/>
  <c r="AW156" i="3"/>
  <c r="AV156" i="3"/>
  <c r="AU156" i="3"/>
  <c r="AT156" i="3"/>
  <c r="AS156" i="3"/>
  <c r="CG156" i="3" s="1"/>
  <c r="CJ155" i="3"/>
  <c r="CI155" i="3"/>
  <c r="CE155" i="3"/>
  <c r="CF155" i="3" s="1"/>
  <c r="CD155" i="3"/>
  <c r="CC155" i="3"/>
  <c r="CB155" i="3"/>
  <c r="CN155" i="3" s="1"/>
  <c r="CA155" i="3"/>
  <c r="BZ155" i="3"/>
  <c r="BY155" i="3"/>
  <c r="BX155" i="3"/>
  <c r="BW155" i="3"/>
  <c r="CM155" i="3" s="1"/>
  <c r="BU155" i="3"/>
  <c r="BV155" i="3" s="1"/>
  <c r="BT155" i="3"/>
  <c r="BS155" i="3"/>
  <c r="BR155" i="3"/>
  <c r="CL155" i="3" s="1"/>
  <c r="BP155" i="3"/>
  <c r="BQ155" i="3" s="1"/>
  <c r="BO155" i="3"/>
  <c r="BN155" i="3"/>
  <c r="BM155" i="3"/>
  <c r="CK155" i="3" s="1"/>
  <c r="BL155" i="3"/>
  <c r="BK155" i="3"/>
  <c r="BJ155" i="3"/>
  <c r="BI155" i="3"/>
  <c r="BH155" i="3"/>
  <c r="BG155" i="3"/>
  <c r="BF155" i="3"/>
  <c r="BE155" i="3"/>
  <c r="BD155" i="3"/>
  <c r="BC155" i="3"/>
  <c r="BA155" i="3"/>
  <c r="BB155" i="3" s="1"/>
  <c r="AZ155" i="3"/>
  <c r="AY155" i="3"/>
  <c r="AX155" i="3"/>
  <c r="CH155" i="3" s="1"/>
  <c r="AV155" i="3"/>
  <c r="AW155" i="3" s="1"/>
  <c r="AU155" i="3"/>
  <c r="AT155" i="3"/>
  <c r="AS155" i="3"/>
  <c r="CG155" i="3" s="1"/>
  <c r="CL154" i="3"/>
  <c r="CE154" i="3"/>
  <c r="CD154" i="3"/>
  <c r="CC154" i="3"/>
  <c r="CB154" i="3"/>
  <c r="CN154" i="3" s="1"/>
  <c r="BZ154" i="3"/>
  <c r="CA154" i="3" s="1"/>
  <c r="BY154" i="3"/>
  <c r="BX154" i="3"/>
  <c r="BW154" i="3"/>
  <c r="CM154" i="3" s="1"/>
  <c r="BU154" i="3"/>
  <c r="BV154" i="3" s="1"/>
  <c r="BT154" i="3"/>
  <c r="BS154" i="3"/>
  <c r="BR154" i="3"/>
  <c r="BQ154" i="3"/>
  <c r="BP154" i="3"/>
  <c r="BO154" i="3"/>
  <c r="BN154" i="3"/>
  <c r="BM154" i="3"/>
  <c r="CK154" i="3" s="1"/>
  <c r="BK154" i="3"/>
  <c r="BL154" i="3" s="1"/>
  <c r="BJ154" i="3"/>
  <c r="BI154" i="3"/>
  <c r="BH154" i="3"/>
  <c r="CJ154" i="3" s="1"/>
  <c r="BF154" i="3"/>
  <c r="BG154" i="3" s="1"/>
  <c r="BE154" i="3"/>
  <c r="BD154" i="3"/>
  <c r="BC154" i="3"/>
  <c r="CI154" i="3" s="1"/>
  <c r="BA154" i="3"/>
  <c r="BB154" i="3" s="1"/>
  <c r="AZ154" i="3"/>
  <c r="AY154" i="3"/>
  <c r="AX154" i="3"/>
  <c r="CH154" i="3" s="1"/>
  <c r="AW154" i="3"/>
  <c r="AV154" i="3"/>
  <c r="AU154" i="3"/>
  <c r="AT154" i="3"/>
  <c r="AS154" i="3"/>
  <c r="CG154" i="3" s="1"/>
  <c r="CO154" i="3" s="1"/>
  <c r="CN153" i="3"/>
  <c r="CM153" i="3"/>
  <c r="CE153" i="3"/>
  <c r="CF153" i="3" s="1"/>
  <c r="CD153" i="3"/>
  <c r="CC153" i="3"/>
  <c r="CB153" i="3"/>
  <c r="CA153" i="3"/>
  <c r="BZ153" i="3"/>
  <c r="BY153" i="3"/>
  <c r="BX153" i="3"/>
  <c r="BW153" i="3"/>
  <c r="BU153" i="3"/>
  <c r="BV153" i="3" s="1"/>
  <c r="BT153" i="3"/>
  <c r="BS153" i="3"/>
  <c r="BR153" i="3"/>
  <c r="CL153" i="3" s="1"/>
  <c r="BP153" i="3"/>
  <c r="BO153" i="3"/>
  <c r="BN153" i="3"/>
  <c r="BM153" i="3"/>
  <c r="CK153" i="3" s="1"/>
  <c r="BK153" i="3"/>
  <c r="BL153" i="3" s="1"/>
  <c r="BJ153" i="3"/>
  <c r="BI153" i="3"/>
  <c r="BH153" i="3"/>
  <c r="CJ153" i="3" s="1"/>
  <c r="BG153" i="3"/>
  <c r="BF153" i="3"/>
  <c r="BE153" i="3"/>
  <c r="BD153" i="3"/>
  <c r="BC153" i="3"/>
  <c r="CI153" i="3" s="1"/>
  <c r="BA153" i="3"/>
  <c r="AZ153" i="3"/>
  <c r="AY153" i="3"/>
  <c r="AX153" i="3"/>
  <c r="CH153" i="3" s="1"/>
  <c r="AV153" i="3"/>
  <c r="AW153" i="3" s="1"/>
  <c r="AU153" i="3"/>
  <c r="AT153" i="3"/>
  <c r="AS153" i="3"/>
  <c r="CG153" i="3" s="1"/>
  <c r="CH152" i="3"/>
  <c r="CE152" i="3"/>
  <c r="CF152" i="3" s="1"/>
  <c r="CD152" i="3"/>
  <c r="CC152" i="3"/>
  <c r="CB152" i="3"/>
  <c r="CN152" i="3" s="1"/>
  <c r="BZ152" i="3"/>
  <c r="BY152" i="3"/>
  <c r="BX152" i="3"/>
  <c r="BW152" i="3"/>
  <c r="CM152" i="3" s="1"/>
  <c r="BU152" i="3"/>
  <c r="BV152" i="3" s="1"/>
  <c r="BT152" i="3"/>
  <c r="BS152" i="3"/>
  <c r="BR152" i="3"/>
  <c r="CL152" i="3" s="1"/>
  <c r="BQ152" i="3"/>
  <c r="BP152" i="3"/>
  <c r="BO152" i="3"/>
  <c r="BN152" i="3"/>
  <c r="BM152" i="3"/>
  <c r="CK152" i="3" s="1"/>
  <c r="BK152" i="3"/>
  <c r="BJ152" i="3"/>
  <c r="BI152" i="3"/>
  <c r="BH152" i="3"/>
  <c r="CJ152" i="3" s="1"/>
  <c r="BF152" i="3"/>
  <c r="BG152" i="3" s="1"/>
  <c r="BE152" i="3"/>
  <c r="BD152" i="3"/>
  <c r="BC152" i="3"/>
  <c r="CI152" i="3" s="1"/>
  <c r="BA152" i="3"/>
  <c r="BB152" i="3" s="1"/>
  <c r="AZ152" i="3"/>
  <c r="AY152" i="3"/>
  <c r="AX152" i="3"/>
  <c r="AW152" i="3"/>
  <c r="AV152" i="3"/>
  <c r="AU152" i="3"/>
  <c r="AT152" i="3"/>
  <c r="AS152" i="3"/>
  <c r="CG152" i="3" s="1"/>
  <c r="CJ151" i="3"/>
  <c r="CI151" i="3"/>
  <c r="CE151" i="3"/>
  <c r="CF151" i="3" s="1"/>
  <c r="CD151" i="3"/>
  <c r="CC151" i="3"/>
  <c r="CB151" i="3"/>
  <c r="CN151" i="3" s="1"/>
  <c r="CA151" i="3"/>
  <c r="BZ151" i="3"/>
  <c r="BY151" i="3"/>
  <c r="BX151" i="3"/>
  <c r="BW151" i="3"/>
  <c r="CM151" i="3" s="1"/>
  <c r="BU151" i="3"/>
  <c r="BV151" i="3" s="1"/>
  <c r="BT151" i="3"/>
  <c r="BS151" i="3"/>
  <c r="BR151" i="3"/>
  <c r="CL151" i="3" s="1"/>
  <c r="BP151" i="3"/>
  <c r="BQ151" i="3" s="1"/>
  <c r="BO151" i="3"/>
  <c r="BN151" i="3"/>
  <c r="BM151" i="3"/>
  <c r="CK151" i="3" s="1"/>
  <c r="BL151" i="3"/>
  <c r="BK151" i="3"/>
  <c r="BJ151" i="3"/>
  <c r="BI151" i="3"/>
  <c r="BH151" i="3"/>
  <c r="BG151" i="3"/>
  <c r="BF151" i="3"/>
  <c r="BE151" i="3"/>
  <c r="BD151" i="3"/>
  <c r="BC151" i="3"/>
  <c r="BA151" i="3"/>
  <c r="BB151" i="3" s="1"/>
  <c r="AZ151" i="3"/>
  <c r="AY151" i="3"/>
  <c r="AX151" i="3"/>
  <c r="CH151" i="3" s="1"/>
  <c r="AV151" i="3"/>
  <c r="AU151" i="3"/>
  <c r="AT151" i="3"/>
  <c r="AS151" i="3"/>
  <c r="CG151" i="3" s="1"/>
  <c r="CL150" i="3"/>
  <c r="CE150" i="3"/>
  <c r="CF150" i="3" s="1"/>
  <c r="CD150" i="3"/>
  <c r="CC150" i="3"/>
  <c r="CB150" i="3"/>
  <c r="CN150" i="3" s="1"/>
  <c r="BZ150" i="3"/>
  <c r="CA150" i="3" s="1"/>
  <c r="BY150" i="3"/>
  <c r="BX150" i="3"/>
  <c r="BW150" i="3"/>
  <c r="CM150" i="3" s="1"/>
  <c r="BV150" i="3"/>
  <c r="BU150" i="3"/>
  <c r="BT150" i="3"/>
  <c r="BS150" i="3"/>
  <c r="BR150" i="3"/>
  <c r="BQ150" i="3"/>
  <c r="BP150" i="3"/>
  <c r="BO150" i="3"/>
  <c r="BN150" i="3"/>
  <c r="BM150" i="3"/>
  <c r="CK150" i="3" s="1"/>
  <c r="BK150" i="3"/>
  <c r="BL150" i="3" s="1"/>
  <c r="BJ150" i="3"/>
  <c r="BI150" i="3"/>
  <c r="BH150" i="3"/>
  <c r="CJ150" i="3" s="1"/>
  <c r="BF150" i="3"/>
  <c r="BG150" i="3" s="1"/>
  <c r="BE150" i="3"/>
  <c r="BD150" i="3"/>
  <c r="BC150" i="3"/>
  <c r="CI150" i="3" s="1"/>
  <c r="BA150" i="3"/>
  <c r="BB150" i="3" s="1"/>
  <c r="AZ150" i="3"/>
  <c r="AY150" i="3"/>
  <c r="AX150" i="3"/>
  <c r="CH150" i="3" s="1"/>
  <c r="AW150" i="3"/>
  <c r="AV150" i="3"/>
  <c r="AU150" i="3"/>
  <c r="AT150" i="3"/>
  <c r="AS150" i="3"/>
  <c r="CG150" i="3" s="1"/>
  <c r="CN149" i="3"/>
  <c r="CM149" i="3"/>
  <c r="CE149" i="3"/>
  <c r="CF149" i="3" s="1"/>
  <c r="CD149" i="3"/>
  <c r="CC149" i="3"/>
  <c r="CB149" i="3"/>
  <c r="CA149" i="3"/>
  <c r="BZ149" i="3"/>
  <c r="BY149" i="3"/>
  <c r="BX149" i="3"/>
  <c r="BW149" i="3"/>
  <c r="BU149" i="3"/>
  <c r="BV149" i="3" s="1"/>
  <c r="BT149" i="3"/>
  <c r="BS149" i="3"/>
  <c r="BR149" i="3"/>
  <c r="CL149" i="3" s="1"/>
  <c r="BP149" i="3"/>
  <c r="BO149" i="3"/>
  <c r="BN149" i="3"/>
  <c r="BM149" i="3"/>
  <c r="CK149" i="3" s="1"/>
  <c r="BK149" i="3"/>
  <c r="BL149" i="3" s="1"/>
  <c r="BJ149" i="3"/>
  <c r="BI149" i="3"/>
  <c r="BH149" i="3"/>
  <c r="CJ149" i="3" s="1"/>
  <c r="BG149" i="3"/>
  <c r="BF149" i="3"/>
  <c r="BE149" i="3"/>
  <c r="BD149" i="3"/>
  <c r="BC149" i="3"/>
  <c r="CI149" i="3" s="1"/>
  <c r="BA149" i="3"/>
  <c r="BB149" i="3" s="1"/>
  <c r="AZ149" i="3"/>
  <c r="AY149" i="3"/>
  <c r="AX149" i="3"/>
  <c r="CH149" i="3" s="1"/>
  <c r="AV149" i="3"/>
  <c r="AW149" i="3" s="1"/>
  <c r="AU149" i="3"/>
  <c r="AT149" i="3"/>
  <c r="AS149" i="3"/>
  <c r="CG149" i="3" s="1"/>
  <c r="CH148" i="3"/>
  <c r="CE148" i="3"/>
  <c r="CF148" i="3" s="1"/>
  <c r="CD148" i="3"/>
  <c r="CC148" i="3"/>
  <c r="CB148" i="3"/>
  <c r="CN148" i="3" s="1"/>
  <c r="BZ148" i="3"/>
  <c r="CA148" i="3" s="1"/>
  <c r="BY148" i="3"/>
  <c r="BX148" i="3"/>
  <c r="BW148" i="3"/>
  <c r="CM148" i="3" s="1"/>
  <c r="BU148" i="3"/>
  <c r="BV148" i="3" s="1"/>
  <c r="BT148" i="3"/>
  <c r="BS148" i="3"/>
  <c r="BR148" i="3"/>
  <c r="CL148" i="3" s="1"/>
  <c r="BQ148" i="3"/>
  <c r="BP148" i="3"/>
  <c r="BO148" i="3"/>
  <c r="BN148" i="3"/>
  <c r="BM148" i="3"/>
  <c r="CK148" i="3" s="1"/>
  <c r="BK148" i="3"/>
  <c r="BJ148" i="3"/>
  <c r="BI148" i="3"/>
  <c r="BH148" i="3"/>
  <c r="CJ148" i="3" s="1"/>
  <c r="BF148" i="3"/>
  <c r="BG148" i="3" s="1"/>
  <c r="BE148" i="3"/>
  <c r="BD148" i="3"/>
  <c r="BC148" i="3"/>
  <c r="CI148" i="3" s="1"/>
  <c r="BA148" i="3"/>
  <c r="BB148" i="3" s="1"/>
  <c r="AZ148" i="3"/>
  <c r="AY148" i="3"/>
  <c r="AX148" i="3"/>
  <c r="AW148" i="3"/>
  <c r="AV148" i="3"/>
  <c r="AU148" i="3"/>
  <c r="AT148" i="3"/>
  <c r="AS148" i="3"/>
  <c r="CG148" i="3" s="1"/>
  <c r="CJ147" i="3"/>
  <c r="CI147" i="3"/>
  <c r="CE147" i="3"/>
  <c r="CF147" i="3" s="1"/>
  <c r="CD147" i="3"/>
  <c r="CC147" i="3"/>
  <c r="CB147" i="3"/>
  <c r="CN147" i="3" s="1"/>
  <c r="CA147" i="3"/>
  <c r="BZ147" i="3"/>
  <c r="BY147" i="3"/>
  <c r="BX147" i="3"/>
  <c r="BW147" i="3"/>
  <c r="CM147" i="3" s="1"/>
  <c r="BU147" i="3"/>
  <c r="BT147" i="3"/>
  <c r="BS147" i="3"/>
  <c r="BR147" i="3"/>
  <c r="CL147" i="3" s="1"/>
  <c r="BP147" i="3"/>
  <c r="BQ147" i="3" s="1"/>
  <c r="BO147" i="3"/>
  <c r="BN147" i="3"/>
  <c r="BM147" i="3"/>
  <c r="CK147" i="3" s="1"/>
  <c r="BK147" i="3"/>
  <c r="BL147" i="3" s="1"/>
  <c r="BJ147" i="3"/>
  <c r="BI147" i="3"/>
  <c r="BH147" i="3"/>
  <c r="BG147" i="3"/>
  <c r="BF147" i="3"/>
  <c r="BE147" i="3"/>
  <c r="BD147" i="3"/>
  <c r="BC147" i="3"/>
  <c r="BA147" i="3"/>
  <c r="BB147" i="3" s="1"/>
  <c r="AZ147" i="3"/>
  <c r="AY147" i="3"/>
  <c r="AX147" i="3"/>
  <c r="CH147" i="3" s="1"/>
  <c r="AV147" i="3"/>
  <c r="AW147" i="3" s="1"/>
  <c r="AU147" i="3"/>
  <c r="AT147" i="3"/>
  <c r="AS147" i="3"/>
  <c r="CG147" i="3" s="1"/>
  <c r="CN146" i="3"/>
  <c r="CL146" i="3"/>
  <c r="CK146" i="3"/>
  <c r="CE146" i="3"/>
  <c r="CD146" i="3"/>
  <c r="CC146" i="3"/>
  <c r="CB146" i="3"/>
  <c r="BZ146" i="3"/>
  <c r="CA146" i="3" s="1"/>
  <c r="BY146" i="3"/>
  <c r="BX146" i="3"/>
  <c r="BW146" i="3"/>
  <c r="CM146" i="3" s="1"/>
  <c r="BU146" i="3"/>
  <c r="BV146" i="3" s="1"/>
  <c r="BT146" i="3"/>
  <c r="BS146" i="3"/>
  <c r="BR146" i="3"/>
  <c r="BQ146" i="3"/>
  <c r="BP146" i="3"/>
  <c r="BO146" i="3"/>
  <c r="BN146" i="3"/>
  <c r="BM146" i="3"/>
  <c r="BK146" i="3"/>
  <c r="BL146" i="3" s="1"/>
  <c r="BJ146" i="3"/>
  <c r="BI146" i="3"/>
  <c r="BH146" i="3"/>
  <c r="CJ146" i="3" s="1"/>
  <c r="BF146" i="3"/>
  <c r="BE146" i="3"/>
  <c r="BD146" i="3"/>
  <c r="BC146" i="3"/>
  <c r="CI146" i="3" s="1"/>
  <c r="BA146" i="3"/>
  <c r="BB146" i="3" s="1"/>
  <c r="AZ146" i="3"/>
  <c r="AY146" i="3"/>
  <c r="AX146" i="3"/>
  <c r="CH146" i="3" s="1"/>
  <c r="AW146" i="3"/>
  <c r="AV146" i="3"/>
  <c r="AU146" i="3"/>
  <c r="AT146" i="3"/>
  <c r="AS146" i="3"/>
  <c r="CG146" i="3" s="1"/>
  <c r="CN145" i="3"/>
  <c r="CH145" i="3"/>
  <c r="CE145" i="3"/>
  <c r="CF145" i="3" s="1"/>
  <c r="CD145" i="3"/>
  <c r="CC145" i="3"/>
  <c r="CB145" i="3"/>
  <c r="CA145" i="3"/>
  <c r="BZ145" i="3"/>
  <c r="BY145" i="3"/>
  <c r="BX145" i="3"/>
  <c r="BW145" i="3"/>
  <c r="CM145" i="3" s="1"/>
  <c r="BU145" i="3"/>
  <c r="BV145" i="3" s="1"/>
  <c r="BT145" i="3"/>
  <c r="BS145" i="3"/>
  <c r="BR145" i="3"/>
  <c r="CL145" i="3" s="1"/>
  <c r="BP145" i="3"/>
  <c r="BO145" i="3"/>
  <c r="BN145" i="3"/>
  <c r="BM145" i="3"/>
  <c r="CK145" i="3" s="1"/>
  <c r="BK145" i="3"/>
  <c r="BL145" i="3" s="1"/>
  <c r="BJ145" i="3"/>
  <c r="BI145" i="3"/>
  <c r="BH145" i="3"/>
  <c r="CJ145" i="3" s="1"/>
  <c r="BG145" i="3"/>
  <c r="BF145" i="3"/>
  <c r="BE145" i="3"/>
  <c r="BD145" i="3"/>
  <c r="BC145" i="3"/>
  <c r="CI145" i="3" s="1"/>
  <c r="BA145" i="3"/>
  <c r="BB145" i="3" s="1"/>
  <c r="AZ145" i="3"/>
  <c r="AY145" i="3"/>
  <c r="AX145" i="3"/>
  <c r="AV145" i="3"/>
  <c r="AW145" i="3" s="1"/>
  <c r="AU145" i="3"/>
  <c r="AT145" i="3"/>
  <c r="AS145" i="3"/>
  <c r="CG145" i="3" s="1"/>
  <c r="CJ144" i="3"/>
  <c r="CH144" i="3"/>
  <c r="CG144" i="3"/>
  <c r="CE144" i="3"/>
  <c r="CF144" i="3" s="1"/>
  <c r="CD144" i="3"/>
  <c r="CC144" i="3"/>
  <c r="CB144" i="3"/>
  <c r="CN144" i="3" s="1"/>
  <c r="BZ144" i="3"/>
  <c r="CA144" i="3" s="1"/>
  <c r="BY144" i="3"/>
  <c r="BX144" i="3"/>
  <c r="BW144" i="3"/>
  <c r="CM144" i="3" s="1"/>
  <c r="BU144" i="3"/>
  <c r="BV144" i="3" s="1"/>
  <c r="BT144" i="3"/>
  <c r="BS144" i="3"/>
  <c r="BR144" i="3"/>
  <c r="CL144" i="3" s="1"/>
  <c r="BQ144" i="3"/>
  <c r="BP144" i="3"/>
  <c r="BO144" i="3"/>
  <c r="BN144" i="3"/>
  <c r="BM144" i="3"/>
  <c r="CK144" i="3" s="1"/>
  <c r="BK144" i="3"/>
  <c r="BL144" i="3" s="1"/>
  <c r="BJ144" i="3"/>
  <c r="BI144" i="3"/>
  <c r="BH144" i="3"/>
  <c r="BF144" i="3"/>
  <c r="BG144" i="3" s="1"/>
  <c r="BE144" i="3"/>
  <c r="BD144" i="3"/>
  <c r="BC144" i="3"/>
  <c r="CI144" i="3" s="1"/>
  <c r="BB144" i="3"/>
  <c r="BA144" i="3"/>
  <c r="AZ144" i="3"/>
  <c r="AY144" i="3"/>
  <c r="AX144" i="3"/>
  <c r="AW144" i="3"/>
  <c r="AV144" i="3"/>
  <c r="AU144" i="3"/>
  <c r="AT144" i="3"/>
  <c r="AS144" i="3"/>
  <c r="CL143" i="3"/>
  <c r="CJ143" i="3"/>
  <c r="CE143" i="3"/>
  <c r="CF143" i="3" s="1"/>
  <c r="CD143" i="3"/>
  <c r="CC143" i="3"/>
  <c r="CB143" i="3"/>
  <c r="CN143" i="3" s="1"/>
  <c r="CA143" i="3"/>
  <c r="BZ143" i="3"/>
  <c r="BY143" i="3"/>
  <c r="BX143" i="3"/>
  <c r="BW143" i="3"/>
  <c r="CM143" i="3" s="1"/>
  <c r="BU143" i="3"/>
  <c r="BV143" i="3" s="1"/>
  <c r="BT143" i="3"/>
  <c r="BS143" i="3"/>
  <c r="BR143" i="3"/>
  <c r="BP143" i="3"/>
  <c r="BQ143" i="3" s="1"/>
  <c r="BO143" i="3"/>
  <c r="BN143" i="3"/>
  <c r="BM143" i="3"/>
  <c r="CK143" i="3" s="1"/>
  <c r="BL143" i="3"/>
  <c r="BK143" i="3"/>
  <c r="BJ143" i="3"/>
  <c r="BI143" i="3"/>
  <c r="BH143" i="3"/>
  <c r="BG143" i="3"/>
  <c r="BF143" i="3"/>
  <c r="BE143" i="3"/>
  <c r="BD143" i="3"/>
  <c r="BC143" i="3"/>
  <c r="CI143" i="3" s="1"/>
  <c r="BA143" i="3"/>
  <c r="BB143" i="3" s="1"/>
  <c r="AZ143" i="3"/>
  <c r="AY143" i="3"/>
  <c r="AX143" i="3"/>
  <c r="CH143" i="3" s="1"/>
  <c r="AV143" i="3"/>
  <c r="AU143" i="3"/>
  <c r="AT143" i="3"/>
  <c r="AS143" i="3"/>
  <c r="CG143" i="3" s="1"/>
  <c r="CN142" i="3"/>
  <c r="CL142" i="3"/>
  <c r="CK142" i="3"/>
  <c r="CE142" i="3"/>
  <c r="CF142" i="3" s="1"/>
  <c r="CD142" i="3"/>
  <c r="CC142" i="3"/>
  <c r="CB142" i="3"/>
  <c r="BZ142" i="3"/>
  <c r="CA142" i="3" s="1"/>
  <c r="BY142" i="3"/>
  <c r="BX142" i="3"/>
  <c r="BW142" i="3"/>
  <c r="CM142" i="3" s="1"/>
  <c r="BV142" i="3"/>
  <c r="BU142" i="3"/>
  <c r="BT142" i="3"/>
  <c r="BS142" i="3"/>
  <c r="BR142" i="3"/>
  <c r="BQ142" i="3"/>
  <c r="BP142" i="3"/>
  <c r="BO142" i="3"/>
  <c r="BN142" i="3"/>
  <c r="BM142" i="3"/>
  <c r="BK142" i="3"/>
  <c r="BL142" i="3" s="1"/>
  <c r="BJ142" i="3"/>
  <c r="BI142" i="3"/>
  <c r="BH142" i="3"/>
  <c r="CJ142" i="3" s="1"/>
  <c r="BF142" i="3"/>
  <c r="BE142" i="3"/>
  <c r="BD142" i="3"/>
  <c r="BC142" i="3"/>
  <c r="CI142" i="3" s="1"/>
  <c r="BA142" i="3"/>
  <c r="BB142" i="3" s="1"/>
  <c r="AZ142" i="3"/>
  <c r="AY142" i="3"/>
  <c r="AX142" i="3"/>
  <c r="CH142" i="3" s="1"/>
  <c r="AW142" i="3"/>
  <c r="AV142" i="3"/>
  <c r="AU142" i="3"/>
  <c r="AT142" i="3"/>
  <c r="AS142" i="3"/>
  <c r="CG142" i="3" s="1"/>
  <c r="CN141" i="3"/>
  <c r="CM141" i="3"/>
  <c r="CH141" i="3"/>
  <c r="CE141" i="3"/>
  <c r="CF141" i="3" s="1"/>
  <c r="CD141" i="3"/>
  <c r="CC141" i="3"/>
  <c r="CB141" i="3"/>
  <c r="CA141" i="3"/>
  <c r="BZ141" i="3"/>
  <c r="BY141" i="3"/>
  <c r="BX141" i="3"/>
  <c r="BW141" i="3"/>
  <c r="BU141" i="3"/>
  <c r="BV141" i="3" s="1"/>
  <c r="BT141" i="3"/>
  <c r="BS141" i="3"/>
  <c r="BR141" i="3"/>
  <c r="CL141" i="3" s="1"/>
  <c r="BP141" i="3"/>
  <c r="BQ141" i="3" s="1"/>
  <c r="BO141" i="3"/>
  <c r="BN141" i="3"/>
  <c r="BM141" i="3"/>
  <c r="CK141" i="3" s="1"/>
  <c r="BK141" i="3"/>
  <c r="BL141" i="3" s="1"/>
  <c r="BJ141" i="3"/>
  <c r="BI141" i="3"/>
  <c r="BH141" i="3"/>
  <c r="CJ141" i="3" s="1"/>
  <c r="BG141" i="3"/>
  <c r="BF141" i="3"/>
  <c r="BE141" i="3"/>
  <c r="BD141" i="3"/>
  <c r="BC141" i="3"/>
  <c r="CI141" i="3" s="1"/>
  <c r="BA141" i="3"/>
  <c r="AZ141" i="3"/>
  <c r="AY141" i="3"/>
  <c r="AX141" i="3"/>
  <c r="AV141" i="3"/>
  <c r="AW141" i="3" s="1"/>
  <c r="AU141" i="3"/>
  <c r="AT141" i="3"/>
  <c r="AS141" i="3"/>
  <c r="CG141" i="3" s="1"/>
  <c r="CJ140" i="3"/>
  <c r="CH140" i="3"/>
  <c r="CG140" i="3"/>
  <c r="CE140" i="3"/>
  <c r="CF140" i="3" s="1"/>
  <c r="CD140" i="3"/>
  <c r="CC140" i="3"/>
  <c r="CB140" i="3"/>
  <c r="CN140" i="3" s="1"/>
  <c r="BZ140" i="3"/>
  <c r="BY140" i="3"/>
  <c r="BX140" i="3"/>
  <c r="BW140" i="3"/>
  <c r="CM140" i="3" s="1"/>
  <c r="BU140" i="3"/>
  <c r="BV140" i="3" s="1"/>
  <c r="BT140" i="3"/>
  <c r="BS140" i="3"/>
  <c r="BR140" i="3"/>
  <c r="CL140" i="3" s="1"/>
  <c r="BQ140" i="3"/>
  <c r="BP140" i="3"/>
  <c r="BO140" i="3"/>
  <c r="BN140" i="3"/>
  <c r="BM140" i="3"/>
  <c r="CK140" i="3" s="1"/>
  <c r="BK140" i="3"/>
  <c r="BL140" i="3" s="1"/>
  <c r="BJ140" i="3"/>
  <c r="BI140" i="3"/>
  <c r="BH140" i="3"/>
  <c r="BF140" i="3"/>
  <c r="BG140" i="3" s="1"/>
  <c r="BE140" i="3"/>
  <c r="BD140" i="3"/>
  <c r="BC140" i="3"/>
  <c r="CI140" i="3" s="1"/>
  <c r="BB140" i="3"/>
  <c r="BA140" i="3"/>
  <c r="AZ140" i="3"/>
  <c r="AY140" i="3"/>
  <c r="AX140" i="3"/>
  <c r="AW140" i="3"/>
  <c r="AV140" i="3"/>
  <c r="AU140" i="3"/>
  <c r="AT140" i="3"/>
  <c r="AS140" i="3"/>
  <c r="CL139" i="3"/>
  <c r="CJ139" i="3"/>
  <c r="CI139" i="3"/>
  <c r="CE139" i="3"/>
  <c r="CF139" i="3" s="1"/>
  <c r="CD139" i="3"/>
  <c r="CC139" i="3"/>
  <c r="CB139" i="3"/>
  <c r="CN139" i="3" s="1"/>
  <c r="CA139" i="3"/>
  <c r="BZ139" i="3"/>
  <c r="BY139" i="3"/>
  <c r="BX139" i="3"/>
  <c r="BW139" i="3"/>
  <c r="CM139" i="3" s="1"/>
  <c r="BU139" i="3"/>
  <c r="BV139" i="3" s="1"/>
  <c r="BT139" i="3"/>
  <c r="BS139" i="3"/>
  <c r="BR139" i="3"/>
  <c r="BP139" i="3"/>
  <c r="BQ139" i="3" s="1"/>
  <c r="BO139" i="3"/>
  <c r="BN139" i="3"/>
  <c r="BM139" i="3"/>
  <c r="CK139" i="3" s="1"/>
  <c r="BL139" i="3"/>
  <c r="BK139" i="3"/>
  <c r="BJ139" i="3"/>
  <c r="BI139" i="3"/>
  <c r="BH139" i="3"/>
  <c r="BG139" i="3"/>
  <c r="BF139" i="3"/>
  <c r="BE139" i="3"/>
  <c r="BD139" i="3"/>
  <c r="BC139" i="3"/>
  <c r="BA139" i="3"/>
  <c r="BB139" i="3" s="1"/>
  <c r="AZ139" i="3"/>
  <c r="AY139" i="3"/>
  <c r="AX139" i="3"/>
  <c r="CH139" i="3" s="1"/>
  <c r="AV139" i="3"/>
  <c r="AW139" i="3" s="1"/>
  <c r="AU139" i="3"/>
  <c r="AT139" i="3"/>
  <c r="AS139" i="3"/>
  <c r="CG139" i="3" s="1"/>
  <c r="CN138" i="3"/>
  <c r="CL138" i="3"/>
  <c r="CE138" i="3"/>
  <c r="CF138" i="3" s="1"/>
  <c r="CD138" i="3"/>
  <c r="CC138" i="3"/>
  <c r="CB138" i="3"/>
  <c r="BZ138" i="3"/>
  <c r="CA138" i="3" s="1"/>
  <c r="BY138" i="3"/>
  <c r="BX138" i="3"/>
  <c r="BW138" i="3"/>
  <c r="CM138" i="3" s="1"/>
  <c r="BV138" i="3"/>
  <c r="BU138" i="3"/>
  <c r="BT138" i="3"/>
  <c r="BS138" i="3"/>
  <c r="BR138" i="3"/>
  <c r="BQ138" i="3"/>
  <c r="BP138" i="3"/>
  <c r="BO138" i="3"/>
  <c r="BN138" i="3"/>
  <c r="BM138" i="3"/>
  <c r="CK138" i="3" s="1"/>
  <c r="BK138" i="3"/>
  <c r="BL138" i="3" s="1"/>
  <c r="BJ138" i="3"/>
  <c r="BI138" i="3"/>
  <c r="BH138" i="3"/>
  <c r="CJ138" i="3" s="1"/>
  <c r="BF138" i="3"/>
  <c r="BE138" i="3"/>
  <c r="BD138" i="3"/>
  <c r="BC138" i="3"/>
  <c r="CI138" i="3" s="1"/>
  <c r="BA138" i="3"/>
  <c r="BB138" i="3" s="1"/>
  <c r="AZ138" i="3"/>
  <c r="AY138" i="3"/>
  <c r="AX138" i="3"/>
  <c r="CH138" i="3" s="1"/>
  <c r="AW138" i="3"/>
  <c r="AV138" i="3"/>
  <c r="AU138" i="3"/>
  <c r="AT138" i="3"/>
  <c r="AS138" i="3"/>
  <c r="CG138" i="3" s="1"/>
  <c r="CO138" i="3" s="1"/>
  <c r="CN137" i="3"/>
  <c r="CM137" i="3"/>
  <c r="CE137" i="3"/>
  <c r="CF137" i="3" s="1"/>
  <c r="CD137" i="3"/>
  <c r="CC137" i="3"/>
  <c r="CB137" i="3"/>
  <c r="CA137" i="3"/>
  <c r="BZ137" i="3"/>
  <c r="BY137" i="3"/>
  <c r="BX137" i="3"/>
  <c r="BW137" i="3"/>
  <c r="BU137" i="3"/>
  <c r="BV137" i="3" s="1"/>
  <c r="BT137" i="3"/>
  <c r="BS137" i="3"/>
  <c r="BR137" i="3"/>
  <c r="CL137" i="3" s="1"/>
  <c r="BP137" i="3"/>
  <c r="BQ137" i="3" s="1"/>
  <c r="BO137" i="3"/>
  <c r="BN137" i="3"/>
  <c r="BM137" i="3"/>
  <c r="CK137" i="3" s="1"/>
  <c r="BK137" i="3"/>
  <c r="BL137" i="3" s="1"/>
  <c r="BJ137" i="3"/>
  <c r="BI137" i="3"/>
  <c r="BH137" i="3"/>
  <c r="CJ137" i="3" s="1"/>
  <c r="BG137" i="3"/>
  <c r="BF137" i="3"/>
  <c r="BE137" i="3"/>
  <c r="BD137" i="3"/>
  <c r="BC137" i="3"/>
  <c r="CI137" i="3" s="1"/>
  <c r="BA137" i="3"/>
  <c r="AZ137" i="3"/>
  <c r="AY137" i="3"/>
  <c r="AX137" i="3"/>
  <c r="CH137" i="3" s="1"/>
  <c r="AV137" i="3"/>
  <c r="AU137" i="3"/>
  <c r="AT137" i="3"/>
  <c r="AS137" i="3"/>
  <c r="CG137" i="3" s="1"/>
  <c r="CO137" i="3" s="1"/>
  <c r="CN136" i="3"/>
  <c r="CH136" i="3"/>
  <c r="CF136" i="3"/>
  <c r="CE136" i="3"/>
  <c r="CD136" i="3"/>
  <c r="CC136" i="3"/>
  <c r="CB136" i="3"/>
  <c r="BZ136" i="3"/>
  <c r="CA136" i="3" s="1"/>
  <c r="BY136" i="3"/>
  <c r="BX136" i="3"/>
  <c r="BW136" i="3"/>
  <c r="CM136" i="3" s="1"/>
  <c r="BU136" i="3"/>
  <c r="BV136" i="3" s="1"/>
  <c r="BT136" i="3"/>
  <c r="BS136" i="3"/>
  <c r="BR136" i="3"/>
  <c r="CL136" i="3" s="1"/>
  <c r="BQ136" i="3"/>
  <c r="BP136" i="3"/>
  <c r="BO136" i="3"/>
  <c r="BN136" i="3"/>
  <c r="BM136" i="3"/>
  <c r="CK136" i="3" s="1"/>
  <c r="BK136" i="3"/>
  <c r="BJ136" i="3"/>
  <c r="BI136" i="3"/>
  <c r="BH136" i="3"/>
  <c r="CJ136" i="3" s="1"/>
  <c r="BF136" i="3"/>
  <c r="BE136" i="3"/>
  <c r="BD136" i="3"/>
  <c r="BC136" i="3"/>
  <c r="CI136" i="3" s="1"/>
  <c r="BA136" i="3"/>
  <c r="BB136" i="3" s="1"/>
  <c r="AZ136" i="3"/>
  <c r="AY136" i="3"/>
  <c r="AX136" i="3"/>
  <c r="AW136" i="3"/>
  <c r="AV136" i="3"/>
  <c r="AU136" i="3"/>
  <c r="AT136" i="3"/>
  <c r="AS136" i="3"/>
  <c r="CG136" i="3" s="1"/>
  <c r="CO136" i="3" s="1"/>
  <c r="CJ135" i="3"/>
  <c r="CH135" i="3"/>
  <c r="CE135" i="3"/>
  <c r="CF135" i="3" s="1"/>
  <c r="CD135" i="3"/>
  <c r="CC135" i="3"/>
  <c r="CB135" i="3"/>
  <c r="CN135" i="3" s="1"/>
  <c r="CA135" i="3"/>
  <c r="BZ135" i="3"/>
  <c r="BY135" i="3"/>
  <c r="BX135" i="3"/>
  <c r="BW135" i="3"/>
  <c r="CM135" i="3" s="1"/>
  <c r="BU135" i="3"/>
  <c r="BT135" i="3"/>
  <c r="BS135" i="3"/>
  <c r="BR135" i="3"/>
  <c r="CL135" i="3" s="1"/>
  <c r="BP135" i="3"/>
  <c r="BO135" i="3"/>
  <c r="BN135" i="3"/>
  <c r="BM135" i="3"/>
  <c r="CK135" i="3" s="1"/>
  <c r="BK135" i="3"/>
  <c r="BL135" i="3" s="1"/>
  <c r="BJ135" i="3"/>
  <c r="BI135" i="3"/>
  <c r="BH135" i="3"/>
  <c r="BG135" i="3"/>
  <c r="BF135" i="3"/>
  <c r="BE135" i="3"/>
  <c r="BD135" i="3"/>
  <c r="BC135" i="3"/>
  <c r="CI135" i="3" s="1"/>
  <c r="BB135" i="3"/>
  <c r="BA135" i="3"/>
  <c r="AZ135" i="3"/>
  <c r="AY135" i="3"/>
  <c r="AX135" i="3"/>
  <c r="AV135" i="3"/>
  <c r="AW135" i="3" s="1"/>
  <c r="AU135" i="3"/>
  <c r="AT135" i="3"/>
  <c r="AS135" i="3"/>
  <c r="CG135" i="3" s="1"/>
  <c r="CL134" i="3"/>
  <c r="CJ134" i="3"/>
  <c r="CG134" i="3"/>
  <c r="CE134" i="3"/>
  <c r="CD134" i="3"/>
  <c r="CC134" i="3"/>
  <c r="CB134" i="3"/>
  <c r="CN134" i="3" s="1"/>
  <c r="BZ134" i="3"/>
  <c r="BY134" i="3"/>
  <c r="BX134" i="3"/>
  <c r="BW134" i="3"/>
  <c r="CM134" i="3" s="1"/>
  <c r="BU134" i="3"/>
  <c r="BV134" i="3" s="1"/>
  <c r="BT134" i="3"/>
  <c r="BS134" i="3"/>
  <c r="BR134" i="3"/>
  <c r="BQ134" i="3"/>
  <c r="BP134" i="3"/>
  <c r="BO134" i="3"/>
  <c r="BN134" i="3"/>
  <c r="BM134" i="3"/>
  <c r="CK134" i="3" s="1"/>
  <c r="BL134" i="3"/>
  <c r="BK134" i="3"/>
  <c r="BJ134" i="3"/>
  <c r="BI134" i="3"/>
  <c r="BH134" i="3"/>
  <c r="BF134" i="3"/>
  <c r="BG134" i="3" s="1"/>
  <c r="BE134" i="3"/>
  <c r="BD134" i="3"/>
  <c r="BC134" i="3"/>
  <c r="CI134" i="3" s="1"/>
  <c r="BA134" i="3"/>
  <c r="BB134" i="3" s="1"/>
  <c r="AZ134" i="3"/>
  <c r="AY134" i="3"/>
  <c r="AX134" i="3"/>
  <c r="CH134" i="3" s="1"/>
  <c r="AW134" i="3"/>
  <c r="AV134" i="3"/>
  <c r="AU134" i="3"/>
  <c r="AT134" i="3"/>
  <c r="AS134" i="3"/>
  <c r="CN133" i="3"/>
  <c r="CL133" i="3"/>
  <c r="CI133" i="3"/>
  <c r="CE133" i="3"/>
  <c r="CF133" i="3" s="1"/>
  <c r="CD133" i="3"/>
  <c r="CC133" i="3"/>
  <c r="CB133" i="3"/>
  <c r="CA133" i="3"/>
  <c r="BZ133" i="3"/>
  <c r="BY133" i="3"/>
  <c r="BX133" i="3"/>
  <c r="BW133" i="3"/>
  <c r="CM133" i="3" s="1"/>
  <c r="BV133" i="3"/>
  <c r="BU133" i="3"/>
  <c r="BT133" i="3"/>
  <c r="BS133" i="3"/>
  <c r="BR133" i="3"/>
  <c r="BP133" i="3"/>
  <c r="BQ133" i="3" s="1"/>
  <c r="BO133" i="3"/>
  <c r="BN133" i="3"/>
  <c r="BM133" i="3"/>
  <c r="CK133" i="3" s="1"/>
  <c r="BK133" i="3"/>
  <c r="BL133" i="3" s="1"/>
  <c r="BJ133" i="3"/>
  <c r="BI133" i="3"/>
  <c r="BH133" i="3"/>
  <c r="CJ133" i="3" s="1"/>
  <c r="BG133" i="3"/>
  <c r="BF133" i="3"/>
  <c r="BE133" i="3"/>
  <c r="BD133" i="3"/>
  <c r="BC133" i="3"/>
  <c r="BA133" i="3"/>
  <c r="AZ133" i="3"/>
  <c r="AY133" i="3"/>
  <c r="AX133" i="3"/>
  <c r="CH133" i="3" s="1"/>
  <c r="AV133" i="3"/>
  <c r="AU133" i="3"/>
  <c r="AT133" i="3"/>
  <c r="AS133" i="3"/>
  <c r="CG133" i="3" s="1"/>
  <c r="CN132" i="3"/>
  <c r="CK132" i="3"/>
  <c r="CH132" i="3"/>
  <c r="CG132" i="3"/>
  <c r="CF132" i="3"/>
  <c r="CE132" i="3"/>
  <c r="CD132" i="3"/>
  <c r="CC132" i="3"/>
  <c r="CB132" i="3"/>
  <c r="BZ132" i="3"/>
  <c r="CA132" i="3" s="1"/>
  <c r="BY132" i="3"/>
  <c r="BX132" i="3"/>
  <c r="BW132" i="3"/>
  <c r="CM132" i="3" s="1"/>
  <c r="BU132" i="3"/>
  <c r="BV132" i="3" s="1"/>
  <c r="BT132" i="3"/>
  <c r="BS132" i="3"/>
  <c r="BR132" i="3"/>
  <c r="CL132" i="3" s="1"/>
  <c r="BQ132" i="3"/>
  <c r="BP132" i="3"/>
  <c r="BO132" i="3"/>
  <c r="BN132" i="3"/>
  <c r="BM132" i="3"/>
  <c r="BK132" i="3"/>
  <c r="BJ132" i="3"/>
  <c r="BI132" i="3"/>
  <c r="BH132" i="3"/>
  <c r="CJ132" i="3" s="1"/>
  <c r="BF132" i="3"/>
  <c r="BE132" i="3"/>
  <c r="BD132" i="3"/>
  <c r="BC132" i="3"/>
  <c r="CI132" i="3" s="1"/>
  <c r="BA132" i="3"/>
  <c r="BB132" i="3" s="1"/>
  <c r="AZ132" i="3"/>
  <c r="AY132" i="3"/>
  <c r="AX132" i="3"/>
  <c r="AW132" i="3"/>
  <c r="AV132" i="3"/>
  <c r="AU132" i="3"/>
  <c r="AT132" i="3"/>
  <c r="AS132" i="3"/>
  <c r="CM131" i="3"/>
  <c r="CJ131" i="3"/>
  <c r="CI131" i="3"/>
  <c r="CH131" i="3"/>
  <c r="CE131" i="3"/>
  <c r="CF131" i="3" s="1"/>
  <c r="CD131" i="3"/>
  <c r="CC131" i="3"/>
  <c r="CB131" i="3"/>
  <c r="CN131" i="3" s="1"/>
  <c r="CA131" i="3"/>
  <c r="BZ131" i="3"/>
  <c r="BY131" i="3"/>
  <c r="BX131" i="3"/>
  <c r="BW131" i="3"/>
  <c r="BU131" i="3"/>
  <c r="BT131" i="3"/>
  <c r="BS131" i="3"/>
  <c r="BR131" i="3"/>
  <c r="CL131" i="3" s="1"/>
  <c r="BP131" i="3"/>
  <c r="BO131" i="3"/>
  <c r="BN131" i="3"/>
  <c r="BM131" i="3"/>
  <c r="CK131" i="3" s="1"/>
  <c r="BK131" i="3"/>
  <c r="BL131" i="3" s="1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V131" i="3"/>
  <c r="AW131" i="3" s="1"/>
  <c r="AU131" i="3"/>
  <c r="AT131" i="3"/>
  <c r="AS131" i="3"/>
  <c r="CG131" i="3" s="1"/>
  <c r="CO130" i="3"/>
  <c r="CL130" i="3"/>
  <c r="CK130" i="3"/>
  <c r="CJ130" i="3"/>
  <c r="CE130" i="3"/>
  <c r="CD130" i="3"/>
  <c r="CC130" i="3"/>
  <c r="CB130" i="3"/>
  <c r="CN130" i="3" s="1"/>
  <c r="BZ130" i="3"/>
  <c r="BY130" i="3"/>
  <c r="BX130" i="3"/>
  <c r="BW130" i="3"/>
  <c r="CM130" i="3" s="1"/>
  <c r="BU130" i="3"/>
  <c r="BV130" i="3" s="1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F130" i="3"/>
  <c r="BG130" i="3" s="1"/>
  <c r="BE130" i="3"/>
  <c r="BD130" i="3"/>
  <c r="BC130" i="3"/>
  <c r="CI130" i="3" s="1"/>
  <c r="BA130" i="3"/>
  <c r="BB130" i="3" s="1"/>
  <c r="AZ130" i="3"/>
  <c r="AY130" i="3"/>
  <c r="AX130" i="3"/>
  <c r="CH130" i="3" s="1"/>
  <c r="AW130" i="3"/>
  <c r="AV130" i="3"/>
  <c r="AU130" i="3"/>
  <c r="AT130" i="3"/>
  <c r="AS130" i="3"/>
  <c r="CG130" i="3" s="1"/>
  <c r="CN129" i="3"/>
  <c r="CM129" i="3"/>
  <c r="CL129" i="3"/>
  <c r="CE129" i="3"/>
  <c r="CF129" i="3" s="1"/>
  <c r="CD129" i="3"/>
  <c r="CC129" i="3"/>
  <c r="CB129" i="3"/>
  <c r="CA129" i="3"/>
  <c r="BZ129" i="3"/>
  <c r="BY129" i="3"/>
  <c r="BX129" i="3"/>
  <c r="BW129" i="3"/>
  <c r="BV129" i="3"/>
  <c r="BU129" i="3"/>
  <c r="BT129" i="3"/>
  <c r="BS129" i="3"/>
  <c r="BR129" i="3"/>
  <c r="BP129" i="3"/>
  <c r="BQ129" i="3" s="1"/>
  <c r="BO129" i="3"/>
  <c r="BN129" i="3"/>
  <c r="BM129" i="3"/>
  <c r="CK129" i="3" s="1"/>
  <c r="BK129" i="3"/>
  <c r="BL129" i="3" s="1"/>
  <c r="BJ129" i="3"/>
  <c r="BI129" i="3"/>
  <c r="BH129" i="3"/>
  <c r="CJ129" i="3" s="1"/>
  <c r="BG129" i="3"/>
  <c r="BF129" i="3"/>
  <c r="BE129" i="3"/>
  <c r="BD129" i="3"/>
  <c r="BC129" i="3"/>
  <c r="CI129" i="3" s="1"/>
  <c r="BA129" i="3"/>
  <c r="AZ129" i="3"/>
  <c r="AY129" i="3"/>
  <c r="AX129" i="3"/>
  <c r="CH129" i="3" s="1"/>
  <c r="AV129" i="3"/>
  <c r="AU129" i="3"/>
  <c r="AT129" i="3"/>
  <c r="AS129" i="3"/>
  <c r="CG129" i="3" s="1"/>
  <c r="CN128" i="3"/>
  <c r="CH128" i="3"/>
  <c r="CF128" i="3"/>
  <c r="CE128" i="3"/>
  <c r="CD128" i="3"/>
  <c r="CC128" i="3"/>
  <c r="CB128" i="3"/>
  <c r="BZ128" i="3"/>
  <c r="CA128" i="3" s="1"/>
  <c r="BY128" i="3"/>
  <c r="BX128" i="3"/>
  <c r="BW128" i="3"/>
  <c r="CM128" i="3" s="1"/>
  <c r="BU128" i="3"/>
  <c r="BV128" i="3" s="1"/>
  <c r="BT128" i="3"/>
  <c r="BS128" i="3"/>
  <c r="BR128" i="3"/>
  <c r="CL128" i="3" s="1"/>
  <c r="BQ128" i="3"/>
  <c r="BP128" i="3"/>
  <c r="BO128" i="3"/>
  <c r="BN128" i="3"/>
  <c r="BM128" i="3"/>
  <c r="CK128" i="3" s="1"/>
  <c r="BK128" i="3"/>
  <c r="BJ128" i="3"/>
  <c r="BI128" i="3"/>
  <c r="BH128" i="3"/>
  <c r="CJ128" i="3" s="1"/>
  <c r="BF128" i="3"/>
  <c r="BE128" i="3"/>
  <c r="BD128" i="3"/>
  <c r="BC128" i="3"/>
  <c r="CI128" i="3" s="1"/>
  <c r="BA128" i="3"/>
  <c r="BB128" i="3" s="1"/>
  <c r="AZ128" i="3"/>
  <c r="AY128" i="3"/>
  <c r="AX128" i="3"/>
  <c r="AV128" i="3"/>
  <c r="AU128" i="3"/>
  <c r="AW128" i="3" s="1"/>
  <c r="AT128" i="3"/>
  <c r="AS128" i="3"/>
  <c r="CG128" i="3" s="1"/>
  <c r="CO128" i="3" s="1"/>
  <c r="CJ127" i="3"/>
  <c r="CI127" i="3"/>
  <c r="CH127" i="3"/>
  <c r="CE127" i="3"/>
  <c r="CF127" i="3" s="1"/>
  <c r="CD127" i="3"/>
  <c r="CC127" i="3"/>
  <c r="CB127" i="3"/>
  <c r="CN127" i="3" s="1"/>
  <c r="BZ127" i="3"/>
  <c r="CA127" i="3" s="1"/>
  <c r="BY127" i="3"/>
  <c r="BX127" i="3"/>
  <c r="BW127" i="3"/>
  <c r="CM127" i="3" s="1"/>
  <c r="BU127" i="3"/>
  <c r="BV127" i="3" s="1"/>
  <c r="BT127" i="3"/>
  <c r="BS127" i="3"/>
  <c r="BR127" i="3"/>
  <c r="CL127" i="3" s="1"/>
  <c r="BP127" i="3"/>
  <c r="BQ127" i="3" s="1"/>
  <c r="BO127" i="3"/>
  <c r="BN127" i="3"/>
  <c r="BM127" i="3"/>
  <c r="CK127" i="3" s="1"/>
  <c r="BL127" i="3"/>
  <c r="BK127" i="3"/>
  <c r="BJ127" i="3"/>
  <c r="BI127" i="3"/>
  <c r="BH127" i="3"/>
  <c r="BF127" i="3"/>
  <c r="BE127" i="3"/>
  <c r="BG127" i="3" s="1"/>
  <c r="BD127" i="3"/>
  <c r="BC127" i="3"/>
  <c r="BB127" i="3"/>
  <c r="BA127" i="3"/>
  <c r="AZ127" i="3"/>
  <c r="AY127" i="3"/>
  <c r="AX127" i="3"/>
  <c r="AV127" i="3"/>
  <c r="AW127" i="3" s="1"/>
  <c r="AU127" i="3"/>
  <c r="AT127" i="3"/>
  <c r="AS127" i="3"/>
  <c r="CG127" i="3" s="1"/>
  <c r="CM126" i="3"/>
  <c r="CL126" i="3"/>
  <c r="CK126" i="3"/>
  <c r="CJ126" i="3"/>
  <c r="CE126" i="3"/>
  <c r="CF126" i="3" s="1"/>
  <c r="CD126" i="3"/>
  <c r="CC126" i="3"/>
  <c r="CB126" i="3"/>
  <c r="CN126" i="3" s="1"/>
  <c r="BZ126" i="3"/>
  <c r="CA126" i="3" s="1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F126" i="3"/>
  <c r="BG126" i="3" s="1"/>
  <c r="BE126" i="3"/>
  <c r="BD126" i="3"/>
  <c r="BC126" i="3"/>
  <c r="CI126" i="3" s="1"/>
  <c r="BA126" i="3"/>
  <c r="BB126" i="3" s="1"/>
  <c r="AZ126" i="3"/>
  <c r="AY126" i="3"/>
  <c r="AX126" i="3"/>
  <c r="CH126" i="3" s="1"/>
  <c r="AW126" i="3"/>
  <c r="AV126" i="3"/>
  <c r="AU126" i="3"/>
  <c r="AT126" i="3"/>
  <c r="AS126" i="3"/>
  <c r="CG126" i="3" s="1"/>
  <c r="CN125" i="3"/>
  <c r="CL125" i="3"/>
  <c r="CG125" i="3"/>
  <c r="CE125" i="3"/>
  <c r="CF125" i="3" s="1"/>
  <c r="CD125" i="3"/>
  <c r="CC125" i="3"/>
  <c r="CB125" i="3"/>
  <c r="CA125" i="3"/>
  <c r="BZ125" i="3"/>
  <c r="BY125" i="3"/>
  <c r="BX125" i="3"/>
  <c r="BW125" i="3"/>
  <c r="CM125" i="3" s="1"/>
  <c r="BV125" i="3"/>
  <c r="BU125" i="3"/>
  <c r="BT125" i="3"/>
  <c r="BS125" i="3"/>
  <c r="BR125" i="3"/>
  <c r="BP125" i="3"/>
  <c r="BO125" i="3"/>
  <c r="BQ125" i="3" s="1"/>
  <c r="BN125" i="3"/>
  <c r="BM125" i="3"/>
  <c r="CK125" i="3" s="1"/>
  <c r="BK125" i="3"/>
  <c r="BL125" i="3" s="1"/>
  <c r="BJ125" i="3"/>
  <c r="BI125" i="3"/>
  <c r="BH125" i="3"/>
  <c r="CJ125" i="3" s="1"/>
  <c r="BG125" i="3"/>
  <c r="BF125" i="3"/>
  <c r="BE125" i="3"/>
  <c r="BD125" i="3"/>
  <c r="BC125" i="3"/>
  <c r="CI125" i="3" s="1"/>
  <c r="BA125" i="3"/>
  <c r="BB125" i="3" s="1"/>
  <c r="AZ125" i="3"/>
  <c r="AY125" i="3"/>
  <c r="AX125" i="3"/>
  <c r="CH125" i="3" s="1"/>
  <c r="CO125" i="3" s="1"/>
  <c r="AV125" i="3"/>
  <c r="AW125" i="3" s="1"/>
  <c r="AU125" i="3"/>
  <c r="AT125" i="3"/>
  <c r="AS125" i="3"/>
  <c r="CN124" i="3"/>
  <c r="CL124" i="3"/>
  <c r="CI124" i="3"/>
  <c r="CG124" i="3"/>
  <c r="CO124" i="3" s="1"/>
  <c r="CE124" i="3"/>
  <c r="CD124" i="3"/>
  <c r="CF124" i="3" s="1"/>
  <c r="CC124" i="3"/>
  <c r="CB124" i="3"/>
  <c r="CA124" i="3"/>
  <c r="BZ124" i="3"/>
  <c r="BY124" i="3"/>
  <c r="BX124" i="3"/>
  <c r="BW124" i="3"/>
  <c r="CM124" i="3" s="1"/>
  <c r="BU124" i="3"/>
  <c r="BV124" i="3" s="1"/>
  <c r="BT124" i="3"/>
  <c r="BS124" i="3"/>
  <c r="BR124" i="3"/>
  <c r="BQ124" i="3"/>
  <c r="BP124" i="3"/>
  <c r="BO124" i="3"/>
  <c r="BN124" i="3"/>
  <c r="BM124" i="3"/>
  <c r="CK124" i="3" s="1"/>
  <c r="BK124" i="3"/>
  <c r="BL124" i="3" s="1"/>
  <c r="BJ124" i="3"/>
  <c r="BI124" i="3"/>
  <c r="BH124" i="3"/>
  <c r="CJ124" i="3" s="1"/>
  <c r="BF124" i="3"/>
  <c r="BG124" i="3" s="1"/>
  <c r="BE124" i="3"/>
  <c r="BD124" i="3"/>
  <c r="BC124" i="3"/>
  <c r="BB124" i="3"/>
  <c r="BA124" i="3"/>
  <c r="AZ124" i="3"/>
  <c r="AY124" i="3"/>
  <c r="AX124" i="3"/>
  <c r="CH124" i="3" s="1"/>
  <c r="AV124" i="3"/>
  <c r="AW124" i="3" s="1"/>
  <c r="AU124" i="3"/>
  <c r="AT124" i="3"/>
  <c r="AS124" i="3"/>
  <c r="CM123" i="3"/>
  <c r="CL123" i="3"/>
  <c r="CE123" i="3"/>
  <c r="CD123" i="3"/>
  <c r="CF123" i="3" s="1"/>
  <c r="CC123" i="3"/>
  <c r="CB123" i="3"/>
  <c r="CN123" i="3" s="1"/>
  <c r="BZ123" i="3"/>
  <c r="CA123" i="3" s="1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CK123" i="3" s="1"/>
  <c r="BK123" i="3"/>
  <c r="BL123" i="3" s="1"/>
  <c r="BJ123" i="3"/>
  <c r="BI123" i="3"/>
  <c r="BH123" i="3"/>
  <c r="CJ123" i="3" s="1"/>
  <c r="BF123" i="3"/>
  <c r="BE123" i="3"/>
  <c r="BG123" i="3" s="1"/>
  <c r="BD123" i="3"/>
  <c r="BC123" i="3"/>
  <c r="CI123" i="3" s="1"/>
  <c r="BA123" i="3"/>
  <c r="AZ123" i="3"/>
  <c r="BB123" i="3" s="1"/>
  <c r="AY123" i="3"/>
  <c r="AX123" i="3"/>
  <c r="CH123" i="3" s="1"/>
  <c r="AW123" i="3"/>
  <c r="AV123" i="3"/>
  <c r="AU123" i="3"/>
  <c r="AT123" i="3"/>
  <c r="AS123" i="3"/>
  <c r="CG123" i="3" s="1"/>
  <c r="CM122" i="3"/>
  <c r="CL122" i="3"/>
  <c r="CK122" i="3"/>
  <c r="CE122" i="3"/>
  <c r="CD122" i="3"/>
  <c r="CF122" i="3" s="1"/>
  <c r="CC122" i="3"/>
  <c r="CB122" i="3"/>
  <c r="CN122" i="3" s="1"/>
  <c r="BZ122" i="3"/>
  <c r="CA122" i="3" s="1"/>
  <c r="BY122" i="3"/>
  <c r="BX122" i="3"/>
  <c r="BW122" i="3"/>
  <c r="BV122" i="3"/>
  <c r="BU122" i="3"/>
  <c r="BT122" i="3"/>
  <c r="BS122" i="3"/>
  <c r="BR122" i="3"/>
  <c r="BP122" i="3"/>
  <c r="BQ122" i="3" s="1"/>
  <c r="BO122" i="3"/>
  <c r="BN122" i="3"/>
  <c r="BM122" i="3"/>
  <c r="BL122" i="3"/>
  <c r="BK122" i="3"/>
  <c r="BJ122" i="3"/>
  <c r="BI122" i="3"/>
  <c r="BH122" i="3"/>
  <c r="CJ122" i="3" s="1"/>
  <c r="BF122" i="3"/>
  <c r="BG122" i="3" s="1"/>
  <c r="BE122" i="3"/>
  <c r="BD122" i="3"/>
  <c r="BC122" i="3"/>
  <c r="CI122" i="3" s="1"/>
  <c r="BB122" i="3"/>
  <c r="BA122" i="3"/>
  <c r="AZ122" i="3"/>
  <c r="AY122" i="3"/>
  <c r="AX122" i="3"/>
  <c r="CH122" i="3" s="1"/>
  <c r="AV122" i="3"/>
  <c r="AW122" i="3" s="1"/>
  <c r="AU122" i="3"/>
  <c r="AT122" i="3"/>
  <c r="AS122" i="3"/>
  <c r="CG122" i="3" s="1"/>
  <c r="CN121" i="3"/>
  <c r="CL121" i="3"/>
  <c r="CE121" i="3"/>
  <c r="CD121" i="3"/>
  <c r="CF121" i="3" s="1"/>
  <c r="CC121" i="3"/>
  <c r="CB121" i="3"/>
  <c r="BZ121" i="3"/>
  <c r="CA121" i="3" s="1"/>
  <c r="BY121" i="3"/>
  <c r="BX121" i="3"/>
  <c r="BW121" i="3"/>
  <c r="CM121" i="3" s="1"/>
  <c r="BV121" i="3"/>
  <c r="BU121" i="3"/>
  <c r="BT121" i="3"/>
  <c r="BS121" i="3"/>
  <c r="BR121" i="3"/>
  <c r="BP121" i="3"/>
  <c r="BQ121" i="3" s="1"/>
  <c r="BO121" i="3"/>
  <c r="BN121" i="3"/>
  <c r="BM121" i="3"/>
  <c r="CK121" i="3" s="1"/>
  <c r="BL121" i="3"/>
  <c r="BK121" i="3"/>
  <c r="BJ121" i="3"/>
  <c r="BI121" i="3"/>
  <c r="BH121" i="3"/>
  <c r="CJ121" i="3" s="1"/>
  <c r="BF121" i="3"/>
  <c r="BG121" i="3" s="1"/>
  <c r="BE121" i="3"/>
  <c r="BD121" i="3"/>
  <c r="BC121" i="3"/>
  <c r="CI121" i="3" s="1"/>
  <c r="BA121" i="3"/>
  <c r="AZ121" i="3"/>
  <c r="BB121" i="3" s="1"/>
  <c r="AY121" i="3"/>
  <c r="AX121" i="3"/>
  <c r="CH121" i="3" s="1"/>
  <c r="AV121" i="3"/>
  <c r="AW121" i="3" s="1"/>
  <c r="AU121" i="3"/>
  <c r="AT121" i="3"/>
  <c r="AS121" i="3"/>
  <c r="CG121" i="3" s="1"/>
  <c r="CN120" i="3"/>
  <c r="CH120" i="3"/>
  <c r="CF120" i="3"/>
  <c r="CE120" i="3"/>
  <c r="CD120" i="3"/>
  <c r="CC120" i="3"/>
  <c r="CB120" i="3"/>
  <c r="BZ120" i="3"/>
  <c r="CA120" i="3" s="1"/>
  <c r="BY120" i="3"/>
  <c r="BX120" i="3"/>
  <c r="BW120" i="3"/>
  <c r="CM120" i="3" s="1"/>
  <c r="BV120" i="3"/>
  <c r="BU120" i="3"/>
  <c r="BT120" i="3"/>
  <c r="BS120" i="3"/>
  <c r="BR120" i="3"/>
  <c r="CL120" i="3" s="1"/>
  <c r="BP120" i="3"/>
  <c r="BQ120" i="3" s="1"/>
  <c r="BO120" i="3"/>
  <c r="BN120" i="3"/>
  <c r="BM120" i="3"/>
  <c r="CK120" i="3" s="1"/>
  <c r="BK120" i="3"/>
  <c r="BJ120" i="3"/>
  <c r="BL120" i="3" s="1"/>
  <c r="BI120" i="3"/>
  <c r="BH120" i="3"/>
  <c r="CJ120" i="3" s="1"/>
  <c r="BF120" i="3"/>
  <c r="BG120" i="3" s="1"/>
  <c r="BE120" i="3"/>
  <c r="BD120" i="3"/>
  <c r="BC120" i="3"/>
  <c r="CI120" i="3" s="1"/>
  <c r="BA120" i="3"/>
  <c r="AZ120" i="3"/>
  <c r="BB120" i="3" s="1"/>
  <c r="AY120" i="3"/>
  <c r="AX120" i="3"/>
  <c r="AV120" i="3"/>
  <c r="AW120" i="3" s="1"/>
  <c r="AU120" i="3"/>
  <c r="AT120" i="3"/>
  <c r="AS120" i="3"/>
  <c r="CG120" i="3" s="1"/>
  <c r="CJ119" i="3"/>
  <c r="CH119" i="3"/>
  <c r="CF119" i="3"/>
  <c r="CE119" i="3"/>
  <c r="CD119" i="3"/>
  <c r="CC119" i="3"/>
  <c r="CB119" i="3"/>
  <c r="CN119" i="3" s="1"/>
  <c r="BZ119" i="3"/>
  <c r="CA119" i="3" s="1"/>
  <c r="BY119" i="3"/>
  <c r="BX119" i="3"/>
  <c r="BW119" i="3"/>
  <c r="CM119" i="3" s="1"/>
  <c r="BU119" i="3"/>
  <c r="BT119" i="3"/>
  <c r="BV119" i="3" s="1"/>
  <c r="BS119" i="3"/>
  <c r="BR119" i="3"/>
  <c r="CL119" i="3" s="1"/>
  <c r="BP119" i="3"/>
  <c r="BQ119" i="3" s="1"/>
  <c r="BO119" i="3"/>
  <c r="BN119" i="3"/>
  <c r="BM119" i="3"/>
  <c r="CK119" i="3" s="1"/>
  <c r="BK119" i="3"/>
  <c r="BJ119" i="3"/>
  <c r="BL119" i="3" s="1"/>
  <c r="BI119" i="3"/>
  <c r="BH119" i="3"/>
  <c r="BF119" i="3"/>
  <c r="BG119" i="3" s="1"/>
  <c r="BE119" i="3"/>
  <c r="BD119" i="3"/>
  <c r="BC119" i="3"/>
  <c r="CI119" i="3" s="1"/>
  <c r="BB119" i="3"/>
  <c r="BA119" i="3"/>
  <c r="AZ119" i="3"/>
  <c r="AY119" i="3"/>
  <c r="AX119" i="3"/>
  <c r="AV119" i="3"/>
  <c r="AW119" i="3" s="1"/>
  <c r="AU119" i="3"/>
  <c r="AT119" i="3"/>
  <c r="AS119" i="3"/>
  <c r="CG119" i="3" s="1"/>
  <c r="CO119" i="3" s="1"/>
  <c r="CP119" i="3" s="1"/>
  <c r="CL118" i="3"/>
  <c r="CJ118" i="3"/>
  <c r="CE118" i="3"/>
  <c r="CD118" i="3"/>
  <c r="CF118" i="3" s="1"/>
  <c r="CC118" i="3"/>
  <c r="CB118" i="3"/>
  <c r="CN118" i="3" s="1"/>
  <c r="BZ118" i="3"/>
  <c r="CA118" i="3" s="1"/>
  <c r="BY118" i="3"/>
  <c r="BX118" i="3"/>
  <c r="BW118" i="3"/>
  <c r="CM118" i="3" s="1"/>
  <c r="BU118" i="3"/>
  <c r="BT118" i="3"/>
  <c r="BV118" i="3" s="1"/>
  <c r="BS118" i="3"/>
  <c r="BR118" i="3"/>
  <c r="BP118" i="3"/>
  <c r="BQ118" i="3" s="1"/>
  <c r="BO118" i="3"/>
  <c r="BN118" i="3"/>
  <c r="BM118" i="3"/>
  <c r="CK118" i="3" s="1"/>
  <c r="BL118" i="3"/>
  <c r="BK118" i="3"/>
  <c r="BJ118" i="3"/>
  <c r="BI118" i="3"/>
  <c r="BH118" i="3"/>
  <c r="BF118" i="3"/>
  <c r="BG118" i="3" s="1"/>
  <c r="BE118" i="3"/>
  <c r="BD118" i="3"/>
  <c r="BC118" i="3"/>
  <c r="CI118" i="3" s="1"/>
  <c r="BB118" i="3"/>
  <c r="BA118" i="3"/>
  <c r="AZ118" i="3"/>
  <c r="AY118" i="3"/>
  <c r="AX118" i="3"/>
  <c r="CH118" i="3" s="1"/>
  <c r="AV118" i="3"/>
  <c r="AW118" i="3" s="1"/>
  <c r="AU118" i="3"/>
  <c r="AT118" i="3"/>
  <c r="AS118" i="3"/>
  <c r="CG118" i="3" s="1"/>
  <c r="CN117" i="3"/>
  <c r="CL117" i="3"/>
  <c r="CF117" i="3"/>
  <c r="CE117" i="3"/>
  <c r="CD117" i="3"/>
  <c r="CC117" i="3"/>
  <c r="CB117" i="3"/>
  <c r="BZ117" i="3"/>
  <c r="CA117" i="3" s="1"/>
  <c r="BY117" i="3"/>
  <c r="BX117" i="3"/>
  <c r="BW117" i="3"/>
  <c r="CM117" i="3" s="1"/>
  <c r="BV117" i="3"/>
  <c r="BU117" i="3"/>
  <c r="BT117" i="3"/>
  <c r="BS117" i="3"/>
  <c r="BR117" i="3"/>
  <c r="BP117" i="3"/>
  <c r="BQ117" i="3" s="1"/>
  <c r="BO117" i="3"/>
  <c r="BN117" i="3"/>
  <c r="BM117" i="3"/>
  <c r="CK117" i="3" s="1"/>
  <c r="BL117" i="3"/>
  <c r="BK117" i="3"/>
  <c r="BJ117" i="3"/>
  <c r="BI117" i="3"/>
  <c r="BH117" i="3"/>
  <c r="CJ117" i="3" s="1"/>
  <c r="BF117" i="3"/>
  <c r="BG117" i="3" s="1"/>
  <c r="BE117" i="3"/>
  <c r="BD117" i="3"/>
  <c r="BC117" i="3"/>
  <c r="CI117" i="3" s="1"/>
  <c r="BA117" i="3"/>
  <c r="AZ117" i="3"/>
  <c r="BB117" i="3" s="1"/>
  <c r="AY117" i="3"/>
  <c r="AX117" i="3"/>
  <c r="CH117" i="3" s="1"/>
  <c r="AV117" i="3"/>
  <c r="AW117" i="3" s="1"/>
  <c r="AU117" i="3"/>
  <c r="AT117" i="3"/>
  <c r="AS117" i="3"/>
  <c r="CG117" i="3" s="1"/>
  <c r="CN116" i="3"/>
  <c r="CH116" i="3"/>
  <c r="CF116" i="3"/>
  <c r="CE116" i="3"/>
  <c r="CD116" i="3"/>
  <c r="CC116" i="3"/>
  <c r="CB116" i="3"/>
  <c r="BZ116" i="3"/>
  <c r="CA116" i="3" s="1"/>
  <c r="BY116" i="3"/>
  <c r="BX116" i="3"/>
  <c r="BW116" i="3"/>
  <c r="CM116" i="3" s="1"/>
  <c r="BV116" i="3"/>
  <c r="BU116" i="3"/>
  <c r="BT116" i="3"/>
  <c r="BS116" i="3"/>
  <c r="BR116" i="3"/>
  <c r="CL116" i="3" s="1"/>
  <c r="BP116" i="3"/>
  <c r="BQ116" i="3" s="1"/>
  <c r="BO116" i="3"/>
  <c r="BN116" i="3"/>
  <c r="BM116" i="3"/>
  <c r="CK116" i="3" s="1"/>
  <c r="BK116" i="3"/>
  <c r="BJ116" i="3"/>
  <c r="BL116" i="3" s="1"/>
  <c r="BI116" i="3"/>
  <c r="BH116" i="3"/>
  <c r="CJ116" i="3" s="1"/>
  <c r="BF116" i="3"/>
  <c r="BG116" i="3" s="1"/>
  <c r="BE116" i="3"/>
  <c r="BD116" i="3"/>
  <c r="BC116" i="3"/>
  <c r="CI116" i="3" s="1"/>
  <c r="BB116" i="3"/>
  <c r="BA116" i="3"/>
  <c r="AZ116" i="3"/>
  <c r="AY116" i="3"/>
  <c r="AX116" i="3"/>
  <c r="AV116" i="3"/>
  <c r="AW116" i="3" s="1"/>
  <c r="AU116" i="3"/>
  <c r="AT116" i="3"/>
  <c r="AS116" i="3"/>
  <c r="CG116" i="3" s="1"/>
  <c r="CO116" i="3" s="1"/>
  <c r="CJ115" i="3"/>
  <c r="CH115" i="3"/>
  <c r="CF115" i="3"/>
  <c r="CE115" i="3"/>
  <c r="CD115" i="3"/>
  <c r="CC115" i="3"/>
  <c r="CB115" i="3"/>
  <c r="CN115" i="3" s="1"/>
  <c r="BZ115" i="3"/>
  <c r="CA115" i="3" s="1"/>
  <c r="BY115" i="3"/>
  <c r="BX115" i="3"/>
  <c r="BW115" i="3"/>
  <c r="CM115" i="3" s="1"/>
  <c r="BU115" i="3"/>
  <c r="BT115" i="3"/>
  <c r="BV115" i="3" s="1"/>
  <c r="BS115" i="3"/>
  <c r="BR115" i="3"/>
  <c r="CL115" i="3" s="1"/>
  <c r="BP115" i="3"/>
  <c r="BQ115" i="3" s="1"/>
  <c r="BO115" i="3"/>
  <c r="BN115" i="3"/>
  <c r="BM115" i="3"/>
  <c r="CK115" i="3" s="1"/>
  <c r="BL115" i="3"/>
  <c r="BK115" i="3"/>
  <c r="BJ115" i="3"/>
  <c r="BI115" i="3"/>
  <c r="BH115" i="3"/>
  <c r="BF115" i="3"/>
  <c r="BG115" i="3" s="1"/>
  <c r="BE115" i="3"/>
  <c r="BD115" i="3"/>
  <c r="BC115" i="3"/>
  <c r="CI115" i="3" s="1"/>
  <c r="BB115" i="3"/>
  <c r="BA115" i="3"/>
  <c r="AZ115" i="3"/>
  <c r="AY115" i="3"/>
  <c r="AX115" i="3"/>
  <c r="AV115" i="3"/>
  <c r="AW115" i="3" s="1"/>
  <c r="AU115" i="3"/>
  <c r="AT115" i="3"/>
  <c r="AS115" i="3"/>
  <c r="CG115" i="3" s="1"/>
  <c r="CL114" i="3"/>
  <c r="CJ114" i="3"/>
  <c r="CE114" i="3"/>
  <c r="CD114" i="3"/>
  <c r="CF114" i="3" s="1"/>
  <c r="CC114" i="3"/>
  <c r="CB114" i="3"/>
  <c r="CN114" i="3" s="1"/>
  <c r="BZ114" i="3"/>
  <c r="CA114" i="3" s="1"/>
  <c r="BY114" i="3"/>
  <c r="BX114" i="3"/>
  <c r="BW114" i="3"/>
  <c r="CM114" i="3" s="1"/>
  <c r="BV114" i="3"/>
  <c r="BU114" i="3"/>
  <c r="BT114" i="3"/>
  <c r="BS114" i="3"/>
  <c r="BR114" i="3"/>
  <c r="BP114" i="3"/>
  <c r="BQ114" i="3" s="1"/>
  <c r="BO114" i="3"/>
  <c r="BN114" i="3"/>
  <c r="BM114" i="3"/>
  <c r="CK114" i="3" s="1"/>
  <c r="BL114" i="3"/>
  <c r="BK114" i="3"/>
  <c r="BJ114" i="3"/>
  <c r="BI114" i="3"/>
  <c r="BH114" i="3"/>
  <c r="BF114" i="3"/>
  <c r="BG114" i="3" s="1"/>
  <c r="BE114" i="3"/>
  <c r="BD114" i="3"/>
  <c r="BC114" i="3"/>
  <c r="CI114" i="3" s="1"/>
  <c r="BB114" i="3"/>
  <c r="BA114" i="3"/>
  <c r="AZ114" i="3"/>
  <c r="AY114" i="3"/>
  <c r="AX114" i="3"/>
  <c r="CH114" i="3" s="1"/>
  <c r="AV114" i="3"/>
  <c r="AW114" i="3" s="1"/>
  <c r="AU114" i="3"/>
  <c r="AT114" i="3"/>
  <c r="AS114" i="3"/>
  <c r="CG114" i="3" s="1"/>
  <c r="CN113" i="3"/>
  <c r="CL113" i="3"/>
  <c r="CE113" i="3"/>
  <c r="CD113" i="3"/>
  <c r="CF113" i="3" s="1"/>
  <c r="CC113" i="3"/>
  <c r="CB113" i="3"/>
  <c r="BZ113" i="3"/>
  <c r="CA113" i="3" s="1"/>
  <c r="BY113" i="3"/>
  <c r="BX113" i="3"/>
  <c r="BW113" i="3"/>
  <c r="CM113" i="3" s="1"/>
  <c r="BV113" i="3"/>
  <c r="BU113" i="3"/>
  <c r="BT113" i="3"/>
  <c r="BS113" i="3"/>
  <c r="BR113" i="3"/>
  <c r="BP113" i="3"/>
  <c r="BQ113" i="3" s="1"/>
  <c r="BO113" i="3"/>
  <c r="BN113" i="3"/>
  <c r="BM113" i="3"/>
  <c r="CK113" i="3" s="1"/>
  <c r="BL113" i="3"/>
  <c r="BK113" i="3"/>
  <c r="BJ113" i="3"/>
  <c r="BI113" i="3"/>
  <c r="BH113" i="3"/>
  <c r="CJ113" i="3" s="1"/>
  <c r="BF113" i="3"/>
  <c r="BG113" i="3" s="1"/>
  <c r="BE113" i="3"/>
  <c r="BD113" i="3"/>
  <c r="BC113" i="3"/>
  <c r="CI113" i="3" s="1"/>
  <c r="BA113" i="3"/>
  <c r="AZ113" i="3"/>
  <c r="BB113" i="3" s="1"/>
  <c r="AY113" i="3"/>
  <c r="AX113" i="3"/>
  <c r="CH113" i="3" s="1"/>
  <c r="AV113" i="3"/>
  <c r="AW113" i="3" s="1"/>
  <c r="AU113" i="3"/>
  <c r="AT113" i="3"/>
  <c r="AS113" i="3"/>
  <c r="CG113" i="3" s="1"/>
  <c r="CO113" i="3" s="1"/>
  <c r="CN112" i="3"/>
  <c r="CH112" i="3"/>
  <c r="CF112" i="3"/>
  <c r="CE112" i="3"/>
  <c r="CD112" i="3"/>
  <c r="CC112" i="3"/>
  <c r="CB112" i="3"/>
  <c r="BZ112" i="3"/>
  <c r="CA112" i="3" s="1"/>
  <c r="BY112" i="3"/>
  <c r="BX112" i="3"/>
  <c r="BW112" i="3"/>
  <c r="CM112" i="3" s="1"/>
  <c r="BV112" i="3"/>
  <c r="BU112" i="3"/>
  <c r="BT112" i="3"/>
  <c r="BS112" i="3"/>
  <c r="BR112" i="3"/>
  <c r="CL112" i="3" s="1"/>
  <c r="BP112" i="3"/>
  <c r="BQ112" i="3" s="1"/>
  <c r="BO112" i="3"/>
  <c r="BN112" i="3"/>
  <c r="BM112" i="3"/>
  <c r="CK112" i="3" s="1"/>
  <c r="BK112" i="3"/>
  <c r="BJ112" i="3"/>
  <c r="BL112" i="3" s="1"/>
  <c r="BI112" i="3"/>
  <c r="BH112" i="3"/>
  <c r="CJ112" i="3" s="1"/>
  <c r="BF112" i="3"/>
  <c r="BG112" i="3" s="1"/>
  <c r="BE112" i="3"/>
  <c r="BD112" i="3"/>
  <c r="BC112" i="3"/>
  <c r="CI112" i="3" s="1"/>
  <c r="BA112" i="3"/>
  <c r="AZ112" i="3"/>
  <c r="BB112" i="3" s="1"/>
  <c r="AY112" i="3"/>
  <c r="AX112" i="3"/>
  <c r="AV112" i="3"/>
  <c r="AW112" i="3" s="1"/>
  <c r="AU112" i="3"/>
  <c r="AT112" i="3"/>
  <c r="AS112" i="3"/>
  <c r="CG112" i="3" s="1"/>
  <c r="CJ111" i="3"/>
  <c r="CH111" i="3"/>
  <c r="CF111" i="3"/>
  <c r="CE111" i="3"/>
  <c r="CD111" i="3"/>
  <c r="CC111" i="3"/>
  <c r="CB111" i="3"/>
  <c r="CN111" i="3" s="1"/>
  <c r="BZ111" i="3"/>
  <c r="CA111" i="3" s="1"/>
  <c r="BY111" i="3"/>
  <c r="BX111" i="3"/>
  <c r="BW111" i="3"/>
  <c r="CM111" i="3" s="1"/>
  <c r="BU111" i="3"/>
  <c r="BT111" i="3"/>
  <c r="BV111" i="3" s="1"/>
  <c r="BS111" i="3"/>
  <c r="BR111" i="3"/>
  <c r="CL111" i="3" s="1"/>
  <c r="BP111" i="3"/>
  <c r="BQ111" i="3" s="1"/>
  <c r="BO111" i="3"/>
  <c r="BN111" i="3"/>
  <c r="BM111" i="3"/>
  <c r="CK111" i="3" s="1"/>
  <c r="BK111" i="3"/>
  <c r="BJ111" i="3"/>
  <c r="BL111" i="3" s="1"/>
  <c r="BI111" i="3"/>
  <c r="BH111" i="3"/>
  <c r="BF111" i="3"/>
  <c r="BG111" i="3" s="1"/>
  <c r="BE111" i="3"/>
  <c r="BD111" i="3"/>
  <c r="BC111" i="3"/>
  <c r="CI111" i="3" s="1"/>
  <c r="BB111" i="3"/>
  <c r="BA111" i="3"/>
  <c r="AZ111" i="3"/>
  <c r="AY111" i="3"/>
  <c r="AX111" i="3"/>
  <c r="AV111" i="3"/>
  <c r="AW111" i="3" s="1"/>
  <c r="AU111" i="3"/>
  <c r="AT111" i="3"/>
  <c r="AS111" i="3"/>
  <c r="CG111" i="3" s="1"/>
  <c r="CL110" i="3"/>
  <c r="CJ110" i="3"/>
  <c r="CE110" i="3"/>
  <c r="CD110" i="3"/>
  <c r="CF110" i="3" s="1"/>
  <c r="CC110" i="3"/>
  <c r="CB110" i="3"/>
  <c r="CN110" i="3" s="1"/>
  <c r="BZ110" i="3"/>
  <c r="CA110" i="3" s="1"/>
  <c r="BY110" i="3"/>
  <c r="BX110" i="3"/>
  <c r="BW110" i="3"/>
  <c r="CM110" i="3" s="1"/>
  <c r="BU110" i="3"/>
  <c r="BT110" i="3"/>
  <c r="BV110" i="3" s="1"/>
  <c r="BS110" i="3"/>
  <c r="BR110" i="3"/>
  <c r="BP110" i="3"/>
  <c r="BQ110" i="3" s="1"/>
  <c r="BO110" i="3"/>
  <c r="BN110" i="3"/>
  <c r="BM110" i="3"/>
  <c r="CK110" i="3" s="1"/>
  <c r="BL110" i="3"/>
  <c r="BK110" i="3"/>
  <c r="BJ110" i="3"/>
  <c r="BI110" i="3"/>
  <c r="BH110" i="3"/>
  <c r="BF110" i="3"/>
  <c r="BG110" i="3" s="1"/>
  <c r="BE110" i="3"/>
  <c r="BD110" i="3"/>
  <c r="BC110" i="3"/>
  <c r="CI110" i="3" s="1"/>
  <c r="BB110" i="3"/>
  <c r="BA110" i="3"/>
  <c r="AZ110" i="3"/>
  <c r="AY110" i="3"/>
  <c r="AX110" i="3"/>
  <c r="CH110" i="3" s="1"/>
  <c r="AV110" i="3"/>
  <c r="AW110" i="3" s="1"/>
  <c r="AU110" i="3"/>
  <c r="AT110" i="3"/>
  <c r="AS110" i="3"/>
  <c r="CG110" i="3" s="1"/>
  <c r="CO110" i="3" s="1"/>
  <c r="CP110" i="3" s="1"/>
  <c r="CN109" i="3"/>
  <c r="CL109" i="3"/>
  <c r="CE109" i="3"/>
  <c r="CD109" i="3"/>
  <c r="CF109" i="3" s="1"/>
  <c r="CC109" i="3"/>
  <c r="CB109" i="3"/>
  <c r="BZ109" i="3"/>
  <c r="CA109" i="3" s="1"/>
  <c r="BY109" i="3"/>
  <c r="BX109" i="3"/>
  <c r="BW109" i="3"/>
  <c r="CM109" i="3" s="1"/>
  <c r="BV109" i="3"/>
  <c r="BU109" i="3"/>
  <c r="BT109" i="3"/>
  <c r="BS109" i="3"/>
  <c r="BR109" i="3"/>
  <c r="BP109" i="3"/>
  <c r="BQ109" i="3" s="1"/>
  <c r="BO109" i="3"/>
  <c r="BN109" i="3"/>
  <c r="BM109" i="3"/>
  <c r="CK109" i="3" s="1"/>
  <c r="BL109" i="3"/>
  <c r="BK109" i="3"/>
  <c r="BJ109" i="3"/>
  <c r="BI109" i="3"/>
  <c r="BH109" i="3"/>
  <c r="CJ109" i="3" s="1"/>
  <c r="BF109" i="3"/>
  <c r="BG109" i="3" s="1"/>
  <c r="BE109" i="3"/>
  <c r="BD109" i="3"/>
  <c r="BC109" i="3"/>
  <c r="CI109" i="3" s="1"/>
  <c r="BA109" i="3"/>
  <c r="AZ109" i="3"/>
  <c r="BB109" i="3" s="1"/>
  <c r="AY109" i="3"/>
  <c r="AX109" i="3"/>
  <c r="CH109" i="3" s="1"/>
  <c r="AV109" i="3"/>
  <c r="AW109" i="3" s="1"/>
  <c r="AU109" i="3"/>
  <c r="AT109" i="3"/>
  <c r="AS109" i="3"/>
  <c r="CG109" i="3" s="1"/>
  <c r="CO109" i="3" s="1"/>
  <c r="CN108" i="3"/>
  <c r="CH108" i="3"/>
  <c r="CF108" i="3"/>
  <c r="CE108" i="3"/>
  <c r="CD108" i="3"/>
  <c r="CC108" i="3"/>
  <c r="CB108" i="3"/>
  <c r="BZ108" i="3"/>
  <c r="CA108" i="3" s="1"/>
  <c r="BY108" i="3"/>
  <c r="BX108" i="3"/>
  <c r="BW108" i="3"/>
  <c r="CM108" i="3" s="1"/>
  <c r="BV108" i="3"/>
  <c r="BU108" i="3"/>
  <c r="BT108" i="3"/>
  <c r="BS108" i="3"/>
  <c r="BR108" i="3"/>
  <c r="CL108" i="3" s="1"/>
  <c r="BQ108" i="3"/>
  <c r="BP108" i="3"/>
  <c r="BO108" i="3"/>
  <c r="BN108" i="3"/>
  <c r="BM108" i="3"/>
  <c r="CK108" i="3" s="1"/>
  <c r="BK108" i="3"/>
  <c r="BJ108" i="3"/>
  <c r="BL108" i="3" s="1"/>
  <c r="BI108" i="3"/>
  <c r="BH108" i="3"/>
  <c r="CJ108" i="3" s="1"/>
  <c r="BF108" i="3"/>
  <c r="BG108" i="3" s="1"/>
  <c r="BE108" i="3"/>
  <c r="BD108" i="3"/>
  <c r="BC108" i="3"/>
  <c r="CI108" i="3" s="1"/>
  <c r="BA108" i="3"/>
  <c r="AZ108" i="3"/>
  <c r="AY108" i="3"/>
  <c r="AX108" i="3"/>
  <c r="AV108" i="3"/>
  <c r="AW108" i="3" s="1"/>
  <c r="AU108" i="3"/>
  <c r="AT108" i="3"/>
  <c r="AS108" i="3"/>
  <c r="CG108" i="3" s="1"/>
  <c r="CO108" i="3" s="1"/>
  <c r="CJ107" i="3"/>
  <c r="CH107" i="3"/>
  <c r="CF107" i="3"/>
  <c r="CE107" i="3"/>
  <c r="CD107" i="3"/>
  <c r="CC107" i="3"/>
  <c r="CB107" i="3"/>
  <c r="CN107" i="3" s="1"/>
  <c r="CA107" i="3"/>
  <c r="BZ107" i="3"/>
  <c r="BY107" i="3"/>
  <c r="BX107" i="3"/>
  <c r="BW107" i="3"/>
  <c r="CM107" i="3" s="1"/>
  <c r="BU107" i="3"/>
  <c r="BT107" i="3"/>
  <c r="BV107" i="3" s="1"/>
  <c r="BS107" i="3"/>
  <c r="BR107" i="3"/>
  <c r="CL107" i="3" s="1"/>
  <c r="BP107" i="3"/>
  <c r="BQ107" i="3" s="1"/>
  <c r="BO107" i="3"/>
  <c r="BN107" i="3"/>
  <c r="BM107" i="3"/>
  <c r="CK107" i="3" s="1"/>
  <c r="BK107" i="3"/>
  <c r="BJ107" i="3"/>
  <c r="BL107" i="3" s="1"/>
  <c r="BI107" i="3"/>
  <c r="BH107" i="3"/>
  <c r="BF107" i="3"/>
  <c r="BG107" i="3" s="1"/>
  <c r="BE107" i="3"/>
  <c r="BD107" i="3"/>
  <c r="BC107" i="3"/>
  <c r="CI107" i="3" s="1"/>
  <c r="BB107" i="3"/>
  <c r="BA107" i="3"/>
  <c r="AZ107" i="3"/>
  <c r="AY107" i="3"/>
  <c r="AX107" i="3"/>
  <c r="AV107" i="3"/>
  <c r="AW107" i="3" s="1"/>
  <c r="AU107" i="3"/>
  <c r="AT107" i="3"/>
  <c r="AS107" i="3"/>
  <c r="CG107" i="3" s="1"/>
  <c r="CL106" i="3"/>
  <c r="CK106" i="3"/>
  <c r="CJ106" i="3"/>
  <c r="CE106" i="3"/>
  <c r="CD106" i="3"/>
  <c r="CF106" i="3" s="1"/>
  <c r="CC106" i="3"/>
  <c r="CB106" i="3"/>
  <c r="CN106" i="3" s="1"/>
  <c r="BZ106" i="3"/>
  <c r="CA106" i="3" s="1"/>
  <c r="BY106" i="3"/>
  <c r="BX106" i="3"/>
  <c r="BW106" i="3"/>
  <c r="CM106" i="3" s="1"/>
  <c r="BU106" i="3"/>
  <c r="BV106" i="3" s="1"/>
  <c r="BT106" i="3"/>
  <c r="BS106" i="3"/>
  <c r="BR106" i="3"/>
  <c r="BP106" i="3"/>
  <c r="BQ106" i="3" s="1"/>
  <c r="BO106" i="3"/>
  <c r="BN106" i="3"/>
  <c r="BM106" i="3"/>
  <c r="BL106" i="3"/>
  <c r="BK106" i="3"/>
  <c r="BJ106" i="3"/>
  <c r="BI106" i="3"/>
  <c r="BH106" i="3"/>
  <c r="BF106" i="3"/>
  <c r="BG106" i="3" s="1"/>
  <c r="BE106" i="3"/>
  <c r="BD106" i="3"/>
  <c r="BC106" i="3"/>
  <c r="CI106" i="3" s="1"/>
  <c r="BB106" i="3"/>
  <c r="BA106" i="3"/>
  <c r="AZ106" i="3"/>
  <c r="AY106" i="3"/>
  <c r="AX106" i="3"/>
  <c r="CH106" i="3" s="1"/>
  <c r="AW106" i="3"/>
  <c r="AV106" i="3"/>
  <c r="AU106" i="3"/>
  <c r="AT106" i="3"/>
  <c r="AS106" i="3"/>
  <c r="CG106" i="3" s="1"/>
  <c r="CM105" i="3"/>
  <c r="CL105" i="3"/>
  <c r="CE105" i="3"/>
  <c r="CD105" i="3"/>
  <c r="CF105" i="3" s="1"/>
  <c r="CC105" i="3"/>
  <c r="CB105" i="3"/>
  <c r="CN105" i="3" s="1"/>
  <c r="BZ105" i="3"/>
  <c r="CA105" i="3" s="1"/>
  <c r="BY105" i="3"/>
  <c r="BX105" i="3"/>
  <c r="BW105" i="3"/>
  <c r="BU105" i="3"/>
  <c r="BT105" i="3"/>
  <c r="BV105" i="3" s="1"/>
  <c r="BS105" i="3"/>
  <c r="BR105" i="3"/>
  <c r="BP105" i="3"/>
  <c r="BO105" i="3"/>
  <c r="BN105" i="3"/>
  <c r="BM105" i="3"/>
  <c r="CK105" i="3" s="1"/>
  <c r="BL105" i="3"/>
  <c r="BK105" i="3"/>
  <c r="BJ105" i="3"/>
  <c r="BI105" i="3"/>
  <c r="BH105" i="3"/>
  <c r="CJ105" i="3" s="1"/>
  <c r="BG105" i="3"/>
  <c r="BF105" i="3"/>
  <c r="BE105" i="3"/>
  <c r="BD105" i="3"/>
  <c r="BC105" i="3"/>
  <c r="CI105" i="3" s="1"/>
  <c r="BA105" i="3"/>
  <c r="AZ105" i="3"/>
  <c r="BB105" i="3" s="1"/>
  <c r="AY105" i="3"/>
  <c r="AX105" i="3"/>
  <c r="CH105" i="3" s="1"/>
  <c r="AV105" i="3"/>
  <c r="AW105" i="3" s="1"/>
  <c r="AU105" i="3"/>
  <c r="AT105" i="3"/>
  <c r="AS105" i="3"/>
  <c r="CG105" i="3" s="1"/>
  <c r="CN104" i="3"/>
  <c r="CH104" i="3"/>
  <c r="CE104" i="3"/>
  <c r="CD104" i="3"/>
  <c r="CF104" i="3" s="1"/>
  <c r="CC104" i="3"/>
  <c r="CB104" i="3"/>
  <c r="BZ104" i="3"/>
  <c r="CA104" i="3" s="1"/>
  <c r="BY104" i="3"/>
  <c r="BX104" i="3"/>
  <c r="BW104" i="3"/>
  <c r="CM104" i="3" s="1"/>
  <c r="BV104" i="3"/>
  <c r="BU104" i="3"/>
  <c r="BT104" i="3"/>
  <c r="BS104" i="3"/>
  <c r="BR104" i="3"/>
  <c r="CL104" i="3" s="1"/>
  <c r="BQ104" i="3"/>
  <c r="BP104" i="3"/>
  <c r="BO104" i="3"/>
  <c r="BN104" i="3"/>
  <c r="BM104" i="3"/>
  <c r="CK104" i="3" s="1"/>
  <c r="BK104" i="3"/>
  <c r="BJ104" i="3"/>
  <c r="BL104" i="3" s="1"/>
  <c r="BI104" i="3"/>
  <c r="BH104" i="3"/>
  <c r="CJ104" i="3" s="1"/>
  <c r="BF104" i="3"/>
  <c r="BG104" i="3" s="1"/>
  <c r="BE104" i="3"/>
  <c r="BD104" i="3"/>
  <c r="BC104" i="3"/>
  <c r="CI104" i="3" s="1"/>
  <c r="BA104" i="3"/>
  <c r="BB104" i="3" s="1"/>
  <c r="AZ104" i="3"/>
  <c r="AY104" i="3"/>
  <c r="AX104" i="3"/>
  <c r="AV104" i="3"/>
  <c r="AW104" i="3" s="1"/>
  <c r="AU104" i="3"/>
  <c r="AT104" i="3"/>
  <c r="AS104" i="3"/>
  <c r="CG104" i="3" s="1"/>
  <c r="CN103" i="3"/>
  <c r="CH103" i="3"/>
  <c r="CF103" i="3"/>
  <c r="CE103" i="3"/>
  <c r="CD103" i="3"/>
  <c r="CC103" i="3"/>
  <c r="CB103" i="3"/>
  <c r="CA103" i="3"/>
  <c r="BZ103" i="3"/>
  <c r="BY103" i="3"/>
  <c r="BX103" i="3"/>
  <c r="BW103" i="3"/>
  <c r="CM103" i="3" s="1"/>
  <c r="BU103" i="3"/>
  <c r="BT103" i="3"/>
  <c r="BV103" i="3" s="1"/>
  <c r="BS103" i="3"/>
  <c r="BR103" i="3"/>
  <c r="CL103" i="3" s="1"/>
  <c r="BP103" i="3"/>
  <c r="BQ103" i="3" s="1"/>
  <c r="BO103" i="3"/>
  <c r="BN103" i="3"/>
  <c r="BM103" i="3"/>
  <c r="CK103" i="3" s="1"/>
  <c r="BK103" i="3"/>
  <c r="BL103" i="3" s="1"/>
  <c r="BJ103" i="3"/>
  <c r="BI103" i="3"/>
  <c r="BH103" i="3"/>
  <c r="CJ103" i="3" s="1"/>
  <c r="BF103" i="3"/>
  <c r="BG103" i="3" s="1"/>
  <c r="BE103" i="3"/>
  <c r="BD103" i="3"/>
  <c r="BC103" i="3"/>
  <c r="CI103" i="3" s="1"/>
  <c r="BB103" i="3"/>
  <c r="BA103" i="3"/>
  <c r="AZ103" i="3"/>
  <c r="AY103" i="3"/>
  <c r="AX103" i="3"/>
  <c r="AV103" i="3"/>
  <c r="AW103" i="3" s="1"/>
  <c r="AU103" i="3"/>
  <c r="AT103" i="3"/>
  <c r="AS103" i="3"/>
  <c r="CG103" i="3" s="1"/>
  <c r="CL102" i="3"/>
  <c r="CF102" i="3"/>
  <c r="CE102" i="3"/>
  <c r="CD102" i="3"/>
  <c r="CC102" i="3"/>
  <c r="CB102" i="3"/>
  <c r="CN102" i="3" s="1"/>
  <c r="BZ102" i="3"/>
  <c r="CA102" i="3" s="1"/>
  <c r="BY102" i="3"/>
  <c r="BX102" i="3"/>
  <c r="BW102" i="3"/>
  <c r="CM102" i="3" s="1"/>
  <c r="BV102" i="3"/>
  <c r="BU102" i="3"/>
  <c r="BT102" i="3"/>
  <c r="BS102" i="3"/>
  <c r="BR102" i="3"/>
  <c r="BP102" i="3"/>
  <c r="BQ102" i="3" s="1"/>
  <c r="BO102" i="3"/>
  <c r="BN102" i="3"/>
  <c r="BM102" i="3"/>
  <c r="CK102" i="3" s="1"/>
  <c r="BK102" i="3"/>
  <c r="BJ102" i="3"/>
  <c r="BL102" i="3" s="1"/>
  <c r="BI102" i="3"/>
  <c r="BH102" i="3"/>
  <c r="CJ102" i="3" s="1"/>
  <c r="BF102" i="3"/>
  <c r="BE102" i="3"/>
  <c r="BD102" i="3"/>
  <c r="BC102" i="3"/>
  <c r="CI102" i="3" s="1"/>
  <c r="BA102" i="3"/>
  <c r="AZ102" i="3"/>
  <c r="BB102" i="3" s="1"/>
  <c r="AY102" i="3"/>
  <c r="AX102" i="3"/>
  <c r="CH102" i="3" s="1"/>
  <c r="AV102" i="3"/>
  <c r="AW102" i="3" s="1"/>
  <c r="AU102" i="3"/>
  <c r="AT102" i="3"/>
  <c r="AS102" i="3"/>
  <c r="CG102" i="3" s="1"/>
  <c r="CN101" i="3"/>
  <c r="CH101" i="3"/>
  <c r="CE101" i="3"/>
  <c r="CF101" i="3" s="1"/>
  <c r="CD101" i="3"/>
  <c r="CC101" i="3"/>
  <c r="CB101" i="3"/>
  <c r="BZ101" i="3"/>
  <c r="CA101" i="3" s="1"/>
  <c r="BY101" i="3"/>
  <c r="BX101" i="3"/>
  <c r="BW101" i="3"/>
  <c r="CM101" i="3" s="1"/>
  <c r="BU101" i="3"/>
  <c r="BT101" i="3"/>
  <c r="BV101" i="3" s="1"/>
  <c r="BS101" i="3"/>
  <c r="BR101" i="3"/>
  <c r="CL101" i="3" s="1"/>
  <c r="BP101" i="3"/>
  <c r="BQ101" i="3" s="1"/>
  <c r="BO101" i="3"/>
  <c r="BN101" i="3"/>
  <c r="BM101" i="3"/>
  <c r="CK101" i="3" s="1"/>
  <c r="BL101" i="3"/>
  <c r="BK101" i="3"/>
  <c r="BJ101" i="3"/>
  <c r="BI101" i="3"/>
  <c r="BH101" i="3"/>
  <c r="CJ101" i="3" s="1"/>
  <c r="BG101" i="3"/>
  <c r="BF101" i="3"/>
  <c r="BE101" i="3"/>
  <c r="BD101" i="3"/>
  <c r="BC101" i="3"/>
  <c r="CI101" i="3" s="1"/>
  <c r="BA101" i="3"/>
  <c r="AZ101" i="3"/>
  <c r="BB101" i="3" s="1"/>
  <c r="AY101" i="3"/>
  <c r="AX101" i="3"/>
  <c r="AV101" i="3"/>
  <c r="AW101" i="3" s="1"/>
  <c r="AU101" i="3"/>
  <c r="AT101" i="3"/>
  <c r="AS101" i="3"/>
  <c r="CG101" i="3" s="1"/>
  <c r="CO100" i="3"/>
  <c r="CF100" i="3"/>
  <c r="CE100" i="3"/>
  <c r="CD100" i="3"/>
  <c r="CC100" i="3"/>
  <c r="CB100" i="3"/>
  <c r="CN100" i="3" s="1"/>
  <c r="BZ100" i="3"/>
  <c r="CA100" i="3" s="1"/>
  <c r="BY100" i="3"/>
  <c r="BX100" i="3"/>
  <c r="BW100" i="3"/>
  <c r="CM100" i="3" s="1"/>
  <c r="BU100" i="3"/>
  <c r="BT100" i="3"/>
  <c r="BV100" i="3" s="1"/>
  <c r="BS100" i="3"/>
  <c r="BR100" i="3"/>
  <c r="CL100" i="3" s="1"/>
  <c r="BP100" i="3"/>
  <c r="BQ100" i="3" s="1"/>
  <c r="BO100" i="3"/>
  <c r="BN100" i="3"/>
  <c r="BM100" i="3"/>
  <c r="CK100" i="3" s="1"/>
  <c r="BK100" i="3"/>
  <c r="BJ100" i="3"/>
  <c r="BL100" i="3" s="1"/>
  <c r="BI100" i="3"/>
  <c r="BH100" i="3"/>
  <c r="CJ100" i="3" s="1"/>
  <c r="BF100" i="3"/>
  <c r="BG100" i="3" s="1"/>
  <c r="BE100" i="3"/>
  <c r="BD100" i="3"/>
  <c r="BC100" i="3"/>
  <c r="CI100" i="3" s="1"/>
  <c r="BA100" i="3"/>
  <c r="BB100" i="3" s="1"/>
  <c r="AZ100" i="3"/>
  <c r="AY100" i="3"/>
  <c r="AX100" i="3"/>
  <c r="CH100" i="3" s="1"/>
  <c r="AV100" i="3"/>
  <c r="AU100" i="3"/>
  <c r="AW100" i="3" s="1"/>
  <c r="AT100" i="3"/>
  <c r="AS100" i="3"/>
  <c r="CG100" i="3" s="1"/>
  <c r="CN99" i="3"/>
  <c r="CM99" i="3"/>
  <c r="CL99" i="3"/>
  <c r="CI99" i="3"/>
  <c r="CE99" i="3"/>
  <c r="CF99" i="3" s="1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P99" i="3"/>
  <c r="BQ99" i="3" s="1"/>
  <c r="BO99" i="3"/>
  <c r="BN99" i="3"/>
  <c r="BM99" i="3"/>
  <c r="CK99" i="3" s="1"/>
  <c r="BK99" i="3"/>
  <c r="BJ99" i="3"/>
  <c r="BL99" i="3" s="1"/>
  <c r="BI99" i="3"/>
  <c r="BH99" i="3"/>
  <c r="CJ99" i="3" s="1"/>
  <c r="BF99" i="3"/>
  <c r="BE99" i="3"/>
  <c r="BD99" i="3"/>
  <c r="BC99" i="3"/>
  <c r="BA99" i="3"/>
  <c r="AZ99" i="3"/>
  <c r="BB99" i="3" s="1"/>
  <c r="AY99" i="3"/>
  <c r="AX99" i="3"/>
  <c r="CH99" i="3" s="1"/>
  <c r="AW99" i="3"/>
  <c r="AV99" i="3"/>
  <c r="AU99" i="3"/>
  <c r="AT99" i="3"/>
  <c r="AS99" i="3"/>
  <c r="CG99" i="3" s="1"/>
  <c r="CN98" i="3"/>
  <c r="CM98" i="3"/>
  <c r="CH98" i="3"/>
  <c r="CE98" i="3"/>
  <c r="CF98" i="3" s="1"/>
  <c r="CD98" i="3"/>
  <c r="CC98" i="3"/>
  <c r="CB98" i="3"/>
  <c r="BZ98" i="3"/>
  <c r="CA98" i="3" s="1"/>
  <c r="BY98" i="3"/>
  <c r="BX98" i="3"/>
  <c r="BW98" i="3"/>
  <c r="BU98" i="3"/>
  <c r="BT98" i="3"/>
  <c r="BV98" i="3" s="1"/>
  <c r="BS98" i="3"/>
  <c r="BR98" i="3"/>
  <c r="CL98" i="3" s="1"/>
  <c r="BP98" i="3"/>
  <c r="BQ98" i="3" s="1"/>
  <c r="BO98" i="3"/>
  <c r="BN98" i="3"/>
  <c r="BM98" i="3"/>
  <c r="CK98" i="3" s="1"/>
  <c r="BK98" i="3"/>
  <c r="BJ98" i="3"/>
  <c r="BL98" i="3" s="1"/>
  <c r="BI98" i="3"/>
  <c r="BH98" i="3"/>
  <c r="CJ98" i="3" s="1"/>
  <c r="BG98" i="3"/>
  <c r="BF98" i="3"/>
  <c r="BE98" i="3"/>
  <c r="BD98" i="3"/>
  <c r="BC98" i="3"/>
  <c r="CI98" i="3" s="1"/>
  <c r="BA98" i="3"/>
  <c r="AZ98" i="3"/>
  <c r="BB98" i="3" s="1"/>
  <c r="AY98" i="3"/>
  <c r="AX98" i="3"/>
  <c r="AV98" i="3"/>
  <c r="AW98" i="3" s="1"/>
  <c r="AU98" i="3"/>
  <c r="AT98" i="3"/>
  <c r="AS98" i="3"/>
  <c r="CG98" i="3" s="1"/>
  <c r="CJ97" i="3"/>
  <c r="CH97" i="3"/>
  <c r="CG97" i="3"/>
  <c r="CO97" i="3" s="1"/>
  <c r="CE97" i="3"/>
  <c r="CD97" i="3"/>
  <c r="CF97" i="3" s="1"/>
  <c r="CC97" i="3"/>
  <c r="CB97" i="3"/>
  <c r="CN97" i="3" s="1"/>
  <c r="BZ97" i="3"/>
  <c r="BY97" i="3"/>
  <c r="BX97" i="3"/>
  <c r="BW97" i="3"/>
  <c r="CM97" i="3" s="1"/>
  <c r="BU97" i="3"/>
  <c r="BT97" i="3"/>
  <c r="BV97" i="3" s="1"/>
  <c r="BS97" i="3"/>
  <c r="BR97" i="3"/>
  <c r="CL97" i="3" s="1"/>
  <c r="BQ97" i="3"/>
  <c r="BP97" i="3"/>
  <c r="BO97" i="3"/>
  <c r="BN97" i="3"/>
  <c r="BM97" i="3"/>
  <c r="CK97" i="3" s="1"/>
  <c r="BK97" i="3"/>
  <c r="BJ97" i="3"/>
  <c r="BL97" i="3" s="1"/>
  <c r="BI97" i="3"/>
  <c r="BH97" i="3"/>
  <c r="BF97" i="3"/>
  <c r="BG97" i="3" s="1"/>
  <c r="BE97" i="3"/>
  <c r="BD97" i="3"/>
  <c r="BC97" i="3"/>
  <c r="CI97" i="3" s="1"/>
  <c r="BA97" i="3"/>
  <c r="BB97" i="3" s="1"/>
  <c r="AZ97" i="3"/>
  <c r="AY97" i="3"/>
  <c r="AX97" i="3"/>
  <c r="AV97" i="3"/>
  <c r="AW97" i="3" s="1"/>
  <c r="AU97" i="3"/>
  <c r="AT97" i="3"/>
  <c r="AS97" i="3"/>
  <c r="CL96" i="3"/>
  <c r="CJ96" i="3"/>
  <c r="CE96" i="3"/>
  <c r="CD96" i="3"/>
  <c r="CF96" i="3" s="1"/>
  <c r="CC96" i="3"/>
  <c r="CB96" i="3"/>
  <c r="CN96" i="3" s="1"/>
  <c r="CA96" i="3"/>
  <c r="BZ96" i="3"/>
  <c r="BY96" i="3"/>
  <c r="BX96" i="3"/>
  <c r="BW96" i="3"/>
  <c r="CM96" i="3" s="1"/>
  <c r="BU96" i="3"/>
  <c r="BT96" i="3"/>
  <c r="BV96" i="3" s="1"/>
  <c r="BS96" i="3"/>
  <c r="BR96" i="3"/>
  <c r="BP96" i="3"/>
  <c r="BQ96" i="3" s="1"/>
  <c r="BO96" i="3"/>
  <c r="BN96" i="3"/>
  <c r="BM96" i="3"/>
  <c r="CK96" i="3" s="1"/>
  <c r="BK96" i="3"/>
  <c r="BL96" i="3" s="1"/>
  <c r="BJ96" i="3"/>
  <c r="BI96" i="3"/>
  <c r="BH96" i="3"/>
  <c r="BF96" i="3"/>
  <c r="BG96" i="3" s="1"/>
  <c r="BE96" i="3"/>
  <c r="BD96" i="3"/>
  <c r="BC96" i="3"/>
  <c r="CI96" i="3" s="1"/>
  <c r="BA96" i="3"/>
  <c r="AZ96" i="3"/>
  <c r="BB96" i="3" s="1"/>
  <c r="AY96" i="3"/>
  <c r="AX96" i="3"/>
  <c r="CH96" i="3" s="1"/>
  <c r="AV96" i="3"/>
  <c r="AW96" i="3" s="1"/>
  <c r="AU96" i="3"/>
  <c r="AT96" i="3"/>
  <c r="AS96" i="3"/>
  <c r="CG96" i="3" s="1"/>
  <c r="CN95" i="3"/>
  <c r="CL95" i="3"/>
  <c r="CE95" i="3"/>
  <c r="CD95" i="3"/>
  <c r="CF95" i="3" s="1"/>
  <c r="CC95" i="3"/>
  <c r="CB95" i="3"/>
  <c r="BZ95" i="3"/>
  <c r="CA95" i="3" s="1"/>
  <c r="BY95" i="3"/>
  <c r="BX95" i="3"/>
  <c r="BW95" i="3"/>
  <c r="CM95" i="3" s="1"/>
  <c r="BU95" i="3"/>
  <c r="BV95" i="3" s="1"/>
  <c r="BT95" i="3"/>
  <c r="BS95" i="3"/>
  <c r="BR95" i="3"/>
  <c r="BP95" i="3"/>
  <c r="BQ95" i="3" s="1"/>
  <c r="BO95" i="3"/>
  <c r="BN95" i="3"/>
  <c r="BM95" i="3"/>
  <c r="CK95" i="3" s="1"/>
  <c r="BK95" i="3"/>
  <c r="BJ95" i="3"/>
  <c r="BL95" i="3" s="1"/>
  <c r="BI95" i="3"/>
  <c r="BH95" i="3"/>
  <c r="CJ95" i="3" s="1"/>
  <c r="BF95" i="3"/>
  <c r="BE95" i="3"/>
  <c r="BD95" i="3"/>
  <c r="BC95" i="3"/>
  <c r="CI95" i="3" s="1"/>
  <c r="BA95" i="3"/>
  <c r="AZ95" i="3"/>
  <c r="BB95" i="3" s="1"/>
  <c r="AY95" i="3"/>
  <c r="AX95" i="3"/>
  <c r="CH95" i="3" s="1"/>
  <c r="AW95" i="3"/>
  <c r="AV95" i="3"/>
  <c r="AU95" i="3"/>
  <c r="AT95" i="3"/>
  <c r="AS95" i="3"/>
  <c r="CG95" i="3" s="1"/>
  <c r="CN94" i="3"/>
  <c r="CH94" i="3"/>
  <c r="CE94" i="3"/>
  <c r="CF94" i="3" s="1"/>
  <c r="CD94" i="3"/>
  <c r="CC94" i="3"/>
  <c r="CB94" i="3"/>
  <c r="BZ94" i="3"/>
  <c r="CA94" i="3" s="1"/>
  <c r="BY94" i="3"/>
  <c r="BX94" i="3"/>
  <c r="BW94" i="3"/>
  <c r="CM94" i="3" s="1"/>
  <c r="BU94" i="3"/>
  <c r="BT94" i="3"/>
  <c r="BV94" i="3" s="1"/>
  <c r="BS94" i="3"/>
  <c r="BR94" i="3"/>
  <c r="CL94" i="3" s="1"/>
  <c r="BP94" i="3"/>
  <c r="BQ94" i="3" s="1"/>
  <c r="BO94" i="3"/>
  <c r="BN94" i="3"/>
  <c r="BM94" i="3"/>
  <c r="CK94" i="3" s="1"/>
  <c r="BK94" i="3"/>
  <c r="BJ94" i="3"/>
  <c r="BL94" i="3" s="1"/>
  <c r="BI94" i="3"/>
  <c r="BH94" i="3"/>
  <c r="CJ94" i="3" s="1"/>
  <c r="BG94" i="3"/>
  <c r="BF94" i="3"/>
  <c r="BE94" i="3"/>
  <c r="BD94" i="3"/>
  <c r="BC94" i="3"/>
  <c r="CI94" i="3" s="1"/>
  <c r="BA94" i="3"/>
  <c r="AZ94" i="3"/>
  <c r="BB94" i="3" s="1"/>
  <c r="AY94" i="3"/>
  <c r="AX94" i="3"/>
  <c r="AV94" i="3"/>
  <c r="AW94" i="3" s="1"/>
  <c r="AU94" i="3"/>
  <c r="AT94" i="3"/>
  <c r="AS94" i="3"/>
  <c r="CG94" i="3" s="1"/>
  <c r="CO94" i="3" s="1"/>
  <c r="CP94" i="3" s="1"/>
  <c r="CJ93" i="3"/>
  <c r="CH93" i="3"/>
  <c r="CE93" i="3"/>
  <c r="CD93" i="3"/>
  <c r="CF93" i="3" s="1"/>
  <c r="CC93" i="3"/>
  <c r="CB93" i="3"/>
  <c r="CN93" i="3" s="1"/>
  <c r="BZ93" i="3"/>
  <c r="CA93" i="3" s="1"/>
  <c r="BY93" i="3"/>
  <c r="BX93" i="3"/>
  <c r="BW93" i="3"/>
  <c r="CM93" i="3" s="1"/>
  <c r="BU93" i="3"/>
  <c r="BT93" i="3"/>
  <c r="BV93" i="3" s="1"/>
  <c r="BS93" i="3"/>
  <c r="BR93" i="3"/>
  <c r="CL93" i="3" s="1"/>
  <c r="BQ93" i="3"/>
  <c r="BP93" i="3"/>
  <c r="BO93" i="3"/>
  <c r="BN93" i="3"/>
  <c r="BM93" i="3"/>
  <c r="CK93" i="3" s="1"/>
  <c r="BK93" i="3"/>
  <c r="BJ93" i="3"/>
  <c r="BL93" i="3" s="1"/>
  <c r="BI93" i="3"/>
  <c r="BH93" i="3"/>
  <c r="BF93" i="3"/>
  <c r="BG93" i="3" s="1"/>
  <c r="BE93" i="3"/>
  <c r="BD93" i="3"/>
  <c r="BC93" i="3"/>
  <c r="CI93" i="3" s="1"/>
  <c r="BA93" i="3"/>
  <c r="BB93" i="3" s="1"/>
  <c r="AZ93" i="3"/>
  <c r="AY93" i="3"/>
  <c r="AX93" i="3"/>
  <c r="AV93" i="3"/>
  <c r="AW93" i="3" s="1"/>
  <c r="AU93" i="3"/>
  <c r="AT93" i="3"/>
  <c r="AS93" i="3"/>
  <c r="CG93" i="3" s="1"/>
  <c r="CO93" i="3" s="1"/>
  <c r="CL92" i="3"/>
  <c r="CJ92" i="3"/>
  <c r="CE92" i="3"/>
  <c r="CD92" i="3"/>
  <c r="CF92" i="3" s="1"/>
  <c r="CC92" i="3"/>
  <c r="CB92" i="3"/>
  <c r="CN92" i="3" s="1"/>
  <c r="CA92" i="3"/>
  <c r="BZ92" i="3"/>
  <c r="BY92" i="3"/>
  <c r="BX92" i="3"/>
  <c r="BW92" i="3"/>
  <c r="CM92" i="3" s="1"/>
  <c r="BU92" i="3"/>
  <c r="BT92" i="3"/>
  <c r="BV92" i="3" s="1"/>
  <c r="BS92" i="3"/>
  <c r="BR92" i="3"/>
  <c r="BP92" i="3"/>
  <c r="BQ92" i="3" s="1"/>
  <c r="BO92" i="3"/>
  <c r="BN92" i="3"/>
  <c r="BM92" i="3"/>
  <c r="CK92" i="3" s="1"/>
  <c r="BL92" i="3"/>
  <c r="BK92" i="3"/>
  <c r="BJ92" i="3"/>
  <c r="BI92" i="3"/>
  <c r="BH92" i="3"/>
  <c r="BF92" i="3"/>
  <c r="BG92" i="3" s="1"/>
  <c r="BE92" i="3"/>
  <c r="BD92" i="3"/>
  <c r="BC92" i="3"/>
  <c r="CI92" i="3" s="1"/>
  <c r="BA92" i="3"/>
  <c r="AZ92" i="3"/>
  <c r="BB92" i="3" s="1"/>
  <c r="AY92" i="3"/>
  <c r="AX92" i="3"/>
  <c r="CH92" i="3" s="1"/>
  <c r="AV92" i="3"/>
  <c r="AU92" i="3"/>
  <c r="AT92" i="3"/>
  <c r="AS92" i="3"/>
  <c r="CG92" i="3" s="1"/>
  <c r="CN91" i="3"/>
  <c r="CL91" i="3"/>
  <c r="CE91" i="3"/>
  <c r="CD91" i="3"/>
  <c r="CF91" i="3" s="1"/>
  <c r="CC91" i="3"/>
  <c r="CB91" i="3"/>
  <c r="BZ91" i="3"/>
  <c r="CA91" i="3" s="1"/>
  <c r="BY91" i="3"/>
  <c r="BX91" i="3"/>
  <c r="BW91" i="3"/>
  <c r="CM91" i="3" s="1"/>
  <c r="BV91" i="3"/>
  <c r="BU91" i="3"/>
  <c r="BT91" i="3"/>
  <c r="BS91" i="3"/>
  <c r="BR91" i="3"/>
  <c r="BP91" i="3"/>
  <c r="BQ91" i="3" s="1"/>
  <c r="BO91" i="3"/>
  <c r="BN91" i="3"/>
  <c r="BM91" i="3"/>
  <c r="CK91" i="3" s="1"/>
  <c r="BK91" i="3"/>
  <c r="BJ91" i="3"/>
  <c r="BL91" i="3" s="1"/>
  <c r="BI91" i="3"/>
  <c r="BH91" i="3"/>
  <c r="CJ91" i="3" s="1"/>
  <c r="BF91" i="3"/>
  <c r="BG91" i="3" s="1"/>
  <c r="BE91" i="3"/>
  <c r="BD91" i="3"/>
  <c r="BC91" i="3"/>
  <c r="CI91" i="3" s="1"/>
  <c r="BA91" i="3"/>
  <c r="AZ91" i="3"/>
  <c r="BB91" i="3" s="1"/>
  <c r="AY91" i="3"/>
  <c r="AX91" i="3"/>
  <c r="CH91" i="3" s="1"/>
  <c r="AW91" i="3"/>
  <c r="AV91" i="3"/>
  <c r="AU91" i="3"/>
  <c r="AT91" i="3"/>
  <c r="AS91" i="3"/>
  <c r="CG91" i="3" s="1"/>
  <c r="CN90" i="3"/>
  <c r="CH90" i="3"/>
  <c r="CF90" i="3"/>
  <c r="CE90" i="3"/>
  <c r="CD90" i="3"/>
  <c r="CC90" i="3"/>
  <c r="CB90" i="3"/>
  <c r="BZ90" i="3"/>
  <c r="CA90" i="3" s="1"/>
  <c r="BY90" i="3"/>
  <c r="BX90" i="3"/>
  <c r="BW90" i="3"/>
  <c r="CM90" i="3" s="1"/>
  <c r="BU90" i="3"/>
  <c r="BT90" i="3"/>
  <c r="BV90" i="3" s="1"/>
  <c r="BS90" i="3"/>
  <c r="BR90" i="3"/>
  <c r="CL90" i="3" s="1"/>
  <c r="BP90" i="3"/>
  <c r="BQ90" i="3" s="1"/>
  <c r="BO90" i="3"/>
  <c r="BN90" i="3"/>
  <c r="BM90" i="3"/>
  <c r="CK90" i="3" s="1"/>
  <c r="BK90" i="3"/>
  <c r="BJ90" i="3"/>
  <c r="BL90" i="3" s="1"/>
  <c r="BI90" i="3"/>
  <c r="BH90" i="3"/>
  <c r="CJ90" i="3" s="1"/>
  <c r="BG90" i="3"/>
  <c r="BF90" i="3"/>
  <c r="BE90" i="3"/>
  <c r="BD90" i="3"/>
  <c r="BC90" i="3"/>
  <c r="CI90" i="3" s="1"/>
  <c r="BA90" i="3"/>
  <c r="AZ90" i="3"/>
  <c r="BB90" i="3" s="1"/>
  <c r="AY90" i="3"/>
  <c r="AX90" i="3"/>
  <c r="AV90" i="3"/>
  <c r="AW90" i="3" s="1"/>
  <c r="AU90" i="3"/>
  <c r="AT90" i="3"/>
  <c r="AS90" i="3"/>
  <c r="CG90" i="3" s="1"/>
  <c r="CO89" i="3"/>
  <c r="CP89" i="3" s="1"/>
  <c r="CJ89" i="3"/>
  <c r="CH89" i="3"/>
  <c r="CE89" i="3"/>
  <c r="CD89" i="3"/>
  <c r="CF89" i="3" s="1"/>
  <c r="CC89" i="3"/>
  <c r="CB89" i="3"/>
  <c r="CN89" i="3" s="1"/>
  <c r="BZ89" i="3"/>
  <c r="CA89" i="3" s="1"/>
  <c r="BY89" i="3"/>
  <c r="BX89" i="3"/>
  <c r="BW89" i="3"/>
  <c r="CM89" i="3" s="1"/>
  <c r="BU89" i="3"/>
  <c r="BT89" i="3"/>
  <c r="BV89" i="3" s="1"/>
  <c r="BS89" i="3"/>
  <c r="BR89" i="3"/>
  <c r="CL89" i="3" s="1"/>
  <c r="BQ89" i="3"/>
  <c r="BP89" i="3"/>
  <c r="BO89" i="3"/>
  <c r="BN89" i="3"/>
  <c r="BM89" i="3"/>
  <c r="CK89" i="3" s="1"/>
  <c r="BK89" i="3"/>
  <c r="BJ89" i="3"/>
  <c r="BL89" i="3" s="1"/>
  <c r="BI89" i="3"/>
  <c r="BH89" i="3"/>
  <c r="BF89" i="3"/>
  <c r="BG89" i="3" s="1"/>
  <c r="BE89" i="3"/>
  <c r="BD89" i="3"/>
  <c r="BC89" i="3"/>
  <c r="CI89" i="3" s="1"/>
  <c r="BB89" i="3"/>
  <c r="BA89" i="3"/>
  <c r="AZ89" i="3"/>
  <c r="AY89" i="3"/>
  <c r="AX89" i="3"/>
  <c r="AV89" i="3"/>
  <c r="AW89" i="3" s="1"/>
  <c r="AU89" i="3"/>
  <c r="AT89" i="3"/>
  <c r="AS89" i="3"/>
  <c r="CG89" i="3" s="1"/>
  <c r="CL88" i="3"/>
  <c r="CJ88" i="3"/>
  <c r="CI88" i="3"/>
  <c r="CE88" i="3"/>
  <c r="CD88" i="3"/>
  <c r="CF88" i="3" s="1"/>
  <c r="CC88" i="3"/>
  <c r="CB88" i="3"/>
  <c r="CN88" i="3" s="1"/>
  <c r="CA88" i="3"/>
  <c r="BZ88" i="3"/>
  <c r="BY88" i="3"/>
  <c r="BX88" i="3"/>
  <c r="BW88" i="3"/>
  <c r="CM88" i="3" s="1"/>
  <c r="BU88" i="3"/>
  <c r="BT88" i="3"/>
  <c r="BV88" i="3" s="1"/>
  <c r="BS88" i="3"/>
  <c r="BR88" i="3"/>
  <c r="BP88" i="3"/>
  <c r="BQ88" i="3" s="1"/>
  <c r="BO88" i="3"/>
  <c r="BN88" i="3"/>
  <c r="BM88" i="3"/>
  <c r="CK88" i="3" s="1"/>
  <c r="BL88" i="3"/>
  <c r="BK88" i="3"/>
  <c r="BJ88" i="3"/>
  <c r="BI88" i="3"/>
  <c r="BH88" i="3"/>
  <c r="BF88" i="3"/>
  <c r="BG88" i="3" s="1"/>
  <c r="BE88" i="3"/>
  <c r="BD88" i="3"/>
  <c r="BC88" i="3"/>
  <c r="BA88" i="3"/>
  <c r="AZ88" i="3"/>
  <c r="BB88" i="3" s="1"/>
  <c r="AY88" i="3"/>
  <c r="AX88" i="3"/>
  <c r="CH88" i="3" s="1"/>
  <c r="AV88" i="3"/>
  <c r="AU88" i="3"/>
  <c r="AT88" i="3"/>
  <c r="AS88" i="3"/>
  <c r="CG88" i="3" s="1"/>
  <c r="CN87" i="3"/>
  <c r="CL87" i="3"/>
  <c r="CK87" i="3"/>
  <c r="CE87" i="3"/>
  <c r="CD87" i="3"/>
  <c r="CF87" i="3" s="1"/>
  <c r="CC87" i="3"/>
  <c r="CB87" i="3"/>
  <c r="BZ87" i="3"/>
  <c r="CA87" i="3" s="1"/>
  <c r="BY87" i="3"/>
  <c r="BX87" i="3"/>
  <c r="BW87" i="3"/>
  <c r="CM87" i="3" s="1"/>
  <c r="BU87" i="3"/>
  <c r="BV87" i="3" s="1"/>
  <c r="BT87" i="3"/>
  <c r="BS87" i="3"/>
  <c r="BR87" i="3"/>
  <c r="BP87" i="3"/>
  <c r="BQ87" i="3" s="1"/>
  <c r="BO87" i="3"/>
  <c r="BN87" i="3"/>
  <c r="BM87" i="3"/>
  <c r="BK87" i="3"/>
  <c r="BJ87" i="3"/>
  <c r="BL87" i="3" s="1"/>
  <c r="BI87" i="3"/>
  <c r="BH87" i="3"/>
  <c r="CJ87" i="3" s="1"/>
  <c r="BF87" i="3"/>
  <c r="BE87" i="3"/>
  <c r="BD87" i="3"/>
  <c r="BC87" i="3"/>
  <c r="CI87" i="3" s="1"/>
  <c r="BA87" i="3"/>
  <c r="AZ87" i="3"/>
  <c r="BB87" i="3" s="1"/>
  <c r="AY87" i="3"/>
  <c r="AX87" i="3"/>
  <c r="CH87" i="3" s="1"/>
  <c r="AW87" i="3"/>
  <c r="AV87" i="3"/>
  <c r="AU87" i="3"/>
  <c r="AT87" i="3"/>
  <c r="AS87" i="3"/>
  <c r="CG87" i="3" s="1"/>
  <c r="CN86" i="3"/>
  <c r="CH86" i="3"/>
  <c r="CE86" i="3"/>
  <c r="CF86" i="3" s="1"/>
  <c r="CD86" i="3"/>
  <c r="CC86" i="3"/>
  <c r="CB86" i="3"/>
  <c r="BZ86" i="3"/>
  <c r="CA86" i="3" s="1"/>
  <c r="BY86" i="3"/>
  <c r="BX86" i="3"/>
  <c r="BW86" i="3"/>
  <c r="CM86" i="3" s="1"/>
  <c r="BU86" i="3"/>
  <c r="BT86" i="3"/>
  <c r="BV86" i="3" s="1"/>
  <c r="BS86" i="3"/>
  <c r="BR86" i="3"/>
  <c r="CL86" i="3" s="1"/>
  <c r="BP86" i="3"/>
  <c r="BQ86" i="3" s="1"/>
  <c r="BO86" i="3"/>
  <c r="BN86" i="3"/>
  <c r="BM86" i="3"/>
  <c r="CK86" i="3" s="1"/>
  <c r="BK86" i="3"/>
  <c r="BJ86" i="3"/>
  <c r="BL86" i="3" s="1"/>
  <c r="BI86" i="3"/>
  <c r="BH86" i="3"/>
  <c r="CJ86" i="3" s="1"/>
  <c r="BG86" i="3"/>
  <c r="BF86" i="3"/>
  <c r="BE86" i="3"/>
  <c r="BD86" i="3"/>
  <c r="BC86" i="3"/>
  <c r="CI86" i="3" s="1"/>
  <c r="BA86" i="3"/>
  <c r="AZ86" i="3"/>
  <c r="BB86" i="3" s="1"/>
  <c r="AY86" i="3"/>
  <c r="AX86" i="3"/>
  <c r="AV86" i="3"/>
  <c r="AW86" i="3" s="1"/>
  <c r="AU86" i="3"/>
  <c r="AT86" i="3"/>
  <c r="AS86" i="3"/>
  <c r="CG86" i="3" s="1"/>
  <c r="CJ85" i="3"/>
  <c r="CH85" i="3"/>
  <c r="CE85" i="3"/>
  <c r="CD85" i="3"/>
  <c r="CF85" i="3" s="1"/>
  <c r="CC85" i="3"/>
  <c r="CB85" i="3"/>
  <c r="CN85" i="3" s="1"/>
  <c r="BZ85" i="3"/>
  <c r="BY85" i="3"/>
  <c r="BX85" i="3"/>
  <c r="BW85" i="3"/>
  <c r="CM85" i="3" s="1"/>
  <c r="BU85" i="3"/>
  <c r="BT85" i="3"/>
  <c r="BV85" i="3" s="1"/>
  <c r="BS85" i="3"/>
  <c r="BR85" i="3"/>
  <c r="CL85" i="3" s="1"/>
  <c r="BQ85" i="3"/>
  <c r="BP85" i="3"/>
  <c r="BO85" i="3"/>
  <c r="BN85" i="3"/>
  <c r="BM85" i="3"/>
  <c r="CK85" i="3" s="1"/>
  <c r="BK85" i="3"/>
  <c r="BJ85" i="3"/>
  <c r="BL85" i="3" s="1"/>
  <c r="BI85" i="3"/>
  <c r="BH85" i="3"/>
  <c r="BF85" i="3"/>
  <c r="BG85" i="3" s="1"/>
  <c r="BE85" i="3"/>
  <c r="BD85" i="3"/>
  <c r="BC85" i="3"/>
  <c r="CI85" i="3" s="1"/>
  <c r="BA85" i="3"/>
  <c r="BB85" i="3" s="1"/>
  <c r="AZ85" i="3"/>
  <c r="AY85" i="3"/>
  <c r="AX85" i="3"/>
  <c r="AV85" i="3"/>
  <c r="AW85" i="3" s="1"/>
  <c r="AU85" i="3"/>
  <c r="AT85" i="3"/>
  <c r="AS85" i="3"/>
  <c r="CG85" i="3" s="1"/>
  <c r="CO85" i="3" s="1"/>
  <c r="CL84" i="3"/>
  <c r="CJ84" i="3"/>
  <c r="CE84" i="3"/>
  <c r="CD84" i="3"/>
  <c r="CF84" i="3" s="1"/>
  <c r="CC84" i="3"/>
  <c r="CB84" i="3"/>
  <c r="CN84" i="3" s="1"/>
  <c r="CA84" i="3"/>
  <c r="BZ84" i="3"/>
  <c r="BY84" i="3"/>
  <c r="BX84" i="3"/>
  <c r="BW84" i="3"/>
  <c r="CM84" i="3" s="1"/>
  <c r="BU84" i="3"/>
  <c r="BT84" i="3"/>
  <c r="BV84" i="3" s="1"/>
  <c r="BS84" i="3"/>
  <c r="BR84" i="3"/>
  <c r="BP84" i="3"/>
  <c r="BQ84" i="3" s="1"/>
  <c r="BO84" i="3"/>
  <c r="BN84" i="3"/>
  <c r="BM84" i="3"/>
  <c r="CK84" i="3" s="1"/>
  <c r="BL84" i="3"/>
  <c r="BK84" i="3"/>
  <c r="BJ84" i="3"/>
  <c r="BI84" i="3"/>
  <c r="BH84" i="3"/>
  <c r="BF84" i="3"/>
  <c r="BG84" i="3" s="1"/>
  <c r="BE84" i="3"/>
  <c r="BD84" i="3"/>
  <c r="BC84" i="3"/>
  <c r="CI84" i="3" s="1"/>
  <c r="BA84" i="3"/>
  <c r="AZ84" i="3"/>
  <c r="BB84" i="3" s="1"/>
  <c r="AY84" i="3"/>
  <c r="AX84" i="3"/>
  <c r="CH84" i="3" s="1"/>
  <c r="AV84" i="3"/>
  <c r="AW84" i="3" s="1"/>
  <c r="AU84" i="3"/>
  <c r="AT84" i="3"/>
  <c r="AS84" i="3"/>
  <c r="CG84" i="3" s="1"/>
  <c r="CO84" i="3" s="1"/>
  <c r="CP84" i="3" s="1"/>
  <c r="CN83" i="3"/>
  <c r="CL83" i="3"/>
  <c r="CE83" i="3"/>
  <c r="CD83" i="3"/>
  <c r="CF83" i="3" s="1"/>
  <c r="CC83" i="3"/>
  <c r="CB83" i="3"/>
  <c r="BZ83" i="3"/>
  <c r="CA83" i="3" s="1"/>
  <c r="BY83" i="3"/>
  <c r="BX83" i="3"/>
  <c r="BW83" i="3"/>
  <c r="CM83" i="3" s="1"/>
  <c r="BV83" i="3"/>
  <c r="BU83" i="3"/>
  <c r="BT83" i="3"/>
  <c r="BS83" i="3"/>
  <c r="BR83" i="3"/>
  <c r="BP83" i="3"/>
  <c r="BQ83" i="3" s="1"/>
  <c r="BO83" i="3"/>
  <c r="BN83" i="3"/>
  <c r="BM83" i="3"/>
  <c r="CK83" i="3" s="1"/>
  <c r="BK83" i="3"/>
  <c r="BJ83" i="3"/>
  <c r="BL83" i="3" s="1"/>
  <c r="BI83" i="3"/>
  <c r="BH83" i="3"/>
  <c r="CJ83" i="3" s="1"/>
  <c r="BF83" i="3"/>
  <c r="BE83" i="3"/>
  <c r="BD83" i="3"/>
  <c r="BC83" i="3"/>
  <c r="CI83" i="3" s="1"/>
  <c r="BA83" i="3"/>
  <c r="AZ83" i="3"/>
  <c r="BB83" i="3" s="1"/>
  <c r="AY83" i="3"/>
  <c r="AX83" i="3"/>
  <c r="CH83" i="3" s="1"/>
  <c r="AW83" i="3"/>
  <c r="AV83" i="3"/>
  <c r="AU83" i="3"/>
  <c r="AT83" i="3"/>
  <c r="AS83" i="3"/>
  <c r="CG83" i="3" s="1"/>
  <c r="CN82" i="3"/>
  <c r="CM82" i="3"/>
  <c r="CH82" i="3"/>
  <c r="CE82" i="3"/>
  <c r="CF82" i="3" s="1"/>
  <c r="CD82" i="3"/>
  <c r="CC82" i="3"/>
  <c r="CB82" i="3"/>
  <c r="BZ82" i="3"/>
  <c r="CA82" i="3" s="1"/>
  <c r="BY82" i="3"/>
  <c r="BX82" i="3"/>
  <c r="BW82" i="3"/>
  <c r="BU82" i="3"/>
  <c r="BT82" i="3"/>
  <c r="BV82" i="3" s="1"/>
  <c r="BS82" i="3"/>
  <c r="BR82" i="3"/>
  <c r="CL82" i="3" s="1"/>
  <c r="BP82" i="3"/>
  <c r="BO82" i="3"/>
  <c r="BN82" i="3"/>
  <c r="BM82" i="3"/>
  <c r="CK82" i="3" s="1"/>
  <c r="BK82" i="3"/>
  <c r="BJ82" i="3"/>
  <c r="BL82" i="3" s="1"/>
  <c r="BI82" i="3"/>
  <c r="BH82" i="3"/>
  <c r="CJ82" i="3" s="1"/>
  <c r="BG82" i="3"/>
  <c r="BF82" i="3"/>
  <c r="BE82" i="3"/>
  <c r="BD82" i="3"/>
  <c r="BC82" i="3"/>
  <c r="CI82" i="3" s="1"/>
  <c r="BA82" i="3"/>
  <c r="AZ82" i="3"/>
  <c r="BB82" i="3" s="1"/>
  <c r="AY82" i="3"/>
  <c r="AX82" i="3"/>
  <c r="AV82" i="3"/>
  <c r="AW82" i="3" s="1"/>
  <c r="AU82" i="3"/>
  <c r="AT82" i="3"/>
  <c r="AS82" i="3"/>
  <c r="CG82" i="3" s="1"/>
  <c r="CO82" i="3" s="1"/>
  <c r="CJ81" i="3"/>
  <c r="CH81" i="3"/>
  <c r="CG81" i="3"/>
  <c r="CE81" i="3"/>
  <c r="CD81" i="3"/>
  <c r="CF81" i="3" s="1"/>
  <c r="CC81" i="3"/>
  <c r="CB81" i="3"/>
  <c r="CN81" i="3" s="1"/>
  <c r="BZ81" i="3"/>
  <c r="CA81" i="3" s="1"/>
  <c r="BY81" i="3"/>
  <c r="BX81" i="3"/>
  <c r="BW81" i="3"/>
  <c r="CM81" i="3" s="1"/>
  <c r="BU81" i="3"/>
  <c r="BT81" i="3"/>
  <c r="BV81" i="3" s="1"/>
  <c r="BS81" i="3"/>
  <c r="BR81" i="3"/>
  <c r="CL81" i="3" s="1"/>
  <c r="BQ81" i="3"/>
  <c r="BP81" i="3"/>
  <c r="BO81" i="3"/>
  <c r="BN81" i="3"/>
  <c r="BM81" i="3"/>
  <c r="CK81" i="3" s="1"/>
  <c r="BK81" i="3"/>
  <c r="BJ81" i="3"/>
  <c r="BL81" i="3" s="1"/>
  <c r="BI81" i="3"/>
  <c r="BH81" i="3"/>
  <c r="BF81" i="3"/>
  <c r="BG81" i="3" s="1"/>
  <c r="BE81" i="3"/>
  <c r="BD81" i="3"/>
  <c r="BC81" i="3"/>
  <c r="CI81" i="3" s="1"/>
  <c r="CO81" i="3" s="1"/>
  <c r="BA81" i="3"/>
  <c r="BB81" i="3" s="1"/>
  <c r="AZ81" i="3"/>
  <c r="AY81" i="3"/>
  <c r="AX81" i="3"/>
  <c r="AV81" i="3"/>
  <c r="AW81" i="3" s="1"/>
  <c r="AU81" i="3"/>
  <c r="AT81" i="3"/>
  <c r="AS81" i="3"/>
  <c r="CL80" i="3"/>
  <c r="CJ80" i="3"/>
  <c r="CI80" i="3"/>
  <c r="CE80" i="3"/>
  <c r="CD80" i="3"/>
  <c r="CF80" i="3" s="1"/>
  <c r="CC80" i="3"/>
  <c r="CB80" i="3"/>
  <c r="CN80" i="3" s="1"/>
  <c r="CA80" i="3"/>
  <c r="BZ80" i="3"/>
  <c r="BY80" i="3"/>
  <c r="BX80" i="3"/>
  <c r="BW80" i="3"/>
  <c r="CM80" i="3" s="1"/>
  <c r="BU80" i="3"/>
  <c r="BT80" i="3"/>
  <c r="BV80" i="3" s="1"/>
  <c r="BS80" i="3"/>
  <c r="BR80" i="3"/>
  <c r="BP80" i="3"/>
  <c r="BQ80" i="3" s="1"/>
  <c r="BO80" i="3"/>
  <c r="BN80" i="3"/>
  <c r="BM80" i="3"/>
  <c r="CK80" i="3" s="1"/>
  <c r="BK80" i="3"/>
  <c r="BL80" i="3" s="1"/>
  <c r="BJ80" i="3"/>
  <c r="BI80" i="3"/>
  <c r="BH80" i="3"/>
  <c r="BF80" i="3"/>
  <c r="BG80" i="3" s="1"/>
  <c r="BE80" i="3"/>
  <c r="BD80" i="3"/>
  <c r="BC80" i="3"/>
  <c r="BA80" i="3"/>
  <c r="AZ80" i="3"/>
  <c r="BB80" i="3" s="1"/>
  <c r="AY80" i="3"/>
  <c r="AX80" i="3"/>
  <c r="CH80" i="3" s="1"/>
  <c r="AV80" i="3"/>
  <c r="AU80" i="3"/>
  <c r="AT80" i="3"/>
  <c r="AS80" i="3"/>
  <c r="CG80" i="3" s="1"/>
  <c r="CN79" i="3"/>
  <c r="CL79" i="3"/>
  <c r="CE79" i="3"/>
  <c r="CD79" i="3"/>
  <c r="CF79" i="3" s="1"/>
  <c r="CC79" i="3"/>
  <c r="CB79" i="3"/>
  <c r="BZ79" i="3"/>
  <c r="CA79" i="3" s="1"/>
  <c r="BY79" i="3"/>
  <c r="BX79" i="3"/>
  <c r="BW79" i="3"/>
  <c r="CM79" i="3" s="1"/>
  <c r="BU79" i="3"/>
  <c r="BV79" i="3" s="1"/>
  <c r="BT79" i="3"/>
  <c r="BS79" i="3"/>
  <c r="BR79" i="3"/>
  <c r="BP79" i="3"/>
  <c r="BQ79" i="3" s="1"/>
  <c r="BO79" i="3"/>
  <c r="BN79" i="3"/>
  <c r="BM79" i="3"/>
  <c r="CK79" i="3" s="1"/>
  <c r="BK79" i="3"/>
  <c r="BJ79" i="3"/>
  <c r="BL79" i="3" s="1"/>
  <c r="BI79" i="3"/>
  <c r="BH79" i="3"/>
  <c r="CJ79" i="3" s="1"/>
  <c r="BF79" i="3"/>
  <c r="BG79" i="3" s="1"/>
  <c r="BE79" i="3"/>
  <c r="BD79" i="3"/>
  <c r="BC79" i="3"/>
  <c r="CI79" i="3" s="1"/>
  <c r="BA79" i="3"/>
  <c r="AZ79" i="3"/>
  <c r="BB79" i="3" s="1"/>
  <c r="AY79" i="3"/>
  <c r="AX79" i="3"/>
  <c r="CH79" i="3" s="1"/>
  <c r="AW79" i="3"/>
  <c r="AV79" i="3"/>
  <c r="AU79" i="3"/>
  <c r="AT79" i="3"/>
  <c r="AS79" i="3"/>
  <c r="CG79" i="3" s="1"/>
  <c r="CN78" i="3"/>
  <c r="CM78" i="3"/>
  <c r="CH78" i="3"/>
  <c r="CE78" i="3"/>
  <c r="CF78" i="3" s="1"/>
  <c r="CD78" i="3"/>
  <c r="CC78" i="3"/>
  <c r="CB78" i="3"/>
  <c r="BZ78" i="3"/>
  <c r="CA78" i="3" s="1"/>
  <c r="BY78" i="3"/>
  <c r="BX78" i="3"/>
  <c r="BW78" i="3"/>
  <c r="BU78" i="3"/>
  <c r="BT78" i="3"/>
  <c r="BV78" i="3" s="1"/>
  <c r="BS78" i="3"/>
  <c r="BR78" i="3"/>
  <c r="CL78" i="3" s="1"/>
  <c r="BP78" i="3"/>
  <c r="BO78" i="3"/>
  <c r="BN78" i="3"/>
  <c r="BM78" i="3"/>
  <c r="CK78" i="3" s="1"/>
  <c r="BK78" i="3"/>
  <c r="BJ78" i="3"/>
  <c r="BL78" i="3" s="1"/>
  <c r="BI78" i="3"/>
  <c r="BH78" i="3"/>
  <c r="CJ78" i="3" s="1"/>
  <c r="BG78" i="3"/>
  <c r="BF78" i="3"/>
  <c r="BE78" i="3"/>
  <c r="BD78" i="3"/>
  <c r="BC78" i="3"/>
  <c r="CI78" i="3" s="1"/>
  <c r="BA78" i="3"/>
  <c r="AZ78" i="3"/>
  <c r="BB78" i="3" s="1"/>
  <c r="AY78" i="3"/>
  <c r="AX78" i="3"/>
  <c r="AV78" i="3"/>
  <c r="AW78" i="3" s="1"/>
  <c r="AU78" i="3"/>
  <c r="AT78" i="3"/>
  <c r="AS78" i="3"/>
  <c r="CG78" i="3" s="1"/>
  <c r="CJ77" i="3"/>
  <c r="CG77" i="3"/>
  <c r="CE77" i="3"/>
  <c r="CD77" i="3"/>
  <c r="CF77" i="3" s="1"/>
  <c r="CC77" i="3"/>
  <c r="CB77" i="3"/>
  <c r="CN77" i="3" s="1"/>
  <c r="BZ77" i="3"/>
  <c r="CA77" i="3" s="1"/>
  <c r="BY77" i="3"/>
  <c r="BX77" i="3"/>
  <c r="BW77" i="3"/>
  <c r="CM77" i="3" s="1"/>
  <c r="BU77" i="3"/>
  <c r="BT77" i="3"/>
  <c r="BV77" i="3" s="1"/>
  <c r="BS77" i="3"/>
  <c r="BR77" i="3"/>
  <c r="CL77" i="3" s="1"/>
  <c r="BQ77" i="3"/>
  <c r="BP77" i="3"/>
  <c r="BO77" i="3"/>
  <c r="BN77" i="3"/>
  <c r="BM77" i="3"/>
  <c r="CK77" i="3" s="1"/>
  <c r="BK77" i="3"/>
  <c r="BJ77" i="3"/>
  <c r="BL77" i="3" s="1"/>
  <c r="BI77" i="3"/>
  <c r="BH77" i="3"/>
  <c r="BF77" i="3"/>
  <c r="BG77" i="3" s="1"/>
  <c r="BE77" i="3"/>
  <c r="BD77" i="3"/>
  <c r="BC77" i="3"/>
  <c r="CI77" i="3" s="1"/>
  <c r="BB77" i="3"/>
  <c r="BA77" i="3"/>
  <c r="AZ77" i="3"/>
  <c r="AY77" i="3"/>
  <c r="AX77" i="3"/>
  <c r="CH77" i="3" s="1"/>
  <c r="AV77" i="3"/>
  <c r="AW77" i="3" s="1"/>
  <c r="AU77" i="3"/>
  <c r="AT77" i="3"/>
  <c r="AS77" i="3"/>
  <c r="CL76" i="3"/>
  <c r="CI76" i="3"/>
  <c r="CE76" i="3"/>
  <c r="CD76" i="3"/>
  <c r="CF76" i="3" s="1"/>
  <c r="CC76" i="3"/>
  <c r="CB76" i="3"/>
  <c r="CN76" i="3" s="1"/>
  <c r="CA76" i="3"/>
  <c r="BZ76" i="3"/>
  <c r="BY76" i="3"/>
  <c r="BX76" i="3"/>
  <c r="BW76" i="3"/>
  <c r="CM76" i="3" s="1"/>
  <c r="BU76" i="3"/>
  <c r="BT76" i="3"/>
  <c r="BV76" i="3" s="1"/>
  <c r="BS76" i="3"/>
  <c r="BR76" i="3"/>
  <c r="BP76" i="3"/>
  <c r="BQ76" i="3" s="1"/>
  <c r="BO76" i="3"/>
  <c r="BN76" i="3"/>
  <c r="BM76" i="3"/>
  <c r="CK76" i="3" s="1"/>
  <c r="BL76" i="3"/>
  <c r="BK76" i="3"/>
  <c r="BJ76" i="3"/>
  <c r="BI76" i="3"/>
  <c r="BH76" i="3"/>
  <c r="CJ76" i="3" s="1"/>
  <c r="BF76" i="3"/>
  <c r="BG76" i="3" s="1"/>
  <c r="BE76" i="3"/>
  <c r="BD76" i="3"/>
  <c r="BC76" i="3"/>
  <c r="BA76" i="3"/>
  <c r="AZ76" i="3"/>
  <c r="BB76" i="3" s="1"/>
  <c r="AY76" i="3"/>
  <c r="AX76" i="3"/>
  <c r="CH76" i="3" s="1"/>
  <c r="AV76" i="3"/>
  <c r="AU76" i="3"/>
  <c r="AT76" i="3"/>
  <c r="AS76" i="3"/>
  <c r="CG76" i="3" s="1"/>
  <c r="CN75" i="3"/>
  <c r="CK75" i="3"/>
  <c r="CE75" i="3"/>
  <c r="CD75" i="3"/>
  <c r="CF75" i="3" s="1"/>
  <c r="CC75" i="3"/>
  <c r="CB75" i="3"/>
  <c r="BZ75" i="3"/>
  <c r="CA75" i="3" s="1"/>
  <c r="BY75" i="3"/>
  <c r="BX75" i="3"/>
  <c r="BW75" i="3"/>
  <c r="CM75" i="3" s="1"/>
  <c r="BU75" i="3"/>
  <c r="BV75" i="3" s="1"/>
  <c r="BT75" i="3"/>
  <c r="BS75" i="3"/>
  <c r="BR75" i="3"/>
  <c r="CL75" i="3" s="1"/>
  <c r="BP75" i="3"/>
  <c r="BQ75" i="3" s="1"/>
  <c r="BO75" i="3"/>
  <c r="BN75" i="3"/>
  <c r="BM75" i="3"/>
  <c r="BK75" i="3"/>
  <c r="BJ75" i="3"/>
  <c r="BL75" i="3" s="1"/>
  <c r="BI75" i="3"/>
  <c r="BH75" i="3"/>
  <c r="CJ75" i="3" s="1"/>
  <c r="BF75" i="3"/>
  <c r="BG75" i="3" s="1"/>
  <c r="BE75" i="3"/>
  <c r="BD75" i="3"/>
  <c r="BC75" i="3"/>
  <c r="CI75" i="3" s="1"/>
  <c r="BB75" i="3"/>
  <c r="BA75" i="3"/>
  <c r="AZ75" i="3"/>
  <c r="AY75" i="3"/>
  <c r="AX75" i="3"/>
  <c r="CH75" i="3" s="1"/>
  <c r="AW75" i="3"/>
  <c r="AV75" i="3"/>
  <c r="AU75" i="3"/>
  <c r="AT75" i="3"/>
  <c r="AS75" i="3"/>
  <c r="CG75" i="3" s="1"/>
  <c r="CM74" i="3"/>
  <c r="CE74" i="3"/>
  <c r="CF74" i="3" s="1"/>
  <c r="CD74" i="3"/>
  <c r="CC74" i="3"/>
  <c r="CB74" i="3"/>
  <c r="CN74" i="3" s="1"/>
  <c r="BZ74" i="3"/>
  <c r="CA74" i="3" s="1"/>
  <c r="BY74" i="3"/>
  <c r="BX74" i="3"/>
  <c r="BW74" i="3"/>
  <c r="BU74" i="3"/>
  <c r="BT74" i="3"/>
  <c r="BV74" i="3" s="1"/>
  <c r="BS74" i="3"/>
  <c r="BR74" i="3"/>
  <c r="CL74" i="3" s="1"/>
  <c r="BP74" i="3"/>
  <c r="BQ74" i="3" s="1"/>
  <c r="BO74" i="3"/>
  <c r="BN74" i="3"/>
  <c r="BM74" i="3"/>
  <c r="CK74" i="3" s="1"/>
  <c r="BL74" i="3"/>
  <c r="BK74" i="3"/>
  <c r="BJ74" i="3"/>
  <c r="BI74" i="3"/>
  <c r="BH74" i="3"/>
  <c r="CJ74" i="3" s="1"/>
  <c r="BF74" i="3"/>
  <c r="BG74" i="3" s="1"/>
  <c r="BE74" i="3"/>
  <c r="BD74" i="3"/>
  <c r="BC74" i="3"/>
  <c r="CI74" i="3" s="1"/>
  <c r="BA74" i="3"/>
  <c r="AZ74" i="3"/>
  <c r="BB74" i="3" s="1"/>
  <c r="AY74" i="3"/>
  <c r="AX74" i="3"/>
  <c r="CH74" i="3" s="1"/>
  <c r="AV74" i="3"/>
  <c r="AW74" i="3" s="1"/>
  <c r="AU74" i="3"/>
  <c r="AT74" i="3"/>
  <c r="AS74" i="3"/>
  <c r="CG74" i="3" s="1"/>
  <c r="CL73" i="3"/>
  <c r="CH73" i="3"/>
  <c r="CE73" i="3"/>
  <c r="CD73" i="3"/>
  <c r="CF73" i="3" s="1"/>
  <c r="CC73" i="3"/>
  <c r="CB73" i="3"/>
  <c r="CN73" i="3" s="1"/>
  <c r="BZ73" i="3"/>
  <c r="BY73" i="3"/>
  <c r="BX73" i="3"/>
  <c r="BW73" i="3"/>
  <c r="CM73" i="3" s="1"/>
  <c r="BV73" i="3"/>
  <c r="BU73" i="3"/>
  <c r="BT73" i="3"/>
  <c r="BS73" i="3"/>
  <c r="BR73" i="3"/>
  <c r="BQ73" i="3"/>
  <c r="BP73" i="3"/>
  <c r="BO73" i="3"/>
  <c r="BN73" i="3"/>
  <c r="BM73" i="3"/>
  <c r="CK73" i="3" s="1"/>
  <c r="BK73" i="3"/>
  <c r="BJ73" i="3"/>
  <c r="BL73" i="3" s="1"/>
  <c r="BI73" i="3"/>
  <c r="BH73" i="3"/>
  <c r="CJ73" i="3" s="1"/>
  <c r="BF73" i="3"/>
  <c r="BG73" i="3" s="1"/>
  <c r="BE73" i="3"/>
  <c r="BD73" i="3"/>
  <c r="BC73" i="3"/>
  <c r="CI73" i="3" s="1"/>
  <c r="BA73" i="3"/>
  <c r="AZ73" i="3"/>
  <c r="BB73" i="3" s="1"/>
  <c r="AY73" i="3"/>
  <c r="AX73" i="3"/>
  <c r="AV73" i="3"/>
  <c r="AW73" i="3" s="1"/>
  <c r="AU73" i="3"/>
  <c r="AT73" i="3"/>
  <c r="AS73" i="3"/>
  <c r="CG73" i="3" s="1"/>
  <c r="CO73" i="3" s="1"/>
  <c r="CN72" i="3"/>
  <c r="CH72" i="3"/>
  <c r="CE72" i="3"/>
  <c r="CD72" i="3"/>
  <c r="CF72" i="3" s="1"/>
  <c r="CC72" i="3"/>
  <c r="CB72" i="3"/>
  <c r="BZ72" i="3"/>
  <c r="CA72" i="3" s="1"/>
  <c r="BY72" i="3"/>
  <c r="BX72" i="3"/>
  <c r="BW72" i="3"/>
  <c r="CM72" i="3" s="1"/>
  <c r="BU72" i="3"/>
  <c r="BT72" i="3"/>
  <c r="BV72" i="3" s="1"/>
  <c r="BS72" i="3"/>
  <c r="BR72" i="3"/>
  <c r="CL72" i="3" s="1"/>
  <c r="BP72" i="3"/>
  <c r="BQ72" i="3" s="1"/>
  <c r="BO72" i="3"/>
  <c r="BN72" i="3"/>
  <c r="BM72" i="3"/>
  <c r="CK72" i="3" s="1"/>
  <c r="BL72" i="3"/>
  <c r="BK72" i="3"/>
  <c r="BJ72" i="3"/>
  <c r="BI72" i="3"/>
  <c r="BH72" i="3"/>
  <c r="CJ72" i="3" s="1"/>
  <c r="BF72" i="3"/>
  <c r="BG72" i="3" s="1"/>
  <c r="BE72" i="3"/>
  <c r="BD72" i="3"/>
  <c r="BC72" i="3"/>
  <c r="CI72" i="3" s="1"/>
  <c r="BA72" i="3"/>
  <c r="AZ72" i="3"/>
  <c r="BB72" i="3" s="1"/>
  <c r="AY72" i="3"/>
  <c r="AX72" i="3"/>
  <c r="AV72" i="3"/>
  <c r="AW72" i="3" s="1"/>
  <c r="AU72" i="3"/>
  <c r="AT72" i="3"/>
  <c r="AS72" i="3"/>
  <c r="CG72" i="3" s="1"/>
  <c r="CN71" i="3"/>
  <c r="CH71" i="3"/>
  <c r="CE71" i="3"/>
  <c r="CD71" i="3"/>
  <c r="CC71" i="3"/>
  <c r="CB71" i="3"/>
  <c r="BZ71" i="3"/>
  <c r="BY71" i="3"/>
  <c r="BX71" i="3"/>
  <c r="BW71" i="3"/>
  <c r="CM71" i="3" s="1"/>
  <c r="BU71" i="3"/>
  <c r="BV71" i="3" s="1"/>
  <c r="BT71" i="3"/>
  <c r="BS71" i="3"/>
  <c r="BR71" i="3"/>
  <c r="CL71" i="3" s="1"/>
  <c r="BQ71" i="3"/>
  <c r="BP71" i="3"/>
  <c r="BO71" i="3"/>
  <c r="BN71" i="3"/>
  <c r="BM71" i="3"/>
  <c r="CK71" i="3" s="1"/>
  <c r="BK71" i="3"/>
  <c r="BL71" i="3" s="1"/>
  <c r="BJ71" i="3"/>
  <c r="BI71" i="3"/>
  <c r="BH71" i="3"/>
  <c r="CJ71" i="3" s="1"/>
  <c r="BF71" i="3"/>
  <c r="BE71" i="3"/>
  <c r="BD71" i="3"/>
  <c r="BC71" i="3"/>
  <c r="CI71" i="3" s="1"/>
  <c r="BA71" i="3"/>
  <c r="BB71" i="3" s="1"/>
  <c r="AZ71" i="3"/>
  <c r="AY71" i="3"/>
  <c r="AX71" i="3"/>
  <c r="AW71" i="3"/>
  <c r="AV71" i="3"/>
  <c r="AU71" i="3"/>
  <c r="AT71" i="3"/>
  <c r="AS71" i="3"/>
  <c r="CG71" i="3" s="1"/>
  <c r="CO71" i="3" s="1"/>
  <c r="CN70" i="3"/>
  <c r="CH70" i="3"/>
  <c r="CE70" i="3"/>
  <c r="CF70" i="3" s="1"/>
  <c r="CD70" i="3"/>
  <c r="CC70" i="3"/>
  <c r="CB70" i="3"/>
  <c r="CA70" i="3"/>
  <c r="BZ70" i="3"/>
  <c r="BY70" i="3"/>
  <c r="BX70" i="3"/>
  <c r="BW70" i="3"/>
  <c r="CM70" i="3" s="1"/>
  <c r="BU70" i="3"/>
  <c r="BV70" i="3" s="1"/>
  <c r="BT70" i="3"/>
  <c r="BS70" i="3"/>
  <c r="BR70" i="3"/>
  <c r="CL70" i="3" s="1"/>
  <c r="BP70" i="3"/>
  <c r="BQ70" i="3" s="1"/>
  <c r="BO70" i="3"/>
  <c r="BN70" i="3"/>
  <c r="BM70" i="3"/>
  <c r="CK70" i="3" s="1"/>
  <c r="BK70" i="3"/>
  <c r="BL70" i="3" s="1"/>
  <c r="BJ70" i="3"/>
  <c r="BI70" i="3"/>
  <c r="BH70" i="3"/>
  <c r="CJ70" i="3" s="1"/>
  <c r="BG70" i="3"/>
  <c r="BF70" i="3"/>
  <c r="BE70" i="3"/>
  <c r="BD70" i="3"/>
  <c r="BC70" i="3"/>
  <c r="CI70" i="3" s="1"/>
  <c r="BB70" i="3"/>
  <c r="BA70" i="3"/>
  <c r="AZ70" i="3"/>
  <c r="AY70" i="3"/>
  <c r="AX70" i="3"/>
  <c r="AV70" i="3"/>
  <c r="AU70" i="3"/>
  <c r="AW70" i="3" s="1"/>
  <c r="AT70" i="3"/>
  <c r="AS70" i="3"/>
  <c r="CG70" i="3" s="1"/>
  <c r="CJ69" i="3"/>
  <c r="CH69" i="3"/>
  <c r="CE69" i="3"/>
  <c r="CF69" i="3" s="1"/>
  <c r="CD69" i="3"/>
  <c r="CC69" i="3"/>
  <c r="CB69" i="3"/>
  <c r="CN69" i="3" s="1"/>
  <c r="BZ69" i="3"/>
  <c r="BY69" i="3"/>
  <c r="BX69" i="3"/>
  <c r="BW69" i="3"/>
  <c r="CM69" i="3" s="1"/>
  <c r="BU69" i="3"/>
  <c r="BV69" i="3" s="1"/>
  <c r="BT69" i="3"/>
  <c r="BS69" i="3"/>
  <c r="BR69" i="3"/>
  <c r="CL69" i="3" s="1"/>
  <c r="BQ69" i="3"/>
  <c r="BP69" i="3"/>
  <c r="BO69" i="3"/>
  <c r="BN69" i="3"/>
  <c r="BM69" i="3"/>
  <c r="CK69" i="3" s="1"/>
  <c r="BL69" i="3"/>
  <c r="BK69" i="3"/>
  <c r="BJ69" i="3"/>
  <c r="BI69" i="3"/>
  <c r="BH69" i="3"/>
  <c r="BF69" i="3"/>
  <c r="BE69" i="3"/>
  <c r="BG69" i="3" s="1"/>
  <c r="BD69" i="3"/>
  <c r="BC69" i="3"/>
  <c r="CI69" i="3" s="1"/>
  <c r="BA69" i="3"/>
  <c r="BB69" i="3" s="1"/>
  <c r="AZ69" i="3"/>
  <c r="AY69" i="3"/>
  <c r="AX69" i="3"/>
  <c r="AW69" i="3"/>
  <c r="AV69" i="3"/>
  <c r="AU69" i="3"/>
  <c r="AT69" i="3"/>
  <c r="AS69" i="3"/>
  <c r="CG69" i="3" s="1"/>
  <c r="CO69" i="3" s="1"/>
  <c r="CL68" i="3"/>
  <c r="CJ68" i="3"/>
  <c r="CI68" i="3"/>
  <c r="CE68" i="3"/>
  <c r="CF68" i="3" s="1"/>
  <c r="CD68" i="3"/>
  <c r="CC68" i="3"/>
  <c r="CB68" i="3"/>
  <c r="CN68" i="3" s="1"/>
  <c r="CA68" i="3"/>
  <c r="BZ68" i="3"/>
  <c r="BY68" i="3"/>
  <c r="BX68" i="3"/>
  <c r="BW68" i="3"/>
  <c r="CM68" i="3" s="1"/>
  <c r="BV68" i="3"/>
  <c r="BU68" i="3"/>
  <c r="BT68" i="3"/>
  <c r="BS68" i="3"/>
  <c r="BR68" i="3"/>
  <c r="BP68" i="3"/>
  <c r="BO68" i="3"/>
  <c r="BQ68" i="3" s="1"/>
  <c r="BN68" i="3"/>
  <c r="BM68" i="3"/>
  <c r="CK68" i="3" s="1"/>
  <c r="BK68" i="3"/>
  <c r="BL68" i="3" s="1"/>
  <c r="BJ68" i="3"/>
  <c r="BI68" i="3"/>
  <c r="BH68" i="3"/>
  <c r="BG68" i="3"/>
  <c r="BF68" i="3"/>
  <c r="BE68" i="3"/>
  <c r="BD68" i="3"/>
  <c r="BC68" i="3"/>
  <c r="BA68" i="3"/>
  <c r="BB68" i="3" s="1"/>
  <c r="AZ68" i="3"/>
  <c r="AY68" i="3"/>
  <c r="AX68" i="3"/>
  <c r="CH68" i="3" s="1"/>
  <c r="AV68" i="3"/>
  <c r="AU68" i="3"/>
  <c r="AT68" i="3"/>
  <c r="AS68" i="3"/>
  <c r="CG68" i="3" s="1"/>
  <c r="CN67" i="3"/>
  <c r="CL67" i="3"/>
  <c r="CF67" i="3"/>
  <c r="CE67" i="3"/>
  <c r="CD67" i="3"/>
  <c r="CC67" i="3"/>
  <c r="CB67" i="3"/>
  <c r="BZ67" i="3"/>
  <c r="BY67" i="3"/>
  <c r="CA67" i="3" s="1"/>
  <c r="BX67" i="3"/>
  <c r="BW67" i="3"/>
  <c r="CM67" i="3" s="1"/>
  <c r="BU67" i="3"/>
  <c r="BV67" i="3" s="1"/>
  <c r="BT67" i="3"/>
  <c r="BS67" i="3"/>
  <c r="BR67" i="3"/>
  <c r="BQ67" i="3"/>
  <c r="BP67" i="3"/>
  <c r="BO67" i="3"/>
  <c r="BN67" i="3"/>
  <c r="BM67" i="3"/>
  <c r="CK67" i="3" s="1"/>
  <c r="BK67" i="3"/>
  <c r="BL67" i="3" s="1"/>
  <c r="BJ67" i="3"/>
  <c r="BI67" i="3"/>
  <c r="BH67" i="3"/>
  <c r="CJ67" i="3" s="1"/>
  <c r="BF67" i="3"/>
  <c r="BG67" i="3" s="1"/>
  <c r="BE67" i="3"/>
  <c r="BD67" i="3"/>
  <c r="BC67" i="3"/>
  <c r="CI67" i="3" s="1"/>
  <c r="BA67" i="3"/>
  <c r="BB67" i="3" s="1"/>
  <c r="AZ67" i="3"/>
  <c r="AY67" i="3"/>
  <c r="AX67" i="3"/>
  <c r="CH67" i="3" s="1"/>
  <c r="AW67" i="3"/>
  <c r="AV67" i="3"/>
  <c r="AU67" i="3"/>
  <c r="AT67" i="3"/>
  <c r="AS67" i="3"/>
  <c r="CG67" i="3" s="1"/>
  <c r="CN66" i="3"/>
  <c r="CH66" i="3"/>
  <c r="CE66" i="3"/>
  <c r="CF66" i="3" s="1"/>
  <c r="CD66" i="3"/>
  <c r="CC66" i="3"/>
  <c r="CB66" i="3"/>
  <c r="CA66" i="3"/>
  <c r="BZ66" i="3"/>
  <c r="BY66" i="3"/>
  <c r="BX66" i="3"/>
  <c r="BW66" i="3"/>
  <c r="CM66" i="3" s="1"/>
  <c r="BU66" i="3"/>
  <c r="BV66" i="3" s="1"/>
  <c r="BT66" i="3"/>
  <c r="BS66" i="3"/>
  <c r="BR66" i="3"/>
  <c r="CL66" i="3" s="1"/>
  <c r="BP66" i="3"/>
  <c r="BO66" i="3"/>
  <c r="BN66" i="3"/>
  <c r="BM66" i="3"/>
  <c r="CK66" i="3" s="1"/>
  <c r="BK66" i="3"/>
  <c r="BL66" i="3" s="1"/>
  <c r="BJ66" i="3"/>
  <c r="BI66" i="3"/>
  <c r="BH66" i="3"/>
  <c r="CJ66" i="3" s="1"/>
  <c r="BG66" i="3"/>
  <c r="BF66" i="3"/>
  <c r="BE66" i="3"/>
  <c r="BD66" i="3"/>
  <c r="BC66" i="3"/>
  <c r="CI66" i="3" s="1"/>
  <c r="BB66" i="3"/>
  <c r="BA66" i="3"/>
  <c r="AZ66" i="3"/>
  <c r="AY66" i="3"/>
  <c r="AX66" i="3"/>
  <c r="AV66" i="3"/>
  <c r="AU66" i="3"/>
  <c r="AW66" i="3" s="1"/>
  <c r="AT66" i="3"/>
  <c r="AS66" i="3"/>
  <c r="CG66" i="3" s="1"/>
  <c r="CJ65" i="3"/>
  <c r="CH65" i="3"/>
  <c r="CE65" i="3"/>
  <c r="CF65" i="3" s="1"/>
  <c r="CD65" i="3"/>
  <c r="CC65" i="3"/>
  <c r="CB65" i="3"/>
  <c r="CN65" i="3" s="1"/>
  <c r="BZ65" i="3"/>
  <c r="BY65" i="3"/>
  <c r="BX65" i="3"/>
  <c r="BW65" i="3"/>
  <c r="CM65" i="3" s="1"/>
  <c r="BU65" i="3"/>
  <c r="BV65" i="3" s="1"/>
  <c r="BT65" i="3"/>
  <c r="BS65" i="3"/>
  <c r="BR65" i="3"/>
  <c r="CL65" i="3" s="1"/>
  <c r="BQ65" i="3"/>
  <c r="BP65" i="3"/>
  <c r="BO65" i="3"/>
  <c r="BN65" i="3"/>
  <c r="BM65" i="3"/>
  <c r="CK65" i="3" s="1"/>
  <c r="BL65" i="3"/>
  <c r="BK65" i="3"/>
  <c r="BJ65" i="3"/>
  <c r="BI65" i="3"/>
  <c r="BH65" i="3"/>
  <c r="BF65" i="3"/>
  <c r="BE65" i="3"/>
  <c r="BG65" i="3" s="1"/>
  <c r="BD65" i="3"/>
  <c r="BC65" i="3"/>
  <c r="CI65" i="3" s="1"/>
  <c r="BA65" i="3"/>
  <c r="BB65" i="3" s="1"/>
  <c r="AZ65" i="3"/>
  <c r="AY65" i="3"/>
  <c r="AX65" i="3"/>
  <c r="AW65" i="3"/>
  <c r="AV65" i="3"/>
  <c r="AU65" i="3"/>
  <c r="AT65" i="3"/>
  <c r="AS65" i="3"/>
  <c r="CG65" i="3" s="1"/>
  <c r="CO65" i="3" s="1"/>
  <c r="CL64" i="3"/>
  <c r="CJ64" i="3"/>
  <c r="CI64" i="3"/>
  <c r="CE64" i="3"/>
  <c r="CF64" i="3" s="1"/>
  <c r="CD64" i="3"/>
  <c r="CC64" i="3"/>
  <c r="CB64" i="3"/>
  <c r="CN64" i="3" s="1"/>
  <c r="CA64" i="3"/>
  <c r="BZ64" i="3"/>
  <c r="BY64" i="3"/>
  <c r="BX64" i="3"/>
  <c r="BW64" i="3"/>
  <c r="CM64" i="3" s="1"/>
  <c r="BV64" i="3"/>
  <c r="BU64" i="3"/>
  <c r="BT64" i="3"/>
  <c r="BS64" i="3"/>
  <c r="BR64" i="3"/>
  <c r="BP64" i="3"/>
  <c r="BO64" i="3"/>
  <c r="BQ64" i="3" s="1"/>
  <c r="BN64" i="3"/>
  <c r="BM64" i="3"/>
  <c r="CK64" i="3" s="1"/>
  <c r="BK64" i="3"/>
  <c r="BL64" i="3" s="1"/>
  <c r="BJ64" i="3"/>
  <c r="BI64" i="3"/>
  <c r="BH64" i="3"/>
  <c r="BG64" i="3"/>
  <c r="BF64" i="3"/>
  <c r="BE64" i="3"/>
  <c r="BD64" i="3"/>
  <c r="BC64" i="3"/>
  <c r="BA64" i="3"/>
  <c r="BB64" i="3" s="1"/>
  <c r="AZ64" i="3"/>
  <c r="AY64" i="3"/>
  <c r="AX64" i="3"/>
  <c r="CH64" i="3" s="1"/>
  <c r="AV64" i="3"/>
  <c r="AW64" i="3" s="1"/>
  <c r="AU64" i="3"/>
  <c r="AT64" i="3"/>
  <c r="AS64" i="3"/>
  <c r="CG64" i="3" s="1"/>
  <c r="CN63" i="3"/>
  <c r="CL63" i="3"/>
  <c r="CK63" i="3"/>
  <c r="CF63" i="3"/>
  <c r="CE63" i="3"/>
  <c r="CD63" i="3"/>
  <c r="CC63" i="3"/>
  <c r="CB63" i="3"/>
  <c r="CA63" i="3"/>
  <c r="BZ63" i="3"/>
  <c r="BY63" i="3"/>
  <c r="BX63" i="3"/>
  <c r="BW63" i="3"/>
  <c r="CM63" i="3" s="1"/>
  <c r="BU63" i="3"/>
  <c r="BV63" i="3" s="1"/>
  <c r="BT63" i="3"/>
  <c r="BS63" i="3"/>
  <c r="BR63" i="3"/>
  <c r="BQ63" i="3"/>
  <c r="BP63" i="3"/>
  <c r="BO63" i="3"/>
  <c r="BN63" i="3"/>
  <c r="BM63" i="3"/>
  <c r="BK63" i="3"/>
  <c r="BL63" i="3" s="1"/>
  <c r="BJ63" i="3"/>
  <c r="BI63" i="3"/>
  <c r="BH63" i="3"/>
  <c r="CJ63" i="3" s="1"/>
  <c r="BF63" i="3"/>
  <c r="BE63" i="3"/>
  <c r="BD63" i="3"/>
  <c r="BC63" i="3"/>
  <c r="CI63" i="3" s="1"/>
  <c r="BA63" i="3"/>
  <c r="BB63" i="3" s="1"/>
  <c r="AZ63" i="3"/>
  <c r="AY63" i="3"/>
  <c r="AX63" i="3"/>
  <c r="CH63" i="3" s="1"/>
  <c r="AW63" i="3"/>
  <c r="AV63" i="3"/>
  <c r="AU63" i="3"/>
  <c r="AT63" i="3"/>
  <c r="AS63" i="3"/>
  <c r="CG63" i="3" s="1"/>
  <c r="CN62" i="3"/>
  <c r="CM62" i="3"/>
  <c r="CH62" i="3"/>
  <c r="CE62" i="3"/>
  <c r="CF62" i="3" s="1"/>
  <c r="CD62" i="3"/>
  <c r="CC62" i="3"/>
  <c r="CB62" i="3"/>
  <c r="CA62" i="3"/>
  <c r="BZ62" i="3"/>
  <c r="BY62" i="3"/>
  <c r="BX62" i="3"/>
  <c r="BW62" i="3"/>
  <c r="BU62" i="3"/>
  <c r="BV62" i="3" s="1"/>
  <c r="BT62" i="3"/>
  <c r="BS62" i="3"/>
  <c r="BR62" i="3"/>
  <c r="CL62" i="3" s="1"/>
  <c r="BP62" i="3"/>
  <c r="BO62" i="3"/>
  <c r="BN62" i="3"/>
  <c r="BM62" i="3"/>
  <c r="CK62" i="3" s="1"/>
  <c r="BK62" i="3"/>
  <c r="BL62" i="3" s="1"/>
  <c r="BJ62" i="3"/>
  <c r="BI62" i="3"/>
  <c r="BH62" i="3"/>
  <c r="CJ62" i="3" s="1"/>
  <c r="BG62" i="3"/>
  <c r="BF62" i="3"/>
  <c r="BE62" i="3"/>
  <c r="BD62" i="3"/>
  <c r="BC62" i="3"/>
  <c r="CI62" i="3" s="1"/>
  <c r="BB62" i="3"/>
  <c r="BA62" i="3"/>
  <c r="AZ62" i="3"/>
  <c r="AY62" i="3"/>
  <c r="AX62" i="3"/>
  <c r="AV62" i="3"/>
  <c r="AU62" i="3"/>
  <c r="AW62" i="3" s="1"/>
  <c r="AT62" i="3"/>
  <c r="AS62" i="3"/>
  <c r="CG62" i="3" s="1"/>
  <c r="CO62" i="3" s="1"/>
  <c r="CJ61" i="3"/>
  <c r="CH61" i="3"/>
  <c r="CE61" i="3"/>
  <c r="CF61" i="3" s="1"/>
  <c r="CD61" i="3"/>
  <c r="CC61" i="3"/>
  <c r="CB61" i="3"/>
  <c r="CN61" i="3" s="1"/>
  <c r="BZ61" i="3"/>
  <c r="BY61" i="3"/>
  <c r="BX61" i="3"/>
  <c r="BW61" i="3"/>
  <c r="CM61" i="3" s="1"/>
  <c r="BU61" i="3"/>
  <c r="BV61" i="3" s="1"/>
  <c r="BT61" i="3"/>
  <c r="BS61" i="3"/>
  <c r="BR61" i="3"/>
  <c r="CL61" i="3" s="1"/>
  <c r="BQ61" i="3"/>
  <c r="BP61" i="3"/>
  <c r="BO61" i="3"/>
  <c r="BN61" i="3"/>
  <c r="BM61" i="3"/>
  <c r="CK61" i="3" s="1"/>
  <c r="BL61" i="3"/>
  <c r="BK61" i="3"/>
  <c r="BJ61" i="3"/>
  <c r="BI61" i="3"/>
  <c r="BH61" i="3"/>
  <c r="BF61" i="3"/>
  <c r="BE61" i="3"/>
  <c r="BG61" i="3" s="1"/>
  <c r="BD61" i="3"/>
  <c r="BC61" i="3"/>
  <c r="CI61" i="3" s="1"/>
  <c r="BA61" i="3"/>
  <c r="BB61" i="3" s="1"/>
  <c r="AZ61" i="3"/>
  <c r="AY61" i="3"/>
  <c r="AX61" i="3"/>
  <c r="AW61" i="3"/>
  <c r="AV61" i="3"/>
  <c r="AU61" i="3"/>
  <c r="AT61" i="3"/>
  <c r="AS61" i="3"/>
  <c r="CG61" i="3" s="1"/>
  <c r="CO61" i="3" s="1"/>
  <c r="CL60" i="3"/>
  <c r="CJ60" i="3"/>
  <c r="CE60" i="3"/>
  <c r="CF60" i="3" s="1"/>
  <c r="CD60" i="3"/>
  <c r="CC60" i="3"/>
  <c r="CB60" i="3"/>
  <c r="CN60" i="3" s="1"/>
  <c r="CA60" i="3"/>
  <c r="BZ60" i="3"/>
  <c r="BY60" i="3"/>
  <c r="BX60" i="3"/>
  <c r="BW60" i="3"/>
  <c r="CM60" i="3" s="1"/>
  <c r="BV60" i="3"/>
  <c r="BU60" i="3"/>
  <c r="BT60" i="3"/>
  <c r="BS60" i="3"/>
  <c r="BR60" i="3"/>
  <c r="BP60" i="3"/>
  <c r="BO60" i="3"/>
  <c r="BQ60" i="3" s="1"/>
  <c r="BN60" i="3"/>
  <c r="BM60" i="3"/>
  <c r="CK60" i="3" s="1"/>
  <c r="BK60" i="3"/>
  <c r="BL60" i="3" s="1"/>
  <c r="BJ60" i="3"/>
  <c r="BI60" i="3"/>
  <c r="BH60" i="3"/>
  <c r="BG60" i="3"/>
  <c r="BF60" i="3"/>
  <c r="BE60" i="3"/>
  <c r="BD60" i="3"/>
  <c r="BC60" i="3"/>
  <c r="CI60" i="3" s="1"/>
  <c r="BA60" i="3"/>
  <c r="BB60" i="3" s="1"/>
  <c r="AZ60" i="3"/>
  <c r="AY60" i="3"/>
  <c r="AX60" i="3"/>
  <c r="CH60" i="3" s="1"/>
  <c r="AV60" i="3"/>
  <c r="AU60" i="3"/>
  <c r="AT60" i="3"/>
  <c r="AS60" i="3"/>
  <c r="CG60" i="3" s="1"/>
  <c r="CN59" i="3"/>
  <c r="CL59" i="3"/>
  <c r="CK59" i="3"/>
  <c r="CF59" i="3"/>
  <c r="CE59" i="3"/>
  <c r="CD59" i="3"/>
  <c r="CC59" i="3"/>
  <c r="CB59" i="3"/>
  <c r="BZ59" i="3"/>
  <c r="BY59" i="3"/>
  <c r="CA59" i="3" s="1"/>
  <c r="BX59" i="3"/>
  <c r="BW59" i="3"/>
  <c r="CM59" i="3" s="1"/>
  <c r="BU59" i="3"/>
  <c r="BV59" i="3" s="1"/>
  <c r="BT59" i="3"/>
  <c r="BS59" i="3"/>
  <c r="BR59" i="3"/>
  <c r="BQ59" i="3"/>
  <c r="BP59" i="3"/>
  <c r="BO59" i="3"/>
  <c r="BN59" i="3"/>
  <c r="BM59" i="3"/>
  <c r="BK59" i="3"/>
  <c r="BL59" i="3" s="1"/>
  <c r="BJ59" i="3"/>
  <c r="BI59" i="3"/>
  <c r="BH59" i="3"/>
  <c r="CJ59" i="3" s="1"/>
  <c r="BF59" i="3"/>
  <c r="BE59" i="3"/>
  <c r="BD59" i="3"/>
  <c r="BC59" i="3"/>
  <c r="CI59" i="3" s="1"/>
  <c r="BA59" i="3"/>
  <c r="BB59" i="3" s="1"/>
  <c r="AZ59" i="3"/>
  <c r="AY59" i="3"/>
  <c r="AX59" i="3"/>
  <c r="CH59" i="3" s="1"/>
  <c r="AW59" i="3"/>
  <c r="AV59" i="3"/>
  <c r="AU59" i="3"/>
  <c r="AT59" i="3"/>
  <c r="AS59" i="3"/>
  <c r="CG59" i="3" s="1"/>
  <c r="CN58" i="3"/>
  <c r="CH58" i="3"/>
  <c r="CE58" i="3"/>
  <c r="CF58" i="3" s="1"/>
  <c r="CD58" i="3"/>
  <c r="CC58" i="3"/>
  <c r="CB58" i="3"/>
  <c r="CA58" i="3"/>
  <c r="BZ58" i="3"/>
  <c r="BY58" i="3"/>
  <c r="BX58" i="3"/>
  <c r="BW58" i="3"/>
  <c r="CM58" i="3" s="1"/>
  <c r="BU58" i="3"/>
  <c r="BV58" i="3" s="1"/>
  <c r="BT58" i="3"/>
  <c r="BS58" i="3"/>
  <c r="BR58" i="3"/>
  <c r="CL58" i="3" s="1"/>
  <c r="BP58" i="3"/>
  <c r="BQ58" i="3" s="1"/>
  <c r="BO58" i="3"/>
  <c r="BN58" i="3"/>
  <c r="BM58" i="3"/>
  <c r="CK58" i="3" s="1"/>
  <c r="BK58" i="3"/>
  <c r="BL58" i="3" s="1"/>
  <c r="BJ58" i="3"/>
  <c r="BI58" i="3"/>
  <c r="BH58" i="3"/>
  <c r="CJ58" i="3" s="1"/>
  <c r="BG58" i="3"/>
  <c r="BF58" i="3"/>
  <c r="BE58" i="3"/>
  <c r="BD58" i="3"/>
  <c r="BC58" i="3"/>
  <c r="CI58" i="3" s="1"/>
  <c r="BB58" i="3"/>
  <c r="BA58" i="3"/>
  <c r="AZ58" i="3"/>
  <c r="AY58" i="3"/>
  <c r="AX58" i="3"/>
  <c r="AV58" i="3"/>
  <c r="AU58" i="3"/>
  <c r="AW58" i="3" s="1"/>
  <c r="AT58" i="3"/>
  <c r="AS58" i="3"/>
  <c r="CG58" i="3" s="1"/>
  <c r="CJ57" i="3"/>
  <c r="CH57" i="3"/>
  <c r="CE57" i="3"/>
  <c r="CF57" i="3" s="1"/>
  <c r="CD57" i="3"/>
  <c r="CC57" i="3"/>
  <c r="CB57" i="3"/>
  <c r="CN57" i="3" s="1"/>
  <c r="BZ57" i="3"/>
  <c r="BY57" i="3"/>
  <c r="BX57" i="3"/>
  <c r="BW57" i="3"/>
  <c r="CM57" i="3" s="1"/>
  <c r="BU57" i="3"/>
  <c r="BV57" i="3" s="1"/>
  <c r="BT57" i="3"/>
  <c r="BS57" i="3"/>
  <c r="BR57" i="3"/>
  <c r="CL57" i="3" s="1"/>
  <c r="BQ57" i="3"/>
  <c r="BP57" i="3"/>
  <c r="BO57" i="3"/>
  <c r="BN57" i="3"/>
  <c r="BM57" i="3"/>
  <c r="CK57" i="3" s="1"/>
  <c r="BL57" i="3"/>
  <c r="BK57" i="3"/>
  <c r="BJ57" i="3"/>
  <c r="BI57" i="3"/>
  <c r="BH57" i="3"/>
  <c r="BF57" i="3"/>
  <c r="BE57" i="3"/>
  <c r="BG57" i="3" s="1"/>
  <c r="BD57" i="3"/>
  <c r="BC57" i="3"/>
  <c r="CI57" i="3" s="1"/>
  <c r="BA57" i="3"/>
  <c r="BB57" i="3" s="1"/>
  <c r="AZ57" i="3"/>
  <c r="AY57" i="3"/>
  <c r="AX57" i="3"/>
  <c r="AW57" i="3"/>
  <c r="AV57" i="3"/>
  <c r="AU57" i="3"/>
  <c r="AT57" i="3"/>
  <c r="AS57" i="3"/>
  <c r="CG57" i="3" s="1"/>
  <c r="CO57" i="3" s="1"/>
  <c r="CM56" i="3"/>
  <c r="CL56" i="3"/>
  <c r="CJ56" i="3"/>
  <c r="CE56" i="3"/>
  <c r="CF56" i="3" s="1"/>
  <c r="CD56" i="3"/>
  <c r="CC56" i="3"/>
  <c r="CB56" i="3"/>
  <c r="CN56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Q56" i="3" s="1"/>
  <c r="BN56" i="3"/>
  <c r="BM56" i="3"/>
  <c r="CK56" i="3" s="1"/>
  <c r="BK56" i="3"/>
  <c r="BL56" i="3" s="1"/>
  <c r="BJ56" i="3"/>
  <c r="BI56" i="3"/>
  <c r="BH56" i="3"/>
  <c r="BG56" i="3"/>
  <c r="BF56" i="3"/>
  <c r="BE56" i="3"/>
  <c r="BD56" i="3"/>
  <c r="BC56" i="3"/>
  <c r="CI56" i="3" s="1"/>
  <c r="BA56" i="3"/>
  <c r="BB56" i="3" s="1"/>
  <c r="AZ56" i="3"/>
  <c r="AY56" i="3"/>
  <c r="AX56" i="3"/>
  <c r="CH56" i="3" s="1"/>
  <c r="AV56" i="3"/>
  <c r="AW56" i="3" s="1"/>
  <c r="AU56" i="3"/>
  <c r="AT56" i="3"/>
  <c r="AS56" i="3"/>
  <c r="CG56" i="3" s="1"/>
  <c r="CN55" i="3"/>
  <c r="CL55" i="3"/>
  <c r="CF55" i="3"/>
  <c r="CE55" i="3"/>
  <c r="CD55" i="3"/>
  <c r="CC55" i="3"/>
  <c r="CB55" i="3"/>
  <c r="BZ55" i="3"/>
  <c r="BY55" i="3"/>
  <c r="CA55" i="3" s="1"/>
  <c r="BX55" i="3"/>
  <c r="BW55" i="3"/>
  <c r="CM55" i="3" s="1"/>
  <c r="BU55" i="3"/>
  <c r="BV55" i="3" s="1"/>
  <c r="BT55" i="3"/>
  <c r="BS55" i="3"/>
  <c r="BR55" i="3"/>
  <c r="BQ55" i="3"/>
  <c r="BP55" i="3"/>
  <c r="BO55" i="3"/>
  <c r="BN55" i="3"/>
  <c r="BM55" i="3"/>
  <c r="CK55" i="3" s="1"/>
  <c r="BK55" i="3"/>
  <c r="BL55" i="3" s="1"/>
  <c r="BJ55" i="3"/>
  <c r="BI55" i="3"/>
  <c r="BH55" i="3"/>
  <c r="CJ55" i="3" s="1"/>
  <c r="BF55" i="3"/>
  <c r="BE55" i="3"/>
  <c r="BD55" i="3"/>
  <c r="BC55" i="3"/>
  <c r="CI55" i="3" s="1"/>
  <c r="BA55" i="3"/>
  <c r="BB55" i="3" s="1"/>
  <c r="AZ55" i="3"/>
  <c r="AY55" i="3"/>
  <c r="AX55" i="3"/>
  <c r="CH55" i="3" s="1"/>
  <c r="AW55" i="3"/>
  <c r="AV55" i="3"/>
  <c r="AU55" i="3"/>
  <c r="AT55" i="3"/>
  <c r="AS55" i="3"/>
  <c r="CG55" i="3" s="1"/>
  <c r="CN54" i="3"/>
  <c r="CM54" i="3"/>
  <c r="CI54" i="3"/>
  <c r="CH54" i="3"/>
  <c r="CE54" i="3"/>
  <c r="CF54" i="3" s="1"/>
  <c r="CD54" i="3"/>
  <c r="CC54" i="3"/>
  <c r="CB54" i="3"/>
  <c r="CA54" i="3"/>
  <c r="BZ54" i="3"/>
  <c r="BY54" i="3"/>
  <c r="BX54" i="3"/>
  <c r="BW54" i="3"/>
  <c r="BU54" i="3"/>
  <c r="BV54" i="3" s="1"/>
  <c r="BT54" i="3"/>
  <c r="BS54" i="3"/>
  <c r="BR54" i="3"/>
  <c r="CL54" i="3" s="1"/>
  <c r="BP54" i="3"/>
  <c r="BO54" i="3"/>
  <c r="BN54" i="3"/>
  <c r="BM54" i="3"/>
  <c r="CK54" i="3" s="1"/>
  <c r="BK54" i="3"/>
  <c r="BL54" i="3" s="1"/>
  <c r="BJ54" i="3"/>
  <c r="BI54" i="3"/>
  <c r="BH54" i="3"/>
  <c r="CJ54" i="3" s="1"/>
  <c r="BG54" i="3"/>
  <c r="BF54" i="3"/>
  <c r="BE54" i="3"/>
  <c r="BD54" i="3"/>
  <c r="BC54" i="3"/>
  <c r="BB54" i="3"/>
  <c r="BA54" i="3"/>
  <c r="AZ54" i="3"/>
  <c r="AY54" i="3"/>
  <c r="AX54" i="3"/>
  <c r="AV54" i="3"/>
  <c r="AU54" i="3"/>
  <c r="AW54" i="3" s="1"/>
  <c r="AT54" i="3"/>
  <c r="AS54" i="3"/>
  <c r="CG54" i="3" s="1"/>
  <c r="CK53" i="3"/>
  <c r="CJ53" i="3"/>
  <c r="CH53" i="3"/>
  <c r="CE53" i="3"/>
  <c r="CF53" i="3" s="1"/>
  <c r="CD53" i="3"/>
  <c r="CC53" i="3"/>
  <c r="CB53" i="3"/>
  <c r="CN53" i="3" s="1"/>
  <c r="BZ53" i="3"/>
  <c r="BY53" i="3"/>
  <c r="BX53" i="3"/>
  <c r="BW53" i="3"/>
  <c r="CM53" i="3" s="1"/>
  <c r="BU53" i="3"/>
  <c r="BV53" i="3" s="1"/>
  <c r="BT53" i="3"/>
  <c r="BS53" i="3"/>
  <c r="BR53" i="3"/>
  <c r="CL53" i="3" s="1"/>
  <c r="BP53" i="3"/>
  <c r="BO53" i="3"/>
  <c r="BQ53" i="3" s="1"/>
  <c r="BN53" i="3"/>
  <c r="BM53" i="3"/>
  <c r="BL53" i="3"/>
  <c r="BK53" i="3"/>
  <c r="BJ53" i="3"/>
  <c r="BI53" i="3"/>
  <c r="BH53" i="3"/>
  <c r="BG53" i="3"/>
  <c r="BF53" i="3"/>
  <c r="BE53" i="3"/>
  <c r="BD53" i="3"/>
  <c r="BC53" i="3"/>
  <c r="CI53" i="3" s="1"/>
  <c r="BA53" i="3"/>
  <c r="BB53" i="3" s="1"/>
  <c r="AZ53" i="3"/>
  <c r="AY53" i="3"/>
  <c r="AX53" i="3"/>
  <c r="AW53" i="3"/>
  <c r="AV53" i="3"/>
  <c r="AU53" i="3"/>
  <c r="AT53" i="3"/>
  <c r="AS53" i="3"/>
  <c r="CG53" i="3" s="1"/>
  <c r="CO53" i="3" s="1"/>
  <c r="CM52" i="3"/>
  <c r="CL52" i="3"/>
  <c r="CJ52" i="3"/>
  <c r="CE52" i="3"/>
  <c r="CF52" i="3" s="1"/>
  <c r="CD52" i="3"/>
  <c r="CC52" i="3"/>
  <c r="CB52" i="3"/>
  <c r="CN52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Q52" i="3" s="1"/>
  <c r="BN52" i="3"/>
  <c r="BM52" i="3"/>
  <c r="CK52" i="3" s="1"/>
  <c r="BK52" i="3"/>
  <c r="BL52" i="3" s="1"/>
  <c r="BJ52" i="3"/>
  <c r="BI52" i="3"/>
  <c r="BH52" i="3"/>
  <c r="BG52" i="3"/>
  <c r="BF52" i="3"/>
  <c r="BE52" i="3"/>
  <c r="BD52" i="3"/>
  <c r="BC52" i="3"/>
  <c r="CI52" i="3" s="1"/>
  <c r="BA52" i="3"/>
  <c r="BB52" i="3" s="1"/>
  <c r="AZ52" i="3"/>
  <c r="AY52" i="3"/>
  <c r="AX52" i="3"/>
  <c r="CH52" i="3" s="1"/>
  <c r="AV52" i="3"/>
  <c r="AW52" i="3" s="1"/>
  <c r="AU52" i="3"/>
  <c r="AT52" i="3"/>
  <c r="AS52" i="3"/>
  <c r="CG52" i="3" s="1"/>
  <c r="CO52" i="3" s="1"/>
  <c r="CP52" i="3" s="1"/>
  <c r="CN51" i="3"/>
  <c r="CL51" i="3"/>
  <c r="CG51" i="3"/>
  <c r="CF51" i="3"/>
  <c r="CE51" i="3"/>
  <c r="CD51" i="3"/>
  <c r="CC51" i="3"/>
  <c r="CB51" i="3"/>
  <c r="BZ51" i="3"/>
  <c r="BY51" i="3"/>
  <c r="CA51" i="3" s="1"/>
  <c r="BX51" i="3"/>
  <c r="BW51" i="3"/>
  <c r="CM51" i="3" s="1"/>
  <c r="BU51" i="3"/>
  <c r="BV51" i="3" s="1"/>
  <c r="BT51" i="3"/>
  <c r="BS51" i="3"/>
  <c r="BR51" i="3"/>
  <c r="BQ51" i="3"/>
  <c r="BP51" i="3"/>
  <c r="BO51" i="3"/>
  <c r="BN51" i="3"/>
  <c r="BM51" i="3"/>
  <c r="CK51" i="3" s="1"/>
  <c r="BK51" i="3"/>
  <c r="BL51" i="3" s="1"/>
  <c r="BJ51" i="3"/>
  <c r="BI51" i="3"/>
  <c r="BH51" i="3"/>
  <c r="CJ51" i="3" s="1"/>
  <c r="BF51" i="3"/>
  <c r="BE51" i="3"/>
  <c r="BD51" i="3"/>
  <c r="BC51" i="3"/>
  <c r="CI51" i="3" s="1"/>
  <c r="CO51" i="3" s="1"/>
  <c r="BA51" i="3"/>
  <c r="BB51" i="3" s="1"/>
  <c r="AZ51" i="3"/>
  <c r="AY51" i="3"/>
  <c r="AX51" i="3"/>
  <c r="CH51" i="3" s="1"/>
  <c r="AV51" i="3"/>
  <c r="AU51" i="3"/>
  <c r="AW51" i="3" s="1"/>
  <c r="AT51" i="3"/>
  <c r="AS51" i="3"/>
  <c r="CN50" i="3"/>
  <c r="CH50" i="3"/>
  <c r="CE50" i="3"/>
  <c r="CF50" i="3" s="1"/>
  <c r="CD50" i="3"/>
  <c r="CC50" i="3"/>
  <c r="CB50" i="3"/>
  <c r="CA50" i="3"/>
  <c r="BZ50" i="3"/>
  <c r="BY50" i="3"/>
  <c r="BX50" i="3"/>
  <c r="BW50" i="3"/>
  <c r="CM50" i="3" s="1"/>
  <c r="BU50" i="3"/>
  <c r="BV50" i="3" s="1"/>
  <c r="BT50" i="3"/>
  <c r="BS50" i="3"/>
  <c r="BR50" i="3"/>
  <c r="CL50" i="3" s="1"/>
  <c r="BP50" i="3"/>
  <c r="BQ50" i="3" s="1"/>
  <c r="BO50" i="3"/>
  <c r="BN50" i="3"/>
  <c r="BM50" i="3"/>
  <c r="CK50" i="3" s="1"/>
  <c r="BK50" i="3"/>
  <c r="BL50" i="3" s="1"/>
  <c r="BJ50" i="3"/>
  <c r="BI50" i="3"/>
  <c r="BH50" i="3"/>
  <c r="CJ50" i="3" s="1"/>
  <c r="BG50" i="3"/>
  <c r="BF50" i="3"/>
  <c r="BE50" i="3"/>
  <c r="BD50" i="3"/>
  <c r="BC50" i="3"/>
  <c r="CI50" i="3" s="1"/>
  <c r="BB50" i="3"/>
  <c r="BA50" i="3"/>
  <c r="AZ50" i="3"/>
  <c r="AY50" i="3"/>
  <c r="AX50" i="3"/>
  <c r="AV50" i="3"/>
  <c r="AU50" i="3"/>
  <c r="AW50" i="3" s="1"/>
  <c r="AT50" i="3"/>
  <c r="AS50" i="3"/>
  <c r="CG50" i="3" s="1"/>
  <c r="CK49" i="3"/>
  <c r="CJ49" i="3"/>
  <c r="CH49" i="3"/>
  <c r="CG49" i="3"/>
  <c r="CE49" i="3"/>
  <c r="CF49" i="3" s="1"/>
  <c r="CD49" i="3"/>
  <c r="CC49" i="3"/>
  <c r="CB49" i="3"/>
  <c r="CN49" i="3" s="1"/>
  <c r="BZ49" i="3"/>
  <c r="CA49" i="3" s="1"/>
  <c r="BY49" i="3"/>
  <c r="BX49" i="3"/>
  <c r="BW49" i="3"/>
  <c r="CM49" i="3" s="1"/>
  <c r="BU49" i="3"/>
  <c r="BV49" i="3" s="1"/>
  <c r="BT49" i="3"/>
  <c r="BS49" i="3"/>
  <c r="BR49" i="3"/>
  <c r="CL49" i="3" s="1"/>
  <c r="BP49" i="3"/>
  <c r="BO49" i="3"/>
  <c r="BQ49" i="3" s="1"/>
  <c r="BN49" i="3"/>
  <c r="BM49" i="3"/>
  <c r="BL49" i="3"/>
  <c r="BK49" i="3"/>
  <c r="BJ49" i="3"/>
  <c r="BI49" i="3"/>
  <c r="BH49" i="3"/>
  <c r="BG49" i="3"/>
  <c r="BF49" i="3"/>
  <c r="BE49" i="3"/>
  <c r="BD49" i="3"/>
  <c r="BC49" i="3"/>
  <c r="CI49" i="3" s="1"/>
  <c r="BA49" i="3"/>
  <c r="BB49" i="3" s="1"/>
  <c r="AZ49" i="3"/>
  <c r="AY49" i="3"/>
  <c r="AX49" i="3"/>
  <c r="AW49" i="3"/>
  <c r="AV49" i="3"/>
  <c r="AU49" i="3"/>
  <c r="AT49" i="3"/>
  <c r="AS49" i="3"/>
  <c r="CM48" i="3"/>
  <c r="CL48" i="3"/>
  <c r="CJ48" i="3"/>
  <c r="CE48" i="3"/>
  <c r="CD48" i="3"/>
  <c r="CC48" i="3"/>
  <c r="CB48" i="3"/>
  <c r="CN48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Q48" i="3" s="1"/>
  <c r="BN48" i="3"/>
  <c r="BM48" i="3"/>
  <c r="CK48" i="3" s="1"/>
  <c r="BK48" i="3"/>
  <c r="BL48" i="3" s="1"/>
  <c r="BJ48" i="3"/>
  <c r="BI48" i="3"/>
  <c r="BH48" i="3"/>
  <c r="BF48" i="3"/>
  <c r="BG48" i="3" s="1"/>
  <c r="BE48" i="3"/>
  <c r="BD48" i="3"/>
  <c r="BC48" i="3"/>
  <c r="CI48" i="3" s="1"/>
  <c r="BA48" i="3"/>
  <c r="BB48" i="3" s="1"/>
  <c r="AZ48" i="3"/>
  <c r="AY48" i="3"/>
  <c r="AX48" i="3"/>
  <c r="CH48" i="3" s="1"/>
  <c r="AV48" i="3"/>
  <c r="AU48" i="3"/>
  <c r="AT48" i="3"/>
  <c r="AS48" i="3"/>
  <c r="CG48" i="3" s="1"/>
  <c r="CO48" i="3" s="1"/>
  <c r="CN47" i="3"/>
  <c r="CL47" i="3"/>
  <c r="CF47" i="3"/>
  <c r="CE47" i="3"/>
  <c r="CD47" i="3"/>
  <c r="CC47" i="3"/>
  <c r="CB47" i="3"/>
  <c r="BZ47" i="3"/>
  <c r="BY47" i="3"/>
  <c r="CA47" i="3" s="1"/>
  <c r="BX47" i="3"/>
  <c r="BW47" i="3"/>
  <c r="CM47" i="3" s="1"/>
  <c r="BU47" i="3"/>
  <c r="BV47" i="3" s="1"/>
  <c r="BT47" i="3"/>
  <c r="BS47" i="3"/>
  <c r="BR47" i="3"/>
  <c r="BP47" i="3"/>
  <c r="BQ47" i="3" s="1"/>
  <c r="BO47" i="3"/>
  <c r="BN47" i="3"/>
  <c r="BM47" i="3"/>
  <c r="CK47" i="3" s="1"/>
  <c r="BK47" i="3"/>
  <c r="BL47" i="3" s="1"/>
  <c r="BJ47" i="3"/>
  <c r="BI47" i="3"/>
  <c r="BH47" i="3"/>
  <c r="CJ47" i="3" s="1"/>
  <c r="BF47" i="3"/>
  <c r="BG47" i="3" s="1"/>
  <c r="BE47" i="3"/>
  <c r="BD47" i="3"/>
  <c r="BC47" i="3"/>
  <c r="CI47" i="3" s="1"/>
  <c r="BA47" i="3"/>
  <c r="BB47" i="3" s="1"/>
  <c r="AZ47" i="3"/>
  <c r="AY47" i="3"/>
  <c r="AX47" i="3"/>
  <c r="CH47" i="3" s="1"/>
  <c r="AW47" i="3"/>
  <c r="AV47" i="3"/>
  <c r="AU47" i="3"/>
  <c r="AT47" i="3"/>
  <c r="AS47" i="3"/>
  <c r="CG47" i="3" s="1"/>
  <c r="CO47" i="3" s="1"/>
  <c r="CP47" i="3" l="1"/>
  <c r="CP69" i="3"/>
  <c r="CO49" i="3"/>
  <c r="CP49" i="3" s="1"/>
  <c r="CP51" i="3"/>
  <c r="CP61" i="3"/>
  <c r="CP65" i="3"/>
  <c r="CP53" i="3"/>
  <c r="CO67" i="3"/>
  <c r="CP67" i="3" s="1"/>
  <c r="CO77" i="3"/>
  <c r="CP77" i="3" s="1"/>
  <c r="CA53" i="3"/>
  <c r="BG63" i="3"/>
  <c r="CO66" i="3"/>
  <c r="CP66" i="3" s="1"/>
  <c r="CA69" i="3"/>
  <c r="CF71" i="3"/>
  <c r="BG59" i="3"/>
  <c r="CA65" i="3"/>
  <c r="BG51" i="3"/>
  <c r="CO55" i="3"/>
  <c r="CO60" i="3"/>
  <c r="CP60" i="3" s="1"/>
  <c r="CO70" i="3"/>
  <c r="CP70" i="3" s="1"/>
  <c r="AW68" i="3"/>
  <c r="AW48" i="3"/>
  <c r="CP48" i="3" s="1"/>
  <c r="CF48" i="3"/>
  <c r="CO59" i="3"/>
  <c r="BQ62" i="3"/>
  <c r="CP62" i="3" s="1"/>
  <c r="CO64" i="3"/>
  <c r="CP64" i="3" s="1"/>
  <c r="BG71" i="3"/>
  <c r="CO56" i="3"/>
  <c r="CP56" i="3" s="1"/>
  <c r="CO50" i="3"/>
  <c r="CP50" i="3" s="1"/>
  <c r="CA57" i="3"/>
  <c r="CP57" i="3" s="1"/>
  <c r="AW60" i="3"/>
  <c r="CO63" i="3"/>
  <c r="CP63" i="3" s="1"/>
  <c r="CO68" i="3"/>
  <c r="CP68" i="3" s="1"/>
  <c r="CP81" i="3"/>
  <c r="CP93" i="3"/>
  <c r="BQ54" i="3"/>
  <c r="CO54" i="3"/>
  <c r="CP54" i="3" s="1"/>
  <c r="BG55" i="3"/>
  <c r="CO58" i="3"/>
  <c r="CP58" i="3" s="1"/>
  <c r="CA61" i="3"/>
  <c r="BQ66" i="3"/>
  <c r="CO87" i="3"/>
  <c r="CP87" i="3" s="1"/>
  <c r="AW88" i="3"/>
  <c r="BG95" i="3"/>
  <c r="CO96" i="3"/>
  <c r="CP96" i="3" s="1"/>
  <c r="CA97" i="3"/>
  <c r="CP97" i="3" s="1"/>
  <c r="CO74" i="3"/>
  <c r="CP74" i="3" s="1"/>
  <c r="BQ78" i="3"/>
  <c r="CO80" i="3"/>
  <c r="CP80" i="3" s="1"/>
  <c r="BQ82" i="3"/>
  <c r="CA85" i="3"/>
  <c r="CP85" i="3" s="1"/>
  <c r="CO90" i="3"/>
  <c r="CP90" i="3" s="1"/>
  <c r="CO98" i="3"/>
  <c r="CP98" i="3" s="1"/>
  <c r="BG99" i="3"/>
  <c r="CO72" i="3"/>
  <c r="CP72" i="3" s="1"/>
  <c r="CO75" i="3"/>
  <c r="CP75" i="3" s="1"/>
  <c r="CO83" i="3"/>
  <c r="CP83" i="3" s="1"/>
  <c r="CO76" i="3"/>
  <c r="CO79" i="3"/>
  <c r="CP79" i="3" s="1"/>
  <c r="CO86" i="3"/>
  <c r="CP86" i="3" s="1"/>
  <c r="CO92" i="3"/>
  <c r="CO104" i="3"/>
  <c r="CP104" i="3" s="1"/>
  <c r="CP124" i="3"/>
  <c r="CA71" i="3"/>
  <c r="CP71" i="3" s="1"/>
  <c r="CA73" i="3"/>
  <c r="CP73" i="3" s="1"/>
  <c r="CO78" i="3"/>
  <c r="AW80" i="3"/>
  <c r="BG87" i="3"/>
  <c r="CO95" i="3"/>
  <c r="CP95" i="3" s="1"/>
  <c r="CP116" i="3"/>
  <c r="CP82" i="3"/>
  <c r="CO88" i="3"/>
  <c r="CP88" i="3" s="1"/>
  <c r="CP100" i="3"/>
  <c r="AW76" i="3"/>
  <c r="BG83" i="3"/>
  <c r="CO91" i="3"/>
  <c r="CP91" i="3" s="1"/>
  <c r="AW92" i="3"/>
  <c r="CO103" i="3"/>
  <c r="CP103" i="3" s="1"/>
  <c r="BB108" i="3"/>
  <c r="CP108" i="3" s="1"/>
  <c r="BQ105" i="3"/>
  <c r="CP113" i="3"/>
  <c r="CP125" i="3"/>
  <c r="CO134" i="3"/>
  <c r="CO140" i="3"/>
  <c r="CP140" i="3" s="1"/>
  <c r="CO101" i="3"/>
  <c r="CP101" i="3" s="1"/>
  <c r="BG102" i="3"/>
  <c r="CO107" i="3"/>
  <c r="CP107" i="3" s="1"/>
  <c r="CO122" i="3"/>
  <c r="CP122" i="3" s="1"/>
  <c r="CO106" i="3"/>
  <c r="CP106" i="3" s="1"/>
  <c r="CP109" i="3"/>
  <c r="CO112" i="3"/>
  <c r="CP112" i="3" s="1"/>
  <c r="CO115" i="3"/>
  <c r="CP115" i="3" s="1"/>
  <c r="CO126" i="3"/>
  <c r="CP126" i="3" s="1"/>
  <c r="CP138" i="3"/>
  <c r="CO99" i="3"/>
  <c r="CP99" i="3" s="1"/>
  <c r="CO105" i="3"/>
  <c r="CP105" i="3" s="1"/>
  <c r="CO118" i="3"/>
  <c r="CP118" i="3" s="1"/>
  <c r="CO132" i="3"/>
  <c r="CO102" i="3"/>
  <c r="CO111" i="3"/>
  <c r="CP111" i="3" s="1"/>
  <c r="CO121" i="3"/>
  <c r="CP121" i="3" s="1"/>
  <c r="CO129" i="3"/>
  <c r="CO114" i="3"/>
  <c r="CP114" i="3" s="1"/>
  <c r="CO156" i="3"/>
  <c r="CO117" i="3"/>
  <c r="CP117" i="3" s="1"/>
  <c r="CO120" i="3"/>
  <c r="CP120" i="3" s="1"/>
  <c r="CO144" i="3"/>
  <c r="CP144" i="3" s="1"/>
  <c r="CO148" i="3"/>
  <c r="CP148" i="3" s="1"/>
  <c r="CO152" i="3"/>
  <c r="CP152" i="3" s="1"/>
  <c r="CO131" i="3"/>
  <c r="CA140" i="3"/>
  <c r="CO142" i="3"/>
  <c r="BQ145" i="3"/>
  <c r="CO147" i="3"/>
  <c r="CP147" i="3" s="1"/>
  <c r="BQ149" i="3"/>
  <c r="CO157" i="3"/>
  <c r="CP157" i="3" s="1"/>
  <c r="BG138" i="3"/>
  <c r="BB141" i="3"/>
  <c r="AW143" i="3"/>
  <c r="BV147" i="3"/>
  <c r="CO150" i="3"/>
  <c r="CP150" i="3" s="1"/>
  <c r="AW151" i="3"/>
  <c r="CA152" i="3"/>
  <c r="BB153" i="3"/>
  <c r="CF154" i="3"/>
  <c r="CP154" i="3" s="1"/>
  <c r="BG158" i="3"/>
  <c r="BQ123" i="3"/>
  <c r="CO127" i="3"/>
  <c r="CP127" i="3" s="1"/>
  <c r="BG128" i="3"/>
  <c r="CP128" i="3" s="1"/>
  <c r="AW129" i="3"/>
  <c r="CF130" i="3"/>
  <c r="BV131" i="3"/>
  <c r="BL132" i="3"/>
  <c r="BB133" i="3"/>
  <c r="CA134" i="3"/>
  <c r="BQ135" i="3"/>
  <c r="BG136" i="3"/>
  <c r="CP136" i="3" s="1"/>
  <c r="AW137" i="3"/>
  <c r="CP137" i="3" s="1"/>
  <c r="CO141" i="3"/>
  <c r="CO146" i="3"/>
  <c r="CP146" i="3" s="1"/>
  <c r="CO153" i="3"/>
  <c r="BL156" i="3"/>
  <c r="CO159" i="3"/>
  <c r="CP159" i="3" s="1"/>
  <c r="CO123" i="3"/>
  <c r="CP123" i="3" s="1"/>
  <c r="CO133" i="3"/>
  <c r="CO135" i="3"/>
  <c r="CO139" i="3"/>
  <c r="CP139" i="3" s="1"/>
  <c r="BG142" i="3"/>
  <c r="CO145" i="3"/>
  <c r="CP145" i="3" s="1"/>
  <c r="CF146" i="3"/>
  <c r="CO149" i="3"/>
  <c r="BL152" i="3"/>
  <c r="CO155" i="3"/>
  <c r="CP155" i="3" s="1"/>
  <c r="BQ157" i="3"/>
  <c r="CP158" i="3"/>
  <c r="BL128" i="3"/>
  <c r="BB129" i="3"/>
  <c r="CA130" i="3"/>
  <c r="CP130" i="3" s="1"/>
  <c r="BQ131" i="3"/>
  <c r="BG132" i="3"/>
  <c r="AW133" i="3"/>
  <c r="CF134" i="3"/>
  <c r="BV135" i="3"/>
  <c r="BL136" i="3"/>
  <c r="BB137" i="3"/>
  <c r="CO143" i="3"/>
  <c r="CP143" i="3" s="1"/>
  <c r="BG146" i="3"/>
  <c r="BL148" i="3"/>
  <c r="CO151" i="3"/>
  <c r="BQ153" i="3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CP141" i="3" l="1"/>
  <c r="CP92" i="3"/>
  <c r="CP102" i="3"/>
  <c r="CP134" i="3"/>
  <c r="CP59" i="3"/>
  <c r="EH63" i="1" s="1"/>
  <c r="CP55" i="3"/>
  <c r="CP151" i="3"/>
  <c r="CP142" i="3"/>
  <c r="CP132" i="3"/>
  <c r="CP133" i="3"/>
  <c r="CP149" i="3"/>
  <c r="CP156" i="3"/>
  <c r="CP78" i="3"/>
  <c r="EH82" i="1" s="1"/>
  <c r="CP76" i="3"/>
  <c r="CP135" i="3"/>
  <c r="CP131" i="3"/>
  <c r="CP153" i="3"/>
  <c r="CP129" i="3"/>
  <c r="EG51" i="1"/>
  <c r="EH51" i="1"/>
  <c r="EG52" i="1"/>
  <c r="EH52" i="1"/>
  <c r="EG53" i="1"/>
  <c r="EH53" i="1"/>
  <c r="EG54" i="1"/>
  <c r="EH54" i="1"/>
  <c r="EG55" i="1"/>
  <c r="EH55" i="1"/>
  <c r="EG56" i="1"/>
  <c r="EH56" i="1"/>
  <c r="EG57" i="1"/>
  <c r="EH57" i="1"/>
  <c r="EG58" i="1"/>
  <c r="EH58" i="1"/>
  <c r="EG59" i="1"/>
  <c r="EH59" i="1"/>
  <c r="EG60" i="1"/>
  <c r="EH60" i="1"/>
  <c r="EG61" i="1"/>
  <c r="EH61" i="1"/>
  <c r="EG62" i="1"/>
  <c r="EH62" i="1"/>
  <c r="EG63" i="1"/>
  <c r="EG64" i="1"/>
  <c r="EH64" i="1"/>
  <c r="EG65" i="1"/>
  <c r="EH65" i="1"/>
  <c r="EG66" i="1"/>
  <c r="EH66" i="1"/>
  <c r="EG67" i="1"/>
  <c r="EH67" i="1"/>
  <c r="EG68" i="1"/>
  <c r="EH68" i="1"/>
  <c r="EG69" i="1"/>
  <c r="EH69" i="1"/>
  <c r="EG70" i="1"/>
  <c r="EH70" i="1"/>
  <c r="EG71" i="1"/>
  <c r="EH71" i="1"/>
  <c r="EG72" i="1"/>
  <c r="EH72" i="1"/>
  <c r="EG73" i="1"/>
  <c r="EH73" i="1"/>
  <c r="EG74" i="1"/>
  <c r="EH74" i="1"/>
  <c r="EG75" i="1"/>
  <c r="EH75" i="1"/>
  <c r="EG76" i="1"/>
  <c r="EH76" i="1"/>
  <c r="EG77" i="1"/>
  <c r="EH77" i="1"/>
  <c r="EG78" i="1"/>
  <c r="EH78" i="1"/>
  <c r="EG79" i="1"/>
  <c r="EH79" i="1"/>
  <c r="EG80" i="1"/>
  <c r="EH80" i="1"/>
  <c r="EG81" i="1"/>
  <c r="EH81" i="1"/>
  <c r="EG82" i="1"/>
  <c r="EG83" i="1"/>
  <c r="EH83" i="1"/>
  <c r="EG84" i="1"/>
  <c r="EH84" i="1"/>
  <c r="EG85" i="1"/>
  <c r="EH85" i="1"/>
  <c r="EG86" i="1"/>
  <c r="EH86" i="1"/>
  <c r="EG87" i="1"/>
  <c r="EH87" i="1"/>
  <c r="EG88" i="1"/>
  <c r="EH88" i="1"/>
  <c r="EG89" i="1"/>
  <c r="EH89" i="1"/>
  <c r="EG90" i="1"/>
  <c r="EH90" i="1"/>
  <c r="EG91" i="1"/>
  <c r="EH91" i="1"/>
  <c r="EG92" i="1"/>
  <c r="EH92" i="1"/>
  <c r="EG93" i="1"/>
  <c r="EH93" i="1"/>
  <c r="EG94" i="1"/>
  <c r="EH94" i="1"/>
  <c r="EG95" i="1"/>
  <c r="EH95" i="1"/>
  <c r="EG96" i="1"/>
  <c r="EH96" i="1"/>
  <c r="EG97" i="1"/>
  <c r="EH97" i="1"/>
  <c r="EG98" i="1"/>
  <c r="EH98" i="1"/>
  <c r="EG99" i="1"/>
  <c r="EH99" i="1"/>
  <c r="EG100" i="1"/>
  <c r="EH100" i="1"/>
  <c r="EG101" i="1"/>
  <c r="EH101" i="1"/>
  <c r="EG102" i="1"/>
  <c r="EH102" i="1"/>
  <c r="EG103" i="1"/>
  <c r="EH103" i="1"/>
  <c r="EG104" i="1"/>
  <c r="EH104" i="1"/>
  <c r="EG105" i="1"/>
  <c r="EH105" i="1"/>
  <c r="EG106" i="1"/>
  <c r="EH106" i="1"/>
  <c r="EG107" i="1"/>
  <c r="EH107" i="1"/>
  <c r="EG108" i="1"/>
  <c r="EH108" i="1"/>
  <c r="EG109" i="1"/>
  <c r="EH109" i="1"/>
  <c r="EG110" i="1"/>
  <c r="EH110" i="1"/>
  <c r="EG111" i="1"/>
  <c r="EH111" i="1"/>
  <c r="EG112" i="1"/>
  <c r="EH112" i="1"/>
  <c r="EG113" i="1"/>
  <c r="EH113" i="1"/>
  <c r="EG114" i="1"/>
  <c r="EH114" i="1"/>
  <c r="EG115" i="1"/>
  <c r="EH115" i="1"/>
  <c r="EG116" i="1"/>
  <c r="EH116" i="1"/>
  <c r="EG117" i="1"/>
  <c r="EH117" i="1"/>
  <c r="EG118" i="1"/>
  <c r="EH118" i="1"/>
  <c r="EG119" i="1"/>
  <c r="EH119" i="1"/>
  <c r="EG120" i="1"/>
  <c r="EH120" i="1"/>
  <c r="EG121" i="1"/>
  <c r="EH121" i="1"/>
  <c r="EG122" i="1"/>
  <c r="EH122" i="1"/>
  <c r="EG123" i="1"/>
  <c r="EH123" i="1"/>
  <c r="EG124" i="1"/>
  <c r="EH124" i="1"/>
  <c r="EG125" i="1"/>
  <c r="EH125" i="1"/>
  <c r="EG126" i="1"/>
  <c r="EH126" i="1"/>
  <c r="EG127" i="1"/>
  <c r="EH127" i="1"/>
  <c r="AS3" i="3" l="1"/>
  <c r="CG3" i="3" s="1"/>
  <c r="AT3" i="3"/>
  <c r="AU3" i="3"/>
  <c r="AV3" i="3"/>
  <c r="AX3" i="3"/>
  <c r="CH3" i="3" s="1"/>
  <c r="AY3" i="3"/>
  <c r="AZ3" i="3"/>
  <c r="BA3" i="3"/>
  <c r="BC3" i="3"/>
  <c r="CI3" i="3" s="1"/>
  <c r="BD3" i="3"/>
  <c r="BE3" i="3"/>
  <c r="BF3" i="3"/>
  <c r="BH3" i="3"/>
  <c r="CJ3" i="3" s="1"/>
  <c r="BI3" i="3"/>
  <c r="BJ3" i="3"/>
  <c r="BK3" i="3"/>
  <c r="BM3" i="3"/>
  <c r="CK3" i="3" s="1"/>
  <c r="BN3" i="3"/>
  <c r="BO3" i="3"/>
  <c r="BP3" i="3"/>
  <c r="BR3" i="3"/>
  <c r="CL3" i="3" s="1"/>
  <c r="BS3" i="3"/>
  <c r="BT3" i="3"/>
  <c r="BU3" i="3"/>
  <c r="BW3" i="3"/>
  <c r="BX3" i="3"/>
  <c r="BY3" i="3"/>
  <c r="BZ3" i="3"/>
  <c r="CB3" i="3"/>
  <c r="CN3" i="3" s="1"/>
  <c r="CC3" i="3"/>
  <c r="CD3" i="3"/>
  <c r="CE3" i="3"/>
  <c r="CM3" i="3"/>
  <c r="AS4" i="3"/>
  <c r="CG4" i="3" s="1"/>
  <c r="AT4" i="3"/>
  <c r="AU4" i="3"/>
  <c r="AV4" i="3"/>
  <c r="AX4" i="3"/>
  <c r="CH4" i="3" s="1"/>
  <c r="AY4" i="3"/>
  <c r="AZ4" i="3"/>
  <c r="BA4" i="3"/>
  <c r="BC4" i="3"/>
  <c r="BD4" i="3"/>
  <c r="BE4" i="3"/>
  <c r="BF4" i="3"/>
  <c r="BH4" i="3"/>
  <c r="CJ4" i="3" s="1"/>
  <c r="BI4" i="3"/>
  <c r="BJ4" i="3"/>
  <c r="BK4" i="3"/>
  <c r="BM4" i="3"/>
  <c r="CK4" i="3" s="1"/>
  <c r="BN4" i="3"/>
  <c r="BO4" i="3"/>
  <c r="BP4" i="3"/>
  <c r="BR4" i="3"/>
  <c r="CL4" i="3" s="1"/>
  <c r="BS4" i="3"/>
  <c r="BT4" i="3"/>
  <c r="BU4" i="3"/>
  <c r="BW4" i="3"/>
  <c r="CM4" i="3" s="1"/>
  <c r="BX4" i="3"/>
  <c r="BY4" i="3"/>
  <c r="BZ4" i="3"/>
  <c r="CB4" i="3"/>
  <c r="CN4" i="3" s="1"/>
  <c r="CC4" i="3"/>
  <c r="CD4" i="3"/>
  <c r="CE4" i="3"/>
  <c r="CI4" i="3"/>
  <c r="AS5" i="3"/>
  <c r="CG5" i="3" s="1"/>
  <c r="AT5" i="3"/>
  <c r="AU5" i="3"/>
  <c r="AV5" i="3"/>
  <c r="AX5" i="3"/>
  <c r="CH5" i="3" s="1"/>
  <c r="AY5" i="3"/>
  <c r="AZ5" i="3"/>
  <c r="BA5" i="3"/>
  <c r="BC5" i="3"/>
  <c r="BD5" i="3"/>
  <c r="BE5" i="3"/>
  <c r="BF5" i="3"/>
  <c r="BH5" i="3"/>
  <c r="CJ5" i="3" s="1"/>
  <c r="BI5" i="3"/>
  <c r="BJ5" i="3"/>
  <c r="BK5" i="3"/>
  <c r="BM5" i="3"/>
  <c r="CK5" i="3" s="1"/>
  <c r="BN5" i="3"/>
  <c r="BO5" i="3"/>
  <c r="BP5" i="3"/>
  <c r="BR5" i="3"/>
  <c r="CL5" i="3" s="1"/>
  <c r="BS5" i="3"/>
  <c r="BT5" i="3"/>
  <c r="BU5" i="3"/>
  <c r="BW5" i="3"/>
  <c r="CM5" i="3" s="1"/>
  <c r="BX5" i="3"/>
  <c r="BY5" i="3"/>
  <c r="BZ5" i="3"/>
  <c r="CB5" i="3"/>
  <c r="CN5" i="3" s="1"/>
  <c r="CC5" i="3"/>
  <c r="CD5" i="3"/>
  <c r="CE5" i="3"/>
  <c r="CI5" i="3"/>
  <c r="AS6" i="3"/>
  <c r="CG6" i="3" s="1"/>
  <c r="AT6" i="3"/>
  <c r="AU6" i="3"/>
  <c r="AV6" i="3"/>
  <c r="AX6" i="3"/>
  <c r="CH6" i="3" s="1"/>
  <c r="AY6" i="3"/>
  <c r="AZ6" i="3"/>
  <c r="BA6" i="3"/>
  <c r="BC6" i="3"/>
  <c r="CI6" i="3" s="1"/>
  <c r="BD6" i="3"/>
  <c r="BE6" i="3"/>
  <c r="BF6" i="3"/>
  <c r="BH6" i="3"/>
  <c r="CJ6" i="3" s="1"/>
  <c r="BI6" i="3"/>
  <c r="BJ6" i="3"/>
  <c r="BK6" i="3"/>
  <c r="BM6" i="3"/>
  <c r="BN6" i="3"/>
  <c r="BO6" i="3"/>
  <c r="BP6" i="3"/>
  <c r="BR6" i="3"/>
  <c r="CL6" i="3" s="1"/>
  <c r="BS6" i="3"/>
  <c r="BT6" i="3"/>
  <c r="BU6" i="3"/>
  <c r="BW6" i="3"/>
  <c r="CM6" i="3" s="1"/>
  <c r="BX6" i="3"/>
  <c r="BY6" i="3"/>
  <c r="BZ6" i="3"/>
  <c r="CB6" i="3"/>
  <c r="CN6" i="3" s="1"/>
  <c r="CC6" i="3"/>
  <c r="CD6" i="3"/>
  <c r="CE6" i="3"/>
  <c r="CK6" i="3"/>
  <c r="AS7" i="3"/>
  <c r="CG7" i="3" s="1"/>
  <c r="AT7" i="3"/>
  <c r="AU7" i="3"/>
  <c r="AV7" i="3"/>
  <c r="AX7" i="3"/>
  <c r="CH7" i="3" s="1"/>
  <c r="AY7" i="3"/>
  <c r="AZ7" i="3"/>
  <c r="BA7" i="3"/>
  <c r="BC7" i="3"/>
  <c r="CI7" i="3" s="1"/>
  <c r="BD7" i="3"/>
  <c r="BE7" i="3"/>
  <c r="BF7" i="3"/>
  <c r="BH7" i="3"/>
  <c r="CJ7" i="3" s="1"/>
  <c r="BI7" i="3"/>
  <c r="BJ7" i="3"/>
  <c r="BK7" i="3"/>
  <c r="BM7" i="3"/>
  <c r="CK7" i="3" s="1"/>
  <c r="BN7" i="3"/>
  <c r="BO7" i="3"/>
  <c r="BP7" i="3"/>
  <c r="BR7" i="3"/>
  <c r="CL7" i="3" s="1"/>
  <c r="BS7" i="3"/>
  <c r="BT7" i="3"/>
  <c r="BU7" i="3"/>
  <c r="BW7" i="3"/>
  <c r="CM7" i="3" s="1"/>
  <c r="BX7" i="3"/>
  <c r="BY7" i="3"/>
  <c r="BZ7" i="3"/>
  <c r="CB7" i="3"/>
  <c r="CN7" i="3" s="1"/>
  <c r="CC7" i="3"/>
  <c r="CD7" i="3"/>
  <c r="CE7" i="3"/>
  <c r="AS8" i="3"/>
  <c r="CG8" i="3" s="1"/>
  <c r="AT8" i="3"/>
  <c r="AU8" i="3"/>
  <c r="AV8" i="3"/>
  <c r="AX8" i="3"/>
  <c r="CH8" i="3" s="1"/>
  <c r="AY8" i="3"/>
  <c r="AZ8" i="3"/>
  <c r="BA8" i="3"/>
  <c r="BC8" i="3"/>
  <c r="BD8" i="3"/>
  <c r="BE8" i="3"/>
  <c r="BF8" i="3"/>
  <c r="BH8" i="3"/>
  <c r="CJ8" i="3" s="1"/>
  <c r="BI8" i="3"/>
  <c r="BJ8" i="3"/>
  <c r="BK8" i="3"/>
  <c r="BM8" i="3"/>
  <c r="CK8" i="3" s="1"/>
  <c r="BN8" i="3"/>
  <c r="BO8" i="3"/>
  <c r="BP8" i="3"/>
  <c r="BR8" i="3"/>
  <c r="CL8" i="3" s="1"/>
  <c r="BS8" i="3"/>
  <c r="BT8" i="3"/>
  <c r="BU8" i="3"/>
  <c r="BW8" i="3"/>
  <c r="CM8" i="3" s="1"/>
  <c r="BX8" i="3"/>
  <c r="BY8" i="3"/>
  <c r="BZ8" i="3"/>
  <c r="CB8" i="3"/>
  <c r="CN8" i="3" s="1"/>
  <c r="CC8" i="3"/>
  <c r="CD8" i="3"/>
  <c r="CE8" i="3"/>
  <c r="CI8" i="3"/>
  <c r="AS9" i="3"/>
  <c r="CG9" i="3" s="1"/>
  <c r="AT9" i="3"/>
  <c r="AU9" i="3"/>
  <c r="AV9" i="3"/>
  <c r="AX9" i="3"/>
  <c r="CH9" i="3" s="1"/>
  <c r="AY9" i="3"/>
  <c r="AZ9" i="3"/>
  <c r="BA9" i="3"/>
  <c r="BC9" i="3"/>
  <c r="CI9" i="3" s="1"/>
  <c r="BD9" i="3"/>
  <c r="BE9" i="3"/>
  <c r="BF9" i="3"/>
  <c r="BH9" i="3"/>
  <c r="CJ9" i="3" s="1"/>
  <c r="BI9" i="3"/>
  <c r="BJ9" i="3"/>
  <c r="BK9" i="3"/>
  <c r="BM9" i="3"/>
  <c r="CK9" i="3" s="1"/>
  <c r="BN9" i="3"/>
  <c r="BO9" i="3"/>
  <c r="BP9" i="3"/>
  <c r="BR9" i="3"/>
  <c r="CL9" i="3" s="1"/>
  <c r="BS9" i="3"/>
  <c r="BT9" i="3"/>
  <c r="BU9" i="3"/>
  <c r="BW9" i="3"/>
  <c r="CM9" i="3" s="1"/>
  <c r="BX9" i="3"/>
  <c r="BY9" i="3"/>
  <c r="BZ9" i="3"/>
  <c r="CB9" i="3"/>
  <c r="CN9" i="3" s="1"/>
  <c r="CC9" i="3"/>
  <c r="CD9" i="3"/>
  <c r="CE9" i="3"/>
  <c r="AS10" i="3"/>
  <c r="CG10" i="3" s="1"/>
  <c r="AT10" i="3"/>
  <c r="AU10" i="3"/>
  <c r="AV10" i="3"/>
  <c r="AX10" i="3"/>
  <c r="CH10" i="3" s="1"/>
  <c r="AY10" i="3"/>
  <c r="AZ10" i="3"/>
  <c r="BA10" i="3"/>
  <c r="BC10" i="3"/>
  <c r="CI10" i="3" s="1"/>
  <c r="BD10" i="3"/>
  <c r="BE10" i="3"/>
  <c r="BF10" i="3"/>
  <c r="BH10" i="3"/>
  <c r="CJ10" i="3" s="1"/>
  <c r="BI10" i="3"/>
  <c r="BJ10" i="3"/>
  <c r="BK10" i="3"/>
  <c r="BM10" i="3"/>
  <c r="CK10" i="3" s="1"/>
  <c r="BN10" i="3"/>
  <c r="BO10" i="3"/>
  <c r="BP10" i="3"/>
  <c r="BR10" i="3"/>
  <c r="CL10" i="3" s="1"/>
  <c r="BS10" i="3"/>
  <c r="BT10" i="3"/>
  <c r="BU10" i="3"/>
  <c r="BW10" i="3"/>
  <c r="CM10" i="3" s="1"/>
  <c r="BX10" i="3"/>
  <c r="BY10" i="3"/>
  <c r="BZ10" i="3"/>
  <c r="CB10" i="3"/>
  <c r="CN10" i="3" s="1"/>
  <c r="CC10" i="3"/>
  <c r="CD10" i="3"/>
  <c r="CE10" i="3"/>
  <c r="AS11" i="3"/>
  <c r="CG11" i="3" s="1"/>
  <c r="AT11" i="3"/>
  <c r="AU11" i="3"/>
  <c r="AV11" i="3"/>
  <c r="AX11" i="3"/>
  <c r="CH11" i="3" s="1"/>
  <c r="AY11" i="3"/>
  <c r="AZ11" i="3"/>
  <c r="BA11" i="3"/>
  <c r="BC11" i="3"/>
  <c r="CI11" i="3" s="1"/>
  <c r="BD11" i="3"/>
  <c r="BE11" i="3"/>
  <c r="BF11" i="3"/>
  <c r="BH11" i="3"/>
  <c r="CJ11" i="3" s="1"/>
  <c r="BI11" i="3"/>
  <c r="BJ11" i="3"/>
  <c r="BK11" i="3"/>
  <c r="BM11" i="3"/>
  <c r="BN11" i="3"/>
  <c r="BO11" i="3"/>
  <c r="BP11" i="3"/>
  <c r="BR11" i="3"/>
  <c r="CL11" i="3" s="1"/>
  <c r="BS11" i="3"/>
  <c r="BT11" i="3"/>
  <c r="BU11" i="3"/>
  <c r="BW11" i="3"/>
  <c r="CM11" i="3" s="1"/>
  <c r="BX11" i="3"/>
  <c r="BY11" i="3"/>
  <c r="BZ11" i="3"/>
  <c r="CB11" i="3"/>
  <c r="CN11" i="3" s="1"/>
  <c r="CC11" i="3"/>
  <c r="CD11" i="3"/>
  <c r="CE11" i="3"/>
  <c r="CK11" i="3"/>
  <c r="AS12" i="3"/>
  <c r="CG12" i="3" s="1"/>
  <c r="AT12" i="3"/>
  <c r="AU12" i="3"/>
  <c r="AV12" i="3"/>
  <c r="AX12" i="3"/>
  <c r="CH12" i="3" s="1"/>
  <c r="AY12" i="3"/>
  <c r="AZ12" i="3"/>
  <c r="BA12" i="3"/>
  <c r="BC12" i="3"/>
  <c r="CI12" i="3" s="1"/>
  <c r="BD12" i="3"/>
  <c r="BE12" i="3"/>
  <c r="BF12" i="3"/>
  <c r="BH12" i="3"/>
  <c r="CJ12" i="3" s="1"/>
  <c r="BI12" i="3"/>
  <c r="BJ12" i="3"/>
  <c r="BK12" i="3"/>
  <c r="BL12" i="3" s="1"/>
  <c r="BM12" i="3"/>
  <c r="CK12" i="3" s="1"/>
  <c r="BN12" i="3"/>
  <c r="BO12" i="3"/>
  <c r="BP12" i="3"/>
  <c r="BR12" i="3"/>
  <c r="CL12" i="3" s="1"/>
  <c r="BS12" i="3"/>
  <c r="BT12" i="3"/>
  <c r="BU12" i="3"/>
  <c r="BV12" i="3" s="1"/>
  <c r="BW12" i="3"/>
  <c r="CM12" i="3" s="1"/>
  <c r="BX12" i="3"/>
  <c r="BY12" i="3"/>
  <c r="BZ12" i="3"/>
  <c r="CB12" i="3"/>
  <c r="CN12" i="3" s="1"/>
  <c r="CC12" i="3"/>
  <c r="CD12" i="3"/>
  <c r="CE12" i="3"/>
  <c r="AS13" i="3"/>
  <c r="CG13" i="3" s="1"/>
  <c r="AT13" i="3"/>
  <c r="AU13" i="3"/>
  <c r="AV13" i="3"/>
  <c r="AX13" i="3"/>
  <c r="CH13" i="3" s="1"/>
  <c r="AY13" i="3"/>
  <c r="AZ13" i="3"/>
  <c r="BA13" i="3"/>
  <c r="BC13" i="3"/>
  <c r="CI13" i="3" s="1"/>
  <c r="BD13" i="3"/>
  <c r="BE13" i="3"/>
  <c r="BF13" i="3"/>
  <c r="BH13" i="3"/>
  <c r="BI13" i="3"/>
  <c r="BJ13" i="3"/>
  <c r="BK13" i="3"/>
  <c r="BM13" i="3"/>
  <c r="CK13" i="3" s="1"/>
  <c r="BN13" i="3"/>
  <c r="BO13" i="3"/>
  <c r="BP13" i="3"/>
  <c r="BR13" i="3"/>
  <c r="CL13" i="3" s="1"/>
  <c r="BS13" i="3"/>
  <c r="BT13" i="3"/>
  <c r="BU13" i="3"/>
  <c r="BW13" i="3"/>
  <c r="CM13" i="3" s="1"/>
  <c r="BX13" i="3"/>
  <c r="BY13" i="3"/>
  <c r="BZ13" i="3"/>
  <c r="CB13" i="3"/>
  <c r="CN13" i="3" s="1"/>
  <c r="CC13" i="3"/>
  <c r="CD13" i="3"/>
  <c r="CE13" i="3"/>
  <c r="CJ13" i="3"/>
  <c r="AS14" i="3"/>
  <c r="CG14" i="3" s="1"/>
  <c r="AT14" i="3"/>
  <c r="AU14" i="3"/>
  <c r="AV14" i="3"/>
  <c r="AX14" i="3"/>
  <c r="CH14" i="3" s="1"/>
  <c r="AY14" i="3"/>
  <c r="AZ14" i="3"/>
  <c r="BA14" i="3"/>
  <c r="BC14" i="3"/>
  <c r="CI14" i="3" s="1"/>
  <c r="BD14" i="3"/>
  <c r="BE14" i="3"/>
  <c r="BF14" i="3"/>
  <c r="BH14" i="3"/>
  <c r="CJ14" i="3" s="1"/>
  <c r="BI14" i="3"/>
  <c r="BJ14" i="3"/>
  <c r="BK14" i="3"/>
  <c r="BM14" i="3"/>
  <c r="CK14" i="3" s="1"/>
  <c r="BN14" i="3"/>
  <c r="BO14" i="3"/>
  <c r="BP14" i="3"/>
  <c r="BR14" i="3"/>
  <c r="CL14" i="3" s="1"/>
  <c r="BS14" i="3"/>
  <c r="BT14" i="3"/>
  <c r="BU14" i="3"/>
  <c r="BW14" i="3"/>
  <c r="CM14" i="3" s="1"/>
  <c r="BX14" i="3"/>
  <c r="BY14" i="3"/>
  <c r="BZ14" i="3"/>
  <c r="CB14" i="3"/>
  <c r="CN14" i="3" s="1"/>
  <c r="CC14" i="3"/>
  <c r="CD14" i="3"/>
  <c r="CE14" i="3"/>
  <c r="AS15" i="3"/>
  <c r="CG15" i="3" s="1"/>
  <c r="AT15" i="3"/>
  <c r="AU15" i="3"/>
  <c r="AV15" i="3"/>
  <c r="AX15" i="3"/>
  <c r="AY15" i="3"/>
  <c r="AZ15" i="3"/>
  <c r="BA15" i="3"/>
  <c r="BC15" i="3"/>
  <c r="CI15" i="3" s="1"/>
  <c r="BD15" i="3"/>
  <c r="BE15" i="3"/>
  <c r="BF15" i="3"/>
  <c r="BH15" i="3"/>
  <c r="CJ15" i="3" s="1"/>
  <c r="BI15" i="3"/>
  <c r="BJ15" i="3"/>
  <c r="BK15" i="3"/>
  <c r="BM15" i="3"/>
  <c r="CK15" i="3" s="1"/>
  <c r="BN15" i="3"/>
  <c r="BO15" i="3"/>
  <c r="BP15" i="3"/>
  <c r="BR15" i="3"/>
  <c r="CL15" i="3" s="1"/>
  <c r="BS15" i="3"/>
  <c r="BT15" i="3"/>
  <c r="BU15" i="3"/>
  <c r="BW15" i="3"/>
  <c r="CM15" i="3" s="1"/>
  <c r="BX15" i="3"/>
  <c r="BY15" i="3"/>
  <c r="BZ15" i="3"/>
  <c r="CB15" i="3"/>
  <c r="CN15" i="3" s="1"/>
  <c r="CC15" i="3"/>
  <c r="CD15" i="3"/>
  <c r="CE15" i="3"/>
  <c r="CH15" i="3"/>
  <c r="AS16" i="3"/>
  <c r="CG16" i="3" s="1"/>
  <c r="AT16" i="3"/>
  <c r="AU16" i="3"/>
  <c r="AV16" i="3"/>
  <c r="AX16" i="3"/>
  <c r="CH16" i="3" s="1"/>
  <c r="AY16" i="3"/>
  <c r="AZ16" i="3"/>
  <c r="BA16" i="3"/>
  <c r="BC16" i="3"/>
  <c r="CI16" i="3" s="1"/>
  <c r="BD16" i="3"/>
  <c r="BE16" i="3"/>
  <c r="BF16" i="3"/>
  <c r="BH16" i="3"/>
  <c r="CJ16" i="3" s="1"/>
  <c r="BI16" i="3"/>
  <c r="BJ16" i="3"/>
  <c r="BK16" i="3"/>
  <c r="BM16" i="3"/>
  <c r="CK16" i="3" s="1"/>
  <c r="BN16" i="3"/>
  <c r="BO16" i="3"/>
  <c r="BP16" i="3"/>
  <c r="BR16" i="3"/>
  <c r="CL16" i="3" s="1"/>
  <c r="BS16" i="3"/>
  <c r="BT16" i="3"/>
  <c r="BU16" i="3"/>
  <c r="BW16" i="3"/>
  <c r="CM16" i="3" s="1"/>
  <c r="BX16" i="3"/>
  <c r="BY16" i="3"/>
  <c r="BZ16" i="3"/>
  <c r="CB16" i="3"/>
  <c r="CN16" i="3" s="1"/>
  <c r="CC16" i="3"/>
  <c r="CD16" i="3"/>
  <c r="CE16" i="3"/>
  <c r="AS17" i="3"/>
  <c r="AT17" i="3"/>
  <c r="AU17" i="3"/>
  <c r="AV17" i="3"/>
  <c r="AX17" i="3"/>
  <c r="CH17" i="3" s="1"/>
  <c r="AY17" i="3"/>
  <c r="AZ17" i="3"/>
  <c r="BA17" i="3"/>
  <c r="BC17" i="3"/>
  <c r="CI17" i="3" s="1"/>
  <c r="BD17" i="3"/>
  <c r="BE17" i="3"/>
  <c r="BF17" i="3"/>
  <c r="BH17" i="3"/>
  <c r="CJ17" i="3" s="1"/>
  <c r="BI17" i="3"/>
  <c r="BJ17" i="3"/>
  <c r="BK17" i="3"/>
  <c r="BM17" i="3"/>
  <c r="CK17" i="3" s="1"/>
  <c r="BN17" i="3"/>
  <c r="BO17" i="3"/>
  <c r="BP17" i="3"/>
  <c r="BR17" i="3"/>
  <c r="CL17" i="3" s="1"/>
  <c r="BS17" i="3"/>
  <c r="BT17" i="3"/>
  <c r="BU17" i="3"/>
  <c r="BW17" i="3"/>
  <c r="CM17" i="3" s="1"/>
  <c r="BX17" i="3"/>
  <c r="BY17" i="3"/>
  <c r="BZ17" i="3"/>
  <c r="CB17" i="3"/>
  <c r="CN17" i="3" s="1"/>
  <c r="CC17" i="3"/>
  <c r="CD17" i="3"/>
  <c r="CE17" i="3"/>
  <c r="CG17" i="3"/>
  <c r="AS18" i="3"/>
  <c r="CG18" i="3" s="1"/>
  <c r="AT18" i="3"/>
  <c r="AU18" i="3"/>
  <c r="AV18" i="3"/>
  <c r="AX18" i="3"/>
  <c r="CH18" i="3" s="1"/>
  <c r="AY18" i="3"/>
  <c r="AZ18" i="3"/>
  <c r="BA18" i="3"/>
  <c r="BC18" i="3"/>
  <c r="BD18" i="3"/>
  <c r="BE18" i="3"/>
  <c r="BF18" i="3"/>
  <c r="BH18" i="3"/>
  <c r="CJ18" i="3" s="1"/>
  <c r="BI18" i="3"/>
  <c r="BJ18" i="3"/>
  <c r="BK18" i="3"/>
  <c r="BM18" i="3"/>
  <c r="CK18" i="3" s="1"/>
  <c r="BN18" i="3"/>
  <c r="BO18" i="3"/>
  <c r="BP18" i="3"/>
  <c r="BR18" i="3"/>
  <c r="CL18" i="3" s="1"/>
  <c r="BS18" i="3"/>
  <c r="BT18" i="3"/>
  <c r="BU18" i="3"/>
  <c r="BW18" i="3"/>
  <c r="CM18" i="3" s="1"/>
  <c r="BX18" i="3"/>
  <c r="BY18" i="3"/>
  <c r="BZ18" i="3"/>
  <c r="CB18" i="3"/>
  <c r="CN18" i="3" s="1"/>
  <c r="CC18" i="3"/>
  <c r="CD18" i="3"/>
  <c r="CE18" i="3"/>
  <c r="CI18" i="3"/>
  <c r="AS19" i="3"/>
  <c r="AT19" i="3"/>
  <c r="AU19" i="3"/>
  <c r="AV19" i="3"/>
  <c r="AX19" i="3"/>
  <c r="CH19" i="3" s="1"/>
  <c r="AY19" i="3"/>
  <c r="AZ19" i="3"/>
  <c r="BA19" i="3"/>
  <c r="BC19" i="3"/>
  <c r="CI19" i="3" s="1"/>
  <c r="BD19" i="3"/>
  <c r="BE19" i="3"/>
  <c r="BF19" i="3"/>
  <c r="BH19" i="3"/>
  <c r="CJ19" i="3" s="1"/>
  <c r="BI19" i="3"/>
  <c r="BJ19" i="3"/>
  <c r="BK19" i="3"/>
  <c r="BM19" i="3"/>
  <c r="CK19" i="3" s="1"/>
  <c r="BN19" i="3"/>
  <c r="BO19" i="3"/>
  <c r="BP19" i="3"/>
  <c r="BR19" i="3"/>
  <c r="CL19" i="3" s="1"/>
  <c r="BS19" i="3"/>
  <c r="BT19" i="3"/>
  <c r="BU19" i="3"/>
  <c r="BW19" i="3"/>
  <c r="CM19" i="3" s="1"/>
  <c r="BX19" i="3"/>
  <c r="BY19" i="3"/>
  <c r="BZ19" i="3"/>
  <c r="CB19" i="3"/>
  <c r="CN19" i="3" s="1"/>
  <c r="CC19" i="3"/>
  <c r="CD19" i="3"/>
  <c r="CE19" i="3"/>
  <c r="CG19" i="3"/>
  <c r="AS20" i="3"/>
  <c r="AT20" i="3"/>
  <c r="AU20" i="3"/>
  <c r="AV20" i="3"/>
  <c r="AX20" i="3"/>
  <c r="CH20" i="3" s="1"/>
  <c r="AY20" i="3"/>
  <c r="AZ20" i="3"/>
  <c r="BA20" i="3"/>
  <c r="BC20" i="3"/>
  <c r="CI20" i="3" s="1"/>
  <c r="BD20" i="3"/>
  <c r="BE20" i="3"/>
  <c r="BF20" i="3"/>
  <c r="BH20" i="3"/>
  <c r="CJ20" i="3" s="1"/>
  <c r="BI20" i="3"/>
  <c r="BJ20" i="3"/>
  <c r="BK20" i="3"/>
  <c r="BM20" i="3"/>
  <c r="CK20" i="3" s="1"/>
  <c r="BN20" i="3"/>
  <c r="BO20" i="3"/>
  <c r="BP20" i="3"/>
  <c r="BR20" i="3"/>
  <c r="CL20" i="3" s="1"/>
  <c r="BS20" i="3"/>
  <c r="BT20" i="3"/>
  <c r="BU20" i="3"/>
  <c r="BW20" i="3"/>
  <c r="CM20" i="3" s="1"/>
  <c r="BX20" i="3"/>
  <c r="BY20" i="3"/>
  <c r="BZ20" i="3"/>
  <c r="CB20" i="3"/>
  <c r="CN20" i="3" s="1"/>
  <c r="CC20" i="3"/>
  <c r="CD20" i="3"/>
  <c r="CE20" i="3"/>
  <c r="CG20" i="3"/>
  <c r="AS21" i="3"/>
  <c r="AT21" i="3"/>
  <c r="AU21" i="3"/>
  <c r="AV21" i="3"/>
  <c r="AX21" i="3"/>
  <c r="CH21" i="3" s="1"/>
  <c r="AY21" i="3"/>
  <c r="AZ21" i="3"/>
  <c r="BA21" i="3"/>
  <c r="BC21" i="3"/>
  <c r="CI21" i="3" s="1"/>
  <c r="BD21" i="3"/>
  <c r="BE21" i="3"/>
  <c r="BF21" i="3"/>
  <c r="BH21" i="3"/>
  <c r="CJ21" i="3" s="1"/>
  <c r="BI21" i="3"/>
  <c r="BJ21" i="3"/>
  <c r="BK21" i="3"/>
  <c r="BM21" i="3"/>
  <c r="CK21" i="3" s="1"/>
  <c r="BN21" i="3"/>
  <c r="BO21" i="3"/>
  <c r="BP21" i="3"/>
  <c r="BR21" i="3"/>
  <c r="CL21" i="3" s="1"/>
  <c r="BS21" i="3"/>
  <c r="BT21" i="3"/>
  <c r="BU21" i="3"/>
  <c r="BW21" i="3"/>
  <c r="CM21" i="3" s="1"/>
  <c r="BX21" i="3"/>
  <c r="BY21" i="3"/>
  <c r="BZ21" i="3"/>
  <c r="CB21" i="3"/>
  <c r="CN21" i="3" s="1"/>
  <c r="CC21" i="3"/>
  <c r="CD21" i="3"/>
  <c r="CE21" i="3"/>
  <c r="CG21" i="3"/>
  <c r="AS22" i="3"/>
  <c r="CG22" i="3" s="1"/>
  <c r="AT22" i="3"/>
  <c r="AU22" i="3"/>
  <c r="AV22" i="3"/>
  <c r="AX22" i="3"/>
  <c r="CH22" i="3" s="1"/>
  <c r="AY22" i="3"/>
  <c r="AZ22" i="3"/>
  <c r="BA22" i="3"/>
  <c r="BC22" i="3"/>
  <c r="CI22" i="3" s="1"/>
  <c r="BD22" i="3"/>
  <c r="BE22" i="3"/>
  <c r="BF22" i="3"/>
  <c r="BH22" i="3"/>
  <c r="CJ22" i="3" s="1"/>
  <c r="BI22" i="3"/>
  <c r="BJ22" i="3"/>
  <c r="BK22" i="3"/>
  <c r="BM22" i="3"/>
  <c r="CK22" i="3" s="1"/>
  <c r="BN22" i="3"/>
  <c r="BO22" i="3"/>
  <c r="BP22" i="3"/>
  <c r="BR22" i="3"/>
  <c r="CL22" i="3" s="1"/>
  <c r="BS22" i="3"/>
  <c r="BT22" i="3"/>
  <c r="BU22" i="3"/>
  <c r="BW22" i="3"/>
  <c r="CM22" i="3" s="1"/>
  <c r="BX22" i="3"/>
  <c r="BY22" i="3"/>
  <c r="BZ22" i="3"/>
  <c r="CB22" i="3"/>
  <c r="CN22" i="3" s="1"/>
  <c r="CC22" i="3"/>
  <c r="CD22" i="3"/>
  <c r="CE22" i="3"/>
  <c r="AS23" i="3"/>
  <c r="CG23" i="3" s="1"/>
  <c r="AT23" i="3"/>
  <c r="AU23" i="3"/>
  <c r="AV23" i="3"/>
  <c r="AX23" i="3"/>
  <c r="CH23" i="3" s="1"/>
  <c r="AY23" i="3"/>
  <c r="AZ23" i="3"/>
  <c r="BA23" i="3"/>
  <c r="BC23" i="3"/>
  <c r="CI23" i="3" s="1"/>
  <c r="BD23" i="3"/>
  <c r="BE23" i="3"/>
  <c r="BF23" i="3"/>
  <c r="BH23" i="3"/>
  <c r="CJ23" i="3" s="1"/>
  <c r="BI23" i="3"/>
  <c r="BJ23" i="3"/>
  <c r="BK23" i="3"/>
  <c r="BM23" i="3"/>
  <c r="CK23" i="3" s="1"/>
  <c r="BN23" i="3"/>
  <c r="BO23" i="3"/>
  <c r="BP23" i="3"/>
  <c r="BR23" i="3"/>
  <c r="CL23" i="3" s="1"/>
  <c r="BS23" i="3"/>
  <c r="BT23" i="3"/>
  <c r="BU23" i="3"/>
  <c r="BW23" i="3"/>
  <c r="CM23" i="3" s="1"/>
  <c r="BX23" i="3"/>
  <c r="BY23" i="3"/>
  <c r="BZ23" i="3"/>
  <c r="CB23" i="3"/>
  <c r="CN23" i="3" s="1"/>
  <c r="CC23" i="3"/>
  <c r="CD23" i="3"/>
  <c r="CE23" i="3"/>
  <c r="AS24" i="3"/>
  <c r="AT24" i="3"/>
  <c r="AU24" i="3"/>
  <c r="AV24" i="3"/>
  <c r="AX24" i="3"/>
  <c r="CH24" i="3" s="1"/>
  <c r="AY24" i="3"/>
  <c r="AZ24" i="3"/>
  <c r="BA24" i="3"/>
  <c r="BC24" i="3"/>
  <c r="CI24" i="3" s="1"/>
  <c r="BD24" i="3"/>
  <c r="BE24" i="3"/>
  <c r="BF24" i="3"/>
  <c r="BH24" i="3"/>
  <c r="CJ24" i="3" s="1"/>
  <c r="BI24" i="3"/>
  <c r="BJ24" i="3"/>
  <c r="BK24" i="3"/>
  <c r="BM24" i="3"/>
  <c r="CK24" i="3" s="1"/>
  <c r="BN24" i="3"/>
  <c r="BO24" i="3"/>
  <c r="BP24" i="3"/>
  <c r="BR24" i="3"/>
  <c r="CL24" i="3" s="1"/>
  <c r="BS24" i="3"/>
  <c r="BT24" i="3"/>
  <c r="BU24" i="3"/>
  <c r="BW24" i="3"/>
  <c r="CM24" i="3" s="1"/>
  <c r="BX24" i="3"/>
  <c r="BY24" i="3"/>
  <c r="BZ24" i="3"/>
  <c r="CB24" i="3"/>
  <c r="CN24" i="3" s="1"/>
  <c r="CC24" i="3"/>
  <c r="CD24" i="3"/>
  <c r="CE24" i="3"/>
  <c r="CG24" i="3"/>
  <c r="AS25" i="3"/>
  <c r="CG25" i="3" s="1"/>
  <c r="AT25" i="3"/>
  <c r="AU25" i="3"/>
  <c r="AV25" i="3"/>
  <c r="AX25" i="3"/>
  <c r="CH25" i="3" s="1"/>
  <c r="AY25" i="3"/>
  <c r="AZ25" i="3"/>
  <c r="BA25" i="3"/>
  <c r="BC25" i="3"/>
  <c r="CI25" i="3" s="1"/>
  <c r="BD25" i="3"/>
  <c r="BE25" i="3"/>
  <c r="BF25" i="3"/>
  <c r="BH25" i="3"/>
  <c r="CJ25" i="3" s="1"/>
  <c r="BI25" i="3"/>
  <c r="BJ25" i="3"/>
  <c r="BK25" i="3"/>
  <c r="BM25" i="3"/>
  <c r="CK25" i="3" s="1"/>
  <c r="BN25" i="3"/>
  <c r="BO25" i="3"/>
  <c r="BP25" i="3"/>
  <c r="BR25" i="3"/>
  <c r="CL25" i="3" s="1"/>
  <c r="BS25" i="3"/>
  <c r="BT25" i="3"/>
  <c r="BU25" i="3"/>
  <c r="BW25" i="3"/>
  <c r="CM25" i="3" s="1"/>
  <c r="BX25" i="3"/>
  <c r="BY25" i="3"/>
  <c r="BZ25" i="3"/>
  <c r="CB25" i="3"/>
  <c r="CN25" i="3" s="1"/>
  <c r="CC25" i="3"/>
  <c r="CD25" i="3"/>
  <c r="CE25" i="3"/>
  <c r="AS26" i="3"/>
  <c r="CG26" i="3" s="1"/>
  <c r="AT26" i="3"/>
  <c r="AU26" i="3"/>
  <c r="AV26" i="3"/>
  <c r="AX26" i="3"/>
  <c r="CH26" i="3" s="1"/>
  <c r="AY26" i="3"/>
  <c r="AZ26" i="3"/>
  <c r="BA26" i="3"/>
  <c r="BC26" i="3"/>
  <c r="CI26" i="3" s="1"/>
  <c r="BD26" i="3"/>
  <c r="BE26" i="3"/>
  <c r="BF26" i="3"/>
  <c r="BH26" i="3"/>
  <c r="CJ26" i="3" s="1"/>
  <c r="BI26" i="3"/>
  <c r="BJ26" i="3"/>
  <c r="BK26" i="3"/>
  <c r="BM26" i="3"/>
  <c r="CK26" i="3" s="1"/>
  <c r="BN26" i="3"/>
  <c r="BO26" i="3"/>
  <c r="BP26" i="3"/>
  <c r="BR26" i="3"/>
  <c r="CL26" i="3" s="1"/>
  <c r="BS26" i="3"/>
  <c r="BT26" i="3"/>
  <c r="BU26" i="3"/>
  <c r="BW26" i="3"/>
  <c r="CM26" i="3" s="1"/>
  <c r="BX26" i="3"/>
  <c r="BY26" i="3"/>
  <c r="BZ26" i="3"/>
  <c r="CB26" i="3"/>
  <c r="CN26" i="3" s="1"/>
  <c r="CC26" i="3"/>
  <c r="CD26" i="3"/>
  <c r="CE26" i="3"/>
  <c r="AS27" i="3"/>
  <c r="CG27" i="3" s="1"/>
  <c r="AT27" i="3"/>
  <c r="AU27" i="3"/>
  <c r="AV27" i="3"/>
  <c r="AX27" i="3"/>
  <c r="CH27" i="3" s="1"/>
  <c r="AY27" i="3"/>
  <c r="AZ27" i="3"/>
  <c r="BA27" i="3"/>
  <c r="BC27" i="3"/>
  <c r="CI27" i="3" s="1"/>
  <c r="BD27" i="3"/>
  <c r="BE27" i="3"/>
  <c r="BF27" i="3"/>
  <c r="BH27" i="3"/>
  <c r="CJ27" i="3" s="1"/>
  <c r="BI27" i="3"/>
  <c r="BJ27" i="3"/>
  <c r="BK27" i="3"/>
  <c r="BM27" i="3"/>
  <c r="BN27" i="3"/>
  <c r="BO27" i="3"/>
  <c r="BP27" i="3"/>
  <c r="BR27" i="3"/>
  <c r="CL27" i="3" s="1"/>
  <c r="BS27" i="3"/>
  <c r="BT27" i="3"/>
  <c r="BU27" i="3"/>
  <c r="BW27" i="3"/>
  <c r="CM27" i="3" s="1"/>
  <c r="BX27" i="3"/>
  <c r="BY27" i="3"/>
  <c r="BZ27" i="3"/>
  <c r="CB27" i="3"/>
  <c r="CN27" i="3" s="1"/>
  <c r="CC27" i="3"/>
  <c r="CD27" i="3"/>
  <c r="CE27" i="3"/>
  <c r="CK27" i="3"/>
  <c r="AS28" i="3"/>
  <c r="CG28" i="3" s="1"/>
  <c r="AT28" i="3"/>
  <c r="AU28" i="3"/>
  <c r="AV28" i="3"/>
  <c r="AX28" i="3"/>
  <c r="CH28" i="3" s="1"/>
  <c r="AY28" i="3"/>
  <c r="AZ28" i="3"/>
  <c r="BA28" i="3"/>
  <c r="BC28" i="3"/>
  <c r="CI28" i="3" s="1"/>
  <c r="BD28" i="3"/>
  <c r="BE28" i="3"/>
  <c r="BF28" i="3"/>
  <c r="BH28" i="3"/>
  <c r="CJ28" i="3" s="1"/>
  <c r="BI28" i="3"/>
  <c r="BJ28" i="3"/>
  <c r="BK28" i="3"/>
  <c r="BM28" i="3"/>
  <c r="CK28" i="3" s="1"/>
  <c r="BN28" i="3"/>
  <c r="BO28" i="3"/>
  <c r="BP28" i="3"/>
  <c r="BR28" i="3"/>
  <c r="CL28" i="3" s="1"/>
  <c r="BS28" i="3"/>
  <c r="BT28" i="3"/>
  <c r="BU28" i="3"/>
  <c r="BW28" i="3"/>
  <c r="CM28" i="3" s="1"/>
  <c r="BX28" i="3"/>
  <c r="BY28" i="3"/>
  <c r="BZ28" i="3"/>
  <c r="CB28" i="3"/>
  <c r="CN28" i="3" s="1"/>
  <c r="CC28" i="3"/>
  <c r="CD28" i="3"/>
  <c r="CE28" i="3"/>
  <c r="AS29" i="3"/>
  <c r="CG29" i="3" s="1"/>
  <c r="AT29" i="3"/>
  <c r="AU29" i="3"/>
  <c r="AV29" i="3"/>
  <c r="AX29" i="3"/>
  <c r="CH29" i="3" s="1"/>
  <c r="AY29" i="3"/>
  <c r="AZ29" i="3"/>
  <c r="BA29" i="3"/>
  <c r="BC29" i="3"/>
  <c r="CI29" i="3" s="1"/>
  <c r="BD29" i="3"/>
  <c r="BE29" i="3"/>
  <c r="BF29" i="3"/>
  <c r="BH29" i="3"/>
  <c r="CJ29" i="3" s="1"/>
  <c r="BI29" i="3"/>
  <c r="BJ29" i="3"/>
  <c r="BK29" i="3"/>
  <c r="BM29" i="3"/>
  <c r="CK29" i="3" s="1"/>
  <c r="BN29" i="3"/>
  <c r="BO29" i="3"/>
  <c r="BP29" i="3"/>
  <c r="BR29" i="3"/>
  <c r="CL29" i="3" s="1"/>
  <c r="BS29" i="3"/>
  <c r="BT29" i="3"/>
  <c r="BU29" i="3"/>
  <c r="BW29" i="3"/>
  <c r="CM29" i="3" s="1"/>
  <c r="BX29" i="3"/>
  <c r="BY29" i="3"/>
  <c r="BZ29" i="3"/>
  <c r="CB29" i="3"/>
  <c r="CN29" i="3" s="1"/>
  <c r="CC29" i="3"/>
  <c r="CD29" i="3"/>
  <c r="CE29" i="3"/>
  <c r="AS30" i="3"/>
  <c r="CG30" i="3" s="1"/>
  <c r="AT30" i="3"/>
  <c r="AU30" i="3"/>
  <c r="AV30" i="3"/>
  <c r="AX30" i="3"/>
  <c r="CH30" i="3" s="1"/>
  <c r="AY30" i="3"/>
  <c r="AZ30" i="3"/>
  <c r="BB30" i="3" s="1"/>
  <c r="BA30" i="3"/>
  <c r="BC30" i="3"/>
  <c r="CI30" i="3" s="1"/>
  <c r="BD30" i="3"/>
  <c r="BE30" i="3"/>
  <c r="BF30" i="3"/>
  <c r="BH30" i="3"/>
  <c r="CJ30" i="3" s="1"/>
  <c r="BI30" i="3"/>
  <c r="BJ30" i="3"/>
  <c r="BK30" i="3"/>
  <c r="BM30" i="3"/>
  <c r="BN30" i="3"/>
  <c r="BO30" i="3"/>
  <c r="BP30" i="3"/>
  <c r="BR30" i="3"/>
  <c r="CL30" i="3" s="1"/>
  <c r="BS30" i="3"/>
  <c r="BT30" i="3"/>
  <c r="BU30" i="3"/>
  <c r="BW30" i="3"/>
  <c r="CM30" i="3" s="1"/>
  <c r="BX30" i="3"/>
  <c r="BY30" i="3"/>
  <c r="BZ30" i="3"/>
  <c r="CB30" i="3"/>
  <c r="CN30" i="3" s="1"/>
  <c r="CC30" i="3"/>
  <c r="CD30" i="3"/>
  <c r="CE30" i="3"/>
  <c r="CK30" i="3"/>
  <c r="AS31" i="3"/>
  <c r="CG31" i="3" s="1"/>
  <c r="AT31" i="3"/>
  <c r="AU31" i="3"/>
  <c r="AV31" i="3"/>
  <c r="AX31" i="3"/>
  <c r="CH31" i="3" s="1"/>
  <c r="AY31" i="3"/>
  <c r="AZ31" i="3"/>
  <c r="BA31" i="3"/>
  <c r="BC31" i="3"/>
  <c r="CI31" i="3" s="1"/>
  <c r="BD31" i="3"/>
  <c r="BE31" i="3"/>
  <c r="BF31" i="3"/>
  <c r="BH31" i="3"/>
  <c r="CJ31" i="3" s="1"/>
  <c r="BI31" i="3"/>
  <c r="BJ31" i="3"/>
  <c r="BK31" i="3"/>
  <c r="BM31" i="3"/>
  <c r="CK31" i="3" s="1"/>
  <c r="BN31" i="3"/>
  <c r="BO31" i="3"/>
  <c r="BP31" i="3"/>
  <c r="BR31" i="3"/>
  <c r="CL31" i="3" s="1"/>
  <c r="BS31" i="3"/>
  <c r="BT31" i="3"/>
  <c r="BU31" i="3"/>
  <c r="BW31" i="3"/>
  <c r="CM31" i="3" s="1"/>
  <c r="BX31" i="3"/>
  <c r="BY31" i="3"/>
  <c r="BZ31" i="3"/>
  <c r="CB31" i="3"/>
  <c r="CN31" i="3" s="1"/>
  <c r="CC31" i="3"/>
  <c r="CD31" i="3"/>
  <c r="CE31" i="3"/>
  <c r="AS32" i="3"/>
  <c r="CG32" i="3" s="1"/>
  <c r="AT32" i="3"/>
  <c r="AU32" i="3"/>
  <c r="AV32" i="3"/>
  <c r="AX32" i="3"/>
  <c r="CH32" i="3" s="1"/>
  <c r="AY32" i="3"/>
  <c r="AZ32" i="3"/>
  <c r="BA32" i="3"/>
  <c r="BC32" i="3"/>
  <c r="CI32" i="3" s="1"/>
  <c r="BD32" i="3"/>
  <c r="BE32" i="3"/>
  <c r="BF32" i="3"/>
  <c r="BH32" i="3"/>
  <c r="CJ32" i="3" s="1"/>
  <c r="BI32" i="3"/>
  <c r="BJ32" i="3"/>
  <c r="BK32" i="3"/>
  <c r="BM32" i="3"/>
  <c r="CK32" i="3" s="1"/>
  <c r="BN32" i="3"/>
  <c r="BO32" i="3"/>
  <c r="BP32" i="3"/>
  <c r="BR32" i="3"/>
  <c r="CL32" i="3" s="1"/>
  <c r="BS32" i="3"/>
  <c r="BT32" i="3"/>
  <c r="BU32" i="3"/>
  <c r="BW32" i="3"/>
  <c r="CM32" i="3" s="1"/>
  <c r="BX32" i="3"/>
  <c r="BY32" i="3"/>
  <c r="BZ32" i="3"/>
  <c r="CB32" i="3"/>
  <c r="CN32" i="3" s="1"/>
  <c r="CC32" i="3"/>
  <c r="CD32" i="3"/>
  <c r="CE32" i="3"/>
  <c r="AS33" i="3"/>
  <c r="CG33" i="3" s="1"/>
  <c r="AT33" i="3"/>
  <c r="AU33" i="3"/>
  <c r="AV33" i="3"/>
  <c r="AX33" i="3"/>
  <c r="CH33" i="3" s="1"/>
  <c r="AY33" i="3"/>
  <c r="AZ33" i="3"/>
  <c r="BA33" i="3"/>
  <c r="BC33" i="3"/>
  <c r="CI33" i="3" s="1"/>
  <c r="BD33" i="3"/>
  <c r="BE33" i="3"/>
  <c r="BF33" i="3"/>
  <c r="BH33" i="3"/>
  <c r="CJ33" i="3" s="1"/>
  <c r="BI33" i="3"/>
  <c r="BJ33" i="3"/>
  <c r="BK33" i="3"/>
  <c r="BM33" i="3"/>
  <c r="CK33" i="3" s="1"/>
  <c r="BN33" i="3"/>
  <c r="BO33" i="3"/>
  <c r="BP33" i="3"/>
  <c r="BR33" i="3"/>
  <c r="CL33" i="3" s="1"/>
  <c r="BS33" i="3"/>
  <c r="BT33" i="3"/>
  <c r="BU33" i="3"/>
  <c r="BW33" i="3"/>
  <c r="BX33" i="3"/>
  <c r="BY33" i="3"/>
  <c r="BZ33" i="3"/>
  <c r="CB33" i="3"/>
  <c r="CN33" i="3" s="1"/>
  <c r="CC33" i="3"/>
  <c r="CD33" i="3"/>
  <c r="CE33" i="3"/>
  <c r="CM33" i="3"/>
  <c r="AS34" i="3"/>
  <c r="CG34" i="3" s="1"/>
  <c r="AT34" i="3"/>
  <c r="AU34" i="3"/>
  <c r="AV34" i="3"/>
  <c r="AX34" i="3"/>
  <c r="CH34" i="3" s="1"/>
  <c r="AY34" i="3"/>
  <c r="AZ34" i="3"/>
  <c r="BA34" i="3"/>
  <c r="BC34" i="3"/>
  <c r="CI34" i="3" s="1"/>
  <c r="BD34" i="3"/>
  <c r="BE34" i="3"/>
  <c r="BF34" i="3"/>
  <c r="BH34" i="3"/>
  <c r="CJ34" i="3" s="1"/>
  <c r="BI34" i="3"/>
  <c r="BJ34" i="3"/>
  <c r="BK34" i="3"/>
  <c r="BM34" i="3"/>
  <c r="CK34" i="3" s="1"/>
  <c r="BN34" i="3"/>
  <c r="BO34" i="3"/>
  <c r="BP34" i="3"/>
  <c r="BR34" i="3"/>
  <c r="CL34" i="3" s="1"/>
  <c r="BS34" i="3"/>
  <c r="BT34" i="3"/>
  <c r="BU34" i="3"/>
  <c r="BW34" i="3"/>
  <c r="BX34" i="3"/>
  <c r="BY34" i="3"/>
  <c r="BZ34" i="3"/>
  <c r="CB34" i="3"/>
  <c r="CN34" i="3" s="1"/>
  <c r="CC34" i="3"/>
  <c r="CD34" i="3"/>
  <c r="CE34" i="3"/>
  <c r="CM34" i="3"/>
  <c r="AS35" i="3"/>
  <c r="CG35" i="3" s="1"/>
  <c r="AT35" i="3"/>
  <c r="AU35" i="3"/>
  <c r="AV35" i="3"/>
  <c r="AX35" i="3"/>
  <c r="CH35" i="3" s="1"/>
  <c r="AY35" i="3"/>
  <c r="AZ35" i="3"/>
  <c r="BA35" i="3"/>
  <c r="BC35" i="3"/>
  <c r="CI35" i="3" s="1"/>
  <c r="BD35" i="3"/>
  <c r="BE35" i="3"/>
  <c r="BF35" i="3"/>
  <c r="BH35" i="3"/>
  <c r="CJ35" i="3" s="1"/>
  <c r="BI35" i="3"/>
  <c r="BJ35" i="3"/>
  <c r="BK35" i="3"/>
  <c r="BM35" i="3"/>
  <c r="CK35" i="3" s="1"/>
  <c r="BN35" i="3"/>
  <c r="BO35" i="3"/>
  <c r="BP35" i="3"/>
  <c r="BR35" i="3"/>
  <c r="CL35" i="3" s="1"/>
  <c r="BS35" i="3"/>
  <c r="BT35" i="3"/>
  <c r="BU35" i="3"/>
  <c r="BW35" i="3"/>
  <c r="CM35" i="3" s="1"/>
  <c r="BX35" i="3"/>
  <c r="BY35" i="3"/>
  <c r="BZ35" i="3"/>
  <c r="CB35" i="3"/>
  <c r="CN35" i="3" s="1"/>
  <c r="CC35" i="3"/>
  <c r="CD35" i="3"/>
  <c r="CE35" i="3"/>
  <c r="AS36" i="3"/>
  <c r="CG36" i="3" s="1"/>
  <c r="AT36" i="3"/>
  <c r="AU36" i="3"/>
  <c r="AV36" i="3"/>
  <c r="AX36" i="3"/>
  <c r="CH36" i="3" s="1"/>
  <c r="AY36" i="3"/>
  <c r="AZ36" i="3"/>
  <c r="BA36" i="3"/>
  <c r="BC36" i="3"/>
  <c r="CI36" i="3" s="1"/>
  <c r="BD36" i="3"/>
  <c r="BE36" i="3"/>
  <c r="BF36" i="3"/>
  <c r="BH36" i="3"/>
  <c r="CJ36" i="3" s="1"/>
  <c r="BI36" i="3"/>
  <c r="BJ36" i="3"/>
  <c r="BK36" i="3"/>
  <c r="BM36" i="3"/>
  <c r="CK36" i="3" s="1"/>
  <c r="BN36" i="3"/>
  <c r="BO36" i="3"/>
  <c r="BP36" i="3"/>
  <c r="BR36" i="3"/>
  <c r="CL36" i="3" s="1"/>
  <c r="BS36" i="3"/>
  <c r="BT36" i="3"/>
  <c r="BU36" i="3"/>
  <c r="BW36" i="3"/>
  <c r="CM36" i="3" s="1"/>
  <c r="BX36" i="3"/>
  <c r="BY36" i="3"/>
  <c r="BZ36" i="3"/>
  <c r="CB36" i="3"/>
  <c r="CN36" i="3" s="1"/>
  <c r="CC36" i="3"/>
  <c r="CD36" i="3"/>
  <c r="CE36" i="3"/>
  <c r="AS37" i="3"/>
  <c r="CG37" i="3" s="1"/>
  <c r="AT37" i="3"/>
  <c r="AU37" i="3"/>
  <c r="AV37" i="3"/>
  <c r="AX37" i="3"/>
  <c r="CH37" i="3" s="1"/>
  <c r="AY37" i="3"/>
  <c r="AZ37" i="3"/>
  <c r="BA37" i="3"/>
  <c r="BC37" i="3"/>
  <c r="CI37" i="3" s="1"/>
  <c r="BD37" i="3"/>
  <c r="BE37" i="3"/>
  <c r="BF37" i="3"/>
  <c r="BH37" i="3"/>
  <c r="CJ37" i="3" s="1"/>
  <c r="BI37" i="3"/>
  <c r="BJ37" i="3"/>
  <c r="BK37" i="3"/>
  <c r="BM37" i="3"/>
  <c r="CK37" i="3" s="1"/>
  <c r="BN37" i="3"/>
  <c r="BO37" i="3"/>
  <c r="BP37" i="3"/>
  <c r="BR37" i="3"/>
  <c r="CL37" i="3" s="1"/>
  <c r="BS37" i="3"/>
  <c r="BT37" i="3"/>
  <c r="BU37" i="3"/>
  <c r="BW37" i="3"/>
  <c r="CM37" i="3" s="1"/>
  <c r="BX37" i="3"/>
  <c r="BY37" i="3"/>
  <c r="BZ37" i="3"/>
  <c r="CB37" i="3"/>
  <c r="CN37" i="3" s="1"/>
  <c r="CC37" i="3"/>
  <c r="CD37" i="3"/>
  <c r="CE37" i="3"/>
  <c r="AS38" i="3"/>
  <c r="CG38" i="3" s="1"/>
  <c r="AT38" i="3"/>
  <c r="AU38" i="3"/>
  <c r="AV38" i="3"/>
  <c r="AX38" i="3"/>
  <c r="CH38" i="3" s="1"/>
  <c r="AY38" i="3"/>
  <c r="AZ38" i="3"/>
  <c r="BA38" i="3"/>
  <c r="BC38" i="3"/>
  <c r="CI38" i="3" s="1"/>
  <c r="BD38" i="3"/>
  <c r="BE38" i="3"/>
  <c r="BF38" i="3"/>
  <c r="BH38" i="3"/>
  <c r="CJ38" i="3" s="1"/>
  <c r="BI38" i="3"/>
  <c r="BJ38" i="3"/>
  <c r="BK38" i="3"/>
  <c r="BM38" i="3"/>
  <c r="CK38" i="3" s="1"/>
  <c r="BN38" i="3"/>
  <c r="BO38" i="3"/>
  <c r="BP38" i="3"/>
  <c r="BR38" i="3"/>
  <c r="CL38" i="3" s="1"/>
  <c r="BS38" i="3"/>
  <c r="BT38" i="3"/>
  <c r="BU38" i="3"/>
  <c r="BW38" i="3"/>
  <c r="CM38" i="3" s="1"/>
  <c r="BX38" i="3"/>
  <c r="BY38" i="3"/>
  <c r="BZ38" i="3"/>
  <c r="CB38" i="3"/>
  <c r="CN38" i="3" s="1"/>
  <c r="CC38" i="3"/>
  <c r="CD38" i="3"/>
  <c r="CE38" i="3"/>
  <c r="AS39" i="3"/>
  <c r="CG39" i="3" s="1"/>
  <c r="AT39" i="3"/>
  <c r="AU39" i="3"/>
  <c r="AV39" i="3"/>
  <c r="AX39" i="3"/>
  <c r="CH39" i="3" s="1"/>
  <c r="AY39" i="3"/>
  <c r="AZ39" i="3"/>
  <c r="BA39" i="3"/>
  <c r="BC39" i="3"/>
  <c r="CI39" i="3" s="1"/>
  <c r="BD39" i="3"/>
  <c r="BE39" i="3"/>
  <c r="BF39" i="3"/>
  <c r="BH39" i="3"/>
  <c r="CJ39" i="3" s="1"/>
  <c r="BI39" i="3"/>
  <c r="BJ39" i="3"/>
  <c r="BK39" i="3"/>
  <c r="BM39" i="3"/>
  <c r="CK39" i="3" s="1"/>
  <c r="BN39" i="3"/>
  <c r="BO39" i="3"/>
  <c r="BP39" i="3"/>
  <c r="BR39" i="3"/>
  <c r="CL39" i="3" s="1"/>
  <c r="BS39" i="3"/>
  <c r="BT39" i="3"/>
  <c r="BU39" i="3"/>
  <c r="BW39" i="3"/>
  <c r="CM39" i="3" s="1"/>
  <c r="BX39" i="3"/>
  <c r="BY39" i="3"/>
  <c r="BZ39" i="3"/>
  <c r="CB39" i="3"/>
  <c r="CN39" i="3" s="1"/>
  <c r="CC39" i="3"/>
  <c r="CD39" i="3"/>
  <c r="CE39" i="3"/>
  <c r="AS40" i="3"/>
  <c r="CG40" i="3" s="1"/>
  <c r="AT40" i="3"/>
  <c r="AU40" i="3"/>
  <c r="AV40" i="3"/>
  <c r="AX40" i="3"/>
  <c r="CH40" i="3" s="1"/>
  <c r="AY40" i="3"/>
  <c r="AZ40" i="3"/>
  <c r="BA40" i="3"/>
  <c r="BC40" i="3"/>
  <c r="CI40" i="3" s="1"/>
  <c r="BD40" i="3"/>
  <c r="BE40" i="3"/>
  <c r="BF40" i="3"/>
  <c r="BH40" i="3"/>
  <c r="CJ40" i="3" s="1"/>
  <c r="BI40" i="3"/>
  <c r="BJ40" i="3"/>
  <c r="BK40" i="3"/>
  <c r="BM40" i="3"/>
  <c r="CK40" i="3" s="1"/>
  <c r="BN40" i="3"/>
  <c r="BO40" i="3"/>
  <c r="BP40" i="3"/>
  <c r="BR40" i="3"/>
  <c r="CL40" i="3" s="1"/>
  <c r="BS40" i="3"/>
  <c r="BT40" i="3"/>
  <c r="BU40" i="3"/>
  <c r="BW40" i="3"/>
  <c r="CM40" i="3" s="1"/>
  <c r="BX40" i="3"/>
  <c r="BY40" i="3"/>
  <c r="BZ40" i="3"/>
  <c r="CB40" i="3"/>
  <c r="CN40" i="3" s="1"/>
  <c r="CC40" i="3"/>
  <c r="CD40" i="3"/>
  <c r="CE40" i="3"/>
  <c r="AS41" i="3"/>
  <c r="CG41" i="3" s="1"/>
  <c r="AT41" i="3"/>
  <c r="AU41" i="3"/>
  <c r="AV41" i="3"/>
  <c r="AX41" i="3"/>
  <c r="CH41" i="3" s="1"/>
  <c r="AY41" i="3"/>
  <c r="AZ41" i="3"/>
  <c r="BA41" i="3"/>
  <c r="BC41" i="3"/>
  <c r="CI41" i="3" s="1"/>
  <c r="BD41" i="3"/>
  <c r="BE41" i="3"/>
  <c r="BF41" i="3"/>
  <c r="BH41" i="3"/>
  <c r="CJ41" i="3" s="1"/>
  <c r="BI41" i="3"/>
  <c r="BJ41" i="3"/>
  <c r="BK41" i="3"/>
  <c r="BM41" i="3"/>
  <c r="CK41" i="3" s="1"/>
  <c r="BN41" i="3"/>
  <c r="BO41" i="3"/>
  <c r="BP41" i="3"/>
  <c r="BR41" i="3"/>
  <c r="CL41" i="3" s="1"/>
  <c r="BS41" i="3"/>
  <c r="BT41" i="3"/>
  <c r="BU41" i="3"/>
  <c r="BW41" i="3"/>
  <c r="CM41" i="3" s="1"/>
  <c r="BX41" i="3"/>
  <c r="BY41" i="3"/>
  <c r="BZ41" i="3"/>
  <c r="CB41" i="3"/>
  <c r="CN41" i="3" s="1"/>
  <c r="CC41" i="3"/>
  <c r="CD41" i="3"/>
  <c r="CE41" i="3"/>
  <c r="AS42" i="3"/>
  <c r="CG42" i="3" s="1"/>
  <c r="AT42" i="3"/>
  <c r="AU42" i="3"/>
  <c r="AV42" i="3"/>
  <c r="AX42" i="3"/>
  <c r="CH42" i="3" s="1"/>
  <c r="AY42" i="3"/>
  <c r="AZ42" i="3"/>
  <c r="BA42" i="3"/>
  <c r="BC42" i="3"/>
  <c r="CI42" i="3" s="1"/>
  <c r="BD42" i="3"/>
  <c r="BE42" i="3"/>
  <c r="BF42" i="3"/>
  <c r="BH42" i="3"/>
  <c r="CJ42" i="3" s="1"/>
  <c r="BI42" i="3"/>
  <c r="BJ42" i="3"/>
  <c r="BK42" i="3"/>
  <c r="BM42" i="3"/>
  <c r="CK42" i="3" s="1"/>
  <c r="BN42" i="3"/>
  <c r="BO42" i="3"/>
  <c r="BP42" i="3"/>
  <c r="BR42" i="3"/>
  <c r="CL42" i="3" s="1"/>
  <c r="BS42" i="3"/>
  <c r="BT42" i="3"/>
  <c r="BU42" i="3"/>
  <c r="BW42" i="3"/>
  <c r="CM42" i="3" s="1"/>
  <c r="BX42" i="3"/>
  <c r="BY42" i="3"/>
  <c r="BZ42" i="3"/>
  <c r="CB42" i="3"/>
  <c r="CN42" i="3" s="1"/>
  <c r="CC42" i="3"/>
  <c r="CD42" i="3"/>
  <c r="CE42" i="3"/>
  <c r="AS43" i="3"/>
  <c r="CG43" i="3" s="1"/>
  <c r="AT43" i="3"/>
  <c r="AU43" i="3"/>
  <c r="AV43" i="3"/>
  <c r="AX43" i="3"/>
  <c r="CH43" i="3" s="1"/>
  <c r="AY43" i="3"/>
  <c r="AZ43" i="3"/>
  <c r="BA43" i="3"/>
  <c r="BC43" i="3"/>
  <c r="CI43" i="3" s="1"/>
  <c r="BD43" i="3"/>
  <c r="BE43" i="3"/>
  <c r="BF43" i="3"/>
  <c r="BH43" i="3"/>
  <c r="CJ43" i="3" s="1"/>
  <c r="BI43" i="3"/>
  <c r="BJ43" i="3"/>
  <c r="BK43" i="3"/>
  <c r="BM43" i="3"/>
  <c r="CK43" i="3" s="1"/>
  <c r="BN43" i="3"/>
  <c r="BO43" i="3"/>
  <c r="BP43" i="3"/>
  <c r="BR43" i="3"/>
  <c r="CL43" i="3" s="1"/>
  <c r="BS43" i="3"/>
  <c r="BT43" i="3"/>
  <c r="BU43" i="3"/>
  <c r="BW43" i="3"/>
  <c r="CM43" i="3" s="1"/>
  <c r="BX43" i="3"/>
  <c r="BY43" i="3"/>
  <c r="BZ43" i="3"/>
  <c r="CB43" i="3"/>
  <c r="CN43" i="3" s="1"/>
  <c r="CC43" i="3"/>
  <c r="CD43" i="3"/>
  <c r="CE43" i="3"/>
  <c r="AS44" i="3"/>
  <c r="CG44" i="3" s="1"/>
  <c r="AT44" i="3"/>
  <c r="AU44" i="3"/>
  <c r="AV44" i="3"/>
  <c r="AX44" i="3"/>
  <c r="CH44" i="3" s="1"/>
  <c r="AY44" i="3"/>
  <c r="AZ44" i="3"/>
  <c r="BA44" i="3"/>
  <c r="BC44" i="3"/>
  <c r="CI44" i="3" s="1"/>
  <c r="BD44" i="3"/>
  <c r="BE44" i="3"/>
  <c r="BF44" i="3"/>
  <c r="BH44" i="3"/>
  <c r="CJ44" i="3" s="1"/>
  <c r="BI44" i="3"/>
  <c r="BJ44" i="3"/>
  <c r="BK44" i="3"/>
  <c r="BM44" i="3"/>
  <c r="CK44" i="3" s="1"/>
  <c r="BN44" i="3"/>
  <c r="BO44" i="3"/>
  <c r="BP44" i="3"/>
  <c r="BR44" i="3"/>
  <c r="CL44" i="3" s="1"/>
  <c r="BS44" i="3"/>
  <c r="BT44" i="3"/>
  <c r="BU44" i="3"/>
  <c r="BW44" i="3"/>
  <c r="CM44" i="3" s="1"/>
  <c r="BX44" i="3"/>
  <c r="BY44" i="3"/>
  <c r="BZ44" i="3"/>
  <c r="CB44" i="3"/>
  <c r="CN44" i="3" s="1"/>
  <c r="CC44" i="3"/>
  <c r="CD44" i="3"/>
  <c r="CE44" i="3"/>
  <c r="AS45" i="3"/>
  <c r="CG45" i="3" s="1"/>
  <c r="AT45" i="3"/>
  <c r="AU45" i="3"/>
  <c r="AV45" i="3"/>
  <c r="AX45" i="3"/>
  <c r="CH45" i="3" s="1"/>
  <c r="AY45" i="3"/>
  <c r="AZ45" i="3"/>
  <c r="BA45" i="3"/>
  <c r="BC45" i="3"/>
  <c r="CI45" i="3" s="1"/>
  <c r="BD45" i="3"/>
  <c r="BE45" i="3"/>
  <c r="BF45" i="3"/>
  <c r="BH45" i="3"/>
  <c r="CJ45" i="3" s="1"/>
  <c r="BI45" i="3"/>
  <c r="BJ45" i="3"/>
  <c r="BK45" i="3"/>
  <c r="BM45" i="3"/>
  <c r="CK45" i="3" s="1"/>
  <c r="BN45" i="3"/>
  <c r="BO45" i="3"/>
  <c r="BP45" i="3"/>
  <c r="BR45" i="3"/>
  <c r="CL45" i="3" s="1"/>
  <c r="BS45" i="3"/>
  <c r="BT45" i="3"/>
  <c r="BU45" i="3"/>
  <c r="BW45" i="3"/>
  <c r="CM45" i="3" s="1"/>
  <c r="BX45" i="3"/>
  <c r="BY45" i="3"/>
  <c r="BZ45" i="3"/>
  <c r="CB45" i="3"/>
  <c r="CN45" i="3" s="1"/>
  <c r="CC45" i="3"/>
  <c r="CD45" i="3"/>
  <c r="CE45" i="3"/>
  <c r="AS46" i="3"/>
  <c r="CG46" i="3" s="1"/>
  <c r="AT46" i="3"/>
  <c r="AU46" i="3"/>
  <c r="AV46" i="3"/>
  <c r="AX46" i="3"/>
  <c r="CH46" i="3" s="1"/>
  <c r="AY46" i="3"/>
  <c r="AZ46" i="3"/>
  <c r="BA46" i="3"/>
  <c r="BC46" i="3"/>
  <c r="CI46" i="3" s="1"/>
  <c r="BD46" i="3"/>
  <c r="BE46" i="3"/>
  <c r="BF46" i="3"/>
  <c r="BH46" i="3"/>
  <c r="CJ46" i="3" s="1"/>
  <c r="BI46" i="3"/>
  <c r="BJ46" i="3"/>
  <c r="BK46" i="3"/>
  <c r="BM46" i="3"/>
  <c r="CK46" i="3" s="1"/>
  <c r="BN46" i="3"/>
  <c r="BO46" i="3"/>
  <c r="BP46" i="3"/>
  <c r="BR46" i="3"/>
  <c r="CL46" i="3" s="1"/>
  <c r="BS46" i="3"/>
  <c r="BT46" i="3"/>
  <c r="BU46" i="3"/>
  <c r="BW46" i="3"/>
  <c r="CM46" i="3" s="1"/>
  <c r="BX46" i="3"/>
  <c r="BY46" i="3"/>
  <c r="BZ46" i="3"/>
  <c r="CB46" i="3"/>
  <c r="CN46" i="3" s="1"/>
  <c r="CC46" i="3"/>
  <c r="CD46" i="3"/>
  <c r="CE46" i="3"/>
  <c r="CC2" i="3"/>
  <c r="CD2" i="3"/>
  <c r="CE2" i="3"/>
  <c r="CB2" i="3"/>
  <c r="BX2" i="3"/>
  <c r="BY2" i="3"/>
  <c r="BZ2" i="3"/>
  <c r="BW2" i="3"/>
  <c r="CM2" i="3" s="1"/>
  <c r="BS2" i="3"/>
  <c r="BT2" i="3"/>
  <c r="BU2" i="3"/>
  <c r="BR2" i="3"/>
  <c r="CL2" i="3" s="1"/>
  <c r="BN2" i="3"/>
  <c r="BO2" i="3"/>
  <c r="BP2" i="3"/>
  <c r="BM2" i="3"/>
  <c r="CK2" i="3" s="1"/>
  <c r="BI2" i="3"/>
  <c r="BJ2" i="3"/>
  <c r="BK2" i="3"/>
  <c r="BH2" i="3"/>
  <c r="CJ2" i="3" s="1"/>
  <c r="BD2" i="3"/>
  <c r="BE2" i="3"/>
  <c r="BF2" i="3"/>
  <c r="BC2" i="3"/>
  <c r="CI2" i="3" s="1"/>
  <c r="AY2" i="3"/>
  <c r="AZ2" i="3"/>
  <c r="BA2" i="3"/>
  <c r="AX2" i="3"/>
  <c r="AT2" i="3"/>
  <c r="AU2" i="3"/>
  <c r="AV2" i="3"/>
  <c r="AS2" i="3"/>
  <c r="BV33" i="3" l="1"/>
  <c r="BQ29" i="3"/>
  <c r="CA9" i="3"/>
  <c r="BQ9" i="3"/>
  <c r="AW27" i="3"/>
  <c r="BV45" i="3"/>
  <c r="BB43" i="3"/>
  <c r="CA8" i="3"/>
  <c r="AW8" i="3"/>
  <c r="BQ23" i="3"/>
  <c r="BL18" i="3"/>
  <c r="BB18" i="3"/>
  <c r="BB15" i="3"/>
  <c r="AW15" i="3"/>
  <c r="BB39" i="3"/>
  <c r="BQ34" i="3"/>
  <c r="BQ33" i="3"/>
  <c r="BL26" i="3"/>
  <c r="BV17" i="3"/>
  <c r="BQ13" i="3"/>
  <c r="BG30" i="3"/>
  <c r="CA28" i="3"/>
  <c r="CF34" i="3"/>
  <c r="BV5" i="3"/>
  <c r="CF46" i="3"/>
  <c r="BV14" i="3"/>
  <c r="CA36" i="3"/>
  <c r="BQ36" i="3"/>
  <c r="BL30" i="3"/>
  <c r="CA16" i="3"/>
  <c r="AW44" i="3"/>
  <c r="BV41" i="3"/>
  <c r="CA34" i="3"/>
  <c r="BG18" i="3"/>
  <c r="CA12" i="3"/>
  <c r="AW43" i="3"/>
  <c r="CF40" i="3"/>
  <c r="BB40" i="3"/>
  <c r="BV38" i="3"/>
  <c r="BL38" i="3"/>
  <c r="BQ31" i="3"/>
  <c r="BQ30" i="3"/>
  <c r="BB20" i="3"/>
  <c r="CA17" i="3"/>
  <c r="AW11" i="3"/>
  <c r="BG10" i="3"/>
  <c r="CA21" i="3"/>
  <c r="AW16" i="3"/>
  <c r="CF6" i="3"/>
  <c r="BV6" i="3"/>
  <c r="BG3" i="3"/>
  <c r="AW3" i="3"/>
  <c r="AW40" i="3"/>
  <c r="CA38" i="3"/>
  <c r="BQ38" i="3"/>
  <c r="BB24" i="3"/>
  <c r="BB10" i="3"/>
  <c r="BG36" i="3"/>
  <c r="BV29" i="3"/>
  <c r="BQ26" i="3"/>
  <c r="CA25" i="3"/>
  <c r="BL23" i="3"/>
  <c r="BV21" i="3"/>
  <c r="BL21" i="3"/>
  <c r="CF16" i="3"/>
  <c r="BV16" i="3"/>
  <c r="CA13" i="3"/>
  <c r="BV4" i="3"/>
  <c r="BL4" i="3"/>
  <c r="BB4" i="3"/>
  <c r="BL46" i="3"/>
  <c r="BL43" i="3"/>
  <c r="CO18" i="3"/>
  <c r="EG22" i="1" s="1"/>
  <c r="BG15" i="3"/>
  <c r="CA5" i="3"/>
  <c r="BQ5" i="3"/>
  <c r="BG5" i="3"/>
  <c r="AW5" i="3"/>
  <c r="BL45" i="3"/>
  <c r="BB45" i="3"/>
  <c r="BV42" i="3"/>
  <c r="BL42" i="3"/>
  <c r="BQ37" i="3"/>
  <c r="BG37" i="3"/>
  <c r="CA32" i="3"/>
  <c r="BG32" i="3"/>
  <c r="BV30" i="3"/>
  <c r="AW28" i="3"/>
  <c r="BL22" i="3"/>
  <c r="BB22" i="3"/>
  <c r="BB19" i="3"/>
  <c r="BL13" i="3"/>
  <c r="BL7" i="3"/>
  <c r="CA4" i="3"/>
  <c r="AW4" i="3"/>
  <c r="CF39" i="3"/>
  <c r="BV39" i="3"/>
  <c r="AW31" i="3"/>
  <c r="BG27" i="3"/>
  <c r="BL25" i="3"/>
  <c r="BB25" i="3"/>
  <c r="CA24" i="3"/>
  <c r="BG14" i="3"/>
  <c r="BV18" i="3"/>
  <c r="BQ17" i="3"/>
  <c r="BG12" i="3"/>
  <c r="BG7" i="3"/>
  <c r="AW7" i="3"/>
  <c r="BV44" i="3"/>
  <c r="BL44" i="3"/>
  <c r="CA42" i="3"/>
  <c r="BQ42" i="3"/>
  <c r="BG42" i="3"/>
  <c r="AW42" i="3"/>
  <c r="BV37" i="3"/>
  <c r="BL37" i="3"/>
  <c r="BB37" i="3"/>
  <c r="AW35" i="3"/>
  <c r="BV32" i="3"/>
  <c r="BL32" i="3"/>
  <c r="BV28" i="3"/>
  <c r="CA26" i="3"/>
  <c r="AW23" i="3"/>
  <c r="CA22" i="3"/>
  <c r="BQ22" i="3"/>
  <c r="CF20" i="3"/>
  <c r="BG19" i="3"/>
  <c r="AW19" i="3"/>
  <c r="CA11" i="3"/>
  <c r="BG11" i="3"/>
  <c r="BQ10" i="3"/>
  <c r="CA6" i="3"/>
  <c r="BQ6" i="3"/>
  <c r="BG6" i="3"/>
  <c r="AW6" i="3"/>
  <c r="CO34" i="3"/>
  <c r="EG38" i="1" s="1"/>
  <c r="CO43" i="3"/>
  <c r="EG47" i="1" s="1"/>
  <c r="CF43" i="3"/>
  <c r="BB44" i="3"/>
  <c r="BG43" i="3"/>
  <c r="BG31" i="3"/>
  <c r="CF30" i="3"/>
  <c r="BV20" i="3"/>
  <c r="CO15" i="3"/>
  <c r="EG19" i="1" s="1"/>
  <c r="CO12" i="3"/>
  <c r="EG16" i="1" s="1"/>
  <c r="BQ19" i="3"/>
  <c r="BL15" i="3"/>
  <c r="BL3" i="3"/>
  <c r="BQ46" i="3"/>
  <c r="CF45" i="3"/>
  <c r="AW37" i="3"/>
  <c r="BG35" i="3"/>
  <c r="BB34" i="3"/>
  <c r="BQ25" i="3"/>
  <c r="AW25" i="3"/>
  <c r="BG23" i="3"/>
  <c r="BV22" i="3"/>
  <c r="BQ21" i="3"/>
  <c r="CF12" i="3"/>
  <c r="CF9" i="3"/>
  <c r="BL9" i="3"/>
  <c r="BB9" i="3"/>
  <c r="BG46" i="3"/>
  <c r="AW46" i="3"/>
  <c r="CF41" i="3"/>
  <c r="CF38" i="3"/>
  <c r="BB38" i="3"/>
  <c r="BL28" i="3"/>
  <c r="CA27" i="3"/>
  <c r="BB26" i="3"/>
  <c r="CO19" i="3"/>
  <c r="EG23" i="1" s="1"/>
  <c r="CA18" i="3"/>
  <c r="BL14" i="3"/>
  <c r="BB14" i="3"/>
  <c r="BL11" i="3"/>
  <c r="CO31" i="3"/>
  <c r="EG35" i="1" s="1"/>
  <c r="CO21" i="3"/>
  <c r="EG25" i="1" s="1"/>
  <c r="CO17" i="3"/>
  <c r="EG21" i="1" s="1"/>
  <c r="CO6" i="3"/>
  <c r="EG10" i="1" s="1"/>
  <c r="CO4" i="3"/>
  <c r="EG8" i="1" s="1"/>
  <c r="BL41" i="3"/>
  <c r="BB41" i="3"/>
  <c r="BL31" i="3"/>
  <c r="CA30" i="3"/>
  <c r="CA20" i="3"/>
  <c r="BL19" i="3"/>
  <c r="BQ15" i="3"/>
  <c r="BV43" i="3"/>
  <c r="BV46" i="3"/>
  <c r="CA45" i="3"/>
  <c r="BQ39" i="3"/>
  <c r="BG39" i="3"/>
  <c r="AW39" i="3"/>
  <c r="AW36" i="3"/>
  <c r="BL35" i="3"/>
  <c r="BG34" i="3"/>
  <c r="AW34" i="3"/>
  <c r="BL33" i="3"/>
  <c r="CF29" i="3"/>
  <c r="BB23" i="3"/>
  <c r="BG22" i="3"/>
  <c r="CF21" i="3"/>
  <c r="CF17" i="3"/>
  <c r="BB16" i="3"/>
  <c r="CF13" i="3"/>
  <c r="BV13" i="3"/>
  <c r="AW12" i="3"/>
  <c r="BQ11" i="3"/>
  <c r="BV10" i="3"/>
  <c r="CO10" i="3"/>
  <c r="EG14" i="1" s="1"/>
  <c r="BG9" i="3"/>
  <c r="AW9" i="3"/>
  <c r="BB8" i="3"/>
  <c r="BB6" i="3"/>
  <c r="CO42" i="3"/>
  <c r="EG46" i="1" s="1"/>
  <c r="BQ45" i="3"/>
  <c r="BG45" i="3"/>
  <c r="AW45" i="3"/>
  <c r="CA41" i="3"/>
  <c r="BG38" i="3"/>
  <c r="CF36" i="3"/>
  <c r="BL29" i="3"/>
  <c r="BG28" i="3"/>
  <c r="CF27" i="3"/>
  <c r="BV27" i="3"/>
  <c r="BG26" i="3"/>
  <c r="BV25" i="3"/>
  <c r="AW24" i="3"/>
  <c r="CO20" i="3"/>
  <c r="EG24" i="1" s="1"/>
  <c r="BL17" i="3"/>
  <c r="CA14" i="3"/>
  <c r="BQ14" i="3"/>
  <c r="CO7" i="3"/>
  <c r="EG11" i="1" s="1"/>
  <c r="CO26" i="3"/>
  <c r="EG30" i="1" s="1"/>
  <c r="CO41" i="3"/>
  <c r="EG45" i="1" s="1"/>
  <c r="CO37" i="3"/>
  <c r="EG41" i="1" s="1"/>
  <c r="CF37" i="3"/>
  <c r="CF28" i="3"/>
  <c r="CO23" i="3"/>
  <c r="EG27" i="1" s="1"/>
  <c r="CO13" i="3"/>
  <c r="EG17" i="1" s="1"/>
  <c r="CF44" i="3"/>
  <c r="CO44" i="3"/>
  <c r="EG48" i="1" s="1"/>
  <c r="BG40" i="3"/>
  <c r="BL39" i="3"/>
  <c r="CO39" i="3"/>
  <c r="EG43" i="1" s="1"/>
  <c r="CF35" i="3"/>
  <c r="BV35" i="3"/>
  <c r="BB35" i="3"/>
  <c r="CO35" i="3"/>
  <c r="EG39" i="1" s="1"/>
  <c r="CF32" i="3"/>
  <c r="CO32" i="3"/>
  <c r="EG36" i="1" s="1"/>
  <c r="CO28" i="3"/>
  <c r="EG32" i="1" s="1"/>
  <c r="CO3" i="3"/>
  <c r="EG7" i="1" s="1"/>
  <c r="CO45" i="3"/>
  <c r="EG49" i="1" s="1"/>
  <c r="CO33" i="3"/>
  <c r="EG37" i="1" s="1"/>
  <c r="BQ27" i="3"/>
  <c r="CO5" i="3"/>
  <c r="EG9" i="1" s="1"/>
  <c r="CF42" i="3"/>
  <c r="CO40" i="3"/>
  <c r="EG44" i="1" s="1"/>
  <c r="CA39" i="3"/>
  <c r="CO38" i="3"/>
  <c r="EG42" i="1" s="1"/>
  <c r="BV36" i="3"/>
  <c r="BL36" i="3"/>
  <c r="CO36" i="3"/>
  <c r="EG40" i="1" s="1"/>
  <c r="CO30" i="3"/>
  <c r="EG34" i="1" s="1"/>
  <c r="CO16" i="3"/>
  <c r="EG20" i="1" s="1"/>
  <c r="CO14" i="3"/>
  <c r="EG18" i="1" s="1"/>
  <c r="CO11" i="3"/>
  <c r="EG15" i="1" s="1"/>
  <c r="CO22" i="3"/>
  <c r="EG26" i="1" s="1"/>
  <c r="CF33" i="3"/>
  <c r="CO24" i="3"/>
  <c r="EG28" i="1" s="1"/>
  <c r="CO9" i="3"/>
  <c r="EG13" i="1" s="1"/>
  <c r="CA44" i="3"/>
  <c r="BQ44" i="3"/>
  <c r="BG44" i="3"/>
  <c r="BV40" i="3"/>
  <c r="BQ35" i="3"/>
  <c r="CA29" i="3"/>
  <c r="CO27" i="3"/>
  <c r="EG31" i="1" s="1"/>
  <c r="CO25" i="3"/>
  <c r="EG29" i="1" s="1"/>
  <c r="BV24" i="3"/>
  <c r="BQ18" i="3"/>
  <c r="AW20" i="3"/>
  <c r="CO46" i="3"/>
  <c r="EG50" i="1" s="1"/>
  <c r="CA33" i="3"/>
  <c r="CO8" i="3"/>
  <c r="EG12" i="1" s="1"/>
  <c r="BB31" i="3"/>
  <c r="BB46" i="3"/>
  <c r="CO29" i="3"/>
  <c r="EG33" i="1" s="1"/>
  <c r="CA46" i="3"/>
  <c r="CA43" i="3"/>
  <c r="BQ43" i="3"/>
  <c r="BB42" i="3"/>
  <c r="CA40" i="3"/>
  <c r="BB36" i="3"/>
  <c r="AW33" i="3"/>
  <c r="AW32" i="3"/>
  <c r="CF31" i="3"/>
  <c r="BV31" i="3"/>
  <c r="AW29" i="3"/>
  <c r="CA23" i="3"/>
  <c r="CF19" i="3"/>
  <c r="BV19" i="3"/>
  <c r="CF18" i="3"/>
  <c r="CA15" i="3"/>
  <c r="BB13" i="3"/>
  <c r="BB12" i="3"/>
  <c r="CA7" i="3"/>
  <c r="BQ7" i="3"/>
  <c r="CA3" i="3"/>
  <c r="BQ3" i="3"/>
  <c r="CF26" i="3"/>
  <c r="BG24" i="3"/>
  <c r="BB21" i="3"/>
  <c r="BL20" i="3"/>
  <c r="AW17" i="3"/>
  <c r="BG16" i="3"/>
  <c r="CA10" i="3"/>
  <c r="BQ8" i="3"/>
  <c r="BG8" i="3"/>
  <c r="BQ4" i="3"/>
  <c r="BG4" i="3"/>
  <c r="CA37" i="3"/>
  <c r="BL27" i="3"/>
  <c r="BV26" i="3"/>
  <c r="CF25" i="3"/>
  <c r="BQ41" i="3"/>
  <c r="BG41" i="3"/>
  <c r="AW41" i="3"/>
  <c r="BV34" i="3"/>
  <c r="BL34" i="3"/>
  <c r="BB33" i="3"/>
  <c r="BB32" i="3"/>
  <c r="CA31" i="3"/>
  <c r="BB29" i="3"/>
  <c r="BB28" i="3"/>
  <c r="BB27" i="3"/>
  <c r="CF24" i="3"/>
  <c r="CF23" i="3"/>
  <c r="BV23" i="3"/>
  <c r="CF22" i="3"/>
  <c r="CA19" i="3"/>
  <c r="CF15" i="3"/>
  <c r="BV15" i="3"/>
  <c r="CF14" i="3"/>
  <c r="AW13" i="3"/>
  <c r="AW10" i="3"/>
  <c r="CF8" i="3"/>
  <c r="CF7" i="3"/>
  <c r="BV7" i="3"/>
  <c r="CF5" i="3"/>
  <c r="CF4" i="3"/>
  <c r="CF3" i="3"/>
  <c r="BV3" i="3"/>
  <c r="BL24" i="3"/>
  <c r="AW21" i="3"/>
  <c r="BG20" i="3"/>
  <c r="BB17" i="3"/>
  <c r="BL16" i="3"/>
  <c r="CF10" i="3"/>
  <c r="BV8" i="3"/>
  <c r="BL8" i="3"/>
  <c r="CF11" i="3"/>
  <c r="BV11" i="3"/>
  <c r="BV9" i="3"/>
  <c r="BL5" i="3"/>
  <c r="BB5" i="3"/>
  <c r="BL2" i="3"/>
  <c r="BG2" i="3"/>
  <c r="BB2" i="3"/>
  <c r="AW2" i="3"/>
  <c r="CG2" i="3" s="1"/>
  <c r="CF2" i="3"/>
  <c r="CN2" i="3" s="1"/>
  <c r="CA2" i="3"/>
  <c r="BV2" i="3"/>
  <c r="BQ2" i="3"/>
  <c r="BG33" i="3"/>
  <c r="BG29" i="3"/>
  <c r="BG25" i="3"/>
  <c r="BG21" i="3"/>
  <c r="BG17" i="3"/>
  <c r="BG13" i="3"/>
  <c r="BB7" i="3"/>
  <c r="BL40" i="3"/>
  <c r="BQ32" i="3"/>
  <c r="BQ28" i="3"/>
  <c r="BQ24" i="3"/>
  <c r="BQ20" i="3"/>
  <c r="BQ16" i="3"/>
  <c r="BQ12" i="3"/>
  <c r="BB11" i="3"/>
  <c r="BL6" i="3"/>
  <c r="AW38" i="3"/>
  <c r="CA35" i="3"/>
  <c r="BL10" i="3"/>
  <c r="BQ40" i="3"/>
  <c r="AW30" i="3"/>
  <c r="AW26" i="3"/>
  <c r="AW22" i="3"/>
  <c r="AW18" i="3"/>
  <c r="AW14" i="3"/>
  <c r="BB3" i="3"/>
  <c r="CH2" i="3"/>
  <c r="AW62" i="2"/>
  <c r="CP45" i="3" l="1"/>
  <c r="EH49" i="1" s="1"/>
  <c r="CP34" i="3"/>
  <c r="EH38" i="1" s="1"/>
  <c r="CP37" i="3"/>
  <c r="EH41" i="1" s="1"/>
  <c r="CP43" i="3"/>
  <c r="EH47" i="1" s="1"/>
  <c r="CP12" i="3"/>
  <c r="EH16" i="1" s="1"/>
  <c r="CP24" i="3"/>
  <c r="EH28" i="1" s="1"/>
  <c r="CP9" i="3"/>
  <c r="EH13" i="1" s="1"/>
  <c r="CP42" i="3"/>
  <c r="EH46" i="1" s="1"/>
  <c r="CP5" i="3"/>
  <c r="EH9" i="1" s="1"/>
  <c r="CP8" i="3"/>
  <c r="EH12" i="1" s="1"/>
  <c r="CP11" i="3"/>
  <c r="EH15" i="1" s="1"/>
  <c r="CP46" i="3"/>
  <c r="EH50" i="1" s="1"/>
  <c r="CP6" i="3"/>
  <c r="EH10" i="1" s="1"/>
  <c r="CP39" i="3"/>
  <c r="EH43" i="1" s="1"/>
  <c r="CP14" i="3"/>
  <c r="EH18" i="1" s="1"/>
  <c r="CP41" i="3"/>
  <c r="EH45" i="1" s="1"/>
  <c r="CP25" i="3"/>
  <c r="EH29" i="1" s="1"/>
  <c r="CP38" i="3"/>
  <c r="EH42" i="1" s="1"/>
  <c r="CP29" i="3"/>
  <c r="EH33" i="1" s="1"/>
  <c r="CP36" i="3"/>
  <c r="EH40" i="1" s="1"/>
  <c r="CP22" i="3"/>
  <c r="EH26" i="1" s="1"/>
  <c r="CP26" i="3"/>
  <c r="EH30" i="1" s="1"/>
  <c r="CP32" i="3"/>
  <c r="EH36" i="1" s="1"/>
  <c r="CP20" i="3"/>
  <c r="EH24" i="1" s="1"/>
  <c r="CP16" i="3"/>
  <c r="EH20" i="1" s="1"/>
  <c r="CP21" i="3"/>
  <c r="EH25" i="1" s="1"/>
  <c r="CP4" i="3"/>
  <c r="EH8" i="1" s="1"/>
  <c r="CP31" i="3"/>
  <c r="EH35" i="1" s="1"/>
  <c r="CP27" i="3"/>
  <c r="EH31" i="1" s="1"/>
  <c r="CP44" i="3"/>
  <c r="EH48" i="1" s="1"/>
  <c r="CP35" i="3"/>
  <c r="EH39" i="1" s="1"/>
  <c r="CP19" i="3"/>
  <c r="EH23" i="1" s="1"/>
  <c r="CP7" i="3"/>
  <c r="EH11" i="1" s="1"/>
  <c r="CP23" i="3"/>
  <c r="EH27" i="1" s="1"/>
  <c r="CP28" i="3"/>
  <c r="EH32" i="1" s="1"/>
  <c r="CP3" i="3"/>
  <c r="EH7" i="1" s="1"/>
  <c r="CP15" i="3"/>
  <c r="EH19" i="1" s="1"/>
  <c r="CO2" i="3"/>
  <c r="EG6" i="1" s="1"/>
  <c r="CP30" i="3"/>
  <c r="EH34" i="1" s="1"/>
  <c r="CP10" i="3"/>
  <c r="EH14" i="1" s="1"/>
  <c r="CP13" i="3"/>
  <c r="EH17" i="1" s="1"/>
  <c r="CP33" i="3"/>
  <c r="EH37" i="1" s="1"/>
  <c r="CP17" i="3"/>
  <c r="EH21" i="1" s="1"/>
  <c r="CP40" i="3"/>
  <c r="EH44" i="1" s="1"/>
  <c r="CP18" i="3"/>
  <c r="EH22" i="1" s="1"/>
  <c r="AU4" i="2"/>
  <c r="AV4" i="2"/>
  <c r="AU61" i="2"/>
  <c r="AV61" i="2"/>
  <c r="BR127" i="1"/>
  <c r="CP2" i="3" l="1"/>
  <c r="EH6" i="1" s="1"/>
  <c r="BS126" i="1"/>
  <c r="BX126" i="1"/>
  <c r="BH127" i="1"/>
  <c r="AD2" i="2" l="1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AC3" i="2"/>
  <c r="AC2" i="2"/>
  <c r="AW6" i="2" l="1"/>
  <c r="BR15" i="1" s="1"/>
  <c r="AW14" i="2"/>
  <c r="AW22" i="2"/>
  <c r="AW30" i="2"/>
  <c r="AW38" i="2"/>
  <c r="AW46" i="2"/>
  <c r="AW54" i="2"/>
  <c r="BR111" i="1" s="1"/>
  <c r="AW5" i="2"/>
  <c r="BR13" i="1" s="1"/>
  <c r="AW13" i="2"/>
  <c r="BR29" i="1" s="1"/>
  <c r="AW21" i="2"/>
  <c r="BT128" i="1"/>
  <c r="AW8" i="2"/>
  <c r="AW16" i="2"/>
  <c r="BR35" i="1" s="1"/>
  <c r="AW18" i="2"/>
  <c r="BR39" i="1" s="1"/>
  <c r="AW10" i="2"/>
  <c r="BR23" i="1" s="1"/>
  <c r="AW4" i="2"/>
  <c r="BR11" i="1" s="1"/>
  <c r="BH11" i="1" s="1"/>
  <c r="AW12" i="2"/>
  <c r="BR27" i="1" s="1"/>
  <c r="AW20" i="2"/>
  <c r="AW28" i="2"/>
  <c r="BR59" i="1" s="1"/>
  <c r="AW2" i="2"/>
  <c r="BR7" i="1" s="1"/>
  <c r="AW7" i="2"/>
  <c r="BR17" i="1" s="1"/>
  <c r="AW15" i="2"/>
  <c r="BR33" i="1" s="1"/>
  <c r="AW23" i="2"/>
  <c r="BR49" i="1" s="1"/>
  <c r="AW31" i="2"/>
  <c r="BR65" i="1" s="1"/>
  <c r="AW39" i="2"/>
  <c r="BR81" i="1" s="1"/>
  <c r="AW47" i="2"/>
  <c r="BR97" i="1" s="1"/>
  <c r="AW55" i="2"/>
  <c r="BR113" i="1" s="1"/>
  <c r="AW32" i="2"/>
  <c r="BR67" i="1" s="1"/>
  <c r="AW48" i="2"/>
  <c r="BR99" i="1" s="1"/>
  <c r="AW40" i="2"/>
  <c r="BR83" i="1" s="1"/>
  <c r="AW56" i="2"/>
  <c r="BR115" i="1" s="1"/>
  <c r="AW9" i="2"/>
  <c r="BR21" i="1" s="1"/>
  <c r="AW17" i="2"/>
  <c r="BR37" i="1" s="1"/>
  <c r="AW25" i="2"/>
  <c r="AW33" i="2"/>
  <c r="BR69" i="1" s="1"/>
  <c r="AW41" i="2"/>
  <c r="BR85" i="1" s="1"/>
  <c r="AW49" i="2"/>
  <c r="BR101" i="1" s="1"/>
  <c r="AW57" i="2"/>
  <c r="BR117" i="1" s="1"/>
  <c r="AW24" i="2"/>
  <c r="BR51" i="1" s="1"/>
  <c r="AW26" i="2"/>
  <c r="BR55" i="1" s="1"/>
  <c r="AW42" i="2"/>
  <c r="AW58" i="2"/>
  <c r="BR119" i="1" s="1"/>
  <c r="AW34" i="2"/>
  <c r="BR71" i="1" s="1"/>
  <c r="AW50" i="2"/>
  <c r="BR103" i="1" s="1"/>
  <c r="AW3" i="2"/>
  <c r="BR9" i="1" s="1"/>
  <c r="AW11" i="2"/>
  <c r="BR25" i="1" s="1"/>
  <c r="AW19" i="2"/>
  <c r="BR41" i="1" s="1"/>
  <c r="AW27" i="2"/>
  <c r="BR57" i="1" s="1"/>
  <c r="AW35" i="2"/>
  <c r="BR73" i="1" s="1"/>
  <c r="AW43" i="2"/>
  <c r="BR89" i="1" s="1"/>
  <c r="AW51" i="2"/>
  <c r="BR105" i="1" s="1"/>
  <c r="AW59" i="2"/>
  <c r="BR121" i="1" s="1"/>
  <c r="AW36" i="2"/>
  <c r="BR75" i="1" s="1"/>
  <c r="AW44" i="2"/>
  <c r="BR91" i="1" s="1"/>
  <c r="AW52" i="2"/>
  <c r="BR107" i="1" s="1"/>
  <c r="AW60" i="2"/>
  <c r="BR123" i="1" s="1"/>
  <c r="AW29" i="2"/>
  <c r="BR61" i="1" s="1"/>
  <c r="AW37" i="2"/>
  <c r="BR77" i="1" s="1"/>
  <c r="AW45" i="2"/>
  <c r="BR93" i="1" s="1"/>
  <c r="AW53" i="2"/>
  <c r="BR109" i="1" s="1"/>
  <c r="AW61" i="2"/>
  <c r="BR125" i="1" s="1"/>
  <c r="BR79" i="1"/>
  <c r="BR95" i="1"/>
  <c r="BR87" i="1"/>
  <c r="BR43" i="1"/>
  <c r="BR53" i="1"/>
  <c r="BR63" i="1"/>
  <c r="BR47" i="1"/>
  <c r="BR31" i="1"/>
  <c r="BR19" i="1"/>
  <c r="BR45" i="1"/>
  <c r="AH66" i="1"/>
  <c r="BX10" i="1" l="1"/>
  <c r="BS10" i="1"/>
  <c r="BH61" i="1"/>
  <c r="BS60" i="1"/>
  <c r="BX60" i="1"/>
  <c r="BX114" i="1"/>
  <c r="BH115" i="1"/>
  <c r="BS114" i="1"/>
  <c r="BH123" i="1"/>
  <c r="BS122" i="1"/>
  <c r="BX122" i="1"/>
  <c r="BX70" i="1"/>
  <c r="BH71" i="1"/>
  <c r="BS70" i="1"/>
  <c r="BH107" i="1"/>
  <c r="BS106" i="1"/>
  <c r="BX106" i="1"/>
  <c r="BH101" i="1"/>
  <c r="BX100" i="1"/>
  <c r="BS100" i="1"/>
  <c r="BH121" i="1"/>
  <c r="BX120" i="1"/>
  <c r="BS120" i="1"/>
  <c r="BS48" i="1"/>
  <c r="BX48" i="1"/>
  <c r="BH49" i="1"/>
  <c r="BS112" i="1"/>
  <c r="BX112" i="1"/>
  <c r="BH113" i="1"/>
  <c r="BX102" i="1"/>
  <c r="BH103" i="1"/>
  <c r="BS102" i="1"/>
  <c r="BX50" i="1"/>
  <c r="BH51" i="1"/>
  <c r="BS50" i="1"/>
  <c r="BH105" i="1"/>
  <c r="BS104" i="1"/>
  <c r="BX104" i="1"/>
  <c r="BS32" i="1"/>
  <c r="BX32" i="1"/>
  <c r="BH33" i="1"/>
  <c r="BH69" i="1"/>
  <c r="BX68" i="1"/>
  <c r="BS68" i="1"/>
  <c r="BH109" i="1"/>
  <c r="BS108" i="1"/>
  <c r="BX108" i="1"/>
  <c r="BX118" i="1"/>
  <c r="BH119" i="1"/>
  <c r="BS118" i="1"/>
  <c r="BX40" i="1"/>
  <c r="BH41" i="1"/>
  <c r="BS40" i="1"/>
  <c r="BS110" i="1"/>
  <c r="BX110" i="1"/>
  <c r="BH111" i="1"/>
  <c r="BS64" i="1"/>
  <c r="BX64" i="1"/>
  <c r="BH65" i="1"/>
  <c r="BH27" i="1"/>
  <c r="BS26" i="1"/>
  <c r="BX26" i="1"/>
  <c r="BH75" i="1"/>
  <c r="BS74" i="1"/>
  <c r="BX74" i="1"/>
  <c r="BS14" i="1"/>
  <c r="BX14" i="1"/>
  <c r="BH15" i="1"/>
  <c r="BH43" i="1"/>
  <c r="BS42" i="1"/>
  <c r="BX42" i="1"/>
  <c r="BS98" i="1"/>
  <c r="BX98" i="1"/>
  <c r="BH99" i="1"/>
  <c r="BH91" i="1"/>
  <c r="BS90" i="1"/>
  <c r="BX90" i="1"/>
  <c r="BS96" i="1"/>
  <c r="BX96" i="1"/>
  <c r="BH97" i="1"/>
  <c r="BS18" i="1"/>
  <c r="BX18" i="1"/>
  <c r="BH19" i="1"/>
  <c r="BS30" i="1"/>
  <c r="BX30" i="1"/>
  <c r="BH31" i="1"/>
  <c r="BH59" i="1"/>
  <c r="BS58" i="1"/>
  <c r="BX58" i="1"/>
  <c r="BS94" i="1"/>
  <c r="BX94" i="1"/>
  <c r="BH95" i="1"/>
  <c r="BX52" i="1"/>
  <c r="BH53" i="1"/>
  <c r="BS52" i="1"/>
  <c r="BX116" i="1"/>
  <c r="BH117" i="1"/>
  <c r="BS116" i="1"/>
  <c r="BH57" i="1"/>
  <c r="BX56" i="1"/>
  <c r="BS56" i="1"/>
  <c r="BX82" i="1"/>
  <c r="BH83" i="1"/>
  <c r="BS82" i="1"/>
  <c r="BS80" i="1"/>
  <c r="BX80" i="1"/>
  <c r="BH81" i="1"/>
  <c r="BS46" i="1"/>
  <c r="BX46" i="1"/>
  <c r="BH47" i="1"/>
  <c r="BX22" i="1"/>
  <c r="BH23" i="1"/>
  <c r="BS22" i="1"/>
  <c r="BS62" i="1"/>
  <c r="BX62" i="1"/>
  <c r="BH63" i="1"/>
  <c r="BH93" i="1"/>
  <c r="BS92" i="1"/>
  <c r="BX92" i="1"/>
  <c r="BS16" i="1"/>
  <c r="BX16" i="1"/>
  <c r="BH17" i="1"/>
  <c r="BX20" i="1"/>
  <c r="BH21" i="1"/>
  <c r="BS20" i="1"/>
  <c r="BX84" i="1"/>
  <c r="BH85" i="1"/>
  <c r="BS84" i="1"/>
  <c r="BX88" i="1"/>
  <c r="BH89" i="1"/>
  <c r="BS88" i="1"/>
  <c r="BX34" i="1"/>
  <c r="BH35" i="1"/>
  <c r="BS34" i="1"/>
  <c r="BH77" i="1"/>
  <c r="BS76" i="1"/>
  <c r="BX76" i="1"/>
  <c r="BH125" i="1"/>
  <c r="BS124" i="1"/>
  <c r="BX124" i="1"/>
  <c r="BX38" i="1"/>
  <c r="BH39" i="1"/>
  <c r="BS38" i="1"/>
  <c r="BX86" i="1"/>
  <c r="BH87" i="1"/>
  <c r="BS86" i="1"/>
  <c r="BX54" i="1"/>
  <c r="BH55" i="1"/>
  <c r="BS54" i="1"/>
  <c r="BS66" i="1"/>
  <c r="BX66" i="1"/>
  <c r="BH67" i="1"/>
  <c r="BS44" i="1"/>
  <c r="BH45" i="1"/>
  <c r="BX44" i="1"/>
  <c r="BH25" i="1"/>
  <c r="BS24" i="1"/>
  <c r="BX24" i="1"/>
  <c r="BH37" i="1"/>
  <c r="BX36" i="1"/>
  <c r="BS36" i="1"/>
  <c r="BS78" i="1"/>
  <c r="BX78" i="1"/>
  <c r="BH79" i="1"/>
  <c r="BH9" i="1"/>
  <c r="BX8" i="1"/>
  <c r="BS8" i="1"/>
  <c r="BS12" i="1"/>
  <c r="BH13" i="1"/>
  <c r="BX12" i="1"/>
  <c r="BH73" i="1"/>
  <c r="BS72" i="1"/>
  <c r="BX72" i="1"/>
  <c r="BH29" i="1"/>
  <c r="BS28" i="1"/>
  <c r="BX28" i="1"/>
  <c r="AC7" i="1" l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F234" i="1" s="1"/>
  <c r="AC31" i="1"/>
  <c r="F235" i="1" s="1"/>
  <c r="AC32" i="1"/>
  <c r="F236" i="1" s="1"/>
  <c r="AC33" i="1"/>
  <c r="F237" i="1" s="1"/>
  <c r="AC34" i="1"/>
  <c r="AC35" i="1"/>
  <c r="AC36" i="1"/>
  <c r="AC37" i="1"/>
  <c r="AC38" i="1"/>
  <c r="AC39" i="1"/>
  <c r="AC40" i="1"/>
  <c r="F244" i="1" s="1"/>
  <c r="AC41" i="1"/>
  <c r="F245" i="1" s="1"/>
  <c r="AC42" i="1"/>
  <c r="F246" i="1" s="1"/>
  <c r="AC43" i="1"/>
  <c r="F247" i="1" s="1"/>
  <c r="AC44" i="1"/>
  <c r="F248" i="1" s="1"/>
  <c r="AC45" i="1"/>
  <c r="F249" i="1" s="1"/>
  <c r="AC46" i="1"/>
  <c r="F250" i="1" s="1"/>
  <c r="AC47" i="1"/>
  <c r="F251" i="1" s="1"/>
  <c r="AC48" i="1"/>
  <c r="F252" i="1" s="1"/>
  <c r="AC49" i="1"/>
  <c r="F253" i="1" s="1"/>
  <c r="AC50" i="1"/>
  <c r="F254" i="1" s="1"/>
  <c r="AC51" i="1"/>
  <c r="F255" i="1" s="1"/>
  <c r="AC52" i="1"/>
  <c r="F256" i="1" s="1"/>
  <c r="AC53" i="1"/>
  <c r="F257" i="1" s="1"/>
  <c r="AC54" i="1"/>
  <c r="F258" i="1" s="1"/>
  <c r="AC55" i="1"/>
  <c r="F259" i="1" s="1"/>
  <c r="AC56" i="1"/>
  <c r="F260" i="1" s="1"/>
  <c r="AC57" i="1"/>
  <c r="F261" i="1" s="1"/>
  <c r="AC58" i="1"/>
  <c r="F262" i="1" s="1"/>
  <c r="AC59" i="1"/>
  <c r="F263" i="1" s="1"/>
  <c r="AC60" i="1"/>
  <c r="F264" i="1" s="1"/>
  <c r="AC61" i="1"/>
  <c r="F265" i="1" s="1"/>
  <c r="AC62" i="1"/>
  <c r="F266" i="1" s="1"/>
  <c r="AC63" i="1"/>
  <c r="F267" i="1" s="1"/>
  <c r="AC64" i="1"/>
  <c r="F268" i="1" s="1"/>
  <c r="AC65" i="1"/>
  <c r="F269" i="1" s="1"/>
  <c r="AC66" i="1"/>
  <c r="F270" i="1" s="1"/>
  <c r="P211" i="1" l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2" i="2"/>
  <c r="AP67" i="1" l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BS6" i="1" s="1"/>
  <c r="O66" i="1"/>
  <c r="Y62" i="2" s="1"/>
  <c r="X62" i="2"/>
  <c r="W62" i="2"/>
  <c r="U62" i="2"/>
  <c r="T62" i="2"/>
  <c r="O65" i="1"/>
  <c r="Y61" i="2" s="1"/>
  <c r="X61" i="2"/>
  <c r="W61" i="2"/>
  <c r="U61" i="2"/>
  <c r="T61" i="2"/>
  <c r="O64" i="1"/>
  <c r="Y60" i="2" s="1"/>
  <c r="X60" i="2"/>
  <c r="W60" i="2"/>
  <c r="U60" i="2"/>
  <c r="T60" i="2"/>
  <c r="O63" i="1"/>
  <c r="Y59" i="2" s="1"/>
  <c r="X59" i="2"/>
  <c r="W59" i="2"/>
  <c r="U59" i="2"/>
  <c r="T59" i="2"/>
  <c r="O62" i="1"/>
  <c r="Y58" i="2" s="1"/>
  <c r="X58" i="2"/>
  <c r="W58" i="2"/>
  <c r="U58" i="2"/>
  <c r="T58" i="2"/>
  <c r="O61" i="1"/>
  <c r="Y57" i="2" s="1"/>
  <c r="X57" i="2"/>
  <c r="W57" i="2"/>
  <c r="U57" i="2"/>
  <c r="T57" i="2"/>
  <c r="O60" i="1"/>
  <c r="Y56" i="2" s="1"/>
  <c r="X56" i="2"/>
  <c r="W56" i="2"/>
  <c r="U56" i="2"/>
  <c r="T56" i="2"/>
  <c r="O59" i="1"/>
  <c r="Y55" i="2" s="1"/>
  <c r="X55" i="2"/>
  <c r="W55" i="2"/>
  <c r="U55" i="2"/>
  <c r="T55" i="2"/>
  <c r="O58" i="1"/>
  <c r="Y54" i="2" s="1"/>
  <c r="X54" i="2"/>
  <c r="W54" i="2"/>
  <c r="U54" i="2"/>
  <c r="T54" i="2"/>
  <c r="O57" i="1"/>
  <c r="Y53" i="2" s="1"/>
  <c r="X53" i="2"/>
  <c r="W53" i="2"/>
  <c r="U53" i="2"/>
  <c r="T53" i="2"/>
  <c r="O56" i="1"/>
  <c r="Y52" i="2" s="1"/>
  <c r="X52" i="2"/>
  <c r="W52" i="2"/>
  <c r="U52" i="2"/>
  <c r="T52" i="2"/>
  <c r="O55" i="1"/>
  <c r="Y51" i="2" s="1"/>
  <c r="X51" i="2"/>
  <c r="W51" i="2"/>
  <c r="U51" i="2"/>
  <c r="T51" i="2"/>
  <c r="O54" i="1"/>
  <c r="Y50" i="2" s="1"/>
  <c r="X50" i="2"/>
  <c r="W50" i="2"/>
  <c r="U50" i="2"/>
  <c r="T50" i="2"/>
  <c r="O53" i="1"/>
  <c r="Y49" i="2" s="1"/>
  <c r="X49" i="2"/>
  <c r="W49" i="2"/>
  <c r="U49" i="2"/>
  <c r="T49" i="2"/>
  <c r="O52" i="1"/>
  <c r="Y48" i="2" s="1"/>
  <c r="X48" i="2"/>
  <c r="W48" i="2"/>
  <c r="U48" i="2"/>
  <c r="T48" i="2"/>
  <c r="O51" i="1"/>
  <c r="Y47" i="2" s="1"/>
  <c r="X47" i="2"/>
  <c r="W47" i="2"/>
  <c r="U47" i="2"/>
  <c r="T47" i="2"/>
  <c r="O50" i="1"/>
  <c r="Y46" i="2" s="1"/>
  <c r="X46" i="2"/>
  <c r="W46" i="2"/>
  <c r="U46" i="2"/>
  <c r="T46" i="2"/>
  <c r="O49" i="1"/>
  <c r="Y45" i="2" s="1"/>
  <c r="X45" i="2"/>
  <c r="W45" i="2"/>
  <c r="U45" i="2"/>
  <c r="T45" i="2"/>
  <c r="O48" i="1"/>
  <c r="Y44" i="2" s="1"/>
  <c r="X44" i="2"/>
  <c r="W44" i="2"/>
  <c r="U44" i="2"/>
  <c r="T44" i="2"/>
  <c r="O47" i="1"/>
  <c r="Y43" i="2" s="1"/>
  <c r="X43" i="2"/>
  <c r="W43" i="2"/>
  <c r="U43" i="2"/>
  <c r="T43" i="2"/>
  <c r="O46" i="1"/>
  <c r="Y42" i="2" s="1"/>
  <c r="X42" i="2"/>
  <c r="W42" i="2"/>
  <c r="U42" i="2"/>
  <c r="T42" i="2"/>
  <c r="O45" i="1"/>
  <c r="Y41" i="2" s="1"/>
  <c r="X41" i="2"/>
  <c r="W41" i="2"/>
  <c r="U41" i="2"/>
  <c r="T41" i="2"/>
  <c r="O44" i="1"/>
  <c r="Y40" i="2" s="1"/>
  <c r="X40" i="2"/>
  <c r="W40" i="2"/>
  <c r="U40" i="2"/>
  <c r="T40" i="2"/>
  <c r="O43" i="1"/>
  <c r="Y39" i="2" s="1"/>
  <c r="X39" i="2"/>
  <c r="W39" i="2"/>
  <c r="U39" i="2"/>
  <c r="T39" i="2"/>
  <c r="O42" i="1"/>
  <c r="Y38" i="2" s="1"/>
  <c r="X38" i="2"/>
  <c r="W38" i="2"/>
  <c r="U38" i="2"/>
  <c r="T38" i="2"/>
  <c r="O41" i="1"/>
  <c r="Y37" i="2" s="1"/>
  <c r="X37" i="2"/>
  <c r="W37" i="2"/>
  <c r="U37" i="2"/>
  <c r="T37" i="2"/>
  <c r="O40" i="1"/>
  <c r="Y36" i="2" s="1"/>
  <c r="X36" i="2"/>
  <c r="W36" i="2"/>
  <c r="U36" i="2"/>
  <c r="T36" i="2"/>
  <c r="O39" i="1"/>
  <c r="Y35" i="2" s="1"/>
  <c r="X35" i="2"/>
  <c r="W35" i="2"/>
  <c r="U35" i="2"/>
  <c r="T35" i="2"/>
  <c r="O38" i="1"/>
  <c r="Y34" i="2" s="1"/>
  <c r="X34" i="2"/>
  <c r="W34" i="2"/>
  <c r="U34" i="2"/>
  <c r="T34" i="2"/>
  <c r="O37" i="1"/>
  <c r="Y33" i="2" s="1"/>
  <c r="X33" i="2"/>
  <c r="W33" i="2"/>
  <c r="U33" i="2"/>
  <c r="T33" i="2"/>
  <c r="O36" i="1"/>
  <c r="Y32" i="2" s="1"/>
  <c r="X32" i="2"/>
  <c r="W32" i="2"/>
  <c r="U32" i="2"/>
  <c r="T32" i="2"/>
  <c r="O35" i="1"/>
  <c r="Y31" i="2" s="1"/>
  <c r="X31" i="2"/>
  <c r="W31" i="2"/>
  <c r="U31" i="2"/>
  <c r="T31" i="2"/>
  <c r="O34" i="1"/>
  <c r="Y30" i="2" s="1"/>
  <c r="X30" i="2"/>
  <c r="W30" i="2"/>
  <c r="U30" i="2"/>
  <c r="T30" i="2"/>
  <c r="O33" i="1"/>
  <c r="Y29" i="2" s="1"/>
  <c r="X29" i="2"/>
  <c r="W29" i="2"/>
  <c r="U29" i="2"/>
  <c r="T29" i="2"/>
  <c r="O32" i="1"/>
  <c r="Y28" i="2" s="1"/>
  <c r="X28" i="2"/>
  <c r="W28" i="2"/>
  <c r="U28" i="2"/>
  <c r="T28" i="2"/>
  <c r="O31" i="1"/>
  <c r="Y27" i="2" s="1"/>
  <c r="X27" i="2"/>
  <c r="W27" i="2"/>
  <c r="U27" i="2"/>
  <c r="T27" i="2"/>
  <c r="O30" i="1"/>
  <c r="Y26" i="2" s="1"/>
  <c r="X26" i="2"/>
  <c r="W26" i="2"/>
  <c r="U26" i="2"/>
  <c r="T26" i="2"/>
  <c r="O29" i="1"/>
  <c r="Y25" i="2" s="1"/>
  <c r="X25" i="2"/>
  <c r="W25" i="2"/>
  <c r="U25" i="2"/>
  <c r="T25" i="2"/>
  <c r="O28" i="1"/>
  <c r="Y24" i="2" s="1"/>
  <c r="X24" i="2"/>
  <c r="W24" i="2"/>
  <c r="U24" i="2"/>
  <c r="T24" i="2"/>
  <c r="O27" i="1"/>
  <c r="Y23" i="2" s="1"/>
  <c r="X23" i="2"/>
  <c r="W23" i="2"/>
  <c r="U23" i="2"/>
  <c r="T23" i="2"/>
  <c r="O26" i="1"/>
  <c r="Y22" i="2" s="1"/>
  <c r="X22" i="2"/>
  <c r="W22" i="2"/>
  <c r="U22" i="2"/>
  <c r="T22" i="2"/>
  <c r="O25" i="1"/>
  <c r="Y21" i="2" s="1"/>
  <c r="X21" i="2"/>
  <c r="W21" i="2"/>
  <c r="U21" i="2"/>
  <c r="T21" i="2"/>
  <c r="O24" i="1"/>
  <c r="Y20" i="2" s="1"/>
  <c r="X20" i="2"/>
  <c r="W20" i="2"/>
  <c r="U20" i="2"/>
  <c r="T20" i="2"/>
  <c r="O23" i="1"/>
  <c r="Y19" i="2" s="1"/>
  <c r="X19" i="2"/>
  <c r="W19" i="2"/>
  <c r="U19" i="2"/>
  <c r="T19" i="2"/>
  <c r="O22" i="1"/>
  <c r="Y18" i="2" s="1"/>
  <c r="X18" i="2"/>
  <c r="W18" i="2"/>
  <c r="U18" i="2"/>
  <c r="T18" i="2"/>
  <c r="O21" i="1"/>
  <c r="Y17" i="2" s="1"/>
  <c r="X17" i="2"/>
  <c r="W17" i="2"/>
  <c r="U17" i="2"/>
  <c r="T17" i="2"/>
  <c r="O20" i="1"/>
  <c r="Y16" i="2" s="1"/>
  <c r="X16" i="2"/>
  <c r="W16" i="2"/>
  <c r="U16" i="2"/>
  <c r="T16" i="2"/>
  <c r="O19" i="1"/>
  <c r="Y15" i="2" s="1"/>
  <c r="X15" i="2"/>
  <c r="W15" i="2"/>
  <c r="U15" i="2"/>
  <c r="T15" i="2"/>
  <c r="O18" i="1"/>
  <c r="Y14" i="2" s="1"/>
  <c r="X14" i="2"/>
  <c r="W14" i="2"/>
  <c r="U14" i="2"/>
  <c r="T14" i="2"/>
  <c r="O17" i="1"/>
  <c r="Y13" i="2" s="1"/>
  <c r="X13" i="2"/>
  <c r="W13" i="2"/>
  <c r="U13" i="2"/>
  <c r="T13" i="2"/>
  <c r="O16" i="1"/>
  <c r="Y12" i="2" s="1"/>
  <c r="X12" i="2"/>
  <c r="W12" i="2"/>
  <c r="U12" i="2"/>
  <c r="T12" i="2"/>
  <c r="O15" i="1"/>
  <c r="Y11" i="2" s="1"/>
  <c r="X11" i="2"/>
  <c r="W11" i="2"/>
  <c r="U11" i="2"/>
  <c r="T11" i="2"/>
  <c r="O14" i="1"/>
  <c r="Y10" i="2" s="1"/>
  <c r="X10" i="2"/>
  <c r="W10" i="2"/>
  <c r="U10" i="2"/>
  <c r="T10" i="2"/>
  <c r="O13" i="1"/>
  <c r="Y9" i="2" s="1"/>
  <c r="X9" i="2"/>
  <c r="W9" i="2"/>
  <c r="U9" i="2"/>
  <c r="T9" i="2"/>
  <c r="O12" i="1"/>
  <c r="Y8" i="2" s="1"/>
  <c r="X8" i="2"/>
  <c r="W8" i="2"/>
  <c r="U8" i="2"/>
  <c r="T8" i="2"/>
  <c r="O11" i="1"/>
  <c r="Y7" i="2" s="1"/>
  <c r="X7" i="2"/>
  <c r="W7" i="2"/>
  <c r="U7" i="2"/>
  <c r="T7" i="2"/>
  <c r="O10" i="1"/>
  <c r="Y6" i="2" s="1"/>
  <c r="X6" i="2"/>
  <c r="W6" i="2"/>
  <c r="U6" i="2"/>
  <c r="T6" i="2"/>
  <c r="O9" i="1"/>
  <c r="Y5" i="2" s="1"/>
  <c r="X5" i="2"/>
  <c r="W5" i="2"/>
  <c r="U5" i="2"/>
  <c r="T5" i="2"/>
  <c r="O8" i="1"/>
  <c r="Y4" i="2" s="1"/>
  <c r="X4" i="2"/>
  <c r="W4" i="2"/>
  <c r="U4" i="2"/>
  <c r="T4" i="2"/>
  <c r="O7" i="1"/>
  <c r="Y3" i="2" s="1"/>
  <c r="X3" i="2"/>
  <c r="W3" i="2"/>
  <c r="U3" i="2"/>
  <c r="T3" i="2"/>
  <c r="O6" i="1"/>
  <c r="Y2" i="2" s="1"/>
  <c r="X2" i="2"/>
  <c r="W2" i="2"/>
  <c r="U2" i="2"/>
  <c r="T2" i="2"/>
  <c r="V27" i="2" l="1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8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" i="2"/>
  <c r="V3" i="2"/>
  <c r="V4" i="2"/>
  <c r="V5" i="2"/>
  <c r="V6" i="2"/>
  <c r="V7" i="2"/>
  <c r="V9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S67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" i="1"/>
  <c r="AH64" i="1" l="1"/>
  <c r="AI64" i="1" s="1"/>
  <c r="AH65" i="1"/>
  <c r="AI65" i="1" s="1"/>
  <c r="AI66" i="1"/>
  <c r="AO66" i="1" l="1"/>
  <c r="AL66" i="1"/>
  <c r="AO65" i="1"/>
  <c r="AL65" i="1"/>
  <c r="AO64" i="1"/>
  <c r="AL64" i="1"/>
  <c r="AO63" i="1"/>
  <c r="AL63" i="1"/>
  <c r="AO62" i="1"/>
  <c r="AL62" i="1"/>
  <c r="AO61" i="1"/>
  <c r="AL61" i="1"/>
  <c r="AO60" i="1"/>
  <c r="AL60" i="1"/>
  <c r="AO59" i="1"/>
  <c r="AL59" i="1"/>
  <c r="AO58" i="1"/>
  <c r="AL58" i="1"/>
  <c r="AO57" i="1"/>
  <c r="AL57" i="1"/>
  <c r="AO56" i="1"/>
  <c r="AL56" i="1"/>
  <c r="AO55" i="1"/>
  <c r="AL55" i="1"/>
  <c r="AO54" i="1"/>
  <c r="AL54" i="1"/>
  <c r="AO53" i="1"/>
  <c r="AL53" i="1"/>
  <c r="AO52" i="1"/>
  <c r="AL52" i="1"/>
  <c r="AO51" i="1"/>
  <c r="AL51" i="1"/>
  <c r="AO50" i="1"/>
  <c r="AL50" i="1"/>
  <c r="AO49" i="1"/>
  <c r="AL49" i="1"/>
  <c r="AO48" i="1"/>
  <c r="AL48" i="1"/>
  <c r="AO47" i="1"/>
  <c r="AL47" i="1"/>
  <c r="AO46" i="1"/>
  <c r="AL46" i="1"/>
  <c r="AO45" i="1"/>
  <c r="AL45" i="1"/>
  <c r="AO44" i="1"/>
  <c r="AL44" i="1"/>
  <c r="AO43" i="1"/>
  <c r="AL43" i="1"/>
  <c r="AO42" i="1"/>
  <c r="AL42" i="1"/>
  <c r="AO41" i="1"/>
  <c r="AL41" i="1"/>
  <c r="AO40" i="1"/>
  <c r="AL40" i="1"/>
  <c r="AO39" i="1"/>
  <c r="AL39" i="1"/>
  <c r="AO38" i="1"/>
  <c r="AL38" i="1"/>
  <c r="AO37" i="1"/>
  <c r="AL37" i="1"/>
  <c r="AO36" i="1"/>
  <c r="AL36" i="1"/>
  <c r="AO35" i="1"/>
  <c r="AL35" i="1"/>
  <c r="AO34" i="1"/>
  <c r="AL34" i="1"/>
  <c r="AO33" i="1"/>
  <c r="AL33" i="1"/>
  <c r="AO32" i="1"/>
  <c r="AL32" i="1"/>
  <c r="AO31" i="1"/>
  <c r="AL31" i="1"/>
  <c r="AO30" i="1"/>
  <c r="AL30" i="1"/>
  <c r="AO29" i="1"/>
  <c r="AL29" i="1"/>
  <c r="AO28" i="1"/>
  <c r="AL28" i="1"/>
  <c r="AO27" i="1"/>
  <c r="AL27" i="1"/>
  <c r="AO26" i="1"/>
  <c r="AL26" i="1"/>
  <c r="AO25" i="1"/>
  <c r="AL25" i="1"/>
  <c r="AO24" i="1"/>
  <c r="AL24" i="1"/>
  <c r="AO23" i="1"/>
  <c r="AL23" i="1"/>
  <c r="AO22" i="1"/>
  <c r="AL22" i="1"/>
  <c r="AO21" i="1"/>
  <c r="AL21" i="1"/>
  <c r="AO20" i="1"/>
  <c r="AL20" i="1"/>
  <c r="AO19" i="1"/>
  <c r="AL19" i="1"/>
  <c r="AO18" i="1"/>
  <c r="AL18" i="1"/>
  <c r="AO17" i="1"/>
  <c r="AL17" i="1"/>
  <c r="AO16" i="1"/>
  <c r="AL16" i="1"/>
  <c r="AO15" i="1"/>
  <c r="AL15" i="1"/>
  <c r="AO14" i="1"/>
  <c r="AL14" i="1"/>
  <c r="AO13" i="1"/>
  <c r="AL13" i="1"/>
  <c r="AO12" i="1"/>
  <c r="AL12" i="1"/>
  <c r="AO11" i="1"/>
  <c r="AL11" i="1"/>
  <c r="AO10" i="1"/>
  <c r="AL10" i="1"/>
  <c r="AO9" i="1"/>
  <c r="AL9" i="1"/>
  <c r="AO8" i="1"/>
  <c r="AL8" i="1"/>
  <c r="AO7" i="1"/>
  <c r="AL7" i="1"/>
  <c r="AO6" i="1"/>
  <c r="AH7" i="1"/>
  <c r="AI7" i="1" s="1"/>
  <c r="AH8" i="1"/>
  <c r="AI8" i="1" s="1"/>
  <c r="AH9" i="1"/>
  <c r="AI9" i="1" s="1"/>
  <c r="AH10" i="1"/>
  <c r="AI10" i="1" s="1"/>
  <c r="AH11" i="1"/>
  <c r="AI11" i="1" s="1"/>
  <c r="AH12" i="1"/>
  <c r="AI12" i="1" s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50" i="1"/>
  <c r="AI50" i="1" s="1"/>
  <c r="AH51" i="1"/>
  <c r="AI51" i="1" s="1"/>
  <c r="AH52" i="1"/>
  <c r="AI52" i="1" s="1"/>
  <c r="AH53" i="1"/>
  <c r="AI53" i="1" s="1"/>
  <c r="AH54" i="1"/>
  <c r="AI54" i="1" s="1"/>
  <c r="AH55" i="1"/>
  <c r="AI55" i="1" s="1"/>
  <c r="AH56" i="1"/>
  <c r="AI56" i="1" s="1"/>
  <c r="AH57" i="1"/>
  <c r="AI57" i="1" s="1"/>
  <c r="AH58" i="1"/>
  <c r="AI58" i="1" s="1"/>
  <c r="AH59" i="1"/>
  <c r="AI59" i="1" s="1"/>
  <c r="AH60" i="1"/>
  <c r="AI60" i="1" s="1"/>
  <c r="AH61" i="1"/>
  <c r="AI61" i="1" s="1"/>
  <c r="AH62" i="1"/>
  <c r="AI62" i="1" s="1"/>
  <c r="AH63" i="1"/>
  <c r="AI63" i="1" s="1"/>
  <c r="AL6" i="1"/>
  <c r="AH6" i="1"/>
  <c r="AD6" i="1"/>
  <c r="AI6" i="1" l="1"/>
  <c r="AK6" i="1" s="1"/>
  <c r="X67" i="1" a="1"/>
  <c r="X67" i="1" s="1"/>
  <c r="AZ128" i="1" s="1"/>
  <c r="AN66" i="1"/>
  <c r="AM66" i="1"/>
  <c r="AN65" i="1"/>
  <c r="AM65" i="1"/>
  <c r="AN64" i="1"/>
  <c r="AM64" i="1"/>
  <c r="AN63" i="1"/>
  <c r="AM63" i="1"/>
  <c r="AN62" i="1"/>
  <c r="AM62" i="1"/>
  <c r="AN61" i="1"/>
  <c r="AM61" i="1"/>
  <c r="AN60" i="1"/>
  <c r="AM60" i="1"/>
  <c r="AN59" i="1"/>
  <c r="AM59" i="1"/>
  <c r="AN58" i="1"/>
  <c r="AM58" i="1"/>
  <c r="AN57" i="1"/>
  <c r="AM57" i="1"/>
  <c r="AN56" i="1"/>
  <c r="AM56" i="1"/>
  <c r="AN55" i="1"/>
  <c r="AM55" i="1"/>
  <c r="AN54" i="1"/>
  <c r="AM54" i="1"/>
  <c r="AN53" i="1"/>
  <c r="AM53" i="1"/>
  <c r="AN52" i="1"/>
  <c r="AM52" i="1"/>
  <c r="AN51" i="1"/>
  <c r="AM51" i="1"/>
  <c r="AN50" i="1"/>
  <c r="AM50" i="1"/>
  <c r="AN49" i="1"/>
  <c r="AM49" i="1"/>
  <c r="AN48" i="1"/>
  <c r="AM48" i="1"/>
  <c r="AN47" i="1"/>
  <c r="AM47" i="1"/>
  <c r="AN46" i="1"/>
  <c r="AM46" i="1"/>
  <c r="AN45" i="1"/>
  <c r="AM45" i="1"/>
  <c r="AN44" i="1"/>
  <c r="AM44" i="1"/>
  <c r="AN43" i="1"/>
  <c r="AM43" i="1"/>
  <c r="AN42" i="1"/>
  <c r="AM42" i="1"/>
  <c r="AN41" i="1"/>
  <c r="AM41" i="1"/>
  <c r="AN40" i="1"/>
  <c r="AM40" i="1"/>
  <c r="AN39" i="1"/>
  <c r="AM39" i="1"/>
  <c r="AN38" i="1"/>
  <c r="AM38" i="1"/>
  <c r="AN37" i="1"/>
  <c r="AM37" i="1"/>
  <c r="AN36" i="1"/>
  <c r="AM36" i="1"/>
  <c r="AN35" i="1"/>
  <c r="AM35" i="1"/>
  <c r="AN34" i="1"/>
  <c r="AM34" i="1"/>
  <c r="AN33" i="1"/>
  <c r="AM33" i="1"/>
  <c r="AN32" i="1"/>
  <c r="AM32" i="1"/>
  <c r="AN31" i="1"/>
  <c r="AM31" i="1"/>
  <c r="AN30" i="1"/>
  <c r="AM30" i="1"/>
  <c r="AN29" i="1"/>
  <c r="AM29" i="1"/>
  <c r="AN28" i="1"/>
  <c r="AM28" i="1"/>
  <c r="AN27" i="1"/>
  <c r="AM27" i="1"/>
  <c r="AN26" i="1"/>
  <c r="AM26" i="1"/>
  <c r="AN25" i="1"/>
  <c r="AM25" i="1"/>
  <c r="AN24" i="1"/>
  <c r="AM24" i="1"/>
  <c r="AN23" i="1"/>
  <c r="AM23" i="1"/>
  <c r="AN22" i="1"/>
  <c r="AM22" i="1"/>
  <c r="AN21" i="1"/>
  <c r="AM21" i="1"/>
  <c r="AN20" i="1"/>
  <c r="AM20" i="1"/>
  <c r="AN19" i="1"/>
  <c r="AM19" i="1"/>
  <c r="AN18" i="1"/>
  <c r="AM18" i="1"/>
  <c r="AN17" i="1"/>
  <c r="AM17" i="1"/>
  <c r="AN16" i="1"/>
  <c r="AM16" i="1"/>
  <c r="AN15" i="1"/>
  <c r="AM15" i="1"/>
  <c r="AN14" i="1"/>
  <c r="AM14" i="1"/>
  <c r="AN13" i="1"/>
  <c r="AM13" i="1"/>
  <c r="AN12" i="1"/>
  <c r="AM12" i="1"/>
  <c r="AN11" i="1"/>
  <c r="AM11" i="1"/>
  <c r="AN10" i="1"/>
  <c r="AM10" i="1"/>
  <c r="AN9" i="1"/>
  <c r="AM9" i="1"/>
  <c r="AN8" i="1"/>
  <c r="AM8" i="1"/>
  <c r="AN7" i="1"/>
  <c r="AM7" i="1"/>
  <c r="AN6" i="1"/>
  <c r="AM6" i="1"/>
  <c r="S3" i="2" l="1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2" i="2"/>
  <c r="B2" i="2" l="1"/>
  <c r="A2" i="2"/>
  <c r="D2" i="2"/>
  <c r="E2" i="2"/>
  <c r="F2" i="2"/>
  <c r="G2" i="2"/>
  <c r="H2" i="2"/>
  <c r="I2" i="2"/>
  <c r="J2" i="2"/>
  <c r="K2" i="2"/>
  <c r="L2" i="2"/>
  <c r="M2" i="2"/>
  <c r="N2" i="2"/>
  <c r="P2" i="2" l="1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N62" i="2"/>
  <c r="M62" i="2"/>
  <c r="L62" i="2"/>
  <c r="K62" i="2"/>
  <c r="J62" i="2"/>
  <c r="I62" i="2"/>
  <c r="H62" i="2"/>
  <c r="G62" i="2"/>
  <c r="F62" i="2"/>
  <c r="E62" i="2"/>
  <c r="D62" i="2"/>
  <c r="N61" i="2"/>
  <c r="M61" i="2"/>
  <c r="L61" i="2"/>
  <c r="K61" i="2"/>
  <c r="J61" i="2"/>
  <c r="I61" i="2"/>
  <c r="H61" i="2"/>
  <c r="G61" i="2"/>
  <c r="F61" i="2"/>
  <c r="E61" i="2"/>
  <c r="D61" i="2"/>
  <c r="N60" i="2"/>
  <c r="M60" i="2"/>
  <c r="L60" i="2"/>
  <c r="K60" i="2"/>
  <c r="J60" i="2"/>
  <c r="I60" i="2"/>
  <c r="H60" i="2"/>
  <c r="G60" i="2"/>
  <c r="F60" i="2"/>
  <c r="E60" i="2"/>
  <c r="D60" i="2"/>
  <c r="B60" i="2"/>
  <c r="N59" i="2"/>
  <c r="M59" i="2"/>
  <c r="L59" i="2"/>
  <c r="K59" i="2"/>
  <c r="J59" i="2"/>
  <c r="I59" i="2"/>
  <c r="H59" i="2"/>
  <c r="G59" i="2"/>
  <c r="F59" i="2"/>
  <c r="E59" i="2"/>
  <c r="D59" i="2"/>
  <c r="B59" i="2"/>
  <c r="N58" i="2"/>
  <c r="M58" i="2"/>
  <c r="L58" i="2"/>
  <c r="K58" i="2"/>
  <c r="J58" i="2"/>
  <c r="I58" i="2"/>
  <c r="H58" i="2"/>
  <c r="G58" i="2"/>
  <c r="F58" i="2"/>
  <c r="E58" i="2"/>
  <c r="D58" i="2"/>
  <c r="B58" i="2"/>
  <c r="N57" i="2"/>
  <c r="M57" i="2"/>
  <c r="L57" i="2"/>
  <c r="K57" i="2"/>
  <c r="J57" i="2"/>
  <c r="I57" i="2"/>
  <c r="H57" i="2"/>
  <c r="G57" i="2"/>
  <c r="F57" i="2"/>
  <c r="E57" i="2"/>
  <c r="D57" i="2"/>
  <c r="B57" i="2"/>
  <c r="N56" i="2"/>
  <c r="M56" i="2"/>
  <c r="L56" i="2"/>
  <c r="K56" i="2"/>
  <c r="J56" i="2"/>
  <c r="I56" i="2"/>
  <c r="H56" i="2"/>
  <c r="G56" i="2"/>
  <c r="F56" i="2"/>
  <c r="E56" i="2"/>
  <c r="D56" i="2"/>
  <c r="B56" i="2"/>
  <c r="N55" i="2"/>
  <c r="M55" i="2"/>
  <c r="L55" i="2"/>
  <c r="K55" i="2"/>
  <c r="J55" i="2"/>
  <c r="I55" i="2"/>
  <c r="H55" i="2"/>
  <c r="G55" i="2"/>
  <c r="F55" i="2"/>
  <c r="E55" i="2"/>
  <c r="D55" i="2"/>
  <c r="B55" i="2"/>
  <c r="N54" i="2"/>
  <c r="M54" i="2"/>
  <c r="L54" i="2"/>
  <c r="K54" i="2"/>
  <c r="J54" i="2"/>
  <c r="I54" i="2"/>
  <c r="H54" i="2"/>
  <c r="G54" i="2"/>
  <c r="F54" i="2"/>
  <c r="E54" i="2"/>
  <c r="D54" i="2"/>
  <c r="B54" i="2"/>
  <c r="N53" i="2"/>
  <c r="M53" i="2"/>
  <c r="L53" i="2"/>
  <c r="K53" i="2"/>
  <c r="J53" i="2"/>
  <c r="I53" i="2"/>
  <c r="H53" i="2"/>
  <c r="G53" i="2"/>
  <c r="F53" i="2"/>
  <c r="E53" i="2"/>
  <c r="D53" i="2"/>
  <c r="B53" i="2"/>
  <c r="N52" i="2"/>
  <c r="M52" i="2"/>
  <c r="L52" i="2"/>
  <c r="K52" i="2"/>
  <c r="J52" i="2"/>
  <c r="I52" i="2"/>
  <c r="H52" i="2"/>
  <c r="G52" i="2"/>
  <c r="F52" i="2"/>
  <c r="E52" i="2"/>
  <c r="D52" i="2"/>
  <c r="B52" i="2"/>
  <c r="N51" i="2"/>
  <c r="M51" i="2"/>
  <c r="L51" i="2"/>
  <c r="K51" i="2"/>
  <c r="J51" i="2"/>
  <c r="I51" i="2"/>
  <c r="H51" i="2"/>
  <c r="G51" i="2"/>
  <c r="F51" i="2"/>
  <c r="E51" i="2"/>
  <c r="D51" i="2"/>
  <c r="B51" i="2"/>
  <c r="N50" i="2"/>
  <c r="M50" i="2"/>
  <c r="L50" i="2"/>
  <c r="K50" i="2"/>
  <c r="J50" i="2"/>
  <c r="I50" i="2"/>
  <c r="H50" i="2"/>
  <c r="G50" i="2"/>
  <c r="F50" i="2"/>
  <c r="E50" i="2"/>
  <c r="D50" i="2"/>
  <c r="B50" i="2"/>
  <c r="N49" i="2"/>
  <c r="M49" i="2"/>
  <c r="L49" i="2"/>
  <c r="K49" i="2"/>
  <c r="J49" i="2"/>
  <c r="I49" i="2"/>
  <c r="H49" i="2"/>
  <c r="G49" i="2"/>
  <c r="F49" i="2"/>
  <c r="E49" i="2"/>
  <c r="D49" i="2"/>
  <c r="B49" i="2"/>
  <c r="N48" i="2"/>
  <c r="M48" i="2"/>
  <c r="L48" i="2"/>
  <c r="K48" i="2"/>
  <c r="J48" i="2"/>
  <c r="I48" i="2"/>
  <c r="H48" i="2"/>
  <c r="G48" i="2"/>
  <c r="F48" i="2"/>
  <c r="E48" i="2"/>
  <c r="D48" i="2"/>
  <c r="B48" i="2"/>
  <c r="N47" i="2"/>
  <c r="M47" i="2"/>
  <c r="L47" i="2"/>
  <c r="K47" i="2"/>
  <c r="J47" i="2"/>
  <c r="I47" i="2"/>
  <c r="H47" i="2"/>
  <c r="G47" i="2"/>
  <c r="F47" i="2"/>
  <c r="E47" i="2"/>
  <c r="D47" i="2"/>
  <c r="B47" i="2"/>
  <c r="N46" i="2"/>
  <c r="M46" i="2"/>
  <c r="L46" i="2"/>
  <c r="K46" i="2"/>
  <c r="J46" i="2"/>
  <c r="I46" i="2"/>
  <c r="H46" i="2"/>
  <c r="G46" i="2"/>
  <c r="F46" i="2"/>
  <c r="E46" i="2"/>
  <c r="D46" i="2"/>
  <c r="B46" i="2"/>
  <c r="N45" i="2"/>
  <c r="M45" i="2"/>
  <c r="L45" i="2"/>
  <c r="K45" i="2"/>
  <c r="J45" i="2"/>
  <c r="I45" i="2"/>
  <c r="H45" i="2"/>
  <c r="G45" i="2"/>
  <c r="F45" i="2"/>
  <c r="E45" i="2"/>
  <c r="D45" i="2"/>
  <c r="B45" i="2"/>
  <c r="N44" i="2"/>
  <c r="M44" i="2"/>
  <c r="L44" i="2"/>
  <c r="K44" i="2"/>
  <c r="J44" i="2"/>
  <c r="I44" i="2"/>
  <c r="H44" i="2"/>
  <c r="G44" i="2"/>
  <c r="F44" i="2"/>
  <c r="E44" i="2"/>
  <c r="D44" i="2"/>
  <c r="B44" i="2"/>
  <c r="N43" i="2"/>
  <c r="M43" i="2"/>
  <c r="L43" i="2"/>
  <c r="K43" i="2"/>
  <c r="J43" i="2"/>
  <c r="I43" i="2"/>
  <c r="H43" i="2"/>
  <c r="G43" i="2"/>
  <c r="F43" i="2"/>
  <c r="E43" i="2"/>
  <c r="D43" i="2"/>
  <c r="B43" i="2"/>
  <c r="N42" i="2"/>
  <c r="M42" i="2"/>
  <c r="L42" i="2"/>
  <c r="K42" i="2"/>
  <c r="J42" i="2"/>
  <c r="I42" i="2"/>
  <c r="H42" i="2"/>
  <c r="G42" i="2"/>
  <c r="F42" i="2"/>
  <c r="E42" i="2"/>
  <c r="D42" i="2"/>
  <c r="B42" i="2"/>
  <c r="N41" i="2"/>
  <c r="M41" i="2"/>
  <c r="L41" i="2"/>
  <c r="K41" i="2"/>
  <c r="J41" i="2"/>
  <c r="I41" i="2"/>
  <c r="H41" i="2"/>
  <c r="G41" i="2"/>
  <c r="F41" i="2"/>
  <c r="E41" i="2"/>
  <c r="D41" i="2"/>
  <c r="B41" i="2"/>
  <c r="N40" i="2"/>
  <c r="M40" i="2"/>
  <c r="L40" i="2"/>
  <c r="K40" i="2"/>
  <c r="J40" i="2"/>
  <c r="I40" i="2"/>
  <c r="H40" i="2"/>
  <c r="G40" i="2"/>
  <c r="F40" i="2"/>
  <c r="E40" i="2"/>
  <c r="D40" i="2"/>
  <c r="B40" i="2"/>
  <c r="N39" i="2"/>
  <c r="M39" i="2"/>
  <c r="L39" i="2"/>
  <c r="K39" i="2"/>
  <c r="J39" i="2"/>
  <c r="I39" i="2"/>
  <c r="H39" i="2"/>
  <c r="G39" i="2"/>
  <c r="F39" i="2"/>
  <c r="E39" i="2"/>
  <c r="D39" i="2"/>
  <c r="B39" i="2"/>
  <c r="N38" i="2"/>
  <c r="M38" i="2"/>
  <c r="L38" i="2"/>
  <c r="K38" i="2"/>
  <c r="J38" i="2"/>
  <c r="I38" i="2"/>
  <c r="H38" i="2"/>
  <c r="G38" i="2"/>
  <c r="F38" i="2"/>
  <c r="E38" i="2"/>
  <c r="D38" i="2"/>
  <c r="B38" i="2"/>
  <c r="N37" i="2"/>
  <c r="M37" i="2"/>
  <c r="L37" i="2"/>
  <c r="K37" i="2"/>
  <c r="J37" i="2"/>
  <c r="I37" i="2"/>
  <c r="H37" i="2"/>
  <c r="G37" i="2"/>
  <c r="F37" i="2"/>
  <c r="E37" i="2"/>
  <c r="D37" i="2"/>
  <c r="B37" i="2"/>
  <c r="N36" i="2"/>
  <c r="M36" i="2"/>
  <c r="L36" i="2"/>
  <c r="K36" i="2"/>
  <c r="J36" i="2"/>
  <c r="I36" i="2"/>
  <c r="H36" i="2"/>
  <c r="G36" i="2"/>
  <c r="F36" i="2"/>
  <c r="E36" i="2"/>
  <c r="D36" i="2"/>
  <c r="B36" i="2"/>
  <c r="N35" i="2"/>
  <c r="M35" i="2"/>
  <c r="L35" i="2"/>
  <c r="K35" i="2"/>
  <c r="J35" i="2"/>
  <c r="I35" i="2"/>
  <c r="H35" i="2"/>
  <c r="G35" i="2"/>
  <c r="F35" i="2"/>
  <c r="E35" i="2"/>
  <c r="D35" i="2"/>
  <c r="B35" i="2"/>
  <c r="N34" i="2"/>
  <c r="M34" i="2"/>
  <c r="L34" i="2"/>
  <c r="K34" i="2"/>
  <c r="J34" i="2"/>
  <c r="I34" i="2"/>
  <c r="H34" i="2"/>
  <c r="G34" i="2"/>
  <c r="F34" i="2"/>
  <c r="E34" i="2"/>
  <c r="D34" i="2"/>
  <c r="B34" i="2"/>
  <c r="N33" i="2"/>
  <c r="M33" i="2"/>
  <c r="L33" i="2"/>
  <c r="K33" i="2"/>
  <c r="J33" i="2"/>
  <c r="I33" i="2"/>
  <c r="H33" i="2"/>
  <c r="G33" i="2"/>
  <c r="F33" i="2"/>
  <c r="E33" i="2"/>
  <c r="D33" i="2"/>
  <c r="B33" i="2"/>
  <c r="N32" i="2"/>
  <c r="M32" i="2"/>
  <c r="L32" i="2"/>
  <c r="K32" i="2"/>
  <c r="J32" i="2"/>
  <c r="I32" i="2"/>
  <c r="H32" i="2"/>
  <c r="G32" i="2"/>
  <c r="F32" i="2"/>
  <c r="E32" i="2"/>
  <c r="D32" i="2"/>
  <c r="B32" i="2"/>
  <c r="N31" i="2"/>
  <c r="M31" i="2"/>
  <c r="L31" i="2"/>
  <c r="K31" i="2"/>
  <c r="J31" i="2"/>
  <c r="I31" i="2"/>
  <c r="H31" i="2"/>
  <c r="G31" i="2"/>
  <c r="F31" i="2"/>
  <c r="E31" i="2"/>
  <c r="D31" i="2"/>
  <c r="B31" i="2"/>
  <c r="N30" i="2"/>
  <c r="M30" i="2"/>
  <c r="L30" i="2"/>
  <c r="K30" i="2"/>
  <c r="J30" i="2"/>
  <c r="I30" i="2"/>
  <c r="H30" i="2"/>
  <c r="G30" i="2"/>
  <c r="F30" i="2"/>
  <c r="E30" i="2"/>
  <c r="D30" i="2"/>
  <c r="B30" i="2"/>
  <c r="N29" i="2"/>
  <c r="M29" i="2"/>
  <c r="L29" i="2"/>
  <c r="K29" i="2"/>
  <c r="J29" i="2"/>
  <c r="I29" i="2"/>
  <c r="H29" i="2"/>
  <c r="G29" i="2"/>
  <c r="F29" i="2"/>
  <c r="E29" i="2"/>
  <c r="D29" i="2"/>
  <c r="B29" i="2"/>
  <c r="N28" i="2"/>
  <c r="M28" i="2"/>
  <c r="L28" i="2"/>
  <c r="K28" i="2"/>
  <c r="J28" i="2"/>
  <c r="I28" i="2"/>
  <c r="H28" i="2"/>
  <c r="G28" i="2"/>
  <c r="F28" i="2"/>
  <c r="E28" i="2"/>
  <c r="D28" i="2"/>
  <c r="B28" i="2"/>
  <c r="N27" i="2"/>
  <c r="M27" i="2"/>
  <c r="L27" i="2"/>
  <c r="K27" i="2"/>
  <c r="J27" i="2"/>
  <c r="I27" i="2"/>
  <c r="H27" i="2"/>
  <c r="G27" i="2"/>
  <c r="F27" i="2"/>
  <c r="E27" i="2"/>
  <c r="D27" i="2"/>
  <c r="B27" i="2"/>
  <c r="N26" i="2"/>
  <c r="M26" i="2"/>
  <c r="L26" i="2"/>
  <c r="K26" i="2"/>
  <c r="J26" i="2"/>
  <c r="I26" i="2"/>
  <c r="H26" i="2"/>
  <c r="G26" i="2"/>
  <c r="F26" i="2"/>
  <c r="E26" i="2"/>
  <c r="D26" i="2"/>
  <c r="B26" i="2"/>
  <c r="N25" i="2"/>
  <c r="M25" i="2"/>
  <c r="L25" i="2"/>
  <c r="K25" i="2"/>
  <c r="J25" i="2"/>
  <c r="I25" i="2"/>
  <c r="H25" i="2"/>
  <c r="G25" i="2"/>
  <c r="F25" i="2"/>
  <c r="E25" i="2"/>
  <c r="D25" i="2"/>
  <c r="B25" i="2"/>
  <c r="N24" i="2"/>
  <c r="M24" i="2"/>
  <c r="L24" i="2"/>
  <c r="K24" i="2"/>
  <c r="J24" i="2"/>
  <c r="I24" i="2"/>
  <c r="H24" i="2"/>
  <c r="G24" i="2"/>
  <c r="F24" i="2"/>
  <c r="E24" i="2"/>
  <c r="D24" i="2"/>
  <c r="B24" i="2"/>
  <c r="N23" i="2"/>
  <c r="M23" i="2"/>
  <c r="L23" i="2"/>
  <c r="K23" i="2"/>
  <c r="J23" i="2"/>
  <c r="I23" i="2"/>
  <c r="H23" i="2"/>
  <c r="G23" i="2"/>
  <c r="F23" i="2"/>
  <c r="E23" i="2"/>
  <c r="D23" i="2"/>
  <c r="B23" i="2"/>
  <c r="N22" i="2"/>
  <c r="M22" i="2"/>
  <c r="L22" i="2"/>
  <c r="K22" i="2"/>
  <c r="J22" i="2"/>
  <c r="I22" i="2"/>
  <c r="H22" i="2"/>
  <c r="G22" i="2"/>
  <c r="F22" i="2"/>
  <c r="E22" i="2"/>
  <c r="D22" i="2"/>
  <c r="B22" i="2"/>
  <c r="N21" i="2"/>
  <c r="M21" i="2"/>
  <c r="L21" i="2"/>
  <c r="K21" i="2"/>
  <c r="J21" i="2"/>
  <c r="I21" i="2"/>
  <c r="H21" i="2"/>
  <c r="G21" i="2"/>
  <c r="F21" i="2"/>
  <c r="E21" i="2"/>
  <c r="D21" i="2"/>
  <c r="B21" i="2"/>
  <c r="N20" i="2"/>
  <c r="M20" i="2"/>
  <c r="L20" i="2"/>
  <c r="K20" i="2"/>
  <c r="J20" i="2"/>
  <c r="I20" i="2"/>
  <c r="H20" i="2"/>
  <c r="G20" i="2"/>
  <c r="F20" i="2"/>
  <c r="E20" i="2"/>
  <c r="D20" i="2"/>
  <c r="B20" i="2"/>
  <c r="N19" i="2"/>
  <c r="M19" i="2"/>
  <c r="L19" i="2"/>
  <c r="K19" i="2"/>
  <c r="J19" i="2"/>
  <c r="I19" i="2"/>
  <c r="H19" i="2"/>
  <c r="G19" i="2"/>
  <c r="F19" i="2"/>
  <c r="E19" i="2"/>
  <c r="D19" i="2"/>
  <c r="B19" i="2"/>
  <c r="N18" i="2"/>
  <c r="M18" i="2"/>
  <c r="L18" i="2"/>
  <c r="K18" i="2"/>
  <c r="J18" i="2"/>
  <c r="I18" i="2"/>
  <c r="H18" i="2"/>
  <c r="G18" i="2"/>
  <c r="F18" i="2"/>
  <c r="E18" i="2"/>
  <c r="D18" i="2"/>
  <c r="B18" i="2"/>
  <c r="N17" i="2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Q210" i="1" l="1"/>
  <c r="P210" i="1"/>
  <c r="L210" i="1"/>
  <c r="K210" i="1"/>
  <c r="AF6" i="1" s="1"/>
  <c r="BJ208" i="1"/>
  <c r="BH208" i="1"/>
  <c r="BF208" i="1"/>
  <c r="AY208" i="1"/>
  <c r="BL207" i="1"/>
  <c r="BK207" i="1"/>
  <c r="BJ207" i="1"/>
  <c r="BI207" i="1"/>
  <c r="BH207" i="1"/>
  <c r="BF207" i="1"/>
  <c r="BE207" i="1"/>
  <c r="AY207" i="1"/>
  <c r="AX207" i="1"/>
  <c r="BN129" i="1"/>
  <c r="BI129" i="1"/>
  <c r="BF129" i="1"/>
  <c r="BP128" i="1"/>
  <c r="BN128" i="1"/>
  <c r="BF128" i="1"/>
  <c r="BK127" i="1"/>
  <c r="AY127" i="1"/>
  <c r="BL126" i="1"/>
  <c r="BE126" i="1"/>
  <c r="AY126" i="1"/>
  <c r="BK125" i="1"/>
  <c r="AY125" i="1"/>
  <c r="BL124" i="1"/>
  <c r="BE124" i="1"/>
  <c r="AY124" i="1"/>
  <c r="BK123" i="1"/>
  <c r="AY123" i="1"/>
  <c r="BL122" i="1"/>
  <c r="BE122" i="1"/>
  <c r="AY122" i="1"/>
  <c r="BK121" i="1"/>
  <c r="AY121" i="1"/>
  <c r="BL120" i="1"/>
  <c r="C63" i="1" s="1"/>
  <c r="BE120" i="1"/>
  <c r="AY120" i="1"/>
  <c r="BK119" i="1"/>
  <c r="AY119" i="1"/>
  <c r="BL118" i="1"/>
  <c r="C62" i="1" s="1"/>
  <c r="BE118" i="1"/>
  <c r="AY118" i="1"/>
  <c r="BK117" i="1"/>
  <c r="AY117" i="1"/>
  <c r="BL116" i="1"/>
  <c r="C61" i="1" s="1"/>
  <c r="BE116" i="1"/>
  <c r="AY116" i="1"/>
  <c r="BK115" i="1"/>
  <c r="AY115" i="1"/>
  <c r="BL114" i="1"/>
  <c r="C60" i="1" s="1"/>
  <c r="BE114" i="1"/>
  <c r="AY114" i="1"/>
  <c r="BK113" i="1"/>
  <c r="AY113" i="1"/>
  <c r="BL112" i="1"/>
  <c r="C59" i="1" s="1"/>
  <c r="BE112" i="1"/>
  <c r="AY112" i="1"/>
  <c r="BK111" i="1"/>
  <c r="AY111" i="1"/>
  <c r="BL110" i="1"/>
  <c r="C58" i="1" s="1"/>
  <c r="BE110" i="1"/>
  <c r="AY110" i="1"/>
  <c r="BK109" i="1"/>
  <c r="AY109" i="1"/>
  <c r="BL108" i="1"/>
  <c r="C57" i="1" s="1"/>
  <c r="BE108" i="1"/>
  <c r="AY108" i="1"/>
  <c r="BK107" i="1"/>
  <c r="AY107" i="1"/>
  <c r="BL106" i="1"/>
  <c r="BE106" i="1"/>
  <c r="AY106" i="1"/>
  <c r="BK105" i="1"/>
  <c r="AY105" i="1"/>
  <c r="BL104" i="1"/>
  <c r="C55" i="1" s="1"/>
  <c r="BE104" i="1"/>
  <c r="AY104" i="1"/>
  <c r="BK103" i="1"/>
  <c r="AY103" i="1"/>
  <c r="BL102" i="1"/>
  <c r="C54" i="1" s="1"/>
  <c r="BE102" i="1"/>
  <c r="AY102" i="1"/>
  <c r="BK101" i="1"/>
  <c r="AY101" i="1"/>
  <c r="BL100" i="1"/>
  <c r="C53" i="1" s="1"/>
  <c r="BE100" i="1"/>
  <c r="AY100" i="1"/>
  <c r="BK99" i="1"/>
  <c r="AY99" i="1"/>
  <c r="BL98" i="1"/>
  <c r="C52" i="1" s="1"/>
  <c r="BE98" i="1"/>
  <c r="AY98" i="1"/>
  <c r="BK97" i="1"/>
  <c r="AY97" i="1"/>
  <c r="BL96" i="1"/>
  <c r="C51" i="1" s="1"/>
  <c r="BE96" i="1"/>
  <c r="AY96" i="1"/>
  <c r="BK95" i="1"/>
  <c r="AY95" i="1"/>
  <c r="BL94" i="1"/>
  <c r="C50" i="1" s="1"/>
  <c r="BE94" i="1"/>
  <c r="AY94" i="1"/>
  <c r="BK93" i="1"/>
  <c r="AY93" i="1"/>
  <c r="BL92" i="1"/>
  <c r="C49" i="1" s="1"/>
  <c r="BE92" i="1"/>
  <c r="AY92" i="1"/>
  <c r="BK91" i="1"/>
  <c r="AY91" i="1"/>
  <c r="BL90" i="1"/>
  <c r="C48" i="1" s="1"/>
  <c r="BE90" i="1"/>
  <c r="AY90" i="1"/>
  <c r="BK89" i="1"/>
  <c r="AY89" i="1"/>
  <c r="BL88" i="1"/>
  <c r="C47" i="1" s="1"/>
  <c r="BE88" i="1"/>
  <c r="AY88" i="1"/>
  <c r="BK87" i="1"/>
  <c r="AY87" i="1"/>
  <c r="BL86" i="1"/>
  <c r="C46" i="1" s="1"/>
  <c r="BE86" i="1"/>
  <c r="AY86" i="1"/>
  <c r="BK85" i="1"/>
  <c r="AY85" i="1"/>
  <c r="BL84" i="1"/>
  <c r="C45" i="1" s="1"/>
  <c r="BE84" i="1"/>
  <c r="AY84" i="1"/>
  <c r="BK83" i="1"/>
  <c r="AY83" i="1"/>
  <c r="BL82" i="1"/>
  <c r="C44" i="1" s="1"/>
  <c r="BE82" i="1"/>
  <c r="AY82" i="1"/>
  <c r="BK81" i="1"/>
  <c r="AY81" i="1"/>
  <c r="BL80" i="1"/>
  <c r="C43" i="1" s="1"/>
  <c r="BE80" i="1"/>
  <c r="AY80" i="1"/>
  <c r="BK79" i="1"/>
  <c r="AY79" i="1"/>
  <c r="BL78" i="1"/>
  <c r="C42" i="1" s="1"/>
  <c r="BE78" i="1"/>
  <c r="AY78" i="1"/>
  <c r="BK77" i="1"/>
  <c r="AY77" i="1"/>
  <c r="BL76" i="1"/>
  <c r="C41" i="1" s="1"/>
  <c r="BE76" i="1"/>
  <c r="AY76" i="1"/>
  <c r="BK75" i="1"/>
  <c r="AY75" i="1"/>
  <c r="BL74" i="1"/>
  <c r="C40" i="1" s="1"/>
  <c r="BE74" i="1"/>
  <c r="AY74" i="1"/>
  <c r="BK73" i="1"/>
  <c r="AY73" i="1"/>
  <c r="BL72" i="1"/>
  <c r="C39" i="1" s="1"/>
  <c r="BE72" i="1"/>
  <c r="AY72" i="1"/>
  <c r="BK71" i="1"/>
  <c r="AY71" i="1"/>
  <c r="BL70" i="1"/>
  <c r="C38" i="1" s="1"/>
  <c r="BE70" i="1"/>
  <c r="AY70" i="1"/>
  <c r="BK69" i="1"/>
  <c r="AY69" i="1"/>
  <c r="AT69" i="1"/>
  <c r="BL68" i="1"/>
  <c r="C37" i="1" s="1"/>
  <c r="BE68" i="1"/>
  <c r="AY68" i="1"/>
  <c r="BK67" i="1"/>
  <c r="AY67" i="1"/>
  <c r="BL66" i="1"/>
  <c r="C36" i="1" s="1"/>
  <c r="BE66" i="1"/>
  <c r="AY66" i="1"/>
  <c r="BJ126" i="1"/>
  <c r="Q63" i="9" s="1"/>
  <c r="AB66" i="1"/>
  <c r="BK126" i="1"/>
  <c r="S63" i="9" s="1"/>
  <c r="D66" i="1"/>
  <c r="C66" i="1"/>
  <c r="B66" i="1"/>
  <c r="BK65" i="1"/>
  <c r="AY65" i="1"/>
  <c r="BJ124" i="1"/>
  <c r="Q62" i="9" s="1"/>
  <c r="AB65" i="1"/>
  <c r="BR124" i="1" s="1"/>
  <c r="D65" i="1"/>
  <c r="C65" i="1"/>
  <c r="B65" i="1"/>
  <c r="BL64" i="1"/>
  <c r="C35" i="1" s="1"/>
  <c r="BE64" i="1"/>
  <c r="AY64" i="1"/>
  <c r="BJ122" i="1"/>
  <c r="Q61" i="9" s="1"/>
  <c r="AB64" i="1"/>
  <c r="BR122" i="1" s="1"/>
  <c r="D64" i="1"/>
  <c r="C64" i="1"/>
  <c r="B64" i="1"/>
  <c r="BK63" i="1"/>
  <c r="AY63" i="1"/>
  <c r="BJ120" i="1"/>
  <c r="Q60" i="9" s="1"/>
  <c r="AB63" i="1"/>
  <c r="BR120" i="1" s="1"/>
  <c r="D63" i="1"/>
  <c r="B63" i="1"/>
  <c r="BL62" i="1"/>
  <c r="C34" i="1" s="1"/>
  <c r="BE62" i="1"/>
  <c r="AY62" i="1"/>
  <c r="BJ118" i="1"/>
  <c r="Q59" i="9" s="1"/>
  <c r="AB62" i="1"/>
  <c r="BR118" i="1" s="1"/>
  <c r="D62" i="1"/>
  <c r="B62" i="1"/>
  <c r="BK61" i="1"/>
  <c r="AY61" i="1"/>
  <c r="BJ116" i="1"/>
  <c r="Q58" i="9" s="1"/>
  <c r="AB61" i="1"/>
  <c r="BR116" i="1" s="1"/>
  <c r="D61" i="1"/>
  <c r="B61" i="1"/>
  <c r="BL60" i="1"/>
  <c r="C33" i="1" s="1"/>
  <c r="BE60" i="1"/>
  <c r="AY60" i="1"/>
  <c r="BJ114" i="1"/>
  <c r="Q57" i="9" s="1"/>
  <c r="AB60" i="1"/>
  <c r="BR114" i="1" s="1"/>
  <c r="D60" i="1"/>
  <c r="B60" i="1"/>
  <c r="BK59" i="1"/>
  <c r="AY59" i="1"/>
  <c r="BJ112" i="1"/>
  <c r="Q56" i="9" s="1"/>
  <c r="AB59" i="1"/>
  <c r="BR112" i="1" s="1"/>
  <c r="D59" i="1"/>
  <c r="B59" i="1"/>
  <c r="BL58" i="1"/>
  <c r="C32" i="1" s="1"/>
  <c r="BE58" i="1"/>
  <c r="AY58" i="1"/>
  <c r="BJ110" i="1"/>
  <c r="Q55" i="9" s="1"/>
  <c r="AB58" i="1"/>
  <c r="BR110" i="1" s="1"/>
  <c r="D58" i="1"/>
  <c r="B58" i="1"/>
  <c r="BK57" i="1"/>
  <c r="AY57" i="1"/>
  <c r="BJ108" i="1"/>
  <c r="Q54" i="9" s="1"/>
  <c r="AB57" i="1"/>
  <c r="BR108" i="1" s="1"/>
  <c r="D57" i="1"/>
  <c r="B57" i="1"/>
  <c r="BL56" i="1"/>
  <c r="C31" i="1" s="1"/>
  <c r="BE56" i="1"/>
  <c r="AY56" i="1"/>
  <c r="BJ106" i="1"/>
  <c r="Q53" i="9" s="1"/>
  <c r="AB56" i="1"/>
  <c r="BR106" i="1" s="1"/>
  <c r="D56" i="1"/>
  <c r="C56" i="1"/>
  <c r="B56" i="1"/>
  <c r="BK55" i="1"/>
  <c r="AY55" i="1"/>
  <c r="BJ104" i="1"/>
  <c r="Q52" i="9" s="1"/>
  <c r="AB55" i="1"/>
  <c r="BR104" i="1" s="1"/>
  <c r="D55" i="1"/>
  <c r="B55" i="1"/>
  <c r="BL54" i="1"/>
  <c r="C30" i="1" s="1"/>
  <c r="BE54" i="1"/>
  <c r="AY54" i="1"/>
  <c r="BJ102" i="1"/>
  <c r="Q51" i="9" s="1"/>
  <c r="AB54" i="1"/>
  <c r="BR102" i="1" s="1"/>
  <c r="D54" i="1"/>
  <c r="B54" i="1"/>
  <c r="BK53" i="1"/>
  <c r="AY53" i="1"/>
  <c r="BJ100" i="1"/>
  <c r="Q50" i="9" s="1"/>
  <c r="AB53" i="1"/>
  <c r="BR100" i="1" s="1"/>
  <c r="D53" i="1"/>
  <c r="B53" i="1"/>
  <c r="BL52" i="1"/>
  <c r="C29" i="1" s="1"/>
  <c r="BE52" i="1"/>
  <c r="AY52" i="1"/>
  <c r="BJ98" i="1"/>
  <c r="Q49" i="9" s="1"/>
  <c r="AB52" i="1"/>
  <c r="BR98" i="1" s="1"/>
  <c r="D52" i="1"/>
  <c r="B52" i="1"/>
  <c r="BK51" i="1"/>
  <c r="AY51" i="1"/>
  <c r="BJ96" i="1"/>
  <c r="Q48" i="9" s="1"/>
  <c r="AB51" i="1"/>
  <c r="BR96" i="1" s="1"/>
  <c r="D51" i="1"/>
  <c r="B51" i="1"/>
  <c r="BL50" i="1"/>
  <c r="C28" i="1" s="1"/>
  <c r="BE50" i="1"/>
  <c r="AY50" i="1"/>
  <c r="BJ94" i="1"/>
  <c r="Q47" i="9" s="1"/>
  <c r="AB50" i="1"/>
  <c r="BR94" i="1" s="1"/>
  <c r="D50" i="1"/>
  <c r="B50" i="1"/>
  <c r="BK49" i="1"/>
  <c r="AY49" i="1"/>
  <c r="BJ92" i="1"/>
  <c r="Q46" i="9" s="1"/>
  <c r="AB49" i="1"/>
  <c r="BR92" i="1" s="1"/>
  <c r="D49" i="1"/>
  <c r="B49" i="1"/>
  <c r="BL48" i="1"/>
  <c r="C27" i="1" s="1"/>
  <c r="BE48" i="1"/>
  <c r="AY48" i="1"/>
  <c r="BJ90" i="1"/>
  <c r="Q45" i="9" s="1"/>
  <c r="AB48" i="1"/>
  <c r="BR90" i="1" s="1"/>
  <c r="D48" i="1"/>
  <c r="B48" i="1"/>
  <c r="BK47" i="1"/>
  <c r="AY47" i="1"/>
  <c r="BJ88" i="1"/>
  <c r="Q44" i="9" s="1"/>
  <c r="AB47" i="1"/>
  <c r="BR88" i="1" s="1"/>
  <c r="D47" i="1"/>
  <c r="B47" i="1"/>
  <c r="BL46" i="1"/>
  <c r="C26" i="1" s="1"/>
  <c r="BE46" i="1"/>
  <c r="AY46" i="1"/>
  <c r="BJ86" i="1"/>
  <c r="Q43" i="9" s="1"/>
  <c r="AB46" i="1"/>
  <c r="BR86" i="1" s="1"/>
  <c r="D46" i="1"/>
  <c r="B46" i="1"/>
  <c r="BK45" i="1"/>
  <c r="AY45" i="1"/>
  <c r="BJ84" i="1"/>
  <c r="Q42" i="9" s="1"/>
  <c r="AB45" i="1"/>
  <c r="BR84" i="1" s="1"/>
  <c r="D45" i="1"/>
  <c r="B45" i="1"/>
  <c r="BL44" i="1"/>
  <c r="C25" i="1" s="1"/>
  <c r="BE44" i="1"/>
  <c r="AY44" i="1"/>
  <c r="BJ82" i="1"/>
  <c r="Q41" i="9" s="1"/>
  <c r="AB44" i="1"/>
  <c r="BR82" i="1" s="1"/>
  <c r="D44" i="1"/>
  <c r="B44" i="1"/>
  <c r="BK43" i="1"/>
  <c r="AY43" i="1"/>
  <c r="BJ80" i="1"/>
  <c r="Q40" i="9" s="1"/>
  <c r="AB43" i="1"/>
  <c r="BR80" i="1" s="1"/>
  <c r="D43" i="1"/>
  <c r="B43" i="1"/>
  <c r="BL42" i="1"/>
  <c r="C24" i="1" s="1"/>
  <c r="BE42" i="1"/>
  <c r="AY42" i="1"/>
  <c r="BJ78" i="1"/>
  <c r="Q39" i="9" s="1"/>
  <c r="AB42" i="1"/>
  <c r="BR78" i="1" s="1"/>
  <c r="D42" i="1"/>
  <c r="B42" i="1"/>
  <c r="BK41" i="1"/>
  <c r="AY41" i="1"/>
  <c r="BJ76" i="1"/>
  <c r="Q38" i="9" s="1"/>
  <c r="AB41" i="1"/>
  <c r="BR76" i="1" s="1"/>
  <c r="BK76" i="1"/>
  <c r="S38" i="9" s="1"/>
  <c r="D41" i="1"/>
  <c r="B41" i="1"/>
  <c r="BL40" i="1"/>
  <c r="C23" i="1" s="1"/>
  <c r="BE40" i="1"/>
  <c r="AY40" i="1"/>
  <c r="BJ74" i="1"/>
  <c r="Q37" i="9" s="1"/>
  <c r="AB40" i="1"/>
  <c r="BR74" i="1" s="1"/>
  <c r="D40" i="1"/>
  <c r="B40" i="1"/>
  <c r="BK39" i="1"/>
  <c r="AY39" i="1"/>
  <c r="BJ72" i="1"/>
  <c r="Q36" i="9" s="1"/>
  <c r="AB39" i="1"/>
  <c r="BR72" i="1" s="1"/>
  <c r="D39" i="1"/>
  <c r="B39" i="1"/>
  <c r="BL38" i="1"/>
  <c r="C22" i="1" s="1"/>
  <c r="BE38" i="1"/>
  <c r="AY38" i="1"/>
  <c r="BJ70" i="1"/>
  <c r="Q35" i="9" s="1"/>
  <c r="AB38" i="1"/>
  <c r="BR70" i="1" s="1"/>
  <c r="D38" i="1"/>
  <c r="B38" i="1"/>
  <c r="BK37" i="1"/>
  <c r="AY37" i="1"/>
  <c r="BJ68" i="1"/>
  <c r="Q34" i="9" s="1"/>
  <c r="AB37" i="1"/>
  <c r="BR68" i="1" s="1"/>
  <c r="D37" i="1"/>
  <c r="B37" i="1"/>
  <c r="BL36" i="1"/>
  <c r="C21" i="1" s="1"/>
  <c r="BE36" i="1"/>
  <c r="AY36" i="1"/>
  <c r="BJ66" i="1"/>
  <c r="Q33" i="9" s="1"/>
  <c r="AB36" i="1"/>
  <c r="D36" i="1"/>
  <c r="B36" i="1"/>
  <c r="BK35" i="1"/>
  <c r="AY35" i="1"/>
  <c r="BJ64" i="1"/>
  <c r="Q32" i="9" s="1"/>
  <c r="AB35" i="1"/>
  <c r="D35" i="1"/>
  <c r="B35" i="1"/>
  <c r="BL34" i="1"/>
  <c r="C20" i="1" s="1"/>
  <c r="BE34" i="1"/>
  <c r="AY34" i="1"/>
  <c r="BJ62" i="1"/>
  <c r="Q31" i="9" s="1"/>
  <c r="AB34" i="1"/>
  <c r="D34" i="1"/>
  <c r="B34" i="1"/>
  <c r="BK33" i="1"/>
  <c r="AY33" i="1"/>
  <c r="BJ60" i="1"/>
  <c r="Q30" i="9" s="1"/>
  <c r="AB33" i="1"/>
  <c r="D33" i="1"/>
  <c r="B33" i="1"/>
  <c r="BL32" i="1"/>
  <c r="C19" i="1" s="1"/>
  <c r="BE32" i="1"/>
  <c r="AY32" i="1"/>
  <c r="BJ58" i="1"/>
  <c r="Q29" i="9" s="1"/>
  <c r="AB32" i="1"/>
  <c r="BH58" i="1"/>
  <c r="D32" i="1"/>
  <c r="B32" i="1"/>
  <c r="BK31" i="1"/>
  <c r="AY31" i="1"/>
  <c r="BJ56" i="1"/>
  <c r="Q28" i="9" s="1"/>
  <c r="AB31" i="1"/>
  <c r="D31" i="1"/>
  <c r="B31" i="1"/>
  <c r="BL30" i="1"/>
  <c r="C18" i="1" s="1"/>
  <c r="BE30" i="1"/>
  <c r="AY30" i="1"/>
  <c r="BJ54" i="1"/>
  <c r="Q27" i="9" s="1"/>
  <c r="AB30" i="1"/>
  <c r="D30" i="1"/>
  <c r="B30" i="1"/>
  <c r="BK29" i="1"/>
  <c r="AY29" i="1"/>
  <c r="BJ52" i="1"/>
  <c r="Q26" i="9" s="1"/>
  <c r="AB29" i="1"/>
  <c r="D29" i="1"/>
  <c r="B29" i="1"/>
  <c r="BL28" i="1"/>
  <c r="C17" i="1" s="1"/>
  <c r="BE28" i="1"/>
  <c r="AY28" i="1"/>
  <c r="BJ50" i="1"/>
  <c r="Q25" i="9" s="1"/>
  <c r="AB28" i="1"/>
  <c r="BH50" i="1"/>
  <c r="D28" i="1"/>
  <c r="B28" i="1"/>
  <c r="BK27" i="1"/>
  <c r="AY27" i="1"/>
  <c r="BJ48" i="1"/>
  <c r="Q24" i="9" s="1"/>
  <c r="AB27" i="1"/>
  <c r="D27" i="1"/>
  <c r="B27" i="1"/>
  <c r="BL26" i="1"/>
  <c r="C16" i="1" s="1"/>
  <c r="BE26" i="1"/>
  <c r="AY26" i="1"/>
  <c r="BJ46" i="1"/>
  <c r="Q23" i="9" s="1"/>
  <c r="AB26" i="1"/>
  <c r="BH46" i="1"/>
  <c r="D26" i="1"/>
  <c r="B26" i="1"/>
  <c r="BK25" i="1"/>
  <c r="AY25" i="1"/>
  <c r="BJ44" i="1"/>
  <c r="Q22" i="9" s="1"/>
  <c r="AB25" i="1"/>
  <c r="D25" i="1"/>
  <c r="B25" i="1"/>
  <c r="BL24" i="1"/>
  <c r="C15" i="1" s="1"/>
  <c r="BE24" i="1"/>
  <c r="AY24" i="1"/>
  <c r="BJ42" i="1"/>
  <c r="Q21" i="9" s="1"/>
  <c r="AB24" i="1"/>
  <c r="D24" i="1"/>
  <c r="B24" i="1"/>
  <c r="BK23" i="1"/>
  <c r="AY23" i="1"/>
  <c r="BJ40" i="1"/>
  <c r="Q20" i="9" s="1"/>
  <c r="AB23" i="1"/>
  <c r="D23" i="1"/>
  <c r="B23" i="1"/>
  <c r="BL22" i="1"/>
  <c r="C14" i="1" s="1"/>
  <c r="BE22" i="1"/>
  <c r="AY22" i="1"/>
  <c r="BJ38" i="1"/>
  <c r="Q19" i="9" s="1"/>
  <c r="AB22" i="1"/>
  <c r="D22" i="1"/>
  <c r="B22" i="1"/>
  <c r="BK21" i="1"/>
  <c r="AY21" i="1"/>
  <c r="BJ36" i="1"/>
  <c r="Q18" i="9" s="1"/>
  <c r="AB21" i="1"/>
  <c r="D21" i="1"/>
  <c r="B21" i="1"/>
  <c r="BL20" i="1"/>
  <c r="C13" i="1" s="1"/>
  <c r="BE20" i="1"/>
  <c r="AY20" i="1"/>
  <c r="BJ34" i="1"/>
  <c r="Q17" i="9" s="1"/>
  <c r="AB20" i="1"/>
  <c r="D20" i="1"/>
  <c r="B20" i="1"/>
  <c r="BK19" i="1"/>
  <c r="AY19" i="1"/>
  <c r="BJ32" i="1"/>
  <c r="Q16" i="9" s="1"/>
  <c r="AB19" i="1"/>
  <c r="BK32" i="1"/>
  <c r="S16" i="9" s="1"/>
  <c r="D19" i="1"/>
  <c r="B19" i="1"/>
  <c r="BL18" i="1"/>
  <c r="C12" i="1" s="1"/>
  <c r="BE18" i="1"/>
  <c r="AY18" i="1"/>
  <c r="BJ30" i="1"/>
  <c r="Q15" i="9" s="1"/>
  <c r="AB18" i="1"/>
  <c r="BK30" i="1"/>
  <c r="S15" i="9" s="1"/>
  <c r="D18" i="1"/>
  <c r="B18" i="1"/>
  <c r="CB17" i="1"/>
  <c r="BK17" i="1"/>
  <c r="AY17" i="1"/>
  <c r="BJ28" i="1"/>
  <c r="Q14" i="9" s="1"/>
  <c r="AB17" i="1"/>
  <c r="BH28" i="1"/>
  <c r="D17" i="1"/>
  <c r="B17" i="1"/>
  <c r="BL16" i="1"/>
  <c r="C11" i="1" s="1"/>
  <c r="BE16" i="1"/>
  <c r="AY16" i="1"/>
  <c r="BJ26" i="1"/>
  <c r="Q13" i="9" s="1"/>
  <c r="AB16" i="1"/>
  <c r="D16" i="1"/>
  <c r="B16" i="1"/>
  <c r="BK15" i="1"/>
  <c r="AY15" i="1"/>
  <c r="BJ24" i="1"/>
  <c r="Q12" i="9" s="1"/>
  <c r="AB15" i="1"/>
  <c r="BH24" i="1"/>
  <c r="D15" i="1"/>
  <c r="B15" i="1"/>
  <c r="BL14" i="1"/>
  <c r="C10" i="1" s="1"/>
  <c r="BE14" i="1"/>
  <c r="AY14" i="1"/>
  <c r="AB14" i="1"/>
  <c r="D14" i="1"/>
  <c r="BK13" i="1"/>
  <c r="AY13" i="1"/>
  <c r="AB13" i="1"/>
  <c r="BK20" i="1"/>
  <c r="S10" i="9" s="1"/>
  <c r="D13" i="1"/>
  <c r="BL12" i="1"/>
  <c r="C9" i="1" s="1"/>
  <c r="BE12" i="1"/>
  <c r="AY12" i="1"/>
  <c r="AB12" i="1"/>
  <c r="BK18" i="1"/>
  <c r="S9" i="9" s="1"/>
  <c r="D12" i="1"/>
  <c r="BK11" i="1"/>
  <c r="AY11" i="1"/>
  <c r="AB11" i="1"/>
  <c r="D11" i="1"/>
  <c r="BL10" i="1"/>
  <c r="C8" i="1" s="1"/>
  <c r="BE10" i="1"/>
  <c r="AY10" i="1"/>
  <c r="AB10" i="1"/>
  <c r="D10" i="1"/>
  <c r="BK9" i="1"/>
  <c r="AY9" i="1"/>
  <c r="AB9" i="1"/>
  <c r="D9" i="1"/>
  <c r="BL8" i="1"/>
  <c r="C7" i="1" s="1"/>
  <c r="BE8" i="1"/>
  <c r="AY8" i="1"/>
  <c r="AB8" i="1"/>
  <c r="D8" i="1"/>
  <c r="BK7" i="1"/>
  <c r="AY7" i="1"/>
  <c r="AB7" i="1"/>
  <c r="D7" i="1"/>
  <c r="B7" i="1"/>
  <c r="BL6" i="1"/>
  <c r="BF6" i="1"/>
  <c r="AM3" i="9" s="1"/>
  <c r="M3" i="9" s="1"/>
  <c r="BE6" i="1"/>
  <c r="AY6" i="1"/>
  <c r="AB6" i="1"/>
  <c r="D6" i="1"/>
  <c r="BR2" i="1"/>
  <c r="BP2" i="1"/>
  <c r="BH7" i="1" l="1"/>
  <c r="BR8" i="1"/>
  <c r="BT129" i="1"/>
  <c r="BR38" i="1"/>
  <c r="A46" i="2"/>
  <c r="A53" i="2"/>
  <c r="A54" i="2"/>
  <c r="A61" i="2"/>
  <c r="BR56" i="1"/>
  <c r="BR46" i="1"/>
  <c r="A45" i="2"/>
  <c r="BR54" i="1"/>
  <c r="BR60" i="1"/>
  <c r="BR6" i="1"/>
  <c r="BR26" i="1"/>
  <c r="BR52" i="1"/>
  <c r="A38" i="2"/>
  <c r="BR32" i="1"/>
  <c r="BR40" i="1"/>
  <c r="BR62" i="1"/>
  <c r="A39" i="2"/>
  <c r="A40" i="2"/>
  <c r="A47" i="2"/>
  <c r="A48" i="2"/>
  <c r="A55" i="2"/>
  <c r="A56" i="2"/>
  <c r="AZ129" i="1"/>
  <c r="BR129" i="1" s="1"/>
  <c r="BR28" i="1"/>
  <c r="BR34" i="1"/>
  <c r="BR42" i="1"/>
  <c r="BR48" i="1"/>
  <c r="A41" i="2"/>
  <c r="A49" i="2"/>
  <c r="A58" i="2"/>
  <c r="BR126" i="1"/>
  <c r="C6" i="1"/>
  <c r="BR50" i="1"/>
  <c r="BR64" i="1"/>
  <c r="A42" i="2"/>
  <c r="A50" i="2"/>
  <c r="A57" i="2"/>
  <c r="BR24" i="1"/>
  <c r="BR30" i="1"/>
  <c r="BR36" i="1"/>
  <c r="BR44" i="1"/>
  <c r="BR58" i="1"/>
  <c r="BR66" i="1"/>
  <c r="A43" i="2"/>
  <c r="A44" i="2"/>
  <c r="A51" i="2"/>
  <c r="A52" i="2"/>
  <c r="A59" i="2"/>
  <c r="A60" i="2"/>
  <c r="F227" i="1"/>
  <c r="F238" i="1"/>
  <c r="F228" i="1"/>
  <c r="F241" i="1"/>
  <c r="F223" i="1"/>
  <c r="F231" i="1"/>
  <c r="F232" i="1"/>
  <c r="F239" i="1"/>
  <c r="F242" i="1"/>
  <c r="F221" i="1"/>
  <c r="F224" i="1"/>
  <c r="F219" i="1"/>
  <c r="F222" i="1"/>
  <c r="F225" i="1"/>
  <c r="F229" i="1"/>
  <c r="F220" i="1"/>
  <c r="F226" i="1"/>
  <c r="F240" i="1"/>
  <c r="F243" i="1"/>
  <c r="F230" i="1"/>
  <c r="F233" i="1"/>
  <c r="BI24" i="1"/>
  <c r="O12" i="9" s="1"/>
  <c r="R11" i="2"/>
  <c r="BI66" i="1"/>
  <c r="O33" i="9" s="1"/>
  <c r="R32" i="2"/>
  <c r="BI126" i="1"/>
  <c r="O63" i="9" s="1"/>
  <c r="R62" i="2"/>
  <c r="BI26" i="1"/>
  <c r="O13" i="9" s="1"/>
  <c r="R12" i="2"/>
  <c r="BI62" i="1"/>
  <c r="O31" i="9" s="1"/>
  <c r="R30" i="2"/>
  <c r="BI88" i="1"/>
  <c r="O44" i="9" s="1"/>
  <c r="R43" i="2"/>
  <c r="BI96" i="1"/>
  <c r="O48" i="9" s="1"/>
  <c r="R47" i="2"/>
  <c r="BI104" i="1"/>
  <c r="O52" i="9" s="1"/>
  <c r="R51" i="2"/>
  <c r="BI112" i="1"/>
  <c r="O56" i="9" s="1"/>
  <c r="R55" i="2"/>
  <c r="BI120" i="1"/>
  <c r="O60" i="9" s="1"/>
  <c r="R59" i="2"/>
  <c r="BI6" i="1"/>
  <c r="O3" i="9" s="1"/>
  <c r="R2" i="2"/>
  <c r="BI80" i="1"/>
  <c r="O40" i="9" s="1"/>
  <c r="R39" i="2"/>
  <c r="BI36" i="1"/>
  <c r="O18" i="9" s="1"/>
  <c r="R17" i="2"/>
  <c r="BI42" i="1"/>
  <c r="O21" i="9" s="1"/>
  <c r="R20" i="2"/>
  <c r="BI52" i="1"/>
  <c r="O26" i="9" s="1"/>
  <c r="R25" i="2"/>
  <c r="BI82" i="1"/>
  <c r="O41" i="9" s="1"/>
  <c r="R40" i="2"/>
  <c r="BI90" i="1"/>
  <c r="O45" i="9" s="1"/>
  <c r="R44" i="2"/>
  <c r="BI98" i="1"/>
  <c r="O49" i="9" s="1"/>
  <c r="R48" i="2"/>
  <c r="BI106" i="1"/>
  <c r="O53" i="9" s="1"/>
  <c r="R52" i="2"/>
  <c r="BI114" i="1"/>
  <c r="O57" i="9" s="1"/>
  <c r="R56" i="2"/>
  <c r="BI14" i="1"/>
  <c r="O7" i="9" s="1"/>
  <c r="R6" i="2"/>
  <c r="BI32" i="1"/>
  <c r="O16" i="9" s="1"/>
  <c r="R15" i="2"/>
  <c r="BI48" i="1"/>
  <c r="O24" i="9" s="1"/>
  <c r="R23" i="2"/>
  <c r="BI54" i="1"/>
  <c r="O27" i="9" s="1"/>
  <c r="R26" i="2"/>
  <c r="BI20" i="1"/>
  <c r="O10" i="9" s="1"/>
  <c r="R9" i="2"/>
  <c r="BI64" i="1"/>
  <c r="O32" i="9" s="1"/>
  <c r="R31" i="2"/>
  <c r="BI68" i="1"/>
  <c r="O34" i="9" s="1"/>
  <c r="R33" i="2"/>
  <c r="BI72" i="1"/>
  <c r="O36" i="9" s="1"/>
  <c r="R35" i="2"/>
  <c r="BI76" i="1"/>
  <c r="O38" i="9" s="1"/>
  <c r="R37" i="2"/>
  <c r="BI84" i="1"/>
  <c r="O42" i="9" s="1"/>
  <c r="R41" i="2"/>
  <c r="BI92" i="1"/>
  <c r="O46" i="9" s="1"/>
  <c r="R45" i="2"/>
  <c r="BI100" i="1"/>
  <c r="O50" i="9" s="1"/>
  <c r="R49" i="2"/>
  <c r="BI108" i="1"/>
  <c r="O54" i="9" s="1"/>
  <c r="R53" i="2"/>
  <c r="BI116" i="1"/>
  <c r="O58" i="9" s="1"/>
  <c r="R57" i="2"/>
  <c r="BI60" i="1"/>
  <c r="O30" i="9" s="1"/>
  <c r="R29" i="2"/>
  <c r="BI30" i="1"/>
  <c r="O15" i="9" s="1"/>
  <c r="R14" i="2"/>
  <c r="BI40" i="1"/>
  <c r="O20" i="9" s="1"/>
  <c r="R19" i="2"/>
  <c r="BI46" i="1"/>
  <c r="O23" i="9" s="1"/>
  <c r="R22" i="2"/>
  <c r="BI56" i="1"/>
  <c r="O28" i="9" s="1"/>
  <c r="R27" i="2"/>
  <c r="BI70" i="1"/>
  <c r="O35" i="9" s="1"/>
  <c r="R34" i="2"/>
  <c r="BI74" i="1"/>
  <c r="O37" i="9" s="1"/>
  <c r="R36" i="2"/>
  <c r="BI10" i="1"/>
  <c r="O5" i="9" s="1"/>
  <c r="R4" i="2"/>
  <c r="BI58" i="1"/>
  <c r="O29" i="9" s="1"/>
  <c r="R28" i="2"/>
  <c r="BI122" i="1"/>
  <c r="O61" i="9" s="1"/>
  <c r="R60" i="2"/>
  <c r="BI8" i="1"/>
  <c r="O4" i="9" s="1"/>
  <c r="R3" i="2"/>
  <c r="BI18" i="1"/>
  <c r="O9" i="9" s="1"/>
  <c r="R8" i="2"/>
  <c r="BI22" i="1"/>
  <c r="O11" i="9" s="1"/>
  <c r="R10" i="2"/>
  <c r="BI38" i="1"/>
  <c r="O19" i="9" s="1"/>
  <c r="R18" i="2"/>
  <c r="BI12" i="1"/>
  <c r="O6" i="9" s="1"/>
  <c r="R5" i="2"/>
  <c r="BI16" i="1"/>
  <c r="O8" i="9" s="1"/>
  <c r="R7" i="2"/>
  <c r="BI28" i="1"/>
  <c r="O14" i="9" s="1"/>
  <c r="R13" i="2"/>
  <c r="BI34" i="1"/>
  <c r="O17" i="9" s="1"/>
  <c r="R16" i="2"/>
  <c r="BI44" i="1"/>
  <c r="O22" i="9" s="1"/>
  <c r="R21" i="2"/>
  <c r="BI50" i="1"/>
  <c r="O25" i="9" s="1"/>
  <c r="R24" i="2"/>
  <c r="BI78" i="1"/>
  <c r="O39" i="9" s="1"/>
  <c r="R38" i="2"/>
  <c r="BI86" i="1"/>
  <c r="O43" i="9" s="1"/>
  <c r="R42" i="2"/>
  <c r="BI94" i="1"/>
  <c r="O47" i="9" s="1"/>
  <c r="R46" i="2"/>
  <c r="BI102" i="1"/>
  <c r="O51" i="9" s="1"/>
  <c r="R50" i="2"/>
  <c r="BI110" i="1"/>
  <c r="O55" i="9" s="1"/>
  <c r="R54" i="2"/>
  <c r="BI118" i="1"/>
  <c r="O59" i="9" s="1"/>
  <c r="R58" i="2"/>
  <c r="BI124" i="1"/>
  <c r="O62" i="9" s="1"/>
  <c r="R61" i="2"/>
  <c r="BR20" i="1"/>
  <c r="BR10" i="1"/>
  <c r="BR12" i="1"/>
  <c r="BR16" i="1"/>
  <c r="BR14" i="1"/>
  <c r="BR18" i="1"/>
  <c r="BR22" i="1"/>
  <c r="A15" i="2"/>
  <c r="A18" i="2"/>
  <c r="A23" i="2"/>
  <c r="A33" i="2"/>
  <c r="A35" i="2"/>
  <c r="A37" i="2"/>
  <c r="A62" i="2"/>
  <c r="B8" i="1"/>
  <c r="A3" i="2"/>
  <c r="A12" i="2"/>
  <c r="A13" i="2"/>
  <c r="A30" i="2"/>
  <c r="A31" i="2"/>
  <c r="A19" i="2"/>
  <c r="A26" i="2"/>
  <c r="A16" i="2"/>
  <c r="A17" i="2"/>
  <c r="A20" i="2"/>
  <c r="A21" i="2"/>
  <c r="A24" i="2"/>
  <c r="A25" i="2"/>
  <c r="A28" i="2"/>
  <c r="A14" i="2"/>
  <c r="A22" i="2"/>
  <c r="A27" i="2"/>
  <c r="A11" i="2"/>
  <c r="A29" i="2"/>
  <c r="A32" i="2"/>
  <c r="A34" i="2"/>
  <c r="A36" i="2"/>
  <c r="AX34" i="1"/>
  <c r="B17" i="9" s="1"/>
  <c r="AX36" i="1"/>
  <c r="B18" i="9" s="1"/>
  <c r="AX52" i="1"/>
  <c r="B26" i="9" s="1"/>
  <c r="AX40" i="1"/>
  <c r="B20" i="9" s="1"/>
  <c r="AX56" i="1"/>
  <c r="B28" i="9" s="1"/>
  <c r="BH62" i="1"/>
  <c r="BH74" i="1"/>
  <c r="AX80" i="1"/>
  <c r="B40" i="9" s="1"/>
  <c r="AX84" i="1"/>
  <c r="B42" i="9" s="1"/>
  <c r="AX88" i="1"/>
  <c r="B44" i="9" s="1"/>
  <c r="AX92" i="1"/>
  <c r="B46" i="9" s="1"/>
  <c r="AX96" i="1"/>
  <c r="B48" i="9" s="1"/>
  <c r="AX100" i="1"/>
  <c r="B50" i="9" s="1"/>
  <c r="AX104" i="1"/>
  <c r="B52" i="9" s="1"/>
  <c r="AX108" i="1"/>
  <c r="B54" i="9" s="1"/>
  <c r="AX112" i="1"/>
  <c r="B56" i="9" s="1"/>
  <c r="AX116" i="1"/>
  <c r="B58" i="9" s="1"/>
  <c r="BI128" i="1"/>
  <c r="BR128" i="1" s="1"/>
  <c r="AX10" i="1"/>
  <c r="B5" i="9" s="1"/>
  <c r="BH38" i="1"/>
  <c r="BH42" i="1"/>
  <c r="BH54" i="1"/>
  <c r="BH76" i="1"/>
  <c r="AX82" i="1"/>
  <c r="B41" i="9" s="1"/>
  <c r="AX86" i="1"/>
  <c r="B43" i="9" s="1"/>
  <c r="AX90" i="1"/>
  <c r="B45" i="9" s="1"/>
  <c r="AX94" i="1"/>
  <c r="B47" i="9" s="1"/>
  <c r="AX98" i="1"/>
  <c r="B49" i="9" s="1"/>
  <c r="AX102" i="1"/>
  <c r="B51" i="9" s="1"/>
  <c r="AX26" i="1"/>
  <c r="B13" i="9" s="1"/>
  <c r="AX60" i="1"/>
  <c r="B30" i="9" s="1"/>
  <c r="AX8" i="1"/>
  <c r="B4" i="9" s="1"/>
  <c r="AX14" i="1"/>
  <c r="B7" i="9" s="1"/>
  <c r="BH66" i="1"/>
  <c r="BH30" i="1"/>
  <c r="BK66" i="1"/>
  <c r="S33" i="9" s="1"/>
  <c r="AX106" i="1"/>
  <c r="B53" i="9" s="1"/>
  <c r="AX110" i="1"/>
  <c r="B55" i="9" s="1"/>
  <c r="AX114" i="1"/>
  <c r="B57" i="9" s="1"/>
  <c r="BH34" i="1"/>
  <c r="AX38" i="1"/>
  <c r="B19" i="9" s="1"/>
  <c r="AX44" i="1"/>
  <c r="B22" i="9" s="1"/>
  <c r="AX64" i="1"/>
  <c r="B32" i="9" s="1"/>
  <c r="BK74" i="1"/>
  <c r="S37" i="9" s="1"/>
  <c r="BK116" i="1"/>
  <c r="S58" i="9" s="1"/>
  <c r="AX118" i="1"/>
  <c r="B59" i="9" s="1"/>
  <c r="AC6" i="1"/>
  <c r="AX6" i="1"/>
  <c r="B3" i="9" s="1"/>
  <c r="BH26" i="1"/>
  <c r="AX48" i="1"/>
  <c r="B24" i="9" s="1"/>
  <c r="B9" i="1"/>
  <c r="BK10" i="1"/>
  <c r="S5" i="9" s="1"/>
  <c r="BK14" i="1"/>
  <c r="S7" i="9" s="1"/>
  <c r="AJ3" i="1"/>
  <c r="BK8" i="1"/>
  <c r="S4" i="9" s="1"/>
  <c r="AX12" i="1"/>
  <c r="B6" i="9" s="1"/>
  <c r="BK12" i="1"/>
  <c r="S6" i="9" s="1"/>
  <c r="AX16" i="1"/>
  <c r="B8" i="9" s="1"/>
  <c r="BK16" i="1"/>
  <c r="S8" i="9" s="1"/>
  <c r="AX20" i="1"/>
  <c r="B10" i="9" s="1"/>
  <c r="AX18" i="1"/>
  <c r="B9" i="9" s="1"/>
  <c r="BK22" i="1"/>
  <c r="S11" i="9" s="1"/>
  <c r="BK26" i="1"/>
  <c r="S13" i="9" s="1"/>
  <c r="BH32" i="1"/>
  <c r="BH36" i="1"/>
  <c r="AX22" i="1"/>
  <c r="B11" i="9" s="1"/>
  <c r="BH40" i="1"/>
  <c r="AX24" i="1"/>
  <c r="B12" i="9" s="1"/>
  <c r="BH44" i="1"/>
  <c r="BH48" i="1"/>
  <c r="AX28" i="1"/>
  <c r="B14" i="9" s="1"/>
  <c r="BH52" i="1"/>
  <c r="AX30" i="1"/>
  <c r="B15" i="9" s="1"/>
  <c r="BH56" i="1"/>
  <c r="BK34" i="1"/>
  <c r="S17" i="9" s="1"/>
  <c r="BK38" i="1"/>
  <c r="S19" i="9" s="1"/>
  <c r="AX42" i="1"/>
  <c r="B21" i="9" s="1"/>
  <c r="BK42" i="1"/>
  <c r="S21" i="9" s="1"/>
  <c r="AX46" i="1"/>
  <c r="B23" i="9" s="1"/>
  <c r="BK46" i="1"/>
  <c r="S23" i="9" s="1"/>
  <c r="AX50" i="1"/>
  <c r="B25" i="9" s="1"/>
  <c r="BK50" i="1"/>
  <c r="S25" i="9" s="1"/>
  <c r="AX54" i="1"/>
  <c r="B27" i="9" s="1"/>
  <c r="BK54" i="1"/>
  <c r="S27" i="9" s="1"/>
  <c r="AX58" i="1"/>
  <c r="B29" i="9" s="1"/>
  <c r="BK58" i="1"/>
  <c r="S29" i="9" s="1"/>
  <c r="AX78" i="1"/>
  <c r="B39" i="9" s="1"/>
  <c r="BH78" i="1"/>
  <c r="BK78" i="1"/>
  <c r="S39" i="9" s="1"/>
  <c r="BK24" i="1"/>
  <c r="S12" i="9" s="1"/>
  <c r="BK28" i="1"/>
  <c r="S14" i="9" s="1"/>
  <c r="AX32" i="1"/>
  <c r="B16" i="9" s="1"/>
  <c r="BK64" i="1"/>
  <c r="S32" i="9" s="1"/>
  <c r="BH64" i="1"/>
  <c r="AX72" i="1"/>
  <c r="B36" i="9" s="1"/>
  <c r="BH72" i="1"/>
  <c r="BK72" i="1"/>
  <c r="S36" i="9" s="1"/>
  <c r="BK36" i="1"/>
  <c r="S18" i="9" s="1"/>
  <c r="BK40" i="1"/>
  <c r="S20" i="9" s="1"/>
  <c r="BK44" i="1"/>
  <c r="S22" i="9" s="1"/>
  <c r="BK48" i="1"/>
  <c r="S24" i="9" s="1"/>
  <c r="BK52" i="1"/>
  <c r="S26" i="9" s="1"/>
  <c r="BK56" i="1"/>
  <c r="S28" i="9" s="1"/>
  <c r="BK60" i="1"/>
  <c r="S30" i="9" s="1"/>
  <c r="BH60" i="1"/>
  <c r="AX68" i="1"/>
  <c r="B34" i="9" s="1"/>
  <c r="BK68" i="1"/>
  <c r="S34" i="9" s="1"/>
  <c r="BH68" i="1"/>
  <c r="AX70" i="1"/>
  <c r="B35" i="9" s="1"/>
  <c r="BK70" i="1"/>
  <c r="S35" i="9" s="1"/>
  <c r="BH70" i="1"/>
  <c r="AX62" i="1"/>
  <c r="B31" i="9" s="1"/>
  <c r="BK62" i="1"/>
  <c r="S31" i="9" s="1"/>
  <c r="AX66" i="1"/>
  <c r="B33" i="9" s="1"/>
  <c r="AX74" i="1"/>
  <c r="B37" i="9" s="1"/>
  <c r="BH112" i="1"/>
  <c r="BK114" i="1"/>
  <c r="S57" i="9" s="1"/>
  <c r="BH116" i="1"/>
  <c r="BK118" i="1"/>
  <c r="S59" i="9" s="1"/>
  <c r="BK80" i="1"/>
  <c r="S40" i="9" s="1"/>
  <c r="BH80" i="1"/>
  <c r="BK82" i="1"/>
  <c r="S41" i="9" s="1"/>
  <c r="BH82" i="1"/>
  <c r="BK84" i="1"/>
  <c r="S42" i="9" s="1"/>
  <c r="BH84" i="1"/>
  <c r="BK86" i="1"/>
  <c r="S43" i="9" s="1"/>
  <c r="BH86" i="1"/>
  <c r="BK88" i="1"/>
  <c r="S44" i="9" s="1"/>
  <c r="BH88" i="1"/>
  <c r="BK90" i="1"/>
  <c r="S45" i="9" s="1"/>
  <c r="BH90" i="1"/>
  <c r="BK92" i="1"/>
  <c r="S46" i="9" s="1"/>
  <c r="BH92" i="1"/>
  <c r="BK94" i="1"/>
  <c r="S47" i="9" s="1"/>
  <c r="BH94" i="1"/>
  <c r="BK96" i="1"/>
  <c r="S48" i="9" s="1"/>
  <c r="BH96" i="1"/>
  <c r="BK98" i="1"/>
  <c r="S49" i="9" s="1"/>
  <c r="BH98" i="1"/>
  <c r="BK100" i="1"/>
  <c r="S50" i="9" s="1"/>
  <c r="BH100" i="1"/>
  <c r="BK102" i="1"/>
  <c r="S51" i="9" s="1"/>
  <c r="BH102" i="1"/>
  <c r="BK104" i="1"/>
  <c r="S52" i="9" s="1"/>
  <c r="BH104" i="1"/>
  <c r="BK106" i="1"/>
  <c r="S53" i="9" s="1"/>
  <c r="BH106" i="1"/>
  <c r="BK108" i="1"/>
  <c r="S54" i="9" s="1"/>
  <c r="BH108" i="1"/>
  <c r="BK110" i="1"/>
  <c r="S55" i="9" s="1"/>
  <c r="BH110" i="1"/>
  <c r="BK112" i="1"/>
  <c r="S56" i="9" s="1"/>
  <c r="AX124" i="1"/>
  <c r="B62" i="9" s="1"/>
  <c r="BH124" i="1"/>
  <c r="BK124" i="1"/>
  <c r="S62" i="9" s="1"/>
  <c r="AX120" i="1"/>
  <c r="B60" i="9" s="1"/>
  <c r="BH120" i="1"/>
  <c r="BK120" i="1"/>
  <c r="S60" i="9" s="1"/>
  <c r="AX126" i="1"/>
  <c r="B63" i="9" s="1"/>
  <c r="BH126" i="1"/>
  <c r="AX76" i="1"/>
  <c r="B38" i="9" s="1"/>
  <c r="BH114" i="1"/>
  <c r="BH118" i="1"/>
  <c r="AX122" i="1"/>
  <c r="B61" i="9" s="1"/>
  <c r="BH122" i="1"/>
  <c r="BK122" i="1"/>
  <c r="S61" i="9" s="1"/>
  <c r="BX6" i="1" l="1"/>
  <c r="A5" i="2"/>
  <c r="A4" i="2"/>
  <c r="F215" i="1"/>
  <c r="N215" i="1" s="1"/>
  <c r="F211" i="1"/>
  <c r="N211" i="1" s="1"/>
  <c r="BJ8" i="1" s="1"/>
  <c r="Q4" i="9" s="1"/>
  <c r="F210" i="1"/>
  <c r="N210" i="1" s="1"/>
  <c r="M210" i="1" s="1"/>
  <c r="F214" i="1"/>
  <c r="N214" i="1" s="1"/>
  <c r="F218" i="1"/>
  <c r="N218" i="1" s="1"/>
  <c r="F216" i="1"/>
  <c r="N216" i="1" s="1"/>
  <c r="F213" i="1"/>
  <c r="N213" i="1" s="1"/>
  <c r="F217" i="1"/>
  <c r="N217" i="1" s="1"/>
  <c r="F212" i="1"/>
  <c r="N212" i="1" s="1"/>
  <c r="BJ10" i="1" s="1"/>
  <c r="Q5" i="9" s="1"/>
  <c r="N253" i="1"/>
  <c r="N228" i="1"/>
  <c r="N266" i="1"/>
  <c r="N258" i="1"/>
  <c r="N250" i="1"/>
  <c r="N223" i="1"/>
  <c r="N241" i="1"/>
  <c r="N269" i="1"/>
  <c r="N261" i="1"/>
  <c r="N239" i="1"/>
  <c r="N267" i="1"/>
  <c r="N259" i="1"/>
  <c r="N251" i="1"/>
  <c r="N264" i="1"/>
  <c r="N256" i="1"/>
  <c r="N248" i="1"/>
  <c r="N244" i="1"/>
  <c r="N236" i="1"/>
  <c r="N235" i="1"/>
  <c r="N231" i="1"/>
  <c r="N227" i="1"/>
  <c r="N219" i="1"/>
  <c r="N230" i="1"/>
  <c r="N224" i="1"/>
  <c r="N240" i="1"/>
  <c r="N246" i="1"/>
  <c r="N265" i="1"/>
  <c r="N257" i="1"/>
  <c r="N270" i="1"/>
  <c r="N262" i="1"/>
  <c r="N254" i="1"/>
  <c r="N247" i="1"/>
  <c r="N242" i="1"/>
  <c r="N245" i="1"/>
  <c r="N243" i="1"/>
  <c r="N232" i="1"/>
  <c r="N222" i="1"/>
  <c r="N220" i="1"/>
  <c r="N263" i="1"/>
  <c r="N255" i="1"/>
  <c r="N268" i="1"/>
  <c r="N260" i="1"/>
  <c r="N252" i="1"/>
  <c r="N249" i="1"/>
  <c r="N238" i="1"/>
  <c r="N237" i="1"/>
  <c r="N233" i="1"/>
  <c r="N229" i="1"/>
  <c r="N225" i="1"/>
  <c r="N221" i="1"/>
  <c r="N234" i="1"/>
  <c r="N226" i="1"/>
  <c r="BK6" i="1"/>
  <c r="S3" i="9" s="1"/>
  <c r="B10" i="1"/>
  <c r="L67" i="1"/>
  <c r="A6" i="2" l="1"/>
  <c r="BJ6" i="1"/>
  <c r="Q3" i="9" s="1"/>
  <c r="B11" i="1"/>
  <c r="BH8" i="1"/>
  <c r="BJ12" i="1"/>
  <c r="Q6" i="9" s="1"/>
  <c r="BH10" i="1"/>
  <c r="A7" i="2" l="1"/>
  <c r="BF7" i="1"/>
  <c r="AN3" i="9" s="1"/>
  <c r="BH6" i="1"/>
  <c r="BH12" i="1"/>
  <c r="B12" i="1"/>
  <c r="BJ14" i="1"/>
  <c r="Q7" i="9" s="1"/>
  <c r="N3" i="9" l="1"/>
  <c r="H3" i="9"/>
  <c r="A8" i="2"/>
  <c r="AJ7" i="1"/>
  <c r="BJ16" i="1"/>
  <c r="Q8" i="9" s="1"/>
  <c r="B13" i="1"/>
  <c r="BH14" i="1"/>
  <c r="A9" i="2" l="1"/>
  <c r="BF8" i="1"/>
  <c r="AM4" i="9" s="1"/>
  <c r="M4" i="9" s="1"/>
  <c r="AK7" i="1"/>
  <c r="AJ8" i="1" s="1"/>
  <c r="AK8" i="1" s="1"/>
  <c r="B14" i="1"/>
  <c r="BJ18" i="1"/>
  <c r="Q9" i="9" s="1"/>
  <c r="BH16" i="1"/>
  <c r="BF9" i="1" l="1"/>
  <c r="AN4" i="9" s="1"/>
  <c r="AL67" i="1"/>
  <c r="A10" i="2"/>
  <c r="BF10" i="1"/>
  <c r="AM5" i="9" s="1"/>
  <c r="M5" i="9" s="1"/>
  <c r="BH18" i="1"/>
  <c r="BJ20" i="1"/>
  <c r="Q10" i="9" s="1"/>
  <c r="N4" i="9" l="1"/>
  <c r="H4" i="9"/>
  <c r="BJ22" i="1"/>
  <c r="Q11" i="9" s="1"/>
  <c r="BF11" i="1"/>
  <c r="AN5" i="9" s="1"/>
  <c r="AJ9" i="1"/>
  <c r="AK9" i="1" s="1"/>
  <c r="BH20" i="1"/>
  <c r="BH22" i="1"/>
  <c r="N5" i="9" l="1"/>
  <c r="H5" i="9"/>
  <c r="BF12" i="1"/>
  <c r="AM6" i="9" s="1"/>
  <c r="M6" i="9" s="1"/>
  <c r="BP129" i="1"/>
  <c r="AJ10" i="1" l="1"/>
  <c r="AK10" i="1" s="1"/>
  <c r="BF13" i="1"/>
  <c r="AN6" i="9" s="1"/>
  <c r="H6" i="9" l="1"/>
  <c r="N6" i="9"/>
  <c r="BF14" i="1"/>
  <c r="AM7" i="9" s="1"/>
  <c r="M7" i="9" s="1"/>
  <c r="BF15" i="1" l="1"/>
  <c r="AN7" i="9" s="1"/>
  <c r="AJ11" i="1"/>
  <c r="AK11" i="1" s="1"/>
  <c r="N7" i="9" l="1"/>
  <c r="H7" i="9"/>
  <c r="BF16" i="1"/>
  <c r="AM8" i="9" s="1"/>
  <c r="M8" i="9" s="1"/>
  <c r="BF17" i="1" l="1"/>
  <c r="AN8" i="9" s="1"/>
  <c r="AJ12" i="1"/>
  <c r="AK12" i="1" s="1"/>
  <c r="N8" i="9" l="1"/>
  <c r="H8" i="9"/>
  <c r="BF18" i="1"/>
  <c r="AM9" i="9" s="1"/>
  <c r="M9" i="9" s="1"/>
  <c r="BF19" i="1" l="1"/>
  <c r="AN9" i="9" s="1"/>
  <c r="AJ13" i="1"/>
  <c r="AK13" i="1" s="1"/>
  <c r="H9" i="9" l="1"/>
  <c r="N9" i="9"/>
  <c r="BF20" i="1"/>
  <c r="AM10" i="9" s="1"/>
  <c r="M10" i="9" s="1"/>
  <c r="BF21" i="1" l="1"/>
  <c r="AN10" i="9" s="1"/>
  <c r="AJ14" i="1"/>
  <c r="AK14" i="1" s="1"/>
  <c r="N10" i="9" l="1"/>
  <c r="H10" i="9"/>
  <c r="BF22" i="1"/>
  <c r="AM11" i="9" s="1"/>
  <c r="M11" i="9" s="1"/>
  <c r="BF23" i="1" l="1"/>
  <c r="AN11" i="9" s="1"/>
  <c r="AJ15" i="1"/>
  <c r="AK15" i="1" s="1"/>
  <c r="H11" i="9" l="1"/>
  <c r="N11" i="9"/>
  <c r="BF24" i="1"/>
  <c r="AM12" i="9" s="1"/>
  <c r="M12" i="9" s="1"/>
  <c r="BF25" i="1" l="1"/>
  <c r="AN12" i="9" s="1"/>
  <c r="AJ16" i="1"/>
  <c r="AK16" i="1" s="1"/>
  <c r="N12" i="9" l="1"/>
  <c r="H12" i="9"/>
  <c r="BF26" i="1"/>
  <c r="AM13" i="9" s="1"/>
  <c r="M13" i="9" s="1"/>
  <c r="BF27" i="1" l="1"/>
  <c r="AN13" i="9" s="1"/>
  <c r="AJ17" i="1"/>
  <c r="AK17" i="1" s="1"/>
  <c r="N13" i="9" l="1"/>
  <c r="H13" i="9"/>
  <c r="BF28" i="1"/>
  <c r="AM14" i="9" s="1"/>
  <c r="M14" i="9" s="1"/>
  <c r="BF29" i="1" l="1"/>
  <c r="AN14" i="9" s="1"/>
  <c r="AJ18" i="1"/>
  <c r="AK18" i="1" s="1"/>
  <c r="N14" i="9" l="1"/>
  <c r="H14" i="9"/>
  <c r="BF30" i="1"/>
  <c r="AM15" i="9" s="1"/>
  <c r="M15" i="9" s="1"/>
  <c r="BF31" i="1" l="1"/>
  <c r="AN15" i="9" s="1"/>
  <c r="AJ19" i="1"/>
  <c r="AK19" i="1" s="1"/>
  <c r="N15" i="9" l="1"/>
  <c r="H15" i="9"/>
  <c r="BF32" i="1"/>
  <c r="AM16" i="9" s="1"/>
  <c r="M16" i="9" s="1"/>
  <c r="BF33" i="1" l="1"/>
  <c r="AN16" i="9" s="1"/>
  <c r="AJ20" i="1"/>
  <c r="AK20" i="1" s="1"/>
  <c r="N16" i="9" l="1"/>
  <c r="H16" i="9"/>
  <c r="BF34" i="1"/>
  <c r="AM17" i="9" s="1"/>
  <c r="M17" i="9" s="1"/>
  <c r="AJ21" i="1" l="1"/>
  <c r="AK21" i="1" s="1"/>
  <c r="BF35" i="1"/>
  <c r="AN17" i="9" s="1"/>
  <c r="N17" i="9" l="1"/>
  <c r="H17" i="9"/>
  <c r="BF36" i="1"/>
  <c r="AM18" i="9" s="1"/>
  <c r="M18" i="9" s="1"/>
  <c r="BF37" i="1" l="1"/>
  <c r="AN18" i="9" s="1"/>
  <c r="AJ22" i="1"/>
  <c r="AK22" i="1" s="1"/>
  <c r="N18" i="9" l="1"/>
  <c r="H18" i="9"/>
  <c r="BF38" i="1"/>
  <c r="AM19" i="9" s="1"/>
  <c r="M19" i="9" s="1"/>
  <c r="BF39" i="1" l="1"/>
  <c r="AN19" i="9" s="1"/>
  <c r="AJ23" i="1"/>
  <c r="AK23" i="1" s="1"/>
  <c r="H19" i="9" l="1"/>
  <c r="N19" i="9"/>
  <c r="BF40" i="1"/>
  <c r="AM20" i="9" s="1"/>
  <c r="M20" i="9" s="1"/>
  <c r="BF41" i="1" l="1"/>
  <c r="AN20" i="9" s="1"/>
  <c r="AJ24" i="1"/>
  <c r="AK24" i="1" s="1"/>
  <c r="N20" i="9" l="1"/>
  <c r="H20" i="9"/>
  <c r="BF42" i="1"/>
  <c r="AM21" i="9" s="1"/>
  <c r="M21" i="9" s="1"/>
  <c r="BF43" i="1" l="1"/>
  <c r="AN21" i="9" s="1"/>
  <c r="AJ25" i="1"/>
  <c r="AK25" i="1" s="1"/>
  <c r="H21" i="9" l="1"/>
  <c r="N21" i="9"/>
  <c r="BF44" i="1"/>
  <c r="AM22" i="9" s="1"/>
  <c r="M22" i="9" s="1"/>
  <c r="BF45" i="1" l="1"/>
  <c r="AN22" i="9" s="1"/>
  <c r="AJ26" i="1"/>
  <c r="AK26" i="1" s="1"/>
  <c r="H22" i="9" l="1"/>
  <c r="N22" i="9"/>
  <c r="BF46" i="1"/>
  <c r="AM23" i="9" s="1"/>
  <c r="M23" i="9" s="1"/>
  <c r="BF47" i="1" l="1"/>
  <c r="AN23" i="9" s="1"/>
  <c r="AJ27" i="1"/>
  <c r="AK27" i="1" s="1"/>
  <c r="N23" i="9" l="1"/>
  <c r="H23" i="9"/>
  <c r="BF48" i="1"/>
  <c r="AM24" i="9" s="1"/>
  <c r="M24" i="9" s="1"/>
  <c r="BF49" i="1" l="1"/>
  <c r="AN24" i="9" s="1"/>
  <c r="AJ28" i="1"/>
  <c r="AK28" i="1" s="1"/>
  <c r="N24" i="9" l="1"/>
  <c r="H24" i="9"/>
  <c r="BF50" i="1"/>
  <c r="AM25" i="9" s="1"/>
  <c r="M25" i="9" s="1"/>
  <c r="BF51" i="1" l="1"/>
  <c r="AN25" i="9" s="1"/>
  <c r="AJ29" i="1"/>
  <c r="AK29" i="1" s="1"/>
  <c r="N25" i="9" l="1"/>
  <c r="H25" i="9"/>
  <c r="BF52" i="1"/>
  <c r="AM26" i="9" s="1"/>
  <c r="M26" i="9" l="1"/>
  <c r="BF53" i="1"/>
  <c r="AN26" i="9" s="1"/>
  <c r="N26" i="9" s="1"/>
  <c r="AJ30" i="1"/>
  <c r="AK30" i="1" s="1"/>
  <c r="H26" i="9" l="1"/>
  <c r="BF54" i="1"/>
  <c r="AM27" i="9" s="1"/>
  <c r="M27" i="9" s="1"/>
  <c r="BF55" i="1" l="1"/>
  <c r="AN27" i="9" s="1"/>
  <c r="AJ31" i="1"/>
  <c r="AK31" i="1" s="1"/>
  <c r="N27" i="9" l="1"/>
  <c r="H27" i="9"/>
  <c r="BF56" i="1"/>
  <c r="AM28" i="9" s="1"/>
  <c r="M28" i="9" s="1"/>
  <c r="BF57" i="1" l="1"/>
  <c r="AN28" i="9" s="1"/>
  <c r="AJ32" i="1"/>
  <c r="AK32" i="1" s="1"/>
  <c r="N28" i="9" l="1"/>
  <c r="H28" i="9"/>
  <c r="BF58" i="1"/>
  <c r="AM29" i="9" s="1"/>
  <c r="M29" i="9" s="1"/>
  <c r="BF59" i="1" l="1"/>
  <c r="AN29" i="9" s="1"/>
  <c r="AJ33" i="1"/>
  <c r="AK33" i="1" s="1"/>
  <c r="N29" i="9" l="1"/>
  <c r="H29" i="9"/>
  <c r="BF60" i="1"/>
  <c r="AM30" i="9" s="1"/>
  <c r="M30" i="9" s="1"/>
  <c r="BF61" i="1" l="1"/>
  <c r="AN30" i="9" s="1"/>
  <c r="AJ34" i="1"/>
  <c r="AK34" i="1" s="1"/>
  <c r="H30" i="9" l="1"/>
  <c r="N30" i="9"/>
  <c r="BF62" i="1"/>
  <c r="AM31" i="9" s="1"/>
  <c r="M31" i="9" s="1"/>
  <c r="BF63" i="1" l="1"/>
  <c r="AN31" i="9" s="1"/>
  <c r="AJ35" i="1"/>
  <c r="AK35" i="1" s="1"/>
  <c r="H31" i="9" l="1"/>
  <c r="N31" i="9"/>
  <c r="BF64" i="1"/>
  <c r="AM32" i="9" s="1"/>
  <c r="M32" i="9" s="1"/>
  <c r="BF65" i="1" l="1"/>
  <c r="AN32" i="9" s="1"/>
  <c r="AJ36" i="1"/>
  <c r="AK36" i="1" s="1"/>
  <c r="H32" i="9" l="1"/>
  <c r="N32" i="9"/>
  <c r="BF66" i="1"/>
  <c r="AM33" i="9" s="1"/>
  <c r="M33" i="9" s="1"/>
  <c r="BF67" i="1" l="1"/>
  <c r="AN33" i="9" s="1"/>
  <c r="AJ37" i="1"/>
  <c r="AK37" i="1" s="1"/>
  <c r="H33" i="9" l="1"/>
  <c r="N33" i="9"/>
  <c r="BF68" i="1"/>
  <c r="AM34" i="9" s="1"/>
  <c r="M34" i="9" s="1"/>
  <c r="BF69" i="1" l="1"/>
  <c r="AN34" i="9" s="1"/>
  <c r="AJ38" i="1"/>
  <c r="AK38" i="1" s="1"/>
  <c r="N34" i="9" l="1"/>
  <c r="H34" i="9"/>
  <c r="BF70" i="1"/>
  <c r="AM35" i="9" s="1"/>
  <c r="M35" i="9" s="1"/>
  <c r="BF71" i="1" l="1"/>
  <c r="AN35" i="9" s="1"/>
  <c r="AJ39" i="1"/>
  <c r="AK39" i="1" s="1"/>
  <c r="N35" i="9" l="1"/>
  <c r="H35" i="9"/>
  <c r="BF72" i="1"/>
  <c r="AM36" i="9" s="1"/>
  <c r="M36" i="9" s="1"/>
  <c r="BF73" i="1" l="1"/>
  <c r="AN36" i="9" s="1"/>
  <c r="AJ40" i="1"/>
  <c r="AK40" i="1" s="1"/>
  <c r="N36" i="9" l="1"/>
  <c r="H36" i="9"/>
  <c r="BF74" i="1"/>
  <c r="AM37" i="9" s="1"/>
  <c r="M37" i="9" s="1"/>
  <c r="AJ41" i="1" l="1"/>
  <c r="AK41" i="1" s="1"/>
  <c r="BF75" i="1"/>
  <c r="AN37" i="9" s="1"/>
  <c r="H37" i="9" l="1"/>
  <c r="N37" i="9"/>
  <c r="BF76" i="1"/>
  <c r="AM38" i="9" s="1"/>
  <c r="M38" i="9" s="1"/>
  <c r="AJ42" i="1" l="1"/>
  <c r="AK42" i="1" s="1"/>
  <c r="BF77" i="1"/>
  <c r="AN38" i="9" s="1"/>
  <c r="N38" i="9" l="1"/>
  <c r="H38" i="9"/>
  <c r="BF78" i="1"/>
  <c r="AM39" i="9" s="1"/>
  <c r="M39" i="9" s="1"/>
  <c r="AJ43" i="1" l="1"/>
  <c r="AK43" i="1" s="1"/>
  <c r="BF79" i="1"/>
  <c r="AN39" i="9" s="1"/>
  <c r="H39" i="9" l="1"/>
  <c r="N39" i="9"/>
  <c r="BF80" i="1"/>
  <c r="AM40" i="9" s="1"/>
  <c r="M40" i="9" s="1"/>
  <c r="BF81" i="1" l="1"/>
  <c r="AN40" i="9" s="1"/>
  <c r="AJ44" i="1"/>
  <c r="AK44" i="1" s="1"/>
  <c r="H40" i="9" l="1"/>
  <c r="N40" i="9"/>
  <c r="BF82" i="1"/>
  <c r="AM41" i="9" s="1"/>
  <c r="M41" i="9" s="1"/>
  <c r="AJ45" i="1" l="1"/>
  <c r="AK45" i="1" s="1"/>
  <c r="BF83" i="1"/>
  <c r="AN41" i="9" s="1"/>
  <c r="N41" i="9" l="1"/>
  <c r="H41" i="9"/>
  <c r="BF84" i="1"/>
  <c r="AM42" i="9" s="1"/>
  <c r="M42" i="9" s="1"/>
  <c r="AJ46" i="1" l="1"/>
  <c r="AK46" i="1" s="1"/>
  <c r="BF85" i="1"/>
  <c r="AN42" i="9" s="1"/>
  <c r="N42" i="9" l="1"/>
  <c r="H42" i="9"/>
  <c r="BF86" i="1"/>
  <c r="AM43" i="9" s="1"/>
  <c r="M43" i="9" s="1"/>
  <c r="BF87" i="1" l="1"/>
  <c r="AN43" i="9" s="1"/>
  <c r="AJ47" i="1"/>
  <c r="AK47" i="1" s="1"/>
  <c r="H43" i="9" l="1"/>
  <c r="N43" i="9"/>
  <c r="BF88" i="1"/>
  <c r="AM44" i="9" s="1"/>
  <c r="M44" i="9" s="1"/>
  <c r="BF89" i="1" l="1"/>
  <c r="AN44" i="9" s="1"/>
  <c r="AJ48" i="1"/>
  <c r="AK48" i="1" s="1"/>
  <c r="N44" i="9" l="1"/>
  <c r="H44" i="9"/>
  <c r="BF90" i="1"/>
  <c r="AM45" i="9" s="1"/>
  <c r="M45" i="9" s="1"/>
  <c r="BF91" i="1" l="1"/>
  <c r="AN45" i="9" s="1"/>
  <c r="AJ49" i="1"/>
  <c r="AK49" i="1" s="1"/>
  <c r="N45" i="9" l="1"/>
  <c r="H45" i="9"/>
  <c r="BF92" i="1"/>
  <c r="AM46" i="9" s="1"/>
  <c r="M46" i="9" s="1"/>
  <c r="BF93" i="1" l="1"/>
  <c r="AN46" i="9" s="1"/>
  <c r="AJ50" i="1"/>
  <c r="AK50" i="1" s="1"/>
  <c r="H46" i="9" l="1"/>
  <c r="N46" i="9"/>
  <c r="BF94" i="1"/>
  <c r="AM47" i="9" s="1"/>
  <c r="M47" i="9" s="1"/>
  <c r="BF95" i="1" l="1"/>
  <c r="AN47" i="9" s="1"/>
  <c r="AJ51" i="1"/>
  <c r="AK51" i="1" s="1"/>
  <c r="N47" i="9" l="1"/>
  <c r="H47" i="9"/>
  <c r="BF96" i="1"/>
  <c r="AM48" i="9" s="1"/>
  <c r="M48" i="9" s="1"/>
  <c r="BF97" i="1" l="1"/>
  <c r="AN48" i="9" s="1"/>
  <c r="AJ52" i="1"/>
  <c r="AK52" i="1" s="1"/>
  <c r="H48" i="9" l="1"/>
  <c r="N48" i="9"/>
  <c r="BF98" i="1"/>
  <c r="AM49" i="9" s="1"/>
  <c r="M49" i="9" s="1"/>
  <c r="BF99" i="1" l="1"/>
  <c r="AN49" i="9" s="1"/>
  <c r="AJ53" i="1"/>
  <c r="AK53" i="1" s="1"/>
  <c r="H49" i="9" l="1"/>
  <c r="N49" i="9"/>
  <c r="BF100" i="1"/>
  <c r="AM50" i="9" s="1"/>
  <c r="M50" i="9" s="1"/>
  <c r="BF101" i="1" l="1"/>
  <c r="AN50" i="9" s="1"/>
  <c r="AJ54" i="1"/>
  <c r="AK54" i="1" s="1"/>
  <c r="N50" i="9" l="1"/>
  <c r="H50" i="9"/>
  <c r="BF102" i="1"/>
  <c r="AM51" i="9" s="1"/>
  <c r="M51" i="9" s="1"/>
  <c r="BF103" i="1" l="1"/>
  <c r="AN51" i="9" s="1"/>
  <c r="AJ55" i="1"/>
  <c r="AK55" i="1" s="1"/>
  <c r="H51" i="9" l="1"/>
  <c r="N51" i="9"/>
  <c r="BF104" i="1"/>
  <c r="AM52" i="9" s="1"/>
  <c r="M52" i="9" s="1"/>
  <c r="BF105" i="1" l="1"/>
  <c r="AN52" i="9" s="1"/>
  <c r="AJ56" i="1"/>
  <c r="AK56" i="1" s="1"/>
  <c r="N52" i="9" l="1"/>
  <c r="H52" i="9"/>
  <c r="BF106" i="1"/>
  <c r="AM53" i="9" s="1"/>
  <c r="M53" i="9" s="1"/>
  <c r="BF107" i="1" l="1"/>
  <c r="AN53" i="9" s="1"/>
  <c r="AJ57" i="1"/>
  <c r="AK57" i="1" s="1"/>
  <c r="H53" i="9" l="1"/>
  <c r="N53" i="9"/>
  <c r="BF108" i="1"/>
  <c r="AM54" i="9" s="1"/>
  <c r="M54" i="9" s="1"/>
  <c r="BF109" i="1" l="1"/>
  <c r="AN54" i="9" s="1"/>
  <c r="AJ58" i="1"/>
  <c r="AK58" i="1" s="1"/>
  <c r="N54" i="9" l="1"/>
  <c r="H54" i="9"/>
  <c r="BF110" i="1"/>
  <c r="AM55" i="9" s="1"/>
  <c r="M55" i="9" s="1"/>
  <c r="BF111" i="1" l="1"/>
  <c r="AN55" i="9" s="1"/>
  <c r="AJ59" i="1"/>
  <c r="AK59" i="1" s="1"/>
  <c r="N55" i="9" l="1"/>
  <c r="H55" i="9"/>
  <c r="BF112" i="1"/>
  <c r="AM56" i="9" s="1"/>
  <c r="M56" i="9" s="1"/>
  <c r="BF113" i="1" l="1"/>
  <c r="AN56" i="9" s="1"/>
  <c r="AJ60" i="1"/>
  <c r="AK60" i="1" s="1"/>
  <c r="H56" i="9" l="1"/>
  <c r="N56" i="9"/>
  <c r="BF114" i="1"/>
  <c r="AM57" i="9" s="1"/>
  <c r="M57" i="9" s="1"/>
  <c r="BF115" i="1" l="1"/>
  <c r="AN57" i="9" s="1"/>
  <c r="AJ61" i="1"/>
  <c r="AK61" i="1" s="1"/>
  <c r="N57" i="9" l="1"/>
  <c r="H57" i="9"/>
  <c r="BF116" i="1"/>
  <c r="AM58" i="9" s="1"/>
  <c r="M58" i="9" s="1"/>
  <c r="BF117" i="1" l="1"/>
  <c r="AN58" i="9" s="1"/>
  <c r="AJ62" i="1"/>
  <c r="AK62" i="1" s="1"/>
  <c r="N58" i="9" l="1"/>
  <c r="H58" i="9"/>
  <c r="BF118" i="1"/>
  <c r="AM59" i="9" s="1"/>
  <c r="M59" i="9" s="1"/>
  <c r="BF119" i="1" l="1"/>
  <c r="AN59" i="9" s="1"/>
  <c r="AJ63" i="1"/>
  <c r="AK63" i="1" s="1"/>
  <c r="H59" i="9" l="1"/>
  <c r="N59" i="9"/>
  <c r="BF120" i="1"/>
  <c r="AM60" i="9" s="1"/>
  <c r="M60" i="9" s="1"/>
  <c r="BF121" i="1" l="1"/>
  <c r="AN60" i="9" s="1"/>
  <c r="AJ64" i="1"/>
  <c r="AK64" i="1" s="1"/>
  <c r="N60" i="9" l="1"/>
  <c r="H60" i="9"/>
  <c r="BF122" i="1"/>
  <c r="AM61" i="9" s="1"/>
  <c r="M61" i="9" s="1"/>
  <c r="BF123" i="1" l="1"/>
  <c r="AN61" i="9" s="1"/>
  <c r="AJ65" i="1"/>
  <c r="AK65" i="1" s="1"/>
  <c r="N61" i="9" l="1"/>
  <c r="H61" i="9"/>
  <c r="BF124" i="1"/>
  <c r="AM62" i="9" s="1"/>
  <c r="M62" i="9" s="1"/>
  <c r="BF125" i="1" l="1"/>
  <c r="AN62" i="9" s="1"/>
  <c r="AJ66" i="1"/>
  <c r="AK66" i="1" s="1"/>
  <c r="H62" i="9" l="1"/>
  <c r="N62" i="9"/>
  <c r="BF126" i="1"/>
  <c r="AM63" i="9" s="1"/>
  <c r="M63" i="9" s="1"/>
  <c r="BF127" i="1"/>
  <c r="AN63" i="9" s="1"/>
  <c r="H63" i="9" l="1"/>
  <c r="N63" i="9"/>
</calcChain>
</file>

<file path=xl/sharedStrings.xml><?xml version="1.0" encoding="utf-8"?>
<sst xmlns="http://schemas.openxmlformats.org/spreadsheetml/2006/main" count="324" uniqueCount="249">
  <si>
    <t>TP</t>
  </si>
  <si>
    <t>TTSSI SE PRODUCTION SCHEDULE</t>
  </si>
  <si>
    <t>SE DAILY  PRODUCTION MANAGEMENT BOARD</t>
  </si>
  <si>
    <t>DATE</t>
  </si>
  <si>
    <t>SHIFT :</t>
  </si>
  <si>
    <t>TEAM</t>
  </si>
  <si>
    <t xml:space="preserve"># of TMS 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</si>
  <si>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</si>
  <si>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</si>
  <si>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</si>
  <si>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</si>
  <si>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</si>
  <si>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</si>
  <si>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</si>
  <si>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</si>
  <si>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</si>
  <si>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</si>
  <si>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</si>
  <si>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</si>
  <si>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</si>
  <si>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</si>
  <si>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</si>
  <si>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</si>
  <si>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</si>
  <si>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</si>
  <si>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</si>
  <si>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</si>
  <si>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</si>
  <si>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</si>
  <si>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</si>
  <si>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</si>
  <si>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DETAILS FOR LINE STOP</t>
  </si>
  <si>
    <t>Plan Cuts</t>
  </si>
  <si>
    <t>Scrap kgs</t>
  </si>
  <si>
    <t>DELAY IN TIME DUE TO SPM VARIATION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</si>
  <si>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</si>
  <si>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</si>
  <si>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</si>
  <si>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</si>
  <si>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</si>
  <si>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</si>
  <si>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</si>
  <si>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</si>
  <si>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</si>
  <si>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</si>
  <si>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</si>
  <si>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</si>
  <si>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</si>
  <si>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No Of Coil</t>
  </si>
  <si>
    <t>Rewind</t>
  </si>
  <si>
    <t>Com-1 Qty</t>
  </si>
  <si>
    <t>No Of Lots</t>
  </si>
  <si>
    <t>Com-2 Qty</t>
  </si>
  <si>
    <t>Std- Qty</t>
  </si>
  <si>
    <t>Partial-1 Qty</t>
  </si>
  <si>
    <t>Partial-2 Qty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</si>
  <si>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</si>
  <si>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</si>
  <si>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</si>
  <si>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</si>
  <si>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</si>
  <si>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</si>
  <si>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</si>
  <si>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</si>
  <si>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</si>
  <si>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</si>
  <si>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Wt/
Sheet</t>
  </si>
  <si>
    <t>CUSTOMER NAME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</si>
  <si>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</si>
  <si>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</si>
  <si>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</si>
  <si>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</si>
  <si>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</si>
  <si>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</si>
  <si>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</si>
  <si>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</si>
  <si>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</si>
  <si>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</si>
  <si>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</si>
  <si>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Updated by Prod. Dept.</t>
  </si>
  <si>
    <t>SCAMS NO</t>
  </si>
  <si>
    <t>SPM</t>
    <phoneticPr fontId="0"/>
  </si>
  <si>
    <t>SETUP TIME</t>
    <phoneticPr fontId="0"/>
  </si>
  <si>
    <t>PROCESS TIME</t>
    <phoneticPr fontId="0"/>
  </si>
  <si>
    <t>TOTAL TIME</t>
    <phoneticPr fontId="0"/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</si>
  <si>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</si>
  <si>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</si>
  <si>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</si>
  <si>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</si>
  <si>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</si>
  <si>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</si>
  <si>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</si>
  <si>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</si>
  <si>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</si>
  <si>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</si>
  <si>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HRS</t>
  </si>
  <si>
    <t>AUTO RUN TIME</t>
  </si>
  <si>
    <t>SETTING TIME</t>
  </si>
  <si>
    <t>TOTAL TIME</t>
  </si>
  <si>
    <t xml:space="preserve"> 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</si>
  <si>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</si>
  <si>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</si>
  <si>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</si>
  <si>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</si>
  <si>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</si>
  <si>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</si>
  <si>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</si>
  <si>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</si>
  <si>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</si>
  <si>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</si>
  <si>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</si>
  <si>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</si>
  <si>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</si>
  <si>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</si>
  <si>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</si>
  <si>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side</t>
  </si>
  <si>
    <t>SHAPE</t>
    <phoneticPr fontId="0"/>
  </si>
  <si>
    <t>QC CHECK TIME</t>
  </si>
  <si>
    <t>palet change</t>
  </si>
  <si>
    <t>Setup time distribusal</t>
  </si>
  <si>
    <t>TOP TIME</t>
    <phoneticPr fontId="0"/>
  </si>
  <si>
    <t>REWIND</t>
    <phoneticPr fontId="0"/>
  </si>
  <si>
    <t>SETTING TIME</t>
    <phoneticPr fontId="0"/>
  </si>
  <si>
    <t>COIIL TOP</t>
    <phoneticPr fontId="0"/>
  </si>
  <si>
    <t>INNER QC</t>
    <phoneticPr fontId="0"/>
  </si>
  <si>
    <t>PLET CHENGE</t>
    <phoneticPr fontId="0"/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</si>
  <si>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</si>
  <si>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</si>
  <si>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</si>
  <si>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</si>
  <si>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</si>
  <si>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</si>
  <si>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</si>
  <si>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</si>
  <si>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</si>
  <si>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</si>
  <si>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</si>
  <si>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</si>
  <si>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</si>
  <si>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</si>
  <si>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</si>
  <si>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</si>
  <si>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</si>
  <si>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</si>
  <si>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</si>
  <si>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</si>
  <si>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</si>
  <si>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</si>
  <si>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</si>
  <si>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</si>
  <si>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</si>
  <si>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Length1</t>
  </si>
  <si>
    <t>Length2</t>
  </si>
  <si>
    <t>BLANKWT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</si>
  <si>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</si>
  <si>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</si>
  <si>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</si>
  <si>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</si>
  <si>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</si>
  <si>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</si>
  <si>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</si>
  <si>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</si>
  <si>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</si>
  <si>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</si>
  <si>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</si>
  <si>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</si>
  <si>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</si>
  <si>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</si>
  <si>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</si>
  <si>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</si>
  <si>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</si>
  <si>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</si>
  <si>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</si>
  <si>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</si>
  <si>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</si>
  <si>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</si>
  <si>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</si>
  <si>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</si>
  <si>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</si>
  <si>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NoOfProcessedCoils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</si>
  <si>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</si>
  <si>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</si>
  <si>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</si>
  <si>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</si>
  <si>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</si>
  <si>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</si>
  <si>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</si>
  <si>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</si>
  <si>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</si>
  <si>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Pitch</t>
  </si>
  <si>
    <t>SPM</t>
    <phoneticPr fontId="1"/>
  </si>
  <si>
    <r>
      <t>T</t>
    </r>
    <r>
      <rPr>
        <b/>
        <vertAlign val="subscript"/>
        <sz val="22"/>
        <color theme="0"/>
        <rFont val="Times New Roman"/>
        <family val="1"/>
      </rPr>
      <t>min</t>
    </r>
  </si>
  <si>
    <r>
      <t>T</t>
    </r>
    <r>
      <rPr>
        <b/>
        <vertAlign val="subscript"/>
        <sz val="22"/>
        <color theme="0"/>
        <rFont val="Times New Roman"/>
        <family val="1"/>
      </rPr>
      <t>max</t>
    </r>
  </si>
  <si>
    <r>
      <t>T</t>
    </r>
    <r>
      <rPr>
        <b/>
        <vertAlign val="subscript"/>
        <sz val="26"/>
        <color theme="0"/>
        <rFont val="Times New Roman"/>
        <family val="1"/>
      </rPr>
      <t>min</t>
    </r>
  </si>
  <si>
    <r>
      <t>T</t>
    </r>
    <r>
      <rPr>
        <b/>
        <vertAlign val="subscript"/>
        <sz val="26"/>
        <color theme="0"/>
        <rFont val="Times New Roman"/>
        <family val="1"/>
      </rPr>
      <t>max</t>
    </r>
  </si>
  <si>
    <t>C1ACTQTY</t>
  </si>
  <si>
    <t>C2</t>
  </si>
  <si>
    <t>C2ACTQTY</t>
  </si>
  <si>
    <t>STD</t>
  </si>
  <si>
    <t>STDACTQTY</t>
  </si>
  <si>
    <t>P1</t>
  </si>
  <si>
    <t>P1ACTQTY</t>
  </si>
  <si>
    <t>P2</t>
  </si>
  <si>
    <t>P2ACTQTY</t>
  </si>
  <si>
    <t>C1Part</t>
  </si>
  <si>
    <t>C1PARTQTY</t>
  </si>
  <si>
    <t>C2Part</t>
  </si>
  <si>
    <t>C2PARTQTY</t>
  </si>
  <si>
    <t>STDPart</t>
  </si>
  <si>
    <t>STDPARTQTY</t>
  </si>
  <si>
    <t>P1Part</t>
  </si>
  <si>
    <t>P1PARTQTY</t>
  </si>
  <si>
    <t>P2Part</t>
  </si>
  <si>
    <t>P2PARTQTY</t>
  </si>
  <si>
    <t>C1</t>
  </si>
  <si>
    <t>TQTY</t>
  </si>
  <si>
    <t>FG Weight</t>
  </si>
  <si>
    <t>Date &amp; Shift:</t>
  </si>
  <si>
    <t>Plan v/s Actaul Quantity/Wt. monitoring Sheet for SE</t>
  </si>
  <si>
    <t>Sl. No.</t>
  </si>
  <si>
    <t>SPEC.</t>
  </si>
  <si>
    <t>Work Order Spec.</t>
  </si>
  <si>
    <t>No. of Pcs planned</t>
  </si>
  <si>
    <t>Sheet Wt. in Kg's</t>
  </si>
  <si>
    <t>SCAMS No.</t>
  </si>
  <si>
    <t>SFG/
FG</t>
  </si>
  <si>
    <t>Pitch set on M/C</t>
  </si>
  <si>
    <t>Actual Thickness</t>
  </si>
  <si>
    <t>Width measured</t>
  </si>
  <si>
    <t>Actual Pitch measured (Length)</t>
  </si>
  <si>
    <t>Act. Qty.</t>
  </si>
  <si>
    <t>Avg. Actual Wt. for 5 pcs</t>
  </si>
  <si>
    <t>Actual No. of Scrap pcs</t>
  </si>
  <si>
    <t>Rewind Coil Wt.</t>
  </si>
  <si>
    <t>Remarks</t>
  </si>
  <si>
    <t>TM Sign</t>
  </si>
  <si>
    <t>T</t>
  </si>
  <si>
    <t>W</t>
  </si>
  <si>
    <t>L</t>
  </si>
  <si>
    <t>W/s</t>
  </si>
  <si>
    <t>Ce</t>
  </si>
  <si>
    <t>D/S</t>
  </si>
  <si>
    <t>Plan</t>
  </si>
  <si>
    <t>Actual</t>
  </si>
  <si>
    <t>Repeat</t>
  </si>
  <si>
    <t>ActualStartT</t>
  </si>
  <si>
    <t>ActualFinishT</t>
  </si>
  <si>
    <t>PlanStartT</t>
  </si>
  <si>
    <t>PlanFinishT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</si>
</sst>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 "/>
    <numFmt numFmtId="165" formatCode="0.0"/>
    <numFmt numFmtId="166" formatCode="0.00_ "/>
    <numFmt numFmtId="167" formatCode="0.00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4"/>
      <name val="Times New Roman"/>
      <family val="1"/>
    </font>
    <font>
      <b/>
      <sz val="22"/>
      <color theme="1"/>
      <name val="Times New Roman"/>
      <family val="1"/>
    </font>
    <font>
      <b/>
      <sz val="26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2"/>
      <color rgb="FFC00000"/>
      <name val="Times New Roman"/>
      <family val="1"/>
    </font>
    <font>
      <b/>
      <sz val="18"/>
      <name val="Calibri"/>
      <family val="2"/>
      <scheme val="minor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b/>
      <sz val="24"/>
      <color theme="1"/>
      <name val="Times New Roman"/>
      <family val="1"/>
    </font>
    <font>
      <sz val="22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indexed="8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Calibri"/>
      <family val="2"/>
      <charset val="128"/>
      <scheme val="minor"/>
    </font>
    <font>
      <b/>
      <sz val="16"/>
      <name val="Times New Roman"/>
      <family val="1"/>
    </font>
    <font>
      <b/>
      <sz val="10"/>
      <name val="Times New Roman"/>
      <family val="1"/>
    </font>
    <font>
      <b/>
      <sz val="28"/>
      <color rgb="FFFF0000"/>
      <name val="Times New Roman"/>
      <family val="1"/>
    </font>
    <font>
      <b/>
      <sz val="28"/>
      <color rgb="FFC00000"/>
      <name val="Times New Roman"/>
      <family val="1"/>
    </font>
    <font>
      <sz val="16"/>
      <color theme="1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theme="1"/>
      <name val="Times New Roman"/>
      <family val="1"/>
    </font>
    <font>
      <b/>
      <sz val="22"/>
      <name val="Times New Roman"/>
      <family val="1"/>
    </font>
    <font>
      <b/>
      <sz val="36"/>
      <color rgb="FFC00000"/>
      <name val="Times New Roman"/>
      <family val="1"/>
    </font>
    <font>
      <b/>
      <sz val="11"/>
      <color theme="1"/>
      <name val="Calibri"/>
      <family val="2"/>
      <charset val="128"/>
      <scheme val="minor"/>
    </font>
    <font>
      <sz val="10"/>
      <name val="ToyotaKV"/>
      <family val="2"/>
    </font>
    <font>
      <sz val="14"/>
      <name val="ToyotaKV"/>
      <family val="2"/>
    </font>
    <font>
      <b/>
      <sz val="14"/>
      <name val="ToyotaKV"/>
      <family val="2"/>
    </font>
    <font>
      <sz val="14"/>
      <color theme="1"/>
      <name val="Calibri"/>
      <family val="2"/>
      <charset val="128"/>
      <scheme val="minor"/>
    </font>
    <font>
      <sz val="22"/>
      <name val="Times New Roman"/>
      <family val="1"/>
    </font>
    <font>
      <sz val="22"/>
      <color theme="1"/>
      <name val="Calibri"/>
      <family val="2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vertAlign val="subscript"/>
      <sz val="22"/>
      <color theme="0"/>
      <name val="Times New Roman"/>
      <family val="1"/>
    </font>
    <font>
      <b/>
      <sz val="22"/>
      <color theme="1"/>
      <name val="Calibri"/>
      <family val="2"/>
      <scheme val="minor"/>
    </font>
    <font>
      <b/>
      <sz val="26"/>
      <color theme="0"/>
      <name val="Times New Roman"/>
      <family val="1"/>
    </font>
    <font>
      <b/>
      <vertAlign val="subscript"/>
      <sz val="26"/>
      <color theme="0"/>
      <name val="Times New Roman"/>
      <family val="1"/>
    </font>
    <font>
      <sz val="26"/>
      <color theme="1"/>
      <name val="Calibri"/>
      <family val="2"/>
      <scheme val="minor"/>
    </font>
    <font>
      <sz val="22"/>
      <color theme="4"/>
      <name val="Calibri"/>
      <family val="2"/>
      <scheme val="minor"/>
    </font>
    <font>
      <sz val="11"/>
      <color rgb="FFFF0000"/>
      <name val="Times New Roman"/>
      <family val="1"/>
    </font>
    <font>
      <b/>
      <sz val="7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6"/>
      <color theme="0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6" fillId="0" borderId="0"/>
    <xf numFmtId="9" fontId="1" fillId="0" borderId="0" applyFont="0" applyFill="0" applyBorder="0" applyAlignment="0" applyProtection="0"/>
  </cellStyleXfs>
  <cellXfs count="455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11" fillId="2" borderId="11" xfId="2" applyFont="1" applyFill="1" applyBorder="1" applyAlignment="1" applyProtection="1">
      <alignment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5" fillId="5" borderId="20" xfId="1" applyFont="1" applyFill="1" applyBorder="1" applyAlignment="1" applyProtection="1">
      <alignment horizontal="center" vertical="center" wrapText="1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3" fillId="5" borderId="20" xfId="1" applyFont="1" applyFill="1" applyBorder="1" applyAlignment="1" applyProtection="1">
      <alignment horizontal="center" vertical="center" wrapText="1"/>
      <protection locked="0"/>
    </xf>
    <xf numFmtId="0" fontId="13" fillId="5" borderId="18" xfId="1" applyFont="1" applyFill="1" applyBorder="1" applyAlignment="1" applyProtection="1">
      <alignment horizontal="center" vertical="center" wrapText="1"/>
      <protection locked="0"/>
    </xf>
    <xf numFmtId="0" fontId="13" fillId="5" borderId="22" xfId="1" applyFont="1" applyFill="1" applyBorder="1" applyAlignment="1" applyProtection="1">
      <alignment horizontal="center" vertical="center" wrapText="1"/>
      <protection locked="0"/>
    </xf>
    <xf numFmtId="0" fontId="16" fillId="5" borderId="24" xfId="1" applyFont="1" applyFill="1" applyBorder="1" applyAlignment="1" applyProtection="1">
      <alignment horizontal="center" vertical="center" wrapText="1"/>
      <protection locked="0"/>
    </xf>
    <xf numFmtId="0" fontId="6" fillId="2" borderId="26" xfId="2" applyFont="1" applyFill="1" applyBorder="1" applyAlignment="1" applyProtection="1">
      <alignment horizontal="center" vertical="center" wrapText="1"/>
      <protection locked="0"/>
    </xf>
    <xf numFmtId="0" fontId="6" fillId="2" borderId="11" xfId="2" applyFont="1" applyFill="1" applyBorder="1" applyAlignment="1" applyProtection="1">
      <alignment horizontal="center" vertical="center" wrapText="1"/>
      <protection locked="0"/>
    </xf>
    <xf numFmtId="0" fontId="6" fillId="2" borderId="27" xfId="2" applyFont="1" applyFill="1" applyBorder="1" applyAlignment="1" applyProtection="1">
      <alignment horizontal="center" vertical="center" wrapText="1"/>
      <protection locked="0"/>
    </xf>
    <xf numFmtId="164" fontId="6" fillId="2" borderId="11" xfId="2" applyNumberFormat="1" applyFont="1" applyFill="1" applyBorder="1" applyAlignment="1" applyProtection="1">
      <alignment horizontal="center" vertical="center" wrapText="1"/>
      <protection locked="0"/>
    </xf>
    <xf numFmtId="0" fontId="19" fillId="0" borderId="28" xfId="2" applyFont="1" applyBorder="1" applyAlignment="1" applyProtection="1">
      <alignment horizontal="center" vertical="center" wrapText="1"/>
      <protection locked="0"/>
    </xf>
    <xf numFmtId="0" fontId="20" fillId="5" borderId="29" xfId="1" applyFont="1" applyFill="1" applyBorder="1" applyAlignment="1" applyProtection="1">
      <alignment horizontal="center" vertical="center" wrapText="1"/>
      <protection locked="0"/>
    </xf>
    <xf numFmtId="0" fontId="21" fillId="5" borderId="32" xfId="1" applyFont="1" applyFill="1" applyBorder="1" applyAlignment="1" applyProtection="1">
      <alignment horizontal="center" vertical="center" wrapText="1"/>
      <protection locked="0"/>
    </xf>
    <xf numFmtId="0" fontId="20" fillId="5" borderId="32" xfId="1" applyFont="1" applyFill="1" applyBorder="1" applyAlignment="1" applyProtection="1">
      <alignment horizontal="center" vertical="center" wrapText="1"/>
      <protection locked="0"/>
    </xf>
    <xf numFmtId="0" fontId="20" fillId="5" borderId="30" xfId="1" applyFont="1" applyFill="1" applyBorder="1" applyAlignment="1" applyProtection="1">
      <alignment horizontal="center" vertical="center" wrapText="1"/>
      <protection locked="0"/>
    </xf>
    <xf numFmtId="0" fontId="20" fillId="5" borderId="33" xfId="1" applyFont="1" applyFill="1" applyBorder="1" applyAlignment="1" applyProtection="1">
      <alignment horizontal="center" vertical="center" wrapText="1"/>
      <protection locked="0"/>
    </xf>
    <xf numFmtId="0" fontId="22" fillId="5" borderId="35" xfId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25" fillId="7" borderId="38" xfId="1" applyFont="1" applyFill="1" applyBorder="1" applyAlignment="1" applyProtection="1">
      <alignment horizontal="center" vertical="center"/>
      <protection locked="0"/>
    </xf>
    <xf numFmtId="0" fontId="13" fillId="7" borderId="39" xfId="1" applyFont="1" applyFill="1" applyBorder="1" applyAlignment="1" applyProtection="1">
      <alignment horizontal="center" vertical="center"/>
      <protection locked="0"/>
    </xf>
    <xf numFmtId="0" fontId="22" fillId="7" borderId="40" xfId="1" applyFont="1" applyFill="1" applyBorder="1" applyAlignment="1" applyProtection="1">
      <alignment horizontal="center" vertical="center"/>
      <protection locked="0"/>
    </xf>
    <xf numFmtId="0" fontId="22" fillId="7" borderId="39" xfId="1" applyFont="1" applyFill="1" applyBorder="1" applyAlignment="1" applyProtection="1">
      <alignment horizontal="center" vertical="center"/>
      <protection locked="0"/>
    </xf>
    <xf numFmtId="0" fontId="22" fillId="7" borderId="38" xfId="1" applyFont="1" applyFill="1" applyBorder="1" applyAlignment="1" applyProtection="1">
      <alignment horizontal="center" vertical="center"/>
      <protection locked="0"/>
    </xf>
    <xf numFmtId="0" fontId="29" fillId="0" borderId="38" xfId="1" applyFont="1" applyBorder="1" applyAlignment="1" applyProtection="1">
      <alignment horizontal="center" vertical="center"/>
      <protection locked="0"/>
    </xf>
    <xf numFmtId="1" fontId="29" fillId="0" borderId="38" xfId="1" applyNumberFormat="1" applyFont="1" applyBorder="1" applyAlignment="1" applyProtection="1">
      <alignment horizontal="center" vertical="center"/>
      <protection locked="0"/>
    </xf>
    <xf numFmtId="20" fontId="30" fillId="0" borderId="38" xfId="2" applyNumberFormat="1" applyFont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0" fontId="8" fillId="10" borderId="42" xfId="1" applyFont="1" applyFill="1" applyBorder="1" applyAlignment="1">
      <alignment horizontal="center" vertical="center"/>
    </xf>
    <xf numFmtId="0" fontId="14" fillId="10" borderId="42" xfId="1" applyFont="1" applyFill="1" applyBorder="1" applyAlignment="1" applyProtection="1">
      <alignment horizontal="center" vertical="center"/>
      <protection locked="0"/>
    </xf>
    <xf numFmtId="0" fontId="14" fillId="11" borderId="42" xfId="1" applyFont="1" applyFill="1" applyBorder="1" applyAlignment="1" applyProtection="1">
      <alignment horizontal="center" vertical="center"/>
      <protection locked="0"/>
    </xf>
    <xf numFmtId="9" fontId="8" fillId="10" borderId="42" xfId="4" applyFont="1" applyFill="1" applyBorder="1" applyAlignment="1">
      <alignment horizontal="center" vertical="center"/>
    </xf>
    <xf numFmtId="20" fontId="8" fillId="10" borderId="42" xfId="1" applyNumberFormat="1" applyFont="1" applyFill="1" applyBorder="1" applyAlignment="1">
      <alignment horizontal="center" vertical="center"/>
    </xf>
    <xf numFmtId="20" fontId="16" fillId="10" borderId="42" xfId="1" applyNumberFormat="1" applyFont="1" applyFill="1" applyBorder="1" applyAlignment="1" applyProtection="1">
      <alignment horizontal="center" vertical="center"/>
      <protection locked="0"/>
    </xf>
    <xf numFmtId="1" fontId="8" fillId="10" borderId="42" xfId="1" applyNumberFormat="1" applyFont="1" applyFill="1" applyBorder="1" applyAlignment="1">
      <alignment horizontal="center" vertical="center"/>
    </xf>
    <xf numFmtId="0" fontId="6" fillId="6" borderId="28" xfId="1" applyFont="1" applyFill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vertical="center"/>
      <protection locked="0"/>
    </xf>
    <xf numFmtId="0" fontId="25" fillId="7" borderId="28" xfId="1" applyFont="1" applyFill="1" applyBorder="1" applyAlignment="1" applyProtection="1">
      <alignment horizontal="center" vertical="center"/>
      <protection locked="0"/>
    </xf>
    <xf numFmtId="0" fontId="13" fillId="7" borderId="45" xfId="1" applyFont="1" applyFill="1" applyBorder="1" applyAlignment="1" applyProtection="1">
      <alignment horizontal="center" vertical="center"/>
      <protection locked="0"/>
    </xf>
    <xf numFmtId="0" fontId="22" fillId="7" borderId="46" xfId="1" applyFont="1" applyFill="1" applyBorder="1" applyAlignment="1" applyProtection="1">
      <alignment horizontal="center" vertical="center"/>
      <protection locked="0"/>
    </xf>
    <xf numFmtId="0" fontId="22" fillId="7" borderId="45" xfId="1" applyFont="1" applyFill="1" applyBorder="1" applyAlignment="1" applyProtection="1">
      <alignment horizontal="center" vertical="center"/>
      <protection locked="0"/>
    </xf>
    <xf numFmtId="0" fontId="22" fillId="7" borderId="28" xfId="1" applyFont="1" applyFill="1" applyBorder="1" applyAlignment="1" applyProtection="1">
      <alignment horizontal="center" vertical="center"/>
      <protection locked="0"/>
    </xf>
    <xf numFmtId="0" fontId="30" fillId="7" borderId="5" xfId="2" applyFont="1" applyFill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25" fillId="10" borderId="47" xfId="1" applyFont="1" applyFill="1" applyBorder="1" applyAlignment="1" applyProtection="1">
      <alignment horizontal="center" vertical="center"/>
      <protection locked="0"/>
    </xf>
    <xf numFmtId="0" fontId="32" fillId="10" borderId="47" xfId="1" applyFont="1" applyFill="1" applyBorder="1" applyAlignment="1" applyProtection="1">
      <alignment horizontal="center" vertical="center"/>
      <protection locked="0"/>
    </xf>
    <xf numFmtId="166" fontId="32" fillId="11" borderId="47" xfId="1" applyNumberFormat="1" applyFont="1" applyFill="1" applyBorder="1" applyAlignment="1" applyProtection="1">
      <alignment horizontal="center" vertical="center"/>
      <protection locked="0"/>
    </xf>
    <xf numFmtId="20" fontId="25" fillId="10" borderId="47" xfId="1" applyNumberFormat="1" applyFont="1" applyFill="1" applyBorder="1" applyAlignment="1">
      <alignment horizontal="center" vertical="center"/>
    </xf>
    <xf numFmtId="20" fontId="33" fillId="10" borderId="47" xfId="1" applyNumberFormat="1" applyFont="1" applyFill="1" applyBorder="1" applyAlignment="1" applyProtection="1">
      <alignment horizontal="center" vertical="center"/>
      <protection locked="0"/>
    </xf>
    <xf numFmtId="1" fontId="33" fillId="10" borderId="47" xfId="1" applyNumberFormat="1" applyFont="1" applyFill="1" applyBorder="1" applyAlignment="1">
      <alignment horizontal="center" vertical="center"/>
    </xf>
    <xf numFmtId="0" fontId="33" fillId="10" borderId="47" xfId="1" applyFont="1" applyFill="1" applyBorder="1" applyAlignment="1" applyProtection="1">
      <alignment horizontal="center" vertical="center"/>
      <protection locked="0"/>
    </xf>
    <xf numFmtId="0" fontId="33" fillId="10" borderId="47" xfId="1" quotePrefix="1" applyFont="1" applyFill="1" applyBorder="1" applyAlignment="1">
      <alignment horizontal="center" vertical="center"/>
    </xf>
    <xf numFmtId="165" fontId="33" fillId="10" borderId="47" xfId="1" applyNumberFormat="1" applyFont="1" applyFill="1" applyBorder="1" applyAlignment="1" applyProtection="1">
      <alignment horizontal="center" vertical="center"/>
      <protection locked="0"/>
    </xf>
    <xf numFmtId="0" fontId="33" fillId="10" borderId="48" xfId="1" applyFont="1" applyFill="1" applyBorder="1" applyAlignment="1" applyProtection="1">
      <alignment horizontal="center" vertical="center"/>
      <protection locked="0"/>
    </xf>
    <xf numFmtId="0" fontId="6" fillId="0" borderId="28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6" fillId="7" borderId="10" xfId="2" applyFont="1" applyFill="1" applyBorder="1" applyAlignment="1" applyProtection="1">
      <alignment horizontal="center" vertical="center" wrapText="1"/>
      <protection locked="0"/>
    </xf>
    <xf numFmtId="164" fontId="6" fillId="7" borderId="50" xfId="2" applyNumberFormat="1" applyFont="1" applyFill="1" applyBorder="1" applyAlignment="1" applyProtection="1">
      <alignment horizontal="center" vertical="center" wrapText="1"/>
      <protection locked="0"/>
    </xf>
    <xf numFmtId="0" fontId="6" fillId="7" borderId="50" xfId="2" applyFont="1" applyFill="1" applyBorder="1" applyAlignment="1" applyProtection="1">
      <alignment horizontal="center" vertical="center" wrapText="1"/>
      <protection locked="0"/>
    </xf>
    <xf numFmtId="0" fontId="6" fillId="7" borderId="12" xfId="2" applyFont="1" applyFill="1" applyBorder="1" applyAlignment="1" applyProtection="1">
      <alignment horizontal="center" vertical="center" wrapText="1"/>
      <protection locked="0"/>
    </xf>
    <xf numFmtId="0" fontId="8" fillId="0" borderId="28" xfId="1" applyFont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25" fillId="4" borderId="52" xfId="1" applyFont="1" applyFill="1" applyBorder="1" applyAlignment="1">
      <alignment horizontal="center" vertical="center"/>
    </xf>
    <xf numFmtId="0" fontId="32" fillId="4" borderId="52" xfId="1" applyFont="1" applyFill="1" applyBorder="1" applyAlignment="1" applyProtection="1">
      <alignment horizontal="center" vertical="center"/>
      <protection locked="0"/>
    </xf>
    <xf numFmtId="0" fontId="32" fillId="11" borderId="52" xfId="1" applyFont="1" applyFill="1" applyBorder="1" applyAlignment="1" applyProtection="1">
      <alignment horizontal="center" vertical="center"/>
      <protection locked="0"/>
    </xf>
    <xf numFmtId="9" fontId="8" fillId="4" borderId="28" xfId="4" applyFont="1" applyFill="1" applyBorder="1" applyAlignment="1">
      <alignment horizontal="center" vertical="center"/>
    </xf>
    <xf numFmtId="20" fontId="25" fillId="4" borderId="52" xfId="1" applyNumberFormat="1" applyFont="1" applyFill="1" applyBorder="1" applyAlignment="1">
      <alignment horizontal="center" vertical="center"/>
    </xf>
    <xf numFmtId="20" fontId="33" fillId="4" borderId="52" xfId="1" applyNumberFormat="1" applyFont="1" applyFill="1" applyBorder="1" applyAlignment="1" applyProtection="1">
      <alignment horizontal="center" vertical="center"/>
      <protection locked="0"/>
    </xf>
    <xf numFmtId="1" fontId="25" fillId="4" borderId="52" xfId="1" applyNumberFormat="1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32" fillId="4" borderId="47" xfId="1" applyFont="1" applyFill="1" applyBorder="1" applyAlignment="1" applyProtection="1">
      <alignment horizontal="center" vertical="center"/>
      <protection locked="0"/>
    </xf>
    <xf numFmtId="20" fontId="25" fillId="4" borderId="47" xfId="1" applyNumberFormat="1" applyFont="1" applyFill="1" applyBorder="1" applyAlignment="1">
      <alignment horizontal="center" vertical="center"/>
    </xf>
    <xf numFmtId="20" fontId="33" fillId="4" borderId="47" xfId="1" applyNumberFormat="1" applyFont="1" applyFill="1" applyBorder="1" applyAlignment="1" applyProtection="1">
      <alignment horizontal="center" vertical="center"/>
      <protection locked="0"/>
    </xf>
    <xf numFmtId="1" fontId="33" fillId="4" borderId="47" xfId="1" applyNumberFormat="1" applyFont="1" applyFill="1" applyBorder="1" applyAlignment="1">
      <alignment horizontal="center" vertical="center"/>
    </xf>
    <xf numFmtId="0" fontId="33" fillId="4" borderId="47" xfId="1" applyFont="1" applyFill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0" fontId="25" fillId="10" borderId="52" xfId="1" applyFont="1" applyFill="1" applyBorder="1" applyAlignment="1">
      <alignment horizontal="center" vertical="center"/>
    </xf>
    <xf numFmtId="0" fontId="32" fillId="10" borderId="52" xfId="1" applyFont="1" applyFill="1" applyBorder="1" applyAlignment="1" applyProtection="1">
      <alignment horizontal="center" vertical="center"/>
      <protection locked="0"/>
    </xf>
    <xf numFmtId="9" fontId="8" fillId="10" borderId="28" xfId="4" applyFont="1" applyFill="1" applyBorder="1" applyAlignment="1">
      <alignment horizontal="center" vertical="center"/>
    </xf>
    <xf numFmtId="20" fontId="25" fillId="10" borderId="52" xfId="1" applyNumberFormat="1" applyFont="1" applyFill="1" applyBorder="1" applyAlignment="1">
      <alignment horizontal="center" vertical="center"/>
    </xf>
    <xf numFmtId="20" fontId="33" fillId="10" borderId="52" xfId="1" applyNumberFormat="1" applyFont="1" applyFill="1" applyBorder="1" applyAlignment="1" applyProtection="1">
      <alignment horizontal="center" vertical="center"/>
      <protection locked="0"/>
    </xf>
    <xf numFmtId="1" fontId="25" fillId="10" borderId="52" xfId="1" applyNumberFormat="1" applyFont="1" applyFill="1" applyBorder="1" applyAlignment="1">
      <alignment horizontal="center" vertical="center"/>
    </xf>
    <xf numFmtId="0" fontId="32" fillId="10" borderId="48" xfId="1" applyFont="1" applyFill="1" applyBorder="1" applyAlignment="1" applyProtection="1">
      <alignment horizontal="center" vertical="center"/>
      <protection locked="0"/>
    </xf>
    <xf numFmtId="166" fontId="32" fillId="11" borderId="48" xfId="1" applyNumberFormat="1" applyFont="1" applyFill="1" applyBorder="1" applyAlignment="1" applyProtection="1">
      <alignment horizontal="center" vertical="center"/>
      <protection locked="0"/>
    </xf>
    <xf numFmtId="20" fontId="25" fillId="10" borderId="48" xfId="1" applyNumberFormat="1" applyFont="1" applyFill="1" applyBorder="1" applyAlignment="1">
      <alignment horizontal="center" vertical="center"/>
    </xf>
    <xf numFmtId="20" fontId="33" fillId="10" borderId="48" xfId="1" applyNumberFormat="1" applyFont="1" applyFill="1" applyBorder="1" applyAlignment="1" applyProtection="1">
      <alignment horizontal="center" vertical="center"/>
      <protection locked="0"/>
    </xf>
    <xf numFmtId="0" fontId="6" fillId="8" borderId="28" xfId="1" applyFont="1" applyFill="1" applyBorder="1" applyAlignment="1" applyProtection="1">
      <alignment horizontal="center" vertical="center"/>
      <protection locked="0"/>
    </xf>
    <xf numFmtId="20" fontId="6" fillId="8" borderId="28" xfId="1" applyNumberFormat="1" applyFont="1" applyFill="1" applyBorder="1" applyAlignment="1" applyProtection="1">
      <alignment horizontal="center" vertical="center"/>
      <protection locked="0"/>
    </xf>
    <xf numFmtId="1" fontId="6" fillId="6" borderId="28" xfId="1" applyNumberFormat="1" applyFont="1" applyFill="1" applyBorder="1" applyAlignment="1" applyProtection="1">
      <alignment horizontal="center" vertical="center"/>
      <protection locked="0"/>
    </xf>
    <xf numFmtId="0" fontId="6" fillId="6" borderId="28" xfId="1" applyFont="1" applyFill="1" applyBorder="1" applyAlignment="1" applyProtection="1">
      <alignment horizontal="center" vertical="center" wrapText="1"/>
      <protection locked="0"/>
    </xf>
    <xf numFmtId="165" fontId="24" fillId="0" borderId="28" xfId="1" applyNumberFormat="1" applyFont="1" applyBorder="1" applyAlignment="1" applyProtection="1">
      <alignment horizontal="center" vertical="center"/>
      <protection locked="0"/>
    </xf>
    <xf numFmtId="165" fontId="24" fillId="0" borderId="25" xfId="1" applyNumberFormat="1" applyFont="1" applyBorder="1" applyAlignment="1" applyProtection="1">
      <alignment horizontal="center" vertical="center"/>
      <protection locked="0"/>
    </xf>
    <xf numFmtId="0" fontId="13" fillId="7" borderId="51" xfId="1" applyFont="1" applyFill="1" applyBorder="1" applyAlignment="1" applyProtection="1">
      <alignment horizontal="center" vertical="center"/>
      <protection locked="0"/>
    </xf>
    <xf numFmtId="0" fontId="22" fillId="7" borderId="56" xfId="1" applyFont="1" applyFill="1" applyBorder="1" applyAlignment="1" applyProtection="1">
      <alignment horizontal="center" vertical="center"/>
      <protection locked="0"/>
    </xf>
    <xf numFmtId="0" fontId="22" fillId="7" borderId="51" xfId="1" applyFont="1" applyFill="1" applyBorder="1" applyAlignment="1" applyProtection="1">
      <alignment horizontal="center" vertical="center"/>
      <protection locked="0"/>
    </xf>
    <xf numFmtId="0" fontId="22" fillId="7" borderId="25" xfId="1" applyFont="1" applyFill="1" applyBorder="1" applyAlignment="1" applyProtection="1">
      <alignment horizontal="center" vertical="center"/>
      <protection locked="0"/>
    </xf>
    <xf numFmtId="165" fontId="25" fillId="0" borderId="58" xfId="1" applyNumberFormat="1" applyFont="1" applyBorder="1" applyAlignment="1" applyProtection="1">
      <alignment horizontal="center" vertical="center"/>
      <protection locked="0"/>
    </xf>
    <xf numFmtId="2" fontId="7" fillId="0" borderId="50" xfId="1" applyNumberFormat="1" applyFont="1" applyBorder="1" applyAlignment="1" applyProtection="1">
      <alignment horizontal="center" vertical="center"/>
      <protection locked="0"/>
    </xf>
    <xf numFmtId="0" fontId="25" fillId="0" borderId="12" xfId="1" applyFont="1" applyBorder="1" applyProtection="1">
      <alignment vertical="center"/>
      <protection locked="0"/>
    </xf>
    <xf numFmtId="0" fontId="25" fillId="0" borderId="3" xfId="1" applyFont="1" applyBorder="1" applyAlignment="1" applyProtection="1">
      <alignment horizontal="center" vertical="center"/>
      <protection locked="0"/>
    </xf>
    <xf numFmtId="2" fontId="37" fillId="0" borderId="3" xfId="1" applyNumberFormat="1" applyFont="1" applyBorder="1" applyAlignment="1" applyProtection="1">
      <alignment horizontal="center" vertical="center"/>
      <protection locked="0"/>
    </xf>
    <xf numFmtId="2" fontId="37" fillId="0" borderId="0" xfId="1" applyNumberFormat="1" applyFont="1" applyAlignment="1" applyProtection="1">
      <alignment horizontal="center" vertical="center"/>
      <protection locked="0"/>
    </xf>
    <xf numFmtId="0" fontId="38" fillId="0" borderId="0" xfId="1" applyFont="1" applyAlignment="1" applyProtection="1">
      <alignment vertical="center" wrapText="1"/>
      <protection locked="0"/>
    </xf>
    <xf numFmtId="0" fontId="38" fillId="0" borderId="0" xfId="1" applyFont="1" applyAlignment="1" applyProtection="1">
      <alignment horizontal="center" vertical="center" wrapText="1"/>
      <protection locked="0"/>
    </xf>
    <xf numFmtId="0" fontId="34" fillId="0" borderId="0" xfId="1" applyFont="1" applyProtection="1">
      <alignment vertical="center"/>
      <protection locked="0"/>
    </xf>
    <xf numFmtId="0" fontId="34" fillId="0" borderId="0" xfId="1" applyFont="1" applyAlignment="1" applyProtection="1">
      <alignment horizontal="center" vertical="center"/>
      <protection locked="0"/>
    </xf>
    <xf numFmtId="0" fontId="24" fillId="0" borderId="0" xfId="1" applyFont="1" applyProtection="1">
      <alignment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39" fillId="0" borderId="0" xfId="1" applyFont="1" applyAlignment="1" applyProtection="1">
      <alignment horizontal="center" vertical="center"/>
      <protection locked="0"/>
    </xf>
    <xf numFmtId="1" fontId="33" fillId="10" borderId="48" xfId="1" applyNumberFormat="1" applyFont="1" applyFill="1" applyBorder="1" applyAlignment="1">
      <alignment horizontal="center" vertical="center"/>
    </xf>
    <xf numFmtId="9" fontId="8" fillId="10" borderId="62" xfId="4" applyFont="1" applyFill="1" applyBorder="1" applyAlignment="1">
      <alignment horizontal="center" vertical="center"/>
    </xf>
    <xf numFmtId="165" fontId="25" fillId="10" borderId="52" xfId="1" applyNumberFormat="1" applyFont="1" applyFill="1" applyBorder="1" applyAlignment="1">
      <alignment horizontal="center" vertical="center"/>
    </xf>
    <xf numFmtId="0" fontId="25" fillId="10" borderId="25" xfId="1" applyFont="1" applyFill="1" applyBorder="1" applyAlignment="1" applyProtection="1">
      <alignment horizontal="center" vertical="center"/>
      <protection locked="0"/>
    </xf>
    <xf numFmtId="0" fontId="25" fillId="10" borderId="64" xfId="1" applyFont="1" applyFill="1" applyBorder="1" applyAlignment="1" applyProtection="1">
      <alignment horizontal="center" vertical="center"/>
      <protection locked="0"/>
    </xf>
    <xf numFmtId="166" fontId="32" fillId="10" borderId="47" xfId="1" applyNumberFormat="1" applyFont="1" applyFill="1" applyBorder="1" applyAlignment="1" applyProtection="1">
      <alignment horizontal="center" vertical="center"/>
      <protection locked="0"/>
    </xf>
    <xf numFmtId="1" fontId="33" fillId="10" borderId="47" xfId="4" applyNumberFormat="1" applyFont="1" applyFill="1" applyBorder="1" applyAlignment="1" applyProtection="1">
      <alignment horizontal="center" vertical="center"/>
      <protection locked="0"/>
    </xf>
    <xf numFmtId="0" fontId="25" fillId="10" borderId="38" xfId="1" applyFont="1" applyFill="1" applyBorder="1" applyAlignment="1" applyProtection="1">
      <alignment horizontal="center" vertical="center"/>
      <protection locked="0"/>
    </xf>
    <xf numFmtId="0" fontId="25" fillId="10" borderId="66" xfId="1" applyFont="1" applyFill="1" applyBorder="1" applyAlignment="1" applyProtection="1">
      <alignment horizontal="center" vertical="center"/>
      <protection locked="0"/>
    </xf>
    <xf numFmtId="0" fontId="1" fillId="0" borderId="0" xfId="1">
      <alignment vertical="center"/>
    </xf>
    <xf numFmtId="0" fontId="42" fillId="0" borderId="0" xfId="1" applyFont="1" applyProtection="1">
      <alignment vertical="center"/>
      <protection locked="0"/>
    </xf>
    <xf numFmtId="0" fontId="1" fillId="0" borderId="0" xfId="1" applyProtection="1">
      <alignment vertical="center"/>
      <protection locked="0"/>
    </xf>
    <xf numFmtId="0" fontId="43" fillId="13" borderId="28" xfId="2" applyFont="1" applyFill="1" applyBorder="1" applyAlignment="1" applyProtection="1">
      <alignment vertical="center" wrapText="1"/>
      <protection locked="0"/>
    </xf>
    <xf numFmtId="0" fontId="43" fillId="9" borderId="28" xfId="2" applyFont="1" applyFill="1" applyBorder="1" applyAlignment="1" applyProtection="1">
      <alignment vertical="center" wrapText="1"/>
      <protection locked="0"/>
    </xf>
    <xf numFmtId="0" fontId="3" fillId="0" borderId="0" xfId="2" applyAlignment="1">
      <alignment vertical="center"/>
    </xf>
    <xf numFmtId="0" fontId="45" fillId="0" borderId="0" xfId="2" applyFont="1" applyAlignment="1" applyProtection="1">
      <alignment vertical="center"/>
      <protection locked="0"/>
    </xf>
    <xf numFmtId="0" fontId="43" fillId="0" borderId="28" xfId="2" applyFont="1" applyBorder="1" applyAlignment="1" applyProtection="1">
      <alignment vertical="center"/>
      <protection locked="0"/>
    </xf>
    <xf numFmtId="0" fontId="1" fillId="0" borderId="28" xfId="1" applyBorder="1" applyProtection="1">
      <alignment vertical="center"/>
      <protection locked="0"/>
    </xf>
    <xf numFmtId="0" fontId="44" fillId="0" borderId="0" xfId="2" applyFont="1" applyAlignment="1" applyProtection="1">
      <alignment vertical="center"/>
      <protection locked="0"/>
    </xf>
    <xf numFmtId="0" fontId="0" fillId="14" borderId="28" xfId="0" applyFill="1" applyBorder="1"/>
    <xf numFmtId="0" fontId="0" fillId="0" borderId="28" xfId="0" applyBorder="1"/>
    <xf numFmtId="0" fontId="47" fillId="0" borderId="28" xfId="2" applyFont="1" applyBorder="1" applyAlignment="1" applyProtection="1">
      <alignment horizontal="center" vertical="center"/>
      <protection locked="0"/>
    </xf>
    <xf numFmtId="0" fontId="23" fillId="0" borderId="28" xfId="1" applyFont="1" applyBorder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 vertical="center"/>
      <protection locked="0"/>
    </xf>
    <xf numFmtId="0" fontId="23" fillId="0" borderId="0" xfId="1" applyFont="1" applyProtection="1">
      <alignment vertical="center"/>
      <protection locked="0"/>
    </xf>
    <xf numFmtId="0" fontId="48" fillId="0" borderId="0" xfId="1" applyFont="1">
      <alignment vertical="center"/>
    </xf>
    <xf numFmtId="0" fontId="23" fillId="0" borderId="0" xfId="1" applyFont="1" applyAlignment="1" applyProtection="1">
      <alignment horizontal="center" vertical="center" wrapText="1"/>
      <protection locked="0"/>
    </xf>
    <xf numFmtId="0" fontId="0" fillId="14" borderId="41" xfId="0" applyFill="1" applyBorder="1"/>
    <xf numFmtId="0" fontId="47" fillId="0" borderId="0" xfId="2" applyFont="1" applyAlignment="1" applyProtection="1">
      <alignment horizontal="center" vertical="center"/>
      <protection locked="0"/>
    </xf>
    <xf numFmtId="0" fontId="47" fillId="0" borderId="0" xfId="2" applyFont="1" applyAlignment="1" applyProtection="1">
      <alignment vertical="center"/>
      <protection locked="0"/>
    </xf>
    <xf numFmtId="0" fontId="40" fillId="0" borderId="0" xfId="2" applyFont="1" applyAlignment="1" applyProtection="1">
      <alignment vertical="center"/>
      <protection locked="0"/>
    </xf>
    <xf numFmtId="0" fontId="23" fillId="8" borderId="0" xfId="1" applyFont="1" applyFill="1" applyProtection="1">
      <alignment vertical="center"/>
      <protection locked="0"/>
    </xf>
    <xf numFmtId="0" fontId="13" fillId="0" borderId="0" xfId="1" applyFont="1" applyAlignment="1" applyProtection="1">
      <alignment vertical="center" wrapText="1"/>
      <protection locked="0"/>
    </xf>
    <xf numFmtId="0" fontId="40" fillId="0" borderId="0" xfId="2" applyFont="1" applyAlignment="1" applyProtection="1">
      <alignment horizontal="center" vertical="center"/>
      <protection locked="0"/>
    </xf>
    <xf numFmtId="0" fontId="51" fillId="0" borderId="33" xfId="0" applyFont="1" applyBorder="1" applyAlignment="1">
      <alignment horizontal="center" vertical="center"/>
    </xf>
    <xf numFmtId="0" fontId="51" fillId="0" borderId="69" xfId="0" applyFont="1" applyBorder="1" applyAlignment="1">
      <alignment horizontal="center" vertical="center"/>
    </xf>
    <xf numFmtId="0" fontId="13" fillId="0" borderId="0" xfId="1" applyFont="1" applyAlignment="1" applyProtection="1">
      <alignment horizontal="center" vertical="center" wrapText="1"/>
      <protection locked="0"/>
    </xf>
    <xf numFmtId="0" fontId="48" fillId="0" borderId="0" xfId="1" applyFont="1" applyAlignment="1">
      <alignment horizontal="center" vertical="center"/>
    </xf>
    <xf numFmtId="0" fontId="55" fillId="15" borderId="22" xfId="2" applyFont="1" applyFill="1" applyBorder="1" applyAlignment="1" applyProtection="1">
      <alignment horizontal="center" vertical="center"/>
      <protection locked="0"/>
    </xf>
    <xf numFmtId="0" fontId="55" fillId="15" borderId="68" xfId="2" applyFont="1" applyFill="1" applyBorder="1" applyAlignment="1" applyProtection="1">
      <alignment horizontal="center" vertical="center"/>
      <protection locked="0"/>
    </xf>
    <xf numFmtId="0" fontId="57" fillId="0" borderId="33" xfId="0" applyFont="1" applyBorder="1" applyAlignment="1">
      <alignment horizontal="center" vertical="center"/>
    </xf>
    <xf numFmtId="0" fontId="57" fillId="0" borderId="69" xfId="0" applyFont="1" applyBorder="1" applyAlignment="1">
      <alignment horizontal="center" vertical="center"/>
    </xf>
    <xf numFmtId="0" fontId="54" fillId="0" borderId="57" xfId="0" applyFont="1" applyBorder="1" applyAlignment="1">
      <alignment horizontal="center" vertical="center"/>
    </xf>
    <xf numFmtId="0" fontId="54" fillId="0" borderId="58" xfId="0" applyFont="1" applyBorder="1" applyAlignment="1">
      <alignment horizontal="center" vertical="center"/>
    </xf>
    <xf numFmtId="0" fontId="52" fillId="0" borderId="22" xfId="0" applyFont="1" applyBorder="1" applyAlignment="1">
      <alignment horizontal="center" vertical="center"/>
    </xf>
    <xf numFmtId="0" fontId="52" fillId="0" borderId="68" xfId="0" applyFont="1" applyBorder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0" fontId="52" fillId="0" borderId="46" xfId="0" applyFont="1" applyBorder="1" applyAlignment="1">
      <alignment horizontal="center" vertical="center"/>
    </xf>
    <xf numFmtId="0" fontId="52" fillId="0" borderId="33" xfId="0" applyFont="1" applyBorder="1" applyAlignment="1">
      <alignment horizontal="center" vertical="center"/>
    </xf>
    <xf numFmtId="0" fontId="52" fillId="0" borderId="69" xfId="0" applyFont="1" applyBorder="1" applyAlignment="1">
      <alignment horizontal="center" vertical="center"/>
    </xf>
    <xf numFmtId="0" fontId="58" fillId="8" borderId="22" xfId="0" applyFont="1" applyFill="1" applyBorder="1" applyAlignment="1">
      <alignment horizontal="center" vertical="center"/>
    </xf>
    <xf numFmtId="0" fontId="58" fillId="8" borderId="45" xfId="0" applyFont="1" applyFill="1" applyBorder="1" applyAlignment="1">
      <alignment horizontal="center" vertical="center"/>
    </xf>
    <xf numFmtId="0" fontId="58" fillId="8" borderId="33" xfId="0" applyFont="1" applyFill="1" applyBorder="1" applyAlignment="1">
      <alignment horizontal="center" vertical="center"/>
    </xf>
    <xf numFmtId="0" fontId="49" fillId="0" borderId="0" xfId="0" applyFont="1"/>
    <xf numFmtId="0" fontId="50" fillId="0" borderId="0" xfId="0" applyFont="1" applyAlignment="1">
      <alignment vertical="center"/>
    </xf>
    <xf numFmtId="20" fontId="0" fillId="0" borderId="0" xfId="0" applyNumberFormat="1"/>
    <xf numFmtId="20" fontId="50" fillId="0" borderId="0" xfId="0" applyNumberFormat="1" applyFont="1" applyAlignment="1">
      <alignment vertical="center"/>
    </xf>
    <xf numFmtId="0" fontId="0" fillId="14" borderId="28" xfId="0" applyFill="1" applyBorder="1" applyAlignment="1">
      <alignment horizontal="center" vertical="center"/>
    </xf>
    <xf numFmtId="0" fontId="0" fillId="0" borderId="38" xfId="0" applyBorder="1"/>
    <xf numFmtId="19" fontId="11" fillId="0" borderId="0" xfId="2" applyNumberFormat="1" applyFont="1" applyAlignment="1" applyProtection="1">
      <alignment vertical="center"/>
      <protection locked="0"/>
    </xf>
    <xf numFmtId="20" fontId="11" fillId="0" borderId="0" xfId="2" applyNumberFormat="1" applyFont="1" applyAlignment="1" applyProtection="1">
      <alignment vertical="center"/>
      <protection locked="0"/>
    </xf>
    <xf numFmtId="0" fontId="23" fillId="0" borderId="39" xfId="1" applyFont="1" applyBorder="1" applyAlignment="1" applyProtection="1">
      <alignment horizontal="center" vertical="center"/>
      <protection locked="0"/>
    </xf>
    <xf numFmtId="165" fontId="24" fillId="0" borderId="38" xfId="1" applyNumberFormat="1" applyFont="1" applyBorder="1" applyAlignment="1" applyProtection="1">
      <alignment horizontal="center" vertical="center"/>
      <protection locked="0"/>
    </xf>
    <xf numFmtId="2" fontId="27" fillId="8" borderId="38" xfId="3" applyNumberFormat="1" applyFont="1" applyFill="1" applyBorder="1" applyAlignment="1" applyProtection="1">
      <alignment horizontal="center" vertical="center" wrapText="1"/>
      <protection locked="0"/>
    </xf>
    <xf numFmtId="0" fontId="28" fillId="0" borderId="38" xfId="1" applyFont="1" applyBorder="1" applyAlignment="1" applyProtection="1">
      <alignment horizontal="center" vertical="center" wrapText="1"/>
      <protection locked="0"/>
    </xf>
    <xf numFmtId="0" fontId="28" fillId="0" borderId="38" xfId="1" applyFont="1" applyBorder="1" applyAlignment="1" applyProtection="1">
      <alignment horizontal="center" vertical="center"/>
      <protection locked="0"/>
    </xf>
    <xf numFmtId="0" fontId="28" fillId="0" borderId="40" xfId="1" applyFont="1" applyBorder="1" applyAlignment="1" applyProtection="1">
      <alignment horizontal="center" vertical="center"/>
      <protection locked="0"/>
    </xf>
    <xf numFmtId="166" fontId="23" fillId="0" borderId="40" xfId="1" applyNumberFormat="1" applyFont="1" applyBorder="1" applyAlignment="1" applyProtection="1">
      <alignment horizontal="center" vertical="center"/>
      <protection locked="0"/>
    </xf>
    <xf numFmtId="165" fontId="23" fillId="0" borderId="38" xfId="1" applyNumberFormat="1" applyFont="1" applyBorder="1" applyAlignment="1" applyProtection="1">
      <alignment horizontal="center" vertical="center"/>
      <protection locked="0"/>
    </xf>
    <xf numFmtId="165" fontId="13" fillId="0" borderId="38" xfId="1" applyNumberFormat="1" applyFont="1" applyBorder="1" applyAlignment="1" applyProtection="1">
      <alignment horizontal="center" vertical="center"/>
      <protection locked="0"/>
    </xf>
    <xf numFmtId="20" fontId="13" fillId="0" borderId="38" xfId="1" applyNumberFormat="1" applyFont="1" applyBorder="1" applyAlignment="1" applyProtection="1">
      <alignment horizontal="center" vertical="center"/>
      <protection locked="0"/>
    </xf>
    <xf numFmtId="1" fontId="23" fillId="9" borderId="38" xfId="1" applyNumberFormat="1" applyFont="1" applyFill="1" applyBorder="1" applyAlignment="1" applyProtection="1">
      <alignment horizontal="center" vertical="center"/>
      <protection locked="0"/>
    </xf>
    <xf numFmtId="2" fontId="28" fillId="0" borderId="40" xfId="1" applyNumberFormat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horizontal="center" vertical="center"/>
      <protection locked="0"/>
    </xf>
    <xf numFmtId="20" fontId="30" fillId="0" borderId="28" xfId="2" applyNumberFormat="1" applyFont="1" applyBorder="1" applyAlignment="1" applyProtection="1">
      <alignment horizontal="center" vertical="center" wrapText="1"/>
      <protection locked="0"/>
    </xf>
    <xf numFmtId="0" fontId="34" fillId="0" borderId="54" xfId="1" applyFont="1" applyBorder="1" applyAlignment="1" applyProtection="1">
      <alignment horizontal="center" vertical="center"/>
      <protection locked="0"/>
    </xf>
    <xf numFmtId="0" fontId="34" fillId="0" borderId="38" xfId="1" applyFont="1" applyBorder="1" applyAlignment="1" applyProtection="1">
      <alignment horizontal="center" vertical="center"/>
      <protection locked="0"/>
    </xf>
    <xf numFmtId="165" fontId="34" fillId="0" borderId="38" xfId="1" applyNumberFormat="1" applyFont="1" applyBorder="1" applyAlignment="1" applyProtection="1">
      <alignment horizontal="center" vertical="center"/>
      <protection locked="0"/>
    </xf>
    <xf numFmtId="165" fontId="34" fillId="0" borderId="55" xfId="1" applyNumberFormat="1" applyFont="1" applyBorder="1" applyAlignment="1" applyProtection="1">
      <alignment horizontal="center" vertical="center"/>
      <protection locked="0"/>
    </xf>
    <xf numFmtId="165" fontId="34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0" xfId="1" applyFont="1" applyAlignment="1" applyProtection="1">
      <alignment horizontal="center" vertical="center"/>
      <protection locked="0"/>
    </xf>
    <xf numFmtId="0" fontId="48" fillId="0" borderId="0" xfId="1" applyFont="1" applyProtection="1">
      <alignment vertical="center"/>
      <protection locked="0"/>
    </xf>
    <xf numFmtId="167" fontId="1" fillId="0" borderId="28" xfId="1" applyNumberFormat="1" applyBorder="1" applyProtection="1">
      <alignment vertical="center"/>
      <protection locked="0"/>
    </xf>
    <xf numFmtId="0" fontId="46" fillId="0" borderId="0" xfId="1" applyFont="1" applyProtection="1">
      <alignment vertical="center"/>
      <protection locked="0"/>
    </xf>
    <xf numFmtId="0" fontId="8" fillId="10" borderId="42" xfId="1" applyFont="1" applyFill="1" applyBorder="1" applyAlignment="1" applyProtection="1">
      <alignment horizontal="center" vertical="center"/>
    </xf>
    <xf numFmtId="0" fontId="25" fillId="10" borderId="47" xfId="1" applyFont="1" applyFill="1" applyBorder="1" applyAlignment="1" applyProtection="1">
      <alignment horizontal="center" vertical="center"/>
    </xf>
    <xf numFmtId="0" fontId="25" fillId="4" borderId="52" xfId="1" applyFont="1" applyFill="1" applyBorder="1" applyAlignment="1" applyProtection="1">
      <alignment horizontal="center" vertical="center"/>
    </xf>
    <xf numFmtId="0" fontId="25" fillId="4" borderId="47" xfId="1" applyFont="1" applyFill="1" applyBorder="1" applyAlignment="1" applyProtection="1">
      <alignment horizontal="center" vertical="center"/>
    </xf>
    <xf numFmtId="0" fontId="25" fillId="10" borderId="52" xfId="1" applyFont="1" applyFill="1" applyBorder="1" applyAlignment="1" applyProtection="1">
      <alignment horizontal="center" vertical="center"/>
    </xf>
    <xf numFmtId="0" fontId="0" fillId="14" borderId="41" xfId="0" applyFill="1" applyBorder="1" applyAlignment="1">
      <alignment horizontal="center" vertical="center"/>
    </xf>
    <xf numFmtId="0" fontId="0" fillId="0" borderId="0" xfId="0" applyNumberFormat="1"/>
    <xf numFmtId="0" fontId="2" fillId="0" borderId="0" xfId="1" applyFont="1" applyFill="1" applyProtection="1">
      <alignment vertical="center"/>
      <protection locked="0"/>
    </xf>
    <xf numFmtId="0" fontId="59" fillId="16" borderId="0" xfId="1" applyFont="1" applyFill="1" applyProtection="1">
      <alignment vertical="center"/>
      <protection locked="0"/>
    </xf>
    <xf numFmtId="0" fontId="2" fillId="9" borderId="0" xfId="1" applyFont="1" applyFill="1" applyProtection="1">
      <alignment vertical="center"/>
      <protection locked="0"/>
    </xf>
    <xf numFmtId="0" fontId="33" fillId="10" borderId="48" xfId="1" applyFont="1" applyFill="1" applyBorder="1" applyAlignment="1" applyProtection="1">
      <alignment horizontal="center" vertical="center"/>
    </xf>
    <xf numFmtId="0" fontId="25" fillId="4" borderId="28" xfId="1" applyFont="1" applyFill="1" applyBorder="1" applyAlignment="1" applyProtection="1">
      <alignment horizontal="center" vertical="center"/>
    </xf>
    <xf numFmtId="0" fontId="25" fillId="10" borderId="28" xfId="1" applyFont="1" applyFill="1" applyBorder="1" applyAlignment="1" applyProtection="1">
      <alignment horizontal="center" vertical="center"/>
    </xf>
    <xf numFmtId="0" fontId="25" fillId="10" borderId="42" xfId="1" applyFont="1" applyFill="1" applyBorder="1" applyAlignment="1" applyProtection="1">
      <alignment horizontal="center" vertical="center"/>
    </xf>
    <xf numFmtId="0" fontId="8" fillId="10" borderId="62" xfId="1" applyFont="1" applyFill="1" applyBorder="1" applyAlignment="1" applyProtection="1">
      <alignment horizontal="center" vertical="center"/>
    </xf>
    <xf numFmtId="0" fontId="40" fillId="6" borderId="24" xfId="1" applyFont="1" applyFill="1" applyBorder="1" applyAlignment="1" applyProtection="1">
      <alignment horizontal="center" vertical="center" wrapText="1"/>
    </xf>
    <xf numFmtId="1" fontId="9" fillId="11" borderId="2" xfId="1" applyNumberFormat="1" applyFont="1" applyFill="1" applyBorder="1" applyAlignment="1" applyProtection="1">
      <alignment horizontal="center" vertical="center"/>
    </xf>
    <xf numFmtId="1" fontId="25" fillId="11" borderId="12" xfId="1" applyNumberFormat="1" applyFont="1" applyFill="1" applyBorder="1" applyAlignment="1" applyProtection="1">
      <alignment horizontal="center" vertical="center" wrapText="1"/>
    </xf>
    <xf numFmtId="0" fontId="9" fillId="11" borderId="2" xfId="1" applyFont="1" applyFill="1" applyBorder="1" applyAlignment="1" applyProtection="1">
      <alignment horizontal="center" vertical="center"/>
    </xf>
    <xf numFmtId="0" fontId="13" fillId="0" borderId="24" xfId="1" applyFont="1" applyBorder="1" applyAlignment="1" applyProtection="1">
      <alignment horizontal="center" vertical="center" wrapText="1"/>
    </xf>
    <xf numFmtId="10" fontId="25" fillId="11" borderId="2" xfId="4" applyNumberFormat="1" applyFont="1" applyFill="1" applyBorder="1" applyAlignment="1" applyProtection="1">
      <alignment horizontal="center" vertical="center"/>
    </xf>
    <xf numFmtId="0" fontId="13" fillId="6" borderId="1" xfId="1" applyFont="1" applyFill="1" applyBorder="1" applyAlignment="1" applyProtection="1">
      <alignment horizontal="center" vertical="center" wrapText="1"/>
    </xf>
    <xf numFmtId="0" fontId="2" fillId="0" borderId="5" xfId="1" applyFont="1" applyBorder="1" applyProtection="1">
      <alignment vertical="center"/>
    </xf>
    <xf numFmtId="0" fontId="2" fillId="0" borderId="6" xfId="1" applyFont="1" applyBorder="1" applyProtection="1">
      <alignment vertical="center"/>
    </xf>
    <xf numFmtId="0" fontId="13" fillId="6" borderId="34" xfId="1" applyFont="1" applyFill="1" applyBorder="1" applyAlignment="1" applyProtection="1">
      <alignment horizontal="center" vertical="center" wrapText="1"/>
    </xf>
    <xf numFmtId="1" fontId="25" fillId="11" borderId="36" xfId="1" applyNumberFormat="1" applyFont="1" applyFill="1" applyBorder="1" applyAlignment="1" applyProtection="1">
      <alignment horizontal="center" vertical="center" wrapText="1"/>
    </xf>
    <xf numFmtId="3" fontId="25" fillId="11" borderId="61" xfId="1" applyNumberFormat="1" applyFont="1" applyFill="1" applyBorder="1" applyAlignment="1" applyProtection="1">
      <alignment horizontal="center" vertical="center" wrapText="1"/>
    </xf>
    <xf numFmtId="0" fontId="25" fillId="11" borderId="36" xfId="1" applyFont="1" applyFill="1" applyBorder="1" applyAlignment="1" applyProtection="1">
      <alignment horizontal="center" vertical="center" wrapText="1"/>
    </xf>
    <xf numFmtId="0" fontId="13" fillId="0" borderId="34" xfId="1" applyFont="1" applyBorder="1" applyAlignment="1" applyProtection="1">
      <alignment horizontal="center" vertical="center" wrapText="1"/>
    </xf>
    <xf numFmtId="1" fontId="25" fillId="11" borderId="36" xfId="1" quotePrefix="1" applyNumberFormat="1" applyFont="1" applyFill="1" applyBorder="1" applyAlignment="1" applyProtection="1">
      <alignment horizontal="center" vertical="center" wrapText="1"/>
    </xf>
    <xf numFmtId="0" fontId="13" fillId="6" borderId="35" xfId="1" applyFont="1" applyFill="1" applyBorder="1" applyAlignment="1" applyProtection="1">
      <alignment horizontal="center" vertical="center" wrapText="1"/>
    </xf>
    <xf numFmtId="0" fontId="2" fillId="0" borderId="36" xfId="1" applyFont="1" applyBorder="1" applyProtection="1">
      <alignment vertical="center"/>
    </xf>
    <xf numFmtId="0" fontId="2" fillId="0" borderId="37" xfId="1" applyFont="1" applyBorder="1" applyProtection="1">
      <alignment vertical="center"/>
    </xf>
    <xf numFmtId="1" fontId="33" fillId="10" borderId="47" xfId="1" quotePrefix="1" applyNumberFormat="1" applyFont="1" applyFill="1" applyBorder="1" applyAlignment="1" applyProtection="1">
      <alignment horizontal="center" vertical="center"/>
      <protection locked="0"/>
    </xf>
    <xf numFmtId="1" fontId="33" fillId="4" borderId="47" xfId="1" quotePrefix="1" applyNumberFormat="1" applyFont="1" applyFill="1" applyBorder="1" applyAlignment="1" applyProtection="1">
      <alignment horizontal="center" vertical="center"/>
      <protection locked="0"/>
    </xf>
    <xf numFmtId="1" fontId="33" fillId="10" borderId="48" xfId="1" quotePrefix="1" applyNumberFormat="1" applyFont="1" applyFill="1" applyBorder="1" applyAlignment="1" applyProtection="1">
      <alignment horizontal="center" vertical="center"/>
      <protection locked="0"/>
    </xf>
    <xf numFmtId="1" fontId="8" fillId="10" borderId="42" xfId="1" applyNumberFormat="1" applyFont="1" applyFill="1" applyBorder="1" applyAlignment="1" applyProtection="1">
      <alignment horizontal="center" vertical="center"/>
      <protection locked="0"/>
    </xf>
    <xf numFmtId="1" fontId="25" fillId="4" borderId="52" xfId="1" applyNumberFormat="1" applyFont="1" applyFill="1" applyBorder="1" applyAlignment="1" applyProtection="1">
      <alignment horizontal="center" vertical="center"/>
      <protection locked="0"/>
    </xf>
    <xf numFmtId="1" fontId="25" fillId="10" borderId="52" xfId="1" applyNumberFormat="1" applyFont="1" applyFill="1" applyBorder="1" applyAlignment="1" applyProtection="1">
      <alignment horizontal="center" vertical="center"/>
      <protection locked="0"/>
    </xf>
    <xf numFmtId="1" fontId="8" fillId="10" borderId="42" xfId="1" applyNumberFormat="1" applyFont="1" applyFill="1" applyBorder="1" applyAlignment="1" applyProtection="1">
      <alignment horizontal="center" vertical="center"/>
    </xf>
    <xf numFmtId="165" fontId="33" fillId="10" borderId="47" xfId="1" applyNumberFormat="1" applyFont="1" applyFill="1" applyBorder="1" applyAlignment="1" applyProtection="1">
      <alignment horizontal="center" vertical="center"/>
    </xf>
    <xf numFmtId="1" fontId="25" fillId="4" borderId="52" xfId="1" applyNumberFormat="1" applyFont="1" applyFill="1" applyBorder="1" applyAlignment="1" applyProtection="1">
      <alignment horizontal="center" vertical="center"/>
    </xf>
    <xf numFmtId="165" fontId="33" fillId="4" borderId="47" xfId="1" applyNumberFormat="1" applyFont="1" applyFill="1" applyBorder="1" applyAlignment="1" applyProtection="1">
      <alignment horizontal="center" vertical="center"/>
    </xf>
    <xf numFmtId="1" fontId="25" fillId="10" borderId="52" xfId="1" applyNumberFormat="1" applyFont="1" applyFill="1" applyBorder="1" applyAlignment="1" applyProtection="1">
      <alignment horizontal="center" vertical="center"/>
    </xf>
    <xf numFmtId="165" fontId="33" fillId="10" borderId="48" xfId="1" applyNumberFormat="1" applyFont="1" applyFill="1" applyBorder="1" applyAlignment="1" applyProtection="1">
      <alignment horizontal="center" vertical="center"/>
    </xf>
    <xf numFmtId="1" fontId="33" fillId="17" borderId="48" xfId="4" applyNumberFormat="1" applyFont="1" applyFill="1" applyBorder="1" applyAlignment="1" applyProtection="1">
      <alignment horizontal="center" vertical="center" wrapText="1"/>
      <protection locked="0"/>
    </xf>
    <xf numFmtId="1" fontId="33" fillId="17" borderId="28" xfId="4" applyNumberFormat="1" applyFont="1" applyFill="1" applyBorder="1" applyAlignment="1" applyProtection="1">
      <alignment horizontal="center" vertical="center" wrapText="1"/>
      <protection locked="0"/>
    </xf>
    <xf numFmtId="1" fontId="33" fillId="17" borderId="28" xfId="4" applyNumberFormat="1" applyFont="1" applyFill="1" applyBorder="1" applyAlignment="1" applyProtection="1">
      <alignment horizontal="center" vertical="center"/>
      <protection locked="0"/>
    </xf>
    <xf numFmtId="1" fontId="33" fillId="17" borderId="48" xfId="4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25" fillId="11" borderId="2" xfId="1" applyFont="1" applyFill="1" applyBorder="1" applyAlignment="1" applyProtection="1">
      <alignment horizontal="center" vertical="center" wrapText="1"/>
    </xf>
    <xf numFmtId="0" fontId="13" fillId="6" borderId="24" xfId="1" applyFont="1" applyFill="1" applyBorder="1" applyAlignment="1" applyProtection="1">
      <alignment horizontal="center" vertical="center" wrapText="1"/>
    </xf>
    <xf numFmtId="0" fontId="34" fillId="0" borderId="0" xfId="1" applyFont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 wrapText="1"/>
      <protection locked="0"/>
    </xf>
    <xf numFmtId="0" fontId="1" fillId="0" borderId="0" xfId="1" applyAlignment="1">
      <alignment vertical="center" wrapText="1"/>
    </xf>
    <xf numFmtId="0" fontId="0" fillId="0" borderId="0" xfId="0" applyAlignment="1">
      <alignment horizontal="center" vertical="center" wrapText="1"/>
    </xf>
    <xf numFmtId="0" fontId="49" fillId="0" borderId="32" xfId="0" applyFont="1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2" fontId="0" fillId="0" borderId="71" xfId="0" applyNumberFormat="1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2" fontId="0" fillId="0" borderId="74" xfId="0" applyNumberFormat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63" fillId="0" borderId="0" xfId="2" applyFont="1" applyFill="1" applyAlignment="1" applyProtection="1">
      <alignment horizontal="center" vertical="center"/>
      <protection locked="0"/>
    </xf>
    <xf numFmtId="0" fontId="7" fillId="3" borderId="7" xfId="1" applyFont="1" applyFill="1" applyBorder="1" applyAlignment="1" applyProtection="1">
      <alignment horizontal="center" vertical="center" wrapText="1"/>
      <protection locked="0"/>
    </xf>
    <xf numFmtId="0" fontId="7" fillId="3" borderId="15" xfId="1" applyFont="1" applyFill="1" applyBorder="1" applyAlignment="1" applyProtection="1">
      <alignment horizontal="center" vertical="center" wrapText="1"/>
      <protection locked="0"/>
    </xf>
    <xf numFmtId="0" fontId="8" fillId="3" borderId="7" xfId="1" applyFont="1" applyFill="1" applyBorder="1" applyAlignment="1" applyProtection="1">
      <alignment horizontal="center" vertical="center"/>
      <protection locked="0"/>
    </xf>
    <xf numFmtId="0" fontId="8" fillId="3" borderId="15" xfId="1" applyFont="1" applyFill="1" applyBorder="1" applyAlignment="1" applyProtection="1">
      <alignment horizontal="center" vertical="center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0" xfId="2" applyFont="1" applyFill="1" applyBorder="1" applyAlignment="1" applyProtection="1">
      <alignment horizontal="center" vertical="center" wrapText="1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0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60" fillId="3" borderId="4" xfId="1" applyFont="1" applyFill="1" applyBorder="1" applyAlignment="1" applyProtection="1">
      <alignment horizontal="center" vertical="center"/>
      <protection locked="0"/>
    </xf>
    <xf numFmtId="0" fontId="60" fillId="3" borderId="5" xfId="1" applyFont="1" applyFill="1" applyBorder="1" applyAlignment="1" applyProtection="1">
      <alignment horizontal="center" vertical="center"/>
      <protection locked="0"/>
    </xf>
    <xf numFmtId="0" fontId="60" fillId="3" borderId="6" xfId="1" applyFont="1" applyFill="1" applyBorder="1" applyAlignment="1" applyProtection="1">
      <alignment horizontal="center" vertical="center"/>
      <protection locked="0"/>
    </xf>
    <xf numFmtId="0" fontId="60" fillId="3" borderId="13" xfId="1" applyFont="1" applyFill="1" applyBorder="1" applyAlignment="1" applyProtection="1">
      <alignment horizontal="center" vertical="center"/>
      <protection locked="0"/>
    </xf>
    <xf numFmtId="0" fontId="60" fillId="3" borderId="0" xfId="1" applyFont="1" applyFill="1" applyAlignment="1" applyProtection="1">
      <alignment horizontal="center" vertical="center"/>
      <protection locked="0"/>
    </xf>
    <xf numFmtId="0" fontId="60" fillId="3" borderId="14" xfId="1" applyFont="1" applyFill="1" applyBorder="1" applyAlignment="1" applyProtection="1">
      <alignment horizontal="center" vertical="center"/>
      <protection locked="0"/>
    </xf>
    <xf numFmtId="14" fontId="10" fillId="4" borderId="8" xfId="2" applyNumberFormat="1" applyFont="1" applyFill="1" applyBorder="1" applyAlignment="1" applyProtection="1">
      <alignment horizontal="center" vertical="center" wrapText="1"/>
      <protection locked="0"/>
    </xf>
    <xf numFmtId="14" fontId="10" fillId="4" borderId="16" xfId="2" applyNumberFormat="1" applyFont="1" applyFill="1" applyBorder="1" applyAlignment="1" applyProtection="1">
      <alignment horizontal="center" vertical="center" wrapText="1"/>
      <protection locked="0"/>
    </xf>
    <xf numFmtId="0" fontId="7" fillId="4" borderId="8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1" fontId="5" fillId="2" borderId="12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9" fillId="2" borderId="1" xfId="2" applyFont="1" applyFill="1" applyBorder="1" applyAlignment="1" applyProtection="1">
      <alignment horizontal="center" vertical="center" wrapText="1"/>
      <protection locked="0"/>
    </xf>
    <xf numFmtId="0" fontId="9" fillId="2" borderId="2" xfId="2" applyFont="1" applyFill="1" applyBorder="1" applyAlignment="1" applyProtection="1">
      <alignment horizontal="center" vertical="center" wrapText="1"/>
      <protection locked="0"/>
    </xf>
    <xf numFmtId="0" fontId="9" fillId="2" borderId="3" xfId="2" applyFont="1" applyFill="1" applyBorder="1" applyAlignment="1" applyProtection="1">
      <alignment horizontal="center" vertical="center" wrapText="1"/>
      <protection locked="0"/>
    </xf>
    <xf numFmtId="0" fontId="12" fillId="2" borderId="1" xfId="2" applyFont="1" applyFill="1" applyBorder="1" applyAlignment="1" applyProtection="1">
      <alignment horizontal="center" vertical="center" wrapText="1"/>
      <protection locked="0"/>
    </xf>
    <xf numFmtId="0" fontId="12" fillId="2" borderId="3" xfId="2" applyFont="1" applyFill="1" applyBorder="1" applyAlignment="1" applyProtection="1">
      <alignment horizontal="center" vertical="center" wrapText="1"/>
      <protection locked="0"/>
    </xf>
    <xf numFmtId="0" fontId="9" fillId="2" borderId="1" xfId="2" applyFont="1" applyFill="1" applyBorder="1" applyAlignment="1" applyProtection="1">
      <alignment horizontal="center" vertical="center"/>
      <protection locked="0"/>
    </xf>
    <xf numFmtId="0" fontId="9" fillId="2" borderId="2" xfId="2" applyFont="1" applyFill="1" applyBorder="1" applyAlignment="1" applyProtection="1">
      <alignment horizontal="center" vertical="center"/>
      <protection locked="0"/>
    </xf>
    <xf numFmtId="0" fontId="9" fillId="2" borderId="3" xfId="2" applyFont="1" applyFill="1" applyBorder="1" applyAlignment="1" applyProtection="1">
      <alignment horizontal="center"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3" fillId="5" borderId="26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13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17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6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Alignment="1" applyProtection="1">
      <alignment horizontal="center" vertical="center" wrapText="1"/>
      <protection locked="0"/>
    </xf>
    <xf numFmtId="0" fontId="7" fillId="4" borderId="14" xfId="1" applyFont="1" applyFill="1" applyBorder="1" applyAlignment="1" applyProtection="1">
      <alignment horizontal="center" vertical="center" wrapText="1"/>
      <protection locked="0"/>
    </xf>
    <xf numFmtId="0" fontId="17" fillId="5" borderId="9" xfId="1" applyFont="1" applyFill="1" applyBorder="1" applyAlignment="1" applyProtection="1">
      <alignment horizontal="center" vertical="center" wrapText="1"/>
      <protection locked="0"/>
    </xf>
    <xf numFmtId="0" fontId="17" fillId="5" borderId="34" xfId="1" applyFont="1" applyFill="1" applyBorder="1" applyAlignment="1" applyProtection="1">
      <alignment horizontal="center" vertical="center" wrapText="1"/>
      <protection locked="0"/>
    </xf>
    <xf numFmtId="0" fontId="6" fillId="6" borderId="25" xfId="1" applyFont="1" applyFill="1" applyBorder="1" applyAlignment="1" applyProtection="1">
      <alignment horizontal="center" vertical="center" wrapText="1"/>
      <protection locked="0"/>
    </xf>
    <xf numFmtId="0" fontId="6" fillId="6" borderId="38" xfId="1" applyFont="1" applyFill="1" applyBorder="1" applyAlignment="1" applyProtection="1">
      <alignment horizontal="center" vertical="center" wrapText="1"/>
      <protection locked="0"/>
    </xf>
    <xf numFmtId="0" fontId="14" fillId="5" borderId="30" xfId="1" applyFont="1" applyFill="1" applyBorder="1" applyAlignment="1" applyProtection="1">
      <alignment horizontal="center" vertical="center" wrapText="1"/>
      <protection locked="0"/>
    </xf>
    <xf numFmtId="0" fontId="14" fillId="5" borderId="31" xfId="1" applyFont="1" applyFill="1" applyBorder="1" applyAlignment="1" applyProtection="1">
      <alignment horizontal="center" vertical="center" wrapText="1"/>
      <protection locked="0"/>
    </xf>
    <xf numFmtId="0" fontId="13" fillId="5" borderId="8" xfId="1" applyFont="1" applyFill="1" applyBorder="1" applyAlignment="1" applyProtection="1">
      <alignment horizontal="center" vertical="center"/>
      <protection locked="0"/>
    </xf>
    <xf numFmtId="0" fontId="13" fillId="5" borderId="27" xfId="1" applyFont="1" applyFill="1" applyBorder="1" applyAlignment="1" applyProtection="1">
      <alignment horizontal="center" vertical="center"/>
      <protection locked="0"/>
    </xf>
    <xf numFmtId="0" fontId="14" fillId="5" borderId="18" xfId="1" applyFont="1" applyFill="1" applyBorder="1" applyAlignment="1" applyProtection="1">
      <alignment horizontal="center" vertical="center"/>
      <protection locked="0"/>
    </xf>
    <xf numFmtId="0" fontId="14" fillId="5" borderId="19" xfId="1" applyFont="1" applyFill="1" applyBorder="1" applyAlignment="1" applyProtection="1">
      <alignment horizontal="center" vertical="center"/>
      <protection locked="0"/>
    </xf>
    <xf numFmtId="0" fontId="13" fillId="5" borderId="23" xfId="1" applyFont="1" applyFill="1" applyBorder="1" applyAlignment="1" applyProtection="1">
      <alignment horizontal="center" vertical="center" wrapText="1"/>
      <protection locked="0"/>
    </xf>
    <xf numFmtId="0" fontId="13" fillId="5" borderId="11" xfId="1" applyFont="1" applyFill="1" applyBorder="1" applyAlignment="1" applyProtection="1">
      <alignment horizontal="center" vertical="center" wrapText="1"/>
      <protection locked="0"/>
    </xf>
    <xf numFmtId="0" fontId="13" fillId="5" borderId="8" xfId="1" applyFont="1" applyFill="1" applyBorder="1" applyAlignment="1" applyProtection="1">
      <alignment horizontal="center" vertical="center" wrapText="1"/>
      <protection locked="0"/>
    </xf>
    <xf numFmtId="0" fontId="13" fillId="5" borderId="27" xfId="1" applyFont="1" applyFill="1" applyBorder="1" applyAlignment="1" applyProtection="1">
      <alignment horizontal="center" vertical="center" wrapText="1"/>
      <protection locked="0"/>
    </xf>
    <xf numFmtId="0" fontId="13" fillId="5" borderId="9" xfId="1" applyFont="1" applyFill="1" applyBorder="1" applyAlignment="1" applyProtection="1">
      <alignment horizontal="center" vertical="center" wrapText="1"/>
      <protection locked="0"/>
    </xf>
    <xf numFmtId="0" fontId="13" fillId="5" borderId="34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35" xfId="1" applyFont="1" applyFill="1" applyBorder="1" applyAlignment="1" applyProtection="1">
      <alignment horizontal="center" vertical="center" wrapText="1"/>
      <protection locked="0"/>
    </xf>
    <xf numFmtId="0" fontId="8" fillId="5" borderId="36" xfId="1" applyFont="1" applyFill="1" applyBorder="1" applyAlignment="1" applyProtection="1">
      <alignment horizontal="center" vertical="center" wrapText="1"/>
      <protection locked="0"/>
    </xf>
    <xf numFmtId="0" fontId="8" fillId="5" borderId="37" xfId="1" applyFont="1" applyFill="1" applyBorder="1" applyAlignment="1" applyProtection="1">
      <alignment horizontal="center" vertical="center" wrapText="1"/>
      <protection locked="0"/>
    </xf>
    <xf numFmtId="0" fontId="10" fillId="7" borderId="5" xfId="2" applyFont="1" applyFill="1" applyBorder="1" applyAlignment="1" applyProtection="1">
      <alignment horizontal="center" vertical="center"/>
      <protection locked="0"/>
    </xf>
    <xf numFmtId="0" fontId="25" fillId="10" borderId="15" xfId="1" applyFont="1" applyFill="1" applyBorder="1" applyAlignment="1" applyProtection="1">
      <alignment horizontal="center" vertical="center"/>
    </xf>
    <xf numFmtId="0" fontId="25" fillId="10" borderId="39" xfId="1" applyFont="1" applyFill="1" applyBorder="1" applyAlignment="1" applyProtection="1">
      <alignment horizontal="center" vertical="center"/>
    </xf>
    <xf numFmtId="0" fontId="25" fillId="10" borderId="23" xfId="1" applyFont="1" applyFill="1" applyBorder="1" applyAlignment="1" applyProtection="1">
      <alignment horizontal="center" vertical="center" wrapText="1"/>
    </xf>
    <xf numFmtId="0" fontId="25" fillId="10" borderId="38" xfId="1" applyFont="1" applyFill="1" applyBorder="1" applyAlignment="1" applyProtection="1">
      <alignment horizontal="center" vertical="center" wrapText="1"/>
    </xf>
    <xf numFmtId="165" fontId="25" fillId="10" borderId="41" xfId="1" applyNumberFormat="1" applyFont="1" applyFill="1" applyBorder="1" applyAlignment="1">
      <alignment horizontal="center" vertical="center"/>
    </xf>
    <xf numFmtId="1" fontId="25" fillId="10" borderId="41" xfId="1" applyNumberFormat="1" applyFont="1" applyFill="1" applyBorder="1" applyAlignment="1" applyProtection="1">
      <alignment horizontal="center" vertical="center"/>
    </xf>
    <xf numFmtId="20" fontId="25" fillId="10" borderId="41" xfId="1" applyNumberFormat="1" applyFont="1" applyFill="1" applyBorder="1" applyAlignment="1" applyProtection="1">
      <alignment horizontal="center" vertical="center"/>
      <protection locked="0"/>
    </xf>
    <xf numFmtId="0" fontId="16" fillId="5" borderId="4" xfId="1" applyFont="1" applyFill="1" applyBorder="1" applyAlignment="1" applyProtection="1">
      <alignment horizontal="center" vertical="center" wrapText="1"/>
      <protection locked="0"/>
    </xf>
    <xf numFmtId="0" fontId="16" fillId="5" borderId="5" xfId="1" applyFont="1" applyFill="1" applyBorder="1" applyAlignment="1" applyProtection="1">
      <alignment horizontal="center" vertical="center" wrapText="1"/>
      <protection locked="0"/>
    </xf>
    <xf numFmtId="0" fontId="16" fillId="5" borderId="35" xfId="1" applyFont="1" applyFill="1" applyBorder="1" applyAlignment="1" applyProtection="1">
      <alignment horizontal="center" vertical="center" wrapText="1"/>
      <protection locked="0"/>
    </xf>
    <xf numFmtId="0" fontId="16" fillId="5" borderId="36" xfId="1" applyFont="1" applyFill="1" applyBorder="1" applyAlignment="1" applyProtection="1">
      <alignment horizontal="center" vertical="center" wrapText="1"/>
      <protection locked="0"/>
    </xf>
    <xf numFmtId="0" fontId="18" fillId="5" borderId="9" xfId="1" applyFont="1" applyFill="1" applyBorder="1" applyAlignment="1" applyProtection="1">
      <alignment horizontal="center" vertical="center" wrapText="1"/>
      <protection locked="0"/>
    </xf>
    <xf numFmtId="0" fontId="18" fillId="5" borderId="34" xfId="1" applyFont="1" applyFill="1" applyBorder="1" applyAlignment="1" applyProtection="1">
      <alignment horizontal="center" vertical="center" wrapText="1"/>
      <protection locked="0"/>
    </xf>
    <xf numFmtId="1" fontId="25" fillId="10" borderId="38" xfId="1" applyNumberFormat="1" applyFont="1" applyFill="1" applyBorder="1" applyAlignment="1" applyProtection="1">
      <alignment horizontal="center" vertical="center"/>
    </xf>
    <xf numFmtId="1" fontId="25" fillId="10" borderId="28" xfId="1" applyNumberFormat="1" applyFont="1" applyFill="1" applyBorder="1" applyAlignment="1" applyProtection="1">
      <alignment horizontal="center" vertical="center"/>
    </xf>
    <xf numFmtId="3" fontId="25" fillId="10" borderId="14" xfId="1" applyNumberFormat="1" applyFont="1" applyFill="1" applyBorder="1" applyAlignment="1" applyProtection="1">
      <alignment horizontal="center" vertical="center"/>
    </xf>
    <xf numFmtId="3" fontId="25" fillId="10" borderId="49" xfId="1" applyNumberFormat="1" applyFont="1" applyFill="1" applyBorder="1" applyAlignment="1" applyProtection="1">
      <alignment horizontal="center" vertical="center"/>
    </xf>
    <xf numFmtId="0" fontId="25" fillId="4" borderId="51" xfId="1" applyFont="1" applyFill="1" applyBorder="1" applyAlignment="1" applyProtection="1">
      <alignment horizontal="center" vertical="center"/>
    </xf>
    <xf numFmtId="0" fontId="25" fillId="4" borderId="39" xfId="1" applyFont="1" applyFill="1" applyBorder="1" applyAlignment="1" applyProtection="1">
      <alignment horizontal="center" vertical="center"/>
    </xf>
    <xf numFmtId="0" fontId="25" fillId="4" borderId="28" xfId="1" applyFont="1" applyFill="1" applyBorder="1" applyAlignment="1" applyProtection="1">
      <alignment horizontal="center" vertical="center" wrapText="1"/>
    </xf>
    <xf numFmtId="165" fontId="25" fillId="4" borderId="28" xfId="1" applyNumberFormat="1" applyFont="1" applyFill="1" applyBorder="1" applyAlignment="1">
      <alignment horizontal="center" vertical="center"/>
    </xf>
    <xf numFmtId="1" fontId="25" fillId="4" borderId="28" xfId="1" applyNumberFormat="1" applyFont="1" applyFill="1" applyBorder="1" applyAlignment="1" applyProtection="1">
      <alignment horizontal="center" vertical="center"/>
    </xf>
    <xf numFmtId="20" fontId="25" fillId="4" borderId="28" xfId="1" applyNumberFormat="1" applyFont="1" applyFill="1" applyBorder="1" applyAlignment="1" applyProtection="1">
      <alignment horizontal="center" vertical="center"/>
      <protection locked="0"/>
    </xf>
    <xf numFmtId="0" fontId="22" fillId="4" borderId="28" xfId="1" applyFont="1" applyFill="1" applyBorder="1" applyAlignment="1" applyProtection="1">
      <alignment horizontal="center" vertical="center" wrapText="1"/>
      <protection locked="0"/>
    </xf>
    <xf numFmtId="0" fontId="25" fillId="4" borderId="28" xfId="1" applyFont="1" applyFill="1" applyBorder="1" applyAlignment="1" applyProtection="1">
      <alignment horizontal="center" vertical="center"/>
      <protection locked="0"/>
    </xf>
    <xf numFmtId="0" fontId="22" fillId="10" borderId="43" xfId="1" applyFont="1" applyFill="1" applyBorder="1" applyAlignment="1" applyProtection="1">
      <alignment horizontal="center" vertical="center" wrapText="1"/>
      <protection locked="0"/>
    </xf>
    <xf numFmtId="0" fontId="22" fillId="10" borderId="0" xfId="1" applyFont="1" applyFill="1" applyAlignment="1" applyProtection="1">
      <alignment horizontal="center" vertical="center" wrapText="1"/>
      <protection locked="0"/>
    </xf>
    <xf numFmtId="0" fontId="22" fillId="10" borderId="44" xfId="1" applyFont="1" applyFill="1" applyBorder="1" applyAlignment="1" applyProtection="1">
      <alignment horizontal="center" vertical="center" wrapText="1"/>
      <protection locked="0"/>
    </xf>
    <xf numFmtId="0" fontId="25" fillId="10" borderId="41" xfId="1" applyFont="1" applyFill="1" applyBorder="1" applyAlignment="1" applyProtection="1">
      <alignment horizontal="center" vertical="center"/>
      <protection locked="0"/>
    </xf>
    <xf numFmtId="3" fontId="25" fillId="4" borderId="53" xfId="1" applyNumberFormat="1" applyFont="1" applyFill="1" applyBorder="1" applyAlignment="1" applyProtection="1">
      <alignment horizontal="center" vertical="center"/>
    </xf>
    <xf numFmtId="3" fontId="25" fillId="4" borderId="49" xfId="1" applyNumberFormat="1" applyFont="1" applyFill="1" applyBorder="1" applyAlignment="1" applyProtection="1">
      <alignment horizontal="center" vertical="center"/>
    </xf>
    <xf numFmtId="0" fontId="25" fillId="10" borderId="51" xfId="1" applyFont="1" applyFill="1" applyBorder="1" applyAlignment="1" applyProtection="1">
      <alignment horizontal="center" vertical="center"/>
    </xf>
    <xf numFmtId="0" fontId="25" fillId="10" borderId="28" xfId="1" applyFont="1" applyFill="1" applyBorder="1" applyAlignment="1" applyProtection="1">
      <alignment horizontal="center" vertical="center" wrapText="1"/>
    </xf>
    <xf numFmtId="165" fontId="25" fillId="10" borderId="28" xfId="1" applyNumberFormat="1" applyFont="1" applyFill="1" applyBorder="1" applyAlignment="1">
      <alignment horizontal="center" vertical="center"/>
    </xf>
    <xf numFmtId="20" fontId="25" fillId="10" borderId="28" xfId="1" applyNumberFormat="1" applyFont="1" applyFill="1" applyBorder="1" applyAlignment="1" applyProtection="1">
      <alignment horizontal="center" vertical="center"/>
      <protection locked="0"/>
    </xf>
    <xf numFmtId="3" fontId="25" fillId="10" borderId="53" xfId="1" applyNumberFormat="1" applyFont="1" applyFill="1" applyBorder="1" applyAlignment="1" applyProtection="1">
      <alignment horizontal="center" vertical="center"/>
    </xf>
    <xf numFmtId="0" fontId="22" fillId="10" borderId="28" xfId="1" applyFont="1" applyFill="1" applyBorder="1" applyAlignment="1" applyProtection="1">
      <alignment horizontal="center" vertical="center" wrapText="1"/>
      <protection locked="0"/>
    </xf>
    <xf numFmtId="0" fontId="25" fillId="10" borderId="28" xfId="1" applyFont="1" applyFill="1" applyBorder="1" applyAlignment="1" applyProtection="1">
      <alignment horizontal="center" vertical="center"/>
      <protection locked="0"/>
    </xf>
    <xf numFmtId="0" fontId="25" fillId="4" borderId="15" xfId="1" applyFont="1" applyFill="1" applyBorder="1" applyAlignment="1" applyProtection="1">
      <alignment horizontal="center" vertical="center"/>
    </xf>
    <xf numFmtId="2" fontId="25" fillId="0" borderId="50" xfId="1" applyNumberFormat="1" applyFont="1" applyBorder="1" applyAlignment="1" applyProtection="1">
      <alignment horizontal="center" vertical="center"/>
      <protection locked="0"/>
    </xf>
    <xf numFmtId="0" fontId="7" fillId="2" borderId="57" xfId="1" applyFont="1" applyFill="1" applyBorder="1" applyAlignment="1" applyProtection="1">
      <alignment horizontal="center" vertical="center"/>
      <protection locked="0"/>
    </xf>
    <xf numFmtId="0" fontId="7" fillId="2" borderId="50" xfId="1" applyFont="1" applyFill="1" applyBorder="1" applyAlignment="1" applyProtection="1">
      <alignment horizontal="center" vertical="center"/>
      <protection locked="0"/>
    </xf>
    <xf numFmtId="165" fontId="35" fillId="0" borderId="50" xfId="1" applyNumberFormat="1" applyFont="1" applyBorder="1" applyAlignment="1" applyProtection="1">
      <alignment horizontal="center" vertical="center"/>
      <protection locked="0"/>
    </xf>
    <xf numFmtId="0" fontId="25" fillId="2" borderId="1" xfId="1" applyFont="1" applyFill="1" applyBorder="1" applyAlignment="1" applyProtection="1">
      <alignment horizontal="center" vertical="center"/>
      <protection locked="0"/>
    </xf>
    <xf numFmtId="0" fontId="25" fillId="2" borderId="2" xfId="1" applyFont="1" applyFill="1" applyBorder="1" applyAlignment="1" applyProtection="1">
      <alignment horizontal="center" vertical="center"/>
      <protection locked="0"/>
    </xf>
    <xf numFmtId="0" fontId="25" fillId="2" borderId="10" xfId="1" applyFont="1" applyFill="1" applyBorder="1" applyAlignment="1" applyProtection="1">
      <alignment horizontal="center" vertical="center"/>
      <protection locked="0"/>
    </xf>
    <xf numFmtId="1" fontId="35" fillId="0" borderId="12" xfId="1" applyNumberFormat="1" applyFont="1" applyBorder="1" applyAlignment="1" applyProtection="1">
      <alignment horizontal="center" vertical="center"/>
      <protection locked="0"/>
    </xf>
    <xf numFmtId="1" fontId="35" fillId="0" borderId="3" xfId="1" applyNumberFormat="1" applyFont="1" applyBorder="1" applyAlignment="1" applyProtection="1">
      <alignment horizontal="center" vertical="center"/>
      <protection locked="0"/>
    </xf>
    <xf numFmtId="0" fontId="25" fillId="2" borderId="57" xfId="1" applyFont="1" applyFill="1" applyBorder="1" applyAlignment="1" applyProtection="1">
      <alignment horizontal="center" vertical="center"/>
      <protection locked="0"/>
    </xf>
    <xf numFmtId="0" fontId="25" fillId="2" borderId="50" xfId="1" applyFont="1" applyFill="1" applyBorder="1" applyAlignment="1" applyProtection="1">
      <alignment horizontal="center" vertical="center"/>
      <protection locked="0"/>
    </xf>
    <xf numFmtId="2" fontId="35" fillId="0" borderId="50" xfId="1" applyNumberFormat="1" applyFont="1" applyBorder="1" applyAlignment="1" applyProtection="1">
      <alignment horizontal="center" vertical="center"/>
      <protection locked="0"/>
    </xf>
    <xf numFmtId="0" fontId="36" fillId="0" borderId="10" xfId="1" applyFont="1" applyBorder="1" applyAlignment="1" applyProtection="1">
      <alignment horizontal="center" vertical="center"/>
      <protection locked="0"/>
    </xf>
    <xf numFmtId="0" fontId="36" fillId="0" borderId="50" xfId="1" applyFont="1" applyBorder="1" applyAlignment="1" applyProtection="1">
      <alignment horizontal="center" vertical="center"/>
      <protection locked="0"/>
    </xf>
    <xf numFmtId="0" fontId="36" fillId="0" borderId="58" xfId="1" applyFont="1" applyBorder="1" applyAlignment="1" applyProtection="1">
      <alignment horizontal="center" vertical="center"/>
      <protection locked="0"/>
    </xf>
    <xf numFmtId="0" fontId="25" fillId="4" borderId="45" xfId="1" applyFont="1" applyFill="1" applyBorder="1" applyAlignment="1" applyProtection="1">
      <alignment horizontal="center" vertical="center"/>
    </xf>
    <xf numFmtId="0" fontId="25" fillId="10" borderId="45" xfId="1" applyFont="1" applyFill="1" applyBorder="1" applyAlignment="1" applyProtection="1">
      <alignment horizontal="center" vertical="center"/>
    </xf>
    <xf numFmtId="3" fontId="25" fillId="10" borderId="59" xfId="1" applyNumberFormat="1" applyFont="1" applyFill="1" applyBorder="1" applyAlignment="1" applyProtection="1">
      <alignment horizontal="center" vertical="center"/>
    </xf>
    <xf numFmtId="3" fontId="25" fillId="10" borderId="17" xfId="1" applyNumberFormat="1" applyFont="1" applyFill="1" applyBorder="1" applyAlignment="1" applyProtection="1">
      <alignment horizontal="center" vertical="center"/>
    </xf>
    <xf numFmtId="0" fontId="40" fillId="6" borderId="1" xfId="1" applyFont="1" applyFill="1" applyBorder="1" applyAlignment="1" applyProtection="1">
      <alignment horizontal="center" vertical="center"/>
    </xf>
    <xf numFmtId="0" fontId="40" fillId="6" borderId="36" xfId="1" applyFont="1" applyFill="1" applyBorder="1" applyAlignment="1" applyProtection="1">
      <alignment horizontal="center" vertical="center"/>
    </xf>
    <xf numFmtId="0" fontId="40" fillId="6" borderId="37" xfId="1" applyFont="1" applyFill="1" applyBorder="1" applyAlignment="1" applyProtection="1">
      <alignment horizontal="center" vertical="center"/>
    </xf>
    <xf numFmtId="2" fontId="25" fillId="11" borderId="2" xfId="1" applyNumberFormat="1" applyFont="1" applyFill="1" applyBorder="1" applyAlignment="1" applyProtection="1">
      <alignment horizontal="center" vertical="center"/>
    </xf>
    <xf numFmtId="2" fontId="25" fillId="11" borderId="3" xfId="1" applyNumberFormat="1" applyFont="1" applyFill="1" applyBorder="1" applyAlignment="1" applyProtection="1">
      <alignment horizontal="center" vertical="center"/>
    </xf>
    <xf numFmtId="0" fontId="13" fillId="6" borderId="1" xfId="1" applyFont="1" applyFill="1" applyBorder="1" applyAlignment="1" applyProtection="1">
      <alignment horizontal="center" vertical="center" wrapText="1"/>
    </xf>
    <xf numFmtId="0" fontId="13" fillId="6" borderId="10" xfId="1" applyFont="1" applyFill="1" applyBorder="1" applyAlignment="1" applyProtection="1">
      <alignment horizontal="center" vertical="center" wrapText="1"/>
    </xf>
    <xf numFmtId="0" fontId="40" fillId="6" borderId="2" xfId="1" applyFont="1" applyFill="1" applyBorder="1" applyAlignment="1" applyProtection="1">
      <alignment horizontal="center" vertical="center"/>
    </xf>
    <xf numFmtId="0" fontId="40" fillId="6" borderId="3" xfId="1" applyFont="1" applyFill="1" applyBorder="1" applyAlignment="1" applyProtection="1">
      <alignment horizontal="center" vertical="center"/>
    </xf>
    <xf numFmtId="0" fontId="7" fillId="11" borderId="57" xfId="1" applyFont="1" applyFill="1" applyBorder="1" applyAlignment="1" applyProtection="1">
      <alignment horizontal="center" vertical="center"/>
    </xf>
    <xf numFmtId="0" fontId="7" fillId="11" borderId="50" xfId="1" applyFont="1" applyFill="1" applyBorder="1" applyAlignment="1" applyProtection="1">
      <alignment horizontal="center" vertical="center"/>
    </xf>
    <xf numFmtId="0" fontId="7" fillId="11" borderId="12" xfId="1" applyFont="1" applyFill="1" applyBorder="1" applyAlignment="1" applyProtection="1">
      <alignment horizontal="center" vertical="center"/>
    </xf>
    <xf numFmtId="0" fontId="7" fillId="11" borderId="58" xfId="1" applyFont="1" applyFill="1" applyBorder="1" applyAlignment="1" applyProtection="1">
      <alignment horizontal="center" vertical="center"/>
    </xf>
    <xf numFmtId="0" fontId="25" fillId="10" borderId="41" xfId="1" applyFont="1" applyFill="1" applyBorder="1" applyAlignment="1" applyProtection="1">
      <alignment horizontal="center" vertical="center" wrapText="1"/>
    </xf>
    <xf numFmtId="0" fontId="13" fillId="6" borderId="35" xfId="1" applyFont="1" applyFill="1" applyBorder="1" applyAlignment="1" applyProtection="1">
      <alignment horizontal="center" vertical="center" wrapText="1"/>
    </xf>
    <xf numFmtId="0" fontId="13" fillId="6" borderId="36" xfId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 wrapText="1"/>
    </xf>
    <xf numFmtId="2" fontId="25" fillId="11" borderId="36" xfId="1" applyNumberFormat="1" applyFont="1" applyFill="1" applyBorder="1" applyAlignment="1" applyProtection="1">
      <alignment horizontal="center" vertical="center" wrapText="1"/>
    </xf>
    <xf numFmtId="2" fontId="25" fillId="11" borderId="37" xfId="1" applyNumberFormat="1" applyFont="1" applyFill="1" applyBorder="1" applyAlignment="1" applyProtection="1">
      <alignment horizontal="center" vertical="center" wrapText="1"/>
    </xf>
    <xf numFmtId="0" fontId="13" fillId="6" borderId="60" xfId="1" applyFont="1" applyFill="1" applyBorder="1" applyAlignment="1" applyProtection="1">
      <alignment horizontal="center" vertical="center" wrapText="1"/>
    </xf>
    <xf numFmtId="165" fontId="7" fillId="11" borderId="35" xfId="1" applyNumberFormat="1" applyFont="1" applyFill="1" applyBorder="1" applyAlignment="1" applyProtection="1">
      <alignment horizontal="center" vertical="center" wrapText="1"/>
    </xf>
    <xf numFmtId="165" fontId="7" fillId="11" borderId="36" xfId="1" applyNumberFormat="1" applyFont="1" applyFill="1" applyBorder="1" applyAlignment="1" applyProtection="1">
      <alignment horizontal="center" vertical="center" wrapText="1"/>
    </xf>
    <xf numFmtId="165" fontId="7" fillId="11" borderId="37" xfId="1" applyNumberFormat="1" applyFont="1" applyFill="1" applyBorder="1" applyAlignment="1" applyProtection="1">
      <alignment horizontal="center" vertical="center" wrapText="1"/>
    </xf>
    <xf numFmtId="0" fontId="7" fillId="12" borderId="0" xfId="1" applyFont="1" applyFill="1" applyAlignment="1" applyProtection="1">
      <alignment horizontal="center" vertical="center" wrapText="1"/>
      <protection locked="0"/>
    </xf>
    <xf numFmtId="0" fontId="25" fillId="10" borderId="25" xfId="1" applyFont="1" applyFill="1" applyBorder="1" applyAlignment="1" applyProtection="1">
      <alignment horizontal="center" vertical="center"/>
      <protection locked="0"/>
    </xf>
    <xf numFmtId="0" fontId="25" fillId="10" borderId="38" xfId="1" applyFont="1" applyFill="1" applyBorder="1" applyAlignment="1" applyProtection="1">
      <alignment horizontal="center" vertical="center"/>
      <protection locked="0"/>
    </xf>
    <xf numFmtId="3" fontId="25" fillId="10" borderId="59" xfId="1" applyNumberFormat="1" applyFont="1" applyFill="1" applyBorder="1" applyAlignment="1" applyProtection="1">
      <alignment horizontal="center" vertical="center"/>
      <protection locked="0"/>
    </xf>
    <xf numFmtId="3" fontId="25" fillId="10" borderId="67" xfId="1" applyNumberFormat="1" applyFont="1" applyFill="1" applyBorder="1" applyAlignment="1" applyProtection="1">
      <alignment horizontal="center" vertical="center"/>
      <protection locked="0"/>
    </xf>
    <xf numFmtId="0" fontId="25" fillId="10" borderId="51" xfId="1" applyFont="1" applyFill="1" applyBorder="1" applyAlignment="1" applyProtection="1">
      <alignment horizontal="center" vertical="center"/>
      <protection locked="0"/>
    </xf>
    <xf numFmtId="0" fontId="25" fillId="10" borderId="15" xfId="1" applyFont="1" applyFill="1" applyBorder="1" applyAlignment="1" applyProtection="1">
      <alignment horizontal="center" vertical="center"/>
      <protection locked="0"/>
    </xf>
    <xf numFmtId="0" fontId="25" fillId="10" borderId="25" xfId="1" applyFont="1" applyFill="1" applyBorder="1" applyAlignment="1">
      <alignment horizontal="center" vertical="center" wrapText="1"/>
    </xf>
    <xf numFmtId="0" fontId="25" fillId="10" borderId="41" xfId="1" applyFont="1" applyFill="1" applyBorder="1" applyAlignment="1">
      <alignment horizontal="center" vertical="center" wrapText="1"/>
    </xf>
    <xf numFmtId="165" fontId="25" fillId="10" borderId="23" xfId="1" applyNumberFormat="1" applyFont="1" applyFill="1" applyBorder="1" applyAlignment="1">
      <alignment horizontal="center" vertical="center"/>
    </xf>
    <xf numFmtId="165" fontId="25" fillId="10" borderId="11" xfId="1" applyNumberFormat="1" applyFont="1" applyFill="1" applyBorder="1" applyAlignment="1">
      <alignment horizontal="center" vertical="center"/>
    </xf>
    <xf numFmtId="1" fontId="25" fillId="10" borderId="25" xfId="1" applyNumberFormat="1" applyFont="1" applyFill="1" applyBorder="1" applyAlignment="1" applyProtection="1">
      <alignment horizontal="center" vertical="center"/>
      <protection locked="0"/>
    </xf>
    <xf numFmtId="1" fontId="25" fillId="10" borderId="38" xfId="1" applyNumberFormat="1" applyFont="1" applyFill="1" applyBorder="1" applyAlignment="1" applyProtection="1">
      <alignment horizontal="center" vertical="center"/>
      <protection locked="0"/>
    </xf>
    <xf numFmtId="20" fontId="25" fillId="10" borderId="25" xfId="1" applyNumberFormat="1" applyFont="1" applyFill="1" applyBorder="1" applyAlignment="1" applyProtection="1">
      <alignment horizontal="center" vertical="center"/>
      <protection locked="0"/>
    </xf>
    <xf numFmtId="20" fontId="25" fillId="10" borderId="38" xfId="1" applyNumberFormat="1" applyFont="1" applyFill="1" applyBorder="1" applyAlignment="1" applyProtection="1">
      <alignment horizontal="center" vertical="center"/>
      <protection locked="0"/>
    </xf>
    <xf numFmtId="0" fontId="22" fillId="10" borderId="63" xfId="1" applyFont="1" applyFill="1" applyBorder="1" applyAlignment="1" applyProtection="1">
      <alignment horizontal="center" vertical="center" wrapText="1"/>
      <protection locked="0"/>
    </xf>
    <xf numFmtId="0" fontId="22" fillId="10" borderId="64" xfId="1" applyFont="1" applyFill="1" applyBorder="1" applyAlignment="1" applyProtection="1">
      <alignment horizontal="center" vertical="center" wrapText="1"/>
      <protection locked="0"/>
    </xf>
    <xf numFmtId="0" fontId="22" fillId="10" borderId="65" xfId="1" applyFont="1" applyFill="1" applyBorder="1" applyAlignment="1" applyProtection="1">
      <alignment horizontal="center" vertical="center" wrapText="1"/>
      <protection locked="0"/>
    </xf>
    <xf numFmtId="0" fontId="22" fillId="10" borderId="55" xfId="1" applyFont="1" applyFill="1" applyBorder="1" applyAlignment="1" applyProtection="1">
      <alignment horizontal="center" vertical="center" wrapText="1"/>
      <protection locked="0"/>
    </xf>
    <xf numFmtId="0" fontId="22" fillId="10" borderId="66" xfId="1" applyFont="1" applyFill="1" applyBorder="1" applyAlignment="1" applyProtection="1">
      <alignment horizontal="center" vertical="center" wrapText="1"/>
      <protection locked="0"/>
    </xf>
    <xf numFmtId="0" fontId="22" fillId="10" borderId="54" xfId="1" applyFont="1" applyFill="1" applyBorder="1" applyAlignment="1" applyProtection="1">
      <alignment horizontal="center" vertical="center" wrapText="1"/>
      <protection locked="0"/>
    </xf>
    <xf numFmtId="0" fontId="61" fillId="0" borderId="1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10" xfId="0" applyFont="1" applyBorder="1" applyAlignment="1">
      <alignment horizontal="left" vertical="center" wrapText="1"/>
    </xf>
    <xf numFmtId="0" fontId="62" fillId="0" borderId="12" xfId="0" applyFont="1" applyBorder="1" applyAlignment="1">
      <alignment horizontal="center" vertical="center" wrapText="1"/>
    </xf>
    <xf numFmtId="0" fontId="62" fillId="0" borderId="2" xfId="0" applyFont="1" applyBorder="1" applyAlignment="1">
      <alignment horizontal="center" vertical="center" wrapText="1"/>
    </xf>
    <xf numFmtId="0" fontId="62" fillId="0" borderId="3" xfId="0" applyFont="1" applyBorder="1" applyAlignment="1">
      <alignment horizontal="center" vertical="center" wrapText="1"/>
    </xf>
    <xf numFmtId="0" fontId="49" fillId="0" borderId="7" xfId="0" applyFont="1" applyBorder="1" applyAlignment="1">
      <alignment horizontal="center" vertical="center" wrapText="1"/>
    </xf>
    <xf numFmtId="0" fontId="49" fillId="0" borderId="26" xfId="0" applyFont="1" applyBorder="1" applyAlignment="1">
      <alignment horizontal="center" vertical="center" wrapText="1"/>
    </xf>
    <xf numFmtId="0" fontId="49" fillId="0" borderId="23" xfId="0" applyFont="1" applyBorder="1" applyAlignment="1">
      <alignment horizontal="center" vertical="center" wrapText="1"/>
    </xf>
    <xf numFmtId="0" fontId="49" fillId="0" borderId="11" xfId="0" applyFont="1" applyBorder="1" applyAlignment="1">
      <alignment horizontal="center" vertical="center" wrapText="1"/>
    </xf>
    <xf numFmtId="0" fontId="49" fillId="0" borderId="18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1" xfId="0" applyFont="1" applyBorder="1" applyAlignment="1">
      <alignment horizontal="center" vertical="center" wrapText="1"/>
    </xf>
    <xf numFmtId="0" fontId="49" fillId="0" borderId="20" xfId="0" applyFont="1" applyBorder="1" applyAlignment="1">
      <alignment horizontal="center" vertical="center" wrapText="1"/>
    </xf>
    <xf numFmtId="0" fontId="49" fillId="0" borderId="32" xfId="0" applyFont="1" applyBorder="1" applyAlignment="1">
      <alignment horizontal="center" vertical="center" wrapText="1"/>
    </xf>
    <xf numFmtId="0" fontId="49" fillId="0" borderId="68" xfId="0" applyFont="1" applyBorder="1" applyAlignment="1">
      <alignment horizontal="center" vertical="center" wrapText="1"/>
    </xf>
    <xf numFmtId="0" fontId="49" fillId="0" borderId="69" xfId="0" applyFont="1" applyBorder="1" applyAlignment="1">
      <alignment horizontal="center" vertical="center" wrapText="1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FT336"/>
  <sheetViews>
    <sheetView showGridLines="0" tabSelected="1" topLeftCell="U1" zoomScale="30" zoomScaleNormal="60" zoomScaleSheetLayoutView="62" workbookViewId="0">
      <selection activeCell="AJ6" sqref="AJ6"/>
    </sheetView>
  </sheetViews>
  <sheetFormatPr defaultColWidth="9.140625" defaultRowHeight="27.75"/>
  <cols>
    <col min="1" max="1" width="6.7109375" style="1" customWidth="1"/>
    <col min="2" max="2" width="13.42578125" style="1" customWidth="1"/>
    <col min="3" max="4" width="19" style="1" hidden="1" customWidth="1"/>
    <col min="5" max="5" width="28" style="1" customWidth="1"/>
    <col min="6" max="6" width="30.28515625" style="1" customWidth="1"/>
    <col min="7" max="7" width="21" style="1" customWidth="1"/>
    <col min="8" max="8" width="8.140625" style="1" hidden="1" customWidth="1"/>
    <col min="9" max="9" width="9.5703125" style="1" hidden="1" customWidth="1"/>
    <col min="10" max="10" width="19.42578125" style="1" customWidth="1"/>
    <col min="11" max="11" width="39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0.140625" style="1" customWidth="1"/>
    <col min="16" max="17" width="26" style="1" customWidth="1"/>
    <col min="18" max="23" width="19.28515625" style="1" customWidth="1"/>
    <col min="24" max="24" width="33.42578125" style="1" bestFit="1" customWidth="1"/>
    <col min="25" max="27" width="19.28515625" style="1" customWidth="1"/>
    <col min="28" max="28" width="24.140625" style="1" customWidth="1"/>
    <col min="29" max="29" width="21.42578125" style="1" hidden="1" customWidth="1"/>
    <col min="30" max="30" width="22.42578125" style="1" customWidth="1"/>
    <col min="31" max="31" width="15" style="1" customWidth="1"/>
    <col min="32" max="32" width="16.85546875" style="1" customWidth="1"/>
    <col min="33" max="33" width="19.140625" style="1" customWidth="1"/>
    <col min="34" max="35" width="21.28515625" style="1" customWidth="1"/>
    <col min="36" max="36" width="21.85546875" style="1" customWidth="1"/>
    <col min="37" max="37" width="21.5703125" style="1" customWidth="1"/>
    <col min="38" max="38" width="21.42578125" style="1" customWidth="1"/>
    <col min="39" max="40" width="10.42578125" style="1" hidden="1" customWidth="1"/>
    <col min="41" max="41" width="1" style="1" customWidth="1"/>
    <col min="42" max="42" width="17" style="1" customWidth="1"/>
    <col min="43" max="46" width="10.42578125" style="1" hidden="1" customWidth="1"/>
    <col min="47" max="47" width="31.7109375" style="140" customWidth="1"/>
    <col min="48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5" width="28.28515625" style="1" customWidth="1"/>
    <col min="56" max="56" width="26" style="1" customWidth="1"/>
    <col min="57" max="57" width="86.28515625" style="1" bestFit="1" customWidth="1"/>
    <col min="58" max="58" width="29.28515625" style="1" customWidth="1"/>
    <col min="59" max="59" width="21.28515625" style="1" customWidth="1"/>
    <col min="60" max="60" width="21.85546875" style="1" customWidth="1"/>
    <col min="61" max="61" width="23.7109375" style="1" customWidth="1"/>
    <col min="62" max="62" width="24.140625" style="1" customWidth="1"/>
    <col min="63" max="63" width="25.28515625" style="1" customWidth="1"/>
    <col min="64" max="64" width="24.5703125" style="1" customWidth="1"/>
    <col min="65" max="65" width="25.28515625" style="1" customWidth="1"/>
    <col min="66" max="66" width="29.28515625" style="1" customWidth="1"/>
    <col min="67" max="67" width="30.7109375" style="249" customWidth="1"/>
    <col min="68" max="68" width="33.7109375" style="249" customWidth="1"/>
    <col min="69" max="69" width="37.5703125" style="249" customWidth="1"/>
    <col min="70" max="70" width="29.7109375" style="1" customWidth="1"/>
    <col min="71" max="71" width="35.7109375" style="1" customWidth="1"/>
    <col min="72" max="75" width="16.85546875" style="1" customWidth="1"/>
    <col min="76" max="76" width="31.7109375" style="1" customWidth="1"/>
    <col min="77" max="77" width="31.42578125" style="1" customWidth="1"/>
    <col min="78" max="79" width="9.140625" style="1"/>
    <col min="80" max="80" width="78.7109375" style="1" bestFit="1" customWidth="1"/>
    <col min="81" max="83" width="9.140625" style="1"/>
    <col min="84" max="84" width="21.85546875" style="1" bestFit="1" customWidth="1"/>
    <col min="85" max="85" width="21.85546875" style="1" customWidth="1"/>
    <col min="86" max="86" width="31.42578125" style="1" bestFit="1" customWidth="1"/>
    <col min="87" max="89" width="9.140625" style="1"/>
    <col min="90" max="91" width="20.85546875" style="139" customWidth="1"/>
    <col min="92" max="93" width="9.140625" style="140"/>
    <col min="94" max="95" width="18" style="139" customWidth="1"/>
    <col min="96" max="98" width="9.140625" style="1"/>
    <col min="99" max="136" width="9.140625" style="1" hidden="1" customWidth="1"/>
    <col min="137" max="137" width="10.140625" style="1" hidden="1" customWidth="1"/>
    <col min="138" max="138" width="12.42578125" style="1" hidden="1" customWidth="1"/>
    <col min="139" max="139" width="9.140625" style="1" hidden="1" customWidth="1"/>
    <col min="140" max="140" width="14.85546875" style="1" hidden="1" customWidth="1"/>
    <col min="141" max="141" width="42.140625" style="1" hidden="1" customWidth="1"/>
    <col min="142" max="142" width="40.42578125" style="1" hidden="1" customWidth="1"/>
    <col min="143" max="143" width="18.5703125" style="1" hidden="1" customWidth="1"/>
    <col min="144" max="174" width="9.140625" style="1" hidden="1" customWidth="1"/>
    <col min="175" max="230" width="9.140625" style="1" customWidth="1"/>
    <col min="231" max="16384" width="9.140625" style="1"/>
  </cols>
  <sheetData>
    <row r="1" spans="1:171" ht="21.75" customHeight="1" thickBot="1">
      <c r="AU1" s="1"/>
      <c r="BL1" s="1" t="s">
        <v>0</v>
      </c>
      <c r="CU1" s="208"/>
      <c r="EG1" s="209"/>
    </row>
    <row r="2" spans="1:171" s="2" customFormat="1" ht="64.5" customHeight="1" thickBot="1">
      <c r="B2" s="279" t="s">
        <v>1</v>
      </c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280"/>
      <c r="AC2" s="280"/>
      <c r="AD2" s="280"/>
      <c r="AE2" s="280"/>
      <c r="AF2" s="280"/>
      <c r="AG2" s="280"/>
      <c r="AH2" s="280"/>
      <c r="AI2" s="280"/>
      <c r="AJ2" s="280"/>
      <c r="AK2" s="280"/>
      <c r="AL2" s="280"/>
      <c r="AM2" s="280"/>
      <c r="AN2" s="280"/>
      <c r="AO2" s="280"/>
      <c r="AP2" s="281"/>
      <c r="AQ2" s="3"/>
      <c r="AR2" s="3"/>
      <c r="AW2" s="282" t="s">
        <v>2</v>
      </c>
      <c r="AX2" s="283"/>
      <c r="AY2" s="283"/>
      <c r="AZ2" s="283"/>
      <c r="BA2" s="283"/>
      <c r="BB2" s="283"/>
      <c r="BC2" s="283"/>
      <c r="BD2" s="283"/>
      <c r="BE2" s="283"/>
      <c r="BF2" s="283"/>
      <c r="BG2" s="283"/>
      <c r="BH2" s="283"/>
      <c r="BI2" s="283"/>
      <c r="BJ2" s="283"/>
      <c r="BK2" s="283"/>
      <c r="BL2" s="283"/>
      <c r="BM2" s="283"/>
      <c r="BN2" s="284"/>
      <c r="BO2" s="269" t="s">
        <v>3</v>
      </c>
      <c r="BP2" s="288" t="str">
        <f>CONCATENATE(L3,"-",M3,"-",N3)</f>
        <v>--</v>
      </c>
      <c r="BQ2" s="269" t="s">
        <v>4</v>
      </c>
      <c r="BR2" s="290">
        <f>Z3</f>
        <v>0</v>
      </c>
      <c r="BS2" s="305" t="s">
        <v>5</v>
      </c>
      <c r="BT2" s="307"/>
      <c r="BU2" s="309" t="s">
        <v>6</v>
      </c>
      <c r="BV2" s="309"/>
      <c r="BW2" s="310"/>
      <c r="BX2" s="269">
        <v>6</v>
      </c>
      <c r="BY2" s="271"/>
      <c r="CL2" s="144"/>
      <c r="CM2" s="144"/>
      <c r="CN2" s="144"/>
      <c r="CO2" s="144"/>
      <c r="CP2" s="144"/>
      <c r="CQ2" s="144"/>
    </row>
    <row r="3" spans="1:171" s="2" customFormat="1" ht="64.5" customHeight="1" thickBot="1">
      <c r="B3" s="273" t="s">
        <v>7</v>
      </c>
      <c r="C3" s="274"/>
      <c r="D3" s="274"/>
      <c r="E3" s="274"/>
      <c r="F3" s="274"/>
      <c r="G3" s="274"/>
      <c r="H3" s="274"/>
      <c r="I3" s="274"/>
      <c r="J3" s="274"/>
      <c r="K3" s="275"/>
      <c r="L3" s="4"/>
      <c r="M3" s="4"/>
      <c r="N3" s="4"/>
      <c r="O3" s="276" t="s">
        <v>8</v>
      </c>
      <c r="P3" s="277"/>
      <c r="Q3" s="277"/>
      <c r="R3" s="278"/>
      <c r="S3" s="276"/>
      <c r="T3" s="277"/>
      <c r="U3" s="278"/>
      <c r="V3" s="276" t="s">
        <v>9</v>
      </c>
      <c r="W3" s="277"/>
      <c r="X3" s="277"/>
      <c r="Y3" s="278"/>
      <c r="Z3" s="276"/>
      <c r="AA3" s="277"/>
      <c r="AB3" s="278"/>
      <c r="AC3" s="276" t="s">
        <v>10</v>
      </c>
      <c r="AD3" s="277"/>
      <c r="AE3" s="277"/>
      <c r="AF3" s="277"/>
      <c r="AG3" s="277"/>
      <c r="AH3" s="278"/>
      <c r="AI3" s="5"/>
      <c r="AJ3" s="292" t="str">
        <f>IFERROR(S67/X67,"")</f>
        <v/>
      </c>
      <c r="AK3" s="293"/>
      <c r="AL3" s="293"/>
      <c r="AM3" s="293"/>
      <c r="AN3" s="293"/>
      <c r="AO3" s="293"/>
      <c r="AP3" s="294"/>
      <c r="AW3" s="285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7"/>
      <c r="BO3" s="270"/>
      <c r="BP3" s="289"/>
      <c r="BQ3" s="270"/>
      <c r="BR3" s="291"/>
      <c r="BS3" s="306"/>
      <c r="BT3" s="308"/>
      <c r="BU3" s="311"/>
      <c r="BV3" s="311"/>
      <c r="BW3" s="312"/>
      <c r="BX3" s="270"/>
      <c r="BY3" s="272"/>
      <c r="CB3" s="268"/>
      <c r="CL3" s="144"/>
      <c r="CM3" s="144"/>
      <c r="CN3" s="144"/>
      <c r="CO3" s="144"/>
      <c r="CP3" s="144"/>
      <c r="CQ3" s="144"/>
    </row>
    <row r="4" spans="1:171" s="2" customFormat="1" ht="82.5" customHeight="1" thickBot="1">
      <c r="B4" s="295" t="s">
        <v>11</v>
      </c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297"/>
      <c r="P4" s="298" t="s">
        <v>12</v>
      </c>
      <c r="Q4" s="299"/>
      <c r="R4" s="295" t="s">
        <v>13</v>
      </c>
      <c r="S4" s="296"/>
      <c r="T4" s="296"/>
      <c r="U4" s="296"/>
      <c r="V4" s="296"/>
      <c r="W4" s="296"/>
      <c r="X4" s="296"/>
      <c r="Y4" s="296"/>
      <c r="Z4" s="296"/>
      <c r="AA4" s="297"/>
      <c r="AB4" s="295" t="s">
        <v>14</v>
      </c>
      <c r="AC4" s="296"/>
      <c r="AD4" s="297"/>
      <c r="AE4" s="300" t="s">
        <v>15</v>
      </c>
      <c r="AF4" s="301"/>
      <c r="AG4" s="301"/>
      <c r="AH4" s="301"/>
      <c r="AI4" s="301"/>
      <c r="AJ4" s="301"/>
      <c r="AK4" s="301"/>
      <c r="AL4" s="301"/>
      <c r="AM4" s="301"/>
      <c r="AN4" s="301"/>
      <c r="AO4" s="301"/>
      <c r="AP4" s="302"/>
      <c r="AQ4" s="3"/>
      <c r="AW4" s="303" t="s">
        <v>16</v>
      </c>
      <c r="AX4" s="319" t="s">
        <v>17</v>
      </c>
      <c r="AY4" s="6" t="s">
        <v>18</v>
      </c>
      <c r="AZ4" s="321" t="s">
        <v>19</v>
      </c>
      <c r="BA4" s="322"/>
      <c r="BB4" s="322"/>
      <c r="BC4" s="322"/>
      <c r="BD4" s="7" t="s">
        <v>20</v>
      </c>
      <c r="BE4" s="8" t="s">
        <v>21</v>
      </c>
      <c r="BF4" s="9" t="s">
        <v>22</v>
      </c>
      <c r="BG4" s="9" t="s">
        <v>23</v>
      </c>
      <c r="BH4" s="9" t="s">
        <v>24</v>
      </c>
      <c r="BI4" s="10" t="s">
        <v>25</v>
      </c>
      <c r="BJ4" s="11" t="s">
        <v>26</v>
      </c>
      <c r="BK4" s="10" t="s">
        <v>27</v>
      </c>
      <c r="BL4" s="323" t="s">
        <v>28</v>
      </c>
      <c r="BM4" s="325" t="s">
        <v>29</v>
      </c>
      <c r="BN4" s="327" t="s">
        <v>30</v>
      </c>
      <c r="BO4" s="329" t="s">
        <v>31</v>
      </c>
      <c r="BP4" s="330"/>
      <c r="BQ4" s="331"/>
      <c r="BR4" s="12" t="s">
        <v>32</v>
      </c>
      <c r="BS4" s="313" t="s">
        <v>216</v>
      </c>
      <c r="BT4" s="343" t="s">
        <v>33</v>
      </c>
      <c r="BU4" s="344"/>
      <c r="BV4" s="344"/>
      <c r="BW4" s="344"/>
      <c r="BX4" s="347" t="s">
        <v>34</v>
      </c>
      <c r="BY4" s="313" t="s">
        <v>35</v>
      </c>
      <c r="CB4" s="315" t="s">
        <v>36</v>
      </c>
      <c r="CL4" s="154" t="s">
        <v>193</v>
      </c>
      <c r="CM4" s="155" t="s">
        <v>194</v>
      </c>
      <c r="CN4" s="149"/>
      <c r="CO4" s="149"/>
      <c r="CP4" s="154" t="s">
        <v>191</v>
      </c>
      <c r="CQ4" s="155" t="s">
        <v>192</v>
      </c>
    </row>
    <row r="5" spans="1:171" s="2" customFormat="1" ht="128.25" customHeight="1" thickBot="1">
      <c r="B5" s="13" t="s">
        <v>37</v>
      </c>
      <c r="C5" s="14" t="s">
        <v>38</v>
      </c>
      <c r="D5" s="14" t="s">
        <v>39</v>
      </c>
      <c r="E5" s="14" t="s">
        <v>40</v>
      </c>
      <c r="F5" s="14" t="s">
        <v>41</v>
      </c>
      <c r="G5" s="14" t="s">
        <v>42</v>
      </c>
      <c r="H5" s="14" t="s">
        <v>43</v>
      </c>
      <c r="I5" s="14" t="s">
        <v>43</v>
      </c>
      <c r="J5" s="14" t="s">
        <v>44</v>
      </c>
      <c r="K5" s="14" t="s">
        <v>45</v>
      </c>
      <c r="L5" s="14" t="s">
        <v>46</v>
      </c>
      <c r="M5" s="14" t="s">
        <v>47</v>
      </c>
      <c r="N5" s="14" t="s">
        <v>151</v>
      </c>
      <c r="O5" s="14" t="s">
        <v>152</v>
      </c>
      <c r="P5" s="13" t="s">
        <v>48</v>
      </c>
      <c r="Q5" s="15" t="s">
        <v>49</v>
      </c>
      <c r="R5" s="13" t="s">
        <v>50</v>
      </c>
      <c r="S5" s="14" t="s">
        <v>51</v>
      </c>
      <c r="T5" s="14" t="s">
        <v>52</v>
      </c>
      <c r="U5" s="14" t="s">
        <v>51</v>
      </c>
      <c r="V5" s="14" t="s">
        <v>53</v>
      </c>
      <c r="W5" s="14" t="s">
        <v>51</v>
      </c>
      <c r="X5" s="14" t="s">
        <v>54</v>
      </c>
      <c r="Y5" s="14" t="s">
        <v>51</v>
      </c>
      <c r="Z5" s="14" t="s">
        <v>55</v>
      </c>
      <c r="AA5" s="15" t="s">
        <v>51</v>
      </c>
      <c r="AB5" s="14" t="s">
        <v>56</v>
      </c>
      <c r="AC5" s="14"/>
      <c r="AD5" s="15" t="s">
        <v>57</v>
      </c>
      <c r="AE5" s="13" t="s">
        <v>58</v>
      </c>
      <c r="AF5" s="16" t="s">
        <v>59</v>
      </c>
      <c r="AG5" s="14" t="s">
        <v>60</v>
      </c>
      <c r="AH5" s="14" t="s">
        <v>61</v>
      </c>
      <c r="AI5" s="14" t="s">
        <v>62</v>
      </c>
      <c r="AJ5" s="14" t="s">
        <v>63</v>
      </c>
      <c r="AK5" s="14" t="s">
        <v>64</v>
      </c>
      <c r="AL5" s="14" t="s">
        <v>65</v>
      </c>
      <c r="AM5" s="14" t="s">
        <v>43</v>
      </c>
      <c r="AN5" s="14" t="s">
        <v>43</v>
      </c>
      <c r="AO5" s="14"/>
      <c r="AP5" s="15" t="s">
        <v>66</v>
      </c>
      <c r="AQ5" s="3"/>
      <c r="AU5" s="17" t="s">
        <v>67</v>
      </c>
      <c r="AW5" s="304"/>
      <c r="AX5" s="320"/>
      <c r="AY5" s="18" t="s">
        <v>68</v>
      </c>
      <c r="AZ5" s="317" t="s">
        <v>69</v>
      </c>
      <c r="BA5" s="318"/>
      <c r="BB5" s="318"/>
      <c r="BC5" s="318"/>
      <c r="BD5" s="19" t="s">
        <v>70</v>
      </c>
      <c r="BE5" s="18" t="s">
        <v>71</v>
      </c>
      <c r="BF5" s="20" t="s">
        <v>72</v>
      </c>
      <c r="BG5" s="20" t="s">
        <v>73</v>
      </c>
      <c r="BH5" s="20" t="s">
        <v>74</v>
      </c>
      <c r="BI5" s="21" t="s">
        <v>75</v>
      </c>
      <c r="BJ5" s="22" t="s">
        <v>76</v>
      </c>
      <c r="BK5" s="21" t="s">
        <v>77</v>
      </c>
      <c r="BL5" s="324"/>
      <c r="BM5" s="326"/>
      <c r="BN5" s="328"/>
      <c r="BO5" s="332"/>
      <c r="BP5" s="333"/>
      <c r="BQ5" s="334"/>
      <c r="BR5" s="23" t="s">
        <v>78</v>
      </c>
      <c r="BS5" s="314"/>
      <c r="BT5" s="345"/>
      <c r="BU5" s="346"/>
      <c r="BV5" s="346"/>
      <c r="BW5" s="346"/>
      <c r="BX5" s="348"/>
      <c r="BY5" s="314"/>
      <c r="CB5" s="316"/>
      <c r="CL5" s="156">
        <v>0</v>
      </c>
      <c r="CM5" s="157">
        <v>1.6</v>
      </c>
      <c r="CN5" s="144"/>
      <c r="CO5" s="144"/>
      <c r="CP5" s="150">
        <v>1.8</v>
      </c>
      <c r="CQ5" s="151">
        <v>3.4</v>
      </c>
    </row>
    <row r="6" spans="1:171" s="24" customFormat="1" ht="68.25" customHeight="1" thickBot="1">
      <c r="B6" s="177">
        <v>1</v>
      </c>
      <c r="C6" s="178" t="str">
        <f>BL6</f>
        <v/>
      </c>
      <c r="D6" s="178">
        <f>BM6</f>
        <v>0</v>
      </c>
      <c r="E6" s="25"/>
      <c r="F6" s="179"/>
      <c r="G6" s="180"/>
      <c r="H6" s="181"/>
      <c r="I6" s="181">
        <f>SUMIF(AC:AC,AC:AC,AB:AB)</f>
        <v>0</v>
      </c>
      <c r="J6" s="181"/>
      <c r="K6" s="181"/>
      <c r="L6" s="181"/>
      <c r="M6" s="181"/>
      <c r="N6" s="181"/>
      <c r="O6" s="182" t="str">
        <f>IF(E6="","",IF(VLOOKUP(E6,#REF!,12,FALSE)="","",VLOOKUP(E6,#REF!,12,FALSE)))</f>
        <v/>
      </c>
      <c r="P6" s="26"/>
      <c r="Q6" s="27"/>
      <c r="R6" s="28"/>
      <c r="S6" s="29"/>
      <c r="T6" s="29"/>
      <c r="U6" s="29"/>
      <c r="V6" s="29"/>
      <c r="W6" s="29"/>
      <c r="X6" s="29"/>
      <c r="Y6" s="29"/>
      <c r="Z6" s="29"/>
      <c r="AA6" s="27"/>
      <c r="AB6" s="177">
        <f t="shared" ref="AB6:AB66" si="0">(R6*S6+T6*U6+V6*W6+X6*Y6+Z6*AA6)</f>
        <v>0</v>
      </c>
      <c r="AC6" s="30" t="str">
        <f>IF(E6="","",CONCATENATE(J6,"x",K6,"x",L6,"x",M6))</f>
        <v/>
      </c>
      <c r="AD6" s="183" t="str">
        <f>IF(E6="","",AB6*AP6/1000)</f>
        <v/>
      </c>
      <c r="AE6" s="177" t="str">
        <f>IFERROR(IF(AND(L6&gt;=$CL$5,L6&lt;=$CM$5),VLOOKUP(ROUNDDOWN(N6,-2),$CL$6:$CM$81,2,FALSE),IF(AND(L6&gt;=$CP$58,L6&lt;=$CQ$5),VLOOKUP(ROUNDDOWN(N6,-2),$CP$6:$CQ$81,2,FALSE),"")),"")</f>
        <v/>
      </c>
      <c r="AF6" s="31" t="str">
        <f t="shared" ref="AF6:AF66" si="1">IF(P6="","",SUM(K210+L210+(M210*AB6)))</f>
        <v/>
      </c>
      <c r="AG6" s="184" t="str">
        <f>IF(E6="","",AB6/AE6)</f>
        <v/>
      </c>
      <c r="AH6" s="185" t="str">
        <f>IF(E6="","",AF6+AG6)</f>
        <v/>
      </c>
      <c r="AI6" s="186" t="str">
        <f>IFERROR(AH6/1440,"")</f>
        <v/>
      </c>
      <c r="AJ6" s="32" t="str">
        <f>IF(OR(Z3="1",Z3=1),"05:30",IF(OR(Z3="2",Z3=2),"14:20","23:00"))</f>
        <v>23:00</v>
      </c>
      <c r="AK6" s="32" t="str">
        <f>IFERROR(AI6+AJ6,"")</f>
        <v/>
      </c>
      <c r="AL6" s="187" t="str">
        <f>IF(E6="","",AB6*60/AH6)</f>
        <v/>
      </c>
      <c r="AM6" s="187" t="str">
        <f t="shared" ref="AM6:AM66" si="2">IF(F6="","",AC6*60/AI6)</f>
        <v/>
      </c>
      <c r="AN6" s="187" t="str">
        <f t="shared" ref="AN6:AN66" si="3">IF(G6="","",AD6*60/AJ6)</f>
        <v/>
      </c>
      <c r="AO6" s="187" t="str">
        <f t="shared" ref="AO6:AO66" si="4">IF(H6="","",AE6*60/AK6)</f>
        <v/>
      </c>
      <c r="AP6" s="188" t="str">
        <f>IF(E6="","",VLOOKUP(E6,#REF!,2,FALSE))</f>
        <v/>
      </c>
      <c r="AQ6" s="335" t="s">
        <v>79</v>
      </c>
      <c r="AR6" s="335"/>
      <c r="AS6" s="335"/>
      <c r="AT6" s="335"/>
      <c r="AU6" s="137"/>
      <c r="AV6" s="33"/>
      <c r="AW6" s="336">
        <v>1</v>
      </c>
      <c r="AX6" s="338" t="str">
        <f>CONCATENATE(F6, "-", G6,"-",L6,"x",M6,"x",N6)</f>
        <v>--xx</v>
      </c>
      <c r="AY6" s="214">
        <f>P6</f>
        <v>0</v>
      </c>
      <c r="AZ6" s="35"/>
      <c r="BA6" s="35"/>
      <c r="BB6" s="35"/>
      <c r="BC6" s="35"/>
      <c r="BD6" s="36"/>
      <c r="BE6" s="37" t="str">
        <f>CONCATENATE(R6,"x",S6," - ",T6,"x",U6," - ",V6,"x",W6," - ",X6,"x",Y6," - ",Z6,"x",AA6)</f>
        <v>x - x - x - x - x</v>
      </c>
      <c r="BF6" s="38" t="str">
        <f>AJ6</f>
        <v>23:00</v>
      </c>
      <c r="BG6" s="39"/>
      <c r="BH6" s="40" t="str">
        <f>AL6</f>
        <v/>
      </c>
      <c r="BI6" s="34" t="str">
        <f>AE6</f>
        <v/>
      </c>
      <c r="BJ6" s="236" t="str">
        <f>AF6</f>
        <v/>
      </c>
      <c r="BK6" s="239" t="str">
        <f>AG6</f>
        <v/>
      </c>
      <c r="BL6" s="340" t="str">
        <f>IF(BG6="","",(BK7+BJ7))</f>
        <v/>
      </c>
      <c r="BM6" s="341"/>
      <c r="BN6" s="342"/>
      <c r="BO6" s="361"/>
      <c r="BP6" s="362"/>
      <c r="BQ6" s="363"/>
      <c r="BR6" s="200">
        <f>AB6</f>
        <v>0</v>
      </c>
      <c r="BS6" s="341">
        <f>IF(BR7=0,0,BR7*AP6)</f>
        <v>0</v>
      </c>
      <c r="BT6" s="364"/>
      <c r="BU6" s="364"/>
      <c r="BV6" s="364"/>
      <c r="BW6" s="364"/>
      <c r="BX6" s="349">
        <f>IF(BR7=0,0,(BR7/BI7)-(BR7/BI6))</f>
        <v>0</v>
      </c>
      <c r="BY6" s="351"/>
      <c r="CB6" s="41" t="s">
        <v>80</v>
      </c>
      <c r="CL6" s="158" t="s">
        <v>189</v>
      </c>
      <c r="CM6" s="159" t="s">
        <v>190</v>
      </c>
      <c r="CN6" s="145"/>
      <c r="CO6" s="145"/>
      <c r="CP6" s="158" t="s">
        <v>189</v>
      </c>
      <c r="CQ6" s="159" t="s">
        <v>190</v>
      </c>
      <c r="EG6" s="24" t="str">
        <f>IFERROR(IF(bgr!CO2=0,"",bgr!CO2),"")</f>
        <v/>
      </c>
      <c r="EH6" s="24" t="str">
        <f>IFERROR(IF(bgr!CP2=0,"",bgr!CP2),"")</f>
        <v/>
      </c>
      <c r="EK6" s="175" t="s">
        <v>43</v>
      </c>
      <c r="EL6" s="175"/>
      <c r="EM6" s="176"/>
      <c r="EN6" s="176"/>
      <c r="EO6" s="176"/>
      <c r="EP6" s="176"/>
      <c r="EQ6" s="176"/>
      <c r="ES6" s="176"/>
      <c r="ET6" s="176"/>
      <c r="EU6" s="176"/>
      <c r="EW6" s="176"/>
      <c r="EX6" s="176"/>
      <c r="EY6" s="176"/>
      <c r="FA6" s="176"/>
      <c r="FB6" s="176"/>
      <c r="FC6" s="176"/>
      <c r="FE6" s="176"/>
      <c r="FF6" s="176"/>
      <c r="FG6" s="176"/>
      <c r="FI6" s="176"/>
      <c r="FJ6" s="176"/>
      <c r="FK6" s="176"/>
      <c r="FM6" s="176"/>
      <c r="FN6" s="176"/>
      <c r="FO6" s="176"/>
    </row>
    <row r="7" spans="1:171" s="42" customFormat="1" ht="68.25" customHeight="1" thickBot="1">
      <c r="B7" s="189" t="str">
        <f t="shared" ref="B7:B66" si="5">IF(E7="","",B6+1)</f>
        <v/>
      </c>
      <c r="C7" s="97" t="str">
        <f>BL8</f>
        <v/>
      </c>
      <c r="D7" s="97">
        <f>BM8</f>
        <v>0</v>
      </c>
      <c r="E7" s="43"/>
      <c r="F7" s="179"/>
      <c r="G7" s="180"/>
      <c r="H7" s="181"/>
      <c r="I7" s="181">
        <f t="shared" ref="I7:I66" si="6">SUMIF(AC:AC,AC:AC,AB:AB)</f>
        <v>0</v>
      </c>
      <c r="J7" s="181"/>
      <c r="K7" s="181"/>
      <c r="L7" s="181"/>
      <c r="M7" s="181"/>
      <c r="N7" s="181"/>
      <c r="O7" s="182" t="str">
        <f>IF(E7="","",IF(VLOOKUP(E7,#REF!,12,FALSE)="","",VLOOKUP(E7,#REF!,12,FALSE)))</f>
        <v/>
      </c>
      <c r="P7" s="44"/>
      <c r="Q7" s="45"/>
      <c r="R7" s="46"/>
      <c r="S7" s="47"/>
      <c r="T7" s="47"/>
      <c r="U7" s="47"/>
      <c r="V7" s="47"/>
      <c r="W7" s="47"/>
      <c r="X7" s="47"/>
      <c r="Y7" s="47"/>
      <c r="Z7" s="47"/>
      <c r="AA7" s="45"/>
      <c r="AB7" s="189">
        <f t="shared" si="0"/>
        <v>0</v>
      </c>
      <c r="AC7" s="30" t="str">
        <f t="shared" ref="AC7:AC66" si="7">IF(E7="","",CONCATENATE(J7,"x",K7,"x",L7,"x",M7))</f>
        <v/>
      </c>
      <c r="AD7" s="183" t="str">
        <f t="shared" ref="AD7:AD41" si="8">IF(E7="","",AB7*AP7/1000)</f>
        <v/>
      </c>
      <c r="AE7" s="177" t="str">
        <f t="shared" ref="AE7:AE66" si="9">IFERROR(IF(AND(L7&gt;=$CL$5,L7&lt;=$CM$5),VLOOKUP(ROUNDDOWN(N7,-2),$CL$6:$CM$81,2,FALSE),IF(AND(L7&gt;=$CP$58,L7&lt;=$CQ$5),VLOOKUP(ROUNDDOWN(N7,-2),$CP$6:$CQ$81,2,FALSE),"")),"")</f>
        <v/>
      </c>
      <c r="AF7" s="31" t="str">
        <f t="shared" si="1"/>
        <v/>
      </c>
      <c r="AG7" s="184" t="str">
        <f t="shared" ref="AG7:AG66" si="10">IF(E7="","",AB7/AE7)</f>
        <v/>
      </c>
      <c r="AH7" s="185" t="str">
        <f t="shared" ref="AH7:AH66" si="11">IF(E7="","",AF7+AG7)</f>
        <v/>
      </c>
      <c r="AI7" s="186" t="str">
        <f t="shared" ref="AI7:AI66" si="12">IFERROR(AH7/1440,"")</f>
        <v/>
      </c>
      <c r="AJ7" s="190" t="str">
        <f t="shared" ref="AJ7:AJ66" si="13">AK6</f>
        <v/>
      </c>
      <c r="AK7" s="32" t="str">
        <f t="shared" ref="AK7:AK66" si="14">IFERROR(AI7+AJ7,"")</f>
        <v/>
      </c>
      <c r="AL7" s="187" t="str">
        <f t="shared" ref="AL7:AL66" si="15">IF(E7="","",AB7*60/AH7)</f>
        <v/>
      </c>
      <c r="AM7" s="187" t="str">
        <f t="shared" si="2"/>
        <v/>
      </c>
      <c r="AN7" s="187" t="str">
        <f t="shared" si="3"/>
        <v/>
      </c>
      <c r="AO7" s="187" t="str">
        <f t="shared" si="4"/>
        <v/>
      </c>
      <c r="AP7" s="188" t="str">
        <f>IF(E7="","",VLOOKUP(E7,#REF!,2,FALSE))</f>
        <v/>
      </c>
      <c r="AQ7" s="48"/>
      <c r="AR7" s="48"/>
      <c r="AS7" s="48"/>
      <c r="AT7" s="48"/>
      <c r="AU7" s="137"/>
      <c r="AV7" s="49"/>
      <c r="AW7" s="337"/>
      <c r="AX7" s="339"/>
      <c r="AY7" s="201">
        <f>Q6</f>
        <v>0</v>
      </c>
      <c r="AZ7" s="51"/>
      <c r="BA7" s="51"/>
      <c r="BB7" s="51"/>
      <c r="BC7" s="51"/>
      <c r="BD7" s="52"/>
      <c r="BE7" s="245"/>
      <c r="BF7" s="53" t="str">
        <f>AK6</f>
        <v/>
      </c>
      <c r="BG7" s="54"/>
      <c r="BH7" s="55" t="str">
        <f>IF(BR7=0,"",(((BR7)/((BJ7+BK7)/60))))</f>
        <v/>
      </c>
      <c r="BI7" s="56"/>
      <c r="BJ7" s="233"/>
      <c r="BK7" s="240" t="str">
        <f>IF(BG7="","",((BG7-BG6)*60*24)-(BJ7+BM6+BY6))</f>
        <v/>
      </c>
      <c r="BL7" s="340"/>
      <c r="BM7" s="341"/>
      <c r="BN7" s="342"/>
      <c r="BO7" s="361"/>
      <c r="BP7" s="362"/>
      <c r="BQ7" s="363"/>
      <c r="BR7" s="210">
        <f>Pending!AW2</f>
        <v>0</v>
      </c>
      <c r="BS7" s="341"/>
      <c r="BT7" s="364"/>
      <c r="BU7" s="364"/>
      <c r="BV7" s="364"/>
      <c r="BW7" s="364"/>
      <c r="BX7" s="350"/>
      <c r="BY7" s="352"/>
      <c r="CB7" s="60"/>
      <c r="CF7" s="24"/>
      <c r="CG7" s="24"/>
      <c r="CH7" s="24"/>
      <c r="CL7" s="166">
        <v>300</v>
      </c>
      <c r="CM7" s="161">
        <v>40</v>
      </c>
      <c r="CN7" s="145"/>
      <c r="CO7" s="145"/>
      <c r="CP7" s="160">
        <v>300</v>
      </c>
      <c r="CQ7" s="161">
        <v>40</v>
      </c>
      <c r="EG7" s="24" t="str">
        <f>IFERROR(IF(bgr!CO3=0,"",bgr!CO3),"")</f>
        <v/>
      </c>
      <c r="EH7" s="24" t="str">
        <f>IFERROR(IF(bgr!CP3=0,"",bgr!CP3),"")</f>
        <v/>
      </c>
    </row>
    <row r="8" spans="1:171" s="61" customFormat="1" ht="68.25" customHeight="1" thickBot="1">
      <c r="B8" s="189" t="str">
        <f t="shared" si="5"/>
        <v/>
      </c>
      <c r="C8" s="97" t="str">
        <f>BL10</f>
        <v/>
      </c>
      <c r="D8" s="97">
        <f>BM10</f>
        <v>0</v>
      </c>
      <c r="E8" s="43"/>
      <c r="F8" s="179"/>
      <c r="G8" s="180"/>
      <c r="H8" s="181"/>
      <c r="I8" s="181">
        <f t="shared" si="6"/>
        <v>0</v>
      </c>
      <c r="J8" s="181"/>
      <c r="K8" s="181"/>
      <c r="L8" s="181"/>
      <c r="M8" s="181"/>
      <c r="N8" s="181"/>
      <c r="O8" s="182" t="str">
        <f>IF(E8="","",IF(VLOOKUP(E8,#REF!,12,FALSE)="","",VLOOKUP(E8,#REF!,12,FALSE)))</f>
        <v/>
      </c>
      <c r="P8" s="44"/>
      <c r="Q8" s="45"/>
      <c r="R8" s="46"/>
      <c r="S8" s="47"/>
      <c r="T8" s="47"/>
      <c r="U8" s="47"/>
      <c r="V8" s="47"/>
      <c r="W8" s="47"/>
      <c r="X8" s="47"/>
      <c r="Y8" s="47"/>
      <c r="Z8" s="47"/>
      <c r="AA8" s="45"/>
      <c r="AB8" s="189">
        <f t="shared" si="0"/>
        <v>0</v>
      </c>
      <c r="AC8" s="30" t="str">
        <f t="shared" si="7"/>
        <v/>
      </c>
      <c r="AD8" s="183" t="str">
        <f t="shared" si="8"/>
        <v/>
      </c>
      <c r="AE8" s="177" t="str">
        <f t="shared" si="9"/>
        <v/>
      </c>
      <c r="AF8" s="31" t="str">
        <f t="shared" si="1"/>
        <v/>
      </c>
      <c r="AG8" s="184" t="str">
        <f t="shared" si="10"/>
        <v/>
      </c>
      <c r="AH8" s="185" t="str">
        <f t="shared" si="11"/>
        <v/>
      </c>
      <c r="AI8" s="186" t="str">
        <f t="shared" si="12"/>
        <v/>
      </c>
      <c r="AJ8" s="190" t="str">
        <f t="shared" si="13"/>
        <v/>
      </c>
      <c r="AK8" s="32" t="str">
        <f t="shared" si="14"/>
        <v/>
      </c>
      <c r="AL8" s="187" t="str">
        <f t="shared" si="15"/>
        <v/>
      </c>
      <c r="AM8" s="187" t="str">
        <f t="shared" si="2"/>
        <v/>
      </c>
      <c r="AN8" s="187" t="str">
        <f t="shared" si="3"/>
        <v/>
      </c>
      <c r="AO8" s="187" t="str">
        <f t="shared" si="4"/>
        <v/>
      </c>
      <c r="AP8" s="188" t="str">
        <f>IF(E8="","",VLOOKUP(E8,#REF!,2,FALSE))</f>
        <v/>
      </c>
      <c r="AQ8" s="62" t="s">
        <v>81</v>
      </c>
      <c r="AR8" s="63" t="s">
        <v>82</v>
      </c>
      <c r="AS8" s="64" t="s">
        <v>83</v>
      </c>
      <c r="AT8" s="65" t="s">
        <v>84</v>
      </c>
      <c r="AU8" s="138"/>
      <c r="AV8" s="67"/>
      <c r="AW8" s="353">
        <v>2</v>
      </c>
      <c r="AX8" s="355" t="str">
        <f>CONCATENATE(F7, "-", G7,"-",L7,"x",M7,"x",N7)</f>
        <v>--xx</v>
      </c>
      <c r="AY8" s="202">
        <f>P7</f>
        <v>0</v>
      </c>
      <c r="AZ8" s="69"/>
      <c r="BA8" s="69"/>
      <c r="BB8" s="69"/>
      <c r="BC8" s="69"/>
      <c r="BD8" s="70"/>
      <c r="BE8" s="71" t="str">
        <f>CONCATENATE(R7,"x",S7," - ",T7,"x",U7," - ",V7,"x",W7," - ",X7,"x",Y7," - ",Z7,"x",AA7)</f>
        <v>x - x - x - x - x</v>
      </c>
      <c r="BF8" s="72" t="str">
        <f>AJ7</f>
        <v/>
      </c>
      <c r="BG8" s="73"/>
      <c r="BH8" s="74" t="str">
        <f>AL7</f>
        <v/>
      </c>
      <c r="BI8" s="68" t="str">
        <f>AE7</f>
        <v/>
      </c>
      <c r="BJ8" s="237" t="str">
        <f t="shared" ref="BJ8:BK8" si="16">AF7</f>
        <v/>
      </c>
      <c r="BK8" s="241" t="str">
        <f t="shared" si="16"/>
        <v/>
      </c>
      <c r="BL8" s="356" t="str">
        <f>IF(BG8="","",(BK9+BJ9))</f>
        <v/>
      </c>
      <c r="BM8" s="357"/>
      <c r="BN8" s="358"/>
      <c r="BO8" s="359"/>
      <c r="BP8" s="359"/>
      <c r="BQ8" s="359"/>
      <c r="BR8" s="211">
        <f>AB7</f>
        <v>0</v>
      </c>
      <c r="BS8" s="357">
        <f>IF(BR9=0,0,BR9*AP7)</f>
        <v>0</v>
      </c>
      <c r="BT8" s="360"/>
      <c r="BU8" s="360"/>
      <c r="BV8" s="360"/>
      <c r="BW8" s="360"/>
      <c r="BX8" s="357">
        <f>IF(BR9=0,0,(BR9/BI9)-(BR9/BI8))</f>
        <v>0</v>
      </c>
      <c r="BY8" s="365"/>
      <c r="BZ8" s="75"/>
      <c r="CA8" s="75"/>
      <c r="CB8" s="41" t="s">
        <v>85</v>
      </c>
      <c r="CC8" s="75"/>
      <c r="CF8" s="24"/>
      <c r="CG8" s="24"/>
      <c r="CH8" s="24"/>
      <c r="CL8" s="167">
        <v>400</v>
      </c>
      <c r="CM8" s="163">
        <v>40</v>
      </c>
      <c r="CN8" s="146"/>
      <c r="CO8" s="146"/>
      <c r="CP8" s="162">
        <v>400</v>
      </c>
      <c r="CQ8" s="163">
        <v>40</v>
      </c>
      <c r="EG8" s="24" t="str">
        <f>IFERROR(IF(bgr!CO4=0,"",bgr!CO4),"")</f>
        <v/>
      </c>
      <c r="EH8" s="24" t="str">
        <f>IFERROR(IF(bgr!CP4=0,"",bgr!CP4),"")</f>
        <v/>
      </c>
    </row>
    <row r="9" spans="1:171" ht="68.25" customHeight="1">
      <c r="B9" s="189" t="str">
        <f t="shared" si="5"/>
        <v/>
      </c>
      <c r="C9" s="97" t="str">
        <f>BL12</f>
        <v/>
      </c>
      <c r="D9" s="97">
        <f>BM12</f>
        <v>0</v>
      </c>
      <c r="E9" s="43"/>
      <c r="F9" s="179"/>
      <c r="G9" s="180"/>
      <c r="H9" s="181"/>
      <c r="I9" s="181">
        <f t="shared" si="6"/>
        <v>0</v>
      </c>
      <c r="J9" s="181"/>
      <c r="K9" s="181"/>
      <c r="L9" s="181"/>
      <c r="M9" s="181"/>
      <c r="N9" s="181"/>
      <c r="O9" s="182" t="str">
        <f>IF(E9="","",IF(VLOOKUP(E9,#REF!,12,FALSE)="","",VLOOKUP(E9,#REF!,12,FALSE)))</f>
        <v/>
      </c>
      <c r="P9" s="44"/>
      <c r="Q9" s="45"/>
      <c r="R9" s="46"/>
      <c r="S9" s="47"/>
      <c r="T9" s="47"/>
      <c r="U9" s="47"/>
      <c r="V9" s="47"/>
      <c r="W9" s="47"/>
      <c r="X9" s="47"/>
      <c r="Y9" s="47"/>
      <c r="Z9" s="47"/>
      <c r="AA9" s="45"/>
      <c r="AB9" s="189">
        <f t="shared" si="0"/>
        <v>0</v>
      </c>
      <c r="AC9" s="30" t="str">
        <f t="shared" si="7"/>
        <v/>
      </c>
      <c r="AD9" s="183" t="str">
        <f t="shared" si="8"/>
        <v/>
      </c>
      <c r="AE9" s="177" t="str">
        <f t="shared" si="9"/>
        <v/>
      </c>
      <c r="AF9" s="31" t="str">
        <f t="shared" si="1"/>
        <v/>
      </c>
      <c r="AG9" s="184" t="str">
        <f t="shared" si="10"/>
        <v/>
      </c>
      <c r="AH9" s="185" t="str">
        <f t="shared" si="11"/>
        <v/>
      </c>
      <c r="AI9" s="186" t="str">
        <f t="shared" si="12"/>
        <v/>
      </c>
      <c r="AJ9" s="190" t="str">
        <f t="shared" si="13"/>
        <v/>
      </c>
      <c r="AK9" s="32" t="str">
        <f t="shared" si="14"/>
        <v/>
      </c>
      <c r="AL9" s="187" t="str">
        <f t="shared" si="15"/>
        <v/>
      </c>
      <c r="AM9" s="187" t="str">
        <f t="shared" si="2"/>
        <v/>
      </c>
      <c r="AN9" s="187" t="str">
        <f t="shared" si="3"/>
        <v/>
      </c>
      <c r="AO9" s="187" t="str">
        <f t="shared" si="4"/>
        <v/>
      </c>
      <c r="AP9" s="188" t="str">
        <f>IF(E9="","",VLOOKUP(E9,#REF!,2,FALSE))</f>
        <v/>
      </c>
      <c r="AQ9" s="191"/>
      <c r="AR9" s="192"/>
      <c r="AS9" s="193"/>
      <c r="AT9" s="194"/>
      <c r="AU9" s="138"/>
      <c r="AV9" s="76"/>
      <c r="AW9" s="354"/>
      <c r="AX9" s="355"/>
      <c r="AY9" s="203">
        <f>Q7</f>
        <v>0</v>
      </c>
      <c r="AZ9" s="77"/>
      <c r="BA9" s="77"/>
      <c r="BB9" s="77"/>
      <c r="BC9" s="77"/>
      <c r="BD9" s="52"/>
      <c r="BE9" s="246"/>
      <c r="BF9" s="78" t="str">
        <f>AK7</f>
        <v/>
      </c>
      <c r="BG9" s="79"/>
      <c r="BH9" s="80" t="str">
        <f>IF(BR9=0,"",(((BR9)/((BJ9+BK9)/60))))</f>
        <v/>
      </c>
      <c r="BI9" s="81"/>
      <c r="BJ9" s="234"/>
      <c r="BK9" s="242" t="str">
        <f>IF(BG9="","",((BG9-BG8)*60*24)-(BJ9+BM8+BY8))</f>
        <v/>
      </c>
      <c r="BL9" s="356"/>
      <c r="BM9" s="357"/>
      <c r="BN9" s="358"/>
      <c r="BO9" s="359"/>
      <c r="BP9" s="359"/>
      <c r="BQ9" s="359"/>
      <c r="BR9" s="210">
        <f>Pending!AW3</f>
        <v>0</v>
      </c>
      <c r="BS9" s="357"/>
      <c r="BT9" s="360"/>
      <c r="BU9" s="360"/>
      <c r="BV9" s="360"/>
      <c r="BW9" s="360"/>
      <c r="BX9" s="357"/>
      <c r="BY9" s="366"/>
      <c r="CB9" s="66"/>
      <c r="CD9" s="82"/>
      <c r="CE9" s="82"/>
      <c r="CF9" s="24"/>
      <c r="CG9" s="24"/>
      <c r="CH9" s="24"/>
      <c r="CI9" s="82"/>
      <c r="CJ9" s="82"/>
      <c r="CK9" s="82"/>
      <c r="CL9" s="167">
        <v>500</v>
      </c>
      <c r="CM9" s="163">
        <v>40</v>
      </c>
      <c r="CN9" s="146"/>
      <c r="CO9" s="146"/>
      <c r="CP9" s="162">
        <v>500</v>
      </c>
      <c r="CQ9" s="163">
        <v>40</v>
      </c>
      <c r="CR9" s="82"/>
      <c r="CS9" s="82"/>
      <c r="CT9" s="82"/>
      <c r="CU9" s="82"/>
      <c r="CV9" s="82"/>
      <c r="CW9" s="82"/>
      <c r="CX9" s="82"/>
      <c r="CY9" s="82"/>
      <c r="CZ9" s="82"/>
      <c r="DA9" s="82"/>
      <c r="DB9" s="82"/>
      <c r="DC9" s="82"/>
      <c r="DD9" s="82"/>
      <c r="DE9" s="82"/>
      <c r="DF9" s="82"/>
      <c r="DG9" s="82"/>
      <c r="DH9" s="82"/>
      <c r="DI9" s="82"/>
      <c r="DJ9" s="82"/>
      <c r="DK9" s="82"/>
      <c r="DL9" s="82"/>
      <c r="DM9" s="82"/>
      <c r="DN9" s="82"/>
      <c r="DO9" s="82"/>
      <c r="DP9" s="82"/>
      <c r="DQ9" s="82"/>
      <c r="DR9" s="82"/>
      <c r="DS9" s="82"/>
      <c r="DT9" s="82"/>
      <c r="DU9" s="82"/>
      <c r="DV9" s="82"/>
      <c r="DW9" s="82"/>
      <c r="DX9" s="82"/>
      <c r="DY9" s="82"/>
      <c r="DZ9" s="82"/>
      <c r="EA9" s="82"/>
      <c r="EG9" s="24" t="str">
        <f>IFERROR(IF(bgr!CO5=0,"",bgr!CO5),"")</f>
        <v/>
      </c>
      <c r="EH9" s="24" t="str">
        <f>IFERROR(IF(bgr!CP5=0,"",bgr!CP5),"")</f>
        <v/>
      </c>
    </row>
    <row r="10" spans="1:171" ht="68.25" customHeight="1">
      <c r="B10" s="189" t="str">
        <f t="shared" si="5"/>
        <v/>
      </c>
      <c r="C10" s="97" t="str">
        <f>BL14</f>
        <v/>
      </c>
      <c r="D10" s="97">
        <f>BM14</f>
        <v>0</v>
      </c>
      <c r="E10" s="43"/>
      <c r="F10" s="179"/>
      <c r="G10" s="180"/>
      <c r="H10" s="181"/>
      <c r="I10" s="181">
        <f t="shared" si="6"/>
        <v>0</v>
      </c>
      <c r="J10" s="181"/>
      <c r="K10" s="181"/>
      <c r="L10" s="181"/>
      <c r="M10" s="181"/>
      <c r="N10" s="181"/>
      <c r="O10" s="182" t="str">
        <f>IF(E10="","",IF(VLOOKUP(E10,#REF!,12,FALSE)="","",VLOOKUP(E10,#REF!,12,FALSE)))</f>
        <v/>
      </c>
      <c r="P10" s="44"/>
      <c r="Q10" s="45"/>
      <c r="R10" s="46"/>
      <c r="S10" s="47"/>
      <c r="T10" s="47"/>
      <c r="U10" s="47"/>
      <c r="V10" s="47"/>
      <c r="W10" s="47"/>
      <c r="X10" s="47"/>
      <c r="Y10" s="47"/>
      <c r="Z10" s="47"/>
      <c r="AA10" s="45"/>
      <c r="AB10" s="189">
        <f t="shared" si="0"/>
        <v>0</v>
      </c>
      <c r="AC10" s="30" t="str">
        <f t="shared" si="7"/>
        <v/>
      </c>
      <c r="AD10" s="183" t="str">
        <f t="shared" si="8"/>
        <v/>
      </c>
      <c r="AE10" s="177" t="str">
        <f t="shared" si="9"/>
        <v/>
      </c>
      <c r="AF10" s="31" t="str">
        <f t="shared" si="1"/>
        <v/>
      </c>
      <c r="AG10" s="184" t="str">
        <f t="shared" si="10"/>
        <v/>
      </c>
      <c r="AH10" s="185" t="str">
        <f t="shared" si="11"/>
        <v/>
      </c>
      <c r="AI10" s="186" t="str">
        <f t="shared" si="12"/>
        <v/>
      </c>
      <c r="AJ10" s="190" t="str">
        <f t="shared" si="13"/>
        <v/>
      </c>
      <c r="AK10" s="32" t="str">
        <f t="shared" si="14"/>
        <v/>
      </c>
      <c r="AL10" s="187" t="str">
        <f t="shared" si="15"/>
        <v/>
      </c>
      <c r="AM10" s="187" t="str">
        <f t="shared" si="2"/>
        <v/>
      </c>
      <c r="AN10" s="187" t="str">
        <f t="shared" si="3"/>
        <v/>
      </c>
      <c r="AO10" s="187" t="str">
        <f t="shared" si="4"/>
        <v/>
      </c>
      <c r="AP10" s="188" t="str">
        <f>IF(E10="","",VLOOKUP(E10,#REF!,2,FALSE))</f>
        <v/>
      </c>
      <c r="AQ10" s="191"/>
      <c r="AR10" s="192"/>
      <c r="AS10" s="193"/>
      <c r="AT10" s="194"/>
      <c r="AU10" s="138"/>
      <c r="AV10" s="76"/>
      <c r="AW10" s="367">
        <v>3</v>
      </c>
      <c r="AX10" s="368" t="str">
        <f>CONCATENATE(F8, "-", G8,"-",L8,"x",M8,"x",N8)</f>
        <v>--xx</v>
      </c>
      <c r="AY10" s="204">
        <f>P8</f>
        <v>0</v>
      </c>
      <c r="AZ10" s="84"/>
      <c r="BA10" s="84"/>
      <c r="BB10" s="84"/>
      <c r="BC10" s="84"/>
      <c r="BD10" s="70"/>
      <c r="BE10" s="85" t="str">
        <f>CONCATENATE(R8,"x",S8," - ",T8,"x",U8," - ",V8,"x",W8," - ",X8,"x",Y8," - ",Z8,"x",AA8)</f>
        <v>x - x - x - x - x</v>
      </c>
      <c r="BF10" s="86" t="str">
        <f>AJ8</f>
        <v/>
      </c>
      <c r="BG10" s="87"/>
      <c r="BH10" s="88" t="str">
        <f>AL8</f>
        <v/>
      </c>
      <c r="BI10" s="83" t="str">
        <f>AE8</f>
        <v/>
      </c>
      <c r="BJ10" s="238" t="str">
        <f>AF8</f>
        <v/>
      </c>
      <c r="BK10" s="243" t="str">
        <f>AG8</f>
        <v/>
      </c>
      <c r="BL10" s="369" t="str">
        <f>IF(BG10="","",(BK11+BJ11))</f>
        <v/>
      </c>
      <c r="BM10" s="350"/>
      <c r="BN10" s="370"/>
      <c r="BO10" s="372"/>
      <c r="BP10" s="372"/>
      <c r="BQ10" s="372"/>
      <c r="BR10" s="212">
        <f>AB8</f>
        <v>0</v>
      </c>
      <c r="BS10" s="350">
        <f>IF(BR11=0,0,BR11*AP8)</f>
        <v>0</v>
      </c>
      <c r="BT10" s="373"/>
      <c r="BU10" s="373"/>
      <c r="BV10" s="373"/>
      <c r="BW10" s="373"/>
      <c r="BX10" s="350">
        <f>IF(BR11=0,0,(BR11/BI11)-(BR11/BI10))</f>
        <v>0</v>
      </c>
      <c r="BY10" s="371"/>
      <c r="CB10" s="41" t="s">
        <v>87</v>
      </c>
      <c r="CD10" s="82"/>
      <c r="CE10" s="82"/>
      <c r="CF10" s="24"/>
      <c r="CG10" s="24"/>
      <c r="CH10" s="24"/>
      <c r="CI10" s="82"/>
      <c r="CJ10" s="82"/>
      <c r="CK10" s="82"/>
      <c r="CL10" s="167">
        <v>600</v>
      </c>
      <c r="CM10" s="163">
        <v>40</v>
      </c>
      <c r="CN10" s="147"/>
      <c r="CO10" s="147"/>
      <c r="CP10" s="162">
        <v>600</v>
      </c>
      <c r="CQ10" s="163">
        <v>40</v>
      </c>
      <c r="CR10" s="82"/>
      <c r="CS10" s="82"/>
      <c r="CT10" s="82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2"/>
      <c r="DG10" s="82"/>
      <c r="DH10" s="82"/>
      <c r="DI10" s="82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2"/>
      <c r="DZ10" s="82"/>
      <c r="EA10" s="82"/>
      <c r="EG10" s="24" t="str">
        <f>IFERROR(IF(bgr!CO6=0,"",bgr!CO6),"")</f>
        <v/>
      </c>
      <c r="EH10" s="24" t="str">
        <f>IFERROR(IF(bgr!CP6=0,"",bgr!CP6),"")</f>
        <v/>
      </c>
    </row>
    <row r="11" spans="1:171" s="207" customFormat="1" ht="68.25" customHeight="1">
      <c r="A11" s="1"/>
      <c r="B11" s="189" t="str">
        <f t="shared" si="5"/>
        <v/>
      </c>
      <c r="C11" s="97" t="str">
        <f>BL16</f>
        <v/>
      </c>
      <c r="D11" s="97">
        <f>BM16</f>
        <v>0</v>
      </c>
      <c r="E11" s="43"/>
      <c r="F11" s="179"/>
      <c r="G11" s="180"/>
      <c r="H11" s="181"/>
      <c r="I11" s="181">
        <f t="shared" si="6"/>
        <v>0</v>
      </c>
      <c r="J11" s="181"/>
      <c r="K11" s="181"/>
      <c r="L11" s="181"/>
      <c r="M11" s="181"/>
      <c r="N11" s="181"/>
      <c r="O11" s="182" t="str">
        <f>IF(E11="","",IF(VLOOKUP(E11,#REF!,12,FALSE)="","",VLOOKUP(E11,#REF!,12,FALSE)))</f>
        <v/>
      </c>
      <c r="P11" s="44"/>
      <c r="Q11" s="45"/>
      <c r="R11" s="46"/>
      <c r="S11" s="47"/>
      <c r="T11" s="47"/>
      <c r="U11" s="47"/>
      <c r="V11" s="47"/>
      <c r="W11" s="47"/>
      <c r="X11" s="47"/>
      <c r="Y11" s="47"/>
      <c r="Z11" s="47"/>
      <c r="AA11" s="45"/>
      <c r="AB11" s="189">
        <f t="shared" si="0"/>
        <v>0</v>
      </c>
      <c r="AC11" s="30" t="str">
        <f t="shared" si="7"/>
        <v/>
      </c>
      <c r="AD11" s="183" t="str">
        <f t="shared" si="8"/>
        <v/>
      </c>
      <c r="AE11" s="177" t="str">
        <f t="shared" si="9"/>
        <v/>
      </c>
      <c r="AF11" s="31" t="str">
        <f t="shared" si="1"/>
        <v/>
      </c>
      <c r="AG11" s="184" t="str">
        <f t="shared" si="10"/>
        <v/>
      </c>
      <c r="AH11" s="185" t="str">
        <f t="shared" si="11"/>
        <v/>
      </c>
      <c r="AI11" s="186" t="str">
        <f t="shared" si="12"/>
        <v/>
      </c>
      <c r="AJ11" s="190" t="str">
        <f t="shared" si="13"/>
        <v/>
      </c>
      <c r="AK11" s="32" t="str">
        <f t="shared" si="14"/>
        <v/>
      </c>
      <c r="AL11" s="187" t="str">
        <f t="shared" si="15"/>
        <v/>
      </c>
      <c r="AM11" s="187" t="str">
        <f t="shared" si="2"/>
        <v/>
      </c>
      <c r="AN11" s="187" t="str">
        <f t="shared" si="3"/>
        <v/>
      </c>
      <c r="AO11" s="187" t="str">
        <f t="shared" si="4"/>
        <v/>
      </c>
      <c r="AP11" s="188" t="str">
        <f>IF(E11="","",VLOOKUP(E11,#REF!,2,FALSE))</f>
        <v/>
      </c>
      <c r="AQ11" s="191"/>
      <c r="AR11" s="192"/>
      <c r="AS11" s="193"/>
      <c r="AT11" s="194"/>
      <c r="AU11" s="138"/>
      <c r="AV11" s="76"/>
      <c r="AW11" s="337"/>
      <c r="AX11" s="368"/>
      <c r="AY11" s="201">
        <f>Q8</f>
        <v>0</v>
      </c>
      <c r="AZ11" s="89"/>
      <c r="BA11" s="89"/>
      <c r="BB11" s="89"/>
      <c r="BC11" s="89"/>
      <c r="BD11" s="90"/>
      <c r="BE11" s="246"/>
      <c r="BF11" s="91" t="str">
        <f>AK8</f>
        <v/>
      </c>
      <c r="BG11" s="92"/>
      <c r="BH11" s="55" t="str">
        <f>IF(BR11=0,"",(((BR11)/((BJ11+BK11)/60))))</f>
        <v/>
      </c>
      <c r="BI11" s="59"/>
      <c r="BJ11" s="233"/>
      <c r="BK11" s="240" t="str">
        <f>IF(BG11="","",((BG11-BG10)*60*24)-(BJ11+BM10+BY10))</f>
        <v/>
      </c>
      <c r="BL11" s="369"/>
      <c r="BM11" s="350"/>
      <c r="BN11" s="370"/>
      <c r="BO11" s="372"/>
      <c r="BP11" s="372"/>
      <c r="BQ11" s="372"/>
      <c r="BR11" s="210">
        <f>Pending!AW4</f>
        <v>0</v>
      </c>
      <c r="BS11" s="350"/>
      <c r="BT11" s="373"/>
      <c r="BU11" s="373"/>
      <c r="BV11" s="373"/>
      <c r="BW11" s="373"/>
      <c r="BX11" s="350"/>
      <c r="BY11" s="352"/>
      <c r="BZ11" s="1"/>
      <c r="CA11" s="1"/>
      <c r="CB11" s="93"/>
      <c r="CC11" s="1"/>
      <c r="CD11" s="1"/>
      <c r="CE11" s="82"/>
      <c r="CF11" s="24"/>
      <c r="CG11" s="24"/>
      <c r="CH11" s="24"/>
      <c r="CI11" s="82"/>
      <c r="CJ11" s="82"/>
      <c r="CK11" s="82"/>
      <c r="CL11" s="167">
        <v>700</v>
      </c>
      <c r="CM11" s="163">
        <v>40</v>
      </c>
      <c r="CN11" s="147"/>
      <c r="CO11" s="147"/>
      <c r="CP11" s="162">
        <v>700</v>
      </c>
      <c r="CQ11" s="163">
        <v>37</v>
      </c>
      <c r="CR11" s="82"/>
      <c r="CS11" s="82"/>
      <c r="CT11" s="82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2"/>
      <c r="DG11" s="82"/>
      <c r="DH11" s="82"/>
      <c r="DI11" s="82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2"/>
      <c r="DZ11" s="82"/>
      <c r="EA11" s="82"/>
      <c r="EG11" s="24" t="str">
        <f>IFERROR(IF(bgr!CO7=0,"",bgr!CO7),"")</f>
        <v/>
      </c>
      <c r="EH11" s="24" t="str">
        <f>IFERROR(IF(bgr!CP7=0,"",bgr!CP7),"")</f>
        <v/>
      </c>
    </row>
    <row r="12" spans="1:171" ht="68.25" customHeight="1">
      <c r="B12" s="189" t="str">
        <f t="shared" si="5"/>
        <v/>
      </c>
      <c r="C12" s="97" t="str">
        <f>BL18</f>
        <v/>
      </c>
      <c r="D12" s="97">
        <f>BM18</f>
        <v>0</v>
      </c>
      <c r="E12" s="43"/>
      <c r="F12" s="179"/>
      <c r="G12" s="180"/>
      <c r="H12" s="181"/>
      <c r="I12" s="181">
        <f t="shared" si="6"/>
        <v>0</v>
      </c>
      <c r="J12" s="181"/>
      <c r="K12" s="181"/>
      <c r="L12" s="181"/>
      <c r="M12" s="181"/>
      <c r="N12" s="181"/>
      <c r="O12" s="182" t="str">
        <f>IF(E12="","",IF(VLOOKUP(E12,#REF!,12,FALSE)="","",VLOOKUP(E12,#REF!,12,FALSE)))</f>
        <v/>
      </c>
      <c r="P12" s="44"/>
      <c r="Q12" s="45"/>
      <c r="R12" s="46"/>
      <c r="S12" s="47"/>
      <c r="T12" s="47"/>
      <c r="U12" s="47"/>
      <c r="V12" s="47"/>
      <c r="W12" s="47"/>
      <c r="X12" s="47"/>
      <c r="Y12" s="47"/>
      <c r="Z12" s="47"/>
      <c r="AA12" s="45"/>
      <c r="AB12" s="189">
        <f t="shared" si="0"/>
        <v>0</v>
      </c>
      <c r="AC12" s="30" t="str">
        <f t="shared" si="7"/>
        <v/>
      </c>
      <c r="AD12" s="183" t="str">
        <f t="shared" si="8"/>
        <v/>
      </c>
      <c r="AE12" s="177" t="str">
        <f t="shared" si="9"/>
        <v/>
      </c>
      <c r="AF12" s="31" t="str">
        <f t="shared" si="1"/>
        <v/>
      </c>
      <c r="AG12" s="184" t="str">
        <f t="shared" si="10"/>
        <v/>
      </c>
      <c r="AH12" s="185" t="str">
        <f t="shared" si="11"/>
        <v/>
      </c>
      <c r="AI12" s="186" t="str">
        <f t="shared" si="12"/>
        <v/>
      </c>
      <c r="AJ12" s="190" t="str">
        <f t="shared" si="13"/>
        <v/>
      </c>
      <c r="AK12" s="32" t="str">
        <f t="shared" si="14"/>
        <v/>
      </c>
      <c r="AL12" s="187" t="str">
        <f t="shared" si="15"/>
        <v/>
      </c>
      <c r="AM12" s="187" t="str">
        <f t="shared" si="2"/>
        <v/>
      </c>
      <c r="AN12" s="187" t="str">
        <f t="shared" si="3"/>
        <v/>
      </c>
      <c r="AO12" s="187" t="str">
        <f t="shared" si="4"/>
        <v/>
      </c>
      <c r="AP12" s="188" t="str">
        <f>IF(E12="","",VLOOKUP(E12,#REF!,2,FALSE))</f>
        <v/>
      </c>
      <c r="AQ12" s="191"/>
      <c r="AR12" s="192"/>
      <c r="AS12" s="193"/>
      <c r="AT12" s="194"/>
      <c r="AU12" s="138"/>
      <c r="AV12" s="76"/>
      <c r="AW12" s="353">
        <v>4</v>
      </c>
      <c r="AX12" s="355" t="str">
        <f>CONCATENATE(F9, "-", G9,"-",L9,"x",M9,"x",N9)</f>
        <v>--xx</v>
      </c>
      <c r="AY12" s="202">
        <f>P9</f>
        <v>0</v>
      </c>
      <c r="AZ12" s="69"/>
      <c r="BA12" s="69"/>
      <c r="BB12" s="69"/>
      <c r="BC12" s="69"/>
      <c r="BD12" s="70"/>
      <c r="BE12" s="71" t="str">
        <f>CONCATENATE(R9,"x",S9," - ",T9,"x",U9," - ",V9,"x",W9," - ",X9,"x",Y9," - ",Z9,"x",AA9)</f>
        <v>x - x - x - x - x</v>
      </c>
      <c r="BF12" s="72" t="str">
        <f>AJ9</f>
        <v/>
      </c>
      <c r="BG12" s="73"/>
      <c r="BH12" s="74" t="str">
        <f>AL9</f>
        <v/>
      </c>
      <c r="BI12" s="68" t="str">
        <f>AE9</f>
        <v/>
      </c>
      <c r="BJ12" s="237" t="str">
        <f>AF9</f>
        <v/>
      </c>
      <c r="BK12" s="241" t="str">
        <f>AG9</f>
        <v/>
      </c>
      <c r="BL12" s="356" t="str">
        <f>IF(BG12="","",(BK13+BJ13))</f>
        <v/>
      </c>
      <c r="BM12" s="357"/>
      <c r="BN12" s="358"/>
      <c r="BO12" s="359"/>
      <c r="BP12" s="359"/>
      <c r="BQ12" s="359"/>
      <c r="BR12" s="211">
        <f>AB9</f>
        <v>0</v>
      </c>
      <c r="BS12" s="357">
        <f>IF(BR13=0,0,BR13*AP9)</f>
        <v>0</v>
      </c>
      <c r="BT12" s="360"/>
      <c r="BU12" s="360"/>
      <c r="BV12" s="360"/>
      <c r="BW12" s="360"/>
      <c r="BX12" s="357">
        <f>IF(BR13=0,0,(BR13/BI13)-(BR13/BI12))</f>
        <v>0</v>
      </c>
      <c r="BY12" s="365"/>
      <c r="CB12" s="41" t="s">
        <v>88</v>
      </c>
      <c r="CF12" s="24"/>
      <c r="CG12" s="24"/>
      <c r="CH12" s="24"/>
      <c r="CL12" s="167">
        <v>800</v>
      </c>
      <c r="CM12" s="163">
        <v>40</v>
      </c>
      <c r="CN12" s="147"/>
      <c r="CO12" s="147"/>
      <c r="CP12" s="162">
        <v>800</v>
      </c>
      <c r="CQ12" s="163">
        <v>33</v>
      </c>
      <c r="EG12" s="24" t="str">
        <f>IFERROR(IF(bgr!CO8=0,"",bgr!CO8),"")</f>
        <v/>
      </c>
      <c r="EH12" s="24" t="str">
        <f>IFERROR(IF(bgr!CP8=0,"",bgr!CP8),"")</f>
        <v/>
      </c>
    </row>
    <row r="13" spans="1:171" ht="68.25" customHeight="1">
      <c r="B13" s="189" t="str">
        <f t="shared" si="5"/>
        <v/>
      </c>
      <c r="C13" s="97" t="str">
        <f>BL20</f>
        <v/>
      </c>
      <c r="D13" s="97">
        <f>BM20</f>
        <v>0</v>
      </c>
      <c r="E13" s="43"/>
      <c r="F13" s="179"/>
      <c r="G13" s="180"/>
      <c r="H13" s="181"/>
      <c r="I13" s="181">
        <f t="shared" si="6"/>
        <v>0</v>
      </c>
      <c r="J13" s="181"/>
      <c r="K13" s="181"/>
      <c r="L13" s="181"/>
      <c r="M13" s="181"/>
      <c r="N13" s="181"/>
      <c r="O13" s="182" t="str">
        <f>IF(E13="","",IF(VLOOKUP(E13,#REF!,12,FALSE)="","",VLOOKUP(E13,#REF!,12,FALSE)))</f>
        <v/>
      </c>
      <c r="P13" s="44"/>
      <c r="Q13" s="45"/>
      <c r="R13" s="46"/>
      <c r="S13" s="47"/>
      <c r="T13" s="47"/>
      <c r="U13" s="47"/>
      <c r="V13" s="47"/>
      <c r="W13" s="47"/>
      <c r="X13" s="47"/>
      <c r="Y13" s="47"/>
      <c r="Z13" s="47"/>
      <c r="AA13" s="45"/>
      <c r="AB13" s="189">
        <f t="shared" si="0"/>
        <v>0</v>
      </c>
      <c r="AC13" s="30" t="str">
        <f t="shared" si="7"/>
        <v/>
      </c>
      <c r="AD13" s="183" t="str">
        <f t="shared" si="8"/>
        <v/>
      </c>
      <c r="AE13" s="177" t="str">
        <f t="shared" si="9"/>
        <v/>
      </c>
      <c r="AF13" s="31" t="str">
        <f t="shared" si="1"/>
        <v/>
      </c>
      <c r="AG13" s="184" t="str">
        <f t="shared" si="10"/>
        <v/>
      </c>
      <c r="AH13" s="185" t="str">
        <f t="shared" si="11"/>
        <v/>
      </c>
      <c r="AI13" s="186" t="str">
        <f t="shared" si="12"/>
        <v/>
      </c>
      <c r="AJ13" s="190" t="str">
        <f t="shared" si="13"/>
        <v/>
      </c>
      <c r="AK13" s="32" t="str">
        <f t="shared" si="14"/>
        <v/>
      </c>
      <c r="AL13" s="187" t="str">
        <f t="shared" si="15"/>
        <v/>
      </c>
      <c r="AM13" s="187" t="str">
        <f t="shared" si="2"/>
        <v/>
      </c>
      <c r="AN13" s="187" t="str">
        <f t="shared" si="3"/>
        <v/>
      </c>
      <c r="AO13" s="187" t="str">
        <f t="shared" si="4"/>
        <v/>
      </c>
      <c r="AP13" s="188" t="str">
        <f>IF(E13="","",VLOOKUP(E13,#REF!,2,FALSE))</f>
        <v/>
      </c>
      <c r="AQ13" s="191"/>
      <c r="AR13" s="192"/>
      <c r="AS13" s="193"/>
      <c r="AT13" s="194"/>
      <c r="AU13" s="138"/>
      <c r="AV13" s="76"/>
      <c r="AW13" s="354"/>
      <c r="AX13" s="355"/>
      <c r="AY13" s="203">
        <f>Q9</f>
        <v>0</v>
      </c>
      <c r="AZ13" s="77"/>
      <c r="BA13" s="77"/>
      <c r="BB13" s="77"/>
      <c r="BC13" s="77"/>
      <c r="BD13" s="52"/>
      <c r="BE13" s="246"/>
      <c r="BF13" s="78" t="str">
        <f>AK9</f>
        <v/>
      </c>
      <c r="BG13" s="79"/>
      <c r="BH13" s="80" t="str">
        <f>IF(BR13=0,"",(((BR13)/((BJ13+BK13)/60))))</f>
        <v/>
      </c>
      <c r="BI13" s="81"/>
      <c r="BJ13" s="234"/>
      <c r="BK13" s="242" t="str">
        <f>IF(BG13="","",((BG13-BG12)*60*24)-(BJ13+BM12+BY12))</f>
        <v/>
      </c>
      <c r="BL13" s="356"/>
      <c r="BM13" s="357"/>
      <c r="BN13" s="358"/>
      <c r="BO13" s="359"/>
      <c r="BP13" s="359"/>
      <c r="BQ13" s="359"/>
      <c r="BR13" s="210">
        <f>Pending!AW5</f>
        <v>0</v>
      </c>
      <c r="BS13" s="357"/>
      <c r="BT13" s="360"/>
      <c r="BU13" s="360"/>
      <c r="BV13" s="360"/>
      <c r="BW13" s="360"/>
      <c r="BX13" s="357"/>
      <c r="BY13" s="366"/>
      <c r="CB13" s="94"/>
      <c r="CF13" s="24"/>
      <c r="CG13" s="24"/>
      <c r="CH13" s="24"/>
      <c r="CL13" s="167">
        <v>900</v>
      </c>
      <c r="CM13" s="163">
        <v>40</v>
      </c>
      <c r="CP13" s="162">
        <v>900</v>
      </c>
      <c r="CQ13" s="163">
        <v>31</v>
      </c>
      <c r="EG13" s="24" t="str">
        <f>IFERROR(IF(bgr!CO9=0,"",bgr!CO9),"")</f>
        <v/>
      </c>
      <c r="EH13" s="24" t="str">
        <f>IFERROR(IF(bgr!CP9=0,"",bgr!CP9),"")</f>
        <v/>
      </c>
    </row>
    <row r="14" spans="1:171" ht="68.25" customHeight="1">
      <c r="B14" s="189" t="str">
        <f t="shared" si="5"/>
        <v/>
      </c>
      <c r="C14" s="97" t="str">
        <f>BL22</f>
        <v/>
      </c>
      <c r="D14" s="97">
        <f>BM22</f>
        <v>0</v>
      </c>
      <c r="E14" s="43"/>
      <c r="F14" s="179"/>
      <c r="G14" s="180"/>
      <c r="H14" s="181"/>
      <c r="I14" s="181">
        <f t="shared" si="6"/>
        <v>0</v>
      </c>
      <c r="J14" s="181"/>
      <c r="K14" s="181"/>
      <c r="L14" s="181"/>
      <c r="M14" s="181"/>
      <c r="N14" s="181"/>
      <c r="O14" s="182" t="str">
        <f>IF(E14="","",IF(VLOOKUP(E14,#REF!,12,FALSE)="","",VLOOKUP(E14,#REF!,12,FALSE)))</f>
        <v/>
      </c>
      <c r="P14" s="44"/>
      <c r="Q14" s="45"/>
      <c r="R14" s="46"/>
      <c r="S14" s="47"/>
      <c r="T14" s="47"/>
      <c r="U14" s="47"/>
      <c r="V14" s="47"/>
      <c r="W14" s="47"/>
      <c r="X14" s="43"/>
      <c r="Y14" s="47"/>
      <c r="Z14" s="47"/>
      <c r="AA14" s="45"/>
      <c r="AB14" s="189">
        <f t="shared" si="0"/>
        <v>0</v>
      </c>
      <c r="AC14" s="30" t="str">
        <f t="shared" si="7"/>
        <v/>
      </c>
      <c r="AD14" s="183" t="str">
        <f t="shared" si="8"/>
        <v/>
      </c>
      <c r="AE14" s="177" t="str">
        <f t="shared" si="9"/>
        <v/>
      </c>
      <c r="AF14" s="31" t="str">
        <f t="shared" si="1"/>
        <v/>
      </c>
      <c r="AG14" s="184" t="str">
        <f t="shared" si="10"/>
        <v/>
      </c>
      <c r="AH14" s="185" t="str">
        <f t="shared" si="11"/>
        <v/>
      </c>
      <c r="AI14" s="186" t="str">
        <f t="shared" si="12"/>
        <v/>
      </c>
      <c r="AJ14" s="190" t="str">
        <f t="shared" si="13"/>
        <v/>
      </c>
      <c r="AK14" s="32" t="str">
        <f t="shared" si="14"/>
        <v/>
      </c>
      <c r="AL14" s="187" t="str">
        <f t="shared" si="15"/>
        <v/>
      </c>
      <c r="AM14" s="187" t="str">
        <f t="shared" si="2"/>
        <v/>
      </c>
      <c r="AN14" s="187" t="str">
        <f t="shared" si="3"/>
        <v/>
      </c>
      <c r="AO14" s="187" t="str">
        <f t="shared" si="4"/>
        <v/>
      </c>
      <c r="AP14" s="188" t="str">
        <f>IF(E14="","",VLOOKUP(E14,#REF!,2,FALSE))</f>
        <v/>
      </c>
      <c r="AQ14" s="191"/>
      <c r="AR14" s="192"/>
      <c r="AS14" s="193"/>
      <c r="AT14" s="194"/>
      <c r="AU14" s="138"/>
      <c r="AV14" s="76"/>
      <c r="AW14" s="367">
        <v>5</v>
      </c>
      <c r="AX14" s="368" t="str">
        <f>CONCATENATE(F10, "-", G10,"-",L10,"x",M10,"x",N10)</f>
        <v>--xx</v>
      </c>
      <c r="AY14" s="204">
        <f>P10</f>
        <v>0</v>
      </c>
      <c r="AZ14" s="84"/>
      <c r="BA14" s="84"/>
      <c r="BB14" s="84"/>
      <c r="BC14" s="84"/>
      <c r="BD14" s="70"/>
      <c r="BE14" s="85" t="str">
        <f>CONCATENATE(R10,"x",S10," - ",T10,"x",U10," - ",V10,"x",W10," - ",X10,"x",Y10," - ",Z10,"x",AA10)</f>
        <v>x - x - x - x - x</v>
      </c>
      <c r="BF14" s="86" t="str">
        <f>AJ10</f>
        <v/>
      </c>
      <c r="BG14" s="87"/>
      <c r="BH14" s="88" t="str">
        <f>AL10</f>
        <v/>
      </c>
      <c r="BI14" s="83" t="str">
        <f>AE10</f>
        <v/>
      </c>
      <c r="BJ14" s="238" t="str">
        <f t="shared" ref="BJ14:BK14" si="17">AF10</f>
        <v/>
      </c>
      <c r="BK14" s="243" t="str">
        <f t="shared" si="17"/>
        <v/>
      </c>
      <c r="BL14" s="369" t="str">
        <f>IF(BG14="","",(BK15+BJ15))</f>
        <v/>
      </c>
      <c r="BM14" s="350"/>
      <c r="BN14" s="370"/>
      <c r="BO14" s="372"/>
      <c r="BP14" s="372"/>
      <c r="BQ14" s="372"/>
      <c r="BR14" s="212">
        <f>AB10</f>
        <v>0</v>
      </c>
      <c r="BS14" s="350">
        <f>IF(BR15=0,0,BR15*AP10)</f>
        <v>0</v>
      </c>
      <c r="BT14" s="373"/>
      <c r="BU14" s="373"/>
      <c r="BV14" s="373"/>
      <c r="BW14" s="373"/>
      <c r="BX14" s="350">
        <f>IF(BR15=0,0,(BR15/BI15)-(BR15/BI14))</f>
        <v>0</v>
      </c>
      <c r="BY14" s="371"/>
      <c r="CB14" s="41" t="s">
        <v>89</v>
      </c>
      <c r="CF14" s="24"/>
      <c r="CG14" s="24"/>
      <c r="CH14" s="24"/>
      <c r="CL14" s="167">
        <v>1000</v>
      </c>
      <c r="CM14" s="163">
        <v>37</v>
      </c>
      <c r="CP14" s="162">
        <v>1000</v>
      </c>
      <c r="CQ14" s="163">
        <v>28</v>
      </c>
      <c r="EG14" s="24" t="str">
        <f>IFERROR(IF(bgr!CO10=0,"",bgr!CO10),"")</f>
        <v/>
      </c>
      <c r="EH14" s="24" t="str">
        <f>IFERROR(IF(bgr!CP10=0,"",bgr!CP10),"")</f>
        <v/>
      </c>
    </row>
    <row r="15" spans="1:171" ht="68.25" customHeight="1">
      <c r="B15" s="189" t="str">
        <f t="shared" si="5"/>
        <v/>
      </c>
      <c r="C15" s="97" t="str">
        <f>BL24</f>
        <v/>
      </c>
      <c r="D15" s="97">
        <f>BM24</f>
        <v>0</v>
      </c>
      <c r="E15" s="43"/>
      <c r="F15" s="179"/>
      <c r="G15" s="180"/>
      <c r="H15" s="181"/>
      <c r="I15" s="181">
        <f t="shared" si="6"/>
        <v>0</v>
      </c>
      <c r="J15" s="181"/>
      <c r="K15" s="181"/>
      <c r="L15" s="181"/>
      <c r="M15" s="181"/>
      <c r="N15" s="181"/>
      <c r="O15" s="182" t="str">
        <f>IF(E15="","",IF(VLOOKUP(E15,#REF!,12,FALSE)="","",VLOOKUP(E15,#REF!,12,FALSE)))</f>
        <v/>
      </c>
      <c r="P15" s="44"/>
      <c r="Q15" s="45"/>
      <c r="R15" s="46"/>
      <c r="S15" s="47"/>
      <c r="T15" s="47"/>
      <c r="U15" s="47"/>
      <c r="V15" s="47"/>
      <c r="W15" s="47"/>
      <c r="X15" s="43"/>
      <c r="Y15" s="47"/>
      <c r="Z15" s="47"/>
      <c r="AA15" s="45"/>
      <c r="AB15" s="189">
        <f t="shared" si="0"/>
        <v>0</v>
      </c>
      <c r="AC15" s="30" t="str">
        <f t="shared" si="7"/>
        <v/>
      </c>
      <c r="AD15" s="183" t="str">
        <f t="shared" si="8"/>
        <v/>
      </c>
      <c r="AE15" s="177" t="str">
        <f t="shared" si="9"/>
        <v/>
      </c>
      <c r="AF15" s="31" t="str">
        <f t="shared" si="1"/>
        <v/>
      </c>
      <c r="AG15" s="184" t="str">
        <f t="shared" si="10"/>
        <v/>
      </c>
      <c r="AH15" s="185" t="str">
        <f t="shared" si="11"/>
        <v/>
      </c>
      <c r="AI15" s="186" t="str">
        <f t="shared" si="12"/>
        <v/>
      </c>
      <c r="AJ15" s="190" t="str">
        <f t="shared" si="13"/>
        <v/>
      </c>
      <c r="AK15" s="32" t="str">
        <f t="shared" si="14"/>
        <v/>
      </c>
      <c r="AL15" s="187" t="str">
        <f t="shared" si="15"/>
        <v/>
      </c>
      <c r="AM15" s="187" t="str">
        <f t="shared" si="2"/>
        <v/>
      </c>
      <c r="AN15" s="187" t="str">
        <f t="shared" si="3"/>
        <v/>
      </c>
      <c r="AO15" s="187" t="str">
        <f t="shared" si="4"/>
        <v/>
      </c>
      <c r="AP15" s="188" t="str">
        <f>IF(E15="","",VLOOKUP(E15,#REF!,2,FALSE))</f>
        <v/>
      </c>
      <c r="AQ15" s="191"/>
      <c r="AR15" s="192"/>
      <c r="AS15" s="193"/>
      <c r="AT15" s="194"/>
      <c r="AU15" s="138"/>
      <c r="AV15" s="76"/>
      <c r="AW15" s="336"/>
      <c r="AX15" s="368"/>
      <c r="AY15" s="201">
        <f>Q10</f>
        <v>0</v>
      </c>
      <c r="AZ15" s="51"/>
      <c r="BA15" s="51"/>
      <c r="BB15" s="51"/>
      <c r="BC15" s="51"/>
      <c r="BD15" s="52"/>
      <c r="BE15" s="247"/>
      <c r="BF15" s="53" t="str">
        <f>AK10</f>
        <v/>
      </c>
      <c r="BG15" s="54"/>
      <c r="BH15" s="55" t="str">
        <f>IF(BR15=0,"",(((BR15)/((BJ15+BK15)/60))))</f>
        <v/>
      </c>
      <c r="BI15" s="56"/>
      <c r="BJ15" s="233"/>
      <c r="BK15" s="240" t="str">
        <f>IF(BG15="","",((BG15-BG14)*60*24)-(BJ15+BM14+BY14))</f>
        <v/>
      </c>
      <c r="BL15" s="369"/>
      <c r="BM15" s="350"/>
      <c r="BN15" s="370"/>
      <c r="BO15" s="372"/>
      <c r="BP15" s="372"/>
      <c r="BQ15" s="372"/>
      <c r="BR15" s="210">
        <f>Pending!AW6</f>
        <v>0</v>
      </c>
      <c r="BS15" s="350"/>
      <c r="BT15" s="373"/>
      <c r="BU15" s="373"/>
      <c r="BV15" s="373"/>
      <c r="BW15" s="373"/>
      <c r="BX15" s="350"/>
      <c r="BY15" s="352"/>
      <c r="CB15" s="94"/>
      <c r="CF15" s="24"/>
      <c r="CG15" s="24"/>
      <c r="CH15" s="24"/>
      <c r="CL15" s="167">
        <v>1100</v>
      </c>
      <c r="CM15" s="163">
        <v>35</v>
      </c>
      <c r="CP15" s="162">
        <v>1100</v>
      </c>
      <c r="CQ15" s="163">
        <v>26</v>
      </c>
      <c r="EG15" s="24" t="str">
        <f>IFERROR(IF(bgr!CO11=0,"",bgr!CO11),"")</f>
        <v/>
      </c>
      <c r="EH15" s="24" t="str">
        <f>IFERROR(IF(bgr!CP11=0,"",bgr!CP11),"")</f>
        <v/>
      </c>
    </row>
    <row r="16" spans="1:171" ht="68.25" customHeight="1">
      <c r="B16" s="189" t="str">
        <f t="shared" si="5"/>
        <v/>
      </c>
      <c r="C16" s="97" t="str">
        <f>BL26</f>
        <v/>
      </c>
      <c r="D16" s="97">
        <f>BM26</f>
        <v>0</v>
      </c>
      <c r="E16" s="43"/>
      <c r="F16" s="179"/>
      <c r="G16" s="180"/>
      <c r="H16" s="181"/>
      <c r="I16" s="181">
        <f t="shared" si="6"/>
        <v>0</v>
      </c>
      <c r="J16" s="181"/>
      <c r="K16" s="181"/>
      <c r="L16" s="181"/>
      <c r="M16" s="181"/>
      <c r="N16" s="181"/>
      <c r="O16" s="182" t="str">
        <f>IF(E16="","",IF(VLOOKUP(E16,#REF!,12,FALSE)="","",VLOOKUP(E16,#REF!,12,FALSE)))</f>
        <v/>
      </c>
      <c r="P16" s="44"/>
      <c r="Q16" s="45"/>
      <c r="R16" s="46"/>
      <c r="S16" s="47"/>
      <c r="T16" s="47"/>
      <c r="U16" s="47"/>
      <c r="V16" s="47"/>
      <c r="W16" s="47"/>
      <c r="X16" s="43"/>
      <c r="Y16" s="47"/>
      <c r="Z16" s="47"/>
      <c r="AA16" s="45"/>
      <c r="AB16" s="189">
        <f t="shared" si="0"/>
        <v>0</v>
      </c>
      <c r="AC16" s="30" t="str">
        <f t="shared" si="7"/>
        <v/>
      </c>
      <c r="AD16" s="183" t="str">
        <f t="shared" si="8"/>
        <v/>
      </c>
      <c r="AE16" s="177" t="str">
        <f t="shared" si="9"/>
        <v/>
      </c>
      <c r="AF16" s="31" t="str">
        <f t="shared" si="1"/>
        <v/>
      </c>
      <c r="AG16" s="184" t="str">
        <f t="shared" si="10"/>
        <v/>
      </c>
      <c r="AH16" s="185" t="str">
        <f t="shared" si="11"/>
        <v/>
      </c>
      <c r="AI16" s="186" t="str">
        <f t="shared" si="12"/>
        <v/>
      </c>
      <c r="AJ16" s="190" t="str">
        <f t="shared" si="13"/>
        <v/>
      </c>
      <c r="AK16" s="32" t="str">
        <f t="shared" si="14"/>
        <v/>
      </c>
      <c r="AL16" s="187" t="str">
        <f t="shared" si="15"/>
        <v/>
      </c>
      <c r="AM16" s="187" t="str">
        <f t="shared" si="2"/>
        <v/>
      </c>
      <c r="AN16" s="187" t="str">
        <f t="shared" si="3"/>
        <v/>
      </c>
      <c r="AO16" s="187" t="str">
        <f t="shared" si="4"/>
        <v/>
      </c>
      <c r="AP16" s="188" t="str">
        <f>IF(E16="","",VLOOKUP(E16,#REF!,2,FALSE))</f>
        <v/>
      </c>
      <c r="AQ16" s="191"/>
      <c r="AR16" s="192"/>
      <c r="AS16" s="193"/>
      <c r="AT16" s="194"/>
      <c r="AU16" s="138"/>
      <c r="AV16" s="76"/>
      <c r="AW16" s="353">
        <v>6</v>
      </c>
      <c r="AX16" s="355" t="str">
        <f>CONCATENATE(F11, "-", G11,"-",L11,"x",M11,"x",N11)</f>
        <v>--xx</v>
      </c>
      <c r="AY16" s="202">
        <f>P11</f>
        <v>0</v>
      </c>
      <c r="AZ16" s="69"/>
      <c r="BA16" s="69"/>
      <c r="BB16" s="69"/>
      <c r="BC16" s="69"/>
      <c r="BD16" s="70"/>
      <c r="BE16" s="71" t="str">
        <f>CONCATENATE(R11,"x",S11," - ",T11,"x",U11," - ",V11,"x",W11," - ",X11,"x",Y11," - ",Z11,"x",AA11)</f>
        <v>x - x - x - x - x</v>
      </c>
      <c r="BF16" s="72" t="str">
        <f>AJ11</f>
        <v/>
      </c>
      <c r="BG16" s="73"/>
      <c r="BH16" s="74" t="str">
        <f>AL11</f>
        <v/>
      </c>
      <c r="BI16" s="68" t="str">
        <f>AE11</f>
        <v/>
      </c>
      <c r="BJ16" s="237" t="str">
        <f t="shared" ref="BJ16:BK16" si="18">AF11</f>
        <v/>
      </c>
      <c r="BK16" s="241" t="str">
        <f t="shared" si="18"/>
        <v/>
      </c>
      <c r="BL16" s="356" t="str">
        <f>IF(BG16="","",(BK17+BJ17))</f>
        <v/>
      </c>
      <c r="BM16" s="357"/>
      <c r="BN16" s="358"/>
      <c r="BO16" s="359"/>
      <c r="BP16" s="359"/>
      <c r="BQ16" s="359"/>
      <c r="BR16" s="211">
        <f>AB11</f>
        <v>0</v>
      </c>
      <c r="BS16" s="357">
        <f>IF(BR17=0,0,BR17*AP11)</f>
        <v>0</v>
      </c>
      <c r="BT16" s="360"/>
      <c r="BU16" s="360"/>
      <c r="BV16" s="360"/>
      <c r="BW16" s="360"/>
      <c r="BX16" s="357">
        <f>IF(BR17=0,0,(BR17/BI17)-(BR17/BI16))</f>
        <v>0</v>
      </c>
      <c r="BY16" s="365"/>
      <c r="CB16" s="41" t="s">
        <v>90</v>
      </c>
      <c r="CF16" s="24"/>
      <c r="CG16" s="24"/>
      <c r="CH16" s="24"/>
      <c r="CL16" s="167">
        <v>1200</v>
      </c>
      <c r="CM16" s="163">
        <v>32</v>
      </c>
      <c r="CP16" s="162">
        <v>1200</v>
      </c>
      <c r="CQ16" s="163">
        <v>25</v>
      </c>
      <c r="EG16" s="24" t="str">
        <f>IFERROR(IF(bgr!CO12=0,"",bgr!CO12),"")</f>
        <v/>
      </c>
      <c r="EH16" s="24" t="str">
        <f>IFERROR(IF(bgr!CP12=0,"",bgr!CP12),"")</f>
        <v/>
      </c>
    </row>
    <row r="17" spans="2:138" ht="68.25" customHeight="1">
      <c r="B17" s="189" t="str">
        <f t="shared" si="5"/>
        <v/>
      </c>
      <c r="C17" s="97" t="str">
        <f>BL28</f>
        <v/>
      </c>
      <c r="D17" s="97">
        <f>BM28</f>
        <v>0</v>
      </c>
      <c r="E17" s="43"/>
      <c r="F17" s="179"/>
      <c r="G17" s="180"/>
      <c r="H17" s="181"/>
      <c r="I17" s="181">
        <f t="shared" si="6"/>
        <v>0</v>
      </c>
      <c r="J17" s="181"/>
      <c r="K17" s="181"/>
      <c r="L17" s="181"/>
      <c r="M17" s="181"/>
      <c r="N17" s="181"/>
      <c r="O17" s="182" t="str">
        <f>IF(E17="","",IF(VLOOKUP(E17,#REF!,12,FALSE)="","",VLOOKUP(E17,#REF!,12,FALSE)))</f>
        <v/>
      </c>
      <c r="P17" s="44"/>
      <c r="Q17" s="45"/>
      <c r="R17" s="46"/>
      <c r="S17" s="47"/>
      <c r="T17" s="47"/>
      <c r="U17" s="47"/>
      <c r="V17" s="47"/>
      <c r="W17" s="47"/>
      <c r="X17" s="43"/>
      <c r="Y17" s="47"/>
      <c r="Z17" s="47"/>
      <c r="AA17" s="45"/>
      <c r="AB17" s="189">
        <f t="shared" si="0"/>
        <v>0</v>
      </c>
      <c r="AC17" s="30" t="str">
        <f t="shared" si="7"/>
        <v/>
      </c>
      <c r="AD17" s="183" t="str">
        <f t="shared" si="8"/>
        <v/>
      </c>
      <c r="AE17" s="177" t="str">
        <f t="shared" si="9"/>
        <v/>
      </c>
      <c r="AF17" s="31" t="str">
        <f t="shared" si="1"/>
        <v/>
      </c>
      <c r="AG17" s="184" t="str">
        <f t="shared" si="10"/>
        <v/>
      </c>
      <c r="AH17" s="185" t="str">
        <f t="shared" si="11"/>
        <v/>
      </c>
      <c r="AI17" s="186" t="str">
        <f t="shared" si="12"/>
        <v/>
      </c>
      <c r="AJ17" s="190" t="str">
        <f t="shared" si="13"/>
        <v/>
      </c>
      <c r="AK17" s="32" t="str">
        <f t="shared" si="14"/>
        <v/>
      </c>
      <c r="AL17" s="187" t="str">
        <f t="shared" si="15"/>
        <v/>
      </c>
      <c r="AM17" s="187" t="str">
        <f t="shared" si="2"/>
        <v/>
      </c>
      <c r="AN17" s="187" t="str">
        <f t="shared" si="3"/>
        <v/>
      </c>
      <c r="AO17" s="187" t="str">
        <f t="shared" si="4"/>
        <v/>
      </c>
      <c r="AP17" s="188" t="str">
        <f>IF(E17="","",VLOOKUP(E17,#REF!,2,FALSE))</f>
        <v/>
      </c>
      <c r="AQ17" s="191"/>
      <c r="AR17" s="192"/>
      <c r="AS17" s="193"/>
      <c r="AT17" s="194"/>
      <c r="AU17" s="138"/>
      <c r="AV17" s="76"/>
      <c r="AW17" s="374"/>
      <c r="AX17" s="355"/>
      <c r="AY17" s="203">
        <f>Q11</f>
        <v>0</v>
      </c>
      <c r="AZ17" s="77"/>
      <c r="BA17" s="77"/>
      <c r="BB17" s="77"/>
      <c r="BC17" s="77"/>
      <c r="BD17" s="52"/>
      <c r="BE17" s="247"/>
      <c r="BF17" s="78" t="str">
        <f>AK11</f>
        <v/>
      </c>
      <c r="BG17" s="79"/>
      <c r="BH17" s="80" t="str">
        <f>IF(BR17=0,"",(((BR17)/((BJ17+BK17)/60))))</f>
        <v/>
      </c>
      <c r="BI17" s="81"/>
      <c r="BJ17" s="234"/>
      <c r="BK17" s="242" t="str">
        <f>IF(BG17="","",((BG17-BG16)*60*24)-(BJ17+BM16+BY16))</f>
        <v/>
      </c>
      <c r="BL17" s="356"/>
      <c r="BM17" s="357"/>
      <c r="BN17" s="358"/>
      <c r="BO17" s="359"/>
      <c r="BP17" s="359"/>
      <c r="BQ17" s="359"/>
      <c r="BR17" s="210">
        <f>Pending!AW7</f>
        <v>0</v>
      </c>
      <c r="BS17" s="357"/>
      <c r="BT17" s="360"/>
      <c r="BU17" s="360"/>
      <c r="BV17" s="360"/>
      <c r="BW17" s="360"/>
      <c r="BX17" s="357"/>
      <c r="BY17" s="366"/>
      <c r="CB17" s="95">
        <f>(CB15-CB13)*1440</f>
        <v>0</v>
      </c>
      <c r="CF17" s="24"/>
      <c r="CG17" s="24"/>
      <c r="CH17" s="24"/>
      <c r="CL17" s="167">
        <v>1300</v>
      </c>
      <c r="CM17" s="163">
        <v>30</v>
      </c>
      <c r="CP17" s="162">
        <v>1300</v>
      </c>
      <c r="CQ17" s="163">
        <v>23</v>
      </c>
      <c r="EG17" s="24" t="str">
        <f>IFERROR(IF(bgr!CO13=0,"",bgr!CO13),"")</f>
        <v/>
      </c>
      <c r="EH17" s="24" t="str">
        <f>IFERROR(IF(bgr!CP13=0,"",bgr!CP13),"")</f>
        <v/>
      </c>
    </row>
    <row r="18" spans="2:138" ht="68.25" customHeight="1">
      <c r="B18" s="189" t="str">
        <f t="shared" si="5"/>
        <v/>
      </c>
      <c r="C18" s="97" t="str">
        <f>BL30</f>
        <v/>
      </c>
      <c r="D18" s="97">
        <f>BM30</f>
        <v>0</v>
      </c>
      <c r="E18" s="43"/>
      <c r="F18" s="179"/>
      <c r="G18" s="180"/>
      <c r="H18" s="181"/>
      <c r="I18" s="181">
        <f t="shared" si="6"/>
        <v>0</v>
      </c>
      <c r="J18" s="181"/>
      <c r="K18" s="181"/>
      <c r="L18" s="181"/>
      <c r="M18" s="181"/>
      <c r="N18" s="181"/>
      <c r="O18" s="182" t="str">
        <f>IF(E18="","",IF(VLOOKUP(E18,#REF!,12,FALSE)="","",VLOOKUP(E18,#REF!,12,FALSE)))</f>
        <v/>
      </c>
      <c r="P18" s="44"/>
      <c r="Q18" s="45"/>
      <c r="R18" s="46"/>
      <c r="S18" s="47"/>
      <c r="T18" s="47"/>
      <c r="U18" s="47"/>
      <c r="V18" s="47"/>
      <c r="W18" s="47"/>
      <c r="X18" s="43"/>
      <c r="Y18" s="47"/>
      <c r="Z18" s="47"/>
      <c r="AA18" s="45"/>
      <c r="AB18" s="189">
        <f t="shared" si="0"/>
        <v>0</v>
      </c>
      <c r="AC18" s="30" t="str">
        <f t="shared" si="7"/>
        <v/>
      </c>
      <c r="AD18" s="183" t="str">
        <f t="shared" si="8"/>
        <v/>
      </c>
      <c r="AE18" s="177" t="str">
        <f t="shared" si="9"/>
        <v/>
      </c>
      <c r="AF18" s="31" t="str">
        <f t="shared" si="1"/>
        <v/>
      </c>
      <c r="AG18" s="184" t="str">
        <f t="shared" si="10"/>
        <v/>
      </c>
      <c r="AH18" s="185" t="str">
        <f t="shared" si="11"/>
        <v/>
      </c>
      <c r="AI18" s="186" t="str">
        <f t="shared" si="12"/>
        <v/>
      </c>
      <c r="AJ18" s="190" t="str">
        <f t="shared" si="13"/>
        <v/>
      </c>
      <c r="AK18" s="32" t="str">
        <f t="shared" si="14"/>
        <v/>
      </c>
      <c r="AL18" s="187" t="str">
        <f t="shared" si="15"/>
        <v/>
      </c>
      <c r="AM18" s="187" t="str">
        <f t="shared" si="2"/>
        <v/>
      </c>
      <c r="AN18" s="187" t="str">
        <f t="shared" si="3"/>
        <v/>
      </c>
      <c r="AO18" s="187" t="str">
        <f t="shared" si="4"/>
        <v/>
      </c>
      <c r="AP18" s="188" t="str">
        <f>IF(E18="","",VLOOKUP(E18,#REF!,2,FALSE))</f>
        <v/>
      </c>
      <c r="AQ18" s="191"/>
      <c r="AR18" s="192"/>
      <c r="AS18" s="193"/>
      <c r="AT18" s="194"/>
      <c r="AU18" s="138"/>
      <c r="AV18" s="76"/>
      <c r="AW18" s="367">
        <v>7</v>
      </c>
      <c r="AX18" s="368" t="str">
        <f>CONCATENATE(F12, "-", G12,"-",L12,"x",M12,"x",N12)</f>
        <v>--xx</v>
      </c>
      <c r="AY18" s="204">
        <f>P12</f>
        <v>0</v>
      </c>
      <c r="AZ18" s="84"/>
      <c r="BA18" s="84"/>
      <c r="BB18" s="84"/>
      <c r="BC18" s="84"/>
      <c r="BD18" s="70"/>
      <c r="BE18" s="85" t="str">
        <f>CONCATENATE(R12,"x",S12," - ",T12,"x",U12," - ",V12,"x",W12," - ",X12,"x",Y12," - ",Z12,"x",AA12)</f>
        <v>x - x - x - x - x</v>
      </c>
      <c r="BF18" s="86" t="str">
        <f>AJ12</f>
        <v/>
      </c>
      <c r="BG18" s="87"/>
      <c r="BH18" s="88" t="str">
        <f>AL12</f>
        <v/>
      </c>
      <c r="BI18" s="83" t="str">
        <f>AE12</f>
        <v/>
      </c>
      <c r="BJ18" s="238" t="str">
        <f t="shared" ref="BJ18:BK18" si="19">AF12</f>
        <v/>
      </c>
      <c r="BK18" s="243" t="str">
        <f t="shared" si="19"/>
        <v/>
      </c>
      <c r="BL18" s="369" t="str">
        <f>IF(BG18="","",(BK19+BJ19))</f>
        <v/>
      </c>
      <c r="BM18" s="350"/>
      <c r="BN18" s="370"/>
      <c r="BO18" s="372"/>
      <c r="BP18" s="372"/>
      <c r="BQ18" s="372"/>
      <c r="BR18" s="212">
        <f>AB12</f>
        <v>0</v>
      </c>
      <c r="BS18" s="350">
        <f>IF(BR19=0,0,BR19*AP12)</f>
        <v>0</v>
      </c>
      <c r="BT18" s="373"/>
      <c r="BU18" s="373"/>
      <c r="BV18" s="373"/>
      <c r="BW18" s="373"/>
      <c r="BX18" s="350">
        <f>IF(BR19=0,0,(BR19/BI19)-(BR19/BI18))</f>
        <v>0</v>
      </c>
      <c r="BY18" s="371"/>
      <c r="CB18" s="96" t="s">
        <v>91</v>
      </c>
      <c r="CF18" s="24"/>
      <c r="CG18" s="24"/>
      <c r="CH18" s="24"/>
      <c r="CL18" s="167">
        <v>1400</v>
      </c>
      <c r="CM18" s="163">
        <v>29</v>
      </c>
      <c r="CP18" s="162">
        <v>1400</v>
      </c>
      <c r="CQ18" s="163">
        <v>22</v>
      </c>
      <c r="EG18" s="24" t="str">
        <f>IFERROR(IF(bgr!CO14=0,"",bgr!CO14),"")</f>
        <v/>
      </c>
      <c r="EH18" s="24" t="str">
        <f>IFERROR(IF(bgr!CP14=0,"",bgr!CP14),"")</f>
        <v/>
      </c>
    </row>
    <row r="19" spans="2:138" ht="68.25" customHeight="1">
      <c r="B19" s="189" t="str">
        <f t="shared" si="5"/>
        <v/>
      </c>
      <c r="C19" s="97" t="str">
        <f>BL32</f>
        <v/>
      </c>
      <c r="D19" s="97">
        <f>BM32</f>
        <v>0</v>
      </c>
      <c r="E19" s="43"/>
      <c r="F19" s="179"/>
      <c r="G19" s="180"/>
      <c r="H19" s="181"/>
      <c r="I19" s="181">
        <f t="shared" si="6"/>
        <v>0</v>
      </c>
      <c r="J19" s="181"/>
      <c r="K19" s="181"/>
      <c r="L19" s="181"/>
      <c r="M19" s="181"/>
      <c r="N19" s="181"/>
      <c r="O19" s="182" t="str">
        <f>IF(E19="","",IF(VLOOKUP(E19,#REF!,12,FALSE)="","",VLOOKUP(E19,#REF!,12,FALSE)))</f>
        <v/>
      </c>
      <c r="P19" s="44"/>
      <c r="Q19" s="45"/>
      <c r="R19" s="46"/>
      <c r="S19" s="47"/>
      <c r="T19" s="47"/>
      <c r="U19" s="47"/>
      <c r="V19" s="47"/>
      <c r="W19" s="47"/>
      <c r="X19" s="43"/>
      <c r="Y19" s="47"/>
      <c r="Z19" s="47"/>
      <c r="AA19" s="45"/>
      <c r="AB19" s="189">
        <f t="shared" si="0"/>
        <v>0</v>
      </c>
      <c r="AC19" s="30" t="str">
        <f t="shared" si="7"/>
        <v/>
      </c>
      <c r="AD19" s="183" t="str">
        <f t="shared" si="8"/>
        <v/>
      </c>
      <c r="AE19" s="177" t="str">
        <f t="shared" si="9"/>
        <v/>
      </c>
      <c r="AF19" s="31" t="str">
        <f t="shared" si="1"/>
        <v/>
      </c>
      <c r="AG19" s="184" t="str">
        <f t="shared" si="10"/>
        <v/>
      </c>
      <c r="AH19" s="185" t="str">
        <f t="shared" si="11"/>
        <v/>
      </c>
      <c r="AI19" s="186" t="str">
        <f t="shared" si="12"/>
        <v/>
      </c>
      <c r="AJ19" s="190" t="str">
        <f t="shared" si="13"/>
        <v/>
      </c>
      <c r="AK19" s="32" t="str">
        <f t="shared" si="14"/>
        <v/>
      </c>
      <c r="AL19" s="187" t="str">
        <f t="shared" si="15"/>
        <v/>
      </c>
      <c r="AM19" s="187" t="str">
        <f t="shared" si="2"/>
        <v/>
      </c>
      <c r="AN19" s="187" t="str">
        <f t="shared" si="3"/>
        <v/>
      </c>
      <c r="AO19" s="187" t="str">
        <f t="shared" si="4"/>
        <v/>
      </c>
      <c r="AP19" s="188" t="str">
        <f>IF(E19="","",VLOOKUP(E19,#REF!,2,FALSE))</f>
        <v/>
      </c>
      <c r="AQ19" s="191"/>
      <c r="AR19" s="192"/>
      <c r="AS19" s="193"/>
      <c r="AT19" s="194"/>
      <c r="AU19" s="138"/>
      <c r="AV19" s="76"/>
      <c r="AW19" s="336"/>
      <c r="AX19" s="368"/>
      <c r="AY19" s="201">
        <f>Q12</f>
        <v>0</v>
      </c>
      <c r="AZ19" s="51"/>
      <c r="BA19" s="51"/>
      <c r="BB19" s="51"/>
      <c r="BC19" s="51"/>
      <c r="BD19" s="52"/>
      <c r="BE19" s="247"/>
      <c r="BF19" s="53" t="str">
        <f>AK12</f>
        <v/>
      </c>
      <c r="BG19" s="54"/>
      <c r="BH19" s="55" t="str">
        <f>IF(BR19=0,"",(((BR19)/((BJ19+BK19)/60))))</f>
        <v/>
      </c>
      <c r="BI19" s="56"/>
      <c r="BJ19" s="233"/>
      <c r="BK19" s="240" t="str">
        <f>IF(BG19="","",((BG19-BG18)*60*24)-(BJ19+BM18+BY18))</f>
        <v/>
      </c>
      <c r="BL19" s="369"/>
      <c r="BM19" s="350"/>
      <c r="BN19" s="370"/>
      <c r="BO19" s="372"/>
      <c r="BP19" s="372"/>
      <c r="BQ19" s="372"/>
      <c r="BR19" s="210">
        <f>Pending!AW8</f>
        <v>0</v>
      </c>
      <c r="BS19" s="350"/>
      <c r="BT19" s="373"/>
      <c r="BU19" s="373"/>
      <c r="BV19" s="373"/>
      <c r="BW19" s="373"/>
      <c r="BX19" s="350"/>
      <c r="BY19" s="352"/>
      <c r="CB19" s="93"/>
      <c r="CF19" s="24"/>
      <c r="CG19" s="24"/>
      <c r="CH19" s="24"/>
      <c r="CL19" s="167">
        <v>1500</v>
      </c>
      <c r="CM19" s="163">
        <v>28</v>
      </c>
      <c r="CP19" s="162">
        <v>1500</v>
      </c>
      <c r="CQ19" s="163">
        <v>22</v>
      </c>
      <c r="EG19" s="24" t="str">
        <f>IFERROR(IF(bgr!CO15=0,"",bgr!CO15),"")</f>
        <v/>
      </c>
      <c r="EH19" s="24" t="str">
        <f>IFERROR(IF(bgr!CP15=0,"",bgr!CP15),"")</f>
        <v/>
      </c>
    </row>
    <row r="20" spans="2:138" ht="68.25" customHeight="1" thickBot="1">
      <c r="B20" s="189" t="str">
        <f t="shared" si="5"/>
        <v/>
      </c>
      <c r="C20" s="97" t="str">
        <f>BL34</f>
        <v/>
      </c>
      <c r="D20" s="97">
        <f>BM34</f>
        <v>0</v>
      </c>
      <c r="E20" s="43"/>
      <c r="F20" s="179"/>
      <c r="G20" s="180"/>
      <c r="H20" s="181"/>
      <c r="I20" s="181">
        <f t="shared" si="6"/>
        <v>0</v>
      </c>
      <c r="J20" s="181"/>
      <c r="K20" s="181"/>
      <c r="L20" s="181"/>
      <c r="M20" s="181"/>
      <c r="N20" s="181"/>
      <c r="O20" s="182" t="str">
        <f>IF(E20="","",IF(VLOOKUP(E20,#REF!,12,FALSE)="","",VLOOKUP(E20,#REF!,12,FALSE)))</f>
        <v/>
      </c>
      <c r="P20" s="44"/>
      <c r="Q20" s="45"/>
      <c r="R20" s="46"/>
      <c r="S20" s="47"/>
      <c r="T20" s="47"/>
      <c r="U20" s="47"/>
      <c r="V20" s="47"/>
      <c r="W20" s="47"/>
      <c r="X20" s="43"/>
      <c r="Y20" s="47"/>
      <c r="Z20" s="47"/>
      <c r="AA20" s="45"/>
      <c r="AB20" s="189">
        <f t="shared" si="0"/>
        <v>0</v>
      </c>
      <c r="AC20" s="30" t="str">
        <f t="shared" si="7"/>
        <v/>
      </c>
      <c r="AD20" s="183" t="str">
        <f t="shared" si="8"/>
        <v/>
      </c>
      <c r="AE20" s="177" t="str">
        <f t="shared" si="9"/>
        <v/>
      </c>
      <c r="AF20" s="31" t="str">
        <f t="shared" si="1"/>
        <v/>
      </c>
      <c r="AG20" s="184" t="str">
        <f t="shared" si="10"/>
        <v/>
      </c>
      <c r="AH20" s="185" t="str">
        <f t="shared" si="11"/>
        <v/>
      </c>
      <c r="AI20" s="186" t="str">
        <f t="shared" si="12"/>
        <v/>
      </c>
      <c r="AJ20" s="190" t="str">
        <f t="shared" si="13"/>
        <v/>
      </c>
      <c r="AK20" s="32" t="str">
        <f t="shared" si="14"/>
        <v/>
      </c>
      <c r="AL20" s="187" t="str">
        <f t="shared" si="15"/>
        <v/>
      </c>
      <c r="AM20" s="187" t="str">
        <f t="shared" si="2"/>
        <v/>
      </c>
      <c r="AN20" s="187" t="str">
        <f t="shared" si="3"/>
        <v/>
      </c>
      <c r="AO20" s="187" t="str">
        <f t="shared" si="4"/>
        <v/>
      </c>
      <c r="AP20" s="188" t="str">
        <f>IF(E20="","",VLOOKUP(E20,#REF!,2,FALSE))</f>
        <v/>
      </c>
      <c r="AQ20" s="191"/>
      <c r="AR20" s="192"/>
      <c r="AS20" s="193"/>
      <c r="AT20" s="194"/>
      <c r="AU20" s="138"/>
      <c r="AV20" s="76"/>
      <c r="AW20" s="353">
        <v>8</v>
      </c>
      <c r="AX20" s="355" t="str">
        <f>CONCATENATE(F13, "-", G13,"-",L13,"x",M13,"x",N13)</f>
        <v>--xx</v>
      </c>
      <c r="AY20" s="202">
        <f>P13</f>
        <v>0</v>
      </c>
      <c r="AZ20" s="69"/>
      <c r="BA20" s="69"/>
      <c r="BB20" s="69"/>
      <c r="BC20" s="69"/>
      <c r="BD20" s="70"/>
      <c r="BE20" s="71" t="str">
        <f>CONCATENATE(R13,"x",S13," - ",T13,"x",U13," - ",V13,"x",W13," - ",X13,"x",Y13," - ",Z13,"x",AA13)</f>
        <v>x - x - x - x - x</v>
      </c>
      <c r="BF20" s="72" t="str">
        <f>AJ13</f>
        <v/>
      </c>
      <c r="BG20" s="73"/>
      <c r="BH20" s="74" t="str">
        <f>AL13</f>
        <v/>
      </c>
      <c r="BI20" s="68" t="str">
        <f>AE13</f>
        <v/>
      </c>
      <c r="BJ20" s="237" t="str">
        <f t="shared" ref="BJ20:BK20" si="20">AF13</f>
        <v/>
      </c>
      <c r="BK20" s="241" t="str">
        <f t="shared" si="20"/>
        <v/>
      </c>
      <c r="BL20" s="356" t="str">
        <f>IF(BG20="","",(BK21+BJ21))</f>
        <v/>
      </c>
      <c r="BM20" s="357"/>
      <c r="BN20" s="358"/>
      <c r="BO20" s="359"/>
      <c r="BP20" s="359"/>
      <c r="BQ20" s="359"/>
      <c r="BR20" s="211">
        <f>AB13</f>
        <v>0</v>
      </c>
      <c r="BS20" s="357">
        <f>IF(BR21=0,0,BR21*AP13)</f>
        <v>0</v>
      </c>
      <c r="BT20" s="360"/>
      <c r="BU20" s="360"/>
      <c r="BV20" s="360"/>
      <c r="BW20" s="360"/>
      <c r="BX20" s="357">
        <f>IF(BR21=0,0,(BR21/BI21)-(BR21/BI20))</f>
        <v>0</v>
      </c>
      <c r="BY20" s="365"/>
      <c r="CB20" s="96" t="s">
        <v>96</v>
      </c>
      <c r="CF20" s="24"/>
      <c r="CG20" s="24"/>
      <c r="CH20" s="24"/>
      <c r="CL20" s="167">
        <v>1600</v>
      </c>
      <c r="CM20" s="163">
        <v>27</v>
      </c>
      <c r="CP20" s="164">
        <v>1600</v>
      </c>
      <c r="CQ20" s="165">
        <v>20</v>
      </c>
      <c r="EG20" s="24" t="str">
        <f>IFERROR(IF(bgr!CO16=0,"",bgr!CO16),"")</f>
        <v/>
      </c>
      <c r="EH20" s="24" t="str">
        <f>IFERROR(IF(bgr!CP16=0,"",bgr!CP16),"")</f>
        <v/>
      </c>
    </row>
    <row r="21" spans="2:138" ht="68.25" customHeight="1">
      <c r="B21" s="189" t="str">
        <f t="shared" si="5"/>
        <v/>
      </c>
      <c r="C21" s="97" t="str">
        <f>BL36</f>
        <v/>
      </c>
      <c r="D21" s="97">
        <f>BM36</f>
        <v>0</v>
      </c>
      <c r="E21" s="43"/>
      <c r="F21" s="179"/>
      <c r="G21" s="180"/>
      <c r="H21" s="181"/>
      <c r="I21" s="181">
        <f t="shared" si="6"/>
        <v>0</v>
      </c>
      <c r="J21" s="181"/>
      <c r="K21" s="181"/>
      <c r="L21" s="181"/>
      <c r="M21" s="181"/>
      <c r="N21" s="181"/>
      <c r="O21" s="182" t="str">
        <f>IF(E21="","",IF(VLOOKUP(E21,#REF!,12,FALSE)="","",VLOOKUP(E21,#REF!,12,FALSE)))</f>
        <v/>
      </c>
      <c r="P21" s="44"/>
      <c r="Q21" s="45"/>
      <c r="R21" s="46"/>
      <c r="S21" s="47"/>
      <c r="T21" s="47"/>
      <c r="U21" s="47"/>
      <c r="V21" s="47"/>
      <c r="W21" s="47"/>
      <c r="X21" s="43"/>
      <c r="Y21" s="47"/>
      <c r="Z21" s="47"/>
      <c r="AA21" s="45"/>
      <c r="AB21" s="189">
        <f t="shared" si="0"/>
        <v>0</v>
      </c>
      <c r="AC21" s="30" t="str">
        <f t="shared" si="7"/>
        <v/>
      </c>
      <c r="AD21" s="183" t="str">
        <f t="shared" si="8"/>
        <v/>
      </c>
      <c r="AE21" s="177" t="str">
        <f t="shared" si="9"/>
        <v/>
      </c>
      <c r="AF21" s="31" t="str">
        <f t="shared" si="1"/>
        <v/>
      </c>
      <c r="AG21" s="184" t="str">
        <f t="shared" si="10"/>
        <v/>
      </c>
      <c r="AH21" s="185" t="str">
        <f t="shared" si="11"/>
        <v/>
      </c>
      <c r="AI21" s="186" t="str">
        <f t="shared" si="12"/>
        <v/>
      </c>
      <c r="AJ21" s="190" t="str">
        <f t="shared" si="13"/>
        <v/>
      </c>
      <c r="AK21" s="32" t="str">
        <f t="shared" si="14"/>
        <v/>
      </c>
      <c r="AL21" s="187" t="str">
        <f t="shared" si="15"/>
        <v/>
      </c>
      <c r="AM21" s="187" t="str">
        <f t="shared" si="2"/>
        <v/>
      </c>
      <c r="AN21" s="187" t="str">
        <f t="shared" si="3"/>
        <v/>
      </c>
      <c r="AO21" s="187" t="str">
        <f t="shared" si="4"/>
        <v/>
      </c>
      <c r="AP21" s="188" t="str">
        <f>IF(E21="","",VLOOKUP(E21,#REF!,2,FALSE))</f>
        <v/>
      </c>
      <c r="AQ21" s="191"/>
      <c r="AR21" s="192"/>
      <c r="AS21" s="193"/>
      <c r="AT21" s="194"/>
      <c r="AU21" s="138"/>
      <c r="AV21" s="76"/>
      <c r="AW21" s="374"/>
      <c r="AX21" s="355"/>
      <c r="AY21" s="203">
        <f>Q13</f>
        <v>0</v>
      </c>
      <c r="AZ21" s="77"/>
      <c r="BA21" s="77"/>
      <c r="BB21" s="77"/>
      <c r="BC21" s="77"/>
      <c r="BD21" s="52"/>
      <c r="BE21" s="247"/>
      <c r="BF21" s="78" t="str">
        <f>AK13</f>
        <v/>
      </c>
      <c r="BG21" s="79"/>
      <c r="BH21" s="80" t="str">
        <f>IF(BR21=0,"",(((BR21)/((BJ21+BK21)/60))))</f>
        <v/>
      </c>
      <c r="BI21" s="81"/>
      <c r="BJ21" s="234"/>
      <c r="BK21" s="242" t="str">
        <f>IF(BG21="","",((BG21-BG20)*60*24)-(BJ21+BM20+BY20))</f>
        <v/>
      </c>
      <c r="BL21" s="356"/>
      <c r="BM21" s="357"/>
      <c r="BN21" s="358"/>
      <c r="BO21" s="359"/>
      <c r="BP21" s="359"/>
      <c r="BQ21" s="359"/>
      <c r="BR21" s="210">
        <f>Pending!AW9</f>
        <v>0</v>
      </c>
      <c r="BS21" s="357"/>
      <c r="BT21" s="360"/>
      <c r="BU21" s="360"/>
      <c r="BV21" s="360"/>
      <c r="BW21" s="360"/>
      <c r="BX21" s="357"/>
      <c r="BY21" s="366"/>
      <c r="CB21" s="93"/>
      <c r="CF21" s="24"/>
      <c r="CG21" s="24"/>
      <c r="CH21" s="24"/>
      <c r="CL21" s="167">
        <v>1700</v>
      </c>
      <c r="CM21" s="163">
        <v>26</v>
      </c>
      <c r="EG21" s="24" t="str">
        <f>IFERROR(IF(bgr!CO17=0,"",bgr!CO17),"")</f>
        <v/>
      </c>
      <c r="EH21" s="24" t="str">
        <f>IFERROR(IF(bgr!CP17=0,"",bgr!CP17),"")</f>
        <v/>
      </c>
    </row>
    <row r="22" spans="2:138" ht="68.25" customHeight="1">
      <c r="B22" s="189" t="str">
        <f t="shared" si="5"/>
        <v/>
      </c>
      <c r="C22" s="97" t="str">
        <f>BL38</f>
        <v/>
      </c>
      <c r="D22" s="97">
        <f>BM38</f>
        <v>0</v>
      </c>
      <c r="E22" s="43"/>
      <c r="F22" s="179"/>
      <c r="G22" s="180"/>
      <c r="H22" s="181"/>
      <c r="I22" s="181">
        <f t="shared" si="6"/>
        <v>0</v>
      </c>
      <c r="J22" s="181"/>
      <c r="K22" s="181"/>
      <c r="L22" s="181"/>
      <c r="M22" s="181"/>
      <c r="N22" s="181"/>
      <c r="O22" s="182" t="str">
        <f>IF(E22="","",IF(VLOOKUP(E22,#REF!,12,FALSE)="","",VLOOKUP(E22,#REF!,12,FALSE)))</f>
        <v/>
      </c>
      <c r="P22" s="44"/>
      <c r="Q22" s="45"/>
      <c r="R22" s="46"/>
      <c r="S22" s="47"/>
      <c r="T22" s="47"/>
      <c r="U22" s="47"/>
      <c r="V22" s="47"/>
      <c r="W22" s="47"/>
      <c r="X22" s="43"/>
      <c r="Y22" s="47"/>
      <c r="Z22" s="47"/>
      <c r="AA22" s="45"/>
      <c r="AB22" s="189">
        <f t="shared" si="0"/>
        <v>0</v>
      </c>
      <c r="AC22" s="30" t="str">
        <f t="shared" si="7"/>
        <v/>
      </c>
      <c r="AD22" s="183" t="str">
        <f t="shared" si="8"/>
        <v/>
      </c>
      <c r="AE22" s="177" t="str">
        <f t="shared" si="9"/>
        <v/>
      </c>
      <c r="AF22" s="31" t="str">
        <f t="shared" si="1"/>
        <v/>
      </c>
      <c r="AG22" s="184" t="str">
        <f t="shared" si="10"/>
        <v/>
      </c>
      <c r="AH22" s="185" t="str">
        <f t="shared" si="11"/>
        <v/>
      </c>
      <c r="AI22" s="186" t="str">
        <f t="shared" si="12"/>
        <v/>
      </c>
      <c r="AJ22" s="190" t="str">
        <f t="shared" si="13"/>
        <v/>
      </c>
      <c r="AK22" s="32" t="str">
        <f t="shared" si="14"/>
        <v/>
      </c>
      <c r="AL22" s="187" t="str">
        <f t="shared" si="15"/>
        <v/>
      </c>
      <c r="AM22" s="187" t="str">
        <f t="shared" si="2"/>
        <v/>
      </c>
      <c r="AN22" s="187" t="str">
        <f t="shared" si="3"/>
        <v/>
      </c>
      <c r="AO22" s="187" t="str">
        <f t="shared" si="4"/>
        <v/>
      </c>
      <c r="AP22" s="188" t="str">
        <f>IF(E22="","",VLOOKUP(E22,#REF!,2,FALSE))</f>
        <v/>
      </c>
      <c r="AQ22" s="191"/>
      <c r="AR22" s="192"/>
      <c r="AS22" s="193"/>
      <c r="AT22" s="194"/>
      <c r="AU22" s="138"/>
      <c r="AV22" s="76"/>
      <c r="AW22" s="367">
        <v>9</v>
      </c>
      <c r="AX22" s="368" t="str">
        <f>CONCATENATE(F14, "-", G14,"-",L14,"x",M14,"x",N14)</f>
        <v>--xx</v>
      </c>
      <c r="AY22" s="204">
        <f>P14</f>
        <v>0</v>
      </c>
      <c r="AZ22" s="84"/>
      <c r="BA22" s="84"/>
      <c r="BB22" s="84"/>
      <c r="BC22" s="84"/>
      <c r="BD22" s="70"/>
      <c r="BE22" s="85" t="str">
        <f>CONCATENATE(R14,"x",S14," - ",T14,"x",U14," - ",V14,"x",W14," - ",X14,"x",Y14," - ",Z14,"x",AA14)</f>
        <v>x - x - x - x - x</v>
      </c>
      <c r="BF22" s="86" t="str">
        <f>AJ14</f>
        <v/>
      </c>
      <c r="BG22" s="87"/>
      <c r="BH22" s="88" t="str">
        <f>AL14</f>
        <v/>
      </c>
      <c r="BI22" s="83" t="str">
        <f>AE14</f>
        <v/>
      </c>
      <c r="BJ22" s="238" t="str">
        <f t="shared" ref="BJ22:BK22" si="21">AF14</f>
        <v/>
      </c>
      <c r="BK22" s="243" t="str">
        <f t="shared" si="21"/>
        <v/>
      </c>
      <c r="BL22" s="369" t="str">
        <f>IF(BG22="","",(BK23+BJ23))</f>
        <v/>
      </c>
      <c r="BM22" s="350"/>
      <c r="BN22" s="370"/>
      <c r="BO22" s="372"/>
      <c r="BP22" s="372"/>
      <c r="BQ22" s="372"/>
      <c r="BR22" s="212">
        <f>AB14</f>
        <v>0</v>
      </c>
      <c r="BS22" s="350">
        <f>IF(BR23=0,0,BR23*AP14)</f>
        <v>0</v>
      </c>
      <c r="BT22" s="373"/>
      <c r="BU22" s="373"/>
      <c r="BV22" s="373"/>
      <c r="BW22" s="373"/>
      <c r="BX22" s="350">
        <f>IF(BR23=0,0,(BR23/BI23)-(BR23/BI22))</f>
        <v>0</v>
      </c>
      <c r="BY22" s="371"/>
      <c r="CF22" s="24"/>
      <c r="CG22" s="24"/>
      <c r="CH22" s="24"/>
      <c r="CL22" s="167">
        <v>1800</v>
      </c>
      <c r="CM22" s="163">
        <v>25</v>
      </c>
      <c r="EG22" s="24" t="str">
        <f>IFERROR(IF(bgr!CO18=0,"",bgr!CO18),"")</f>
        <v/>
      </c>
      <c r="EH22" s="24" t="str">
        <f>IFERROR(IF(bgr!CP18=0,"",bgr!CP18),"")</f>
        <v/>
      </c>
    </row>
    <row r="23" spans="2:138" ht="68.25" customHeight="1">
      <c r="B23" s="189" t="str">
        <f t="shared" si="5"/>
        <v/>
      </c>
      <c r="C23" s="97" t="str">
        <f>BL40</f>
        <v/>
      </c>
      <c r="D23" s="97">
        <f>BM40</f>
        <v>0</v>
      </c>
      <c r="E23" s="43"/>
      <c r="F23" s="179"/>
      <c r="G23" s="180"/>
      <c r="H23" s="181"/>
      <c r="I23" s="181">
        <f t="shared" si="6"/>
        <v>0</v>
      </c>
      <c r="J23" s="181"/>
      <c r="K23" s="181"/>
      <c r="L23" s="181"/>
      <c r="M23" s="181"/>
      <c r="N23" s="181"/>
      <c r="O23" s="182" t="str">
        <f>IF(E23="","",IF(VLOOKUP(E23,#REF!,12,FALSE)="","",VLOOKUP(E23,#REF!,12,FALSE)))</f>
        <v/>
      </c>
      <c r="P23" s="44"/>
      <c r="Q23" s="45"/>
      <c r="R23" s="46"/>
      <c r="S23" s="47"/>
      <c r="T23" s="47"/>
      <c r="U23" s="47"/>
      <c r="V23" s="47"/>
      <c r="W23" s="47"/>
      <c r="X23" s="43"/>
      <c r="Y23" s="47"/>
      <c r="Z23" s="47"/>
      <c r="AA23" s="45"/>
      <c r="AB23" s="189">
        <f t="shared" si="0"/>
        <v>0</v>
      </c>
      <c r="AC23" s="30" t="str">
        <f t="shared" si="7"/>
        <v/>
      </c>
      <c r="AD23" s="183" t="str">
        <f t="shared" si="8"/>
        <v/>
      </c>
      <c r="AE23" s="177" t="str">
        <f t="shared" si="9"/>
        <v/>
      </c>
      <c r="AF23" s="31" t="str">
        <f t="shared" si="1"/>
        <v/>
      </c>
      <c r="AG23" s="184" t="str">
        <f t="shared" si="10"/>
        <v/>
      </c>
      <c r="AH23" s="185" t="str">
        <f t="shared" si="11"/>
        <v/>
      </c>
      <c r="AI23" s="186" t="str">
        <f t="shared" si="12"/>
        <v/>
      </c>
      <c r="AJ23" s="190" t="str">
        <f t="shared" si="13"/>
        <v/>
      </c>
      <c r="AK23" s="32" t="str">
        <f t="shared" si="14"/>
        <v/>
      </c>
      <c r="AL23" s="187" t="str">
        <f t="shared" si="15"/>
        <v/>
      </c>
      <c r="AM23" s="187" t="str">
        <f t="shared" si="2"/>
        <v/>
      </c>
      <c r="AN23" s="187" t="str">
        <f t="shared" si="3"/>
        <v/>
      </c>
      <c r="AO23" s="187" t="str">
        <f t="shared" si="4"/>
        <v/>
      </c>
      <c r="AP23" s="188" t="str">
        <f>IF(E23="","",VLOOKUP(E23,#REF!,2,FALSE))</f>
        <v/>
      </c>
      <c r="AQ23" s="191"/>
      <c r="AR23" s="192"/>
      <c r="AS23" s="193"/>
      <c r="AT23" s="194"/>
      <c r="AU23" s="138"/>
      <c r="AV23" s="76"/>
      <c r="AW23" s="336"/>
      <c r="AX23" s="368"/>
      <c r="AY23" s="201">
        <f>Q14</f>
        <v>0</v>
      </c>
      <c r="AZ23" s="51"/>
      <c r="BA23" s="51"/>
      <c r="BB23" s="51"/>
      <c r="BC23" s="51"/>
      <c r="BD23" s="52"/>
      <c r="BE23" s="247"/>
      <c r="BF23" s="53" t="str">
        <f>AK14</f>
        <v/>
      </c>
      <c r="BG23" s="54"/>
      <c r="BH23" s="55" t="str">
        <f>IF(BR23=0,"",(((BR23)/((BJ23+BK23)/60))))</f>
        <v/>
      </c>
      <c r="BI23" s="56"/>
      <c r="BJ23" s="233"/>
      <c r="BK23" s="240" t="str">
        <f>IF(BG23="","",((BG23-BG22)*60*24)-(BJ23+BM22+BY22))</f>
        <v/>
      </c>
      <c r="BL23" s="369"/>
      <c r="BM23" s="350"/>
      <c r="BN23" s="370"/>
      <c r="BO23" s="372"/>
      <c r="BP23" s="372"/>
      <c r="BQ23" s="372"/>
      <c r="BR23" s="210">
        <f>Pending!AW10</f>
        <v>0</v>
      </c>
      <c r="BS23" s="350"/>
      <c r="BT23" s="373"/>
      <c r="BU23" s="373"/>
      <c r="BV23" s="373"/>
      <c r="BW23" s="373"/>
      <c r="BX23" s="350"/>
      <c r="BY23" s="352"/>
      <c r="CF23" s="24"/>
      <c r="CG23" s="24"/>
      <c r="CH23" s="24"/>
      <c r="CL23" s="167">
        <v>1900</v>
      </c>
      <c r="CM23" s="163">
        <v>24</v>
      </c>
      <c r="EG23" s="24" t="str">
        <f>IFERROR(IF(bgr!CO19=0,"",bgr!CO19),"")</f>
        <v/>
      </c>
      <c r="EH23" s="24" t="str">
        <f>IFERROR(IF(bgr!CP19=0,"",bgr!CP19),"")</f>
        <v/>
      </c>
    </row>
    <row r="24" spans="2:138" ht="68.25" customHeight="1">
      <c r="B24" s="189" t="str">
        <f t="shared" si="5"/>
        <v/>
      </c>
      <c r="C24" s="97" t="str">
        <f>BL42</f>
        <v/>
      </c>
      <c r="D24" s="97">
        <f>BM42</f>
        <v>0</v>
      </c>
      <c r="E24" s="43"/>
      <c r="F24" s="179"/>
      <c r="G24" s="180"/>
      <c r="H24" s="181"/>
      <c r="I24" s="181">
        <f t="shared" si="6"/>
        <v>0</v>
      </c>
      <c r="J24" s="181"/>
      <c r="K24" s="181"/>
      <c r="L24" s="181"/>
      <c r="M24" s="181"/>
      <c r="N24" s="181"/>
      <c r="O24" s="182" t="str">
        <f>IF(E24="","",IF(VLOOKUP(E24,#REF!,12,FALSE)="","",VLOOKUP(E24,#REF!,12,FALSE)))</f>
        <v/>
      </c>
      <c r="P24" s="44"/>
      <c r="Q24" s="45"/>
      <c r="R24" s="46"/>
      <c r="S24" s="47"/>
      <c r="T24" s="47"/>
      <c r="U24" s="47"/>
      <c r="V24" s="47"/>
      <c r="W24" s="47"/>
      <c r="X24" s="43"/>
      <c r="Y24" s="47"/>
      <c r="Z24" s="47"/>
      <c r="AA24" s="45"/>
      <c r="AB24" s="189">
        <f t="shared" si="0"/>
        <v>0</v>
      </c>
      <c r="AC24" s="30" t="str">
        <f t="shared" si="7"/>
        <v/>
      </c>
      <c r="AD24" s="183" t="str">
        <f t="shared" si="8"/>
        <v/>
      </c>
      <c r="AE24" s="177" t="str">
        <f t="shared" si="9"/>
        <v/>
      </c>
      <c r="AF24" s="31" t="str">
        <f t="shared" si="1"/>
        <v/>
      </c>
      <c r="AG24" s="184" t="str">
        <f t="shared" si="10"/>
        <v/>
      </c>
      <c r="AH24" s="185" t="str">
        <f t="shared" si="11"/>
        <v/>
      </c>
      <c r="AI24" s="186" t="str">
        <f t="shared" si="12"/>
        <v/>
      </c>
      <c r="AJ24" s="190" t="str">
        <f t="shared" si="13"/>
        <v/>
      </c>
      <c r="AK24" s="32" t="str">
        <f t="shared" si="14"/>
        <v/>
      </c>
      <c r="AL24" s="187" t="str">
        <f t="shared" si="15"/>
        <v/>
      </c>
      <c r="AM24" s="187" t="str">
        <f t="shared" si="2"/>
        <v/>
      </c>
      <c r="AN24" s="187" t="str">
        <f t="shared" si="3"/>
        <v/>
      </c>
      <c r="AO24" s="187" t="str">
        <f t="shared" si="4"/>
        <v/>
      </c>
      <c r="AP24" s="188" t="str">
        <f>IF(E24="","",VLOOKUP(E24,#REF!,2,FALSE))</f>
        <v/>
      </c>
      <c r="AQ24" s="191"/>
      <c r="AR24" s="192"/>
      <c r="AS24" s="193"/>
      <c r="AT24" s="194"/>
      <c r="AU24" s="138"/>
      <c r="AV24" s="76"/>
      <c r="AW24" s="353">
        <v>10</v>
      </c>
      <c r="AX24" s="355" t="str">
        <f>CONCATENATE(F15, "-", G15,"-",L15,"x",M15,"x",N15)</f>
        <v>--xx</v>
      </c>
      <c r="AY24" s="202">
        <f>P15</f>
        <v>0</v>
      </c>
      <c r="AZ24" s="69"/>
      <c r="BA24" s="69"/>
      <c r="BB24" s="69"/>
      <c r="BC24" s="69"/>
      <c r="BD24" s="70"/>
      <c r="BE24" s="71" t="str">
        <f>CONCATENATE(R15,"x",S15," - ",T15,"x",U15," - ",V15,"x",W15," - ",X15,"x",Y15," - ",Z15,"x",AA15)</f>
        <v>x - x - x - x - x</v>
      </c>
      <c r="BF24" s="72" t="str">
        <f>AJ15</f>
        <v/>
      </c>
      <c r="BG24" s="73"/>
      <c r="BH24" s="74" t="str">
        <f>AL15</f>
        <v/>
      </c>
      <c r="BI24" s="68" t="str">
        <f>AE15</f>
        <v/>
      </c>
      <c r="BJ24" s="237" t="str">
        <f t="shared" ref="BJ24:BK24" si="22">AF15</f>
        <v/>
      </c>
      <c r="BK24" s="241" t="str">
        <f t="shared" si="22"/>
        <v/>
      </c>
      <c r="BL24" s="356" t="str">
        <f>IF(BG24="","",(BK25+BJ25))</f>
        <v/>
      </c>
      <c r="BM24" s="357"/>
      <c r="BN24" s="358"/>
      <c r="BO24" s="359"/>
      <c r="BP24" s="359"/>
      <c r="BQ24" s="359"/>
      <c r="BR24" s="211">
        <f>AB15</f>
        <v>0</v>
      </c>
      <c r="BS24" s="357">
        <f>IF(BR25=0,0,BR25*AP15)</f>
        <v>0</v>
      </c>
      <c r="BT24" s="360"/>
      <c r="BU24" s="360"/>
      <c r="BV24" s="360"/>
      <c r="BW24" s="360"/>
      <c r="BX24" s="357">
        <f>IF(BR25=0,0,(BR25/BI25)-(BR25/BI24))</f>
        <v>0</v>
      </c>
      <c r="BY24" s="365"/>
      <c r="CB24" s="76"/>
      <c r="CF24" s="24"/>
      <c r="CG24" s="24"/>
      <c r="CH24" s="24"/>
      <c r="CL24" s="167">
        <v>2000</v>
      </c>
      <c r="CM24" s="163">
        <v>20</v>
      </c>
      <c r="EG24" s="24" t="str">
        <f>IFERROR(IF(bgr!CO20=0,"",bgr!CO20),"")</f>
        <v/>
      </c>
      <c r="EH24" s="24" t="str">
        <f>IFERROR(IF(bgr!CP20=0,"",bgr!CP20),"")</f>
        <v/>
      </c>
    </row>
    <row r="25" spans="2:138" ht="68.25" customHeight="1">
      <c r="B25" s="189" t="str">
        <f t="shared" si="5"/>
        <v/>
      </c>
      <c r="C25" s="97" t="str">
        <f>BL44</f>
        <v/>
      </c>
      <c r="D25" s="97">
        <f>BM44</f>
        <v>0</v>
      </c>
      <c r="E25" s="43"/>
      <c r="F25" s="179"/>
      <c r="G25" s="180"/>
      <c r="H25" s="181"/>
      <c r="I25" s="181">
        <f t="shared" si="6"/>
        <v>0</v>
      </c>
      <c r="J25" s="181"/>
      <c r="K25" s="181"/>
      <c r="L25" s="181"/>
      <c r="M25" s="181"/>
      <c r="N25" s="181"/>
      <c r="O25" s="182" t="str">
        <f>IF(E25="","",IF(VLOOKUP(E25,#REF!,12,FALSE)="","",VLOOKUP(E25,#REF!,12,FALSE)))</f>
        <v/>
      </c>
      <c r="P25" s="44"/>
      <c r="Q25" s="45"/>
      <c r="R25" s="46"/>
      <c r="S25" s="47"/>
      <c r="T25" s="47"/>
      <c r="U25" s="47"/>
      <c r="V25" s="47"/>
      <c r="W25" s="47"/>
      <c r="X25" s="43"/>
      <c r="Y25" s="47"/>
      <c r="Z25" s="47"/>
      <c r="AA25" s="45"/>
      <c r="AB25" s="189">
        <f t="shared" si="0"/>
        <v>0</v>
      </c>
      <c r="AC25" s="30" t="str">
        <f t="shared" si="7"/>
        <v/>
      </c>
      <c r="AD25" s="183" t="str">
        <f t="shared" si="8"/>
        <v/>
      </c>
      <c r="AE25" s="177" t="str">
        <f t="shared" si="9"/>
        <v/>
      </c>
      <c r="AF25" s="31" t="str">
        <f t="shared" si="1"/>
        <v/>
      </c>
      <c r="AG25" s="184" t="str">
        <f t="shared" si="10"/>
        <v/>
      </c>
      <c r="AH25" s="185" t="str">
        <f t="shared" si="11"/>
        <v/>
      </c>
      <c r="AI25" s="186" t="str">
        <f t="shared" si="12"/>
        <v/>
      </c>
      <c r="AJ25" s="190" t="str">
        <f t="shared" si="13"/>
        <v/>
      </c>
      <c r="AK25" s="32" t="str">
        <f t="shared" si="14"/>
        <v/>
      </c>
      <c r="AL25" s="187" t="str">
        <f t="shared" si="15"/>
        <v/>
      </c>
      <c r="AM25" s="187" t="str">
        <f t="shared" si="2"/>
        <v/>
      </c>
      <c r="AN25" s="187" t="str">
        <f t="shared" si="3"/>
        <v/>
      </c>
      <c r="AO25" s="187" t="str">
        <f t="shared" si="4"/>
        <v/>
      </c>
      <c r="AP25" s="188" t="str">
        <f>IF(E25="","",VLOOKUP(E25,#REF!,2,FALSE))</f>
        <v/>
      </c>
      <c r="AQ25" s="191"/>
      <c r="AR25" s="192"/>
      <c r="AS25" s="193"/>
      <c r="AT25" s="194"/>
      <c r="AU25" s="138"/>
      <c r="AV25" s="76"/>
      <c r="AW25" s="374"/>
      <c r="AX25" s="355"/>
      <c r="AY25" s="203">
        <f>Q15</f>
        <v>0</v>
      </c>
      <c r="AZ25" s="77"/>
      <c r="BA25" s="77"/>
      <c r="BB25" s="77"/>
      <c r="BC25" s="77"/>
      <c r="BD25" s="52"/>
      <c r="BE25" s="247"/>
      <c r="BF25" s="78" t="str">
        <f>AK15</f>
        <v/>
      </c>
      <c r="BG25" s="79"/>
      <c r="BH25" s="80" t="str">
        <f>IF(BR25=0,"",(((BR25)/((BJ25+BK25)/60))))</f>
        <v/>
      </c>
      <c r="BI25" s="81"/>
      <c r="BJ25" s="234"/>
      <c r="BK25" s="242" t="str">
        <f>IF(BG25="","",((BG25-BG24)*60*24)-(BJ25+BM24+BY24))</f>
        <v/>
      </c>
      <c r="BL25" s="356"/>
      <c r="BM25" s="357"/>
      <c r="BN25" s="358"/>
      <c r="BO25" s="359"/>
      <c r="BP25" s="359"/>
      <c r="BQ25" s="359"/>
      <c r="BR25" s="210">
        <f>Pending!AW11</f>
        <v>0</v>
      </c>
      <c r="BS25" s="357"/>
      <c r="BT25" s="360"/>
      <c r="BU25" s="360"/>
      <c r="BV25" s="360"/>
      <c r="BW25" s="360"/>
      <c r="BX25" s="357"/>
      <c r="BY25" s="366"/>
      <c r="CB25" s="76"/>
      <c r="CF25" s="24"/>
      <c r="CG25" s="24"/>
      <c r="CH25" s="24"/>
      <c r="CL25" s="167">
        <v>2100</v>
      </c>
      <c r="CM25" s="163">
        <v>18</v>
      </c>
      <c r="EG25" s="24" t="str">
        <f>IFERROR(IF(bgr!CO21=0,"",bgr!CO21),"")</f>
        <v/>
      </c>
      <c r="EH25" s="24" t="str">
        <f>IFERROR(IF(bgr!CP21=0,"",bgr!CP21),"")</f>
        <v/>
      </c>
    </row>
    <row r="26" spans="2:138" ht="68.25" customHeight="1">
      <c r="B26" s="189" t="str">
        <f t="shared" si="5"/>
        <v/>
      </c>
      <c r="C26" s="97" t="str">
        <f>BL46</f>
        <v/>
      </c>
      <c r="D26" s="97">
        <f>BM46</f>
        <v>0</v>
      </c>
      <c r="E26" s="43"/>
      <c r="F26" s="179"/>
      <c r="G26" s="180"/>
      <c r="H26" s="181"/>
      <c r="I26" s="181">
        <f t="shared" si="6"/>
        <v>0</v>
      </c>
      <c r="J26" s="181"/>
      <c r="K26" s="181"/>
      <c r="L26" s="181"/>
      <c r="M26" s="181"/>
      <c r="N26" s="181"/>
      <c r="O26" s="182" t="str">
        <f>IF(E26="","",IF(VLOOKUP(E26,#REF!,12,FALSE)="","",VLOOKUP(E26,#REF!,12,FALSE)))</f>
        <v/>
      </c>
      <c r="P26" s="44"/>
      <c r="Q26" s="45"/>
      <c r="R26" s="46"/>
      <c r="S26" s="47"/>
      <c r="T26" s="47"/>
      <c r="U26" s="47"/>
      <c r="V26" s="47"/>
      <c r="W26" s="47"/>
      <c r="X26" s="43"/>
      <c r="Y26" s="47"/>
      <c r="Z26" s="47"/>
      <c r="AA26" s="45"/>
      <c r="AB26" s="189">
        <f t="shared" si="0"/>
        <v>0</v>
      </c>
      <c r="AC26" s="30" t="str">
        <f t="shared" si="7"/>
        <v/>
      </c>
      <c r="AD26" s="183" t="str">
        <f t="shared" si="8"/>
        <v/>
      </c>
      <c r="AE26" s="177" t="str">
        <f t="shared" si="9"/>
        <v/>
      </c>
      <c r="AF26" s="31" t="str">
        <f t="shared" si="1"/>
        <v/>
      </c>
      <c r="AG26" s="184" t="str">
        <f t="shared" si="10"/>
        <v/>
      </c>
      <c r="AH26" s="185" t="str">
        <f t="shared" si="11"/>
        <v/>
      </c>
      <c r="AI26" s="186" t="str">
        <f t="shared" si="12"/>
        <v/>
      </c>
      <c r="AJ26" s="190" t="str">
        <f t="shared" si="13"/>
        <v/>
      </c>
      <c r="AK26" s="32" t="str">
        <f t="shared" si="14"/>
        <v/>
      </c>
      <c r="AL26" s="187" t="str">
        <f t="shared" si="15"/>
        <v/>
      </c>
      <c r="AM26" s="187" t="str">
        <f t="shared" si="2"/>
        <v/>
      </c>
      <c r="AN26" s="187" t="str">
        <f t="shared" si="3"/>
        <v/>
      </c>
      <c r="AO26" s="187" t="str">
        <f t="shared" si="4"/>
        <v/>
      </c>
      <c r="AP26" s="188" t="str">
        <f>IF(E26="","",VLOOKUP(E26,#REF!,2,FALSE))</f>
        <v/>
      </c>
      <c r="AQ26" s="191"/>
      <c r="AR26" s="192"/>
      <c r="AS26" s="193"/>
      <c r="AT26" s="194"/>
      <c r="AU26" s="138"/>
      <c r="AV26" s="76"/>
      <c r="AW26" s="367">
        <v>11</v>
      </c>
      <c r="AX26" s="368" t="str">
        <f>CONCATENATE(F16, "-", G16,"-",L16,"x",M16,"x",N16)</f>
        <v>--xx</v>
      </c>
      <c r="AY26" s="204">
        <f>P16</f>
        <v>0</v>
      </c>
      <c r="AZ26" s="84"/>
      <c r="BA26" s="84"/>
      <c r="BB26" s="84"/>
      <c r="BC26" s="84"/>
      <c r="BD26" s="70"/>
      <c r="BE26" s="85" t="str">
        <f>CONCATENATE(R16,"x",S16," - ",T16,"x",U16," - ",V16,"x",W16," - ",X16,"x",Y16," - ",Z16,"x",AA16)</f>
        <v>x - x - x - x - x</v>
      </c>
      <c r="BF26" s="86" t="str">
        <f>AJ16</f>
        <v/>
      </c>
      <c r="BG26" s="87"/>
      <c r="BH26" s="88" t="str">
        <f>AL16</f>
        <v/>
      </c>
      <c r="BI26" s="83" t="str">
        <f>AE16</f>
        <v/>
      </c>
      <c r="BJ26" s="238" t="str">
        <f t="shared" ref="BJ26:BK26" si="23">AF16</f>
        <v/>
      </c>
      <c r="BK26" s="243" t="str">
        <f t="shared" si="23"/>
        <v/>
      </c>
      <c r="BL26" s="369" t="str">
        <f>IF(BG26="","",(BK27+BJ27))</f>
        <v/>
      </c>
      <c r="BM26" s="350"/>
      <c r="BN26" s="370"/>
      <c r="BO26" s="372"/>
      <c r="BP26" s="372"/>
      <c r="BQ26" s="372"/>
      <c r="BR26" s="212">
        <f>AB16</f>
        <v>0</v>
      </c>
      <c r="BS26" s="350">
        <f>IF(BR27=0,0,BR27*AP16)</f>
        <v>0</v>
      </c>
      <c r="BT26" s="373"/>
      <c r="BU26" s="373"/>
      <c r="BV26" s="373"/>
      <c r="BW26" s="373"/>
      <c r="BX26" s="350">
        <f>IF(BR27=0,0,(BR27/BI27)-(BR27/BI26))</f>
        <v>0</v>
      </c>
      <c r="BY26" s="371"/>
      <c r="CB26" s="76"/>
      <c r="CF26" s="24"/>
      <c r="CG26" s="24"/>
      <c r="CH26" s="24"/>
      <c r="CL26" s="167">
        <v>2200</v>
      </c>
      <c r="CM26" s="163">
        <v>17</v>
      </c>
      <c r="EG26" s="24" t="str">
        <f>IFERROR(IF(bgr!CO22=0,"",bgr!CO22),"")</f>
        <v/>
      </c>
      <c r="EH26" s="24" t="str">
        <f>IFERROR(IF(bgr!CP22=0,"",bgr!CP22),"")</f>
        <v/>
      </c>
    </row>
    <row r="27" spans="2:138" ht="68.25" customHeight="1">
      <c r="B27" s="189" t="str">
        <f t="shared" si="5"/>
        <v/>
      </c>
      <c r="C27" s="97" t="str">
        <f>BL48</f>
        <v/>
      </c>
      <c r="D27" s="97">
        <f>BM48</f>
        <v>0</v>
      </c>
      <c r="E27" s="43"/>
      <c r="F27" s="179"/>
      <c r="G27" s="180"/>
      <c r="H27" s="181"/>
      <c r="I27" s="181">
        <f t="shared" si="6"/>
        <v>0</v>
      </c>
      <c r="J27" s="181"/>
      <c r="K27" s="181"/>
      <c r="L27" s="181"/>
      <c r="M27" s="181"/>
      <c r="N27" s="181"/>
      <c r="O27" s="182" t="str">
        <f>IF(E27="","",IF(VLOOKUP(E27,#REF!,12,FALSE)="","",VLOOKUP(E27,#REF!,12,FALSE)))</f>
        <v/>
      </c>
      <c r="P27" s="44"/>
      <c r="Q27" s="45"/>
      <c r="R27" s="46"/>
      <c r="S27" s="47"/>
      <c r="T27" s="47"/>
      <c r="U27" s="47"/>
      <c r="V27" s="47"/>
      <c r="W27" s="47"/>
      <c r="X27" s="43"/>
      <c r="Y27" s="47"/>
      <c r="Z27" s="47"/>
      <c r="AA27" s="45"/>
      <c r="AB27" s="189">
        <f t="shared" si="0"/>
        <v>0</v>
      </c>
      <c r="AC27" s="30" t="str">
        <f t="shared" si="7"/>
        <v/>
      </c>
      <c r="AD27" s="183" t="str">
        <f t="shared" si="8"/>
        <v/>
      </c>
      <c r="AE27" s="177" t="str">
        <f t="shared" si="9"/>
        <v/>
      </c>
      <c r="AF27" s="31" t="str">
        <f t="shared" si="1"/>
        <v/>
      </c>
      <c r="AG27" s="184" t="str">
        <f t="shared" si="10"/>
        <v/>
      </c>
      <c r="AH27" s="185" t="str">
        <f t="shared" si="11"/>
        <v/>
      </c>
      <c r="AI27" s="186" t="str">
        <f t="shared" si="12"/>
        <v/>
      </c>
      <c r="AJ27" s="190" t="str">
        <f t="shared" si="13"/>
        <v/>
      </c>
      <c r="AK27" s="32" t="str">
        <f t="shared" si="14"/>
        <v/>
      </c>
      <c r="AL27" s="187" t="str">
        <f t="shared" si="15"/>
        <v/>
      </c>
      <c r="AM27" s="187" t="str">
        <f t="shared" si="2"/>
        <v/>
      </c>
      <c r="AN27" s="187" t="str">
        <f t="shared" si="3"/>
        <v/>
      </c>
      <c r="AO27" s="187" t="str">
        <f t="shared" si="4"/>
        <v/>
      </c>
      <c r="AP27" s="188" t="str">
        <f>IF(E27="","",VLOOKUP(E27,#REF!,2,FALSE))</f>
        <v/>
      </c>
      <c r="AQ27" s="191"/>
      <c r="AR27" s="192"/>
      <c r="AS27" s="193"/>
      <c r="AT27" s="194"/>
      <c r="AU27" s="138"/>
      <c r="AV27" s="76"/>
      <c r="AW27" s="336"/>
      <c r="AX27" s="368"/>
      <c r="AY27" s="201">
        <f>Q16</f>
        <v>0</v>
      </c>
      <c r="AZ27" s="51"/>
      <c r="BA27" s="51"/>
      <c r="BB27" s="51"/>
      <c r="BC27" s="51"/>
      <c r="BD27" s="52"/>
      <c r="BE27" s="247"/>
      <c r="BF27" s="53" t="str">
        <f>AK16</f>
        <v/>
      </c>
      <c r="BG27" s="54"/>
      <c r="BH27" s="55" t="str">
        <f>IF(BR27=0,"",(((BR27)/((BJ27+BK27)/60))))</f>
        <v/>
      </c>
      <c r="BI27" s="56"/>
      <c r="BJ27" s="233"/>
      <c r="BK27" s="240" t="str">
        <f>IF(BG27="","",((BG27-BG26)*60*24)-(BJ27+BM26+BY26))</f>
        <v/>
      </c>
      <c r="BL27" s="369"/>
      <c r="BM27" s="350"/>
      <c r="BN27" s="370"/>
      <c r="BO27" s="372"/>
      <c r="BP27" s="372"/>
      <c r="BQ27" s="372"/>
      <c r="BR27" s="210">
        <f>Pending!AW12</f>
        <v>0</v>
      </c>
      <c r="BS27" s="350"/>
      <c r="BT27" s="373"/>
      <c r="BU27" s="373"/>
      <c r="BV27" s="373"/>
      <c r="BW27" s="373"/>
      <c r="BX27" s="350"/>
      <c r="BY27" s="352"/>
      <c r="CB27" s="76"/>
      <c r="CF27" s="24"/>
      <c r="CG27" s="24"/>
      <c r="CH27" s="24"/>
      <c r="CL27" s="167">
        <v>2300</v>
      </c>
      <c r="CM27" s="163">
        <v>16</v>
      </c>
      <c r="EG27" s="24" t="str">
        <f>IFERROR(IF(bgr!CO23=0,"",bgr!CO23),"")</f>
        <v/>
      </c>
      <c r="EH27" s="24" t="str">
        <f>IFERROR(IF(bgr!CP23=0,"",bgr!CP23),"")</f>
        <v/>
      </c>
    </row>
    <row r="28" spans="2:138" ht="68.25" customHeight="1">
      <c r="B28" s="189" t="str">
        <f t="shared" si="5"/>
        <v/>
      </c>
      <c r="C28" s="97" t="str">
        <f>BL50</f>
        <v/>
      </c>
      <c r="D28" s="97">
        <f>BM50</f>
        <v>0</v>
      </c>
      <c r="E28" s="43"/>
      <c r="F28" s="179"/>
      <c r="G28" s="180"/>
      <c r="H28" s="181"/>
      <c r="I28" s="181">
        <f t="shared" si="6"/>
        <v>0</v>
      </c>
      <c r="J28" s="181"/>
      <c r="K28" s="181"/>
      <c r="L28" s="181"/>
      <c r="M28" s="181"/>
      <c r="N28" s="181"/>
      <c r="O28" s="182" t="str">
        <f>IF(E28="","",IF(VLOOKUP(E28,#REF!,12,FALSE)="","",VLOOKUP(E28,#REF!,12,FALSE)))</f>
        <v/>
      </c>
      <c r="P28" s="44"/>
      <c r="Q28" s="45"/>
      <c r="R28" s="46"/>
      <c r="S28" s="47"/>
      <c r="T28" s="47"/>
      <c r="U28" s="47"/>
      <c r="V28" s="47"/>
      <c r="W28" s="47"/>
      <c r="X28" s="43"/>
      <c r="Y28" s="47"/>
      <c r="Z28" s="47"/>
      <c r="AA28" s="45"/>
      <c r="AB28" s="189">
        <f t="shared" si="0"/>
        <v>0</v>
      </c>
      <c r="AC28" s="30" t="str">
        <f t="shared" si="7"/>
        <v/>
      </c>
      <c r="AD28" s="183" t="str">
        <f t="shared" si="8"/>
        <v/>
      </c>
      <c r="AE28" s="177" t="str">
        <f t="shared" si="9"/>
        <v/>
      </c>
      <c r="AF28" s="31" t="str">
        <f t="shared" si="1"/>
        <v/>
      </c>
      <c r="AG28" s="184" t="str">
        <f t="shared" si="10"/>
        <v/>
      </c>
      <c r="AH28" s="185" t="str">
        <f t="shared" si="11"/>
        <v/>
      </c>
      <c r="AI28" s="186" t="str">
        <f t="shared" si="12"/>
        <v/>
      </c>
      <c r="AJ28" s="190" t="str">
        <f t="shared" si="13"/>
        <v/>
      </c>
      <c r="AK28" s="32" t="str">
        <f t="shared" si="14"/>
        <v/>
      </c>
      <c r="AL28" s="187" t="str">
        <f t="shared" si="15"/>
        <v/>
      </c>
      <c r="AM28" s="187" t="str">
        <f t="shared" si="2"/>
        <v/>
      </c>
      <c r="AN28" s="187" t="str">
        <f t="shared" si="3"/>
        <v/>
      </c>
      <c r="AO28" s="187" t="str">
        <f t="shared" si="4"/>
        <v/>
      </c>
      <c r="AP28" s="188" t="str">
        <f>IF(E28="","",VLOOKUP(E28,#REF!,2,FALSE))</f>
        <v/>
      </c>
      <c r="AQ28" s="191"/>
      <c r="AR28" s="192"/>
      <c r="AS28" s="193"/>
      <c r="AT28" s="194"/>
      <c r="AU28" s="138"/>
      <c r="AV28" s="76"/>
      <c r="AW28" s="353">
        <v>12</v>
      </c>
      <c r="AX28" s="355" t="str">
        <f>CONCATENATE(F17, "-", G17,"-",L17,"x",M17,"x",N17)</f>
        <v>--xx</v>
      </c>
      <c r="AY28" s="202">
        <f>P17</f>
        <v>0</v>
      </c>
      <c r="AZ28" s="69"/>
      <c r="BA28" s="69"/>
      <c r="BB28" s="69"/>
      <c r="BC28" s="69"/>
      <c r="BD28" s="70"/>
      <c r="BE28" s="71" t="str">
        <f>CONCATENATE(R17,"x",S17," - ",T17,"x",U17," - ",V17,"x",W17," - ",X17,"x",Y17," - ",Z17,"x",AA17)</f>
        <v>x - x - x - x - x</v>
      </c>
      <c r="BF28" s="72" t="str">
        <f>AJ17</f>
        <v/>
      </c>
      <c r="BG28" s="73"/>
      <c r="BH28" s="74" t="str">
        <f>AL17</f>
        <v/>
      </c>
      <c r="BI28" s="68" t="str">
        <f>AE17</f>
        <v/>
      </c>
      <c r="BJ28" s="237" t="str">
        <f>AF17</f>
        <v/>
      </c>
      <c r="BK28" s="241" t="str">
        <f>AG17</f>
        <v/>
      </c>
      <c r="BL28" s="356" t="str">
        <f>IF(BG28="","",(BK29+BJ29))</f>
        <v/>
      </c>
      <c r="BM28" s="357"/>
      <c r="BN28" s="358"/>
      <c r="BO28" s="359"/>
      <c r="BP28" s="359"/>
      <c r="BQ28" s="359"/>
      <c r="BR28" s="211">
        <f>AB17</f>
        <v>0</v>
      </c>
      <c r="BS28" s="357">
        <f>IF(BR29=0,0,BR29*AP17)</f>
        <v>0</v>
      </c>
      <c r="BT28" s="360"/>
      <c r="BU28" s="360"/>
      <c r="BV28" s="360"/>
      <c r="BW28" s="360"/>
      <c r="BX28" s="357">
        <f>IF(BR29=0,0,(BR29/BI29)-(BR29/BI28))</f>
        <v>0</v>
      </c>
      <c r="BY28" s="365"/>
      <c r="CB28" s="76"/>
      <c r="CF28" s="24"/>
      <c r="CG28" s="24"/>
      <c r="CH28" s="24"/>
      <c r="CL28" s="167">
        <v>2400</v>
      </c>
      <c r="CM28" s="163">
        <v>16</v>
      </c>
      <c r="EG28" s="24" t="str">
        <f>IFERROR(IF(bgr!CO24=0,"",bgr!CO24),"")</f>
        <v/>
      </c>
      <c r="EH28" s="24" t="str">
        <f>IFERROR(IF(bgr!CP24=0,"",bgr!CP24),"")</f>
        <v/>
      </c>
    </row>
    <row r="29" spans="2:138" ht="68.25" customHeight="1">
      <c r="B29" s="189" t="str">
        <f t="shared" si="5"/>
        <v/>
      </c>
      <c r="C29" s="97" t="str">
        <f>BL52</f>
        <v/>
      </c>
      <c r="D29" s="97">
        <f>BM52</f>
        <v>0</v>
      </c>
      <c r="E29" s="43"/>
      <c r="F29" s="179"/>
      <c r="G29" s="180"/>
      <c r="H29" s="181"/>
      <c r="I29" s="181">
        <f t="shared" si="6"/>
        <v>0</v>
      </c>
      <c r="J29" s="181"/>
      <c r="K29" s="181"/>
      <c r="L29" s="181"/>
      <c r="M29" s="181"/>
      <c r="N29" s="181"/>
      <c r="O29" s="182" t="str">
        <f>IF(E29="","",IF(VLOOKUP(E29,#REF!,12,FALSE)="","",VLOOKUP(E29,#REF!,12,FALSE)))</f>
        <v/>
      </c>
      <c r="P29" s="44"/>
      <c r="Q29" s="45"/>
      <c r="R29" s="46"/>
      <c r="S29" s="47"/>
      <c r="T29" s="47"/>
      <c r="U29" s="47"/>
      <c r="V29" s="47"/>
      <c r="W29" s="47"/>
      <c r="X29" s="43"/>
      <c r="Y29" s="47"/>
      <c r="Z29" s="47"/>
      <c r="AA29" s="45"/>
      <c r="AB29" s="189">
        <f t="shared" si="0"/>
        <v>0</v>
      </c>
      <c r="AC29" s="30" t="str">
        <f t="shared" si="7"/>
        <v/>
      </c>
      <c r="AD29" s="183" t="str">
        <f t="shared" si="8"/>
        <v/>
      </c>
      <c r="AE29" s="177" t="str">
        <f t="shared" si="9"/>
        <v/>
      </c>
      <c r="AF29" s="31" t="str">
        <f t="shared" si="1"/>
        <v/>
      </c>
      <c r="AG29" s="184" t="str">
        <f t="shared" si="10"/>
        <v/>
      </c>
      <c r="AH29" s="185" t="str">
        <f t="shared" si="11"/>
        <v/>
      </c>
      <c r="AI29" s="186" t="str">
        <f t="shared" si="12"/>
        <v/>
      </c>
      <c r="AJ29" s="190" t="str">
        <f t="shared" si="13"/>
        <v/>
      </c>
      <c r="AK29" s="32" t="str">
        <f t="shared" si="14"/>
        <v/>
      </c>
      <c r="AL29" s="187" t="str">
        <f t="shared" si="15"/>
        <v/>
      </c>
      <c r="AM29" s="187" t="str">
        <f t="shared" si="2"/>
        <v/>
      </c>
      <c r="AN29" s="187" t="str">
        <f t="shared" si="3"/>
        <v/>
      </c>
      <c r="AO29" s="187" t="str">
        <f t="shared" si="4"/>
        <v/>
      </c>
      <c r="AP29" s="188" t="str">
        <f>IF(E29="","",VLOOKUP(E29,#REF!,2,FALSE))</f>
        <v/>
      </c>
      <c r="AQ29" s="191"/>
      <c r="AR29" s="192"/>
      <c r="AS29" s="193"/>
      <c r="AT29" s="194"/>
      <c r="AU29" s="138"/>
      <c r="AV29" s="76"/>
      <c r="AW29" s="374"/>
      <c r="AX29" s="355"/>
      <c r="AY29" s="203">
        <f>Q17</f>
        <v>0</v>
      </c>
      <c r="AZ29" s="77"/>
      <c r="BA29" s="77"/>
      <c r="BB29" s="77"/>
      <c r="BC29" s="77"/>
      <c r="BD29" s="52"/>
      <c r="BE29" s="247"/>
      <c r="BF29" s="78" t="str">
        <f>AK17</f>
        <v/>
      </c>
      <c r="BG29" s="79"/>
      <c r="BH29" s="80" t="str">
        <f>IF(BR29=0,"",(((BR29)/((BJ29+BK29)/60))))</f>
        <v/>
      </c>
      <c r="BI29" s="81"/>
      <c r="BJ29" s="234"/>
      <c r="BK29" s="242" t="str">
        <f>IF(BG29="","",((BG29-BG28)*60*24)-(BJ29+BM28+BY28))</f>
        <v/>
      </c>
      <c r="BL29" s="356"/>
      <c r="BM29" s="357"/>
      <c r="BN29" s="358"/>
      <c r="BO29" s="359"/>
      <c r="BP29" s="359"/>
      <c r="BQ29" s="359"/>
      <c r="BR29" s="210">
        <f>Pending!AW13</f>
        <v>0</v>
      </c>
      <c r="BS29" s="357"/>
      <c r="BT29" s="360"/>
      <c r="BU29" s="360"/>
      <c r="BV29" s="360"/>
      <c r="BW29" s="360"/>
      <c r="BX29" s="357"/>
      <c r="BY29" s="366"/>
      <c r="CB29" s="76"/>
      <c r="CF29" s="24"/>
      <c r="CG29" s="24"/>
      <c r="CH29" s="24"/>
      <c r="CL29" s="167">
        <v>2500</v>
      </c>
      <c r="CM29" s="163">
        <v>15</v>
      </c>
      <c r="EG29" s="24" t="str">
        <f>IFERROR(IF(bgr!CO25=0,"",bgr!CO25),"")</f>
        <v/>
      </c>
      <c r="EH29" s="24" t="str">
        <f>IFERROR(IF(bgr!CP25=0,"",bgr!CP25),"")</f>
        <v/>
      </c>
    </row>
    <row r="30" spans="2:138" ht="68.25" customHeight="1">
      <c r="B30" s="189" t="str">
        <f t="shared" si="5"/>
        <v/>
      </c>
      <c r="C30" s="97" t="str">
        <f>BL54</f>
        <v/>
      </c>
      <c r="D30" s="97">
        <f>BM54</f>
        <v>0</v>
      </c>
      <c r="E30" s="43"/>
      <c r="F30" s="179"/>
      <c r="G30" s="180"/>
      <c r="H30" s="181"/>
      <c r="I30" s="181">
        <f t="shared" si="6"/>
        <v>0</v>
      </c>
      <c r="J30" s="181"/>
      <c r="K30" s="181"/>
      <c r="L30" s="181"/>
      <c r="M30" s="181"/>
      <c r="N30" s="181"/>
      <c r="O30" s="182" t="str">
        <f>IF(E30="","",IF(VLOOKUP(E30,#REF!,12,FALSE)="","",VLOOKUP(E30,#REF!,12,FALSE)))</f>
        <v/>
      </c>
      <c r="P30" s="44"/>
      <c r="Q30" s="45"/>
      <c r="R30" s="46"/>
      <c r="S30" s="47"/>
      <c r="T30" s="47"/>
      <c r="U30" s="47"/>
      <c r="V30" s="47"/>
      <c r="W30" s="47"/>
      <c r="X30" s="43"/>
      <c r="Y30" s="47"/>
      <c r="Z30" s="47"/>
      <c r="AA30" s="45"/>
      <c r="AB30" s="189">
        <f t="shared" si="0"/>
        <v>0</v>
      </c>
      <c r="AC30" s="30" t="str">
        <f t="shared" si="7"/>
        <v/>
      </c>
      <c r="AD30" s="183" t="str">
        <f t="shared" si="8"/>
        <v/>
      </c>
      <c r="AE30" s="177" t="str">
        <f t="shared" si="9"/>
        <v/>
      </c>
      <c r="AF30" s="31" t="str">
        <f t="shared" si="1"/>
        <v/>
      </c>
      <c r="AG30" s="184" t="str">
        <f t="shared" si="10"/>
        <v/>
      </c>
      <c r="AH30" s="185" t="str">
        <f t="shared" si="11"/>
        <v/>
      </c>
      <c r="AI30" s="186" t="str">
        <f t="shared" si="12"/>
        <v/>
      </c>
      <c r="AJ30" s="190" t="str">
        <f t="shared" si="13"/>
        <v/>
      </c>
      <c r="AK30" s="32" t="str">
        <f t="shared" si="14"/>
        <v/>
      </c>
      <c r="AL30" s="187" t="str">
        <f t="shared" si="15"/>
        <v/>
      </c>
      <c r="AM30" s="187" t="str">
        <f t="shared" si="2"/>
        <v/>
      </c>
      <c r="AN30" s="187" t="str">
        <f t="shared" si="3"/>
        <v/>
      </c>
      <c r="AO30" s="187" t="str">
        <f t="shared" si="4"/>
        <v/>
      </c>
      <c r="AP30" s="188" t="str">
        <f>IF(E30="","",VLOOKUP(E30,#REF!,2,FALSE))</f>
        <v/>
      </c>
      <c r="AQ30" s="191"/>
      <c r="AR30" s="192"/>
      <c r="AS30" s="193"/>
      <c r="AT30" s="194"/>
      <c r="AU30" s="138"/>
      <c r="AV30" s="76"/>
      <c r="AW30" s="367">
        <v>13</v>
      </c>
      <c r="AX30" s="368" t="str">
        <f>CONCATENATE(F18, "-", G18,"-",L18,"x",M18,"x",N18)</f>
        <v>--xx</v>
      </c>
      <c r="AY30" s="204">
        <f>P18</f>
        <v>0</v>
      </c>
      <c r="AZ30" s="84"/>
      <c r="BA30" s="84"/>
      <c r="BB30" s="84"/>
      <c r="BC30" s="84"/>
      <c r="BD30" s="70"/>
      <c r="BE30" s="85" t="str">
        <f>CONCATENATE(R18,"x",S18," - ",T18,"x",U18," - ",V18,"x",W18," - ",X18,"x",Y18," - ",Z18,"x",AA18)</f>
        <v>x - x - x - x - x</v>
      </c>
      <c r="BF30" s="86" t="str">
        <f>AJ18</f>
        <v/>
      </c>
      <c r="BG30" s="87"/>
      <c r="BH30" s="88" t="str">
        <f>AL18</f>
        <v/>
      </c>
      <c r="BI30" s="83" t="str">
        <f>AE18</f>
        <v/>
      </c>
      <c r="BJ30" s="238" t="str">
        <f t="shared" ref="BJ30:BK30" si="24">AF18</f>
        <v/>
      </c>
      <c r="BK30" s="243" t="str">
        <f t="shared" si="24"/>
        <v/>
      </c>
      <c r="BL30" s="369" t="str">
        <f>IF(BG30="","",(BK31+BJ31))</f>
        <v/>
      </c>
      <c r="BM30" s="350"/>
      <c r="BN30" s="370"/>
      <c r="BO30" s="372"/>
      <c r="BP30" s="372"/>
      <c r="BQ30" s="372"/>
      <c r="BR30" s="212">
        <f>AB18</f>
        <v>0</v>
      </c>
      <c r="BS30" s="350">
        <f>IF(BR31=0,0,BR31*AP18)</f>
        <v>0</v>
      </c>
      <c r="BT30" s="373"/>
      <c r="BU30" s="373"/>
      <c r="BV30" s="373"/>
      <c r="BW30" s="373"/>
      <c r="BX30" s="350">
        <f>IF(BR31=0,0,(BR31/BI31)-(BR31/BI30))</f>
        <v>0</v>
      </c>
      <c r="BY30" s="371"/>
      <c r="CF30" s="24"/>
      <c r="CG30" s="24"/>
      <c r="CH30" s="24"/>
      <c r="CL30" s="167">
        <v>2600</v>
      </c>
      <c r="CM30" s="163">
        <v>14</v>
      </c>
      <c r="EG30" s="24" t="str">
        <f>IFERROR(IF(bgr!CO26=0,"",bgr!CO26),"")</f>
        <v/>
      </c>
      <c r="EH30" s="24" t="str">
        <f>IFERROR(IF(bgr!CP26=0,"",bgr!CP26),"")</f>
        <v/>
      </c>
    </row>
    <row r="31" spans="2:138" ht="68.25" customHeight="1">
      <c r="B31" s="189" t="str">
        <f t="shared" si="5"/>
        <v/>
      </c>
      <c r="C31" s="97" t="str">
        <f>BL56</f>
        <v/>
      </c>
      <c r="D31" s="97">
        <f>BM56</f>
        <v>0</v>
      </c>
      <c r="E31" s="43"/>
      <c r="F31" s="179"/>
      <c r="G31" s="180"/>
      <c r="H31" s="181"/>
      <c r="I31" s="181">
        <f t="shared" si="6"/>
        <v>0</v>
      </c>
      <c r="J31" s="181"/>
      <c r="K31" s="181"/>
      <c r="L31" s="181"/>
      <c r="M31" s="181"/>
      <c r="N31" s="181"/>
      <c r="O31" s="182" t="str">
        <f>IF(E31="","",IF(VLOOKUP(E31,#REF!,12,FALSE)="","",VLOOKUP(E31,#REF!,12,FALSE)))</f>
        <v/>
      </c>
      <c r="P31" s="44"/>
      <c r="Q31" s="45"/>
      <c r="R31" s="46"/>
      <c r="S31" s="47"/>
      <c r="T31" s="47"/>
      <c r="U31" s="47"/>
      <c r="V31" s="47"/>
      <c r="W31" s="47"/>
      <c r="X31" s="43"/>
      <c r="Y31" s="47"/>
      <c r="Z31" s="47"/>
      <c r="AA31" s="45"/>
      <c r="AB31" s="189">
        <f t="shared" si="0"/>
        <v>0</v>
      </c>
      <c r="AC31" s="30" t="str">
        <f t="shared" si="7"/>
        <v/>
      </c>
      <c r="AD31" s="183" t="str">
        <f t="shared" si="8"/>
        <v/>
      </c>
      <c r="AE31" s="177" t="str">
        <f t="shared" si="9"/>
        <v/>
      </c>
      <c r="AF31" s="31" t="str">
        <f t="shared" si="1"/>
        <v/>
      </c>
      <c r="AG31" s="184" t="str">
        <f t="shared" si="10"/>
        <v/>
      </c>
      <c r="AH31" s="185" t="str">
        <f t="shared" si="11"/>
        <v/>
      </c>
      <c r="AI31" s="186" t="str">
        <f t="shared" si="12"/>
        <v/>
      </c>
      <c r="AJ31" s="190" t="str">
        <f t="shared" si="13"/>
        <v/>
      </c>
      <c r="AK31" s="32" t="str">
        <f t="shared" si="14"/>
        <v/>
      </c>
      <c r="AL31" s="187" t="str">
        <f t="shared" si="15"/>
        <v/>
      </c>
      <c r="AM31" s="187" t="str">
        <f t="shared" si="2"/>
        <v/>
      </c>
      <c r="AN31" s="187" t="str">
        <f t="shared" si="3"/>
        <v/>
      </c>
      <c r="AO31" s="187" t="str">
        <f t="shared" si="4"/>
        <v/>
      </c>
      <c r="AP31" s="188" t="str">
        <f>IF(E31="","",VLOOKUP(E31,#REF!,2,FALSE))</f>
        <v/>
      </c>
      <c r="AQ31" s="191"/>
      <c r="AR31" s="192"/>
      <c r="AS31" s="193"/>
      <c r="AT31" s="194"/>
      <c r="AU31" s="138"/>
      <c r="AV31" s="76"/>
      <c r="AW31" s="336"/>
      <c r="AX31" s="368"/>
      <c r="AY31" s="201">
        <f>Q18</f>
        <v>0</v>
      </c>
      <c r="AZ31" s="51"/>
      <c r="BA31" s="51"/>
      <c r="BB31" s="51"/>
      <c r="BC31" s="51"/>
      <c r="BD31" s="52"/>
      <c r="BE31" s="246"/>
      <c r="BF31" s="53" t="str">
        <f>AK18</f>
        <v/>
      </c>
      <c r="BG31" s="54"/>
      <c r="BH31" s="55" t="str">
        <f>IF(BR31=0,"",(((BR31)/((BJ31+BK31)/60))))</f>
        <v/>
      </c>
      <c r="BI31" s="56"/>
      <c r="BJ31" s="233"/>
      <c r="BK31" s="240" t="str">
        <f>IF(BG31="","",((BG31-BG30)*60*24)-(BJ31+BM30+BY30))</f>
        <v/>
      </c>
      <c r="BL31" s="369"/>
      <c r="BM31" s="350"/>
      <c r="BN31" s="370"/>
      <c r="BO31" s="372"/>
      <c r="BP31" s="372"/>
      <c r="BQ31" s="372"/>
      <c r="BR31" s="210">
        <f>Pending!AW14</f>
        <v>0</v>
      </c>
      <c r="BS31" s="350"/>
      <c r="BT31" s="373"/>
      <c r="BU31" s="373"/>
      <c r="BV31" s="373"/>
      <c r="BW31" s="373"/>
      <c r="BX31" s="350"/>
      <c r="BY31" s="352"/>
      <c r="CF31" s="24"/>
      <c r="CG31" s="24"/>
      <c r="CL31" s="167">
        <v>2700</v>
      </c>
      <c r="CM31" s="163">
        <v>14</v>
      </c>
      <c r="EG31" s="24" t="str">
        <f>IFERROR(IF(bgr!CO27=0,"",bgr!CO27),"")</f>
        <v/>
      </c>
      <c r="EH31" s="24" t="str">
        <f>IFERROR(IF(bgr!CP27=0,"",bgr!CP27),"")</f>
        <v/>
      </c>
    </row>
    <row r="32" spans="2:138" ht="68.25" customHeight="1">
      <c r="B32" s="189" t="str">
        <f t="shared" si="5"/>
        <v/>
      </c>
      <c r="C32" s="97" t="str">
        <f>BL58</f>
        <v/>
      </c>
      <c r="D32" s="97">
        <f>BM58</f>
        <v>0</v>
      </c>
      <c r="E32" s="43"/>
      <c r="F32" s="179"/>
      <c r="G32" s="180"/>
      <c r="H32" s="181"/>
      <c r="I32" s="181">
        <f t="shared" si="6"/>
        <v>0</v>
      </c>
      <c r="J32" s="181"/>
      <c r="K32" s="181"/>
      <c r="L32" s="181"/>
      <c r="M32" s="181"/>
      <c r="N32" s="181"/>
      <c r="O32" s="182" t="str">
        <f>IF(E32="","",IF(VLOOKUP(E32,#REF!,12,FALSE)="","",VLOOKUP(E32,#REF!,12,FALSE)))</f>
        <v/>
      </c>
      <c r="P32" s="44"/>
      <c r="Q32" s="45"/>
      <c r="R32" s="46"/>
      <c r="S32" s="47"/>
      <c r="T32" s="47"/>
      <c r="U32" s="47"/>
      <c r="V32" s="47"/>
      <c r="W32" s="47"/>
      <c r="X32" s="43"/>
      <c r="Y32" s="47"/>
      <c r="Z32" s="47"/>
      <c r="AA32" s="45"/>
      <c r="AB32" s="189">
        <f t="shared" si="0"/>
        <v>0</v>
      </c>
      <c r="AC32" s="30" t="str">
        <f t="shared" si="7"/>
        <v/>
      </c>
      <c r="AD32" s="183" t="str">
        <f t="shared" si="8"/>
        <v/>
      </c>
      <c r="AE32" s="177" t="str">
        <f t="shared" si="9"/>
        <v/>
      </c>
      <c r="AF32" s="31" t="str">
        <f t="shared" si="1"/>
        <v/>
      </c>
      <c r="AG32" s="184" t="str">
        <f t="shared" si="10"/>
        <v/>
      </c>
      <c r="AH32" s="185" t="str">
        <f t="shared" si="11"/>
        <v/>
      </c>
      <c r="AI32" s="186" t="str">
        <f t="shared" si="12"/>
        <v/>
      </c>
      <c r="AJ32" s="190" t="str">
        <f t="shared" si="13"/>
        <v/>
      </c>
      <c r="AK32" s="32" t="str">
        <f t="shared" si="14"/>
        <v/>
      </c>
      <c r="AL32" s="187" t="str">
        <f t="shared" si="15"/>
        <v/>
      </c>
      <c r="AM32" s="187" t="str">
        <f t="shared" si="2"/>
        <v/>
      </c>
      <c r="AN32" s="187" t="str">
        <f t="shared" si="3"/>
        <v/>
      </c>
      <c r="AO32" s="187" t="str">
        <f t="shared" si="4"/>
        <v/>
      </c>
      <c r="AP32" s="188" t="str">
        <f>IF(E32="","",VLOOKUP(E32,#REF!,2,FALSE))</f>
        <v/>
      </c>
      <c r="AQ32" s="191"/>
      <c r="AR32" s="192"/>
      <c r="AS32" s="193"/>
      <c r="AT32" s="194"/>
      <c r="AU32" s="138"/>
      <c r="AV32" s="76"/>
      <c r="AW32" s="353">
        <v>14</v>
      </c>
      <c r="AX32" s="355" t="str">
        <f>CONCATENATE(F19, "-", G19,"-",L19,"x",M19,"x",N19)</f>
        <v>--xx</v>
      </c>
      <c r="AY32" s="202">
        <f>P19</f>
        <v>0</v>
      </c>
      <c r="AZ32" s="69"/>
      <c r="BA32" s="69"/>
      <c r="BB32" s="69"/>
      <c r="BC32" s="69"/>
      <c r="BD32" s="70"/>
      <c r="BE32" s="71" t="str">
        <f>CONCATENATE(R19,"x",S19," - ",T19,"x",U19," - ",V19,"x",W19," - ",X19,"x",Y19," - ",Z19,"x",AA19)</f>
        <v>x - x - x - x - x</v>
      </c>
      <c r="BF32" s="72" t="str">
        <f>AJ19</f>
        <v/>
      </c>
      <c r="BG32" s="73"/>
      <c r="BH32" s="74" t="str">
        <f>AL19</f>
        <v/>
      </c>
      <c r="BI32" s="68" t="str">
        <f>AE19</f>
        <v/>
      </c>
      <c r="BJ32" s="237" t="str">
        <f t="shared" ref="BJ32:BK32" si="25">AF19</f>
        <v/>
      </c>
      <c r="BK32" s="241" t="str">
        <f t="shared" si="25"/>
        <v/>
      </c>
      <c r="BL32" s="356" t="str">
        <f>IF(BG32="","",(BK33+BJ33))</f>
        <v/>
      </c>
      <c r="BM32" s="357"/>
      <c r="BN32" s="358"/>
      <c r="BO32" s="359"/>
      <c r="BP32" s="359"/>
      <c r="BQ32" s="359"/>
      <c r="BR32" s="211">
        <f>AB19</f>
        <v>0</v>
      </c>
      <c r="BS32" s="357">
        <f>IF(BR33=0,0,BR33*AP19)</f>
        <v>0</v>
      </c>
      <c r="BT32" s="360"/>
      <c r="BU32" s="360"/>
      <c r="BV32" s="360"/>
      <c r="BW32" s="360"/>
      <c r="BX32" s="357">
        <f>IF(BR33=0,0,(BR33/BI33)-(BR33/BI32))</f>
        <v>0</v>
      </c>
      <c r="BY32" s="365"/>
      <c r="CF32" s="24"/>
      <c r="CG32" s="24"/>
      <c r="CL32" s="167">
        <v>2800</v>
      </c>
      <c r="CM32" s="163">
        <v>13</v>
      </c>
      <c r="EG32" s="24" t="str">
        <f>IFERROR(IF(bgr!CO28=0,"",bgr!CO28),"")</f>
        <v/>
      </c>
      <c r="EH32" s="24" t="str">
        <f>IFERROR(IF(bgr!CP28=0,"",bgr!CP28),"")</f>
        <v/>
      </c>
    </row>
    <row r="33" spans="2:138" ht="68.25" customHeight="1">
      <c r="B33" s="189" t="str">
        <f t="shared" si="5"/>
        <v/>
      </c>
      <c r="C33" s="97" t="str">
        <f>BL60</f>
        <v/>
      </c>
      <c r="D33" s="97">
        <f>BM60</f>
        <v>0</v>
      </c>
      <c r="E33" s="43"/>
      <c r="F33" s="179"/>
      <c r="G33" s="180"/>
      <c r="H33" s="181"/>
      <c r="I33" s="181">
        <f t="shared" si="6"/>
        <v>0</v>
      </c>
      <c r="J33" s="181"/>
      <c r="K33" s="181"/>
      <c r="L33" s="181"/>
      <c r="M33" s="181"/>
      <c r="N33" s="181"/>
      <c r="O33" s="182" t="str">
        <f>IF(E33="","",IF(VLOOKUP(E33,#REF!,12,FALSE)="","",VLOOKUP(E33,#REF!,12,FALSE)))</f>
        <v/>
      </c>
      <c r="P33" s="44"/>
      <c r="Q33" s="45"/>
      <c r="R33" s="46"/>
      <c r="S33" s="47"/>
      <c r="T33" s="47"/>
      <c r="U33" s="47"/>
      <c r="V33" s="47"/>
      <c r="W33" s="47"/>
      <c r="X33" s="43"/>
      <c r="Y33" s="47"/>
      <c r="Z33" s="47"/>
      <c r="AA33" s="45"/>
      <c r="AB33" s="189">
        <f t="shared" si="0"/>
        <v>0</v>
      </c>
      <c r="AC33" s="30" t="str">
        <f t="shared" si="7"/>
        <v/>
      </c>
      <c r="AD33" s="183" t="str">
        <f t="shared" si="8"/>
        <v/>
      </c>
      <c r="AE33" s="177" t="str">
        <f t="shared" si="9"/>
        <v/>
      </c>
      <c r="AF33" s="31" t="str">
        <f t="shared" si="1"/>
        <v/>
      </c>
      <c r="AG33" s="184" t="str">
        <f t="shared" si="10"/>
        <v/>
      </c>
      <c r="AH33" s="185" t="str">
        <f t="shared" si="11"/>
        <v/>
      </c>
      <c r="AI33" s="186" t="str">
        <f t="shared" si="12"/>
        <v/>
      </c>
      <c r="AJ33" s="190" t="str">
        <f t="shared" si="13"/>
        <v/>
      </c>
      <c r="AK33" s="32" t="str">
        <f t="shared" si="14"/>
        <v/>
      </c>
      <c r="AL33" s="187" t="str">
        <f t="shared" si="15"/>
        <v/>
      </c>
      <c r="AM33" s="187" t="str">
        <f t="shared" si="2"/>
        <v/>
      </c>
      <c r="AN33" s="187" t="str">
        <f t="shared" si="3"/>
        <v/>
      </c>
      <c r="AO33" s="187" t="str">
        <f t="shared" si="4"/>
        <v/>
      </c>
      <c r="AP33" s="188" t="str">
        <f>IF(E33="","",VLOOKUP(E33,#REF!,2,FALSE))</f>
        <v/>
      </c>
      <c r="AQ33" s="191"/>
      <c r="AR33" s="192"/>
      <c r="AS33" s="193"/>
      <c r="AT33" s="194"/>
      <c r="AU33" s="138"/>
      <c r="AV33" s="76"/>
      <c r="AW33" s="374"/>
      <c r="AX33" s="355"/>
      <c r="AY33" s="203">
        <f>Q19</f>
        <v>0</v>
      </c>
      <c r="AZ33" s="77"/>
      <c r="BA33" s="77"/>
      <c r="BB33" s="77"/>
      <c r="BC33" s="77"/>
      <c r="BD33" s="52"/>
      <c r="BE33" s="246"/>
      <c r="BF33" s="78" t="str">
        <f>AK19</f>
        <v/>
      </c>
      <c r="BG33" s="79"/>
      <c r="BH33" s="80" t="str">
        <f>IF(BR33=0,"",(((BR33)/((BJ33+BK33)/60))))</f>
        <v/>
      </c>
      <c r="BI33" s="81"/>
      <c r="BJ33" s="234"/>
      <c r="BK33" s="242" t="str">
        <f>IF(BG33="","",((BG33-BG32)*60*24)-(BJ33+BM32+BY32))</f>
        <v/>
      </c>
      <c r="BL33" s="356"/>
      <c r="BM33" s="357"/>
      <c r="BN33" s="358"/>
      <c r="BO33" s="359"/>
      <c r="BP33" s="359"/>
      <c r="BQ33" s="359"/>
      <c r="BR33" s="210">
        <f>Pending!AW15</f>
        <v>0</v>
      </c>
      <c r="BS33" s="357"/>
      <c r="BT33" s="360"/>
      <c r="BU33" s="360"/>
      <c r="BV33" s="360"/>
      <c r="BW33" s="360"/>
      <c r="BX33" s="357"/>
      <c r="BY33" s="366"/>
      <c r="CF33" s="24"/>
      <c r="CG33" s="24"/>
      <c r="CL33" s="167">
        <v>2900</v>
      </c>
      <c r="CM33" s="163">
        <v>13</v>
      </c>
      <c r="EG33" s="24" t="str">
        <f>IFERROR(IF(bgr!CO29=0,"",bgr!CO29),"")</f>
        <v/>
      </c>
      <c r="EH33" s="24" t="str">
        <f>IFERROR(IF(bgr!CP29=0,"",bgr!CP29),"")</f>
        <v/>
      </c>
    </row>
    <row r="34" spans="2:138" ht="68.25" customHeight="1">
      <c r="B34" s="189" t="str">
        <f t="shared" si="5"/>
        <v/>
      </c>
      <c r="C34" s="97" t="str">
        <f>BL62</f>
        <v/>
      </c>
      <c r="D34" s="97">
        <f>BM62</f>
        <v>0</v>
      </c>
      <c r="E34" s="43"/>
      <c r="F34" s="179"/>
      <c r="G34" s="180"/>
      <c r="H34" s="181"/>
      <c r="I34" s="181">
        <f t="shared" si="6"/>
        <v>0</v>
      </c>
      <c r="J34" s="181"/>
      <c r="K34" s="181"/>
      <c r="L34" s="181"/>
      <c r="M34" s="181"/>
      <c r="N34" s="181"/>
      <c r="O34" s="182" t="str">
        <f>IF(E34="","",IF(VLOOKUP(E34,#REF!,12,FALSE)="","",VLOOKUP(E34,#REF!,12,FALSE)))</f>
        <v/>
      </c>
      <c r="P34" s="44"/>
      <c r="Q34" s="45"/>
      <c r="R34" s="46"/>
      <c r="S34" s="47"/>
      <c r="T34" s="47"/>
      <c r="U34" s="47"/>
      <c r="V34" s="47"/>
      <c r="W34" s="47"/>
      <c r="X34" s="43"/>
      <c r="Y34" s="47"/>
      <c r="Z34" s="47"/>
      <c r="AA34" s="45"/>
      <c r="AB34" s="189">
        <f t="shared" si="0"/>
        <v>0</v>
      </c>
      <c r="AC34" s="30" t="str">
        <f t="shared" si="7"/>
        <v/>
      </c>
      <c r="AD34" s="183" t="str">
        <f t="shared" si="8"/>
        <v/>
      </c>
      <c r="AE34" s="177" t="str">
        <f t="shared" si="9"/>
        <v/>
      </c>
      <c r="AF34" s="31" t="str">
        <f t="shared" si="1"/>
        <v/>
      </c>
      <c r="AG34" s="184" t="str">
        <f t="shared" si="10"/>
        <v/>
      </c>
      <c r="AH34" s="185" t="str">
        <f t="shared" si="11"/>
        <v/>
      </c>
      <c r="AI34" s="186" t="str">
        <f t="shared" si="12"/>
        <v/>
      </c>
      <c r="AJ34" s="190" t="str">
        <f t="shared" si="13"/>
        <v/>
      </c>
      <c r="AK34" s="32" t="str">
        <f t="shared" si="14"/>
        <v/>
      </c>
      <c r="AL34" s="187" t="str">
        <f t="shared" si="15"/>
        <v/>
      </c>
      <c r="AM34" s="187" t="str">
        <f t="shared" si="2"/>
        <v/>
      </c>
      <c r="AN34" s="187" t="str">
        <f t="shared" si="3"/>
        <v/>
      </c>
      <c r="AO34" s="187" t="str">
        <f t="shared" si="4"/>
        <v/>
      </c>
      <c r="AP34" s="188" t="str">
        <f>IF(E34="","",VLOOKUP(E34,#REF!,2,FALSE))</f>
        <v/>
      </c>
      <c r="AQ34" s="191"/>
      <c r="AR34" s="192"/>
      <c r="AS34" s="193"/>
      <c r="AT34" s="194"/>
      <c r="AU34" s="138"/>
      <c r="AV34" s="76"/>
      <c r="AW34" s="367">
        <v>15</v>
      </c>
      <c r="AX34" s="368" t="str">
        <f>CONCATENATE(F20, "-", G20,"-",L20,"x",M20,"x",N20)</f>
        <v>--xx</v>
      </c>
      <c r="AY34" s="204">
        <f>P20</f>
        <v>0</v>
      </c>
      <c r="AZ34" s="84"/>
      <c r="BA34" s="84"/>
      <c r="BB34" s="84"/>
      <c r="BC34" s="84"/>
      <c r="BD34" s="70"/>
      <c r="BE34" s="85" t="str">
        <f>CONCATENATE(R20,"x",S20," - ",T20,"x",U20," - ",V20,"x",W20," - ",X20,"x",Y20," - ",Z20,"x",AA20)</f>
        <v>x - x - x - x - x</v>
      </c>
      <c r="BF34" s="86" t="str">
        <f>AJ20</f>
        <v/>
      </c>
      <c r="BG34" s="87"/>
      <c r="BH34" s="88" t="str">
        <f>AL20</f>
        <v/>
      </c>
      <c r="BI34" s="83" t="str">
        <f>AE20</f>
        <v/>
      </c>
      <c r="BJ34" s="238" t="str">
        <f t="shared" ref="BJ34:BK34" si="26">AF20</f>
        <v/>
      </c>
      <c r="BK34" s="243" t="str">
        <f t="shared" si="26"/>
        <v/>
      </c>
      <c r="BL34" s="369" t="str">
        <f>IF(BG34="","",(BK35+BJ35))</f>
        <v/>
      </c>
      <c r="BM34" s="350"/>
      <c r="BN34" s="370"/>
      <c r="BO34" s="372"/>
      <c r="BP34" s="372"/>
      <c r="BQ34" s="372"/>
      <c r="BR34" s="212">
        <f>AB20</f>
        <v>0</v>
      </c>
      <c r="BS34" s="350">
        <f>IF(BR35=0,0,BR35*AP20)</f>
        <v>0</v>
      </c>
      <c r="BT34" s="373"/>
      <c r="BU34" s="373"/>
      <c r="BV34" s="373"/>
      <c r="BW34" s="373"/>
      <c r="BX34" s="350">
        <f>IF(BR35=0,0,(BR35/BI35)-(BR35/BI34))</f>
        <v>0</v>
      </c>
      <c r="BY34" s="371"/>
      <c r="CF34" s="24"/>
      <c r="CG34" s="24"/>
      <c r="CL34" s="167">
        <v>3000</v>
      </c>
      <c r="CM34" s="163">
        <v>13</v>
      </c>
      <c r="EG34" s="24" t="str">
        <f>IFERROR(IF(bgr!CO30=0,"",bgr!CO30),"")</f>
        <v/>
      </c>
      <c r="EH34" s="24" t="str">
        <f>IFERROR(IF(bgr!CP30=0,"",bgr!CP30),"")</f>
        <v/>
      </c>
    </row>
    <row r="35" spans="2:138" ht="68.25" customHeight="1">
      <c r="B35" s="189" t="str">
        <f t="shared" si="5"/>
        <v/>
      </c>
      <c r="C35" s="97" t="str">
        <f>BL64</f>
        <v/>
      </c>
      <c r="D35" s="97">
        <f>BM64</f>
        <v>0</v>
      </c>
      <c r="E35" s="43"/>
      <c r="F35" s="179"/>
      <c r="G35" s="180"/>
      <c r="H35" s="181"/>
      <c r="I35" s="181">
        <f t="shared" si="6"/>
        <v>0</v>
      </c>
      <c r="J35" s="181"/>
      <c r="K35" s="181"/>
      <c r="L35" s="181"/>
      <c r="M35" s="181"/>
      <c r="N35" s="181"/>
      <c r="O35" s="182" t="str">
        <f>IF(E35="","",IF(VLOOKUP(E35,#REF!,12,FALSE)="","",VLOOKUP(E35,#REF!,12,FALSE)))</f>
        <v/>
      </c>
      <c r="P35" s="44"/>
      <c r="Q35" s="45"/>
      <c r="R35" s="46"/>
      <c r="S35" s="47"/>
      <c r="T35" s="47"/>
      <c r="U35" s="47"/>
      <c r="V35" s="47"/>
      <c r="W35" s="47"/>
      <c r="X35" s="43"/>
      <c r="Y35" s="47"/>
      <c r="Z35" s="47"/>
      <c r="AA35" s="45"/>
      <c r="AB35" s="189">
        <f t="shared" si="0"/>
        <v>0</v>
      </c>
      <c r="AC35" s="30" t="str">
        <f t="shared" si="7"/>
        <v/>
      </c>
      <c r="AD35" s="183" t="str">
        <f t="shared" si="8"/>
        <v/>
      </c>
      <c r="AE35" s="177" t="str">
        <f t="shared" si="9"/>
        <v/>
      </c>
      <c r="AF35" s="31" t="str">
        <f t="shared" si="1"/>
        <v/>
      </c>
      <c r="AG35" s="184" t="str">
        <f t="shared" si="10"/>
        <v/>
      </c>
      <c r="AH35" s="185" t="str">
        <f t="shared" si="11"/>
        <v/>
      </c>
      <c r="AI35" s="186" t="str">
        <f t="shared" si="12"/>
        <v/>
      </c>
      <c r="AJ35" s="190" t="str">
        <f t="shared" si="13"/>
        <v/>
      </c>
      <c r="AK35" s="32" t="str">
        <f t="shared" si="14"/>
        <v/>
      </c>
      <c r="AL35" s="187" t="str">
        <f t="shared" si="15"/>
        <v/>
      </c>
      <c r="AM35" s="187" t="str">
        <f t="shared" si="2"/>
        <v/>
      </c>
      <c r="AN35" s="187" t="str">
        <f t="shared" si="3"/>
        <v/>
      </c>
      <c r="AO35" s="187" t="str">
        <f t="shared" si="4"/>
        <v/>
      </c>
      <c r="AP35" s="188" t="str">
        <f>IF(E35="","",VLOOKUP(E35,#REF!,2,FALSE))</f>
        <v/>
      </c>
      <c r="AQ35" s="191"/>
      <c r="AR35" s="192"/>
      <c r="AS35" s="193"/>
      <c r="AT35" s="194"/>
      <c r="AU35" s="138"/>
      <c r="AV35" s="76"/>
      <c r="AW35" s="336"/>
      <c r="AX35" s="368"/>
      <c r="AY35" s="201">
        <f>Q20</f>
        <v>0</v>
      </c>
      <c r="AZ35" s="51"/>
      <c r="BA35" s="51"/>
      <c r="BB35" s="51"/>
      <c r="BC35" s="51"/>
      <c r="BD35" s="52"/>
      <c r="BE35" s="246"/>
      <c r="BF35" s="53" t="str">
        <f>AK20</f>
        <v/>
      </c>
      <c r="BG35" s="54"/>
      <c r="BH35" s="55" t="str">
        <f>IF(BR35=0,"",(((BR35)/((BJ35+BK35)/60))))</f>
        <v/>
      </c>
      <c r="BI35" s="56"/>
      <c r="BJ35" s="233"/>
      <c r="BK35" s="240" t="str">
        <f>IF(BG35="","",((BG35-BG34)*60*24)-(BJ35+BM34+BY34))</f>
        <v/>
      </c>
      <c r="BL35" s="369"/>
      <c r="BM35" s="350"/>
      <c r="BN35" s="370"/>
      <c r="BO35" s="372"/>
      <c r="BP35" s="372"/>
      <c r="BQ35" s="372"/>
      <c r="BR35" s="210">
        <f>Pending!AW16</f>
        <v>0</v>
      </c>
      <c r="BS35" s="350"/>
      <c r="BT35" s="373"/>
      <c r="BU35" s="373"/>
      <c r="BV35" s="373"/>
      <c r="BW35" s="373"/>
      <c r="BX35" s="350"/>
      <c r="BY35" s="352"/>
      <c r="CF35" s="24"/>
      <c r="CG35" s="24"/>
      <c r="CL35" s="167">
        <v>3100</v>
      </c>
      <c r="CM35" s="163">
        <v>12</v>
      </c>
      <c r="EG35" s="24" t="str">
        <f>IFERROR(IF(bgr!CO31=0,"",bgr!CO31),"")</f>
        <v/>
      </c>
      <c r="EH35" s="24" t="str">
        <f>IFERROR(IF(bgr!CP31=0,"",bgr!CP31),"")</f>
        <v/>
      </c>
    </row>
    <row r="36" spans="2:138" ht="68.25" customHeight="1">
      <c r="B36" s="189" t="str">
        <f t="shared" si="5"/>
        <v/>
      </c>
      <c r="C36" s="97" t="str">
        <f>BL66</f>
        <v/>
      </c>
      <c r="D36" s="97">
        <f>BM66</f>
        <v>0</v>
      </c>
      <c r="E36" s="43"/>
      <c r="F36" s="179"/>
      <c r="G36" s="180"/>
      <c r="H36" s="181"/>
      <c r="I36" s="181">
        <f t="shared" si="6"/>
        <v>0</v>
      </c>
      <c r="J36" s="181"/>
      <c r="K36" s="181"/>
      <c r="L36" s="181"/>
      <c r="M36" s="181"/>
      <c r="N36" s="181"/>
      <c r="O36" s="182" t="str">
        <f>IF(E36="","",IF(VLOOKUP(E36,#REF!,12,FALSE)="","",VLOOKUP(E36,#REF!,12,FALSE)))</f>
        <v/>
      </c>
      <c r="P36" s="44"/>
      <c r="Q36" s="45"/>
      <c r="R36" s="46"/>
      <c r="S36" s="47"/>
      <c r="T36" s="47"/>
      <c r="U36" s="47"/>
      <c r="V36" s="47"/>
      <c r="W36" s="47"/>
      <c r="X36" s="47"/>
      <c r="Y36" s="47"/>
      <c r="Z36" s="47"/>
      <c r="AA36" s="45"/>
      <c r="AB36" s="189">
        <f t="shared" si="0"/>
        <v>0</v>
      </c>
      <c r="AC36" s="30" t="str">
        <f t="shared" si="7"/>
        <v/>
      </c>
      <c r="AD36" s="183" t="str">
        <f t="shared" si="8"/>
        <v/>
      </c>
      <c r="AE36" s="177" t="str">
        <f t="shared" si="9"/>
        <v/>
      </c>
      <c r="AF36" s="31" t="str">
        <f t="shared" si="1"/>
        <v/>
      </c>
      <c r="AG36" s="184" t="str">
        <f t="shared" si="10"/>
        <v/>
      </c>
      <c r="AH36" s="185" t="str">
        <f t="shared" si="11"/>
        <v/>
      </c>
      <c r="AI36" s="186" t="str">
        <f t="shared" si="12"/>
        <v/>
      </c>
      <c r="AJ36" s="190" t="str">
        <f t="shared" si="13"/>
        <v/>
      </c>
      <c r="AK36" s="32" t="str">
        <f t="shared" si="14"/>
        <v/>
      </c>
      <c r="AL36" s="187" t="str">
        <f t="shared" si="15"/>
        <v/>
      </c>
      <c r="AM36" s="187" t="str">
        <f t="shared" si="2"/>
        <v/>
      </c>
      <c r="AN36" s="187" t="str">
        <f t="shared" si="3"/>
        <v/>
      </c>
      <c r="AO36" s="187" t="str">
        <f t="shared" si="4"/>
        <v/>
      </c>
      <c r="AP36" s="188" t="str">
        <f>IF(E36="","",VLOOKUP(E36,#REF!,2,FALSE))</f>
        <v/>
      </c>
      <c r="AQ36" s="191"/>
      <c r="AR36" s="192"/>
      <c r="AS36" s="193"/>
      <c r="AT36" s="194"/>
      <c r="AU36" s="138"/>
      <c r="AV36" s="76"/>
      <c r="AW36" s="353">
        <v>16</v>
      </c>
      <c r="AX36" s="355" t="str">
        <f>CONCATENATE(F21, "-", G21,"-",L21,"x",M21,"x",N21)</f>
        <v>--xx</v>
      </c>
      <c r="AY36" s="202">
        <f>P21</f>
        <v>0</v>
      </c>
      <c r="AZ36" s="69"/>
      <c r="BA36" s="69"/>
      <c r="BB36" s="69"/>
      <c r="BC36" s="69"/>
      <c r="BD36" s="70"/>
      <c r="BE36" s="71" t="str">
        <f>CONCATENATE(R21,"x",S21," - ",T21,"x",U21," - ",V21,"x",W21," - ",X21,"x",Y21," - ",Z21,"x",AA21)</f>
        <v>x - x - x - x - x</v>
      </c>
      <c r="BF36" s="72" t="str">
        <f>AJ21</f>
        <v/>
      </c>
      <c r="BG36" s="73"/>
      <c r="BH36" s="74" t="str">
        <f>AL21</f>
        <v/>
      </c>
      <c r="BI36" s="68" t="str">
        <f>AE21</f>
        <v/>
      </c>
      <c r="BJ36" s="237" t="str">
        <f t="shared" ref="BJ36:BK36" si="27">AF21</f>
        <v/>
      </c>
      <c r="BK36" s="241" t="str">
        <f t="shared" si="27"/>
        <v/>
      </c>
      <c r="BL36" s="356" t="str">
        <f>IF(BG36="","",(BK37+BJ37))</f>
        <v/>
      </c>
      <c r="BM36" s="357"/>
      <c r="BN36" s="358"/>
      <c r="BO36" s="359"/>
      <c r="BP36" s="359"/>
      <c r="BQ36" s="359"/>
      <c r="BR36" s="211">
        <f>AB21</f>
        <v>0</v>
      </c>
      <c r="BS36" s="357">
        <f>IF(BR37=0,0,BR37*AP21)</f>
        <v>0</v>
      </c>
      <c r="BT36" s="360"/>
      <c r="BU36" s="360"/>
      <c r="BV36" s="360"/>
      <c r="BW36" s="360"/>
      <c r="BX36" s="357">
        <f>IF(BR37=0,0,(BR37/BI37)-(BR37/BI36))</f>
        <v>0</v>
      </c>
      <c r="BY36" s="365"/>
      <c r="CF36" s="24"/>
      <c r="CG36" s="24"/>
      <c r="CL36" s="167">
        <v>3200</v>
      </c>
      <c r="CM36" s="163">
        <v>12</v>
      </c>
      <c r="EG36" s="24" t="str">
        <f>IFERROR(IF(bgr!CO32=0,"",bgr!CO32),"")</f>
        <v/>
      </c>
      <c r="EH36" s="24" t="str">
        <f>IFERROR(IF(bgr!CP32=0,"",bgr!CP32),"")</f>
        <v/>
      </c>
    </row>
    <row r="37" spans="2:138" ht="68.25" customHeight="1">
      <c r="B37" s="189" t="str">
        <f t="shared" si="5"/>
        <v/>
      </c>
      <c r="C37" s="97" t="str">
        <f>BL68</f>
        <v/>
      </c>
      <c r="D37" s="97">
        <f>BM68</f>
        <v>0</v>
      </c>
      <c r="E37" s="43"/>
      <c r="F37" s="179"/>
      <c r="G37" s="180"/>
      <c r="H37" s="181"/>
      <c r="I37" s="181">
        <f t="shared" si="6"/>
        <v>0</v>
      </c>
      <c r="J37" s="181"/>
      <c r="K37" s="181"/>
      <c r="L37" s="181"/>
      <c r="M37" s="181"/>
      <c r="N37" s="181"/>
      <c r="O37" s="182" t="str">
        <f>IF(E37="","",IF(VLOOKUP(E37,#REF!,12,FALSE)="","",VLOOKUP(E37,#REF!,12,FALSE)))</f>
        <v/>
      </c>
      <c r="P37" s="44"/>
      <c r="Q37" s="45"/>
      <c r="R37" s="46"/>
      <c r="S37" s="47"/>
      <c r="T37" s="47"/>
      <c r="U37" s="47"/>
      <c r="V37" s="47"/>
      <c r="W37" s="47"/>
      <c r="X37" s="47"/>
      <c r="Y37" s="47"/>
      <c r="Z37" s="47"/>
      <c r="AA37" s="45"/>
      <c r="AB37" s="189">
        <f t="shared" si="0"/>
        <v>0</v>
      </c>
      <c r="AC37" s="30" t="str">
        <f t="shared" si="7"/>
        <v/>
      </c>
      <c r="AD37" s="183" t="str">
        <f t="shared" si="8"/>
        <v/>
      </c>
      <c r="AE37" s="177" t="str">
        <f t="shared" si="9"/>
        <v/>
      </c>
      <c r="AF37" s="31" t="str">
        <f t="shared" si="1"/>
        <v/>
      </c>
      <c r="AG37" s="184" t="str">
        <f t="shared" si="10"/>
        <v/>
      </c>
      <c r="AH37" s="185" t="str">
        <f t="shared" si="11"/>
        <v/>
      </c>
      <c r="AI37" s="186" t="str">
        <f t="shared" si="12"/>
        <v/>
      </c>
      <c r="AJ37" s="190" t="str">
        <f t="shared" si="13"/>
        <v/>
      </c>
      <c r="AK37" s="32" t="str">
        <f t="shared" si="14"/>
        <v/>
      </c>
      <c r="AL37" s="187" t="str">
        <f t="shared" si="15"/>
        <v/>
      </c>
      <c r="AM37" s="187" t="str">
        <f t="shared" si="2"/>
        <v/>
      </c>
      <c r="AN37" s="187" t="str">
        <f t="shared" si="3"/>
        <v/>
      </c>
      <c r="AO37" s="187" t="str">
        <f t="shared" si="4"/>
        <v/>
      </c>
      <c r="AP37" s="188" t="str">
        <f>IF(E37="","",VLOOKUP(E37,#REF!,2,FALSE))</f>
        <v/>
      </c>
      <c r="AQ37" s="191"/>
      <c r="AR37" s="192"/>
      <c r="AS37" s="193"/>
      <c r="AT37" s="194"/>
      <c r="AU37" s="138"/>
      <c r="AV37" s="76"/>
      <c r="AW37" s="374"/>
      <c r="AX37" s="355"/>
      <c r="AY37" s="203">
        <f>Q21</f>
        <v>0</v>
      </c>
      <c r="AZ37" s="77"/>
      <c r="BA37" s="77"/>
      <c r="BB37" s="77"/>
      <c r="BC37" s="77"/>
      <c r="BD37" s="52"/>
      <c r="BE37" s="247"/>
      <c r="BF37" s="78" t="str">
        <f>AK21</f>
        <v/>
      </c>
      <c r="BG37" s="79"/>
      <c r="BH37" s="80" t="str">
        <f>IF(BR37=0,"",(((BR37)/((BJ37+BK37)/60))))</f>
        <v/>
      </c>
      <c r="BI37" s="81"/>
      <c r="BJ37" s="234"/>
      <c r="BK37" s="242" t="str">
        <f>IF(BG37="","",((BG37-BG36)*60*24)-(BJ37+BM36+BY36))</f>
        <v/>
      </c>
      <c r="BL37" s="356"/>
      <c r="BM37" s="357"/>
      <c r="BN37" s="358"/>
      <c r="BO37" s="359"/>
      <c r="BP37" s="359"/>
      <c r="BQ37" s="359"/>
      <c r="BR37" s="210">
        <f>Pending!AW17</f>
        <v>0</v>
      </c>
      <c r="BS37" s="357"/>
      <c r="BT37" s="360"/>
      <c r="BU37" s="360"/>
      <c r="BV37" s="360"/>
      <c r="BW37" s="360"/>
      <c r="BX37" s="357"/>
      <c r="BY37" s="366"/>
      <c r="CF37" s="24"/>
      <c r="CG37" s="24"/>
      <c r="CL37" s="167">
        <v>3300</v>
      </c>
      <c r="CM37" s="163">
        <v>11</v>
      </c>
      <c r="EG37" s="24" t="str">
        <f>IFERROR(IF(bgr!CO33=0,"",bgr!CO33),"")</f>
        <v/>
      </c>
      <c r="EH37" s="24" t="str">
        <f>IFERROR(IF(bgr!CP33=0,"",bgr!CP33),"")</f>
        <v/>
      </c>
    </row>
    <row r="38" spans="2:138" ht="68.25" customHeight="1">
      <c r="B38" s="189" t="str">
        <f t="shared" si="5"/>
        <v/>
      </c>
      <c r="C38" s="97" t="str">
        <f>BL70</f>
        <v/>
      </c>
      <c r="D38" s="97">
        <f>BM70</f>
        <v>0</v>
      </c>
      <c r="E38" s="43"/>
      <c r="F38" s="179"/>
      <c r="G38" s="180"/>
      <c r="H38" s="181"/>
      <c r="I38" s="181">
        <f t="shared" si="6"/>
        <v>0</v>
      </c>
      <c r="J38" s="181"/>
      <c r="K38" s="181"/>
      <c r="L38" s="181"/>
      <c r="M38" s="181"/>
      <c r="N38" s="181"/>
      <c r="O38" s="182" t="str">
        <f>IF(E38="","",IF(VLOOKUP(E38,#REF!,12,FALSE)="","",VLOOKUP(E38,#REF!,12,FALSE)))</f>
        <v/>
      </c>
      <c r="P38" s="44"/>
      <c r="Q38" s="45"/>
      <c r="R38" s="46"/>
      <c r="S38" s="47"/>
      <c r="T38" s="47"/>
      <c r="U38" s="47"/>
      <c r="V38" s="47"/>
      <c r="W38" s="47"/>
      <c r="X38" s="47"/>
      <c r="Y38" s="47"/>
      <c r="Z38" s="47"/>
      <c r="AA38" s="45"/>
      <c r="AB38" s="189">
        <f t="shared" si="0"/>
        <v>0</v>
      </c>
      <c r="AC38" s="30" t="str">
        <f t="shared" si="7"/>
        <v/>
      </c>
      <c r="AD38" s="183" t="str">
        <f t="shared" si="8"/>
        <v/>
      </c>
      <c r="AE38" s="177" t="str">
        <f t="shared" si="9"/>
        <v/>
      </c>
      <c r="AF38" s="31" t="str">
        <f t="shared" si="1"/>
        <v/>
      </c>
      <c r="AG38" s="184" t="str">
        <f t="shared" si="10"/>
        <v/>
      </c>
      <c r="AH38" s="185" t="str">
        <f t="shared" si="11"/>
        <v/>
      </c>
      <c r="AI38" s="186" t="str">
        <f t="shared" si="12"/>
        <v/>
      </c>
      <c r="AJ38" s="190" t="str">
        <f t="shared" si="13"/>
        <v/>
      </c>
      <c r="AK38" s="32" t="str">
        <f t="shared" si="14"/>
        <v/>
      </c>
      <c r="AL38" s="187" t="str">
        <f t="shared" si="15"/>
        <v/>
      </c>
      <c r="AM38" s="187" t="str">
        <f t="shared" si="2"/>
        <v/>
      </c>
      <c r="AN38" s="187" t="str">
        <f t="shared" si="3"/>
        <v/>
      </c>
      <c r="AO38" s="187" t="str">
        <f t="shared" si="4"/>
        <v/>
      </c>
      <c r="AP38" s="188" t="str">
        <f>IF(E38="","",VLOOKUP(E38,#REF!,2,FALSE))</f>
        <v/>
      </c>
      <c r="AQ38" s="191"/>
      <c r="AR38" s="192"/>
      <c r="AS38" s="193"/>
      <c r="AT38" s="194"/>
      <c r="AU38" s="138"/>
      <c r="AV38" s="76"/>
      <c r="AW38" s="367">
        <v>17</v>
      </c>
      <c r="AX38" s="368" t="str">
        <f>CONCATENATE(F22, "-", G22,"-",L22,"x",M22,"x",N22)</f>
        <v>--xx</v>
      </c>
      <c r="AY38" s="204">
        <f>P22</f>
        <v>0</v>
      </c>
      <c r="AZ38" s="84"/>
      <c r="BA38" s="84"/>
      <c r="BB38" s="84"/>
      <c r="BC38" s="84"/>
      <c r="BD38" s="70"/>
      <c r="BE38" s="85" t="str">
        <f>CONCATENATE(R22,"x",S22," - ",T22,"x",U22," - ",V22,"x",W22," - ",X22,"x",Y22," - ",Z22,"x",AA22)</f>
        <v>x - x - x - x - x</v>
      </c>
      <c r="BF38" s="86" t="str">
        <f>AJ22</f>
        <v/>
      </c>
      <c r="BG38" s="87"/>
      <c r="BH38" s="88" t="str">
        <f>AL22</f>
        <v/>
      </c>
      <c r="BI38" s="83" t="str">
        <f>AE22</f>
        <v/>
      </c>
      <c r="BJ38" s="238" t="str">
        <f t="shared" ref="BJ38:BK38" si="28">AF22</f>
        <v/>
      </c>
      <c r="BK38" s="243" t="str">
        <f t="shared" si="28"/>
        <v/>
      </c>
      <c r="BL38" s="369" t="str">
        <f>IF(BG38="","",(BK39+BJ39))</f>
        <v/>
      </c>
      <c r="BM38" s="350"/>
      <c r="BN38" s="370"/>
      <c r="BO38" s="372"/>
      <c r="BP38" s="372"/>
      <c r="BQ38" s="372"/>
      <c r="BR38" s="212">
        <f>AB22</f>
        <v>0</v>
      </c>
      <c r="BS38" s="350">
        <f>IF(BR39=0,0,BR39*AP22)</f>
        <v>0</v>
      </c>
      <c r="BT38" s="373"/>
      <c r="BU38" s="373"/>
      <c r="BV38" s="373"/>
      <c r="BW38" s="373"/>
      <c r="BX38" s="350">
        <f>IF(BR39=0,0,(BR39/BI39)-(BR39/BI38))</f>
        <v>0</v>
      </c>
      <c r="BY38" s="371"/>
      <c r="CF38" s="24"/>
      <c r="CG38" s="24"/>
      <c r="CL38" s="167">
        <v>3400</v>
      </c>
      <c r="CM38" s="163">
        <v>11</v>
      </c>
      <c r="EG38" s="24" t="str">
        <f>IFERROR(IF(bgr!CO34=0,"",bgr!CO34),"")</f>
        <v/>
      </c>
      <c r="EH38" s="24" t="str">
        <f>IFERROR(IF(bgr!CP34=0,"",bgr!CP34),"")</f>
        <v/>
      </c>
    </row>
    <row r="39" spans="2:138" ht="68.25" customHeight="1">
      <c r="B39" s="189" t="str">
        <f t="shared" si="5"/>
        <v/>
      </c>
      <c r="C39" s="97" t="str">
        <f>BL72</f>
        <v/>
      </c>
      <c r="D39" s="97">
        <f>BM72</f>
        <v>0</v>
      </c>
      <c r="E39" s="43"/>
      <c r="F39" s="179"/>
      <c r="G39" s="180"/>
      <c r="H39" s="181"/>
      <c r="I39" s="181">
        <f t="shared" si="6"/>
        <v>0</v>
      </c>
      <c r="J39" s="181"/>
      <c r="K39" s="181"/>
      <c r="L39" s="181"/>
      <c r="M39" s="181"/>
      <c r="N39" s="181"/>
      <c r="O39" s="182" t="str">
        <f>IF(E39="","",IF(VLOOKUP(E39,#REF!,12,FALSE)="","",VLOOKUP(E39,#REF!,12,FALSE)))</f>
        <v/>
      </c>
      <c r="P39" s="44"/>
      <c r="Q39" s="45"/>
      <c r="R39" s="46"/>
      <c r="S39" s="47"/>
      <c r="T39" s="47"/>
      <c r="U39" s="47"/>
      <c r="V39" s="47"/>
      <c r="W39" s="47"/>
      <c r="X39" s="47"/>
      <c r="Y39" s="47"/>
      <c r="Z39" s="47"/>
      <c r="AA39" s="45"/>
      <c r="AB39" s="189">
        <f t="shared" si="0"/>
        <v>0</v>
      </c>
      <c r="AC39" s="30" t="str">
        <f t="shared" si="7"/>
        <v/>
      </c>
      <c r="AD39" s="183" t="str">
        <f t="shared" si="8"/>
        <v/>
      </c>
      <c r="AE39" s="177" t="str">
        <f t="shared" si="9"/>
        <v/>
      </c>
      <c r="AF39" s="31" t="str">
        <f t="shared" si="1"/>
        <v/>
      </c>
      <c r="AG39" s="184" t="str">
        <f t="shared" si="10"/>
        <v/>
      </c>
      <c r="AH39" s="185" t="str">
        <f t="shared" si="11"/>
        <v/>
      </c>
      <c r="AI39" s="186" t="str">
        <f t="shared" si="12"/>
        <v/>
      </c>
      <c r="AJ39" s="190" t="str">
        <f t="shared" si="13"/>
        <v/>
      </c>
      <c r="AK39" s="32" t="str">
        <f t="shared" si="14"/>
        <v/>
      </c>
      <c r="AL39" s="187" t="str">
        <f t="shared" si="15"/>
        <v/>
      </c>
      <c r="AM39" s="187" t="str">
        <f t="shared" si="2"/>
        <v/>
      </c>
      <c r="AN39" s="187" t="str">
        <f t="shared" si="3"/>
        <v/>
      </c>
      <c r="AO39" s="187" t="str">
        <f t="shared" si="4"/>
        <v/>
      </c>
      <c r="AP39" s="188" t="str">
        <f>IF(E39="","",VLOOKUP(E39,#REF!,2,FALSE))</f>
        <v/>
      </c>
      <c r="AQ39" s="191"/>
      <c r="AR39" s="192"/>
      <c r="AS39" s="193"/>
      <c r="AT39" s="194"/>
      <c r="AU39" s="138"/>
      <c r="AV39" s="76"/>
      <c r="AW39" s="336"/>
      <c r="AX39" s="368"/>
      <c r="AY39" s="201">
        <f>Q22</f>
        <v>0</v>
      </c>
      <c r="AZ39" s="51"/>
      <c r="BA39" s="51"/>
      <c r="BB39" s="51"/>
      <c r="BC39" s="51"/>
      <c r="BD39" s="52"/>
      <c r="BE39" s="246"/>
      <c r="BF39" s="53" t="str">
        <f>AK22</f>
        <v/>
      </c>
      <c r="BG39" s="54"/>
      <c r="BH39" s="55" t="str">
        <f>IF(BR39=0,"",(((BR39)/((BJ39+BK39)/60))))</f>
        <v/>
      </c>
      <c r="BI39" s="56"/>
      <c r="BJ39" s="233"/>
      <c r="BK39" s="240" t="str">
        <f>IF(BG39="","",((BG39-BG38)*60*24)-(BJ39+BM38+BY38))</f>
        <v/>
      </c>
      <c r="BL39" s="369"/>
      <c r="BM39" s="350"/>
      <c r="BN39" s="370"/>
      <c r="BO39" s="372"/>
      <c r="BP39" s="372"/>
      <c r="BQ39" s="372"/>
      <c r="BR39" s="210">
        <f>Pending!AW18</f>
        <v>0</v>
      </c>
      <c r="BS39" s="350"/>
      <c r="BT39" s="373"/>
      <c r="BU39" s="373"/>
      <c r="BV39" s="373"/>
      <c r="BW39" s="373"/>
      <c r="BX39" s="350"/>
      <c r="BY39" s="352"/>
      <c r="CF39" s="24"/>
      <c r="CG39" s="24"/>
      <c r="CL39" s="167">
        <v>3500</v>
      </c>
      <c r="CM39" s="163">
        <v>11</v>
      </c>
      <c r="EG39" s="24" t="str">
        <f>IFERROR(IF(bgr!CO35=0,"",bgr!CO35),"")</f>
        <v/>
      </c>
      <c r="EH39" s="24" t="str">
        <f>IFERROR(IF(bgr!CP35=0,"",bgr!CP35),"")</f>
        <v/>
      </c>
    </row>
    <row r="40" spans="2:138" ht="68.25" customHeight="1">
      <c r="B40" s="189" t="str">
        <f t="shared" si="5"/>
        <v/>
      </c>
      <c r="C40" s="97" t="str">
        <f>BL74</f>
        <v/>
      </c>
      <c r="D40" s="97">
        <f>BM74</f>
        <v>0</v>
      </c>
      <c r="E40" s="43"/>
      <c r="F40" s="179"/>
      <c r="G40" s="180"/>
      <c r="H40" s="181"/>
      <c r="I40" s="181">
        <f t="shared" si="6"/>
        <v>0</v>
      </c>
      <c r="J40" s="181"/>
      <c r="K40" s="181"/>
      <c r="L40" s="181"/>
      <c r="M40" s="181"/>
      <c r="N40" s="181"/>
      <c r="O40" s="182" t="str">
        <f>IF(E40="","",IF(VLOOKUP(E40,#REF!,12,FALSE)="","",VLOOKUP(E40,#REF!,12,FALSE)))</f>
        <v/>
      </c>
      <c r="P40" s="44"/>
      <c r="Q40" s="45"/>
      <c r="R40" s="46"/>
      <c r="S40" s="47"/>
      <c r="T40" s="47"/>
      <c r="U40" s="47"/>
      <c r="V40" s="47"/>
      <c r="W40" s="47"/>
      <c r="X40" s="47"/>
      <c r="Y40" s="47"/>
      <c r="Z40" s="47"/>
      <c r="AA40" s="45"/>
      <c r="AB40" s="189">
        <f t="shared" si="0"/>
        <v>0</v>
      </c>
      <c r="AC40" s="30" t="str">
        <f t="shared" si="7"/>
        <v/>
      </c>
      <c r="AD40" s="183" t="str">
        <f t="shared" si="8"/>
        <v/>
      </c>
      <c r="AE40" s="177" t="str">
        <f t="shared" si="9"/>
        <v/>
      </c>
      <c r="AF40" s="31" t="str">
        <f t="shared" si="1"/>
        <v/>
      </c>
      <c r="AG40" s="184" t="str">
        <f t="shared" si="10"/>
        <v/>
      </c>
      <c r="AH40" s="185" t="str">
        <f t="shared" si="11"/>
        <v/>
      </c>
      <c r="AI40" s="186" t="str">
        <f t="shared" si="12"/>
        <v/>
      </c>
      <c r="AJ40" s="190" t="str">
        <f t="shared" si="13"/>
        <v/>
      </c>
      <c r="AK40" s="32" t="str">
        <f t="shared" si="14"/>
        <v/>
      </c>
      <c r="AL40" s="187" t="str">
        <f t="shared" si="15"/>
        <v/>
      </c>
      <c r="AM40" s="187" t="str">
        <f t="shared" si="2"/>
        <v/>
      </c>
      <c r="AN40" s="187" t="str">
        <f t="shared" si="3"/>
        <v/>
      </c>
      <c r="AO40" s="187" t="str">
        <f t="shared" si="4"/>
        <v/>
      </c>
      <c r="AP40" s="188" t="str">
        <f>IF(E40="","",VLOOKUP(E40,#REF!,2,FALSE))</f>
        <v/>
      </c>
      <c r="AQ40" s="191"/>
      <c r="AR40" s="192"/>
      <c r="AS40" s="193"/>
      <c r="AT40" s="194"/>
      <c r="AU40" s="138"/>
      <c r="AV40" s="76"/>
      <c r="AW40" s="353">
        <v>18</v>
      </c>
      <c r="AX40" s="355" t="str">
        <f>CONCATENATE(F23, "-", G23,"-",L23,"x",M23,"x",N23)</f>
        <v>--xx</v>
      </c>
      <c r="AY40" s="202">
        <f>P23</f>
        <v>0</v>
      </c>
      <c r="AZ40" s="69"/>
      <c r="BA40" s="69"/>
      <c r="BB40" s="69"/>
      <c r="BC40" s="69"/>
      <c r="BD40" s="70"/>
      <c r="BE40" s="71" t="str">
        <f>CONCATENATE(R23,"x",S23," - ",T23,"x",U23," - ",V23,"x",W23," - ",X23,"x",Y23," - ",Z23,"x",AA23)</f>
        <v>x - x - x - x - x</v>
      </c>
      <c r="BF40" s="72" t="str">
        <f>AJ23</f>
        <v/>
      </c>
      <c r="BG40" s="73"/>
      <c r="BH40" s="74" t="str">
        <f>AL23</f>
        <v/>
      </c>
      <c r="BI40" s="68" t="str">
        <f>AE23</f>
        <v/>
      </c>
      <c r="BJ40" s="237" t="str">
        <f t="shared" ref="BJ40:BK40" si="29">AF23</f>
        <v/>
      </c>
      <c r="BK40" s="241" t="str">
        <f t="shared" si="29"/>
        <v/>
      </c>
      <c r="BL40" s="356" t="str">
        <f>IF(BG40="","",(BK41+BJ41))</f>
        <v/>
      </c>
      <c r="BM40" s="357"/>
      <c r="BN40" s="358"/>
      <c r="BO40" s="359"/>
      <c r="BP40" s="359"/>
      <c r="BQ40" s="359"/>
      <c r="BR40" s="211">
        <f>AB23</f>
        <v>0</v>
      </c>
      <c r="BS40" s="357">
        <f>IF(BR41=0,0,BR41*AP23)</f>
        <v>0</v>
      </c>
      <c r="BT40" s="360"/>
      <c r="BU40" s="360"/>
      <c r="BV40" s="360"/>
      <c r="BW40" s="360"/>
      <c r="BX40" s="357">
        <f>IF(BR41=0,0,(BR41/BI41)-(BR41/BI40))</f>
        <v>0</v>
      </c>
      <c r="BY40" s="365"/>
      <c r="CF40" s="24"/>
      <c r="CG40" s="24"/>
      <c r="CL40" s="167">
        <v>3600</v>
      </c>
      <c r="CM40" s="163">
        <v>11</v>
      </c>
      <c r="EG40" s="24" t="str">
        <f>IFERROR(IF(bgr!CO36=0,"",bgr!CO36),"")</f>
        <v/>
      </c>
      <c r="EH40" s="24" t="str">
        <f>IFERROR(IF(bgr!CP36=0,"",bgr!CP36),"")</f>
        <v/>
      </c>
    </row>
    <row r="41" spans="2:138" ht="68.25" customHeight="1">
      <c r="B41" s="189" t="str">
        <f t="shared" si="5"/>
        <v/>
      </c>
      <c r="C41" s="97" t="str">
        <f>BL76</f>
        <v/>
      </c>
      <c r="D41" s="97">
        <f>BM76</f>
        <v>0</v>
      </c>
      <c r="E41" s="43"/>
      <c r="F41" s="179"/>
      <c r="G41" s="180"/>
      <c r="H41" s="181"/>
      <c r="I41" s="181">
        <f t="shared" si="6"/>
        <v>0</v>
      </c>
      <c r="J41" s="181"/>
      <c r="K41" s="181"/>
      <c r="L41" s="181"/>
      <c r="M41" s="181"/>
      <c r="N41" s="181"/>
      <c r="O41" s="182" t="str">
        <f>IF(E41="","",IF(VLOOKUP(E41,#REF!,12,FALSE)="","",VLOOKUP(E41,#REF!,12,FALSE)))</f>
        <v/>
      </c>
      <c r="P41" s="44"/>
      <c r="Q41" s="45"/>
      <c r="R41" s="46"/>
      <c r="S41" s="47"/>
      <c r="T41" s="47"/>
      <c r="U41" s="47"/>
      <c r="V41" s="47"/>
      <c r="W41" s="47"/>
      <c r="X41" s="47"/>
      <c r="Y41" s="47"/>
      <c r="Z41" s="47"/>
      <c r="AA41" s="45"/>
      <c r="AB41" s="189">
        <f t="shared" si="0"/>
        <v>0</v>
      </c>
      <c r="AC41" s="30" t="str">
        <f t="shared" si="7"/>
        <v/>
      </c>
      <c r="AD41" s="183" t="str">
        <f t="shared" si="8"/>
        <v/>
      </c>
      <c r="AE41" s="177" t="str">
        <f t="shared" si="9"/>
        <v/>
      </c>
      <c r="AF41" s="31" t="str">
        <f t="shared" si="1"/>
        <v/>
      </c>
      <c r="AG41" s="184" t="str">
        <f t="shared" si="10"/>
        <v/>
      </c>
      <c r="AH41" s="185" t="str">
        <f t="shared" si="11"/>
        <v/>
      </c>
      <c r="AI41" s="186" t="str">
        <f t="shared" si="12"/>
        <v/>
      </c>
      <c r="AJ41" s="190" t="str">
        <f t="shared" si="13"/>
        <v/>
      </c>
      <c r="AK41" s="32" t="str">
        <f t="shared" si="14"/>
        <v/>
      </c>
      <c r="AL41" s="187" t="str">
        <f t="shared" si="15"/>
        <v/>
      </c>
      <c r="AM41" s="187" t="str">
        <f t="shared" si="2"/>
        <v/>
      </c>
      <c r="AN41" s="187" t="str">
        <f t="shared" si="3"/>
        <v/>
      </c>
      <c r="AO41" s="187" t="str">
        <f t="shared" si="4"/>
        <v/>
      </c>
      <c r="AP41" s="188" t="str">
        <f>IF(E41="","",VLOOKUP(E41,#REF!,2,FALSE))</f>
        <v/>
      </c>
      <c r="AQ41" s="191"/>
      <c r="AR41" s="192"/>
      <c r="AS41" s="193"/>
      <c r="AT41" s="194"/>
      <c r="AU41" s="138"/>
      <c r="AV41" s="76"/>
      <c r="AW41" s="354"/>
      <c r="AX41" s="355"/>
      <c r="AY41" s="203">
        <f>Q23</f>
        <v>0</v>
      </c>
      <c r="AZ41" s="77"/>
      <c r="BA41" s="77"/>
      <c r="BB41" s="77"/>
      <c r="BC41" s="77"/>
      <c r="BD41" s="52"/>
      <c r="BE41" s="247"/>
      <c r="BF41" s="78" t="str">
        <f>AK23</f>
        <v/>
      </c>
      <c r="BG41" s="79"/>
      <c r="BH41" s="80" t="str">
        <f>IF(BR41=0,"",(((BR41)/((BJ41+BK41)/60))))</f>
        <v/>
      </c>
      <c r="BI41" s="81"/>
      <c r="BJ41" s="234"/>
      <c r="BK41" s="242" t="str">
        <f>IF(BG41="","",((BG41-BG40)*60*24)-(BJ41+BM40+BY40))</f>
        <v/>
      </c>
      <c r="BL41" s="356"/>
      <c r="BM41" s="357"/>
      <c r="BN41" s="358"/>
      <c r="BO41" s="359"/>
      <c r="BP41" s="359"/>
      <c r="BQ41" s="359"/>
      <c r="BR41" s="210">
        <f>Pending!AW19</f>
        <v>0</v>
      </c>
      <c r="BS41" s="357"/>
      <c r="BT41" s="360"/>
      <c r="BU41" s="360"/>
      <c r="BV41" s="360"/>
      <c r="BW41" s="360"/>
      <c r="BX41" s="357"/>
      <c r="BY41" s="366"/>
      <c r="CF41" s="24"/>
      <c r="CG41" s="24"/>
      <c r="CL41" s="167">
        <v>3700</v>
      </c>
      <c r="CM41" s="163">
        <v>10</v>
      </c>
      <c r="EG41" s="24" t="str">
        <f>IFERROR(IF(bgr!CO37=0,"",bgr!CO37),"")</f>
        <v/>
      </c>
      <c r="EH41" s="24" t="str">
        <f>IFERROR(IF(bgr!CP37=0,"",bgr!CP37),"")</f>
        <v/>
      </c>
    </row>
    <row r="42" spans="2:138" ht="68.25" customHeight="1">
      <c r="B42" s="189" t="str">
        <f t="shared" si="5"/>
        <v/>
      </c>
      <c r="C42" s="98" t="str">
        <f>BL78</f>
        <v/>
      </c>
      <c r="D42" s="98">
        <f>BM78</f>
        <v>0</v>
      </c>
      <c r="E42" s="43"/>
      <c r="F42" s="179"/>
      <c r="G42" s="180"/>
      <c r="H42" s="181"/>
      <c r="I42" s="181">
        <f t="shared" si="6"/>
        <v>0</v>
      </c>
      <c r="J42" s="181"/>
      <c r="K42" s="181"/>
      <c r="L42" s="181"/>
      <c r="M42" s="181"/>
      <c r="N42" s="181"/>
      <c r="O42" s="182" t="str">
        <f>IF(E42="","",IF(VLOOKUP(E42,#REF!,12,FALSE)="","",VLOOKUP(E42,#REF!,12,FALSE)))</f>
        <v/>
      </c>
      <c r="P42" s="99"/>
      <c r="Q42" s="100"/>
      <c r="R42" s="101"/>
      <c r="S42" s="102"/>
      <c r="T42" s="102"/>
      <c r="U42" s="102"/>
      <c r="V42" s="102"/>
      <c r="W42" s="102"/>
      <c r="X42" s="102"/>
      <c r="Y42" s="102"/>
      <c r="Z42" s="102"/>
      <c r="AA42" s="100"/>
      <c r="AB42" s="189">
        <f t="shared" si="0"/>
        <v>0</v>
      </c>
      <c r="AC42" s="30" t="str">
        <f t="shared" si="7"/>
        <v/>
      </c>
      <c r="AD42" s="183" t="str">
        <f>IF(E42="","",AB42*AP42/1000)</f>
        <v/>
      </c>
      <c r="AE42" s="177" t="str">
        <f t="shared" si="9"/>
        <v/>
      </c>
      <c r="AF42" s="31" t="str">
        <f t="shared" si="1"/>
        <v/>
      </c>
      <c r="AG42" s="184" t="str">
        <f t="shared" si="10"/>
        <v/>
      </c>
      <c r="AH42" s="185" t="str">
        <f t="shared" si="11"/>
        <v/>
      </c>
      <c r="AI42" s="186" t="str">
        <f t="shared" si="12"/>
        <v/>
      </c>
      <c r="AJ42" s="190" t="str">
        <f t="shared" si="13"/>
        <v/>
      </c>
      <c r="AK42" s="32" t="str">
        <f t="shared" si="14"/>
        <v/>
      </c>
      <c r="AL42" s="187" t="str">
        <f t="shared" si="15"/>
        <v/>
      </c>
      <c r="AM42" s="187" t="str">
        <f t="shared" si="2"/>
        <v/>
      </c>
      <c r="AN42" s="187" t="str">
        <f t="shared" si="3"/>
        <v/>
      </c>
      <c r="AO42" s="187" t="str">
        <f t="shared" si="4"/>
        <v/>
      </c>
      <c r="AP42" s="188" t="str">
        <f>IF(E42="","",VLOOKUP(E42,#REF!,2,FALSE))</f>
        <v/>
      </c>
      <c r="AQ42" s="191"/>
      <c r="AR42" s="192"/>
      <c r="AS42" s="193"/>
      <c r="AT42" s="194"/>
      <c r="AU42" s="138"/>
      <c r="AV42" s="76"/>
      <c r="AW42" s="367">
        <v>19</v>
      </c>
      <c r="AX42" s="368" t="str">
        <f>CONCATENATE(F24, "-", G24,"-",L24,"x",M24,"x",N24)</f>
        <v>--xx</v>
      </c>
      <c r="AY42" s="204">
        <f>P24</f>
        <v>0</v>
      </c>
      <c r="AZ42" s="84"/>
      <c r="BA42" s="84"/>
      <c r="BB42" s="84"/>
      <c r="BC42" s="84"/>
      <c r="BD42" s="70"/>
      <c r="BE42" s="85" t="str">
        <f>CONCATENATE(R24,"x",S24," - ",T24,"x",U24," - ",V24,"x",W24," - ",X24,"x",Y24," - ",Z24,"x",AA24)</f>
        <v>x - x - x - x - x</v>
      </c>
      <c r="BF42" s="86" t="str">
        <f>AJ24</f>
        <v/>
      </c>
      <c r="BG42" s="87"/>
      <c r="BH42" s="88" t="str">
        <f>AL24</f>
        <v/>
      </c>
      <c r="BI42" s="83" t="str">
        <f>AE24</f>
        <v/>
      </c>
      <c r="BJ42" s="238" t="str">
        <f t="shared" ref="BJ42:BK42" si="30">AF24</f>
        <v/>
      </c>
      <c r="BK42" s="243" t="str">
        <f t="shared" si="30"/>
        <v/>
      </c>
      <c r="BL42" s="369" t="str">
        <f>IF(BG42="","",(BK43+BJ43))</f>
        <v/>
      </c>
      <c r="BM42" s="350"/>
      <c r="BN42" s="370"/>
      <c r="BO42" s="372"/>
      <c r="BP42" s="372"/>
      <c r="BQ42" s="372"/>
      <c r="BR42" s="212">
        <f>AB24</f>
        <v>0</v>
      </c>
      <c r="BS42" s="350">
        <f>IF(BR43=0,0,BR43*AP24)</f>
        <v>0</v>
      </c>
      <c r="BT42" s="373"/>
      <c r="BU42" s="373"/>
      <c r="BV42" s="373"/>
      <c r="BW42" s="373"/>
      <c r="BX42" s="350">
        <f>IF(BR43=0,0,(BR43/BI43)-(BR43/BI42))</f>
        <v>0</v>
      </c>
      <c r="BY42" s="371"/>
      <c r="CF42" s="24"/>
      <c r="CG42" s="24"/>
      <c r="CL42" s="167">
        <v>3800</v>
      </c>
      <c r="CM42" s="163">
        <v>10</v>
      </c>
      <c r="EG42" s="24" t="str">
        <f>IFERROR(IF(bgr!CO38=0,"",bgr!CO38),"")</f>
        <v/>
      </c>
      <c r="EH42" s="24" t="str">
        <f>IFERROR(IF(bgr!CP38=0,"",bgr!CP38),"")</f>
        <v/>
      </c>
    </row>
    <row r="43" spans="2:138" ht="68.25" customHeight="1" thickBot="1">
      <c r="B43" s="189" t="str">
        <f t="shared" si="5"/>
        <v/>
      </c>
      <c r="C43" s="98" t="str">
        <f>BL80</f>
        <v/>
      </c>
      <c r="D43" s="98">
        <f>BM80</f>
        <v>0</v>
      </c>
      <c r="E43" s="43"/>
      <c r="F43" s="179"/>
      <c r="G43" s="180"/>
      <c r="H43" s="181"/>
      <c r="I43" s="181">
        <f t="shared" si="6"/>
        <v>0</v>
      </c>
      <c r="J43" s="181"/>
      <c r="K43" s="181"/>
      <c r="L43" s="181"/>
      <c r="M43" s="181"/>
      <c r="N43" s="181"/>
      <c r="O43" s="182" t="str">
        <f>IF(E43="","",IF(VLOOKUP(E43,#REF!,12,FALSE)="","",VLOOKUP(E43,#REF!,12,FALSE)))</f>
        <v/>
      </c>
      <c r="P43" s="99"/>
      <c r="Q43" s="100"/>
      <c r="R43" s="101"/>
      <c r="S43" s="102"/>
      <c r="T43" s="102"/>
      <c r="U43" s="102"/>
      <c r="V43" s="102"/>
      <c r="W43" s="102"/>
      <c r="X43" s="102"/>
      <c r="Y43" s="102"/>
      <c r="Z43" s="102"/>
      <c r="AA43" s="100"/>
      <c r="AB43" s="189">
        <f t="shared" si="0"/>
        <v>0</v>
      </c>
      <c r="AC43" s="30" t="str">
        <f t="shared" si="7"/>
        <v/>
      </c>
      <c r="AD43" s="183" t="str">
        <f t="shared" ref="AD43:AD66" si="31">IF(E43="","",AB43*AP43/1000)</f>
        <v/>
      </c>
      <c r="AE43" s="177" t="str">
        <f t="shared" si="9"/>
        <v/>
      </c>
      <c r="AF43" s="31" t="str">
        <f t="shared" si="1"/>
        <v/>
      </c>
      <c r="AG43" s="184" t="str">
        <f t="shared" si="10"/>
        <v/>
      </c>
      <c r="AH43" s="185" t="str">
        <f t="shared" si="11"/>
        <v/>
      </c>
      <c r="AI43" s="186" t="str">
        <f t="shared" si="12"/>
        <v/>
      </c>
      <c r="AJ43" s="190" t="str">
        <f t="shared" si="13"/>
        <v/>
      </c>
      <c r="AK43" s="32" t="str">
        <f t="shared" si="14"/>
        <v/>
      </c>
      <c r="AL43" s="187" t="str">
        <f t="shared" si="15"/>
        <v/>
      </c>
      <c r="AM43" s="187" t="str">
        <f t="shared" si="2"/>
        <v/>
      </c>
      <c r="AN43" s="187" t="str">
        <f t="shared" si="3"/>
        <v/>
      </c>
      <c r="AO43" s="187" t="str">
        <f t="shared" si="4"/>
        <v/>
      </c>
      <c r="AP43" s="188" t="str">
        <f>IF(E43="","",VLOOKUP(E43,#REF!,2,FALSE))</f>
        <v/>
      </c>
      <c r="AQ43" s="191"/>
      <c r="AR43" s="192"/>
      <c r="AS43" s="193"/>
      <c r="AT43" s="194"/>
      <c r="AU43" s="138"/>
      <c r="AV43" s="76"/>
      <c r="AW43" s="336"/>
      <c r="AX43" s="368"/>
      <c r="AY43" s="201">
        <f>Q24</f>
        <v>0</v>
      </c>
      <c r="AZ43" s="51"/>
      <c r="BA43" s="51"/>
      <c r="BB43" s="51"/>
      <c r="BC43" s="51"/>
      <c r="BD43" s="52"/>
      <c r="BE43" s="247"/>
      <c r="BF43" s="53" t="str">
        <f>AK24</f>
        <v/>
      </c>
      <c r="BG43" s="54"/>
      <c r="BH43" s="55" t="str">
        <f>IF(BR43=0,"",(((BR43)/((BJ43+BK43)/60))))</f>
        <v/>
      </c>
      <c r="BI43" s="56"/>
      <c r="BJ43" s="233"/>
      <c r="BK43" s="240" t="str">
        <f>IF(BG43="","",((BG43-BG42)*60*24)-(BJ43+BM42+BY42))</f>
        <v/>
      </c>
      <c r="BL43" s="369"/>
      <c r="BM43" s="350"/>
      <c r="BN43" s="370"/>
      <c r="BO43" s="372"/>
      <c r="BP43" s="372"/>
      <c r="BQ43" s="372"/>
      <c r="BR43" s="210">
        <f>Pending!AW20</f>
        <v>0</v>
      </c>
      <c r="BS43" s="350"/>
      <c r="BT43" s="373"/>
      <c r="BU43" s="373"/>
      <c r="BV43" s="373"/>
      <c r="BW43" s="373"/>
      <c r="BX43" s="350"/>
      <c r="BY43" s="352"/>
      <c r="CF43" s="24"/>
      <c r="CG43" s="24"/>
      <c r="CL43" s="168">
        <v>3900</v>
      </c>
      <c r="CM43" s="165">
        <v>10</v>
      </c>
      <c r="EG43" s="24" t="str">
        <f>IFERROR(IF(bgr!CO39=0,"",bgr!CO39),"")</f>
        <v/>
      </c>
      <c r="EH43" s="24" t="str">
        <f>IFERROR(IF(bgr!CP39=0,"",bgr!CP39),"")</f>
        <v/>
      </c>
    </row>
    <row r="44" spans="2:138" ht="68.25" customHeight="1">
      <c r="B44" s="189" t="str">
        <f t="shared" si="5"/>
        <v/>
      </c>
      <c r="C44" s="98" t="str">
        <f>BL82</f>
        <v/>
      </c>
      <c r="D44" s="98">
        <f>BM82</f>
        <v>0</v>
      </c>
      <c r="E44" s="43"/>
      <c r="F44" s="179"/>
      <c r="G44" s="180"/>
      <c r="H44" s="181"/>
      <c r="I44" s="181">
        <f t="shared" si="6"/>
        <v>0</v>
      </c>
      <c r="J44" s="181"/>
      <c r="K44" s="181"/>
      <c r="L44" s="181"/>
      <c r="M44" s="181"/>
      <c r="N44" s="181"/>
      <c r="O44" s="182" t="str">
        <f>IF(E44="","",IF(VLOOKUP(E44,#REF!,12,FALSE)="","",VLOOKUP(E44,#REF!,12,FALSE)))</f>
        <v/>
      </c>
      <c r="P44" s="99"/>
      <c r="Q44" s="100"/>
      <c r="R44" s="101"/>
      <c r="S44" s="102"/>
      <c r="T44" s="102"/>
      <c r="U44" s="102"/>
      <c r="V44" s="102"/>
      <c r="W44" s="102"/>
      <c r="X44" s="102"/>
      <c r="Y44" s="102"/>
      <c r="Z44" s="102"/>
      <c r="AA44" s="100"/>
      <c r="AB44" s="189">
        <f t="shared" si="0"/>
        <v>0</v>
      </c>
      <c r="AC44" s="30" t="str">
        <f t="shared" si="7"/>
        <v/>
      </c>
      <c r="AD44" s="183" t="str">
        <f t="shared" si="31"/>
        <v/>
      </c>
      <c r="AE44" s="177" t="str">
        <f t="shared" si="9"/>
        <v/>
      </c>
      <c r="AF44" s="31" t="str">
        <f t="shared" si="1"/>
        <v/>
      </c>
      <c r="AG44" s="184" t="str">
        <f t="shared" si="10"/>
        <v/>
      </c>
      <c r="AH44" s="185" t="str">
        <f t="shared" si="11"/>
        <v/>
      </c>
      <c r="AI44" s="186" t="str">
        <f t="shared" si="12"/>
        <v/>
      </c>
      <c r="AJ44" s="190" t="str">
        <f t="shared" si="13"/>
        <v/>
      </c>
      <c r="AK44" s="32" t="str">
        <f t="shared" si="14"/>
        <v/>
      </c>
      <c r="AL44" s="187" t="str">
        <f t="shared" si="15"/>
        <v/>
      </c>
      <c r="AM44" s="187" t="str">
        <f t="shared" si="2"/>
        <v/>
      </c>
      <c r="AN44" s="187" t="str">
        <f t="shared" si="3"/>
        <v/>
      </c>
      <c r="AO44" s="187" t="str">
        <f t="shared" si="4"/>
        <v/>
      </c>
      <c r="AP44" s="188" t="str">
        <f>IF(E44="","",VLOOKUP(E44,#REF!,2,FALSE))</f>
        <v/>
      </c>
      <c r="AQ44" s="191"/>
      <c r="AR44" s="192"/>
      <c r="AS44" s="193"/>
      <c r="AT44" s="194"/>
      <c r="AU44" s="138"/>
      <c r="AV44" s="76"/>
      <c r="AW44" s="353">
        <v>20</v>
      </c>
      <c r="AX44" s="355" t="str">
        <f>CONCATENATE(F25, "-", G25,"-",L25,"x",M25,"x",N25)</f>
        <v>--xx</v>
      </c>
      <c r="AY44" s="202">
        <f>P25</f>
        <v>0</v>
      </c>
      <c r="AZ44" s="69"/>
      <c r="BA44" s="69"/>
      <c r="BB44" s="69"/>
      <c r="BC44" s="69"/>
      <c r="BD44" s="70"/>
      <c r="BE44" s="71" t="str">
        <f>CONCATENATE(R25,"x",S25," - ",T25,"x",U25," - ",V25,"x",W25," - ",X25,"x",Y25," - ",Z25,"x",AA25)</f>
        <v>x - x - x - x - x</v>
      </c>
      <c r="BF44" s="72" t="str">
        <f>AJ25</f>
        <v/>
      </c>
      <c r="BG44" s="73"/>
      <c r="BH44" s="74" t="str">
        <f>AL25</f>
        <v/>
      </c>
      <c r="BI44" s="68" t="str">
        <f>AE25</f>
        <v/>
      </c>
      <c r="BJ44" s="237" t="str">
        <f t="shared" ref="BJ44:BK44" si="32">AF25</f>
        <v/>
      </c>
      <c r="BK44" s="241" t="str">
        <f t="shared" si="32"/>
        <v/>
      </c>
      <c r="BL44" s="356" t="str">
        <f>IF(BG44="","",(BK45+BJ45))</f>
        <v/>
      </c>
      <c r="BM44" s="357"/>
      <c r="BN44" s="358"/>
      <c r="BO44" s="359"/>
      <c r="BP44" s="359"/>
      <c r="BQ44" s="359"/>
      <c r="BR44" s="211">
        <f>AB25</f>
        <v>0</v>
      </c>
      <c r="BS44" s="357">
        <f>IF(BR45=0,0,BR45*AP25)</f>
        <v>0</v>
      </c>
      <c r="BT44" s="360"/>
      <c r="BU44" s="360"/>
      <c r="BV44" s="360"/>
      <c r="BW44" s="360"/>
      <c r="BX44" s="357">
        <f>IF(BR45=0,0,(BR45/BI45)-(BR45/BI44))</f>
        <v>0</v>
      </c>
      <c r="BY44" s="365"/>
      <c r="CF44" s="24"/>
      <c r="CG44" s="24"/>
      <c r="EG44" s="24" t="str">
        <f>IFERROR(IF(bgr!CO40=0,"",bgr!CO40),"")</f>
        <v/>
      </c>
      <c r="EH44" s="24" t="str">
        <f>IFERROR(IF(bgr!CP40=0,"",bgr!CP40),"")</f>
        <v/>
      </c>
    </row>
    <row r="45" spans="2:138" ht="68.25" customHeight="1">
      <c r="B45" s="189" t="str">
        <f t="shared" si="5"/>
        <v/>
      </c>
      <c r="C45" s="98" t="str">
        <f>BL84</f>
        <v/>
      </c>
      <c r="D45" s="98">
        <f>BM84</f>
        <v>0</v>
      </c>
      <c r="E45" s="43"/>
      <c r="F45" s="179"/>
      <c r="G45" s="180"/>
      <c r="H45" s="181"/>
      <c r="I45" s="181">
        <f t="shared" si="6"/>
        <v>0</v>
      </c>
      <c r="J45" s="181"/>
      <c r="K45" s="181"/>
      <c r="L45" s="181"/>
      <c r="M45" s="181"/>
      <c r="N45" s="181"/>
      <c r="O45" s="182" t="str">
        <f>IF(E45="","",IF(VLOOKUP(E45,#REF!,12,FALSE)="","",VLOOKUP(E45,#REF!,12,FALSE)))</f>
        <v/>
      </c>
      <c r="P45" s="99"/>
      <c r="Q45" s="100"/>
      <c r="R45" s="101"/>
      <c r="S45" s="102"/>
      <c r="T45" s="102"/>
      <c r="U45" s="102"/>
      <c r="V45" s="102"/>
      <c r="W45" s="102"/>
      <c r="X45" s="102"/>
      <c r="Y45" s="102"/>
      <c r="Z45" s="102"/>
      <c r="AA45" s="100"/>
      <c r="AB45" s="189">
        <f t="shared" si="0"/>
        <v>0</v>
      </c>
      <c r="AC45" s="30" t="str">
        <f t="shared" si="7"/>
        <v/>
      </c>
      <c r="AD45" s="183" t="str">
        <f t="shared" si="31"/>
        <v/>
      </c>
      <c r="AE45" s="177" t="str">
        <f t="shared" si="9"/>
        <v/>
      </c>
      <c r="AF45" s="31" t="str">
        <f t="shared" si="1"/>
        <v/>
      </c>
      <c r="AG45" s="184" t="str">
        <f t="shared" si="10"/>
        <v/>
      </c>
      <c r="AH45" s="185" t="str">
        <f t="shared" si="11"/>
        <v/>
      </c>
      <c r="AI45" s="186" t="str">
        <f t="shared" si="12"/>
        <v/>
      </c>
      <c r="AJ45" s="190" t="str">
        <f t="shared" si="13"/>
        <v/>
      </c>
      <c r="AK45" s="32" t="str">
        <f t="shared" si="14"/>
        <v/>
      </c>
      <c r="AL45" s="187" t="str">
        <f t="shared" si="15"/>
        <v/>
      </c>
      <c r="AM45" s="187" t="str">
        <f t="shared" si="2"/>
        <v/>
      </c>
      <c r="AN45" s="187" t="str">
        <f t="shared" si="3"/>
        <v/>
      </c>
      <c r="AO45" s="187" t="str">
        <f t="shared" si="4"/>
        <v/>
      </c>
      <c r="AP45" s="188" t="str">
        <f>IF(E45="","",VLOOKUP(E45,#REF!,2,FALSE))</f>
        <v/>
      </c>
      <c r="AQ45" s="191"/>
      <c r="AR45" s="192"/>
      <c r="AS45" s="193"/>
      <c r="AT45" s="194"/>
      <c r="AU45" s="138"/>
      <c r="AV45" s="76"/>
      <c r="AW45" s="374"/>
      <c r="AX45" s="355"/>
      <c r="AY45" s="203">
        <f>Q25</f>
        <v>0</v>
      </c>
      <c r="AZ45" s="77"/>
      <c r="BA45" s="77"/>
      <c r="BB45" s="77"/>
      <c r="BC45" s="77"/>
      <c r="BD45" s="52"/>
      <c r="BE45" s="247"/>
      <c r="BF45" s="78" t="str">
        <f>AK25</f>
        <v/>
      </c>
      <c r="BG45" s="79"/>
      <c r="BH45" s="80" t="str">
        <f>IF(BR45=0,"",(((BR45)/((BJ45+BK45)/60))))</f>
        <v/>
      </c>
      <c r="BI45" s="81"/>
      <c r="BJ45" s="234"/>
      <c r="BK45" s="242" t="str">
        <f>IF(BG45="","",((BG45-BG44)*60*24)-(BJ45+BM44+BY44))</f>
        <v/>
      </c>
      <c r="BL45" s="356"/>
      <c r="BM45" s="357"/>
      <c r="BN45" s="358"/>
      <c r="BO45" s="359"/>
      <c r="BP45" s="359"/>
      <c r="BQ45" s="359"/>
      <c r="BR45" s="210">
        <f>Pending!AW21</f>
        <v>0</v>
      </c>
      <c r="BS45" s="357"/>
      <c r="BT45" s="360"/>
      <c r="BU45" s="360"/>
      <c r="BV45" s="360"/>
      <c r="BW45" s="360"/>
      <c r="BX45" s="357"/>
      <c r="BY45" s="366"/>
      <c r="CF45" s="24"/>
      <c r="CG45" s="24"/>
      <c r="EG45" s="24" t="str">
        <f>IFERROR(IF(bgr!CO41=0,"",bgr!CO41),"")</f>
        <v/>
      </c>
      <c r="EH45" s="24" t="str">
        <f>IFERROR(IF(bgr!CP41=0,"",bgr!CP41),"")</f>
        <v/>
      </c>
    </row>
    <row r="46" spans="2:138" ht="68.25" customHeight="1">
      <c r="B46" s="189" t="str">
        <f t="shared" si="5"/>
        <v/>
      </c>
      <c r="C46" s="98" t="str">
        <f>BL86</f>
        <v/>
      </c>
      <c r="D46" s="98">
        <f>BM86</f>
        <v>0</v>
      </c>
      <c r="E46" s="43"/>
      <c r="F46" s="179"/>
      <c r="G46" s="180"/>
      <c r="H46" s="181"/>
      <c r="I46" s="181">
        <f t="shared" si="6"/>
        <v>0</v>
      </c>
      <c r="J46" s="181"/>
      <c r="K46" s="181"/>
      <c r="L46" s="181"/>
      <c r="M46" s="181"/>
      <c r="N46" s="181"/>
      <c r="O46" s="182" t="str">
        <f>IF(E46="","",IF(VLOOKUP(E46,#REF!,12,FALSE)="","",VLOOKUP(E46,#REF!,12,FALSE)))</f>
        <v/>
      </c>
      <c r="P46" s="99"/>
      <c r="Q46" s="100"/>
      <c r="R46" s="101"/>
      <c r="S46" s="102"/>
      <c r="T46" s="102"/>
      <c r="U46" s="102"/>
      <c r="V46" s="102"/>
      <c r="W46" s="102"/>
      <c r="X46" s="102"/>
      <c r="Y46" s="102"/>
      <c r="Z46" s="102"/>
      <c r="AA46" s="100"/>
      <c r="AB46" s="189">
        <f t="shared" si="0"/>
        <v>0</v>
      </c>
      <c r="AC46" s="30" t="str">
        <f t="shared" si="7"/>
        <v/>
      </c>
      <c r="AD46" s="183" t="str">
        <f t="shared" si="31"/>
        <v/>
      </c>
      <c r="AE46" s="177" t="str">
        <f t="shared" si="9"/>
        <v/>
      </c>
      <c r="AF46" s="31" t="str">
        <f t="shared" si="1"/>
        <v/>
      </c>
      <c r="AG46" s="184" t="str">
        <f t="shared" si="10"/>
        <v/>
      </c>
      <c r="AH46" s="185" t="str">
        <f t="shared" si="11"/>
        <v/>
      </c>
      <c r="AI46" s="186" t="str">
        <f t="shared" si="12"/>
        <v/>
      </c>
      <c r="AJ46" s="190" t="str">
        <f t="shared" si="13"/>
        <v/>
      </c>
      <c r="AK46" s="32" t="str">
        <f t="shared" si="14"/>
        <v/>
      </c>
      <c r="AL46" s="187" t="str">
        <f t="shared" si="15"/>
        <v/>
      </c>
      <c r="AM46" s="187" t="str">
        <f t="shared" si="2"/>
        <v/>
      </c>
      <c r="AN46" s="187" t="str">
        <f t="shared" si="3"/>
        <v/>
      </c>
      <c r="AO46" s="187" t="str">
        <f t="shared" si="4"/>
        <v/>
      </c>
      <c r="AP46" s="188" t="str">
        <f>IF(E46="","",VLOOKUP(E46,#REF!,2,FALSE))</f>
        <v/>
      </c>
      <c r="AQ46" s="191"/>
      <c r="AR46" s="192"/>
      <c r="AS46" s="193"/>
      <c r="AT46" s="194"/>
      <c r="AU46" s="138"/>
      <c r="AV46" s="76"/>
      <c r="AW46" s="367">
        <v>21</v>
      </c>
      <c r="AX46" s="368" t="str">
        <f>CONCATENATE(F26, "-", G26,"-",L26,"x",M26,"x",N26)</f>
        <v>--xx</v>
      </c>
      <c r="AY46" s="204">
        <f>P26</f>
        <v>0</v>
      </c>
      <c r="AZ46" s="84"/>
      <c r="BA46" s="84"/>
      <c r="BB46" s="84"/>
      <c r="BC46" s="84"/>
      <c r="BD46" s="70"/>
      <c r="BE46" s="85" t="str">
        <f>CONCATENATE(R26,"x",S26," - ",T26,"x",U26," - ",V26,"x",W26," - ",X270,"x",Y26," - ",Z26,"x",AA26)</f>
        <v>x - x - x - x - x</v>
      </c>
      <c r="BF46" s="86" t="str">
        <f>AJ26</f>
        <v/>
      </c>
      <c r="BG46" s="87"/>
      <c r="BH46" s="88" t="str">
        <f>AL26</f>
        <v/>
      </c>
      <c r="BI46" s="83" t="str">
        <f>AE26</f>
        <v/>
      </c>
      <c r="BJ46" s="238" t="str">
        <f t="shared" ref="BJ46:BK46" si="33">AF26</f>
        <v/>
      </c>
      <c r="BK46" s="243" t="str">
        <f t="shared" si="33"/>
        <v/>
      </c>
      <c r="BL46" s="369" t="str">
        <f>IF(BG46="","",(BK47+BJ47))</f>
        <v/>
      </c>
      <c r="BM46" s="350"/>
      <c r="BN46" s="370"/>
      <c r="BO46" s="372"/>
      <c r="BP46" s="372"/>
      <c r="BQ46" s="372"/>
      <c r="BR46" s="212">
        <f>AB26</f>
        <v>0</v>
      </c>
      <c r="BS46" s="350">
        <f>IF(BR47=0,0,BR47*AP26)</f>
        <v>0</v>
      </c>
      <c r="BT46" s="373"/>
      <c r="BU46" s="373"/>
      <c r="BV46" s="373"/>
      <c r="BW46" s="373"/>
      <c r="BX46" s="350">
        <f>IF(BR47=0,0,(BR47/BI47)-(BR47/BI46))</f>
        <v>0</v>
      </c>
      <c r="BY46" s="371"/>
      <c r="CF46" s="24"/>
      <c r="CG46" s="24"/>
      <c r="EG46" s="24" t="str">
        <f>IFERROR(IF(bgr!CO42=0,"",bgr!CO42),"")</f>
        <v/>
      </c>
      <c r="EH46" s="24" t="str">
        <f>IFERROR(IF(bgr!CP42=0,"",bgr!CP42),"")</f>
        <v/>
      </c>
    </row>
    <row r="47" spans="2:138" ht="68.25" customHeight="1">
      <c r="B47" s="189" t="str">
        <f t="shared" si="5"/>
        <v/>
      </c>
      <c r="C47" s="98" t="str">
        <f>BL88</f>
        <v/>
      </c>
      <c r="D47" s="98">
        <f>BM88</f>
        <v>0</v>
      </c>
      <c r="E47" s="43"/>
      <c r="F47" s="179"/>
      <c r="G47" s="180"/>
      <c r="H47" s="181"/>
      <c r="I47" s="181">
        <f t="shared" si="6"/>
        <v>0</v>
      </c>
      <c r="J47" s="181"/>
      <c r="K47" s="181"/>
      <c r="L47" s="181"/>
      <c r="M47" s="181"/>
      <c r="N47" s="181"/>
      <c r="O47" s="182" t="str">
        <f>IF(E47="","",IF(VLOOKUP(E47,#REF!,12,FALSE)="","",VLOOKUP(E47,#REF!,12,FALSE)))</f>
        <v/>
      </c>
      <c r="P47" s="99"/>
      <c r="Q47" s="100"/>
      <c r="R47" s="101"/>
      <c r="S47" s="102"/>
      <c r="T47" s="102"/>
      <c r="U47" s="102"/>
      <c r="V47" s="102"/>
      <c r="W47" s="102"/>
      <c r="X47" s="102"/>
      <c r="Y47" s="102"/>
      <c r="Z47" s="102"/>
      <c r="AA47" s="100"/>
      <c r="AB47" s="189">
        <f t="shared" si="0"/>
        <v>0</v>
      </c>
      <c r="AC47" s="30" t="str">
        <f t="shared" si="7"/>
        <v/>
      </c>
      <c r="AD47" s="183" t="str">
        <f t="shared" si="31"/>
        <v/>
      </c>
      <c r="AE47" s="177" t="str">
        <f t="shared" si="9"/>
        <v/>
      </c>
      <c r="AF47" s="31" t="str">
        <f t="shared" si="1"/>
        <v/>
      </c>
      <c r="AG47" s="184" t="str">
        <f t="shared" si="10"/>
        <v/>
      </c>
      <c r="AH47" s="185" t="str">
        <f t="shared" si="11"/>
        <v/>
      </c>
      <c r="AI47" s="186" t="str">
        <f t="shared" si="12"/>
        <v/>
      </c>
      <c r="AJ47" s="190" t="str">
        <f t="shared" si="13"/>
        <v/>
      </c>
      <c r="AK47" s="32" t="str">
        <f t="shared" si="14"/>
        <v/>
      </c>
      <c r="AL47" s="187" t="str">
        <f t="shared" si="15"/>
        <v/>
      </c>
      <c r="AM47" s="187" t="str">
        <f t="shared" si="2"/>
        <v/>
      </c>
      <c r="AN47" s="187" t="str">
        <f t="shared" si="3"/>
        <v/>
      </c>
      <c r="AO47" s="187" t="str">
        <f t="shared" si="4"/>
        <v/>
      </c>
      <c r="AP47" s="188" t="str">
        <f>IF(E47="","",VLOOKUP(E47,#REF!,2,FALSE))</f>
        <v/>
      </c>
      <c r="AQ47" s="191"/>
      <c r="AR47" s="192"/>
      <c r="AS47" s="193"/>
      <c r="AT47" s="194"/>
      <c r="AU47" s="138"/>
      <c r="AV47" s="76"/>
      <c r="AW47" s="336"/>
      <c r="AX47" s="368"/>
      <c r="AY47" s="201">
        <f>Q26</f>
        <v>0</v>
      </c>
      <c r="AZ47" s="51"/>
      <c r="BA47" s="51"/>
      <c r="BB47" s="51"/>
      <c r="BC47" s="51"/>
      <c r="BD47" s="52"/>
      <c r="BE47" s="247"/>
      <c r="BF47" s="53" t="str">
        <f>AK26</f>
        <v/>
      </c>
      <c r="BG47" s="54"/>
      <c r="BH47" s="55" t="str">
        <f>IF(BR47=0,"",(((BR47)/((BJ47+BK47)/60))))</f>
        <v/>
      </c>
      <c r="BI47" s="56"/>
      <c r="BJ47" s="233"/>
      <c r="BK47" s="240" t="str">
        <f>IF(BG47="","",((BG47-BG46)*60*24)-(BJ47+BM46+BY46))</f>
        <v/>
      </c>
      <c r="BL47" s="369"/>
      <c r="BM47" s="350"/>
      <c r="BN47" s="370"/>
      <c r="BO47" s="372"/>
      <c r="BP47" s="372"/>
      <c r="BQ47" s="372"/>
      <c r="BR47" s="210">
        <f>Pending!AW22</f>
        <v>0</v>
      </c>
      <c r="BS47" s="350"/>
      <c r="BT47" s="373"/>
      <c r="BU47" s="373"/>
      <c r="BV47" s="373"/>
      <c r="BW47" s="373"/>
      <c r="BX47" s="350"/>
      <c r="BY47" s="352"/>
      <c r="CF47" s="24"/>
      <c r="CG47" s="24"/>
      <c r="EG47" s="24" t="str">
        <f>IFERROR(IF(bgr!CO43=0,"",bgr!CO43),"")</f>
        <v/>
      </c>
      <c r="EH47" s="24" t="str">
        <f>IFERROR(IF(bgr!CP43=0,"",bgr!CP43),"")</f>
        <v/>
      </c>
    </row>
    <row r="48" spans="2:138" ht="68.25" customHeight="1">
      <c r="B48" s="189" t="str">
        <f t="shared" si="5"/>
        <v/>
      </c>
      <c r="C48" s="98" t="str">
        <f>BL90</f>
        <v/>
      </c>
      <c r="D48" s="98">
        <f>BM90</f>
        <v>0</v>
      </c>
      <c r="E48" s="43"/>
      <c r="F48" s="179"/>
      <c r="G48" s="180"/>
      <c r="H48" s="181"/>
      <c r="I48" s="181">
        <f t="shared" si="6"/>
        <v>0</v>
      </c>
      <c r="J48" s="181"/>
      <c r="K48" s="181"/>
      <c r="L48" s="181"/>
      <c r="M48" s="181"/>
      <c r="N48" s="181"/>
      <c r="O48" s="182" t="str">
        <f>IF(E48="","",IF(VLOOKUP(E48,#REF!,12,FALSE)="","",VLOOKUP(E48,#REF!,12,FALSE)))</f>
        <v/>
      </c>
      <c r="P48" s="99"/>
      <c r="Q48" s="100"/>
      <c r="R48" s="101"/>
      <c r="S48" s="102"/>
      <c r="T48" s="102"/>
      <c r="U48" s="102"/>
      <c r="V48" s="102"/>
      <c r="W48" s="102"/>
      <c r="X48" s="102"/>
      <c r="Y48" s="102"/>
      <c r="Z48" s="102"/>
      <c r="AA48" s="100"/>
      <c r="AB48" s="189">
        <f t="shared" si="0"/>
        <v>0</v>
      </c>
      <c r="AC48" s="30" t="str">
        <f t="shared" si="7"/>
        <v/>
      </c>
      <c r="AD48" s="183" t="str">
        <f t="shared" si="31"/>
        <v/>
      </c>
      <c r="AE48" s="177" t="str">
        <f t="shared" si="9"/>
        <v/>
      </c>
      <c r="AF48" s="31" t="str">
        <f t="shared" si="1"/>
        <v/>
      </c>
      <c r="AG48" s="184" t="str">
        <f t="shared" si="10"/>
        <v/>
      </c>
      <c r="AH48" s="185" t="str">
        <f t="shared" si="11"/>
        <v/>
      </c>
      <c r="AI48" s="186" t="str">
        <f t="shared" si="12"/>
        <v/>
      </c>
      <c r="AJ48" s="190" t="str">
        <f t="shared" si="13"/>
        <v/>
      </c>
      <c r="AK48" s="32" t="str">
        <f t="shared" si="14"/>
        <v/>
      </c>
      <c r="AL48" s="187" t="str">
        <f t="shared" si="15"/>
        <v/>
      </c>
      <c r="AM48" s="187" t="str">
        <f t="shared" si="2"/>
        <v/>
      </c>
      <c r="AN48" s="187" t="str">
        <f t="shared" si="3"/>
        <v/>
      </c>
      <c r="AO48" s="187" t="str">
        <f t="shared" si="4"/>
        <v/>
      </c>
      <c r="AP48" s="188" t="str">
        <f>IF(E48="","",VLOOKUP(E48,#REF!,2,FALSE))</f>
        <v/>
      </c>
      <c r="AQ48" s="191"/>
      <c r="AR48" s="192"/>
      <c r="AS48" s="193"/>
      <c r="AT48" s="194"/>
      <c r="AU48" s="138"/>
      <c r="AV48" s="76"/>
      <c r="AW48" s="353">
        <v>22</v>
      </c>
      <c r="AX48" s="355" t="str">
        <f>CONCATENATE(F27, "-", G27,"-",L27,"x",M27,"x",N27)</f>
        <v>--xx</v>
      </c>
      <c r="AY48" s="202">
        <f>P27</f>
        <v>0</v>
      </c>
      <c r="AZ48" s="69"/>
      <c r="BA48" s="69"/>
      <c r="BB48" s="69"/>
      <c r="BC48" s="69"/>
      <c r="BD48" s="70"/>
      <c r="BE48" s="71" t="str">
        <f>CONCATENATE(R27,"x",S27," - ",T27,"x",U27," - ",V27,"x",W27," - ",X27,"x",Y27," - ",Z27,"x",AA27)</f>
        <v>x - x - x - x - x</v>
      </c>
      <c r="BF48" s="72" t="str">
        <f>AJ27</f>
        <v/>
      </c>
      <c r="BG48" s="73"/>
      <c r="BH48" s="74" t="str">
        <f>AL27</f>
        <v/>
      </c>
      <c r="BI48" s="68" t="str">
        <f>AE27</f>
        <v/>
      </c>
      <c r="BJ48" s="237" t="str">
        <f t="shared" ref="BJ48:BK48" si="34">AF27</f>
        <v/>
      </c>
      <c r="BK48" s="241" t="str">
        <f t="shared" si="34"/>
        <v/>
      </c>
      <c r="BL48" s="356" t="str">
        <f>IF(BG48="","",(BK49+BJ49))</f>
        <v/>
      </c>
      <c r="BM48" s="357"/>
      <c r="BN48" s="358"/>
      <c r="BO48" s="359"/>
      <c r="BP48" s="359"/>
      <c r="BQ48" s="359"/>
      <c r="BR48" s="211">
        <f>AB27</f>
        <v>0</v>
      </c>
      <c r="BS48" s="357">
        <f>IF(BR49=0,0,BR49*AP27)</f>
        <v>0</v>
      </c>
      <c r="BT48" s="360"/>
      <c r="BU48" s="360"/>
      <c r="BV48" s="360"/>
      <c r="BW48" s="360"/>
      <c r="BX48" s="357">
        <f>IF(BR49=0,0,(BR49/BI49)-(BR49/BI48))</f>
        <v>0</v>
      </c>
      <c r="BY48" s="365"/>
      <c r="CF48" s="24"/>
      <c r="CG48" s="24"/>
      <c r="EG48" s="24" t="str">
        <f>IFERROR(IF(bgr!CO44=0,"",bgr!CO44),"")</f>
        <v/>
      </c>
      <c r="EH48" s="24" t="str">
        <f>IFERROR(IF(bgr!CP44=0,"",bgr!CP44),"")</f>
        <v/>
      </c>
    </row>
    <row r="49" spans="2:138" ht="68.25" customHeight="1">
      <c r="B49" s="189" t="str">
        <f t="shared" si="5"/>
        <v/>
      </c>
      <c r="C49" s="98" t="str">
        <f>BL92</f>
        <v/>
      </c>
      <c r="D49" s="98">
        <f>BM92</f>
        <v>0</v>
      </c>
      <c r="E49" s="43"/>
      <c r="F49" s="179"/>
      <c r="G49" s="180"/>
      <c r="H49" s="181"/>
      <c r="I49" s="181">
        <f t="shared" si="6"/>
        <v>0</v>
      </c>
      <c r="J49" s="181"/>
      <c r="K49" s="181"/>
      <c r="L49" s="181"/>
      <c r="M49" s="181"/>
      <c r="N49" s="181"/>
      <c r="O49" s="182" t="str">
        <f>IF(E49="","",IF(VLOOKUP(E49,#REF!,12,FALSE)="","",VLOOKUP(E49,#REF!,12,FALSE)))</f>
        <v/>
      </c>
      <c r="P49" s="99"/>
      <c r="Q49" s="100"/>
      <c r="R49" s="101"/>
      <c r="S49" s="102"/>
      <c r="T49" s="102"/>
      <c r="U49" s="102"/>
      <c r="V49" s="102"/>
      <c r="W49" s="102"/>
      <c r="X49" s="102"/>
      <c r="Y49" s="102"/>
      <c r="Z49" s="102"/>
      <c r="AA49" s="100"/>
      <c r="AB49" s="189">
        <f t="shared" si="0"/>
        <v>0</v>
      </c>
      <c r="AC49" s="30" t="str">
        <f t="shared" si="7"/>
        <v/>
      </c>
      <c r="AD49" s="183" t="str">
        <f t="shared" si="31"/>
        <v/>
      </c>
      <c r="AE49" s="177" t="str">
        <f t="shared" si="9"/>
        <v/>
      </c>
      <c r="AF49" s="31" t="str">
        <f t="shared" si="1"/>
        <v/>
      </c>
      <c r="AG49" s="184" t="str">
        <f t="shared" si="10"/>
        <v/>
      </c>
      <c r="AH49" s="185" t="str">
        <f t="shared" si="11"/>
        <v/>
      </c>
      <c r="AI49" s="186" t="str">
        <f t="shared" si="12"/>
        <v/>
      </c>
      <c r="AJ49" s="190" t="str">
        <f t="shared" si="13"/>
        <v/>
      </c>
      <c r="AK49" s="32" t="str">
        <f t="shared" si="14"/>
        <v/>
      </c>
      <c r="AL49" s="187" t="str">
        <f t="shared" si="15"/>
        <v/>
      </c>
      <c r="AM49" s="187" t="str">
        <f t="shared" si="2"/>
        <v/>
      </c>
      <c r="AN49" s="187" t="str">
        <f t="shared" si="3"/>
        <v/>
      </c>
      <c r="AO49" s="187" t="str">
        <f t="shared" si="4"/>
        <v/>
      </c>
      <c r="AP49" s="188" t="str">
        <f>IF(E49="","",VLOOKUP(E49,#REF!,2,FALSE))</f>
        <v/>
      </c>
      <c r="AQ49" s="191"/>
      <c r="AR49" s="192"/>
      <c r="AS49" s="193"/>
      <c r="AT49" s="194"/>
      <c r="AU49" s="138"/>
      <c r="AV49" s="76"/>
      <c r="AW49" s="374"/>
      <c r="AX49" s="355"/>
      <c r="AY49" s="203">
        <f>Q27</f>
        <v>0</v>
      </c>
      <c r="AZ49" s="77"/>
      <c r="BA49" s="77"/>
      <c r="BB49" s="77"/>
      <c r="BC49" s="77"/>
      <c r="BD49" s="52"/>
      <c r="BE49" s="247"/>
      <c r="BF49" s="78" t="str">
        <f>AK27</f>
        <v/>
      </c>
      <c r="BG49" s="79"/>
      <c r="BH49" s="80" t="str">
        <f>IF(BR49=0,"",(((BR49)/((BJ49+BK49)/60))))</f>
        <v/>
      </c>
      <c r="BI49" s="81"/>
      <c r="BJ49" s="234"/>
      <c r="BK49" s="242" t="str">
        <f>IF(BG49="","",((BG49-BG48)*60*24)-(BJ49+BM48+BY48))</f>
        <v/>
      </c>
      <c r="BL49" s="356"/>
      <c r="BM49" s="357"/>
      <c r="BN49" s="358"/>
      <c r="BO49" s="359"/>
      <c r="BP49" s="359"/>
      <c r="BQ49" s="359"/>
      <c r="BR49" s="210">
        <f>Pending!AW23</f>
        <v>0</v>
      </c>
      <c r="BS49" s="357"/>
      <c r="BT49" s="360"/>
      <c r="BU49" s="360"/>
      <c r="BV49" s="360"/>
      <c r="BW49" s="360"/>
      <c r="BX49" s="357"/>
      <c r="BY49" s="366"/>
      <c r="CF49" s="24"/>
      <c r="CG49" s="24"/>
      <c r="EG49" s="24" t="str">
        <f>IFERROR(IF(bgr!CO45=0,"",bgr!CO45),"")</f>
        <v/>
      </c>
      <c r="EH49" s="24" t="str">
        <f>IFERROR(IF(bgr!CP45=0,"",bgr!CP45),"")</f>
        <v/>
      </c>
    </row>
    <row r="50" spans="2:138" ht="68.25" customHeight="1">
      <c r="B50" s="189" t="str">
        <f t="shared" si="5"/>
        <v/>
      </c>
      <c r="C50" s="98" t="str">
        <f>BL94</f>
        <v/>
      </c>
      <c r="D50" s="98">
        <f>BM94</f>
        <v>0</v>
      </c>
      <c r="E50" s="43"/>
      <c r="F50" s="179"/>
      <c r="G50" s="180"/>
      <c r="H50" s="181"/>
      <c r="I50" s="181">
        <f t="shared" si="6"/>
        <v>0</v>
      </c>
      <c r="J50" s="181"/>
      <c r="K50" s="181"/>
      <c r="L50" s="181"/>
      <c r="M50" s="181"/>
      <c r="N50" s="181"/>
      <c r="O50" s="182" t="str">
        <f>IF(E50="","",IF(VLOOKUP(E50,#REF!,12,FALSE)="","",VLOOKUP(E50,#REF!,12,FALSE)))</f>
        <v/>
      </c>
      <c r="P50" s="99"/>
      <c r="Q50" s="100"/>
      <c r="R50" s="101"/>
      <c r="S50" s="102"/>
      <c r="T50" s="102"/>
      <c r="U50" s="102"/>
      <c r="V50" s="102"/>
      <c r="W50" s="102"/>
      <c r="X50" s="102"/>
      <c r="Y50" s="102"/>
      <c r="Z50" s="102"/>
      <c r="AA50" s="100"/>
      <c r="AB50" s="189">
        <f t="shared" si="0"/>
        <v>0</v>
      </c>
      <c r="AC50" s="30" t="str">
        <f t="shared" si="7"/>
        <v/>
      </c>
      <c r="AD50" s="183" t="str">
        <f t="shared" si="31"/>
        <v/>
      </c>
      <c r="AE50" s="177" t="str">
        <f t="shared" si="9"/>
        <v/>
      </c>
      <c r="AF50" s="31" t="str">
        <f t="shared" si="1"/>
        <v/>
      </c>
      <c r="AG50" s="184" t="str">
        <f t="shared" si="10"/>
        <v/>
      </c>
      <c r="AH50" s="185" t="str">
        <f t="shared" si="11"/>
        <v/>
      </c>
      <c r="AI50" s="186" t="str">
        <f t="shared" si="12"/>
        <v/>
      </c>
      <c r="AJ50" s="190" t="str">
        <f t="shared" si="13"/>
        <v/>
      </c>
      <c r="AK50" s="32" t="str">
        <f t="shared" si="14"/>
        <v/>
      </c>
      <c r="AL50" s="187" t="str">
        <f t="shared" si="15"/>
        <v/>
      </c>
      <c r="AM50" s="187" t="str">
        <f t="shared" si="2"/>
        <v/>
      </c>
      <c r="AN50" s="187" t="str">
        <f t="shared" si="3"/>
        <v/>
      </c>
      <c r="AO50" s="187" t="str">
        <f t="shared" si="4"/>
        <v/>
      </c>
      <c r="AP50" s="188" t="str">
        <f>IF(E50="","",VLOOKUP(E50,#REF!,2,FALSE))</f>
        <v/>
      </c>
      <c r="AQ50" s="191"/>
      <c r="AR50" s="192"/>
      <c r="AS50" s="193"/>
      <c r="AT50" s="194"/>
      <c r="AU50" s="138"/>
      <c r="AV50" s="76"/>
      <c r="AW50" s="367">
        <v>23</v>
      </c>
      <c r="AX50" s="368" t="str">
        <f>CONCATENATE(F28, "-", G28,"-",L28,"x",M28,"x",N28)</f>
        <v>--xx</v>
      </c>
      <c r="AY50" s="204">
        <f>P28</f>
        <v>0</v>
      </c>
      <c r="AZ50" s="84"/>
      <c r="BA50" s="84"/>
      <c r="BB50" s="84"/>
      <c r="BC50" s="84"/>
      <c r="BD50" s="70"/>
      <c r="BE50" s="85" t="str">
        <f>CONCATENATE(R28,"x",S28," - ",T28,"x",U28," - ",V28,"x",W28," - ",X28,"x",Y28," - ",Z28,"x",AA28)</f>
        <v>x - x - x - x - x</v>
      </c>
      <c r="BF50" s="86" t="str">
        <f>AJ28</f>
        <v/>
      </c>
      <c r="BG50" s="87"/>
      <c r="BH50" s="88" t="str">
        <f>AL28</f>
        <v/>
      </c>
      <c r="BI50" s="83" t="str">
        <f>AE28</f>
        <v/>
      </c>
      <c r="BJ50" s="238" t="str">
        <f t="shared" ref="BJ50:BK50" si="35">AF28</f>
        <v/>
      </c>
      <c r="BK50" s="243" t="str">
        <f t="shared" si="35"/>
        <v/>
      </c>
      <c r="BL50" s="369" t="str">
        <f>IF(BG50="","",(BK51+BJ51))</f>
        <v/>
      </c>
      <c r="BM50" s="350"/>
      <c r="BN50" s="370"/>
      <c r="BO50" s="372"/>
      <c r="BP50" s="372"/>
      <c r="BQ50" s="372"/>
      <c r="BR50" s="212">
        <f>AB28</f>
        <v>0</v>
      </c>
      <c r="BS50" s="350">
        <f>IF(BR51=0,0,BR51*AP28)</f>
        <v>0</v>
      </c>
      <c r="BT50" s="373"/>
      <c r="BU50" s="373"/>
      <c r="BV50" s="373"/>
      <c r="BW50" s="373"/>
      <c r="BX50" s="350">
        <f>IF(BR51=0,0,(BR51/BI51)-(BR51/BI50))</f>
        <v>0</v>
      </c>
      <c r="BY50" s="371"/>
      <c r="CF50" s="24"/>
      <c r="CG50" s="24"/>
      <c r="EG50" s="24" t="str">
        <f>IFERROR(IF(bgr!CO46=0,"",bgr!CO46),"")</f>
        <v/>
      </c>
      <c r="EH50" s="24" t="str">
        <f>IFERROR(IF(bgr!CP46=0,"",bgr!CP46),"")</f>
        <v/>
      </c>
    </row>
    <row r="51" spans="2:138" ht="68.25" customHeight="1">
      <c r="B51" s="189" t="str">
        <f t="shared" si="5"/>
        <v/>
      </c>
      <c r="C51" s="98" t="str">
        <f>BL96</f>
        <v/>
      </c>
      <c r="D51" s="98">
        <f>BM96</f>
        <v>0</v>
      </c>
      <c r="E51" s="43"/>
      <c r="F51" s="179"/>
      <c r="G51" s="180"/>
      <c r="H51" s="181"/>
      <c r="I51" s="181">
        <f t="shared" si="6"/>
        <v>0</v>
      </c>
      <c r="J51" s="181"/>
      <c r="K51" s="181"/>
      <c r="L51" s="181"/>
      <c r="M51" s="181"/>
      <c r="N51" s="181"/>
      <c r="O51" s="182" t="str">
        <f>IF(E51="","",IF(VLOOKUP(E51,#REF!,12,FALSE)="","",VLOOKUP(E51,#REF!,12,FALSE)))</f>
        <v/>
      </c>
      <c r="P51" s="99"/>
      <c r="Q51" s="100"/>
      <c r="R51" s="101"/>
      <c r="S51" s="102"/>
      <c r="T51" s="102"/>
      <c r="U51" s="102"/>
      <c r="V51" s="102"/>
      <c r="W51" s="102"/>
      <c r="X51" s="102"/>
      <c r="Y51" s="102"/>
      <c r="Z51" s="102"/>
      <c r="AA51" s="100"/>
      <c r="AB51" s="189">
        <f t="shared" si="0"/>
        <v>0</v>
      </c>
      <c r="AC51" s="30" t="str">
        <f t="shared" si="7"/>
        <v/>
      </c>
      <c r="AD51" s="183" t="str">
        <f t="shared" si="31"/>
        <v/>
      </c>
      <c r="AE51" s="177" t="str">
        <f t="shared" si="9"/>
        <v/>
      </c>
      <c r="AF51" s="31" t="str">
        <f t="shared" si="1"/>
        <v/>
      </c>
      <c r="AG51" s="184" t="str">
        <f t="shared" si="10"/>
        <v/>
      </c>
      <c r="AH51" s="185" t="str">
        <f t="shared" si="11"/>
        <v/>
      </c>
      <c r="AI51" s="186" t="str">
        <f t="shared" si="12"/>
        <v/>
      </c>
      <c r="AJ51" s="190" t="str">
        <f t="shared" si="13"/>
        <v/>
      </c>
      <c r="AK51" s="32" t="str">
        <f t="shared" si="14"/>
        <v/>
      </c>
      <c r="AL51" s="187" t="str">
        <f t="shared" si="15"/>
        <v/>
      </c>
      <c r="AM51" s="187" t="str">
        <f t="shared" si="2"/>
        <v/>
      </c>
      <c r="AN51" s="187" t="str">
        <f t="shared" si="3"/>
        <v/>
      </c>
      <c r="AO51" s="187" t="str">
        <f t="shared" si="4"/>
        <v/>
      </c>
      <c r="AP51" s="188" t="str">
        <f>IF(E51="","",VLOOKUP(E51,#REF!,2,FALSE))</f>
        <v/>
      </c>
      <c r="AQ51" s="191"/>
      <c r="AR51" s="192"/>
      <c r="AS51" s="193"/>
      <c r="AT51" s="194"/>
      <c r="AU51" s="138"/>
      <c r="AV51" s="76"/>
      <c r="AW51" s="336"/>
      <c r="AX51" s="368"/>
      <c r="AY51" s="201">
        <f>Q28</f>
        <v>0</v>
      </c>
      <c r="AZ51" s="51"/>
      <c r="BA51" s="51"/>
      <c r="BB51" s="51"/>
      <c r="BC51" s="51"/>
      <c r="BD51" s="52"/>
      <c r="BE51" s="247"/>
      <c r="BF51" s="53" t="str">
        <f>AK28</f>
        <v/>
      </c>
      <c r="BG51" s="54"/>
      <c r="BH51" s="55" t="str">
        <f>IF(BR51=0,"",(((BR51)/((BJ51+BK51)/60))))</f>
        <v/>
      </c>
      <c r="BI51" s="56"/>
      <c r="BJ51" s="233"/>
      <c r="BK51" s="240" t="str">
        <f>IF(BG51="","",((BG51-BG50)*60*24)-(BJ51+BM50+BY50))</f>
        <v/>
      </c>
      <c r="BL51" s="369"/>
      <c r="BM51" s="350"/>
      <c r="BN51" s="370"/>
      <c r="BO51" s="372"/>
      <c r="BP51" s="372"/>
      <c r="BQ51" s="372"/>
      <c r="BR51" s="210">
        <f>Pending!AW24</f>
        <v>0</v>
      </c>
      <c r="BS51" s="350"/>
      <c r="BT51" s="373"/>
      <c r="BU51" s="373"/>
      <c r="BV51" s="373"/>
      <c r="BW51" s="373"/>
      <c r="BX51" s="350"/>
      <c r="BY51" s="352"/>
      <c r="CF51" s="24"/>
      <c r="CG51" s="24"/>
      <c r="EG51" s="24" t="str">
        <f>IFERROR(IF(bgr!CO47=0,"",bgr!CO47),"")</f>
        <v/>
      </c>
      <c r="EH51" s="24" t="str">
        <f>IFERROR(IF(bgr!CP47=0,"",bgr!CP47),"")</f>
        <v/>
      </c>
    </row>
    <row r="52" spans="2:138" ht="70.5" customHeight="1">
      <c r="B52" s="189" t="str">
        <f t="shared" si="5"/>
        <v/>
      </c>
      <c r="C52" s="98" t="str">
        <f>BL98</f>
        <v/>
      </c>
      <c r="D52" s="98">
        <f>BM98</f>
        <v>0</v>
      </c>
      <c r="E52" s="43"/>
      <c r="F52" s="179"/>
      <c r="G52" s="180"/>
      <c r="H52" s="181"/>
      <c r="I52" s="181">
        <f t="shared" si="6"/>
        <v>0</v>
      </c>
      <c r="J52" s="181"/>
      <c r="K52" s="181"/>
      <c r="L52" s="181"/>
      <c r="M52" s="181"/>
      <c r="N52" s="181"/>
      <c r="O52" s="182" t="str">
        <f>IF(E52="","",IF(VLOOKUP(E52,#REF!,12,FALSE)="","",VLOOKUP(E52,#REF!,12,FALSE)))</f>
        <v/>
      </c>
      <c r="P52" s="99"/>
      <c r="Q52" s="100"/>
      <c r="R52" s="101"/>
      <c r="S52" s="102"/>
      <c r="T52" s="102"/>
      <c r="U52" s="102"/>
      <c r="V52" s="102"/>
      <c r="W52" s="102"/>
      <c r="X52" s="102"/>
      <c r="Y52" s="102"/>
      <c r="Z52" s="102"/>
      <c r="AA52" s="100"/>
      <c r="AB52" s="189">
        <f t="shared" si="0"/>
        <v>0</v>
      </c>
      <c r="AC52" s="30" t="str">
        <f t="shared" si="7"/>
        <v/>
      </c>
      <c r="AD52" s="183" t="str">
        <f t="shared" si="31"/>
        <v/>
      </c>
      <c r="AE52" s="177" t="str">
        <f t="shared" si="9"/>
        <v/>
      </c>
      <c r="AF52" s="31" t="str">
        <f t="shared" si="1"/>
        <v/>
      </c>
      <c r="AG52" s="184" t="str">
        <f t="shared" si="10"/>
        <v/>
      </c>
      <c r="AH52" s="185" t="str">
        <f t="shared" si="11"/>
        <v/>
      </c>
      <c r="AI52" s="186" t="str">
        <f t="shared" si="12"/>
        <v/>
      </c>
      <c r="AJ52" s="190" t="str">
        <f t="shared" si="13"/>
        <v/>
      </c>
      <c r="AK52" s="32" t="str">
        <f t="shared" si="14"/>
        <v/>
      </c>
      <c r="AL52" s="187" t="str">
        <f t="shared" si="15"/>
        <v/>
      </c>
      <c r="AM52" s="187" t="str">
        <f t="shared" si="2"/>
        <v/>
      </c>
      <c r="AN52" s="187" t="str">
        <f t="shared" si="3"/>
        <v/>
      </c>
      <c r="AO52" s="187" t="str">
        <f t="shared" si="4"/>
        <v/>
      </c>
      <c r="AP52" s="188" t="str">
        <f>IF(E52="","",VLOOKUP(E52,#REF!,2,FALSE))</f>
        <v/>
      </c>
      <c r="AQ52" s="191"/>
      <c r="AR52" s="192"/>
      <c r="AS52" s="193"/>
      <c r="AT52" s="194"/>
      <c r="AU52" s="138"/>
      <c r="AV52" s="76"/>
      <c r="AW52" s="353">
        <v>24</v>
      </c>
      <c r="AX52" s="355" t="str">
        <f>CONCATENATE(F29, "-", G29,"-",L29,"x",M29,"x",N29)</f>
        <v>--xx</v>
      </c>
      <c r="AY52" s="202">
        <f>P29</f>
        <v>0</v>
      </c>
      <c r="AZ52" s="69"/>
      <c r="BA52" s="69"/>
      <c r="BB52" s="69"/>
      <c r="BC52" s="69"/>
      <c r="BD52" s="70"/>
      <c r="BE52" s="71" t="str">
        <f>CONCATENATE(R29,"x",S29," - ",T29,"x",U29," - ",V29,"x",W29," - ",X29,"x",Y29," - ",Z29,"x",AA29)</f>
        <v>x - x - x - x - x</v>
      </c>
      <c r="BF52" s="72" t="str">
        <f>AJ29</f>
        <v/>
      </c>
      <c r="BG52" s="73"/>
      <c r="BH52" s="74" t="str">
        <f>AL29</f>
        <v/>
      </c>
      <c r="BI52" s="68" t="str">
        <f>AE29</f>
        <v/>
      </c>
      <c r="BJ52" s="237" t="str">
        <f t="shared" ref="BJ52:BK52" si="36">AF29</f>
        <v/>
      </c>
      <c r="BK52" s="241" t="str">
        <f t="shared" si="36"/>
        <v/>
      </c>
      <c r="BL52" s="356" t="str">
        <f>IF(BG52="","",(BK53+BJ53))</f>
        <v/>
      </c>
      <c r="BM52" s="357"/>
      <c r="BN52" s="358"/>
      <c r="BO52" s="359"/>
      <c r="BP52" s="359"/>
      <c r="BQ52" s="359"/>
      <c r="BR52" s="211">
        <f>AB29</f>
        <v>0</v>
      </c>
      <c r="BS52" s="357">
        <f>IF(BR53=0,0,BR53*AP29)</f>
        <v>0</v>
      </c>
      <c r="BT52" s="360"/>
      <c r="BU52" s="360"/>
      <c r="BV52" s="360"/>
      <c r="BW52" s="360"/>
      <c r="BX52" s="357">
        <f>IF(BR53=0,0,(BR53/BI53)-(BR53/BI52))</f>
        <v>0</v>
      </c>
      <c r="BY52" s="365"/>
      <c r="CF52" s="24"/>
      <c r="CG52" s="24"/>
      <c r="EG52" s="24" t="str">
        <f>IFERROR(IF(bgr!CO48=0,"",bgr!CO48),"")</f>
        <v/>
      </c>
      <c r="EH52" s="24" t="str">
        <f>IFERROR(IF(bgr!CP48=0,"",bgr!CP48),"")</f>
        <v/>
      </c>
    </row>
    <row r="53" spans="2:138" ht="68.25" customHeight="1">
      <c r="B53" s="189" t="str">
        <f t="shared" si="5"/>
        <v/>
      </c>
      <c r="C53" s="98" t="str">
        <f>BL100</f>
        <v/>
      </c>
      <c r="D53" s="98">
        <f>BM100</f>
        <v>0</v>
      </c>
      <c r="E53" s="43"/>
      <c r="F53" s="179"/>
      <c r="G53" s="180"/>
      <c r="H53" s="181"/>
      <c r="I53" s="181">
        <f t="shared" si="6"/>
        <v>0</v>
      </c>
      <c r="J53" s="181"/>
      <c r="K53" s="181"/>
      <c r="L53" s="181"/>
      <c r="M53" s="181"/>
      <c r="N53" s="181"/>
      <c r="O53" s="182" t="str">
        <f>IF(E53="","",IF(VLOOKUP(E53,#REF!,12,FALSE)="","",VLOOKUP(E53,#REF!,12,FALSE)))</f>
        <v/>
      </c>
      <c r="P53" s="99"/>
      <c r="Q53" s="100"/>
      <c r="R53" s="101"/>
      <c r="S53" s="102"/>
      <c r="T53" s="102"/>
      <c r="U53" s="102"/>
      <c r="V53" s="102"/>
      <c r="W53" s="102"/>
      <c r="X53" s="102"/>
      <c r="Y53" s="102"/>
      <c r="Z53" s="102"/>
      <c r="AA53" s="100"/>
      <c r="AB53" s="189">
        <f t="shared" si="0"/>
        <v>0</v>
      </c>
      <c r="AC53" s="30" t="str">
        <f t="shared" si="7"/>
        <v/>
      </c>
      <c r="AD53" s="183" t="str">
        <f t="shared" si="31"/>
        <v/>
      </c>
      <c r="AE53" s="177" t="str">
        <f t="shared" si="9"/>
        <v/>
      </c>
      <c r="AF53" s="31" t="str">
        <f t="shared" si="1"/>
        <v/>
      </c>
      <c r="AG53" s="184" t="str">
        <f t="shared" si="10"/>
        <v/>
      </c>
      <c r="AH53" s="185" t="str">
        <f t="shared" si="11"/>
        <v/>
      </c>
      <c r="AI53" s="186" t="str">
        <f t="shared" si="12"/>
        <v/>
      </c>
      <c r="AJ53" s="190" t="str">
        <f t="shared" si="13"/>
        <v/>
      </c>
      <c r="AK53" s="32" t="str">
        <f t="shared" si="14"/>
        <v/>
      </c>
      <c r="AL53" s="187" t="str">
        <f t="shared" si="15"/>
        <v/>
      </c>
      <c r="AM53" s="187" t="str">
        <f t="shared" si="2"/>
        <v/>
      </c>
      <c r="AN53" s="187" t="str">
        <f t="shared" si="3"/>
        <v/>
      </c>
      <c r="AO53" s="187" t="str">
        <f t="shared" si="4"/>
        <v/>
      </c>
      <c r="AP53" s="188" t="str">
        <f>IF(E53="","",VLOOKUP(E53,#REF!,2,FALSE))</f>
        <v/>
      </c>
      <c r="AQ53" s="191"/>
      <c r="AR53" s="192"/>
      <c r="AS53" s="193"/>
      <c r="AT53" s="194"/>
      <c r="AU53" s="138"/>
      <c r="AV53" s="76"/>
      <c r="AW53" s="374"/>
      <c r="AX53" s="355"/>
      <c r="AY53" s="203">
        <f>Q29</f>
        <v>0</v>
      </c>
      <c r="AZ53" s="77"/>
      <c r="BA53" s="77"/>
      <c r="BB53" s="77"/>
      <c r="BC53" s="77"/>
      <c r="BD53" s="52"/>
      <c r="BE53" s="247"/>
      <c r="BF53" s="78" t="str">
        <f>AK29</f>
        <v/>
      </c>
      <c r="BG53" s="79"/>
      <c r="BH53" s="80" t="str">
        <f>IF(BR53=0,"",(((BR53)/((BJ53+BK53)/60))))</f>
        <v/>
      </c>
      <c r="BI53" s="81"/>
      <c r="BJ53" s="234"/>
      <c r="BK53" s="242" t="str">
        <f>IF(BG53="","",((BG53-BG52)*60*24)-(BJ53+BM52+BY52))</f>
        <v/>
      </c>
      <c r="BL53" s="356"/>
      <c r="BM53" s="357"/>
      <c r="BN53" s="358"/>
      <c r="BO53" s="359"/>
      <c r="BP53" s="359"/>
      <c r="BQ53" s="359"/>
      <c r="BR53" s="210">
        <f>Pending!AW25</f>
        <v>0</v>
      </c>
      <c r="BS53" s="357"/>
      <c r="BT53" s="360"/>
      <c r="BU53" s="360"/>
      <c r="BV53" s="360"/>
      <c r="BW53" s="360"/>
      <c r="BX53" s="357"/>
      <c r="BY53" s="366"/>
      <c r="CF53" s="24"/>
      <c r="CG53" s="24"/>
      <c r="EG53" s="24" t="str">
        <f>IFERROR(IF(bgr!CO49=0,"",bgr!CO49),"")</f>
        <v/>
      </c>
      <c r="EH53" s="24" t="str">
        <f>IFERROR(IF(bgr!CP49=0,"",bgr!CP49),"")</f>
        <v/>
      </c>
    </row>
    <row r="54" spans="2:138" ht="68.25" customHeight="1">
      <c r="B54" s="189" t="str">
        <f t="shared" si="5"/>
        <v/>
      </c>
      <c r="C54" s="98" t="str">
        <f>BL102</f>
        <v/>
      </c>
      <c r="D54" s="98">
        <f>BM102</f>
        <v>0</v>
      </c>
      <c r="E54" s="43"/>
      <c r="F54" s="179"/>
      <c r="G54" s="180"/>
      <c r="H54" s="181"/>
      <c r="I54" s="181">
        <f t="shared" si="6"/>
        <v>0</v>
      </c>
      <c r="J54" s="181"/>
      <c r="K54" s="181"/>
      <c r="L54" s="181"/>
      <c r="M54" s="181"/>
      <c r="N54" s="181"/>
      <c r="O54" s="182" t="str">
        <f>IF(E54="","",IF(VLOOKUP(E54,#REF!,12,FALSE)="","",VLOOKUP(E54,#REF!,12,FALSE)))</f>
        <v/>
      </c>
      <c r="P54" s="99"/>
      <c r="Q54" s="100"/>
      <c r="R54" s="101"/>
      <c r="S54" s="102"/>
      <c r="T54" s="102"/>
      <c r="U54" s="102"/>
      <c r="V54" s="102"/>
      <c r="W54" s="102"/>
      <c r="X54" s="102"/>
      <c r="Y54" s="102"/>
      <c r="Z54" s="102"/>
      <c r="AA54" s="100"/>
      <c r="AB54" s="189">
        <f t="shared" si="0"/>
        <v>0</v>
      </c>
      <c r="AC54" s="30" t="str">
        <f t="shared" si="7"/>
        <v/>
      </c>
      <c r="AD54" s="183" t="str">
        <f t="shared" si="31"/>
        <v/>
      </c>
      <c r="AE54" s="177" t="str">
        <f t="shared" si="9"/>
        <v/>
      </c>
      <c r="AF54" s="31" t="str">
        <f t="shared" si="1"/>
        <v/>
      </c>
      <c r="AG54" s="184" t="str">
        <f t="shared" si="10"/>
        <v/>
      </c>
      <c r="AH54" s="185" t="str">
        <f t="shared" si="11"/>
        <v/>
      </c>
      <c r="AI54" s="186" t="str">
        <f t="shared" si="12"/>
        <v/>
      </c>
      <c r="AJ54" s="190" t="str">
        <f t="shared" si="13"/>
        <v/>
      </c>
      <c r="AK54" s="32" t="str">
        <f t="shared" si="14"/>
        <v/>
      </c>
      <c r="AL54" s="187" t="str">
        <f t="shared" si="15"/>
        <v/>
      </c>
      <c r="AM54" s="187" t="str">
        <f t="shared" si="2"/>
        <v/>
      </c>
      <c r="AN54" s="187" t="str">
        <f t="shared" si="3"/>
        <v/>
      </c>
      <c r="AO54" s="187" t="str">
        <f t="shared" si="4"/>
        <v/>
      </c>
      <c r="AP54" s="188" t="str">
        <f>IF(E54="","",VLOOKUP(E54,#REF!,2,FALSE))</f>
        <v/>
      </c>
      <c r="AQ54" s="191"/>
      <c r="AR54" s="192"/>
      <c r="AS54" s="193"/>
      <c r="AT54" s="194"/>
      <c r="AU54" s="138"/>
      <c r="AV54" s="76"/>
      <c r="AW54" s="367">
        <v>25</v>
      </c>
      <c r="AX54" s="368" t="str">
        <f>CONCATENATE(F30, "-", G30,"-",L30,"x",M30,"x",N30)</f>
        <v>--xx</v>
      </c>
      <c r="AY54" s="204">
        <f>P30</f>
        <v>0</v>
      </c>
      <c r="AZ54" s="84"/>
      <c r="BA54" s="84"/>
      <c r="BB54" s="84"/>
      <c r="BC54" s="84"/>
      <c r="BD54" s="70"/>
      <c r="BE54" s="85" t="str">
        <f>CONCATENATE(R30,"x",S30," - ",T30,"x",U30," - ",V30,"x",W30," - ",X30,"x",Y30," - ",Z30,"x",AA30)</f>
        <v>x - x - x - x - x</v>
      </c>
      <c r="BF54" s="86" t="str">
        <f>AJ30</f>
        <v/>
      </c>
      <c r="BG54" s="87"/>
      <c r="BH54" s="88" t="str">
        <f>AL30</f>
        <v/>
      </c>
      <c r="BI54" s="83" t="str">
        <f>AE30</f>
        <v/>
      </c>
      <c r="BJ54" s="238" t="str">
        <f t="shared" ref="BJ54:BK54" si="37">AF30</f>
        <v/>
      </c>
      <c r="BK54" s="243" t="str">
        <f t="shared" si="37"/>
        <v/>
      </c>
      <c r="BL54" s="369" t="str">
        <f>IF(BG54="","",(BK55+BJ55))</f>
        <v/>
      </c>
      <c r="BM54" s="350"/>
      <c r="BN54" s="370"/>
      <c r="BO54" s="372"/>
      <c r="BP54" s="372"/>
      <c r="BQ54" s="372"/>
      <c r="BR54" s="212">
        <f>AB30</f>
        <v>0</v>
      </c>
      <c r="BS54" s="350">
        <f>IF(BR55=0,0,BR55*AP30)</f>
        <v>0</v>
      </c>
      <c r="BT54" s="373"/>
      <c r="BU54" s="373"/>
      <c r="BV54" s="373"/>
      <c r="BW54" s="373"/>
      <c r="BX54" s="350">
        <f>IF(BR55=0,0,(BR55/BI55)-(BR55/BI54))</f>
        <v>0</v>
      </c>
      <c r="BY54" s="371"/>
      <c r="CF54" s="24"/>
      <c r="CG54" s="24"/>
      <c r="EG54" s="24" t="str">
        <f>IFERROR(IF(bgr!CO50=0,"",bgr!CO50),"")</f>
        <v/>
      </c>
      <c r="EH54" s="24" t="str">
        <f>IFERROR(IF(bgr!CP50=0,"",bgr!CP50),"")</f>
        <v/>
      </c>
    </row>
    <row r="55" spans="2:138" ht="68.25" customHeight="1">
      <c r="B55" s="189" t="str">
        <f t="shared" si="5"/>
        <v/>
      </c>
      <c r="C55" s="98" t="str">
        <f>BL104</f>
        <v/>
      </c>
      <c r="D55" s="98">
        <f>BM104</f>
        <v>0</v>
      </c>
      <c r="E55" s="43"/>
      <c r="F55" s="179"/>
      <c r="G55" s="180"/>
      <c r="H55" s="181"/>
      <c r="I55" s="181">
        <f t="shared" si="6"/>
        <v>0</v>
      </c>
      <c r="J55" s="181"/>
      <c r="K55" s="181"/>
      <c r="L55" s="181"/>
      <c r="M55" s="181"/>
      <c r="N55" s="181"/>
      <c r="O55" s="182" t="str">
        <f>IF(E55="","",IF(VLOOKUP(E55,#REF!,12,FALSE)="","",VLOOKUP(E55,#REF!,12,FALSE)))</f>
        <v/>
      </c>
      <c r="P55" s="99"/>
      <c r="Q55" s="100"/>
      <c r="R55" s="101"/>
      <c r="S55" s="102"/>
      <c r="T55" s="102"/>
      <c r="U55" s="102"/>
      <c r="V55" s="102"/>
      <c r="W55" s="102"/>
      <c r="X55" s="102"/>
      <c r="Y55" s="102"/>
      <c r="Z55" s="102"/>
      <c r="AA55" s="100"/>
      <c r="AB55" s="189">
        <f t="shared" si="0"/>
        <v>0</v>
      </c>
      <c r="AC55" s="30" t="str">
        <f t="shared" si="7"/>
        <v/>
      </c>
      <c r="AD55" s="183" t="str">
        <f t="shared" si="31"/>
        <v/>
      </c>
      <c r="AE55" s="177" t="str">
        <f t="shared" si="9"/>
        <v/>
      </c>
      <c r="AF55" s="31" t="str">
        <f t="shared" si="1"/>
        <v/>
      </c>
      <c r="AG55" s="184" t="str">
        <f t="shared" si="10"/>
        <v/>
      </c>
      <c r="AH55" s="185" t="str">
        <f t="shared" si="11"/>
        <v/>
      </c>
      <c r="AI55" s="186" t="str">
        <f t="shared" si="12"/>
        <v/>
      </c>
      <c r="AJ55" s="190" t="str">
        <f t="shared" si="13"/>
        <v/>
      </c>
      <c r="AK55" s="32" t="str">
        <f t="shared" si="14"/>
        <v/>
      </c>
      <c r="AL55" s="187" t="str">
        <f t="shared" si="15"/>
        <v/>
      </c>
      <c r="AM55" s="187" t="str">
        <f t="shared" si="2"/>
        <v/>
      </c>
      <c r="AN55" s="187" t="str">
        <f t="shared" si="3"/>
        <v/>
      </c>
      <c r="AO55" s="187" t="str">
        <f t="shared" si="4"/>
        <v/>
      </c>
      <c r="AP55" s="188" t="str">
        <f>IF(E55="","",VLOOKUP(E55,#REF!,2,FALSE))</f>
        <v/>
      </c>
      <c r="AQ55" s="191"/>
      <c r="AR55" s="192"/>
      <c r="AS55" s="193"/>
      <c r="AT55" s="194"/>
      <c r="AU55" s="138"/>
      <c r="AV55" s="76"/>
      <c r="AW55" s="336"/>
      <c r="AX55" s="368"/>
      <c r="AY55" s="201">
        <f>Q30</f>
        <v>0</v>
      </c>
      <c r="AZ55" s="51"/>
      <c r="BA55" s="51"/>
      <c r="BB55" s="51"/>
      <c r="BC55" s="51"/>
      <c r="BD55" s="52"/>
      <c r="BE55" s="247"/>
      <c r="BF55" s="53" t="str">
        <f>AK30</f>
        <v/>
      </c>
      <c r="BG55" s="54"/>
      <c r="BH55" s="55" t="str">
        <f>IF(BR55=0,"",(((BR55)/((BJ55+BK55)/60))))</f>
        <v/>
      </c>
      <c r="BI55" s="56"/>
      <c r="BJ55" s="233"/>
      <c r="BK55" s="240" t="str">
        <f>IF(BG55="","",((BG55-BG54)*60*24)-(BJ55+BM54+BY54))</f>
        <v/>
      </c>
      <c r="BL55" s="369"/>
      <c r="BM55" s="350"/>
      <c r="BN55" s="370"/>
      <c r="BO55" s="372"/>
      <c r="BP55" s="372"/>
      <c r="BQ55" s="372"/>
      <c r="BR55" s="210">
        <f>Pending!AW26</f>
        <v>0</v>
      </c>
      <c r="BS55" s="350"/>
      <c r="BT55" s="373"/>
      <c r="BU55" s="373"/>
      <c r="BV55" s="373"/>
      <c r="BW55" s="373"/>
      <c r="BX55" s="350"/>
      <c r="BY55" s="352"/>
      <c r="CF55" s="24"/>
      <c r="CG55" s="24"/>
      <c r="EG55" s="24" t="str">
        <f>IFERROR(IF(bgr!CO51=0,"",bgr!CO51),"")</f>
        <v/>
      </c>
      <c r="EH55" s="24" t="str">
        <f>IFERROR(IF(bgr!CP51=0,"",bgr!CP51),"")</f>
        <v/>
      </c>
    </row>
    <row r="56" spans="2:138" ht="68.25" customHeight="1">
      <c r="B56" s="189" t="str">
        <f t="shared" si="5"/>
        <v/>
      </c>
      <c r="C56" s="98" t="str">
        <f>BL106</f>
        <v/>
      </c>
      <c r="D56" s="98">
        <f>BM106</f>
        <v>0</v>
      </c>
      <c r="E56" s="43"/>
      <c r="F56" s="179"/>
      <c r="G56" s="180"/>
      <c r="H56" s="181"/>
      <c r="I56" s="181">
        <f t="shared" si="6"/>
        <v>0</v>
      </c>
      <c r="J56" s="181"/>
      <c r="K56" s="181"/>
      <c r="L56" s="181"/>
      <c r="M56" s="181"/>
      <c r="N56" s="181"/>
      <c r="O56" s="182" t="str">
        <f>IF(E56="","",IF(VLOOKUP(E56,#REF!,12,FALSE)="","",VLOOKUP(E56,#REF!,12,FALSE)))</f>
        <v/>
      </c>
      <c r="P56" s="99"/>
      <c r="Q56" s="100"/>
      <c r="R56" s="101"/>
      <c r="S56" s="102"/>
      <c r="T56" s="102"/>
      <c r="U56" s="102"/>
      <c r="V56" s="102"/>
      <c r="W56" s="102"/>
      <c r="X56" s="102"/>
      <c r="Y56" s="102"/>
      <c r="Z56" s="102"/>
      <c r="AA56" s="100"/>
      <c r="AB56" s="189">
        <f t="shared" si="0"/>
        <v>0</v>
      </c>
      <c r="AC56" s="30" t="str">
        <f t="shared" si="7"/>
        <v/>
      </c>
      <c r="AD56" s="183" t="str">
        <f t="shared" si="31"/>
        <v/>
      </c>
      <c r="AE56" s="177" t="str">
        <f t="shared" si="9"/>
        <v/>
      </c>
      <c r="AF56" s="31" t="str">
        <f t="shared" si="1"/>
        <v/>
      </c>
      <c r="AG56" s="184" t="str">
        <f t="shared" si="10"/>
        <v/>
      </c>
      <c r="AH56" s="185" t="str">
        <f t="shared" si="11"/>
        <v/>
      </c>
      <c r="AI56" s="186" t="str">
        <f t="shared" si="12"/>
        <v/>
      </c>
      <c r="AJ56" s="190" t="str">
        <f t="shared" si="13"/>
        <v/>
      </c>
      <c r="AK56" s="32" t="str">
        <f t="shared" si="14"/>
        <v/>
      </c>
      <c r="AL56" s="187" t="str">
        <f t="shared" si="15"/>
        <v/>
      </c>
      <c r="AM56" s="187" t="str">
        <f t="shared" si="2"/>
        <v/>
      </c>
      <c r="AN56" s="187" t="str">
        <f t="shared" si="3"/>
        <v/>
      </c>
      <c r="AO56" s="187" t="str">
        <f t="shared" si="4"/>
        <v/>
      </c>
      <c r="AP56" s="188" t="str">
        <f>IF(E56="","",VLOOKUP(E56,#REF!,2,FALSE))</f>
        <v/>
      </c>
      <c r="AQ56" s="191"/>
      <c r="AR56" s="192"/>
      <c r="AS56" s="193"/>
      <c r="AT56" s="194"/>
      <c r="AU56" s="138"/>
      <c r="AV56" s="76"/>
      <c r="AW56" s="353">
        <v>26</v>
      </c>
      <c r="AX56" s="355" t="str">
        <f>CONCATENATE(F31, "-", G31,"-",L31,"x",M31,"x",N31)</f>
        <v>--xx</v>
      </c>
      <c r="AY56" s="202">
        <f>P31</f>
        <v>0</v>
      </c>
      <c r="AZ56" s="69"/>
      <c r="BA56" s="69"/>
      <c r="BB56" s="69"/>
      <c r="BC56" s="69"/>
      <c r="BD56" s="70"/>
      <c r="BE56" s="71" t="str">
        <f>CONCATENATE(R31,"x",S31," - ",T31,"x",U31," - ",V31,"x",W31," - ",X31,"x",Y31," - ",Z31,"x",AA31)</f>
        <v>x - x - x - x - x</v>
      </c>
      <c r="BF56" s="72" t="str">
        <f>AJ31</f>
        <v/>
      </c>
      <c r="BG56" s="73"/>
      <c r="BH56" s="74" t="str">
        <f>AL31</f>
        <v/>
      </c>
      <c r="BI56" s="68" t="str">
        <f>AE31</f>
        <v/>
      </c>
      <c r="BJ56" s="237" t="str">
        <f t="shared" ref="BJ56:BK56" si="38">AF31</f>
        <v/>
      </c>
      <c r="BK56" s="241" t="str">
        <f t="shared" si="38"/>
        <v/>
      </c>
      <c r="BL56" s="356" t="str">
        <f>IF(BG56="","",(BK57+BJ57))</f>
        <v/>
      </c>
      <c r="BM56" s="357"/>
      <c r="BN56" s="358"/>
      <c r="BO56" s="359"/>
      <c r="BP56" s="359"/>
      <c r="BQ56" s="359"/>
      <c r="BR56" s="211">
        <f>AB31</f>
        <v>0</v>
      </c>
      <c r="BS56" s="357">
        <f>IF(BR57=0,0,BR57*AP31)</f>
        <v>0</v>
      </c>
      <c r="BT56" s="360"/>
      <c r="BU56" s="360"/>
      <c r="BV56" s="360"/>
      <c r="BW56" s="360"/>
      <c r="BX56" s="357">
        <f>IF(BR57=0,0,(BR57/BI57)-(BR57/BI56))</f>
        <v>0</v>
      </c>
      <c r="BY56" s="365"/>
      <c r="CF56" s="24"/>
      <c r="CG56" s="24"/>
      <c r="EG56" s="24" t="str">
        <f>IFERROR(IF(bgr!CO52=0,"",bgr!CO52),"")</f>
        <v/>
      </c>
      <c r="EH56" s="24" t="str">
        <f>IFERROR(IF(bgr!CP52=0,"",bgr!CP52),"")</f>
        <v/>
      </c>
    </row>
    <row r="57" spans="2:138" ht="68.25" customHeight="1">
      <c r="B57" s="189" t="str">
        <f t="shared" si="5"/>
        <v/>
      </c>
      <c r="C57" s="98" t="str">
        <f>BL108</f>
        <v/>
      </c>
      <c r="D57" s="98">
        <f>BM108</f>
        <v>0</v>
      </c>
      <c r="E57" s="43"/>
      <c r="F57" s="179"/>
      <c r="G57" s="180"/>
      <c r="H57" s="181"/>
      <c r="I57" s="181">
        <f t="shared" si="6"/>
        <v>0</v>
      </c>
      <c r="J57" s="181"/>
      <c r="K57" s="181"/>
      <c r="L57" s="181"/>
      <c r="M57" s="181"/>
      <c r="N57" s="181"/>
      <c r="O57" s="182" t="str">
        <f>IF(E57="","",IF(VLOOKUP(E57,#REF!,12,FALSE)="","",VLOOKUP(E57,#REF!,12,FALSE)))</f>
        <v/>
      </c>
      <c r="P57" s="99"/>
      <c r="Q57" s="100"/>
      <c r="R57" s="101"/>
      <c r="S57" s="102"/>
      <c r="T57" s="102"/>
      <c r="U57" s="102"/>
      <c r="V57" s="102"/>
      <c r="W57" s="102"/>
      <c r="X57" s="102"/>
      <c r="Y57" s="102"/>
      <c r="Z57" s="102"/>
      <c r="AA57" s="100"/>
      <c r="AB57" s="189">
        <f t="shared" si="0"/>
        <v>0</v>
      </c>
      <c r="AC57" s="30" t="str">
        <f t="shared" si="7"/>
        <v/>
      </c>
      <c r="AD57" s="183" t="str">
        <f t="shared" si="31"/>
        <v/>
      </c>
      <c r="AE57" s="177" t="str">
        <f t="shared" si="9"/>
        <v/>
      </c>
      <c r="AF57" s="31" t="str">
        <f t="shared" si="1"/>
        <v/>
      </c>
      <c r="AG57" s="184" t="str">
        <f t="shared" si="10"/>
        <v/>
      </c>
      <c r="AH57" s="185" t="str">
        <f t="shared" si="11"/>
        <v/>
      </c>
      <c r="AI57" s="186" t="str">
        <f t="shared" si="12"/>
        <v/>
      </c>
      <c r="AJ57" s="190" t="str">
        <f t="shared" si="13"/>
        <v/>
      </c>
      <c r="AK57" s="32" t="str">
        <f t="shared" si="14"/>
        <v/>
      </c>
      <c r="AL57" s="187" t="str">
        <f t="shared" si="15"/>
        <v/>
      </c>
      <c r="AM57" s="187" t="str">
        <f t="shared" si="2"/>
        <v/>
      </c>
      <c r="AN57" s="187" t="str">
        <f t="shared" si="3"/>
        <v/>
      </c>
      <c r="AO57" s="187" t="str">
        <f t="shared" si="4"/>
        <v/>
      </c>
      <c r="AP57" s="188" t="str">
        <f>IF(E57="","",VLOOKUP(E57,#REF!,2,FALSE))</f>
        <v/>
      </c>
      <c r="AQ57" s="191"/>
      <c r="AR57" s="192"/>
      <c r="AS57" s="193"/>
      <c r="AT57" s="194"/>
      <c r="AU57" s="138"/>
      <c r="AV57" s="76"/>
      <c r="AW57" s="374"/>
      <c r="AX57" s="355"/>
      <c r="AY57" s="203">
        <f>Q31</f>
        <v>0</v>
      </c>
      <c r="AZ57" s="77"/>
      <c r="BA57" s="77"/>
      <c r="BB57" s="77"/>
      <c r="BC57" s="77"/>
      <c r="BD57" s="52"/>
      <c r="BE57" s="247"/>
      <c r="BF57" s="78" t="str">
        <f>AK31</f>
        <v/>
      </c>
      <c r="BG57" s="79"/>
      <c r="BH57" s="80" t="str">
        <f>IF(BR57=0,"",(((BR57)/((BJ57+BK57)/60))))</f>
        <v/>
      </c>
      <c r="BI57" s="81"/>
      <c r="BJ57" s="234"/>
      <c r="BK57" s="242" t="str">
        <f>IF(BG57="","",((BG57-BG56)*60*24)-(BJ57+BM56+BY56))</f>
        <v/>
      </c>
      <c r="BL57" s="356"/>
      <c r="BM57" s="357"/>
      <c r="BN57" s="358"/>
      <c r="BO57" s="359"/>
      <c r="BP57" s="359"/>
      <c r="BQ57" s="359"/>
      <c r="BR57" s="210">
        <f>Pending!AW27</f>
        <v>0</v>
      </c>
      <c r="BS57" s="357"/>
      <c r="BT57" s="360"/>
      <c r="BU57" s="360"/>
      <c r="BV57" s="360"/>
      <c r="BW57" s="360"/>
      <c r="BX57" s="357"/>
      <c r="BY57" s="366"/>
      <c r="CF57" s="24"/>
      <c r="CG57" s="24"/>
      <c r="EG57" s="24" t="str">
        <f>IFERROR(IF(bgr!CO53=0,"",bgr!CO53),"")</f>
        <v/>
      </c>
      <c r="EH57" s="24" t="str">
        <f>IFERROR(IF(bgr!CP53=0,"",bgr!CP53),"")</f>
        <v/>
      </c>
    </row>
    <row r="58" spans="2:138" ht="68.25" customHeight="1">
      <c r="B58" s="189" t="str">
        <f t="shared" si="5"/>
        <v/>
      </c>
      <c r="C58" s="98" t="str">
        <f>BL110</f>
        <v/>
      </c>
      <c r="D58" s="98">
        <f>BM110</f>
        <v>0</v>
      </c>
      <c r="E58" s="43"/>
      <c r="F58" s="179"/>
      <c r="G58" s="180"/>
      <c r="H58" s="181"/>
      <c r="I58" s="181">
        <f t="shared" si="6"/>
        <v>0</v>
      </c>
      <c r="J58" s="181"/>
      <c r="K58" s="181"/>
      <c r="L58" s="181"/>
      <c r="M58" s="181"/>
      <c r="N58" s="181"/>
      <c r="O58" s="182" t="str">
        <f>IF(E58="","",IF(VLOOKUP(E58,#REF!,12,FALSE)="","",VLOOKUP(E58,#REF!,12,FALSE)))</f>
        <v/>
      </c>
      <c r="P58" s="99"/>
      <c r="Q58" s="100"/>
      <c r="R58" s="101"/>
      <c r="S58" s="102"/>
      <c r="T58" s="102"/>
      <c r="U58" s="102"/>
      <c r="V58" s="102"/>
      <c r="W58" s="102"/>
      <c r="X58" s="102"/>
      <c r="Y58" s="102"/>
      <c r="Z58" s="102"/>
      <c r="AA58" s="100"/>
      <c r="AB58" s="189">
        <f t="shared" si="0"/>
        <v>0</v>
      </c>
      <c r="AC58" s="30" t="str">
        <f t="shared" si="7"/>
        <v/>
      </c>
      <c r="AD58" s="183" t="str">
        <f t="shared" si="31"/>
        <v/>
      </c>
      <c r="AE58" s="177" t="str">
        <f t="shared" si="9"/>
        <v/>
      </c>
      <c r="AF58" s="31" t="str">
        <f t="shared" si="1"/>
        <v/>
      </c>
      <c r="AG58" s="184" t="str">
        <f t="shared" si="10"/>
        <v/>
      </c>
      <c r="AH58" s="185" t="str">
        <f t="shared" si="11"/>
        <v/>
      </c>
      <c r="AI58" s="186" t="str">
        <f t="shared" si="12"/>
        <v/>
      </c>
      <c r="AJ58" s="190" t="str">
        <f t="shared" si="13"/>
        <v/>
      </c>
      <c r="AK58" s="32" t="str">
        <f t="shared" si="14"/>
        <v/>
      </c>
      <c r="AL58" s="187" t="str">
        <f t="shared" si="15"/>
        <v/>
      </c>
      <c r="AM58" s="187" t="str">
        <f t="shared" si="2"/>
        <v/>
      </c>
      <c r="AN58" s="187" t="str">
        <f t="shared" si="3"/>
        <v/>
      </c>
      <c r="AO58" s="187" t="str">
        <f t="shared" si="4"/>
        <v/>
      </c>
      <c r="AP58" s="188" t="str">
        <f>IF(E58="","",VLOOKUP(E58,#REF!,2,FALSE))</f>
        <v/>
      </c>
      <c r="AQ58" s="191"/>
      <c r="AR58" s="192"/>
      <c r="AS58" s="193"/>
      <c r="AT58" s="194"/>
      <c r="AU58" s="138"/>
      <c r="AV58" s="76"/>
      <c r="AW58" s="367">
        <v>27</v>
      </c>
      <c r="AX58" s="368" t="str">
        <f>CONCATENATE(F32, "-", G32,"-",L32,"x",M32,"x",N32)</f>
        <v>--xx</v>
      </c>
      <c r="AY58" s="204">
        <f>P32</f>
        <v>0</v>
      </c>
      <c r="AZ58" s="84"/>
      <c r="BA58" s="84"/>
      <c r="BB58" s="84"/>
      <c r="BC58" s="84"/>
      <c r="BD58" s="70"/>
      <c r="BE58" s="85" t="str">
        <f>CONCATENATE(R32,"x",S32," - ",T32,"x",U32," - ",V32,"x",W32," - ",X32,"x",Y32," - ",Z32,"x",AA32)</f>
        <v>x - x - x - x - x</v>
      </c>
      <c r="BF58" s="86" t="str">
        <f>AJ32</f>
        <v/>
      </c>
      <c r="BG58" s="87"/>
      <c r="BH58" s="88" t="str">
        <f>AL32</f>
        <v/>
      </c>
      <c r="BI58" s="83" t="str">
        <f>AE32</f>
        <v/>
      </c>
      <c r="BJ58" s="238" t="str">
        <f t="shared" ref="BJ58:BK58" si="39">AF32</f>
        <v/>
      </c>
      <c r="BK58" s="243" t="str">
        <f t="shared" si="39"/>
        <v/>
      </c>
      <c r="BL58" s="369" t="str">
        <f>IF(BG58="","",(BK59+BJ59))</f>
        <v/>
      </c>
      <c r="BM58" s="350"/>
      <c r="BN58" s="370"/>
      <c r="BO58" s="372"/>
      <c r="BP58" s="372"/>
      <c r="BQ58" s="372"/>
      <c r="BR58" s="212">
        <f>AB32</f>
        <v>0</v>
      </c>
      <c r="BS58" s="350">
        <f>IF(BR59=0,0,BR59*AP32)</f>
        <v>0</v>
      </c>
      <c r="BT58" s="373"/>
      <c r="BU58" s="373"/>
      <c r="BV58" s="373"/>
      <c r="BW58" s="373"/>
      <c r="BX58" s="350">
        <f>IF(BR59=0,0,(BR59/BI59)-(BR59/BI58))</f>
        <v>0</v>
      </c>
      <c r="BY58" s="371"/>
      <c r="CF58" s="24"/>
      <c r="CG58" s="24"/>
      <c r="EG58" s="24" t="str">
        <f>IFERROR(IF(bgr!CO54=0,"",bgr!CO54),"")</f>
        <v/>
      </c>
      <c r="EH58" s="24" t="str">
        <f>IFERROR(IF(bgr!CP54=0,"",bgr!CP54),"")</f>
        <v/>
      </c>
    </row>
    <row r="59" spans="2:138" ht="68.25" customHeight="1">
      <c r="B59" s="189" t="str">
        <f t="shared" si="5"/>
        <v/>
      </c>
      <c r="C59" s="98" t="str">
        <f>BL112</f>
        <v/>
      </c>
      <c r="D59" s="98">
        <f>BM112</f>
        <v>0</v>
      </c>
      <c r="E59" s="43"/>
      <c r="F59" s="179"/>
      <c r="G59" s="180"/>
      <c r="H59" s="181"/>
      <c r="I59" s="181">
        <f t="shared" si="6"/>
        <v>0</v>
      </c>
      <c r="J59" s="181"/>
      <c r="K59" s="181"/>
      <c r="L59" s="181"/>
      <c r="M59" s="181"/>
      <c r="N59" s="181"/>
      <c r="O59" s="182" t="str">
        <f>IF(E59="","",IF(VLOOKUP(E59,#REF!,12,FALSE)="","",VLOOKUP(E59,#REF!,12,FALSE)))</f>
        <v/>
      </c>
      <c r="P59" s="99"/>
      <c r="Q59" s="100"/>
      <c r="R59" s="101"/>
      <c r="S59" s="102"/>
      <c r="T59" s="102"/>
      <c r="U59" s="102"/>
      <c r="V59" s="102"/>
      <c r="W59" s="102"/>
      <c r="X59" s="102"/>
      <c r="Y59" s="102"/>
      <c r="Z59" s="102"/>
      <c r="AA59" s="100"/>
      <c r="AB59" s="189">
        <f t="shared" si="0"/>
        <v>0</v>
      </c>
      <c r="AC59" s="30" t="str">
        <f t="shared" si="7"/>
        <v/>
      </c>
      <c r="AD59" s="183" t="str">
        <f t="shared" si="31"/>
        <v/>
      </c>
      <c r="AE59" s="177" t="str">
        <f t="shared" si="9"/>
        <v/>
      </c>
      <c r="AF59" s="31" t="str">
        <f t="shared" si="1"/>
        <v/>
      </c>
      <c r="AG59" s="184" t="str">
        <f t="shared" si="10"/>
        <v/>
      </c>
      <c r="AH59" s="185" t="str">
        <f t="shared" si="11"/>
        <v/>
      </c>
      <c r="AI59" s="186" t="str">
        <f t="shared" si="12"/>
        <v/>
      </c>
      <c r="AJ59" s="190" t="str">
        <f t="shared" si="13"/>
        <v/>
      </c>
      <c r="AK59" s="32" t="str">
        <f t="shared" si="14"/>
        <v/>
      </c>
      <c r="AL59" s="187" t="str">
        <f t="shared" si="15"/>
        <v/>
      </c>
      <c r="AM59" s="187" t="str">
        <f t="shared" si="2"/>
        <v/>
      </c>
      <c r="AN59" s="187" t="str">
        <f t="shared" si="3"/>
        <v/>
      </c>
      <c r="AO59" s="187" t="str">
        <f t="shared" si="4"/>
        <v/>
      </c>
      <c r="AP59" s="188" t="str">
        <f>IF(E59="","",VLOOKUP(E59,#REF!,2,FALSE))</f>
        <v/>
      </c>
      <c r="AQ59" s="191"/>
      <c r="AR59" s="192"/>
      <c r="AS59" s="193"/>
      <c r="AT59" s="194"/>
      <c r="AU59" s="138"/>
      <c r="AV59" s="76"/>
      <c r="AW59" s="336"/>
      <c r="AX59" s="368"/>
      <c r="AY59" s="201">
        <f>Q32</f>
        <v>0</v>
      </c>
      <c r="AZ59" s="51"/>
      <c r="BA59" s="51"/>
      <c r="BB59" s="51"/>
      <c r="BC59" s="51"/>
      <c r="BD59" s="52"/>
      <c r="BE59" s="247"/>
      <c r="BF59" s="53" t="str">
        <f>AK32</f>
        <v/>
      </c>
      <c r="BG59" s="54"/>
      <c r="BH59" s="55" t="str">
        <f>IF(BR59=0,"",(((BR59)/((BJ59+BK59)/60))))</f>
        <v/>
      </c>
      <c r="BI59" s="56"/>
      <c r="BJ59" s="233"/>
      <c r="BK59" s="240" t="str">
        <f>IF(BG59="","",((BG59-BG58)*60*24)-(BJ59+BM58+BY58))</f>
        <v/>
      </c>
      <c r="BL59" s="369"/>
      <c r="BM59" s="350"/>
      <c r="BN59" s="370"/>
      <c r="BO59" s="372"/>
      <c r="BP59" s="372"/>
      <c r="BQ59" s="372"/>
      <c r="BR59" s="210">
        <f>Pending!AW28</f>
        <v>0</v>
      </c>
      <c r="BS59" s="350"/>
      <c r="BT59" s="373"/>
      <c r="BU59" s="373"/>
      <c r="BV59" s="373"/>
      <c r="BW59" s="373"/>
      <c r="BX59" s="350"/>
      <c r="BY59" s="352"/>
      <c r="CF59" s="24"/>
      <c r="CG59" s="24"/>
      <c r="EG59" s="24" t="str">
        <f>IFERROR(IF(bgr!CO55=0,"",bgr!CO55),"")</f>
        <v/>
      </c>
      <c r="EH59" s="24" t="str">
        <f>IFERROR(IF(bgr!CP55=0,"",bgr!CP55),"")</f>
        <v/>
      </c>
    </row>
    <row r="60" spans="2:138" ht="68.25" customHeight="1">
      <c r="B60" s="189" t="str">
        <f t="shared" si="5"/>
        <v/>
      </c>
      <c r="C60" s="98" t="str">
        <f>BL114</f>
        <v/>
      </c>
      <c r="D60" s="98">
        <f>BM114</f>
        <v>0</v>
      </c>
      <c r="E60" s="43"/>
      <c r="F60" s="179"/>
      <c r="G60" s="180"/>
      <c r="H60" s="181"/>
      <c r="I60" s="181">
        <f t="shared" si="6"/>
        <v>0</v>
      </c>
      <c r="J60" s="181"/>
      <c r="K60" s="181"/>
      <c r="L60" s="181"/>
      <c r="M60" s="181"/>
      <c r="N60" s="181"/>
      <c r="O60" s="182" t="str">
        <f>IF(E60="","",IF(VLOOKUP(E60,#REF!,12,FALSE)="","",VLOOKUP(E60,#REF!,12,FALSE)))</f>
        <v/>
      </c>
      <c r="P60" s="99"/>
      <c r="Q60" s="100"/>
      <c r="R60" s="101"/>
      <c r="S60" s="102"/>
      <c r="T60" s="102"/>
      <c r="U60" s="102"/>
      <c r="V60" s="102"/>
      <c r="W60" s="102"/>
      <c r="X60" s="102"/>
      <c r="Y60" s="102"/>
      <c r="Z60" s="102"/>
      <c r="AA60" s="100"/>
      <c r="AB60" s="189">
        <f t="shared" si="0"/>
        <v>0</v>
      </c>
      <c r="AC60" s="30" t="str">
        <f t="shared" si="7"/>
        <v/>
      </c>
      <c r="AD60" s="183" t="str">
        <f t="shared" si="31"/>
        <v/>
      </c>
      <c r="AE60" s="177" t="str">
        <f t="shared" si="9"/>
        <v/>
      </c>
      <c r="AF60" s="31" t="str">
        <f t="shared" si="1"/>
        <v/>
      </c>
      <c r="AG60" s="184" t="str">
        <f t="shared" si="10"/>
        <v/>
      </c>
      <c r="AH60" s="185" t="str">
        <f t="shared" si="11"/>
        <v/>
      </c>
      <c r="AI60" s="186" t="str">
        <f t="shared" si="12"/>
        <v/>
      </c>
      <c r="AJ60" s="190" t="str">
        <f t="shared" si="13"/>
        <v/>
      </c>
      <c r="AK60" s="32" t="str">
        <f t="shared" si="14"/>
        <v/>
      </c>
      <c r="AL60" s="187" t="str">
        <f t="shared" si="15"/>
        <v/>
      </c>
      <c r="AM60" s="187" t="str">
        <f t="shared" si="2"/>
        <v/>
      </c>
      <c r="AN60" s="187" t="str">
        <f t="shared" si="3"/>
        <v/>
      </c>
      <c r="AO60" s="187" t="str">
        <f t="shared" si="4"/>
        <v/>
      </c>
      <c r="AP60" s="188" t="str">
        <f>IF(E60="","",VLOOKUP(E60,#REF!,2,FALSE))</f>
        <v/>
      </c>
      <c r="AQ60" s="191"/>
      <c r="AR60" s="192"/>
      <c r="AS60" s="193"/>
      <c r="AT60" s="194"/>
      <c r="AU60" s="138"/>
      <c r="AV60" s="76"/>
      <c r="AW60" s="353">
        <v>28</v>
      </c>
      <c r="AX60" s="355" t="str">
        <f>CONCATENATE(F33, "-", G33,"-",L33,"x",M33,"x",N33)</f>
        <v>--xx</v>
      </c>
      <c r="AY60" s="202">
        <f>P33</f>
        <v>0</v>
      </c>
      <c r="AZ60" s="69"/>
      <c r="BA60" s="69"/>
      <c r="BB60" s="69"/>
      <c r="BC60" s="69"/>
      <c r="BD60" s="70"/>
      <c r="BE60" s="71" t="str">
        <f>CONCATENATE(R33,"x",S33," - ",T33,"x",U33," - ",V33,"x",W33," - ",X33,"x",Y33," - ",Z33,"x",AA33)</f>
        <v>x - x - x - x - x</v>
      </c>
      <c r="BF60" s="72" t="str">
        <f>AJ33</f>
        <v/>
      </c>
      <c r="BG60" s="73"/>
      <c r="BH60" s="74" t="str">
        <f>AL33</f>
        <v/>
      </c>
      <c r="BI60" s="68" t="str">
        <f>AE33</f>
        <v/>
      </c>
      <c r="BJ60" s="237" t="str">
        <f>AF33</f>
        <v/>
      </c>
      <c r="BK60" s="241" t="str">
        <f>AG33</f>
        <v/>
      </c>
      <c r="BL60" s="356" t="str">
        <f>IF(BG60="","",(BK61+BJ61))</f>
        <v/>
      </c>
      <c r="BM60" s="357"/>
      <c r="BN60" s="358"/>
      <c r="BO60" s="359"/>
      <c r="BP60" s="359"/>
      <c r="BQ60" s="359"/>
      <c r="BR60" s="211">
        <f>AB33</f>
        <v>0</v>
      </c>
      <c r="BS60" s="357">
        <f>IF(BR61=0,0,BR61*AP33)</f>
        <v>0</v>
      </c>
      <c r="BT60" s="360"/>
      <c r="BU60" s="360"/>
      <c r="BV60" s="360"/>
      <c r="BW60" s="360"/>
      <c r="BX60" s="357">
        <f>IF(BR61=0,0,(BR61/BI61)-(BR61/BI60))</f>
        <v>0</v>
      </c>
      <c r="BY60" s="365"/>
      <c r="CF60" s="24"/>
      <c r="CG60" s="24"/>
      <c r="EG60" s="24" t="str">
        <f>IFERROR(IF(bgr!CO56=0,"",bgr!CO56),"")</f>
        <v/>
      </c>
      <c r="EH60" s="24" t="str">
        <f>IFERROR(IF(bgr!CP56=0,"",bgr!CP56),"")</f>
        <v/>
      </c>
    </row>
    <row r="61" spans="2:138" ht="68.25" customHeight="1">
      <c r="B61" s="189" t="str">
        <f t="shared" si="5"/>
        <v/>
      </c>
      <c r="C61" s="98" t="str">
        <f>BL116</f>
        <v/>
      </c>
      <c r="D61" s="98">
        <f>BM116</f>
        <v>0</v>
      </c>
      <c r="E61" s="43"/>
      <c r="F61" s="179"/>
      <c r="G61" s="180"/>
      <c r="H61" s="181"/>
      <c r="I61" s="181">
        <f t="shared" si="6"/>
        <v>0</v>
      </c>
      <c r="J61" s="181"/>
      <c r="K61" s="181"/>
      <c r="L61" s="181"/>
      <c r="M61" s="181"/>
      <c r="N61" s="181"/>
      <c r="O61" s="182" t="str">
        <f>IF(E61="","",IF(VLOOKUP(E61,#REF!,12,FALSE)="","",VLOOKUP(E61,#REF!,12,FALSE)))</f>
        <v/>
      </c>
      <c r="P61" s="99"/>
      <c r="Q61" s="100"/>
      <c r="R61" s="101"/>
      <c r="S61" s="102"/>
      <c r="T61" s="102"/>
      <c r="U61" s="102"/>
      <c r="V61" s="102"/>
      <c r="W61" s="102"/>
      <c r="X61" s="102"/>
      <c r="Y61" s="102"/>
      <c r="Z61" s="102"/>
      <c r="AA61" s="100"/>
      <c r="AB61" s="189">
        <f t="shared" si="0"/>
        <v>0</v>
      </c>
      <c r="AC61" s="30" t="str">
        <f t="shared" si="7"/>
        <v/>
      </c>
      <c r="AD61" s="183" t="str">
        <f t="shared" si="31"/>
        <v/>
      </c>
      <c r="AE61" s="177" t="str">
        <f t="shared" si="9"/>
        <v/>
      </c>
      <c r="AF61" s="31" t="str">
        <f t="shared" si="1"/>
        <v/>
      </c>
      <c r="AG61" s="184" t="str">
        <f t="shared" si="10"/>
        <v/>
      </c>
      <c r="AH61" s="185" t="str">
        <f t="shared" si="11"/>
        <v/>
      </c>
      <c r="AI61" s="186" t="str">
        <f t="shared" si="12"/>
        <v/>
      </c>
      <c r="AJ61" s="190" t="str">
        <f t="shared" si="13"/>
        <v/>
      </c>
      <c r="AK61" s="32" t="str">
        <f t="shared" si="14"/>
        <v/>
      </c>
      <c r="AL61" s="187" t="str">
        <f t="shared" si="15"/>
        <v/>
      </c>
      <c r="AM61" s="187" t="str">
        <f t="shared" si="2"/>
        <v/>
      </c>
      <c r="AN61" s="187" t="str">
        <f t="shared" si="3"/>
        <v/>
      </c>
      <c r="AO61" s="187" t="str">
        <f t="shared" si="4"/>
        <v/>
      </c>
      <c r="AP61" s="188" t="str">
        <f>IF(E61="","",VLOOKUP(E61,#REF!,2,FALSE))</f>
        <v/>
      </c>
      <c r="AQ61" s="191"/>
      <c r="AR61" s="192"/>
      <c r="AS61" s="193"/>
      <c r="AT61" s="194"/>
      <c r="AU61" s="138"/>
      <c r="AV61" s="76"/>
      <c r="AW61" s="374"/>
      <c r="AX61" s="355"/>
      <c r="AY61" s="203">
        <f>Q33</f>
        <v>0</v>
      </c>
      <c r="AZ61" s="77"/>
      <c r="BA61" s="77"/>
      <c r="BB61" s="77"/>
      <c r="BC61" s="77"/>
      <c r="BD61" s="52"/>
      <c r="BE61" s="247"/>
      <c r="BF61" s="78" t="str">
        <f>AK33</f>
        <v/>
      </c>
      <c r="BG61" s="79"/>
      <c r="BH61" s="80" t="str">
        <f>IF(BR61=0,"",(((BR61)/((BJ61+BK61)/60))))</f>
        <v/>
      </c>
      <c r="BI61" s="81"/>
      <c r="BJ61" s="234"/>
      <c r="BK61" s="242" t="str">
        <f>IF(BG61="","",((BG61-BG60)*60*24)-(BJ61+BM60+BY60))</f>
        <v/>
      </c>
      <c r="BL61" s="356"/>
      <c r="BM61" s="357"/>
      <c r="BN61" s="358"/>
      <c r="BO61" s="359"/>
      <c r="BP61" s="359"/>
      <c r="BQ61" s="359"/>
      <c r="BR61" s="210">
        <f>Pending!AW29</f>
        <v>0</v>
      </c>
      <c r="BS61" s="357"/>
      <c r="BT61" s="360"/>
      <c r="BU61" s="360"/>
      <c r="BV61" s="360"/>
      <c r="BW61" s="360"/>
      <c r="BX61" s="357"/>
      <c r="BY61" s="366"/>
      <c r="CF61" s="24"/>
      <c r="CG61" s="24"/>
      <c r="EG61" s="24" t="str">
        <f>IFERROR(IF(bgr!CO57=0,"",bgr!CO57),"")</f>
        <v/>
      </c>
      <c r="EH61" s="24" t="str">
        <f>IFERROR(IF(bgr!CP57=0,"",bgr!CP57),"")</f>
        <v/>
      </c>
    </row>
    <row r="62" spans="2:138" ht="68.25" customHeight="1">
      <c r="B62" s="189" t="str">
        <f t="shared" si="5"/>
        <v/>
      </c>
      <c r="C62" s="98" t="str">
        <f>BL118</f>
        <v/>
      </c>
      <c r="D62" s="98">
        <f>BM118</f>
        <v>0</v>
      </c>
      <c r="E62" s="43"/>
      <c r="F62" s="179"/>
      <c r="G62" s="180"/>
      <c r="H62" s="181"/>
      <c r="I62" s="181">
        <f t="shared" si="6"/>
        <v>0</v>
      </c>
      <c r="J62" s="181"/>
      <c r="K62" s="181"/>
      <c r="L62" s="181"/>
      <c r="M62" s="181"/>
      <c r="N62" s="181"/>
      <c r="O62" s="182" t="str">
        <f>IF(E62="","",IF(VLOOKUP(E62,#REF!,12,FALSE)="","",VLOOKUP(E62,#REF!,12,FALSE)))</f>
        <v/>
      </c>
      <c r="P62" s="99"/>
      <c r="Q62" s="100"/>
      <c r="R62" s="101"/>
      <c r="S62" s="102"/>
      <c r="T62" s="102"/>
      <c r="U62" s="102"/>
      <c r="V62" s="102"/>
      <c r="W62" s="102"/>
      <c r="X62" s="102"/>
      <c r="Y62" s="102"/>
      <c r="Z62" s="102"/>
      <c r="AA62" s="100"/>
      <c r="AB62" s="189">
        <f t="shared" si="0"/>
        <v>0</v>
      </c>
      <c r="AC62" s="30" t="str">
        <f t="shared" si="7"/>
        <v/>
      </c>
      <c r="AD62" s="183" t="str">
        <f t="shared" si="31"/>
        <v/>
      </c>
      <c r="AE62" s="177" t="str">
        <f t="shared" si="9"/>
        <v/>
      </c>
      <c r="AF62" s="31" t="str">
        <f t="shared" si="1"/>
        <v/>
      </c>
      <c r="AG62" s="184" t="str">
        <f t="shared" si="10"/>
        <v/>
      </c>
      <c r="AH62" s="185" t="str">
        <f t="shared" si="11"/>
        <v/>
      </c>
      <c r="AI62" s="186" t="str">
        <f t="shared" si="12"/>
        <v/>
      </c>
      <c r="AJ62" s="190" t="str">
        <f t="shared" si="13"/>
        <v/>
      </c>
      <c r="AK62" s="32" t="str">
        <f t="shared" si="14"/>
        <v/>
      </c>
      <c r="AL62" s="187" t="str">
        <f t="shared" si="15"/>
        <v/>
      </c>
      <c r="AM62" s="187" t="str">
        <f t="shared" si="2"/>
        <v/>
      </c>
      <c r="AN62" s="187" t="str">
        <f t="shared" si="3"/>
        <v/>
      </c>
      <c r="AO62" s="187" t="str">
        <f t="shared" si="4"/>
        <v/>
      </c>
      <c r="AP62" s="188" t="str">
        <f>IF(E62="","",VLOOKUP(E62,#REF!,2,FALSE))</f>
        <v/>
      </c>
      <c r="AQ62" s="191"/>
      <c r="AR62" s="192"/>
      <c r="AS62" s="193"/>
      <c r="AT62" s="194"/>
      <c r="AU62" s="138"/>
      <c r="AV62" s="76"/>
      <c r="AW62" s="367">
        <v>29</v>
      </c>
      <c r="AX62" s="368" t="str">
        <f>CONCATENATE(F34, "-", G34,"-",L34,"x",M34,"x",N34)</f>
        <v>--xx</v>
      </c>
      <c r="AY62" s="204">
        <f>P34</f>
        <v>0</v>
      </c>
      <c r="AZ62" s="84"/>
      <c r="BA62" s="84"/>
      <c r="BB62" s="84"/>
      <c r="BC62" s="84"/>
      <c r="BD62" s="70"/>
      <c r="BE62" s="85" t="str">
        <f>CONCATENATE(R34,"x",S34," - ",T34,"x",U34," - ",V34,"x",W34," - ",X34,"x",Y34," - ",Z34,"x",AA34)</f>
        <v>x - x - x - x - x</v>
      </c>
      <c r="BF62" s="86" t="str">
        <f>AJ34</f>
        <v/>
      </c>
      <c r="BG62" s="87"/>
      <c r="BH62" s="88" t="str">
        <f>AL34</f>
        <v/>
      </c>
      <c r="BI62" s="83" t="str">
        <f>AE34</f>
        <v/>
      </c>
      <c r="BJ62" s="238" t="str">
        <f t="shared" ref="BJ62:BK62" si="40">AF34</f>
        <v/>
      </c>
      <c r="BK62" s="243" t="str">
        <f t="shared" si="40"/>
        <v/>
      </c>
      <c r="BL62" s="369" t="str">
        <f>IF(BG62="","",(BK63+BJ63))</f>
        <v/>
      </c>
      <c r="BM62" s="350"/>
      <c r="BN62" s="370"/>
      <c r="BO62" s="372"/>
      <c r="BP62" s="372"/>
      <c r="BQ62" s="372"/>
      <c r="BR62" s="212">
        <f>AB34</f>
        <v>0</v>
      </c>
      <c r="BS62" s="350">
        <f>IF(BR63=0,0,BR63*AP34)</f>
        <v>0</v>
      </c>
      <c r="BT62" s="373"/>
      <c r="BU62" s="373"/>
      <c r="BV62" s="373"/>
      <c r="BW62" s="373"/>
      <c r="BX62" s="350">
        <f>IF(BR63=0,0,(BR63/BI63)-(BR63/BI62))</f>
        <v>0</v>
      </c>
      <c r="BY62" s="371"/>
      <c r="CF62" s="24"/>
      <c r="CG62" s="24"/>
      <c r="EG62" s="24" t="str">
        <f>IFERROR(IF(bgr!CO58=0,"",bgr!CO58),"")</f>
        <v/>
      </c>
      <c r="EH62" s="24" t="str">
        <f>IFERROR(IF(bgr!CP58=0,"",bgr!CP58),"")</f>
        <v/>
      </c>
    </row>
    <row r="63" spans="2:138" ht="68.25" customHeight="1">
      <c r="B63" s="189" t="str">
        <f t="shared" si="5"/>
        <v/>
      </c>
      <c r="C63" s="98" t="str">
        <f>BL120</f>
        <v/>
      </c>
      <c r="D63" s="98">
        <f>BM120</f>
        <v>0</v>
      </c>
      <c r="E63" s="43"/>
      <c r="F63" s="179"/>
      <c r="G63" s="180"/>
      <c r="H63" s="181"/>
      <c r="I63" s="181">
        <f t="shared" si="6"/>
        <v>0</v>
      </c>
      <c r="J63" s="181"/>
      <c r="K63" s="181"/>
      <c r="L63" s="181"/>
      <c r="M63" s="181"/>
      <c r="N63" s="181"/>
      <c r="O63" s="182" t="str">
        <f>IF(E63="","",IF(VLOOKUP(E63,#REF!,12,FALSE)="","",VLOOKUP(E63,#REF!,12,FALSE)))</f>
        <v/>
      </c>
      <c r="P63" s="99"/>
      <c r="Q63" s="100"/>
      <c r="R63" s="101"/>
      <c r="S63" s="102"/>
      <c r="T63" s="102"/>
      <c r="U63" s="102"/>
      <c r="V63" s="102"/>
      <c r="W63" s="102"/>
      <c r="X63" s="102"/>
      <c r="Y63" s="102"/>
      <c r="Z63" s="102"/>
      <c r="AA63" s="100"/>
      <c r="AB63" s="189">
        <f t="shared" si="0"/>
        <v>0</v>
      </c>
      <c r="AC63" s="30" t="str">
        <f t="shared" si="7"/>
        <v/>
      </c>
      <c r="AD63" s="183" t="str">
        <f t="shared" si="31"/>
        <v/>
      </c>
      <c r="AE63" s="177" t="str">
        <f t="shared" si="9"/>
        <v/>
      </c>
      <c r="AF63" s="31" t="str">
        <f t="shared" si="1"/>
        <v/>
      </c>
      <c r="AG63" s="184" t="str">
        <f t="shared" si="10"/>
        <v/>
      </c>
      <c r="AH63" s="185" t="str">
        <f t="shared" si="11"/>
        <v/>
      </c>
      <c r="AI63" s="186" t="str">
        <f t="shared" si="12"/>
        <v/>
      </c>
      <c r="AJ63" s="190" t="str">
        <f t="shared" si="13"/>
        <v/>
      </c>
      <c r="AK63" s="32" t="str">
        <f t="shared" si="14"/>
        <v/>
      </c>
      <c r="AL63" s="187" t="str">
        <f t="shared" si="15"/>
        <v/>
      </c>
      <c r="AM63" s="187" t="str">
        <f t="shared" si="2"/>
        <v/>
      </c>
      <c r="AN63" s="187" t="str">
        <f t="shared" si="3"/>
        <v/>
      </c>
      <c r="AO63" s="187" t="str">
        <f t="shared" si="4"/>
        <v/>
      </c>
      <c r="AP63" s="188" t="str">
        <f>IF(E63="","",VLOOKUP(E63,#REF!,2,FALSE))</f>
        <v/>
      </c>
      <c r="AQ63" s="191"/>
      <c r="AR63" s="192"/>
      <c r="AS63" s="193"/>
      <c r="AT63" s="194"/>
      <c r="AU63" s="138"/>
      <c r="AV63" s="76"/>
      <c r="AW63" s="336"/>
      <c r="AX63" s="368"/>
      <c r="AY63" s="201">
        <f>Q34</f>
        <v>0</v>
      </c>
      <c r="AZ63" s="51"/>
      <c r="BA63" s="51"/>
      <c r="BB63" s="51"/>
      <c r="BC63" s="51"/>
      <c r="BD63" s="52"/>
      <c r="BE63" s="247"/>
      <c r="BF63" s="53" t="str">
        <f>AK34</f>
        <v/>
      </c>
      <c r="BG63" s="54"/>
      <c r="BH63" s="55" t="str">
        <f>IF(BR63=0,"",(((BR63)/((BJ63+BK63)/60))))</f>
        <v/>
      </c>
      <c r="BI63" s="56"/>
      <c r="BJ63" s="233"/>
      <c r="BK63" s="240" t="str">
        <f>IF(BG63="","",((BG63-BG62)*60*24)-(BJ63+BM62+BY62))</f>
        <v/>
      </c>
      <c r="BL63" s="369"/>
      <c r="BM63" s="350"/>
      <c r="BN63" s="370"/>
      <c r="BO63" s="372"/>
      <c r="BP63" s="372"/>
      <c r="BQ63" s="372"/>
      <c r="BR63" s="210">
        <f>Pending!AW30</f>
        <v>0</v>
      </c>
      <c r="BS63" s="350"/>
      <c r="BT63" s="373"/>
      <c r="BU63" s="373"/>
      <c r="BV63" s="373"/>
      <c r="BW63" s="373"/>
      <c r="BX63" s="350"/>
      <c r="BY63" s="352"/>
      <c r="CF63" s="24"/>
      <c r="CG63" s="24"/>
      <c r="EG63" s="24" t="str">
        <f>IFERROR(IF(bgr!CO59=0,"",bgr!CO59),"")</f>
        <v/>
      </c>
      <c r="EH63" s="24" t="str">
        <f>IFERROR(IF(bgr!CP59=0,"",bgr!CP59),"")</f>
        <v/>
      </c>
    </row>
    <row r="64" spans="2:138" ht="68.25" customHeight="1">
      <c r="B64" s="189" t="str">
        <f t="shared" si="5"/>
        <v/>
      </c>
      <c r="C64" s="98" t="str">
        <f>BL122</f>
        <v/>
      </c>
      <c r="D64" s="98">
        <f>BM122</f>
        <v>0</v>
      </c>
      <c r="E64" s="43"/>
      <c r="F64" s="179"/>
      <c r="G64" s="180"/>
      <c r="H64" s="181"/>
      <c r="I64" s="181">
        <f t="shared" si="6"/>
        <v>0</v>
      </c>
      <c r="J64" s="181"/>
      <c r="K64" s="181"/>
      <c r="L64" s="181"/>
      <c r="M64" s="181"/>
      <c r="N64" s="181"/>
      <c r="O64" s="182" t="str">
        <f>IF(E64="","",IF(VLOOKUP(E64,#REF!,12,FALSE)="","",VLOOKUP(E64,#REF!,12,FALSE)))</f>
        <v/>
      </c>
      <c r="P64" s="99"/>
      <c r="Q64" s="100"/>
      <c r="R64" s="101"/>
      <c r="S64" s="102"/>
      <c r="T64" s="102"/>
      <c r="U64" s="102"/>
      <c r="V64" s="102"/>
      <c r="W64" s="102"/>
      <c r="X64" s="102"/>
      <c r="Y64" s="102"/>
      <c r="Z64" s="102"/>
      <c r="AA64" s="100"/>
      <c r="AB64" s="189">
        <f t="shared" si="0"/>
        <v>0</v>
      </c>
      <c r="AC64" s="30" t="str">
        <f t="shared" si="7"/>
        <v/>
      </c>
      <c r="AD64" s="183" t="str">
        <f t="shared" si="31"/>
        <v/>
      </c>
      <c r="AE64" s="177" t="str">
        <f t="shared" si="9"/>
        <v/>
      </c>
      <c r="AF64" s="31" t="str">
        <f t="shared" si="1"/>
        <v/>
      </c>
      <c r="AG64" s="184" t="str">
        <f t="shared" si="10"/>
        <v/>
      </c>
      <c r="AH64" s="185" t="str">
        <f t="shared" si="11"/>
        <v/>
      </c>
      <c r="AI64" s="186" t="str">
        <f t="shared" si="12"/>
        <v/>
      </c>
      <c r="AJ64" s="190" t="str">
        <f t="shared" si="13"/>
        <v/>
      </c>
      <c r="AK64" s="32" t="str">
        <f t="shared" si="14"/>
        <v/>
      </c>
      <c r="AL64" s="187" t="str">
        <f t="shared" si="15"/>
        <v/>
      </c>
      <c r="AM64" s="187" t="str">
        <f t="shared" si="2"/>
        <v/>
      </c>
      <c r="AN64" s="187" t="str">
        <f t="shared" si="3"/>
        <v/>
      </c>
      <c r="AO64" s="187" t="str">
        <f t="shared" si="4"/>
        <v/>
      </c>
      <c r="AP64" s="188" t="str">
        <f>IF(E64="","",VLOOKUP(E64,#REF!,2,FALSE))</f>
        <v/>
      </c>
      <c r="AQ64" s="191"/>
      <c r="AR64" s="192"/>
      <c r="AS64" s="193"/>
      <c r="AT64" s="194"/>
      <c r="AU64" s="138"/>
      <c r="AV64" s="76"/>
      <c r="AW64" s="353">
        <v>30</v>
      </c>
      <c r="AX64" s="355" t="str">
        <f>CONCATENATE(F35, "-", G35,"-",L35,"x",M35,"x",N35)</f>
        <v>--xx</v>
      </c>
      <c r="AY64" s="202">
        <f>P35</f>
        <v>0</v>
      </c>
      <c r="AZ64" s="69"/>
      <c r="BA64" s="69"/>
      <c r="BB64" s="69"/>
      <c r="BC64" s="69"/>
      <c r="BD64" s="70"/>
      <c r="BE64" s="71" t="str">
        <f>CONCATENATE(R35,"x",S35," - ",T35,"x",U35," - ",V35,"x",W35," - ",X35,"x",Y35," - ",Z35,"x",AA35)</f>
        <v>x - x - x - x - x</v>
      </c>
      <c r="BF64" s="72" t="str">
        <f>AJ35</f>
        <v/>
      </c>
      <c r="BG64" s="73"/>
      <c r="BH64" s="74" t="str">
        <f>AL35</f>
        <v/>
      </c>
      <c r="BI64" s="68" t="str">
        <f>AE35</f>
        <v/>
      </c>
      <c r="BJ64" s="237" t="str">
        <f t="shared" ref="BJ64:BK64" si="41">AF35</f>
        <v/>
      </c>
      <c r="BK64" s="241" t="str">
        <f t="shared" si="41"/>
        <v/>
      </c>
      <c r="BL64" s="356" t="str">
        <f>IF(BG64="","",(BK65+BJ65))</f>
        <v/>
      </c>
      <c r="BM64" s="357"/>
      <c r="BN64" s="358"/>
      <c r="BO64" s="359"/>
      <c r="BP64" s="359"/>
      <c r="BQ64" s="359"/>
      <c r="BR64" s="211">
        <f>AB35</f>
        <v>0</v>
      </c>
      <c r="BS64" s="357">
        <f>IF(BR65=0,0,BR65*AP35)</f>
        <v>0</v>
      </c>
      <c r="BT64" s="360"/>
      <c r="BU64" s="360"/>
      <c r="BV64" s="360"/>
      <c r="BW64" s="360"/>
      <c r="BX64" s="357">
        <f>IF(BR65=0,0,(BR65/BI65)-(BR65/BI64))</f>
        <v>0</v>
      </c>
      <c r="BY64" s="365"/>
      <c r="CF64" s="24"/>
      <c r="CG64" s="24"/>
      <c r="EG64" s="24" t="str">
        <f>IFERROR(IF(bgr!CO60=0,"",bgr!CO60),"")</f>
        <v/>
      </c>
      <c r="EH64" s="24" t="str">
        <f>IFERROR(IF(bgr!CP60=0,"",bgr!CP60),"")</f>
        <v/>
      </c>
    </row>
    <row r="65" spans="2:138" ht="68.25" customHeight="1">
      <c r="B65" s="189" t="str">
        <f t="shared" si="5"/>
        <v/>
      </c>
      <c r="C65" s="98" t="str">
        <f>BL124</f>
        <v/>
      </c>
      <c r="D65" s="98">
        <f>BM124</f>
        <v>0</v>
      </c>
      <c r="E65" s="43"/>
      <c r="F65" s="179"/>
      <c r="G65" s="180"/>
      <c r="H65" s="181"/>
      <c r="I65" s="181">
        <f t="shared" si="6"/>
        <v>0</v>
      </c>
      <c r="J65" s="181"/>
      <c r="K65" s="181"/>
      <c r="L65" s="181"/>
      <c r="M65" s="181"/>
      <c r="N65" s="181"/>
      <c r="O65" s="182" t="str">
        <f>IF(E65="","",IF(VLOOKUP(E65,#REF!,12,FALSE)="","",VLOOKUP(E65,#REF!,12,FALSE)))</f>
        <v/>
      </c>
      <c r="P65" s="99"/>
      <c r="Q65" s="100"/>
      <c r="R65" s="101"/>
      <c r="S65" s="102"/>
      <c r="T65" s="102"/>
      <c r="U65" s="102"/>
      <c r="V65" s="102"/>
      <c r="W65" s="102"/>
      <c r="X65" s="102"/>
      <c r="Y65" s="102"/>
      <c r="Z65" s="102"/>
      <c r="AA65" s="100"/>
      <c r="AB65" s="189">
        <f t="shared" si="0"/>
        <v>0</v>
      </c>
      <c r="AC65" s="30" t="str">
        <f t="shared" si="7"/>
        <v/>
      </c>
      <c r="AD65" s="183" t="str">
        <f t="shared" si="31"/>
        <v/>
      </c>
      <c r="AE65" s="177" t="str">
        <f t="shared" si="9"/>
        <v/>
      </c>
      <c r="AF65" s="31" t="str">
        <f t="shared" si="1"/>
        <v/>
      </c>
      <c r="AG65" s="184" t="str">
        <f t="shared" si="10"/>
        <v/>
      </c>
      <c r="AH65" s="185" t="str">
        <f t="shared" si="11"/>
        <v/>
      </c>
      <c r="AI65" s="186" t="str">
        <f t="shared" si="12"/>
        <v/>
      </c>
      <c r="AJ65" s="190" t="str">
        <f t="shared" si="13"/>
        <v/>
      </c>
      <c r="AK65" s="32" t="str">
        <f t="shared" si="14"/>
        <v/>
      </c>
      <c r="AL65" s="187" t="str">
        <f t="shared" si="15"/>
        <v/>
      </c>
      <c r="AM65" s="187" t="str">
        <f t="shared" si="2"/>
        <v/>
      </c>
      <c r="AN65" s="187" t="str">
        <f t="shared" si="3"/>
        <v/>
      </c>
      <c r="AO65" s="187" t="str">
        <f t="shared" si="4"/>
        <v/>
      </c>
      <c r="AP65" s="188" t="str">
        <f>IF(E65="","",VLOOKUP(E65,#REF!,2,FALSE))</f>
        <v/>
      </c>
      <c r="AQ65" s="191"/>
      <c r="AR65" s="192"/>
      <c r="AS65" s="193"/>
      <c r="AT65" s="194"/>
      <c r="AU65" s="138"/>
      <c r="AV65" s="76"/>
      <c r="AW65" s="374"/>
      <c r="AX65" s="355"/>
      <c r="AY65" s="203">
        <f>Q35</f>
        <v>0</v>
      </c>
      <c r="AZ65" s="77"/>
      <c r="BA65" s="77"/>
      <c r="BB65" s="77"/>
      <c r="BC65" s="77"/>
      <c r="BD65" s="52"/>
      <c r="BE65" s="247"/>
      <c r="BF65" s="78" t="str">
        <f>AK35</f>
        <v/>
      </c>
      <c r="BG65" s="79"/>
      <c r="BH65" s="80" t="str">
        <f>IF(BR65=0,"",(((BR65)/((BJ65+BK65)/60))))</f>
        <v/>
      </c>
      <c r="BI65" s="81"/>
      <c r="BJ65" s="234"/>
      <c r="BK65" s="242" t="str">
        <f>IF(BG65="","",((BG65-BG64)*60*24)-(BJ65+BM64+BY64))</f>
        <v/>
      </c>
      <c r="BL65" s="356"/>
      <c r="BM65" s="357"/>
      <c r="BN65" s="358"/>
      <c r="BO65" s="359"/>
      <c r="BP65" s="359"/>
      <c r="BQ65" s="359"/>
      <c r="BR65" s="210">
        <f>Pending!AW31</f>
        <v>0</v>
      </c>
      <c r="BS65" s="357"/>
      <c r="BT65" s="360"/>
      <c r="BU65" s="360"/>
      <c r="BV65" s="360"/>
      <c r="BW65" s="360"/>
      <c r="BX65" s="357"/>
      <c r="BY65" s="366"/>
      <c r="CF65" s="24"/>
      <c r="CG65" s="24"/>
      <c r="EG65" s="24" t="str">
        <f>IFERROR(IF(bgr!CO61=0,"",bgr!CO61),"")</f>
        <v/>
      </c>
      <c r="EH65" s="24" t="str">
        <f>IFERROR(IF(bgr!CP61=0,"",bgr!CP61),"")</f>
        <v/>
      </c>
    </row>
    <row r="66" spans="2:138" ht="64.5" customHeight="1" thickBot="1">
      <c r="B66" s="189" t="str">
        <f t="shared" si="5"/>
        <v/>
      </c>
      <c r="C66" s="98" t="str">
        <f>BL126</f>
        <v/>
      </c>
      <c r="D66" s="98">
        <f>BM126</f>
        <v>0</v>
      </c>
      <c r="E66" s="43"/>
      <c r="F66" s="179"/>
      <c r="G66" s="180"/>
      <c r="H66" s="181"/>
      <c r="I66" s="181">
        <f t="shared" si="6"/>
        <v>0</v>
      </c>
      <c r="J66" s="181"/>
      <c r="K66" s="181"/>
      <c r="L66" s="181"/>
      <c r="M66" s="181"/>
      <c r="N66" s="181"/>
      <c r="O66" s="182" t="str">
        <f>IF(E66="","",IF(VLOOKUP(E66,#REF!,12,FALSE)="","",VLOOKUP(E66,#REF!,12,FALSE)))</f>
        <v/>
      </c>
      <c r="P66" s="99"/>
      <c r="Q66" s="100"/>
      <c r="R66" s="101"/>
      <c r="S66" s="102"/>
      <c r="T66" s="102"/>
      <c r="U66" s="102"/>
      <c r="V66" s="102"/>
      <c r="W66" s="102"/>
      <c r="X66" s="102"/>
      <c r="Y66" s="102"/>
      <c r="Z66" s="102"/>
      <c r="AA66" s="100"/>
      <c r="AB66" s="189">
        <f t="shared" si="0"/>
        <v>0</v>
      </c>
      <c r="AC66" s="30" t="str">
        <f t="shared" si="7"/>
        <v/>
      </c>
      <c r="AD66" s="183" t="str">
        <f t="shared" si="31"/>
        <v/>
      </c>
      <c r="AE66" s="177" t="str">
        <f t="shared" si="9"/>
        <v/>
      </c>
      <c r="AF66" s="31" t="str">
        <f t="shared" si="1"/>
        <v/>
      </c>
      <c r="AG66" s="184" t="str">
        <f t="shared" si="10"/>
        <v/>
      </c>
      <c r="AH66" s="185" t="str">
        <f t="shared" si="11"/>
        <v/>
      </c>
      <c r="AI66" s="186" t="str">
        <f t="shared" si="12"/>
        <v/>
      </c>
      <c r="AJ66" s="190" t="str">
        <f t="shared" si="13"/>
        <v/>
      </c>
      <c r="AK66" s="32" t="str">
        <f t="shared" si="14"/>
        <v/>
      </c>
      <c r="AL66" s="187" t="str">
        <f t="shared" si="15"/>
        <v/>
      </c>
      <c r="AM66" s="187" t="str">
        <f t="shared" si="2"/>
        <v/>
      </c>
      <c r="AN66" s="187" t="str">
        <f t="shared" si="3"/>
        <v/>
      </c>
      <c r="AO66" s="187" t="str">
        <f t="shared" si="4"/>
        <v/>
      </c>
      <c r="AP66" s="188" t="str">
        <f>IF(E66="","",VLOOKUP(E66,#REF!,2,FALSE))</f>
        <v/>
      </c>
      <c r="AQ66" s="191"/>
      <c r="AR66" s="192"/>
      <c r="AS66" s="193"/>
      <c r="AT66" s="194"/>
      <c r="AU66" s="138"/>
      <c r="AV66" s="76"/>
      <c r="AW66" s="367">
        <v>31</v>
      </c>
      <c r="AX66" s="368" t="str">
        <f>CONCATENATE(F36, "-", G36,"-",L36,"x",M36,"x",N36)</f>
        <v>--xx</v>
      </c>
      <c r="AY66" s="204">
        <f>P36</f>
        <v>0</v>
      </c>
      <c r="AZ66" s="84"/>
      <c r="BA66" s="84"/>
      <c r="BB66" s="84"/>
      <c r="BC66" s="84"/>
      <c r="BD66" s="70"/>
      <c r="BE66" s="85" t="str">
        <f>CONCATENATE(R36,"x",S36," - ",T36,"x",U36," - ",V36,"x",W36," - ",X36,"x",Y36," - ",Z36,"x",AA36)</f>
        <v>x - x - x - x - x</v>
      </c>
      <c r="BF66" s="86" t="str">
        <f>AJ36</f>
        <v/>
      </c>
      <c r="BG66" s="87"/>
      <c r="BH66" s="88" t="str">
        <f>AL36</f>
        <v/>
      </c>
      <c r="BI66" s="83" t="str">
        <f>AE36</f>
        <v/>
      </c>
      <c r="BJ66" s="238" t="str">
        <f t="shared" ref="BJ66:BK66" si="42">AF36</f>
        <v/>
      </c>
      <c r="BK66" s="243" t="str">
        <f t="shared" si="42"/>
        <v/>
      </c>
      <c r="BL66" s="369" t="str">
        <f>IF(BG66="","",(BK67+BJ67))</f>
        <v/>
      </c>
      <c r="BM66" s="350"/>
      <c r="BN66" s="370"/>
      <c r="BO66" s="372"/>
      <c r="BP66" s="372"/>
      <c r="BQ66" s="372"/>
      <c r="BR66" s="212">
        <f>AB36</f>
        <v>0</v>
      </c>
      <c r="BS66" s="350">
        <f>IF(BR67=0,0,BR67*AP36)</f>
        <v>0</v>
      </c>
      <c r="BT66" s="373"/>
      <c r="BU66" s="373"/>
      <c r="BV66" s="373"/>
      <c r="BW66" s="373"/>
      <c r="BX66" s="350">
        <f>IF(BR67=0,0,(BR67/BI67)-(BR67/BI66))</f>
        <v>0</v>
      </c>
      <c r="BY66" s="371"/>
      <c r="CF66" s="24"/>
      <c r="CG66" s="24"/>
      <c r="EG66" s="24" t="str">
        <f>IFERROR(IF(bgr!CO62=0,"",bgr!CO62),"")</f>
        <v/>
      </c>
      <c r="EH66" s="24" t="str">
        <f>IFERROR(IF(bgr!CP62=0,"",bgr!CP62),"")</f>
        <v/>
      </c>
    </row>
    <row r="67" spans="2:138" ht="68.25" customHeight="1" thickBot="1">
      <c r="B67" s="376" t="s">
        <v>92</v>
      </c>
      <c r="C67" s="377"/>
      <c r="D67" s="377"/>
      <c r="E67" s="377"/>
      <c r="F67" s="377"/>
      <c r="G67" s="377"/>
      <c r="H67" s="377"/>
      <c r="I67" s="377"/>
      <c r="J67" s="377"/>
      <c r="K67" s="377"/>
      <c r="L67" s="378">
        <f>SUM(AD6:AD66)</f>
        <v>0</v>
      </c>
      <c r="M67" s="378"/>
      <c r="N67" s="103" t="s">
        <v>93</v>
      </c>
      <c r="O67" s="379" t="s">
        <v>94</v>
      </c>
      <c r="P67" s="380"/>
      <c r="Q67" s="380"/>
      <c r="R67" s="381"/>
      <c r="S67" s="382" t="str">
        <f>IF(E6="","",SUM(AB6:AB66))</f>
        <v/>
      </c>
      <c r="T67" s="383"/>
      <c r="U67" s="379" t="s">
        <v>84</v>
      </c>
      <c r="V67" s="380"/>
      <c r="W67" s="380"/>
      <c r="X67" s="104">
        <f t="array" ref="X67">SUM(IFERROR(AH6:AH66,0))/60</f>
        <v>0</v>
      </c>
      <c r="Y67" s="105" t="s">
        <v>95</v>
      </c>
      <c r="Z67" s="384" t="s">
        <v>96</v>
      </c>
      <c r="AA67" s="385"/>
      <c r="AB67" s="385"/>
      <c r="AC67" s="385"/>
      <c r="AD67" s="386">
        <f>IFERROR(SUM(AG6:AG66)/60,0)</f>
        <v>0</v>
      </c>
      <c r="AE67" s="386"/>
      <c r="AF67" s="106" t="s">
        <v>95</v>
      </c>
      <c r="AG67" s="384" t="s">
        <v>97</v>
      </c>
      <c r="AH67" s="385"/>
      <c r="AI67" s="385"/>
      <c r="AJ67" s="385"/>
      <c r="AK67" s="385"/>
      <c r="AL67" s="375">
        <f>SUM(AF6:AF66)/60</f>
        <v>0</v>
      </c>
      <c r="AM67" s="375"/>
      <c r="AN67" s="375"/>
      <c r="AO67" s="375"/>
      <c r="AP67" s="188" t="str">
        <f>IF(E67="","",VLOOKUP(E67,#REF!,2,FALSE))</f>
        <v/>
      </c>
      <c r="AQ67" s="191"/>
      <c r="AR67" s="192"/>
      <c r="AS67" s="193"/>
      <c r="AT67" s="195"/>
      <c r="AU67" s="139"/>
      <c r="AV67" s="76"/>
      <c r="AW67" s="336"/>
      <c r="AX67" s="368"/>
      <c r="AY67" s="201">
        <f>Q36</f>
        <v>0</v>
      </c>
      <c r="AZ67" s="51"/>
      <c r="BA67" s="51"/>
      <c r="BB67" s="51"/>
      <c r="BC67" s="51"/>
      <c r="BD67" s="52"/>
      <c r="BE67" s="247"/>
      <c r="BF67" s="53" t="str">
        <f>AK36</f>
        <v/>
      </c>
      <c r="BG67" s="54"/>
      <c r="BH67" s="55" t="str">
        <f>IF(BR67=0,"",(((BR67)/((BJ67+BK67)/60))))</f>
        <v/>
      </c>
      <c r="BI67" s="56"/>
      <c r="BJ67" s="233"/>
      <c r="BK67" s="240" t="str">
        <f>IF(BG67="","",((BG67-BG66)*60*24)-(BJ67+BM66+BY66))</f>
        <v/>
      </c>
      <c r="BL67" s="369"/>
      <c r="BM67" s="350"/>
      <c r="BN67" s="370"/>
      <c r="BO67" s="372"/>
      <c r="BP67" s="372"/>
      <c r="BQ67" s="372"/>
      <c r="BR67" s="210">
        <f>Pending!AW32</f>
        <v>0</v>
      </c>
      <c r="BS67" s="350"/>
      <c r="BT67" s="373"/>
      <c r="BU67" s="373"/>
      <c r="BV67" s="373"/>
      <c r="BW67" s="373"/>
      <c r="BX67" s="350"/>
      <c r="BY67" s="352"/>
      <c r="EG67" s="24" t="str">
        <f>IFERROR(IF(bgr!CO63=0,"",bgr!CO63),"")</f>
        <v/>
      </c>
      <c r="EH67" s="24" t="str">
        <f>IFERROR(IF(bgr!CP63=0,"",bgr!CP63),"")</f>
        <v/>
      </c>
    </row>
    <row r="68" spans="2:138" ht="60.95" customHeight="1" thickBot="1">
      <c r="AQ68" s="191"/>
      <c r="AR68" s="192"/>
      <c r="AS68" s="193"/>
      <c r="AT68" s="195"/>
      <c r="AU68" s="139"/>
      <c r="AV68" s="76"/>
      <c r="AW68" s="353">
        <v>32</v>
      </c>
      <c r="AX68" s="355" t="str">
        <f>CONCATENATE(F37, "-", G37,"-",L37,"x",M37,"x",N37)</f>
        <v>--xx</v>
      </c>
      <c r="AY68" s="202">
        <f>P37</f>
        <v>0</v>
      </c>
      <c r="AZ68" s="69"/>
      <c r="BA68" s="69"/>
      <c r="BB68" s="69"/>
      <c r="BC68" s="69"/>
      <c r="BD68" s="70"/>
      <c r="BE68" s="71" t="str">
        <f>CONCATENATE(R37,"x",S37," - ",T37,"x",U37," - ",V37,"x",W37," - ",X37,"x",Y37," - ",Z37,"x",AA37)</f>
        <v>x - x - x - x - x</v>
      </c>
      <c r="BF68" s="72" t="str">
        <f>AJ37</f>
        <v/>
      </c>
      <c r="BG68" s="73"/>
      <c r="BH68" s="74" t="str">
        <f>AL37</f>
        <v/>
      </c>
      <c r="BI68" s="68" t="str">
        <f>AE37</f>
        <v/>
      </c>
      <c r="BJ68" s="237" t="str">
        <f t="shared" ref="BJ68:BK68" si="43">AF37</f>
        <v/>
      </c>
      <c r="BK68" s="241" t="str">
        <f t="shared" si="43"/>
        <v/>
      </c>
      <c r="BL68" s="356" t="str">
        <f>IF(BG68="","",(BK69+BJ69))</f>
        <v/>
      </c>
      <c r="BM68" s="357"/>
      <c r="BN68" s="360"/>
      <c r="BO68" s="359"/>
      <c r="BP68" s="359"/>
      <c r="BQ68" s="359"/>
      <c r="BR68" s="211">
        <f>AB37</f>
        <v>0</v>
      </c>
      <c r="BS68" s="357">
        <f>IF(BR69=0,0,BR69*AP37)</f>
        <v>0</v>
      </c>
      <c r="BT68" s="360"/>
      <c r="BU68" s="360"/>
      <c r="BV68" s="360"/>
      <c r="BW68" s="360"/>
      <c r="BX68" s="357">
        <f>IF(BR69=0,0,(BR69/BI69)-(BR69/BI68))</f>
        <v>0</v>
      </c>
      <c r="BY68" s="365"/>
      <c r="EG68" s="24" t="str">
        <f>IFERROR(IF(bgr!CO64=0,"",bgr!CO64),"")</f>
        <v/>
      </c>
      <c r="EH68" s="24" t="str">
        <f>IFERROR(IF(bgr!CP64=0,"",bgr!CP64),"")</f>
        <v/>
      </c>
    </row>
    <row r="69" spans="2:138" ht="60.95" customHeight="1" thickBot="1">
      <c r="AQ69" s="387" t="s">
        <v>98</v>
      </c>
      <c r="AR69" s="388"/>
      <c r="AS69" s="389"/>
      <c r="AT69" s="107">
        <f>SUM(AT9:AT68)/60</f>
        <v>0</v>
      </c>
      <c r="AU69" s="139"/>
      <c r="AV69" s="76"/>
      <c r="AW69" s="354"/>
      <c r="AX69" s="355"/>
      <c r="AY69" s="203">
        <f>Q37</f>
        <v>0</v>
      </c>
      <c r="AZ69" s="77"/>
      <c r="BA69" s="77"/>
      <c r="BB69" s="77"/>
      <c r="BC69" s="77"/>
      <c r="BD69" s="52"/>
      <c r="BE69" s="247"/>
      <c r="BF69" s="78" t="str">
        <f>AK37</f>
        <v/>
      </c>
      <c r="BG69" s="79"/>
      <c r="BH69" s="80" t="str">
        <f>IF(BR69=0,"",(((BR69)/((BJ69+BK69)/60))))</f>
        <v/>
      </c>
      <c r="BI69" s="81"/>
      <c r="BJ69" s="234"/>
      <c r="BK69" s="242" t="str">
        <f>IF(BG69="","",((BG69-BG68)*60*24)-(BJ69+BM68+BY68))</f>
        <v/>
      </c>
      <c r="BL69" s="356"/>
      <c r="BM69" s="357"/>
      <c r="BN69" s="360"/>
      <c r="BO69" s="359"/>
      <c r="BP69" s="359"/>
      <c r="BQ69" s="359"/>
      <c r="BR69" s="210">
        <f>Pending!AW33</f>
        <v>0</v>
      </c>
      <c r="BS69" s="357"/>
      <c r="BT69" s="360"/>
      <c r="BU69" s="360"/>
      <c r="BV69" s="360"/>
      <c r="BW69" s="360"/>
      <c r="BX69" s="357"/>
      <c r="BY69" s="366"/>
      <c r="EG69" s="24" t="str">
        <f>IFERROR(IF(bgr!CO65=0,"",bgr!CO65),"")</f>
        <v/>
      </c>
      <c r="EH69" s="24" t="str">
        <f>IFERROR(IF(bgr!CP65=0,"",bgr!CP65),"")</f>
        <v/>
      </c>
    </row>
    <row r="70" spans="2:138" ht="60.95" customHeight="1"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I70" s="108"/>
      <c r="AJ70" s="108"/>
      <c r="AK70" s="108"/>
      <c r="AL70" s="76"/>
      <c r="AM70" s="76"/>
      <c r="AN70" s="76"/>
      <c r="AO70" s="76"/>
      <c r="AP70" s="76"/>
      <c r="AQ70" s="76"/>
      <c r="AR70" s="76"/>
      <c r="AS70" s="76"/>
      <c r="AT70" s="76"/>
      <c r="AU70" s="139"/>
      <c r="AV70" s="76"/>
      <c r="AW70" s="367">
        <v>33</v>
      </c>
      <c r="AX70" s="368" t="str">
        <f>CONCATENATE(F38, "-", G38,"-",L38,"x",M38,"x",N38)</f>
        <v>--xx</v>
      </c>
      <c r="AY70" s="204">
        <f>P38</f>
        <v>0</v>
      </c>
      <c r="AZ70" s="84"/>
      <c r="BA70" s="84"/>
      <c r="BB70" s="84"/>
      <c r="BC70" s="84"/>
      <c r="BD70" s="70"/>
      <c r="BE70" s="85" t="str">
        <f>CONCATENATE(R38,"x",S38," - ",T38,"x",U38," - ",V38,"x",W38," - ",X38,"x",Y38," - ",Z38,"x",AA38)</f>
        <v>x - x - x - x - x</v>
      </c>
      <c r="BF70" s="86" t="str">
        <f>AJ38</f>
        <v/>
      </c>
      <c r="BG70" s="87"/>
      <c r="BH70" s="88" t="str">
        <f>AL38</f>
        <v/>
      </c>
      <c r="BI70" s="83" t="str">
        <f>AE38</f>
        <v/>
      </c>
      <c r="BJ70" s="238" t="str">
        <f t="shared" ref="BJ70:BK70" si="44">AF38</f>
        <v/>
      </c>
      <c r="BK70" s="243" t="str">
        <f t="shared" si="44"/>
        <v/>
      </c>
      <c r="BL70" s="369" t="str">
        <f>IF(BG70="","",(BK71+BJ71))</f>
        <v/>
      </c>
      <c r="BM70" s="350"/>
      <c r="BN70" s="373"/>
      <c r="BO70" s="372"/>
      <c r="BP70" s="372"/>
      <c r="BQ70" s="372"/>
      <c r="BR70" s="212">
        <f>AB38</f>
        <v>0</v>
      </c>
      <c r="BS70" s="350">
        <f>IF(BR71=0,0,BR71*AP38)</f>
        <v>0</v>
      </c>
      <c r="BT70" s="373"/>
      <c r="BU70" s="373"/>
      <c r="BV70" s="373"/>
      <c r="BW70" s="373"/>
      <c r="BX70" s="350">
        <f>IF(BR71=0,0,(BR71/BI71)-(BR71/BI70))</f>
        <v>0</v>
      </c>
      <c r="BY70" s="371"/>
      <c r="EG70" s="24" t="str">
        <f>IFERROR(IF(bgr!CO66=0,"",bgr!CO66),"")</f>
        <v/>
      </c>
      <c r="EH70" s="24" t="str">
        <f>IFERROR(IF(bgr!CP66=0,"",bgr!CP66),"")</f>
        <v/>
      </c>
    </row>
    <row r="71" spans="2:138" ht="60.95" customHeight="1"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I71" s="108"/>
      <c r="AJ71" s="108"/>
      <c r="AK71" s="108"/>
      <c r="AL71" s="76"/>
      <c r="AM71" s="76"/>
      <c r="AN71" s="76"/>
      <c r="AO71" s="76"/>
      <c r="AP71" s="76"/>
      <c r="AQ71" s="76"/>
      <c r="AR71" s="76"/>
      <c r="AS71" s="76"/>
      <c r="AT71" s="76"/>
      <c r="AU71" s="139"/>
      <c r="AV71" s="76"/>
      <c r="AW71" s="337"/>
      <c r="AX71" s="368"/>
      <c r="AY71" s="201">
        <f>Q38</f>
        <v>0</v>
      </c>
      <c r="AZ71" s="51"/>
      <c r="BA71" s="51"/>
      <c r="BB71" s="51"/>
      <c r="BC71" s="51"/>
      <c r="BD71" s="52"/>
      <c r="BE71" s="247"/>
      <c r="BF71" s="53" t="str">
        <f>AK38</f>
        <v/>
      </c>
      <c r="BG71" s="54"/>
      <c r="BH71" s="55" t="str">
        <f>IF(BR71=0,"",(((BR71)/((BJ71+BK71)/60))))</f>
        <v/>
      </c>
      <c r="BI71" s="56"/>
      <c r="BJ71" s="233"/>
      <c r="BK71" s="240" t="str">
        <f>IF(BG71="","",((BG71-BG70)*60*24)-(BJ71+BM70+BY70))</f>
        <v/>
      </c>
      <c r="BL71" s="369"/>
      <c r="BM71" s="350"/>
      <c r="BN71" s="373"/>
      <c r="BO71" s="372"/>
      <c r="BP71" s="372"/>
      <c r="BQ71" s="372"/>
      <c r="BR71" s="210">
        <f>Pending!AW34</f>
        <v>0</v>
      </c>
      <c r="BS71" s="350"/>
      <c r="BT71" s="373"/>
      <c r="BU71" s="373"/>
      <c r="BV71" s="373"/>
      <c r="BW71" s="373"/>
      <c r="BX71" s="350"/>
      <c r="BY71" s="352"/>
      <c r="EG71" s="24" t="str">
        <f>IFERROR(IF(bgr!CO67=0,"",bgr!CO67),"")</f>
        <v/>
      </c>
      <c r="EH71" s="24" t="str">
        <f>IFERROR(IF(bgr!CP67=0,"",bgr!CP67),"")</f>
        <v/>
      </c>
    </row>
    <row r="72" spans="2:138" ht="60.95" customHeight="1"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139"/>
      <c r="AV72" s="76"/>
      <c r="AW72" s="353">
        <v>34</v>
      </c>
      <c r="AX72" s="355" t="str">
        <f>CONCATENATE(F39, "-", G39,"-",L39,"x",M39,"x",N39)</f>
        <v>--xx</v>
      </c>
      <c r="AY72" s="202">
        <f>P39</f>
        <v>0</v>
      </c>
      <c r="AZ72" s="69"/>
      <c r="BA72" s="69"/>
      <c r="BB72" s="69"/>
      <c r="BC72" s="69"/>
      <c r="BD72" s="70"/>
      <c r="BE72" s="71" t="str">
        <f>CONCATENATE(R39,"x",S39," - ",T39,"x",U39," - ",V39,"x",W39," - ",X39,"x",Y39," - ",Z39,"x",AA39)</f>
        <v>x - x - x - x - x</v>
      </c>
      <c r="BF72" s="72" t="str">
        <f>AJ39</f>
        <v/>
      </c>
      <c r="BG72" s="73"/>
      <c r="BH72" s="74" t="str">
        <f>AL39</f>
        <v/>
      </c>
      <c r="BI72" s="68" t="str">
        <f>AE39</f>
        <v/>
      </c>
      <c r="BJ72" s="237" t="str">
        <f t="shared" ref="BJ72:BK72" si="45">AF39</f>
        <v/>
      </c>
      <c r="BK72" s="241" t="str">
        <f t="shared" si="45"/>
        <v/>
      </c>
      <c r="BL72" s="356" t="str">
        <f>IF(BG72="","",(BK73+BJ73))</f>
        <v/>
      </c>
      <c r="BM72" s="357"/>
      <c r="BN72" s="360"/>
      <c r="BO72" s="359"/>
      <c r="BP72" s="359"/>
      <c r="BQ72" s="359"/>
      <c r="BR72" s="211">
        <f>AB39</f>
        <v>0</v>
      </c>
      <c r="BS72" s="357">
        <f>IF(BR73=0,0,BR73*AP39)</f>
        <v>0</v>
      </c>
      <c r="BT72" s="360"/>
      <c r="BU72" s="360"/>
      <c r="BV72" s="360"/>
      <c r="BW72" s="360"/>
      <c r="BX72" s="357">
        <f>IF(BR73=0,0,(BR73/BI73)-(BR73/BI72))</f>
        <v>0</v>
      </c>
      <c r="BY72" s="365"/>
      <c r="EG72" s="24" t="str">
        <f>IFERROR(IF(bgr!CO68=0,"",bgr!CO68),"")</f>
        <v/>
      </c>
      <c r="EH72" s="24" t="str">
        <f>IFERROR(IF(bgr!CP68=0,"",bgr!CP68),"")</f>
        <v/>
      </c>
    </row>
    <row r="73" spans="2:138" ht="60.95" customHeight="1"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139"/>
      <c r="AV73" s="76"/>
      <c r="AW73" s="354"/>
      <c r="AX73" s="355"/>
      <c r="AY73" s="203">
        <f>Q39</f>
        <v>0</v>
      </c>
      <c r="AZ73" s="77"/>
      <c r="BA73" s="77"/>
      <c r="BB73" s="77"/>
      <c r="BC73" s="77"/>
      <c r="BD73" s="52"/>
      <c r="BE73" s="247"/>
      <c r="BF73" s="78" t="str">
        <f>AK39</f>
        <v/>
      </c>
      <c r="BG73" s="79"/>
      <c r="BH73" s="80" t="str">
        <f>IF(BR73=0,"",(((BR73)/((BJ73+BK73)/60))))</f>
        <v/>
      </c>
      <c r="BI73" s="81"/>
      <c r="BJ73" s="234"/>
      <c r="BK73" s="242" t="str">
        <f>IF(BG73="","",((BG73-BG72)*60*24)-(BJ73+BM72+BY72))</f>
        <v/>
      </c>
      <c r="BL73" s="356"/>
      <c r="BM73" s="357"/>
      <c r="BN73" s="360"/>
      <c r="BO73" s="359"/>
      <c r="BP73" s="359"/>
      <c r="BQ73" s="359"/>
      <c r="BR73" s="210">
        <f>Pending!AW35</f>
        <v>0</v>
      </c>
      <c r="BS73" s="357"/>
      <c r="BT73" s="360"/>
      <c r="BU73" s="360"/>
      <c r="BV73" s="360"/>
      <c r="BW73" s="360"/>
      <c r="BX73" s="357"/>
      <c r="BY73" s="366"/>
      <c r="EG73" s="24" t="str">
        <f>IFERROR(IF(bgr!CO69=0,"",bgr!CO69),"")</f>
        <v/>
      </c>
      <c r="EH73" s="24" t="str">
        <f>IFERROR(IF(bgr!CP69=0,"",bgr!CP69),"")</f>
        <v/>
      </c>
    </row>
    <row r="74" spans="2:138" ht="60.95" customHeight="1"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139"/>
      <c r="AV74" s="76"/>
      <c r="AW74" s="367">
        <v>35</v>
      </c>
      <c r="AX74" s="368" t="str">
        <f>CONCATENATE(F40, "-", G40,"-",L40,"x",M40,"x",N40)</f>
        <v>--xx</v>
      </c>
      <c r="AY74" s="204">
        <f>P40</f>
        <v>0</v>
      </c>
      <c r="AZ74" s="84"/>
      <c r="BA74" s="84"/>
      <c r="BB74" s="84"/>
      <c r="BC74" s="84"/>
      <c r="BD74" s="70"/>
      <c r="BE74" s="85" t="str">
        <f>CONCATENATE(R40,"x",S40," - ",T40,"x",U40," - ",V40,"x",W40," - ",X40,"x",Y40," - ",Z40,"x",AA40)</f>
        <v>x - x - x - x - x</v>
      </c>
      <c r="BF74" s="86" t="str">
        <f>AJ40</f>
        <v/>
      </c>
      <c r="BG74" s="87"/>
      <c r="BH74" s="88" t="str">
        <f>AL40</f>
        <v/>
      </c>
      <c r="BI74" s="83" t="str">
        <f>AE40</f>
        <v/>
      </c>
      <c r="BJ74" s="238" t="str">
        <f t="shared" ref="BJ74:BK74" si="46">AF40</f>
        <v/>
      </c>
      <c r="BK74" s="243" t="str">
        <f t="shared" si="46"/>
        <v/>
      </c>
      <c r="BL74" s="369" t="str">
        <f>IF(BG74="","",(BK75+BJ75))</f>
        <v/>
      </c>
      <c r="BM74" s="350"/>
      <c r="BN74" s="373"/>
      <c r="BO74" s="372"/>
      <c r="BP74" s="372"/>
      <c r="BQ74" s="372"/>
      <c r="BR74" s="212">
        <f>AB40</f>
        <v>0</v>
      </c>
      <c r="BS74" s="350">
        <f>IF(BR75=0,0,BR75*AP40)</f>
        <v>0</v>
      </c>
      <c r="BT74" s="373"/>
      <c r="BU74" s="373"/>
      <c r="BV74" s="373"/>
      <c r="BW74" s="373"/>
      <c r="BX74" s="350">
        <f>IF(BR75=0,0,(BR75/BI75)-(BR75/BI74))</f>
        <v>0</v>
      </c>
      <c r="BY74" s="371"/>
      <c r="EG74" s="24" t="str">
        <f>IFERROR(IF(bgr!CO70=0,"",bgr!CO70),"")</f>
        <v/>
      </c>
      <c r="EH74" s="24" t="str">
        <f>IFERROR(IF(bgr!CP70=0,"",bgr!CP70),"")</f>
        <v/>
      </c>
    </row>
    <row r="75" spans="2:138" ht="60.95" customHeight="1"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139"/>
      <c r="AV75" s="76"/>
      <c r="AW75" s="337"/>
      <c r="AX75" s="368"/>
      <c r="AY75" s="201">
        <f>Q40</f>
        <v>0</v>
      </c>
      <c r="AZ75" s="51"/>
      <c r="BA75" s="51"/>
      <c r="BB75" s="51"/>
      <c r="BC75" s="51"/>
      <c r="BD75" s="52"/>
      <c r="BE75" s="247"/>
      <c r="BF75" s="53" t="str">
        <f>AK40</f>
        <v/>
      </c>
      <c r="BG75" s="54"/>
      <c r="BH75" s="55" t="str">
        <f>IF(BR75=0,"",(((BR75)/((BJ75+BK75)/60))))</f>
        <v/>
      </c>
      <c r="BI75" s="56"/>
      <c r="BJ75" s="233"/>
      <c r="BK75" s="240" t="str">
        <f>IF(BG75="","",((BG75-BG74)*60*24)-(BJ75+BM74+BY74))</f>
        <v/>
      </c>
      <c r="BL75" s="369"/>
      <c r="BM75" s="350"/>
      <c r="BN75" s="373"/>
      <c r="BO75" s="372"/>
      <c r="BP75" s="372"/>
      <c r="BQ75" s="372"/>
      <c r="BR75" s="210">
        <f>Pending!AW36</f>
        <v>0</v>
      </c>
      <c r="BS75" s="350"/>
      <c r="BT75" s="373"/>
      <c r="BU75" s="373"/>
      <c r="BV75" s="373"/>
      <c r="BW75" s="373"/>
      <c r="BX75" s="350"/>
      <c r="BY75" s="352"/>
      <c r="EG75" s="24" t="str">
        <f>IFERROR(IF(bgr!CO71=0,"",bgr!CO71),"")</f>
        <v/>
      </c>
      <c r="EH75" s="24" t="str">
        <f>IFERROR(IF(bgr!CP71=0,"",bgr!CP71),"")</f>
        <v/>
      </c>
    </row>
    <row r="76" spans="2:138" ht="60.95" customHeight="1"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139"/>
      <c r="AV76" s="76"/>
      <c r="AW76" s="353">
        <v>36</v>
      </c>
      <c r="AX76" s="355" t="str">
        <f>CONCATENATE(F41, "-", G41,"-",L41,"x",M41,"x",N41)</f>
        <v>--xx</v>
      </c>
      <c r="AY76" s="202">
        <f>P41</f>
        <v>0</v>
      </c>
      <c r="AZ76" s="69"/>
      <c r="BA76" s="69"/>
      <c r="BB76" s="69"/>
      <c r="BC76" s="69"/>
      <c r="BD76" s="70"/>
      <c r="BE76" s="71" t="str">
        <f>CONCATENATE(R41,"x",S41," - ",T41,"x",U41," - ",V41,"x",W41," - ",X41,"x",Y41," - ",Z41,"x",AA41)</f>
        <v>x - x - x - x - x</v>
      </c>
      <c r="BF76" s="72" t="str">
        <f>AJ41</f>
        <v/>
      </c>
      <c r="BG76" s="73"/>
      <c r="BH76" s="74" t="str">
        <f>AL41</f>
        <v/>
      </c>
      <c r="BI76" s="68" t="str">
        <f>AE41</f>
        <v/>
      </c>
      <c r="BJ76" s="237" t="str">
        <f t="shared" ref="BJ76:BK76" si="47">AF41</f>
        <v/>
      </c>
      <c r="BK76" s="241" t="str">
        <f t="shared" si="47"/>
        <v/>
      </c>
      <c r="BL76" s="356" t="str">
        <f>IF(BG76="","",(BK77+BJ77))</f>
        <v/>
      </c>
      <c r="BM76" s="357"/>
      <c r="BN76" s="360"/>
      <c r="BO76" s="359"/>
      <c r="BP76" s="359"/>
      <c r="BQ76" s="359"/>
      <c r="BR76" s="211">
        <f>AB41</f>
        <v>0</v>
      </c>
      <c r="BS76" s="357">
        <f>IF(BR77=0,0,BR77*AP41)</f>
        <v>0</v>
      </c>
      <c r="BT76" s="360"/>
      <c r="BU76" s="360"/>
      <c r="BV76" s="360"/>
      <c r="BW76" s="360"/>
      <c r="BX76" s="357">
        <f>IF(BR77=0,0,(BR77/BI77)-(BR77/BI76))</f>
        <v>0</v>
      </c>
      <c r="BY76" s="365"/>
      <c r="EG76" s="24" t="str">
        <f>IFERROR(IF(bgr!CO72=0,"",bgr!CO72),"")</f>
        <v/>
      </c>
      <c r="EH76" s="24" t="str">
        <f>IFERROR(IF(bgr!CP72=0,"",bgr!CP72),"")</f>
        <v/>
      </c>
    </row>
    <row r="77" spans="2:138" ht="60.95" customHeight="1"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139"/>
      <c r="AV77" s="76"/>
      <c r="AW77" s="354"/>
      <c r="AX77" s="355"/>
      <c r="AY77" s="203">
        <f>Q41</f>
        <v>0</v>
      </c>
      <c r="AZ77" s="77"/>
      <c r="BA77" s="77"/>
      <c r="BB77" s="77"/>
      <c r="BC77" s="77"/>
      <c r="BD77" s="52"/>
      <c r="BE77" s="247"/>
      <c r="BF77" s="78" t="str">
        <f>AK41</f>
        <v/>
      </c>
      <c r="BG77" s="79"/>
      <c r="BH77" s="80" t="str">
        <f>IF(BR77=0,"",(((BR77)/((BJ77+BK77)/60))))</f>
        <v/>
      </c>
      <c r="BI77" s="81"/>
      <c r="BJ77" s="234"/>
      <c r="BK77" s="242" t="str">
        <f>IF(BG77="","",((BG77-BG76)*60*24)-(BJ77+BM76+BY76))</f>
        <v/>
      </c>
      <c r="BL77" s="356"/>
      <c r="BM77" s="357"/>
      <c r="BN77" s="360"/>
      <c r="BO77" s="359"/>
      <c r="BP77" s="359"/>
      <c r="BQ77" s="359"/>
      <c r="BR77" s="210">
        <f>Pending!AW37</f>
        <v>0</v>
      </c>
      <c r="BS77" s="357"/>
      <c r="BT77" s="360"/>
      <c r="BU77" s="360"/>
      <c r="BV77" s="360"/>
      <c r="BW77" s="360"/>
      <c r="BX77" s="357"/>
      <c r="BY77" s="366"/>
      <c r="EG77" s="24" t="str">
        <f>IFERROR(IF(bgr!CO73=0,"",bgr!CO73),"")</f>
        <v/>
      </c>
      <c r="EH77" s="24" t="str">
        <f>IFERROR(IF(bgr!CP73=0,"",bgr!CP73),"")</f>
        <v/>
      </c>
    </row>
    <row r="78" spans="2:138" ht="60.95" customHeight="1"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139"/>
      <c r="AV78" s="76"/>
      <c r="AW78" s="367">
        <v>37</v>
      </c>
      <c r="AX78" s="368" t="str">
        <f>CONCATENATE(F42, "-", G42,"-",L42,"x",M42,"x",N42)</f>
        <v>--xx</v>
      </c>
      <c r="AY78" s="204">
        <f>P42</f>
        <v>0</v>
      </c>
      <c r="AZ78" s="84"/>
      <c r="BA78" s="84"/>
      <c r="BB78" s="84"/>
      <c r="BC78" s="84"/>
      <c r="BD78" s="70"/>
      <c r="BE78" s="85" t="str">
        <f>CONCATENATE(R42,"x",S42," - ",T42,"x",U42," - ",V42,"x",W42," - ",X42,"x",Y42," - ",Z42,"x",AA42)</f>
        <v>x - x - x - x - x</v>
      </c>
      <c r="BF78" s="86" t="str">
        <f>AJ42</f>
        <v/>
      </c>
      <c r="BG78" s="87"/>
      <c r="BH78" s="88" t="str">
        <f>AL42</f>
        <v/>
      </c>
      <c r="BI78" s="83" t="str">
        <f>AE42</f>
        <v/>
      </c>
      <c r="BJ78" s="238" t="str">
        <f t="shared" ref="BJ78:BK78" si="48">AF42</f>
        <v/>
      </c>
      <c r="BK78" s="243" t="str">
        <f t="shared" si="48"/>
        <v/>
      </c>
      <c r="BL78" s="369" t="str">
        <f>IF(BG78="","",(BK79+BJ79))</f>
        <v/>
      </c>
      <c r="BM78" s="350"/>
      <c r="BN78" s="373"/>
      <c r="BO78" s="372"/>
      <c r="BP78" s="372"/>
      <c r="BQ78" s="372"/>
      <c r="BR78" s="212">
        <f>AB42</f>
        <v>0</v>
      </c>
      <c r="BS78" s="350">
        <f>IF(BR79=0,0,BR79*AP42)</f>
        <v>0</v>
      </c>
      <c r="BT78" s="373"/>
      <c r="BU78" s="373"/>
      <c r="BV78" s="373"/>
      <c r="BW78" s="373"/>
      <c r="BX78" s="350">
        <f>IF(BR79=0,0,(BR79/BI79)-(BR79/BI78))</f>
        <v>0</v>
      </c>
      <c r="BY78" s="371"/>
      <c r="EG78" s="24" t="str">
        <f>IFERROR(IF(bgr!CO74=0,"",bgr!CO74),"")</f>
        <v/>
      </c>
      <c r="EH78" s="24" t="str">
        <f>IFERROR(IF(bgr!CP74=0,"",bgr!CP74),"")</f>
        <v/>
      </c>
    </row>
    <row r="79" spans="2:138" ht="60.95" customHeight="1"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139"/>
      <c r="AV79" s="76"/>
      <c r="AW79" s="337"/>
      <c r="AX79" s="368"/>
      <c r="AY79" s="201">
        <f>Q42</f>
        <v>0</v>
      </c>
      <c r="AZ79" s="51"/>
      <c r="BA79" s="51"/>
      <c r="BB79" s="51"/>
      <c r="BC79" s="51"/>
      <c r="BD79" s="52"/>
      <c r="BE79" s="246"/>
      <c r="BF79" s="53" t="str">
        <f>AK42</f>
        <v/>
      </c>
      <c r="BG79" s="54"/>
      <c r="BH79" s="55" t="str">
        <f>IF(BR79=0,"",(((BR79)/((BJ79+BK79)/60))))</f>
        <v/>
      </c>
      <c r="BI79" s="56"/>
      <c r="BJ79" s="233"/>
      <c r="BK79" s="240" t="str">
        <f>IF(BG79="","",((BG79-BG78)*60*24)-(BJ79+BM78+BY78))</f>
        <v/>
      </c>
      <c r="BL79" s="369"/>
      <c r="BM79" s="350"/>
      <c r="BN79" s="373"/>
      <c r="BO79" s="372"/>
      <c r="BP79" s="372"/>
      <c r="BQ79" s="372"/>
      <c r="BR79" s="210">
        <f>Pending!AW38</f>
        <v>0</v>
      </c>
      <c r="BS79" s="350"/>
      <c r="BT79" s="373"/>
      <c r="BU79" s="373"/>
      <c r="BV79" s="373"/>
      <c r="BW79" s="373"/>
      <c r="BX79" s="350"/>
      <c r="BY79" s="352"/>
      <c r="EG79" s="24" t="str">
        <f>IFERROR(IF(bgr!CO75=0,"",bgr!CO75),"")</f>
        <v/>
      </c>
      <c r="EH79" s="24" t="str">
        <f>IFERROR(IF(bgr!CP75=0,"",bgr!CP75),"")</f>
        <v/>
      </c>
    </row>
    <row r="80" spans="2:138" ht="60.95" customHeight="1"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139"/>
      <c r="AV80" s="76"/>
      <c r="AW80" s="353">
        <v>38</v>
      </c>
      <c r="AX80" s="355" t="str">
        <f>CONCATENATE(F43, "-", G43,"-",L43,"x",M43,"x",N43)</f>
        <v>--xx</v>
      </c>
      <c r="AY80" s="202">
        <f>P43</f>
        <v>0</v>
      </c>
      <c r="AZ80" s="69"/>
      <c r="BA80" s="69"/>
      <c r="BB80" s="69"/>
      <c r="BC80" s="69"/>
      <c r="BD80" s="70"/>
      <c r="BE80" s="71" t="str">
        <f>CONCATENATE(R43,"x",S43," - ",T43,"x",U43," - ",V43,"x",W43," - ",X43,"x",Y43," - ",Z43,"x",AA43)</f>
        <v>x - x - x - x - x</v>
      </c>
      <c r="BF80" s="72" t="str">
        <f>AJ43</f>
        <v/>
      </c>
      <c r="BG80" s="73"/>
      <c r="BH80" s="74" t="str">
        <f>AL43</f>
        <v/>
      </c>
      <c r="BI80" s="68" t="str">
        <f>AE43</f>
        <v/>
      </c>
      <c r="BJ80" s="237" t="str">
        <f t="shared" ref="BJ80:BK80" si="49">AF43</f>
        <v/>
      </c>
      <c r="BK80" s="241" t="str">
        <f t="shared" si="49"/>
        <v/>
      </c>
      <c r="BL80" s="356" t="str">
        <f>IF(BG80="","",(BK81+BJ81))</f>
        <v/>
      </c>
      <c r="BM80" s="357"/>
      <c r="BN80" s="360"/>
      <c r="BO80" s="359"/>
      <c r="BP80" s="359"/>
      <c r="BQ80" s="359"/>
      <c r="BR80" s="211">
        <f>AB43</f>
        <v>0</v>
      </c>
      <c r="BS80" s="357">
        <f>IF(BR81=0,0,BR81*AP43)</f>
        <v>0</v>
      </c>
      <c r="BT80" s="360"/>
      <c r="BU80" s="360"/>
      <c r="BV80" s="360"/>
      <c r="BW80" s="360"/>
      <c r="BX80" s="357">
        <f>IF(BR81=0,0,(BR81/BI81)-(BR81/BI80))</f>
        <v>0</v>
      </c>
      <c r="BY80" s="365"/>
      <c r="EG80" s="24" t="str">
        <f>IFERROR(IF(bgr!CO76=0,"",bgr!CO76),"")</f>
        <v/>
      </c>
      <c r="EH80" s="24" t="str">
        <f>IFERROR(IF(bgr!CP76=0,"",bgr!CP76),"")</f>
        <v/>
      </c>
    </row>
    <row r="81" spans="1:138" ht="60.95" customHeight="1"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139"/>
      <c r="AV81" s="76"/>
      <c r="AW81" s="374"/>
      <c r="AX81" s="355"/>
      <c r="AY81" s="203">
        <f>Q43</f>
        <v>0</v>
      </c>
      <c r="AZ81" s="77"/>
      <c r="BA81" s="77"/>
      <c r="BB81" s="77"/>
      <c r="BC81" s="77"/>
      <c r="BD81" s="52"/>
      <c r="BE81" s="247"/>
      <c r="BF81" s="78" t="str">
        <f>AK43</f>
        <v/>
      </c>
      <c r="BG81" s="79"/>
      <c r="BH81" s="80" t="str">
        <f>IF(BR81=0,"",(((BR81)/((BJ81+BK81)/60))))</f>
        <v/>
      </c>
      <c r="BI81" s="81"/>
      <c r="BJ81" s="234"/>
      <c r="BK81" s="242" t="str">
        <f>IF(BG81="","",((BG81-BG80)*60*24)-(BJ81+BM80+BY80))</f>
        <v/>
      </c>
      <c r="BL81" s="356"/>
      <c r="BM81" s="357"/>
      <c r="BN81" s="360"/>
      <c r="BO81" s="359"/>
      <c r="BP81" s="359"/>
      <c r="BQ81" s="359"/>
      <c r="BR81" s="210">
        <f>Pending!AW39</f>
        <v>0</v>
      </c>
      <c r="BS81" s="357"/>
      <c r="BT81" s="360"/>
      <c r="BU81" s="360"/>
      <c r="BV81" s="360"/>
      <c r="BW81" s="360"/>
      <c r="BX81" s="357"/>
      <c r="BY81" s="366"/>
      <c r="EG81" s="24" t="str">
        <f>IFERROR(IF(bgr!CO77=0,"",bgr!CO77),"")</f>
        <v/>
      </c>
      <c r="EH81" s="24" t="str">
        <f>IFERROR(IF(bgr!CP77=0,"",bgr!CP77),"")</f>
        <v/>
      </c>
    </row>
    <row r="82" spans="1:138" ht="60.95" customHeight="1"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139"/>
      <c r="AV82" s="76"/>
      <c r="AW82" s="391">
        <v>39</v>
      </c>
      <c r="AX82" s="368" t="str">
        <f>CONCATENATE(F44, "-", G44,"-",L44,"x",M44,"x",N44)</f>
        <v>--xx</v>
      </c>
      <c r="AY82" s="204">
        <f>P44</f>
        <v>0</v>
      </c>
      <c r="AZ82" s="84"/>
      <c r="BA82" s="84"/>
      <c r="BB82" s="84"/>
      <c r="BC82" s="84"/>
      <c r="BD82" s="70"/>
      <c r="BE82" s="85" t="str">
        <f>CONCATENATE(R44,"x",S44," - ",T44,"x",U44," - ",V44,"x",W44," - ",X44,"x",Y44," - ",Z44,"x",AA44)</f>
        <v>x - x - x - x - x</v>
      </c>
      <c r="BF82" s="86" t="str">
        <f>AJ44</f>
        <v/>
      </c>
      <c r="BG82" s="87"/>
      <c r="BH82" s="88" t="str">
        <f>AL44</f>
        <v/>
      </c>
      <c r="BI82" s="83" t="str">
        <f>AE44</f>
        <v/>
      </c>
      <c r="BJ82" s="238" t="str">
        <f t="shared" ref="BJ82:BK82" si="50">AF44</f>
        <v/>
      </c>
      <c r="BK82" s="243" t="str">
        <f t="shared" si="50"/>
        <v/>
      </c>
      <c r="BL82" s="369" t="str">
        <f>IF(BG82="","",(BK83+BJ83))</f>
        <v/>
      </c>
      <c r="BM82" s="350"/>
      <c r="BN82" s="373"/>
      <c r="BO82" s="372"/>
      <c r="BP82" s="372"/>
      <c r="BQ82" s="372"/>
      <c r="BR82" s="212">
        <f>AB44</f>
        <v>0</v>
      </c>
      <c r="BS82" s="350">
        <f>IF(BR83=0,0,BR83*AP44)</f>
        <v>0</v>
      </c>
      <c r="BT82" s="373"/>
      <c r="BU82" s="373"/>
      <c r="BV82" s="373"/>
      <c r="BW82" s="373"/>
      <c r="BX82" s="350">
        <f>IF(BR83=0,0,(BR83/BI83)-(BR83/BI82))</f>
        <v>0</v>
      </c>
      <c r="BY82" s="371"/>
      <c r="EG82" s="24" t="str">
        <f>IFERROR(IF(bgr!CO78=0,"",bgr!CO78),"")</f>
        <v/>
      </c>
      <c r="EH82" s="24" t="str">
        <f>IFERROR(IF(bgr!CP78=0,"",bgr!CP78),"")</f>
        <v/>
      </c>
    </row>
    <row r="83" spans="1:138" ht="61.5" customHeight="1"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139"/>
      <c r="AV83" s="76"/>
      <c r="AW83" s="391"/>
      <c r="AX83" s="368"/>
      <c r="AY83" s="201">
        <f>Q44</f>
        <v>0</v>
      </c>
      <c r="AZ83" s="51"/>
      <c r="BA83" s="51"/>
      <c r="BB83" s="51"/>
      <c r="BC83" s="51"/>
      <c r="BD83" s="52"/>
      <c r="BE83" s="247"/>
      <c r="BF83" s="53" t="str">
        <f>AK44</f>
        <v/>
      </c>
      <c r="BG83" s="54"/>
      <c r="BH83" s="55" t="str">
        <f>IF(BR83=0,"",(((BR83)/((BJ83+BK83)/60))))</f>
        <v/>
      </c>
      <c r="BI83" s="56"/>
      <c r="BJ83" s="233"/>
      <c r="BK83" s="240" t="str">
        <f>IF(BG83="","",((BG83-BG82)*60*24)-(BJ83+BM82+BY82))</f>
        <v/>
      </c>
      <c r="BL83" s="369"/>
      <c r="BM83" s="350"/>
      <c r="BN83" s="373"/>
      <c r="BO83" s="372"/>
      <c r="BP83" s="372"/>
      <c r="BQ83" s="372"/>
      <c r="BR83" s="210">
        <f>Pending!AW40</f>
        <v>0</v>
      </c>
      <c r="BS83" s="350"/>
      <c r="BT83" s="373"/>
      <c r="BU83" s="373"/>
      <c r="BV83" s="373"/>
      <c r="BW83" s="373"/>
      <c r="BX83" s="350"/>
      <c r="BY83" s="352"/>
      <c r="EG83" s="24" t="str">
        <f>IFERROR(IF(bgr!CO79=0,"",bgr!CO79),"")</f>
        <v/>
      </c>
      <c r="EH83" s="24" t="str">
        <f>IFERROR(IF(bgr!CP79=0,"",bgr!CP79),"")</f>
        <v/>
      </c>
    </row>
    <row r="84" spans="1:138" ht="57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139"/>
      <c r="AV84" s="76"/>
      <c r="AW84" s="390">
        <v>40</v>
      </c>
      <c r="AX84" s="355" t="str">
        <f>CONCATENATE(F45, "-", G45,"-",L45,"x",M45,"x",N45)</f>
        <v>--xx</v>
      </c>
      <c r="AY84" s="202">
        <f>P45</f>
        <v>0</v>
      </c>
      <c r="AZ84" s="69"/>
      <c r="BA84" s="69"/>
      <c r="BB84" s="69"/>
      <c r="BC84" s="69"/>
      <c r="BD84" s="70"/>
      <c r="BE84" s="71" t="str">
        <f>CONCATENATE(R45,"x",S45," - ",T45,"x",U45," - ",V45,"x",W45," - ",X45,"x",Y45," - ",Z45,"x",AA45)</f>
        <v>x - x - x - x - x</v>
      </c>
      <c r="BF84" s="72" t="str">
        <f>AJ45</f>
        <v/>
      </c>
      <c r="BG84" s="73"/>
      <c r="BH84" s="74" t="str">
        <f>AL45</f>
        <v/>
      </c>
      <c r="BI84" s="68" t="str">
        <f>AE45</f>
        <v/>
      </c>
      <c r="BJ84" s="237" t="str">
        <f t="shared" ref="BJ84:BK84" si="51">AF45</f>
        <v/>
      </c>
      <c r="BK84" s="241" t="str">
        <f t="shared" si="51"/>
        <v/>
      </c>
      <c r="BL84" s="356" t="str">
        <f>IF(BG84="","",(BK85+BJ85))</f>
        <v/>
      </c>
      <c r="BM84" s="357"/>
      <c r="BN84" s="360"/>
      <c r="BO84" s="359"/>
      <c r="BP84" s="359"/>
      <c r="BQ84" s="359"/>
      <c r="BR84" s="211">
        <f>AB45</f>
        <v>0</v>
      </c>
      <c r="BS84" s="357">
        <f>IF(BR85=0,0,BR85*AP45)</f>
        <v>0</v>
      </c>
      <c r="BT84" s="360"/>
      <c r="BU84" s="360"/>
      <c r="BV84" s="360"/>
      <c r="BW84" s="360"/>
      <c r="BX84" s="357">
        <f>IF(BR85=0,0,(BR85/BI85)-(BR85/BI84))</f>
        <v>0</v>
      </c>
      <c r="BY84" s="365"/>
      <c r="EG84" s="24" t="str">
        <f>IFERROR(IF(bgr!CO80=0,"",bgr!CO80),"")</f>
        <v/>
      </c>
      <c r="EH84" s="24" t="str">
        <f>IFERROR(IF(bgr!CP80=0,"",bgr!CP80),"")</f>
        <v/>
      </c>
    </row>
    <row r="85" spans="1:138" s="109" customFormat="1" ht="57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Y85" s="196"/>
      <c r="Z85" s="196"/>
      <c r="AA85" s="196"/>
      <c r="AB85" s="196"/>
      <c r="AC85" s="196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42"/>
      <c r="AV85" s="110"/>
      <c r="AW85" s="390"/>
      <c r="AX85" s="355"/>
      <c r="AY85" s="203">
        <f>Q45</f>
        <v>0</v>
      </c>
      <c r="AZ85" s="77"/>
      <c r="BA85" s="77"/>
      <c r="BB85" s="77"/>
      <c r="BC85" s="77"/>
      <c r="BD85" s="52"/>
      <c r="BE85" s="247"/>
      <c r="BF85" s="78" t="str">
        <f>AK45</f>
        <v/>
      </c>
      <c r="BG85" s="79"/>
      <c r="BH85" s="80" t="str">
        <f>IF(BR85=0,"",(((BR85)/((BJ85+BK85)/60))))</f>
        <v/>
      </c>
      <c r="BI85" s="81"/>
      <c r="BJ85" s="234"/>
      <c r="BK85" s="242" t="str">
        <f>IF(BG85="","",((BG85-BG84)*60*24)-(BJ85+BM84+BY84))</f>
        <v/>
      </c>
      <c r="BL85" s="356"/>
      <c r="BM85" s="357"/>
      <c r="BN85" s="360"/>
      <c r="BO85" s="359"/>
      <c r="BP85" s="359"/>
      <c r="BQ85" s="359"/>
      <c r="BR85" s="210">
        <f>Pending!AW41</f>
        <v>0</v>
      </c>
      <c r="BS85" s="357"/>
      <c r="BT85" s="360"/>
      <c r="BU85" s="360"/>
      <c r="BV85" s="360"/>
      <c r="BW85" s="360"/>
      <c r="BX85" s="357"/>
      <c r="BY85" s="366"/>
      <c r="CL85" s="139"/>
      <c r="CM85" s="139"/>
      <c r="CN85" s="140"/>
      <c r="CO85" s="140"/>
      <c r="CP85" s="139"/>
      <c r="CQ85" s="139"/>
      <c r="EG85" s="24" t="str">
        <f>IFERROR(IF(bgr!CO81=0,"",bgr!CO81),"")</f>
        <v/>
      </c>
      <c r="EH85" s="24" t="str">
        <f>IFERROR(IF(bgr!CP81=0,"",bgr!CP81),"")</f>
        <v/>
      </c>
    </row>
    <row r="86" spans="1:138" s="111" customFormat="1" ht="57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Y86" s="196"/>
      <c r="Z86" s="196"/>
      <c r="AA86" s="196"/>
      <c r="AB86" s="196"/>
      <c r="AC86" s="196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112"/>
      <c r="AT86" s="112"/>
      <c r="AU86" s="139"/>
      <c r="AV86" s="112"/>
      <c r="AW86" s="391">
        <v>41</v>
      </c>
      <c r="AX86" s="368" t="str">
        <f>CONCATENATE(F46, "-", G46,"-",L46,"x",M46,"x",N46)</f>
        <v>--xx</v>
      </c>
      <c r="AY86" s="204">
        <f>P46</f>
        <v>0</v>
      </c>
      <c r="AZ86" s="84"/>
      <c r="BA86" s="84"/>
      <c r="BB86" s="84"/>
      <c r="BC86" s="84"/>
      <c r="BD86" s="70"/>
      <c r="BE86" s="85" t="str">
        <f>CONCATENATE(R46,"x",S46," - ",T46,"x",U46," - ",V46,"x",W46," - ",X46,"x",Y46," - ",Z46,"x",AA46)</f>
        <v>x - x - x - x - x</v>
      </c>
      <c r="BF86" s="86" t="str">
        <f>AJ46</f>
        <v/>
      </c>
      <c r="BG86" s="87"/>
      <c r="BH86" s="88" t="str">
        <f>AL46</f>
        <v/>
      </c>
      <c r="BI86" s="83" t="str">
        <f>AE46</f>
        <v/>
      </c>
      <c r="BJ86" s="238" t="str">
        <f t="shared" ref="BJ86:BK86" si="52">AF46</f>
        <v/>
      </c>
      <c r="BK86" s="243" t="str">
        <f t="shared" si="52"/>
        <v/>
      </c>
      <c r="BL86" s="369" t="str">
        <f>IF(BG86="","",(BK87+BJ87))</f>
        <v/>
      </c>
      <c r="BM86" s="350"/>
      <c r="BN86" s="373"/>
      <c r="BO86" s="372"/>
      <c r="BP86" s="372"/>
      <c r="BQ86" s="372"/>
      <c r="BR86" s="212">
        <f>AB46</f>
        <v>0</v>
      </c>
      <c r="BS86" s="350">
        <f>IF(BR87=0,0,BR87*AP46)</f>
        <v>0</v>
      </c>
      <c r="BT86" s="373"/>
      <c r="BU86" s="373"/>
      <c r="BV86" s="373"/>
      <c r="BW86" s="373"/>
      <c r="BX86" s="350">
        <f>IF(BR87=0,0,(BR87/BI87)-(BR87/BI86))</f>
        <v>0</v>
      </c>
      <c r="BY86" s="371"/>
      <c r="CL86" s="152"/>
      <c r="CM86" s="152"/>
      <c r="CN86" s="148"/>
      <c r="CO86" s="148"/>
      <c r="CP86" s="152"/>
      <c r="CQ86" s="152"/>
      <c r="EG86" s="24" t="str">
        <f>IFERROR(IF(bgr!CO82=0,"",bgr!CO82),"")</f>
        <v/>
      </c>
      <c r="EH86" s="24" t="str">
        <f>IFERROR(IF(bgr!CP82=0,"",bgr!CP82),"")</f>
        <v/>
      </c>
    </row>
    <row r="87" spans="1:138" s="113" customFormat="1" ht="57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Y87" s="196"/>
      <c r="Z87" s="196"/>
      <c r="AA87" s="196"/>
      <c r="AB87" s="196"/>
      <c r="AC87" s="196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39"/>
      <c r="AV87" s="114"/>
      <c r="AW87" s="391"/>
      <c r="AX87" s="368"/>
      <c r="AY87" s="201">
        <f>Q46</f>
        <v>0</v>
      </c>
      <c r="AZ87" s="51"/>
      <c r="BA87" s="51"/>
      <c r="BB87" s="51"/>
      <c r="BC87" s="51"/>
      <c r="BD87" s="52"/>
      <c r="BE87" s="247"/>
      <c r="BF87" s="53" t="str">
        <f>AK46</f>
        <v/>
      </c>
      <c r="BG87" s="54"/>
      <c r="BH87" s="55" t="str">
        <f>IF(BR87=0,"",(((BR87)/((BJ87+BK87)/60))))</f>
        <v/>
      </c>
      <c r="BI87" s="56"/>
      <c r="BJ87" s="233"/>
      <c r="BK87" s="240" t="str">
        <f>IF(BG87="","",((BG87-BG86)*60*24)-(BJ87+BM86+BY86))</f>
        <v/>
      </c>
      <c r="BL87" s="369"/>
      <c r="BM87" s="350"/>
      <c r="BN87" s="373"/>
      <c r="BO87" s="372"/>
      <c r="BP87" s="372"/>
      <c r="BQ87" s="372"/>
      <c r="BR87" s="210">
        <f>Pending!AW42</f>
        <v>0</v>
      </c>
      <c r="BS87" s="350"/>
      <c r="BT87" s="373"/>
      <c r="BU87" s="373"/>
      <c r="BV87" s="373"/>
      <c r="BW87" s="373"/>
      <c r="BX87" s="350"/>
      <c r="BY87" s="352"/>
      <c r="CL87" s="139"/>
      <c r="CM87" s="139"/>
      <c r="CN87" s="140"/>
      <c r="CO87" s="140"/>
      <c r="CP87" s="139"/>
      <c r="CQ87" s="139"/>
      <c r="EG87" s="24" t="str">
        <f>IFERROR(IF(bgr!CO83=0,"",bgr!CO83),"")</f>
        <v/>
      </c>
      <c r="EH87" s="24" t="str">
        <f>IFERROR(IF(bgr!CP83=0,"",bgr!CP83),"")</f>
        <v/>
      </c>
    </row>
    <row r="88" spans="1:138" s="111" customFormat="1" ht="57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Y88" s="196"/>
      <c r="Z88" s="196"/>
      <c r="AA88" s="196"/>
      <c r="AB88" s="196"/>
      <c r="AC88" s="196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  <c r="AU88" s="139"/>
      <c r="AV88" s="112"/>
      <c r="AW88" s="390">
        <v>42</v>
      </c>
      <c r="AX88" s="355" t="str">
        <f>CONCATENATE(F47, "-", G47,"-",L47,"x",M47,"x",N47)</f>
        <v>--xx</v>
      </c>
      <c r="AY88" s="202">
        <f>P47</f>
        <v>0</v>
      </c>
      <c r="AZ88" s="69"/>
      <c r="BA88" s="69"/>
      <c r="BB88" s="69"/>
      <c r="BC88" s="69"/>
      <c r="BD88" s="70"/>
      <c r="BE88" s="71" t="str">
        <f>CONCATENATE(R47,"x",S47," - ",T47,"x",U47," - ",V47,"x",W47," - ",X47,"x",Y47," - ",Z47,"x",AA47)</f>
        <v>x - x - x - x - x</v>
      </c>
      <c r="BF88" s="72" t="str">
        <f>AJ47</f>
        <v/>
      </c>
      <c r="BG88" s="73"/>
      <c r="BH88" s="74" t="str">
        <f>AL47</f>
        <v/>
      </c>
      <c r="BI88" s="68" t="str">
        <f>AE47</f>
        <v/>
      </c>
      <c r="BJ88" s="237" t="str">
        <f t="shared" ref="BJ88:BK88" si="53">AF47</f>
        <v/>
      </c>
      <c r="BK88" s="241" t="str">
        <f t="shared" si="53"/>
        <v/>
      </c>
      <c r="BL88" s="356" t="str">
        <f>IF(BG88="","",(BK89+BJ89))</f>
        <v/>
      </c>
      <c r="BM88" s="357"/>
      <c r="BN88" s="360"/>
      <c r="BO88" s="359"/>
      <c r="BP88" s="359"/>
      <c r="BQ88" s="359"/>
      <c r="BR88" s="211">
        <f>AB47</f>
        <v>0</v>
      </c>
      <c r="BS88" s="357">
        <f>IF(BR89=0,0,BR89*AP47)</f>
        <v>0</v>
      </c>
      <c r="BT88" s="360"/>
      <c r="BU88" s="360"/>
      <c r="BV88" s="360"/>
      <c r="BW88" s="360"/>
      <c r="BX88" s="357">
        <f>IF(BR89=0,0,(BR89/BI89)-(BR89/BI88))</f>
        <v>0</v>
      </c>
      <c r="BY88" s="365"/>
      <c r="CL88" s="139"/>
      <c r="CM88" s="139"/>
      <c r="CN88" s="140"/>
      <c r="CO88" s="140"/>
      <c r="CP88" s="139"/>
      <c r="CQ88" s="139"/>
      <c r="EG88" s="24" t="str">
        <f>IFERROR(IF(bgr!CO84=0,"",bgr!CO84),"")</f>
        <v/>
      </c>
      <c r="EH88" s="24" t="str">
        <f>IFERROR(IF(bgr!CP84=0,"",bgr!CP84),"")</f>
        <v/>
      </c>
    </row>
    <row r="89" spans="1:138" s="111" customFormat="1" ht="57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Y89" s="196"/>
      <c r="Z89" s="196"/>
      <c r="AA89" s="196"/>
      <c r="AB89" s="196"/>
      <c r="AC89" s="196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12"/>
      <c r="AT89" s="112"/>
      <c r="AU89" s="139"/>
      <c r="AV89" s="112"/>
      <c r="AW89" s="390"/>
      <c r="AX89" s="355"/>
      <c r="AY89" s="203">
        <f>Q47</f>
        <v>0</v>
      </c>
      <c r="AZ89" s="77"/>
      <c r="BA89" s="77"/>
      <c r="BB89" s="77"/>
      <c r="BC89" s="77"/>
      <c r="BD89" s="52"/>
      <c r="BE89" s="247"/>
      <c r="BF89" s="78" t="str">
        <f>AK47</f>
        <v/>
      </c>
      <c r="BG89" s="79"/>
      <c r="BH89" s="80" t="str">
        <f>IF(BR89=0,"",(((BR89)/((BJ89+BK89)/60))))</f>
        <v/>
      </c>
      <c r="BI89" s="81"/>
      <c r="BJ89" s="234"/>
      <c r="BK89" s="242" t="str">
        <f>IF(BG89="","",((BG89-BG88)*60*24)-(BJ89+BM88+BY88))</f>
        <v/>
      </c>
      <c r="BL89" s="356"/>
      <c r="BM89" s="357"/>
      <c r="BN89" s="360"/>
      <c r="BO89" s="359"/>
      <c r="BP89" s="359"/>
      <c r="BQ89" s="359"/>
      <c r="BR89" s="210">
        <f>Pending!AW43</f>
        <v>0</v>
      </c>
      <c r="BS89" s="357"/>
      <c r="BT89" s="360"/>
      <c r="BU89" s="360"/>
      <c r="BV89" s="360"/>
      <c r="BW89" s="360"/>
      <c r="BX89" s="357"/>
      <c r="BY89" s="366"/>
      <c r="CL89" s="139"/>
      <c r="CM89" s="139"/>
      <c r="CN89" s="140"/>
      <c r="CO89" s="140"/>
      <c r="CP89" s="139"/>
      <c r="CQ89" s="139"/>
      <c r="EG89" s="24" t="str">
        <f>IFERROR(IF(bgr!CO85=0,"",bgr!CO85),"")</f>
        <v/>
      </c>
      <c r="EH89" s="24" t="str">
        <f>IFERROR(IF(bgr!CP85=0,"",bgr!CP85),"")</f>
        <v/>
      </c>
    </row>
    <row r="90" spans="1:138" s="111" customFormat="1" ht="57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Y90" s="196"/>
      <c r="Z90" s="196"/>
      <c r="AA90" s="196"/>
      <c r="AB90" s="196"/>
      <c r="AC90" s="196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112"/>
      <c r="AT90" s="112"/>
      <c r="AU90" s="139"/>
      <c r="AV90" s="112"/>
      <c r="AW90" s="391">
        <v>43</v>
      </c>
      <c r="AX90" s="368" t="str">
        <f>CONCATENATE(F48, "-", G48,"-",L48,"x",M48,"x",N48)</f>
        <v>--xx</v>
      </c>
      <c r="AY90" s="204">
        <f>P48</f>
        <v>0</v>
      </c>
      <c r="AZ90" s="84"/>
      <c r="BA90" s="84"/>
      <c r="BB90" s="84"/>
      <c r="BC90" s="84"/>
      <c r="BD90" s="70"/>
      <c r="BE90" s="85" t="str">
        <f>CONCATENATE(R48,"x",S48," - ",T48,"x",U48," - ",V48,"x",W48," - ",X48,"x",Y48," - ",Z48,"x",AA48)</f>
        <v>x - x - x - x - x</v>
      </c>
      <c r="BF90" s="86" t="str">
        <f>AJ48</f>
        <v/>
      </c>
      <c r="BG90" s="87"/>
      <c r="BH90" s="88" t="str">
        <f>AL48</f>
        <v/>
      </c>
      <c r="BI90" s="83" t="str">
        <f>AE48</f>
        <v/>
      </c>
      <c r="BJ90" s="238" t="str">
        <f t="shared" ref="BJ90:BK90" si="54">AF48</f>
        <v/>
      </c>
      <c r="BK90" s="243" t="str">
        <f t="shared" si="54"/>
        <v/>
      </c>
      <c r="BL90" s="369" t="str">
        <f>IF(BG90="","",(BK91+BJ91))</f>
        <v/>
      </c>
      <c r="BM90" s="350"/>
      <c r="BN90" s="373"/>
      <c r="BO90" s="372"/>
      <c r="BP90" s="372"/>
      <c r="BQ90" s="372"/>
      <c r="BR90" s="212">
        <f>AB48</f>
        <v>0</v>
      </c>
      <c r="BS90" s="350">
        <f>IF(BR91=0,0,BR91*AP48)</f>
        <v>0</v>
      </c>
      <c r="BT90" s="373"/>
      <c r="BU90" s="373"/>
      <c r="BV90" s="373"/>
      <c r="BW90" s="373"/>
      <c r="BX90" s="350">
        <f>IF(BR91=0,0,(BR91/BI91)-(BR91/BI90))</f>
        <v>0</v>
      </c>
      <c r="BY90" s="371"/>
      <c r="CL90" s="139"/>
      <c r="CM90" s="139"/>
      <c r="CN90" s="140"/>
      <c r="CO90" s="140"/>
      <c r="CP90" s="139"/>
      <c r="CQ90" s="139"/>
      <c r="EG90" s="24" t="str">
        <f>IFERROR(IF(bgr!CO86=0,"",bgr!CO86),"")</f>
        <v/>
      </c>
      <c r="EH90" s="24" t="str">
        <f>IFERROR(IF(bgr!CP86=0,"",bgr!CP86),"")</f>
        <v/>
      </c>
    </row>
    <row r="91" spans="1:138" s="111" customFormat="1" ht="57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Y91" s="196"/>
      <c r="Z91" s="196"/>
      <c r="AA91" s="196"/>
      <c r="AB91" s="196"/>
      <c r="AC91" s="196"/>
      <c r="AD91" s="112" t="s">
        <v>99</v>
      </c>
      <c r="AE91" s="112"/>
      <c r="AF91" s="112"/>
      <c r="AG91" s="112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112"/>
      <c r="AT91" s="112"/>
      <c r="AU91" s="139"/>
      <c r="AV91" s="112"/>
      <c r="AW91" s="391"/>
      <c r="AX91" s="368"/>
      <c r="AY91" s="201">
        <f>Q48</f>
        <v>0</v>
      </c>
      <c r="AZ91" s="51"/>
      <c r="BA91" s="51"/>
      <c r="BB91" s="51"/>
      <c r="BC91" s="51"/>
      <c r="BD91" s="52"/>
      <c r="BE91" s="247"/>
      <c r="BF91" s="53" t="str">
        <f>AK48</f>
        <v/>
      </c>
      <c r="BG91" s="54"/>
      <c r="BH91" s="55" t="str">
        <f>IF(BR91=0,"",(((BR91)/((BJ91+BK91)/60))))</f>
        <v/>
      </c>
      <c r="BI91" s="56"/>
      <c r="BJ91" s="233"/>
      <c r="BK91" s="240" t="str">
        <f>IF(BG91="","",((BG91-BG90)*60*24)-(BJ91+BM90+BY90))</f>
        <v/>
      </c>
      <c r="BL91" s="369"/>
      <c r="BM91" s="350"/>
      <c r="BN91" s="373"/>
      <c r="BO91" s="372"/>
      <c r="BP91" s="372"/>
      <c r="BQ91" s="372"/>
      <c r="BR91" s="210">
        <f>Pending!AW44</f>
        <v>0</v>
      </c>
      <c r="BS91" s="350"/>
      <c r="BT91" s="373"/>
      <c r="BU91" s="373"/>
      <c r="BV91" s="373"/>
      <c r="BW91" s="373"/>
      <c r="BX91" s="350"/>
      <c r="BY91" s="352"/>
      <c r="CL91" s="139"/>
      <c r="CM91" s="139"/>
      <c r="CN91" s="140"/>
      <c r="CO91" s="140"/>
      <c r="CP91" s="139"/>
      <c r="CQ91" s="139"/>
      <c r="EG91" s="24" t="str">
        <f>IFERROR(IF(bgr!CO87=0,"",bgr!CO87),"")</f>
        <v/>
      </c>
      <c r="EH91" s="24" t="str">
        <f>IFERROR(IF(bgr!CP87=0,"",bgr!CP87),"")</f>
        <v/>
      </c>
    </row>
    <row r="92" spans="1:138" s="111" customFormat="1" ht="57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Y92" s="196"/>
      <c r="Z92" s="196"/>
      <c r="AA92" s="196"/>
      <c r="AB92" s="196"/>
      <c r="AC92" s="196"/>
      <c r="AD92" s="112"/>
      <c r="AE92" s="112"/>
      <c r="AF92" s="112"/>
      <c r="AG92" s="112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112"/>
      <c r="AS92" s="112"/>
      <c r="AT92" s="112"/>
      <c r="AU92" s="139"/>
      <c r="AV92" s="112"/>
      <c r="AW92" s="390">
        <v>44</v>
      </c>
      <c r="AX92" s="355" t="str">
        <f>CONCATENATE(F49, "-", G49,"-",L49,"x",M49,"x",N49)</f>
        <v>--xx</v>
      </c>
      <c r="AY92" s="202">
        <f>P49</f>
        <v>0</v>
      </c>
      <c r="AZ92" s="69"/>
      <c r="BA92" s="69"/>
      <c r="BB92" s="69"/>
      <c r="BC92" s="69"/>
      <c r="BD92" s="70"/>
      <c r="BE92" s="71" t="str">
        <f>CONCATENATE(R49,"x",S49," - ",T49,"x",U49," - ",V49,"x",W49," - ",X49,"x",Y49," - ",Z49,"x",AA49)</f>
        <v>x - x - x - x - x</v>
      </c>
      <c r="BF92" s="72" t="str">
        <f>AJ49</f>
        <v/>
      </c>
      <c r="BG92" s="73"/>
      <c r="BH92" s="74" t="str">
        <f>AL49</f>
        <v/>
      </c>
      <c r="BI92" s="68" t="str">
        <f>AE49</f>
        <v/>
      </c>
      <c r="BJ92" s="237" t="str">
        <f t="shared" ref="BJ92:BK92" si="55">AF49</f>
        <v/>
      </c>
      <c r="BK92" s="241" t="str">
        <f t="shared" si="55"/>
        <v/>
      </c>
      <c r="BL92" s="356" t="str">
        <f>IF(BG92="","",(BK93+BJ93))</f>
        <v/>
      </c>
      <c r="BM92" s="357"/>
      <c r="BN92" s="360"/>
      <c r="BO92" s="359"/>
      <c r="BP92" s="359"/>
      <c r="BQ92" s="359"/>
      <c r="BR92" s="211">
        <f>AB49</f>
        <v>0</v>
      </c>
      <c r="BS92" s="357">
        <f>IF(BR93=0,0,BR93*AP49)</f>
        <v>0</v>
      </c>
      <c r="BT92" s="360"/>
      <c r="BU92" s="360"/>
      <c r="BV92" s="360"/>
      <c r="BW92" s="360"/>
      <c r="BX92" s="357">
        <f>IF(BR93=0,0,(BR93/BI93)-(BR93/BI92))</f>
        <v>0</v>
      </c>
      <c r="BY92" s="365"/>
      <c r="CL92" s="139"/>
      <c r="CM92" s="139"/>
      <c r="CN92" s="140"/>
      <c r="CO92" s="140"/>
      <c r="CP92" s="139"/>
      <c r="CQ92" s="139"/>
      <c r="EG92" s="24" t="str">
        <f>IFERROR(IF(bgr!CO88=0,"",bgr!CO88),"")</f>
        <v/>
      </c>
      <c r="EH92" s="24" t="str">
        <f>IFERROR(IF(bgr!CP88=0,"",bgr!CP88),"")</f>
        <v/>
      </c>
    </row>
    <row r="93" spans="1:138" s="111" customFormat="1" ht="57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Y93" s="196"/>
      <c r="Z93" s="196"/>
      <c r="AA93" s="196"/>
      <c r="AB93" s="196"/>
      <c r="AC93" s="196"/>
      <c r="AD93" s="112"/>
      <c r="AE93" s="112"/>
      <c r="AF93" s="112"/>
      <c r="AG93" s="112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R93" s="112"/>
      <c r="AS93" s="112"/>
      <c r="AT93" s="112"/>
      <c r="AU93" s="139"/>
      <c r="AV93" s="112"/>
      <c r="AW93" s="390"/>
      <c r="AX93" s="355"/>
      <c r="AY93" s="203">
        <f>Q49</f>
        <v>0</v>
      </c>
      <c r="AZ93" s="77"/>
      <c r="BA93" s="77"/>
      <c r="BB93" s="77"/>
      <c r="BC93" s="77"/>
      <c r="BD93" s="52"/>
      <c r="BE93" s="247"/>
      <c r="BF93" s="78" t="str">
        <f>AK49</f>
        <v/>
      </c>
      <c r="BG93" s="79"/>
      <c r="BH93" s="80" t="str">
        <f>IF(BR93=0,"",(((BR93)/((BJ93+BK93)/60))))</f>
        <v/>
      </c>
      <c r="BI93" s="81"/>
      <c r="BJ93" s="234"/>
      <c r="BK93" s="242" t="str">
        <f>IF(BG93="","",((BG93-BG92)*60*24)-(BJ93+BM92+BY92))</f>
        <v/>
      </c>
      <c r="BL93" s="356"/>
      <c r="BM93" s="357"/>
      <c r="BN93" s="360"/>
      <c r="BO93" s="359"/>
      <c r="BP93" s="359"/>
      <c r="BQ93" s="359"/>
      <c r="BR93" s="210">
        <f>Pending!AW45</f>
        <v>0</v>
      </c>
      <c r="BS93" s="357"/>
      <c r="BT93" s="360"/>
      <c r="BU93" s="360"/>
      <c r="BV93" s="360"/>
      <c r="BW93" s="360"/>
      <c r="BX93" s="357"/>
      <c r="BY93" s="366"/>
      <c r="CL93" s="139"/>
      <c r="CM93" s="139"/>
      <c r="CN93" s="140"/>
      <c r="CO93" s="140"/>
      <c r="CP93" s="139"/>
      <c r="CQ93" s="139"/>
      <c r="EG93" s="24" t="str">
        <f>IFERROR(IF(bgr!CO89=0,"",bgr!CO89),"")</f>
        <v/>
      </c>
      <c r="EH93" s="24" t="str">
        <f>IFERROR(IF(bgr!CP89=0,"",bgr!CP89),"")</f>
        <v/>
      </c>
    </row>
    <row r="94" spans="1:138" s="111" customFormat="1" ht="57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Y94" s="196"/>
      <c r="Z94" s="196"/>
      <c r="AA94" s="196"/>
      <c r="AB94" s="196"/>
      <c r="AC94" s="196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39"/>
      <c r="AV94" s="112"/>
      <c r="AW94" s="391">
        <v>45</v>
      </c>
      <c r="AX94" s="368" t="str">
        <f>CONCATENATE(F50, "-", G50,"-",L50,"x",M50,"x",N50)</f>
        <v>--xx</v>
      </c>
      <c r="AY94" s="204">
        <f>P50</f>
        <v>0</v>
      </c>
      <c r="AZ94" s="84"/>
      <c r="BA94" s="84"/>
      <c r="BB94" s="84"/>
      <c r="BC94" s="84"/>
      <c r="BD94" s="70"/>
      <c r="BE94" s="85" t="str">
        <f>CONCATENATE(R50,"x",S50," - ",T50,"x",U50," - ",V50,"x",W50," - ",X50,"x",Y50," - ",Z50,"x",AA50)</f>
        <v>x - x - x - x - x</v>
      </c>
      <c r="BF94" s="86" t="str">
        <f>AJ50</f>
        <v/>
      </c>
      <c r="BG94" s="87"/>
      <c r="BH94" s="88" t="str">
        <f>AL50</f>
        <v/>
      </c>
      <c r="BI94" s="83" t="str">
        <f>AE50</f>
        <v/>
      </c>
      <c r="BJ94" s="238" t="str">
        <f t="shared" ref="BJ94:BK94" si="56">AF50</f>
        <v/>
      </c>
      <c r="BK94" s="243" t="str">
        <f t="shared" si="56"/>
        <v/>
      </c>
      <c r="BL94" s="369" t="str">
        <f>IF(BG94="","",(BK95+BJ95))</f>
        <v/>
      </c>
      <c r="BM94" s="350"/>
      <c r="BN94" s="373"/>
      <c r="BO94" s="372"/>
      <c r="BP94" s="372"/>
      <c r="BQ94" s="372"/>
      <c r="BR94" s="212">
        <f>AB50</f>
        <v>0</v>
      </c>
      <c r="BS94" s="350">
        <f>IF(BR95=0,0,BR95*AP50)</f>
        <v>0</v>
      </c>
      <c r="BT94" s="373"/>
      <c r="BU94" s="373"/>
      <c r="BV94" s="373"/>
      <c r="BW94" s="373"/>
      <c r="BX94" s="350">
        <f>IF(BR95=0,0,(BR95/BI95)-(BR95/BI94))</f>
        <v>0</v>
      </c>
      <c r="BY94" s="371"/>
      <c r="CL94" s="139"/>
      <c r="CM94" s="139"/>
      <c r="CN94" s="140"/>
      <c r="CO94" s="140"/>
      <c r="CP94" s="139"/>
      <c r="CQ94" s="139"/>
      <c r="EG94" s="24" t="str">
        <f>IFERROR(IF(bgr!CO90=0,"",bgr!CO90),"")</f>
        <v/>
      </c>
      <c r="EH94" s="24" t="str">
        <f>IFERROR(IF(bgr!CP90=0,"",bgr!CP90),"")</f>
        <v/>
      </c>
    </row>
    <row r="95" spans="1:138" s="111" customFormat="1" ht="57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Y95" s="196"/>
      <c r="Z95" s="196"/>
      <c r="AA95" s="196"/>
      <c r="AB95" s="196"/>
      <c r="AC95" s="196"/>
      <c r="AD95" s="112"/>
      <c r="AE95" s="112"/>
      <c r="AF95" s="112"/>
      <c r="AG95" s="112"/>
      <c r="AH95" s="112"/>
      <c r="AI95" s="112"/>
      <c r="AJ95" s="112"/>
      <c r="AK95" s="112"/>
      <c r="AL95" s="112"/>
      <c r="AM95" s="112"/>
      <c r="AN95" s="112"/>
      <c r="AO95" s="112"/>
      <c r="AP95" s="112"/>
      <c r="AQ95" s="112"/>
      <c r="AR95" s="112"/>
      <c r="AS95" s="112"/>
      <c r="AT95" s="112"/>
      <c r="AU95" s="139"/>
      <c r="AV95" s="112"/>
      <c r="AW95" s="391"/>
      <c r="AX95" s="368"/>
      <c r="AY95" s="201">
        <f>Q50</f>
        <v>0</v>
      </c>
      <c r="AZ95" s="51"/>
      <c r="BA95" s="51"/>
      <c r="BB95" s="51"/>
      <c r="BC95" s="51"/>
      <c r="BD95" s="52"/>
      <c r="BE95" s="247"/>
      <c r="BF95" s="53" t="str">
        <f>AK50</f>
        <v/>
      </c>
      <c r="BG95" s="54"/>
      <c r="BH95" s="55" t="str">
        <f>IF(BR95=0,"",(((BR95)/((BJ95+BK95)/60))))</f>
        <v/>
      </c>
      <c r="BI95" s="56"/>
      <c r="BJ95" s="233"/>
      <c r="BK95" s="240" t="str">
        <f>IF(BG95="","",((BG95-BG94)*60*24)-(BJ95+BM94+BY94))</f>
        <v/>
      </c>
      <c r="BL95" s="369"/>
      <c r="BM95" s="350"/>
      <c r="BN95" s="373"/>
      <c r="BO95" s="372"/>
      <c r="BP95" s="372"/>
      <c r="BQ95" s="372"/>
      <c r="BR95" s="210">
        <f>Pending!AW46</f>
        <v>0</v>
      </c>
      <c r="BS95" s="350"/>
      <c r="BT95" s="373"/>
      <c r="BU95" s="373"/>
      <c r="BV95" s="373"/>
      <c r="BW95" s="373"/>
      <c r="BX95" s="350"/>
      <c r="BY95" s="352"/>
      <c r="CL95" s="139"/>
      <c r="CM95" s="139"/>
      <c r="CN95" s="140"/>
      <c r="CO95" s="140"/>
      <c r="CP95" s="139"/>
      <c r="CQ95" s="139"/>
      <c r="EG95" s="24" t="str">
        <f>IFERROR(IF(bgr!CO91=0,"",bgr!CO91),"")</f>
        <v/>
      </c>
      <c r="EH95" s="24" t="str">
        <f>IFERROR(IF(bgr!CP91=0,"",bgr!CP91),"")</f>
        <v/>
      </c>
    </row>
    <row r="96" spans="1:138" s="111" customFormat="1" ht="57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Y96" s="196"/>
      <c r="Z96" s="196"/>
      <c r="AA96" s="196"/>
      <c r="AB96" s="196"/>
      <c r="AC96" s="196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39"/>
      <c r="AV96" s="112"/>
      <c r="AW96" s="390">
        <v>46</v>
      </c>
      <c r="AX96" s="355" t="str">
        <f>CONCATENATE(F51, "-", G51,"-",L51,"x",M51,"x",N51)</f>
        <v>--xx</v>
      </c>
      <c r="AY96" s="202">
        <f>P51</f>
        <v>0</v>
      </c>
      <c r="AZ96" s="69"/>
      <c r="BA96" s="69"/>
      <c r="BB96" s="69"/>
      <c r="BC96" s="69"/>
      <c r="BD96" s="70"/>
      <c r="BE96" s="71" t="str">
        <f>CONCATENATE(R51,"x",S51," - ",T51,"x",U51," - ",V51,"x",W51," - ",X51,"x",Y51," - ",Z51,"x",AA51)</f>
        <v>x - x - x - x - x</v>
      </c>
      <c r="BF96" s="72" t="str">
        <f>AJ51</f>
        <v/>
      </c>
      <c r="BG96" s="73"/>
      <c r="BH96" s="74" t="str">
        <f>AL51</f>
        <v/>
      </c>
      <c r="BI96" s="68" t="str">
        <f>AE51</f>
        <v/>
      </c>
      <c r="BJ96" s="237" t="str">
        <f t="shared" ref="BJ96:BK96" si="57">AF51</f>
        <v/>
      </c>
      <c r="BK96" s="241" t="str">
        <f t="shared" si="57"/>
        <v/>
      </c>
      <c r="BL96" s="356" t="str">
        <f>IF(BG96="","",(BK97+BJ97))</f>
        <v/>
      </c>
      <c r="BM96" s="357"/>
      <c r="BN96" s="360"/>
      <c r="BO96" s="359"/>
      <c r="BP96" s="359"/>
      <c r="BQ96" s="359"/>
      <c r="BR96" s="211">
        <f>AB51</f>
        <v>0</v>
      </c>
      <c r="BS96" s="357">
        <f>IF(BR97=0,0,BR97*AP51)</f>
        <v>0</v>
      </c>
      <c r="BT96" s="360"/>
      <c r="BU96" s="360"/>
      <c r="BV96" s="360"/>
      <c r="BW96" s="360"/>
      <c r="BX96" s="357">
        <f>IF(BR97=0,0,(BR97/BI97)-(BR97/BI96))</f>
        <v>0</v>
      </c>
      <c r="BY96" s="365"/>
      <c r="CL96" s="139"/>
      <c r="CM96" s="139"/>
      <c r="CN96" s="140"/>
      <c r="CO96" s="140"/>
      <c r="CP96" s="139"/>
      <c r="CQ96" s="139"/>
      <c r="EG96" s="24" t="str">
        <f>IFERROR(IF(bgr!CO92=0,"",bgr!CO92),"")</f>
        <v/>
      </c>
      <c r="EH96" s="24" t="str">
        <f>IFERROR(IF(bgr!CP92=0,"",bgr!CP92),"")</f>
        <v/>
      </c>
    </row>
    <row r="97" spans="1:138" s="111" customFormat="1" ht="57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Y97" s="196"/>
      <c r="Z97" s="196"/>
      <c r="AA97" s="196"/>
      <c r="AB97" s="196"/>
      <c r="AC97" s="196"/>
      <c r="AD97" s="112"/>
      <c r="AE97" s="112"/>
      <c r="AF97" s="112"/>
      <c r="AG97" s="112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R97" s="112"/>
      <c r="AS97" s="112"/>
      <c r="AT97" s="112"/>
      <c r="AU97" s="139"/>
      <c r="AV97" s="112"/>
      <c r="AW97" s="390"/>
      <c r="AX97" s="355"/>
      <c r="AY97" s="203">
        <f>Q51</f>
        <v>0</v>
      </c>
      <c r="AZ97" s="77"/>
      <c r="BA97" s="77"/>
      <c r="BB97" s="77"/>
      <c r="BC97" s="77"/>
      <c r="BD97" s="52"/>
      <c r="BE97" s="247"/>
      <c r="BF97" s="78" t="str">
        <f>AK51</f>
        <v/>
      </c>
      <c r="BG97" s="79"/>
      <c r="BH97" s="80" t="str">
        <f>IF(BR97=0,"",(((BR97)/((BJ97+BK97)/60))))</f>
        <v/>
      </c>
      <c r="BI97" s="81"/>
      <c r="BJ97" s="234"/>
      <c r="BK97" s="242" t="str">
        <f>IF(BG97="","",((BG97-BG96)*60*24)-(BJ97+BM96+BY96))</f>
        <v/>
      </c>
      <c r="BL97" s="356"/>
      <c r="BM97" s="357"/>
      <c r="BN97" s="360"/>
      <c r="BO97" s="359"/>
      <c r="BP97" s="359"/>
      <c r="BQ97" s="359"/>
      <c r="BR97" s="210">
        <f>Pending!AW47</f>
        <v>0</v>
      </c>
      <c r="BS97" s="357"/>
      <c r="BT97" s="360"/>
      <c r="BU97" s="360"/>
      <c r="BV97" s="360"/>
      <c r="BW97" s="360"/>
      <c r="BX97" s="357"/>
      <c r="BY97" s="366"/>
      <c r="CL97" s="139"/>
      <c r="CM97" s="139"/>
      <c r="CN97" s="140"/>
      <c r="CO97" s="140"/>
      <c r="CP97" s="139"/>
      <c r="CQ97" s="139"/>
      <c r="EG97" s="24" t="str">
        <f>IFERROR(IF(bgr!CO93=0,"",bgr!CO93),"")</f>
        <v/>
      </c>
      <c r="EH97" s="24" t="str">
        <f>IFERROR(IF(bgr!CP93=0,"",bgr!CP93),"")</f>
        <v/>
      </c>
    </row>
    <row r="98" spans="1:138" s="111" customFormat="1" ht="57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Y98" s="196"/>
      <c r="Z98" s="196"/>
      <c r="AA98" s="196"/>
      <c r="AB98" s="196"/>
      <c r="AC98" s="196"/>
      <c r="AD98" s="112"/>
      <c r="AE98" s="112"/>
      <c r="AF98" s="112"/>
      <c r="AG98" s="112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R98" s="112"/>
      <c r="AS98" s="112"/>
      <c r="AT98" s="112"/>
      <c r="AU98" s="139"/>
      <c r="AV98" s="112"/>
      <c r="AW98" s="391">
        <v>47</v>
      </c>
      <c r="AX98" s="368" t="str">
        <f>CONCATENATE(F52, "-", G52,"-",L52,"x",M52,"x",N52)</f>
        <v>--xx</v>
      </c>
      <c r="AY98" s="204">
        <f>P52</f>
        <v>0</v>
      </c>
      <c r="AZ98" s="84"/>
      <c r="BA98" s="84"/>
      <c r="BB98" s="84"/>
      <c r="BC98" s="84"/>
      <c r="BD98" s="70"/>
      <c r="BE98" s="85" t="str">
        <f>CONCATENATE(R52,"x",S52," - ",T52,"x",U52," - ",V52,"x",W52," - ",X52,"x",Y52," - ",Z52,"x",AA52)</f>
        <v>x - x - x - x - x</v>
      </c>
      <c r="BF98" s="86" t="str">
        <f>AJ52</f>
        <v/>
      </c>
      <c r="BG98" s="87"/>
      <c r="BH98" s="88" t="str">
        <f>AL52</f>
        <v/>
      </c>
      <c r="BI98" s="83" t="str">
        <f>AE52</f>
        <v/>
      </c>
      <c r="BJ98" s="238" t="str">
        <f t="shared" ref="BJ98:BK98" si="58">AF52</f>
        <v/>
      </c>
      <c r="BK98" s="243" t="str">
        <f t="shared" si="58"/>
        <v/>
      </c>
      <c r="BL98" s="369" t="str">
        <f>IF(BG98="","",(BK99+BJ99))</f>
        <v/>
      </c>
      <c r="BM98" s="350"/>
      <c r="BN98" s="373"/>
      <c r="BO98" s="372"/>
      <c r="BP98" s="372"/>
      <c r="BQ98" s="372"/>
      <c r="BR98" s="212">
        <f>AB52</f>
        <v>0</v>
      </c>
      <c r="BS98" s="350">
        <f>IF(BR99=0,0,BR99*AP52)</f>
        <v>0</v>
      </c>
      <c r="BT98" s="373"/>
      <c r="BU98" s="373"/>
      <c r="BV98" s="373"/>
      <c r="BW98" s="373"/>
      <c r="BX98" s="350">
        <f>IF(BR99=0,0,(BR99/BI99)-(BR99/BI98))</f>
        <v>0</v>
      </c>
      <c r="BY98" s="371"/>
      <c r="CL98" s="139"/>
      <c r="CM98" s="139"/>
      <c r="CN98" s="140"/>
      <c r="CO98" s="140"/>
      <c r="CP98" s="139"/>
      <c r="CQ98" s="139"/>
      <c r="EG98" s="24" t="str">
        <f>IFERROR(IF(bgr!CO94=0,"",bgr!CO94),"")</f>
        <v/>
      </c>
      <c r="EH98" s="24" t="str">
        <f>IFERROR(IF(bgr!CP94=0,"",bgr!CP94),"")</f>
        <v/>
      </c>
    </row>
    <row r="99" spans="1:138" ht="57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Y99" s="196"/>
      <c r="Z99" s="196"/>
      <c r="AA99" s="196"/>
      <c r="AB99" s="196"/>
      <c r="AC99" s="196"/>
      <c r="AD99" s="115"/>
      <c r="AE99" s="76"/>
      <c r="AF99" s="112"/>
      <c r="AG99" s="112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139"/>
      <c r="AV99" s="76"/>
      <c r="AW99" s="391"/>
      <c r="AX99" s="368"/>
      <c r="AY99" s="201">
        <f>Q52</f>
        <v>0</v>
      </c>
      <c r="AZ99" s="51"/>
      <c r="BA99" s="51"/>
      <c r="BB99" s="51"/>
      <c r="BC99" s="51"/>
      <c r="BD99" s="52"/>
      <c r="BE99" s="247"/>
      <c r="BF99" s="53" t="str">
        <f>AK52</f>
        <v/>
      </c>
      <c r="BG99" s="54"/>
      <c r="BH99" s="55" t="str">
        <f>IF(BR99=0,"",(((BR99)/((BJ99+BK99)/60))))</f>
        <v/>
      </c>
      <c r="BI99" s="56"/>
      <c r="BJ99" s="233"/>
      <c r="BK99" s="240" t="str">
        <f>IF(BG99="","",((BG99-BG98)*60*24)-(BJ99+BM98+BY98))</f>
        <v/>
      </c>
      <c r="BL99" s="369"/>
      <c r="BM99" s="350"/>
      <c r="BN99" s="373"/>
      <c r="BO99" s="372"/>
      <c r="BP99" s="372"/>
      <c r="BQ99" s="372"/>
      <c r="BR99" s="210">
        <f>Pending!AW48</f>
        <v>0</v>
      </c>
      <c r="BS99" s="350"/>
      <c r="BT99" s="373"/>
      <c r="BU99" s="373"/>
      <c r="BV99" s="373"/>
      <c r="BW99" s="373"/>
      <c r="BX99" s="350"/>
      <c r="BY99" s="352"/>
      <c r="EG99" s="24" t="str">
        <f>IFERROR(IF(bgr!CO95=0,"",bgr!CO95),"")</f>
        <v/>
      </c>
      <c r="EH99" s="24" t="str">
        <f>IFERROR(IF(bgr!CP95=0,"",bgr!CP95),"")</f>
        <v/>
      </c>
    </row>
    <row r="100" spans="1:138" ht="57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Y100" s="196"/>
      <c r="Z100" s="196"/>
      <c r="AA100" s="196"/>
      <c r="AB100" s="196"/>
      <c r="AC100" s="196"/>
      <c r="AD100" s="115"/>
      <c r="AE100" s="76"/>
      <c r="AF100" s="112"/>
      <c r="AG100" s="112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139"/>
      <c r="AV100" s="76"/>
      <c r="AW100" s="390">
        <v>48</v>
      </c>
      <c r="AX100" s="355" t="str">
        <f>CONCATENATE(F53, "-", G53,"-",L53,"x",M53,"x",N53)</f>
        <v>--xx</v>
      </c>
      <c r="AY100" s="202">
        <f>P53</f>
        <v>0</v>
      </c>
      <c r="AZ100" s="69"/>
      <c r="BA100" s="69"/>
      <c r="BB100" s="69"/>
      <c r="BC100" s="69"/>
      <c r="BD100" s="70"/>
      <c r="BE100" s="71" t="str">
        <f>CONCATENATE(R53,"x",S53," - ",T53,"x",U53," - ",V53,"x",W53," - ",X53,"x",Y53," - ",Z53,"x",AA53)</f>
        <v>x - x - x - x - x</v>
      </c>
      <c r="BF100" s="72" t="str">
        <f>AJ53</f>
        <v/>
      </c>
      <c r="BG100" s="73"/>
      <c r="BH100" s="74" t="str">
        <f>AL53</f>
        <v/>
      </c>
      <c r="BI100" s="68" t="str">
        <f>AE53</f>
        <v/>
      </c>
      <c r="BJ100" s="237" t="str">
        <f t="shared" ref="BJ100:BK100" si="59">AF53</f>
        <v/>
      </c>
      <c r="BK100" s="241" t="str">
        <f t="shared" si="59"/>
        <v/>
      </c>
      <c r="BL100" s="356" t="str">
        <f>IF(BG100="","",(BK101+BJ101))</f>
        <v/>
      </c>
      <c r="BM100" s="357"/>
      <c r="BN100" s="360"/>
      <c r="BO100" s="359"/>
      <c r="BP100" s="359"/>
      <c r="BQ100" s="359"/>
      <c r="BR100" s="211">
        <f>AB53</f>
        <v>0</v>
      </c>
      <c r="BS100" s="357">
        <f>IF(BR101=0,0,BR101*AP53)</f>
        <v>0</v>
      </c>
      <c r="BT100" s="360"/>
      <c r="BU100" s="360"/>
      <c r="BV100" s="360"/>
      <c r="BW100" s="360"/>
      <c r="BX100" s="357">
        <f>IF(BR101=0,0,(BR101/BI101)-(BR101/BI100))</f>
        <v>0</v>
      </c>
      <c r="BY100" s="365"/>
      <c r="EG100" s="24" t="str">
        <f>IFERROR(IF(bgr!CO96=0,"",bgr!CO96),"")</f>
        <v/>
      </c>
      <c r="EH100" s="24" t="str">
        <f>IFERROR(IF(bgr!CP96=0,"",bgr!CP96),"")</f>
        <v/>
      </c>
    </row>
    <row r="101" spans="1:138" ht="57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Y101" s="196"/>
      <c r="Z101" s="196"/>
      <c r="AA101" s="196"/>
      <c r="AB101" s="196"/>
      <c r="AC101" s="196"/>
      <c r="AD101" s="115"/>
      <c r="AE101" s="76"/>
      <c r="AF101" s="112"/>
      <c r="AG101" s="112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139"/>
      <c r="AV101" s="76"/>
      <c r="AW101" s="390"/>
      <c r="AX101" s="355"/>
      <c r="AY101" s="203">
        <f>Q53</f>
        <v>0</v>
      </c>
      <c r="AZ101" s="77"/>
      <c r="BA101" s="77"/>
      <c r="BB101" s="77"/>
      <c r="BC101" s="77"/>
      <c r="BD101" s="52"/>
      <c r="BE101" s="246"/>
      <c r="BF101" s="78" t="str">
        <f>AK53</f>
        <v/>
      </c>
      <c r="BG101" s="79"/>
      <c r="BH101" s="80" t="str">
        <f>IF(BR101=0,"",(((BR101)/((BJ101+BK101)/60))))</f>
        <v/>
      </c>
      <c r="BI101" s="81"/>
      <c r="BJ101" s="234"/>
      <c r="BK101" s="242" t="str">
        <f>IF(BG101="","",((BG101-BG100)*60*24)-(BJ101+BM100+BY100))</f>
        <v/>
      </c>
      <c r="BL101" s="356"/>
      <c r="BM101" s="357"/>
      <c r="BN101" s="360"/>
      <c r="BO101" s="359"/>
      <c r="BP101" s="359"/>
      <c r="BQ101" s="359"/>
      <c r="BR101" s="210">
        <f>Pending!AW49</f>
        <v>0</v>
      </c>
      <c r="BS101" s="357"/>
      <c r="BT101" s="360"/>
      <c r="BU101" s="360"/>
      <c r="BV101" s="360"/>
      <c r="BW101" s="360"/>
      <c r="BX101" s="357"/>
      <c r="BY101" s="366"/>
      <c r="EG101" s="24" t="str">
        <f>IFERROR(IF(bgr!CO97=0,"",bgr!CO97),"")</f>
        <v/>
      </c>
      <c r="EH101" s="24" t="str">
        <f>IFERROR(IF(bgr!CP97=0,"",bgr!CP97),"")</f>
        <v/>
      </c>
    </row>
    <row r="102" spans="1:138" ht="57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Y102" s="115"/>
      <c r="Z102" s="115"/>
      <c r="AA102" s="115"/>
      <c r="AB102" s="115"/>
      <c r="AC102" s="115"/>
      <c r="AD102" s="115"/>
      <c r="AE102" s="76"/>
      <c r="AF102" s="112"/>
      <c r="AG102" s="112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139"/>
      <c r="AV102" s="76"/>
      <c r="AW102" s="391">
        <v>49</v>
      </c>
      <c r="AX102" s="368" t="str">
        <f>CONCATENATE(F54, "-", G54,"-",L54,"x",M54,"x",N54)</f>
        <v>--xx</v>
      </c>
      <c r="AY102" s="204">
        <f>P54</f>
        <v>0</v>
      </c>
      <c r="AZ102" s="84"/>
      <c r="BA102" s="84"/>
      <c r="BB102" s="84"/>
      <c r="BC102" s="84"/>
      <c r="BD102" s="70"/>
      <c r="BE102" s="85" t="str">
        <f>CONCATENATE(R54,"x",S54," - ",T54,"x",U54," - ",V54,"x",W54," - ",X54,"x",Y54," - ",Z54,"x",AA54)</f>
        <v>x - x - x - x - x</v>
      </c>
      <c r="BF102" s="86" t="str">
        <f>AJ54</f>
        <v/>
      </c>
      <c r="BG102" s="87"/>
      <c r="BH102" s="88" t="str">
        <f>AL54</f>
        <v/>
      </c>
      <c r="BI102" s="83" t="str">
        <f>AE54</f>
        <v/>
      </c>
      <c r="BJ102" s="238" t="str">
        <f t="shared" ref="BJ102:BK102" si="60">AF54</f>
        <v/>
      </c>
      <c r="BK102" s="243" t="str">
        <f t="shared" si="60"/>
        <v/>
      </c>
      <c r="BL102" s="369" t="str">
        <f>IF(BG102="","",(BK103+BJ103))</f>
        <v/>
      </c>
      <c r="BM102" s="350"/>
      <c r="BN102" s="373"/>
      <c r="BO102" s="372"/>
      <c r="BP102" s="372"/>
      <c r="BQ102" s="372"/>
      <c r="BR102" s="212">
        <f>AB54</f>
        <v>0</v>
      </c>
      <c r="BS102" s="350">
        <f>IF(BR103=0,0,BR103*AP54)</f>
        <v>0</v>
      </c>
      <c r="BT102" s="373"/>
      <c r="BU102" s="373"/>
      <c r="BV102" s="373"/>
      <c r="BW102" s="373"/>
      <c r="BX102" s="350">
        <f>IF(BR103=0,0,(BR103/BI103)-(BR103/BI102))</f>
        <v>0</v>
      </c>
      <c r="BY102" s="371"/>
      <c r="EG102" s="24" t="str">
        <f>IFERROR(IF(bgr!CO98=0,"",bgr!CO98),"")</f>
        <v/>
      </c>
      <c r="EH102" s="24" t="str">
        <f>IFERROR(IF(bgr!CP98=0,"",bgr!CP98),"")</f>
        <v/>
      </c>
    </row>
    <row r="103" spans="1:138" ht="57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Y103" s="115"/>
      <c r="Z103" s="115"/>
      <c r="AA103" s="115"/>
      <c r="AB103" s="115"/>
      <c r="AC103" s="115"/>
      <c r="AD103" s="115"/>
      <c r="AE103" s="76"/>
      <c r="AF103" s="112"/>
      <c r="AG103" s="112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139"/>
      <c r="AV103" s="76"/>
      <c r="AW103" s="391"/>
      <c r="AX103" s="368"/>
      <c r="AY103" s="201">
        <f>Q54</f>
        <v>0</v>
      </c>
      <c r="AZ103" s="51"/>
      <c r="BA103" s="51"/>
      <c r="BB103" s="51"/>
      <c r="BC103" s="51"/>
      <c r="BD103" s="52"/>
      <c r="BE103" s="247"/>
      <c r="BF103" s="53" t="str">
        <f>AK54</f>
        <v/>
      </c>
      <c r="BG103" s="54"/>
      <c r="BH103" s="55" t="str">
        <f>IF(BR103=0,"",(((BR103)/((BJ103+BK103)/60))))</f>
        <v/>
      </c>
      <c r="BI103" s="56"/>
      <c r="BJ103" s="233"/>
      <c r="BK103" s="240" t="str">
        <f>IF(BG103="","",((BG103-BG102)*60*24)-(BJ103+BM102+BY102))</f>
        <v/>
      </c>
      <c r="BL103" s="369"/>
      <c r="BM103" s="350"/>
      <c r="BN103" s="373"/>
      <c r="BO103" s="372"/>
      <c r="BP103" s="372"/>
      <c r="BQ103" s="372"/>
      <c r="BR103" s="210">
        <f>Pending!AW50</f>
        <v>0</v>
      </c>
      <c r="BS103" s="350"/>
      <c r="BT103" s="373"/>
      <c r="BU103" s="373"/>
      <c r="BV103" s="373"/>
      <c r="BW103" s="373"/>
      <c r="BX103" s="350"/>
      <c r="BY103" s="352"/>
      <c r="EG103" s="24" t="str">
        <f>IFERROR(IF(bgr!CO99=0,"",bgr!CO99),"")</f>
        <v/>
      </c>
      <c r="EH103" s="24" t="str">
        <f>IFERROR(IF(bgr!CP99=0,"",bgr!CP99),"")</f>
        <v/>
      </c>
    </row>
    <row r="104" spans="1:138" ht="57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76"/>
      <c r="AF104" s="112"/>
      <c r="AG104" s="112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139"/>
      <c r="AV104" s="76"/>
      <c r="AW104" s="390">
        <v>50</v>
      </c>
      <c r="AX104" s="355" t="str">
        <f>CONCATENATE(F55, "-", G55,"-",L55,"x",M55,"x",N55)</f>
        <v>--xx</v>
      </c>
      <c r="AY104" s="202">
        <f>P55</f>
        <v>0</v>
      </c>
      <c r="AZ104" s="69"/>
      <c r="BA104" s="69"/>
      <c r="BB104" s="69"/>
      <c r="BC104" s="69"/>
      <c r="BD104" s="70"/>
      <c r="BE104" s="71" t="str">
        <f>CONCATENATE(R55,"x",S55," - ",T55,"x",U55," - ",V55,"x",W55," - ",X55,"x",Y55," - ",Z55,"x",AA55)</f>
        <v>x - x - x - x - x</v>
      </c>
      <c r="BF104" s="72" t="str">
        <f>AJ55</f>
        <v/>
      </c>
      <c r="BG104" s="73"/>
      <c r="BH104" s="74" t="str">
        <f>AL55</f>
        <v/>
      </c>
      <c r="BI104" s="68" t="str">
        <f>AE55</f>
        <v/>
      </c>
      <c r="BJ104" s="237" t="str">
        <f>AF55</f>
        <v/>
      </c>
      <c r="BK104" s="241" t="str">
        <f>AG55</f>
        <v/>
      </c>
      <c r="BL104" s="356" t="str">
        <f>IF(BG104="","",(BK105+BJ105))</f>
        <v/>
      </c>
      <c r="BM104" s="357"/>
      <c r="BN104" s="360"/>
      <c r="BO104" s="359"/>
      <c r="BP104" s="359"/>
      <c r="BQ104" s="359"/>
      <c r="BR104" s="211">
        <f>AB55</f>
        <v>0</v>
      </c>
      <c r="BS104" s="357">
        <f>IF(BR105=0,0,BR105*AP55)</f>
        <v>0</v>
      </c>
      <c r="BT104" s="360"/>
      <c r="BU104" s="360"/>
      <c r="BV104" s="360"/>
      <c r="BW104" s="360"/>
      <c r="BX104" s="357">
        <f>IF(BR105=0,0,(BR105/BI105)-(BR105/BI104))</f>
        <v>0</v>
      </c>
      <c r="BY104" s="365"/>
      <c r="EG104" s="24" t="str">
        <f>IFERROR(IF(bgr!CO100=0,"",bgr!CO100),"")</f>
        <v/>
      </c>
      <c r="EH104" s="24" t="str">
        <f>IFERROR(IF(bgr!CP100=0,"",bgr!CP100),"")</f>
        <v/>
      </c>
    </row>
    <row r="105" spans="1:138" ht="57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76"/>
      <c r="AF105" s="112"/>
      <c r="AG105" s="112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139"/>
      <c r="AV105" s="76"/>
      <c r="AW105" s="390"/>
      <c r="AX105" s="355"/>
      <c r="AY105" s="203">
        <f>Q55</f>
        <v>0</v>
      </c>
      <c r="AZ105" s="77"/>
      <c r="BA105" s="77"/>
      <c r="BB105" s="77"/>
      <c r="BC105" s="77"/>
      <c r="BD105" s="52"/>
      <c r="BE105" s="247"/>
      <c r="BF105" s="78" t="str">
        <f>AK55</f>
        <v/>
      </c>
      <c r="BG105" s="79"/>
      <c r="BH105" s="80" t="str">
        <f>IF(BR105=0,"",(((BR105)/((BJ105+BK105)/60))))</f>
        <v/>
      </c>
      <c r="BI105" s="81"/>
      <c r="BJ105" s="234"/>
      <c r="BK105" s="242" t="str">
        <f>IF(BG105="","",((BG105-BG104)*60*24)-(BJ105+BM104+BY104))</f>
        <v/>
      </c>
      <c r="BL105" s="356"/>
      <c r="BM105" s="357"/>
      <c r="BN105" s="360"/>
      <c r="BO105" s="359"/>
      <c r="BP105" s="359"/>
      <c r="BQ105" s="359"/>
      <c r="BR105" s="210">
        <f>Pending!AW51</f>
        <v>0</v>
      </c>
      <c r="BS105" s="357"/>
      <c r="BT105" s="360"/>
      <c r="BU105" s="360"/>
      <c r="BV105" s="360"/>
      <c r="BW105" s="360"/>
      <c r="BX105" s="357"/>
      <c r="BY105" s="366"/>
      <c r="EG105" s="24" t="str">
        <f>IFERROR(IF(bgr!CO101=0,"",bgr!CO101),"")</f>
        <v/>
      </c>
      <c r="EH105" s="24" t="str">
        <f>IFERROR(IF(bgr!CP101=0,"",bgr!CP101),"")</f>
        <v/>
      </c>
    </row>
    <row r="106" spans="1:138" ht="57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112"/>
      <c r="AG106" s="112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139"/>
      <c r="AV106" s="76"/>
      <c r="AW106" s="391">
        <v>51</v>
      </c>
      <c r="AX106" s="368" t="str">
        <f>CONCATENATE(F56, "-", G56,"-",L56,"x",M56,"x",N56)</f>
        <v>--xx</v>
      </c>
      <c r="AY106" s="204">
        <f>P56</f>
        <v>0</v>
      </c>
      <c r="AZ106" s="84"/>
      <c r="BA106" s="84"/>
      <c r="BB106" s="84"/>
      <c r="BC106" s="84"/>
      <c r="BD106" s="70"/>
      <c r="BE106" s="85" t="str">
        <f>CONCATENATE(R56,"x",S56," - ",T56,"x",U56," - ",V56,"x",W56," - ",X56,"x",Y56," - ",Z56,"x",AA56)</f>
        <v>x - x - x - x - x</v>
      </c>
      <c r="BF106" s="86" t="str">
        <f>AJ56</f>
        <v/>
      </c>
      <c r="BG106" s="87"/>
      <c r="BH106" s="88" t="str">
        <f>AL56</f>
        <v/>
      </c>
      <c r="BI106" s="83" t="str">
        <f>AE56</f>
        <v/>
      </c>
      <c r="BJ106" s="238" t="str">
        <f t="shared" ref="BJ106:BK106" si="61">AF56</f>
        <v/>
      </c>
      <c r="BK106" s="243" t="str">
        <f t="shared" si="61"/>
        <v/>
      </c>
      <c r="BL106" s="369" t="str">
        <f>IF(BG106="","",(BK107+BJ107))</f>
        <v/>
      </c>
      <c r="BM106" s="350"/>
      <c r="BN106" s="373"/>
      <c r="BO106" s="372"/>
      <c r="BP106" s="372"/>
      <c r="BQ106" s="372"/>
      <c r="BR106" s="212">
        <f>AB56</f>
        <v>0</v>
      </c>
      <c r="BS106" s="350">
        <f>IF(BR107=0,0,BR107*AP56)</f>
        <v>0</v>
      </c>
      <c r="BT106" s="373"/>
      <c r="BU106" s="373"/>
      <c r="BV106" s="373"/>
      <c r="BW106" s="373"/>
      <c r="BX106" s="350">
        <f>IF(BR107=0,0,(BR107/BI107)-(BR107/BI106))</f>
        <v>0</v>
      </c>
      <c r="BY106" s="371"/>
      <c r="EG106" s="24" t="str">
        <f>IFERROR(IF(bgr!CO102=0,"",bgr!CO102),"")</f>
        <v/>
      </c>
      <c r="EH106" s="24" t="str">
        <f>IFERROR(IF(bgr!CP102=0,"",bgr!CP102),"")</f>
        <v/>
      </c>
    </row>
    <row r="107" spans="1:138" ht="57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112"/>
      <c r="AG107" s="112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139"/>
      <c r="AV107" s="76"/>
      <c r="AW107" s="391"/>
      <c r="AX107" s="368"/>
      <c r="AY107" s="201">
        <f>Q56</f>
        <v>0</v>
      </c>
      <c r="AZ107" s="51"/>
      <c r="BA107" s="51"/>
      <c r="BB107" s="51"/>
      <c r="BC107" s="51"/>
      <c r="BD107" s="52"/>
      <c r="BE107" s="247"/>
      <c r="BF107" s="53" t="str">
        <f>AK56</f>
        <v/>
      </c>
      <c r="BG107" s="54"/>
      <c r="BH107" s="55" t="str">
        <f>IF(BR107=0,"",(((BR107)/((BJ107+BK107)/60))))</f>
        <v/>
      </c>
      <c r="BI107" s="56"/>
      <c r="BJ107" s="233"/>
      <c r="BK107" s="240" t="str">
        <f>IF(BG107="","",((BG107-BG106)*60*24)-(BJ107+BM106+BY106))</f>
        <v/>
      </c>
      <c r="BL107" s="369"/>
      <c r="BM107" s="350"/>
      <c r="BN107" s="373"/>
      <c r="BO107" s="372"/>
      <c r="BP107" s="372"/>
      <c r="BQ107" s="372"/>
      <c r="BR107" s="210">
        <f>Pending!AW52</f>
        <v>0</v>
      </c>
      <c r="BS107" s="350"/>
      <c r="BT107" s="373"/>
      <c r="BU107" s="373"/>
      <c r="BV107" s="373"/>
      <c r="BW107" s="373"/>
      <c r="BX107" s="350"/>
      <c r="BY107" s="352"/>
      <c r="EG107" s="24" t="str">
        <f>IFERROR(IF(bgr!CO103=0,"",bgr!CO103),"")</f>
        <v/>
      </c>
      <c r="EH107" s="24" t="str">
        <f>IFERROR(IF(bgr!CP103=0,"",bgr!CP103),"")</f>
        <v/>
      </c>
    </row>
    <row r="108" spans="1:138" ht="60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112"/>
      <c r="AG108" s="112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139"/>
      <c r="AV108" s="76"/>
      <c r="AW108" s="390">
        <v>52</v>
      </c>
      <c r="AX108" s="355" t="str">
        <f>CONCATENATE(F57, "-", G57,"-",L57,"x",M57,"x",N57)</f>
        <v>--xx</v>
      </c>
      <c r="AY108" s="202">
        <f>P57</f>
        <v>0</v>
      </c>
      <c r="AZ108" s="69"/>
      <c r="BA108" s="69"/>
      <c r="BB108" s="69"/>
      <c r="BC108" s="69"/>
      <c r="BD108" s="70"/>
      <c r="BE108" s="71" t="str">
        <f>CONCATENATE(R57,"x",S57," - ",T57,"x",U57," - ",V57,"x",W57," - ",X57,"x",Y57," - ",Z57,"x",AA57)</f>
        <v>x - x - x - x - x</v>
      </c>
      <c r="BF108" s="72" t="str">
        <f>AJ57</f>
        <v/>
      </c>
      <c r="BG108" s="73"/>
      <c r="BH108" s="74" t="str">
        <f>AL57</f>
        <v/>
      </c>
      <c r="BI108" s="68" t="str">
        <f>AE57</f>
        <v/>
      </c>
      <c r="BJ108" s="237" t="str">
        <f t="shared" ref="BJ108:BK108" si="62">AF57</f>
        <v/>
      </c>
      <c r="BK108" s="241" t="str">
        <f t="shared" si="62"/>
        <v/>
      </c>
      <c r="BL108" s="356" t="str">
        <f>IF(BG108="","",(BK109+BJ109))</f>
        <v/>
      </c>
      <c r="BM108" s="357"/>
      <c r="BN108" s="360"/>
      <c r="BO108" s="359"/>
      <c r="BP108" s="359"/>
      <c r="BQ108" s="359"/>
      <c r="BR108" s="211">
        <f>AB57</f>
        <v>0</v>
      </c>
      <c r="BS108" s="357">
        <f>IF(BR109=0,0,BR109*AP57)</f>
        <v>0</v>
      </c>
      <c r="BT108" s="360"/>
      <c r="BU108" s="360"/>
      <c r="BV108" s="360"/>
      <c r="BW108" s="360"/>
      <c r="BX108" s="357">
        <f>IF(BR109=0,0,(BR109/BI109)-(BR109/BI108))</f>
        <v>0</v>
      </c>
      <c r="BY108" s="365"/>
      <c r="EG108" s="24" t="str">
        <f>IFERROR(IF(bgr!CO104=0,"",bgr!CO104),"")</f>
        <v/>
      </c>
      <c r="EH108" s="24" t="str">
        <f>IFERROR(IF(bgr!CP104=0,"",bgr!CP104),"")</f>
        <v/>
      </c>
    </row>
    <row r="109" spans="1:138" ht="60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112"/>
      <c r="AG109" s="112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139"/>
      <c r="AV109" s="76"/>
      <c r="AW109" s="390"/>
      <c r="AX109" s="355"/>
      <c r="AY109" s="203">
        <f>Q57</f>
        <v>0</v>
      </c>
      <c r="AZ109" s="77"/>
      <c r="BA109" s="77"/>
      <c r="BB109" s="77"/>
      <c r="BC109" s="77"/>
      <c r="BD109" s="52"/>
      <c r="BE109" s="247"/>
      <c r="BF109" s="78" t="str">
        <f>AK57</f>
        <v/>
      </c>
      <c r="BG109" s="79"/>
      <c r="BH109" s="80" t="str">
        <f>IF(BR109=0,"",(((BR109)/((BJ109+BK109)/60))))</f>
        <v/>
      </c>
      <c r="BI109" s="81"/>
      <c r="BJ109" s="234"/>
      <c r="BK109" s="242" t="str">
        <f>IF(BG109="","",((BG109-BG108)*60*24)-(BJ109+BM108+BY108))</f>
        <v/>
      </c>
      <c r="BL109" s="356"/>
      <c r="BM109" s="357"/>
      <c r="BN109" s="360"/>
      <c r="BO109" s="359"/>
      <c r="BP109" s="359"/>
      <c r="BQ109" s="359"/>
      <c r="BR109" s="210">
        <f>Pending!AW53</f>
        <v>0</v>
      </c>
      <c r="BS109" s="357"/>
      <c r="BT109" s="360"/>
      <c r="BU109" s="360"/>
      <c r="BV109" s="360"/>
      <c r="BW109" s="360"/>
      <c r="BX109" s="357"/>
      <c r="BY109" s="366"/>
      <c r="EG109" s="24" t="str">
        <f>IFERROR(IF(bgr!CO105=0,"",bgr!CO105),"")</f>
        <v/>
      </c>
      <c r="EH109" s="24" t="str">
        <f>IFERROR(IF(bgr!CP105=0,"",bgr!CP105),"")</f>
        <v/>
      </c>
    </row>
    <row r="110" spans="1:138" ht="60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112"/>
      <c r="AG110" s="112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139"/>
      <c r="AV110" s="76"/>
      <c r="AW110" s="391">
        <v>53</v>
      </c>
      <c r="AX110" s="368" t="str">
        <f>CONCATENATE(F58, "-", G58,"-",L58,"x",M58,"x",N58)</f>
        <v>--xx</v>
      </c>
      <c r="AY110" s="204">
        <f>P58</f>
        <v>0</v>
      </c>
      <c r="AZ110" s="84"/>
      <c r="BA110" s="84"/>
      <c r="BB110" s="84"/>
      <c r="BC110" s="84"/>
      <c r="BD110" s="70"/>
      <c r="BE110" s="85" t="str">
        <f>CONCATENATE(R58,"x",S58," - ",T58,"x",U58," - ",V58,"x",W58," - ",X58,"x",Y58," - ",Z58,"x",AA58)</f>
        <v>x - x - x - x - x</v>
      </c>
      <c r="BF110" s="86" t="str">
        <f>AJ58</f>
        <v/>
      </c>
      <c r="BG110" s="87"/>
      <c r="BH110" s="88" t="str">
        <f>AL58</f>
        <v/>
      </c>
      <c r="BI110" s="83" t="str">
        <f>AE58</f>
        <v/>
      </c>
      <c r="BJ110" s="238" t="str">
        <f t="shared" ref="BJ110:BK110" si="63">AF58</f>
        <v/>
      </c>
      <c r="BK110" s="243" t="str">
        <f t="shared" si="63"/>
        <v/>
      </c>
      <c r="BL110" s="369" t="str">
        <f>IF(BG110="","",(BK111+BJ111))</f>
        <v/>
      </c>
      <c r="BM110" s="350"/>
      <c r="BN110" s="373"/>
      <c r="BO110" s="372"/>
      <c r="BP110" s="372"/>
      <c r="BQ110" s="372"/>
      <c r="BR110" s="212">
        <f>AB58</f>
        <v>0</v>
      </c>
      <c r="BS110" s="350">
        <f>IF(BR111=0,0,BR111*AP58)</f>
        <v>0</v>
      </c>
      <c r="BT110" s="373"/>
      <c r="BU110" s="373"/>
      <c r="BV110" s="373"/>
      <c r="BW110" s="373"/>
      <c r="BX110" s="350">
        <f>IF(BR111=0,0,(BR111/BI111)-(BR111/BI110))</f>
        <v>0</v>
      </c>
      <c r="BY110" s="371"/>
      <c r="EG110" s="24" t="str">
        <f>IFERROR(IF(bgr!CO106=0,"",bgr!CO106),"")</f>
        <v/>
      </c>
      <c r="EH110" s="24" t="str">
        <f>IFERROR(IF(bgr!CP106=0,"",bgr!CP106),"")</f>
        <v/>
      </c>
    </row>
    <row r="111" spans="1:138" ht="60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112"/>
      <c r="AG111" s="112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139"/>
      <c r="AV111" s="76"/>
      <c r="AW111" s="391"/>
      <c r="AX111" s="368"/>
      <c r="AY111" s="201">
        <f>Q58</f>
        <v>0</v>
      </c>
      <c r="AZ111" s="51"/>
      <c r="BA111" s="51"/>
      <c r="BB111" s="51"/>
      <c r="BC111" s="51"/>
      <c r="BD111" s="52"/>
      <c r="BE111" s="247"/>
      <c r="BF111" s="53" t="str">
        <f>AK58</f>
        <v/>
      </c>
      <c r="BG111" s="54"/>
      <c r="BH111" s="55" t="str">
        <f>IF(BR111=0,"",(((BR111)/((BJ111+BK111)/60))))</f>
        <v/>
      </c>
      <c r="BI111" s="56"/>
      <c r="BJ111" s="233"/>
      <c r="BK111" s="240" t="str">
        <f>IF(BG111="","",((BG111-BG110)*60*24)-(BJ111+BM110+BY110))</f>
        <v/>
      </c>
      <c r="BL111" s="369"/>
      <c r="BM111" s="350"/>
      <c r="BN111" s="373"/>
      <c r="BO111" s="372"/>
      <c r="BP111" s="372"/>
      <c r="BQ111" s="372"/>
      <c r="BR111" s="210">
        <f>Pending!AW54</f>
        <v>0</v>
      </c>
      <c r="BS111" s="350"/>
      <c r="BT111" s="373"/>
      <c r="BU111" s="373"/>
      <c r="BV111" s="373"/>
      <c r="BW111" s="373"/>
      <c r="BX111" s="350"/>
      <c r="BY111" s="352"/>
      <c r="EG111" s="24" t="str">
        <f>IFERROR(IF(bgr!CO107=0,"",bgr!CO107),"")</f>
        <v/>
      </c>
      <c r="EH111" s="24" t="str">
        <f>IFERROR(IF(bgr!CP107=0,"",bgr!CP107),"")</f>
        <v/>
      </c>
    </row>
    <row r="112" spans="1:138" ht="60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112"/>
      <c r="AG112" s="112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139"/>
      <c r="AV112" s="76"/>
      <c r="AW112" s="390">
        <v>54</v>
      </c>
      <c r="AX112" s="355" t="str">
        <f>CONCATENATE(F59, "-", G59,"-",L59,"x",M59,"x",N59)</f>
        <v>--xx</v>
      </c>
      <c r="AY112" s="202">
        <f>P59</f>
        <v>0</v>
      </c>
      <c r="AZ112" s="69"/>
      <c r="BA112" s="69"/>
      <c r="BB112" s="69"/>
      <c r="BC112" s="69"/>
      <c r="BD112" s="70"/>
      <c r="BE112" s="71" t="str">
        <f>CONCATENATE(R59,"x",S59," - ",T59,"x",U59," - ",V59,"x",W59," - ",X59,"x",Y59," - ",Z59,"x",AA59)</f>
        <v>x - x - x - x - x</v>
      </c>
      <c r="BF112" s="72" t="str">
        <f>AJ59</f>
        <v/>
      </c>
      <c r="BG112" s="73"/>
      <c r="BH112" s="74" t="str">
        <f>AL59</f>
        <v/>
      </c>
      <c r="BI112" s="68" t="str">
        <f>AE59</f>
        <v/>
      </c>
      <c r="BJ112" s="237" t="str">
        <f t="shared" ref="BJ112:BK112" si="64">AF59</f>
        <v/>
      </c>
      <c r="BK112" s="241" t="str">
        <f t="shared" si="64"/>
        <v/>
      </c>
      <c r="BL112" s="356" t="str">
        <f>IF(BG112="","",(BK113+BJ113))</f>
        <v/>
      </c>
      <c r="BM112" s="357"/>
      <c r="BN112" s="360"/>
      <c r="BO112" s="359"/>
      <c r="BP112" s="359"/>
      <c r="BQ112" s="359"/>
      <c r="BR112" s="211">
        <f>AB59</f>
        <v>0</v>
      </c>
      <c r="BS112" s="357">
        <f>IF(BR113=0,0,BR113*AP59)</f>
        <v>0</v>
      </c>
      <c r="BT112" s="360"/>
      <c r="BU112" s="360"/>
      <c r="BV112" s="360"/>
      <c r="BW112" s="360"/>
      <c r="BX112" s="357">
        <f>IF(BR113=0,0,(BR113/BI113)-(BR113/BI112))</f>
        <v>0</v>
      </c>
      <c r="BY112" s="365"/>
      <c r="EG112" s="24" t="str">
        <f>IFERROR(IF(bgr!CO108=0,"",bgr!CO108),"")</f>
        <v/>
      </c>
      <c r="EH112" s="24" t="str">
        <f>IFERROR(IF(bgr!CP108=0,"",bgr!CP108),"")</f>
        <v/>
      </c>
    </row>
    <row r="113" spans="1:176" ht="60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112"/>
      <c r="AG113" s="112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139"/>
      <c r="AV113" s="76"/>
      <c r="AW113" s="390"/>
      <c r="AX113" s="355"/>
      <c r="AY113" s="203">
        <f>Q59</f>
        <v>0</v>
      </c>
      <c r="AZ113" s="77"/>
      <c r="BA113" s="77"/>
      <c r="BB113" s="77"/>
      <c r="BC113" s="77"/>
      <c r="BD113" s="52"/>
      <c r="BE113" s="247"/>
      <c r="BF113" s="78" t="str">
        <f>AK59</f>
        <v/>
      </c>
      <c r="BG113" s="79"/>
      <c r="BH113" s="80" t="str">
        <f>IF(BR113=0,"",(((BR113)/((BJ113+BK113)/60))))</f>
        <v/>
      </c>
      <c r="BI113" s="81"/>
      <c r="BJ113" s="234"/>
      <c r="BK113" s="242" t="str">
        <f>IF(BG113="","",((BG113-BG112)*60*24)-(BJ113+BM112+BY112))</f>
        <v/>
      </c>
      <c r="BL113" s="356"/>
      <c r="BM113" s="357"/>
      <c r="BN113" s="360"/>
      <c r="BO113" s="359"/>
      <c r="BP113" s="359"/>
      <c r="BQ113" s="359"/>
      <c r="BR113" s="210">
        <f>Pending!AW55</f>
        <v>0</v>
      </c>
      <c r="BS113" s="357"/>
      <c r="BT113" s="360"/>
      <c r="BU113" s="360"/>
      <c r="BV113" s="360"/>
      <c r="BW113" s="360"/>
      <c r="BX113" s="357"/>
      <c r="BY113" s="366"/>
      <c r="EG113" s="24" t="str">
        <f>IFERROR(IF(bgr!CO109=0,"",bgr!CO109),"")</f>
        <v/>
      </c>
      <c r="EH113" s="24" t="str">
        <f>IFERROR(IF(bgr!CP109=0,"",bgr!CP109),"")</f>
        <v/>
      </c>
    </row>
    <row r="114" spans="1:176" ht="60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112"/>
      <c r="AG114" s="112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139"/>
      <c r="AV114" s="76"/>
      <c r="AW114" s="391">
        <v>55</v>
      </c>
      <c r="AX114" s="368" t="str">
        <f>CONCATENATE(F60, "-", G60,"-",L60,"x",M60,"x",N60)</f>
        <v>--xx</v>
      </c>
      <c r="AY114" s="204">
        <f>P60</f>
        <v>0</v>
      </c>
      <c r="AZ114" s="84"/>
      <c r="BA114" s="84"/>
      <c r="BB114" s="84"/>
      <c r="BC114" s="84"/>
      <c r="BD114" s="70"/>
      <c r="BE114" s="85" t="str">
        <f>CONCATENATE(R60,"x",S60," - ",T60,"x",U60," - ",V60,"x",W60," - ",X60,"x",Y60," - ",Z60,"x",AA60)</f>
        <v>x - x - x - x - x</v>
      </c>
      <c r="BF114" s="86" t="str">
        <f>AJ60</f>
        <v/>
      </c>
      <c r="BG114" s="87"/>
      <c r="BH114" s="88" t="str">
        <f>AL60</f>
        <v/>
      </c>
      <c r="BI114" s="83" t="str">
        <f>AE60</f>
        <v/>
      </c>
      <c r="BJ114" s="238" t="str">
        <f>AF60</f>
        <v/>
      </c>
      <c r="BK114" s="243" t="str">
        <f>AG60</f>
        <v/>
      </c>
      <c r="BL114" s="369" t="str">
        <f>IF(BG114="","",(BK115+BJ115))</f>
        <v/>
      </c>
      <c r="BM114" s="350"/>
      <c r="BN114" s="373"/>
      <c r="BO114" s="372"/>
      <c r="BP114" s="372"/>
      <c r="BQ114" s="372"/>
      <c r="BR114" s="212">
        <f>AB60</f>
        <v>0</v>
      </c>
      <c r="BS114" s="350">
        <f>IF(BR115=0,0,BR115*AP60)</f>
        <v>0</v>
      </c>
      <c r="BT114" s="373"/>
      <c r="BU114" s="373"/>
      <c r="BV114" s="373"/>
      <c r="BW114" s="373"/>
      <c r="BX114" s="350">
        <f>IF(BR115=0,0,(BR115/BI115)-(BR115/BI114))</f>
        <v>0</v>
      </c>
      <c r="BY114" s="371"/>
      <c r="EG114" s="24" t="str">
        <f>IFERROR(IF(bgr!CO110=0,"",bgr!CO110),"")</f>
        <v/>
      </c>
      <c r="EH114" s="24" t="str">
        <f>IFERROR(IF(bgr!CP110=0,"",bgr!CP110),"")</f>
        <v/>
      </c>
    </row>
    <row r="115" spans="1:176" ht="60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112"/>
      <c r="AG115" s="112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139"/>
      <c r="AV115" s="76"/>
      <c r="AW115" s="391"/>
      <c r="AX115" s="368"/>
      <c r="AY115" s="201">
        <f>Q60</f>
        <v>0</v>
      </c>
      <c r="AZ115" s="51"/>
      <c r="BA115" s="51"/>
      <c r="BB115" s="51"/>
      <c r="BC115" s="51"/>
      <c r="BD115" s="52"/>
      <c r="BE115" s="247"/>
      <c r="BF115" s="53" t="str">
        <f>AK60</f>
        <v/>
      </c>
      <c r="BG115" s="54"/>
      <c r="BH115" s="55" t="str">
        <f>IF(BR115=0,"",(((BR115)/((BJ115+BK115)/60))))</f>
        <v/>
      </c>
      <c r="BI115" s="56"/>
      <c r="BJ115" s="233"/>
      <c r="BK115" s="240" t="str">
        <f>IF(BG115="","",((BG115-BG114)*60*24)-(BJ115+BM114+BY114))</f>
        <v/>
      </c>
      <c r="BL115" s="369"/>
      <c r="BM115" s="350"/>
      <c r="BN115" s="373"/>
      <c r="BO115" s="372"/>
      <c r="BP115" s="372"/>
      <c r="BQ115" s="372"/>
      <c r="BR115" s="210">
        <f>Pending!AW56</f>
        <v>0</v>
      </c>
      <c r="BS115" s="350"/>
      <c r="BT115" s="373"/>
      <c r="BU115" s="373"/>
      <c r="BV115" s="373"/>
      <c r="BW115" s="373"/>
      <c r="BX115" s="350"/>
      <c r="BY115" s="352"/>
      <c r="EG115" s="24" t="str">
        <f>IFERROR(IF(bgr!CO111=0,"",bgr!CO111),"")</f>
        <v/>
      </c>
      <c r="EH115" s="24" t="str">
        <f>IFERROR(IF(bgr!CP111=0,"",bgr!CP111),"")</f>
        <v/>
      </c>
    </row>
    <row r="116" spans="1:176" ht="60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112"/>
      <c r="AG116" s="112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139"/>
      <c r="AV116" s="76"/>
      <c r="AW116" s="390">
        <v>56</v>
      </c>
      <c r="AX116" s="355" t="str">
        <f>CONCATENATE(F61, "-", G61,"-",L61,"x",M61,"x",N61)</f>
        <v>--xx</v>
      </c>
      <c r="AY116" s="202">
        <f>P61</f>
        <v>0</v>
      </c>
      <c r="AZ116" s="69"/>
      <c r="BA116" s="69"/>
      <c r="BB116" s="69"/>
      <c r="BC116" s="69"/>
      <c r="BD116" s="70"/>
      <c r="BE116" s="71" t="str">
        <f>CONCATENATE(R61,"x",S61," - ",T61,"x",U61," - ",V61,"x",W61," - ",X61,"x",Y61," - ",Z61,"x",AA61)</f>
        <v>x - x - x - x - x</v>
      </c>
      <c r="BF116" s="72" t="str">
        <f>AJ61</f>
        <v/>
      </c>
      <c r="BG116" s="73"/>
      <c r="BH116" s="74" t="str">
        <f>AL61</f>
        <v/>
      </c>
      <c r="BI116" s="68" t="str">
        <f>AE61</f>
        <v/>
      </c>
      <c r="BJ116" s="237" t="str">
        <f t="shared" ref="BJ116:BK116" si="65">AF61</f>
        <v/>
      </c>
      <c r="BK116" s="241" t="str">
        <f t="shared" si="65"/>
        <v/>
      </c>
      <c r="BL116" s="356" t="str">
        <f>IF(BG116="","",(BK117+BJ117))</f>
        <v/>
      </c>
      <c r="BM116" s="357"/>
      <c r="BN116" s="360"/>
      <c r="BO116" s="359"/>
      <c r="BP116" s="359"/>
      <c r="BQ116" s="359"/>
      <c r="BR116" s="211">
        <f>AB61</f>
        <v>0</v>
      </c>
      <c r="BS116" s="357">
        <f>IF(BR117=0,0,BR117*AP61)</f>
        <v>0</v>
      </c>
      <c r="BT116" s="360"/>
      <c r="BU116" s="360"/>
      <c r="BV116" s="360"/>
      <c r="BW116" s="360"/>
      <c r="BX116" s="357">
        <f>IF(BR117=0,0,(BR117/BI117)-(BR117/BI116))</f>
        <v>0</v>
      </c>
      <c r="BY116" s="365"/>
      <c r="EG116" s="24" t="str">
        <f>IFERROR(IF(bgr!CO112=0,"",bgr!CO112),"")</f>
        <v/>
      </c>
      <c r="EH116" s="24" t="str">
        <f>IFERROR(IF(bgr!CP112=0,"",bgr!CP112),"")</f>
        <v/>
      </c>
    </row>
    <row r="117" spans="1:176" ht="60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112"/>
      <c r="AG117" s="112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139"/>
      <c r="AV117" s="76"/>
      <c r="AW117" s="390"/>
      <c r="AX117" s="355"/>
      <c r="AY117" s="203">
        <f>Q61</f>
        <v>0</v>
      </c>
      <c r="AZ117" s="77"/>
      <c r="BA117" s="77"/>
      <c r="BB117" s="77"/>
      <c r="BC117" s="77"/>
      <c r="BD117" s="52"/>
      <c r="BE117" s="247"/>
      <c r="BF117" s="78" t="str">
        <f>AK61</f>
        <v/>
      </c>
      <c r="BG117" s="79"/>
      <c r="BH117" s="80" t="str">
        <f>IF(BR117=0,"",(((BR117)/((BJ117+BK117)/60))))</f>
        <v/>
      </c>
      <c r="BI117" s="81"/>
      <c r="BJ117" s="234"/>
      <c r="BK117" s="242" t="str">
        <f>IF(BG117="","",((BG117-BG116)*60*24)-(BJ117+BM116+BY116))</f>
        <v/>
      </c>
      <c r="BL117" s="356"/>
      <c r="BM117" s="357"/>
      <c r="BN117" s="360"/>
      <c r="BO117" s="359"/>
      <c r="BP117" s="359"/>
      <c r="BQ117" s="359"/>
      <c r="BR117" s="210">
        <f>Pending!AW57</f>
        <v>0</v>
      </c>
      <c r="BS117" s="357"/>
      <c r="BT117" s="360"/>
      <c r="BU117" s="360"/>
      <c r="BV117" s="360"/>
      <c r="BW117" s="360"/>
      <c r="BX117" s="357"/>
      <c r="BY117" s="366"/>
      <c r="EG117" s="24" t="str">
        <f>IFERROR(IF(bgr!CO113=0,"",bgr!CO113),"")</f>
        <v/>
      </c>
      <c r="EH117" s="24" t="str">
        <f>IFERROR(IF(bgr!CP113=0,"",bgr!CP113),"")</f>
        <v/>
      </c>
    </row>
    <row r="118" spans="1:176" ht="62.2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112"/>
      <c r="AG118" s="112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139"/>
      <c r="AV118" s="76"/>
      <c r="AW118" s="391">
        <v>57</v>
      </c>
      <c r="AX118" s="368" t="str">
        <f>CONCATENATE(F62, "-", G62,"-",L62,"x",M62,"x",N62)</f>
        <v>--xx</v>
      </c>
      <c r="AY118" s="204">
        <f>P62</f>
        <v>0</v>
      </c>
      <c r="AZ118" s="84"/>
      <c r="BA118" s="84"/>
      <c r="BB118" s="84"/>
      <c r="BC118" s="84"/>
      <c r="BD118" s="70"/>
      <c r="BE118" s="85" t="str">
        <f>CONCATENATE(R62,"x",S62," - ",T62,"x",U62," - ",V62,"x",W62," - ",X62,"x",Y62," - ",Z62,"x",AA62)</f>
        <v>x - x - x - x - x</v>
      </c>
      <c r="BF118" s="86" t="str">
        <f>AJ62</f>
        <v/>
      </c>
      <c r="BG118" s="87"/>
      <c r="BH118" s="88" t="str">
        <f>AL62</f>
        <v/>
      </c>
      <c r="BI118" s="83" t="str">
        <f>AE62</f>
        <v/>
      </c>
      <c r="BJ118" s="238" t="str">
        <f t="shared" ref="BJ118:BK118" si="66">AF62</f>
        <v/>
      </c>
      <c r="BK118" s="243" t="str">
        <f t="shared" si="66"/>
        <v/>
      </c>
      <c r="BL118" s="369" t="str">
        <f>IF(BG118="","",(BK119+BJ119))</f>
        <v/>
      </c>
      <c r="BM118" s="350"/>
      <c r="BN118" s="373"/>
      <c r="BO118" s="372"/>
      <c r="BP118" s="372"/>
      <c r="BQ118" s="372"/>
      <c r="BR118" s="212">
        <f>AB62</f>
        <v>0</v>
      </c>
      <c r="BS118" s="350">
        <f>IF(BR119=0,0,BR119*AP62)</f>
        <v>0</v>
      </c>
      <c r="BT118" s="373"/>
      <c r="BU118" s="373"/>
      <c r="BV118" s="373"/>
      <c r="BW118" s="373"/>
      <c r="BX118" s="350">
        <f>IF(BR119=0,0,(BR119/BI119)-(BR119/BI118))</f>
        <v>0</v>
      </c>
      <c r="BY118" s="371"/>
      <c r="EG118" s="24" t="str">
        <f>IFERROR(IF(bgr!CO114=0,"",bgr!CO114),"")</f>
        <v/>
      </c>
      <c r="EH118" s="24" t="str">
        <f>IFERROR(IF(bgr!CP114=0,"",bgr!CP114),"")</f>
        <v/>
      </c>
    </row>
    <row r="119" spans="1:176" ht="62.2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112"/>
      <c r="AG119" s="112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139"/>
      <c r="AV119" s="76"/>
      <c r="AW119" s="391"/>
      <c r="AX119" s="368"/>
      <c r="AY119" s="201">
        <f>Q62</f>
        <v>0</v>
      </c>
      <c r="AZ119" s="51"/>
      <c r="BA119" s="51"/>
      <c r="BB119" s="51"/>
      <c r="BC119" s="51"/>
      <c r="BD119" s="52"/>
      <c r="BE119" s="247"/>
      <c r="BF119" s="53" t="str">
        <f>AK62</f>
        <v/>
      </c>
      <c r="BG119" s="54"/>
      <c r="BH119" s="55" t="str">
        <f>IF(BR119=0,"",(((BR119)/((BJ119+BK119)/60))))</f>
        <v/>
      </c>
      <c r="BI119" s="56"/>
      <c r="BJ119" s="233"/>
      <c r="BK119" s="240" t="str">
        <f>IF(BG119="","",((BG119-BG118)*60*24)-(BJ119+BM118+BY118))</f>
        <v/>
      </c>
      <c r="BL119" s="369"/>
      <c r="BM119" s="350"/>
      <c r="BN119" s="373"/>
      <c r="BO119" s="372"/>
      <c r="BP119" s="372"/>
      <c r="BQ119" s="372"/>
      <c r="BR119" s="210">
        <f>Pending!AW58</f>
        <v>0</v>
      </c>
      <c r="BS119" s="350"/>
      <c r="BT119" s="373"/>
      <c r="BU119" s="373"/>
      <c r="BV119" s="373"/>
      <c r="BW119" s="373"/>
      <c r="BX119" s="350"/>
      <c r="BY119" s="352"/>
      <c r="EG119" s="24" t="str">
        <f>IFERROR(IF(bgr!CO115=0,"",bgr!CO115),"")</f>
        <v/>
      </c>
      <c r="EH119" s="24" t="str">
        <f>IFERROR(IF(bgr!CP115=0,"",bgr!CP115),"")</f>
        <v/>
      </c>
    </row>
    <row r="120" spans="1:176" ht="62.2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112"/>
      <c r="AG120" s="112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139"/>
      <c r="AV120" s="76"/>
      <c r="AW120" s="390">
        <v>58</v>
      </c>
      <c r="AX120" s="355" t="str">
        <f>CONCATENATE(F63, "-", G63,"-",L63,"x",M63,"x",N63)</f>
        <v>--xx</v>
      </c>
      <c r="AY120" s="202">
        <f>P63</f>
        <v>0</v>
      </c>
      <c r="AZ120" s="69"/>
      <c r="BA120" s="69"/>
      <c r="BB120" s="69"/>
      <c r="BC120" s="69"/>
      <c r="BD120" s="70"/>
      <c r="BE120" s="71" t="str">
        <f>CONCATENATE(R63,"x",S63," - ",T63,"x",U63," - ",V63,"x",W63," - ",X63,"x",Y63," - ",Z63,"x",AA63)</f>
        <v>x - x - x - x - x</v>
      </c>
      <c r="BF120" s="72" t="str">
        <f>AJ63</f>
        <v/>
      </c>
      <c r="BG120" s="73"/>
      <c r="BH120" s="74" t="str">
        <f>AL63</f>
        <v/>
      </c>
      <c r="BI120" s="68" t="str">
        <f>AE63</f>
        <v/>
      </c>
      <c r="BJ120" s="237" t="str">
        <f t="shared" ref="BJ120:BK120" si="67">AF63</f>
        <v/>
      </c>
      <c r="BK120" s="241" t="str">
        <f t="shared" si="67"/>
        <v/>
      </c>
      <c r="BL120" s="356" t="str">
        <f>IF(BG120="","",(BK121+BJ121))</f>
        <v/>
      </c>
      <c r="BM120" s="357"/>
      <c r="BN120" s="360"/>
      <c r="BO120" s="359"/>
      <c r="BP120" s="359"/>
      <c r="BQ120" s="359"/>
      <c r="BR120" s="211">
        <f>AB63</f>
        <v>0</v>
      </c>
      <c r="BS120" s="357">
        <f>IF(BR121=0,0,BR121*AP63)</f>
        <v>0</v>
      </c>
      <c r="BT120" s="360"/>
      <c r="BU120" s="360"/>
      <c r="BV120" s="360"/>
      <c r="BW120" s="360"/>
      <c r="BX120" s="357">
        <f>IF(BR121=0,0,(BR121/BI121)-(BR121/BI120))</f>
        <v>0</v>
      </c>
      <c r="BY120" s="365"/>
      <c r="EG120" s="24" t="str">
        <f>IFERROR(IF(bgr!CO116=0,"",bgr!CO116),"")</f>
        <v/>
      </c>
      <c r="EH120" s="24" t="str">
        <f>IFERROR(IF(bgr!CP116=0,"",bgr!CP116),"")</f>
        <v/>
      </c>
    </row>
    <row r="121" spans="1:176" ht="62.2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112"/>
      <c r="AG121" s="112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139"/>
      <c r="AV121" s="76"/>
      <c r="AW121" s="390"/>
      <c r="AX121" s="355"/>
      <c r="AY121" s="203">
        <f>Q63</f>
        <v>0</v>
      </c>
      <c r="AZ121" s="77"/>
      <c r="BA121" s="77"/>
      <c r="BB121" s="77"/>
      <c r="BC121" s="77"/>
      <c r="BD121" s="52"/>
      <c r="BE121" s="247"/>
      <c r="BF121" s="78" t="str">
        <f>AK63</f>
        <v/>
      </c>
      <c r="BG121" s="79"/>
      <c r="BH121" s="80" t="str">
        <f>IF(BR121=0,"",(((BR121)/((BJ121+BK121)/60))))</f>
        <v/>
      </c>
      <c r="BI121" s="81"/>
      <c r="BJ121" s="234"/>
      <c r="BK121" s="242" t="str">
        <f>IF(BG121="","",((BG121-BG120)*60*24)-(BJ121+BM120+BY120))</f>
        <v/>
      </c>
      <c r="BL121" s="356"/>
      <c r="BM121" s="357"/>
      <c r="BN121" s="360"/>
      <c r="BO121" s="359"/>
      <c r="BP121" s="359"/>
      <c r="BQ121" s="359"/>
      <c r="BR121" s="210">
        <f>Pending!AW59</f>
        <v>0</v>
      </c>
      <c r="BS121" s="357"/>
      <c r="BT121" s="360"/>
      <c r="BU121" s="360"/>
      <c r="BV121" s="360"/>
      <c r="BW121" s="360"/>
      <c r="BX121" s="357"/>
      <c r="BY121" s="366"/>
      <c r="EG121" s="24" t="str">
        <f>IFERROR(IF(bgr!CO117=0,"",bgr!CO117),"")</f>
        <v/>
      </c>
      <c r="EH121" s="24" t="str">
        <f>IFERROR(IF(bgr!CP117=0,"",bgr!CP117),"")</f>
        <v/>
      </c>
    </row>
    <row r="122" spans="1:176" ht="62.2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112"/>
      <c r="AG122" s="112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139"/>
      <c r="AV122" s="76"/>
      <c r="AW122" s="391">
        <v>59</v>
      </c>
      <c r="AX122" s="368" t="str">
        <f>CONCATENATE(F64, "-", G64,"-",L64,"x",M64,"x",N64)</f>
        <v>--xx</v>
      </c>
      <c r="AY122" s="204">
        <f>P64</f>
        <v>0</v>
      </c>
      <c r="AZ122" s="84"/>
      <c r="BA122" s="84"/>
      <c r="BB122" s="84"/>
      <c r="BC122" s="84"/>
      <c r="BD122" s="70"/>
      <c r="BE122" s="85" t="str">
        <f>CONCATENATE(R64,"x",S64," - ",T64,"x",U64," - ",V64,"x",W64," - ",X64,"x",Y64," - ",Z64,"x",AA64)</f>
        <v>x - x - x - x - x</v>
      </c>
      <c r="BF122" s="86" t="str">
        <f>AJ64</f>
        <v/>
      </c>
      <c r="BG122" s="87"/>
      <c r="BH122" s="88" t="str">
        <f>AL64</f>
        <v/>
      </c>
      <c r="BI122" s="83" t="str">
        <f>AE64</f>
        <v/>
      </c>
      <c r="BJ122" s="238" t="str">
        <f t="shared" ref="BJ122:BK122" si="68">AF64</f>
        <v/>
      </c>
      <c r="BK122" s="243" t="str">
        <f t="shared" si="68"/>
        <v/>
      </c>
      <c r="BL122" s="369" t="str">
        <f>IF(BG122="","",(BK123+BJ123))</f>
        <v/>
      </c>
      <c r="BM122" s="350"/>
      <c r="BN122" s="373"/>
      <c r="BO122" s="372"/>
      <c r="BP122" s="372"/>
      <c r="BQ122" s="372"/>
      <c r="BR122" s="212">
        <f>AB64</f>
        <v>0</v>
      </c>
      <c r="BS122" s="350">
        <f>IF(BR123=0,0,BR123*AP64)</f>
        <v>0</v>
      </c>
      <c r="BT122" s="373"/>
      <c r="BU122" s="373"/>
      <c r="BV122" s="373"/>
      <c r="BW122" s="373"/>
      <c r="BX122" s="350">
        <f>IF(BR123=0,0,(BR123/BI123)-(BR123/BI122))</f>
        <v>0</v>
      </c>
      <c r="BY122" s="371"/>
      <c r="EG122" s="24" t="str">
        <f>IFERROR(IF(bgr!CO118=0,"",bgr!CO118),"")</f>
        <v/>
      </c>
      <c r="EH122" s="24" t="str">
        <f>IFERROR(IF(bgr!CP118=0,"",bgr!CP118),"")</f>
        <v/>
      </c>
    </row>
    <row r="123" spans="1:176" ht="62.2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112"/>
      <c r="AG123" s="112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139"/>
      <c r="AV123" s="76"/>
      <c r="AW123" s="391"/>
      <c r="AX123" s="368"/>
      <c r="AY123" s="201">
        <f>Q64</f>
        <v>0</v>
      </c>
      <c r="AZ123" s="51"/>
      <c r="BA123" s="51"/>
      <c r="BB123" s="51"/>
      <c r="BC123" s="51"/>
      <c r="BD123" s="52"/>
      <c r="BE123" s="247"/>
      <c r="BF123" s="53" t="str">
        <f>AK64</f>
        <v/>
      </c>
      <c r="BG123" s="54"/>
      <c r="BH123" s="55" t="str">
        <f>IF(BR123=0,"",(((BR123)/((BJ123+BK123)/60))))</f>
        <v/>
      </c>
      <c r="BI123" s="56"/>
      <c r="BJ123" s="233"/>
      <c r="BK123" s="240" t="str">
        <f>IF(BG123="","",((BG123-BG122)*60*24)-(BJ123+BM122+BY122))</f>
        <v/>
      </c>
      <c r="BL123" s="369"/>
      <c r="BM123" s="350"/>
      <c r="BN123" s="373"/>
      <c r="BO123" s="372"/>
      <c r="BP123" s="372"/>
      <c r="BQ123" s="372"/>
      <c r="BR123" s="210">
        <f>Pending!AW60</f>
        <v>0</v>
      </c>
      <c r="BS123" s="350"/>
      <c r="BT123" s="373"/>
      <c r="BU123" s="373"/>
      <c r="BV123" s="373"/>
      <c r="BW123" s="373"/>
      <c r="BX123" s="350"/>
      <c r="BY123" s="352"/>
      <c r="EG123" s="24" t="str">
        <f>IFERROR(IF(bgr!CO119=0,"",bgr!CO119),"")</f>
        <v/>
      </c>
      <c r="EH123" s="24" t="str">
        <f>IFERROR(IF(bgr!CP119=0,"",bgr!CP119),"")</f>
        <v/>
      </c>
    </row>
    <row r="124" spans="1:176" ht="62.2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112"/>
      <c r="AG124" s="112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139"/>
      <c r="AV124" s="76"/>
      <c r="AW124" s="390">
        <v>60</v>
      </c>
      <c r="AX124" s="355" t="str">
        <f>CONCATENATE(F65, "-", G65,"-",L65,"x",M65,"x",N65)</f>
        <v>--xx</v>
      </c>
      <c r="AY124" s="202">
        <f>P65</f>
        <v>0</v>
      </c>
      <c r="AZ124" s="69"/>
      <c r="BA124" s="69"/>
      <c r="BB124" s="69"/>
      <c r="BC124" s="69"/>
      <c r="BD124" s="70"/>
      <c r="BE124" s="71" t="str">
        <f>CONCATENATE(R65,"x",S65," - ",T65,"x",U65," - ",V65,"x",W65," - ",X65,"x",Y65," - ",Z65,"x",AA65)</f>
        <v>x - x - x - x - x</v>
      </c>
      <c r="BF124" s="72" t="str">
        <f>AJ65</f>
        <v/>
      </c>
      <c r="BG124" s="73"/>
      <c r="BH124" s="74" t="str">
        <f>AL65</f>
        <v/>
      </c>
      <c r="BI124" s="68" t="str">
        <f>AE65</f>
        <v/>
      </c>
      <c r="BJ124" s="237" t="str">
        <f t="shared" ref="BJ124:BK124" si="69">AF65</f>
        <v/>
      </c>
      <c r="BK124" s="241" t="str">
        <f t="shared" si="69"/>
        <v/>
      </c>
      <c r="BL124" s="356" t="str">
        <f>IF(BG124="","",(BK125+BJ125))</f>
        <v/>
      </c>
      <c r="BM124" s="357"/>
      <c r="BN124" s="360"/>
      <c r="BO124" s="359"/>
      <c r="BP124" s="359"/>
      <c r="BQ124" s="359"/>
      <c r="BR124" s="211">
        <f>AB65</f>
        <v>0</v>
      </c>
      <c r="BS124" s="357">
        <f>IF(BR125=0,0,BR125*AP65)</f>
        <v>0</v>
      </c>
      <c r="BT124" s="360"/>
      <c r="BU124" s="360"/>
      <c r="BV124" s="360"/>
      <c r="BW124" s="360"/>
      <c r="BX124" s="357">
        <f>IF(BR125=0,0,(BR125/BI125)-(BR125/BI124))</f>
        <v>0</v>
      </c>
      <c r="BY124" s="365"/>
      <c r="EG124" s="24" t="str">
        <f>IFERROR(IF(bgr!CO120=0,"",bgr!CO120),"")</f>
        <v/>
      </c>
      <c r="EH124" s="24" t="str">
        <f>IFERROR(IF(bgr!CP120=0,"",bgr!CP120),"")</f>
        <v/>
      </c>
    </row>
    <row r="125" spans="1:176" ht="62.2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112"/>
      <c r="AG125" s="112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139"/>
      <c r="AV125" s="76"/>
      <c r="AW125" s="390"/>
      <c r="AX125" s="355"/>
      <c r="AY125" s="203">
        <f>Q65</f>
        <v>0</v>
      </c>
      <c r="AZ125" s="77"/>
      <c r="BA125" s="77"/>
      <c r="BB125" s="77"/>
      <c r="BC125" s="77"/>
      <c r="BD125" s="52"/>
      <c r="BE125" s="247"/>
      <c r="BF125" s="78" t="str">
        <f>AK65</f>
        <v/>
      </c>
      <c r="BG125" s="79"/>
      <c r="BH125" s="80" t="str">
        <f>IF(BR125=0,"",(((BR125)/((BJ125+BK125)/60))))</f>
        <v/>
      </c>
      <c r="BI125" s="81"/>
      <c r="BJ125" s="234"/>
      <c r="BK125" s="242" t="str">
        <f>IF(BG125="","",((BG125-BG124)*60*24)-(BJ125+BM124+BY124))</f>
        <v/>
      </c>
      <c r="BL125" s="356"/>
      <c r="BM125" s="357"/>
      <c r="BN125" s="360"/>
      <c r="BO125" s="359"/>
      <c r="BP125" s="359"/>
      <c r="BQ125" s="359"/>
      <c r="BR125" s="210">
        <f>Pending!AW61</f>
        <v>0</v>
      </c>
      <c r="BS125" s="357"/>
      <c r="BT125" s="360"/>
      <c r="BU125" s="360"/>
      <c r="BV125" s="360"/>
      <c r="BW125" s="360"/>
      <c r="BX125" s="357"/>
      <c r="BY125" s="366"/>
      <c r="EG125" s="24" t="str">
        <f>IFERROR(IF(bgr!CO121=0,"",bgr!CO121),"")</f>
        <v/>
      </c>
      <c r="EH125" s="24" t="str">
        <f>IFERROR(IF(bgr!CP121=0,"",bgr!CP121),"")</f>
        <v/>
      </c>
    </row>
    <row r="126" spans="1:176" ht="62.2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112"/>
      <c r="AG126" s="112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139"/>
      <c r="AV126" s="76"/>
      <c r="AW126" s="391">
        <v>61</v>
      </c>
      <c r="AX126" s="407" t="str">
        <f>CONCATENATE(F66, "-", G66,"-",L66,"x",M66,"x",N66)</f>
        <v>--xx</v>
      </c>
      <c r="AY126" s="204">
        <f>P66</f>
        <v>0</v>
      </c>
      <c r="AZ126" s="84"/>
      <c r="BA126" s="84"/>
      <c r="BB126" s="84"/>
      <c r="BC126" s="84"/>
      <c r="BD126" s="70"/>
      <c r="BE126" s="37" t="str">
        <f>CONCATENATE(R66,"x",S66," - ",T66,"x",U66," - ",V66,"x",W66," - ",X66,"x",Y66," - ",Z66,"x",AA66)</f>
        <v>x - x - x - x - x</v>
      </c>
      <c r="BF126" s="86" t="str">
        <f>AJ66</f>
        <v/>
      </c>
      <c r="BG126" s="87"/>
      <c r="BH126" s="88" t="str">
        <f>AL66</f>
        <v/>
      </c>
      <c r="BI126" s="83" t="str">
        <f>AE66</f>
        <v/>
      </c>
      <c r="BJ126" s="238" t="str">
        <f t="shared" ref="BJ126:BK126" si="70">AF66</f>
        <v/>
      </c>
      <c r="BK126" s="243" t="str">
        <f t="shared" si="70"/>
        <v/>
      </c>
      <c r="BL126" s="340" t="str">
        <f>IF(BG126="","",(BK127+BJ127))</f>
        <v/>
      </c>
      <c r="BM126" s="341"/>
      <c r="BN126" s="364"/>
      <c r="BO126" s="361"/>
      <c r="BP126" s="362"/>
      <c r="BQ126" s="363"/>
      <c r="BR126" s="213">
        <f>AB66</f>
        <v>0</v>
      </c>
      <c r="BS126" s="341">
        <f>IF(BR127=0,0,BR127*AP66)</f>
        <v>0</v>
      </c>
      <c r="BT126" s="364"/>
      <c r="BU126" s="364"/>
      <c r="BV126" s="364"/>
      <c r="BW126" s="364"/>
      <c r="BX126" s="341">
        <f>IF(BR127=0,0,(BR127/BI127)-(BR127/BI126))</f>
        <v>0</v>
      </c>
      <c r="BY126" s="392"/>
      <c r="EG126" s="24" t="str">
        <f>IFERROR(IF(bgr!CO122=0,"",bgr!CO122),"")</f>
        <v/>
      </c>
      <c r="EH126" s="24" t="str">
        <f>IFERROR(IF(bgr!CP122=0,"",bgr!CP122),"")</f>
        <v/>
      </c>
      <c r="FT126" s="1">
        <v>1</v>
      </c>
    </row>
    <row r="127" spans="1:176" ht="62.25" customHeight="1" thickBo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AF127" s="111"/>
      <c r="AG127" s="111"/>
      <c r="AW127" s="367"/>
      <c r="AX127" s="339"/>
      <c r="AY127" s="201">
        <f>Q66</f>
        <v>0</v>
      </c>
      <c r="AZ127" s="89"/>
      <c r="BA127" s="89"/>
      <c r="BB127" s="89"/>
      <c r="BC127" s="89"/>
      <c r="BD127" s="90"/>
      <c r="BE127" s="248"/>
      <c r="BF127" s="91" t="str">
        <f>AK66</f>
        <v/>
      </c>
      <c r="BG127" s="92"/>
      <c r="BH127" s="116" t="str">
        <f>IF(BR127=0,"",(((BR127)/((BJ127+BK127)/60))))</f>
        <v/>
      </c>
      <c r="BI127" s="59"/>
      <c r="BJ127" s="235"/>
      <c r="BK127" s="244" t="str">
        <f>IF(BG127="","",((BG127-BG126)*60*24)-(BJ127+BM126+BY126))</f>
        <v/>
      </c>
      <c r="BL127" s="340"/>
      <c r="BM127" s="341"/>
      <c r="BN127" s="364"/>
      <c r="BO127" s="361"/>
      <c r="BP127" s="362"/>
      <c r="BQ127" s="363"/>
      <c r="BR127" s="210">
        <f>Pending!AW62</f>
        <v>0</v>
      </c>
      <c r="BS127" s="341"/>
      <c r="BT127" s="364"/>
      <c r="BU127" s="364"/>
      <c r="BV127" s="364"/>
      <c r="BW127" s="364"/>
      <c r="BX127" s="341"/>
      <c r="BY127" s="393"/>
      <c r="EG127" s="24" t="str">
        <f>IFERROR(IF(bgr!CO123=0,"",bgr!CO123),"")</f>
        <v/>
      </c>
      <c r="EH127" s="24" t="str">
        <f>IFERROR(IF(bgr!CP123=0,"",bgr!CP123),"")</f>
        <v/>
      </c>
    </row>
    <row r="128" spans="1:176" ht="97.5" customHeight="1" thickBo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AF128" s="111"/>
      <c r="AG128" s="111"/>
      <c r="AW128" s="394" t="s">
        <v>100</v>
      </c>
      <c r="AX128" s="395"/>
      <c r="AY128" s="396"/>
      <c r="AZ128" s="397">
        <f>X67</f>
        <v>0</v>
      </c>
      <c r="BA128" s="397"/>
      <c r="BB128" s="397"/>
      <c r="BC128" s="397"/>
      <c r="BD128" s="398"/>
      <c r="BE128" s="215" t="s">
        <v>101</v>
      </c>
      <c r="BF128" s="216">
        <f>SUM(AZ6:BD6,AZ8:BD8,AZ10:BD10,AZ12:BD12,AZ14:BD14,AZ16:BD16,AZ18:BD18,AZ20:BD20,AZ22:BD22,AZ24:BD24,AZ26:BD26,AZ28:BD28,AZ30:BD30,AZ32:BD32,AZ34:BD34,AZ36:BD36,AZ38:BD38,AZ40:BD40,AZ42:BD42,AZ44:BD44,AZ46:BD46,AZ48:BD48,AZ50:BD50,AZ52:BD52,AZ54:BD54,AZ56:BD56,AZ58:BD58,AZ60:BD60,AZ62:BD62,AZ64:BD64,AZ66:BD66,AZ68:BD68,AZ70:BD70,AZ72:BD72,AZ74:BD74,AZ76:BD76,AZ78:BD78,AZ80:BD80,AZ82:BD82,AZ84:BD84,AZ86:BD86,AZ88:BD88,AZ90:BD90,AZ92:BD92,AZ94:BD94,AZ96:BD96,AZ98:BD98,AZ100:BD100,AZ102:BD102,AZ104:BD104,AZ106:BD106,AZ108:BD108,AZ110:BD110,AZ112:BD112,AZ114:BD114,AZ116:BD116,AZ118:BD118,AZ120:BD120,AZ122:BD122,AZ124:BD124,AZ126:BD126)</f>
        <v>0</v>
      </c>
      <c r="BG128" s="399" t="s">
        <v>102</v>
      </c>
      <c r="BH128" s="400"/>
      <c r="BI128" s="217">
        <f>SUM(BS6:BS127)</f>
        <v>0</v>
      </c>
      <c r="BJ128" s="394" t="s">
        <v>103</v>
      </c>
      <c r="BK128" s="401"/>
      <c r="BL128" s="401"/>
      <c r="BM128" s="402"/>
      <c r="BN128" s="218">
        <f>COUNT(AZ6:BC6,AZ8:BC8,AZ10:BC10,AZ12:BC12,AZ14:BC14,AZ16:BC16,AZ18:BC18,AZ20:BC20,AZ22:BC22,AZ24:BC24,AZ26:BC26,AZ28:BC28,AZ30:BC30,AZ32:BC32,AZ34:BC34,AZ36:BC36,AZ38:BC38,AZ40:BC40,AZ42:BC42,AZ44:BC44,AZ46:BC46,AZ48:BC48,AZ50:BC50,AZ52:BC52,AZ54:BC54,AZ56:BC56,AZ58:BC58,AZ60:BC60,AZ62:BC62,AZ64:BC64,AZ66:BC66,AZ68:BC68,AZ70:BC70,AZ72:BC72,AZ74:BC74,AZ76:BC76,AZ78:BC78,AZ80:BC80,AZ82:BC82,AZ84:BC84,AZ86:BC86,AZ88:BC88,AZ90:BC90,AZ92:BC92,AZ94:BC94,AZ96:BC96,AZ98:BC98,AZ100:BC100,AZ102:BC102,AZ104:BC104,AZ106:BC106,AZ108:BC108,AZ110:BC110,AZ112:BC112,AZ114:BC114,AZ116:BC116,AZ118:BC118,AZ120:BC120,AZ122:BC122,AZ124:BC124,AZ126:BC126)</f>
        <v>0</v>
      </c>
      <c r="BO128" s="219" t="s">
        <v>104</v>
      </c>
      <c r="BP128" s="250">
        <f>BR7+BR9+BR11+BR13+BR15+BR17+BR19+BR21+BR23+BR25+BR27+BR29+BR31+BR33+BR35+BR37+BR39+BR41+BR43+BR45+BR47+BR49+BR51+BR53+BR55+BR57+BR59+BR61+BR63+BR65+BR67+BR69+BR71+BR73+BR75+BR77+BR79+BR81+BR83+BR85+BR87+BR89+BR91+BR93+BR95+BR97+BR99+BR101+BR103+BR105+BR107+BR109+BR111+BR113+BR115+BR117+BR119+BR121+BR123+BR125+BR127</f>
        <v>0</v>
      </c>
      <c r="BQ128" s="251" t="s">
        <v>105</v>
      </c>
      <c r="BR128" s="220">
        <f>IFERROR(BI128/(BF128-BF129),0)</f>
        <v>0</v>
      </c>
      <c r="BS128" s="221" t="s">
        <v>106</v>
      </c>
      <c r="BT128" s="403">
        <f>SUM(Pending!AD:AD,Pending!AF:AF,Pending!AH:AH,Pending!AJ:AJ,Pending!AL:AL,Pending!AN:AN,Pending!AP:AP,Pending!AR:AR,Pending!AT:AT,Pending!AV:AV)</f>
        <v>0</v>
      </c>
      <c r="BU128" s="404"/>
      <c r="BV128" s="405"/>
      <c r="BW128" s="406"/>
      <c r="BX128" s="222"/>
      <c r="BY128" s="223"/>
      <c r="EG128" s="24"/>
      <c r="EH128" s="24"/>
    </row>
    <row r="129" spans="1:138" ht="97.5" customHeight="1" thickBo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AF129" s="111"/>
      <c r="AG129" s="111"/>
      <c r="AW129" s="408" t="s">
        <v>107</v>
      </c>
      <c r="AX129" s="409"/>
      <c r="AY129" s="410"/>
      <c r="AZ129" s="411">
        <f>SUM(BL6:BM127)/60</f>
        <v>0</v>
      </c>
      <c r="BA129" s="411"/>
      <c r="BB129" s="411"/>
      <c r="BC129" s="411"/>
      <c r="BD129" s="412"/>
      <c r="BE129" s="224" t="s">
        <v>108</v>
      </c>
      <c r="BF129" s="225">
        <f>SUM(AZ7:BC7,AZ9:BC9,AZ11:BC11,AZ13:BC13,AZ15:BC15,AZ17:BC17,AZ19:BC19,AZ21:BC21,AZ23:BC23,AZ25:BC25,AZ27:BC27,AZ29:BC29,AZ31:BC31,AZ33:BC33,AZ35:BC35,AZ37:BC37,AZ39:BC39,AZ41:BC41,AZ43:BC43,AZ45:BC45,AZ47:BC47,AZ49:BC49,AZ51:BC51,AZ53:BC53,AZ55:BC55,AZ57:BC57,AZ59:BC59,AZ61:BC61,AZ63:BC63,AZ65:BC65,AZ67:BC67,AZ69:BC69,AZ71:BC71,AZ73:BC73,AZ75:BC75,AZ77:BC77,AZ79:BC79,AZ81:BC81,AZ83:BC83,AZ85:BC85,AZ87:BC87,AZ89:BC89,AZ91:BC91,AZ93:BC93,AZ95:BC95,AZ97:BC97,AZ99:BC99,AZ101:BC101,AZ103:BC103,AZ105:BC105,AZ107:BC107,AZ109:BC109,AZ111:BC111,AZ113:BC113,AZ115:BC115,AZ117:BC117,AZ119:BC119,AZ121:BC121,AZ123:BC123,AZ125:BC125,AZ127:BC127)</f>
        <v>0</v>
      </c>
      <c r="BG129" s="408" t="s">
        <v>109</v>
      </c>
      <c r="BH129" s="413"/>
      <c r="BI129" s="226">
        <f>SUM(BT6:BW127)</f>
        <v>0</v>
      </c>
      <c r="BJ129" s="408" t="s">
        <v>110</v>
      </c>
      <c r="BK129" s="409"/>
      <c r="BL129" s="409"/>
      <c r="BM129" s="410"/>
      <c r="BN129" s="227">
        <f>COUNT(AZ7:BC7,AZ9:BC9,AZ11:BC11,AZ13:BC13,AZ15:BC15,AZ17:BC17,AZ19:BC19,AZ21:BC21,AZ23:BC23,AZ25:BC25,AZ27:BC27,AZ29:BC29,AZ31:BC31,AZ33:BC33,AZ35:BC35,AZ37:BC37,AZ39:BC39,AZ41:BC41,AZ43:BC43,AZ45:BC45,AZ47:BC47,AZ49:BC49,AZ51:BC51,AZ53:BC53,AZ55:BC55,AZ57:BC57,AZ59:BC59,AZ61:BC61,AZ63:BC63,AZ65:BC65,AZ67:BC67,AZ69:BC69,AZ71:BC71,AZ73:BC73,AZ75:BC75,AZ77:BC77,AZ79:BC79,AZ81:BC81,AZ83:BC83,AZ85:BC85,AZ87:BC87,AZ89:BC89,AZ91:BC91,AZ93:BC93,AZ95:BC95,AZ97:BC97,AZ99:BC99,AZ101:BC101,AZ103:BC103,AZ105:BC105,AZ107:BC107,AZ109:BC109,AZ111:BC111,AZ113:BC113,AZ115:BC115,AZ117:BC117,AZ119:BC119,AZ121:BC121,AZ123:BC123,AZ125:BC125,AZ127:BC127)</f>
        <v>0</v>
      </c>
      <c r="BO129" s="228" t="s">
        <v>111</v>
      </c>
      <c r="BP129" s="225" t="str">
        <f>AJ3</f>
        <v/>
      </c>
      <c r="BQ129" s="224" t="s">
        <v>112</v>
      </c>
      <c r="BR129" s="229">
        <f>IFERROR(BP128/AZ129,0)</f>
        <v>0</v>
      </c>
      <c r="BS129" s="230" t="s">
        <v>113</v>
      </c>
      <c r="BT129" s="414">
        <f>SUM(BK7,BK9,BK11,BK13,BK15,BK17,BK19,BK21,BK23,BK25,BK27,BK29,BK31,BK33,BK35,BK37,BK39,BK41,BK43,BK45,BK47,BK49,BK51,BK53,BK55,BK57,BK59,BK61,BK63,BK65,BK67,BK69,BK71,BK73,BK75,BK77,BK79,BK81,BK83,BK85,BK87,BK89,BK91,BK93,BK95,BK97,BK99,BK101,BK103,BK105,BK107,BK109,BK111,BK113,BK115,BK117,BK119,BK121,BK123,BK125,BK127)</f>
        <v>0</v>
      </c>
      <c r="BU129" s="415"/>
      <c r="BV129" s="415"/>
      <c r="BW129" s="416"/>
      <c r="BX129" s="231"/>
      <c r="BY129" s="232"/>
      <c r="EG129" s="24"/>
      <c r="EH129" s="24"/>
    </row>
    <row r="130" spans="1:138" ht="32.2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AF130" s="111"/>
      <c r="AG130" s="111"/>
      <c r="AW130" s="112"/>
      <c r="AX130" s="112"/>
      <c r="AY130" s="112"/>
      <c r="AZ130" s="112"/>
      <c r="BA130" s="112"/>
      <c r="BB130" s="112"/>
      <c r="BC130" s="112"/>
      <c r="BD130" s="112"/>
      <c r="BE130" s="112"/>
      <c r="BF130" s="112"/>
      <c r="BG130" s="112"/>
      <c r="BH130" s="112"/>
      <c r="BI130" s="112"/>
      <c r="BJ130" s="112"/>
      <c r="BK130" s="112"/>
      <c r="BL130" s="112"/>
      <c r="BM130" s="112"/>
      <c r="BN130" s="112"/>
      <c r="BO130" s="252"/>
      <c r="BP130" s="252"/>
      <c r="BQ130" s="252"/>
      <c r="BR130" s="76"/>
      <c r="BS130" s="112"/>
      <c r="BT130" s="112"/>
      <c r="BU130" s="112"/>
      <c r="BV130" s="112"/>
      <c r="BW130" s="112"/>
      <c r="BX130" s="112"/>
      <c r="EG130" s="24"/>
      <c r="EH130" s="24"/>
    </row>
    <row r="131" spans="1:138" ht="92.2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AF131" s="111"/>
      <c r="AG131" s="111"/>
      <c r="AW131" s="114"/>
      <c r="AX131" s="417" t="s">
        <v>114</v>
      </c>
      <c r="AY131" s="417"/>
      <c r="AZ131" s="417"/>
      <c r="BA131" s="417"/>
      <c r="BB131" s="417"/>
      <c r="BC131" s="417"/>
      <c r="BD131" s="417"/>
      <c r="BE131" s="417"/>
      <c r="BF131" s="417"/>
      <c r="BG131" s="417"/>
      <c r="BH131" s="417"/>
      <c r="BI131" s="114"/>
      <c r="BJ131" s="114"/>
      <c r="BK131" s="114"/>
      <c r="BL131" s="114"/>
      <c r="BM131" s="114"/>
      <c r="BN131" s="114"/>
      <c r="BO131" s="253"/>
      <c r="BP131" s="253"/>
      <c r="BQ131" s="253"/>
      <c r="BR131" s="114"/>
      <c r="BS131" s="114"/>
      <c r="BT131" s="114"/>
      <c r="BU131" s="114"/>
      <c r="BV131" s="114"/>
      <c r="BW131" s="114"/>
      <c r="BX131" s="114"/>
      <c r="EG131" s="24"/>
      <c r="EH131" s="24"/>
    </row>
    <row r="132" spans="1:138" ht="32.2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AF132" s="111"/>
      <c r="AG132" s="111"/>
      <c r="EG132" s="24"/>
      <c r="EH132" s="24"/>
    </row>
    <row r="133" spans="1:138" ht="32.2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AF133" s="111"/>
      <c r="AG133" s="111"/>
      <c r="EG133" s="24"/>
      <c r="EH133" s="24"/>
    </row>
    <row r="134" spans="1:138" ht="32.2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AF134" s="111"/>
      <c r="AG134" s="111"/>
      <c r="EG134" s="24"/>
      <c r="EH134" s="24"/>
    </row>
    <row r="135" spans="1:138" ht="32.2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AF135" s="111"/>
      <c r="AG135" s="111"/>
      <c r="EG135" s="24"/>
      <c r="EH135" s="24"/>
    </row>
    <row r="136" spans="1:138" ht="32.2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AF136" s="111"/>
      <c r="AG136" s="111"/>
      <c r="EG136" s="24"/>
      <c r="EH136" s="24"/>
    </row>
    <row r="137" spans="1:138" ht="32.2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AF137" s="111"/>
      <c r="AG137" s="111"/>
      <c r="EG137" s="24"/>
      <c r="EH137" s="24"/>
    </row>
    <row r="138" spans="1:138" ht="32.2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AF138" s="111"/>
      <c r="AG138" s="111"/>
      <c r="EG138" s="24"/>
      <c r="EH138" s="24"/>
    </row>
    <row r="139" spans="1:138" ht="32.2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AF139" s="111"/>
      <c r="AG139" s="111"/>
      <c r="EG139" s="24"/>
      <c r="EH139" s="24"/>
    </row>
    <row r="140" spans="1:138" ht="32.2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AF140" s="111"/>
      <c r="AG140" s="111"/>
      <c r="EG140" s="24"/>
      <c r="EH140" s="24"/>
    </row>
    <row r="141" spans="1:138" ht="32.2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AF141" s="111"/>
      <c r="AG141" s="111"/>
      <c r="EG141" s="24"/>
      <c r="EH141" s="24"/>
    </row>
    <row r="142" spans="1:138" ht="32.2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AF142" s="111"/>
      <c r="AG142" s="111"/>
      <c r="EG142" s="24"/>
      <c r="EH142" s="24"/>
    </row>
    <row r="143" spans="1:138" ht="32.2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AF143" s="111"/>
      <c r="AG143" s="111"/>
      <c r="EG143" s="24"/>
      <c r="EH143" s="24"/>
    </row>
    <row r="144" spans="1:138" ht="32.25" customHeight="1">
      <c r="AF144" s="111"/>
      <c r="AG144" s="111"/>
      <c r="EG144" s="24"/>
      <c r="EH144" s="24"/>
    </row>
    <row r="145" spans="32:138" ht="32.25" customHeight="1">
      <c r="AF145" s="111"/>
      <c r="AG145" s="111"/>
      <c r="EG145" s="24"/>
      <c r="EH145" s="24"/>
    </row>
    <row r="146" spans="32:138" ht="32.25" customHeight="1">
      <c r="AF146" s="111"/>
      <c r="AG146" s="111"/>
      <c r="EG146" s="24"/>
      <c r="EH146" s="24"/>
    </row>
    <row r="147" spans="32:138" ht="32.25" customHeight="1">
      <c r="AF147" s="111"/>
      <c r="AG147" s="111"/>
      <c r="EG147" s="24"/>
      <c r="EH147" s="24"/>
    </row>
    <row r="148" spans="32:138" ht="32.25" customHeight="1">
      <c r="AF148" s="111"/>
      <c r="AG148" s="111"/>
      <c r="EG148" s="24"/>
      <c r="EH148" s="24"/>
    </row>
    <row r="149" spans="32:138" ht="32.25" customHeight="1">
      <c r="AF149" s="111"/>
      <c r="AG149" s="111"/>
      <c r="EG149" s="24"/>
      <c r="EH149" s="24"/>
    </row>
    <row r="150" spans="32:138" ht="32.25" customHeight="1">
      <c r="AF150" s="111"/>
      <c r="AG150" s="111"/>
      <c r="EG150" s="24"/>
      <c r="EH150" s="24"/>
    </row>
    <row r="151" spans="32:138" ht="32.25" customHeight="1">
      <c r="AF151" s="111"/>
      <c r="AG151" s="111"/>
      <c r="EG151" s="24"/>
      <c r="EH151" s="24"/>
    </row>
    <row r="152" spans="32:138" ht="32.25" customHeight="1">
      <c r="AF152" s="111"/>
      <c r="AG152" s="111"/>
      <c r="EG152" s="24"/>
      <c r="EH152" s="24"/>
    </row>
    <row r="153" spans="32:138" ht="32.25" customHeight="1">
      <c r="AF153" s="111"/>
      <c r="AG153" s="111"/>
      <c r="EG153" s="24"/>
      <c r="EH153" s="24"/>
    </row>
    <row r="154" spans="32:138" ht="32.25" customHeight="1">
      <c r="AF154" s="111"/>
      <c r="AG154" s="111"/>
      <c r="EG154" s="24"/>
      <c r="EH154" s="24"/>
    </row>
    <row r="155" spans="32:138" ht="32.25" customHeight="1">
      <c r="AF155" s="111"/>
      <c r="AG155" s="111"/>
      <c r="EG155" s="24"/>
      <c r="EH155" s="24"/>
    </row>
    <row r="156" spans="32:138" ht="32.25" customHeight="1">
      <c r="AF156" s="111"/>
      <c r="AG156" s="111"/>
      <c r="EG156" s="24"/>
      <c r="EH156" s="24"/>
    </row>
    <row r="157" spans="32:138" ht="32.25" customHeight="1">
      <c r="AF157" s="111"/>
      <c r="AG157" s="111"/>
      <c r="EG157" s="24"/>
      <c r="EH157" s="24"/>
    </row>
    <row r="158" spans="32:138" ht="32.25" customHeight="1">
      <c r="AF158" s="111"/>
      <c r="AG158" s="111"/>
      <c r="EG158" s="24"/>
      <c r="EH158" s="24"/>
    </row>
    <row r="159" spans="32:138" ht="32.25" customHeight="1">
      <c r="AF159" s="111"/>
      <c r="AG159" s="111"/>
      <c r="EG159" s="24"/>
      <c r="EH159" s="24"/>
    </row>
    <row r="160" spans="32:138" ht="32.25" customHeight="1">
      <c r="AF160" s="111"/>
      <c r="AG160" s="111"/>
      <c r="EG160" s="24"/>
      <c r="EH160" s="24"/>
    </row>
    <row r="161" spans="32:138" ht="32.25" customHeight="1">
      <c r="AF161" s="111"/>
      <c r="AG161" s="111"/>
      <c r="EG161" s="24"/>
      <c r="EH161" s="24"/>
    </row>
    <row r="162" spans="32:138" ht="32.25" customHeight="1">
      <c r="AF162" s="111"/>
      <c r="AG162" s="111"/>
      <c r="EG162" s="24"/>
      <c r="EH162" s="24"/>
    </row>
    <row r="163" spans="32:138" ht="32.25" customHeight="1">
      <c r="AF163" s="111"/>
      <c r="AG163" s="111"/>
      <c r="EG163" s="24"/>
      <c r="EH163" s="24"/>
    </row>
    <row r="164" spans="32:138" ht="32.25" customHeight="1">
      <c r="AF164" s="111"/>
      <c r="AG164" s="111"/>
      <c r="EG164" s="24"/>
      <c r="EH164" s="24"/>
    </row>
    <row r="165" spans="32:138" ht="32.25" customHeight="1">
      <c r="AF165" s="111"/>
      <c r="AG165" s="111"/>
      <c r="EG165" s="24"/>
      <c r="EH165" s="24"/>
    </row>
    <row r="166" spans="32:138" ht="32.25" customHeight="1">
      <c r="AF166" s="111"/>
      <c r="AG166" s="111"/>
      <c r="EG166" s="24"/>
      <c r="EH166" s="24"/>
    </row>
    <row r="167" spans="32:138" ht="32.25" customHeight="1">
      <c r="AF167" s="111"/>
      <c r="AG167" s="111"/>
      <c r="EG167" s="24"/>
      <c r="EH167" s="24"/>
    </row>
    <row r="168" spans="32:138" ht="32.25" customHeight="1">
      <c r="AF168" s="111"/>
      <c r="AG168" s="111"/>
      <c r="EG168" s="24"/>
      <c r="EH168" s="24"/>
    </row>
    <row r="169" spans="32:138" ht="32.25" customHeight="1">
      <c r="AF169" s="111"/>
      <c r="AG169" s="111"/>
      <c r="EG169" s="24"/>
      <c r="EH169" s="24"/>
    </row>
    <row r="170" spans="32:138" ht="32.25" customHeight="1">
      <c r="AF170" s="111"/>
      <c r="AG170" s="111"/>
      <c r="EG170" s="24"/>
      <c r="EH170" s="24"/>
    </row>
    <row r="171" spans="32:138" ht="32.25" customHeight="1">
      <c r="AF171" s="111"/>
      <c r="AG171" s="111"/>
      <c r="EG171" s="24"/>
      <c r="EH171" s="24"/>
    </row>
    <row r="172" spans="32:138" ht="32.25" customHeight="1">
      <c r="AF172" s="111"/>
      <c r="AG172" s="111"/>
      <c r="EG172" s="24"/>
      <c r="EH172" s="24"/>
    </row>
    <row r="173" spans="32:138" ht="32.25" customHeight="1">
      <c r="AF173" s="111"/>
      <c r="AG173" s="111"/>
      <c r="EG173" s="24"/>
      <c r="EH173" s="24"/>
    </row>
    <row r="174" spans="32:138" ht="32.25" customHeight="1">
      <c r="AF174" s="111"/>
      <c r="AG174" s="111"/>
      <c r="EG174" s="24"/>
      <c r="EH174" s="24"/>
    </row>
    <row r="175" spans="32:138" ht="32.25" customHeight="1">
      <c r="AF175" s="111"/>
      <c r="AG175" s="111"/>
      <c r="EG175" s="24"/>
      <c r="EH175" s="24"/>
    </row>
    <row r="176" spans="32:138" ht="32.25" customHeight="1">
      <c r="AF176" s="111"/>
      <c r="AG176" s="111"/>
      <c r="EG176" s="24"/>
      <c r="EH176" s="24"/>
    </row>
    <row r="177" spans="32:138" ht="32.25" customHeight="1">
      <c r="AF177" s="111"/>
      <c r="AG177" s="111"/>
      <c r="EG177" s="24"/>
      <c r="EH177" s="24"/>
    </row>
    <row r="178" spans="32:138" ht="32.25" customHeight="1">
      <c r="AF178" s="111"/>
      <c r="AG178" s="111"/>
      <c r="EG178" s="24"/>
      <c r="EH178" s="24"/>
    </row>
    <row r="179" spans="32:138" ht="32.25" customHeight="1">
      <c r="EG179" s="24"/>
      <c r="EH179" s="24"/>
    </row>
    <row r="180" spans="32:138" ht="32.25" customHeight="1">
      <c r="EG180" s="24"/>
      <c r="EH180" s="24"/>
    </row>
    <row r="181" spans="32:138" ht="32.25" customHeight="1">
      <c r="EG181" s="24"/>
      <c r="EH181" s="24"/>
    </row>
    <row r="182" spans="32:138" ht="32.25" customHeight="1">
      <c r="EG182" s="24"/>
      <c r="EH182" s="24"/>
    </row>
    <row r="183" spans="32:138" ht="45.75">
      <c r="EG183" s="24"/>
      <c r="EH183" s="24"/>
    </row>
    <row r="184" spans="32:138" ht="45.75">
      <c r="EG184" s="24"/>
      <c r="EH184" s="24"/>
    </row>
    <row r="185" spans="32:138" ht="45.75">
      <c r="EG185" s="24"/>
      <c r="EH185" s="24"/>
    </row>
    <row r="186" spans="32:138" ht="45.75">
      <c r="EG186" s="24"/>
      <c r="EH186" s="24"/>
    </row>
    <row r="187" spans="32:138" ht="45.75">
      <c r="EG187" s="24"/>
      <c r="EH187" s="24"/>
    </row>
    <row r="188" spans="32:138" ht="45.75">
      <c r="EG188" s="24"/>
      <c r="EH188" s="24"/>
    </row>
    <row r="189" spans="32:138" ht="45.75">
      <c r="EG189" s="24"/>
      <c r="EH189" s="24"/>
    </row>
    <row r="190" spans="32:138" ht="45.75">
      <c r="EG190" s="24"/>
      <c r="EH190" s="24"/>
    </row>
    <row r="191" spans="32:138" ht="45.75">
      <c r="EG191" s="24"/>
      <c r="EH191" s="24"/>
    </row>
    <row r="192" spans="32:138" ht="45.75">
      <c r="EG192" s="24"/>
      <c r="EH192" s="24"/>
    </row>
    <row r="193" spans="14:138" ht="45.75">
      <c r="EG193" s="24"/>
      <c r="EH193" s="24"/>
    </row>
    <row r="194" spans="14:138" ht="45.75">
      <c r="EG194" s="24"/>
      <c r="EH194" s="24"/>
    </row>
    <row r="195" spans="14:138" ht="45.75">
      <c r="EG195" s="24"/>
      <c r="EH195" s="24"/>
    </row>
    <row r="196" spans="14:138" ht="45.75">
      <c r="EG196" s="24"/>
      <c r="EH196" s="24"/>
    </row>
    <row r="197" spans="14:138" ht="45.75">
      <c r="EG197" s="24"/>
      <c r="EH197" s="24"/>
    </row>
    <row r="198" spans="14:138" ht="45.75">
      <c r="EG198" s="24"/>
      <c r="EH198" s="24"/>
    </row>
    <row r="199" spans="14:138" ht="45.75">
      <c r="EG199" s="24"/>
      <c r="EH199" s="24"/>
    </row>
    <row r="200" spans="14:138" ht="45.75">
      <c r="EG200" s="24"/>
      <c r="EH200" s="24"/>
    </row>
    <row r="201" spans="14:138" ht="45.75">
      <c r="EG201" s="24"/>
      <c r="EH201" s="24"/>
    </row>
    <row r="202" spans="14:138" ht="45.75">
      <c r="EG202" s="24"/>
      <c r="EH202" s="24"/>
    </row>
    <row r="203" spans="14:138" ht="45.75">
      <c r="EG203" s="24"/>
      <c r="EH203" s="24"/>
    </row>
    <row r="204" spans="14:138" ht="45.75">
      <c r="EG204" s="24"/>
      <c r="EH204" s="24"/>
    </row>
    <row r="205" spans="14:138" ht="45.75">
      <c r="EG205" s="24"/>
      <c r="EH205" s="24"/>
    </row>
    <row r="206" spans="14:138" ht="46.5" thickBot="1">
      <c r="EG206" s="24"/>
      <c r="EH206" s="24"/>
    </row>
    <row r="207" spans="14:138" ht="86.25" customHeight="1">
      <c r="AW207" s="422">
        <v>5</v>
      </c>
      <c r="AX207" s="424" t="str">
        <f>CONCATENATE(F203, "-", G203,"-",L203,"x",M203,"x",N203)</f>
        <v>--xx</v>
      </c>
      <c r="AY207" s="83">
        <f>P203</f>
        <v>0</v>
      </c>
      <c r="AZ207" s="84"/>
      <c r="BA207" s="84"/>
      <c r="BB207" s="84"/>
      <c r="BC207" s="84"/>
      <c r="BD207" s="84"/>
      <c r="BE207" s="117" t="str">
        <f>CONCATENATE(R203,"x",S203," - ",T203,"x",U203," - ",V203,"x",W203," - ",X203,"x",Y203," - ",Z203,"x",AA203)</f>
        <v>x - x - x - x - x</v>
      </c>
      <c r="BF207" s="86">
        <f>AJ203</f>
        <v>0</v>
      </c>
      <c r="BG207" s="87"/>
      <c r="BH207" s="88">
        <f>AL203</f>
        <v>0</v>
      </c>
      <c r="BI207" s="83">
        <f>AE203</f>
        <v>0</v>
      </c>
      <c r="BJ207" s="83">
        <f>AF203</f>
        <v>0</v>
      </c>
      <c r="BK207" s="118">
        <f>AG203</f>
        <v>0</v>
      </c>
      <c r="BL207" s="426" t="str">
        <f>IF(BG207="","",(BK208+BJ208))</f>
        <v/>
      </c>
      <c r="BM207" s="428"/>
      <c r="BN207" s="430">
        <v>0.12291666666666667</v>
      </c>
      <c r="BO207" s="432"/>
      <c r="BP207" s="433"/>
      <c r="BQ207" s="434"/>
      <c r="BR207" s="83"/>
      <c r="BS207" s="418"/>
      <c r="BT207" s="418"/>
      <c r="BU207" s="119"/>
      <c r="BV207" s="119"/>
      <c r="BW207" s="418"/>
      <c r="BX207" s="120"/>
      <c r="BY207" s="420"/>
      <c r="EG207" s="24"/>
      <c r="EH207" s="24"/>
    </row>
    <row r="208" spans="14:138" ht="86.25" customHeight="1" thickBot="1">
      <c r="N208" s="1" t="s">
        <v>86</v>
      </c>
      <c r="AW208" s="423"/>
      <c r="AX208" s="425"/>
      <c r="AY208" s="50">
        <f>Q203</f>
        <v>0</v>
      </c>
      <c r="AZ208" s="51"/>
      <c r="BA208" s="51"/>
      <c r="BB208" s="51"/>
      <c r="BC208" s="51"/>
      <c r="BD208" s="121"/>
      <c r="BE208" s="122"/>
      <c r="BF208" s="53">
        <f>AK203</f>
        <v>0</v>
      </c>
      <c r="BG208" s="54"/>
      <c r="BH208" s="55" t="str">
        <f>IF(BR208="","",(((BR208)/((BJ208+BK208)/60))))</f>
        <v/>
      </c>
      <c r="BI208" s="56"/>
      <c r="BJ208" s="57" t="str">
        <f>IF(BG207="","",MINUTE(BG208-BG207)+(HOUR(BG208-BG207)*60-(BK208+BM207+BY207)))</f>
        <v/>
      </c>
      <c r="BK208" s="58"/>
      <c r="BL208" s="427"/>
      <c r="BM208" s="429"/>
      <c r="BN208" s="431"/>
      <c r="BO208" s="435"/>
      <c r="BP208" s="436"/>
      <c r="BQ208" s="437"/>
      <c r="BR208" s="56"/>
      <c r="BS208" s="419"/>
      <c r="BT208" s="419"/>
      <c r="BU208" s="123"/>
      <c r="BV208" s="123"/>
      <c r="BW208" s="419"/>
      <c r="BX208" s="124"/>
      <c r="BY208" s="421"/>
      <c r="EG208" s="24"/>
      <c r="EH208" s="24"/>
    </row>
    <row r="209" spans="1:138" s="125" customFormat="1" ht="42.75" customHeight="1">
      <c r="A209" s="127"/>
      <c r="B209" s="126"/>
      <c r="C209" s="126"/>
      <c r="D209" s="126"/>
      <c r="E209" s="127"/>
      <c r="F209" s="127"/>
      <c r="G209" s="128" t="s">
        <v>115</v>
      </c>
      <c r="H209" s="127"/>
      <c r="I209" s="127"/>
      <c r="J209" s="128" t="s">
        <v>116</v>
      </c>
      <c r="K209" s="129" t="s">
        <v>117</v>
      </c>
      <c r="L209" s="129" t="s">
        <v>118</v>
      </c>
      <c r="M209" s="129" t="s">
        <v>119</v>
      </c>
      <c r="N209" s="127" t="s">
        <v>49</v>
      </c>
      <c r="O209" s="127"/>
      <c r="P209" s="129" t="s">
        <v>120</v>
      </c>
      <c r="Q209" s="129" t="s">
        <v>121</v>
      </c>
      <c r="R209" s="127"/>
      <c r="S209" s="127"/>
      <c r="T209" s="127"/>
      <c r="U209" s="127"/>
      <c r="V209" s="127"/>
      <c r="W209" s="127"/>
      <c r="X209" s="127"/>
      <c r="Y209" s="127"/>
      <c r="Z209" s="127"/>
      <c r="AA209" s="127"/>
      <c r="AB209" s="127"/>
      <c r="AC209" s="127"/>
      <c r="AD209" s="127"/>
      <c r="AE209" s="127"/>
      <c r="AF209" s="127"/>
      <c r="AG209" s="127"/>
      <c r="AH209" s="127"/>
      <c r="AI209" s="127"/>
      <c r="AJ209" s="127"/>
      <c r="AK209" s="127"/>
      <c r="AL209" s="127"/>
      <c r="AM209" s="127"/>
      <c r="AN209" s="127"/>
      <c r="AO209" s="127"/>
      <c r="AP209" s="127"/>
      <c r="AQ209" s="127"/>
      <c r="AR209" s="127"/>
      <c r="AS209" s="127"/>
      <c r="AT209" s="127"/>
      <c r="AU209" s="197"/>
      <c r="BI209" s="130"/>
      <c r="BO209" s="254"/>
      <c r="BP209" s="254"/>
      <c r="BQ209" s="254"/>
      <c r="CL209" s="139"/>
      <c r="CM209" s="139"/>
      <c r="CN209" s="140"/>
      <c r="CO209" s="140"/>
      <c r="CP209" s="139"/>
      <c r="CQ209" s="139"/>
      <c r="EG209" s="24"/>
      <c r="EH209" s="24"/>
    </row>
    <row r="210" spans="1:138" s="125" customFormat="1" ht="45.75">
      <c r="A210" s="134" t="s">
        <v>122</v>
      </c>
      <c r="B210" s="131"/>
      <c r="C210" s="131"/>
      <c r="D210" s="131"/>
      <c r="E210" s="127"/>
      <c r="F210" s="127" t="str">
        <f t="shared" ref="F210:F270" si="71">AC6</f>
        <v/>
      </c>
      <c r="G210" s="132"/>
      <c r="H210" s="127"/>
      <c r="I210" s="127"/>
      <c r="J210" s="132"/>
      <c r="K210" s="132" t="str">
        <f t="shared" ref="K210" si="72">IF(P6="","",P6*$B$212)</f>
        <v/>
      </c>
      <c r="L210" s="132" t="str">
        <f t="shared" ref="L210:L270" si="73">IF(OR(S6&lt;&gt;"",U6&lt;&gt;"",W6&lt;&gt;"",Y6&lt;&gt;"",AA6&lt;&gt;""),(S6+U6+W6+Y6+AA6)*$B$213,"")</f>
        <v/>
      </c>
      <c r="M210" s="198" t="e">
        <f>IF(B6="","",IF(N210=0,($B$211*P6/I6),(($B$211*P6+$B$214)/I6)))</f>
        <v>#DIV/0!</v>
      </c>
      <c r="N210" s="127">
        <f t="shared" ref="N210:N270" si="74">COUNTIFS($AC$6:$AC$191,F210,$Q$6:$Q$191,"="&amp;$N$208)</f>
        <v>0</v>
      </c>
      <c r="O210" s="127"/>
      <c r="P210" s="133" t="str">
        <f t="shared" ref="P210:P270" si="75">IF(P6="","",$B$211*P6)</f>
        <v/>
      </c>
      <c r="Q210" s="133" t="str">
        <f t="shared" ref="Q210:Q270" si="76">IF(Q6="R",$B$214,"")</f>
        <v/>
      </c>
      <c r="R210" s="127"/>
      <c r="S210" s="127"/>
      <c r="T210" s="127"/>
      <c r="U210" s="127"/>
      <c r="V210" s="127"/>
      <c r="W210" s="127"/>
      <c r="X210" s="127"/>
      <c r="Y210" s="127"/>
      <c r="Z210" s="127"/>
      <c r="AA210" s="127"/>
      <c r="AB210" s="127"/>
      <c r="AC210" s="127"/>
      <c r="AD210" s="127"/>
      <c r="AE210" s="127"/>
      <c r="AF210" s="127"/>
      <c r="AG210" s="127"/>
      <c r="AH210" s="127"/>
      <c r="AI210" s="127"/>
      <c r="AJ210" s="127"/>
      <c r="AK210" s="127"/>
      <c r="AL210" s="127"/>
      <c r="AM210" s="127"/>
      <c r="AN210" s="127"/>
      <c r="AO210" s="127"/>
      <c r="AP210" s="127"/>
      <c r="AQ210" s="127"/>
      <c r="AR210" s="127"/>
      <c r="AS210" s="127"/>
      <c r="AT210" s="127"/>
      <c r="AU210" s="197"/>
      <c r="BI210" s="130"/>
      <c r="BO210" s="254"/>
      <c r="BP210" s="254"/>
      <c r="BQ210" s="254"/>
      <c r="CL210" s="153"/>
      <c r="CM210" s="153"/>
      <c r="CN210" s="141"/>
      <c r="CO210" s="141"/>
      <c r="CP210" s="153"/>
      <c r="CQ210" s="153"/>
      <c r="EG210" s="24"/>
      <c r="EH210" s="24"/>
    </row>
    <row r="211" spans="1:138" s="125" customFormat="1" ht="45.75">
      <c r="A211" s="134" t="s">
        <v>123</v>
      </c>
      <c r="B211" s="131">
        <v>3</v>
      </c>
      <c r="C211" s="131"/>
      <c r="D211" s="131"/>
      <c r="E211" s="127"/>
      <c r="F211" s="127" t="str">
        <f t="shared" si="71"/>
        <v/>
      </c>
      <c r="G211" s="132"/>
      <c r="H211" s="127"/>
      <c r="I211" s="127"/>
      <c r="J211" s="132"/>
      <c r="K211" s="132" t="str">
        <f t="shared" ref="K211:K270" si="77">IF(P7="","",P7*$B$212)</f>
        <v/>
      </c>
      <c r="L211" s="132" t="str">
        <f t="shared" si="73"/>
        <v/>
      </c>
      <c r="M211" s="198" t="str">
        <f t="shared" ref="M211:M270" si="78">IF(B7="","",IF(N211=0,($B$211*P7/I7),(($B$211*P7+$B$214)/I7)))</f>
        <v/>
      </c>
      <c r="N211" s="127">
        <f t="shared" si="74"/>
        <v>0</v>
      </c>
      <c r="O211" s="127"/>
      <c r="P211" s="133" t="str">
        <f t="shared" si="75"/>
        <v/>
      </c>
      <c r="Q211" s="133" t="str">
        <f t="shared" si="76"/>
        <v/>
      </c>
      <c r="R211" s="127"/>
      <c r="S211" s="127"/>
      <c r="T211" s="127"/>
      <c r="U211" s="127"/>
      <c r="V211" s="127"/>
      <c r="W211" s="127"/>
      <c r="X211" s="127"/>
      <c r="Y211" s="127"/>
      <c r="Z211" s="127"/>
      <c r="AA211" s="127"/>
      <c r="AB211" s="127"/>
      <c r="AC211" s="127"/>
      <c r="AD211" s="127"/>
      <c r="AE211" s="127"/>
      <c r="AF211" s="127"/>
      <c r="AG211" s="127"/>
      <c r="AH211" s="127"/>
      <c r="AI211" s="127"/>
      <c r="AJ211" s="127"/>
      <c r="AK211" s="127"/>
      <c r="AL211" s="127"/>
      <c r="AM211" s="127"/>
      <c r="AN211" s="127"/>
      <c r="AO211" s="127"/>
      <c r="AP211" s="127"/>
      <c r="AQ211" s="127"/>
      <c r="AR211" s="127"/>
      <c r="AS211" s="127"/>
      <c r="AT211" s="127"/>
      <c r="AU211" s="197"/>
      <c r="BI211" s="130"/>
      <c r="BO211" s="254"/>
      <c r="BP211" s="254"/>
      <c r="BQ211" s="254"/>
      <c r="CL211" s="153"/>
      <c r="CM211" s="153"/>
      <c r="CN211" s="141"/>
      <c r="CO211" s="141"/>
      <c r="CP211" s="153"/>
      <c r="CQ211" s="153"/>
      <c r="EG211" s="24"/>
      <c r="EH211" s="24"/>
    </row>
    <row r="212" spans="1:138" s="125" customFormat="1" ht="45.75">
      <c r="A212" s="199" t="s">
        <v>124</v>
      </c>
      <c r="B212" s="134">
        <v>1</v>
      </c>
      <c r="C212" s="134"/>
      <c r="D212" s="134"/>
      <c r="E212" s="127"/>
      <c r="F212" s="127" t="str">
        <f t="shared" si="71"/>
        <v/>
      </c>
      <c r="G212" s="132"/>
      <c r="H212" s="127"/>
      <c r="I212" s="127"/>
      <c r="J212" s="132"/>
      <c r="K212" s="132" t="str">
        <f t="shared" si="77"/>
        <v/>
      </c>
      <c r="L212" s="132" t="str">
        <f t="shared" si="73"/>
        <v/>
      </c>
      <c r="M212" s="198" t="str">
        <f t="shared" si="78"/>
        <v/>
      </c>
      <c r="N212" s="127">
        <f t="shared" si="74"/>
        <v>0</v>
      </c>
      <c r="O212" s="127"/>
      <c r="P212" s="133" t="str">
        <f t="shared" si="75"/>
        <v/>
      </c>
      <c r="Q212" s="133" t="str">
        <f t="shared" si="76"/>
        <v/>
      </c>
      <c r="R212" s="127"/>
      <c r="S212" s="127"/>
      <c r="T212" s="127"/>
      <c r="U212" s="127"/>
      <c r="V212" s="127"/>
      <c r="W212" s="127"/>
      <c r="X212" s="127"/>
      <c r="Y212" s="127"/>
      <c r="Z212" s="127"/>
      <c r="AA212" s="127"/>
      <c r="AB212" s="127"/>
      <c r="AC212" s="127"/>
      <c r="AD212" s="127"/>
      <c r="AE212" s="127"/>
      <c r="AF212" s="127"/>
      <c r="AG212" s="127"/>
      <c r="AH212" s="127"/>
      <c r="AI212" s="127"/>
      <c r="AJ212" s="127"/>
      <c r="AK212" s="127"/>
      <c r="AL212" s="127"/>
      <c r="AM212" s="127"/>
      <c r="AN212" s="127"/>
      <c r="AO212" s="127"/>
      <c r="AP212" s="127"/>
      <c r="AQ212" s="127"/>
      <c r="AR212" s="127"/>
      <c r="AS212" s="127"/>
      <c r="AT212" s="127"/>
      <c r="AU212" s="197"/>
      <c r="BI212" s="130"/>
      <c r="BO212" s="254"/>
      <c r="BP212" s="254"/>
      <c r="BQ212" s="254"/>
      <c r="CL212" s="153"/>
      <c r="CM212" s="153"/>
      <c r="CN212" s="141"/>
      <c r="CO212" s="141"/>
      <c r="CP212" s="153"/>
      <c r="CQ212" s="153"/>
      <c r="EG212" s="24"/>
      <c r="EH212" s="24"/>
    </row>
    <row r="213" spans="1:138" s="125" customFormat="1" ht="45.75">
      <c r="A213" s="199" t="s">
        <v>125</v>
      </c>
      <c r="B213" s="134">
        <v>2</v>
      </c>
      <c r="C213" s="134"/>
      <c r="D213" s="134"/>
      <c r="E213" s="127"/>
      <c r="F213" s="127" t="str">
        <f t="shared" si="71"/>
        <v/>
      </c>
      <c r="G213" s="132"/>
      <c r="H213" s="127"/>
      <c r="I213" s="127"/>
      <c r="J213" s="132"/>
      <c r="K213" s="132" t="str">
        <f t="shared" si="77"/>
        <v/>
      </c>
      <c r="L213" s="132" t="str">
        <f t="shared" si="73"/>
        <v/>
      </c>
      <c r="M213" s="198" t="str">
        <f t="shared" si="78"/>
        <v/>
      </c>
      <c r="N213" s="127">
        <f t="shared" si="74"/>
        <v>0</v>
      </c>
      <c r="O213" s="127"/>
      <c r="P213" s="133" t="str">
        <f t="shared" si="75"/>
        <v/>
      </c>
      <c r="Q213" s="133" t="str">
        <f t="shared" si="76"/>
        <v/>
      </c>
      <c r="R213" s="127"/>
      <c r="S213" s="127"/>
      <c r="T213" s="127"/>
      <c r="U213" s="127"/>
      <c r="V213" s="127"/>
      <c r="W213" s="127"/>
      <c r="X213" s="127"/>
      <c r="Y213" s="127"/>
      <c r="Z213" s="127"/>
      <c r="AA213" s="127"/>
      <c r="AB213" s="127"/>
      <c r="AC213" s="127"/>
      <c r="AD213" s="127"/>
      <c r="AE213" s="127"/>
      <c r="AF213" s="127"/>
      <c r="AG213" s="127"/>
      <c r="AH213" s="127"/>
      <c r="AI213" s="127"/>
      <c r="AJ213" s="127"/>
      <c r="AK213" s="127"/>
      <c r="AL213" s="127"/>
      <c r="AM213" s="127"/>
      <c r="AN213" s="127"/>
      <c r="AO213" s="127"/>
      <c r="AP213" s="127"/>
      <c r="AQ213" s="127"/>
      <c r="AR213" s="127"/>
      <c r="AS213" s="127"/>
      <c r="AT213" s="127"/>
      <c r="AU213" s="197"/>
      <c r="BI213" s="130"/>
      <c r="BO213" s="254"/>
      <c r="BP213" s="254"/>
      <c r="BQ213" s="254"/>
      <c r="CL213" s="153"/>
      <c r="CM213" s="153"/>
      <c r="CN213" s="141"/>
      <c r="CO213" s="141"/>
      <c r="CP213" s="153"/>
      <c r="CQ213" s="153"/>
      <c r="EG213" s="24"/>
      <c r="EH213" s="24"/>
    </row>
    <row r="214" spans="1:138" s="125" customFormat="1" ht="45.75">
      <c r="A214" s="199" t="s">
        <v>121</v>
      </c>
      <c r="B214" s="134">
        <v>8</v>
      </c>
      <c r="C214" s="134"/>
      <c r="D214" s="134"/>
      <c r="E214" s="127"/>
      <c r="F214" s="127" t="str">
        <f t="shared" si="71"/>
        <v/>
      </c>
      <c r="G214" s="132"/>
      <c r="H214" s="127"/>
      <c r="I214" s="127"/>
      <c r="J214" s="132"/>
      <c r="K214" s="132" t="str">
        <f t="shared" si="77"/>
        <v/>
      </c>
      <c r="L214" s="132" t="str">
        <f t="shared" si="73"/>
        <v/>
      </c>
      <c r="M214" s="198" t="str">
        <f t="shared" si="78"/>
        <v/>
      </c>
      <c r="N214" s="127">
        <f t="shared" si="74"/>
        <v>0</v>
      </c>
      <c r="O214" s="127"/>
      <c r="P214" s="133" t="str">
        <f t="shared" si="75"/>
        <v/>
      </c>
      <c r="Q214" s="133" t="str">
        <f t="shared" si="76"/>
        <v/>
      </c>
      <c r="R214" s="127"/>
      <c r="S214" s="127"/>
      <c r="T214" s="127"/>
      <c r="U214" s="127"/>
      <c r="V214" s="127"/>
      <c r="W214" s="127"/>
      <c r="X214" s="127"/>
      <c r="Y214" s="127"/>
      <c r="Z214" s="127"/>
      <c r="AA214" s="127"/>
      <c r="AB214" s="127"/>
      <c r="AC214" s="127"/>
      <c r="AD214" s="127"/>
      <c r="AE214" s="127"/>
      <c r="AF214" s="127"/>
      <c r="AG214" s="127"/>
      <c r="AH214" s="127"/>
      <c r="AI214" s="127"/>
      <c r="AJ214" s="127"/>
      <c r="AK214" s="127"/>
      <c r="AL214" s="127"/>
      <c r="AM214" s="127"/>
      <c r="AN214" s="127"/>
      <c r="AO214" s="127"/>
      <c r="AP214" s="127"/>
      <c r="AQ214" s="127"/>
      <c r="AR214" s="127"/>
      <c r="AS214" s="127"/>
      <c r="AT214" s="127"/>
      <c r="AU214" s="197"/>
      <c r="BI214" s="130"/>
      <c r="BO214" s="254"/>
      <c r="BP214" s="254"/>
      <c r="BQ214" s="254"/>
      <c r="CL214" s="153"/>
      <c r="CM214" s="153"/>
      <c r="CN214" s="141"/>
      <c r="CO214" s="141"/>
      <c r="CP214" s="153"/>
      <c r="CQ214" s="153"/>
      <c r="EG214" s="24"/>
      <c r="EH214" s="24"/>
    </row>
    <row r="215" spans="1:138" s="125" customFormat="1" ht="45.75">
      <c r="A215" s="127"/>
      <c r="B215" s="127"/>
      <c r="C215" s="127"/>
      <c r="D215" s="127"/>
      <c r="E215" s="127"/>
      <c r="F215" s="127" t="str">
        <f t="shared" si="71"/>
        <v/>
      </c>
      <c r="G215" s="132"/>
      <c r="H215" s="127"/>
      <c r="I215" s="127"/>
      <c r="J215" s="132"/>
      <c r="K215" s="132" t="str">
        <f t="shared" si="77"/>
        <v/>
      </c>
      <c r="L215" s="132" t="str">
        <f t="shared" si="73"/>
        <v/>
      </c>
      <c r="M215" s="198" t="str">
        <f t="shared" si="78"/>
        <v/>
      </c>
      <c r="N215" s="127">
        <f t="shared" si="74"/>
        <v>0</v>
      </c>
      <c r="O215" s="127"/>
      <c r="P215" s="133" t="str">
        <f t="shared" si="75"/>
        <v/>
      </c>
      <c r="Q215" s="133" t="str">
        <f t="shared" si="76"/>
        <v/>
      </c>
      <c r="R215" s="127"/>
      <c r="S215" s="127"/>
      <c r="T215" s="127"/>
      <c r="U215" s="127"/>
      <c r="V215" s="127"/>
      <c r="W215" s="127"/>
      <c r="X215" s="127"/>
      <c r="Y215" s="127"/>
      <c r="Z215" s="127"/>
      <c r="AA215" s="127"/>
      <c r="AB215" s="127"/>
      <c r="AC215" s="127"/>
      <c r="AD215" s="127"/>
      <c r="AE215" s="127"/>
      <c r="AF215" s="127"/>
      <c r="AG215" s="127"/>
      <c r="AH215" s="127"/>
      <c r="AI215" s="127"/>
      <c r="AJ215" s="127"/>
      <c r="AK215" s="127"/>
      <c r="AL215" s="127"/>
      <c r="AM215" s="127"/>
      <c r="AN215" s="127"/>
      <c r="AO215" s="127"/>
      <c r="AP215" s="127"/>
      <c r="AQ215" s="127"/>
      <c r="AR215" s="127"/>
      <c r="AS215" s="127"/>
      <c r="AT215" s="127"/>
      <c r="AU215" s="197"/>
      <c r="BI215" s="130"/>
      <c r="BO215" s="254"/>
      <c r="BP215" s="254"/>
      <c r="BQ215" s="254"/>
      <c r="CL215" s="153"/>
      <c r="CM215" s="153"/>
      <c r="CN215" s="141"/>
      <c r="CO215" s="141"/>
      <c r="CP215" s="153"/>
      <c r="CQ215" s="153"/>
      <c r="EG215" s="24"/>
      <c r="EH215" s="24"/>
    </row>
    <row r="216" spans="1:138" s="125" customFormat="1" ht="45.75">
      <c r="A216" s="127"/>
      <c r="B216" s="127"/>
      <c r="C216" s="127"/>
      <c r="D216" s="127"/>
      <c r="E216" s="127"/>
      <c r="F216" s="127" t="str">
        <f t="shared" si="71"/>
        <v/>
      </c>
      <c r="G216" s="132"/>
      <c r="H216" s="127"/>
      <c r="I216" s="127"/>
      <c r="J216" s="132"/>
      <c r="K216" s="132" t="str">
        <f t="shared" si="77"/>
        <v/>
      </c>
      <c r="L216" s="132" t="str">
        <f t="shared" si="73"/>
        <v/>
      </c>
      <c r="M216" s="198" t="str">
        <f t="shared" si="78"/>
        <v/>
      </c>
      <c r="N216" s="127">
        <f t="shared" si="74"/>
        <v>0</v>
      </c>
      <c r="O216" s="127"/>
      <c r="P216" s="133" t="str">
        <f t="shared" si="75"/>
        <v/>
      </c>
      <c r="Q216" s="133" t="str">
        <f t="shared" si="76"/>
        <v/>
      </c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/>
      <c r="AI216" s="127"/>
      <c r="AJ216" s="127"/>
      <c r="AK216" s="127"/>
      <c r="AL216" s="127"/>
      <c r="AM216" s="127"/>
      <c r="AN216" s="127"/>
      <c r="AO216" s="127"/>
      <c r="AP216" s="127"/>
      <c r="AQ216" s="127"/>
      <c r="AR216" s="127"/>
      <c r="AS216" s="127"/>
      <c r="AT216" s="127"/>
      <c r="AU216" s="197"/>
      <c r="BI216" s="130"/>
      <c r="BO216" s="254"/>
      <c r="BP216" s="254"/>
      <c r="BQ216" s="254"/>
      <c r="CL216" s="153"/>
      <c r="CM216" s="153"/>
      <c r="CN216" s="141"/>
      <c r="CO216" s="141"/>
      <c r="CP216" s="153"/>
      <c r="CQ216" s="153"/>
      <c r="EG216" s="24"/>
      <c r="EH216" s="24"/>
    </row>
    <row r="217" spans="1:138" s="125" customFormat="1" ht="45.75">
      <c r="A217" s="127"/>
      <c r="B217" s="127"/>
      <c r="C217" s="127"/>
      <c r="D217" s="127"/>
      <c r="E217" s="127"/>
      <c r="F217" s="127" t="str">
        <f t="shared" si="71"/>
        <v/>
      </c>
      <c r="G217" s="132"/>
      <c r="H217" s="127"/>
      <c r="I217" s="127"/>
      <c r="J217" s="132"/>
      <c r="K217" s="132" t="str">
        <f t="shared" si="77"/>
        <v/>
      </c>
      <c r="L217" s="132" t="str">
        <f t="shared" si="73"/>
        <v/>
      </c>
      <c r="M217" s="198" t="str">
        <f t="shared" si="78"/>
        <v/>
      </c>
      <c r="N217" s="127">
        <f t="shared" si="74"/>
        <v>0</v>
      </c>
      <c r="O217" s="127"/>
      <c r="P217" s="133" t="str">
        <f t="shared" si="75"/>
        <v/>
      </c>
      <c r="Q217" s="133" t="str">
        <f t="shared" si="76"/>
        <v/>
      </c>
      <c r="R217" s="127"/>
      <c r="S217" s="127"/>
      <c r="T217" s="127"/>
      <c r="U217" s="127"/>
      <c r="V217" s="127"/>
      <c r="W217" s="127"/>
      <c r="X217" s="127"/>
      <c r="Y217" s="127"/>
      <c r="Z217" s="127"/>
      <c r="AA217" s="127"/>
      <c r="AB217" s="127"/>
      <c r="AC217" s="127"/>
      <c r="AD217" s="127"/>
      <c r="AE217" s="127"/>
      <c r="AF217" s="127"/>
      <c r="AG217" s="127"/>
      <c r="AH217" s="127"/>
      <c r="AI217" s="127"/>
      <c r="AJ217" s="127"/>
      <c r="AK217" s="127"/>
      <c r="AL217" s="127"/>
      <c r="AM217" s="127"/>
      <c r="AN217" s="127"/>
      <c r="AO217" s="127"/>
      <c r="AP217" s="127"/>
      <c r="AQ217" s="127"/>
      <c r="AR217" s="127"/>
      <c r="AS217" s="127"/>
      <c r="AT217" s="127"/>
      <c r="AU217" s="197"/>
      <c r="BI217" s="130"/>
      <c r="BO217" s="254"/>
      <c r="BP217" s="254"/>
      <c r="BQ217" s="254"/>
      <c r="CL217" s="153"/>
      <c r="CM217" s="153"/>
      <c r="CN217" s="141"/>
      <c r="CO217" s="141"/>
      <c r="CP217" s="153"/>
      <c r="CQ217" s="153"/>
      <c r="EG217" s="24"/>
      <c r="EH217" s="24"/>
    </row>
    <row r="218" spans="1:138" s="125" customFormat="1" ht="45.75">
      <c r="A218" s="127"/>
      <c r="B218" s="127"/>
      <c r="C218" s="127"/>
      <c r="D218" s="127"/>
      <c r="E218" s="127"/>
      <c r="F218" s="127" t="str">
        <f t="shared" si="71"/>
        <v/>
      </c>
      <c r="G218" s="132"/>
      <c r="H218" s="127"/>
      <c r="I218" s="127"/>
      <c r="J218" s="132"/>
      <c r="K218" s="132" t="str">
        <f t="shared" si="77"/>
        <v/>
      </c>
      <c r="L218" s="132" t="str">
        <f t="shared" si="73"/>
        <v/>
      </c>
      <c r="M218" s="198" t="str">
        <f t="shared" si="78"/>
        <v/>
      </c>
      <c r="N218" s="127">
        <f t="shared" si="74"/>
        <v>0</v>
      </c>
      <c r="O218" s="127"/>
      <c r="P218" s="133" t="str">
        <f t="shared" si="75"/>
        <v/>
      </c>
      <c r="Q218" s="133" t="str">
        <f t="shared" si="76"/>
        <v/>
      </c>
      <c r="R218" s="127"/>
      <c r="S218" s="127"/>
      <c r="T218" s="127"/>
      <c r="U218" s="127"/>
      <c r="V218" s="127"/>
      <c r="W218" s="127"/>
      <c r="X218" s="127"/>
      <c r="Y218" s="127"/>
      <c r="Z218" s="127"/>
      <c r="AA218" s="127"/>
      <c r="AB218" s="127"/>
      <c r="AC218" s="127"/>
      <c r="AD218" s="127"/>
      <c r="AE218" s="127"/>
      <c r="AF218" s="127"/>
      <c r="AG218" s="127"/>
      <c r="AH218" s="127"/>
      <c r="AI218" s="127"/>
      <c r="AJ218" s="127"/>
      <c r="AK218" s="127"/>
      <c r="AL218" s="127"/>
      <c r="AM218" s="127"/>
      <c r="AN218" s="127"/>
      <c r="AO218" s="127"/>
      <c r="AP218" s="127"/>
      <c r="AQ218" s="127"/>
      <c r="AR218" s="127"/>
      <c r="AS218" s="127"/>
      <c r="AT218" s="127"/>
      <c r="AU218" s="197"/>
      <c r="BI218" s="130"/>
      <c r="BO218" s="254"/>
      <c r="BP218" s="254"/>
      <c r="BQ218" s="254"/>
      <c r="CL218" s="153"/>
      <c r="CM218" s="153"/>
      <c r="CN218" s="141"/>
      <c r="CO218" s="141"/>
      <c r="CP218" s="153"/>
      <c r="CQ218" s="153"/>
      <c r="EG218" s="24"/>
      <c r="EH218" s="24"/>
    </row>
    <row r="219" spans="1:138" s="125" customFormat="1" ht="45.75">
      <c r="A219" s="127"/>
      <c r="B219" s="127"/>
      <c r="C219" s="127"/>
      <c r="D219" s="127"/>
      <c r="E219" s="127"/>
      <c r="F219" s="127" t="str">
        <f t="shared" si="71"/>
        <v/>
      </c>
      <c r="G219" s="132"/>
      <c r="H219" s="127"/>
      <c r="I219" s="127"/>
      <c r="J219" s="132"/>
      <c r="K219" s="132" t="str">
        <f t="shared" si="77"/>
        <v/>
      </c>
      <c r="L219" s="132" t="str">
        <f t="shared" si="73"/>
        <v/>
      </c>
      <c r="M219" s="198" t="str">
        <f t="shared" si="78"/>
        <v/>
      </c>
      <c r="N219" s="127">
        <f t="shared" si="74"/>
        <v>0</v>
      </c>
      <c r="O219" s="127"/>
      <c r="P219" s="133" t="str">
        <f t="shared" si="75"/>
        <v/>
      </c>
      <c r="Q219" s="133" t="str">
        <f t="shared" si="76"/>
        <v/>
      </c>
      <c r="R219" s="127"/>
      <c r="S219" s="127"/>
      <c r="T219" s="127"/>
      <c r="U219" s="127"/>
      <c r="V219" s="127"/>
      <c r="W219" s="127"/>
      <c r="X219" s="127"/>
      <c r="Y219" s="127"/>
      <c r="Z219" s="127"/>
      <c r="AA219" s="127"/>
      <c r="AB219" s="127"/>
      <c r="AC219" s="127"/>
      <c r="AD219" s="127"/>
      <c r="AE219" s="127"/>
      <c r="AF219" s="127"/>
      <c r="AG219" s="127"/>
      <c r="AH219" s="127"/>
      <c r="AI219" s="127"/>
      <c r="AJ219" s="127"/>
      <c r="AK219" s="127"/>
      <c r="AL219" s="127"/>
      <c r="AM219" s="127"/>
      <c r="AN219" s="127"/>
      <c r="AO219" s="127"/>
      <c r="AP219" s="127"/>
      <c r="AQ219" s="127"/>
      <c r="AR219" s="127"/>
      <c r="AS219" s="127"/>
      <c r="AT219" s="127"/>
      <c r="AU219" s="197"/>
      <c r="BI219" s="130"/>
      <c r="BO219" s="254"/>
      <c r="BP219" s="254"/>
      <c r="BQ219" s="254"/>
      <c r="CL219" s="153"/>
      <c r="CM219" s="153"/>
      <c r="CN219" s="141"/>
      <c r="CO219" s="141"/>
      <c r="CP219" s="153"/>
      <c r="CQ219" s="153"/>
      <c r="EG219" s="24"/>
      <c r="EH219" s="24"/>
    </row>
    <row r="220" spans="1:138" s="125" customFormat="1" ht="45.75">
      <c r="A220" s="127"/>
      <c r="B220" s="127"/>
      <c r="C220" s="127"/>
      <c r="D220" s="127"/>
      <c r="E220" s="127"/>
      <c r="F220" s="127" t="str">
        <f t="shared" si="71"/>
        <v/>
      </c>
      <c r="G220" s="132"/>
      <c r="H220" s="127"/>
      <c r="I220" s="127"/>
      <c r="J220" s="132"/>
      <c r="K220" s="132" t="str">
        <f t="shared" si="77"/>
        <v/>
      </c>
      <c r="L220" s="132" t="str">
        <f t="shared" si="73"/>
        <v/>
      </c>
      <c r="M220" s="198" t="str">
        <f t="shared" si="78"/>
        <v/>
      </c>
      <c r="N220" s="127">
        <f t="shared" si="74"/>
        <v>0</v>
      </c>
      <c r="O220" s="127"/>
      <c r="P220" s="133" t="str">
        <f t="shared" si="75"/>
        <v/>
      </c>
      <c r="Q220" s="133" t="str">
        <f t="shared" si="76"/>
        <v/>
      </c>
      <c r="R220" s="127"/>
      <c r="S220" s="127"/>
      <c r="T220" s="127"/>
      <c r="U220" s="127"/>
      <c r="V220" s="127"/>
      <c r="W220" s="127"/>
      <c r="X220" s="127"/>
      <c r="Y220" s="127"/>
      <c r="Z220" s="127"/>
      <c r="AA220" s="127"/>
      <c r="AB220" s="127"/>
      <c r="AC220" s="127"/>
      <c r="AD220" s="127"/>
      <c r="AE220" s="127"/>
      <c r="AF220" s="127"/>
      <c r="AG220" s="127"/>
      <c r="AH220" s="127"/>
      <c r="AI220" s="127"/>
      <c r="AJ220" s="127"/>
      <c r="AK220" s="127"/>
      <c r="AL220" s="127"/>
      <c r="AM220" s="127"/>
      <c r="AN220" s="127"/>
      <c r="AO220" s="127"/>
      <c r="AP220" s="127"/>
      <c r="AQ220" s="127"/>
      <c r="AR220" s="127"/>
      <c r="AS220" s="127"/>
      <c r="AT220" s="127"/>
      <c r="AU220" s="197"/>
      <c r="BI220" s="130"/>
      <c r="BO220" s="254"/>
      <c r="BP220" s="254"/>
      <c r="BQ220" s="254"/>
      <c r="CL220" s="153"/>
      <c r="CM220" s="153"/>
      <c r="CN220" s="141"/>
      <c r="CO220" s="141"/>
      <c r="CP220" s="153"/>
      <c r="CQ220" s="153"/>
      <c r="EG220" s="24"/>
      <c r="EH220" s="24"/>
    </row>
    <row r="221" spans="1:138" s="125" customFormat="1" ht="45.75">
      <c r="A221" s="127"/>
      <c r="B221" s="127"/>
      <c r="C221" s="127"/>
      <c r="D221" s="127"/>
      <c r="E221" s="127"/>
      <c r="F221" s="127" t="str">
        <f t="shared" si="71"/>
        <v/>
      </c>
      <c r="G221" s="132"/>
      <c r="H221" s="127"/>
      <c r="I221" s="127"/>
      <c r="J221" s="132"/>
      <c r="K221" s="132" t="str">
        <f t="shared" si="77"/>
        <v/>
      </c>
      <c r="L221" s="132" t="str">
        <f t="shared" si="73"/>
        <v/>
      </c>
      <c r="M221" s="198" t="str">
        <f t="shared" si="78"/>
        <v/>
      </c>
      <c r="N221" s="127">
        <f t="shared" si="74"/>
        <v>0</v>
      </c>
      <c r="O221" s="127"/>
      <c r="P221" s="133" t="str">
        <f t="shared" si="75"/>
        <v/>
      </c>
      <c r="Q221" s="133" t="str">
        <f t="shared" si="76"/>
        <v/>
      </c>
      <c r="R221" s="127"/>
      <c r="S221" s="127"/>
      <c r="T221" s="127"/>
      <c r="U221" s="127"/>
      <c r="V221" s="127"/>
      <c r="W221" s="127"/>
      <c r="X221" s="127"/>
      <c r="Y221" s="127"/>
      <c r="Z221" s="127"/>
      <c r="AA221" s="127"/>
      <c r="AB221" s="127"/>
      <c r="AC221" s="127"/>
      <c r="AD221" s="127"/>
      <c r="AE221" s="127"/>
      <c r="AF221" s="127"/>
      <c r="AG221" s="127"/>
      <c r="AH221" s="127"/>
      <c r="AI221" s="127"/>
      <c r="AJ221" s="127"/>
      <c r="AK221" s="127"/>
      <c r="AL221" s="127"/>
      <c r="AM221" s="127"/>
      <c r="AN221" s="127"/>
      <c r="AO221" s="127"/>
      <c r="AP221" s="127"/>
      <c r="AQ221" s="127"/>
      <c r="AR221" s="127"/>
      <c r="AS221" s="127"/>
      <c r="AT221" s="127"/>
      <c r="AU221" s="197"/>
      <c r="BI221" s="130"/>
      <c r="BO221" s="254"/>
      <c r="BP221" s="254"/>
      <c r="BQ221" s="254"/>
      <c r="CL221" s="153"/>
      <c r="CM221" s="153"/>
      <c r="CN221" s="141"/>
      <c r="CO221" s="141"/>
      <c r="CP221" s="153"/>
      <c r="CQ221" s="153"/>
      <c r="EG221" s="24"/>
      <c r="EH221" s="24"/>
    </row>
    <row r="222" spans="1:138" s="125" customFormat="1" ht="45.75">
      <c r="A222" s="127"/>
      <c r="B222" s="127"/>
      <c r="C222" s="127"/>
      <c r="D222" s="127"/>
      <c r="E222" s="127"/>
      <c r="F222" s="127" t="str">
        <f t="shared" si="71"/>
        <v/>
      </c>
      <c r="G222" s="132"/>
      <c r="H222" s="127"/>
      <c r="I222" s="127"/>
      <c r="J222" s="132"/>
      <c r="K222" s="132" t="str">
        <f t="shared" si="77"/>
        <v/>
      </c>
      <c r="L222" s="132" t="str">
        <f t="shared" si="73"/>
        <v/>
      </c>
      <c r="M222" s="198" t="str">
        <f t="shared" si="78"/>
        <v/>
      </c>
      <c r="N222" s="127">
        <f t="shared" si="74"/>
        <v>0</v>
      </c>
      <c r="O222" s="127"/>
      <c r="P222" s="133" t="str">
        <f t="shared" si="75"/>
        <v/>
      </c>
      <c r="Q222" s="133" t="str">
        <f t="shared" si="76"/>
        <v/>
      </c>
      <c r="R222" s="127"/>
      <c r="S222" s="127"/>
      <c r="T222" s="127"/>
      <c r="U222" s="127"/>
      <c r="V222" s="127"/>
      <c r="W222" s="127"/>
      <c r="X222" s="127"/>
      <c r="Y222" s="127"/>
      <c r="Z222" s="127"/>
      <c r="AA222" s="127"/>
      <c r="AB222" s="127"/>
      <c r="AC222" s="127"/>
      <c r="AD222" s="127"/>
      <c r="AE222" s="127"/>
      <c r="AF222" s="127"/>
      <c r="AG222" s="127"/>
      <c r="AH222" s="127"/>
      <c r="AI222" s="127"/>
      <c r="AJ222" s="127"/>
      <c r="AK222" s="127"/>
      <c r="AL222" s="127"/>
      <c r="AM222" s="127"/>
      <c r="AN222" s="127"/>
      <c r="AO222" s="127"/>
      <c r="AP222" s="127"/>
      <c r="AQ222" s="127"/>
      <c r="AR222" s="127"/>
      <c r="AS222" s="127"/>
      <c r="AT222" s="127"/>
      <c r="AU222" s="197"/>
      <c r="BI222" s="130"/>
      <c r="BO222" s="254"/>
      <c r="BP222" s="254"/>
      <c r="BQ222" s="254"/>
      <c r="CL222" s="153"/>
      <c r="CM222" s="153"/>
      <c r="CN222" s="141"/>
      <c r="CO222" s="141"/>
      <c r="CP222" s="153"/>
      <c r="CQ222" s="153"/>
      <c r="EG222" s="24"/>
      <c r="EH222" s="24"/>
    </row>
    <row r="223" spans="1:138" s="125" customFormat="1" ht="45.75">
      <c r="A223" s="127"/>
      <c r="B223" s="127"/>
      <c r="C223" s="127"/>
      <c r="D223" s="127"/>
      <c r="E223" s="127"/>
      <c r="F223" s="127" t="str">
        <f t="shared" si="71"/>
        <v/>
      </c>
      <c r="G223" s="132"/>
      <c r="H223" s="127"/>
      <c r="I223" s="127"/>
      <c r="J223" s="132"/>
      <c r="K223" s="132" t="str">
        <f t="shared" si="77"/>
        <v/>
      </c>
      <c r="L223" s="132" t="str">
        <f t="shared" si="73"/>
        <v/>
      </c>
      <c r="M223" s="198" t="str">
        <f t="shared" si="78"/>
        <v/>
      </c>
      <c r="N223" s="127">
        <f t="shared" si="74"/>
        <v>0</v>
      </c>
      <c r="O223" s="127"/>
      <c r="P223" s="133" t="str">
        <f t="shared" si="75"/>
        <v/>
      </c>
      <c r="Q223" s="133" t="str">
        <f t="shared" si="76"/>
        <v/>
      </c>
      <c r="R223" s="127"/>
      <c r="S223" s="127"/>
      <c r="T223" s="127"/>
      <c r="U223" s="127"/>
      <c r="V223" s="127"/>
      <c r="W223" s="127"/>
      <c r="X223" s="127"/>
      <c r="Y223" s="127"/>
      <c r="Z223" s="127"/>
      <c r="AA223" s="127"/>
      <c r="AB223" s="127"/>
      <c r="AC223" s="127"/>
      <c r="AD223" s="127"/>
      <c r="AE223" s="127"/>
      <c r="AF223" s="127"/>
      <c r="AG223" s="127"/>
      <c r="AH223" s="127"/>
      <c r="AI223" s="127"/>
      <c r="AJ223" s="127"/>
      <c r="AK223" s="127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97"/>
      <c r="BI223" s="130"/>
      <c r="BO223" s="254"/>
      <c r="BP223" s="254"/>
      <c r="BQ223" s="254"/>
      <c r="CL223" s="153"/>
      <c r="CM223" s="153"/>
      <c r="CN223" s="141"/>
      <c r="CO223" s="141"/>
      <c r="CP223" s="153"/>
      <c r="CQ223" s="153"/>
      <c r="EG223" s="24"/>
      <c r="EH223" s="24"/>
    </row>
    <row r="224" spans="1:138" s="125" customFormat="1" ht="45.75">
      <c r="A224" s="127"/>
      <c r="B224" s="127"/>
      <c r="C224" s="127"/>
      <c r="D224" s="127"/>
      <c r="E224" s="127"/>
      <c r="F224" s="127" t="str">
        <f t="shared" si="71"/>
        <v/>
      </c>
      <c r="G224" s="132"/>
      <c r="H224" s="127"/>
      <c r="I224" s="127"/>
      <c r="J224" s="132"/>
      <c r="K224" s="132" t="str">
        <f t="shared" si="77"/>
        <v/>
      </c>
      <c r="L224" s="132" t="str">
        <f t="shared" si="73"/>
        <v/>
      </c>
      <c r="M224" s="198" t="str">
        <f t="shared" si="78"/>
        <v/>
      </c>
      <c r="N224" s="127">
        <f t="shared" si="74"/>
        <v>0</v>
      </c>
      <c r="O224" s="127"/>
      <c r="P224" s="133" t="str">
        <f t="shared" si="75"/>
        <v/>
      </c>
      <c r="Q224" s="133" t="str">
        <f t="shared" si="76"/>
        <v/>
      </c>
      <c r="R224" s="127"/>
      <c r="S224" s="127"/>
      <c r="T224" s="127"/>
      <c r="U224" s="127"/>
      <c r="V224" s="127"/>
      <c r="W224" s="127"/>
      <c r="X224" s="127"/>
      <c r="Y224" s="127"/>
      <c r="Z224" s="127"/>
      <c r="AA224" s="127"/>
      <c r="AB224" s="127"/>
      <c r="AC224" s="127"/>
      <c r="AD224" s="127"/>
      <c r="AE224" s="127"/>
      <c r="AF224" s="127"/>
      <c r="AG224" s="127"/>
      <c r="AH224" s="127"/>
      <c r="AI224" s="127"/>
      <c r="AJ224" s="127"/>
      <c r="AK224" s="127"/>
      <c r="AL224" s="127"/>
      <c r="AM224" s="127"/>
      <c r="AN224" s="127"/>
      <c r="AO224" s="127"/>
      <c r="AP224" s="127"/>
      <c r="AQ224" s="127"/>
      <c r="AR224" s="127"/>
      <c r="AS224" s="127"/>
      <c r="AT224" s="127"/>
      <c r="AU224" s="197"/>
      <c r="BI224" s="130"/>
      <c r="BO224" s="254"/>
      <c r="BP224" s="254"/>
      <c r="BQ224" s="254"/>
      <c r="CL224" s="153"/>
      <c r="CM224" s="153"/>
      <c r="CN224" s="141"/>
      <c r="CO224" s="141"/>
      <c r="CP224" s="153"/>
      <c r="CQ224" s="153"/>
      <c r="EG224" s="24"/>
      <c r="EH224" s="24"/>
    </row>
    <row r="225" spans="1:138" s="125" customFormat="1" ht="45.75">
      <c r="A225" s="127"/>
      <c r="B225" s="127"/>
      <c r="C225" s="127"/>
      <c r="D225" s="127"/>
      <c r="E225" s="127"/>
      <c r="F225" s="127" t="str">
        <f t="shared" si="71"/>
        <v/>
      </c>
      <c r="G225" s="132"/>
      <c r="H225" s="127"/>
      <c r="I225" s="127"/>
      <c r="J225" s="132"/>
      <c r="K225" s="132" t="str">
        <f t="shared" si="77"/>
        <v/>
      </c>
      <c r="L225" s="132" t="str">
        <f t="shared" si="73"/>
        <v/>
      </c>
      <c r="M225" s="198" t="str">
        <f t="shared" si="78"/>
        <v/>
      </c>
      <c r="N225" s="127">
        <f t="shared" si="74"/>
        <v>0</v>
      </c>
      <c r="O225" s="127"/>
      <c r="P225" s="133" t="str">
        <f t="shared" si="75"/>
        <v/>
      </c>
      <c r="Q225" s="133" t="str">
        <f t="shared" si="76"/>
        <v/>
      </c>
      <c r="R225" s="127"/>
      <c r="S225" s="127"/>
      <c r="T225" s="127"/>
      <c r="U225" s="127"/>
      <c r="V225" s="127"/>
      <c r="W225" s="127"/>
      <c r="X225" s="127"/>
      <c r="Y225" s="127"/>
      <c r="Z225" s="127"/>
      <c r="AA225" s="127"/>
      <c r="AB225" s="127"/>
      <c r="AC225" s="127"/>
      <c r="AD225" s="127"/>
      <c r="AE225" s="127"/>
      <c r="AF225" s="127" t="s">
        <v>86</v>
      </c>
      <c r="AG225" s="127"/>
      <c r="AH225" s="127"/>
      <c r="AI225" s="127"/>
      <c r="AJ225" s="127"/>
      <c r="AK225" s="127"/>
      <c r="AL225" s="127"/>
      <c r="AM225" s="127"/>
      <c r="AN225" s="127"/>
      <c r="AO225" s="127"/>
      <c r="AP225" s="127"/>
      <c r="AQ225" s="127"/>
      <c r="AR225" s="127"/>
      <c r="AS225" s="127"/>
      <c r="AT225" s="127"/>
      <c r="AU225" s="197"/>
      <c r="BI225" s="130"/>
      <c r="BO225" s="254"/>
      <c r="BP225" s="254"/>
      <c r="BQ225" s="254"/>
      <c r="CL225" s="153"/>
      <c r="CM225" s="153"/>
      <c r="CN225" s="141"/>
      <c r="CO225" s="141"/>
      <c r="CP225" s="153"/>
      <c r="CQ225" s="153"/>
      <c r="EG225" s="24"/>
      <c r="EH225" s="24"/>
    </row>
    <row r="226" spans="1:138" s="125" customFormat="1" ht="45.75">
      <c r="A226" s="127"/>
      <c r="B226" s="127"/>
      <c r="C226" s="127"/>
      <c r="D226" s="127"/>
      <c r="E226" s="127"/>
      <c r="F226" s="127" t="str">
        <f t="shared" si="71"/>
        <v/>
      </c>
      <c r="G226" s="132"/>
      <c r="H226" s="127"/>
      <c r="I226" s="127"/>
      <c r="J226" s="132"/>
      <c r="K226" s="132" t="str">
        <f t="shared" si="77"/>
        <v/>
      </c>
      <c r="L226" s="132" t="str">
        <f t="shared" si="73"/>
        <v/>
      </c>
      <c r="M226" s="198" t="str">
        <f t="shared" si="78"/>
        <v/>
      </c>
      <c r="N226" s="127">
        <f t="shared" si="74"/>
        <v>0</v>
      </c>
      <c r="O226" s="127"/>
      <c r="P226" s="133" t="str">
        <f t="shared" si="75"/>
        <v/>
      </c>
      <c r="Q226" s="133" t="str">
        <f t="shared" si="76"/>
        <v/>
      </c>
      <c r="R226" s="127"/>
      <c r="S226" s="127"/>
      <c r="T226" s="127"/>
      <c r="U226" s="127"/>
      <c r="V226" s="127"/>
      <c r="W226" s="127"/>
      <c r="X226" s="127"/>
      <c r="Y226" s="127"/>
      <c r="Z226" s="127"/>
      <c r="AA226" s="127"/>
      <c r="AB226" s="127"/>
      <c r="AC226" s="127"/>
      <c r="AD226" s="127"/>
      <c r="AE226" s="127"/>
      <c r="AF226" s="127"/>
      <c r="AG226" s="127"/>
      <c r="AH226" s="127"/>
      <c r="AI226" s="127"/>
      <c r="AJ226" s="127"/>
      <c r="AK226" s="127"/>
      <c r="AL226" s="127"/>
      <c r="AM226" s="127"/>
      <c r="AN226" s="127"/>
      <c r="AO226" s="127"/>
      <c r="AP226" s="127"/>
      <c r="AQ226" s="127"/>
      <c r="AR226" s="127"/>
      <c r="AS226" s="127"/>
      <c r="AT226" s="127"/>
      <c r="AU226" s="197"/>
      <c r="BI226" s="130"/>
      <c r="BO226" s="254"/>
      <c r="BP226" s="254"/>
      <c r="BQ226" s="254"/>
      <c r="CL226" s="153"/>
      <c r="CM226" s="153"/>
      <c r="CN226" s="141"/>
      <c r="CO226" s="141"/>
      <c r="CP226" s="153"/>
      <c r="CQ226" s="153"/>
      <c r="EG226" s="24"/>
      <c r="EH226" s="24"/>
    </row>
    <row r="227" spans="1:138" s="125" customFormat="1" ht="45.75">
      <c r="A227" s="127"/>
      <c r="B227" s="127"/>
      <c r="C227" s="127"/>
      <c r="D227" s="127"/>
      <c r="E227" s="127"/>
      <c r="F227" s="127" t="str">
        <f t="shared" si="71"/>
        <v/>
      </c>
      <c r="G227" s="132"/>
      <c r="H227" s="127"/>
      <c r="I227" s="127"/>
      <c r="J227" s="132"/>
      <c r="K227" s="132" t="str">
        <f t="shared" si="77"/>
        <v/>
      </c>
      <c r="L227" s="132" t="str">
        <f t="shared" si="73"/>
        <v/>
      </c>
      <c r="M227" s="198" t="str">
        <f t="shared" si="78"/>
        <v/>
      </c>
      <c r="N227" s="127">
        <f t="shared" si="74"/>
        <v>0</v>
      </c>
      <c r="O227" s="127"/>
      <c r="P227" s="133" t="str">
        <f t="shared" si="75"/>
        <v/>
      </c>
      <c r="Q227" s="133" t="str">
        <f t="shared" si="76"/>
        <v/>
      </c>
      <c r="R227" s="127"/>
      <c r="S227" s="127"/>
      <c r="T227" s="127"/>
      <c r="U227" s="127"/>
      <c r="V227" s="127"/>
      <c r="W227" s="127"/>
      <c r="X227" s="127"/>
      <c r="Y227" s="127"/>
      <c r="Z227" s="127"/>
      <c r="AA227" s="127"/>
      <c r="AB227" s="127"/>
      <c r="AC227" s="127"/>
      <c r="AD227" s="127"/>
      <c r="AE227" s="127"/>
      <c r="AF227" s="127"/>
      <c r="AG227" s="127"/>
      <c r="AH227" s="127"/>
      <c r="AI227" s="127"/>
      <c r="AJ227" s="127"/>
      <c r="AK227" s="127"/>
      <c r="AL227" s="127"/>
      <c r="AM227" s="127"/>
      <c r="AN227" s="127"/>
      <c r="AO227" s="127"/>
      <c r="AP227" s="127"/>
      <c r="AQ227" s="127"/>
      <c r="AR227" s="127"/>
      <c r="AS227" s="127"/>
      <c r="AT227" s="127"/>
      <c r="AU227" s="197"/>
      <c r="BI227" s="130"/>
      <c r="BO227" s="254"/>
      <c r="BP227" s="254"/>
      <c r="BQ227" s="254"/>
      <c r="CL227" s="153"/>
      <c r="CM227" s="153"/>
      <c r="CN227" s="141"/>
      <c r="CO227" s="141"/>
      <c r="CP227" s="153"/>
      <c r="CQ227" s="153"/>
      <c r="EG227" s="24"/>
      <c r="EH227" s="24"/>
    </row>
    <row r="228" spans="1:138" s="125" customFormat="1" ht="45.75">
      <c r="A228" s="127"/>
      <c r="B228" s="127"/>
      <c r="C228" s="127"/>
      <c r="D228" s="127"/>
      <c r="E228" s="127"/>
      <c r="F228" s="127" t="str">
        <f t="shared" si="71"/>
        <v/>
      </c>
      <c r="G228" s="132"/>
      <c r="H228" s="127"/>
      <c r="I228" s="127"/>
      <c r="J228" s="132"/>
      <c r="K228" s="132" t="str">
        <f t="shared" si="77"/>
        <v/>
      </c>
      <c r="L228" s="132" t="str">
        <f t="shared" si="73"/>
        <v/>
      </c>
      <c r="M228" s="198" t="str">
        <f t="shared" si="78"/>
        <v/>
      </c>
      <c r="N228" s="127">
        <f t="shared" si="74"/>
        <v>0</v>
      </c>
      <c r="O228" s="127"/>
      <c r="P228" s="133" t="str">
        <f t="shared" si="75"/>
        <v/>
      </c>
      <c r="Q228" s="133" t="str">
        <f t="shared" si="76"/>
        <v/>
      </c>
      <c r="R228" s="127"/>
      <c r="S228" s="127"/>
      <c r="T228" s="127"/>
      <c r="U228" s="127"/>
      <c r="V228" s="127"/>
      <c r="W228" s="127"/>
      <c r="X228" s="127"/>
      <c r="Y228" s="127"/>
      <c r="Z228" s="127"/>
      <c r="AA228" s="127"/>
      <c r="AB228" s="127"/>
      <c r="AC228" s="127"/>
      <c r="AD228" s="127"/>
      <c r="AE228" s="127"/>
      <c r="AF228" s="127"/>
      <c r="AG228" s="127"/>
      <c r="AH228" s="127"/>
      <c r="AI228" s="127"/>
      <c r="AJ228" s="127"/>
      <c r="AK228" s="127"/>
      <c r="AL228" s="127"/>
      <c r="AM228" s="127"/>
      <c r="AN228" s="127"/>
      <c r="AO228" s="127"/>
      <c r="AP228" s="127"/>
      <c r="AQ228" s="127"/>
      <c r="AR228" s="127"/>
      <c r="AS228" s="127"/>
      <c r="AT228" s="127"/>
      <c r="AU228" s="197"/>
      <c r="BI228" s="130"/>
      <c r="BO228" s="254"/>
      <c r="BP228" s="254"/>
      <c r="BQ228" s="254"/>
      <c r="CL228" s="153"/>
      <c r="CM228" s="153"/>
      <c r="CN228" s="141"/>
      <c r="CO228" s="141"/>
      <c r="CP228" s="153"/>
      <c r="CQ228" s="153"/>
      <c r="EG228" s="24"/>
      <c r="EH228" s="24"/>
    </row>
    <row r="229" spans="1:138" s="125" customFormat="1" ht="45.75">
      <c r="A229" s="127"/>
      <c r="B229" s="127"/>
      <c r="C229" s="127"/>
      <c r="D229" s="127"/>
      <c r="E229" s="127"/>
      <c r="F229" s="127" t="str">
        <f t="shared" si="71"/>
        <v/>
      </c>
      <c r="G229" s="132"/>
      <c r="H229" s="127"/>
      <c r="I229" s="127"/>
      <c r="J229" s="132"/>
      <c r="K229" s="132" t="str">
        <f t="shared" si="77"/>
        <v/>
      </c>
      <c r="L229" s="132" t="str">
        <f t="shared" si="73"/>
        <v/>
      </c>
      <c r="M229" s="198" t="str">
        <f t="shared" si="78"/>
        <v/>
      </c>
      <c r="N229" s="127">
        <f t="shared" si="74"/>
        <v>0</v>
      </c>
      <c r="O229" s="127"/>
      <c r="P229" s="133" t="str">
        <f t="shared" si="75"/>
        <v/>
      </c>
      <c r="Q229" s="133" t="str">
        <f t="shared" si="76"/>
        <v/>
      </c>
      <c r="R229" s="127"/>
      <c r="S229" s="127"/>
      <c r="T229" s="127"/>
      <c r="U229" s="127"/>
      <c r="V229" s="127"/>
      <c r="W229" s="127"/>
      <c r="X229" s="127"/>
      <c r="Y229" s="127"/>
      <c r="Z229" s="127"/>
      <c r="AA229" s="127"/>
      <c r="AB229" s="127"/>
      <c r="AC229" s="127"/>
      <c r="AD229" s="127"/>
      <c r="AE229" s="127"/>
      <c r="AF229" s="127"/>
      <c r="AG229" s="127"/>
      <c r="AH229" s="127"/>
      <c r="AI229" s="127"/>
      <c r="AJ229" s="127"/>
      <c r="AK229" s="127"/>
      <c r="AL229" s="127"/>
      <c r="AM229" s="127"/>
      <c r="AN229" s="127"/>
      <c r="AO229" s="127"/>
      <c r="AP229" s="127"/>
      <c r="AQ229" s="127"/>
      <c r="AR229" s="127"/>
      <c r="AS229" s="127"/>
      <c r="AT229" s="127"/>
      <c r="AU229" s="197"/>
      <c r="BI229" s="130"/>
      <c r="BO229" s="254"/>
      <c r="BP229" s="254"/>
      <c r="BQ229" s="254"/>
      <c r="CL229" s="153"/>
      <c r="CM229" s="153"/>
      <c r="CN229" s="141"/>
      <c r="CO229" s="141"/>
      <c r="CP229" s="153"/>
      <c r="CQ229" s="153"/>
      <c r="EG229" s="24"/>
      <c r="EH229" s="24"/>
    </row>
    <row r="230" spans="1:138" s="125" customFormat="1" ht="45.75">
      <c r="A230" s="127"/>
      <c r="B230" s="127"/>
      <c r="C230" s="127"/>
      <c r="D230" s="127"/>
      <c r="E230" s="127"/>
      <c r="F230" s="127" t="str">
        <f t="shared" si="71"/>
        <v/>
      </c>
      <c r="G230" s="132"/>
      <c r="H230" s="127"/>
      <c r="I230" s="127"/>
      <c r="J230" s="132"/>
      <c r="K230" s="132" t="str">
        <f t="shared" si="77"/>
        <v/>
      </c>
      <c r="L230" s="132" t="str">
        <f t="shared" si="73"/>
        <v/>
      </c>
      <c r="M230" s="198" t="str">
        <f t="shared" si="78"/>
        <v/>
      </c>
      <c r="N230" s="127">
        <f t="shared" si="74"/>
        <v>0</v>
      </c>
      <c r="O230" s="127"/>
      <c r="P230" s="133" t="str">
        <f t="shared" si="75"/>
        <v/>
      </c>
      <c r="Q230" s="133" t="str">
        <f t="shared" si="76"/>
        <v/>
      </c>
      <c r="R230" s="127"/>
      <c r="S230" s="127"/>
      <c r="T230" s="127"/>
      <c r="U230" s="127"/>
      <c r="V230" s="127"/>
      <c r="W230" s="127"/>
      <c r="X230" s="127"/>
      <c r="Y230" s="127"/>
      <c r="Z230" s="127"/>
      <c r="AA230" s="127"/>
      <c r="AB230" s="127"/>
      <c r="AC230" s="127"/>
      <c r="AD230" s="127"/>
      <c r="AE230" s="127"/>
      <c r="AF230" s="127"/>
      <c r="AG230" s="127"/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97"/>
      <c r="BI230" s="130"/>
      <c r="BO230" s="254"/>
      <c r="BP230" s="254"/>
      <c r="BQ230" s="254"/>
      <c r="CL230" s="153"/>
      <c r="CM230" s="153"/>
      <c r="CN230" s="141"/>
      <c r="CO230" s="141"/>
      <c r="CP230" s="153"/>
      <c r="CQ230" s="153"/>
      <c r="EG230" s="24"/>
      <c r="EH230" s="24"/>
    </row>
    <row r="231" spans="1:138" s="125" customFormat="1" ht="45.75">
      <c r="A231" s="127"/>
      <c r="B231" s="127"/>
      <c r="C231" s="127"/>
      <c r="D231" s="127"/>
      <c r="E231" s="127"/>
      <c r="F231" s="127" t="str">
        <f t="shared" si="71"/>
        <v/>
      </c>
      <c r="G231" s="132"/>
      <c r="H231" s="127"/>
      <c r="I231" s="127"/>
      <c r="J231" s="132"/>
      <c r="K231" s="132" t="str">
        <f t="shared" si="77"/>
        <v/>
      </c>
      <c r="L231" s="132" t="str">
        <f t="shared" si="73"/>
        <v/>
      </c>
      <c r="M231" s="198" t="str">
        <f t="shared" si="78"/>
        <v/>
      </c>
      <c r="N231" s="127">
        <f t="shared" si="74"/>
        <v>0</v>
      </c>
      <c r="O231" s="127"/>
      <c r="P231" s="133" t="str">
        <f t="shared" si="75"/>
        <v/>
      </c>
      <c r="Q231" s="133" t="str">
        <f t="shared" si="76"/>
        <v/>
      </c>
      <c r="R231" s="127"/>
      <c r="S231" s="127"/>
      <c r="T231" s="127"/>
      <c r="U231" s="127"/>
      <c r="V231" s="127"/>
      <c r="W231" s="127"/>
      <c r="X231" s="127"/>
      <c r="Y231" s="127"/>
      <c r="Z231" s="127"/>
      <c r="AA231" s="127"/>
      <c r="AB231" s="127"/>
      <c r="AC231" s="127"/>
      <c r="AD231" s="127"/>
      <c r="AE231" s="127"/>
      <c r="AF231" s="127"/>
      <c r="AG231" s="127"/>
      <c r="AH231" s="127"/>
      <c r="AI231" s="127"/>
      <c r="AJ231" s="127"/>
      <c r="AK231" s="127"/>
      <c r="AL231" s="127"/>
      <c r="AM231" s="127"/>
      <c r="AN231" s="127"/>
      <c r="AO231" s="127"/>
      <c r="AP231" s="127"/>
      <c r="AQ231" s="127"/>
      <c r="AR231" s="127"/>
      <c r="AS231" s="127"/>
      <c r="AT231" s="127"/>
      <c r="AU231" s="197"/>
      <c r="BI231" s="130"/>
      <c r="BO231" s="254"/>
      <c r="BP231" s="254"/>
      <c r="BQ231" s="254"/>
      <c r="CL231" s="153"/>
      <c r="CM231" s="153"/>
      <c r="CN231" s="141"/>
      <c r="CO231" s="141"/>
      <c r="CP231" s="153"/>
      <c r="CQ231" s="153"/>
      <c r="EG231" s="24"/>
      <c r="EH231" s="24"/>
    </row>
    <row r="232" spans="1:138" s="125" customFormat="1" ht="45.75">
      <c r="A232" s="127"/>
      <c r="B232" s="127"/>
      <c r="C232" s="127"/>
      <c r="D232" s="127"/>
      <c r="E232" s="127"/>
      <c r="F232" s="127" t="str">
        <f t="shared" si="71"/>
        <v/>
      </c>
      <c r="G232" s="132"/>
      <c r="H232" s="127"/>
      <c r="I232" s="127"/>
      <c r="J232" s="132"/>
      <c r="K232" s="132" t="str">
        <f t="shared" si="77"/>
        <v/>
      </c>
      <c r="L232" s="132" t="str">
        <f t="shared" si="73"/>
        <v/>
      </c>
      <c r="M232" s="198" t="str">
        <f t="shared" si="78"/>
        <v/>
      </c>
      <c r="N232" s="127">
        <f t="shared" si="74"/>
        <v>0</v>
      </c>
      <c r="O232" s="127"/>
      <c r="P232" s="133" t="str">
        <f t="shared" si="75"/>
        <v/>
      </c>
      <c r="Q232" s="133" t="str">
        <f t="shared" si="76"/>
        <v/>
      </c>
      <c r="R232" s="127"/>
      <c r="S232" s="127"/>
      <c r="T232" s="127"/>
      <c r="U232" s="127"/>
      <c r="V232" s="127"/>
      <c r="W232" s="127"/>
      <c r="X232" s="127"/>
      <c r="Y232" s="127"/>
      <c r="Z232" s="127"/>
      <c r="AA232" s="127"/>
      <c r="AB232" s="127"/>
      <c r="AC232" s="127"/>
      <c r="AD232" s="127"/>
      <c r="AE232" s="127"/>
      <c r="AF232" s="127"/>
      <c r="AG232" s="127"/>
      <c r="AH232" s="127"/>
      <c r="AI232" s="127"/>
      <c r="AJ232" s="127"/>
      <c r="AK232" s="127"/>
      <c r="AL232" s="127"/>
      <c r="AM232" s="127"/>
      <c r="AN232" s="127"/>
      <c r="AO232" s="127"/>
      <c r="AP232" s="127"/>
      <c r="AQ232" s="127"/>
      <c r="AR232" s="127"/>
      <c r="AS232" s="127"/>
      <c r="AT232" s="127"/>
      <c r="AU232" s="197"/>
      <c r="BI232" s="130"/>
      <c r="BO232" s="254"/>
      <c r="BP232" s="254"/>
      <c r="BQ232" s="254"/>
      <c r="CL232" s="153"/>
      <c r="CM232" s="153"/>
      <c r="CN232" s="141"/>
      <c r="CO232" s="141"/>
      <c r="CP232" s="153"/>
      <c r="CQ232" s="153"/>
      <c r="EG232" s="24"/>
      <c r="EH232" s="24"/>
    </row>
    <row r="233" spans="1:138" s="125" customFormat="1" ht="45.75">
      <c r="A233" s="127"/>
      <c r="B233" s="127"/>
      <c r="C233" s="127"/>
      <c r="D233" s="127"/>
      <c r="E233" s="127"/>
      <c r="F233" s="127" t="str">
        <f t="shared" si="71"/>
        <v/>
      </c>
      <c r="G233" s="132"/>
      <c r="H233" s="127"/>
      <c r="I233" s="127"/>
      <c r="J233" s="132"/>
      <c r="K233" s="132" t="str">
        <f t="shared" si="77"/>
        <v/>
      </c>
      <c r="L233" s="132" t="str">
        <f t="shared" si="73"/>
        <v/>
      </c>
      <c r="M233" s="198" t="str">
        <f t="shared" si="78"/>
        <v/>
      </c>
      <c r="N233" s="127">
        <f t="shared" si="74"/>
        <v>0</v>
      </c>
      <c r="O233" s="127"/>
      <c r="P233" s="133" t="str">
        <f t="shared" si="75"/>
        <v/>
      </c>
      <c r="Q233" s="133" t="str">
        <f t="shared" si="76"/>
        <v/>
      </c>
      <c r="R233" s="127"/>
      <c r="S233" s="127"/>
      <c r="T233" s="127"/>
      <c r="U233" s="127"/>
      <c r="V233" s="127"/>
      <c r="W233" s="127"/>
      <c r="X233" s="127"/>
      <c r="Y233" s="127"/>
      <c r="Z233" s="127"/>
      <c r="AA233" s="127"/>
      <c r="AB233" s="127"/>
      <c r="AC233" s="127"/>
      <c r="AD233" s="127"/>
      <c r="AE233" s="127"/>
      <c r="AF233" s="127"/>
      <c r="AG233" s="127"/>
      <c r="AH233" s="127"/>
      <c r="AI233" s="127"/>
      <c r="AJ233" s="127"/>
      <c r="AK233" s="127"/>
      <c r="AL233" s="127"/>
      <c r="AM233" s="127"/>
      <c r="AN233" s="127"/>
      <c r="AO233" s="127"/>
      <c r="AP233" s="127"/>
      <c r="AQ233" s="127"/>
      <c r="AR233" s="127"/>
      <c r="AS233" s="127"/>
      <c r="AT233" s="127"/>
      <c r="AU233" s="197"/>
      <c r="BI233" s="130"/>
      <c r="BO233" s="254"/>
      <c r="BP233" s="254"/>
      <c r="BQ233" s="254"/>
      <c r="CL233" s="153"/>
      <c r="CM233" s="153"/>
      <c r="CN233" s="141"/>
      <c r="CO233" s="141"/>
      <c r="CP233" s="153"/>
      <c r="CQ233" s="153"/>
      <c r="EG233" s="24"/>
      <c r="EH233" s="24"/>
    </row>
    <row r="234" spans="1:138" s="125" customFormat="1" ht="45.75">
      <c r="A234" s="127"/>
      <c r="B234" s="127"/>
      <c r="C234" s="127"/>
      <c r="D234" s="127"/>
      <c r="E234" s="127"/>
      <c r="F234" s="127" t="str">
        <f t="shared" si="71"/>
        <v/>
      </c>
      <c r="G234" s="132"/>
      <c r="H234" s="127"/>
      <c r="I234" s="127"/>
      <c r="J234" s="132"/>
      <c r="K234" s="132" t="str">
        <f t="shared" si="77"/>
        <v/>
      </c>
      <c r="L234" s="132" t="str">
        <f t="shared" si="73"/>
        <v/>
      </c>
      <c r="M234" s="198" t="str">
        <f t="shared" si="78"/>
        <v/>
      </c>
      <c r="N234" s="127">
        <f t="shared" si="74"/>
        <v>0</v>
      </c>
      <c r="O234" s="127"/>
      <c r="P234" s="133" t="str">
        <f t="shared" si="75"/>
        <v/>
      </c>
      <c r="Q234" s="133" t="str">
        <f t="shared" si="76"/>
        <v/>
      </c>
      <c r="R234" s="127"/>
      <c r="S234" s="127"/>
      <c r="T234" s="127"/>
      <c r="U234" s="127"/>
      <c r="V234" s="127"/>
      <c r="W234" s="127"/>
      <c r="X234" s="127"/>
      <c r="Y234" s="127"/>
      <c r="Z234" s="127"/>
      <c r="AA234" s="127"/>
      <c r="AB234" s="127"/>
      <c r="AC234" s="127"/>
      <c r="AD234" s="127"/>
      <c r="AE234" s="127"/>
      <c r="AF234" s="127"/>
      <c r="AG234" s="127"/>
      <c r="AH234" s="127"/>
      <c r="AI234" s="127"/>
      <c r="AJ234" s="127"/>
      <c r="AK234" s="127"/>
      <c r="AL234" s="127"/>
      <c r="AM234" s="127"/>
      <c r="AN234" s="127"/>
      <c r="AO234" s="127"/>
      <c r="AP234" s="127"/>
      <c r="AQ234" s="127"/>
      <c r="AR234" s="127"/>
      <c r="AS234" s="127"/>
      <c r="AT234" s="127"/>
      <c r="AU234" s="197"/>
      <c r="BI234" s="130"/>
      <c r="BO234" s="254"/>
      <c r="BP234" s="254"/>
      <c r="BQ234" s="254"/>
      <c r="CL234" s="153"/>
      <c r="CM234" s="153"/>
      <c r="CN234" s="141"/>
      <c r="CO234" s="141"/>
      <c r="CP234" s="153"/>
      <c r="CQ234" s="153"/>
      <c r="EG234" s="24"/>
      <c r="EH234" s="24"/>
    </row>
    <row r="235" spans="1:138" s="125" customFormat="1" ht="45.75">
      <c r="A235" s="127"/>
      <c r="B235" s="127"/>
      <c r="C235" s="127"/>
      <c r="D235" s="127"/>
      <c r="E235" s="127"/>
      <c r="F235" s="127" t="str">
        <f t="shared" si="71"/>
        <v/>
      </c>
      <c r="G235" s="132"/>
      <c r="H235" s="127"/>
      <c r="I235" s="127"/>
      <c r="J235" s="132"/>
      <c r="K235" s="132" t="str">
        <f t="shared" si="77"/>
        <v/>
      </c>
      <c r="L235" s="132" t="str">
        <f t="shared" si="73"/>
        <v/>
      </c>
      <c r="M235" s="198" t="str">
        <f t="shared" si="78"/>
        <v/>
      </c>
      <c r="N235" s="127">
        <f t="shared" si="74"/>
        <v>0</v>
      </c>
      <c r="O235" s="127"/>
      <c r="P235" s="133" t="str">
        <f t="shared" si="75"/>
        <v/>
      </c>
      <c r="Q235" s="133" t="str">
        <f t="shared" si="76"/>
        <v/>
      </c>
      <c r="R235" s="127"/>
      <c r="S235" s="127"/>
      <c r="T235" s="127"/>
      <c r="U235" s="127"/>
      <c r="V235" s="127"/>
      <c r="W235" s="127"/>
      <c r="X235" s="127"/>
      <c r="Y235" s="127"/>
      <c r="Z235" s="127"/>
      <c r="AA235" s="127"/>
      <c r="AB235" s="127"/>
      <c r="AC235" s="127"/>
      <c r="AD235" s="127"/>
      <c r="AE235" s="127"/>
      <c r="AF235" s="127"/>
      <c r="AG235" s="127"/>
      <c r="AH235" s="127"/>
      <c r="AI235" s="127"/>
      <c r="AJ235" s="127"/>
      <c r="AK235" s="127"/>
      <c r="AL235" s="127"/>
      <c r="AM235" s="127"/>
      <c r="AN235" s="127"/>
      <c r="AO235" s="127"/>
      <c r="AP235" s="127"/>
      <c r="AQ235" s="127"/>
      <c r="AR235" s="127"/>
      <c r="AS235" s="127"/>
      <c r="AT235" s="127"/>
      <c r="AU235" s="197"/>
      <c r="BI235" s="130"/>
      <c r="BO235" s="254"/>
      <c r="BP235" s="254"/>
      <c r="BQ235" s="254"/>
      <c r="CL235" s="153"/>
      <c r="CM235" s="153"/>
      <c r="CN235" s="141"/>
      <c r="CO235" s="141"/>
      <c r="CP235" s="153"/>
      <c r="CQ235" s="153"/>
      <c r="EG235" s="24"/>
      <c r="EH235" s="24"/>
    </row>
    <row r="236" spans="1:138" s="125" customFormat="1" ht="45.75">
      <c r="A236" s="127"/>
      <c r="B236" s="127"/>
      <c r="C236" s="127"/>
      <c r="D236" s="127"/>
      <c r="E236" s="127"/>
      <c r="F236" s="127" t="str">
        <f t="shared" si="71"/>
        <v/>
      </c>
      <c r="G236" s="132"/>
      <c r="H236" s="127"/>
      <c r="I236" s="127"/>
      <c r="J236" s="132"/>
      <c r="K236" s="132" t="str">
        <f t="shared" si="77"/>
        <v/>
      </c>
      <c r="L236" s="132" t="str">
        <f t="shared" si="73"/>
        <v/>
      </c>
      <c r="M236" s="198" t="str">
        <f t="shared" si="78"/>
        <v/>
      </c>
      <c r="N236" s="127">
        <f t="shared" si="74"/>
        <v>0</v>
      </c>
      <c r="O236" s="127"/>
      <c r="P236" s="133" t="str">
        <f t="shared" si="75"/>
        <v/>
      </c>
      <c r="Q236" s="133" t="str">
        <f t="shared" si="76"/>
        <v/>
      </c>
      <c r="R236" s="127"/>
      <c r="S236" s="127"/>
      <c r="T236" s="127"/>
      <c r="U236" s="127"/>
      <c r="V236" s="127"/>
      <c r="W236" s="127"/>
      <c r="X236" s="127"/>
      <c r="Y236" s="127"/>
      <c r="Z236" s="127"/>
      <c r="AA236" s="127"/>
      <c r="AB236" s="127"/>
      <c r="AC236" s="127"/>
      <c r="AD236" s="127"/>
      <c r="AE236" s="127"/>
      <c r="AF236" s="127"/>
      <c r="AG236" s="127"/>
      <c r="AH236" s="127"/>
      <c r="AI236" s="127"/>
      <c r="AJ236" s="127"/>
      <c r="AK236" s="127"/>
      <c r="AL236" s="127"/>
      <c r="AM236" s="127"/>
      <c r="AN236" s="127"/>
      <c r="AO236" s="127"/>
      <c r="AP236" s="127"/>
      <c r="AQ236" s="127"/>
      <c r="AR236" s="127"/>
      <c r="AS236" s="127"/>
      <c r="AT236" s="127"/>
      <c r="AU236" s="197"/>
      <c r="BI236" s="130"/>
      <c r="BO236" s="254"/>
      <c r="BP236" s="254"/>
      <c r="BQ236" s="254"/>
      <c r="CL236" s="153"/>
      <c r="CM236" s="153"/>
      <c r="CN236" s="141"/>
      <c r="CO236" s="141"/>
      <c r="CP236" s="153"/>
      <c r="CQ236" s="153"/>
      <c r="EG236" s="24"/>
      <c r="EH236" s="24"/>
    </row>
    <row r="237" spans="1:138" s="125" customFormat="1" ht="45.75">
      <c r="A237" s="127"/>
      <c r="B237" s="127"/>
      <c r="C237" s="127"/>
      <c r="D237" s="127"/>
      <c r="E237" s="127"/>
      <c r="F237" s="127" t="str">
        <f t="shared" si="71"/>
        <v/>
      </c>
      <c r="G237" s="132"/>
      <c r="H237" s="127"/>
      <c r="I237" s="127"/>
      <c r="J237" s="132"/>
      <c r="K237" s="132" t="str">
        <f t="shared" si="77"/>
        <v/>
      </c>
      <c r="L237" s="132" t="str">
        <f t="shared" si="73"/>
        <v/>
      </c>
      <c r="M237" s="198" t="str">
        <f t="shared" si="78"/>
        <v/>
      </c>
      <c r="N237" s="127">
        <f t="shared" si="74"/>
        <v>0</v>
      </c>
      <c r="O237" s="127"/>
      <c r="P237" s="133" t="str">
        <f t="shared" si="75"/>
        <v/>
      </c>
      <c r="Q237" s="133" t="str">
        <f t="shared" si="76"/>
        <v/>
      </c>
      <c r="R237" s="127"/>
      <c r="S237" s="127"/>
      <c r="T237" s="127"/>
      <c r="U237" s="127"/>
      <c r="V237" s="127"/>
      <c r="W237" s="127"/>
      <c r="X237" s="127"/>
      <c r="Y237" s="127"/>
      <c r="Z237" s="127"/>
      <c r="AA237" s="127"/>
      <c r="AB237" s="127"/>
      <c r="AC237" s="127"/>
      <c r="AD237" s="127"/>
      <c r="AE237" s="127"/>
      <c r="AF237" s="127"/>
      <c r="AG237" s="127"/>
      <c r="AH237" s="127"/>
      <c r="AI237" s="127"/>
      <c r="AJ237" s="127"/>
      <c r="AK237" s="127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97"/>
      <c r="BI237" s="130"/>
      <c r="BO237" s="254"/>
      <c r="BP237" s="254"/>
      <c r="BQ237" s="254"/>
      <c r="CL237" s="153"/>
      <c r="CM237" s="153"/>
      <c r="CN237" s="141"/>
      <c r="CO237" s="141"/>
      <c r="CP237" s="153"/>
      <c r="CQ237" s="153"/>
      <c r="EG237" s="24"/>
      <c r="EH237" s="24"/>
    </row>
    <row r="238" spans="1:138" s="125" customFormat="1" ht="45.75">
      <c r="A238" s="127"/>
      <c r="B238" s="127"/>
      <c r="C238" s="127"/>
      <c r="D238" s="127"/>
      <c r="E238" s="127"/>
      <c r="F238" s="127" t="str">
        <f t="shared" si="71"/>
        <v/>
      </c>
      <c r="G238" s="132"/>
      <c r="H238" s="127"/>
      <c r="I238" s="127"/>
      <c r="J238" s="132"/>
      <c r="K238" s="132" t="str">
        <f t="shared" si="77"/>
        <v/>
      </c>
      <c r="L238" s="132" t="str">
        <f t="shared" si="73"/>
        <v/>
      </c>
      <c r="M238" s="198" t="str">
        <f t="shared" si="78"/>
        <v/>
      </c>
      <c r="N238" s="127">
        <f t="shared" si="74"/>
        <v>0</v>
      </c>
      <c r="O238" s="127"/>
      <c r="P238" s="133" t="str">
        <f t="shared" si="75"/>
        <v/>
      </c>
      <c r="Q238" s="133" t="str">
        <f t="shared" si="76"/>
        <v/>
      </c>
      <c r="R238" s="127"/>
      <c r="S238" s="127"/>
      <c r="T238" s="127"/>
      <c r="U238" s="127"/>
      <c r="V238" s="127"/>
      <c r="W238" s="127"/>
      <c r="X238" s="127"/>
      <c r="Y238" s="127"/>
      <c r="Z238" s="127"/>
      <c r="AA238" s="127"/>
      <c r="AB238" s="127"/>
      <c r="AC238" s="127"/>
      <c r="AD238" s="127"/>
      <c r="AE238" s="127"/>
      <c r="AF238" s="127"/>
      <c r="AG238" s="127"/>
      <c r="AH238" s="127"/>
      <c r="AI238" s="127"/>
      <c r="AJ238" s="127"/>
      <c r="AK238" s="127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97"/>
      <c r="BI238" s="130"/>
      <c r="BO238" s="254"/>
      <c r="BP238" s="254"/>
      <c r="BQ238" s="254"/>
      <c r="CL238" s="153"/>
      <c r="CM238" s="153"/>
      <c r="CN238" s="141"/>
      <c r="CO238" s="141"/>
      <c r="CP238" s="153"/>
      <c r="CQ238" s="153"/>
      <c r="EG238" s="24"/>
      <c r="EH238" s="24"/>
    </row>
    <row r="239" spans="1:138" s="125" customFormat="1" ht="45.75">
      <c r="A239" s="127"/>
      <c r="B239" s="127"/>
      <c r="C239" s="127"/>
      <c r="D239" s="127"/>
      <c r="E239" s="127"/>
      <c r="F239" s="127" t="str">
        <f t="shared" si="71"/>
        <v/>
      </c>
      <c r="G239" s="132"/>
      <c r="H239" s="127"/>
      <c r="I239" s="127"/>
      <c r="J239" s="132"/>
      <c r="K239" s="132" t="str">
        <f t="shared" si="77"/>
        <v/>
      </c>
      <c r="L239" s="132" t="str">
        <f t="shared" si="73"/>
        <v/>
      </c>
      <c r="M239" s="198" t="str">
        <f t="shared" si="78"/>
        <v/>
      </c>
      <c r="N239" s="127">
        <f t="shared" si="74"/>
        <v>0</v>
      </c>
      <c r="O239" s="127"/>
      <c r="P239" s="133" t="str">
        <f t="shared" si="75"/>
        <v/>
      </c>
      <c r="Q239" s="133" t="str">
        <f t="shared" si="76"/>
        <v/>
      </c>
      <c r="R239" s="127"/>
      <c r="S239" s="127"/>
      <c r="T239" s="127"/>
      <c r="U239" s="127"/>
      <c r="V239" s="127"/>
      <c r="W239" s="127"/>
      <c r="X239" s="127"/>
      <c r="Y239" s="127"/>
      <c r="Z239" s="127"/>
      <c r="AA239" s="127"/>
      <c r="AB239" s="127"/>
      <c r="AC239" s="127"/>
      <c r="AD239" s="127"/>
      <c r="AE239" s="127"/>
      <c r="AF239" s="127"/>
      <c r="AG239" s="127"/>
      <c r="AH239" s="127"/>
      <c r="AI239" s="127"/>
      <c r="AJ239" s="127"/>
      <c r="AK239" s="127"/>
      <c r="AL239" s="127"/>
      <c r="AM239" s="127"/>
      <c r="AN239" s="127"/>
      <c r="AO239" s="127"/>
      <c r="AP239" s="127"/>
      <c r="AQ239" s="127"/>
      <c r="AR239" s="127"/>
      <c r="AS239" s="127"/>
      <c r="AT239" s="127"/>
      <c r="AU239" s="197"/>
      <c r="BI239" s="130"/>
      <c r="BO239" s="254"/>
      <c r="BP239" s="254"/>
      <c r="BQ239" s="254"/>
      <c r="CL239" s="153"/>
      <c r="CM239" s="153"/>
      <c r="CN239" s="141"/>
      <c r="CO239" s="141"/>
      <c r="CP239" s="153"/>
      <c r="CQ239" s="153"/>
      <c r="EG239" s="24"/>
      <c r="EH239" s="24"/>
    </row>
    <row r="240" spans="1:138" s="125" customFormat="1" ht="45.75">
      <c r="A240" s="127"/>
      <c r="B240" s="127"/>
      <c r="C240" s="127"/>
      <c r="D240" s="127"/>
      <c r="E240" s="127"/>
      <c r="F240" s="127" t="str">
        <f t="shared" si="71"/>
        <v/>
      </c>
      <c r="G240" s="132"/>
      <c r="H240" s="127"/>
      <c r="I240" s="127"/>
      <c r="J240" s="132"/>
      <c r="K240" s="132" t="str">
        <f t="shared" si="77"/>
        <v/>
      </c>
      <c r="L240" s="132" t="str">
        <f t="shared" si="73"/>
        <v/>
      </c>
      <c r="M240" s="198" t="str">
        <f t="shared" si="78"/>
        <v/>
      </c>
      <c r="N240" s="127">
        <f t="shared" si="74"/>
        <v>0</v>
      </c>
      <c r="O240" s="127"/>
      <c r="P240" s="133" t="str">
        <f t="shared" si="75"/>
        <v/>
      </c>
      <c r="Q240" s="133" t="str">
        <f t="shared" si="76"/>
        <v/>
      </c>
      <c r="R240" s="127"/>
      <c r="S240" s="127"/>
      <c r="T240" s="127"/>
      <c r="U240" s="127"/>
      <c r="V240" s="127"/>
      <c r="W240" s="127"/>
      <c r="X240" s="127"/>
      <c r="Y240" s="127"/>
      <c r="Z240" s="127"/>
      <c r="AA240" s="127"/>
      <c r="AB240" s="127"/>
      <c r="AC240" s="127"/>
      <c r="AD240" s="127"/>
      <c r="AE240" s="127"/>
      <c r="AF240" s="127"/>
      <c r="AG240" s="127"/>
      <c r="AH240" s="127"/>
      <c r="AI240" s="127"/>
      <c r="AJ240" s="127"/>
      <c r="AK240" s="127"/>
      <c r="AL240" s="127"/>
      <c r="AM240" s="127"/>
      <c r="AN240" s="127"/>
      <c r="AO240" s="127"/>
      <c r="AP240" s="127"/>
      <c r="AQ240" s="127"/>
      <c r="AR240" s="127"/>
      <c r="AS240" s="127"/>
      <c r="AT240" s="127"/>
      <c r="AU240" s="197"/>
      <c r="BI240" s="130"/>
      <c r="BO240" s="254"/>
      <c r="BP240" s="254"/>
      <c r="BQ240" s="254"/>
      <c r="CL240" s="153"/>
      <c r="CM240" s="153"/>
      <c r="CN240" s="141"/>
      <c r="CO240" s="141"/>
      <c r="CP240" s="153"/>
      <c r="CQ240" s="153"/>
      <c r="EG240" s="24"/>
      <c r="EH240" s="24"/>
    </row>
    <row r="241" spans="1:138" s="125" customFormat="1" ht="45.75">
      <c r="A241" s="127"/>
      <c r="B241" s="127"/>
      <c r="C241" s="127"/>
      <c r="D241" s="127"/>
      <c r="E241" s="127"/>
      <c r="F241" s="127" t="str">
        <f t="shared" si="71"/>
        <v/>
      </c>
      <c r="G241" s="132"/>
      <c r="H241" s="127"/>
      <c r="I241" s="127"/>
      <c r="J241" s="132"/>
      <c r="K241" s="132" t="str">
        <f t="shared" si="77"/>
        <v/>
      </c>
      <c r="L241" s="132" t="str">
        <f t="shared" si="73"/>
        <v/>
      </c>
      <c r="M241" s="198" t="str">
        <f t="shared" si="78"/>
        <v/>
      </c>
      <c r="N241" s="127">
        <f t="shared" si="74"/>
        <v>0</v>
      </c>
      <c r="O241" s="127"/>
      <c r="P241" s="133" t="str">
        <f t="shared" si="75"/>
        <v/>
      </c>
      <c r="Q241" s="133" t="str">
        <f t="shared" si="76"/>
        <v/>
      </c>
      <c r="R241" s="127"/>
      <c r="S241" s="127"/>
      <c r="T241" s="127"/>
      <c r="U241" s="127"/>
      <c r="V241" s="127"/>
      <c r="W241" s="127"/>
      <c r="X241" s="127"/>
      <c r="Y241" s="127"/>
      <c r="Z241" s="127"/>
      <c r="AA241" s="127"/>
      <c r="AB241" s="127"/>
      <c r="AC241" s="127"/>
      <c r="AD241" s="127"/>
      <c r="AE241" s="127"/>
      <c r="AF241" s="127"/>
      <c r="AG241" s="127"/>
      <c r="AH241" s="127"/>
      <c r="AI241" s="127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97"/>
      <c r="BI241" s="130"/>
      <c r="BO241" s="254"/>
      <c r="BP241" s="254"/>
      <c r="BQ241" s="254"/>
      <c r="CL241" s="153"/>
      <c r="CM241" s="153"/>
      <c r="CN241" s="141"/>
      <c r="CO241" s="141"/>
      <c r="CP241" s="153"/>
      <c r="CQ241" s="153"/>
      <c r="EG241" s="24"/>
      <c r="EH241" s="24"/>
    </row>
    <row r="242" spans="1:138" s="125" customFormat="1" ht="45.75">
      <c r="A242" s="127"/>
      <c r="B242" s="127"/>
      <c r="C242" s="127"/>
      <c r="D242" s="127"/>
      <c r="E242" s="127"/>
      <c r="F242" s="127" t="str">
        <f t="shared" si="71"/>
        <v/>
      </c>
      <c r="G242" s="132"/>
      <c r="H242" s="127"/>
      <c r="I242" s="127"/>
      <c r="J242" s="132"/>
      <c r="K242" s="132" t="str">
        <f t="shared" si="77"/>
        <v/>
      </c>
      <c r="L242" s="132" t="str">
        <f t="shared" si="73"/>
        <v/>
      </c>
      <c r="M242" s="198" t="str">
        <f t="shared" si="78"/>
        <v/>
      </c>
      <c r="N242" s="127">
        <f t="shared" si="74"/>
        <v>0</v>
      </c>
      <c r="O242" s="127"/>
      <c r="P242" s="133" t="str">
        <f t="shared" si="75"/>
        <v/>
      </c>
      <c r="Q242" s="133" t="str">
        <f t="shared" si="76"/>
        <v/>
      </c>
      <c r="R242" s="127"/>
      <c r="S242" s="127"/>
      <c r="T242" s="127"/>
      <c r="U242" s="127"/>
      <c r="V242" s="127"/>
      <c r="W242" s="127"/>
      <c r="X242" s="127"/>
      <c r="Y242" s="127"/>
      <c r="Z242" s="127"/>
      <c r="AA242" s="127"/>
      <c r="AB242" s="127"/>
      <c r="AC242" s="127"/>
      <c r="AD242" s="127"/>
      <c r="AE242" s="127"/>
      <c r="AF242" s="127"/>
      <c r="AG242" s="127"/>
      <c r="AH242" s="127"/>
      <c r="AI242" s="127"/>
      <c r="AJ242" s="127"/>
      <c r="AK242" s="127"/>
      <c r="AL242" s="127"/>
      <c r="AM242" s="127"/>
      <c r="AN242" s="127"/>
      <c r="AO242" s="127"/>
      <c r="AP242" s="127"/>
      <c r="AQ242" s="127"/>
      <c r="AR242" s="127"/>
      <c r="AS242" s="127"/>
      <c r="AT242" s="127"/>
      <c r="AU242" s="197"/>
      <c r="BI242" s="130"/>
      <c r="BO242" s="254"/>
      <c r="BP242" s="254"/>
      <c r="BQ242" s="254"/>
      <c r="CL242" s="153"/>
      <c r="CM242" s="153"/>
      <c r="CN242" s="141"/>
      <c r="CO242" s="141"/>
      <c r="CP242" s="153"/>
      <c r="CQ242" s="153"/>
      <c r="EG242" s="24"/>
      <c r="EH242" s="24"/>
    </row>
    <row r="243" spans="1:138" s="125" customFormat="1" ht="45.75">
      <c r="A243" s="127"/>
      <c r="B243" s="127"/>
      <c r="C243" s="127"/>
      <c r="D243" s="127"/>
      <c r="E243" s="127"/>
      <c r="F243" s="127" t="str">
        <f t="shared" si="71"/>
        <v/>
      </c>
      <c r="G243" s="132"/>
      <c r="H243" s="127"/>
      <c r="I243" s="127"/>
      <c r="J243" s="132"/>
      <c r="K243" s="132" t="str">
        <f t="shared" si="77"/>
        <v/>
      </c>
      <c r="L243" s="132" t="str">
        <f t="shared" si="73"/>
        <v/>
      </c>
      <c r="M243" s="198" t="str">
        <f t="shared" si="78"/>
        <v/>
      </c>
      <c r="N243" s="127">
        <f t="shared" si="74"/>
        <v>0</v>
      </c>
      <c r="O243" s="127"/>
      <c r="P243" s="133" t="str">
        <f t="shared" si="75"/>
        <v/>
      </c>
      <c r="Q243" s="133" t="str">
        <f t="shared" si="76"/>
        <v/>
      </c>
      <c r="R243" s="127"/>
      <c r="S243" s="127"/>
      <c r="T243" s="127"/>
      <c r="U243" s="127"/>
      <c r="V243" s="127"/>
      <c r="W243" s="127"/>
      <c r="X243" s="127"/>
      <c r="Y243" s="127"/>
      <c r="Z243" s="127"/>
      <c r="AA243" s="127"/>
      <c r="AB243" s="127"/>
      <c r="AC243" s="127"/>
      <c r="AD243" s="127"/>
      <c r="AE243" s="127"/>
      <c r="AF243" s="127"/>
      <c r="AG243" s="127"/>
      <c r="AH243" s="127"/>
      <c r="AI243" s="127"/>
      <c r="AJ243" s="127"/>
      <c r="AK243" s="127"/>
      <c r="AL243" s="127"/>
      <c r="AM243" s="127"/>
      <c r="AN243" s="127"/>
      <c r="AO243" s="127"/>
      <c r="AP243" s="127"/>
      <c r="AQ243" s="127"/>
      <c r="AR243" s="127"/>
      <c r="AS243" s="127"/>
      <c r="AT243" s="127"/>
      <c r="AU243" s="197"/>
      <c r="BI243" s="130"/>
      <c r="BO243" s="254"/>
      <c r="BP243" s="254"/>
      <c r="BQ243" s="254"/>
      <c r="CL243" s="153"/>
      <c r="CM243" s="153"/>
      <c r="CN243" s="141"/>
      <c r="CO243" s="141"/>
      <c r="CP243" s="153"/>
      <c r="CQ243" s="153"/>
      <c r="EG243" s="24"/>
      <c r="EH243" s="24"/>
    </row>
    <row r="244" spans="1:138" s="125" customFormat="1" ht="45.75">
      <c r="A244" s="127"/>
      <c r="B244" s="127"/>
      <c r="C244" s="127"/>
      <c r="D244" s="127"/>
      <c r="E244" s="127"/>
      <c r="F244" s="127" t="str">
        <f t="shared" si="71"/>
        <v/>
      </c>
      <c r="G244" s="132"/>
      <c r="H244" s="127"/>
      <c r="I244" s="127"/>
      <c r="J244" s="132"/>
      <c r="K244" s="132" t="str">
        <f t="shared" si="77"/>
        <v/>
      </c>
      <c r="L244" s="132" t="str">
        <f t="shared" si="73"/>
        <v/>
      </c>
      <c r="M244" s="198" t="str">
        <f t="shared" si="78"/>
        <v/>
      </c>
      <c r="N244" s="127">
        <f t="shared" si="74"/>
        <v>0</v>
      </c>
      <c r="O244" s="127"/>
      <c r="P244" s="133" t="str">
        <f t="shared" si="75"/>
        <v/>
      </c>
      <c r="Q244" s="133" t="str">
        <f t="shared" si="76"/>
        <v/>
      </c>
      <c r="R244" s="127"/>
      <c r="S244" s="127"/>
      <c r="T244" s="127"/>
      <c r="U244" s="127"/>
      <c r="V244" s="127"/>
      <c r="W244" s="127"/>
      <c r="X244" s="127"/>
      <c r="Y244" s="127"/>
      <c r="Z244" s="127"/>
      <c r="AA244" s="127"/>
      <c r="AB244" s="127"/>
      <c r="AC244" s="127"/>
      <c r="AD244" s="127"/>
      <c r="AE244" s="127"/>
      <c r="AF244" s="127"/>
      <c r="AG244" s="127"/>
      <c r="AH244" s="127"/>
      <c r="AI244" s="127"/>
      <c r="AJ244" s="127"/>
      <c r="AK244" s="127"/>
      <c r="AL244" s="127"/>
      <c r="AM244" s="127"/>
      <c r="AN244" s="127"/>
      <c r="AO244" s="127"/>
      <c r="AP244" s="127"/>
      <c r="AQ244" s="127"/>
      <c r="AR244" s="127"/>
      <c r="AS244" s="127"/>
      <c r="AT244" s="127"/>
      <c r="AU244" s="197"/>
      <c r="BI244" s="130"/>
      <c r="BO244" s="254"/>
      <c r="BP244" s="254"/>
      <c r="BQ244" s="254"/>
      <c r="CL244" s="153"/>
      <c r="CM244" s="153"/>
      <c r="CN244" s="141"/>
      <c r="CO244" s="141"/>
      <c r="CP244" s="153"/>
      <c r="CQ244" s="153"/>
      <c r="EG244" s="24"/>
      <c r="EH244" s="24"/>
    </row>
    <row r="245" spans="1:138" s="125" customFormat="1" ht="45.75">
      <c r="A245" s="127"/>
      <c r="B245" s="127"/>
      <c r="C245" s="127"/>
      <c r="D245" s="127"/>
      <c r="E245" s="127"/>
      <c r="F245" s="127" t="str">
        <f t="shared" si="71"/>
        <v/>
      </c>
      <c r="G245" s="132"/>
      <c r="H245" s="127"/>
      <c r="I245" s="127"/>
      <c r="J245" s="132"/>
      <c r="K245" s="132" t="str">
        <f t="shared" si="77"/>
        <v/>
      </c>
      <c r="L245" s="132" t="str">
        <f t="shared" si="73"/>
        <v/>
      </c>
      <c r="M245" s="198" t="str">
        <f t="shared" si="78"/>
        <v/>
      </c>
      <c r="N245" s="127">
        <f t="shared" si="74"/>
        <v>0</v>
      </c>
      <c r="O245" s="127"/>
      <c r="P245" s="133" t="str">
        <f t="shared" si="75"/>
        <v/>
      </c>
      <c r="Q245" s="133" t="str">
        <f t="shared" si="76"/>
        <v/>
      </c>
      <c r="R245" s="127"/>
      <c r="S245" s="127"/>
      <c r="T245" s="127"/>
      <c r="U245" s="127"/>
      <c r="V245" s="127"/>
      <c r="W245" s="127"/>
      <c r="X245" s="127"/>
      <c r="Y245" s="127"/>
      <c r="Z245" s="127"/>
      <c r="AA245" s="127"/>
      <c r="AB245" s="127"/>
      <c r="AC245" s="127"/>
      <c r="AD245" s="127"/>
      <c r="AE245" s="127"/>
      <c r="AF245" s="127"/>
      <c r="AG245" s="127"/>
      <c r="AH245" s="127"/>
      <c r="AI245" s="127"/>
      <c r="AJ245" s="127"/>
      <c r="AK245" s="127"/>
      <c r="AL245" s="127"/>
      <c r="AM245" s="127"/>
      <c r="AN245" s="127"/>
      <c r="AO245" s="127"/>
      <c r="AP245" s="127"/>
      <c r="AQ245" s="127"/>
      <c r="AR245" s="127"/>
      <c r="AS245" s="127"/>
      <c r="AT245" s="127"/>
      <c r="AU245" s="197"/>
      <c r="BI245" s="130"/>
      <c r="BO245" s="254"/>
      <c r="BP245" s="254"/>
      <c r="BQ245" s="254"/>
      <c r="CL245" s="153"/>
      <c r="CM245" s="153"/>
      <c r="CN245" s="141"/>
      <c r="CO245" s="141"/>
      <c r="CP245" s="153"/>
      <c r="CQ245" s="153"/>
      <c r="EG245" s="24"/>
      <c r="EH245" s="24"/>
    </row>
    <row r="246" spans="1:138" s="125" customFormat="1" ht="45.75">
      <c r="A246" s="127"/>
      <c r="B246" s="127"/>
      <c r="C246" s="127"/>
      <c r="D246" s="127"/>
      <c r="E246" s="127"/>
      <c r="F246" s="127" t="str">
        <f t="shared" si="71"/>
        <v/>
      </c>
      <c r="G246" s="132"/>
      <c r="H246" s="127"/>
      <c r="I246" s="127"/>
      <c r="J246" s="132"/>
      <c r="K246" s="132" t="str">
        <f t="shared" si="77"/>
        <v/>
      </c>
      <c r="L246" s="132" t="str">
        <f t="shared" si="73"/>
        <v/>
      </c>
      <c r="M246" s="198" t="str">
        <f t="shared" si="78"/>
        <v/>
      </c>
      <c r="N246" s="127">
        <f t="shared" si="74"/>
        <v>0</v>
      </c>
      <c r="O246" s="127"/>
      <c r="P246" s="133" t="str">
        <f t="shared" si="75"/>
        <v/>
      </c>
      <c r="Q246" s="133" t="str">
        <f t="shared" si="76"/>
        <v/>
      </c>
      <c r="R246" s="127"/>
      <c r="S246" s="127"/>
      <c r="T246" s="127"/>
      <c r="U246" s="127"/>
      <c r="V246" s="127"/>
      <c r="W246" s="127"/>
      <c r="X246" s="127"/>
      <c r="Y246" s="127"/>
      <c r="Z246" s="127"/>
      <c r="AA246" s="127"/>
      <c r="AB246" s="127"/>
      <c r="AC246" s="127"/>
      <c r="AD246" s="127"/>
      <c r="AE246" s="127"/>
      <c r="AF246" s="127"/>
      <c r="AG246" s="127"/>
      <c r="AH246" s="127"/>
      <c r="AI246" s="127"/>
      <c r="AJ246" s="127"/>
      <c r="AK246" s="127"/>
      <c r="AL246" s="127"/>
      <c r="AM246" s="127"/>
      <c r="AN246" s="127"/>
      <c r="AO246" s="127"/>
      <c r="AP246" s="127"/>
      <c r="AQ246" s="127"/>
      <c r="AR246" s="127"/>
      <c r="AS246" s="127"/>
      <c r="AT246" s="127"/>
      <c r="AU246" s="197"/>
      <c r="BI246" s="130"/>
      <c r="BO246" s="254"/>
      <c r="BP246" s="254"/>
      <c r="BQ246" s="254"/>
      <c r="CL246" s="153"/>
      <c r="CM246" s="153"/>
      <c r="CN246" s="141"/>
      <c r="CO246" s="141"/>
      <c r="CP246" s="153"/>
      <c r="CQ246" s="153"/>
      <c r="EG246" s="24"/>
      <c r="EH246" s="24"/>
    </row>
    <row r="247" spans="1:138" s="125" customFormat="1" ht="45.75">
      <c r="A247" s="127"/>
      <c r="B247" s="127"/>
      <c r="C247" s="127"/>
      <c r="D247" s="127"/>
      <c r="E247" s="127"/>
      <c r="F247" s="127" t="str">
        <f t="shared" si="71"/>
        <v/>
      </c>
      <c r="G247" s="132"/>
      <c r="H247" s="127"/>
      <c r="I247" s="127"/>
      <c r="J247" s="132"/>
      <c r="K247" s="132" t="str">
        <f t="shared" si="77"/>
        <v/>
      </c>
      <c r="L247" s="132" t="str">
        <f t="shared" si="73"/>
        <v/>
      </c>
      <c r="M247" s="198" t="str">
        <f t="shared" si="78"/>
        <v/>
      </c>
      <c r="N247" s="127">
        <f t="shared" si="74"/>
        <v>0</v>
      </c>
      <c r="O247" s="127"/>
      <c r="P247" s="133" t="str">
        <f t="shared" si="75"/>
        <v/>
      </c>
      <c r="Q247" s="133" t="str">
        <f t="shared" si="76"/>
        <v/>
      </c>
      <c r="R247" s="127"/>
      <c r="S247" s="127"/>
      <c r="T247" s="127"/>
      <c r="U247" s="127"/>
      <c r="V247" s="127"/>
      <c r="W247" s="127"/>
      <c r="X247" s="127"/>
      <c r="Y247" s="127"/>
      <c r="Z247" s="127"/>
      <c r="AA247" s="127"/>
      <c r="AB247" s="127"/>
      <c r="AC247" s="127"/>
      <c r="AD247" s="127"/>
      <c r="AE247" s="127"/>
      <c r="AF247" s="127"/>
      <c r="AG247" s="127"/>
      <c r="AH247" s="127"/>
      <c r="AI247" s="127"/>
      <c r="AJ247" s="127"/>
      <c r="AK247" s="127"/>
      <c r="AL247" s="127"/>
      <c r="AM247" s="127"/>
      <c r="AN247" s="127"/>
      <c r="AO247" s="127"/>
      <c r="AP247" s="127"/>
      <c r="AQ247" s="127"/>
      <c r="AR247" s="127"/>
      <c r="AS247" s="127"/>
      <c r="AT247" s="127"/>
      <c r="AU247" s="197"/>
      <c r="BI247" s="130"/>
      <c r="BO247" s="254"/>
      <c r="BP247" s="254"/>
      <c r="BQ247" s="254"/>
      <c r="CL247" s="153"/>
      <c r="CM247" s="153"/>
      <c r="CN247" s="141"/>
      <c r="CO247" s="141"/>
      <c r="CP247" s="153"/>
      <c r="CQ247" s="153"/>
      <c r="EG247" s="24"/>
      <c r="EH247" s="24"/>
    </row>
    <row r="248" spans="1:138" s="125" customFormat="1" ht="45.75">
      <c r="A248" s="127"/>
      <c r="B248" s="127"/>
      <c r="C248" s="127"/>
      <c r="D248" s="127"/>
      <c r="E248" s="127"/>
      <c r="F248" s="127" t="str">
        <f t="shared" si="71"/>
        <v/>
      </c>
      <c r="G248" s="132"/>
      <c r="H248" s="127"/>
      <c r="I248" s="127"/>
      <c r="J248" s="132"/>
      <c r="K248" s="132" t="str">
        <f t="shared" si="77"/>
        <v/>
      </c>
      <c r="L248" s="132" t="str">
        <f t="shared" si="73"/>
        <v/>
      </c>
      <c r="M248" s="198" t="str">
        <f t="shared" si="78"/>
        <v/>
      </c>
      <c r="N248" s="127">
        <f t="shared" si="74"/>
        <v>0</v>
      </c>
      <c r="O248" s="127"/>
      <c r="P248" s="133" t="str">
        <f t="shared" si="75"/>
        <v/>
      </c>
      <c r="Q248" s="133" t="str">
        <f t="shared" si="76"/>
        <v/>
      </c>
      <c r="R248" s="127"/>
      <c r="S248" s="127"/>
      <c r="T248" s="127"/>
      <c r="U248" s="127"/>
      <c r="V248" s="127"/>
      <c r="W248" s="127"/>
      <c r="X248" s="127"/>
      <c r="Y248" s="127"/>
      <c r="Z248" s="127"/>
      <c r="AA248" s="127"/>
      <c r="AB248" s="127"/>
      <c r="AC248" s="127"/>
      <c r="AD248" s="127"/>
      <c r="AE248" s="127"/>
      <c r="AF248" s="127"/>
      <c r="AG248" s="127"/>
      <c r="AH248" s="127"/>
      <c r="AI248" s="127"/>
      <c r="AJ248" s="127"/>
      <c r="AK248" s="127"/>
      <c r="AL248" s="127"/>
      <c r="AM248" s="127"/>
      <c r="AN248" s="127"/>
      <c r="AO248" s="127"/>
      <c r="AP248" s="127"/>
      <c r="AQ248" s="127"/>
      <c r="AR248" s="127"/>
      <c r="AS248" s="127"/>
      <c r="AT248" s="127"/>
      <c r="AU248" s="197"/>
      <c r="BI248" s="130"/>
      <c r="BO248" s="254"/>
      <c r="BP248" s="254"/>
      <c r="BQ248" s="254"/>
      <c r="CL248" s="153"/>
      <c r="CM248" s="153"/>
      <c r="CN248" s="141"/>
      <c r="CO248" s="141"/>
      <c r="CP248" s="153"/>
      <c r="CQ248" s="153"/>
      <c r="EG248" s="24"/>
      <c r="EH248" s="24"/>
    </row>
    <row r="249" spans="1:138" s="125" customFormat="1" ht="45.75">
      <c r="A249" s="127"/>
      <c r="B249" s="127"/>
      <c r="C249" s="127"/>
      <c r="D249" s="127"/>
      <c r="E249" s="127"/>
      <c r="F249" s="127" t="str">
        <f t="shared" si="71"/>
        <v/>
      </c>
      <c r="G249" s="132"/>
      <c r="H249" s="127"/>
      <c r="I249" s="127"/>
      <c r="J249" s="132"/>
      <c r="K249" s="132" t="str">
        <f t="shared" si="77"/>
        <v/>
      </c>
      <c r="L249" s="132" t="str">
        <f t="shared" si="73"/>
        <v/>
      </c>
      <c r="M249" s="198" t="str">
        <f t="shared" si="78"/>
        <v/>
      </c>
      <c r="N249" s="127">
        <f t="shared" si="74"/>
        <v>0</v>
      </c>
      <c r="O249" s="127"/>
      <c r="P249" s="133" t="str">
        <f t="shared" si="75"/>
        <v/>
      </c>
      <c r="Q249" s="133" t="str">
        <f t="shared" si="76"/>
        <v/>
      </c>
      <c r="R249" s="127"/>
      <c r="S249" s="127"/>
      <c r="T249" s="127"/>
      <c r="U249" s="127"/>
      <c r="V249" s="127"/>
      <c r="W249" s="127"/>
      <c r="X249" s="127"/>
      <c r="Y249" s="127"/>
      <c r="Z249" s="127"/>
      <c r="AA249" s="127"/>
      <c r="AB249" s="127"/>
      <c r="AC249" s="127"/>
      <c r="AD249" s="127"/>
      <c r="AE249" s="127"/>
      <c r="AF249" s="127"/>
      <c r="AG249" s="127"/>
      <c r="AH249" s="127"/>
      <c r="AI249" s="127"/>
      <c r="AJ249" s="127"/>
      <c r="AK249" s="127"/>
      <c r="AL249" s="127"/>
      <c r="AM249" s="127"/>
      <c r="AN249" s="127"/>
      <c r="AO249" s="127"/>
      <c r="AP249" s="127"/>
      <c r="AQ249" s="127"/>
      <c r="AR249" s="127"/>
      <c r="AS249" s="127"/>
      <c r="AT249" s="127"/>
      <c r="AU249" s="197"/>
      <c r="BI249" s="130"/>
      <c r="BO249" s="254"/>
      <c r="BP249" s="254"/>
      <c r="BQ249" s="254"/>
      <c r="CL249" s="153"/>
      <c r="CM249" s="153"/>
      <c r="CN249" s="141"/>
      <c r="CO249" s="141"/>
      <c r="CP249" s="153"/>
      <c r="CQ249" s="153"/>
      <c r="EG249" s="24"/>
      <c r="EH249" s="24"/>
    </row>
    <row r="250" spans="1:138" s="125" customFormat="1" ht="45.75">
      <c r="A250" s="127"/>
      <c r="B250" s="127"/>
      <c r="C250" s="127"/>
      <c r="D250" s="127"/>
      <c r="E250" s="127"/>
      <c r="F250" s="127" t="str">
        <f t="shared" si="71"/>
        <v/>
      </c>
      <c r="G250" s="132"/>
      <c r="H250" s="127"/>
      <c r="I250" s="127"/>
      <c r="J250" s="132"/>
      <c r="K250" s="132" t="str">
        <f t="shared" si="77"/>
        <v/>
      </c>
      <c r="L250" s="132" t="str">
        <f t="shared" si="73"/>
        <v/>
      </c>
      <c r="M250" s="198" t="str">
        <f t="shared" si="78"/>
        <v/>
      </c>
      <c r="N250" s="127">
        <f t="shared" si="74"/>
        <v>0</v>
      </c>
      <c r="O250" s="127"/>
      <c r="P250" s="133" t="str">
        <f t="shared" si="75"/>
        <v/>
      </c>
      <c r="Q250" s="133" t="str">
        <f t="shared" si="76"/>
        <v/>
      </c>
      <c r="R250" s="127"/>
      <c r="S250" s="127"/>
      <c r="T250" s="127"/>
      <c r="U250" s="127"/>
      <c r="V250" s="127"/>
      <c r="W250" s="127"/>
      <c r="X250" s="127"/>
      <c r="Y250" s="127"/>
      <c r="Z250" s="127"/>
      <c r="AA250" s="127"/>
      <c r="AB250" s="127"/>
      <c r="AC250" s="127"/>
      <c r="AD250" s="127"/>
      <c r="AE250" s="127"/>
      <c r="AF250" s="127"/>
      <c r="AG250" s="127"/>
      <c r="AH250" s="127"/>
      <c r="AI250" s="127"/>
      <c r="AJ250" s="127"/>
      <c r="AK250" s="127"/>
      <c r="AL250" s="127"/>
      <c r="AM250" s="127"/>
      <c r="AN250" s="127"/>
      <c r="AO250" s="127"/>
      <c r="AP250" s="127"/>
      <c r="AQ250" s="127"/>
      <c r="AR250" s="127"/>
      <c r="AS250" s="127"/>
      <c r="AT250" s="127"/>
      <c r="AU250" s="197"/>
      <c r="BI250" s="130"/>
      <c r="BO250" s="254"/>
      <c r="BP250" s="254"/>
      <c r="BQ250" s="254"/>
      <c r="CL250" s="153"/>
      <c r="CM250" s="153"/>
      <c r="CN250" s="141"/>
      <c r="CO250" s="141"/>
      <c r="CP250" s="153"/>
      <c r="CQ250" s="153"/>
      <c r="EG250" s="24"/>
      <c r="EH250" s="24"/>
    </row>
    <row r="251" spans="1:138" s="125" customFormat="1" ht="45.75">
      <c r="A251" s="127"/>
      <c r="B251" s="127"/>
      <c r="C251" s="127"/>
      <c r="D251" s="127"/>
      <c r="E251" s="127"/>
      <c r="F251" s="127" t="str">
        <f t="shared" si="71"/>
        <v/>
      </c>
      <c r="G251" s="132"/>
      <c r="H251" s="127"/>
      <c r="I251" s="127"/>
      <c r="J251" s="132"/>
      <c r="K251" s="132" t="str">
        <f t="shared" si="77"/>
        <v/>
      </c>
      <c r="L251" s="132" t="str">
        <f t="shared" si="73"/>
        <v/>
      </c>
      <c r="M251" s="198" t="str">
        <f t="shared" si="78"/>
        <v/>
      </c>
      <c r="N251" s="127">
        <f t="shared" si="74"/>
        <v>0</v>
      </c>
      <c r="O251" s="127"/>
      <c r="P251" s="133" t="str">
        <f t="shared" si="75"/>
        <v/>
      </c>
      <c r="Q251" s="133" t="str">
        <f t="shared" si="76"/>
        <v/>
      </c>
      <c r="R251" s="127"/>
      <c r="S251" s="127"/>
      <c r="T251" s="127"/>
      <c r="U251" s="127"/>
      <c r="V251" s="127"/>
      <c r="W251" s="127"/>
      <c r="X251" s="127"/>
      <c r="Y251" s="127"/>
      <c r="Z251" s="127"/>
      <c r="AA251" s="127"/>
      <c r="AB251" s="127"/>
      <c r="AC251" s="127"/>
      <c r="AD251" s="127"/>
      <c r="AE251" s="127"/>
      <c r="AF251" s="127"/>
      <c r="AG251" s="127"/>
      <c r="AH251" s="127"/>
      <c r="AI251" s="127"/>
      <c r="AJ251" s="127"/>
      <c r="AK251" s="127"/>
      <c r="AL251" s="127"/>
      <c r="AM251" s="127"/>
      <c r="AN251" s="127"/>
      <c r="AO251" s="127"/>
      <c r="AP251" s="127"/>
      <c r="AQ251" s="127"/>
      <c r="AR251" s="127"/>
      <c r="AS251" s="127"/>
      <c r="AT251" s="127"/>
      <c r="AU251" s="197"/>
      <c r="BI251" s="130"/>
      <c r="BO251" s="254"/>
      <c r="BP251" s="254"/>
      <c r="BQ251" s="254"/>
      <c r="CL251" s="153"/>
      <c r="CM251" s="153"/>
      <c r="CN251" s="141"/>
      <c r="CO251" s="141"/>
      <c r="CP251" s="153"/>
      <c r="CQ251" s="153"/>
      <c r="EG251" s="24"/>
      <c r="EH251" s="24"/>
    </row>
    <row r="252" spans="1:138" s="125" customFormat="1" ht="45.75">
      <c r="A252" s="127"/>
      <c r="B252" s="127"/>
      <c r="C252" s="127"/>
      <c r="D252" s="127"/>
      <c r="E252" s="127"/>
      <c r="F252" s="127" t="str">
        <f t="shared" si="71"/>
        <v/>
      </c>
      <c r="G252" s="132"/>
      <c r="H252" s="127"/>
      <c r="I252" s="127"/>
      <c r="J252" s="132"/>
      <c r="K252" s="132" t="str">
        <f t="shared" si="77"/>
        <v/>
      </c>
      <c r="L252" s="132" t="str">
        <f t="shared" si="73"/>
        <v/>
      </c>
      <c r="M252" s="198" t="str">
        <f t="shared" si="78"/>
        <v/>
      </c>
      <c r="N252" s="127">
        <f t="shared" si="74"/>
        <v>0</v>
      </c>
      <c r="O252" s="127"/>
      <c r="P252" s="133" t="str">
        <f t="shared" si="75"/>
        <v/>
      </c>
      <c r="Q252" s="133" t="str">
        <f t="shared" si="76"/>
        <v/>
      </c>
      <c r="R252" s="127"/>
      <c r="S252" s="127"/>
      <c r="T252" s="127"/>
      <c r="U252" s="127"/>
      <c r="V252" s="127"/>
      <c r="W252" s="127"/>
      <c r="X252" s="127"/>
      <c r="Y252" s="127"/>
      <c r="Z252" s="127"/>
      <c r="AA252" s="127"/>
      <c r="AB252" s="127"/>
      <c r="AC252" s="127"/>
      <c r="AD252" s="127"/>
      <c r="AE252" s="127"/>
      <c r="AF252" s="127"/>
      <c r="AG252" s="127"/>
      <c r="AH252" s="127"/>
      <c r="AI252" s="127"/>
      <c r="AJ252" s="127"/>
      <c r="AK252" s="127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97"/>
      <c r="BI252" s="130"/>
      <c r="BO252" s="254"/>
      <c r="BP252" s="254"/>
      <c r="BQ252" s="254"/>
      <c r="CL252" s="153"/>
      <c r="CM252" s="153"/>
      <c r="CN252" s="141"/>
      <c r="CO252" s="141"/>
      <c r="CP252" s="153"/>
      <c r="CQ252" s="153"/>
      <c r="EG252" s="24"/>
      <c r="EH252" s="24"/>
    </row>
    <row r="253" spans="1:138" s="125" customFormat="1" ht="45.75">
      <c r="A253" s="127"/>
      <c r="B253" s="127"/>
      <c r="C253" s="127"/>
      <c r="D253" s="127"/>
      <c r="E253" s="127"/>
      <c r="F253" s="127" t="str">
        <f t="shared" si="71"/>
        <v/>
      </c>
      <c r="G253" s="132"/>
      <c r="H253" s="127"/>
      <c r="I253" s="127"/>
      <c r="J253" s="132"/>
      <c r="K253" s="132" t="str">
        <f t="shared" si="77"/>
        <v/>
      </c>
      <c r="L253" s="132" t="str">
        <f t="shared" si="73"/>
        <v/>
      </c>
      <c r="M253" s="198" t="str">
        <f t="shared" si="78"/>
        <v/>
      </c>
      <c r="N253" s="127">
        <f t="shared" si="74"/>
        <v>0</v>
      </c>
      <c r="O253" s="127"/>
      <c r="P253" s="133" t="str">
        <f t="shared" si="75"/>
        <v/>
      </c>
      <c r="Q253" s="133" t="str">
        <f t="shared" si="76"/>
        <v/>
      </c>
      <c r="R253" s="127"/>
      <c r="S253" s="127"/>
      <c r="T253" s="127"/>
      <c r="U253" s="127"/>
      <c r="V253" s="127"/>
      <c r="W253" s="127"/>
      <c r="X253" s="127"/>
      <c r="Y253" s="127"/>
      <c r="Z253" s="127"/>
      <c r="AA253" s="127"/>
      <c r="AB253" s="127"/>
      <c r="AC253" s="127"/>
      <c r="AD253" s="127"/>
      <c r="AE253" s="127"/>
      <c r="AF253" s="127"/>
      <c r="AG253" s="127"/>
      <c r="AH253" s="127"/>
      <c r="AI253" s="127"/>
      <c r="AJ253" s="127"/>
      <c r="AK253" s="127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97"/>
      <c r="BI253" s="130"/>
      <c r="BO253" s="254"/>
      <c r="BP253" s="254"/>
      <c r="BQ253" s="254"/>
      <c r="CL253" s="153"/>
      <c r="CM253" s="153"/>
      <c r="CN253" s="141"/>
      <c r="CO253" s="141"/>
      <c r="CP253" s="153"/>
      <c r="CQ253" s="153"/>
      <c r="EG253" s="24"/>
      <c r="EH253" s="24"/>
    </row>
    <row r="254" spans="1:138" s="125" customFormat="1" ht="45.75">
      <c r="A254" s="127"/>
      <c r="B254" s="127"/>
      <c r="C254" s="127"/>
      <c r="D254" s="127"/>
      <c r="E254" s="127"/>
      <c r="F254" s="127" t="str">
        <f t="shared" si="71"/>
        <v/>
      </c>
      <c r="G254" s="132"/>
      <c r="H254" s="127"/>
      <c r="I254" s="127"/>
      <c r="J254" s="132"/>
      <c r="K254" s="132" t="str">
        <f t="shared" si="77"/>
        <v/>
      </c>
      <c r="L254" s="132" t="str">
        <f t="shared" si="73"/>
        <v/>
      </c>
      <c r="M254" s="198" t="str">
        <f t="shared" si="78"/>
        <v/>
      </c>
      <c r="N254" s="127">
        <f t="shared" si="74"/>
        <v>0</v>
      </c>
      <c r="O254" s="127"/>
      <c r="P254" s="133" t="str">
        <f t="shared" si="75"/>
        <v/>
      </c>
      <c r="Q254" s="133" t="str">
        <f t="shared" si="76"/>
        <v/>
      </c>
      <c r="R254" s="127"/>
      <c r="S254" s="127"/>
      <c r="T254" s="127"/>
      <c r="U254" s="127"/>
      <c r="V254" s="127"/>
      <c r="W254" s="127"/>
      <c r="X254" s="127"/>
      <c r="Y254" s="127"/>
      <c r="Z254" s="127"/>
      <c r="AA254" s="127"/>
      <c r="AB254" s="127"/>
      <c r="AC254" s="127"/>
      <c r="AD254" s="127"/>
      <c r="AE254" s="127"/>
      <c r="AF254" s="127"/>
      <c r="AG254" s="127"/>
      <c r="AH254" s="127"/>
      <c r="AI254" s="127"/>
      <c r="AJ254" s="127"/>
      <c r="AK254" s="127"/>
      <c r="AL254" s="127"/>
      <c r="AM254" s="127"/>
      <c r="AN254" s="127"/>
      <c r="AO254" s="127"/>
      <c r="AP254" s="127"/>
      <c r="AQ254" s="127"/>
      <c r="AR254" s="127"/>
      <c r="AS254" s="127"/>
      <c r="AT254" s="127"/>
      <c r="AU254" s="197"/>
      <c r="BI254" s="130"/>
      <c r="BO254" s="254"/>
      <c r="BP254" s="254"/>
      <c r="BQ254" s="254"/>
      <c r="CL254" s="153"/>
      <c r="CM254" s="153"/>
      <c r="CN254" s="141"/>
      <c r="CO254" s="141"/>
      <c r="CP254" s="153"/>
      <c r="CQ254" s="153"/>
      <c r="EG254" s="24"/>
      <c r="EH254" s="24"/>
    </row>
    <row r="255" spans="1:138" s="125" customFormat="1" ht="45.75">
      <c r="A255" s="127"/>
      <c r="B255" s="127"/>
      <c r="C255" s="127"/>
      <c r="D255" s="127"/>
      <c r="E255" s="127"/>
      <c r="F255" s="127" t="str">
        <f t="shared" si="71"/>
        <v/>
      </c>
      <c r="G255" s="132"/>
      <c r="H255" s="127"/>
      <c r="I255" s="127"/>
      <c r="J255" s="132"/>
      <c r="K255" s="132" t="str">
        <f t="shared" si="77"/>
        <v/>
      </c>
      <c r="L255" s="132" t="str">
        <f t="shared" si="73"/>
        <v/>
      </c>
      <c r="M255" s="198" t="str">
        <f t="shared" si="78"/>
        <v/>
      </c>
      <c r="N255" s="127">
        <f t="shared" si="74"/>
        <v>0</v>
      </c>
      <c r="O255" s="127"/>
      <c r="P255" s="133" t="str">
        <f t="shared" si="75"/>
        <v/>
      </c>
      <c r="Q255" s="133" t="str">
        <f t="shared" si="76"/>
        <v/>
      </c>
      <c r="R255" s="127"/>
      <c r="S255" s="127"/>
      <c r="T255" s="127"/>
      <c r="U255" s="127"/>
      <c r="V255" s="127"/>
      <c r="W255" s="127"/>
      <c r="X255" s="127"/>
      <c r="Y255" s="127"/>
      <c r="Z255" s="127"/>
      <c r="AA255" s="127"/>
      <c r="AB255" s="127"/>
      <c r="AC255" s="127"/>
      <c r="AD255" s="127"/>
      <c r="AE255" s="127"/>
      <c r="AF255" s="127"/>
      <c r="AG255" s="127"/>
      <c r="AH255" s="127"/>
      <c r="AI255" s="127"/>
      <c r="AJ255" s="127"/>
      <c r="AK255" s="127"/>
      <c r="AL255" s="127"/>
      <c r="AM255" s="127"/>
      <c r="AN255" s="127"/>
      <c r="AO255" s="127"/>
      <c r="AP255" s="127"/>
      <c r="AQ255" s="127"/>
      <c r="AR255" s="127"/>
      <c r="AS255" s="127"/>
      <c r="AT255" s="127"/>
      <c r="AU255" s="197"/>
      <c r="BI255" s="130"/>
      <c r="BO255" s="254"/>
      <c r="BP255" s="254"/>
      <c r="BQ255" s="254"/>
      <c r="CL255" s="153"/>
      <c r="CM255" s="153"/>
      <c r="CN255" s="141"/>
      <c r="CO255" s="141"/>
      <c r="CP255" s="153"/>
      <c r="CQ255" s="153"/>
      <c r="EG255" s="24"/>
      <c r="EH255" s="24"/>
    </row>
    <row r="256" spans="1:138" s="125" customFormat="1" ht="45.75">
      <c r="A256" s="127"/>
      <c r="B256" s="127"/>
      <c r="C256" s="127"/>
      <c r="D256" s="127"/>
      <c r="E256" s="127"/>
      <c r="F256" s="127" t="str">
        <f t="shared" si="71"/>
        <v/>
      </c>
      <c r="G256" s="132"/>
      <c r="H256" s="127"/>
      <c r="I256" s="127"/>
      <c r="J256" s="132"/>
      <c r="K256" s="132" t="str">
        <f t="shared" si="77"/>
        <v/>
      </c>
      <c r="L256" s="132" t="str">
        <f t="shared" si="73"/>
        <v/>
      </c>
      <c r="M256" s="198" t="str">
        <f t="shared" si="78"/>
        <v/>
      </c>
      <c r="N256" s="127">
        <f t="shared" si="74"/>
        <v>0</v>
      </c>
      <c r="O256" s="127"/>
      <c r="P256" s="133" t="str">
        <f t="shared" si="75"/>
        <v/>
      </c>
      <c r="Q256" s="133" t="str">
        <f t="shared" si="76"/>
        <v/>
      </c>
      <c r="R256" s="127"/>
      <c r="S256" s="127"/>
      <c r="T256" s="127"/>
      <c r="U256" s="127"/>
      <c r="V256" s="127"/>
      <c r="W256" s="127"/>
      <c r="X256" s="127"/>
      <c r="Y256" s="127"/>
      <c r="Z256" s="127"/>
      <c r="AA256" s="127"/>
      <c r="AB256" s="127"/>
      <c r="AC256" s="127"/>
      <c r="AD256" s="127"/>
      <c r="AE256" s="127"/>
      <c r="AF256" s="127"/>
      <c r="AG256" s="127"/>
      <c r="AH256" s="127"/>
      <c r="AI256" s="127"/>
      <c r="AJ256" s="127"/>
      <c r="AK256" s="127"/>
      <c r="AL256" s="127"/>
      <c r="AM256" s="127"/>
      <c r="AN256" s="127"/>
      <c r="AO256" s="127"/>
      <c r="AP256" s="127"/>
      <c r="AQ256" s="127"/>
      <c r="AR256" s="127"/>
      <c r="AS256" s="127"/>
      <c r="AT256" s="127"/>
      <c r="AU256" s="197"/>
      <c r="BI256" s="130"/>
      <c r="BO256" s="254"/>
      <c r="BP256" s="254"/>
      <c r="BQ256" s="254"/>
      <c r="CL256" s="153"/>
      <c r="CM256" s="153"/>
      <c r="CN256" s="141"/>
      <c r="CO256" s="141"/>
      <c r="CP256" s="153"/>
      <c r="CQ256" s="153"/>
      <c r="EG256" s="24"/>
      <c r="EH256" s="24"/>
    </row>
    <row r="257" spans="1:138" s="125" customFormat="1" ht="45.75">
      <c r="A257" s="127"/>
      <c r="B257" s="127"/>
      <c r="C257" s="127"/>
      <c r="D257" s="127"/>
      <c r="E257" s="127"/>
      <c r="F257" s="127" t="str">
        <f t="shared" si="71"/>
        <v/>
      </c>
      <c r="G257" s="132"/>
      <c r="H257" s="127"/>
      <c r="I257" s="127"/>
      <c r="J257" s="132"/>
      <c r="K257" s="132" t="str">
        <f t="shared" si="77"/>
        <v/>
      </c>
      <c r="L257" s="132" t="str">
        <f t="shared" si="73"/>
        <v/>
      </c>
      <c r="M257" s="198" t="str">
        <f t="shared" si="78"/>
        <v/>
      </c>
      <c r="N257" s="127">
        <f t="shared" si="74"/>
        <v>0</v>
      </c>
      <c r="O257" s="127"/>
      <c r="P257" s="133" t="str">
        <f t="shared" si="75"/>
        <v/>
      </c>
      <c r="Q257" s="133" t="str">
        <f t="shared" si="76"/>
        <v/>
      </c>
      <c r="R257" s="127"/>
      <c r="S257" s="127"/>
      <c r="T257" s="127"/>
      <c r="U257" s="127"/>
      <c r="V257" s="127"/>
      <c r="W257" s="127"/>
      <c r="X257" s="127"/>
      <c r="Y257" s="127"/>
      <c r="Z257" s="127"/>
      <c r="AA257" s="127"/>
      <c r="AB257" s="127"/>
      <c r="AC257" s="127"/>
      <c r="AD257" s="127"/>
      <c r="AE257" s="127"/>
      <c r="AF257" s="127"/>
      <c r="AG257" s="127"/>
      <c r="AH257" s="127"/>
      <c r="AI257" s="127"/>
      <c r="AJ257" s="127"/>
      <c r="AK257" s="127"/>
      <c r="AL257" s="127"/>
      <c r="AM257" s="127"/>
      <c r="AN257" s="127"/>
      <c r="AO257" s="127"/>
      <c r="AP257" s="127"/>
      <c r="AQ257" s="127"/>
      <c r="AR257" s="127"/>
      <c r="AS257" s="127"/>
      <c r="AT257" s="127"/>
      <c r="AU257" s="197"/>
      <c r="BI257" s="130"/>
      <c r="BO257" s="254"/>
      <c r="BP257" s="254"/>
      <c r="BQ257" s="254"/>
      <c r="CL257" s="153"/>
      <c r="CM257" s="153"/>
      <c r="CN257" s="141"/>
      <c r="CO257" s="141"/>
      <c r="CP257" s="153"/>
      <c r="CQ257" s="153"/>
      <c r="EG257" s="24"/>
      <c r="EH257" s="24"/>
    </row>
    <row r="258" spans="1:138" s="125" customFormat="1" ht="45.75">
      <c r="A258" s="127"/>
      <c r="B258" s="127"/>
      <c r="C258" s="127"/>
      <c r="D258" s="127"/>
      <c r="E258" s="127"/>
      <c r="F258" s="127" t="str">
        <f t="shared" si="71"/>
        <v/>
      </c>
      <c r="G258" s="132"/>
      <c r="H258" s="127"/>
      <c r="I258" s="127"/>
      <c r="J258" s="132"/>
      <c r="K258" s="132" t="str">
        <f t="shared" si="77"/>
        <v/>
      </c>
      <c r="L258" s="132" t="str">
        <f t="shared" si="73"/>
        <v/>
      </c>
      <c r="M258" s="198" t="str">
        <f t="shared" si="78"/>
        <v/>
      </c>
      <c r="N258" s="127">
        <f t="shared" si="74"/>
        <v>0</v>
      </c>
      <c r="O258" s="127"/>
      <c r="P258" s="133" t="str">
        <f t="shared" si="75"/>
        <v/>
      </c>
      <c r="Q258" s="133" t="str">
        <f t="shared" si="76"/>
        <v/>
      </c>
      <c r="R258" s="127"/>
      <c r="S258" s="127"/>
      <c r="T258" s="127"/>
      <c r="U258" s="127"/>
      <c r="V258" s="127"/>
      <c r="W258" s="127"/>
      <c r="X258" s="127"/>
      <c r="Y258" s="127"/>
      <c r="Z258" s="127"/>
      <c r="AA258" s="127"/>
      <c r="AB258" s="127"/>
      <c r="AC258" s="127"/>
      <c r="AD258" s="127"/>
      <c r="AE258" s="127"/>
      <c r="AF258" s="127"/>
      <c r="AG258" s="127"/>
      <c r="AH258" s="127"/>
      <c r="AI258" s="127"/>
      <c r="AJ258" s="127"/>
      <c r="AK258" s="127"/>
      <c r="AL258" s="127"/>
      <c r="AM258" s="127"/>
      <c r="AN258" s="127"/>
      <c r="AO258" s="127"/>
      <c r="AP258" s="127"/>
      <c r="AQ258" s="127"/>
      <c r="AR258" s="127"/>
      <c r="AS258" s="127"/>
      <c r="AT258" s="127"/>
      <c r="AU258" s="197"/>
      <c r="BI258" s="130"/>
      <c r="BO258" s="254"/>
      <c r="BP258" s="254"/>
      <c r="BQ258" s="254"/>
      <c r="CL258" s="153"/>
      <c r="CM258" s="153"/>
      <c r="CN258" s="141"/>
      <c r="CO258" s="141"/>
      <c r="CP258" s="153"/>
      <c r="CQ258" s="153"/>
      <c r="EG258" s="24"/>
      <c r="EH258" s="24"/>
    </row>
    <row r="259" spans="1:138" s="125" customFormat="1" ht="45.75">
      <c r="A259" s="127"/>
      <c r="B259" s="127"/>
      <c r="C259" s="127"/>
      <c r="D259" s="127"/>
      <c r="E259" s="127"/>
      <c r="F259" s="127" t="str">
        <f t="shared" si="71"/>
        <v/>
      </c>
      <c r="G259" s="132"/>
      <c r="H259" s="127"/>
      <c r="I259" s="127"/>
      <c r="J259" s="132"/>
      <c r="K259" s="132" t="str">
        <f t="shared" si="77"/>
        <v/>
      </c>
      <c r="L259" s="132" t="str">
        <f t="shared" si="73"/>
        <v/>
      </c>
      <c r="M259" s="198" t="str">
        <f t="shared" si="78"/>
        <v/>
      </c>
      <c r="N259" s="127">
        <f t="shared" si="74"/>
        <v>0</v>
      </c>
      <c r="O259" s="127"/>
      <c r="P259" s="133" t="str">
        <f t="shared" si="75"/>
        <v/>
      </c>
      <c r="Q259" s="133" t="str">
        <f t="shared" si="76"/>
        <v/>
      </c>
      <c r="R259" s="127"/>
      <c r="S259" s="127"/>
      <c r="T259" s="127"/>
      <c r="U259" s="127"/>
      <c r="V259" s="127"/>
      <c r="W259" s="127"/>
      <c r="X259" s="127"/>
      <c r="Y259" s="127"/>
      <c r="Z259" s="127"/>
      <c r="AA259" s="127"/>
      <c r="AB259" s="127"/>
      <c r="AC259" s="127"/>
      <c r="AD259" s="127"/>
      <c r="AE259" s="127"/>
      <c r="AF259" s="127"/>
      <c r="AG259" s="127"/>
      <c r="AH259" s="127"/>
      <c r="AI259" s="127"/>
      <c r="AJ259" s="127"/>
      <c r="AK259" s="127"/>
      <c r="AL259" s="127"/>
      <c r="AM259" s="127"/>
      <c r="AN259" s="127"/>
      <c r="AO259" s="127"/>
      <c r="AP259" s="127"/>
      <c r="AQ259" s="127"/>
      <c r="AR259" s="127"/>
      <c r="AS259" s="127"/>
      <c r="AT259" s="127"/>
      <c r="AU259" s="197"/>
      <c r="BI259" s="130"/>
      <c r="BO259" s="254"/>
      <c r="BP259" s="254"/>
      <c r="BQ259" s="254"/>
      <c r="CL259" s="153"/>
      <c r="CM259" s="153"/>
      <c r="CN259" s="141"/>
      <c r="CO259" s="141"/>
      <c r="CP259" s="153"/>
      <c r="CQ259" s="153"/>
      <c r="EG259" s="24"/>
      <c r="EH259" s="24"/>
    </row>
    <row r="260" spans="1:138" s="125" customFormat="1" ht="45.75">
      <c r="A260" s="127"/>
      <c r="B260" s="127"/>
      <c r="C260" s="127"/>
      <c r="D260" s="127"/>
      <c r="E260" s="127"/>
      <c r="F260" s="127" t="str">
        <f t="shared" si="71"/>
        <v/>
      </c>
      <c r="G260" s="132"/>
      <c r="H260" s="127"/>
      <c r="I260" s="127"/>
      <c r="J260" s="132"/>
      <c r="K260" s="132" t="str">
        <f t="shared" si="77"/>
        <v/>
      </c>
      <c r="L260" s="132" t="str">
        <f t="shared" si="73"/>
        <v/>
      </c>
      <c r="M260" s="198" t="str">
        <f t="shared" si="78"/>
        <v/>
      </c>
      <c r="N260" s="127">
        <f t="shared" si="74"/>
        <v>0</v>
      </c>
      <c r="O260" s="127"/>
      <c r="P260" s="133" t="str">
        <f t="shared" si="75"/>
        <v/>
      </c>
      <c r="Q260" s="133" t="str">
        <f t="shared" si="76"/>
        <v/>
      </c>
      <c r="R260" s="127"/>
      <c r="S260" s="127"/>
      <c r="T260" s="127"/>
      <c r="U260" s="127"/>
      <c r="V260" s="127"/>
      <c r="W260" s="127"/>
      <c r="X260" s="127"/>
      <c r="Y260" s="127"/>
      <c r="Z260" s="127"/>
      <c r="AA260" s="127"/>
      <c r="AB260" s="127"/>
      <c r="AC260" s="127"/>
      <c r="AD260" s="127"/>
      <c r="AE260" s="127"/>
      <c r="AF260" s="127"/>
      <c r="AG260" s="127"/>
      <c r="AH260" s="127"/>
      <c r="AI260" s="127"/>
      <c r="AJ260" s="127"/>
      <c r="AK260" s="127"/>
      <c r="AL260" s="127"/>
      <c r="AM260" s="127"/>
      <c r="AN260" s="127"/>
      <c r="AO260" s="127"/>
      <c r="AP260" s="127"/>
      <c r="AQ260" s="127"/>
      <c r="AR260" s="127"/>
      <c r="AS260" s="127"/>
      <c r="AT260" s="127"/>
      <c r="AU260" s="197"/>
      <c r="BI260" s="130"/>
      <c r="BO260" s="254"/>
      <c r="BP260" s="254"/>
      <c r="BQ260" s="254"/>
      <c r="CL260" s="153"/>
      <c r="CM260" s="153"/>
      <c r="CN260" s="141"/>
      <c r="CO260" s="141"/>
      <c r="CP260" s="153"/>
      <c r="CQ260" s="153"/>
      <c r="EG260" s="24"/>
      <c r="EH260" s="24"/>
    </row>
    <row r="261" spans="1:138" s="125" customFormat="1" ht="45.75">
      <c r="A261" s="127"/>
      <c r="B261" s="127"/>
      <c r="C261" s="127"/>
      <c r="D261" s="127"/>
      <c r="E261" s="127"/>
      <c r="F261" s="127" t="str">
        <f t="shared" si="71"/>
        <v/>
      </c>
      <c r="G261" s="132"/>
      <c r="H261" s="127"/>
      <c r="I261" s="127"/>
      <c r="J261" s="132"/>
      <c r="K261" s="132" t="str">
        <f t="shared" si="77"/>
        <v/>
      </c>
      <c r="L261" s="132" t="str">
        <f t="shared" si="73"/>
        <v/>
      </c>
      <c r="M261" s="198" t="str">
        <f t="shared" si="78"/>
        <v/>
      </c>
      <c r="N261" s="127">
        <f t="shared" si="74"/>
        <v>0</v>
      </c>
      <c r="O261" s="127"/>
      <c r="P261" s="133" t="str">
        <f t="shared" si="75"/>
        <v/>
      </c>
      <c r="Q261" s="133" t="str">
        <f t="shared" si="76"/>
        <v/>
      </c>
      <c r="R261" s="127"/>
      <c r="S261" s="127"/>
      <c r="T261" s="127"/>
      <c r="U261" s="127"/>
      <c r="V261" s="127"/>
      <c r="W261" s="127"/>
      <c r="X261" s="127"/>
      <c r="Y261" s="127"/>
      <c r="Z261" s="127"/>
      <c r="AA261" s="127"/>
      <c r="AB261" s="127"/>
      <c r="AC261" s="127"/>
      <c r="AD261" s="127"/>
      <c r="AE261" s="127"/>
      <c r="AF261" s="127"/>
      <c r="AG261" s="127"/>
      <c r="AH261" s="127"/>
      <c r="AI261" s="127"/>
      <c r="AJ261" s="127"/>
      <c r="AK261" s="127"/>
      <c r="AL261" s="127"/>
      <c r="AM261" s="127"/>
      <c r="AN261" s="127"/>
      <c r="AO261" s="127"/>
      <c r="AP261" s="127"/>
      <c r="AQ261" s="127"/>
      <c r="AR261" s="127"/>
      <c r="AS261" s="127"/>
      <c r="AT261" s="127"/>
      <c r="AU261" s="197"/>
      <c r="BI261" s="130"/>
      <c r="BO261" s="254"/>
      <c r="BP261" s="254"/>
      <c r="BQ261" s="254"/>
      <c r="CL261" s="153"/>
      <c r="CM261" s="153"/>
      <c r="CN261" s="141"/>
      <c r="CO261" s="141"/>
      <c r="CP261" s="153"/>
      <c r="CQ261" s="153"/>
      <c r="EG261" s="24"/>
      <c r="EH261" s="24"/>
    </row>
    <row r="262" spans="1:138" s="125" customFormat="1" ht="45.75">
      <c r="A262" s="127"/>
      <c r="B262" s="127"/>
      <c r="C262" s="127"/>
      <c r="D262" s="127"/>
      <c r="E262" s="127"/>
      <c r="F262" s="127" t="str">
        <f t="shared" si="71"/>
        <v/>
      </c>
      <c r="G262" s="132"/>
      <c r="H262" s="127"/>
      <c r="I262" s="127"/>
      <c r="J262" s="132"/>
      <c r="K262" s="132" t="str">
        <f t="shared" si="77"/>
        <v/>
      </c>
      <c r="L262" s="132" t="str">
        <f t="shared" si="73"/>
        <v/>
      </c>
      <c r="M262" s="198" t="str">
        <f t="shared" si="78"/>
        <v/>
      </c>
      <c r="N262" s="127">
        <f t="shared" si="74"/>
        <v>0</v>
      </c>
      <c r="O262" s="127"/>
      <c r="P262" s="133" t="str">
        <f t="shared" si="75"/>
        <v/>
      </c>
      <c r="Q262" s="133" t="str">
        <f t="shared" si="76"/>
        <v/>
      </c>
      <c r="R262" s="127"/>
      <c r="S262" s="127"/>
      <c r="T262" s="127"/>
      <c r="U262" s="127"/>
      <c r="V262" s="127"/>
      <c r="W262" s="127"/>
      <c r="X262" s="127"/>
      <c r="Y262" s="127"/>
      <c r="Z262" s="127"/>
      <c r="AA262" s="127"/>
      <c r="AB262" s="127"/>
      <c r="AC262" s="127"/>
      <c r="AD262" s="127"/>
      <c r="AE262" s="127"/>
      <c r="AF262" s="127"/>
      <c r="AG262" s="127"/>
      <c r="AH262" s="127"/>
      <c r="AI262" s="127"/>
      <c r="AJ262" s="127"/>
      <c r="AK262" s="127"/>
      <c r="AL262" s="127"/>
      <c r="AM262" s="127"/>
      <c r="AN262" s="127"/>
      <c r="AO262" s="127"/>
      <c r="AP262" s="127"/>
      <c r="AQ262" s="127"/>
      <c r="AR262" s="127"/>
      <c r="AS262" s="127"/>
      <c r="AT262" s="127"/>
      <c r="AU262" s="197"/>
      <c r="BI262" s="130"/>
      <c r="BO262" s="254"/>
      <c r="BP262" s="254"/>
      <c r="BQ262" s="254"/>
      <c r="CL262" s="153"/>
      <c r="CM262" s="153"/>
      <c r="CN262" s="141"/>
      <c r="CO262" s="141"/>
      <c r="CP262" s="153"/>
      <c r="CQ262" s="153"/>
      <c r="EG262" s="24"/>
      <c r="EH262" s="24"/>
    </row>
    <row r="263" spans="1:138" s="125" customFormat="1" ht="45.75">
      <c r="A263" s="127"/>
      <c r="B263" s="127"/>
      <c r="C263" s="127"/>
      <c r="D263" s="127"/>
      <c r="E263" s="127"/>
      <c r="F263" s="127" t="str">
        <f t="shared" si="71"/>
        <v/>
      </c>
      <c r="G263" s="132"/>
      <c r="H263" s="127"/>
      <c r="I263" s="127"/>
      <c r="J263" s="132"/>
      <c r="K263" s="132" t="str">
        <f t="shared" si="77"/>
        <v/>
      </c>
      <c r="L263" s="132" t="str">
        <f t="shared" si="73"/>
        <v/>
      </c>
      <c r="M263" s="198" t="str">
        <f t="shared" si="78"/>
        <v/>
      </c>
      <c r="N263" s="127">
        <f t="shared" si="74"/>
        <v>0</v>
      </c>
      <c r="O263" s="127"/>
      <c r="P263" s="133" t="str">
        <f t="shared" si="75"/>
        <v/>
      </c>
      <c r="Q263" s="133" t="str">
        <f t="shared" si="76"/>
        <v/>
      </c>
      <c r="R263" s="127"/>
      <c r="S263" s="127"/>
      <c r="T263" s="127"/>
      <c r="U263" s="127"/>
      <c r="V263" s="127"/>
      <c r="W263" s="127"/>
      <c r="X263" s="127"/>
      <c r="Y263" s="127"/>
      <c r="Z263" s="127"/>
      <c r="AA263" s="127"/>
      <c r="AB263" s="127"/>
      <c r="AC263" s="127"/>
      <c r="AD263" s="127"/>
      <c r="AE263" s="127"/>
      <c r="AF263" s="127"/>
      <c r="AG263" s="127"/>
      <c r="AH263" s="127"/>
      <c r="AI263" s="127"/>
      <c r="AJ263" s="127"/>
      <c r="AK263" s="127"/>
      <c r="AL263" s="127"/>
      <c r="AM263" s="127"/>
      <c r="AN263" s="127"/>
      <c r="AO263" s="127"/>
      <c r="AP263" s="127"/>
      <c r="AQ263" s="127"/>
      <c r="AR263" s="127"/>
      <c r="AS263" s="127"/>
      <c r="AT263" s="127"/>
      <c r="AU263" s="197"/>
      <c r="BI263" s="130"/>
      <c r="BO263" s="254"/>
      <c r="BP263" s="254"/>
      <c r="BQ263" s="254"/>
      <c r="CL263" s="153"/>
      <c r="CM263" s="153"/>
      <c r="CN263" s="141"/>
      <c r="CO263" s="141"/>
      <c r="CP263" s="153"/>
      <c r="CQ263" s="153"/>
      <c r="EG263" s="24"/>
      <c r="EH263" s="24"/>
    </row>
    <row r="264" spans="1:138" s="125" customFormat="1" ht="45.75">
      <c r="A264" s="127"/>
      <c r="B264" s="127"/>
      <c r="C264" s="127"/>
      <c r="D264" s="127"/>
      <c r="E264" s="127"/>
      <c r="F264" s="127" t="str">
        <f t="shared" si="71"/>
        <v/>
      </c>
      <c r="G264" s="132"/>
      <c r="H264" s="127"/>
      <c r="I264" s="127"/>
      <c r="J264" s="132"/>
      <c r="K264" s="132" t="str">
        <f t="shared" si="77"/>
        <v/>
      </c>
      <c r="L264" s="132" t="str">
        <f t="shared" si="73"/>
        <v/>
      </c>
      <c r="M264" s="198" t="str">
        <f t="shared" si="78"/>
        <v/>
      </c>
      <c r="N264" s="127">
        <f t="shared" si="74"/>
        <v>0</v>
      </c>
      <c r="O264" s="127"/>
      <c r="P264" s="133" t="str">
        <f t="shared" si="75"/>
        <v/>
      </c>
      <c r="Q264" s="133" t="str">
        <f t="shared" si="76"/>
        <v/>
      </c>
      <c r="R264" s="127"/>
      <c r="S264" s="127"/>
      <c r="T264" s="127"/>
      <c r="U264" s="127"/>
      <c r="V264" s="127"/>
      <c r="W264" s="127"/>
      <c r="X264" s="127"/>
      <c r="Y264" s="127"/>
      <c r="Z264" s="127"/>
      <c r="AA264" s="127"/>
      <c r="AB264" s="127"/>
      <c r="AC264" s="127"/>
      <c r="AD264" s="127"/>
      <c r="AE264" s="127"/>
      <c r="AF264" s="127"/>
      <c r="AG264" s="127"/>
      <c r="AH264" s="127"/>
      <c r="AI264" s="127"/>
      <c r="AJ264" s="127"/>
      <c r="AK264" s="127"/>
      <c r="AL264" s="127"/>
      <c r="AM264" s="127"/>
      <c r="AN264" s="127"/>
      <c r="AO264" s="127"/>
      <c r="AP264" s="127"/>
      <c r="AQ264" s="127"/>
      <c r="AR264" s="127"/>
      <c r="AS264" s="127"/>
      <c r="AT264" s="127"/>
      <c r="AU264" s="197"/>
      <c r="BI264" s="130"/>
      <c r="BO264" s="254"/>
      <c r="BP264" s="254"/>
      <c r="BQ264" s="254"/>
      <c r="CL264" s="153"/>
      <c r="CM264" s="153"/>
      <c r="CN264" s="141"/>
      <c r="CO264" s="141"/>
      <c r="CP264" s="153"/>
      <c r="CQ264" s="153"/>
      <c r="EG264" s="24"/>
      <c r="EH264" s="24"/>
    </row>
    <row r="265" spans="1:138" s="125" customFormat="1" ht="45.75">
      <c r="A265" s="127"/>
      <c r="B265" s="127"/>
      <c r="C265" s="127"/>
      <c r="D265" s="127"/>
      <c r="E265" s="127"/>
      <c r="F265" s="127" t="str">
        <f t="shared" si="71"/>
        <v/>
      </c>
      <c r="G265" s="132"/>
      <c r="H265" s="127"/>
      <c r="I265" s="127"/>
      <c r="J265" s="132"/>
      <c r="K265" s="132" t="str">
        <f t="shared" si="77"/>
        <v/>
      </c>
      <c r="L265" s="132" t="str">
        <f t="shared" si="73"/>
        <v/>
      </c>
      <c r="M265" s="198" t="str">
        <f t="shared" si="78"/>
        <v/>
      </c>
      <c r="N265" s="127">
        <f t="shared" si="74"/>
        <v>0</v>
      </c>
      <c r="O265" s="127"/>
      <c r="P265" s="133" t="str">
        <f t="shared" si="75"/>
        <v/>
      </c>
      <c r="Q265" s="133" t="str">
        <f t="shared" si="76"/>
        <v/>
      </c>
      <c r="R265" s="127"/>
      <c r="S265" s="127"/>
      <c r="T265" s="127"/>
      <c r="U265" s="127"/>
      <c r="V265" s="127"/>
      <c r="W265" s="127"/>
      <c r="X265" s="127"/>
      <c r="Y265" s="127"/>
      <c r="Z265" s="127"/>
      <c r="AA265" s="127"/>
      <c r="AB265" s="127"/>
      <c r="AC265" s="127"/>
      <c r="AD265" s="127"/>
      <c r="AE265" s="127"/>
      <c r="AF265" s="127"/>
      <c r="AG265" s="127"/>
      <c r="AH265" s="127"/>
      <c r="AI265" s="127"/>
      <c r="AJ265" s="127"/>
      <c r="AK265" s="127"/>
      <c r="AL265" s="127"/>
      <c r="AM265" s="127"/>
      <c r="AN265" s="127"/>
      <c r="AO265" s="127"/>
      <c r="AP265" s="127"/>
      <c r="AQ265" s="127"/>
      <c r="AR265" s="127"/>
      <c r="AS265" s="127"/>
      <c r="AT265" s="127"/>
      <c r="AU265" s="197"/>
      <c r="BI265" s="130"/>
      <c r="BO265" s="254"/>
      <c r="BP265" s="254"/>
      <c r="BQ265" s="254"/>
      <c r="CL265" s="153"/>
      <c r="CM265" s="153"/>
      <c r="CN265" s="141"/>
      <c r="CO265" s="141"/>
      <c r="CP265" s="153"/>
      <c r="CQ265" s="153"/>
      <c r="EG265" s="24"/>
      <c r="EH265" s="24"/>
    </row>
    <row r="266" spans="1:138" s="125" customFormat="1" ht="45.75">
      <c r="A266" s="127"/>
      <c r="B266" s="127"/>
      <c r="C266" s="127"/>
      <c r="D266" s="127"/>
      <c r="E266" s="127"/>
      <c r="F266" s="127" t="str">
        <f t="shared" si="71"/>
        <v/>
      </c>
      <c r="G266" s="132"/>
      <c r="H266" s="127"/>
      <c r="I266" s="127"/>
      <c r="J266" s="132"/>
      <c r="K266" s="132" t="str">
        <f t="shared" si="77"/>
        <v/>
      </c>
      <c r="L266" s="132" t="str">
        <f t="shared" si="73"/>
        <v/>
      </c>
      <c r="M266" s="198" t="str">
        <f t="shared" si="78"/>
        <v/>
      </c>
      <c r="N266" s="127">
        <f t="shared" si="74"/>
        <v>0</v>
      </c>
      <c r="O266" s="127"/>
      <c r="P266" s="133" t="str">
        <f t="shared" si="75"/>
        <v/>
      </c>
      <c r="Q266" s="133" t="str">
        <f t="shared" si="76"/>
        <v/>
      </c>
      <c r="R266" s="127"/>
      <c r="S266" s="127"/>
      <c r="T266" s="127"/>
      <c r="U266" s="127"/>
      <c r="V266" s="127"/>
      <c r="W266" s="127"/>
      <c r="X266" s="127"/>
      <c r="Y266" s="127"/>
      <c r="Z266" s="127"/>
      <c r="AA266" s="127"/>
      <c r="AB266" s="127"/>
      <c r="AC266" s="127"/>
      <c r="AD266" s="127"/>
      <c r="AE266" s="127"/>
      <c r="AF266" s="127"/>
      <c r="AG266" s="127"/>
      <c r="AH266" s="127"/>
      <c r="AI266" s="127"/>
      <c r="AJ266" s="127"/>
      <c r="AK266" s="127"/>
      <c r="AL266" s="127"/>
      <c r="AM266" s="127"/>
      <c r="AN266" s="127"/>
      <c r="AO266" s="127"/>
      <c r="AP266" s="127"/>
      <c r="AQ266" s="127"/>
      <c r="AR266" s="127"/>
      <c r="AS266" s="127"/>
      <c r="AT266" s="127"/>
      <c r="AU266" s="197"/>
      <c r="BI266" s="130"/>
      <c r="BO266" s="254"/>
      <c r="BP266" s="254"/>
      <c r="BQ266" s="254"/>
      <c r="CL266" s="153"/>
      <c r="CM266" s="153"/>
      <c r="CN266" s="141"/>
      <c r="CO266" s="141"/>
      <c r="CP266" s="153"/>
      <c r="CQ266" s="153"/>
      <c r="EG266" s="24"/>
      <c r="EH266" s="24"/>
    </row>
    <row r="267" spans="1:138" s="125" customFormat="1" ht="45.75">
      <c r="A267" s="127"/>
      <c r="B267" s="127"/>
      <c r="C267" s="127"/>
      <c r="D267" s="127"/>
      <c r="E267" s="127"/>
      <c r="F267" s="127" t="str">
        <f t="shared" si="71"/>
        <v/>
      </c>
      <c r="G267" s="132"/>
      <c r="H267" s="127"/>
      <c r="I267" s="127"/>
      <c r="J267" s="132"/>
      <c r="K267" s="132" t="str">
        <f t="shared" si="77"/>
        <v/>
      </c>
      <c r="L267" s="132" t="str">
        <f t="shared" si="73"/>
        <v/>
      </c>
      <c r="M267" s="198" t="str">
        <f t="shared" si="78"/>
        <v/>
      </c>
      <c r="N267" s="127">
        <f t="shared" si="74"/>
        <v>0</v>
      </c>
      <c r="O267" s="127"/>
      <c r="P267" s="133" t="str">
        <f t="shared" si="75"/>
        <v/>
      </c>
      <c r="Q267" s="133" t="str">
        <f t="shared" si="76"/>
        <v/>
      </c>
      <c r="R267" s="127"/>
      <c r="S267" s="127"/>
      <c r="T267" s="127"/>
      <c r="U267" s="127"/>
      <c r="V267" s="127"/>
      <c r="W267" s="127"/>
      <c r="X267" s="127"/>
      <c r="Y267" s="127"/>
      <c r="Z267" s="127"/>
      <c r="AA267" s="127"/>
      <c r="AB267" s="127"/>
      <c r="AC267" s="127"/>
      <c r="AD267" s="127"/>
      <c r="AE267" s="127"/>
      <c r="AF267" s="127"/>
      <c r="AG267" s="127"/>
      <c r="AH267" s="127"/>
      <c r="AI267" s="127"/>
      <c r="AJ267" s="127"/>
      <c r="AK267" s="127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97"/>
      <c r="BI267" s="130"/>
      <c r="BO267" s="254"/>
      <c r="BP267" s="254"/>
      <c r="BQ267" s="254"/>
      <c r="CL267" s="153"/>
      <c r="CM267" s="153"/>
      <c r="CN267" s="141"/>
      <c r="CO267" s="141"/>
      <c r="CP267" s="153"/>
      <c r="CQ267" s="153"/>
      <c r="EG267" s="24"/>
      <c r="EH267" s="24"/>
    </row>
    <row r="268" spans="1:138" s="125" customFormat="1" ht="45.75">
      <c r="A268" s="127"/>
      <c r="B268" s="127"/>
      <c r="C268" s="127"/>
      <c r="D268" s="127"/>
      <c r="E268" s="127"/>
      <c r="F268" s="127" t="str">
        <f t="shared" si="71"/>
        <v/>
      </c>
      <c r="G268" s="132"/>
      <c r="H268" s="127"/>
      <c r="I268" s="127"/>
      <c r="J268" s="132"/>
      <c r="K268" s="132" t="str">
        <f t="shared" si="77"/>
        <v/>
      </c>
      <c r="L268" s="132" t="str">
        <f t="shared" si="73"/>
        <v/>
      </c>
      <c r="M268" s="198" t="str">
        <f t="shared" si="78"/>
        <v/>
      </c>
      <c r="N268" s="127">
        <f t="shared" si="74"/>
        <v>0</v>
      </c>
      <c r="O268" s="127"/>
      <c r="P268" s="133" t="str">
        <f t="shared" si="75"/>
        <v/>
      </c>
      <c r="Q268" s="133" t="str">
        <f t="shared" si="76"/>
        <v/>
      </c>
      <c r="R268" s="127"/>
      <c r="S268" s="127"/>
      <c r="T268" s="127"/>
      <c r="U268" s="127"/>
      <c r="V268" s="127"/>
      <c r="W268" s="127"/>
      <c r="X268" s="127"/>
      <c r="Y268" s="127"/>
      <c r="Z268" s="127"/>
      <c r="AA268" s="127"/>
      <c r="AB268" s="127"/>
      <c r="AC268" s="127"/>
      <c r="AD268" s="127"/>
      <c r="AE268" s="127"/>
      <c r="AF268" s="127"/>
      <c r="AG268" s="127"/>
      <c r="AH268" s="127"/>
      <c r="AI268" s="127"/>
      <c r="AJ268" s="127"/>
      <c r="AK268" s="127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97"/>
      <c r="BI268" s="130"/>
      <c r="BO268" s="254"/>
      <c r="BP268" s="254"/>
      <c r="BQ268" s="254"/>
      <c r="CL268" s="153"/>
      <c r="CM268" s="153"/>
      <c r="CN268" s="141"/>
      <c r="CO268" s="141"/>
      <c r="CP268" s="153"/>
      <c r="CQ268" s="153"/>
      <c r="EG268" s="24"/>
      <c r="EH268" s="24"/>
    </row>
    <row r="269" spans="1:138" s="125" customFormat="1" ht="45.75">
      <c r="A269" s="127"/>
      <c r="B269" s="127"/>
      <c r="C269" s="127"/>
      <c r="D269" s="127"/>
      <c r="E269" s="127"/>
      <c r="F269" s="127" t="str">
        <f t="shared" si="71"/>
        <v/>
      </c>
      <c r="G269" s="132"/>
      <c r="H269" s="127"/>
      <c r="I269" s="127"/>
      <c r="J269" s="132"/>
      <c r="K269" s="132" t="str">
        <f t="shared" si="77"/>
        <v/>
      </c>
      <c r="L269" s="132" t="str">
        <f t="shared" si="73"/>
        <v/>
      </c>
      <c r="M269" s="198" t="str">
        <f t="shared" si="78"/>
        <v/>
      </c>
      <c r="N269" s="127">
        <f t="shared" si="74"/>
        <v>0</v>
      </c>
      <c r="O269" s="127"/>
      <c r="P269" s="133" t="str">
        <f t="shared" si="75"/>
        <v/>
      </c>
      <c r="Q269" s="133" t="str">
        <f t="shared" si="76"/>
        <v/>
      </c>
      <c r="R269" s="127"/>
      <c r="S269" s="127"/>
      <c r="T269" s="127"/>
      <c r="U269" s="127"/>
      <c r="V269" s="127"/>
      <c r="W269" s="127"/>
      <c r="X269" s="127"/>
      <c r="Y269" s="127"/>
      <c r="Z269" s="127"/>
      <c r="AA269" s="127"/>
      <c r="AB269" s="127"/>
      <c r="AC269" s="127"/>
      <c r="AD269" s="127"/>
      <c r="AE269" s="127"/>
      <c r="AF269" s="127"/>
      <c r="AG269" s="127"/>
      <c r="AH269" s="127"/>
      <c r="AI269" s="127"/>
      <c r="AJ269" s="127"/>
      <c r="AK269" s="127"/>
      <c r="AL269" s="127"/>
      <c r="AM269" s="127"/>
      <c r="AN269" s="127"/>
      <c r="AO269" s="127"/>
      <c r="AP269" s="127"/>
      <c r="AQ269" s="127"/>
      <c r="AR269" s="127"/>
      <c r="AS269" s="127"/>
      <c r="AT269" s="127"/>
      <c r="AU269" s="197"/>
      <c r="BI269" s="130"/>
      <c r="BO269" s="254"/>
      <c r="BP269" s="254"/>
      <c r="BQ269" s="254"/>
      <c r="CL269" s="153"/>
      <c r="CM269" s="153"/>
      <c r="CN269" s="141"/>
      <c r="CO269" s="141"/>
      <c r="CP269" s="153"/>
      <c r="CQ269" s="153"/>
      <c r="EG269" s="24"/>
      <c r="EH269" s="24"/>
    </row>
    <row r="270" spans="1:138" s="125" customFormat="1" ht="45.75">
      <c r="A270" s="127"/>
      <c r="B270" s="127"/>
      <c r="C270" s="127"/>
      <c r="D270" s="127"/>
      <c r="E270" s="127"/>
      <c r="F270" s="127" t="str">
        <f t="shared" si="71"/>
        <v/>
      </c>
      <c r="G270" s="132"/>
      <c r="H270" s="127"/>
      <c r="I270" s="127"/>
      <c r="J270" s="132"/>
      <c r="K270" s="132" t="str">
        <f t="shared" si="77"/>
        <v/>
      </c>
      <c r="L270" s="132" t="str">
        <f t="shared" si="73"/>
        <v/>
      </c>
      <c r="M270" s="198" t="str">
        <f t="shared" si="78"/>
        <v/>
      </c>
      <c r="N270" s="127">
        <f t="shared" si="74"/>
        <v>0</v>
      </c>
      <c r="O270" s="127"/>
      <c r="P270" s="133" t="str">
        <f t="shared" si="75"/>
        <v/>
      </c>
      <c r="Q270" s="133" t="str">
        <f t="shared" si="76"/>
        <v/>
      </c>
      <c r="R270" s="127"/>
      <c r="S270" s="127"/>
      <c r="T270" s="127"/>
      <c r="U270" s="127"/>
      <c r="V270" s="127"/>
      <c r="W270" s="127"/>
      <c r="X270" s="127"/>
      <c r="Y270" s="127"/>
      <c r="Z270" s="127"/>
      <c r="AA270" s="127"/>
      <c r="AB270" s="127"/>
      <c r="AC270" s="127"/>
      <c r="AD270" s="127"/>
      <c r="AE270" s="127"/>
      <c r="AF270" s="127"/>
      <c r="AG270" s="127"/>
      <c r="AH270" s="127"/>
      <c r="AI270" s="127"/>
      <c r="AJ270" s="127"/>
      <c r="AK270" s="127"/>
      <c r="AL270" s="127"/>
      <c r="AM270" s="127"/>
      <c r="AN270" s="127"/>
      <c r="AO270" s="127"/>
      <c r="AP270" s="127"/>
      <c r="AQ270" s="127"/>
      <c r="AR270" s="127"/>
      <c r="AS270" s="127"/>
      <c r="AT270" s="127"/>
      <c r="AU270" s="197"/>
      <c r="BI270" s="130"/>
      <c r="BO270" s="254"/>
      <c r="BP270" s="254"/>
      <c r="BQ270" s="254"/>
      <c r="CL270" s="153"/>
      <c r="CM270" s="153"/>
      <c r="CN270" s="141"/>
      <c r="CO270" s="141"/>
      <c r="CP270" s="153"/>
      <c r="CQ270" s="153"/>
      <c r="EG270" s="24"/>
      <c r="EH270" s="24"/>
    </row>
    <row r="271" spans="1:138" s="125" customFormat="1" ht="45.75">
      <c r="A271" s="127"/>
      <c r="B271" s="127"/>
      <c r="C271" s="127"/>
      <c r="D271" s="127"/>
      <c r="E271" s="127"/>
      <c r="F271" s="127"/>
      <c r="G271" s="132"/>
      <c r="H271" s="127"/>
      <c r="I271" s="127"/>
      <c r="J271" s="132"/>
      <c r="K271" s="132"/>
      <c r="L271" s="132"/>
      <c r="M271" s="198"/>
      <c r="N271" s="127"/>
      <c r="O271" s="127"/>
      <c r="P271" s="133"/>
      <c r="Q271" s="133"/>
      <c r="R271" s="127"/>
      <c r="S271" s="127"/>
      <c r="T271" s="127"/>
      <c r="U271" s="127"/>
      <c r="V271" s="127"/>
      <c r="W271" s="127"/>
      <c r="X271" s="127"/>
      <c r="Y271" s="127"/>
      <c r="Z271" s="127"/>
      <c r="AA271" s="127"/>
      <c r="AB271" s="127"/>
      <c r="AC271" s="127"/>
      <c r="AD271" s="127"/>
      <c r="AE271" s="127"/>
      <c r="AF271" s="127"/>
      <c r="AG271" s="127"/>
      <c r="AH271" s="127"/>
      <c r="AI271" s="127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97"/>
      <c r="BI271" s="130"/>
      <c r="BO271" s="254"/>
      <c r="BP271" s="254"/>
      <c r="BQ271" s="254"/>
      <c r="CL271" s="153"/>
      <c r="CM271" s="153"/>
      <c r="CN271" s="141"/>
      <c r="CO271" s="141"/>
      <c r="CP271" s="153"/>
      <c r="CQ271" s="153"/>
      <c r="EG271" s="24"/>
      <c r="EH271" s="24"/>
    </row>
    <row r="272" spans="1:138" s="125" customFormat="1" ht="45.75">
      <c r="A272" s="127"/>
      <c r="B272" s="127"/>
      <c r="C272" s="127"/>
      <c r="D272" s="127"/>
      <c r="E272" s="127"/>
      <c r="F272" s="127"/>
      <c r="G272" s="132"/>
      <c r="H272" s="127"/>
      <c r="I272" s="127"/>
      <c r="J272" s="132"/>
      <c r="K272" s="132"/>
      <c r="L272" s="132"/>
      <c r="M272" s="198"/>
      <c r="N272" s="127"/>
      <c r="O272" s="127"/>
      <c r="P272" s="133"/>
      <c r="Q272" s="133"/>
      <c r="R272" s="127"/>
      <c r="S272" s="127"/>
      <c r="T272" s="127"/>
      <c r="U272" s="127"/>
      <c r="V272" s="127"/>
      <c r="W272" s="127"/>
      <c r="X272" s="127"/>
      <c r="Y272" s="127"/>
      <c r="Z272" s="127"/>
      <c r="AA272" s="127"/>
      <c r="AB272" s="127"/>
      <c r="AC272" s="127"/>
      <c r="AD272" s="127"/>
      <c r="AE272" s="127"/>
      <c r="AF272" s="127"/>
      <c r="AG272" s="127"/>
      <c r="AH272" s="127"/>
      <c r="AI272" s="127"/>
      <c r="AJ272" s="127"/>
      <c r="AK272" s="127"/>
      <c r="AL272" s="127"/>
      <c r="AM272" s="127"/>
      <c r="AN272" s="127"/>
      <c r="AO272" s="127"/>
      <c r="AP272" s="127"/>
      <c r="AQ272" s="127"/>
      <c r="AR272" s="127"/>
      <c r="AS272" s="127"/>
      <c r="AT272" s="127"/>
      <c r="AU272" s="197"/>
      <c r="BI272" s="130"/>
      <c r="BO272" s="254"/>
      <c r="BP272" s="254"/>
      <c r="BQ272" s="254"/>
      <c r="CL272" s="153"/>
      <c r="CM272" s="153"/>
      <c r="CN272" s="141"/>
      <c r="CO272" s="141"/>
      <c r="CP272" s="153"/>
      <c r="CQ272" s="153"/>
      <c r="EG272" s="24"/>
      <c r="EH272" s="24"/>
    </row>
    <row r="273" spans="1:138" s="125" customFormat="1" ht="45.75">
      <c r="A273" s="127"/>
      <c r="B273" s="127"/>
      <c r="C273" s="127"/>
      <c r="D273" s="127"/>
      <c r="E273" s="127"/>
      <c r="F273" s="127"/>
      <c r="G273" s="132"/>
      <c r="H273" s="127"/>
      <c r="I273" s="127"/>
      <c r="J273" s="132"/>
      <c r="K273" s="132"/>
      <c r="L273" s="132"/>
      <c r="M273" s="198"/>
      <c r="N273" s="127"/>
      <c r="O273" s="127"/>
      <c r="P273" s="133"/>
      <c r="Q273" s="133"/>
      <c r="R273" s="127"/>
      <c r="S273" s="127"/>
      <c r="T273" s="127"/>
      <c r="U273" s="127"/>
      <c r="V273" s="127"/>
      <c r="W273" s="127"/>
      <c r="X273" s="127"/>
      <c r="Y273" s="127"/>
      <c r="Z273" s="127"/>
      <c r="AA273" s="127"/>
      <c r="AB273" s="127"/>
      <c r="AC273" s="127"/>
      <c r="AD273" s="127"/>
      <c r="AE273" s="127"/>
      <c r="AF273" s="127"/>
      <c r="AG273" s="127"/>
      <c r="AH273" s="127"/>
      <c r="AI273" s="127"/>
      <c r="AJ273" s="127"/>
      <c r="AK273" s="127"/>
      <c r="AL273" s="127"/>
      <c r="AM273" s="127"/>
      <c r="AN273" s="127"/>
      <c r="AO273" s="127"/>
      <c r="AP273" s="127"/>
      <c r="AQ273" s="127"/>
      <c r="AR273" s="127"/>
      <c r="AS273" s="127"/>
      <c r="AT273" s="127"/>
      <c r="AU273" s="197"/>
      <c r="BI273" s="130"/>
      <c r="BO273" s="254"/>
      <c r="BP273" s="254"/>
      <c r="BQ273" s="254"/>
      <c r="CL273" s="153"/>
      <c r="CM273" s="153"/>
      <c r="CN273" s="141"/>
      <c r="CO273" s="141"/>
      <c r="CP273" s="153"/>
      <c r="CQ273" s="153"/>
      <c r="EG273" s="24"/>
      <c r="EH273" s="24"/>
    </row>
    <row r="274" spans="1:138" s="125" customFormat="1" ht="45.75">
      <c r="A274" s="127"/>
      <c r="B274" s="127"/>
      <c r="C274" s="127"/>
      <c r="D274" s="127"/>
      <c r="E274" s="127"/>
      <c r="F274" s="127"/>
      <c r="G274" s="132"/>
      <c r="H274" s="127"/>
      <c r="I274" s="127"/>
      <c r="J274" s="132"/>
      <c r="K274" s="132"/>
      <c r="L274" s="132"/>
      <c r="M274" s="198"/>
      <c r="N274" s="127"/>
      <c r="O274" s="127"/>
      <c r="P274" s="133"/>
      <c r="Q274" s="133"/>
      <c r="R274" s="127"/>
      <c r="S274" s="127"/>
      <c r="T274" s="127"/>
      <c r="U274" s="127"/>
      <c r="V274" s="127"/>
      <c r="W274" s="127"/>
      <c r="X274" s="127"/>
      <c r="Y274" s="127"/>
      <c r="Z274" s="127"/>
      <c r="AA274" s="127"/>
      <c r="AB274" s="127"/>
      <c r="AC274" s="127"/>
      <c r="AD274" s="127"/>
      <c r="AE274" s="127"/>
      <c r="AF274" s="127"/>
      <c r="AG274" s="127"/>
      <c r="AH274" s="127"/>
      <c r="AI274" s="127"/>
      <c r="AJ274" s="127"/>
      <c r="AK274" s="127"/>
      <c r="AL274" s="127"/>
      <c r="AM274" s="127"/>
      <c r="AN274" s="127"/>
      <c r="AO274" s="127"/>
      <c r="AP274" s="127"/>
      <c r="AQ274" s="127"/>
      <c r="AR274" s="127"/>
      <c r="AS274" s="127"/>
      <c r="AT274" s="127"/>
      <c r="AU274" s="197"/>
      <c r="BI274" s="130"/>
      <c r="BO274" s="254"/>
      <c r="BP274" s="254"/>
      <c r="BQ274" s="254"/>
      <c r="CL274" s="153"/>
      <c r="CM274" s="153"/>
      <c r="CN274" s="141"/>
      <c r="CO274" s="141"/>
      <c r="CP274" s="153"/>
      <c r="CQ274" s="153"/>
      <c r="EG274" s="24"/>
      <c r="EH274" s="24"/>
    </row>
    <row r="275" spans="1:138" s="125" customFormat="1" ht="45.75">
      <c r="A275" s="127"/>
      <c r="B275" s="127"/>
      <c r="C275" s="127"/>
      <c r="D275" s="127"/>
      <c r="E275" s="127"/>
      <c r="F275" s="127"/>
      <c r="G275" s="132"/>
      <c r="H275" s="127"/>
      <c r="I275" s="127"/>
      <c r="J275" s="132"/>
      <c r="K275" s="132"/>
      <c r="L275" s="132"/>
      <c r="M275" s="198"/>
      <c r="N275" s="127"/>
      <c r="O275" s="127"/>
      <c r="P275" s="133"/>
      <c r="Q275" s="133"/>
      <c r="R275" s="127"/>
      <c r="S275" s="127"/>
      <c r="T275" s="127"/>
      <c r="U275" s="127"/>
      <c r="V275" s="127"/>
      <c r="W275" s="127"/>
      <c r="X275" s="127"/>
      <c r="Y275" s="127"/>
      <c r="Z275" s="127"/>
      <c r="AA275" s="127"/>
      <c r="AB275" s="127"/>
      <c r="AC275" s="127"/>
      <c r="AD275" s="127"/>
      <c r="AE275" s="127"/>
      <c r="AF275" s="127"/>
      <c r="AG275" s="127"/>
      <c r="AH275" s="127"/>
      <c r="AI275" s="127"/>
      <c r="AJ275" s="127"/>
      <c r="AK275" s="127"/>
      <c r="AL275" s="127"/>
      <c r="AM275" s="127"/>
      <c r="AN275" s="127"/>
      <c r="AO275" s="127"/>
      <c r="AP275" s="127"/>
      <c r="AQ275" s="127"/>
      <c r="AR275" s="127"/>
      <c r="AS275" s="127"/>
      <c r="AT275" s="127"/>
      <c r="AU275" s="197"/>
      <c r="BI275" s="130"/>
      <c r="BO275" s="254"/>
      <c r="BP275" s="254"/>
      <c r="BQ275" s="254"/>
      <c r="CL275" s="153"/>
      <c r="CM275" s="153"/>
      <c r="CN275" s="141"/>
      <c r="CO275" s="141"/>
      <c r="CP275" s="153"/>
      <c r="CQ275" s="153"/>
      <c r="EG275" s="24"/>
      <c r="EH275" s="24"/>
    </row>
    <row r="276" spans="1:138" s="125" customFormat="1" ht="45.75">
      <c r="A276" s="127"/>
      <c r="B276" s="127"/>
      <c r="C276" s="127"/>
      <c r="D276" s="127"/>
      <c r="E276" s="127"/>
      <c r="F276" s="127"/>
      <c r="G276" s="132"/>
      <c r="H276" s="127"/>
      <c r="I276" s="127"/>
      <c r="J276" s="132"/>
      <c r="K276" s="132"/>
      <c r="L276" s="132"/>
      <c r="M276" s="198"/>
      <c r="N276" s="127"/>
      <c r="O276" s="127"/>
      <c r="P276" s="133"/>
      <c r="Q276" s="133"/>
      <c r="R276" s="127"/>
      <c r="S276" s="127"/>
      <c r="T276" s="127"/>
      <c r="U276" s="127"/>
      <c r="V276" s="127"/>
      <c r="W276" s="127"/>
      <c r="X276" s="127"/>
      <c r="Y276" s="127"/>
      <c r="Z276" s="127"/>
      <c r="AA276" s="127"/>
      <c r="AB276" s="127"/>
      <c r="AC276" s="127"/>
      <c r="AD276" s="127"/>
      <c r="AE276" s="127"/>
      <c r="AF276" s="127"/>
      <c r="AG276" s="127"/>
      <c r="AH276" s="127"/>
      <c r="AI276" s="127"/>
      <c r="AJ276" s="127"/>
      <c r="AK276" s="127"/>
      <c r="AL276" s="127"/>
      <c r="AM276" s="127"/>
      <c r="AN276" s="127"/>
      <c r="AO276" s="127"/>
      <c r="AP276" s="127"/>
      <c r="AQ276" s="127"/>
      <c r="AR276" s="127"/>
      <c r="AS276" s="127"/>
      <c r="AT276" s="127"/>
      <c r="AU276" s="197"/>
      <c r="BI276" s="130"/>
      <c r="BO276" s="254"/>
      <c r="BP276" s="254"/>
      <c r="BQ276" s="254"/>
      <c r="CL276" s="153"/>
      <c r="CM276" s="153"/>
      <c r="CN276" s="141"/>
      <c r="CO276" s="141"/>
      <c r="CP276" s="153"/>
      <c r="CQ276" s="153"/>
      <c r="EG276" s="24"/>
      <c r="EH276" s="24"/>
    </row>
    <row r="277" spans="1:138" s="125" customFormat="1" ht="45.75">
      <c r="A277" s="127"/>
      <c r="B277" s="127"/>
      <c r="C277" s="127"/>
      <c r="D277" s="127"/>
      <c r="E277" s="127"/>
      <c r="F277" s="127"/>
      <c r="G277" s="132"/>
      <c r="H277" s="127"/>
      <c r="I277" s="127"/>
      <c r="J277" s="132"/>
      <c r="K277" s="132"/>
      <c r="L277" s="132"/>
      <c r="M277" s="198"/>
      <c r="N277" s="127"/>
      <c r="O277" s="127"/>
      <c r="P277" s="133"/>
      <c r="Q277" s="133"/>
      <c r="R277" s="127"/>
      <c r="S277" s="127"/>
      <c r="T277" s="127"/>
      <c r="U277" s="127"/>
      <c r="V277" s="127"/>
      <c r="W277" s="127"/>
      <c r="X277" s="127"/>
      <c r="Y277" s="127"/>
      <c r="Z277" s="127"/>
      <c r="AA277" s="127"/>
      <c r="AB277" s="127"/>
      <c r="AC277" s="127"/>
      <c r="AD277" s="127"/>
      <c r="AE277" s="127"/>
      <c r="AF277" s="127"/>
      <c r="AG277" s="127"/>
      <c r="AH277" s="127"/>
      <c r="AI277" s="127"/>
      <c r="AJ277" s="127"/>
      <c r="AK277" s="127"/>
      <c r="AL277" s="127"/>
      <c r="AM277" s="127"/>
      <c r="AN277" s="127"/>
      <c r="AO277" s="127"/>
      <c r="AP277" s="127"/>
      <c r="AQ277" s="127"/>
      <c r="AR277" s="127"/>
      <c r="AS277" s="127"/>
      <c r="AT277" s="127"/>
      <c r="AU277" s="197"/>
      <c r="BI277" s="130"/>
      <c r="BO277" s="254"/>
      <c r="BP277" s="254"/>
      <c r="BQ277" s="254"/>
      <c r="CL277" s="153"/>
      <c r="CM277" s="153"/>
      <c r="CN277" s="141"/>
      <c r="CO277" s="141"/>
      <c r="CP277" s="153"/>
      <c r="CQ277" s="153"/>
      <c r="EG277" s="24"/>
      <c r="EH277" s="24"/>
    </row>
    <row r="278" spans="1:138" s="125" customFormat="1" ht="45.75">
      <c r="A278" s="127"/>
      <c r="B278" s="127"/>
      <c r="C278" s="127"/>
      <c r="D278" s="127"/>
      <c r="E278" s="127"/>
      <c r="F278" s="127"/>
      <c r="G278" s="132"/>
      <c r="H278" s="127"/>
      <c r="I278" s="127"/>
      <c r="J278" s="132"/>
      <c r="K278" s="132"/>
      <c r="L278" s="132"/>
      <c r="M278" s="198"/>
      <c r="N278" s="127"/>
      <c r="O278" s="127"/>
      <c r="P278" s="133"/>
      <c r="Q278" s="133"/>
      <c r="R278" s="127"/>
      <c r="S278" s="127"/>
      <c r="T278" s="127"/>
      <c r="U278" s="127"/>
      <c r="V278" s="127"/>
      <c r="W278" s="127"/>
      <c r="X278" s="127"/>
      <c r="Y278" s="127"/>
      <c r="Z278" s="127"/>
      <c r="AA278" s="127"/>
      <c r="AB278" s="127"/>
      <c r="AC278" s="127"/>
      <c r="AD278" s="127"/>
      <c r="AE278" s="127"/>
      <c r="AF278" s="127"/>
      <c r="AG278" s="127"/>
      <c r="AH278" s="127"/>
      <c r="AI278" s="127"/>
      <c r="AJ278" s="127"/>
      <c r="AK278" s="127"/>
      <c r="AL278" s="127"/>
      <c r="AM278" s="127"/>
      <c r="AN278" s="127"/>
      <c r="AO278" s="127"/>
      <c r="AP278" s="127"/>
      <c r="AQ278" s="127"/>
      <c r="AR278" s="127"/>
      <c r="AS278" s="127"/>
      <c r="AT278" s="127"/>
      <c r="AU278" s="197"/>
      <c r="BI278" s="130"/>
      <c r="BO278" s="254"/>
      <c r="BP278" s="254"/>
      <c r="BQ278" s="254"/>
      <c r="CL278" s="153"/>
      <c r="CM278" s="153"/>
      <c r="CN278" s="141"/>
      <c r="CO278" s="141"/>
      <c r="CP278" s="153"/>
      <c r="CQ278" s="153"/>
      <c r="EG278" s="24"/>
      <c r="EH278" s="24"/>
    </row>
    <row r="279" spans="1:138" s="125" customFormat="1" ht="45.75">
      <c r="A279" s="127"/>
      <c r="B279" s="127"/>
      <c r="C279" s="127"/>
      <c r="D279" s="127"/>
      <c r="E279" s="127"/>
      <c r="F279" s="127"/>
      <c r="G279" s="132"/>
      <c r="H279" s="127"/>
      <c r="I279" s="127"/>
      <c r="J279" s="132"/>
      <c r="K279" s="132"/>
      <c r="L279" s="132"/>
      <c r="M279" s="198"/>
      <c r="N279" s="127"/>
      <c r="O279" s="127"/>
      <c r="P279" s="133"/>
      <c r="Q279" s="133"/>
      <c r="R279" s="127"/>
      <c r="S279" s="127"/>
      <c r="T279" s="127"/>
      <c r="U279" s="127"/>
      <c r="V279" s="127"/>
      <c r="W279" s="127"/>
      <c r="X279" s="127"/>
      <c r="Y279" s="127"/>
      <c r="Z279" s="127"/>
      <c r="AA279" s="127"/>
      <c r="AB279" s="127"/>
      <c r="AC279" s="127"/>
      <c r="AD279" s="127"/>
      <c r="AE279" s="127"/>
      <c r="AF279" s="127"/>
      <c r="AG279" s="127"/>
      <c r="AH279" s="127"/>
      <c r="AI279" s="127"/>
      <c r="AJ279" s="127"/>
      <c r="AK279" s="127"/>
      <c r="AL279" s="127"/>
      <c r="AM279" s="127"/>
      <c r="AN279" s="127"/>
      <c r="AO279" s="127"/>
      <c r="AP279" s="127"/>
      <c r="AQ279" s="127"/>
      <c r="AR279" s="127"/>
      <c r="AS279" s="127"/>
      <c r="AT279" s="127"/>
      <c r="AU279" s="197"/>
      <c r="BI279" s="130"/>
      <c r="BO279" s="254"/>
      <c r="BP279" s="254"/>
      <c r="BQ279" s="254"/>
      <c r="CL279" s="153"/>
      <c r="CM279" s="153"/>
      <c r="CN279" s="141"/>
      <c r="CO279" s="141"/>
      <c r="CP279" s="153"/>
      <c r="CQ279" s="153"/>
      <c r="EG279" s="24"/>
      <c r="EH279" s="24"/>
    </row>
    <row r="280" spans="1:138" s="125" customFormat="1" ht="45.75">
      <c r="A280" s="127"/>
      <c r="B280" s="127"/>
      <c r="C280" s="127"/>
      <c r="D280" s="127"/>
      <c r="E280" s="127"/>
      <c r="F280" s="127"/>
      <c r="G280" s="132"/>
      <c r="H280" s="127"/>
      <c r="I280" s="127"/>
      <c r="J280" s="132"/>
      <c r="K280" s="132"/>
      <c r="L280" s="132"/>
      <c r="M280" s="198"/>
      <c r="N280" s="127"/>
      <c r="O280" s="127"/>
      <c r="P280" s="133"/>
      <c r="Q280" s="133"/>
      <c r="R280" s="127"/>
      <c r="S280" s="127"/>
      <c r="T280" s="127"/>
      <c r="U280" s="127"/>
      <c r="V280" s="127"/>
      <c r="W280" s="127"/>
      <c r="X280" s="127"/>
      <c r="Y280" s="127"/>
      <c r="Z280" s="127"/>
      <c r="AA280" s="127"/>
      <c r="AB280" s="127"/>
      <c r="AC280" s="127"/>
      <c r="AD280" s="127"/>
      <c r="AE280" s="127"/>
      <c r="AF280" s="127"/>
      <c r="AG280" s="127"/>
      <c r="AH280" s="127"/>
      <c r="AI280" s="127"/>
      <c r="AJ280" s="127"/>
      <c r="AK280" s="127"/>
      <c r="AL280" s="127"/>
      <c r="AM280" s="127"/>
      <c r="AN280" s="127"/>
      <c r="AO280" s="127"/>
      <c r="AP280" s="127"/>
      <c r="AQ280" s="127"/>
      <c r="AR280" s="127"/>
      <c r="AS280" s="127"/>
      <c r="AT280" s="127"/>
      <c r="AU280" s="197"/>
      <c r="BI280" s="130"/>
      <c r="BO280" s="254"/>
      <c r="BP280" s="254"/>
      <c r="BQ280" s="254"/>
      <c r="CL280" s="153"/>
      <c r="CM280" s="153"/>
      <c r="CN280" s="141"/>
      <c r="CO280" s="141"/>
      <c r="CP280" s="153"/>
      <c r="CQ280" s="153"/>
      <c r="EG280" s="24"/>
      <c r="EH280" s="24"/>
    </row>
    <row r="281" spans="1:138" s="125" customFormat="1" ht="45.75">
      <c r="A281" s="127"/>
      <c r="B281" s="127"/>
      <c r="C281" s="127"/>
      <c r="D281" s="127"/>
      <c r="E281" s="127"/>
      <c r="F281" s="127"/>
      <c r="G281" s="132"/>
      <c r="H281" s="127"/>
      <c r="I281" s="127"/>
      <c r="J281" s="132"/>
      <c r="K281" s="132"/>
      <c r="L281" s="132"/>
      <c r="M281" s="198"/>
      <c r="N281" s="127"/>
      <c r="O281" s="127"/>
      <c r="P281" s="133"/>
      <c r="Q281" s="133"/>
      <c r="R281" s="127"/>
      <c r="S281" s="127"/>
      <c r="T281" s="127"/>
      <c r="U281" s="127"/>
      <c r="V281" s="127"/>
      <c r="W281" s="127"/>
      <c r="X281" s="127"/>
      <c r="Y281" s="127"/>
      <c r="Z281" s="127"/>
      <c r="AA281" s="127"/>
      <c r="AB281" s="127"/>
      <c r="AC281" s="127"/>
      <c r="AD281" s="127"/>
      <c r="AE281" s="127"/>
      <c r="AF281" s="127"/>
      <c r="AG281" s="127"/>
      <c r="AH281" s="127"/>
      <c r="AI281" s="127"/>
      <c r="AJ281" s="127"/>
      <c r="AK281" s="127"/>
      <c r="AL281" s="127"/>
      <c r="AM281" s="127"/>
      <c r="AN281" s="127"/>
      <c r="AO281" s="127"/>
      <c r="AP281" s="127"/>
      <c r="AQ281" s="127"/>
      <c r="AR281" s="127"/>
      <c r="AS281" s="127"/>
      <c r="AT281" s="127"/>
      <c r="AU281" s="197"/>
      <c r="BI281" s="130"/>
      <c r="BO281" s="254"/>
      <c r="BP281" s="254"/>
      <c r="BQ281" s="254"/>
      <c r="CL281" s="153"/>
      <c r="CM281" s="153"/>
      <c r="CN281" s="141"/>
      <c r="CO281" s="141"/>
      <c r="CP281" s="153"/>
      <c r="CQ281" s="153"/>
      <c r="EG281" s="24"/>
      <c r="EH281" s="24"/>
    </row>
    <row r="282" spans="1:138" s="125" customFormat="1" ht="45.75">
      <c r="A282" s="127"/>
      <c r="B282" s="127"/>
      <c r="C282" s="127"/>
      <c r="D282" s="127"/>
      <c r="E282" s="127"/>
      <c r="F282" s="127"/>
      <c r="G282" s="132"/>
      <c r="H282" s="127"/>
      <c r="I282" s="127"/>
      <c r="J282" s="132"/>
      <c r="K282" s="132"/>
      <c r="L282" s="132"/>
      <c r="M282" s="198"/>
      <c r="N282" s="127"/>
      <c r="O282" s="127"/>
      <c r="P282" s="133"/>
      <c r="Q282" s="133"/>
      <c r="R282" s="127"/>
      <c r="S282" s="127"/>
      <c r="T282" s="127"/>
      <c r="U282" s="127"/>
      <c r="V282" s="127"/>
      <c r="W282" s="127"/>
      <c r="X282" s="127"/>
      <c r="Y282" s="127"/>
      <c r="Z282" s="127"/>
      <c r="AA282" s="127"/>
      <c r="AB282" s="127"/>
      <c r="AC282" s="127"/>
      <c r="AD282" s="127"/>
      <c r="AE282" s="127"/>
      <c r="AF282" s="127"/>
      <c r="AG282" s="127"/>
      <c r="AH282" s="127"/>
      <c r="AI282" s="127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97"/>
      <c r="BI282" s="130"/>
      <c r="BO282" s="254"/>
      <c r="BP282" s="254"/>
      <c r="BQ282" s="254"/>
      <c r="CL282" s="153"/>
      <c r="CM282" s="153"/>
      <c r="CN282" s="141"/>
      <c r="CO282" s="141"/>
      <c r="CP282" s="153"/>
      <c r="CQ282" s="153"/>
      <c r="EG282" s="24"/>
      <c r="EH282" s="24"/>
    </row>
    <row r="283" spans="1:138" s="125" customFormat="1" ht="45.75">
      <c r="A283" s="127"/>
      <c r="B283" s="127"/>
      <c r="C283" s="127"/>
      <c r="D283" s="127"/>
      <c r="E283" s="127"/>
      <c r="F283" s="127"/>
      <c r="G283" s="132"/>
      <c r="H283" s="127"/>
      <c r="I283" s="127"/>
      <c r="J283" s="132"/>
      <c r="K283" s="132"/>
      <c r="L283" s="132"/>
      <c r="M283" s="198"/>
      <c r="N283" s="127"/>
      <c r="O283" s="127"/>
      <c r="P283" s="133"/>
      <c r="Q283" s="133"/>
      <c r="R283" s="127"/>
      <c r="S283" s="127"/>
      <c r="T283" s="127"/>
      <c r="U283" s="127"/>
      <c r="V283" s="127"/>
      <c r="W283" s="127"/>
      <c r="X283" s="127"/>
      <c r="Y283" s="127"/>
      <c r="Z283" s="127"/>
      <c r="AA283" s="127"/>
      <c r="AB283" s="127"/>
      <c r="AC283" s="127"/>
      <c r="AD283" s="127"/>
      <c r="AE283" s="127"/>
      <c r="AF283" s="127"/>
      <c r="AG283" s="127"/>
      <c r="AH283" s="127"/>
      <c r="AI283" s="127"/>
      <c r="AJ283" s="127"/>
      <c r="AK283" s="127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97"/>
      <c r="BI283" s="130"/>
      <c r="BO283" s="254"/>
      <c r="BP283" s="254"/>
      <c r="BQ283" s="254"/>
      <c r="CL283" s="153"/>
      <c r="CM283" s="153"/>
      <c r="CN283" s="141"/>
      <c r="CO283" s="141"/>
      <c r="CP283" s="153"/>
      <c r="CQ283" s="153"/>
      <c r="EG283" s="24"/>
      <c r="EH283" s="24"/>
    </row>
    <row r="284" spans="1:138" s="125" customFormat="1" ht="45.75">
      <c r="A284" s="127"/>
      <c r="B284" s="127"/>
      <c r="C284" s="127"/>
      <c r="D284" s="127"/>
      <c r="E284" s="127"/>
      <c r="F284" s="127"/>
      <c r="G284" s="132"/>
      <c r="H284" s="127"/>
      <c r="I284" s="127"/>
      <c r="J284" s="132"/>
      <c r="K284" s="132"/>
      <c r="L284" s="132"/>
      <c r="M284" s="198"/>
      <c r="N284" s="127"/>
      <c r="O284" s="127"/>
      <c r="P284" s="133"/>
      <c r="Q284" s="133"/>
      <c r="R284" s="127"/>
      <c r="S284" s="127"/>
      <c r="T284" s="127"/>
      <c r="U284" s="127"/>
      <c r="V284" s="127"/>
      <c r="W284" s="127"/>
      <c r="X284" s="127"/>
      <c r="Y284" s="127"/>
      <c r="Z284" s="127"/>
      <c r="AA284" s="127"/>
      <c r="AB284" s="127"/>
      <c r="AC284" s="127"/>
      <c r="AD284" s="127"/>
      <c r="AE284" s="127"/>
      <c r="AF284" s="127"/>
      <c r="AG284" s="127"/>
      <c r="AH284" s="127"/>
      <c r="AI284" s="127"/>
      <c r="AJ284" s="127"/>
      <c r="AK284" s="127"/>
      <c r="AL284" s="127"/>
      <c r="AM284" s="127"/>
      <c r="AN284" s="127"/>
      <c r="AO284" s="127"/>
      <c r="AP284" s="127"/>
      <c r="AQ284" s="127"/>
      <c r="AR284" s="127"/>
      <c r="AS284" s="127"/>
      <c r="AT284" s="127"/>
      <c r="AU284" s="197"/>
      <c r="BI284" s="130"/>
      <c r="BO284" s="254"/>
      <c r="BP284" s="254"/>
      <c r="BQ284" s="254"/>
      <c r="CL284" s="153"/>
      <c r="CM284" s="153"/>
      <c r="CN284" s="141"/>
      <c r="CO284" s="141"/>
      <c r="CP284" s="153"/>
      <c r="CQ284" s="153"/>
      <c r="EG284" s="24"/>
      <c r="EH284" s="24"/>
    </row>
    <row r="285" spans="1:138" s="125" customFormat="1" ht="45.75">
      <c r="A285" s="127"/>
      <c r="B285" s="127"/>
      <c r="C285" s="127"/>
      <c r="D285" s="127"/>
      <c r="E285" s="127"/>
      <c r="F285" s="127"/>
      <c r="G285" s="132"/>
      <c r="H285" s="127"/>
      <c r="I285" s="127"/>
      <c r="J285" s="132"/>
      <c r="K285" s="132"/>
      <c r="L285" s="132"/>
      <c r="M285" s="198"/>
      <c r="N285" s="127"/>
      <c r="O285" s="127"/>
      <c r="P285" s="133"/>
      <c r="Q285" s="133"/>
      <c r="R285" s="127"/>
      <c r="S285" s="127"/>
      <c r="T285" s="127"/>
      <c r="U285" s="127"/>
      <c r="V285" s="127"/>
      <c r="W285" s="127"/>
      <c r="X285" s="127"/>
      <c r="Y285" s="127"/>
      <c r="Z285" s="127"/>
      <c r="AA285" s="127"/>
      <c r="AB285" s="127"/>
      <c r="AC285" s="127"/>
      <c r="AD285" s="127"/>
      <c r="AE285" s="127"/>
      <c r="AF285" s="127"/>
      <c r="AG285" s="127"/>
      <c r="AH285" s="127"/>
      <c r="AI285" s="127"/>
      <c r="AJ285" s="127"/>
      <c r="AK285" s="127"/>
      <c r="AL285" s="127"/>
      <c r="AM285" s="127"/>
      <c r="AN285" s="127"/>
      <c r="AO285" s="127"/>
      <c r="AP285" s="127"/>
      <c r="AQ285" s="127"/>
      <c r="AR285" s="127"/>
      <c r="AS285" s="127"/>
      <c r="AT285" s="127"/>
      <c r="AU285" s="197"/>
      <c r="BI285" s="130"/>
      <c r="BO285" s="254"/>
      <c r="BP285" s="254"/>
      <c r="BQ285" s="254"/>
      <c r="CL285" s="153"/>
      <c r="CM285" s="153"/>
      <c r="CN285" s="141"/>
      <c r="CO285" s="141"/>
      <c r="CP285" s="153"/>
      <c r="CQ285" s="153"/>
      <c r="EG285" s="24"/>
      <c r="EH285" s="24"/>
    </row>
    <row r="286" spans="1:138" s="125" customFormat="1" ht="45.75">
      <c r="A286" s="127"/>
      <c r="B286" s="127"/>
      <c r="C286" s="127"/>
      <c r="D286" s="127"/>
      <c r="E286" s="127"/>
      <c r="F286" s="127"/>
      <c r="G286" s="132"/>
      <c r="H286" s="127"/>
      <c r="I286" s="127"/>
      <c r="J286" s="132"/>
      <c r="K286" s="132"/>
      <c r="L286" s="132"/>
      <c r="M286" s="198"/>
      <c r="N286" s="127"/>
      <c r="O286" s="127"/>
      <c r="P286" s="133"/>
      <c r="Q286" s="133"/>
      <c r="R286" s="127"/>
      <c r="S286" s="127"/>
      <c r="T286" s="127"/>
      <c r="U286" s="127"/>
      <c r="V286" s="127"/>
      <c r="W286" s="127"/>
      <c r="X286" s="127"/>
      <c r="Y286" s="127"/>
      <c r="Z286" s="127"/>
      <c r="AA286" s="127"/>
      <c r="AB286" s="127"/>
      <c r="AC286" s="127"/>
      <c r="AD286" s="127"/>
      <c r="AE286" s="127"/>
      <c r="AF286" s="127"/>
      <c r="AG286" s="127"/>
      <c r="AH286" s="127"/>
      <c r="AI286" s="127"/>
      <c r="AJ286" s="127"/>
      <c r="AK286" s="127"/>
      <c r="AL286" s="127"/>
      <c r="AM286" s="127"/>
      <c r="AN286" s="127"/>
      <c r="AO286" s="127"/>
      <c r="AP286" s="127"/>
      <c r="AQ286" s="127"/>
      <c r="AR286" s="127"/>
      <c r="AS286" s="127"/>
      <c r="AT286" s="127"/>
      <c r="AU286" s="197"/>
      <c r="BI286" s="130"/>
      <c r="BO286" s="254"/>
      <c r="BP286" s="254"/>
      <c r="BQ286" s="254"/>
      <c r="CL286" s="153"/>
      <c r="CM286" s="153"/>
      <c r="CN286" s="141"/>
      <c r="CO286" s="141"/>
      <c r="CP286" s="153"/>
      <c r="CQ286" s="153"/>
      <c r="EG286" s="24"/>
      <c r="EH286" s="24"/>
    </row>
    <row r="287" spans="1:138" s="125" customFormat="1" ht="45.75">
      <c r="A287" s="127"/>
      <c r="B287" s="127"/>
      <c r="C287" s="127"/>
      <c r="D287" s="127"/>
      <c r="E287" s="127"/>
      <c r="F287" s="127"/>
      <c r="G287" s="132"/>
      <c r="H287" s="127"/>
      <c r="I287" s="127"/>
      <c r="J287" s="132"/>
      <c r="K287" s="132"/>
      <c r="L287" s="132"/>
      <c r="M287" s="198"/>
      <c r="N287" s="127"/>
      <c r="O287" s="127"/>
      <c r="P287" s="133"/>
      <c r="Q287" s="133"/>
      <c r="R287" s="127"/>
      <c r="S287" s="127"/>
      <c r="T287" s="127"/>
      <c r="U287" s="127"/>
      <c r="V287" s="127"/>
      <c r="W287" s="127"/>
      <c r="X287" s="127"/>
      <c r="Y287" s="127"/>
      <c r="Z287" s="127"/>
      <c r="AA287" s="127"/>
      <c r="AB287" s="127"/>
      <c r="AC287" s="127"/>
      <c r="AD287" s="127"/>
      <c r="AE287" s="127"/>
      <c r="AF287" s="127"/>
      <c r="AG287" s="127"/>
      <c r="AH287" s="127"/>
      <c r="AI287" s="127"/>
      <c r="AJ287" s="127"/>
      <c r="AK287" s="127"/>
      <c r="AL287" s="127"/>
      <c r="AM287" s="127"/>
      <c r="AN287" s="127"/>
      <c r="AO287" s="127"/>
      <c r="AP287" s="127"/>
      <c r="AQ287" s="127"/>
      <c r="AR287" s="127"/>
      <c r="AS287" s="127"/>
      <c r="AT287" s="127"/>
      <c r="AU287" s="197"/>
      <c r="BI287" s="130"/>
      <c r="BO287" s="254"/>
      <c r="BP287" s="254"/>
      <c r="BQ287" s="254"/>
      <c r="CL287" s="153"/>
      <c r="CM287" s="153"/>
      <c r="CN287" s="141"/>
      <c r="CO287" s="141"/>
      <c r="CP287" s="153"/>
      <c r="CQ287" s="153"/>
      <c r="EG287" s="24"/>
      <c r="EH287" s="24"/>
    </row>
    <row r="288" spans="1:138" s="125" customFormat="1" ht="45.75">
      <c r="A288" s="127"/>
      <c r="B288" s="127"/>
      <c r="C288" s="127"/>
      <c r="D288" s="127"/>
      <c r="E288" s="127"/>
      <c r="F288" s="127"/>
      <c r="G288" s="132"/>
      <c r="H288" s="127"/>
      <c r="I288" s="127"/>
      <c r="J288" s="132"/>
      <c r="K288" s="132"/>
      <c r="L288" s="132"/>
      <c r="M288" s="198"/>
      <c r="N288" s="127"/>
      <c r="O288" s="127"/>
      <c r="P288" s="133"/>
      <c r="Q288" s="133"/>
      <c r="R288" s="127"/>
      <c r="S288" s="127"/>
      <c r="T288" s="127"/>
      <c r="U288" s="127"/>
      <c r="V288" s="127"/>
      <c r="W288" s="127"/>
      <c r="X288" s="127"/>
      <c r="Y288" s="127"/>
      <c r="Z288" s="127"/>
      <c r="AA288" s="127"/>
      <c r="AB288" s="127"/>
      <c r="AC288" s="127"/>
      <c r="AD288" s="127"/>
      <c r="AE288" s="127"/>
      <c r="AF288" s="127"/>
      <c r="AG288" s="127"/>
      <c r="AH288" s="127"/>
      <c r="AI288" s="127"/>
      <c r="AJ288" s="127"/>
      <c r="AK288" s="127"/>
      <c r="AL288" s="127"/>
      <c r="AM288" s="127"/>
      <c r="AN288" s="127"/>
      <c r="AO288" s="127"/>
      <c r="AP288" s="127"/>
      <c r="AQ288" s="127"/>
      <c r="AR288" s="127"/>
      <c r="AS288" s="127"/>
      <c r="AT288" s="127"/>
      <c r="AU288" s="197"/>
      <c r="BI288" s="130"/>
      <c r="BO288" s="254"/>
      <c r="BP288" s="254"/>
      <c r="BQ288" s="254"/>
      <c r="CL288" s="153"/>
      <c r="CM288" s="153"/>
      <c r="CN288" s="141"/>
      <c r="CO288" s="141"/>
      <c r="CP288" s="153"/>
      <c r="CQ288" s="153"/>
      <c r="EG288" s="24"/>
      <c r="EH288" s="24"/>
    </row>
    <row r="289" spans="1:138" s="125" customFormat="1" ht="45.75">
      <c r="A289" s="127"/>
      <c r="B289" s="127"/>
      <c r="C289" s="127"/>
      <c r="D289" s="127"/>
      <c r="E289" s="127"/>
      <c r="F289" s="127"/>
      <c r="G289" s="132"/>
      <c r="H289" s="127"/>
      <c r="I289" s="127"/>
      <c r="J289" s="132"/>
      <c r="K289" s="132"/>
      <c r="L289" s="132"/>
      <c r="M289" s="198"/>
      <c r="N289" s="127"/>
      <c r="O289" s="127"/>
      <c r="P289" s="133"/>
      <c r="Q289" s="133"/>
      <c r="R289" s="127"/>
      <c r="S289" s="127"/>
      <c r="T289" s="127"/>
      <c r="U289" s="127"/>
      <c r="V289" s="127"/>
      <c r="W289" s="127"/>
      <c r="X289" s="127"/>
      <c r="Y289" s="127"/>
      <c r="Z289" s="127"/>
      <c r="AA289" s="127"/>
      <c r="AB289" s="127"/>
      <c r="AC289" s="127"/>
      <c r="AD289" s="127"/>
      <c r="AE289" s="127"/>
      <c r="AF289" s="127"/>
      <c r="AG289" s="127"/>
      <c r="AH289" s="127"/>
      <c r="AI289" s="127"/>
      <c r="AJ289" s="127"/>
      <c r="AK289" s="127"/>
      <c r="AL289" s="127"/>
      <c r="AM289" s="127"/>
      <c r="AN289" s="127"/>
      <c r="AO289" s="127"/>
      <c r="AP289" s="127"/>
      <c r="AQ289" s="127"/>
      <c r="AR289" s="127"/>
      <c r="AS289" s="127"/>
      <c r="AT289" s="127"/>
      <c r="AU289" s="197"/>
      <c r="BI289" s="130"/>
      <c r="BO289" s="254"/>
      <c r="BP289" s="254"/>
      <c r="BQ289" s="254"/>
      <c r="CL289" s="153"/>
      <c r="CM289" s="153"/>
      <c r="CN289" s="141"/>
      <c r="CO289" s="141"/>
      <c r="CP289" s="153"/>
      <c r="CQ289" s="153"/>
      <c r="EG289" s="24"/>
      <c r="EH289" s="24"/>
    </row>
    <row r="290" spans="1:138" s="125" customFormat="1" ht="45.75">
      <c r="A290" s="127"/>
      <c r="B290" s="127"/>
      <c r="C290" s="127"/>
      <c r="D290" s="127"/>
      <c r="E290" s="127"/>
      <c r="F290" s="127"/>
      <c r="G290" s="132"/>
      <c r="H290" s="127"/>
      <c r="I290" s="127"/>
      <c r="J290" s="132"/>
      <c r="K290" s="132"/>
      <c r="L290" s="132"/>
      <c r="M290" s="198"/>
      <c r="N290" s="127"/>
      <c r="O290" s="127"/>
      <c r="P290" s="133"/>
      <c r="Q290" s="133"/>
      <c r="R290" s="127"/>
      <c r="S290" s="127"/>
      <c r="T290" s="127"/>
      <c r="U290" s="127"/>
      <c r="V290" s="127"/>
      <c r="W290" s="127"/>
      <c r="X290" s="127"/>
      <c r="Y290" s="127"/>
      <c r="Z290" s="127"/>
      <c r="AA290" s="127"/>
      <c r="AB290" s="127"/>
      <c r="AC290" s="127"/>
      <c r="AD290" s="127"/>
      <c r="AE290" s="127"/>
      <c r="AF290" s="127"/>
      <c r="AG290" s="127"/>
      <c r="AH290" s="127"/>
      <c r="AI290" s="127"/>
      <c r="AJ290" s="127"/>
      <c r="AK290" s="127"/>
      <c r="AL290" s="127"/>
      <c r="AM290" s="127"/>
      <c r="AN290" s="127"/>
      <c r="AO290" s="127"/>
      <c r="AP290" s="127"/>
      <c r="AQ290" s="127"/>
      <c r="AR290" s="127"/>
      <c r="AS290" s="127"/>
      <c r="AT290" s="127"/>
      <c r="AU290" s="197"/>
      <c r="BI290" s="130"/>
      <c r="BO290" s="254"/>
      <c r="BP290" s="254"/>
      <c r="BQ290" s="254"/>
      <c r="CL290" s="153"/>
      <c r="CM290" s="153"/>
      <c r="CN290" s="141"/>
      <c r="CO290" s="141"/>
      <c r="CP290" s="153"/>
      <c r="CQ290" s="153"/>
      <c r="EG290" s="24"/>
      <c r="EH290" s="24"/>
    </row>
    <row r="291" spans="1:138" s="125" customFormat="1" ht="45.75">
      <c r="A291" s="127"/>
      <c r="B291" s="127"/>
      <c r="C291" s="127"/>
      <c r="D291" s="127"/>
      <c r="E291" s="127"/>
      <c r="F291" s="127"/>
      <c r="G291" s="132"/>
      <c r="H291" s="127"/>
      <c r="I291" s="127"/>
      <c r="J291" s="132"/>
      <c r="K291" s="132"/>
      <c r="L291" s="132"/>
      <c r="M291" s="198"/>
      <c r="N291" s="127"/>
      <c r="O291" s="127"/>
      <c r="P291" s="133"/>
      <c r="Q291" s="133"/>
      <c r="R291" s="127"/>
      <c r="S291" s="127"/>
      <c r="T291" s="127"/>
      <c r="U291" s="127"/>
      <c r="V291" s="127"/>
      <c r="W291" s="127"/>
      <c r="X291" s="127"/>
      <c r="Y291" s="127"/>
      <c r="Z291" s="127"/>
      <c r="AA291" s="127"/>
      <c r="AB291" s="127"/>
      <c r="AC291" s="127"/>
      <c r="AD291" s="127"/>
      <c r="AE291" s="127"/>
      <c r="AF291" s="127"/>
      <c r="AG291" s="127"/>
      <c r="AH291" s="127"/>
      <c r="AI291" s="127"/>
      <c r="AJ291" s="127"/>
      <c r="AK291" s="127"/>
      <c r="AL291" s="127"/>
      <c r="AM291" s="127"/>
      <c r="AN291" s="127"/>
      <c r="AO291" s="127"/>
      <c r="AP291" s="127"/>
      <c r="AQ291" s="127"/>
      <c r="AR291" s="127"/>
      <c r="AS291" s="127"/>
      <c r="AT291" s="127"/>
      <c r="AU291" s="197"/>
      <c r="BI291" s="130"/>
      <c r="BO291" s="254"/>
      <c r="BP291" s="254"/>
      <c r="BQ291" s="254"/>
      <c r="CL291" s="153"/>
      <c r="CM291" s="153"/>
      <c r="CN291" s="141"/>
      <c r="CO291" s="141"/>
      <c r="CP291" s="153"/>
      <c r="CQ291" s="153"/>
      <c r="EG291" s="24"/>
      <c r="EH291" s="24"/>
    </row>
    <row r="292" spans="1:138" s="125" customFormat="1" ht="45.75">
      <c r="A292" s="127"/>
      <c r="B292" s="127"/>
      <c r="C292" s="127"/>
      <c r="D292" s="127"/>
      <c r="E292" s="127"/>
      <c r="F292" s="127"/>
      <c r="G292" s="132"/>
      <c r="H292" s="127"/>
      <c r="I292" s="127"/>
      <c r="J292" s="132"/>
      <c r="K292" s="132"/>
      <c r="L292" s="132"/>
      <c r="M292" s="198"/>
      <c r="N292" s="127"/>
      <c r="O292" s="127"/>
      <c r="P292" s="133"/>
      <c r="Q292" s="133"/>
      <c r="R292" s="127"/>
      <c r="S292" s="127"/>
      <c r="T292" s="127"/>
      <c r="U292" s="127"/>
      <c r="V292" s="127"/>
      <c r="W292" s="127"/>
      <c r="X292" s="127"/>
      <c r="Y292" s="127"/>
      <c r="Z292" s="127"/>
      <c r="AA292" s="127"/>
      <c r="AB292" s="127"/>
      <c r="AC292" s="127"/>
      <c r="AD292" s="127"/>
      <c r="AE292" s="127"/>
      <c r="AF292" s="127"/>
      <c r="AG292" s="127"/>
      <c r="AH292" s="127"/>
      <c r="AI292" s="127"/>
      <c r="AJ292" s="127"/>
      <c r="AK292" s="127"/>
      <c r="AL292" s="127"/>
      <c r="AM292" s="127"/>
      <c r="AN292" s="127"/>
      <c r="AO292" s="127"/>
      <c r="AP292" s="127"/>
      <c r="AQ292" s="127"/>
      <c r="AR292" s="127"/>
      <c r="AS292" s="127"/>
      <c r="AT292" s="127"/>
      <c r="AU292" s="197"/>
      <c r="BI292" s="130"/>
      <c r="BO292" s="254"/>
      <c r="BP292" s="254"/>
      <c r="BQ292" s="254"/>
      <c r="CL292" s="153"/>
      <c r="CM292" s="153"/>
      <c r="CN292" s="141"/>
      <c r="CO292" s="141"/>
      <c r="CP292" s="153"/>
      <c r="CQ292" s="153"/>
      <c r="EG292" s="24"/>
      <c r="EH292" s="24"/>
    </row>
    <row r="293" spans="1:138" s="125" customFormat="1" ht="45.75">
      <c r="A293" s="127"/>
      <c r="B293" s="127"/>
      <c r="C293" s="127"/>
      <c r="D293" s="127"/>
      <c r="E293" s="127"/>
      <c r="F293" s="127"/>
      <c r="G293" s="132"/>
      <c r="H293" s="127"/>
      <c r="I293" s="127"/>
      <c r="J293" s="132"/>
      <c r="K293" s="132"/>
      <c r="L293" s="132"/>
      <c r="M293" s="198"/>
      <c r="N293" s="127"/>
      <c r="O293" s="127"/>
      <c r="P293" s="133"/>
      <c r="Q293" s="133"/>
      <c r="R293" s="127"/>
      <c r="S293" s="127"/>
      <c r="T293" s="127"/>
      <c r="U293" s="127"/>
      <c r="V293" s="127"/>
      <c r="W293" s="127"/>
      <c r="X293" s="127"/>
      <c r="Y293" s="127"/>
      <c r="Z293" s="127"/>
      <c r="AA293" s="127"/>
      <c r="AB293" s="127"/>
      <c r="AC293" s="127"/>
      <c r="AD293" s="127"/>
      <c r="AE293" s="127"/>
      <c r="AF293" s="127"/>
      <c r="AG293" s="127"/>
      <c r="AH293" s="127"/>
      <c r="AI293" s="127"/>
      <c r="AJ293" s="127"/>
      <c r="AK293" s="127"/>
      <c r="AL293" s="127"/>
      <c r="AM293" s="127"/>
      <c r="AN293" s="127"/>
      <c r="AO293" s="127"/>
      <c r="AP293" s="127"/>
      <c r="AQ293" s="127"/>
      <c r="AR293" s="127"/>
      <c r="AS293" s="127"/>
      <c r="AT293" s="127"/>
      <c r="AU293" s="197"/>
      <c r="BI293" s="130"/>
      <c r="BO293" s="254"/>
      <c r="BP293" s="254"/>
      <c r="BQ293" s="254"/>
      <c r="CL293" s="153"/>
      <c r="CM293" s="153"/>
      <c r="CN293" s="141"/>
      <c r="CO293" s="141"/>
      <c r="CP293" s="153"/>
      <c r="CQ293" s="153"/>
      <c r="EG293" s="24"/>
      <c r="EH293" s="24"/>
    </row>
    <row r="294" spans="1:138" s="125" customFormat="1" ht="45.75">
      <c r="A294" s="127"/>
      <c r="B294" s="127"/>
      <c r="C294" s="127"/>
      <c r="D294" s="127"/>
      <c r="E294" s="127"/>
      <c r="F294" s="127"/>
      <c r="G294" s="132"/>
      <c r="H294" s="127"/>
      <c r="I294" s="127"/>
      <c r="J294" s="132"/>
      <c r="K294" s="132"/>
      <c r="L294" s="132"/>
      <c r="M294" s="198"/>
      <c r="N294" s="127"/>
      <c r="O294" s="127"/>
      <c r="P294" s="133"/>
      <c r="Q294" s="133"/>
      <c r="R294" s="127"/>
      <c r="S294" s="127"/>
      <c r="T294" s="127"/>
      <c r="U294" s="127"/>
      <c r="V294" s="127"/>
      <c r="W294" s="127"/>
      <c r="X294" s="127"/>
      <c r="Y294" s="127"/>
      <c r="Z294" s="127"/>
      <c r="AA294" s="127"/>
      <c r="AB294" s="127"/>
      <c r="AC294" s="127"/>
      <c r="AD294" s="127"/>
      <c r="AE294" s="127"/>
      <c r="AF294" s="127"/>
      <c r="AG294" s="127"/>
      <c r="AH294" s="127"/>
      <c r="AI294" s="127"/>
      <c r="AJ294" s="127"/>
      <c r="AK294" s="127"/>
      <c r="AL294" s="127"/>
      <c r="AM294" s="127"/>
      <c r="AN294" s="127"/>
      <c r="AO294" s="127"/>
      <c r="AP294" s="127"/>
      <c r="AQ294" s="127"/>
      <c r="AR294" s="127"/>
      <c r="AS294" s="127"/>
      <c r="AT294" s="127"/>
      <c r="AU294" s="197"/>
      <c r="BI294" s="130"/>
      <c r="BO294" s="254"/>
      <c r="BP294" s="254"/>
      <c r="BQ294" s="254"/>
      <c r="CL294" s="153"/>
      <c r="CM294" s="153"/>
      <c r="CN294" s="141"/>
      <c r="CO294" s="141"/>
      <c r="CP294" s="153"/>
      <c r="CQ294" s="153"/>
      <c r="EG294" s="24"/>
      <c r="EH294" s="24"/>
    </row>
    <row r="295" spans="1:138" s="125" customFormat="1" ht="45.75">
      <c r="A295" s="127"/>
      <c r="B295" s="127"/>
      <c r="C295" s="127"/>
      <c r="D295" s="127"/>
      <c r="E295" s="127"/>
      <c r="F295" s="127"/>
      <c r="G295" s="132"/>
      <c r="H295" s="127"/>
      <c r="I295" s="127"/>
      <c r="J295" s="132"/>
      <c r="K295" s="132"/>
      <c r="L295" s="132"/>
      <c r="M295" s="198"/>
      <c r="N295" s="127"/>
      <c r="O295" s="127"/>
      <c r="P295" s="133"/>
      <c r="Q295" s="133"/>
      <c r="R295" s="127"/>
      <c r="S295" s="127"/>
      <c r="T295" s="127"/>
      <c r="U295" s="127"/>
      <c r="V295" s="127"/>
      <c r="W295" s="127"/>
      <c r="X295" s="127"/>
      <c r="Y295" s="127"/>
      <c r="Z295" s="127"/>
      <c r="AA295" s="127"/>
      <c r="AB295" s="127"/>
      <c r="AC295" s="127"/>
      <c r="AD295" s="127"/>
      <c r="AE295" s="127"/>
      <c r="AF295" s="127"/>
      <c r="AG295" s="127"/>
      <c r="AH295" s="127"/>
      <c r="AI295" s="127"/>
      <c r="AJ295" s="127"/>
      <c r="AK295" s="127"/>
      <c r="AL295" s="127"/>
      <c r="AM295" s="127"/>
      <c r="AN295" s="127"/>
      <c r="AO295" s="127"/>
      <c r="AP295" s="127"/>
      <c r="AQ295" s="127"/>
      <c r="AR295" s="127"/>
      <c r="AS295" s="127"/>
      <c r="AT295" s="127"/>
      <c r="AU295" s="197"/>
      <c r="BI295" s="130"/>
      <c r="BO295" s="254"/>
      <c r="BP295" s="254"/>
      <c r="BQ295" s="254"/>
      <c r="CL295" s="153"/>
      <c r="CM295" s="153"/>
      <c r="CN295" s="141"/>
      <c r="CO295" s="141"/>
      <c r="CP295" s="153"/>
      <c r="CQ295" s="153"/>
      <c r="EG295" s="24"/>
      <c r="EH295" s="24"/>
    </row>
    <row r="296" spans="1:138" s="125" customFormat="1" ht="45.75">
      <c r="A296" s="127"/>
      <c r="B296" s="127"/>
      <c r="C296" s="127"/>
      <c r="D296" s="127"/>
      <c r="E296" s="127"/>
      <c r="F296" s="127"/>
      <c r="G296" s="132"/>
      <c r="H296" s="127"/>
      <c r="I296" s="127"/>
      <c r="J296" s="132"/>
      <c r="K296" s="132"/>
      <c r="L296" s="132"/>
      <c r="M296" s="198"/>
      <c r="N296" s="127"/>
      <c r="O296" s="127"/>
      <c r="P296" s="133"/>
      <c r="Q296" s="133"/>
      <c r="R296" s="127"/>
      <c r="S296" s="127"/>
      <c r="T296" s="127"/>
      <c r="U296" s="127"/>
      <c r="V296" s="127"/>
      <c r="W296" s="127"/>
      <c r="X296" s="127"/>
      <c r="Y296" s="127"/>
      <c r="Z296" s="127"/>
      <c r="AA296" s="127"/>
      <c r="AB296" s="127"/>
      <c r="AC296" s="127"/>
      <c r="AD296" s="127"/>
      <c r="AE296" s="127"/>
      <c r="AF296" s="127"/>
      <c r="AG296" s="127"/>
      <c r="AH296" s="127"/>
      <c r="AI296" s="127"/>
      <c r="AJ296" s="127"/>
      <c r="AK296" s="127"/>
      <c r="AL296" s="127"/>
      <c r="AM296" s="127"/>
      <c r="AN296" s="127"/>
      <c r="AO296" s="127"/>
      <c r="AP296" s="127"/>
      <c r="AQ296" s="127"/>
      <c r="AR296" s="127"/>
      <c r="AS296" s="127"/>
      <c r="AT296" s="127"/>
      <c r="AU296" s="197"/>
      <c r="BI296" s="130"/>
      <c r="BO296" s="254"/>
      <c r="BP296" s="254"/>
      <c r="BQ296" s="254"/>
      <c r="CL296" s="153"/>
      <c r="CM296" s="153"/>
      <c r="CN296" s="141"/>
      <c r="CO296" s="141"/>
      <c r="CP296" s="153"/>
      <c r="CQ296" s="153"/>
      <c r="EG296" s="24"/>
      <c r="EH296" s="24"/>
    </row>
    <row r="297" spans="1:138" s="125" customFormat="1" ht="45.75">
      <c r="A297" s="127"/>
      <c r="B297" s="127"/>
      <c r="C297" s="127"/>
      <c r="D297" s="127"/>
      <c r="E297" s="127"/>
      <c r="F297" s="127"/>
      <c r="G297" s="132"/>
      <c r="H297" s="127"/>
      <c r="I297" s="127"/>
      <c r="J297" s="132"/>
      <c r="K297" s="132"/>
      <c r="L297" s="132"/>
      <c r="M297" s="198"/>
      <c r="N297" s="127"/>
      <c r="O297" s="127"/>
      <c r="P297" s="133"/>
      <c r="Q297" s="133"/>
      <c r="R297" s="127"/>
      <c r="S297" s="127"/>
      <c r="T297" s="127"/>
      <c r="U297" s="127"/>
      <c r="V297" s="127"/>
      <c r="W297" s="127"/>
      <c r="X297" s="127"/>
      <c r="Y297" s="127"/>
      <c r="Z297" s="127"/>
      <c r="AA297" s="127"/>
      <c r="AB297" s="127"/>
      <c r="AC297" s="127"/>
      <c r="AD297" s="127"/>
      <c r="AE297" s="127"/>
      <c r="AF297" s="127"/>
      <c r="AG297" s="127"/>
      <c r="AH297" s="127"/>
      <c r="AI297" s="127"/>
      <c r="AJ297" s="127"/>
      <c r="AK297" s="127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97"/>
      <c r="BI297" s="130"/>
      <c r="BO297" s="254"/>
      <c r="BP297" s="254"/>
      <c r="BQ297" s="254"/>
      <c r="CL297" s="153"/>
      <c r="CM297" s="153"/>
      <c r="CN297" s="141"/>
      <c r="CO297" s="141"/>
      <c r="CP297" s="153"/>
      <c r="CQ297" s="153"/>
      <c r="EG297" s="24"/>
      <c r="EH297" s="24"/>
    </row>
    <row r="298" spans="1:138" s="125" customFormat="1" ht="45.75">
      <c r="A298" s="127"/>
      <c r="B298" s="127"/>
      <c r="C298" s="127"/>
      <c r="D298" s="127"/>
      <c r="E298" s="127"/>
      <c r="F298" s="127"/>
      <c r="G298" s="132"/>
      <c r="H298" s="127"/>
      <c r="I298" s="127"/>
      <c r="J298" s="132"/>
      <c r="K298" s="132"/>
      <c r="L298" s="132"/>
      <c r="M298" s="198"/>
      <c r="N298" s="127"/>
      <c r="O298" s="127"/>
      <c r="P298" s="133"/>
      <c r="Q298" s="133"/>
      <c r="R298" s="127"/>
      <c r="S298" s="127"/>
      <c r="T298" s="127"/>
      <c r="U298" s="127"/>
      <c r="V298" s="127"/>
      <c r="W298" s="127"/>
      <c r="X298" s="127"/>
      <c r="Y298" s="127"/>
      <c r="Z298" s="127"/>
      <c r="AA298" s="127"/>
      <c r="AB298" s="127"/>
      <c r="AC298" s="127"/>
      <c r="AD298" s="127"/>
      <c r="AE298" s="127"/>
      <c r="AF298" s="127"/>
      <c r="AG298" s="127"/>
      <c r="AH298" s="127"/>
      <c r="AI298" s="127"/>
      <c r="AJ298" s="127"/>
      <c r="AK298" s="127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97"/>
      <c r="BI298" s="130"/>
      <c r="BO298" s="254"/>
      <c r="BP298" s="254"/>
      <c r="BQ298" s="254"/>
      <c r="CL298" s="153"/>
      <c r="CM298" s="153"/>
      <c r="CN298" s="141"/>
      <c r="CO298" s="141"/>
      <c r="CP298" s="153"/>
      <c r="CQ298" s="153"/>
      <c r="EG298" s="24"/>
      <c r="EH298" s="24"/>
    </row>
    <row r="299" spans="1:138" s="125" customFormat="1" ht="45.75">
      <c r="A299" s="127"/>
      <c r="B299" s="127"/>
      <c r="C299" s="127"/>
      <c r="D299" s="127"/>
      <c r="E299" s="127"/>
      <c r="F299" s="127"/>
      <c r="G299" s="132"/>
      <c r="H299" s="127"/>
      <c r="I299" s="127"/>
      <c r="J299" s="132"/>
      <c r="K299" s="132"/>
      <c r="L299" s="132"/>
      <c r="M299" s="198"/>
      <c r="N299" s="127"/>
      <c r="O299" s="127"/>
      <c r="P299" s="133"/>
      <c r="Q299" s="133"/>
      <c r="R299" s="127"/>
      <c r="S299" s="127"/>
      <c r="T299" s="127"/>
      <c r="U299" s="127"/>
      <c r="V299" s="127"/>
      <c r="W299" s="127"/>
      <c r="X299" s="127"/>
      <c r="Y299" s="127"/>
      <c r="Z299" s="127"/>
      <c r="AA299" s="127"/>
      <c r="AB299" s="127"/>
      <c r="AC299" s="127"/>
      <c r="AD299" s="127"/>
      <c r="AE299" s="127"/>
      <c r="AF299" s="127"/>
      <c r="AG299" s="127"/>
      <c r="AH299" s="127"/>
      <c r="AI299" s="127"/>
      <c r="AJ299" s="127"/>
      <c r="AK299" s="127"/>
      <c r="AL299" s="127"/>
      <c r="AM299" s="127"/>
      <c r="AN299" s="127"/>
      <c r="AO299" s="127"/>
      <c r="AP299" s="127"/>
      <c r="AQ299" s="127"/>
      <c r="AR299" s="127"/>
      <c r="AS299" s="127"/>
      <c r="AT299" s="127"/>
      <c r="AU299" s="197"/>
      <c r="BI299" s="130"/>
      <c r="BO299" s="254"/>
      <c r="BP299" s="254"/>
      <c r="BQ299" s="254"/>
      <c r="CL299" s="153"/>
      <c r="CM299" s="153"/>
      <c r="CN299" s="141"/>
      <c r="CO299" s="141"/>
      <c r="CP299" s="153"/>
      <c r="CQ299" s="153"/>
      <c r="EG299" s="24"/>
      <c r="EH299" s="24"/>
    </row>
    <row r="300" spans="1:138" s="125" customFormat="1" ht="45.75">
      <c r="A300" s="127"/>
      <c r="B300" s="127"/>
      <c r="C300" s="127"/>
      <c r="D300" s="127"/>
      <c r="E300" s="127"/>
      <c r="F300" s="127"/>
      <c r="G300" s="132"/>
      <c r="H300" s="127"/>
      <c r="I300" s="127"/>
      <c r="J300" s="132"/>
      <c r="K300" s="132"/>
      <c r="L300" s="132"/>
      <c r="M300" s="198"/>
      <c r="N300" s="127"/>
      <c r="O300" s="127"/>
      <c r="P300" s="133"/>
      <c r="Q300" s="133"/>
      <c r="R300" s="127"/>
      <c r="S300" s="127"/>
      <c r="T300" s="127"/>
      <c r="U300" s="127"/>
      <c r="V300" s="127"/>
      <c r="W300" s="127"/>
      <c r="X300" s="127"/>
      <c r="Y300" s="127"/>
      <c r="Z300" s="127"/>
      <c r="AA300" s="127"/>
      <c r="AB300" s="127"/>
      <c r="AC300" s="127"/>
      <c r="AD300" s="127"/>
      <c r="AE300" s="127"/>
      <c r="AF300" s="127"/>
      <c r="AG300" s="127"/>
      <c r="AH300" s="127"/>
      <c r="AI300" s="127"/>
      <c r="AJ300" s="127"/>
      <c r="AK300" s="127"/>
      <c r="AL300" s="127"/>
      <c r="AM300" s="127"/>
      <c r="AN300" s="127"/>
      <c r="AO300" s="127"/>
      <c r="AP300" s="127"/>
      <c r="AQ300" s="127"/>
      <c r="AR300" s="127"/>
      <c r="AS300" s="127"/>
      <c r="AT300" s="127"/>
      <c r="AU300" s="197"/>
      <c r="BI300" s="130"/>
      <c r="BO300" s="254"/>
      <c r="BP300" s="254"/>
      <c r="BQ300" s="254"/>
      <c r="CL300" s="153"/>
      <c r="CM300" s="153"/>
      <c r="CN300" s="141"/>
      <c r="CO300" s="141"/>
      <c r="CP300" s="153"/>
      <c r="CQ300" s="153"/>
      <c r="EG300" s="24"/>
      <c r="EH300" s="24"/>
    </row>
    <row r="301" spans="1:138" s="125" customFormat="1" ht="45.75">
      <c r="A301" s="127"/>
      <c r="B301" s="127"/>
      <c r="C301" s="127"/>
      <c r="D301" s="127"/>
      <c r="E301" s="127"/>
      <c r="F301" s="127"/>
      <c r="G301" s="132"/>
      <c r="H301" s="127"/>
      <c r="I301" s="127"/>
      <c r="J301" s="132"/>
      <c r="K301" s="132"/>
      <c r="L301" s="132"/>
      <c r="M301" s="198"/>
      <c r="N301" s="127"/>
      <c r="O301" s="127"/>
      <c r="P301" s="133"/>
      <c r="Q301" s="133"/>
      <c r="R301" s="127"/>
      <c r="S301" s="127"/>
      <c r="T301" s="127"/>
      <c r="U301" s="127"/>
      <c r="V301" s="127"/>
      <c r="W301" s="127"/>
      <c r="X301" s="127"/>
      <c r="Y301" s="127"/>
      <c r="Z301" s="127"/>
      <c r="AA301" s="127"/>
      <c r="AB301" s="127"/>
      <c r="AC301" s="127"/>
      <c r="AD301" s="127"/>
      <c r="AE301" s="127"/>
      <c r="AF301" s="127"/>
      <c r="AG301" s="127"/>
      <c r="AH301" s="127"/>
      <c r="AI301" s="127"/>
      <c r="AJ301" s="127"/>
      <c r="AK301" s="127"/>
      <c r="AL301" s="127"/>
      <c r="AM301" s="127"/>
      <c r="AN301" s="127"/>
      <c r="AO301" s="127"/>
      <c r="AP301" s="127"/>
      <c r="AQ301" s="127"/>
      <c r="AR301" s="127"/>
      <c r="AS301" s="127"/>
      <c r="AT301" s="127"/>
      <c r="AU301" s="197"/>
      <c r="BI301" s="130"/>
      <c r="BO301" s="254"/>
      <c r="BP301" s="254"/>
      <c r="BQ301" s="254"/>
      <c r="CL301" s="153"/>
      <c r="CM301" s="153"/>
      <c r="CN301" s="141"/>
      <c r="CO301" s="141"/>
      <c r="CP301" s="153"/>
      <c r="CQ301" s="153"/>
      <c r="EG301" s="24"/>
      <c r="EH301" s="24"/>
    </row>
    <row r="302" spans="1:138" s="125" customFormat="1" ht="45.75">
      <c r="A302" s="127"/>
      <c r="B302" s="127"/>
      <c r="C302" s="127"/>
      <c r="D302" s="127"/>
      <c r="E302" s="127"/>
      <c r="F302" s="127"/>
      <c r="G302" s="132"/>
      <c r="H302" s="127"/>
      <c r="I302" s="127"/>
      <c r="J302" s="132"/>
      <c r="K302" s="132"/>
      <c r="L302" s="132"/>
      <c r="M302" s="198"/>
      <c r="N302" s="127"/>
      <c r="O302" s="127"/>
      <c r="P302" s="133"/>
      <c r="Q302" s="133"/>
      <c r="R302" s="127"/>
      <c r="S302" s="127"/>
      <c r="T302" s="127"/>
      <c r="U302" s="127"/>
      <c r="V302" s="127"/>
      <c r="W302" s="127"/>
      <c r="X302" s="127"/>
      <c r="Y302" s="127"/>
      <c r="Z302" s="127"/>
      <c r="AA302" s="127"/>
      <c r="AB302" s="127"/>
      <c r="AC302" s="127"/>
      <c r="AD302" s="127"/>
      <c r="AE302" s="127"/>
      <c r="AF302" s="127"/>
      <c r="AG302" s="127"/>
      <c r="AH302" s="127"/>
      <c r="AI302" s="127"/>
      <c r="AJ302" s="127"/>
      <c r="AK302" s="127"/>
      <c r="AL302" s="127"/>
      <c r="AM302" s="127"/>
      <c r="AN302" s="127"/>
      <c r="AO302" s="127"/>
      <c r="AP302" s="127"/>
      <c r="AQ302" s="127"/>
      <c r="AR302" s="127"/>
      <c r="AS302" s="127"/>
      <c r="AT302" s="127"/>
      <c r="AU302" s="197"/>
      <c r="BI302" s="130"/>
      <c r="BO302" s="254"/>
      <c r="BP302" s="254"/>
      <c r="BQ302" s="254"/>
      <c r="CL302" s="153"/>
      <c r="CM302" s="153"/>
      <c r="CN302" s="141"/>
      <c r="CO302" s="141"/>
      <c r="CP302" s="153"/>
      <c r="CQ302" s="153"/>
      <c r="EG302" s="24"/>
      <c r="EH302" s="24"/>
    </row>
    <row r="303" spans="1:138" s="125" customFormat="1" ht="45.75">
      <c r="A303" s="127"/>
      <c r="B303" s="127"/>
      <c r="C303" s="127"/>
      <c r="D303" s="127"/>
      <c r="E303" s="127"/>
      <c r="F303" s="127"/>
      <c r="G303" s="132"/>
      <c r="H303" s="127"/>
      <c r="I303" s="127"/>
      <c r="J303" s="132"/>
      <c r="K303" s="132"/>
      <c r="L303" s="132"/>
      <c r="M303" s="198"/>
      <c r="N303" s="127"/>
      <c r="O303" s="127"/>
      <c r="P303" s="133"/>
      <c r="Q303" s="133"/>
      <c r="R303" s="127"/>
      <c r="S303" s="127"/>
      <c r="T303" s="127"/>
      <c r="U303" s="127"/>
      <c r="V303" s="127"/>
      <c r="W303" s="127"/>
      <c r="X303" s="127"/>
      <c r="Y303" s="127"/>
      <c r="Z303" s="127"/>
      <c r="AA303" s="127"/>
      <c r="AB303" s="127"/>
      <c r="AC303" s="127"/>
      <c r="AD303" s="127"/>
      <c r="AE303" s="127"/>
      <c r="AF303" s="127"/>
      <c r="AG303" s="127"/>
      <c r="AH303" s="127"/>
      <c r="AI303" s="127"/>
      <c r="AJ303" s="127"/>
      <c r="AK303" s="127"/>
      <c r="AL303" s="127"/>
      <c r="AM303" s="127"/>
      <c r="AN303" s="127"/>
      <c r="AO303" s="127"/>
      <c r="AP303" s="127"/>
      <c r="AQ303" s="127"/>
      <c r="AR303" s="127"/>
      <c r="AS303" s="127"/>
      <c r="AT303" s="127"/>
      <c r="AU303" s="197"/>
      <c r="BI303" s="130"/>
      <c r="BO303" s="254"/>
      <c r="BP303" s="254"/>
      <c r="BQ303" s="254"/>
      <c r="CL303" s="153"/>
      <c r="CM303" s="153"/>
      <c r="CN303" s="141"/>
      <c r="CO303" s="141"/>
      <c r="CP303" s="153"/>
      <c r="CQ303" s="153"/>
      <c r="EG303" s="24"/>
      <c r="EH303" s="24"/>
    </row>
    <row r="304" spans="1:138" s="125" customFormat="1" ht="45.75">
      <c r="A304" s="127"/>
      <c r="B304" s="127"/>
      <c r="C304" s="127"/>
      <c r="D304" s="127"/>
      <c r="E304" s="127"/>
      <c r="F304" s="127"/>
      <c r="G304" s="132"/>
      <c r="H304" s="127"/>
      <c r="I304" s="127"/>
      <c r="J304" s="132"/>
      <c r="K304" s="132"/>
      <c r="L304" s="132"/>
      <c r="M304" s="198"/>
      <c r="N304" s="127"/>
      <c r="O304" s="127"/>
      <c r="P304" s="133"/>
      <c r="Q304" s="133"/>
      <c r="R304" s="127"/>
      <c r="S304" s="127"/>
      <c r="T304" s="127"/>
      <c r="U304" s="127"/>
      <c r="V304" s="127"/>
      <c r="W304" s="127"/>
      <c r="X304" s="127"/>
      <c r="Y304" s="127"/>
      <c r="Z304" s="127"/>
      <c r="AA304" s="127"/>
      <c r="AB304" s="127"/>
      <c r="AC304" s="127"/>
      <c r="AD304" s="127"/>
      <c r="AE304" s="127"/>
      <c r="AF304" s="127"/>
      <c r="AG304" s="127"/>
      <c r="AH304" s="127"/>
      <c r="AI304" s="127"/>
      <c r="AJ304" s="127"/>
      <c r="AK304" s="127"/>
      <c r="AL304" s="127"/>
      <c r="AM304" s="127"/>
      <c r="AN304" s="127"/>
      <c r="AO304" s="127"/>
      <c r="AP304" s="127"/>
      <c r="AQ304" s="127"/>
      <c r="AR304" s="127"/>
      <c r="AS304" s="127"/>
      <c r="AT304" s="127"/>
      <c r="AU304" s="197"/>
      <c r="BI304" s="130"/>
      <c r="BO304" s="254"/>
      <c r="BP304" s="254"/>
      <c r="BQ304" s="254"/>
      <c r="CL304" s="153"/>
      <c r="CM304" s="153"/>
      <c r="CN304" s="141"/>
      <c r="CO304" s="141"/>
      <c r="CP304" s="153"/>
      <c r="CQ304" s="153"/>
      <c r="EG304" s="24"/>
      <c r="EH304" s="24"/>
    </row>
    <row r="305" spans="1:138" s="125" customFormat="1" ht="45.75">
      <c r="A305" s="127"/>
      <c r="B305" s="127"/>
      <c r="C305" s="127"/>
      <c r="D305" s="127"/>
      <c r="E305" s="127"/>
      <c r="F305" s="127"/>
      <c r="G305" s="132"/>
      <c r="H305" s="127"/>
      <c r="I305" s="127"/>
      <c r="J305" s="132"/>
      <c r="K305" s="132"/>
      <c r="L305" s="132"/>
      <c r="M305" s="198"/>
      <c r="N305" s="127"/>
      <c r="O305" s="127"/>
      <c r="P305" s="133"/>
      <c r="Q305" s="133"/>
      <c r="R305" s="127"/>
      <c r="S305" s="127"/>
      <c r="T305" s="127"/>
      <c r="U305" s="127"/>
      <c r="V305" s="127"/>
      <c r="W305" s="127"/>
      <c r="X305" s="127"/>
      <c r="Y305" s="127"/>
      <c r="Z305" s="127"/>
      <c r="AA305" s="127"/>
      <c r="AB305" s="127"/>
      <c r="AC305" s="127"/>
      <c r="AD305" s="127"/>
      <c r="AE305" s="127"/>
      <c r="AF305" s="127"/>
      <c r="AG305" s="127"/>
      <c r="AH305" s="127"/>
      <c r="AI305" s="127"/>
      <c r="AJ305" s="127"/>
      <c r="AK305" s="127"/>
      <c r="AL305" s="127"/>
      <c r="AM305" s="127"/>
      <c r="AN305" s="127"/>
      <c r="AO305" s="127"/>
      <c r="AP305" s="127"/>
      <c r="AQ305" s="127"/>
      <c r="AR305" s="127"/>
      <c r="AS305" s="127"/>
      <c r="AT305" s="127"/>
      <c r="AU305" s="197"/>
      <c r="BI305" s="130"/>
      <c r="BO305" s="254"/>
      <c r="BP305" s="254"/>
      <c r="BQ305" s="254"/>
      <c r="CL305" s="153"/>
      <c r="CM305" s="153"/>
      <c r="CN305" s="141"/>
      <c r="CO305" s="141"/>
      <c r="CP305" s="153"/>
      <c r="CQ305" s="153"/>
      <c r="EG305" s="24"/>
      <c r="EH305" s="24"/>
    </row>
    <row r="306" spans="1:138" s="125" customFormat="1" ht="45.75">
      <c r="A306" s="127"/>
      <c r="B306" s="127"/>
      <c r="C306" s="127"/>
      <c r="D306" s="127"/>
      <c r="E306" s="127"/>
      <c r="F306" s="127"/>
      <c r="G306" s="132"/>
      <c r="H306" s="127"/>
      <c r="I306" s="127"/>
      <c r="J306" s="132"/>
      <c r="K306" s="132"/>
      <c r="L306" s="132"/>
      <c r="M306" s="198"/>
      <c r="N306" s="127"/>
      <c r="O306" s="127"/>
      <c r="P306" s="133"/>
      <c r="Q306" s="133"/>
      <c r="R306" s="127"/>
      <c r="S306" s="127"/>
      <c r="T306" s="127"/>
      <c r="U306" s="127"/>
      <c r="V306" s="127"/>
      <c r="W306" s="127"/>
      <c r="X306" s="127"/>
      <c r="Y306" s="127"/>
      <c r="Z306" s="127"/>
      <c r="AA306" s="127"/>
      <c r="AB306" s="127"/>
      <c r="AC306" s="127"/>
      <c r="AD306" s="127"/>
      <c r="AE306" s="127"/>
      <c r="AF306" s="127"/>
      <c r="AG306" s="127"/>
      <c r="AH306" s="127"/>
      <c r="AI306" s="127"/>
      <c r="AJ306" s="127"/>
      <c r="AK306" s="127"/>
      <c r="AL306" s="127"/>
      <c r="AM306" s="127"/>
      <c r="AN306" s="127"/>
      <c r="AO306" s="127"/>
      <c r="AP306" s="127"/>
      <c r="AQ306" s="127"/>
      <c r="AR306" s="127"/>
      <c r="AS306" s="127"/>
      <c r="AT306" s="127"/>
      <c r="AU306" s="197"/>
      <c r="BI306" s="130"/>
      <c r="BO306" s="254"/>
      <c r="BP306" s="254"/>
      <c r="BQ306" s="254"/>
      <c r="CL306" s="153"/>
      <c r="CM306" s="153"/>
      <c r="CN306" s="141"/>
      <c r="CO306" s="141"/>
      <c r="CP306" s="153"/>
      <c r="CQ306" s="153"/>
      <c r="EG306" s="24"/>
      <c r="EH306" s="24"/>
    </row>
    <row r="307" spans="1:138" s="125" customFormat="1" ht="45.75">
      <c r="A307" s="127"/>
      <c r="B307" s="127"/>
      <c r="C307" s="127"/>
      <c r="D307" s="127"/>
      <c r="E307" s="127"/>
      <c r="F307" s="127"/>
      <c r="G307" s="132"/>
      <c r="H307" s="127"/>
      <c r="I307" s="127"/>
      <c r="J307" s="132"/>
      <c r="K307" s="132"/>
      <c r="L307" s="132"/>
      <c r="M307" s="198"/>
      <c r="N307" s="127"/>
      <c r="O307" s="127"/>
      <c r="P307" s="133"/>
      <c r="Q307" s="133"/>
      <c r="R307" s="127"/>
      <c r="S307" s="127"/>
      <c r="T307" s="127"/>
      <c r="U307" s="127"/>
      <c r="V307" s="127"/>
      <c r="W307" s="127"/>
      <c r="X307" s="127"/>
      <c r="Y307" s="127"/>
      <c r="Z307" s="127"/>
      <c r="AA307" s="127"/>
      <c r="AB307" s="127"/>
      <c r="AC307" s="127"/>
      <c r="AD307" s="127"/>
      <c r="AE307" s="127"/>
      <c r="AF307" s="127"/>
      <c r="AG307" s="127"/>
      <c r="AH307" s="127"/>
      <c r="AI307" s="127"/>
      <c r="AJ307" s="127"/>
      <c r="AK307" s="127"/>
      <c r="AL307" s="127"/>
      <c r="AM307" s="127"/>
      <c r="AN307" s="127"/>
      <c r="AO307" s="127"/>
      <c r="AP307" s="127"/>
      <c r="AQ307" s="127"/>
      <c r="AR307" s="127"/>
      <c r="AS307" s="127"/>
      <c r="AT307" s="127"/>
      <c r="AU307" s="197"/>
      <c r="BI307" s="130"/>
      <c r="BO307" s="254"/>
      <c r="BP307" s="254"/>
      <c r="BQ307" s="254"/>
      <c r="CL307" s="153"/>
      <c r="CM307" s="153"/>
      <c r="CN307" s="141"/>
      <c r="CO307" s="141"/>
      <c r="CP307" s="153"/>
      <c r="CQ307" s="153"/>
      <c r="EG307" s="24"/>
      <c r="EH307" s="24"/>
    </row>
    <row r="308" spans="1:138" s="125" customFormat="1" ht="45.75">
      <c r="A308" s="127"/>
      <c r="B308" s="127"/>
      <c r="C308" s="127"/>
      <c r="D308" s="127"/>
      <c r="E308" s="127"/>
      <c r="F308" s="127"/>
      <c r="G308" s="132"/>
      <c r="H308" s="127"/>
      <c r="I308" s="127"/>
      <c r="J308" s="132"/>
      <c r="K308" s="132"/>
      <c r="L308" s="132"/>
      <c r="M308" s="198"/>
      <c r="N308" s="127"/>
      <c r="O308" s="127"/>
      <c r="P308" s="133"/>
      <c r="Q308" s="133"/>
      <c r="R308" s="127"/>
      <c r="S308" s="127"/>
      <c r="T308" s="127"/>
      <c r="U308" s="127"/>
      <c r="V308" s="127"/>
      <c r="W308" s="127"/>
      <c r="X308" s="127"/>
      <c r="Y308" s="127"/>
      <c r="Z308" s="127"/>
      <c r="AA308" s="127"/>
      <c r="AB308" s="127"/>
      <c r="AC308" s="127"/>
      <c r="AD308" s="127"/>
      <c r="AE308" s="127"/>
      <c r="AF308" s="127"/>
      <c r="AG308" s="127"/>
      <c r="AH308" s="127"/>
      <c r="AI308" s="127"/>
      <c r="AJ308" s="127"/>
      <c r="AK308" s="127"/>
      <c r="AL308" s="127"/>
      <c r="AM308" s="127"/>
      <c r="AN308" s="127"/>
      <c r="AO308" s="127"/>
      <c r="AP308" s="127"/>
      <c r="AQ308" s="127"/>
      <c r="AR308" s="127"/>
      <c r="AS308" s="127"/>
      <c r="AT308" s="127"/>
      <c r="AU308" s="197"/>
      <c r="BI308" s="130"/>
      <c r="BO308" s="254"/>
      <c r="BP308" s="254"/>
      <c r="BQ308" s="254"/>
      <c r="CL308" s="153"/>
      <c r="CM308" s="153"/>
      <c r="CN308" s="141"/>
      <c r="CO308" s="141"/>
      <c r="CP308" s="153"/>
      <c r="CQ308" s="153"/>
      <c r="EG308" s="24"/>
      <c r="EH308" s="24"/>
    </row>
    <row r="309" spans="1:138" s="125" customFormat="1" ht="45.75">
      <c r="A309" s="127"/>
      <c r="B309" s="127"/>
      <c r="C309" s="127"/>
      <c r="D309" s="127"/>
      <c r="E309" s="127"/>
      <c r="F309" s="127"/>
      <c r="G309" s="132"/>
      <c r="H309" s="127"/>
      <c r="I309" s="127"/>
      <c r="J309" s="132"/>
      <c r="K309" s="132"/>
      <c r="L309" s="132"/>
      <c r="M309" s="198"/>
      <c r="N309" s="127"/>
      <c r="O309" s="127"/>
      <c r="P309" s="133"/>
      <c r="Q309" s="133"/>
      <c r="R309" s="127"/>
      <c r="S309" s="127"/>
      <c r="T309" s="127"/>
      <c r="U309" s="127"/>
      <c r="V309" s="127"/>
      <c r="W309" s="127"/>
      <c r="X309" s="127"/>
      <c r="Y309" s="127"/>
      <c r="Z309" s="127"/>
      <c r="AA309" s="127"/>
      <c r="AB309" s="127"/>
      <c r="AC309" s="127"/>
      <c r="AD309" s="127"/>
      <c r="AE309" s="127"/>
      <c r="AF309" s="127"/>
      <c r="AG309" s="127"/>
      <c r="AH309" s="127"/>
      <c r="AI309" s="127"/>
      <c r="AJ309" s="127"/>
      <c r="AK309" s="127"/>
      <c r="AL309" s="127"/>
      <c r="AM309" s="127"/>
      <c r="AN309" s="127"/>
      <c r="AO309" s="127"/>
      <c r="AP309" s="127"/>
      <c r="AQ309" s="127"/>
      <c r="AR309" s="127"/>
      <c r="AS309" s="127"/>
      <c r="AT309" s="127"/>
      <c r="AU309" s="197"/>
      <c r="BI309" s="130"/>
      <c r="BO309" s="254"/>
      <c r="BP309" s="254"/>
      <c r="BQ309" s="254"/>
      <c r="CL309" s="153"/>
      <c r="CM309" s="153"/>
      <c r="CN309" s="141"/>
      <c r="CO309" s="141"/>
      <c r="CP309" s="153"/>
      <c r="CQ309" s="153"/>
      <c r="EG309" s="24"/>
      <c r="EH309" s="24"/>
    </row>
    <row r="310" spans="1:138" s="125" customFormat="1" ht="45.75">
      <c r="A310" s="127"/>
      <c r="B310" s="127"/>
      <c r="C310" s="127"/>
      <c r="D310" s="127"/>
      <c r="E310" s="127"/>
      <c r="F310" s="127"/>
      <c r="G310" s="132"/>
      <c r="H310" s="127"/>
      <c r="I310" s="127"/>
      <c r="J310" s="132"/>
      <c r="K310" s="132"/>
      <c r="L310" s="132"/>
      <c r="M310" s="198"/>
      <c r="N310" s="127"/>
      <c r="O310" s="127"/>
      <c r="P310" s="133"/>
      <c r="Q310" s="133"/>
      <c r="R310" s="127"/>
      <c r="S310" s="127"/>
      <c r="T310" s="127"/>
      <c r="U310" s="127"/>
      <c r="V310" s="127"/>
      <c r="W310" s="127"/>
      <c r="X310" s="127"/>
      <c r="Y310" s="127"/>
      <c r="Z310" s="127"/>
      <c r="AA310" s="127"/>
      <c r="AB310" s="127"/>
      <c r="AC310" s="127"/>
      <c r="AD310" s="127"/>
      <c r="AE310" s="127"/>
      <c r="AF310" s="127"/>
      <c r="AG310" s="127"/>
      <c r="AH310" s="127"/>
      <c r="AI310" s="127"/>
      <c r="AJ310" s="127"/>
      <c r="AK310" s="127"/>
      <c r="AL310" s="127"/>
      <c r="AM310" s="127"/>
      <c r="AN310" s="127"/>
      <c r="AO310" s="127"/>
      <c r="AP310" s="127"/>
      <c r="AQ310" s="127"/>
      <c r="AR310" s="127"/>
      <c r="AS310" s="127"/>
      <c r="AT310" s="127"/>
      <c r="AU310" s="197"/>
      <c r="BI310" s="130"/>
      <c r="BO310" s="254"/>
      <c r="BP310" s="254"/>
      <c r="BQ310" s="254"/>
      <c r="CL310" s="153"/>
      <c r="CM310" s="153"/>
      <c r="CN310" s="141"/>
      <c r="CO310" s="141"/>
      <c r="CP310" s="153"/>
      <c r="CQ310" s="153"/>
      <c r="EG310" s="24"/>
      <c r="EH310" s="24"/>
    </row>
    <row r="311" spans="1:138" s="125" customFormat="1" ht="45.75">
      <c r="A311" s="127"/>
      <c r="B311" s="127"/>
      <c r="C311" s="127"/>
      <c r="D311" s="127"/>
      <c r="E311" s="127"/>
      <c r="F311" s="127"/>
      <c r="G311" s="132"/>
      <c r="H311" s="127"/>
      <c r="I311" s="127"/>
      <c r="J311" s="132"/>
      <c r="K311" s="132"/>
      <c r="L311" s="132"/>
      <c r="M311" s="198"/>
      <c r="N311" s="127"/>
      <c r="O311" s="127"/>
      <c r="P311" s="133"/>
      <c r="Q311" s="133"/>
      <c r="R311" s="127"/>
      <c r="S311" s="127"/>
      <c r="T311" s="127"/>
      <c r="U311" s="127"/>
      <c r="V311" s="127"/>
      <c r="W311" s="127"/>
      <c r="X311" s="127"/>
      <c r="Y311" s="127"/>
      <c r="Z311" s="127"/>
      <c r="AA311" s="127"/>
      <c r="AB311" s="127"/>
      <c r="AC311" s="127"/>
      <c r="AD311" s="127"/>
      <c r="AE311" s="127"/>
      <c r="AF311" s="127"/>
      <c r="AG311" s="127"/>
      <c r="AH311" s="127"/>
      <c r="AI311" s="127"/>
      <c r="AJ311" s="127"/>
      <c r="AK311" s="127"/>
      <c r="AL311" s="127"/>
      <c r="AM311" s="127"/>
      <c r="AN311" s="127"/>
      <c r="AO311" s="127"/>
      <c r="AP311" s="127"/>
      <c r="AQ311" s="127"/>
      <c r="AR311" s="127"/>
      <c r="AS311" s="127"/>
      <c r="AT311" s="127"/>
      <c r="AU311" s="197"/>
      <c r="BI311" s="130"/>
      <c r="BO311" s="254"/>
      <c r="BP311" s="254"/>
      <c r="BQ311" s="254"/>
      <c r="CL311" s="153"/>
      <c r="CM311" s="153"/>
      <c r="CN311" s="141"/>
      <c r="CO311" s="141"/>
      <c r="CP311" s="153"/>
      <c r="CQ311" s="153"/>
      <c r="EG311" s="24"/>
      <c r="EH311" s="24"/>
    </row>
    <row r="312" spans="1:138" s="125" customFormat="1" ht="45.75">
      <c r="A312" s="127"/>
      <c r="B312" s="127"/>
      <c r="C312" s="127"/>
      <c r="D312" s="127"/>
      <c r="E312" s="127"/>
      <c r="F312" s="127"/>
      <c r="G312" s="132"/>
      <c r="H312" s="127"/>
      <c r="I312" s="127"/>
      <c r="J312" s="132"/>
      <c r="K312" s="132"/>
      <c r="L312" s="132"/>
      <c r="M312" s="198"/>
      <c r="N312" s="127"/>
      <c r="O312" s="127"/>
      <c r="P312" s="133"/>
      <c r="Q312" s="133"/>
      <c r="R312" s="127"/>
      <c r="S312" s="127"/>
      <c r="T312" s="127"/>
      <c r="U312" s="127"/>
      <c r="V312" s="127"/>
      <c r="W312" s="127"/>
      <c r="X312" s="127"/>
      <c r="Y312" s="127"/>
      <c r="Z312" s="127"/>
      <c r="AA312" s="127"/>
      <c r="AB312" s="127"/>
      <c r="AC312" s="127"/>
      <c r="AD312" s="127"/>
      <c r="AE312" s="127"/>
      <c r="AF312" s="127"/>
      <c r="AG312" s="127"/>
      <c r="AH312" s="127"/>
      <c r="AI312" s="127"/>
      <c r="AJ312" s="127"/>
      <c r="AK312" s="127"/>
      <c r="AL312" s="127"/>
      <c r="AM312" s="127"/>
      <c r="AN312" s="127"/>
      <c r="AO312" s="127"/>
      <c r="AP312" s="127"/>
      <c r="AQ312" s="127"/>
      <c r="AR312" s="127"/>
      <c r="AS312" s="127"/>
      <c r="AT312" s="127"/>
      <c r="AU312" s="197"/>
      <c r="BI312" s="130"/>
      <c r="BO312" s="254"/>
      <c r="BP312" s="254"/>
      <c r="BQ312" s="254"/>
      <c r="CL312" s="153"/>
      <c r="CM312" s="153"/>
      <c r="CN312" s="141"/>
      <c r="CO312" s="141"/>
      <c r="CP312" s="153"/>
      <c r="CQ312" s="153"/>
      <c r="EG312" s="24"/>
      <c r="EH312" s="24"/>
    </row>
    <row r="313" spans="1:138" s="125" customFormat="1" ht="45.75">
      <c r="A313" s="127"/>
      <c r="B313" s="127"/>
      <c r="C313" s="127"/>
      <c r="D313" s="127"/>
      <c r="E313" s="127"/>
      <c r="F313" s="127"/>
      <c r="G313" s="132"/>
      <c r="H313" s="127"/>
      <c r="I313" s="127"/>
      <c r="J313" s="132"/>
      <c r="K313" s="132"/>
      <c r="L313" s="132"/>
      <c r="M313" s="198"/>
      <c r="N313" s="127"/>
      <c r="O313" s="127"/>
      <c r="P313" s="133"/>
      <c r="Q313" s="133"/>
      <c r="R313" s="127"/>
      <c r="S313" s="127"/>
      <c r="T313" s="127"/>
      <c r="U313" s="127"/>
      <c r="V313" s="127"/>
      <c r="W313" s="127"/>
      <c r="X313" s="127"/>
      <c r="Y313" s="127"/>
      <c r="Z313" s="127"/>
      <c r="AA313" s="127"/>
      <c r="AB313" s="127"/>
      <c r="AC313" s="127"/>
      <c r="AD313" s="127"/>
      <c r="AE313" s="127"/>
      <c r="AF313" s="127"/>
      <c r="AG313" s="127"/>
      <c r="AH313" s="127"/>
      <c r="AI313" s="127"/>
      <c r="AJ313" s="127"/>
      <c r="AK313" s="127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97"/>
      <c r="BI313" s="130"/>
      <c r="BO313" s="254"/>
      <c r="BP313" s="254"/>
      <c r="BQ313" s="254"/>
      <c r="CL313" s="153"/>
      <c r="CM313" s="153"/>
      <c r="CN313" s="141"/>
      <c r="CO313" s="141"/>
      <c r="CP313" s="153"/>
      <c r="CQ313" s="153"/>
      <c r="EG313" s="24"/>
      <c r="EH313" s="24"/>
    </row>
    <row r="314" spans="1:138" s="125" customFormat="1" ht="45.75">
      <c r="A314" s="127"/>
      <c r="B314" s="127"/>
      <c r="C314" s="127"/>
      <c r="D314" s="127"/>
      <c r="E314" s="127"/>
      <c r="F314" s="127"/>
      <c r="G314" s="132"/>
      <c r="H314" s="127"/>
      <c r="I314" s="127"/>
      <c r="J314" s="132"/>
      <c r="K314" s="132"/>
      <c r="L314" s="132"/>
      <c r="M314" s="198"/>
      <c r="N314" s="127"/>
      <c r="O314" s="127"/>
      <c r="P314" s="133"/>
      <c r="Q314" s="133"/>
      <c r="R314" s="127"/>
      <c r="S314" s="127"/>
      <c r="T314" s="127"/>
      <c r="U314" s="127"/>
      <c r="V314" s="127"/>
      <c r="W314" s="127"/>
      <c r="X314" s="127"/>
      <c r="Y314" s="127"/>
      <c r="Z314" s="127"/>
      <c r="AA314" s="127"/>
      <c r="AB314" s="127"/>
      <c r="AC314" s="127"/>
      <c r="AD314" s="127"/>
      <c r="AE314" s="127"/>
      <c r="AF314" s="127"/>
      <c r="AG314" s="127"/>
      <c r="AH314" s="127"/>
      <c r="AI314" s="127"/>
      <c r="AJ314" s="127"/>
      <c r="AK314" s="127"/>
      <c r="AL314" s="127"/>
      <c r="AM314" s="127"/>
      <c r="AN314" s="127"/>
      <c r="AO314" s="127"/>
      <c r="AP314" s="127"/>
      <c r="AQ314" s="127"/>
      <c r="AR314" s="127"/>
      <c r="AS314" s="127"/>
      <c r="AT314" s="127"/>
      <c r="AU314" s="197"/>
      <c r="BI314" s="130"/>
      <c r="BO314" s="254"/>
      <c r="BP314" s="254"/>
      <c r="BQ314" s="254"/>
      <c r="CL314" s="153"/>
      <c r="CM314" s="153"/>
      <c r="CN314" s="141"/>
      <c r="CO314" s="141"/>
      <c r="CP314" s="153"/>
      <c r="CQ314" s="153"/>
      <c r="EG314" s="24"/>
      <c r="EH314" s="24"/>
    </row>
    <row r="315" spans="1:138" s="125" customFormat="1" ht="45.75">
      <c r="A315" s="127"/>
      <c r="B315" s="127"/>
      <c r="C315" s="127"/>
      <c r="D315" s="127"/>
      <c r="E315" s="127"/>
      <c r="F315" s="127"/>
      <c r="G315" s="132"/>
      <c r="H315" s="127"/>
      <c r="I315" s="127"/>
      <c r="J315" s="132"/>
      <c r="K315" s="132"/>
      <c r="L315" s="132"/>
      <c r="M315" s="198"/>
      <c r="N315" s="127"/>
      <c r="O315" s="127"/>
      <c r="P315" s="133"/>
      <c r="Q315" s="133"/>
      <c r="R315" s="127"/>
      <c r="S315" s="127"/>
      <c r="T315" s="127"/>
      <c r="U315" s="127"/>
      <c r="V315" s="127"/>
      <c r="W315" s="127"/>
      <c r="X315" s="127"/>
      <c r="Y315" s="127"/>
      <c r="Z315" s="127"/>
      <c r="AA315" s="127"/>
      <c r="AB315" s="127"/>
      <c r="AC315" s="127"/>
      <c r="AD315" s="127"/>
      <c r="AE315" s="127"/>
      <c r="AF315" s="127"/>
      <c r="AG315" s="127"/>
      <c r="AH315" s="127"/>
      <c r="AI315" s="127"/>
      <c r="AJ315" s="127"/>
      <c r="AK315" s="127"/>
      <c r="AL315" s="127"/>
      <c r="AM315" s="127"/>
      <c r="AN315" s="127"/>
      <c r="AO315" s="127"/>
      <c r="AP315" s="127"/>
      <c r="AQ315" s="127"/>
      <c r="AR315" s="127"/>
      <c r="AS315" s="127"/>
      <c r="AT315" s="127"/>
      <c r="AU315" s="197"/>
      <c r="BI315" s="130"/>
      <c r="BO315" s="254"/>
      <c r="BP315" s="254"/>
      <c r="BQ315" s="254"/>
      <c r="CL315" s="153"/>
      <c r="CM315" s="153"/>
      <c r="CN315" s="141"/>
      <c r="CO315" s="141"/>
      <c r="CP315" s="153"/>
      <c r="CQ315" s="153"/>
      <c r="EG315" s="24"/>
      <c r="EH315" s="24"/>
    </row>
    <row r="316" spans="1:138" s="125" customFormat="1" ht="45.75">
      <c r="A316" s="127"/>
      <c r="B316" s="127"/>
      <c r="C316" s="127"/>
      <c r="D316" s="127"/>
      <c r="E316" s="127"/>
      <c r="F316" s="127"/>
      <c r="G316" s="132"/>
      <c r="H316" s="127"/>
      <c r="I316" s="127"/>
      <c r="J316" s="132"/>
      <c r="K316" s="132"/>
      <c r="L316" s="132"/>
      <c r="M316" s="198"/>
      <c r="N316" s="127"/>
      <c r="O316" s="127"/>
      <c r="P316" s="133"/>
      <c r="Q316" s="133"/>
      <c r="R316" s="127"/>
      <c r="S316" s="127"/>
      <c r="T316" s="127"/>
      <c r="U316" s="127"/>
      <c r="V316" s="127"/>
      <c r="W316" s="127"/>
      <c r="X316" s="127"/>
      <c r="Y316" s="127"/>
      <c r="Z316" s="127"/>
      <c r="AA316" s="127"/>
      <c r="AB316" s="127"/>
      <c r="AC316" s="127"/>
      <c r="AD316" s="127"/>
      <c r="AE316" s="127"/>
      <c r="AF316" s="127"/>
      <c r="AG316" s="127"/>
      <c r="AH316" s="127"/>
      <c r="AI316" s="127"/>
      <c r="AJ316" s="127"/>
      <c r="AK316" s="127"/>
      <c r="AL316" s="127"/>
      <c r="AM316" s="127"/>
      <c r="AN316" s="127"/>
      <c r="AO316" s="127"/>
      <c r="AP316" s="127"/>
      <c r="AQ316" s="127"/>
      <c r="AR316" s="127"/>
      <c r="AS316" s="127"/>
      <c r="AT316" s="127"/>
      <c r="AU316" s="197"/>
      <c r="BI316" s="130"/>
      <c r="BO316" s="254"/>
      <c r="BP316" s="254"/>
      <c r="BQ316" s="254"/>
      <c r="CL316" s="153"/>
      <c r="CM316" s="153"/>
      <c r="CN316" s="141"/>
      <c r="CO316" s="141"/>
      <c r="CP316" s="153"/>
      <c r="CQ316" s="153"/>
      <c r="EG316" s="24"/>
      <c r="EH316" s="24"/>
    </row>
    <row r="317" spans="1:138" s="125" customFormat="1" ht="45.75">
      <c r="A317" s="127"/>
      <c r="B317" s="127"/>
      <c r="C317" s="127"/>
      <c r="D317" s="127"/>
      <c r="E317" s="127"/>
      <c r="F317" s="127"/>
      <c r="G317" s="132"/>
      <c r="H317" s="127"/>
      <c r="I317" s="127"/>
      <c r="J317" s="132"/>
      <c r="K317" s="132"/>
      <c r="L317" s="132"/>
      <c r="M317" s="198"/>
      <c r="N317" s="127"/>
      <c r="O317" s="127"/>
      <c r="P317" s="133"/>
      <c r="Q317" s="133"/>
      <c r="R317" s="127"/>
      <c r="S317" s="127"/>
      <c r="T317" s="127"/>
      <c r="U317" s="127"/>
      <c r="V317" s="127"/>
      <c r="W317" s="127"/>
      <c r="X317" s="127"/>
      <c r="Y317" s="127"/>
      <c r="Z317" s="127"/>
      <c r="AA317" s="127"/>
      <c r="AB317" s="127"/>
      <c r="AC317" s="127"/>
      <c r="AD317" s="127"/>
      <c r="AE317" s="127"/>
      <c r="AF317" s="127"/>
      <c r="AG317" s="127"/>
      <c r="AH317" s="127"/>
      <c r="AI317" s="127"/>
      <c r="AJ317" s="127"/>
      <c r="AK317" s="127"/>
      <c r="AL317" s="127"/>
      <c r="AM317" s="127"/>
      <c r="AN317" s="127"/>
      <c r="AO317" s="127"/>
      <c r="AP317" s="127"/>
      <c r="AQ317" s="127"/>
      <c r="AR317" s="127"/>
      <c r="AS317" s="127"/>
      <c r="AT317" s="127"/>
      <c r="AU317" s="197"/>
      <c r="BI317" s="130"/>
      <c r="BO317" s="254"/>
      <c r="BP317" s="254"/>
      <c r="BQ317" s="254"/>
      <c r="CL317" s="153"/>
      <c r="CM317" s="153"/>
      <c r="CN317" s="141"/>
      <c r="CO317" s="141"/>
      <c r="CP317" s="153"/>
      <c r="CQ317" s="153"/>
      <c r="EG317" s="24"/>
      <c r="EH317" s="24"/>
    </row>
    <row r="318" spans="1:138" s="125" customFormat="1" ht="45.75">
      <c r="A318" s="127"/>
      <c r="B318" s="127"/>
      <c r="C318" s="127"/>
      <c r="D318" s="127"/>
      <c r="E318" s="127"/>
      <c r="F318" s="127"/>
      <c r="G318" s="132"/>
      <c r="H318" s="127"/>
      <c r="I318" s="127"/>
      <c r="J318" s="132"/>
      <c r="K318" s="132"/>
      <c r="L318" s="132"/>
      <c r="M318" s="198"/>
      <c r="N318" s="127"/>
      <c r="O318" s="127"/>
      <c r="P318" s="133"/>
      <c r="Q318" s="133"/>
      <c r="R318" s="127"/>
      <c r="S318" s="127"/>
      <c r="T318" s="127"/>
      <c r="U318" s="127"/>
      <c r="V318" s="127"/>
      <c r="W318" s="127"/>
      <c r="X318" s="127"/>
      <c r="Y318" s="127"/>
      <c r="Z318" s="127"/>
      <c r="AA318" s="127"/>
      <c r="AB318" s="127"/>
      <c r="AC318" s="127"/>
      <c r="AD318" s="127"/>
      <c r="AE318" s="127"/>
      <c r="AF318" s="127"/>
      <c r="AG318" s="127"/>
      <c r="AH318" s="127"/>
      <c r="AI318" s="127"/>
      <c r="AJ318" s="127"/>
      <c r="AK318" s="127"/>
      <c r="AL318" s="127"/>
      <c r="AM318" s="127"/>
      <c r="AN318" s="127"/>
      <c r="AO318" s="127"/>
      <c r="AP318" s="127"/>
      <c r="AQ318" s="127"/>
      <c r="AR318" s="127"/>
      <c r="AS318" s="127"/>
      <c r="AT318" s="127"/>
      <c r="AU318" s="197"/>
      <c r="BI318" s="130"/>
      <c r="BO318" s="254"/>
      <c r="BP318" s="254"/>
      <c r="BQ318" s="254"/>
      <c r="CL318" s="153"/>
      <c r="CM318" s="153"/>
      <c r="CN318" s="141"/>
      <c r="CO318" s="141"/>
      <c r="CP318" s="153"/>
      <c r="CQ318" s="153"/>
      <c r="EG318" s="24"/>
      <c r="EH318" s="24"/>
    </row>
    <row r="319" spans="1:138" s="125" customFormat="1" ht="45.75">
      <c r="A319" s="127"/>
      <c r="B319" s="127"/>
      <c r="C319" s="127"/>
      <c r="D319" s="127"/>
      <c r="E319" s="127"/>
      <c r="F319" s="127"/>
      <c r="G319" s="132"/>
      <c r="H319" s="127"/>
      <c r="I319" s="127"/>
      <c r="J319" s="132"/>
      <c r="K319" s="132"/>
      <c r="L319" s="132"/>
      <c r="M319" s="198"/>
      <c r="N319" s="127"/>
      <c r="O319" s="127"/>
      <c r="P319" s="133"/>
      <c r="Q319" s="133"/>
      <c r="R319" s="127"/>
      <c r="S319" s="127"/>
      <c r="T319" s="127"/>
      <c r="U319" s="127"/>
      <c r="V319" s="127"/>
      <c r="W319" s="127"/>
      <c r="X319" s="127"/>
      <c r="Y319" s="127"/>
      <c r="Z319" s="127"/>
      <c r="AA319" s="127"/>
      <c r="AB319" s="127"/>
      <c r="AC319" s="127"/>
      <c r="AD319" s="127"/>
      <c r="AE319" s="127"/>
      <c r="AF319" s="127"/>
      <c r="AG319" s="127"/>
      <c r="AH319" s="127"/>
      <c r="AI319" s="127"/>
      <c r="AJ319" s="127"/>
      <c r="AK319" s="127"/>
      <c r="AL319" s="127"/>
      <c r="AM319" s="127"/>
      <c r="AN319" s="127"/>
      <c r="AO319" s="127"/>
      <c r="AP319" s="127"/>
      <c r="AQ319" s="127"/>
      <c r="AR319" s="127"/>
      <c r="AS319" s="127"/>
      <c r="AT319" s="127"/>
      <c r="AU319" s="197"/>
      <c r="BI319" s="130"/>
      <c r="BO319" s="254"/>
      <c r="BP319" s="254"/>
      <c r="BQ319" s="254"/>
      <c r="CL319" s="153"/>
      <c r="CM319" s="153"/>
      <c r="CN319" s="141"/>
      <c r="CO319" s="141"/>
      <c r="CP319" s="153"/>
      <c r="CQ319" s="153"/>
      <c r="EG319" s="24"/>
      <c r="EH319" s="24"/>
    </row>
    <row r="320" spans="1:138" s="125" customFormat="1" ht="45.75">
      <c r="A320" s="127"/>
      <c r="B320" s="127"/>
      <c r="C320" s="127"/>
      <c r="D320" s="127"/>
      <c r="E320" s="127"/>
      <c r="F320" s="127"/>
      <c r="G320" s="132"/>
      <c r="H320" s="127"/>
      <c r="I320" s="127"/>
      <c r="J320" s="132"/>
      <c r="K320" s="132"/>
      <c r="L320" s="132"/>
      <c r="M320" s="198"/>
      <c r="N320" s="127"/>
      <c r="O320" s="127"/>
      <c r="P320" s="133"/>
      <c r="Q320" s="133"/>
      <c r="R320" s="127"/>
      <c r="S320" s="127"/>
      <c r="T320" s="127"/>
      <c r="U320" s="127"/>
      <c r="V320" s="127"/>
      <c r="W320" s="127"/>
      <c r="X320" s="127"/>
      <c r="Y320" s="127"/>
      <c r="Z320" s="127"/>
      <c r="AA320" s="127"/>
      <c r="AB320" s="127"/>
      <c r="AC320" s="127"/>
      <c r="AD320" s="127"/>
      <c r="AE320" s="127"/>
      <c r="AF320" s="127"/>
      <c r="AG320" s="127"/>
      <c r="AH320" s="127"/>
      <c r="AI320" s="127"/>
      <c r="AJ320" s="127"/>
      <c r="AK320" s="127"/>
      <c r="AL320" s="127"/>
      <c r="AM320" s="127"/>
      <c r="AN320" s="127"/>
      <c r="AO320" s="127"/>
      <c r="AP320" s="127"/>
      <c r="AQ320" s="127"/>
      <c r="AR320" s="127"/>
      <c r="AS320" s="127"/>
      <c r="AT320" s="127"/>
      <c r="AU320" s="197"/>
      <c r="BI320" s="130"/>
      <c r="BO320" s="254"/>
      <c r="BP320" s="254"/>
      <c r="BQ320" s="254"/>
      <c r="CL320" s="153"/>
      <c r="CM320" s="153"/>
      <c r="CN320" s="141"/>
      <c r="CO320" s="141"/>
      <c r="CP320" s="153"/>
      <c r="CQ320" s="153"/>
      <c r="EG320" s="24"/>
      <c r="EH320" s="24"/>
    </row>
    <row r="321" spans="1:138" s="125" customFormat="1" ht="45.75">
      <c r="A321" s="127"/>
      <c r="B321" s="127"/>
      <c r="C321" s="127"/>
      <c r="D321" s="127"/>
      <c r="E321" s="127"/>
      <c r="F321" s="127"/>
      <c r="G321" s="132"/>
      <c r="H321" s="127"/>
      <c r="I321" s="127"/>
      <c r="J321" s="132"/>
      <c r="K321" s="132"/>
      <c r="L321" s="132"/>
      <c r="M321" s="198"/>
      <c r="N321" s="127"/>
      <c r="O321" s="127"/>
      <c r="P321" s="133"/>
      <c r="Q321" s="133"/>
      <c r="R321" s="127"/>
      <c r="S321" s="127"/>
      <c r="T321" s="127"/>
      <c r="U321" s="127"/>
      <c r="V321" s="127"/>
      <c r="W321" s="127"/>
      <c r="X321" s="127"/>
      <c r="Y321" s="127"/>
      <c r="Z321" s="127"/>
      <c r="AA321" s="127"/>
      <c r="AB321" s="127"/>
      <c r="AC321" s="127"/>
      <c r="AD321" s="127"/>
      <c r="AE321" s="127"/>
      <c r="AF321" s="127"/>
      <c r="AG321" s="127"/>
      <c r="AH321" s="127"/>
      <c r="AI321" s="127"/>
      <c r="AJ321" s="127"/>
      <c r="AK321" s="127"/>
      <c r="AL321" s="127"/>
      <c r="AM321" s="127"/>
      <c r="AN321" s="127"/>
      <c r="AO321" s="127"/>
      <c r="AP321" s="127"/>
      <c r="AQ321" s="127"/>
      <c r="AR321" s="127"/>
      <c r="AS321" s="127"/>
      <c r="AT321" s="127"/>
      <c r="AU321" s="197"/>
      <c r="BI321" s="130"/>
      <c r="BO321" s="254"/>
      <c r="BP321" s="254"/>
      <c r="BQ321" s="254"/>
      <c r="CL321" s="153"/>
      <c r="CM321" s="153"/>
      <c r="CN321" s="141"/>
      <c r="CO321" s="141"/>
      <c r="CP321" s="153"/>
      <c r="CQ321" s="153"/>
      <c r="EG321" s="24"/>
      <c r="EH321" s="24"/>
    </row>
    <row r="322" spans="1:138" s="125" customFormat="1" ht="45.75">
      <c r="A322" s="127"/>
      <c r="B322" s="127"/>
      <c r="C322" s="127"/>
      <c r="D322" s="127"/>
      <c r="E322" s="127"/>
      <c r="F322" s="127"/>
      <c r="G322" s="132"/>
      <c r="H322" s="127"/>
      <c r="I322" s="127"/>
      <c r="J322" s="132"/>
      <c r="K322" s="132"/>
      <c r="L322" s="132"/>
      <c r="M322" s="198"/>
      <c r="N322" s="127"/>
      <c r="O322" s="127"/>
      <c r="P322" s="133"/>
      <c r="Q322" s="133"/>
      <c r="R322" s="127"/>
      <c r="S322" s="127"/>
      <c r="T322" s="127"/>
      <c r="U322" s="127"/>
      <c r="V322" s="127"/>
      <c r="W322" s="127"/>
      <c r="X322" s="127"/>
      <c r="Y322" s="127"/>
      <c r="Z322" s="127"/>
      <c r="AA322" s="127"/>
      <c r="AB322" s="127"/>
      <c r="AC322" s="127"/>
      <c r="AD322" s="127"/>
      <c r="AE322" s="127"/>
      <c r="AF322" s="127"/>
      <c r="AG322" s="127"/>
      <c r="AH322" s="127"/>
      <c r="AI322" s="127"/>
      <c r="AJ322" s="127"/>
      <c r="AK322" s="127"/>
      <c r="AL322" s="127"/>
      <c r="AM322" s="127"/>
      <c r="AN322" s="127"/>
      <c r="AO322" s="127"/>
      <c r="AP322" s="127"/>
      <c r="AQ322" s="127"/>
      <c r="AR322" s="127"/>
      <c r="AS322" s="127"/>
      <c r="AT322" s="127"/>
      <c r="AU322" s="197"/>
      <c r="BI322" s="130"/>
      <c r="BO322" s="254"/>
      <c r="BP322" s="254"/>
      <c r="BQ322" s="254"/>
      <c r="CL322" s="153"/>
      <c r="CM322" s="153"/>
      <c r="CN322" s="141"/>
      <c r="CO322" s="141"/>
      <c r="CP322" s="153"/>
      <c r="CQ322" s="153"/>
      <c r="EG322" s="24"/>
      <c r="EH322" s="24"/>
    </row>
    <row r="323" spans="1:138" s="125" customFormat="1" ht="45.75">
      <c r="A323" s="127"/>
      <c r="B323" s="127"/>
      <c r="C323" s="127"/>
      <c r="D323" s="127"/>
      <c r="E323" s="127"/>
      <c r="F323" s="127"/>
      <c r="G323" s="132"/>
      <c r="H323" s="127"/>
      <c r="I323" s="127"/>
      <c r="J323" s="132"/>
      <c r="K323" s="132"/>
      <c r="L323" s="132"/>
      <c r="M323" s="198"/>
      <c r="N323" s="127"/>
      <c r="O323" s="127"/>
      <c r="P323" s="133"/>
      <c r="Q323" s="133"/>
      <c r="R323" s="127"/>
      <c r="S323" s="127"/>
      <c r="T323" s="127"/>
      <c r="U323" s="127"/>
      <c r="V323" s="127"/>
      <c r="W323" s="127"/>
      <c r="X323" s="127"/>
      <c r="Y323" s="127"/>
      <c r="Z323" s="127"/>
      <c r="AA323" s="127"/>
      <c r="AB323" s="127"/>
      <c r="AC323" s="127"/>
      <c r="AD323" s="127"/>
      <c r="AE323" s="127"/>
      <c r="AF323" s="127"/>
      <c r="AG323" s="127"/>
      <c r="AH323" s="127"/>
      <c r="AI323" s="127"/>
      <c r="AJ323" s="127"/>
      <c r="AK323" s="127"/>
      <c r="AL323" s="127"/>
      <c r="AM323" s="127"/>
      <c r="AN323" s="127"/>
      <c r="AO323" s="127"/>
      <c r="AP323" s="127"/>
      <c r="AQ323" s="127"/>
      <c r="AR323" s="127"/>
      <c r="AS323" s="127"/>
      <c r="AT323" s="127"/>
      <c r="AU323" s="197"/>
      <c r="BI323" s="130"/>
      <c r="BO323" s="254"/>
      <c r="BP323" s="254"/>
      <c r="BQ323" s="254"/>
      <c r="CL323" s="153"/>
      <c r="CM323" s="153"/>
      <c r="CN323" s="141"/>
      <c r="CO323" s="141"/>
      <c r="CP323" s="153"/>
      <c r="CQ323" s="153"/>
      <c r="EG323" s="24"/>
      <c r="EH323" s="24"/>
    </row>
    <row r="324" spans="1:138" s="125" customFormat="1" ht="45.75">
      <c r="A324" s="127"/>
      <c r="B324" s="127"/>
      <c r="C324" s="127"/>
      <c r="D324" s="127"/>
      <c r="E324" s="127"/>
      <c r="F324" s="127"/>
      <c r="G324" s="132"/>
      <c r="H324" s="127"/>
      <c r="I324" s="127"/>
      <c r="J324" s="132"/>
      <c r="K324" s="132"/>
      <c r="L324" s="132"/>
      <c r="M324" s="198"/>
      <c r="N324" s="127"/>
      <c r="O324" s="127"/>
      <c r="P324" s="133"/>
      <c r="Q324" s="133"/>
      <c r="R324" s="127"/>
      <c r="S324" s="127"/>
      <c r="T324" s="127"/>
      <c r="U324" s="127"/>
      <c r="V324" s="127"/>
      <c r="W324" s="127"/>
      <c r="X324" s="127"/>
      <c r="Y324" s="127"/>
      <c r="Z324" s="127"/>
      <c r="AA324" s="127"/>
      <c r="AB324" s="127"/>
      <c r="AC324" s="127"/>
      <c r="AD324" s="127"/>
      <c r="AE324" s="127"/>
      <c r="AF324" s="127"/>
      <c r="AG324" s="127"/>
      <c r="AH324" s="127"/>
      <c r="AI324" s="127"/>
      <c r="AJ324" s="127"/>
      <c r="AK324" s="127"/>
      <c r="AL324" s="127"/>
      <c r="AM324" s="127"/>
      <c r="AN324" s="127"/>
      <c r="AO324" s="127"/>
      <c r="AP324" s="127"/>
      <c r="AQ324" s="127"/>
      <c r="AR324" s="127"/>
      <c r="AS324" s="127"/>
      <c r="AT324" s="127"/>
      <c r="AU324" s="197"/>
      <c r="BI324" s="130"/>
      <c r="BO324" s="254"/>
      <c r="BP324" s="254"/>
      <c r="BQ324" s="254"/>
      <c r="CL324" s="153"/>
      <c r="CM324" s="153"/>
      <c r="CN324" s="141"/>
      <c r="CO324" s="141"/>
      <c r="CP324" s="153"/>
      <c r="CQ324" s="153"/>
      <c r="EG324" s="24"/>
      <c r="EH324" s="24"/>
    </row>
    <row r="325" spans="1:138" s="125" customFormat="1" ht="45.75">
      <c r="A325" s="127"/>
      <c r="B325" s="127"/>
      <c r="C325" s="127"/>
      <c r="D325" s="127"/>
      <c r="E325" s="127"/>
      <c r="F325" s="127"/>
      <c r="G325" s="132"/>
      <c r="H325" s="127"/>
      <c r="I325" s="127"/>
      <c r="J325" s="132"/>
      <c r="K325" s="132"/>
      <c r="L325" s="132"/>
      <c r="M325" s="198"/>
      <c r="N325" s="127"/>
      <c r="O325" s="127"/>
      <c r="P325" s="133"/>
      <c r="Q325" s="133"/>
      <c r="R325" s="127"/>
      <c r="S325" s="127"/>
      <c r="T325" s="127"/>
      <c r="U325" s="127"/>
      <c r="V325" s="127"/>
      <c r="W325" s="127"/>
      <c r="X325" s="127"/>
      <c r="Y325" s="127"/>
      <c r="Z325" s="127"/>
      <c r="AA325" s="127"/>
      <c r="AB325" s="127"/>
      <c r="AC325" s="127"/>
      <c r="AD325" s="127"/>
      <c r="AE325" s="127"/>
      <c r="AF325" s="127"/>
      <c r="AG325" s="127"/>
      <c r="AH325" s="127"/>
      <c r="AI325" s="127"/>
      <c r="AJ325" s="127"/>
      <c r="AK325" s="127"/>
      <c r="AL325" s="127"/>
      <c r="AM325" s="127"/>
      <c r="AN325" s="127"/>
      <c r="AO325" s="127"/>
      <c r="AP325" s="127"/>
      <c r="AQ325" s="127"/>
      <c r="AR325" s="127"/>
      <c r="AS325" s="127"/>
      <c r="AT325" s="127"/>
      <c r="AU325" s="197"/>
      <c r="BI325" s="130"/>
      <c r="BO325" s="254"/>
      <c r="BP325" s="254"/>
      <c r="BQ325" s="254"/>
      <c r="CL325" s="153"/>
      <c r="CM325" s="153"/>
      <c r="CN325" s="141"/>
      <c r="CO325" s="141"/>
      <c r="CP325" s="153"/>
      <c r="CQ325" s="153"/>
      <c r="EG325" s="24"/>
      <c r="EH325" s="24"/>
    </row>
    <row r="326" spans="1:138" s="125" customFormat="1" ht="45.75">
      <c r="A326" s="127"/>
      <c r="B326" s="127"/>
      <c r="C326" s="127"/>
      <c r="D326" s="127"/>
      <c r="E326" s="127"/>
      <c r="F326" s="127"/>
      <c r="G326" s="132"/>
      <c r="H326" s="127"/>
      <c r="I326" s="127"/>
      <c r="J326" s="132"/>
      <c r="K326" s="132"/>
      <c r="L326" s="132"/>
      <c r="M326" s="198"/>
      <c r="N326" s="127"/>
      <c r="O326" s="127"/>
      <c r="P326" s="133"/>
      <c r="Q326" s="133"/>
      <c r="R326" s="127"/>
      <c r="S326" s="127"/>
      <c r="T326" s="127"/>
      <c r="U326" s="127"/>
      <c r="V326" s="127"/>
      <c r="W326" s="127"/>
      <c r="X326" s="127"/>
      <c r="Y326" s="127"/>
      <c r="Z326" s="127"/>
      <c r="AA326" s="127"/>
      <c r="AB326" s="127"/>
      <c r="AC326" s="127"/>
      <c r="AD326" s="127"/>
      <c r="AE326" s="127"/>
      <c r="AF326" s="127"/>
      <c r="AG326" s="127"/>
      <c r="AH326" s="127"/>
      <c r="AI326" s="127"/>
      <c r="AJ326" s="127"/>
      <c r="AK326" s="127"/>
      <c r="AL326" s="127"/>
      <c r="AM326" s="127"/>
      <c r="AN326" s="127"/>
      <c r="AO326" s="127"/>
      <c r="AP326" s="127"/>
      <c r="AQ326" s="127"/>
      <c r="AR326" s="127"/>
      <c r="AS326" s="127"/>
      <c r="AT326" s="127"/>
      <c r="AU326" s="197"/>
      <c r="BI326" s="130"/>
      <c r="BO326" s="254"/>
      <c r="BP326" s="254"/>
      <c r="BQ326" s="254"/>
      <c r="CL326" s="153"/>
      <c r="CM326" s="153"/>
      <c r="CN326" s="141"/>
      <c r="CO326" s="141"/>
      <c r="CP326" s="153"/>
      <c r="CQ326" s="153"/>
      <c r="EG326" s="24"/>
      <c r="EH326" s="24"/>
    </row>
    <row r="327" spans="1:138" s="125" customFormat="1" ht="45.75">
      <c r="A327" s="127"/>
      <c r="B327" s="127"/>
      <c r="C327" s="127"/>
      <c r="D327" s="127"/>
      <c r="E327" s="127"/>
      <c r="F327" s="127"/>
      <c r="G327" s="132"/>
      <c r="H327" s="127"/>
      <c r="I327" s="127"/>
      <c r="J327" s="132"/>
      <c r="K327" s="132"/>
      <c r="L327" s="132"/>
      <c r="M327" s="198"/>
      <c r="N327" s="127"/>
      <c r="O327" s="127"/>
      <c r="P327" s="133"/>
      <c r="Q327" s="133"/>
      <c r="R327" s="127"/>
      <c r="S327" s="127"/>
      <c r="T327" s="127"/>
      <c r="U327" s="127"/>
      <c r="V327" s="127"/>
      <c r="W327" s="127"/>
      <c r="X327" s="127"/>
      <c r="Y327" s="127"/>
      <c r="Z327" s="127"/>
      <c r="AA327" s="127"/>
      <c r="AB327" s="127"/>
      <c r="AC327" s="127"/>
      <c r="AD327" s="127"/>
      <c r="AE327" s="127"/>
      <c r="AF327" s="127"/>
      <c r="AG327" s="127"/>
      <c r="AH327" s="127"/>
      <c r="AI327" s="127"/>
      <c r="AJ327" s="127"/>
      <c r="AK327" s="127"/>
      <c r="AL327" s="127"/>
      <c r="AM327" s="127"/>
      <c r="AN327" s="127"/>
      <c r="AO327" s="127"/>
      <c r="AP327" s="127"/>
      <c r="AQ327" s="127"/>
      <c r="AR327" s="127"/>
      <c r="AS327" s="127"/>
      <c r="AT327" s="127"/>
      <c r="AU327" s="197"/>
      <c r="BI327" s="130"/>
      <c r="BO327" s="254"/>
      <c r="BP327" s="254"/>
      <c r="BQ327" s="254"/>
      <c r="CL327" s="153"/>
      <c r="CM327" s="153"/>
      <c r="CN327" s="141"/>
      <c r="CO327" s="141"/>
      <c r="CP327" s="153"/>
      <c r="CQ327" s="153"/>
      <c r="EG327" s="24"/>
      <c r="EH327" s="24"/>
    </row>
    <row r="328" spans="1:138" s="125" customFormat="1" ht="45.75">
      <c r="A328" s="127"/>
      <c r="B328" s="127"/>
      <c r="C328" s="127"/>
      <c r="D328" s="127"/>
      <c r="E328" s="127"/>
      <c r="F328" s="127"/>
      <c r="G328" s="132"/>
      <c r="H328" s="127"/>
      <c r="I328" s="127"/>
      <c r="J328" s="132"/>
      <c r="K328" s="132"/>
      <c r="L328" s="132"/>
      <c r="M328" s="198"/>
      <c r="N328" s="127"/>
      <c r="O328" s="127"/>
      <c r="P328" s="133"/>
      <c r="Q328" s="133"/>
      <c r="R328" s="127"/>
      <c r="S328" s="127"/>
      <c r="T328" s="127"/>
      <c r="U328" s="127"/>
      <c r="V328" s="127"/>
      <c r="W328" s="127"/>
      <c r="X328" s="127"/>
      <c r="Y328" s="127"/>
      <c r="Z328" s="127"/>
      <c r="AA328" s="127"/>
      <c r="AB328" s="127"/>
      <c r="AC328" s="127"/>
      <c r="AD328" s="127"/>
      <c r="AE328" s="127"/>
      <c r="AF328" s="127"/>
      <c r="AG328" s="127"/>
      <c r="AH328" s="127"/>
      <c r="AI328" s="127"/>
      <c r="AJ328" s="127"/>
      <c r="AK328" s="127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97"/>
      <c r="BI328" s="130"/>
      <c r="BO328" s="254"/>
      <c r="BP328" s="254"/>
      <c r="BQ328" s="254"/>
      <c r="CL328" s="153"/>
      <c r="CM328" s="153"/>
      <c r="CN328" s="141"/>
      <c r="CO328" s="141"/>
      <c r="CP328" s="153"/>
      <c r="CQ328" s="153"/>
      <c r="EG328" s="24"/>
      <c r="EH328" s="24"/>
    </row>
    <row r="329" spans="1:138" s="125" customFormat="1" ht="28.5">
      <c r="A329" s="127"/>
      <c r="B329" s="127"/>
      <c r="C329" s="127"/>
      <c r="D329" s="127"/>
      <c r="E329" s="127"/>
      <c r="F329" s="127"/>
      <c r="G329" s="132"/>
      <c r="H329" s="127"/>
      <c r="I329" s="127"/>
      <c r="J329" s="132"/>
      <c r="K329" s="132"/>
      <c r="L329" s="132"/>
      <c r="M329" s="198"/>
      <c r="N329" s="127"/>
      <c r="O329" s="127"/>
      <c r="P329" s="133"/>
      <c r="Q329" s="133"/>
      <c r="R329" s="127"/>
      <c r="S329" s="127"/>
      <c r="T329" s="127"/>
      <c r="U329" s="127"/>
      <c r="V329" s="127"/>
      <c r="W329" s="127"/>
      <c r="X329" s="127"/>
      <c r="Y329" s="127"/>
      <c r="Z329" s="127"/>
      <c r="AA329" s="127"/>
      <c r="AB329" s="127"/>
      <c r="AC329" s="127"/>
      <c r="AD329" s="127"/>
      <c r="AE329" s="127"/>
      <c r="AF329" s="127"/>
      <c r="AG329" s="127"/>
      <c r="AH329" s="127"/>
      <c r="AI329" s="127"/>
      <c r="AJ329" s="127"/>
      <c r="AK329" s="127"/>
      <c r="AL329" s="127"/>
      <c r="AM329" s="127"/>
      <c r="AN329" s="127"/>
      <c r="AO329" s="127"/>
      <c r="AP329" s="127"/>
      <c r="AQ329" s="127"/>
      <c r="AR329" s="127"/>
      <c r="AS329" s="127"/>
      <c r="AT329" s="127"/>
      <c r="AU329" s="197"/>
      <c r="BI329" s="130"/>
      <c r="BO329" s="254"/>
      <c r="BP329" s="254"/>
      <c r="BQ329" s="254"/>
      <c r="CL329" s="153"/>
      <c r="CM329" s="153"/>
      <c r="CN329" s="141"/>
      <c r="CO329" s="141"/>
      <c r="CP329" s="153"/>
      <c r="CQ329" s="153"/>
    </row>
    <row r="330" spans="1:138" s="125" customFormat="1" ht="28.5">
      <c r="A330" s="127"/>
      <c r="B330" s="127"/>
      <c r="C330" s="127"/>
      <c r="D330" s="127"/>
      <c r="E330" s="127"/>
      <c r="F330" s="127"/>
      <c r="G330" s="132"/>
      <c r="H330" s="127"/>
      <c r="I330" s="127"/>
      <c r="J330" s="132"/>
      <c r="K330" s="132"/>
      <c r="L330" s="132"/>
      <c r="M330" s="198"/>
      <c r="N330" s="127"/>
      <c r="O330" s="127"/>
      <c r="P330" s="133"/>
      <c r="Q330" s="133"/>
      <c r="R330" s="127"/>
      <c r="S330" s="127"/>
      <c r="T330" s="127"/>
      <c r="U330" s="127"/>
      <c r="V330" s="127"/>
      <c r="W330" s="127"/>
      <c r="X330" s="127"/>
      <c r="Y330" s="127"/>
      <c r="Z330" s="127"/>
      <c r="AA330" s="127"/>
      <c r="AB330" s="127"/>
      <c r="AC330" s="127"/>
      <c r="AD330" s="127"/>
      <c r="AE330" s="127"/>
      <c r="AF330" s="127"/>
      <c r="AG330" s="127"/>
      <c r="AH330" s="127"/>
      <c r="AI330" s="127"/>
      <c r="AJ330" s="127"/>
      <c r="AK330" s="127"/>
      <c r="AL330" s="127"/>
      <c r="AM330" s="127"/>
      <c r="AN330" s="127"/>
      <c r="AO330" s="127"/>
      <c r="AP330" s="127"/>
      <c r="AQ330" s="127"/>
      <c r="AR330" s="127"/>
      <c r="AS330" s="127"/>
      <c r="AT330" s="127"/>
      <c r="AU330" s="197"/>
      <c r="BI330" s="130"/>
      <c r="BO330" s="254"/>
      <c r="BP330" s="254"/>
      <c r="BQ330" s="254"/>
      <c r="CL330" s="153"/>
      <c r="CM330" s="153"/>
      <c r="CN330" s="141"/>
      <c r="CO330" s="141"/>
      <c r="CP330" s="153"/>
      <c r="CQ330" s="153"/>
    </row>
    <row r="331" spans="1:138" s="125" customFormat="1" ht="28.5">
      <c r="A331" s="127"/>
      <c r="B331" s="127"/>
      <c r="C331" s="127"/>
      <c r="D331" s="127"/>
      <c r="E331" s="127"/>
      <c r="F331" s="127"/>
      <c r="G331" s="132"/>
      <c r="H331" s="127"/>
      <c r="I331" s="127"/>
      <c r="J331" s="132"/>
      <c r="K331" s="132"/>
      <c r="L331" s="132"/>
      <c r="M331" s="198"/>
      <c r="N331" s="127"/>
      <c r="O331" s="127"/>
      <c r="P331" s="133"/>
      <c r="Q331" s="133"/>
      <c r="R331" s="127"/>
      <c r="S331" s="127"/>
      <c r="T331" s="127"/>
      <c r="U331" s="127"/>
      <c r="V331" s="127"/>
      <c r="W331" s="127"/>
      <c r="X331" s="127"/>
      <c r="Y331" s="127"/>
      <c r="Z331" s="127"/>
      <c r="AA331" s="127"/>
      <c r="AB331" s="127"/>
      <c r="AC331" s="127"/>
      <c r="AD331" s="127"/>
      <c r="AE331" s="127"/>
      <c r="AF331" s="127"/>
      <c r="AG331" s="127"/>
      <c r="AH331" s="127"/>
      <c r="AI331" s="127"/>
      <c r="AJ331" s="127"/>
      <c r="AK331" s="127"/>
      <c r="AL331" s="127"/>
      <c r="AM331" s="127"/>
      <c r="AN331" s="127"/>
      <c r="AO331" s="127"/>
      <c r="AP331" s="127"/>
      <c r="AQ331" s="127"/>
      <c r="AR331" s="127"/>
      <c r="AS331" s="127"/>
      <c r="AT331" s="127"/>
      <c r="AU331" s="197"/>
      <c r="BI331" s="130"/>
      <c r="BO331" s="254"/>
      <c r="BP331" s="254"/>
      <c r="BQ331" s="254"/>
      <c r="CL331" s="153"/>
      <c r="CM331" s="153"/>
      <c r="CN331" s="141"/>
      <c r="CO331" s="141"/>
      <c r="CP331" s="153"/>
      <c r="CQ331" s="153"/>
    </row>
    <row r="332" spans="1:138" s="125" customFormat="1" ht="28.5">
      <c r="A332" s="127"/>
      <c r="B332" s="127"/>
      <c r="C332" s="127"/>
      <c r="D332" s="127"/>
      <c r="E332" s="127"/>
      <c r="F332" s="127"/>
      <c r="G332" s="132"/>
      <c r="H332" s="127"/>
      <c r="I332" s="127"/>
      <c r="J332" s="132"/>
      <c r="K332" s="132"/>
      <c r="L332" s="132"/>
      <c r="M332" s="198"/>
      <c r="N332" s="127"/>
      <c r="O332" s="127"/>
      <c r="P332" s="133"/>
      <c r="Q332" s="133"/>
      <c r="R332" s="127"/>
      <c r="S332" s="127"/>
      <c r="T332" s="127"/>
      <c r="U332" s="127"/>
      <c r="V332" s="127"/>
      <c r="W332" s="127"/>
      <c r="X332" s="127"/>
      <c r="Y332" s="127"/>
      <c r="Z332" s="127"/>
      <c r="AA332" s="127"/>
      <c r="AB332" s="127"/>
      <c r="AC332" s="127"/>
      <c r="AD332" s="127"/>
      <c r="AE332" s="127"/>
      <c r="AF332" s="127"/>
      <c r="AG332" s="127"/>
      <c r="AH332" s="127"/>
      <c r="AI332" s="127"/>
      <c r="AJ332" s="127"/>
      <c r="AK332" s="127"/>
      <c r="AL332" s="127"/>
      <c r="AM332" s="127"/>
      <c r="AN332" s="127"/>
      <c r="AO332" s="127"/>
      <c r="AP332" s="127"/>
      <c r="AQ332" s="127"/>
      <c r="AR332" s="127"/>
      <c r="AS332" s="127"/>
      <c r="AT332" s="127"/>
      <c r="AU332" s="197"/>
      <c r="BI332" s="130"/>
      <c r="BO332" s="254"/>
      <c r="BP332" s="254"/>
      <c r="BQ332" s="254"/>
      <c r="CL332" s="153"/>
      <c r="CM332" s="153"/>
      <c r="CN332" s="141"/>
      <c r="CO332" s="141"/>
      <c r="CP332" s="153"/>
      <c r="CQ332" s="153"/>
    </row>
    <row r="333" spans="1:138" s="125" customFormat="1" ht="28.5">
      <c r="A333" s="127"/>
      <c r="B333" s="127"/>
      <c r="C333" s="127"/>
      <c r="D333" s="127"/>
      <c r="E333" s="127"/>
      <c r="F333" s="127"/>
      <c r="G333" s="132"/>
      <c r="H333" s="127"/>
      <c r="I333" s="127"/>
      <c r="J333" s="132"/>
      <c r="K333" s="132"/>
      <c r="L333" s="132"/>
      <c r="M333" s="198"/>
      <c r="N333" s="127"/>
      <c r="O333" s="127"/>
      <c r="P333" s="133"/>
      <c r="Q333" s="133"/>
      <c r="R333" s="127"/>
      <c r="S333" s="127"/>
      <c r="T333" s="127"/>
      <c r="U333" s="127"/>
      <c r="V333" s="127"/>
      <c r="W333" s="127"/>
      <c r="X333" s="127"/>
      <c r="Y333" s="127"/>
      <c r="Z333" s="127"/>
      <c r="AA333" s="127"/>
      <c r="AB333" s="127"/>
      <c r="AC333" s="127"/>
      <c r="AD333" s="127"/>
      <c r="AE333" s="127"/>
      <c r="AF333" s="127"/>
      <c r="AG333" s="127"/>
      <c r="AH333" s="127"/>
      <c r="AI333" s="127"/>
      <c r="AJ333" s="127"/>
      <c r="AK333" s="127"/>
      <c r="AL333" s="127"/>
      <c r="AM333" s="127"/>
      <c r="AN333" s="127"/>
      <c r="AO333" s="127"/>
      <c r="AP333" s="127"/>
      <c r="AQ333" s="127"/>
      <c r="AR333" s="127"/>
      <c r="AS333" s="127"/>
      <c r="AT333" s="127"/>
      <c r="AU333" s="197"/>
      <c r="BI333" s="130"/>
      <c r="BO333" s="254"/>
      <c r="BP333" s="254"/>
      <c r="BQ333" s="254"/>
      <c r="CL333" s="153"/>
      <c r="CM333" s="153"/>
      <c r="CN333" s="141"/>
      <c r="CO333" s="141"/>
      <c r="CP333" s="153"/>
      <c r="CQ333" s="153"/>
    </row>
    <row r="334" spans="1:138" s="125" customFormat="1" ht="28.5">
      <c r="A334" s="127"/>
      <c r="B334" s="127"/>
      <c r="C334" s="127"/>
      <c r="D334" s="127"/>
      <c r="E334" s="127"/>
      <c r="F334" s="127"/>
      <c r="G334" s="132"/>
      <c r="H334" s="127"/>
      <c r="I334" s="127"/>
      <c r="J334" s="132"/>
      <c r="K334" s="132"/>
      <c r="L334" s="132"/>
      <c r="M334" s="198"/>
      <c r="N334" s="127"/>
      <c r="O334" s="127"/>
      <c r="P334" s="133"/>
      <c r="Q334" s="133"/>
      <c r="R334" s="127"/>
      <c r="S334" s="127"/>
      <c r="T334" s="127"/>
      <c r="U334" s="127"/>
      <c r="V334" s="127"/>
      <c r="W334" s="127"/>
      <c r="X334" s="127"/>
      <c r="Y334" s="127"/>
      <c r="Z334" s="127"/>
      <c r="AA334" s="127"/>
      <c r="AB334" s="127"/>
      <c r="AC334" s="127"/>
      <c r="AD334" s="127"/>
      <c r="AE334" s="127"/>
      <c r="AF334" s="127"/>
      <c r="AG334" s="127"/>
      <c r="AH334" s="127"/>
      <c r="AI334" s="127"/>
      <c r="AJ334" s="127"/>
      <c r="AK334" s="127"/>
      <c r="AL334" s="127"/>
      <c r="AM334" s="127"/>
      <c r="AN334" s="127"/>
      <c r="AO334" s="127"/>
      <c r="AP334" s="127"/>
      <c r="AQ334" s="127"/>
      <c r="AR334" s="127"/>
      <c r="AS334" s="127"/>
      <c r="AT334" s="127"/>
      <c r="AU334" s="197"/>
      <c r="BI334" s="130"/>
      <c r="BO334" s="254"/>
      <c r="BP334" s="254"/>
      <c r="BQ334" s="254"/>
      <c r="CL334" s="153"/>
      <c r="CM334" s="153"/>
      <c r="CN334" s="141"/>
      <c r="CO334" s="141"/>
      <c r="CP334" s="153"/>
      <c r="CQ334" s="153"/>
    </row>
    <row r="335" spans="1:138" s="125" customFormat="1" ht="28.5">
      <c r="A335" s="127"/>
      <c r="B335" s="127"/>
      <c r="C335" s="127"/>
      <c r="D335" s="127"/>
      <c r="E335" s="127"/>
      <c r="F335" s="127"/>
      <c r="G335" s="132"/>
      <c r="H335" s="127"/>
      <c r="I335" s="127"/>
      <c r="J335" s="132"/>
      <c r="K335" s="132"/>
      <c r="L335" s="132"/>
      <c r="M335" s="198"/>
      <c r="N335" s="127"/>
      <c r="O335" s="127"/>
      <c r="P335" s="133"/>
      <c r="Q335" s="133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97"/>
      <c r="BI335" s="130"/>
      <c r="BO335" s="254"/>
      <c r="BP335" s="254"/>
      <c r="BQ335" s="254"/>
      <c r="CL335" s="153"/>
      <c r="CM335" s="153"/>
      <c r="CN335" s="141"/>
      <c r="CO335" s="141"/>
      <c r="CP335" s="153"/>
      <c r="CQ335" s="153"/>
    </row>
    <row r="336" spans="1:138" ht="28.5">
      <c r="CL336" s="153"/>
      <c r="CM336" s="153"/>
      <c r="CN336" s="141"/>
      <c r="CO336" s="141"/>
      <c r="CP336" s="153"/>
      <c r="CQ336" s="153"/>
    </row>
  </sheetData>
  <dataConsolidate/>
  <mergeCells count="861">
    <mergeCell ref="BS207:BS208"/>
    <mergeCell ref="BT207:BT208"/>
    <mergeCell ref="BW207:BW208"/>
    <mergeCell ref="BY207:BY208"/>
    <mergeCell ref="AW207:AW208"/>
    <mergeCell ref="AX207:AX208"/>
    <mergeCell ref="BL207:BL208"/>
    <mergeCell ref="BM207:BM208"/>
    <mergeCell ref="BN207:BN208"/>
    <mergeCell ref="BO207:BQ208"/>
    <mergeCell ref="AW129:AY129"/>
    <mergeCell ref="AZ129:BD129"/>
    <mergeCell ref="BG129:BH129"/>
    <mergeCell ref="BJ129:BM129"/>
    <mergeCell ref="BT129:BW129"/>
    <mergeCell ref="AX131:BH131"/>
    <mergeCell ref="BV126:BV127"/>
    <mergeCell ref="BW126:BW127"/>
    <mergeCell ref="BX126:BX127"/>
    <mergeCell ref="BY126:BY127"/>
    <mergeCell ref="AW128:AY128"/>
    <mergeCell ref="AZ128:BD128"/>
    <mergeCell ref="BG128:BH128"/>
    <mergeCell ref="BJ128:BM128"/>
    <mergeCell ref="BT128:BW128"/>
    <mergeCell ref="BY124:BY125"/>
    <mergeCell ref="AW126:AW127"/>
    <mergeCell ref="AX126:AX127"/>
    <mergeCell ref="BL126:BL127"/>
    <mergeCell ref="BM126:BM127"/>
    <mergeCell ref="BN126:BN127"/>
    <mergeCell ref="BO126:BQ127"/>
    <mergeCell ref="BS126:BS127"/>
    <mergeCell ref="BT126:BT127"/>
    <mergeCell ref="BU126:BU127"/>
    <mergeCell ref="BS124:BS125"/>
    <mergeCell ref="BT124:BT125"/>
    <mergeCell ref="BU124:BU125"/>
    <mergeCell ref="BV124:BV125"/>
    <mergeCell ref="BW124:BW125"/>
    <mergeCell ref="BX124:BX125"/>
    <mergeCell ref="BV122:BV123"/>
    <mergeCell ref="BW122:BW123"/>
    <mergeCell ref="BX122:BX123"/>
    <mergeCell ref="BY122:BY123"/>
    <mergeCell ref="AW124:AW125"/>
    <mergeCell ref="AX124:AX125"/>
    <mergeCell ref="BL124:BL125"/>
    <mergeCell ref="BM124:BM125"/>
    <mergeCell ref="BN124:BN125"/>
    <mergeCell ref="BO124:BQ125"/>
    <mergeCell ref="AW122:AW123"/>
    <mergeCell ref="AX122:AX123"/>
    <mergeCell ref="BL122:BL123"/>
    <mergeCell ref="BM122:BM123"/>
    <mergeCell ref="BN122:BN123"/>
    <mergeCell ref="BO122:BQ123"/>
    <mergeCell ref="BS122:BS123"/>
    <mergeCell ref="BT122:BT123"/>
    <mergeCell ref="BU122:BU123"/>
    <mergeCell ref="BV118:BV119"/>
    <mergeCell ref="BW118:BW119"/>
    <mergeCell ref="BX118:BX119"/>
    <mergeCell ref="BY118:BY119"/>
    <mergeCell ref="AW120:AW121"/>
    <mergeCell ref="AX120:AX121"/>
    <mergeCell ref="BL120:BL121"/>
    <mergeCell ref="BM120:BM121"/>
    <mergeCell ref="BN120:BN121"/>
    <mergeCell ref="BO120:BQ121"/>
    <mergeCell ref="BY120:BY121"/>
    <mergeCell ref="BS120:BS121"/>
    <mergeCell ref="BT120:BT121"/>
    <mergeCell ref="BU120:BU121"/>
    <mergeCell ref="BV120:BV121"/>
    <mergeCell ref="BW120:BW121"/>
    <mergeCell ref="BX120:BX121"/>
    <mergeCell ref="AW118:AW119"/>
    <mergeCell ref="AX118:AX119"/>
    <mergeCell ref="BL118:BL119"/>
    <mergeCell ref="BM118:BM119"/>
    <mergeCell ref="BN118:BN119"/>
    <mergeCell ref="BO118:BQ119"/>
    <mergeCell ref="BS118:BS119"/>
    <mergeCell ref="BT118:BT119"/>
    <mergeCell ref="BU118:BU119"/>
    <mergeCell ref="BV114:BV115"/>
    <mergeCell ref="BW114:BW115"/>
    <mergeCell ref="BX114:BX115"/>
    <mergeCell ref="BY114:BY115"/>
    <mergeCell ref="AW116:AW117"/>
    <mergeCell ref="AX116:AX117"/>
    <mergeCell ref="BL116:BL117"/>
    <mergeCell ref="BM116:BM117"/>
    <mergeCell ref="BN116:BN117"/>
    <mergeCell ref="BO116:BQ117"/>
    <mergeCell ref="BY116:BY117"/>
    <mergeCell ref="BS116:BS117"/>
    <mergeCell ref="BT116:BT117"/>
    <mergeCell ref="BU116:BU117"/>
    <mergeCell ref="BV116:BV117"/>
    <mergeCell ref="BW116:BW117"/>
    <mergeCell ref="BX116:BX117"/>
    <mergeCell ref="AW114:AW115"/>
    <mergeCell ref="AX114:AX115"/>
    <mergeCell ref="BL114:BL115"/>
    <mergeCell ref="BM114:BM115"/>
    <mergeCell ref="BN114:BN115"/>
    <mergeCell ref="BO114:BQ115"/>
    <mergeCell ref="BS114:BS115"/>
    <mergeCell ref="BT114:BT115"/>
    <mergeCell ref="BU114:BU115"/>
    <mergeCell ref="BV110:BV111"/>
    <mergeCell ref="BW110:BW111"/>
    <mergeCell ref="BX110:BX111"/>
    <mergeCell ref="BY110:BY111"/>
    <mergeCell ref="AW112:AW113"/>
    <mergeCell ref="AX112:AX113"/>
    <mergeCell ref="BL112:BL113"/>
    <mergeCell ref="BM112:BM113"/>
    <mergeCell ref="BN112:BN113"/>
    <mergeCell ref="BO112:BQ113"/>
    <mergeCell ref="BY112:BY113"/>
    <mergeCell ref="BS112:BS113"/>
    <mergeCell ref="BT112:BT113"/>
    <mergeCell ref="BU112:BU113"/>
    <mergeCell ref="BV112:BV113"/>
    <mergeCell ref="BW112:BW113"/>
    <mergeCell ref="BX112:BX113"/>
    <mergeCell ref="AW110:AW111"/>
    <mergeCell ref="AX110:AX111"/>
    <mergeCell ref="BL110:BL111"/>
    <mergeCell ref="BM110:BM111"/>
    <mergeCell ref="BN110:BN111"/>
    <mergeCell ref="BO110:BQ111"/>
    <mergeCell ref="BS110:BS111"/>
    <mergeCell ref="BT110:BT111"/>
    <mergeCell ref="BU110:BU111"/>
    <mergeCell ref="BV106:BV107"/>
    <mergeCell ref="BW106:BW107"/>
    <mergeCell ref="BX106:BX107"/>
    <mergeCell ref="BY106:BY107"/>
    <mergeCell ref="AW108:AW109"/>
    <mergeCell ref="AX108:AX109"/>
    <mergeCell ref="BL108:BL109"/>
    <mergeCell ref="BM108:BM109"/>
    <mergeCell ref="BN108:BN109"/>
    <mergeCell ref="BO108:BQ109"/>
    <mergeCell ref="BY108:BY109"/>
    <mergeCell ref="BS108:BS109"/>
    <mergeCell ref="BT108:BT109"/>
    <mergeCell ref="BU108:BU109"/>
    <mergeCell ref="BV108:BV109"/>
    <mergeCell ref="BW108:BW109"/>
    <mergeCell ref="BX108:BX109"/>
    <mergeCell ref="AW106:AW107"/>
    <mergeCell ref="AX106:AX107"/>
    <mergeCell ref="BL106:BL107"/>
    <mergeCell ref="BM106:BM107"/>
    <mergeCell ref="BN106:BN107"/>
    <mergeCell ref="BO106:BQ107"/>
    <mergeCell ref="BS106:BS107"/>
    <mergeCell ref="BT106:BT107"/>
    <mergeCell ref="BU106:BU107"/>
    <mergeCell ref="BV102:BV103"/>
    <mergeCell ref="BW102:BW103"/>
    <mergeCell ref="BX102:BX103"/>
    <mergeCell ref="BY102:BY103"/>
    <mergeCell ref="AW104:AW105"/>
    <mergeCell ref="AX104:AX105"/>
    <mergeCell ref="BL104:BL105"/>
    <mergeCell ref="BM104:BM105"/>
    <mergeCell ref="BN104:BN105"/>
    <mergeCell ref="BO104:BQ105"/>
    <mergeCell ref="BY104:BY105"/>
    <mergeCell ref="BS104:BS105"/>
    <mergeCell ref="BT104:BT105"/>
    <mergeCell ref="BU104:BU105"/>
    <mergeCell ref="BV104:BV105"/>
    <mergeCell ref="BW104:BW105"/>
    <mergeCell ref="BX104:BX105"/>
    <mergeCell ref="AW102:AW103"/>
    <mergeCell ref="AX102:AX103"/>
    <mergeCell ref="BL102:BL103"/>
    <mergeCell ref="BM102:BM103"/>
    <mergeCell ref="BN102:BN103"/>
    <mergeCell ref="BO102:BQ103"/>
    <mergeCell ref="BS102:BS103"/>
    <mergeCell ref="BT102:BT103"/>
    <mergeCell ref="BU102:BU103"/>
    <mergeCell ref="BV98:BV99"/>
    <mergeCell ref="BW98:BW99"/>
    <mergeCell ref="BX98:BX99"/>
    <mergeCell ref="BY98:BY99"/>
    <mergeCell ref="AW100:AW101"/>
    <mergeCell ref="AX100:AX101"/>
    <mergeCell ref="BL100:BL101"/>
    <mergeCell ref="BM100:BM101"/>
    <mergeCell ref="BN100:BN101"/>
    <mergeCell ref="BO100:BQ101"/>
    <mergeCell ref="BY100:BY101"/>
    <mergeCell ref="BS100:BS101"/>
    <mergeCell ref="BT100:BT101"/>
    <mergeCell ref="BU100:BU101"/>
    <mergeCell ref="BV100:BV101"/>
    <mergeCell ref="BW100:BW101"/>
    <mergeCell ref="BX100:BX101"/>
    <mergeCell ref="AW98:AW99"/>
    <mergeCell ref="AX98:AX99"/>
    <mergeCell ref="BL98:BL99"/>
    <mergeCell ref="BM98:BM99"/>
    <mergeCell ref="BN98:BN99"/>
    <mergeCell ref="BO98:BQ99"/>
    <mergeCell ref="BS98:BS99"/>
    <mergeCell ref="BT98:BT99"/>
    <mergeCell ref="BU98:BU99"/>
    <mergeCell ref="BV94:BV95"/>
    <mergeCell ref="BW94:BW95"/>
    <mergeCell ref="BX94:BX95"/>
    <mergeCell ref="BY94:BY95"/>
    <mergeCell ref="AW96:AW97"/>
    <mergeCell ref="AX96:AX97"/>
    <mergeCell ref="BL96:BL97"/>
    <mergeCell ref="BM96:BM97"/>
    <mergeCell ref="BN96:BN97"/>
    <mergeCell ref="BO96:BQ97"/>
    <mergeCell ref="BY96:BY97"/>
    <mergeCell ref="BS96:BS97"/>
    <mergeCell ref="BT96:BT97"/>
    <mergeCell ref="BU96:BU97"/>
    <mergeCell ref="BV96:BV97"/>
    <mergeCell ref="BW96:BW97"/>
    <mergeCell ref="BX96:BX97"/>
    <mergeCell ref="AW94:AW95"/>
    <mergeCell ref="AX94:AX95"/>
    <mergeCell ref="BL94:BL95"/>
    <mergeCell ref="BM94:BM95"/>
    <mergeCell ref="BN94:BN95"/>
    <mergeCell ref="BO94:BQ95"/>
    <mergeCell ref="BS94:BS95"/>
    <mergeCell ref="BT94:BT95"/>
    <mergeCell ref="BU94:BU95"/>
    <mergeCell ref="BV90:BV91"/>
    <mergeCell ref="BW90:BW91"/>
    <mergeCell ref="BX90:BX91"/>
    <mergeCell ref="BY90:BY91"/>
    <mergeCell ref="AW92:AW93"/>
    <mergeCell ref="AX92:AX93"/>
    <mergeCell ref="BL92:BL93"/>
    <mergeCell ref="BM92:BM93"/>
    <mergeCell ref="BN92:BN93"/>
    <mergeCell ref="BO92:BQ93"/>
    <mergeCell ref="BY92:BY93"/>
    <mergeCell ref="BS92:BS93"/>
    <mergeCell ref="BT92:BT93"/>
    <mergeCell ref="BU92:BU93"/>
    <mergeCell ref="BV92:BV93"/>
    <mergeCell ref="BW92:BW93"/>
    <mergeCell ref="BX92:BX93"/>
    <mergeCell ref="AW90:AW91"/>
    <mergeCell ref="AX90:AX91"/>
    <mergeCell ref="BL90:BL91"/>
    <mergeCell ref="BM90:BM91"/>
    <mergeCell ref="BN90:BN91"/>
    <mergeCell ref="BO90:BQ91"/>
    <mergeCell ref="BS90:BS91"/>
    <mergeCell ref="BT90:BT91"/>
    <mergeCell ref="BU90:BU91"/>
    <mergeCell ref="BV86:BV87"/>
    <mergeCell ref="BW86:BW87"/>
    <mergeCell ref="BX86:BX87"/>
    <mergeCell ref="BY86:BY87"/>
    <mergeCell ref="AW88:AW89"/>
    <mergeCell ref="AX88:AX89"/>
    <mergeCell ref="BL88:BL89"/>
    <mergeCell ref="BM88:BM89"/>
    <mergeCell ref="BN88:BN89"/>
    <mergeCell ref="BO88:BQ89"/>
    <mergeCell ref="BY88:BY89"/>
    <mergeCell ref="BS88:BS89"/>
    <mergeCell ref="BT88:BT89"/>
    <mergeCell ref="BU88:BU89"/>
    <mergeCell ref="BV88:BV89"/>
    <mergeCell ref="BW88:BW89"/>
    <mergeCell ref="BX88:BX89"/>
    <mergeCell ref="AW86:AW87"/>
    <mergeCell ref="AX86:AX87"/>
    <mergeCell ref="BL86:BL87"/>
    <mergeCell ref="BM86:BM87"/>
    <mergeCell ref="BN86:BN87"/>
    <mergeCell ref="BO86:BQ87"/>
    <mergeCell ref="BS86:BS87"/>
    <mergeCell ref="BT86:BT87"/>
    <mergeCell ref="BU86:BU87"/>
    <mergeCell ref="BV82:BV83"/>
    <mergeCell ref="BW82:BW83"/>
    <mergeCell ref="BX82:BX83"/>
    <mergeCell ref="BY82:BY83"/>
    <mergeCell ref="AW84:AW85"/>
    <mergeCell ref="AX84:AX85"/>
    <mergeCell ref="BL84:BL85"/>
    <mergeCell ref="BM84:BM85"/>
    <mergeCell ref="BN84:BN85"/>
    <mergeCell ref="BO84:BQ85"/>
    <mergeCell ref="BY84:BY85"/>
    <mergeCell ref="BS84:BS85"/>
    <mergeCell ref="BT84:BT85"/>
    <mergeCell ref="BU84:BU85"/>
    <mergeCell ref="BV84:BV85"/>
    <mergeCell ref="BW84:BW85"/>
    <mergeCell ref="BX84:BX85"/>
    <mergeCell ref="AW82:AW83"/>
    <mergeCell ref="AX82:AX83"/>
    <mergeCell ref="BL82:BL83"/>
    <mergeCell ref="BM82:BM83"/>
    <mergeCell ref="BN82:BN83"/>
    <mergeCell ref="BO82:BQ83"/>
    <mergeCell ref="BS82:BS83"/>
    <mergeCell ref="BT82:BT83"/>
    <mergeCell ref="BU82:BU83"/>
    <mergeCell ref="BV78:BV79"/>
    <mergeCell ref="BW78:BW79"/>
    <mergeCell ref="BX78:BX79"/>
    <mergeCell ref="BY78:BY79"/>
    <mergeCell ref="AW80:AW81"/>
    <mergeCell ref="AX80:AX81"/>
    <mergeCell ref="BL80:BL81"/>
    <mergeCell ref="BM80:BM81"/>
    <mergeCell ref="BN80:BN81"/>
    <mergeCell ref="BO80:BQ81"/>
    <mergeCell ref="BY80:BY81"/>
    <mergeCell ref="BS80:BS81"/>
    <mergeCell ref="BT80:BT81"/>
    <mergeCell ref="BU80:BU81"/>
    <mergeCell ref="BV80:BV81"/>
    <mergeCell ref="BW80:BW81"/>
    <mergeCell ref="BX80:BX81"/>
    <mergeCell ref="AW78:AW79"/>
    <mergeCell ref="AX78:AX79"/>
    <mergeCell ref="BL78:BL79"/>
    <mergeCell ref="BM78:BM79"/>
    <mergeCell ref="BN78:BN79"/>
    <mergeCell ref="BO78:BQ79"/>
    <mergeCell ref="BS78:BS79"/>
    <mergeCell ref="BT78:BT79"/>
    <mergeCell ref="BU78:BU79"/>
    <mergeCell ref="BX74:BX75"/>
    <mergeCell ref="BY74:BY75"/>
    <mergeCell ref="AW76:AW77"/>
    <mergeCell ref="AX76:AX77"/>
    <mergeCell ref="BL76:BL77"/>
    <mergeCell ref="BM76:BM77"/>
    <mergeCell ref="BN76:BN77"/>
    <mergeCell ref="BO76:BQ77"/>
    <mergeCell ref="BY76:BY77"/>
    <mergeCell ref="BS76:BS77"/>
    <mergeCell ref="BT76:BT77"/>
    <mergeCell ref="BU76:BU77"/>
    <mergeCell ref="BV76:BV77"/>
    <mergeCell ref="BW76:BW77"/>
    <mergeCell ref="BX76:BX77"/>
    <mergeCell ref="BY72:BY73"/>
    <mergeCell ref="AW74:AW75"/>
    <mergeCell ref="AX74:AX75"/>
    <mergeCell ref="BL74:BL75"/>
    <mergeCell ref="BM74:BM75"/>
    <mergeCell ref="BN74:BN75"/>
    <mergeCell ref="BO74:BQ75"/>
    <mergeCell ref="BS74:BS75"/>
    <mergeCell ref="BT74:BT75"/>
    <mergeCell ref="BU74:BU75"/>
    <mergeCell ref="BS72:BS73"/>
    <mergeCell ref="BT72:BT73"/>
    <mergeCell ref="BU72:BU73"/>
    <mergeCell ref="BV72:BV73"/>
    <mergeCell ref="BW72:BW73"/>
    <mergeCell ref="BX72:BX73"/>
    <mergeCell ref="AW72:AW73"/>
    <mergeCell ref="AX72:AX73"/>
    <mergeCell ref="BL72:BL73"/>
    <mergeCell ref="BM72:BM73"/>
    <mergeCell ref="BN72:BN73"/>
    <mergeCell ref="BO72:BQ73"/>
    <mergeCell ref="BV74:BV75"/>
    <mergeCell ref="BW74:BW75"/>
    <mergeCell ref="BT70:BT71"/>
    <mergeCell ref="BU70:BU71"/>
    <mergeCell ref="BV70:BV71"/>
    <mergeCell ref="BW70:BW71"/>
    <mergeCell ref="BX70:BX71"/>
    <mergeCell ref="BY70:BY71"/>
    <mergeCell ref="BX68:BX69"/>
    <mergeCell ref="BY68:BY69"/>
    <mergeCell ref="AQ69:AS69"/>
    <mergeCell ref="AW70:AW71"/>
    <mergeCell ref="AX70:AX71"/>
    <mergeCell ref="BL70:BL71"/>
    <mergeCell ref="BM70:BM71"/>
    <mergeCell ref="BN70:BN71"/>
    <mergeCell ref="BO70:BQ71"/>
    <mergeCell ref="BS70:BS71"/>
    <mergeCell ref="BO68:BQ69"/>
    <mergeCell ref="BS68:BS69"/>
    <mergeCell ref="BT68:BT69"/>
    <mergeCell ref="BU68:BU69"/>
    <mergeCell ref="BV68:BV69"/>
    <mergeCell ref="BW68:BW69"/>
    <mergeCell ref="AL67:AO67"/>
    <mergeCell ref="AW68:AW69"/>
    <mergeCell ref="AX68:AX69"/>
    <mergeCell ref="BL68:BL69"/>
    <mergeCell ref="BM68:BM69"/>
    <mergeCell ref="BN68:BN69"/>
    <mergeCell ref="BX66:BX67"/>
    <mergeCell ref="BY66:BY67"/>
    <mergeCell ref="B67:K67"/>
    <mergeCell ref="L67:M67"/>
    <mergeCell ref="O67:R67"/>
    <mergeCell ref="S67:T67"/>
    <mergeCell ref="U67:W67"/>
    <mergeCell ref="Z67:AC67"/>
    <mergeCell ref="AD67:AE67"/>
    <mergeCell ref="AG67:AK67"/>
    <mergeCell ref="BO66:BQ67"/>
    <mergeCell ref="BS66:BS67"/>
    <mergeCell ref="BT66:BT67"/>
    <mergeCell ref="BU66:BU67"/>
    <mergeCell ref="BV66:BV67"/>
    <mergeCell ref="BW66:BW67"/>
    <mergeCell ref="BU64:BU65"/>
    <mergeCell ref="BV64:BV65"/>
    <mergeCell ref="BW64:BW65"/>
    <mergeCell ref="BX64:BX65"/>
    <mergeCell ref="BY64:BY65"/>
    <mergeCell ref="AW66:AW67"/>
    <mergeCell ref="AX66:AX67"/>
    <mergeCell ref="BL66:BL67"/>
    <mergeCell ref="BM66:BM67"/>
    <mergeCell ref="BN66:BN67"/>
    <mergeCell ref="AW64:AW65"/>
    <mergeCell ref="AX64:AX65"/>
    <mergeCell ref="BL64:BL65"/>
    <mergeCell ref="BM64:BM65"/>
    <mergeCell ref="BN64:BN65"/>
    <mergeCell ref="BO64:BQ65"/>
    <mergeCell ref="BS64:BS65"/>
    <mergeCell ref="BT64:BT65"/>
    <mergeCell ref="BO62:BQ63"/>
    <mergeCell ref="BS62:BS63"/>
    <mergeCell ref="BT62:BT63"/>
    <mergeCell ref="BU60:BU61"/>
    <mergeCell ref="BV60:BV61"/>
    <mergeCell ref="BW60:BW61"/>
    <mergeCell ref="BX60:BX61"/>
    <mergeCell ref="BY60:BY61"/>
    <mergeCell ref="AW62:AW63"/>
    <mergeCell ref="AX62:AX63"/>
    <mergeCell ref="BL62:BL63"/>
    <mergeCell ref="BM62:BM63"/>
    <mergeCell ref="BN62:BN63"/>
    <mergeCell ref="BX62:BX63"/>
    <mergeCell ref="BY62:BY63"/>
    <mergeCell ref="BU62:BU63"/>
    <mergeCell ref="BV62:BV63"/>
    <mergeCell ref="BW62:BW63"/>
    <mergeCell ref="AW60:AW61"/>
    <mergeCell ref="AX60:AX61"/>
    <mergeCell ref="BL60:BL61"/>
    <mergeCell ref="BM60:BM61"/>
    <mergeCell ref="BN60:BN61"/>
    <mergeCell ref="BO60:BQ61"/>
    <mergeCell ref="BS60:BS61"/>
    <mergeCell ref="BT60:BT61"/>
    <mergeCell ref="BO58:BQ59"/>
    <mergeCell ref="BS58:BS59"/>
    <mergeCell ref="BT58:BT59"/>
    <mergeCell ref="BU56:BU57"/>
    <mergeCell ref="BV56:BV57"/>
    <mergeCell ref="BW56:BW57"/>
    <mergeCell ref="BX56:BX57"/>
    <mergeCell ref="BY56:BY57"/>
    <mergeCell ref="AW58:AW59"/>
    <mergeCell ref="AX58:AX59"/>
    <mergeCell ref="BL58:BL59"/>
    <mergeCell ref="BM58:BM59"/>
    <mergeCell ref="BN58:BN59"/>
    <mergeCell ref="BX58:BX59"/>
    <mergeCell ref="BY58:BY59"/>
    <mergeCell ref="BU58:BU59"/>
    <mergeCell ref="BV58:BV59"/>
    <mergeCell ref="BW58:BW59"/>
    <mergeCell ref="AW56:AW57"/>
    <mergeCell ref="AX56:AX57"/>
    <mergeCell ref="BL56:BL57"/>
    <mergeCell ref="BM56:BM57"/>
    <mergeCell ref="BN56:BN57"/>
    <mergeCell ref="BO56:BQ57"/>
    <mergeCell ref="BS56:BS57"/>
    <mergeCell ref="BT56:BT57"/>
    <mergeCell ref="BO54:BQ55"/>
    <mergeCell ref="BS54:BS55"/>
    <mergeCell ref="BT54:BT55"/>
    <mergeCell ref="BU52:BU53"/>
    <mergeCell ref="BV52:BV53"/>
    <mergeCell ref="BW52:BW53"/>
    <mergeCell ref="BX52:BX53"/>
    <mergeCell ref="BY52:BY53"/>
    <mergeCell ref="AW54:AW55"/>
    <mergeCell ref="AX54:AX55"/>
    <mergeCell ref="BL54:BL55"/>
    <mergeCell ref="BM54:BM55"/>
    <mergeCell ref="BN54:BN55"/>
    <mergeCell ref="BX54:BX55"/>
    <mergeCell ref="BY54:BY55"/>
    <mergeCell ref="BU54:BU55"/>
    <mergeCell ref="BV54:BV55"/>
    <mergeCell ref="BW54:BW55"/>
    <mergeCell ref="AW52:AW53"/>
    <mergeCell ref="AX52:AX53"/>
    <mergeCell ref="BL52:BL53"/>
    <mergeCell ref="BM52:BM53"/>
    <mergeCell ref="BN52:BN53"/>
    <mergeCell ref="BO52:BQ53"/>
    <mergeCell ref="BS52:BS53"/>
    <mergeCell ref="BT52:BT53"/>
    <mergeCell ref="BO50:BQ51"/>
    <mergeCell ref="BS50:BS51"/>
    <mergeCell ref="BT50:BT51"/>
    <mergeCell ref="BU48:BU49"/>
    <mergeCell ref="BV48:BV49"/>
    <mergeCell ref="BW48:BW49"/>
    <mergeCell ref="BX48:BX49"/>
    <mergeCell ref="BY48:BY49"/>
    <mergeCell ref="AW50:AW51"/>
    <mergeCell ref="AX50:AX51"/>
    <mergeCell ref="BL50:BL51"/>
    <mergeCell ref="BM50:BM51"/>
    <mergeCell ref="BN50:BN51"/>
    <mergeCell ref="BX50:BX51"/>
    <mergeCell ref="BY50:BY51"/>
    <mergeCell ref="BU50:BU51"/>
    <mergeCell ref="BV50:BV51"/>
    <mergeCell ref="BW50:BW51"/>
    <mergeCell ref="AW48:AW49"/>
    <mergeCell ref="AX48:AX49"/>
    <mergeCell ref="BL48:BL49"/>
    <mergeCell ref="BM48:BM49"/>
    <mergeCell ref="BN48:BN49"/>
    <mergeCell ref="BO48:BQ49"/>
    <mergeCell ref="BS48:BS49"/>
    <mergeCell ref="BT48:BT49"/>
    <mergeCell ref="BO46:BQ47"/>
    <mergeCell ref="BS46:BS47"/>
    <mergeCell ref="BT46:BT47"/>
    <mergeCell ref="BU44:BU45"/>
    <mergeCell ref="BV44:BV45"/>
    <mergeCell ref="BW44:BW45"/>
    <mergeCell ref="BX44:BX45"/>
    <mergeCell ref="BY44:BY45"/>
    <mergeCell ref="AW46:AW47"/>
    <mergeCell ref="AX46:AX47"/>
    <mergeCell ref="BL46:BL47"/>
    <mergeCell ref="BM46:BM47"/>
    <mergeCell ref="BN46:BN47"/>
    <mergeCell ref="BX46:BX47"/>
    <mergeCell ref="BY46:BY47"/>
    <mergeCell ref="BU46:BU47"/>
    <mergeCell ref="BV46:BV47"/>
    <mergeCell ref="BW46:BW47"/>
    <mergeCell ref="AW44:AW45"/>
    <mergeCell ref="AX44:AX45"/>
    <mergeCell ref="BL44:BL45"/>
    <mergeCell ref="BM44:BM45"/>
    <mergeCell ref="BN44:BN45"/>
    <mergeCell ref="BO44:BQ45"/>
    <mergeCell ref="BS44:BS45"/>
    <mergeCell ref="BT44:BT45"/>
    <mergeCell ref="BO42:BQ43"/>
    <mergeCell ref="BS42:BS43"/>
    <mergeCell ref="BT42:BT43"/>
    <mergeCell ref="BU40:BU41"/>
    <mergeCell ref="BV40:BV41"/>
    <mergeCell ref="BW40:BW41"/>
    <mergeCell ref="BX40:BX41"/>
    <mergeCell ref="BY40:BY41"/>
    <mergeCell ref="AW42:AW43"/>
    <mergeCell ref="AX42:AX43"/>
    <mergeCell ref="BL42:BL43"/>
    <mergeCell ref="BM42:BM43"/>
    <mergeCell ref="BN42:BN43"/>
    <mergeCell ref="BX42:BX43"/>
    <mergeCell ref="BY42:BY43"/>
    <mergeCell ref="BU42:BU43"/>
    <mergeCell ref="BV42:BV43"/>
    <mergeCell ref="BW42:BW43"/>
    <mergeCell ref="AW40:AW41"/>
    <mergeCell ref="AX40:AX41"/>
    <mergeCell ref="BL40:BL41"/>
    <mergeCell ref="BM40:BM41"/>
    <mergeCell ref="BN40:BN41"/>
    <mergeCell ref="BO40:BQ41"/>
    <mergeCell ref="BS40:BS41"/>
    <mergeCell ref="BT40:BT41"/>
    <mergeCell ref="BO38:BQ39"/>
    <mergeCell ref="BS38:BS39"/>
    <mergeCell ref="BT38:BT39"/>
    <mergeCell ref="BU36:BU37"/>
    <mergeCell ref="BV36:BV37"/>
    <mergeCell ref="BW36:BW37"/>
    <mergeCell ref="BX36:BX37"/>
    <mergeCell ref="BY36:BY37"/>
    <mergeCell ref="AW38:AW39"/>
    <mergeCell ref="AX38:AX39"/>
    <mergeCell ref="BL38:BL39"/>
    <mergeCell ref="BM38:BM39"/>
    <mergeCell ref="BN38:BN39"/>
    <mergeCell ref="BX38:BX39"/>
    <mergeCell ref="BY38:BY39"/>
    <mergeCell ref="BU38:BU39"/>
    <mergeCell ref="BV38:BV39"/>
    <mergeCell ref="BW38:BW39"/>
    <mergeCell ref="AW36:AW37"/>
    <mergeCell ref="AX36:AX37"/>
    <mergeCell ref="BL36:BL37"/>
    <mergeCell ref="BM36:BM37"/>
    <mergeCell ref="BN36:BN37"/>
    <mergeCell ref="BO36:BQ37"/>
    <mergeCell ref="BS36:BS37"/>
    <mergeCell ref="BT36:BT37"/>
    <mergeCell ref="BO34:BQ35"/>
    <mergeCell ref="BS34:BS35"/>
    <mergeCell ref="BT34:BT35"/>
    <mergeCell ref="BU32:BU33"/>
    <mergeCell ref="BV32:BV33"/>
    <mergeCell ref="BW32:BW33"/>
    <mergeCell ref="BX32:BX33"/>
    <mergeCell ref="BY32:BY33"/>
    <mergeCell ref="AW34:AW35"/>
    <mergeCell ref="AX34:AX35"/>
    <mergeCell ref="BL34:BL35"/>
    <mergeCell ref="BM34:BM35"/>
    <mergeCell ref="BN34:BN35"/>
    <mergeCell ref="BX34:BX35"/>
    <mergeCell ref="BY34:BY35"/>
    <mergeCell ref="BU34:BU35"/>
    <mergeCell ref="BV34:BV35"/>
    <mergeCell ref="BW34:BW35"/>
    <mergeCell ref="AW32:AW33"/>
    <mergeCell ref="AX32:AX33"/>
    <mergeCell ref="BL32:BL33"/>
    <mergeCell ref="BM32:BM33"/>
    <mergeCell ref="BN32:BN33"/>
    <mergeCell ref="BO32:BQ33"/>
    <mergeCell ref="BS32:BS33"/>
    <mergeCell ref="BT32:BT33"/>
    <mergeCell ref="BO30:BQ31"/>
    <mergeCell ref="BS30:BS31"/>
    <mergeCell ref="BT30:BT31"/>
    <mergeCell ref="BU28:BU29"/>
    <mergeCell ref="BV28:BV29"/>
    <mergeCell ref="BW28:BW29"/>
    <mergeCell ref="BX28:BX29"/>
    <mergeCell ref="BY28:BY29"/>
    <mergeCell ref="AW30:AW31"/>
    <mergeCell ref="AX30:AX31"/>
    <mergeCell ref="BL30:BL31"/>
    <mergeCell ref="BM30:BM31"/>
    <mergeCell ref="BN30:BN31"/>
    <mergeCell ref="BX30:BX31"/>
    <mergeCell ref="BY30:BY31"/>
    <mergeCell ref="BU30:BU31"/>
    <mergeCell ref="BV30:BV31"/>
    <mergeCell ref="BW30:BW31"/>
    <mergeCell ref="AW28:AW29"/>
    <mergeCell ref="AX28:AX29"/>
    <mergeCell ref="BL28:BL29"/>
    <mergeCell ref="BM28:BM29"/>
    <mergeCell ref="BN28:BN29"/>
    <mergeCell ref="BO28:BQ29"/>
    <mergeCell ref="BS28:BS29"/>
    <mergeCell ref="BT28:BT29"/>
    <mergeCell ref="BO26:BQ27"/>
    <mergeCell ref="BS26:BS27"/>
    <mergeCell ref="BT26:BT27"/>
    <mergeCell ref="BU24:BU25"/>
    <mergeCell ref="BV24:BV25"/>
    <mergeCell ref="BW24:BW25"/>
    <mergeCell ref="BX24:BX25"/>
    <mergeCell ref="BY24:BY25"/>
    <mergeCell ref="AW26:AW27"/>
    <mergeCell ref="AX26:AX27"/>
    <mergeCell ref="BL26:BL27"/>
    <mergeCell ref="BM26:BM27"/>
    <mergeCell ref="BN26:BN27"/>
    <mergeCell ref="BX26:BX27"/>
    <mergeCell ref="BY26:BY27"/>
    <mergeCell ref="BU26:BU27"/>
    <mergeCell ref="BV26:BV27"/>
    <mergeCell ref="BW26:BW27"/>
    <mergeCell ref="AW24:AW25"/>
    <mergeCell ref="AX24:AX25"/>
    <mergeCell ref="BL24:BL25"/>
    <mergeCell ref="BM24:BM25"/>
    <mergeCell ref="BN24:BN25"/>
    <mergeCell ref="BO24:BQ25"/>
    <mergeCell ref="BS24:BS25"/>
    <mergeCell ref="BT24:BT25"/>
    <mergeCell ref="BO22:BQ23"/>
    <mergeCell ref="BS22:BS23"/>
    <mergeCell ref="BT22:BT23"/>
    <mergeCell ref="BU20:BU21"/>
    <mergeCell ref="BV20:BV21"/>
    <mergeCell ref="BW20:BW21"/>
    <mergeCell ref="BX20:BX21"/>
    <mergeCell ref="BY20:BY21"/>
    <mergeCell ref="AW22:AW23"/>
    <mergeCell ref="AX22:AX23"/>
    <mergeCell ref="BL22:BL23"/>
    <mergeCell ref="BM22:BM23"/>
    <mergeCell ref="BN22:BN23"/>
    <mergeCell ref="BX22:BX23"/>
    <mergeCell ref="BY22:BY23"/>
    <mergeCell ref="BU22:BU23"/>
    <mergeCell ref="BV22:BV23"/>
    <mergeCell ref="BW22:BW23"/>
    <mergeCell ref="AW20:AW21"/>
    <mergeCell ref="AX20:AX21"/>
    <mergeCell ref="BL20:BL21"/>
    <mergeCell ref="BM20:BM21"/>
    <mergeCell ref="BN20:BN21"/>
    <mergeCell ref="BO20:BQ21"/>
    <mergeCell ref="BS20:BS21"/>
    <mergeCell ref="BT20:BT21"/>
    <mergeCell ref="BO18:BQ19"/>
    <mergeCell ref="BS18:BS19"/>
    <mergeCell ref="BT18:BT19"/>
    <mergeCell ref="BU16:BU17"/>
    <mergeCell ref="BV16:BV17"/>
    <mergeCell ref="BW16:BW17"/>
    <mergeCell ref="BX16:BX17"/>
    <mergeCell ref="BY16:BY17"/>
    <mergeCell ref="AW18:AW19"/>
    <mergeCell ref="AX18:AX19"/>
    <mergeCell ref="BL18:BL19"/>
    <mergeCell ref="BM18:BM19"/>
    <mergeCell ref="BN18:BN19"/>
    <mergeCell ref="BX18:BX19"/>
    <mergeCell ref="BY18:BY19"/>
    <mergeCell ref="BU18:BU19"/>
    <mergeCell ref="BV18:BV19"/>
    <mergeCell ref="BW18:BW19"/>
    <mergeCell ref="AW16:AW17"/>
    <mergeCell ref="AX16:AX17"/>
    <mergeCell ref="BL16:BL17"/>
    <mergeCell ref="BM16:BM17"/>
    <mergeCell ref="BN16:BN17"/>
    <mergeCell ref="BO16:BQ17"/>
    <mergeCell ref="BS16:BS17"/>
    <mergeCell ref="BT16:BT17"/>
    <mergeCell ref="BO14:BQ15"/>
    <mergeCell ref="BS14:BS15"/>
    <mergeCell ref="BT14:BT15"/>
    <mergeCell ref="BX12:BX13"/>
    <mergeCell ref="BY12:BY13"/>
    <mergeCell ref="AW14:AW15"/>
    <mergeCell ref="AX14:AX15"/>
    <mergeCell ref="BL14:BL15"/>
    <mergeCell ref="BM14:BM15"/>
    <mergeCell ref="BN14:BN15"/>
    <mergeCell ref="BX14:BX15"/>
    <mergeCell ref="BY14:BY15"/>
    <mergeCell ref="BU14:BU15"/>
    <mergeCell ref="BV14:BV15"/>
    <mergeCell ref="BW14:BW15"/>
    <mergeCell ref="AW10:AW11"/>
    <mergeCell ref="AX10:AX11"/>
    <mergeCell ref="BL10:BL11"/>
    <mergeCell ref="BM10:BM11"/>
    <mergeCell ref="BN10:BN11"/>
    <mergeCell ref="BX10:BX11"/>
    <mergeCell ref="BY10:BY11"/>
    <mergeCell ref="AW12:AW13"/>
    <mergeCell ref="AX12:AX13"/>
    <mergeCell ref="BL12:BL13"/>
    <mergeCell ref="BM12:BM13"/>
    <mergeCell ref="BN12:BN13"/>
    <mergeCell ref="BO12:BQ13"/>
    <mergeCell ref="BS12:BS13"/>
    <mergeCell ref="BT12:BT13"/>
    <mergeCell ref="BO10:BQ11"/>
    <mergeCell ref="BS10:BS11"/>
    <mergeCell ref="BT10:BT11"/>
    <mergeCell ref="BU10:BU11"/>
    <mergeCell ref="BV10:BV11"/>
    <mergeCell ref="BW10:BW11"/>
    <mergeCell ref="BU12:BU13"/>
    <mergeCell ref="BV12:BV13"/>
    <mergeCell ref="BW12:BW13"/>
    <mergeCell ref="BY6:BY7"/>
    <mergeCell ref="AW8:AW9"/>
    <mergeCell ref="AX8:AX9"/>
    <mergeCell ref="BL8:BL9"/>
    <mergeCell ref="BM8:BM9"/>
    <mergeCell ref="BN8:BN9"/>
    <mergeCell ref="BO8:BQ9"/>
    <mergeCell ref="BS8:BS9"/>
    <mergeCell ref="BT8:BT9"/>
    <mergeCell ref="BO6:BQ7"/>
    <mergeCell ref="BS6:BS7"/>
    <mergeCell ref="BT6:BT7"/>
    <mergeCell ref="BU6:BU7"/>
    <mergeCell ref="BV6:BV7"/>
    <mergeCell ref="BW6:BW7"/>
    <mergeCell ref="BU8:BU9"/>
    <mergeCell ref="BV8:BV9"/>
    <mergeCell ref="BW8:BW9"/>
    <mergeCell ref="BX8:BX9"/>
    <mergeCell ref="BY8:BY9"/>
    <mergeCell ref="AQ6:AT6"/>
    <mergeCell ref="AW6:AW7"/>
    <mergeCell ref="AX6:AX7"/>
    <mergeCell ref="BL6:BL7"/>
    <mergeCell ref="BM6:BM7"/>
    <mergeCell ref="BN6:BN7"/>
    <mergeCell ref="BS4:BS5"/>
    <mergeCell ref="BT4:BW5"/>
    <mergeCell ref="BX4:BX5"/>
    <mergeCell ref="BX6:BX7"/>
    <mergeCell ref="BY4:BY5"/>
    <mergeCell ref="CB4:CB5"/>
    <mergeCell ref="AZ5:BC5"/>
    <mergeCell ref="AX4:AX5"/>
    <mergeCell ref="AZ4:BC4"/>
    <mergeCell ref="BL4:BL5"/>
    <mergeCell ref="BM4:BM5"/>
    <mergeCell ref="BN4:BN5"/>
    <mergeCell ref="BO4:BQ5"/>
    <mergeCell ref="B4:O4"/>
    <mergeCell ref="P4:Q4"/>
    <mergeCell ref="R4:AA4"/>
    <mergeCell ref="AB4:AD4"/>
    <mergeCell ref="AE4:AP4"/>
    <mergeCell ref="AW4:AW5"/>
    <mergeCell ref="BS2:BS3"/>
    <mergeCell ref="BT2:BT3"/>
    <mergeCell ref="BU2:BW3"/>
    <mergeCell ref="BX2:BX3"/>
    <mergeCell ref="BY2:BY3"/>
    <mergeCell ref="B3:K3"/>
    <mergeCell ref="O3:R3"/>
    <mergeCell ref="S3:U3"/>
    <mergeCell ref="V3:Y3"/>
    <mergeCell ref="Z3:AB3"/>
    <mergeCell ref="B2:AP2"/>
    <mergeCell ref="AW2:BN3"/>
    <mergeCell ref="BO2:BO3"/>
    <mergeCell ref="BP2:BP3"/>
    <mergeCell ref="BQ2:BQ3"/>
    <mergeCell ref="BR2:BR3"/>
    <mergeCell ref="AC3:AH3"/>
    <mergeCell ref="AJ3:AP3"/>
  </mergeCells>
  <dataValidations count="4">
    <dataValidation type="list" allowBlank="1" showInputMessage="1" showErrorMessage="1" sqref="B73">
      <formula1>$B$98:$B$101</formula1>
    </dataValidation>
    <dataValidation type="list" allowBlank="1" showInputMessage="1" showErrorMessage="1" sqref="Q6:Q66">
      <formula1>"R"</formula1>
    </dataValidation>
    <dataValidation type="decimal" operator="greaterThanOrEqual" allowBlank="1" showInputMessage="1" showErrorMessage="1" sqref="BH6:BM127 BY6:BY1048576">
      <formula1>0</formula1>
    </dataValidation>
    <dataValidation type="time" allowBlank="1" showInputMessage="1" showErrorMessage="1" sqref="BN6:BN127">
      <formula1>0</formula1>
      <formula2>0.999988425925926</formula2>
    </dataValidation>
  </dataValidations>
  <pageMargins left="0.25" right="0.25" top="0.75" bottom="0.75" header="0.3" footer="0.3"/>
  <pageSetup paperSize="8" scale="16" orientation="landscape" r:id="rId1"/>
  <ignoredErrors>
    <ignoredError sqref="AF6 AF7:AF25 AF26:AF66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P159"/>
  <sheetViews>
    <sheetView topLeftCell="AI36" workbookViewId="0">
      <selection activeCell="AS46" sqref="AS46:CP159"/>
    </sheetView>
  </sheetViews>
  <sheetFormatPr defaultRowHeight="15"/>
  <cols>
    <col min="1" max="1" width="5.140625" bestFit="1" customWidth="1"/>
    <col min="2" max="2" width="12" bestFit="1" customWidth="1"/>
    <col min="3" max="3" width="9.140625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0.28515625" bestFit="1" customWidth="1"/>
    <col min="45" max="45" width="11.42578125" bestFit="1" customWidth="1"/>
  </cols>
  <sheetData>
    <row r="1" spans="1:94">
      <c r="A1" s="135" t="s">
        <v>126</v>
      </c>
      <c r="B1" s="135" t="s">
        <v>127</v>
      </c>
      <c r="C1" s="135" t="s">
        <v>128</v>
      </c>
      <c r="D1" s="135" t="s">
        <v>49</v>
      </c>
      <c r="E1" s="135" t="s">
        <v>129</v>
      </c>
      <c r="F1" s="135" t="s">
        <v>130</v>
      </c>
      <c r="G1" s="135" t="s">
        <v>131</v>
      </c>
      <c r="H1" s="135" t="s">
        <v>132</v>
      </c>
      <c r="I1" s="135" t="s">
        <v>133</v>
      </c>
      <c r="J1" s="135" t="s">
        <v>134</v>
      </c>
      <c r="K1" s="135" t="s">
        <v>135</v>
      </c>
      <c r="L1" s="135" t="s">
        <v>136</v>
      </c>
      <c r="M1" s="135" t="s">
        <v>137</v>
      </c>
      <c r="N1" s="135" t="s">
        <v>138</v>
      </c>
      <c r="O1" s="135" t="s">
        <v>139</v>
      </c>
      <c r="P1" s="135" t="s">
        <v>140</v>
      </c>
      <c r="Q1" s="135" t="s">
        <v>141</v>
      </c>
      <c r="R1" s="135" t="s">
        <v>58</v>
      </c>
      <c r="S1" s="135" t="s">
        <v>142</v>
      </c>
      <c r="T1" s="143" t="s">
        <v>143</v>
      </c>
      <c r="U1" s="143" t="s">
        <v>144</v>
      </c>
      <c r="V1" s="143" t="s">
        <v>145</v>
      </c>
      <c r="W1" s="143" t="s">
        <v>146</v>
      </c>
      <c r="X1" s="143" t="s">
        <v>147</v>
      </c>
      <c r="Y1" s="143" t="s">
        <v>148</v>
      </c>
      <c r="Z1" s="143" t="s">
        <v>149</v>
      </c>
      <c r="AA1" s="143" t="s">
        <v>150</v>
      </c>
      <c r="AB1" s="143" t="s">
        <v>153</v>
      </c>
    </row>
    <row r="2" spans="1:94">
      <c r="AS2" s="206">
        <f>Sheet1!EI6</f>
        <v>0</v>
      </c>
      <c r="AT2" s="206">
        <f>Sheet1!EJ6</f>
        <v>0</v>
      </c>
      <c r="AU2" s="206" t="str">
        <f>Sheet1!EK6</f>
        <v/>
      </c>
      <c r="AV2" s="206">
        <f>Sheet1!EL6</f>
        <v>0</v>
      </c>
      <c r="AW2" s="206" t="e">
        <f>(AV2-AU2)*1440</f>
        <v>#VALUE!</v>
      </c>
      <c r="AX2" s="206">
        <f>Sheet1!EM6</f>
        <v>0</v>
      </c>
      <c r="AY2" s="206">
        <f>Sheet1!EN6</f>
        <v>0</v>
      </c>
      <c r="AZ2" s="206">
        <f>Sheet1!EO6</f>
        <v>0</v>
      </c>
      <c r="BA2" s="206">
        <f>Sheet1!EP6</f>
        <v>0</v>
      </c>
      <c r="BB2" s="206">
        <f>(BA2-AZ2)*1440</f>
        <v>0</v>
      </c>
      <c r="BC2" s="206">
        <f>Sheet1!EQ6</f>
        <v>0</v>
      </c>
      <c r="BD2" s="206">
        <f>Sheet1!ER6</f>
        <v>0</v>
      </c>
      <c r="BE2" s="206">
        <f>Sheet1!ES6</f>
        <v>0</v>
      </c>
      <c r="BF2" s="206">
        <f>Sheet1!ET6</f>
        <v>0</v>
      </c>
      <c r="BG2" s="206">
        <f>(BF2-BE2)*1440</f>
        <v>0</v>
      </c>
      <c r="BH2" s="206">
        <f>Sheet1!EU6</f>
        <v>0</v>
      </c>
      <c r="BI2" s="206">
        <f>Sheet1!EV6</f>
        <v>0</v>
      </c>
      <c r="BJ2" s="206">
        <f>Sheet1!EW6</f>
        <v>0</v>
      </c>
      <c r="BK2" s="206">
        <f>Sheet1!EX6</f>
        <v>0</v>
      </c>
      <c r="BL2" s="206">
        <f>(BK2-BJ2)*1440</f>
        <v>0</v>
      </c>
      <c r="BM2" s="206">
        <f>Sheet1!EY6</f>
        <v>0</v>
      </c>
      <c r="BN2" s="206">
        <f>Sheet1!EZ6</f>
        <v>0</v>
      </c>
      <c r="BO2" s="206">
        <f>Sheet1!FA6</f>
        <v>0</v>
      </c>
      <c r="BP2" s="206">
        <f>Sheet1!FB6</f>
        <v>0</v>
      </c>
      <c r="BQ2" s="206">
        <f>(BP2-BO2)*1440</f>
        <v>0</v>
      </c>
      <c r="BR2" s="206">
        <f>Sheet1!FC6</f>
        <v>0</v>
      </c>
      <c r="BS2" s="206">
        <f>Sheet1!FD6</f>
        <v>0</v>
      </c>
      <c r="BT2" s="206">
        <f>Sheet1!FE6</f>
        <v>0</v>
      </c>
      <c r="BU2" s="206">
        <f>Sheet1!FF6</f>
        <v>0</v>
      </c>
      <c r="BV2" s="206">
        <f t="shared" ref="BV2" si="0">(BU2-BT2)*1440</f>
        <v>0</v>
      </c>
      <c r="BW2" s="206">
        <f>Sheet1!FG6</f>
        <v>0</v>
      </c>
      <c r="BX2" s="206">
        <f>Sheet1!FH6</f>
        <v>0</v>
      </c>
      <c r="BY2" s="206">
        <f>Sheet1!FI6</f>
        <v>0</v>
      </c>
      <c r="BZ2" s="206">
        <f>Sheet1!FJ6</f>
        <v>0</v>
      </c>
      <c r="CA2" s="206">
        <f>(BZ2-BY2)*1440</f>
        <v>0</v>
      </c>
      <c r="CB2" s="206">
        <f>Sheet1!FK6</f>
        <v>0</v>
      </c>
      <c r="CC2" s="206">
        <f>Sheet1!FL6</f>
        <v>0</v>
      </c>
      <c r="CD2" s="206">
        <f>Sheet1!FM6</f>
        <v>0</v>
      </c>
      <c r="CE2" s="206">
        <f>Sheet1!FN6</f>
        <v>0</v>
      </c>
      <c r="CF2" s="206">
        <f>(CE2-CD2)*1440</f>
        <v>0</v>
      </c>
      <c r="CG2" s="206">
        <f>IF(AS2="BT",AW2,0)</f>
        <v>0</v>
      </c>
      <c r="CH2" s="206">
        <f>IF(AX2="BT",BB2,0)</f>
        <v>0</v>
      </c>
      <c r="CI2" s="206">
        <f>IF(BC2="BT",BG2,0)</f>
        <v>0</v>
      </c>
      <c r="CJ2" s="206">
        <f>IF(BH2="BT",BL2,0)</f>
        <v>0</v>
      </c>
      <c r="CK2" s="206">
        <f>IF(BM2="BT",BQ2,0)</f>
        <v>0</v>
      </c>
      <c r="CL2" s="206">
        <f>IF(BR2="BT",BV2,0)</f>
        <v>0</v>
      </c>
      <c r="CM2" s="206">
        <f>IF(BW2="BT",CA2,0)</f>
        <v>0</v>
      </c>
      <c r="CN2" s="206">
        <f>IF(CB2="BT",CF2,0)</f>
        <v>0</v>
      </c>
      <c r="CO2" s="206">
        <f>SUM(CG2:CN2)</f>
        <v>0</v>
      </c>
      <c r="CP2" s="206" t="e">
        <f>SUM(AW2,BB2,BG2,BL2,BQ2,BV2,CA2,CF2)-CO2</f>
        <v>#VALUE!</v>
      </c>
    </row>
    <row r="3" spans="1:94">
      <c r="AS3" s="206">
        <f>Sheet1!EI7</f>
        <v>0</v>
      </c>
      <c r="AT3" s="206">
        <f>Sheet1!EJ7</f>
        <v>0</v>
      </c>
      <c r="AU3" s="206">
        <f>Sheet1!EK7</f>
        <v>0</v>
      </c>
      <c r="AV3" s="206">
        <f>Sheet1!EL7</f>
        <v>0</v>
      </c>
      <c r="AW3" s="206">
        <f t="shared" ref="AW3:AW46" si="1">(AV3-AU3)*1440</f>
        <v>0</v>
      </c>
      <c r="AX3" s="206">
        <f>Sheet1!EM7</f>
        <v>0</v>
      </c>
      <c r="AY3" s="206">
        <f>Sheet1!EN7</f>
        <v>0</v>
      </c>
      <c r="AZ3" s="206">
        <f>Sheet1!EO7</f>
        <v>0</v>
      </c>
      <c r="BA3" s="206">
        <f>Sheet1!EP7</f>
        <v>0</v>
      </c>
      <c r="BB3" s="206">
        <f t="shared" ref="BB3:BB46" si="2">(BA3-AZ3)*1440</f>
        <v>0</v>
      </c>
      <c r="BC3" s="206">
        <f>Sheet1!EQ7</f>
        <v>0</v>
      </c>
      <c r="BD3" s="206">
        <f>Sheet1!ER7</f>
        <v>0</v>
      </c>
      <c r="BE3" s="206">
        <f>Sheet1!ES7</f>
        <v>0</v>
      </c>
      <c r="BF3" s="206">
        <f>Sheet1!ET7</f>
        <v>0</v>
      </c>
      <c r="BG3" s="206">
        <f t="shared" ref="BG3:BG46" si="3">(BF3-BE3)*1440</f>
        <v>0</v>
      </c>
      <c r="BH3" s="206">
        <f>Sheet1!EU7</f>
        <v>0</v>
      </c>
      <c r="BI3" s="206">
        <f>Sheet1!EV7</f>
        <v>0</v>
      </c>
      <c r="BJ3" s="206">
        <f>Sheet1!EW7</f>
        <v>0</v>
      </c>
      <c r="BK3" s="206">
        <f>Sheet1!EX7</f>
        <v>0</v>
      </c>
      <c r="BL3" s="206">
        <f t="shared" ref="BL3:BL46" si="4">(BK3-BJ3)*1440</f>
        <v>0</v>
      </c>
      <c r="BM3" s="206">
        <f>Sheet1!EY7</f>
        <v>0</v>
      </c>
      <c r="BN3" s="206">
        <f>Sheet1!EZ7</f>
        <v>0</v>
      </c>
      <c r="BO3" s="206">
        <f>Sheet1!FA7</f>
        <v>0</v>
      </c>
      <c r="BP3" s="206">
        <f>Sheet1!FB7</f>
        <v>0</v>
      </c>
      <c r="BQ3" s="206">
        <f t="shared" ref="BQ3:BQ46" si="5">(BP3-BO3)*1440</f>
        <v>0</v>
      </c>
      <c r="BR3" s="206">
        <f>Sheet1!FC7</f>
        <v>0</v>
      </c>
      <c r="BS3" s="206">
        <f>Sheet1!FD7</f>
        <v>0</v>
      </c>
      <c r="BT3" s="206">
        <f>Sheet1!FE7</f>
        <v>0</v>
      </c>
      <c r="BU3" s="206">
        <f>Sheet1!FF7</f>
        <v>0</v>
      </c>
      <c r="BV3" s="206">
        <f t="shared" ref="BV3:BV46" si="6">(BU3-BT3)*1440</f>
        <v>0</v>
      </c>
      <c r="BW3" s="206">
        <f>Sheet1!FG7</f>
        <v>0</v>
      </c>
      <c r="BX3" s="206">
        <f>Sheet1!FH7</f>
        <v>0</v>
      </c>
      <c r="BY3" s="206">
        <f>Sheet1!FI7</f>
        <v>0</v>
      </c>
      <c r="BZ3" s="206">
        <f>Sheet1!FJ7</f>
        <v>0</v>
      </c>
      <c r="CA3" s="206">
        <f t="shared" ref="CA3:CA46" si="7">(BZ3-BY3)*1440</f>
        <v>0</v>
      </c>
      <c r="CB3" s="206">
        <f>Sheet1!FK7</f>
        <v>0</v>
      </c>
      <c r="CC3" s="206">
        <f>Sheet1!FL7</f>
        <v>0</v>
      </c>
      <c r="CD3" s="206">
        <f>Sheet1!FM7</f>
        <v>0</v>
      </c>
      <c r="CE3" s="206">
        <f>Sheet1!FN7</f>
        <v>0</v>
      </c>
      <c r="CF3" s="206">
        <f t="shared" ref="CF3:CF46" si="8">(CE3-CD3)*1440</f>
        <v>0</v>
      </c>
      <c r="CG3" s="206">
        <f t="shared" ref="CG3:CG46" si="9">IF(AS3="BT",AW3,0)</f>
        <v>0</v>
      </c>
      <c r="CH3" s="206">
        <f t="shared" ref="CH3:CH46" si="10">IF(AX3="BT",BB3,0)</f>
        <v>0</v>
      </c>
      <c r="CI3" s="206">
        <f t="shared" ref="CI3:CI46" si="11">IF(BC3="BT",BG3,0)</f>
        <v>0</v>
      </c>
      <c r="CJ3" s="206">
        <f t="shared" ref="CJ3:CJ46" si="12">IF(BH3="BT",BL3,0)</f>
        <v>0</v>
      </c>
      <c r="CK3" s="206">
        <f t="shared" ref="CK3:CK46" si="13">IF(BM3="BT",BQ3,0)</f>
        <v>0</v>
      </c>
      <c r="CL3" s="206">
        <f t="shared" ref="CL3:CL46" si="14">IF(BR3="BT",BV3,0)</f>
        <v>0</v>
      </c>
      <c r="CM3" s="206">
        <f t="shared" ref="CM3:CM46" si="15">IF(BW3="BT",CA3,0)</f>
        <v>0</v>
      </c>
      <c r="CN3" s="206">
        <f t="shared" ref="CN3:CN46" si="16">IF(CB3="BT",CF3,0)</f>
        <v>0</v>
      </c>
      <c r="CO3" s="206">
        <f t="shared" ref="CO3:CO46" si="17">SUM(CG3:CN3)</f>
        <v>0</v>
      </c>
      <c r="CP3" s="206">
        <f t="shared" ref="CP3:CP46" si="18">SUM(AW3,BB3,BG3,BL3,BQ3,BV3,CA3,CF3)-CO3</f>
        <v>0</v>
      </c>
    </row>
    <row r="4" spans="1:94">
      <c r="AS4" s="206">
        <f>Sheet1!EI8</f>
        <v>0</v>
      </c>
      <c r="AT4" s="206">
        <f>Sheet1!EJ8</f>
        <v>0</v>
      </c>
      <c r="AU4" s="206">
        <f>Sheet1!EK8</f>
        <v>0</v>
      </c>
      <c r="AV4" s="206">
        <f>Sheet1!EL8</f>
        <v>0</v>
      </c>
      <c r="AW4" s="206">
        <f t="shared" si="1"/>
        <v>0</v>
      </c>
      <c r="AX4" s="206">
        <f>Sheet1!EM8</f>
        <v>0</v>
      </c>
      <c r="AY4" s="206">
        <f>Sheet1!EN8</f>
        <v>0</v>
      </c>
      <c r="AZ4" s="206">
        <f>Sheet1!EO8</f>
        <v>0</v>
      </c>
      <c r="BA4" s="206">
        <f>Sheet1!EP8</f>
        <v>0</v>
      </c>
      <c r="BB4" s="206">
        <f t="shared" si="2"/>
        <v>0</v>
      </c>
      <c r="BC4" s="206">
        <f>Sheet1!EQ8</f>
        <v>0</v>
      </c>
      <c r="BD4" s="206">
        <f>Sheet1!ER8</f>
        <v>0</v>
      </c>
      <c r="BE4" s="206">
        <f>Sheet1!ES8</f>
        <v>0</v>
      </c>
      <c r="BF4" s="206">
        <f>Sheet1!ET8</f>
        <v>0</v>
      </c>
      <c r="BG4" s="206">
        <f t="shared" si="3"/>
        <v>0</v>
      </c>
      <c r="BH4" s="206">
        <f>Sheet1!EU8</f>
        <v>0</v>
      </c>
      <c r="BI4" s="206">
        <f>Sheet1!EV8</f>
        <v>0</v>
      </c>
      <c r="BJ4" s="206">
        <f>Sheet1!EW8</f>
        <v>0</v>
      </c>
      <c r="BK4" s="206">
        <f>Sheet1!EX8</f>
        <v>0</v>
      </c>
      <c r="BL4" s="206">
        <f t="shared" si="4"/>
        <v>0</v>
      </c>
      <c r="BM4" s="206">
        <f>Sheet1!EY8</f>
        <v>0</v>
      </c>
      <c r="BN4" s="206">
        <f>Sheet1!EZ8</f>
        <v>0</v>
      </c>
      <c r="BO4" s="206">
        <f>Sheet1!FA8</f>
        <v>0</v>
      </c>
      <c r="BP4" s="206">
        <f>Sheet1!FB8</f>
        <v>0</v>
      </c>
      <c r="BQ4" s="206">
        <f t="shared" si="5"/>
        <v>0</v>
      </c>
      <c r="BR4" s="206">
        <f>Sheet1!FC8</f>
        <v>0</v>
      </c>
      <c r="BS4" s="206">
        <f>Sheet1!FD8</f>
        <v>0</v>
      </c>
      <c r="BT4" s="206">
        <f>Sheet1!FE8</f>
        <v>0</v>
      </c>
      <c r="BU4" s="206">
        <f>Sheet1!FF8</f>
        <v>0</v>
      </c>
      <c r="BV4" s="206">
        <f t="shared" si="6"/>
        <v>0</v>
      </c>
      <c r="BW4" s="206">
        <f>Sheet1!FG8</f>
        <v>0</v>
      </c>
      <c r="BX4" s="206">
        <f>Sheet1!FH8</f>
        <v>0</v>
      </c>
      <c r="BY4" s="206">
        <f>Sheet1!FI8</f>
        <v>0</v>
      </c>
      <c r="BZ4" s="206">
        <f>Sheet1!FJ8</f>
        <v>0</v>
      </c>
      <c r="CA4" s="206">
        <f t="shared" si="7"/>
        <v>0</v>
      </c>
      <c r="CB4" s="206">
        <f>Sheet1!FK8</f>
        <v>0</v>
      </c>
      <c r="CC4" s="206">
        <f>Sheet1!FL8</f>
        <v>0</v>
      </c>
      <c r="CD4" s="206">
        <f>Sheet1!FM8</f>
        <v>0</v>
      </c>
      <c r="CE4" s="206">
        <f>Sheet1!FN8</f>
        <v>0</v>
      </c>
      <c r="CF4" s="206">
        <f t="shared" si="8"/>
        <v>0</v>
      </c>
      <c r="CG4" s="206">
        <f t="shared" si="9"/>
        <v>0</v>
      </c>
      <c r="CH4" s="206">
        <f t="shared" si="10"/>
        <v>0</v>
      </c>
      <c r="CI4" s="206">
        <f t="shared" si="11"/>
        <v>0</v>
      </c>
      <c r="CJ4" s="206">
        <f t="shared" si="12"/>
        <v>0</v>
      </c>
      <c r="CK4" s="206">
        <f t="shared" si="13"/>
        <v>0</v>
      </c>
      <c r="CL4" s="206">
        <f t="shared" si="14"/>
        <v>0</v>
      </c>
      <c r="CM4" s="206">
        <f t="shared" si="15"/>
        <v>0</v>
      </c>
      <c r="CN4" s="206">
        <f t="shared" si="16"/>
        <v>0</v>
      </c>
      <c r="CO4" s="206">
        <f t="shared" si="17"/>
        <v>0</v>
      </c>
      <c r="CP4" s="206">
        <f t="shared" si="18"/>
        <v>0</v>
      </c>
    </row>
    <row r="5" spans="1:94">
      <c r="AS5" s="206">
        <f>Sheet1!EI9</f>
        <v>0</v>
      </c>
      <c r="AT5" s="206">
        <f>Sheet1!EJ9</f>
        <v>0</v>
      </c>
      <c r="AU5" s="206">
        <f>Sheet1!EK9</f>
        <v>0</v>
      </c>
      <c r="AV5" s="206">
        <f>Sheet1!EL9</f>
        <v>0</v>
      </c>
      <c r="AW5" s="206">
        <f t="shared" si="1"/>
        <v>0</v>
      </c>
      <c r="AX5" s="206">
        <f>Sheet1!EM9</f>
        <v>0</v>
      </c>
      <c r="AY5" s="206">
        <f>Sheet1!EN9</f>
        <v>0</v>
      </c>
      <c r="AZ5" s="206">
        <f>Sheet1!EO9</f>
        <v>0</v>
      </c>
      <c r="BA5" s="206">
        <f>Sheet1!EP9</f>
        <v>0</v>
      </c>
      <c r="BB5" s="206">
        <f t="shared" si="2"/>
        <v>0</v>
      </c>
      <c r="BC5" s="206">
        <f>Sheet1!EQ9</f>
        <v>0</v>
      </c>
      <c r="BD5" s="206">
        <f>Sheet1!ER9</f>
        <v>0</v>
      </c>
      <c r="BE5" s="206">
        <f>Sheet1!ES9</f>
        <v>0</v>
      </c>
      <c r="BF5" s="206">
        <f>Sheet1!ET9</f>
        <v>0</v>
      </c>
      <c r="BG5" s="206">
        <f t="shared" si="3"/>
        <v>0</v>
      </c>
      <c r="BH5" s="206">
        <f>Sheet1!EU9</f>
        <v>0</v>
      </c>
      <c r="BI5" s="206">
        <f>Sheet1!EV9</f>
        <v>0</v>
      </c>
      <c r="BJ5" s="206">
        <f>Sheet1!EW9</f>
        <v>0</v>
      </c>
      <c r="BK5" s="206">
        <f>Sheet1!EX9</f>
        <v>0</v>
      </c>
      <c r="BL5" s="206">
        <f t="shared" si="4"/>
        <v>0</v>
      </c>
      <c r="BM5" s="206">
        <f>Sheet1!EY9</f>
        <v>0</v>
      </c>
      <c r="BN5" s="206">
        <f>Sheet1!EZ9</f>
        <v>0</v>
      </c>
      <c r="BO5" s="206">
        <f>Sheet1!FA9</f>
        <v>0</v>
      </c>
      <c r="BP5" s="206">
        <f>Sheet1!FB9</f>
        <v>0</v>
      </c>
      <c r="BQ5" s="206">
        <f t="shared" si="5"/>
        <v>0</v>
      </c>
      <c r="BR5" s="206">
        <f>Sheet1!FC9</f>
        <v>0</v>
      </c>
      <c r="BS5" s="206">
        <f>Sheet1!FD9</f>
        <v>0</v>
      </c>
      <c r="BT5" s="206">
        <f>Sheet1!FE9</f>
        <v>0</v>
      </c>
      <c r="BU5" s="206">
        <f>Sheet1!FF9</f>
        <v>0</v>
      </c>
      <c r="BV5" s="206">
        <f t="shared" si="6"/>
        <v>0</v>
      </c>
      <c r="BW5" s="206">
        <f>Sheet1!FG9</f>
        <v>0</v>
      </c>
      <c r="BX5" s="206">
        <f>Sheet1!FH9</f>
        <v>0</v>
      </c>
      <c r="BY5" s="206">
        <f>Sheet1!FI9</f>
        <v>0</v>
      </c>
      <c r="BZ5" s="206">
        <f>Sheet1!FJ9</f>
        <v>0</v>
      </c>
      <c r="CA5" s="206">
        <f t="shared" si="7"/>
        <v>0</v>
      </c>
      <c r="CB5" s="206">
        <f>Sheet1!FK9</f>
        <v>0</v>
      </c>
      <c r="CC5" s="206">
        <f>Sheet1!FL9</f>
        <v>0</v>
      </c>
      <c r="CD5" s="206">
        <f>Sheet1!FM9</f>
        <v>0</v>
      </c>
      <c r="CE5" s="206">
        <f>Sheet1!FN9</f>
        <v>0</v>
      </c>
      <c r="CF5" s="206">
        <f t="shared" si="8"/>
        <v>0</v>
      </c>
      <c r="CG5" s="206">
        <f t="shared" si="9"/>
        <v>0</v>
      </c>
      <c r="CH5" s="206">
        <f t="shared" si="10"/>
        <v>0</v>
      </c>
      <c r="CI5" s="206">
        <f t="shared" si="11"/>
        <v>0</v>
      </c>
      <c r="CJ5" s="206">
        <f t="shared" si="12"/>
        <v>0</v>
      </c>
      <c r="CK5" s="206">
        <f t="shared" si="13"/>
        <v>0</v>
      </c>
      <c r="CL5" s="206">
        <f t="shared" si="14"/>
        <v>0</v>
      </c>
      <c r="CM5" s="206">
        <f t="shared" si="15"/>
        <v>0</v>
      </c>
      <c r="CN5" s="206">
        <f t="shared" si="16"/>
        <v>0</v>
      </c>
      <c r="CO5" s="206">
        <f t="shared" si="17"/>
        <v>0</v>
      </c>
      <c r="CP5" s="206">
        <f t="shared" si="18"/>
        <v>0</v>
      </c>
    </row>
    <row r="6" spans="1:94">
      <c r="AS6" s="206">
        <f>Sheet1!EI10</f>
        <v>0</v>
      </c>
      <c r="AT6" s="206">
        <f>Sheet1!EJ10</f>
        <v>0</v>
      </c>
      <c r="AU6" s="206">
        <f>Sheet1!EK10</f>
        <v>0</v>
      </c>
      <c r="AV6" s="206">
        <f>Sheet1!EL10</f>
        <v>0</v>
      </c>
      <c r="AW6" s="206">
        <f t="shared" si="1"/>
        <v>0</v>
      </c>
      <c r="AX6" s="206">
        <f>Sheet1!EM10</f>
        <v>0</v>
      </c>
      <c r="AY6" s="206">
        <f>Sheet1!EN10</f>
        <v>0</v>
      </c>
      <c r="AZ6" s="206">
        <f>Sheet1!EO10</f>
        <v>0</v>
      </c>
      <c r="BA6" s="206">
        <f>Sheet1!EP10</f>
        <v>0</v>
      </c>
      <c r="BB6" s="206">
        <f t="shared" si="2"/>
        <v>0</v>
      </c>
      <c r="BC6" s="206">
        <f>Sheet1!EQ10</f>
        <v>0</v>
      </c>
      <c r="BD6" s="206">
        <f>Sheet1!ER10</f>
        <v>0</v>
      </c>
      <c r="BE6" s="206">
        <f>Sheet1!ES10</f>
        <v>0</v>
      </c>
      <c r="BF6" s="206">
        <f>Sheet1!ET10</f>
        <v>0</v>
      </c>
      <c r="BG6" s="206">
        <f t="shared" si="3"/>
        <v>0</v>
      </c>
      <c r="BH6" s="206">
        <f>Sheet1!EU10</f>
        <v>0</v>
      </c>
      <c r="BI6" s="206">
        <f>Sheet1!EV10</f>
        <v>0</v>
      </c>
      <c r="BJ6" s="206">
        <f>Sheet1!EW10</f>
        <v>0</v>
      </c>
      <c r="BK6" s="206">
        <f>Sheet1!EX10</f>
        <v>0</v>
      </c>
      <c r="BL6" s="206">
        <f t="shared" si="4"/>
        <v>0</v>
      </c>
      <c r="BM6" s="206">
        <f>Sheet1!EY10</f>
        <v>0</v>
      </c>
      <c r="BN6" s="206">
        <f>Sheet1!EZ10</f>
        <v>0</v>
      </c>
      <c r="BO6" s="206">
        <f>Sheet1!FA10</f>
        <v>0</v>
      </c>
      <c r="BP6" s="206">
        <f>Sheet1!FB10</f>
        <v>0</v>
      </c>
      <c r="BQ6" s="206">
        <f t="shared" si="5"/>
        <v>0</v>
      </c>
      <c r="BR6" s="206">
        <f>Sheet1!FC10</f>
        <v>0</v>
      </c>
      <c r="BS6" s="206">
        <f>Sheet1!FD10</f>
        <v>0</v>
      </c>
      <c r="BT6" s="206">
        <f>Sheet1!FE10</f>
        <v>0</v>
      </c>
      <c r="BU6" s="206">
        <f>Sheet1!FF10</f>
        <v>0</v>
      </c>
      <c r="BV6" s="206">
        <f t="shared" si="6"/>
        <v>0</v>
      </c>
      <c r="BW6" s="206">
        <f>Sheet1!FG10</f>
        <v>0</v>
      </c>
      <c r="BX6" s="206">
        <f>Sheet1!FH10</f>
        <v>0</v>
      </c>
      <c r="BY6" s="206">
        <f>Sheet1!FI10</f>
        <v>0</v>
      </c>
      <c r="BZ6" s="206">
        <f>Sheet1!FJ10</f>
        <v>0</v>
      </c>
      <c r="CA6" s="206">
        <f t="shared" si="7"/>
        <v>0</v>
      </c>
      <c r="CB6" s="206">
        <f>Sheet1!FK10</f>
        <v>0</v>
      </c>
      <c r="CC6" s="206">
        <f>Sheet1!FL10</f>
        <v>0</v>
      </c>
      <c r="CD6" s="206">
        <f>Sheet1!FM10</f>
        <v>0</v>
      </c>
      <c r="CE6" s="206">
        <f>Sheet1!FN10</f>
        <v>0</v>
      </c>
      <c r="CF6" s="206">
        <f t="shared" si="8"/>
        <v>0</v>
      </c>
      <c r="CG6" s="206">
        <f t="shared" si="9"/>
        <v>0</v>
      </c>
      <c r="CH6" s="206">
        <f t="shared" si="10"/>
        <v>0</v>
      </c>
      <c r="CI6" s="206">
        <f t="shared" si="11"/>
        <v>0</v>
      </c>
      <c r="CJ6" s="206">
        <f t="shared" si="12"/>
        <v>0</v>
      </c>
      <c r="CK6" s="206">
        <f t="shared" si="13"/>
        <v>0</v>
      </c>
      <c r="CL6" s="206">
        <f t="shared" si="14"/>
        <v>0</v>
      </c>
      <c r="CM6" s="206">
        <f t="shared" si="15"/>
        <v>0</v>
      </c>
      <c r="CN6" s="206">
        <f t="shared" si="16"/>
        <v>0</v>
      </c>
      <c r="CO6" s="206">
        <f t="shared" si="17"/>
        <v>0</v>
      </c>
      <c r="CP6" s="206">
        <f t="shared" si="18"/>
        <v>0</v>
      </c>
    </row>
    <row r="7" spans="1:94">
      <c r="AS7" s="206">
        <f>Sheet1!EI11</f>
        <v>0</v>
      </c>
      <c r="AT7" s="206">
        <f>Sheet1!EJ11</f>
        <v>0</v>
      </c>
      <c r="AU7" s="206">
        <f>Sheet1!EK11</f>
        <v>0</v>
      </c>
      <c r="AV7" s="206">
        <f>Sheet1!EL11</f>
        <v>0</v>
      </c>
      <c r="AW7" s="206">
        <f t="shared" si="1"/>
        <v>0</v>
      </c>
      <c r="AX7" s="206">
        <f>Sheet1!EM11</f>
        <v>0</v>
      </c>
      <c r="AY7" s="206">
        <f>Sheet1!EN11</f>
        <v>0</v>
      </c>
      <c r="AZ7" s="206">
        <f>Sheet1!EO11</f>
        <v>0</v>
      </c>
      <c r="BA7" s="206">
        <f>Sheet1!EP11</f>
        <v>0</v>
      </c>
      <c r="BB7" s="206">
        <f t="shared" si="2"/>
        <v>0</v>
      </c>
      <c r="BC7" s="206">
        <f>Sheet1!EQ11</f>
        <v>0</v>
      </c>
      <c r="BD7" s="206">
        <f>Sheet1!ER11</f>
        <v>0</v>
      </c>
      <c r="BE7" s="206">
        <f>Sheet1!ES11</f>
        <v>0</v>
      </c>
      <c r="BF7" s="206">
        <f>Sheet1!ET11</f>
        <v>0</v>
      </c>
      <c r="BG7" s="206">
        <f t="shared" si="3"/>
        <v>0</v>
      </c>
      <c r="BH7" s="206">
        <f>Sheet1!EU11</f>
        <v>0</v>
      </c>
      <c r="BI7" s="206">
        <f>Sheet1!EV11</f>
        <v>0</v>
      </c>
      <c r="BJ7" s="206">
        <f>Sheet1!EW11</f>
        <v>0</v>
      </c>
      <c r="BK7" s="206">
        <f>Sheet1!EX11</f>
        <v>0</v>
      </c>
      <c r="BL7" s="206">
        <f t="shared" si="4"/>
        <v>0</v>
      </c>
      <c r="BM7" s="206">
        <f>Sheet1!EY11</f>
        <v>0</v>
      </c>
      <c r="BN7" s="206">
        <f>Sheet1!EZ11</f>
        <v>0</v>
      </c>
      <c r="BO7" s="206">
        <f>Sheet1!FA11</f>
        <v>0</v>
      </c>
      <c r="BP7" s="206">
        <f>Sheet1!FB11</f>
        <v>0</v>
      </c>
      <c r="BQ7" s="206">
        <f t="shared" si="5"/>
        <v>0</v>
      </c>
      <c r="BR7" s="206">
        <f>Sheet1!FC11</f>
        <v>0</v>
      </c>
      <c r="BS7" s="206">
        <f>Sheet1!FD11</f>
        <v>0</v>
      </c>
      <c r="BT7" s="206">
        <f>Sheet1!FE11</f>
        <v>0</v>
      </c>
      <c r="BU7" s="206">
        <f>Sheet1!FF11</f>
        <v>0</v>
      </c>
      <c r="BV7" s="206">
        <f t="shared" si="6"/>
        <v>0</v>
      </c>
      <c r="BW7" s="206">
        <f>Sheet1!FG11</f>
        <v>0</v>
      </c>
      <c r="BX7" s="206">
        <f>Sheet1!FH11</f>
        <v>0</v>
      </c>
      <c r="BY7" s="206">
        <f>Sheet1!FI11</f>
        <v>0</v>
      </c>
      <c r="BZ7" s="206">
        <f>Sheet1!FJ11</f>
        <v>0</v>
      </c>
      <c r="CA7" s="206">
        <f t="shared" si="7"/>
        <v>0</v>
      </c>
      <c r="CB7" s="206">
        <f>Sheet1!FK11</f>
        <v>0</v>
      </c>
      <c r="CC7" s="206">
        <f>Sheet1!FL11</f>
        <v>0</v>
      </c>
      <c r="CD7" s="206">
        <f>Sheet1!FM11</f>
        <v>0</v>
      </c>
      <c r="CE7" s="206">
        <f>Sheet1!FN11</f>
        <v>0</v>
      </c>
      <c r="CF7" s="206">
        <f t="shared" si="8"/>
        <v>0</v>
      </c>
      <c r="CG7" s="206">
        <f t="shared" si="9"/>
        <v>0</v>
      </c>
      <c r="CH7" s="206">
        <f t="shared" si="10"/>
        <v>0</v>
      </c>
      <c r="CI7" s="206">
        <f t="shared" si="11"/>
        <v>0</v>
      </c>
      <c r="CJ7" s="206">
        <f t="shared" si="12"/>
        <v>0</v>
      </c>
      <c r="CK7" s="206">
        <f t="shared" si="13"/>
        <v>0</v>
      </c>
      <c r="CL7" s="206">
        <f t="shared" si="14"/>
        <v>0</v>
      </c>
      <c r="CM7" s="206">
        <f t="shared" si="15"/>
        <v>0</v>
      </c>
      <c r="CN7" s="206">
        <f t="shared" si="16"/>
        <v>0</v>
      </c>
      <c r="CO7" s="206">
        <f t="shared" si="17"/>
        <v>0</v>
      </c>
      <c r="CP7" s="206">
        <f t="shared" si="18"/>
        <v>0</v>
      </c>
    </row>
    <row r="8" spans="1:94">
      <c r="AS8" s="206">
        <f>Sheet1!EI12</f>
        <v>0</v>
      </c>
      <c r="AT8" s="206">
        <f>Sheet1!EJ12</f>
        <v>0</v>
      </c>
      <c r="AU8" s="206">
        <f>Sheet1!EK12</f>
        <v>0</v>
      </c>
      <c r="AV8" s="206">
        <f>Sheet1!EL12</f>
        <v>0</v>
      </c>
      <c r="AW8" s="206">
        <f t="shared" si="1"/>
        <v>0</v>
      </c>
      <c r="AX8" s="206">
        <f>Sheet1!EM12</f>
        <v>0</v>
      </c>
      <c r="AY8" s="206">
        <f>Sheet1!EN12</f>
        <v>0</v>
      </c>
      <c r="AZ8" s="206">
        <f>Sheet1!EO12</f>
        <v>0</v>
      </c>
      <c r="BA8" s="206">
        <f>Sheet1!EP12</f>
        <v>0</v>
      </c>
      <c r="BB8" s="206">
        <f t="shared" si="2"/>
        <v>0</v>
      </c>
      <c r="BC8" s="206">
        <f>Sheet1!EQ12</f>
        <v>0</v>
      </c>
      <c r="BD8" s="206">
        <f>Sheet1!ER12</f>
        <v>0</v>
      </c>
      <c r="BE8" s="206">
        <f>Sheet1!ES12</f>
        <v>0</v>
      </c>
      <c r="BF8" s="206">
        <f>Sheet1!ET12</f>
        <v>0</v>
      </c>
      <c r="BG8" s="206">
        <f t="shared" si="3"/>
        <v>0</v>
      </c>
      <c r="BH8" s="206">
        <f>Sheet1!EU12</f>
        <v>0</v>
      </c>
      <c r="BI8" s="206">
        <f>Sheet1!EV12</f>
        <v>0</v>
      </c>
      <c r="BJ8" s="206">
        <f>Sheet1!EW12</f>
        <v>0</v>
      </c>
      <c r="BK8" s="206">
        <f>Sheet1!EX12</f>
        <v>0</v>
      </c>
      <c r="BL8" s="206">
        <f t="shared" si="4"/>
        <v>0</v>
      </c>
      <c r="BM8" s="206">
        <f>Sheet1!EY12</f>
        <v>0</v>
      </c>
      <c r="BN8" s="206">
        <f>Sheet1!EZ12</f>
        <v>0</v>
      </c>
      <c r="BO8" s="206">
        <f>Sheet1!FA12</f>
        <v>0</v>
      </c>
      <c r="BP8" s="206">
        <f>Sheet1!FB12</f>
        <v>0</v>
      </c>
      <c r="BQ8" s="206">
        <f t="shared" si="5"/>
        <v>0</v>
      </c>
      <c r="BR8" s="206">
        <f>Sheet1!FC12</f>
        <v>0</v>
      </c>
      <c r="BS8" s="206">
        <f>Sheet1!FD12</f>
        <v>0</v>
      </c>
      <c r="BT8" s="206">
        <f>Sheet1!FE12</f>
        <v>0</v>
      </c>
      <c r="BU8" s="206">
        <f>Sheet1!FF12</f>
        <v>0</v>
      </c>
      <c r="BV8" s="206">
        <f t="shared" si="6"/>
        <v>0</v>
      </c>
      <c r="BW8" s="206">
        <f>Sheet1!FG12</f>
        <v>0</v>
      </c>
      <c r="BX8" s="206">
        <f>Sheet1!FH12</f>
        <v>0</v>
      </c>
      <c r="BY8" s="206">
        <f>Sheet1!FI12</f>
        <v>0</v>
      </c>
      <c r="BZ8" s="206">
        <f>Sheet1!FJ12</f>
        <v>0</v>
      </c>
      <c r="CA8" s="206">
        <f t="shared" si="7"/>
        <v>0</v>
      </c>
      <c r="CB8" s="206">
        <f>Sheet1!FK12</f>
        <v>0</v>
      </c>
      <c r="CC8" s="206">
        <f>Sheet1!FL12</f>
        <v>0</v>
      </c>
      <c r="CD8" s="206">
        <f>Sheet1!FM12</f>
        <v>0</v>
      </c>
      <c r="CE8" s="206">
        <f>Sheet1!FN12</f>
        <v>0</v>
      </c>
      <c r="CF8" s="206">
        <f t="shared" si="8"/>
        <v>0</v>
      </c>
      <c r="CG8" s="206">
        <f t="shared" si="9"/>
        <v>0</v>
      </c>
      <c r="CH8" s="206">
        <f t="shared" si="10"/>
        <v>0</v>
      </c>
      <c r="CI8" s="206">
        <f t="shared" si="11"/>
        <v>0</v>
      </c>
      <c r="CJ8" s="206">
        <f t="shared" si="12"/>
        <v>0</v>
      </c>
      <c r="CK8" s="206">
        <f t="shared" si="13"/>
        <v>0</v>
      </c>
      <c r="CL8" s="206">
        <f t="shared" si="14"/>
        <v>0</v>
      </c>
      <c r="CM8" s="206">
        <f t="shared" si="15"/>
        <v>0</v>
      </c>
      <c r="CN8" s="206">
        <f t="shared" si="16"/>
        <v>0</v>
      </c>
      <c r="CO8" s="206">
        <f t="shared" si="17"/>
        <v>0</v>
      </c>
      <c r="CP8" s="206">
        <f t="shared" si="18"/>
        <v>0</v>
      </c>
    </row>
    <row r="9" spans="1:94">
      <c r="AS9" s="206">
        <f>Sheet1!EI13</f>
        <v>0</v>
      </c>
      <c r="AT9" s="206">
        <f>Sheet1!EJ13</f>
        <v>0</v>
      </c>
      <c r="AU9" s="206">
        <f>Sheet1!EK13</f>
        <v>0</v>
      </c>
      <c r="AV9" s="206">
        <f>Sheet1!EL13</f>
        <v>0</v>
      </c>
      <c r="AW9" s="206">
        <f t="shared" si="1"/>
        <v>0</v>
      </c>
      <c r="AX9" s="206">
        <f>Sheet1!EM13</f>
        <v>0</v>
      </c>
      <c r="AY9" s="206">
        <f>Sheet1!EN13</f>
        <v>0</v>
      </c>
      <c r="AZ9" s="206">
        <f>Sheet1!EO13</f>
        <v>0</v>
      </c>
      <c r="BA9" s="206">
        <f>Sheet1!EP13</f>
        <v>0</v>
      </c>
      <c r="BB9" s="206">
        <f t="shared" si="2"/>
        <v>0</v>
      </c>
      <c r="BC9" s="206">
        <f>Sheet1!EQ13</f>
        <v>0</v>
      </c>
      <c r="BD9" s="206">
        <f>Sheet1!ER13</f>
        <v>0</v>
      </c>
      <c r="BE9" s="206">
        <f>Sheet1!ES13</f>
        <v>0</v>
      </c>
      <c r="BF9" s="206">
        <f>Sheet1!ET13</f>
        <v>0</v>
      </c>
      <c r="BG9" s="206">
        <f t="shared" si="3"/>
        <v>0</v>
      </c>
      <c r="BH9" s="206">
        <f>Sheet1!EU13</f>
        <v>0</v>
      </c>
      <c r="BI9" s="206">
        <f>Sheet1!EV13</f>
        <v>0</v>
      </c>
      <c r="BJ9" s="206">
        <f>Sheet1!EW13</f>
        <v>0</v>
      </c>
      <c r="BK9" s="206">
        <f>Sheet1!EX13</f>
        <v>0</v>
      </c>
      <c r="BL9" s="206">
        <f t="shared" si="4"/>
        <v>0</v>
      </c>
      <c r="BM9" s="206">
        <f>Sheet1!EY13</f>
        <v>0</v>
      </c>
      <c r="BN9" s="206">
        <f>Sheet1!EZ13</f>
        <v>0</v>
      </c>
      <c r="BO9" s="206">
        <f>Sheet1!FA13</f>
        <v>0</v>
      </c>
      <c r="BP9" s="206">
        <f>Sheet1!FB13</f>
        <v>0</v>
      </c>
      <c r="BQ9" s="206">
        <f t="shared" si="5"/>
        <v>0</v>
      </c>
      <c r="BR9" s="206">
        <f>Sheet1!FC13</f>
        <v>0</v>
      </c>
      <c r="BS9" s="206">
        <f>Sheet1!FD13</f>
        <v>0</v>
      </c>
      <c r="BT9" s="206">
        <f>Sheet1!FE13</f>
        <v>0</v>
      </c>
      <c r="BU9" s="206">
        <f>Sheet1!FF13</f>
        <v>0</v>
      </c>
      <c r="BV9" s="206">
        <f t="shared" si="6"/>
        <v>0</v>
      </c>
      <c r="BW9" s="206">
        <f>Sheet1!FG13</f>
        <v>0</v>
      </c>
      <c r="BX9" s="206">
        <f>Sheet1!FH13</f>
        <v>0</v>
      </c>
      <c r="BY9" s="206">
        <f>Sheet1!FI13</f>
        <v>0</v>
      </c>
      <c r="BZ9" s="206">
        <f>Sheet1!FJ13</f>
        <v>0</v>
      </c>
      <c r="CA9" s="206">
        <f t="shared" si="7"/>
        <v>0</v>
      </c>
      <c r="CB9" s="206">
        <f>Sheet1!FK13</f>
        <v>0</v>
      </c>
      <c r="CC9" s="206">
        <f>Sheet1!FL13</f>
        <v>0</v>
      </c>
      <c r="CD9" s="206">
        <f>Sheet1!FM13</f>
        <v>0</v>
      </c>
      <c r="CE9" s="206">
        <f>Sheet1!FN13</f>
        <v>0</v>
      </c>
      <c r="CF9" s="206">
        <f t="shared" si="8"/>
        <v>0</v>
      </c>
      <c r="CG9" s="206">
        <f t="shared" si="9"/>
        <v>0</v>
      </c>
      <c r="CH9" s="206">
        <f t="shared" si="10"/>
        <v>0</v>
      </c>
      <c r="CI9" s="206">
        <f t="shared" si="11"/>
        <v>0</v>
      </c>
      <c r="CJ9" s="206">
        <f t="shared" si="12"/>
        <v>0</v>
      </c>
      <c r="CK9" s="206">
        <f t="shared" si="13"/>
        <v>0</v>
      </c>
      <c r="CL9" s="206">
        <f t="shared" si="14"/>
        <v>0</v>
      </c>
      <c r="CM9" s="206">
        <f t="shared" si="15"/>
        <v>0</v>
      </c>
      <c r="CN9" s="206">
        <f t="shared" si="16"/>
        <v>0</v>
      </c>
      <c r="CO9" s="206">
        <f t="shared" si="17"/>
        <v>0</v>
      </c>
      <c r="CP9" s="206">
        <f t="shared" si="18"/>
        <v>0</v>
      </c>
    </row>
    <row r="10" spans="1:94">
      <c r="AS10" s="206">
        <f>Sheet1!EI14</f>
        <v>0</v>
      </c>
      <c r="AT10" s="206">
        <f>Sheet1!EJ14</f>
        <v>0</v>
      </c>
      <c r="AU10" s="206">
        <f>Sheet1!EK14</f>
        <v>0</v>
      </c>
      <c r="AV10" s="206">
        <f>Sheet1!EL14</f>
        <v>0</v>
      </c>
      <c r="AW10" s="206">
        <f t="shared" si="1"/>
        <v>0</v>
      </c>
      <c r="AX10" s="206">
        <f>Sheet1!EM14</f>
        <v>0</v>
      </c>
      <c r="AY10" s="206">
        <f>Sheet1!EN14</f>
        <v>0</v>
      </c>
      <c r="AZ10" s="206">
        <f>Sheet1!EO14</f>
        <v>0</v>
      </c>
      <c r="BA10" s="206">
        <f>Sheet1!EP14</f>
        <v>0</v>
      </c>
      <c r="BB10" s="206">
        <f t="shared" si="2"/>
        <v>0</v>
      </c>
      <c r="BC10" s="206">
        <f>Sheet1!EQ14</f>
        <v>0</v>
      </c>
      <c r="BD10" s="206">
        <f>Sheet1!ER14</f>
        <v>0</v>
      </c>
      <c r="BE10" s="206">
        <f>Sheet1!ES14</f>
        <v>0</v>
      </c>
      <c r="BF10" s="206">
        <f>Sheet1!ET14</f>
        <v>0</v>
      </c>
      <c r="BG10" s="206">
        <f t="shared" si="3"/>
        <v>0</v>
      </c>
      <c r="BH10" s="206">
        <f>Sheet1!EU14</f>
        <v>0</v>
      </c>
      <c r="BI10" s="206">
        <f>Sheet1!EV14</f>
        <v>0</v>
      </c>
      <c r="BJ10" s="206">
        <f>Sheet1!EW14</f>
        <v>0</v>
      </c>
      <c r="BK10" s="206">
        <f>Sheet1!EX14</f>
        <v>0</v>
      </c>
      <c r="BL10" s="206">
        <f t="shared" si="4"/>
        <v>0</v>
      </c>
      <c r="BM10" s="206">
        <f>Sheet1!EY14</f>
        <v>0</v>
      </c>
      <c r="BN10" s="206">
        <f>Sheet1!EZ14</f>
        <v>0</v>
      </c>
      <c r="BO10" s="206">
        <f>Sheet1!FA14</f>
        <v>0</v>
      </c>
      <c r="BP10" s="206">
        <f>Sheet1!FB14</f>
        <v>0</v>
      </c>
      <c r="BQ10" s="206">
        <f t="shared" si="5"/>
        <v>0</v>
      </c>
      <c r="BR10" s="206">
        <f>Sheet1!FC14</f>
        <v>0</v>
      </c>
      <c r="BS10" s="206">
        <f>Sheet1!FD14</f>
        <v>0</v>
      </c>
      <c r="BT10" s="206">
        <f>Sheet1!FE14</f>
        <v>0</v>
      </c>
      <c r="BU10" s="206">
        <f>Sheet1!FF14</f>
        <v>0</v>
      </c>
      <c r="BV10" s="206">
        <f t="shared" si="6"/>
        <v>0</v>
      </c>
      <c r="BW10" s="206">
        <f>Sheet1!FG14</f>
        <v>0</v>
      </c>
      <c r="BX10" s="206">
        <f>Sheet1!FH14</f>
        <v>0</v>
      </c>
      <c r="BY10" s="206">
        <f>Sheet1!FI14</f>
        <v>0</v>
      </c>
      <c r="BZ10" s="206">
        <f>Sheet1!FJ14</f>
        <v>0</v>
      </c>
      <c r="CA10" s="206">
        <f t="shared" si="7"/>
        <v>0</v>
      </c>
      <c r="CB10" s="206">
        <f>Sheet1!FK14</f>
        <v>0</v>
      </c>
      <c r="CC10" s="206">
        <f>Sheet1!FL14</f>
        <v>0</v>
      </c>
      <c r="CD10" s="206">
        <f>Sheet1!FM14</f>
        <v>0</v>
      </c>
      <c r="CE10" s="206">
        <f>Sheet1!FN14</f>
        <v>0</v>
      </c>
      <c r="CF10" s="206">
        <f t="shared" si="8"/>
        <v>0</v>
      </c>
      <c r="CG10" s="206">
        <f t="shared" si="9"/>
        <v>0</v>
      </c>
      <c r="CH10" s="206">
        <f t="shared" si="10"/>
        <v>0</v>
      </c>
      <c r="CI10" s="206">
        <f t="shared" si="11"/>
        <v>0</v>
      </c>
      <c r="CJ10" s="206">
        <f t="shared" si="12"/>
        <v>0</v>
      </c>
      <c r="CK10" s="206">
        <f t="shared" si="13"/>
        <v>0</v>
      </c>
      <c r="CL10" s="206">
        <f t="shared" si="14"/>
        <v>0</v>
      </c>
      <c r="CM10" s="206">
        <f t="shared" si="15"/>
        <v>0</v>
      </c>
      <c r="CN10" s="206">
        <f t="shared" si="16"/>
        <v>0</v>
      </c>
      <c r="CO10" s="206">
        <f t="shared" si="17"/>
        <v>0</v>
      </c>
      <c r="CP10" s="206">
        <f t="shared" si="18"/>
        <v>0</v>
      </c>
    </row>
    <row r="11" spans="1:94">
      <c r="AS11" s="206">
        <f>Sheet1!EI15</f>
        <v>0</v>
      </c>
      <c r="AT11" s="206">
        <f>Sheet1!EJ15</f>
        <v>0</v>
      </c>
      <c r="AU11" s="206">
        <f>Sheet1!EK15</f>
        <v>0</v>
      </c>
      <c r="AV11" s="206">
        <f>Sheet1!EL15</f>
        <v>0</v>
      </c>
      <c r="AW11" s="206">
        <f t="shared" si="1"/>
        <v>0</v>
      </c>
      <c r="AX11" s="206">
        <f>Sheet1!EM15</f>
        <v>0</v>
      </c>
      <c r="AY11" s="206">
        <f>Sheet1!EN15</f>
        <v>0</v>
      </c>
      <c r="AZ11" s="206">
        <f>Sheet1!EO15</f>
        <v>0</v>
      </c>
      <c r="BA11" s="206">
        <f>Sheet1!EP15</f>
        <v>0</v>
      </c>
      <c r="BB11" s="206">
        <f t="shared" si="2"/>
        <v>0</v>
      </c>
      <c r="BC11" s="206">
        <f>Sheet1!EQ15</f>
        <v>0</v>
      </c>
      <c r="BD11" s="206">
        <f>Sheet1!ER15</f>
        <v>0</v>
      </c>
      <c r="BE11" s="206">
        <f>Sheet1!ES15</f>
        <v>0</v>
      </c>
      <c r="BF11" s="206">
        <f>Sheet1!ET15</f>
        <v>0</v>
      </c>
      <c r="BG11" s="206">
        <f t="shared" si="3"/>
        <v>0</v>
      </c>
      <c r="BH11" s="206">
        <f>Sheet1!EU15</f>
        <v>0</v>
      </c>
      <c r="BI11" s="206">
        <f>Sheet1!EV15</f>
        <v>0</v>
      </c>
      <c r="BJ11" s="206">
        <f>Sheet1!EW15</f>
        <v>0</v>
      </c>
      <c r="BK11" s="206">
        <f>Sheet1!EX15</f>
        <v>0</v>
      </c>
      <c r="BL11" s="206">
        <f t="shared" si="4"/>
        <v>0</v>
      </c>
      <c r="BM11" s="206">
        <f>Sheet1!EY15</f>
        <v>0</v>
      </c>
      <c r="BN11" s="206">
        <f>Sheet1!EZ15</f>
        <v>0</v>
      </c>
      <c r="BO11" s="206">
        <f>Sheet1!FA15</f>
        <v>0</v>
      </c>
      <c r="BP11" s="206">
        <f>Sheet1!FB15</f>
        <v>0</v>
      </c>
      <c r="BQ11" s="206">
        <f t="shared" si="5"/>
        <v>0</v>
      </c>
      <c r="BR11" s="206">
        <f>Sheet1!FC15</f>
        <v>0</v>
      </c>
      <c r="BS11" s="206">
        <f>Sheet1!FD15</f>
        <v>0</v>
      </c>
      <c r="BT11" s="206">
        <f>Sheet1!FE15</f>
        <v>0</v>
      </c>
      <c r="BU11" s="206">
        <f>Sheet1!FF15</f>
        <v>0</v>
      </c>
      <c r="BV11" s="206">
        <f t="shared" si="6"/>
        <v>0</v>
      </c>
      <c r="BW11" s="206">
        <f>Sheet1!FG15</f>
        <v>0</v>
      </c>
      <c r="BX11" s="206">
        <f>Sheet1!FH15</f>
        <v>0</v>
      </c>
      <c r="BY11" s="206">
        <f>Sheet1!FI15</f>
        <v>0</v>
      </c>
      <c r="BZ11" s="206">
        <f>Sheet1!FJ15</f>
        <v>0</v>
      </c>
      <c r="CA11" s="206">
        <f t="shared" si="7"/>
        <v>0</v>
      </c>
      <c r="CB11" s="206">
        <f>Sheet1!FK15</f>
        <v>0</v>
      </c>
      <c r="CC11" s="206">
        <f>Sheet1!FL15</f>
        <v>0</v>
      </c>
      <c r="CD11" s="206">
        <f>Sheet1!FM15</f>
        <v>0</v>
      </c>
      <c r="CE11" s="206">
        <f>Sheet1!FN15</f>
        <v>0</v>
      </c>
      <c r="CF11" s="206">
        <f t="shared" si="8"/>
        <v>0</v>
      </c>
      <c r="CG11" s="206">
        <f t="shared" si="9"/>
        <v>0</v>
      </c>
      <c r="CH11" s="206">
        <f t="shared" si="10"/>
        <v>0</v>
      </c>
      <c r="CI11" s="206">
        <f t="shared" si="11"/>
        <v>0</v>
      </c>
      <c r="CJ11" s="206">
        <f t="shared" si="12"/>
        <v>0</v>
      </c>
      <c r="CK11" s="206">
        <f t="shared" si="13"/>
        <v>0</v>
      </c>
      <c r="CL11" s="206">
        <f t="shared" si="14"/>
        <v>0</v>
      </c>
      <c r="CM11" s="206">
        <f t="shared" si="15"/>
        <v>0</v>
      </c>
      <c r="CN11" s="206">
        <f t="shared" si="16"/>
        <v>0</v>
      </c>
      <c r="CO11" s="206">
        <f t="shared" si="17"/>
        <v>0</v>
      </c>
      <c r="CP11" s="206">
        <f t="shared" si="18"/>
        <v>0</v>
      </c>
    </row>
    <row r="12" spans="1:94">
      <c r="AS12" s="206">
        <f>Sheet1!EI16</f>
        <v>0</v>
      </c>
      <c r="AT12" s="206">
        <f>Sheet1!EJ16</f>
        <v>0</v>
      </c>
      <c r="AU12" s="206">
        <f>Sheet1!EK16</f>
        <v>0</v>
      </c>
      <c r="AV12" s="206">
        <f>Sheet1!EL16</f>
        <v>0</v>
      </c>
      <c r="AW12" s="206">
        <f t="shared" si="1"/>
        <v>0</v>
      </c>
      <c r="AX12" s="206">
        <f>Sheet1!EM16</f>
        <v>0</v>
      </c>
      <c r="AY12" s="206">
        <f>Sheet1!EN16</f>
        <v>0</v>
      </c>
      <c r="AZ12" s="206">
        <f>Sheet1!EO16</f>
        <v>0</v>
      </c>
      <c r="BA12" s="206">
        <f>Sheet1!EP16</f>
        <v>0</v>
      </c>
      <c r="BB12" s="206">
        <f t="shared" si="2"/>
        <v>0</v>
      </c>
      <c r="BC12" s="206">
        <f>Sheet1!EQ16</f>
        <v>0</v>
      </c>
      <c r="BD12" s="206">
        <f>Sheet1!ER16</f>
        <v>0</v>
      </c>
      <c r="BE12" s="206">
        <f>Sheet1!ES16</f>
        <v>0</v>
      </c>
      <c r="BF12" s="206">
        <f>Sheet1!ET16</f>
        <v>0</v>
      </c>
      <c r="BG12" s="206">
        <f t="shared" si="3"/>
        <v>0</v>
      </c>
      <c r="BH12" s="206">
        <f>Sheet1!EU16</f>
        <v>0</v>
      </c>
      <c r="BI12" s="206">
        <f>Sheet1!EV16</f>
        <v>0</v>
      </c>
      <c r="BJ12" s="206">
        <f>Sheet1!EW16</f>
        <v>0</v>
      </c>
      <c r="BK12" s="206">
        <f>Sheet1!EX16</f>
        <v>0</v>
      </c>
      <c r="BL12" s="206">
        <f t="shared" si="4"/>
        <v>0</v>
      </c>
      <c r="BM12" s="206">
        <f>Sheet1!EY16</f>
        <v>0</v>
      </c>
      <c r="BN12" s="206">
        <f>Sheet1!EZ16</f>
        <v>0</v>
      </c>
      <c r="BO12" s="206">
        <f>Sheet1!FA16</f>
        <v>0</v>
      </c>
      <c r="BP12" s="206">
        <f>Sheet1!FB16</f>
        <v>0</v>
      </c>
      <c r="BQ12" s="206">
        <f t="shared" si="5"/>
        <v>0</v>
      </c>
      <c r="BR12" s="206">
        <f>Sheet1!FC16</f>
        <v>0</v>
      </c>
      <c r="BS12" s="206">
        <f>Sheet1!FD16</f>
        <v>0</v>
      </c>
      <c r="BT12" s="206">
        <f>Sheet1!FE16</f>
        <v>0</v>
      </c>
      <c r="BU12" s="206">
        <f>Sheet1!FF16</f>
        <v>0</v>
      </c>
      <c r="BV12" s="206">
        <f t="shared" si="6"/>
        <v>0</v>
      </c>
      <c r="BW12" s="206">
        <f>Sheet1!FG16</f>
        <v>0</v>
      </c>
      <c r="BX12" s="206">
        <f>Sheet1!FH16</f>
        <v>0</v>
      </c>
      <c r="BY12" s="206">
        <f>Sheet1!FI16</f>
        <v>0</v>
      </c>
      <c r="BZ12" s="206">
        <f>Sheet1!FJ16</f>
        <v>0</v>
      </c>
      <c r="CA12" s="206">
        <f t="shared" si="7"/>
        <v>0</v>
      </c>
      <c r="CB12" s="206">
        <f>Sheet1!FK16</f>
        <v>0</v>
      </c>
      <c r="CC12" s="206">
        <f>Sheet1!FL16</f>
        <v>0</v>
      </c>
      <c r="CD12" s="206">
        <f>Sheet1!FM16</f>
        <v>0</v>
      </c>
      <c r="CE12" s="206">
        <f>Sheet1!FN16</f>
        <v>0</v>
      </c>
      <c r="CF12" s="206">
        <f t="shared" si="8"/>
        <v>0</v>
      </c>
      <c r="CG12" s="206">
        <f t="shared" si="9"/>
        <v>0</v>
      </c>
      <c r="CH12" s="206">
        <f t="shared" si="10"/>
        <v>0</v>
      </c>
      <c r="CI12" s="206">
        <f t="shared" si="11"/>
        <v>0</v>
      </c>
      <c r="CJ12" s="206">
        <f t="shared" si="12"/>
        <v>0</v>
      </c>
      <c r="CK12" s="206">
        <f t="shared" si="13"/>
        <v>0</v>
      </c>
      <c r="CL12" s="206">
        <f t="shared" si="14"/>
        <v>0</v>
      </c>
      <c r="CM12" s="206">
        <f t="shared" si="15"/>
        <v>0</v>
      </c>
      <c r="CN12" s="206">
        <f t="shared" si="16"/>
        <v>0</v>
      </c>
      <c r="CO12" s="206">
        <f t="shared" si="17"/>
        <v>0</v>
      </c>
      <c r="CP12" s="206">
        <f t="shared" si="18"/>
        <v>0</v>
      </c>
    </row>
    <row r="13" spans="1:94">
      <c r="AS13" s="206">
        <f>Sheet1!EI17</f>
        <v>0</v>
      </c>
      <c r="AT13" s="206">
        <f>Sheet1!EJ17</f>
        <v>0</v>
      </c>
      <c r="AU13" s="206">
        <f>Sheet1!EK17</f>
        <v>0</v>
      </c>
      <c r="AV13" s="206">
        <f>Sheet1!EL17</f>
        <v>0</v>
      </c>
      <c r="AW13" s="206">
        <f t="shared" si="1"/>
        <v>0</v>
      </c>
      <c r="AX13" s="206">
        <f>Sheet1!EM17</f>
        <v>0</v>
      </c>
      <c r="AY13" s="206">
        <f>Sheet1!EN17</f>
        <v>0</v>
      </c>
      <c r="AZ13" s="206">
        <f>Sheet1!EO17</f>
        <v>0</v>
      </c>
      <c r="BA13" s="206">
        <f>Sheet1!EP17</f>
        <v>0</v>
      </c>
      <c r="BB13" s="206">
        <f t="shared" si="2"/>
        <v>0</v>
      </c>
      <c r="BC13" s="206">
        <f>Sheet1!EQ17</f>
        <v>0</v>
      </c>
      <c r="BD13" s="206">
        <f>Sheet1!ER17</f>
        <v>0</v>
      </c>
      <c r="BE13" s="206">
        <f>Sheet1!ES17</f>
        <v>0</v>
      </c>
      <c r="BF13" s="206">
        <f>Sheet1!ET17</f>
        <v>0</v>
      </c>
      <c r="BG13" s="206">
        <f t="shared" si="3"/>
        <v>0</v>
      </c>
      <c r="BH13" s="206">
        <f>Sheet1!EU17</f>
        <v>0</v>
      </c>
      <c r="BI13" s="206">
        <f>Sheet1!EV17</f>
        <v>0</v>
      </c>
      <c r="BJ13" s="206">
        <f>Sheet1!EW17</f>
        <v>0</v>
      </c>
      <c r="BK13" s="206">
        <f>Sheet1!EX17</f>
        <v>0</v>
      </c>
      <c r="BL13" s="206">
        <f t="shared" si="4"/>
        <v>0</v>
      </c>
      <c r="BM13" s="206">
        <f>Sheet1!EY17</f>
        <v>0</v>
      </c>
      <c r="BN13" s="206">
        <f>Sheet1!EZ17</f>
        <v>0</v>
      </c>
      <c r="BO13" s="206">
        <f>Sheet1!FA17</f>
        <v>0</v>
      </c>
      <c r="BP13" s="206">
        <f>Sheet1!FB17</f>
        <v>0</v>
      </c>
      <c r="BQ13" s="206">
        <f t="shared" si="5"/>
        <v>0</v>
      </c>
      <c r="BR13" s="206">
        <f>Sheet1!FC17</f>
        <v>0</v>
      </c>
      <c r="BS13" s="206">
        <f>Sheet1!FD17</f>
        <v>0</v>
      </c>
      <c r="BT13" s="206">
        <f>Sheet1!FE17</f>
        <v>0</v>
      </c>
      <c r="BU13" s="206">
        <f>Sheet1!FF17</f>
        <v>0</v>
      </c>
      <c r="BV13" s="206">
        <f t="shared" si="6"/>
        <v>0</v>
      </c>
      <c r="BW13" s="206">
        <f>Sheet1!FG17</f>
        <v>0</v>
      </c>
      <c r="BX13" s="206">
        <f>Sheet1!FH17</f>
        <v>0</v>
      </c>
      <c r="BY13" s="206">
        <f>Sheet1!FI17</f>
        <v>0</v>
      </c>
      <c r="BZ13" s="206">
        <f>Sheet1!FJ17</f>
        <v>0</v>
      </c>
      <c r="CA13" s="206">
        <f t="shared" si="7"/>
        <v>0</v>
      </c>
      <c r="CB13" s="206">
        <f>Sheet1!FK17</f>
        <v>0</v>
      </c>
      <c r="CC13" s="206">
        <f>Sheet1!FL17</f>
        <v>0</v>
      </c>
      <c r="CD13" s="206">
        <f>Sheet1!FM17</f>
        <v>0</v>
      </c>
      <c r="CE13" s="206">
        <f>Sheet1!FN17</f>
        <v>0</v>
      </c>
      <c r="CF13" s="206">
        <f t="shared" si="8"/>
        <v>0</v>
      </c>
      <c r="CG13" s="206">
        <f t="shared" si="9"/>
        <v>0</v>
      </c>
      <c r="CH13" s="206">
        <f t="shared" si="10"/>
        <v>0</v>
      </c>
      <c r="CI13" s="206">
        <f t="shared" si="11"/>
        <v>0</v>
      </c>
      <c r="CJ13" s="206">
        <f t="shared" si="12"/>
        <v>0</v>
      </c>
      <c r="CK13" s="206">
        <f t="shared" si="13"/>
        <v>0</v>
      </c>
      <c r="CL13" s="206">
        <f t="shared" si="14"/>
        <v>0</v>
      </c>
      <c r="CM13" s="206">
        <f t="shared" si="15"/>
        <v>0</v>
      </c>
      <c r="CN13" s="206">
        <f t="shared" si="16"/>
        <v>0</v>
      </c>
      <c r="CO13" s="206">
        <f t="shared" si="17"/>
        <v>0</v>
      </c>
      <c r="CP13" s="206">
        <f t="shared" si="18"/>
        <v>0</v>
      </c>
    </row>
    <row r="14" spans="1:94">
      <c r="AS14" s="206">
        <f>Sheet1!EI18</f>
        <v>0</v>
      </c>
      <c r="AT14" s="206">
        <f>Sheet1!EJ18</f>
        <v>0</v>
      </c>
      <c r="AU14" s="206">
        <f>Sheet1!EK18</f>
        <v>0</v>
      </c>
      <c r="AV14" s="206">
        <f>Sheet1!EL18</f>
        <v>0</v>
      </c>
      <c r="AW14" s="206">
        <f t="shared" si="1"/>
        <v>0</v>
      </c>
      <c r="AX14" s="206">
        <f>Sheet1!EM18</f>
        <v>0</v>
      </c>
      <c r="AY14" s="206">
        <f>Sheet1!EN18</f>
        <v>0</v>
      </c>
      <c r="AZ14" s="206">
        <f>Sheet1!EO18</f>
        <v>0</v>
      </c>
      <c r="BA14" s="206">
        <f>Sheet1!EP18</f>
        <v>0</v>
      </c>
      <c r="BB14" s="206">
        <f t="shared" si="2"/>
        <v>0</v>
      </c>
      <c r="BC14" s="206">
        <f>Sheet1!EQ18</f>
        <v>0</v>
      </c>
      <c r="BD14" s="206">
        <f>Sheet1!ER18</f>
        <v>0</v>
      </c>
      <c r="BE14" s="206">
        <f>Sheet1!ES18</f>
        <v>0</v>
      </c>
      <c r="BF14" s="206">
        <f>Sheet1!ET18</f>
        <v>0</v>
      </c>
      <c r="BG14" s="206">
        <f t="shared" si="3"/>
        <v>0</v>
      </c>
      <c r="BH14" s="206">
        <f>Sheet1!EU18</f>
        <v>0</v>
      </c>
      <c r="BI14" s="206">
        <f>Sheet1!EV18</f>
        <v>0</v>
      </c>
      <c r="BJ14" s="206">
        <f>Sheet1!EW18</f>
        <v>0</v>
      </c>
      <c r="BK14" s="206">
        <f>Sheet1!EX18</f>
        <v>0</v>
      </c>
      <c r="BL14" s="206">
        <f t="shared" si="4"/>
        <v>0</v>
      </c>
      <c r="BM14" s="206">
        <f>Sheet1!EY18</f>
        <v>0</v>
      </c>
      <c r="BN14" s="206">
        <f>Sheet1!EZ18</f>
        <v>0</v>
      </c>
      <c r="BO14" s="206">
        <f>Sheet1!FA18</f>
        <v>0</v>
      </c>
      <c r="BP14" s="206">
        <f>Sheet1!FB18</f>
        <v>0</v>
      </c>
      <c r="BQ14" s="206">
        <f t="shared" si="5"/>
        <v>0</v>
      </c>
      <c r="BR14" s="206">
        <f>Sheet1!FC18</f>
        <v>0</v>
      </c>
      <c r="BS14" s="206">
        <f>Sheet1!FD18</f>
        <v>0</v>
      </c>
      <c r="BT14" s="206">
        <f>Sheet1!FE18</f>
        <v>0</v>
      </c>
      <c r="BU14" s="206">
        <f>Sheet1!FF18</f>
        <v>0</v>
      </c>
      <c r="BV14" s="206">
        <f t="shared" si="6"/>
        <v>0</v>
      </c>
      <c r="BW14" s="206">
        <f>Sheet1!FG18</f>
        <v>0</v>
      </c>
      <c r="BX14" s="206">
        <f>Sheet1!FH18</f>
        <v>0</v>
      </c>
      <c r="BY14" s="206">
        <f>Sheet1!FI18</f>
        <v>0</v>
      </c>
      <c r="BZ14" s="206">
        <f>Sheet1!FJ18</f>
        <v>0</v>
      </c>
      <c r="CA14" s="206">
        <f t="shared" si="7"/>
        <v>0</v>
      </c>
      <c r="CB14" s="206">
        <f>Sheet1!FK18</f>
        <v>0</v>
      </c>
      <c r="CC14" s="206">
        <f>Sheet1!FL18</f>
        <v>0</v>
      </c>
      <c r="CD14" s="206">
        <f>Sheet1!FM18</f>
        <v>0</v>
      </c>
      <c r="CE14" s="206">
        <f>Sheet1!FN18</f>
        <v>0</v>
      </c>
      <c r="CF14" s="206">
        <f t="shared" si="8"/>
        <v>0</v>
      </c>
      <c r="CG14" s="206">
        <f t="shared" si="9"/>
        <v>0</v>
      </c>
      <c r="CH14" s="206">
        <f t="shared" si="10"/>
        <v>0</v>
      </c>
      <c r="CI14" s="206">
        <f t="shared" si="11"/>
        <v>0</v>
      </c>
      <c r="CJ14" s="206">
        <f t="shared" si="12"/>
        <v>0</v>
      </c>
      <c r="CK14" s="206">
        <f t="shared" si="13"/>
        <v>0</v>
      </c>
      <c r="CL14" s="206">
        <f t="shared" si="14"/>
        <v>0</v>
      </c>
      <c r="CM14" s="206">
        <f t="shared" si="15"/>
        <v>0</v>
      </c>
      <c r="CN14" s="206">
        <f t="shared" si="16"/>
        <v>0</v>
      </c>
      <c r="CO14" s="206">
        <f t="shared" si="17"/>
        <v>0</v>
      </c>
      <c r="CP14" s="206">
        <f t="shared" si="18"/>
        <v>0</v>
      </c>
    </row>
    <row r="15" spans="1:94">
      <c r="AS15" s="206">
        <f>Sheet1!EI19</f>
        <v>0</v>
      </c>
      <c r="AT15" s="206">
        <f>Sheet1!EJ19</f>
        <v>0</v>
      </c>
      <c r="AU15" s="206">
        <f>Sheet1!EK19</f>
        <v>0</v>
      </c>
      <c r="AV15" s="206">
        <f>Sheet1!EL19</f>
        <v>0</v>
      </c>
      <c r="AW15" s="206">
        <f t="shared" si="1"/>
        <v>0</v>
      </c>
      <c r="AX15" s="206">
        <f>Sheet1!EM19</f>
        <v>0</v>
      </c>
      <c r="AY15" s="206">
        <f>Sheet1!EN19</f>
        <v>0</v>
      </c>
      <c r="AZ15" s="206">
        <f>Sheet1!EO19</f>
        <v>0</v>
      </c>
      <c r="BA15" s="206">
        <f>Sheet1!EP19</f>
        <v>0</v>
      </c>
      <c r="BB15" s="206">
        <f t="shared" si="2"/>
        <v>0</v>
      </c>
      <c r="BC15" s="206">
        <f>Sheet1!EQ19</f>
        <v>0</v>
      </c>
      <c r="BD15" s="206">
        <f>Sheet1!ER19</f>
        <v>0</v>
      </c>
      <c r="BE15" s="206">
        <f>Sheet1!ES19</f>
        <v>0</v>
      </c>
      <c r="BF15" s="206">
        <f>Sheet1!ET19</f>
        <v>0</v>
      </c>
      <c r="BG15" s="206">
        <f t="shared" si="3"/>
        <v>0</v>
      </c>
      <c r="BH15" s="206">
        <f>Sheet1!EU19</f>
        <v>0</v>
      </c>
      <c r="BI15" s="206">
        <f>Sheet1!EV19</f>
        <v>0</v>
      </c>
      <c r="BJ15" s="206">
        <f>Sheet1!EW19</f>
        <v>0</v>
      </c>
      <c r="BK15" s="206">
        <f>Sheet1!EX19</f>
        <v>0</v>
      </c>
      <c r="BL15" s="206">
        <f t="shared" si="4"/>
        <v>0</v>
      </c>
      <c r="BM15" s="206">
        <f>Sheet1!EY19</f>
        <v>0</v>
      </c>
      <c r="BN15" s="206">
        <f>Sheet1!EZ19</f>
        <v>0</v>
      </c>
      <c r="BO15" s="206">
        <f>Sheet1!FA19</f>
        <v>0</v>
      </c>
      <c r="BP15" s="206">
        <f>Sheet1!FB19</f>
        <v>0</v>
      </c>
      <c r="BQ15" s="206">
        <f t="shared" si="5"/>
        <v>0</v>
      </c>
      <c r="BR15" s="206">
        <f>Sheet1!FC19</f>
        <v>0</v>
      </c>
      <c r="BS15" s="206">
        <f>Sheet1!FD19</f>
        <v>0</v>
      </c>
      <c r="BT15" s="206">
        <f>Sheet1!FE19</f>
        <v>0</v>
      </c>
      <c r="BU15" s="206">
        <f>Sheet1!FF19</f>
        <v>0</v>
      </c>
      <c r="BV15" s="206">
        <f t="shared" si="6"/>
        <v>0</v>
      </c>
      <c r="BW15" s="206">
        <f>Sheet1!FG19</f>
        <v>0</v>
      </c>
      <c r="BX15" s="206">
        <f>Sheet1!FH19</f>
        <v>0</v>
      </c>
      <c r="BY15" s="206">
        <f>Sheet1!FI19</f>
        <v>0</v>
      </c>
      <c r="BZ15" s="206">
        <f>Sheet1!FJ19</f>
        <v>0</v>
      </c>
      <c r="CA15" s="206">
        <f t="shared" si="7"/>
        <v>0</v>
      </c>
      <c r="CB15" s="206">
        <f>Sheet1!FK19</f>
        <v>0</v>
      </c>
      <c r="CC15" s="206">
        <f>Sheet1!FL19</f>
        <v>0</v>
      </c>
      <c r="CD15" s="206">
        <f>Sheet1!FM19</f>
        <v>0</v>
      </c>
      <c r="CE15" s="206">
        <f>Sheet1!FN19</f>
        <v>0</v>
      </c>
      <c r="CF15" s="206">
        <f t="shared" si="8"/>
        <v>0</v>
      </c>
      <c r="CG15" s="206">
        <f t="shared" si="9"/>
        <v>0</v>
      </c>
      <c r="CH15" s="206">
        <f t="shared" si="10"/>
        <v>0</v>
      </c>
      <c r="CI15" s="206">
        <f t="shared" si="11"/>
        <v>0</v>
      </c>
      <c r="CJ15" s="206">
        <f t="shared" si="12"/>
        <v>0</v>
      </c>
      <c r="CK15" s="206">
        <f t="shared" si="13"/>
        <v>0</v>
      </c>
      <c r="CL15" s="206">
        <f t="shared" si="14"/>
        <v>0</v>
      </c>
      <c r="CM15" s="206">
        <f t="shared" si="15"/>
        <v>0</v>
      </c>
      <c r="CN15" s="206">
        <f t="shared" si="16"/>
        <v>0</v>
      </c>
      <c r="CO15" s="206">
        <f t="shared" si="17"/>
        <v>0</v>
      </c>
      <c r="CP15" s="206">
        <f t="shared" si="18"/>
        <v>0</v>
      </c>
    </row>
    <row r="16" spans="1:94">
      <c r="AS16" s="206">
        <f>Sheet1!EI20</f>
        <v>0</v>
      </c>
      <c r="AT16" s="206">
        <f>Sheet1!EJ20</f>
        <v>0</v>
      </c>
      <c r="AU16" s="206">
        <f>Sheet1!EK20</f>
        <v>0</v>
      </c>
      <c r="AV16" s="206">
        <f>Sheet1!EL20</f>
        <v>0</v>
      </c>
      <c r="AW16" s="206">
        <f t="shared" si="1"/>
        <v>0</v>
      </c>
      <c r="AX16" s="206">
        <f>Sheet1!EM20</f>
        <v>0</v>
      </c>
      <c r="AY16" s="206">
        <f>Sheet1!EN20</f>
        <v>0</v>
      </c>
      <c r="AZ16" s="206">
        <f>Sheet1!EO20</f>
        <v>0</v>
      </c>
      <c r="BA16" s="206">
        <f>Sheet1!EP20</f>
        <v>0</v>
      </c>
      <c r="BB16" s="206">
        <f t="shared" si="2"/>
        <v>0</v>
      </c>
      <c r="BC16" s="206">
        <f>Sheet1!EQ20</f>
        <v>0</v>
      </c>
      <c r="BD16" s="206">
        <f>Sheet1!ER20</f>
        <v>0</v>
      </c>
      <c r="BE16" s="206">
        <f>Sheet1!ES20</f>
        <v>0</v>
      </c>
      <c r="BF16" s="206">
        <f>Sheet1!ET20</f>
        <v>0</v>
      </c>
      <c r="BG16" s="206">
        <f t="shared" si="3"/>
        <v>0</v>
      </c>
      <c r="BH16" s="206">
        <f>Sheet1!EU20</f>
        <v>0</v>
      </c>
      <c r="BI16" s="206">
        <f>Sheet1!EV20</f>
        <v>0</v>
      </c>
      <c r="BJ16" s="206">
        <f>Sheet1!EW20</f>
        <v>0</v>
      </c>
      <c r="BK16" s="206">
        <f>Sheet1!EX20</f>
        <v>0</v>
      </c>
      <c r="BL16" s="206">
        <f t="shared" si="4"/>
        <v>0</v>
      </c>
      <c r="BM16" s="206">
        <f>Sheet1!EY20</f>
        <v>0</v>
      </c>
      <c r="BN16" s="206">
        <f>Sheet1!EZ20</f>
        <v>0</v>
      </c>
      <c r="BO16" s="206">
        <f>Sheet1!FA20</f>
        <v>0</v>
      </c>
      <c r="BP16" s="206">
        <f>Sheet1!FB20</f>
        <v>0</v>
      </c>
      <c r="BQ16" s="206">
        <f t="shared" si="5"/>
        <v>0</v>
      </c>
      <c r="BR16" s="206">
        <f>Sheet1!FC20</f>
        <v>0</v>
      </c>
      <c r="BS16" s="206">
        <f>Sheet1!FD20</f>
        <v>0</v>
      </c>
      <c r="BT16" s="206">
        <f>Sheet1!FE20</f>
        <v>0</v>
      </c>
      <c r="BU16" s="206">
        <f>Sheet1!FF20</f>
        <v>0</v>
      </c>
      <c r="BV16" s="206">
        <f t="shared" si="6"/>
        <v>0</v>
      </c>
      <c r="BW16" s="206">
        <f>Sheet1!FG20</f>
        <v>0</v>
      </c>
      <c r="BX16" s="206">
        <f>Sheet1!FH20</f>
        <v>0</v>
      </c>
      <c r="BY16" s="206">
        <f>Sheet1!FI20</f>
        <v>0</v>
      </c>
      <c r="BZ16" s="206">
        <f>Sheet1!FJ20</f>
        <v>0</v>
      </c>
      <c r="CA16" s="206">
        <f t="shared" si="7"/>
        <v>0</v>
      </c>
      <c r="CB16" s="206">
        <f>Sheet1!FK20</f>
        <v>0</v>
      </c>
      <c r="CC16" s="206">
        <f>Sheet1!FL20</f>
        <v>0</v>
      </c>
      <c r="CD16" s="206">
        <f>Sheet1!FM20</f>
        <v>0</v>
      </c>
      <c r="CE16" s="206">
        <f>Sheet1!FN20</f>
        <v>0</v>
      </c>
      <c r="CF16" s="206">
        <f t="shared" si="8"/>
        <v>0</v>
      </c>
      <c r="CG16" s="206">
        <f t="shared" si="9"/>
        <v>0</v>
      </c>
      <c r="CH16" s="206">
        <f t="shared" si="10"/>
        <v>0</v>
      </c>
      <c r="CI16" s="206">
        <f t="shared" si="11"/>
        <v>0</v>
      </c>
      <c r="CJ16" s="206">
        <f t="shared" si="12"/>
        <v>0</v>
      </c>
      <c r="CK16" s="206">
        <f t="shared" si="13"/>
        <v>0</v>
      </c>
      <c r="CL16" s="206">
        <f t="shared" si="14"/>
        <v>0</v>
      </c>
      <c r="CM16" s="206">
        <f t="shared" si="15"/>
        <v>0</v>
      </c>
      <c r="CN16" s="206">
        <f t="shared" si="16"/>
        <v>0</v>
      </c>
      <c r="CO16" s="206">
        <f t="shared" si="17"/>
        <v>0</v>
      </c>
      <c r="CP16" s="206">
        <f t="shared" si="18"/>
        <v>0</v>
      </c>
    </row>
    <row r="17" spans="45:94">
      <c r="AS17" s="206">
        <f>Sheet1!EI21</f>
        <v>0</v>
      </c>
      <c r="AT17" s="206">
        <f>Sheet1!EJ21</f>
        <v>0</v>
      </c>
      <c r="AU17" s="206">
        <f>Sheet1!EK21</f>
        <v>0</v>
      </c>
      <c r="AV17" s="206">
        <f>Sheet1!EL21</f>
        <v>0</v>
      </c>
      <c r="AW17" s="206">
        <f t="shared" si="1"/>
        <v>0</v>
      </c>
      <c r="AX17" s="206">
        <f>Sheet1!EM21</f>
        <v>0</v>
      </c>
      <c r="AY17" s="206">
        <f>Sheet1!EN21</f>
        <v>0</v>
      </c>
      <c r="AZ17" s="206">
        <f>Sheet1!EO21</f>
        <v>0</v>
      </c>
      <c r="BA17" s="206">
        <f>Sheet1!EP21</f>
        <v>0</v>
      </c>
      <c r="BB17" s="206">
        <f t="shared" si="2"/>
        <v>0</v>
      </c>
      <c r="BC17" s="206">
        <f>Sheet1!EQ21</f>
        <v>0</v>
      </c>
      <c r="BD17" s="206">
        <f>Sheet1!ER21</f>
        <v>0</v>
      </c>
      <c r="BE17" s="206">
        <f>Sheet1!ES21</f>
        <v>0</v>
      </c>
      <c r="BF17" s="206">
        <f>Sheet1!ET21</f>
        <v>0</v>
      </c>
      <c r="BG17" s="206">
        <f t="shared" si="3"/>
        <v>0</v>
      </c>
      <c r="BH17" s="206">
        <f>Sheet1!EU21</f>
        <v>0</v>
      </c>
      <c r="BI17" s="206">
        <f>Sheet1!EV21</f>
        <v>0</v>
      </c>
      <c r="BJ17" s="206">
        <f>Sheet1!EW21</f>
        <v>0</v>
      </c>
      <c r="BK17" s="206">
        <f>Sheet1!EX21</f>
        <v>0</v>
      </c>
      <c r="BL17" s="206">
        <f t="shared" si="4"/>
        <v>0</v>
      </c>
      <c r="BM17" s="206">
        <f>Sheet1!EY21</f>
        <v>0</v>
      </c>
      <c r="BN17" s="206">
        <f>Sheet1!EZ21</f>
        <v>0</v>
      </c>
      <c r="BO17" s="206">
        <f>Sheet1!FA21</f>
        <v>0</v>
      </c>
      <c r="BP17" s="206">
        <f>Sheet1!FB21</f>
        <v>0</v>
      </c>
      <c r="BQ17" s="206">
        <f t="shared" si="5"/>
        <v>0</v>
      </c>
      <c r="BR17" s="206">
        <f>Sheet1!FC21</f>
        <v>0</v>
      </c>
      <c r="BS17" s="206">
        <f>Sheet1!FD21</f>
        <v>0</v>
      </c>
      <c r="BT17" s="206">
        <f>Sheet1!FE21</f>
        <v>0</v>
      </c>
      <c r="BU17" s="206">
        <f>Sheet1!FF21</f>
        <v>0</v>
      </c>
      <c r="BV17" s="206">
        <f t="shared" si="6"/>
        <v>0</v>
      </c>
      <c r="BW17" s="206">
        <f>Sheet1!FG21</f>
        <v>0</v>
      </c>
      <c r="BX17" s="206">
        <f>Sheet1!FH21</f>
        <v>0</v>
      </c>
      <c r="BY17" s="206">
        <f>Sheet1!FI21</f>
        <v>0</v>
      </c>
      <c r="BZ17" s="206">
        <f>Sheet1!FJ21</f>
        <v>0</v>
      </c>
      <c r="CA17" s="206">
        <f t="shared" si="7"/>
        <v>0</v>
      </c>
      <c r="CB17" s="206">
        <f>Sheet1!FK21</f>
        <v>0</v>
      </c>
      <c r="CC17" s="206">
        <f>Sheet1!FL21</f>
        <v>0</v>
      </c>
      <c r="CD17" s="206">
        <f>Sheet1!FM21</f>
        <v>0</v>
      </c>
      <c r="CE17" s="206">
        <f>Sheet1!FN21</f>
        <v>0</v>
      </c>
      <c r="CF17" s="206">
        <f t="shared" si="8"/>
        <v>0</v>
      </c>
      <c r="CG17" s="206">
        <f t="shared" si="9"/>
        <v>0</v>
      </c>
      <c r="CH17" s="206">
        <f t="shared" si="10"/>
        <v>0</v>
      </c>
      <c r="CI17" s="206">
        <f t="shared" si="11"/>
        <v>0</v>
      </c>
      <c r="CJ17" s="206">
        <f t="shared" si="12"/>
        <v>0</v>
      </c>
      <c r="CK17" s="206">
        <f t="shared" si="13"/>
        <v>0</v>
      </c>
      <c r="CL17" s="206">
        <f t="shared" si="14"/>
        <v>0</v>
      </c>
      <c r="CM17" s="206">
        <f t="shared" si="15"/>
        <v>0</v>
      </c>
      <c r="CN17" s="206">
        <f t="shared" si="16"/>
        <v>0</v>
      </c>
      <c r="CO17" s="206">
        <f t="shared" si="17"/>
        <v>0</v>
      </c>
      <c r="CP17" s="206">
        <f t="shared" si="18"/>
        <v>0</v>
      </c>
    </row>
    <row r="18" spans="45:94">
      <c r="AS18" s="206">
        <f>Sheet1!EI22</f>
        <v>0</v>
      </c>
      <c r="AT18" s="206">
        <f>Sheet1!EJ22</f>
        <v>0</v>
      </c>
      <c r="AU18" s="206">
        <f>Sheet1!EK22</f>
        <v>0</v>
      </c>
      <c r="AV18" s="206">
        <f>Sheet1!EL22</f>
        <v>0</v>
      </c>
      <c r="AW18" s="206">
        <f t="shared" si="1"/>
        <v>0</v>
      </c>
      <c r="AX18" s="206">
        <f>Sheet1!EM22</f>
        <v>0</v>
      </c>
      <c r="AY18" s="206">
        <f>Sheet1!EN22</f>
        <v>0</v>
      </c>
      <c r="AZ18" s="206">
        <f>Sheet1!EO22</f>
        <v>0</v>
      </c>
      <c r="BA18" s="206">
        <f>Sheet1!EP22</f>
        <v>0</v>
      </c>
      <c r="BB18" s="206">
        <f t="shared" si="2"/>
        <v>0</v>
      </c>
      <c r="BC18" s="206">
        <f>Sheet1!EQ22</f>
        <v>0</v>
      </c>
      <c r="BD18" s="206">
        <f>Sheet1!ER22</f>
        <v>0</v>
      </c>
      <c r="BE18" s="206">
        <f>Sheet1!ES22</f>
        <v>0</v>
      </c>
      <c r="BF18" s="206">
        <f>Sheet1!ET22</f>
        <v>0</v>
      </c>
      <c r="BG18" s="206">
        <f t="shared" si="3"/>
        <v>0</v>
      </c>
      <c r="BH18" s="206">
        <f>Sheet1!EU22</f>
        <v>0</v>
      </c>
      <c r="BI18" s="206">
        <f>Sheet1!EV22</f>
        <v>0</v>
      </c>
      <c r="BJ18" s="206">
        <f>Sheet1!EW22</f>
        <v>0</v>
      </c>
      <c r="BK18" s="206">
        <f>Sheet1!EX22</f>
        <v>0</v>
      </c>
      <c r="BL18" s="206">
        <f t="shared" si="4"/>
        <v>0</v>
      </c>
      <c r="BM18" s="206">
        <f>Sheet1!EY22</f>
        <v>0</v>
      </c>
      <c r="BN18" s="206">
        <f>Sheet1!EZ22</f>
        <v>0</v>
      </c>
      <c r="BO18" s="206">
        <f>Sheet1!FA22</f>
        <v>0</v>
      </c>
      <c r="BP18" s="206">
        <f>Sheet1!FB22</f>
        <v>0</v>
      </c>
      <c r="BQ18" s="206">
        <f t="shared" si="5"/>
        <v>0</v>
      </c>
      <c r="BR18" s="206">
        <f>Sheet1!FC22</f>
        <v>0</v>
      </c>
      <c r="BS18" s="206">
        <f>Sheet1!FD22</f>
        <v>0</v>
      </c>
      <c r="BT18" s="206">
        <f>Sheet1!FE22</f>
        <v>0</v>
      </c>
      <c r="BU18" s="206">
        <f>Sheet1!FF22</f>
        <v>0</v>
      </c>
      <c r="BV18" s="206">
        <f t="shared" si="6"/>
        <v>0</v>
      </c>
      <c r="BW18" s="206">
        <f>Sheet1!FG22</f>
        <v>0</v>
      </c>
      <c r="BX18" s="206">
        <f>Sheet1!FH22</f>
        <v>0</v>
      </c>
      <c r="BY18" s="206">
        <f>Sheet1!FI22</f>
        <v>0</v>
      </c>
      <c r="BZ18" s="206">
        <f>Sheet1!FJ22</f>
        <v>0</v>
      </c>
      <c r="CA18" s="206">
        <f t="shared" si="7"/>
        <v>0</v>
      </c>
      <c r="CB18" s="206">
        <f>Sheet1!FK22</f>
        <v>0</v>
      </c>
      <c r="CC18" s="206">
        <f>Sheet1!FL22</f>
        <v>0</v>
      </c>
      <c r="CD18" s="206">
        <f>Sheet1!FM22</f>
        <v>0</v>
      </c>
      <c r="CE18" s="206">
        <f>Sheet1!FN22</f>
        <v>0</v>
      </c>
      <c r="CF18" s="206">
        <f t="shared" si="8"/>
        <v>0</v>
      </c>
      <c r="CG18" s="206">
        <f t="shared" si="9"/>
        <v>0</v>
      </c>
      <c r="CH18" s="206">
        <f t="shared" si="10"/>
        <v>0</v>
      </c>
      <c r="CI18" s="206">
        <f t="shared" si="11"/>
        <v>0</v>
      </c>
      <c r="CJ18" s="206">
        <f t="shared" si="12"/>
        <v>0</v>
      </c>
      <c r="CK18" s="206">
        <f t="shared" si="13"/>
        <v>0</v>
      </c>
      <c r="CL18" s="206">
        <f t="shared" si="14"/>
        <v>0</v>
      </c>
      <c r="CM18" s="206">
        <f t="shared" si="15"/>
        <v>0</v>
      </c>
      <c r="CN18" s="206">
        <f t="shared" si="16"/>
        <v>0</v>
      </c>
      <c r="CO18" s="206">
        <f t="shared" si="17"/>
        <v>0</v>
      </c>
      <c r="CP18" s="206">
        <f t="shared" si="18"/>
        <v>0</v>
      </c>
    </row>
    <row r="19" spans="45:94">
      <c r="AS19" s="206">
        <f>Sheet1!EI23</f>
        <v>0</v>
      </c>
      <c r="AT19" s="206">
        <f>Sheet1!EJ23</f>
        <v>0</v>
      </c>
      <c r="AU19" s="206">
        <f>Sheet1!EK23</f>
        <v>0</v>
      </c>
      <c r="AV19" s="206">
        <f>Sheet1!EL23</f>
        <v>0</v>
      </c>
      <c r="AW19" s="206">
        <f t="shared" si="1"/>
        <v>0</v>
      </c>
      <c r="AX19" s="206">
        <f>Sheet1!EM23</f>
        <v>0</v>
      </c>
      <c r="AY19" s="206">
        <f>Sheet1!EN23</f>
        <v>0</v>
      </c>
      <c r="AZ19" s="206">
        <f>Sheet1!EO23</f>
        <v>0</v>
      </c>
      <c r="BA19" s="206">
        <f>Sheet1!EP23</f>
        <v>0</v>
      </c>
      <c r="BB19" s="206">
        <f t="shared" si="2"/>
        <v>0</v>
      </c>
      <c r="BC19" s="206">
        <f>Sheet1!EQ23</f>
        <v>0</v>
      </c>
      <c r="BD19" s="206">
        <f>Sheet1!ER23</f>
        <v>0</v>
      </c>
      <c r="BE19" s="206">
        <f>Sheet1!ES23</f>
        <v>0</v>
      </c>
      <c r="BF19" s="206">
        <f>Sheet1!ET23</f>
        <v>0</v>
      </c>
      <c r="BG19" s="206">
        <f t="shared" si="3"/>
        <v>0</v>
      </c>
      <c r="BH19" s="206">
        <f>Sheet1!EU23</f>
        <v>0</v>
      </c>
      <c r="BI19" s="206">
        <f>Sheet1!EV23</f>
        <v>0</v>
      </c>
      <c r="BJ19" s="206">
        <f>Sheet1!EW23</f>
        <v>0</v>
      </c>
      <c r="BK19" s="206">
        <f>Sheet1!EX23</f>
        <v>0</v>
      </c>
      <c r="BL19" s="206">
        <f t="shared" si="4"/>
        <v>0</v>
      </c>
      <c r="BM19" s="206">
        <f>Sheet1!EY23</f>
        <v>0</v>
      </c>
      <c r="BN19" s="206">
        <f>Sheet1!EZ23</f>
        <v>0</v>
      </c>
      <c r="BO19" s="206">
        <f>Sheet1!FA23</f>
        <v>0</v>
      </c>
      <c r="BP19" s="206">
        <f>Sheet1!FB23</f>
        <v>0</v>
      </c>
      <c r="BQ19" s="206">
        <f t="shared" si="5"/>
        <v>0</v>
      </c>
      <c r="BR19" s="206">
        <f>Sheet1!FC23</f>
        <v>0</v>
      </c>
      <c r="BS19" s="206">
        <f>Sheet1!FD23</f>
        <v>0</v>
      </c>
      <c r="BT19" s="206">
        <f>Sheet1!FE23</f>
        <v>0</v>
      </c>
      <c r="BU19" s="206">
        <f>Sheet1!FF23</f>
        <v>0</v>
      </c>
      <c r="BV19" s="206">
        <f t="shared" si="6"/>
        <v>0</v>
      </c>
      <c r="BW19" s="206">
        <f>Sheet1!FG23</f>
        <v>0</v>
      </c>
      <c r="BX19" s="206">
        <f>Sheet1!FH23</f>
        <v>0</v>
      </c>
      <c r="BY19" s="206">
        <f>Sheet1!FI23</f>
        <v>0</v>
      </c>
      <c r="BZ19" s="206">
        <f>Sheet1!FJ23</f>
        <v>0</v>
      </c>
      <c r="CA19" s="206">
        <f t="shared" si="7"/>
        <v>0</v>
      </c>
      <c r="CB19" s="206">
        <f>Sheet1!FK23</f>
        <v>0</v>
      </c>
      <c r="CC19" s="206">
        <f>Sheet1!FL23</f>
        <v>0</v>
      </c>
      <c r="CD19" s="206">
        <f>Sheet1!FM23</f>
        <v>0</v>
      </c>
      <c r="CE19" s="206">
        <f>Sheet1!FN23</f>
        <v>0</v>
      </c>
      <c r="CF19" s="206">
        <f t="shared" si="8"/>
        <v>0</v>
      </c>
      <c r="CG19" s="206">
        <f t="shared" si="9"/>
        <v>0</v>
      </c>
      <c r="CH19" s="206">
        <f t="shared" si="10"/>
        <v>0</v>
      </c>
      <c r="CI19" s="206">
        <f t="shared" si="11"/>
        <v>0</v>
      </c>
      <c r="CJ19" s="206">
        <f t="shared" si="12"/>
        <v>0</v>
      </c>
      <c r="CK19" s="206">
        <f t="shared" si="13"/>
        <v>0</v>
      </c>
      <c r="CL19" s="206">
        <f t="shared" si="14"/>
        <v>0</v>
      </c>
      <c r="CM19" s="206">
        <f t="shared" si="15"/>
        <v>0</v>
      </c>
      <c r="CN19" s="206">
        <f t="shared" si="16"/>
        <v>0</v>
      </c>
      <c r="CO19" s="206">
        <f t="shared" si="17"/>
        <v>0</v>
      </c>
      <c r="CP19" s="206">
        <f t="shared" si="18"/>
        <v>0</v>
      </c>
    </row>
    <row r="20" spans="45:94">
      <c r="AS20" s="206">
        <f>Sheet1!EI24</f>
        <v>0</v>
      </c>
      <c r="AT20" s="206">
        <f>Sheet1!EJ24</f>
        <v>0</v>
      </c>
      <c r="AU20" s="206">
        <f>Sheet1!EK24</f>
        <v>0</v>
      </c>
      <c r="AV20" s="206">
        <f>Sheet1!EL24</f>
        <v>0</v>
      </c>
      <c r="AW20" s="206">
        <f t="shared" si="1"/>
        <v>0</v>
      </c>
      <c r="AX20" s="206">
        <f>Sheet1!EM24</f>
        <v>0</v>
      </c>
      <c r="AY20" s="206">
        <f>Sheet1!EN24</f>
        <v>0</v>
      </c>
      <c r="AZ20" s="206">
        <f>Sheet1!EO24</f>
        <v>0</v>
      </c>
      <c r="BA20" s="206">
        <f>Sheet1!EP24</f>
        <v>0</v>
      </c>
      <c r="BB20" s="206">
        <f t="shared" si="2"/>
        <v>0</v>
      </c>
      <c r="BC20" s="206">
        <f>Sheet1!EQ24</f>
        <v>0</v>
      </c>
      <c r="BD20" s="206">
        <f>Sheet1!ER24</f>
        <v>0</v>
      </c>
      <c r="BE20" s="206">
        <f>Sheet1!ES24</f>
        <v>0</v>
      </c>
      <c r="BF20" s="206">
        <f>Sheet1!ET24</f>
        <v>0</v>
      </c>
      <c r="BG20" s="206">
        <f t="shared" si="3"/>
        <v>0</v>
      </c>
      <c r="BH20" s="206">
        <f>Sheet1!EU24</f>
        <v>0</v>
      </c>
      <c r="BI20" s="206">
        <f>Sheet1!EV24</f>
        <v>0</v>
      </c>
      <c r="BJ20" s="206">
        <f>Sheet1!EW24</f>
        <v>0</v>
      </c>
      <c r="BK20" s="206">
        <f>Sheet1!EX24</f>
        <v>0</v>
      </c>
      <c r="BL20" s="206">
        <f t="shared" si="4"/>
        <v>0</v>
      </c>
      <c r="BM20" s="206">
        <f>Sheet1!EY24</f>
        <v>0</v>
      </c>
      <c r="BN20" s="206">
        <f>Sheet1!EZ24</f>
        <v>0</v>
      </c>
      <c r="BO20" s="206">
        <f>Sheet1!FA24</f>
        <v>0</v>
      </c>
      <c r="BP20" s="206">
        <f>Sheet1!FB24</f>
        <v>0</v>
      </c>
      <c r="BQ20" s="206">
        <f t="shared" si="5"/>
        <v>0</v>
      </c>
      <c r="BR20" s="206">
        <f>Sheet1!FC24</f>
        <v>0</v>
      </c>
      <c r="BS20" s="206">
        <f>Sheet1!FD24</f>
        <v>0</v>
      </c>
      <c r="BT20" s="206">
        <f>Sheet1!FE24</f>
        <v>0</v>
      </c>
      <c r="BU20" s="206">
        <f>Sheet1!FF24</f>
        <v>0</v>
      </c>
      <c r="BV20" s="206">
        <f t="shared" si="6"/>
        <v>0</v>
      </c>
      <c r="BW20" s="206">
        <f>Sheet1!FG24</f>
        <v>0</v>
      </c>
      <c r="BX20" s="206">
        <f>Sheet1!FH24</f>
        <v>0</v>
      </c>
      <c r="BY20" s="206">
        <f>Sheet1!FI24</f>
        <v>0</v>
      </c>
      <c r="BZ20" s="206">
        <f>Sheet1!FJ24</f>
        <v>0</v>
      </c>
      <c r="CA20" s="206">
        <f t="shared" si="7"/>
        <v>0</v>
      </c>
      <c r="CB20" s="206">
        <f>Sheet1!FK24</f>
        <v>0</v>
      </c>
      <c r="CC20" s="206">
        <f>Sheet1!FL24</f>
        <v>0</v>
      </c>
      <c r="CD20" s="206">
        <f>Sheet1!FM24</f>
        <v>0</v>
      </c>
      <c r="CE20" s="206">
        <f>Sheet1!FN24</f>
        <v>0</v>
      </c>
      <c r="CF20" s="206">
        <f t="shared" si="8"/>
        <v>0</v>
      </c>
      <c r="CG20" s="206">
        <f t="shared" si="9"/>
        <v>0</v>
      </c>
      <c r="CH20" s="206">
        <f t="shared" si="10"/>
        <v>0</v>
      </c>
      <c r="CI20" s="206">
        <f t="shared" si="11"/>
        <v>0</v>
      </c>
      <c r="CJ20" s="206">
        <f t="shared" si="12"/>
        <v>0</v>
      </c>
      <c r="CK20" s="206">
        <f t="shared" si="13"/>
        <v>0</v>
      </c>
      <c r="CL20" s="206">
        <f t="shared" si="14"/>
        <v>0</v>
      </c>
      <c r="CM20" s="206">
        <f t="shared" si="15"/>
        <v>0</v>
      </c>
      <c r="CN20" s="206">
        <f t="shared" si="16"/>
        <v>0</v>
      </c>
      <c r="CO20" s="206">
        <f t="shared" si="17"/>
        <v>0</v>
      </c>
      <c r="CP20" s="206">
        <f t="shared" si="18"/>
        <v>0</v>
      </c>
    </row>
    <row r="21" spans="45:94">
      <c r="AS21" s="206">
        <f>Sheet1!EI25</f>
        <v>0</v>
      </c>
      <c r="AT21" s="206">
        <f>Sheet1!EJ25</f>
        <v>0</v>
      </c>
      <c r="AU21" s="206">
        <f>Sheet1!EK25</f>
        <v>0</v>
      </c>
      <c r="AV21" s="206">
        <f>Sheet1!EL25</f>
        <v>0</v>
      </c>
      <c r="AW21" s="206">
        <f t="shared" si="1"/>
        <v>0</v>
      </c>
      <c r="AX21" s="206">
        <f>Sheet1!EM25</f>
        <v>0</v>
      </c>
      <c r="AY21" s="206">
        <f>Sheet1!EN25</f>
        <v>0</v>
      </c>
      <c r="AZ21" s="206">
        <f>Sheet1!EO25</f>
        <v>0</v>
      </c>
      <c r="BA21" s="206">
        <f>Sheet1!EP25</f>
        <v>0</v>
      </c>
      <c r="BB21" s="206">
        <f t="shared" si="2"/>
        <v>0</v>
      </c>
      <c r="BC21" s="206">
        <f>Sheet1!EQ25</f>
        <v>0</v>
      </c>
      <c r="BD21" s="206">
        <f>Sheet1!ER25</f>
        <v>0</v>
      </c>
      <c r="BE21" s="206">
        <f>Sheet1!ES25</f>
        <v>0</v>
      </c>
      <c r="BF21" s="206">
        <f>Sheet1!ET25</f>
        <v>0</v>
      </c>
      <c r="BG21" s="206">
        <f t="shared" si="3"/>
        <v>0</v>
      </c>
      <c r="BH21" s="206">
        <f>Sheet1!EU25</f>
        <v>0</v>
      </c>
      <c r="BI21" s="206">
        <f>Sheet1!EV25</f>
        <v>0</v>
      </c>
      <c r="BJ21" s="206">
        <f>Sheet1!EW25</f>
        <v>0</v>
      </c>
      <c r="BK21" s="206">
        <f>Sheet1!EX25</f>
        <v>0</v>
      </c>
      <c r="BL21" s="206">
        <f t="shared" si="4"/>
        <v>0</v>
      </c>
      <c r="BM21" s="206">
        <f>Sheet1!EY25</f>
        <v>0</v>
      </c>
      <c r="BN21" s="206">
        <f>Sheet1!EZ25</f>
        <v>0</v>
      </c>
      <c r="BO21" s="206">
        <f>Sheet1!FA25</f>
        <v>0</v>
      </c>
      <c r="BP21" s="206">
        <f>Sheet1!FB25</f>
        <v>0</v>
      </c>
      <c r="BQ21" s="206">
        <f t="shared" si="5"/>
        <v>0</v>
      </c>
      <c r="BR21" s="206">
        <f>Sheet1!FC25</f>
        <v>0</v>
      </c>
      <c r="BS21" s="206">
        <f>Sheet1!FD25</f>
        <v>0</v>
      </c>
      <c r="BT21" s="206">
        <f>Sheet1!FE25</f>
        <v>0</v>
      </c>
      <c r="BU21" s="206">
        <f>Sheet1!FF25</f>
        <v>0</v>
      </c>
      <c r="BV21" s="206">
        <f t="shared" si="6"/>
        <v>0</v>
      </c>
      <c r="BW21" s="206">
        <f>Sheet1!FG25</f>
        <v>0</v>
      </c>
      <c r="BX21" s="206">
        <f>Sheet1!FH25</f>
        <v>0</v>
      </c>
      <c r="BY21" s="206">
        <f>Sheet1!FI25</f>
        <v>0</v>
      </c>
      <c r="BZ21" s="206">
        <f>Sheet1!FJ25</f>
        <v>0</v>
      </c>
      <c r="CA21" s="206">
        <f t="shared" si="7"/>
        <v>0</v>
      </c>
      <c r="CB21" s="206">
        <f>Sheet1!FK25</f>
        <v>0</v>
      </c>
      <c r="CC21" s="206">
        <f>Sheet1!FL25</f>
        <v>0</v>
      </c>
      <c r="CD21" s="206">
        <f>Sheet1!FM25</f>
        <v>0</v>
      </c>
      <c r="CE21" s="206">
        <f>Sheet1!FN25</f>
        <v>0</v>
      </c>
      <c r="CF21" s="206">
        <f t="shared" si="8"/>
        <v>0</v>
      </c>
      <c r="CG21" s="206">
        <f t="shared" si="9"/>
        <v>0</v>
      </c>
      <c r="CH21" s="206">
        <f t="shared" si="10"/>
        <v>0</v>
      </c>
      <c r="CI21" s="206">
        <f t="shared" si="11"/>
        <v>0</v>
      </c>
      <c r="CJ21" s="206">
        <f t="shared" si="12"/>
        <v>0</v>
      </c>
      <c r="CK21" s="206">
        <f t="shared" si="13"/>
        <v>0</v>
      </c>
      <c r="CL21" s="206">
        <f t="shared" si="14"/>
        <v>0</v>
      </c>
      <c r="CM21" s="206">
        <f t="shared" si="15"/>
        <v>0</v>
      </c>
      <c r="CN21" s="206">
        <f t="shared" si="16"/>
        <v>0</v>
      </c>
      <c r="CO21" s="206">
        <f t="shared" si="17"/>
        <v>0</v>
      </c>
      <c r="CP21" s="206">
        <f t="shared" si="18"/>
        <v>0</v>
      </c>
    </row>
    <row r="22" spans="45:94">
      <c r="AS22" s="206">
        <f>Sheet1!EI26</f>
        <v>0</v>
      </c>
      <c r="AT22" s="206">
        <f>Sheet1!EJ26</f>
        <v>0</v>
      </c>
      <c r="AU22" s="206">
        <f>Sheet1!EK26</f>
        <v>0</v>
      </c>
      <c r="AV22" s="206">
        <f>Sheet1!EL26</f>
        <v>0</v>
      </c>
      <c r="AW22" s="206">
        <f t="shared" si="1"/>
        <v>0</v>
      </c>
      <c r="AX22" s="206">
        <f>Sheet1!EM26</f>
        <v>0</v>
      </c>
      <c r="AY22" s="206">
        <f>Sheet1!EN26</f>
        <v>0</v>
      </c>
      <c r="AZ22" s="206">
        <f>Sheet1!EO26</f>
        <v>0</v>
      </c>
      <c r="BA22" s="206">
        <f>Sheet1!EP26</f>
        <v>0</v>
      </c>
      <c r="BB22" s="206">
        <f t="shared" si="2"/>
        <v>0</v>
      </c>
      <c r="BC22" s="206">
        <f>Sheet1!EQ26</f>
        <v>0</v>
      </c>
      <c r="BD22" s="206">
        <f>Sheet1!ER26</f>
        <v>0</v>
      </c>
      <c r="BE22" s="206">
        <f>Sheet1!ES26</f>
        <v>0</v>
      </c>
      <c r="BF22" s="206">
        <f>Sheet1!ET26</f>
        <v>0</v>
      </c>
      <c r="BG22" s="206">
        <f t="shared" si="3"/>
        <v>0</v>
      </c>
      <c r="BH22" s="206">
        <f>Sheet1!EU26</f>
        <v>0</v>
      </c>
      <c r="BI22" s="206">
        <f>Sheet1!EV26</f>
        <v>0</v>
      </c>
      <c r="BJ22" s="206">
        <f>Sheet1!EW26</f>
        <v>0</v>
      </c>
      <c r="BK22" s="206">
        <f>Sheet1!EX26</f>
        <v>0</v>
      </c>
      <c r="BL22" s="206">
        <f t="shared" si="4"/>
        <v>0</v>
      </c>
      <c r="BM22" s="206">
        <f>Sheet1!EY26</f>
        <v>0</v>
      </c>
      <c r="BN22" s="206">
        <f>Sheet1!EZ26</f>
        <v>0</v>
      </c>
      <c r="BO22" s="206">
        <f>Sheet1!FA26</f>
        <v>0</v>
      </c>
      <c r="BP22" s="206">
        <f>Sheet1!FB26</f>
        <v>0</v>
      </c>
      <c r="BQ22" s="206">
        <f t="shared" si="5"/>
        <v>0</v>
      </c>
      <c r="BR22" s="206">
        <f>Sheet1!FC26</f>
        <v>0</v>
      </c>
      <c r="BS22" s="206">
        <f>Sheet1!FD26</f>
        <v>0</v>
      </c>
      <c r="BT22" s="206">
        <f>Sheet1!FE26</f>
        <v>0</v>
      </c>
      <c r="BU22" s="206">
        <f>Sheet1!FF26</f>
        <v>0</v>
      </c>
      <c r="BV22" s="206">
        <f t="shared" si="6"/>
        <v>0</v>
      </c>
      <c r="BW22" s="206">
        <f>Sheet1!FG26</f>
        <v>0</v>
      </c>
      <c r="BX22" s="206">
        <f>Sheet1!FH26</f>
        <v>0</v>
      </c>
      <c r="BY22" s="206">
        <f>Sheet1!FI26</f>
        <v>0</v>
      </c>
      <c r="BZ22" s="206">
        <f>Sheet1!FJ26</f>
        <v>0</v>
      </c>
      <c r="CA22" s="206">
        <f t="shared" si="7"/>
        <v>0</v>
      </c>
      <c r="CB22" s="206">
        <f>Sheet1!FK26</f>
        <v>0</v>
      </c>
      <c r="CC22" s="206">
        <f>Sheet1!FL26</f>
        <v>0</v>
      </c>
      <c r="CD22" s="206">
        <f>Sheet1!FM26</f>
        <v>0</v>
      </c>
      <c r="CE22" s="206">
        <f>Sheet1!FN26</f>
        <v>0</v>
      </c>
      <c r="CF22" s="206">
        <f t="shared" si="8"/>
        <v>0</v>
      </c>
      <c r="CG22" s="206">
        <f t="shared" si="9"/>
        <v>0</v>
      </c>
      <c r="CH22" s="206">
        <f t="shared" si="10"/>
        <v>0</v>
      </c>
      <c r="CI22" s="206">
        <f t="shared" si="11"/>
        <v>0</v>
      </c>
      <c r="CJ22" s="206">
        <f t="shared" si="12"/>
        <v>0</v>
      </c>
      <c r="CK22" s="206">
        <f t="shared" si="13"/>
        <v>0</v>
      </c>
      <c r="CL22" s="206">
        <f t="shared" si="14"/>
        <v>0</v>
      </c>
      <c r="CM22" s="206">
        <f t="shared" si="15"/>
        <v>0</v>
      </c>
      <c r="CN22" s="206">
        <f t="shared" si="16"/>
        <v>0</v>
      </c>
      <c r="CO22" s="206">
        <f t="shared" si="17"/>
        <v>0</v>
      </c>
      <c r="CP22" s="206">
        <f t="shared" si="18"/>
        <v>0</v>
      </c>
    </row>
    <row r="23" spans="45:94">
      <c r="AS23" s="206">
        <f>Sheet1!EI27</f>
        <v>0</v>
      </c>
      <c r="AT23" s="206">
        <f>Sheet1!EJ27</f>
        <v>0</v>
      </c>
      <c r="AU23" s="206">
        <f>Sheet1!EK27</f>
        <v>0</v>
      </c>
      <c r="AV23" s="206">
        <f>Sheet1!EL27</f>
        <v>0</v>
      </c>
      <c r="AW23" s="206">
        <f t="shared" si="1"/>
        <v>0</v>
      </c>
      <c r="AX23" s="206">
        <f>Sheet1!EM27</f>
        <v>0</v>
      </c>
      <c r="AY23" s="206">
        <f>Sheet1!EN27</f>
        <v>0</v>
      </c>
      <c r="AZ23" s="206">
        <f>Sheet1!EO27</f>
        <v>0</v>
      </c>
      <c r="BA23" s="206">
        <f>Sheet1!EP27</f>
        <v>0</v>
      </c>
      <c r="BB23" s="206">
        <f t="shared" si="2"/>
        <v>0</v>
      </c>
      <c r="BC23" s="206">
        <f>Sheet1!EQ27</f>
        <v>0</v>
      </c>
      <c r="BD23" s="206">
        <f>Sheet1!ER27</f>
        <v>0</v>
      </c>
      <c r="BE23" s="206">
        <f>Sheet1!ES27</f>
        <v>0</v>
      </c>
      <c r="BF23" s="206">
        <f>Sheet1!ET27</f>
        <v>0</v>
      </c>
      <c r="BG23" s="206">
        <f t="shared" si="3"/>
        <v>0</v>
      </c>
      <c r="BH23" s="206">
        <f>Sheet1!EU27</f>
        <v>0</v>
      </c>
      <c r="BI23" s="206">
        <f>Sheet1!EV27</f>
        <v>0</v>
      </c>
      <c r="BJ23" s="206">
        <f>Sheet1!EW27</f>
        <v>0</v>
      </c>
      <c r="BK23" s="206">
        <f>Sheet1!EX27</f>
        <v>0</v>
      </c>
      <c r="BL23" s="206">
        <f t="shared" si="4"/>
        <v>0</v>
      </c>
      <c r="BM23" s="206">
        <f>Sheet1!EY27</f>
        <v>0</v>
      </c>
      <c r="BN23" s="206">
        <f>Sheet1!EZ27</f>
        <v>0</v>
      </c>
      <c r="BO23" s="206">
        <f>Sheet1!FA27</f>
        <v>0</v>
      </c>
      <c r="BP23" s="206">
        <f>Sheet1!FB27</f>
        <v>0</v>
      </c>
      <c r="BQ23" s="206">
        <f t="shared" si="5"/>
        <v>0</v>
      </c>
      <c r="BR23" s="206">
        <f>Sheet1!FC27</f>
        <v>0</v>
      </c>
      <c r="BS23" s="206">
        <f>Sheet1!FD27</f>
        <v>0</v>
      </c>
      <c r="BT23" s="206">
        <f>Sheet1!FE27</f>
        <v>0</v>
      </c>
      <c r="BU23" s="206">
        <f>Sheet1!FF27</f>
        <v>0</v>
      </c>
      <c r="BV23" s="206">
        <f t="shared" si="6"/>
        <v>0</v>
      </c>
      <c r="BW23" s="206">
        <f>Sheet1!FG27</f>
        <v>0</v>
      </c>
      <c r="BX23" s="206">
        <f>Sheet1!FH27</f>
        <v>0</v>
      </c>
      <c r="BY23" s="206">
        <f>Sheet1!FI27</f>
        <v>0</v>
      </c>
      <c r="BZ23" s="206">
        <f>Sheet1!FJ27</f>
        <v>0</v>
      </c>
      <c r="CA23" s="206">
        <f t="shared" si="7"/>
        <v>0</v>
      </c>
      <c r="CB23" s="206">
        <f>Sheet1!FK27</f>
        <v>0</v>
      </c>
      <c r="CC23" s="206">
        <f>Sheet1!FL27</f>
        <v>0</v>
      </c>
      <c r="CD23" s="206">
        <f>Sheet1!FM27</f>
        <v>0</v>
      </c>
      <c r="CE23" s="206">
        <f>Sheet1!FN27</f>
        <v>0</v>
      </c>
      <c r="CF23" s="206">
        <f t="shared" si="8"/>
        <v>0</v>
      </c>
      <c r="CG23" s="206">
        <f t="shared" si="9"/>
        <v>0</v>
      </c>
      <c r="CH23" s="206">
        <f t="shared" si="10"/>
        <v>0</v>
      </c>
      <c r="CI23" s="206">
        <f t="shared" si="11"/>
        <v>0</v>
      </c>
      <c r="CJ23" s="206">
        <f t="shared" si="12"/>
        <v>0</v>
      </c>
      <c r="CK23" s="206">
        <f t="shared" si="13"/>
        <v>0</v>
      </c>
      <c r="CL23" s="206">
        <f t="shared" si="14"/>
        <v>0</v>
      </c>
      <c r="CM23" s="206">
        <f t="shared" si="15"/>
        <v>0</v>
      </c>
      <c r="CN23" s="206">
        <f t="shared" si="16"/>
        <v>0</v>
      </c>
      <c r="CO23" s="206">
        <f t="shared" si="17"/>
        <v>0</v>
      </c>
      <c r="CP23" s="206">
        <f t="shared" si="18"/>
        <v>0</v>
      </c>
    </row>
    <row r="24" spans="45:94">
      <c r="AS24" s="206">
        <f>Sheet1!EI28</f>
        <v>0</v>
      </c>
      <c r="AT24" s="206">
        <f>Sheet1!EJ28</f>
        <v>0</v>
      </c>
      <c r="AU24" s="206">
        <f>Sheet1!EK28</f>
        <v>0</v>
      </c>
      <c r="AV24" s="206">
        <f>Sheet1!EL28</f>
        <v>0</v>
      </c>
      <c r="AW24" s="206">
        <f t="shared" si="1"/>
        <v>0</v>
      </c>
      <c r="AX24" s="206">
        <f>Sheet1!EM28</f>
        <v>0</v>
      </c>
      <c r="AY24" s="206">
        <f>Sheet1!EN28</f>
        <v>0</v>
      </c>
      <c r="AZ24" s="206">
        <f>Sheet1!EO28</f>
        <v>0</v>
      </c>
      <c r="BA24" s="206">
        <f>Sheet1!EP28</f>
        <v>0</v>
      </c>
      <c r="BB24" s="206">
        <f t="shared" si="2"/>
        <v>0</v>
      </c>
      <c r="BC24" s="206">
        <f>Sheet1!EQ28</f>
        <v>0</v>
      </c>
      <c r="BD24" s="206">
        <f>Sheet1!ER28</f>
        <v>0</v>
      </c>
      <c r="BE24" s="206">
        <f>Sheet1!ES28</f>
        <v>0</v>
      </c>
      <c r="BF24" s="206">
        <f>Sheet1!ET28</f>
        <v>0</v>
      </c>
      <c r="BG24" s="206">
        <f t="shared" si="3"/>
        <v>0</v>
      </c>
      <c r="BH24" s="206">
        <f>Sheet1!EU28</f>
        <v>0</v>
      </c>
      <c r="BI24" s="206">
        <f>Sheet1!EV28</f>
        <v>0</v>
      </c>
      <c r="BJ24" s="206">
        <f>Sheet1!EW28</f>
        <v>0</v>
      </c>
      <c r="BK24" s="206">
        <f>Sheet1!EX28</f>
        <v>0</v>
      </c>
      <c r="BL24" s="206">
        <f t="shared" si="4"/>
        <v>0</v>
      </c>
      <c r="BM24" s="206">
        <f>Sheet1!EY28</f>
        <v>0</v>
      </c>
      <c r="BN24" s="206">
        <f>Sheet1!EZ28</f>
        <v>0</v>
      </c>
      <c r="BO24" s="206">
        <f>Sheet1!FA28</f>
        <v>0</v>
      </c>
      <c r="BP24" s="206">
        <f>Sheet1!FB28</f>
        <v>0</v>
      </c>
      <c r="BQ24" s="206">
        <f t="shared" si="5"/>
        <v>0</v>
      </c>
      <c r="BR24" s="206">
        <f>Sheet1!FC28</f>
        <v>0</v>
      </c>
      <c r="BS24" s="206">
        <f>Sheet1!FD28</f>
        <v>0</v>
      </c>
      <c r="BT24" s="206">
        <f>Sheet1!FE28</f>
        <v>0</v>
      </c>
      <c r="BU24" s="206">
        <f>Sheet1!FF28</f>
        <v>0</v>
      </c>
      <c r="BV24" s="206">
        <f t="shared" si="6"/>
        <v>0</v>
      </c>
      <c r="BW24" s="206">
        <f>Sheet1!FG28</f>
        <v>0</v>
      </c>
      <c r="BX24" s="206">
        <f>Sheet1!FH28</f>
        <v>0</v>
      </c>
      <c r="BY24" s="206">
        <f>Sheet1!FI28</f>
        <v>0</v>
      </c>
      <c r="BZ24" s="206">
        <f>Sheet1!FJ28</f>
        <v>0</v>
      </c>
      <c r="CA24" s="206">
        <f t="shared" si="7"/>
        <v>0</v>
      </c>
      <c r="CB24" s="206">
        <f>Sheet1!FK28</f>
        <v>0</v>
      </c>
      <c r="CC24" s="206">
        <f>Sheet1!FL28</f>
        <v>0</v>
      </c>
      <c r="CD24" s="206">
        <f>Sheet1!FM28</f>
        <v>0</v>
      </c>
      <c r="CE24" s="206">
        <f>Sheet1!FN28</f>
        <v>0</v>
      </c>
      <c r="CF24" s="206">
        <f t="shared" si="8"/>
        <v>0</v>
      </c>
      <c r="CG24" s="206">
        <f t="shared" si="9"/>
        <v>0</v>
      </c>
      <c r="CH24" s="206">
        <f t="shared" si="10"/>
        <v>0</v>
      </c>
      <c r="CI24" s="206">
        <f t="shared" si="11"/>
        <v>0</v>
      </c>
      <c r="CJ24" s="206">
        <f t="shared" si="12"/>
        <v>0</v>
      </c>
      <c r="CK24" s="206">
        <f t="shared" si="13"/>
        <v>0</v>
      </c>
      <c r="CL24" s="206">
        <f t="shared" si="14"/>
        <v>0</v>
      </c>
      <c r="CM24" s="206">
        <f t="shared" si="15"/>
        <v>0</v>
      </c>
      <c r="CN24" s="206">
        <f t="shared" si="16"/>
        <v>0</v>
      </c>
      <c r="CO24" s="206">
        <f t="shared" si="17"/>
        <v>0</v>
      </c>
      <c r="CP24" s="206">
        <f t="shared" si="18"/>
        <v>0</v>
      </c>
    </row>
    <row r="25" spans="45:94">
      <c r="AS25" s="206">
        <f>Sheet1!EI29</f>
        <v>0</v>
      </c>
      <c r="AT25" s="206">
        <f>Sheet1!EJ29</f>
        <v>0</v>
      </c>
      <c r="AU25" s="206">
        <f>Sheet1!EK29</f>
        <v>0</v>
      </c>
      <c r="AV25" s="206">
        <f>Sheet1!EL29</f>
        <v>0</v>
      </c>
      <c r="AW25" s="206">
        <f t="shared" si="1"/>
        <v>0</v>
      </c>
      <c r="AX25" s="206">
        <f>Sheet1!EM29</f>
        <v>0</v>
      </c>
      <c r="AY25" s="206">
        <f>Sheet1!EN29</f>
        <v>0</v>
      </c>
      <c r="AZ25" s="206">
        <f>Sheet1!EO29</f>
        <v>0</v>
      </c>
      <c r="BA25" s="206">
        <f>Sheet1!EP29</f>
        <v>0</v>
      </c>
      <c r="BB25" s="206">
        <f t="shared" si="2"/>
        <v>0</v>
      </c>
      <c r="BC25" s="206">
        <f>Sheet1!EQ29</f>
        <v>0</v>
      </c>
      <c r="BD25" s="206">
        <f>Sheet1!ER29</f>
        <v>0</v>
      </c>
      <c r="BE25" s="206">
        <f>Sheet1!ES29</f>
        <v>0</v>
      </c>
      <c r="BF25" s="206">
        <f>Sheet1!ET29</f>
        <v>0</v>
      </c>
      <c r="BG25" s="206">
        <f t="shared" si="3"/>
        <v>0</v>
      </c>
      <c r="BH25" s="206">
        <f>Sheet1!EU29</f>
        <v>0</v>
      </c>
      <c r="BI25" s="206">
        <f>Sheet1!EV29</f>
        <v>0</v>
      </c>
      <c r="BJ25" s="206">
        <f>Sheet1!EW29</f>
        <v>0</v>
      </c>
      <c r="BK25" s="206">
        <f>Sheet1!EX29</f>
        <v>0</v>
      </c>
      <c r="BL25" s="206">
        <f t="shared" si="4"/>
        <v>0</v>
      </c>
      <c r="BM25" s="206">
        <f>Sheet1!EY29</f>
        <v>0</v>
      </c>
      <c r="BN25" s="206">
        <f>Sheet1!EZ29</f>
        <v>0</v>
      </c>
      <c r="BO25" s="206">
        <f>Sheet1!FA29</f>
        <v>0</v>
      </c>
      <c r="BP25" s="206">
        <f>Sheet1!FB29</f>
        <v>0</v>
      </c>
      <c r="BQ25" s="206">
        <f t="shared" si="5"/>
        <v>0</v>
      </c>
      <c r="BR25" s="206">
        <f>Sheet1!FC29</f>
        <v>0</v>
      </c>
      <c r="BS25" s="206">
        <f>Sheet1!FD29</f>
        <v>0</v>
      </c>
      <c r="BT25" s="206">
        <f>Sheet1!FE29</f>
        <v>0</v>
      </c>
      <c r="BU25" s="206">
        <f>Sheet1!FF29</f>
        <v>0</v>
      </c>
      <c r="BV25" s="206">
        <f t="shared" si="6"/>
        <v>0</v>
      </c>
      <c r="BW25" s="206">
        <f>Sheet1!FG29</f>
        <v>0</v>
      </c>
      <c r="BX25" s="206">
        <f>Sheet1!FH29</f>
        <v>0</v>
      </c>
      <c r="BY25" s="206">
        <f>Sheet1!FI29</f>
        <v>0</v>
      </c>
      <c r="BZ25" s="206">
        <f>Sheet1!FJ29</f>
        <v>0</v>
      </c>
      <c r="CA25" s="206">
        <f t="shared" si="7"/>
        <v>0</v>
      </c>
      <c r="CB25" s="206">
        <f>Sheet1!FK29</f>
        <v>0</v>
      </c>
      <c r="CC25" s="206">
        <f>Sheet1!FL29</f>
        <v>0</v>
      </c>
      <c r="CD25" s="206">
        <f>Sheet1!FM29</f>
        <v>0</v>
      </c>
      <c r="CE25" s="206">
        <f>Sheet1!FN29</f>
        <v>0</v>
      </c>
      <c r="CF25" s="206">
        <f t="shared" si="8"/>
        <v>0</v>
      </c>
      <c r="CG25" s="206">
        <f t="shared" si="9"/>
        <v>0</v>
      </c>
      <c r="CH25" s="206">
        <f t="shared" si="10"/>
        <v>0</v>
      </c>
      <c r="CI25" s="206">
        <f t="shared" si="11"/>
        <v>0</v>
      </c>
      <c r="CJ25" s="206">
        <f t="shared" si="12"/>
        <v>0</v>
      </c>
      <c r="CK25" s="206">
        <f t="shared" si="13"/>
        <v>0</v>
      </c>
      <c r="CL25" s="206">
        <f t="shared" si="14"/>
        <v>0</v>
      </c>
      <c r="CM25" s="206">
        <f t="shared" si="15"/>
        <v>0</v>
      </c>
      <c r="CN25" s="206">
        <f t="shared" si="16"/>
        <v>0</v>
      </c>
      <c r="CO25" s="206">
        <f t="shared" si="17"/>
        <v>0</v>
      </c>
      <c r="CP25" s="206">
        <f t="shared" si="18"/>
        <v>0</v>
      </c>
    </row>
    <row r="26" spans="45:94">
      <c r="AS26" s="206">
        <f>Sheet1!EI30</f>
        <v>0</v>
      </c>
      <c r="AT26" s="206">
        <f>Sheet1!EJ30</f>
        <v>0</v>
      </c>
      <c r="AU26" s="206">
        <f>Sheet1!EK30</f>
        <v>0</v>
      </c>
      <c r="AV26" s="206">
        <f>Sheet1!EL30</f>
        <v>0</v>
      </c>
      <c r="AW26" s="206">
        <f t="shared" si="1"/>
        <v>0</v>
      </c>
      <c r="AX26" s="206">
        <f>Sheet1!EM30</f>
        <v>0</v>
      </c>
      <c r="AY26" s="206">
        <f>Sheet1!EN30</f>
        <v>0</v>
      </c>
      <c r="AZ26" s="206">
        <f>Sheet1!EO30</f>
        <v>0</v>
      </c>
      <c r="BA26" s="206">
        <f>Sheet1!EP30</f>
        <v>0</v>
      </c>
      <c r="BB26" s="206">
        <f t="shared" si="2"/>
        <v>0</v>
      </c>
      <c r="BC26" s="206">
        <f>Sheet1!EQ30</f>
        <v>0</v>
      </c>
      <c r="BD26" s="206">
        <f>Sheet1!ER30</f>
        <v>0</v>
      </c>
      <c r="BE26" s="206">
        <f>Sheet1!ES30</f>
        <v>0</v>
      </c>
      <c r="BF26" s="206">
        <f>Sheet1!ET30</f>
        <v>0</v>
      </c>
      <c r="BG26" s="206">
        <f t="shared" si="3"/>
        <v>0</v>
      </c>
      <c r="BH26" s="206">
        <f>Sheet1!EU30</f>
        <v>0</v>
      </c>
      <c r="BI26" s="206">
        <f>Sheet1!EV30</f>
        <v>0</v>
      </c>
      <c r="BJ26" s="206">
        <f>Sheet1!EW30</f>
        <v>0</v>
      </c>
      <c r="BK26" s="206">
        <f>Sheet1!EX30</f>
        <v>0</v>
      </c>
      <c r="BL26" s="206">
        <f t="shared" si="4"/>
        <v>0</v>
      </c>
      <c r="BM26" s="206">
        <f>Sheet1!EY30</f>
        <v>0</v>
      </c>
      <c r="BN26" s="206">
        <f>Sheet1!EZ30</f>
        <v>0</v>
      </c>
      <c r="BO26" s="206">
        <f>Sheet1!FA30</f>
        <v>0</v>
      </c>
      <c r="BP26" s="206">
        <f>Sheet1!FB30</f>
        <v>0</v>
      </c>
      <c r="BQ26" s="206">
        <f t="shared" si="5"/>
        <v>0</v>
      </c>
      <c r="BR26" s="206">
        <f>Sheet1!FC30</f>
        <v>0</v>
      </c>
      <c r="BS26" s="206">
        <f>Sheet1!FD30</f>
        <v>0</v>
      </c>
      <c r="BT26" s="206">
        <f>Sheet1!FE30</f>
        <v>0</v>
      </c>
      <c r="BU26" s="206">
        <f>Sheet1!FF30</f>
        <v>0</v>
      </c>
      <c r="BV26" s="206">
        <f t="shared" si="6"/>
        <v>0</v>
      </c>
      <c r="BW26" s="206">
        <f>Sheet1!FG30</f>
        <v>0</v>
      </c>
      <c r="BX26" s="206">
        <f>Sheet1!FH30</f>
        <v>0</v>
      </c>
      <c r="BY26" s="206">
        <f>Sheet1!FI30</f>
        <v>0</v>
      </c>
      <c r="BZ26" s="206">
        <f>Sheet1!FJ30</f>
        <v>0</v>
      </c>
      <c r="CA26" s="206">
        <f t="shared" si="7"/>
        <v>0</v>
      </c>
      <c r="CB26" s="206">
        <f>Sheet1!FK30</f>
        <v>0</v>
      </c>
      <c r="CC26" s="206">
        <f>Sheet1!FL30</f>
        <v>0</v>
      </c>
      <c r="CD26" s="206">
        <f>Sheet1!FM30</f>
        <v>0</v>
      </c>
      <c r="CE26" s="206">
        <f>Sheet1!FN30</f>
        <v>0</v>
      </c>
      <c r="CF26" s="206">
        <f t="shared" si="8"/>
        <v>0</v>
      </c>
      <c r="CG26" s="206">
        <f t="shared" si="9"/>
        <v>0</v>
      </c>
      <c r="CH26" s="206">
        <f t="shared" si="10"/>
        <v>0</v>
      </c>
      <c r="CI26" s="206">
        <f t="shared" si="11"/>
        <v>0</v>
      </c>
      <c r="CJ26" s="206">
        <f t="shared" si="12"/>
        <v>0</v>
      </c>
      <c r="CK26" s="206">
        <f t="shared" si="13"/>
        <v>0</v>
      </c>
      <c r="CL26" s="206">
        <f t="shared" si="14"/>
        <v>0</v>
      </c>
      <c r="CM26" s="206">
        <f t="shared" si="15"/>
        <v>0</v>
      </c>
      <c r="CN26" s="206">
        <f t="shared" si="16"/>
        <v>0</v>
      </c>
      <c r="CO26" s="206">
        <f t="shared" si="17"/>
        <v>0</v>
      </c>
      <c r="CP26" s="206">
        <f t="shared" si="18"/>
        <v>0</v>
      </c>
    </row>
    <row r="27" spans="45:94">
      <c r="AS27" s="206">
        <f>Sheet1!EI31</f>
        <v>0</v>
      </c>
      <c r="AT27" s="206">
        <f>Sheet1!EJ31</f>
        <v>0</v>
      </c>
      <c r="AU27" s="206">
        <f>Sheet1!EK31</f>
        <v>0</v>
      </c>
      <c r="AV27" s="206">
        <f>Sheet1!EL31</f>
        <v>0</v>
      </c>
      <c r="AW27" s="206">
        <f t="shared" si="1"/>
        <v>0</v>
      </c>
      <c r="AX27" s="206">
        <f>Sheet1!EM31</f>
        <v>0</v>
      </c>
      <c r="AY27" s="206">
        <f>Sheet1!EN31</f>
        <v>0</v>
      </c>
      <c r="AZ27" s="206">
        <f>Sheet1!EO31</f>
        <v>0</v>
      </c>
      <c r="BA27" s="206">
        <f>Sheet1!EP31</f>
        <v>0</v>
      </c>
      <c r="BB27" s="206">
        <f t="shared" si="2"/>
        <v>0</v>
      </c>
      <c r="BC27" s="206">
        <f>Sheet1!EQ31</f>
        <v>0</v>
      </c>
      <c r="BD27" s="206">
        <f>Sheet1!ER31</f>
        <v>0</v>
      </c>
      <c r="BE27" s="206">
        <f>Sheet1!ES31</f>
        <v>0</v>
      </c>
      <c r="BF27" s="206">
        <f>Sheet1!ET31</f>
        <v>0</v>
      </c>
      <c r="BG27" s="206">
        <f t="shared" si="3"/>
        <v>0</v>
      </c>
      <c r="BH27" s="206">
        <f>Sheet1!EU31</f>
        <v>0</v>
      </c>
      <c r="BI27" s="206">
        <f>Sheet1!EV31</f>
        <v>0</v>
      </c>
      <c r="BJ27" s="206">
        <f>Sheet1!EW31</f>
        <v>0</v>
      </c>
      <c r="BK27" s="206">
        <f>Sheet1!EX31</f>
        <v>0</v>
      </c>
      <c r="BL27" s="206">
        <f t="shared" si="4"/>
        <v>0</v>
      </c>
      <c r="BM27" s="206">
        <f>Sheet1!EY31</f>
        <v>0</v>
      </c>
      <c r="BN27" s="206">
        <f>Sheet1!EZ31</f>
        <v>0</v>
      </c>
      <c r="BO27" s="206">
        <f>Sheet1!FA31</f>
        <v>0</v>
      </c>
      <c r="BP27" s="206">
        <f>Sheet1!FB31</f>
        <v>0</v>
      </c>
      <c r="BQ27" s="206">
        <f t="shared" si="5"/>
        <v>0</v>
      </c>
      <c r="BR27" s="206">
        <f>Sheet1!FC31</f>
        <v>0</v>
      </c>
      <c r="BS27" s="206">
        <f>Sheet1!FD31</f>
        <v>0</v>
      </c>
      <c r="BT27" s="206">
        <f>Sheet1!FE31</f>
        <v>0</v>
      </c>
      <c r="BU27" s="206">
        <f>Sheet1!FF31</f>
        <v>0</v>
      </c>
      <c r="BV27" s="206">
        <f t="shared" si="6"/>
        <v>0</v>
      </c>
      <c r="BW27" s="206">
        <f>Sheet1!FG31</f>
        <v>0</v>
      </c>
      <c r="BX27" s="206">
        <f>Sheet1!FH31</f>
        <v>0</v>
      </c>
      <c r="BY27" s="206">
        <f>Sheet1!FI31</f>
        <v>0</v>
      </c>
      <c r="BZ27" s="206">
        <f>Sheet1!FJ31</f>
        <v>0</v>
      </c>
      <c r="CA27" s="206">
        <f t="shared" si="7"/>
        <v>0</v>
      </c>
      <c r="CB27" s="206">
        <f>Sheet1!FK31</f>
        <v>0</v>
      </c>
      <c r="CC27" s="206">
        <f>Sheet1!FL31</f>
        <v>0</v>
      </c>
      <c r="CD27" s="206">
        <f>Sheet1!FM31</f>
        <v>0</v>
      </c>
      <c r="CE27" s="206">
        <f>Sheet1!FN31</f>
        <v>0</v>
      </c>
      <c r="CF27" s="206">
        <f t="shared" si="8"/>
        <v>0</v>
      </c>
      <c r="CG27" s="206">
        <f t="shared" si="9"/>
        <v>0</v>
      </c>
      <c r="CH27" s="206">
        <f t="shared" si="10"/>
        <v>0</v>
      </c>
      <c r="CI27" s="206">
        <f t="shared" si="11"/>
        <v>0</v>
      </c>
      <c r="CJ27" s="206">
        <f t="shared" si="12"/>
        <v>0</v>
      </c>
      <c r="CK27" s="206">
        <f t="shared" si="13"/>
        <v>0</v>
      </c>
      <c r="CL27" s="206">
        <f t="shared" si="14"/>
        <v>0</v>
      </c>
      <c r="CM27" s="206">
        <f t="shared" si="15"/>
        <v>0</v>
      </c>
      <c r="CN27" s="206">
        <f t="shared" si="16"/>
        <v>0</v>
      </c>
      <c r="CO27" s="206">
        <f t="shared" si="17"/>
        <v>0</v>
      </c>
      <c r="CP27" s="206">
        <f t="shared" si="18"/>
        <v>0</v>
      </c>
    </row>
    <row r="28" spans="45:94">
      <c r="AS28" s="206">
        <f>Sheet1!EI32</f>
        <v>0</v>
      </c>
      <c r="AT28" s="206">
        <f>Sheet1!EJ32</f>
        <v>0</v>
      </c>
      <c r="AU28" s="206">
        <f>Sheet1!EK32</f>
        <v>0</v>
      </c>
      <c r="AV28" s="206">
        <f>Sheet1!EL32</f>
        <v>0</v>
      </c>
      <c r="AW28" s="206">
        <f t="shared" si="1"/>
        <v>0</v>
      </c>
      <c r="AX28" s="206">
        <f>Sheet1!EM32</f>
        <v>0</v>
      </c>
      <c r="AY28" s="206">
        <f>Sheet1!EN32</f>
        <v>0</v>
      </c>
      <c r="AZ28" s="206">
        <f>Sheet1!EO32</f>
        <v>0</v>
      </c>
      <c r="BA28" s="206">
        <f>Sheet1!EP32</f>
        <v>0</v>
      </c>
      <c r="BB28" s="206">
        <f t="shared" si="2"/>
        <v>0</v>
      </c>
      <c r="BC28" s="206">
        <f>Sheet1!EQ32</f>
        <v>0</v>
      </c>
      <c r="BD28" s="206">
        <f>Sheet1!ER32</f>
        <v>0</v>
      </c>
      <c r="BE28" s="206">
        <f>Sheet1!ES32</f>
        <v>0</v>
      </c>
      <c r="BF28" s="206">
        <f>Sheet1!ET32</f>
        <v>0</v>
      </c>
      <c r="BG28" s="206">
        <f t="shared" si="3"/>
        <v>0</v>
      </c>
      <c r="BH28" s="206">
        <f>Sheet1!EU32</f>
        <v>0</v>
      </c>
      <c r="BI28" s="206">
        <f>Sheet1!EV32</f>
        <v>0</v>
      </c>
      <c r="BJ28" s="206">
        <f>Sheet1!EW32</f>
        <v>0</v>
      </c>
      <c r="BK28" s="206">
        <f>Sheet1!EX32</f>
        <v>0</v>
      </c>
      <c r="BL28" s="206">
        <f t="shared" si="4"/>
        <v>0</v>
      </c>
      <c r="BM28" s="206">
        <f>Sheet1!EY32</f>
        <v>0</v>
      </c>
      <c r="BN28" s="206">
        <f>Sheet1!EZ32</f>
        <v>0</v>
      </c>
      <c r="BO28" s="206">
        <f>Sheet1!FA32</f>
        <v>0</v>
      </c>
      <c r="BP28" s="206">
        <f>Sheet1!FB32</f>
        <v>0</v>
      </c>
      <c r="BQ28" s="206">
        <f t="shared" si="5"/>
        <v>0</v>
      </c>
      <c r="BR28" s="206">
        <f>Sheet1!FC32</f>
        <v>0</v>
      </c>
      <c r="BS28" s="206">
        <f>Sheet1!FD32</f>
        <v>0</v>
      </c>
      <c r="BT28" s="206">
        <f>Sheet1!FE32</f>
        <v>0</v>
      </c>
      <c r="BU28" s="206">
        <f>Sheet1!FF32</f>
        <v>0</v>
      </c>
      <c r="BV28" s="206">
        <f t="shared" si="6"/>
        <v>0</v>
      </c>
      <c r="BW28" s="206">
        <f>Sheet1!FG32</f>
        <v>0</v>
      </c>
      <c r="BX28" s="206">
        <f>Sheet1!FH32</f>
        <v>0</v>
      </c>
      <c r="BY28" s="206">
        <f>Sheet1!FI32</f>
        <v>0</v>
      </c>
      <c r="BZ28" s="206">
        <f>Sheet1!FJ32</f>
        <v>0</v>
      </c>
      <c r="CA28" s="206">
        <f t="shared" si="7"/>
        <v>0</v>
      </c>
      <c r="CB28" s="206">
        <f>Sheet1!FK32</f>
        <v>0</v>
      </c>
      <c r="CC28" s="206">
        <f>Sheet1!FL32</f>
        <v>0</v>
      </c>
      <c r="CD28" s="206">
        <f>Sheet1!FM32</f>
        <v>0</v>
      </c>
      <c r="CE28" s="206">
        <f>Sheet1!FN32</f>
        <v>0</v>
      </c>
      <c r="CF28" s="206">
        <f t="shared" si="8"/>
        <v>0</v>
      </c>
      <c r="CG28" s="206">
        <f t="shared" si="9"/>
        <v>0</v>
      </c>
      <c r="CH28" s="206">
        <f t="shared" si="10"/>
        <v>0</v>
      </c>
      <c r="CI28" s="206">
        <f t="shared" si="11"/>
        <v>0</v>
      </c>
      <c r="CJ28" s="206">
        <f t="shared" si="12"/>
        <v>0</v>
      </c>
      <c r="CK28" s="206">
        <f t="shared" si="13"/>
        <v>0</v>
      </c>
      <c r="CL28" s="206">
        <f t="shared" si="14"/>
        <v>0</v>
      </c>
      <c r="CM28" s="206">
        <f t="shared" si="15"/>
        <v>0</v>
      </c>
      <c r="CN28" s="206">
        <f t="shared" si="16"/>
        <v>0</v>
      </c>
      <c r="CO28" s="206">
        <f t="shared" si="17"/>
        <v>0</v>
      </c>
      <c r="CP28" s="206">
        <f t="shared" si="18"/>
        <v>0</v>
      </c>
    </row>
    <row r="29" spans="45:94">
      <c r="AS29" s="206">
        <f>Sheet1!EI33</f>
        <v>0</v>
      </c>
      <c r="AT29" s="206">
        <f>Sheet1!EJ33</f>
        <v>0</v>
      </c>
      <c r="AU29" s="206">
        <f>Sheet1!EK33</f>
        <v>0</v>
      </c>
      <c r="AV29" s="206">
        <f>Sheet1!EL33</f>
        <v>0</v>
      </c>
      <c r="AW29" s="206">
        <f t="shared" si="1"/>
        <v>0</v>
      </c>
      <c r="AX29" s="206">
        <f>Sheet1!EM33</f>
        <v>0</v>
      </c>
      <c r="AY29" s="206">
        <f>Sheet1!EN33</f>
        <v>0</v>
      </c>
      <c r="AZ29" s="206">
        <f>Sheet1!EO33</f>
        <v>0</v>
      </c>
      <c r="BA29" s="206">
        <f>Sheet1!EP33</f>
        <v>0</v>
      </c>
      <c r="BB29" s="206">
        <f t="shared" si="2"/>
        <v>0</v>
      </c>
      <c r="BC29" s="206">
        <f>Sheet1!EQ33</f>
        <v>0</v>
      </c>
      <c r="BD29" s="206">
        <f>Sheet1!ER33</f>
        <v>0</v>
      </c>
      <c r="BE29" s="206">
        <f>Sheet1!ES33</f>
        <v>0</v>
      </c>
      <c r="BF29" s="206">
        <f>Sheet1!ET33</f>
        <v>0</v>
      </c>
      <c r="BG29" s="206">
        <f t="shared" si="3"/>
        <v>0</v>
      </c>
      <c r="BH29" s="206">
        <f>Sheet1!EU33</f>
        <v>0</v>
      </c>
      <c r="BI29" s="206">
        <f>Sheet1!EV33</f>
        <v>0</v>
      </c>
      <c r="BJ29" s="206">
        <f>Sheet1!EW33</f>
        <v>0</v>
      </c>
      <c r="BK29" s="206">
        <f>Sheet1!EX33</f>
        <v>0</v>
      </c>
      <c r="BL29" s="206">
        <f t="shared" si="4"/>
        <v>0</v>
      </c>
      <c r="BM29" s="206">
        <f>Sheet1!EY33</f>
        <v>0</v>
      </c>
      <c r="BN29" s="206">
        <f>Sheet1!EZ33</f>
        <v>0</v>
      </c>
      <c r="BO29" s="206">
        <f>Sheet1!FA33</f>
        <v>0</v>
      </c>
      <c r="BP29" s="206">
        <f>Sheet1!FB33</f>
        <v>0</v>
      </c>
      <c r="BQ29" s="206">
        <f t="shared" si="5"/>
        <v>0</v>
      </c>
      <c r="BR29" s="206">
        <f>Sheet1!FC33</f>
        <v>0</v>
      </c>
      <c r="BS29" s="206">
        <f>Sheet1!FD33</f>
        <v>0</v>
      </c>
      <c r="BT29" s="206">
        <f>Sheet1!FE33</f>
        <v>0</v>
      </c>
      <c r="BU29" s="206">
        <f>Sheet1!FF33</f>
        <v>0</v>
      </c>
      <c r="BV29" s="206">
        <f t="shared" si="6"/>
        <v>0</v>
      </c>
      <c r="BW29" s="206">
        <f>Sheet1!FG33</f>
        <v>0</v>
      </c>
      <c r="BX29" s="206">
        <f>Sheet1!FH33</f>
        <v>0</v>
      </c>
      <c r="BY29" s="206">
        <f>Sheet1!FI33</f>
        <v>0</v>
      </c>
      <c r="BZ29" s="206">
        <f>Sheet1!FJ33</f>
        <v>0</v>
      </c>
      <c r="CA29" s="206">
        <f t="shared" si="7"/>
        <v>0</v>
      </c>
      <c r="CB29" s="206">
        <f>Sheet1!FK33</f>
        <v>0</v>
      </c>
      <c r="CC29" s="206">
        <f>Sheet1!FL33</f>
        <v>0</v>
      </c>
      <c r="CD29" s="206">
        <f>Sheet1!FM33</f>
        <v>0</v>
      </c>
      <c r="CE29" s="206">
        <f>Sheet1!FN33</f>
        <v>0</v>
      </c>
      <c r="CF29" s="206">
        <f t="shared" si="8"/>
        <v>0</v>
      </c>
      <c r="CG29" s="206">
        <f t="shared" si="9"/>
        <v>0</v>
      </c>
      <c r="CH29" s="206">
        <f t="shared" si="10"/>
        <v>0</v>
      </c>
      <c r="CI29" s="206">
        <f t="shared" si="11"/>
        <v>0</v>
      </c>
      <c r="CJ29" s="206">
        <f t="shared" si="12"/>
        <v>0</v>
      </c>
      <c r="CK29" s="206">
        <f t="shared" si="13"/>
        <v>0</v>
      </c>
      <c r="CL29" s="206">
        <f t="shared" si="14"/>
        <v>0</v>
      </c>
      <c r="CM29" s="206">
        <f t="shared" si="15"/>
        <v>0</v>
      </c>
      <c r="CN29" s="206">
        <f t="shared" si="16"/>
        <v>0</v>
      </c>
      <c r="CO29" s="206">
        <f t="shared" si="17"/>
        <v>0</v>
      </c>
      <c r="CP29" s="206">
        <f t="shared" si="18"/>
        <v>0</v>
      </c>
    </row>
    <row r="30" spans="45:94">
      <c r="AS30" s="206">
        <f>Sheet1!EI34</f>
        <v>0</v>
      </c>
      <c r="AT30" s="206">
        <f>Sheet1!EJ34</f>
        <v>0</v>
      </c>
      <c r="AU30" s="206">
        <f>Sheet1!EK34</f>
        <v>0</v>
      </c>
      <c r="AV30" s="206">
        <f>Sheet1!EL34</f>
        <v>0</v>
      </c>
      <c r="AW30" s="206">
        <f t="shared" si="1"/>
        <v>0</v>
      </c>
      <c r="AX30" s="206">
        <f>Sheet1!EM34</f>
        <v>0</v>
      </c>
      <c r="AY30" s="206">
        <f>Sheet1!EN34</f>
        <v>0</v>
      </c>
      <c r="AZ30" s="206">
        <f>Sheet1!EO34</f>
        <v>0</v>
      </c>
      <c r="BA30" s="206">
        <f>Sheet1!EP34</f>
        <v>0</v>
      </c>
      <c r="BB30" s="206">
        <f t="shared" si="2"/>
        <v>0</v>
      </c>
      <c r="BC30" s="206">
        <f>Sheet1!EQ34</f>
        <v>0</v>
      </c>
      <c r="BD30" s="206">
        <f>Sheet1!ER34</f>
        <v>0</v>
      </c>
      <c r="BE30" s="206">
        <f>Sheet1!ES34</f>
        <v>0</v>
      </c>
      <c r="BF30" s="206">
        <f>Sheet1!ET34</f>
        <v>0</v>
      </c>
      <c r="BG30" s="206">
        <f t="shared" si="3"/>
        <v>0</v>
      </c>
      <c r="BH30" s="206">
        <f>Sheet1!EU34</f>
        <v>0</v>
      </c>
      <c r="BI30" s="206">
        <f>Sheet1!EV34</f>
        <v>0</v>
      </c>
      <c r="BJ30" s="206">
        <f>Sheet1!EW34</f>
        <v>0</v>
      </c>
      <c r="BK30" s="206">
        <f>Sheet1!EX34</f>
        <v>0</v>
      </c>
      <c r="BL30" s="206">
        <f t="shared" si="4"/>
        <v>0</v>
      </c>
      <c r="BM30" s="206">
        <f>Sheet1!EY34</f>
        <v>0</v>
      </c>
      <c r="BN30" s="206">
        <f>Sheet1!EZ34</f>
        <v>0</v>
      </c>
      <c r="BO30" s="206">
        <f>Sheet1!FA34</f>
        <v>0</v>
      </c>
      <c r="BP30" s="206">
        <f>Sheet1!FB34</f>
        <v>0</v>
      </c>
      <c r="BQ30" s="206">
        <f t="shared" si="5"/>
        <v>0</v>
      </c>
      <c r="BR30" s="206">
        <f>Sheet1!FC34</f>
        <v>0</v>
      </c>
      <c r="BS30" s="206">
        <f>Sheet1!FD34</f>
        <v>0</v>
      </c>
      <c r="BT30" s="206">
        <f>Sheet1!FE34</f>
        <v>0</v>
      </c>
      <c r="BU30" s="206">
        <f>Sheet1!FF34</f>
        <v>0</v>
      </c>
      <c r="BV30" s="206">
        <f t="shared" si="6"/>
        <v>0</v>
      </c>
      <c r="BW30" s="206">
        <f>Sheet1!FG34</f>
        <v>0</v>
      </c>
      <c r="BX30" s="206">
        <f>Sheet1!FH34</f>
        <v>0</v>
      </c>
      <c r="BY30" s="206">
        <f>Sheet1!FI34</f>
        <v>0</v>
      </c>
      <c r="BZ30" s="206">
        <f>Sheet1!FJ34</f>
        <v>0</v>
      </c>
      <c r="CA30" s="206">
        <f t="shared" si="7"/>
        <v>0</v>
      </c>
      <c r="CB30" s="206">
        <f>Sheet1!FK34</f>
        <v>0</v>
      </c>
      <c r="CC30" s="206">
        <f>Sheet1!FL34</f>
        <v>0</v>
      </c>
      <c r="CD30" s="206">
        <f>Sheet1!FM34</f>
        <v>0</v>
      </c>
      <c r="CE30" s="206">
        <f>Sheet1!FN34</f>
        <v>0</v>
      </c>
      <c r="CF30" s="206">
        <f t="shared" si="8"/>
        <v>0</v>
      </c>
      <c r="CG30" s="206">
        <f t="shared" si="9"/>
        <v>0</v>
      </c>
      <c r="CH30" s="206">
        <f t="shared" si="10"/>
        <v>0</v>
      </c>
      <c r="CI30" s="206">
        <f t="shared" si="11"/>
        <v>0</v>
      </c>
      <c r="CJ30" s="206">
        <f t="shared" si="12"/>
        <v>0</v>
      </c>
      <c r="CK30" s="206">
        <f t="shared" si="13"/>
        <v>0</v>
      </c>
      <c r="CL30" s="206">
        <f t="shared" si="14"/>
        <v>0</v>
      </c>
      <c r="CM30" s="206">
        <f t="shared" si="15"/>
        <v>0</v>
      </c>
      <c r="CN30" s="206">
        <f t="shared" si="16"/>
        <v>0</v>
      </c>
      <c r="CO30" s="206">
        <f t="shared" si="17"/>
        <v>0</v>
      </c>
      <c r="CP30" s="206">
        <f t="shared" si="18"/>
        <v>0</v>
      </c>
    </row>
    <row r="31" spans="45:94">
      <c r="AS31" s="206">
        <f>Sheet1!EI35</f>
        <v>0</v>
      </c>
      <c r="AT31" s="206">
        <f>Sheet1!EJ35</f>
        <v>0</v>
      </c>
      <c r="AU31" s="206">
        <f>Sheet1!EK35</f>
        <v>0</v>
      </c>
      <c r="AV31" s="206">
        <f>Sheet1!EL35</f>
        <v>0</v>
      </c>
      <c r="AW31" s="206">
        <f t="shared" si="1"/>
        <v>0</v>
      </c>
      <c r="AX31" s="206">
        <f>Sheet1!EM35</f>
        <v>0</v>
      </c>
      <c r="AY31" s="206">
        <f>Sheet1!EN35</f>
        <v>0</v>
      </c>
      <c r="AZ31" s="206">
        <f>Sheet1!EO35</f>
        <v>0</v>
      </c>
      <c r="BA31" s="206">
        <f>Sheet1!EP35</f>
        <v>0</v>
      </c>
      <c r="BB31" s="206">
        <f t="shared" si="2"/>
        <v>0</v>
      </c>
      <c r="BC31" s="206">
        <f>Sheet1!EQ35</f>
        <v>0</v>
      </c>
      <c r="BD31" s="206">
        <f>Sheet1!ER35</f>
        <v>0</v>
      </c>
      <c r="BE31" s="206">
        <f>Sheet1!ES35</f>
        <v>0</v>
      </c>
      <c r="BF31" s="206">
        <f>Sheet1!ET35</f>
        <v>0</v>
      </c>
      <c r="BG31" s="206">
        <f t="shared" si="3"/>
        <v>0</v>
      </c>
      <c r="BH31" s="206">
        <f>Sheet1!EU35</f>
        <v>0</v>
      </c>
      <c r="BI31" s="206">
        <f>Sheet1!EV35</f>
        <v>0</v>
      </c>
      <c r="BJ31" s="206">
        <f>Sheet1!EW35</f>
        <v>0</v>
      </c>
      <c r="BK31" s="206">
        <f>Sheet1!EX35</f>
        <v>0</v>
      </c>
      <c r="BL31" s="206">
        <f t="shared" si="4"/>
        <v>0</v>
      </c>
      <c r="BM31" s="206">
        <f>Sheet1!EY35</f>
        <v>0</v>
      </c>
      <c r="BN31" s="206">
        <f>Sheet1!EZ35</f>
        <v>0</v>
      </c>
      <c r="BO31" s="206">
        <f>Sheet1!FA35</f>
        <v>0</v>
      </c>
      <c r="BP31" s="206">
        <f>Sheet1!FB35</f>
        <v>0</v>
      </c>
      <c r="BQ31" s="206">
        <f t="shared" si="5"/>
        <v>0</v>
      </c>
      <c r="BR31" s="206">
        <f>Sheet1!FC35</f>
        <v>0</v>
      </c>
      <c r="BS31" s="206">
        <f>Sheet1!FD35</f>
        <v>0</v>
      </c>
      <c r="BT31" s="206">
        <f>Sheet1!FE35</f>
        <v>0</v>
      </c>
      <c r="BU31" s="206">
        <f>Sheet1!FF35</f>
        <v>0</v>
      </c>
      <c r="BV31" s="206">
        <f t="shared" si="6"/>
        <v>0</v>
      </c>
      <c r="BW31" s="206">
        <f>Sheet1!FG35</f>
        <v>0</v>
      </c>
      <c r="BX31" s="206">
        <f>Sheet1!FH35</f>
        <v>0</v>
      </c>
      <c r="BY31" s="206">
        <f>Sheet1!FI35</f>
        <v>0</v>
      </c>
      <c r="BZ31" s="206">
        <f>Sheet1!FJ35</f>
        <v>0</v>
      </c>
      <c r="CA31" s="206">
        <f t="shared" si="7"/>
        <v>0</v>
      </c>
      <c r="CB31" s="206">
        <f>Sheet1!FK35</f>
        <v>0</v>
      </c>
      <c r="CC31" s="206">
        <f>Sheet1!FL35</f>
        <v>0</v>
      </c>
      <c r="CD31" s="206">
        <f>Sheet1!FM35</f>
        <v>0</v>
      </c>
      <c r="CE31" s="206">
        <f>Sheet1!FN35</f>
        <v>0</v>
      </c>
      <c r="CF31" s="206">
        <f t="shared" si="8"/>
        <v>0</v>
      </c>
      <c r="CG31" s="206">
        <f t="shared" si="9"/>
        <v>0</v>
      </c>
      <c r="CH31" s="206">
        <f t="shared" si="10"/>
        <v>0</v>
      </c>
      <c r="CI31" s="206">
        <f t="shared" si="11"/>
        <v>0</v>
      </c>
      <c r="CJ31" s="206">
        <f t="shared" si="12"/>
        <v>0</v>
      </c>
      <c r="CK31" s="206">
        <f t="shared" si="13"/>
        <v>0</v>
      </c>
      <c r="CL31" s="206">
        <f t="shared" si="14"/>
        <v>0</v>
      </c>
      <c r="CM31" s="206">
        <f t="shared" si="15"/>
        <v>0</v>
      </c>
      <c r="CN31" s="206">
        <f t="shared" si="16"/>
        <v>0</v>
      </c>
      <c r="CO31" s="206">
        <f t="shared" si="17"/>
        <v>0</v>
      </c>
      <c r="CP31" s="206">
        <f t="shared" si="18"/>
        <v>0</v>
      </c>
    </row>
    <row r="32" spans="45:94">
      <c r="AS32" s="206">
        <f>Sheet1!EI36</f>
        <v>0</v>
      </c>
      <c r="AT32" s="206">
        <f>Sheet1!EJ36</f>
        <v>0</v>
      </c>
      <c r="AU32" s="206">
        <f>Sheet1!EK36</f>
        <v>0</v>
      </c>
      <c r="AV32" s="206">
        <f>Sheet1!EL36</f>
        <v>0</v>
      </c>
      <c r="AW32" s="206">
        <f t="shared" si="1"/>
        <v>0</v>
      </c>
      <c r="AX32" s="206">
        <f>Sheet1!EM36</f>
        <v>0</v>
      </c>
      <c r="AY32" s="206">
        <f>Sheet1!EN36</f>
        <v>0</v>
      </c>
      <c r="AZ32" s="206">
        <f>Sheet1!EO36</f>
        <v>0</v>
      </c>
      <c r="BA32" s="206">
        <f>Sheet1!EP36</f>
        <v>0</v>
      </c>
      <c r="BB32" s="206">
        <f t="shared" si="2"/>
        <v>0</v>
      </c>
      <c r="BC32" s="206">
        <f>Sheet1!EQ36</f>
        <v>0</v>
      </c>
      <c r="BD32" s="206">
        <f>Sheet1!ER36</f>
        <v>0</v>
      </c>
      <c r="BE32" s="206">
        <f>Sheet1!ES36</f>
        <v>0</v>
      </c>
      <c r="BF32" s="206">
        <f>Sheet1!ET36</f>
        <v>0</v>
      </c>
      <c r="BG32" s="206">
        <f t="shared" si="3"/>
        <v>0</v>
      </c>
      <c r="BH32" s="206">
        <f>Sheet1!EU36</f>
        <v>0</v>
      </c>
      <c r="BI32" s="206">
        <f>Sheet1!EV36</f>
        <v>0</v>
      </c>
      <c r="BJ32" s="206">
        <f>Sheet1!EW36</f>
        <v>0</v>
      </c>
      <c r="BK32" s="206">
        <f>Sheet1!EX36</f>
        <v>0</v>
      </c>
      <c r="BL32" s="206">
        <f t="shared" si="4"/>
        <v>0</v>
      </c>
      <c r="BM32" s="206">
        <f>Sheet1!EY36</f>
        <v>0</v>
      </c>
      <c r="BN32" s="206">
        <f>Sheet1!EZ36</f>
        <v>0</v>
      </c>
      <c r="BO32" s="206">
        <f>Sheet1!FA36</f>
        <v>0</v>
      </c>
      <c r="BP32" s="206">
        <f>Sheet1!FB36</f>
        <v>0</v>
      </c>
      <c r="BQ32" s="206">
        <f t="shared" si="5"/>
        <v>0</v>
      </c>
      <c r="BR32" s="206">
        <f>Sheet1!FC36</f>
        <v>0</v>
      </c>
      <c r="BS32" s="206">
        <f>Sheet1!FD36</f>
        <v>0</v>
      </c>
      <c r="BT32" s="206">
        <f>Sheet1!FE36</f>
        <v>0</v>
      </c>
      <c r="BU32" s="206">
        <f>Sheet1!FF36</f>
        <v>0</v>
      </c>
      <c r="BV32" s="206">
        <f t="shared" si="6"/>
        <v>0</v>
      </c>
      <c r="BW32" s="206">
        <f>Sheet1!FG36</f>
        <v>0</v>
      </c>
      <c r="BX32" s="206">
        <f>Sheet1!FH36</f>
        <v>0</v>
      </c>
      <c r="BY32" s="206">
        <f>Sheet1!FI36</f>
        <v>0</v>
      </c>
      <c r="BZ32" s="206">
        <f>Sheet1!FJ36</f>
        <v>0</v>
      </c>
      <c r="CA32" s="206">
        <f t="shared" si="7"/>
        <v>0</v>
      </c>
      <c r="CB32" s="206">
        <f>Sheet1!FK36</f>
        <v>0</v>
      </c>
      <c r="CC32" s="206">
        <f>Sheet1!FL36</f>
        <v>0</v>
      </c>
      <c r="CD32" s="206">
        <f>Sheet1!FM36</f>
        <v>0</v>
      </c>
      <c r="CE32" s="206">
        <f>Sheet1!FN36</f>
        <v>0</v>
      </c>
      <c r="CF32" s="206">
        <f t="shared" si="8"/>
        <v>0</v>
      </c>
      <c r="CG32" s="206">
        <f t="shared" si="9"/>
        <v>0</v>
      </c>
      <c r="CH32" s="206">
        <f t="shared" si="10"/>
        <v>0</v>
      </c>
      <c r="CI32" s="206">
        <f t="shared" si="11"/>
        <v>0</v>
      </c>
      <c r="CJ32" s="206">
        <f t="shared" si="12"/>
        <v>0</v>
      </c>
      <c r="CK32" s="206">
        <f t="shared" si="13"/>
        <v>0</v>
      </c>
      <c r="CL32" s="206">
        <f t="shared" si="14"/>
        <v>0</v>
      </c>
      <c r="CM32" s="206">
        <f t="shared" si="15"/>
        <v>0</v>
      </c>
      <c r="CN32" s="206">
        <f t="shared" si="16"/>
        <v>0</v>
      </c>
      <c r="CO32" s="206">
        <f t="shared" si="17"/>
        <v>0</v>
      </c>
      <c r="CP32" s="206">
        <f t="shared" si="18"/>
        <v>0</v>
      </c>
    </row>
    <row r="33" spans="45:94">
      <c r="AS33" s="206">
        <f>Sheet1!EI37</f>
        <v>0</v>
      </c>
      <c r="AT33" s="206">
        <f>Sheet1!EJ37</f>
        <v>0</v>
      </c>
      <c r="AU33" s="206">
        <f>Sheet1!EK37</f>
        <v>0</v>
      </c>
      <c r="AV33" s="206">
        <f>Sheet1!EL37</f>
        <v>0</v>
      </c>
      <c r="AW33" s="206">
        <f t="shared" si="1"/>
        <v>0</v>
      </c>
      <c r="AX33" s="206">
        <f>Sheet1!EM37</f>
        <v>0</v>
      </c>
      <c r="AY33" s="206">
        <f>Sheet1!EN37</f>
        <v>0</v>
      </c>
      <c r="AZ33" s="206">
        <f>Sheet1!EO37</f>
        <v>0</v>
      </c>
      <c r="BA33" s="206">
        <f>Sheet1!EP37</f>
        <v>0</v>
      </c>
      <c r="BB33" s="206">
        <f t="shared" si="2"/>
        <v>0</v>
      </c>
      <c r="BC33" s="206">
        <f>Sheet1!EQ37</f>
        <v>0</v>
      </c>
      <c r="BD33" s="206">
        <f>Sheet1!ER37</f>
        <v>0</v>
      </c>
      <c r="BE33" s="206">
        <f>Sheet1!ES37</f>
        <v>0</v>
      </c>
      <c r="BF33" s="206">
        <f>Sheet1!ET37</f>
        <v>0</v>
      </c>
      <c r="BG33" s="206">
        <f t="shared" si="3"/>
        <v>0</v>
      </c>
      <c r="BH33" s="206">
        <f>Sheet1!EU37</f>
        <v>0</v>
      </c>
      <c r="BI33" s="206">
        <f>Sheet1!EV37</f>
        <v>0</v>
      </c>
      <c r="BJ33" s="206">
        <f>Sheet1!EW37</f>
        <v>0</v>
      </c>
      <c r="BK33" s="206">
        <f>Sheet1!EX37</f>
        <v>0</v>
      </c>
      <c r="BL33" s="206">
        <f t="shared" si="4"/>
        <v>0</v>
      </c>
      <c r="BM33" s="206">
        <f>Sheet1!EY37</f>
        <v>0</v>
      </c>
      <c r="BN33" s="206">
        <f>Sheet1!EZ37</f>
        <v>0</v>
      </c>
      <c r="BO33" s="206">
        <f>Sheet1!FA37</f>
        <v>0</v>
      </c>
      <c r="BP33" s="206">
        <f>Sheet1!FB37</f>
        <v>0</v>
      </c>
      <c r="BQ33" s="206">
        <f t="shared" si="5"/>
        <v>0</v>
      </c>
      <c r="BR33" s="206">
        <f>Sheet1!FC37</f>
        <v>0</v>
      </c>
      <c r="BS33" s="206">
        <f>Sheet1!FD37</f>
        <v>0</v>
      </c>
      <c r="BT33" s="206">
        <f>Sheet1!FE37</f>
        <v>0</v>
      </c>
      <c r="BU33" s="206">
        <f>Sheet1!FF37</f>
        <v>0</v>
      </c>
      <c r="BV33" s="206">
        <f t="shared" si="6"/>
        <v>0</v>
      </c>
      <c r="BW33" s="206">
        <f>Sheet1!FG37</f>
        <v>0</v>
      </c>
      <c r="BX33" s="206">
        <f>Sheet1!FH37</f>
        <v>0</v>
      </c>
      <c r="BY33" s="206">
        <f>Sheet1!FI37</f>
        <v>0</v>
      </c>
      <c r="BZ33" s="206">
        <f>Sheet1!FJ37</f>
        <v>0</v>
      </c>
      <c r="CA33" s="206">
        <f t="shared" si="7"/>
        <v>0</v>
      </c>
      <c r="CB33" s="206">
        <f>Sheet1!FK37</f>
        <v>0</v>
      </c>
      <c r="CC33" s="206">
        <f>Sheet1!FL37</f>
        <v>0</v>
      </c>
      <c r="CD33" s="206">
        <f>Sheet1!FM37</f>
        <v>0</v>
      </c>
      <c r="CE33" s="206">
        <f>Sheet1!FN37</f>
        <v>0</v>
      </c>
      <c r="CF33" s="206">
        <f t="shared" si="8"/>
        <v>0</v>
      </c>
      <c r="CG33" s="206">
        <f t="shared" si="9"/>
        <v>0</v>
      </c>
      <c r="CH33" s="206">
        <f t="shared" si="10"/>
        <v>0</v>
      </c>
      <c r="CI33" s="206">
        <f t="shared" si="11"/>
        <v>0</v>
      </c>
      <c r="CJ33" s="206">
        <f t="shared" si="12"/>
        <v>0</v>
      </c>
      <c r="CK33" s="206">
        <f t="shared" si="13"/>
        <v>0</v>
      </c>
      <c r="CL33" s="206">
        <f t="shared" si="14"/>
        <v>0</v>
      </c>
      <c r="CM33" s="206">
        <f t="shared" si="15"/>
        <v>0</v>
      </c>
      <c r="CN33" s="206">
        <f t="shared" si="16"/>
        <v>0</v>
      </c>
      <c r="CO33" s="206">
        <f t="shared" si="17"/>
        <v>0</v>
      </c>
      <c r="CP33" s="206">
        <f t="shared" si="18"/>
        <v>0</v>
      </c>
    </row>
    <row r="34" spans="45:94">
      <c r="AS34" s="206">
        <f>Sheet1!EI38</f>
        <v>0</v>
      </c>
      <c r="AT34" s="206">
        <f>Sheet1!EJ38</f>
        <v>0</v>
      </c>
      <c r="AU34" s="206">
        <f>Sheet1!EK38</f>
        <v>0</v>
      </c>
      <c r="AV34" s="206">
        <f>Sheet1!EL38</f>
        <v>0</v>
      </c>
      <c r="AW34" s="206">
        <f t="shared" si="1"/>
        <v>0</v>
      </c>
      <c r="AX34" s="206">
        <f>Sheet1!EM38</f>
        <v>0</v>
      </c>
      <c r="AY34" s="206">
        <f>Sheet1!EN38</f>
        <v>0</v>
      </c>
      <c r="AZ34" s="206">
        <f>Sheet1!EO38</f>
        <v>0</v>
      </c>
      <c r="BA34" s="206">
        <f>Sheet1!EP38</f>
        <v>0</v>
      </c>
      <c r="BB34" s="206">
        <f t="shared" si="2"/>
        <v>0</v>
      </c>
      <c r="BC34" s="206">
        <f>Sheet1!EQ38</f>
        <v>0</v>
      </c>
      <c r="BD34" s="206">
        <f>Sheet1!ER38</f>
        <v>0</v>
      </c>
      <c r="BE34" s="206">
        <f>Sheet1!ES38</f>
        <v>0</v>
      </c>
      <c r="BF34" s="206">
        <f>Sheet1!ET38</f>
        <v>0</v>
      </c>
      <c r="BG34" s="206">
        <f t="shared" si="3"/>
        <v>0</v>
      </c>
      <c r="BH34" s="206">
        <f>Sheet1!EU38</f>
        <v>0</v>
      </c>
      <c r="BI34" s="206">
        <f>Sheet1!EV38</f>
        <v>0</v>
      </c>
      <c r="BJ34" s="206">
        <f>Sheet1!EW38</f>
        <v>0</v>
      </c>
      <c r="BK34" s="206">
        <f>Sheet1!EX38</f>
        <v>0</v>
      </c>
      <c r="BL34" s="206">
        <f t="shared" si="4"/>
        <v>0</v>
      </c>
      <c r="BM34" s="206">
        <f>Sheet1!EY38</f>
        <v>0</v>
      </c>
      <c r="BN34" s="206">
        <f>Sheet1!EZ38</f>
        <v>0</v>
      </c>
      <c r="BO34" s="206">
        <f>Sheet1!FA38</f>
        <v>0</v>
      </c>
      <c r="BP34" s="206">
        <f>Sheet1!FB38</f>
        <v>0</v>
      </c>
      <c r="BQ34" s="206">
        <f t="shared" si="5"/>
        <v>0</v>
      </c>
      <c r="BR34" s="206">
        <f>Sheet1!FC38</f>
        <v>0</v>
      </c>
      <c r="BS34" s="206">
        <f>Sheet1!FD38</f>
        <v>0</v>
      </c>
      <c r="BT34" s="206">
        <f>Sheet1!FE38</f>
        <v>0</v>
      </c>
      <c r="BU34" s="206">
        <f>Sheet1!FF38</f>
        <v>0</v>
      </c>
      <c r="BV34" s="206">
        <f t="shared" si="6"/>
        <v>0</v>
      </c>
      <c r="BW34" s="206">
        <f>Sheet1!FG38</f>
        <v>0</v>
      </c>
      <c r="BX34" s="206">
        <f>Sheet1!FH38</f>
        <v>0</v>
      </c>
      <c r="BY34" s="206">
        <f>Sheet1!FI38</f>
        <v>0</v>
      </c>
      <c r="BZ34" s="206">
        <f>Sheet1!FJ38</f>
        <v>0</v>
      </c>
      <c r="CA34" s="206">
        <f t="shared" si="7"/>
        <v>0</v>
      </c>
      <c r="CB34" s="206">
        <f>Sheet1!FK38</f>
        <v>0</v>
      </c>
      <c r="CC34" s="206">
        <f>Sheet1!FL38</f>
        <v>0</v>
      </c>
      <c r="CD34" s="206">
        <f>Sheet1!FM38</f>
        <v>0</v>
      </c>
      <c r="CE34" s="206">
        <f>Sheet1!FN38</f>
        <v>0</v>
      </c>
      <c r="CF34" s="206">
        <f t="shared" si="8"/>
        <v>0</v>
      </c>
      <c r="CG34" s="206">
        <f t="shared" si="9"/>
        <v>0</v>
      </c>
      <c r="CH34" s="206">
        <f t="shared" si="10"/>
        <v>0</v>
      </c>
      <c r="CI34" s="206">
        <f t="shared" si="11"/>
        <v>0</v>
      </c>
      <c r="CJ34" s="206">
        <f t="shared" si="12"/>
        <v>0</v>
      </c>
      <c r="CK34" s="206">
        <f t="shared" si="13"/>
        <v>0</v>
      </c>
      <c r="CL34" s="206">
        <f t="shared" si="14"/>
        <v>0</v>
      </c>
      <c r="CM34" s="206">
        <f t="shared" si="15"/>
        <v>0</v>
      </c>
      <c r="CN34" s="206">
        <f t="shared" si="16"/>
        <v>0</v>
      </c>
      <c r="CO34" s="206">
        <f t="shared" si="17"/>
        <v>0</v>
      </c>
      <c r="CP34" s="206">
        <f t="shared" si="18"/>
        <v>0</v>
      </c>
    </row>
    <row r="35" spans="45:94">
      <c r="AS35" s="206">
        <f>Sheet1!EI39</f>
        <v>0</v>
      </c>
      <c r="AT35" s="206">
        <f>Sheet1!EJ39</f>
        <v>0</v>
      </c>
      <c r="AU35" s="206">
        <f>Sheet1!EK39</f>
        <v>0</v>
      </c>
      <c r="AV35" s="206">
        <f>Sheet1!EL39</f>
        <v>0</v>
      </c>
      <c r="AW35" s="206">
        <f t="shared" si="1"/>
        <v>0</v>
      </c>
      <c r="AX35" s="206">
        <f>Sheet1!EM39</f>
        <v>0</v>
      </c>
      <c r="AY35" s="206">
        <f>Sheet1!EN39</f>
        <v>0</v>
      </c>
      <c r="AZ35" s="206">
        <f>Sheet1!EO39</f>
        <v>0</v>
      </c>
      <c r="BA35" s="206">
        <f>Sheet1!EP39</f>
        <v>0</v>
      </c>
      <c r="BB35" s="206">
        <f t="shared" si="2"/>
        <v>0</v>
      </c>
      <c r="BC35" s="206">
        <f>Sheet1!EQ39</f>
        <v>0</v>
      </c>
      <c r="BD35" s="206">
        <f>Sheet1!ER39</f>
        <v>0</v>
      </c>
      <c r="BE35" s="206">
        <f>Sheet1!ES39</f>
        <v>0</v>
      </c>
      <c r="BF35" s="206">
        <f>Sheet1!ET39</f>
        <v>0</v>
      </c>
      <c r="BG35" s="206">
        <f t="shared" si="3"/>
        <v>0</v>
      </c>
      <c r="BH35" s="206">
        <f>Sheet1!EU39</f>
        <v>0</v>
      </c>
      <c r="BI35" s="206">
        <f>Sheet1!EV39</f>
        <v>0</v>
      </c>
      <c r="BJ35" s="206">
        <f>Sheet1!EW39</f>
        <v>0</v>
      </c>
      <c r="BK35" s="206">
        <f>Sheet1!EX39</f>
        <v>0</v>
      </c>
      <c r="BL35" s="206">
        <f t="shared" si="4"/>
        <v>0</v>
      </c>
      <c r="BM35" s="206">
        <f>Sheet1!EY39</f>
        <v>0</v>
      </c>
      <c r="BN35" s="206">
        <f>Sheet1!EZ39</f>
        <v>0</v>
      </c>
      <c r="BO35" s="206">
        <f>Sheet1!FA39</f>
        <v>0</v>
      </c>
      <c r="BP35" s="206">
        <f>Sheet1!FB39</f>
        <v>0</v>
      </c>
      <c r="BQ35" s="206">
        <f t="shared" si="5"/>
        <v>0</v>
      </c>
      <c r="BR35" s="206">
        <f>Sheet1!FC39</f>
        <v>0</v>
      </c>
      <c r="BS35" s="206">
        <f>Sheet1!FD39</f>
        <v>0</v>
      </c>
      <c r="BT35" s="206">
        <f>Sheet1!FE39</f>
        <v>0</v>
      </c>
      <c r="BU35" s="206">
        <f>Sheet1!FF39</f>
        <v>0</v>
      </c>
      <c r="BV35" s="206">
        <f t="shared" si="6"/>
        <v>0</v>
      </c>
      <c r="BW35" s="206">
        <f>Sheet1!FG39</f>
        <v>0</v>
      </c>
      <c r="BX35" s="206">
        <f>Sheet1!FH39</f>
        <v>0</v>
      </c>
      <c r="BY35" s="206">
        <f>Sheet1!FI39</f>
        <v>0</v>
      </c>
      <c r="BZ35" s="206">
        <f>Sheet1!FJ39</f>
        <v>0</v>
      </c>
      <c r="CA35" s="206">
        <f t="shared" si="7"/>
        <v>0</v>
      </c>
      <c r="CB35" s="206">
        <f>Sheet1!FK39</f>
        <v>0</v>
      </c>
      <c r="CC35" s="206">
        <f>Sheet1!FL39</f>
        <v>0</v>
      </c>
      <c r="CD35" s="206">
        <f>Sheet1!FM39</f>
        <v>0</v>
      </c>
      <c r="CE35" s="206">
        <f>Sheet1!FN39</f>
        <v>0</v>
      </c>
      <c r="CF35" s="206">
        <f t="shared" si="8"/>
        <v>0</v>
      </c>
      <c r="CG35" s="206">
        <f t="shared" si="9"/>
        <v>0</v>
      </c>
      <c r="CH35" s="206">
        <f t="shared" si="10"/>
        <v>0</v>
      </c>
      <c r="CI35" s="206">
        <f t="shared" si="11"/>
        <v>0</v>
      </c>
      <c r="CJ35" s="206">
        <f t="shared" si="12"/>
        <v>0</v>
      </c>
      <c r="CK35" s="206">
        <f t="shared" si="13"/>
        <v>0</v>
      </c>
      <c r="CL35" s="206">
        <f t="shared" si="14"/>
        <v>0</v>
      </c>
      <c r="CM35" s="206">
        <f t="shared" si="15"/>
        <v>0</v>
      </c>
      <c r="CN35" s="206">
        <f t="shared" si="16"/>
        <v>0</v>
      </c>
      <c r="CO35" s="206">
        <f t="shared" si="17"/>
        <v>0</v>
      </c>
      <c r="CP35" s="206">
        <f t="shared" si="18"/>
        <v>0</v>
      </c>
    </row>
    <row r="36" spans="45:94">
      <c r="AS36" s="206">
        <f>Sheet1!EI40</f>
        <v>0</v>
      </c>
      <c r="AT36" s="206">
        <f>Sheet1!EJ40</f>
        <v>0</v>
      </c>
      <c r="AU36" s="206">
        <f>Sheet1!EK40</f>
        <v>0</v>
      </c>
      <c r="AV36" s="206">
        <f>Sheet1!EL40</f>
        <v>0</v>
      </c>
      <c r="AW36" s="206">
        <f t="shared" si="1"/>
        <v>0</v>
      </c>
      <c r="AX36" s="206">
        <f>Sheet1!EM40</f>
        <v>0</v>
      </c>
      <c r="AY36" s="206">
        <f>Sheet1!EN40</f>
        <v>0</v>
      </c>
      <c r="AZ36" s="206">
        <f>Sheet1!EO40</f>
        <v>0</v>
      </c>
      <c r="BA36" s="206">
        <f>Sheet1!EP40</f>
        <v>0</v>
      </c>
      <c r="BB36" s="206">
        <f t="shared" si="2"/>
        <v>0</v>
      </c>
      <c r="BC36" s="206">
        <f>Sheet1!EQ40</f>
        <v>0</v>
      </c>
      <c r="BD36" s="206">
        <f>Sheet1!ER40</f>
        <v>0</v>
      </c>
      <c r="BE36" s="206">
        <f>Sheet1!ES40</f>
        <v>0</v>
      </c>
      <c r="BF36" s="206">
        <f>Sheet1!ET40</f>
        <v>0</v>
      </c>
      <c r="BG36" s="206">
        <f t="shared" si="3"/>
        <v>0</v>
      </c>
      <c r="BH36" s="206">
        <f>Sheet1!EU40</f>
        <v>0</v>
      </c>
      <c r="BI36" s="206">
        <f>Sheet1!EV40</f>
        <v>0</v>
      </c>
      <c r="BJ36" s="206">
        <f>Sheet1!EW40</f>
        <v>0</v>
      </c>
      <c r="BK36" s="206">
        <f>Sheet1!EX40</f>
        <v>0</v>
      </c>
      <c r="BL36" s="206">
        <f t="shared" si="4"/>
        <v>0</v>
      </c>
      <c r="BM36" s="206">
        <f>Sheet1!EY40</f>
        <v>0</v>
      </c>
      <c r="BN36" s="206">
        <f>Sheet1!EZ40</f>
        <v>0</v>
      </c>
      <c r="BO36" s="206">
        <f>Sheet1!FA40</f>
        <v>0</v>
      </c>
      <c r="BP36" s="206">
        <f>Sheet1!FB40</f>
        <v>0</v>
      </c>
      <c r="BQ36" s="206">
        <f t="shared" si="5"/>
        <v>0</v>
      </c>
      <c r="BR36" s="206">
        <f>Sheet1!FC40</f>
        <v>0</v>
      </c>
      <c r="BS36" s="206">
        <f>Sheet1!FD40</f>
        <v>0</v>
      </c>
      <c r="BT36" s="206">
        <f>Sheet1!FE40</f>
        <v>0</v>
      </c>
      <c r="BU36" s="206">
        <f>Sheet1!FF40</f>
        <v>0</v>
      </c>
      <c r="BV36" s="206">
        <f t="shared" si="6"/>
        <v>0</v>
      </c>
      <c r="BW36" s="206">
        <f>Sheet1!FG40</f>
        <v>0</v>
      </c>
      <c r="BX36" s="206">
        <f>Sheet1!FH40</f>
        <v>0</v>
      </c>
      <c r="BY36" s="206">
        <f>Sheet1!FI40</f>
        <v>0</v>
      </c>
      <c r="BZ36" s="206">
        <f>Sheet1!FJ40</f>
        <v>0</v>
      </c>
      <c r="CA36" s="206">
        <f t="shared" si="7"/>
        <v>0</v>
      </c>
      <c r="CB36" s="206">
        <f>Sheet1!FK40</f>
        <v>0</v>
      </c>
      <c r="CC36" s="206">
        <f>Sheet1!FL40</f>
        <v>0</v>
      </c>
      <c r="CD36" s="206">
        <f>Sheet1!FM40</f>
        <v>0</v>
      </c>
      <c r="CE36" s="206">
        <f>Sheet1!FN40</f>
        <v>0</v>
      </c>
      <c r="CF36" s="206">
        <f t="shared" si="8"/>
        <v>0</v>
      </c>
      <c r="CG36" s="206">
        <f t="shared" si="9"/>
        <v>0</v>
      </c>
      <c r="CH36" s="206">
        <f t="shared" si="10"/>
        <v>0</v>
      </c>
      <c r="CI36" s="206">
        <f t="shared" si="11"/>
        <v>0</v>
      </c>
      <c r="CJ36" s="206">
        <f t="shared" si="12"/>
        <v>0</v>
      </c>
      <c r="CK36" s="206">
        <f t="shared" si="13"/>
        <v>0</v>
      </c>
      <c r="CL36" s="206">
        <f t="shared" si="14"/>
        <v>0</v>
      </c>
      <c r="CM36" s="206">
        <f t="shared" si="15"/>
        <v>0</v>
      </c>
      <c r="CN36" s="206">
        <f t="shared" si="16"/>
        <v>0</v>
      </c>
      <c r="CO36" s="206">
        <f t="shared" si="17"/>
        <v>0</v>
      </c>
      <c r="CP36" s="206">
        <f t="shared" si="18"/>
        <v>0</v>
      </c>
    </row>
    <row r="37" spans="45:94">
      <c r="AS37" s="206">
        <f>Sheet1!EI41</f>
        <v>0</v>
      </c>
      <c r="AT37" s="206">
        <f>Sheet1!EJ41</f>
        <v>0</v>
      </c>
      <c r="AU37" s="206">
        <f>Sheet1!EK41</f>
        <v>0</v>
      </c>
      <c r="AV37" s="206">
        <f>Sheet1!EL41</f>
        <v>0</v>
      </c>
      <c r="AW37" s="206">
        <f t="shared" si="1"/>
        <v>0</v>
      </c>
      <c r="AX37" s="206">
        <f>Sheet1!EM41</f>
        <v>0</v>
      </c>
      <c r="AY37" s="206">
        <f>Sheet1!EN41</f>
        <v>0</v>
      </c>
      <c r="AZ37" s="206">
        <f>Sheet1!EO41</f>
        <v>0</v>
      </c>
      <c r="BA37" s="206">
        <f>Sheet1!EP41</f>
        <v>0</v>
      </c>
      <c r="BB37" s="206">
        <f t="shared" si="2"/>
        <v>0</v>
      </c>
      <c r="BC37" s="206">
        <f>Sheet1!EQ41</f>
        <v>0</v>
      </c>
      <c r="BD37" s="206">
        <f>Sheet1!ER41</f>
        <v>0</v>
      </c>
      <c r="BE37" s="206">
        <f>Sheet1!ES41</f>
        <v>0</v>
      </c>
      <c r="BF37" s="206">
        <f>Sheet1!ET41</f>
        <v>0</v>
      </c>
      <c r="BG37" s="206">
        <f t="shared" si="3"/>
        <v>0</v>
      </c>
      <c r="BH37" s="206">
        <f>Sheet1!EU41</f>
        <v>0</v>
      </c>
      <c r="BI37" s="206">
        <f>Sheet1!EV41</f>
        <v>0</v>
      </c>
      <c r="BJ37" s="206">
        <f>Sheet1!EW41</f>
        <v>0</v>
      </c>
      <c r="BK37" s="206">
        <f>Sheet1!EX41</f>
        <v>0</v>
      </c>
      <c r="BL37" s="206">
        <f t="shared" si="4"/>
        <v>0</v>
      </c>
      <c r="BM37" s="206">
        <f>Sheet1!EY41</f>
        <v>0</v>
      </c>
      <c r="BN37" s="206">
        <f>Sheet1!EZ41</f>
        <v>0</v>
      </c>
      <c r="BO37" s="206">
        <f>Sheet1!FA41</f>
        <v>0</v>
      </c>
      <c r="BP37" s="206">
        <f>Sheet1!FB41</f>
        <v>0</v>
      </c>
      <c r="BQ37" s="206">
        <f t="shared" si="5"/>
        <v>0</v>
      </c>
      <c r="BR37" s="206">
        <f>Sheet1!FC41</f>
        <v>0</v>
      </c>
      <c r="BS37" s="206">
        <f>Sheet1!FD41</f>
        <v>0</v>
      </c>
      <c r="BT37" s="206">
        <f>Sheet1!FE41</f>
        <v>0</v>
      </c>
      <c r="BU37" s="206">
        <f>Sheet1!FF41</f>
        <v>0</v>
      </c>
      <c r="BV37" s="206">
        <f t="shared" si="6"/>
        <v>0</v>
      </c>
      <c r="BW37" s="206">
        <f>Sheet1!FG41</f>
        <v>0</v>
      </c>
      <c r="BX37" s="206">
        <f>Sheet1!FH41</f>
        <v>0</v>
      </c>
      <c r="BY37" s="206">
        <f>Sheet1!FI41</f>
        <v>0</v>
      </c>
      <c r="BZ37" s="206">
        <f>Sheet1!FJ41</f>
        <v>0</v>
      </c>
      <c r="CA37" s="206">
        <f t="shared" si="7"/>
        <v>0</v>
      </c>
      <c r="CB37" s="206">
        <f>Sheet1!FK41</f>
        <v>0</v>
      </c>
      <c r="CC37" s="206">
        <f>Sheet1!FL41</f>
        <v>0</v>
      </c>
      <c r="CD37" s="206">
        <f>Sheet1!FM41</f>
        <v>0</v>
      </c>
      <c r="CE37" s="206">
        <f>Sheet1!FN41</f>
        <v>0</v>
      </c>
      <c r="CF37" s="206">
        <f t="shared" si="8"/>
        <v>0</v>
      </c>
      <c r="CG37" s="206">
        <f t="shared" si="9"/>
        <v>0</v>
      </c>
      <c r="CH37" s="206">
        <f t="shared" si="10"/>
        <v>0</v>
      </c>
      <c r="CI37" s="206">
        <f t="shared" si="11"/>
        <v>0</v>
      </c>
      <c r="CJ37" s="206">
        <f t="shared" si="12"/>
        <v>0</v>
      </c>
      <c r="CK37" s="206">
        <f t="shared" si="13"/>
        <v>0</v>
      </c>
      <c r="CL37" s="206">
        <f t="shared" si="14"/>
        <v>0</v>
      </c>
      <c r="CM37" s="206">
        <f t="shared" si="15"/>
        <v>0</v>
      </c>
      <c r="CN37" s="206">
        <f t="shared" si="16"/>
        <v>0</v>
      </c>
      <c r="CO37" s="206">
        <f t="shared" si="17"/>
        <v>0</v>
      </c>
      <c r="CP37" s="206">
        <f t="shared" si="18"/>
        <v>0</v>
      </c>
    </row>
    <row r="38" spans="45:94">
      <c r="AS38" s="206">
        <f>Sheet1!EI42</f>
        <v>0</v>
      </c>
      <c r="AT38" s="206">
        <f>Sheet1!EJ42</f>
        <v>0</v>
      </c>
      <c r="AU38" s="206">
        <f>Sheet1!EK42</f>
        <v>0</v>
      </c>
      <c r="AV38" s="206">
        <f>Sheet1!EL42</f>
        <v>0</v>
      </c>
      <c r="AW38" s="206">
        <f t="shared" si="1"/>
        <v>0</v>
      </c>
      <c r="AX38" s="206">
        <f>Sheet1!EM42</f>
        <v>0</v>
      </c>
      <c r="AY38" s="206">
        <f>Sheet1!EN42</f>
        <v>0</v>
      </c>
      <c r="AZ38" s="206">
        <f>Sheet1!EO42</f>
        <v>0</v>
      </c>
      <c r="BA38" s="206">
        <f>Sheet1!EP42</f>
        <v>0</v>
      </c>
      <c r="BB38" s="206">
        <f t="shared" si="2"/>
        <v>0</v>
      </c>
      <c r="BC38" s="206">
        <f>Sheet1!EQ42</f>
        <v>0</v>
      </c>
      <c r="BD38" s="206">
        <f>Sheet1!ER42</f>
        <v>0</v>
      </c>
      <c r="BE38" s="206">
        <f>Sheet1!ES42</f>
        <v>0</v>
      </c>
      <c r="BF38" s="206">
        <f>Sheet1!ET42</f>
        <v>0</v>
      </c>
      <c r="BG38" s="206">
        <f t="shared" si="3"/>
        <v>0</v>
      </c>
      <c r="BH38" s="206">
        <f>Sheet1!EU42</f>
        <v>0</v>
      </c>
      <c r="BI38" s="206">
        <f>Sheet1!EV42</f>
        <v>0</v>
      </c>
      <c r="BJ38" s="206">
        <f>Sheet1!EW42</f>
        <v>0</v>
      </c>
      <c r="BK38" s="206">
        <f>Sheet1!EX42</f>
        <v>0</v>
      </c>
      <c r="BL38" s="206">
        <f t="shared" si="4"/>
        <v>0</v>
      </c>
      <c r="BM38" s="206">
        <f>Sheet1!EY42</f>
        <v>0</v>
      </c>
      <c r="BN38" s="206">
        <f>Sheet1!EZ42</f>
        <v>0</v>
      </c>
      <c r="BO38" s="206">
        <f>Sheet1!FA42</f>
        <v>0</v>
      </c>
      <c r="BP38" s="206">
        <f>Sheet1!FB42</f>
        <v>0</v>
      </c>
      <c r="BQ38" s="206">
        <f t="shared" si="5"/>
        <v>0</v>
      </c>
      <c r="BR38" s="206">
        <f>Sheet1!FC42</f>
        <v>0</v>
      </c>
      <c r="BS38" s="206">
        <f>Sheet1!FD42</f>
        <v>0</v>
      </c>
      <c r="BT38" s="206">
        <f>Sheet1!FE42</f>
        <v>0</v>
      </c>
      <c r="BU38" s="206">
        <f>Sheet1!FF42</f>
        <v>0</v>
      </c>
      <c r="BV38" s="206">
        <f t="shared" si="6"/>
        <v>0</v>
      </c>
      <c r="BW38" s="206">
        <f>Sheet1!FG42</f>
        <v>0</v>
      </c>
      <c r="BX38" s="206">
        <f>Sheet1!FH42</f>
        <v>0</v>
      </c>
      <c r="BY38" s="206">
        <f>Sheet1!FI42</f>
        <v>0</v>
      </c>
      <c r="BZ38" s="206">
        <f>Sheet1!FJ42</f>
        <v>0</v>
      </c>
      <c r="CA38" s="206">
        <f t="shared" si="7"/>
        <v>0</v>
      </c>
      <c r="CB38" s="206">
        <f>Sheet1!FK42</f>
        <v>0</v>
      </c>
      <c r="CC38" s="206">
        <f>Sheet1!FL42</f>
        <v>0</v>
      </c>
      <c r="CD38" s="206">
        <f>Sheet1!FM42</f>
        <v>0</v>
      </c>
      <c r="CE38" s="206">
        <f>Sheet1!FN42</f>
        <v>0</v>
      </c>
      <c r="CF38" s="206">
        <f t="shared" si="8"/>
        <v>0</v>
      </c>
      <c r="CG38" s="206">
        <f t="shared" si="9"/>
        <v>0</v>
      </c>
      <c r="CH38" s="206">
        <f t="shared" si="10"/>
        <v>0</v>
      </c>
      <c r="CI38" s="206">
        <f t="shared" si="11"/>
        <v>0</v>
      </c>
      <c r="CJ38" s="206">
        <f t="shared" si="12"/>
        <v>0</v>
      </c>
      <c r="CK38" s="206">
        <f t="shared" si="13"/>
        <v>0</v>
      </c>
      <c r="CL38" s="206">
        <f t="shared" si="14"/>
        <v>0</v>
      </c>
      <c r="CM38" s="206">
        <f t="shared" si="15"/>
        <v>0</v>
      </c>
      <c r="CN38" s="206">
        <f t="shared" si="16"/>
        <v>0</v>
      </c>
      <c r="CO38" s="206">
        <f t="shared" si="17"/>
        <v>0</v>
      </c>
      <c r="CP38" s="206">
        <f t="shared" si="18"/>
        <v>0</v>
      </c>
    </row>
    <row r="39" spans="45:94">
      <c r="AS39" s="206">
        <f>Sheet1!EI43</f>
        <v>0</v>
      </c>
      <c r="AT39" s="206">
        <f>Sheet1!EJ43</f>
        <v>0</v>
      </c>
      <c r="AU39" s="206">
        <f>Sheet1!EK43</f>
        <v>0</v>
      </c>
      <c r="AV39" s="206">
        <f>Sheet1!EL43</f>
        <v>0</v>
      </c>
      <c r="AW39" s="206">
        <f t="shared" si="1"/>
        <v>0</v>
      </c>
      <c r="AX39" s="206">
        <f>Sheet1!EM43</f>
        <v>0</v>
      </c>
      <c r="AY39" s="206">
        <f>Sheet1!EN43</f>
        <v>0</v>
      </c>
      <c r="AZ39" s="206">
        <f>Sheet1!EO43</f>
        <v>0</v>
      </c>
      <c r="BA39" s="206">
        <f>Sheet1!EP43</f>
        <v>0</v>
      </c>
      <c r="BB39" s="206">
        <f t="shared" si="2"/>
        <v>0</v>
      </c>
      <c r="BC39" s="206">
        <f>Sheet1!EQ43</f>
        <v>0</v>
      </c>
      <c r="BD39" s="206">
        <f>Sheet1!ER43</f>
        <v>0</v>
      </c>
      <c r="BE39" s="206">
        <f>Sheet1!ES43</f>
        <v>0</v>
      </c>
      <c r="BF39" s="206">
        <f>Sheet1!ET43</f>
        <v>0</v>
      </c>
      <c r="BG39" s="206">
        <f t="shared" si="3"/>
        <v>0</v>
      </c>
      <c r="BH39" s="206">
        <f>Sheet1!EU43</f>
        <v>0</v>
      </c>
      <c r="BI39" s="206">
        <f>Sheet1!EV43</f>
        <v>0</v>
      </c>
      <c r="BJ39" s="206">
        <f>Sheet1!EW43</f>
        <v>0</v>
      </c>
      <c r="BK39" s="206">
        <f>Sheet1!EX43</f>
        <v>0</v>
      </c>
      <c r="BL39" s="206">
        <f t="shared" si="4"/>
        <v>0</v>
      </c>
      <c r="BM39" s="206">
        <f>Sheet1!EY43</f>
        <v>0</v>
      </c>
      <c r="BN39" s="206">
        <f>Sheet1!EZ43</f>
        <v>0</v>
      </c>
      <c r="BO39" s="206">
        <f>Sheet1!FA43</f>
        <v>0</v>
      </c>
      <c r="BP39" s="206">
        <f>Sheet1!FB43</f>
        <v>0</v>
      </c>
      <c r="BQ39" s="206">
        <f t="shared" si="5"/>
        <v>0</v>
      </c>
      <c r="BR39" s="206">
        <f>Sheet1!FC43</f>
        <v>0</v>
      </c>
      <c r="BS39" s="206">
        <f>Sheet1!FD43</f>
        <v>0</v>
      </c>
      <c r="BT39" s="206">
        <f>Sheet1!FE43</f>
        <v>0</v>
      </c>
      <c r="BU39" s="206">
        <f>Sheet1!FF43</f>
        <v>0</v>
      </c>
      <c r="BV39" s="206">
        <f t="shared" si="6"/>
        <v>0</v>
      </c>
      <c r="BW39" s="206">
        <f>Sheet1!FG43</f>
        <v>0</v>
      </c>
      <c r="BX39" s="206">
        <f>Sheet1!FH43</f>
        <v>0</v>
      </c>
      <c r="BY39" s="206">
        <f>Sheet1!FI43</f>
        <v>0</v>
      </c>
      <c r="BZ39" s="206">
        <f>Sheet1!FJ43</f>
        <v>0</v>
      </c>
      <c r="CA39" s="206">
        <f t="shared" si="7"/>
        <v>0</v>
      </c>
      <c r="CB39" s="206">
        <f>Sheet1!FK43</f>
        <v>0</v>
      </c>
      <c r="CC39" s="206">
        <f>Sheet1!FL43</f>
        <v>0</v>
      </c>
      <c r="CD39" s="206">
        <f>Sheet1!FM43</f>
        <v>0</v>
      </c>
      <c r="CE39" s="206">
        <f>Sheet1!FN43</f>
        <v>0</v>
      </c>
      <c r="CF39" s="206">
        <f t="shared" si="8"/>
        <v>0</v>
      </c>
      <c r="CG39" s="206">
        <f t="shared" si="9"/>
        <v>0</v>
      </c>
      <c r="CH39" s="206">
        <f t="shared" si="10"/>
        <v>0</v>
      </c>
      <c r="CI39" s="206">
        <f t="shared" si="11"/>
        <v>0</v>
      </c>
      <c r="CJ39" s="206">
        <f t="shared" si="12"/>
        <v>0</v>
      </c>
      <c r="CK39" s="206">
        <f t="shared" si="13"/>
        <v>0</v>
      </c>
      <c r="CL39" s="206">
        <f t="shared" si="14"/>
        <v>0</v>
      </c>
      <c r="CM39" s="206">
        <f t="shared" si="15"/>
        <v>0</v>
      </c>
      <c r="CN39" s="206">
        <f t="shared" si="16"/>
        <v>0</v>
      </c>
      <c r="CO39" s="206">
        <f t="shared" si="17"/>
        <v>0</v>
      </c>
      <c r="CP39" s="206">
        <f t="shared" si="18"/>
        <v>0</v>
      </c>
    </row>
    <row r="40" spans="45:94">
      <c r="AS40" s="206">
        <f>Sheet1!EI44</f>
        <v>0</v>
      </c>
      <c r="AT40" s="206">
        <f>Sheet1!EJ44</f>
        <v>0</v>
      </c>
      <c r="AU40" s="206">
        <f>Sheet1!EK44</f>
        <v>0</v>
      </c>
      <c r="AV40" s="206">
        <f>Sheet1!EL44</f>
        <v>0</v>
      </c>
      <c r="AW40" s="206">
        <f t="shared" si="1"/>
        <v>0</v>
      </c>
      <c r="AX40" s="206">
        <f>Sheet1!EM44</f>
        <v>0</v>
      </c>
      <c r="AY40" s="206">
        <f>Sheet1!EN44</f>
        <v>0</v>
      </c>
      <c r="AZ40" s="206">
        <f>Sheet1!EO44</f>
        <v>0</v>
      </c>
      <c r="BA40" s="206">
        <f>Sheet1!EP44</f>
        <v>0</v>
      </c>
      <c r="BB40" s="206">
        <f t="shared" si="2"/>
        <v>0</v>
      </c>
      <c r="BC40" s="206">
        <f>Sheet1!EQ44</f>
        <v>0</v>
      </c>
      <c r="BD40" s="206">
        <f>Sheet1!ER44</f>
        <v>0</v>
      </c>
      <c r="BE40" s="206">
        <f>Sheet1!ES44</f>
        <v>0</v>
      </c>
      <c r="BF40" s="206">
        <f>Sheet1!ET44</f>
        <v>0</v>
      </c>
      <c r="BG40" s="206">
        <f t="shared" si="3"/>
        <v>0</v>
      </c>
      <c r="BH40" s="206">
        <f>Sheet1!EU44</f>
        <v>0</v>
      </c>
      <c r="BI40" s="206">
        <f>Sheet1!EV44</f>
        <v>0</v>
      </c>
      <c r="BJ40" s="206">
        <f>Sheet1!EW44</f>
        <v>0</v>
      </c>
      <c r="BK40" s="206">
        <f>Sheet1!EX44</f>
        <v>0</v>
      </c>
      <c r="BL40" s="206">
        <f t="shared" si="4"/>
        <v>0</v>
      </c>
      <c r="BM40" s="206">
        <f>Sheet1!EY44</f>
        <v>0</v>
      </c>
      <c r="BN40" s="206">
        <f>Sheet1!EZ44</f>
        <v>0</v>
      </c>
      <c r="BO40" s="206">
        <f>Sheet1!FA44</f>
        <v>0</v>
      </c>
      <c r="BP40" s="206">
        <f>Sheet1!FB44</f>
        <v>0</v>
      </c>
      <c r="BQ40" s="206">
        <f t="shared" si="5"/>
        <v>0</v>
      </c>
      <c r="BR40" s="206">
        <f>Sheet1!FC44</f>
        <v>0</v>
      </c>
      <c r="BS40" s="206">
        <f>Sheet1!FD44</f>
        <v>0</v>
      </c>
      <c r="BT40" s="206">
        <f>Sheet1!FE44</f>
        <v>0</v>
      </c>
      <c r="BU40" s="206">
        <f>Sheet1!FF44</f>
        <v>0</v>
      </c>
      <c r="BV40" s="206">
        <f t="shared" si="6"/>
        <v>0</v>
      </c>
      <c r="BW40" s="206">
        <f>Sheet1!FG44</f>
        <v>0</v>
      </c>
      <c r="BX40" s="206">
        <f>Sheet1!FH44</f>
        <v>0</v>
      </c>
      <c r="BY40" s="206">
        <f>Sheet1!FI44</f>
        <v>0</v>
      </c>
      <c r="BZ40" s="206">
        <f>Sheet1!FJ44</f>
        <v>0</v>
      </c>
      <c r="CA40" s="206">
        <f t="shared" si="7"/>
        <v>0</v>
      </c>
      <c r="CB40" s="206">
        <f>Sheet1!FK44</f>
        <v>0</v>
      </c>
      <c r="CC40" s="206">
        <f>Sheet1!FL44</f>
        <v>0</v>
      </c>
      <c r="CD40" s="206">
        <f>Sheet1!FM44</f>
        <v>0</v>
      </c>
      <c r="CE40" s="206">
        <f>Sheet1!FN44</f>
        <v>0</v>
      </c>
      <c r="CF40" s="206">
        <f t="shared" si="8"/>
        <v>0</v>
      </c>
      <c r="CG40" s="206">
        <f t="shared" si="9"/>
        <v>0</v>
      </c>
      <c r="CH40" s="206">
        <f t="shared" si="10"/>
        <v>0</v>
      </c>
      <c r="CI40" s="206">
        <f t="shared" si="11"/>
        <v>0</v>
      </c>
      <c r="CJ40" s="206">
        <f t="shared" si="12"/>
        <v>0</v>
      </c>
      <c r="CK40" s="206">
        <f t="shared" si="13"/>
        <v>0</v>
      </c>
      <c r="CL40" s="206">
        <f t="shared" si="14"/>
        <v>0</v>
      </c>
      <c r="CM40" s="206">
        <f t="shared" si="15"/>
        <v>0</v>
      </c>
      <c r="CN40" s="206">
        <f t="shared" si="16"/>
        <v>0</v>
      </c>
      <c r="CO40" s="206">
        <f t="shared" si="17"/>
        <v>0</v>
      </c>
      <c r="CP40" s="206">
        <f t="shared" si="18"/>
        <v>0</v>
      </c>
    </row>
    <row r="41" spans="45:94">
      <c r="AS41" s="206">
        <f>Sheet1!EI45</f>
        <v>0</v>
      </c>
      <c r="AT41" s="206">
        <f>Sheet1!EJ45</f>
        <v>0</v>
      </c>
      <c r="AU41" s="206">
        <f>Sheet1!EK45</f>
        <v>0</v>
      </c>
      <c r="AV41" s="206">
        <f>Sheet1!EL45</f>
        <v>0</v>
      </c>
      <c r="AW41" s="206">
        <f t="shared" si="1"/>
        <v>0</v>
      </c>
      <c r="AX41" s="206">
        <f>Sheet1!EM45</f>
        <v>0</v>
      </c>
      <c r="AY41" s="206">
        <f>Sheet1!EN45</f>
        <v>0</v>
      </c>
      <c r="AZ41" s="206">
        <f>Sheet1!EO45</f>
        <v>0</v>
      </c>
      <c r="BA41" s="206">
        <f>Sheet1!EP45</f>
        <v>0</v>
      </c>
      <c r="BB41" s="206">
        <f t="shared" si="2"/>
        <v>0</v>
      </c>
      <c r="BC41" s="206">
        <f>Sheet1!EQ45</f>
        <v>0</v>
      </c>
      <c r="BD41" s="206">
        <f>Sheet1!ER45</f>
        <v>0</v>
      </c>
      <c r="BE41" s="206">
        <f>Sheet1!ES45</f>
        <v>0</v>
      </c>
      <c r="BF41" s="206">
        <f>Sheet1!ET45</f>
        <v>0</v>
      </c>
      <c r="BG41" s="206">
        <f t="shared" si="3"/>
        <v>0</v>
      </c>
      <c r="BH41" s="206">
        <f>Sheet1!EU45</f>
        <v>0</v>
      </c>
      <c r="BI41" s="206">
        <f>Sheet1!EV45</f>
        <v>0</v>
      </c>
      <c r="BJ41" s="206">
        <f>Sheet1!EW45</f>
        <v>0</v>
      </c>
      <c r="BK41" s="206">
        <f>Sheet1!EX45</f>
        <v>0</v>
      </c>
      <c r="BL41" s="206">
        <f t="shared" si="4"/>
        <v>0</v>
      </c>
      <c r="BM41" s="206">
        <f>Sheet1!EY45</f>
        <v>0</v>
      </c>
      <c r="BN41" s="206">
        <f>Sheet1!EZ45</f>
        <v>0</v>
      </c>
      <c r="BO41" s="206">
        <f>Sheet1!FA45</f>
        <v>0</v>
      </c>
      <c r="BP41" s="206">
        <f>Sheet1!FB45</f>
        <v>0</v>
      </c>
      <c r="BQ41" s="206">
        <f t="shared" si="5"/>
        <v>0</v>
      </c>
      <c r="BR41" s="206">
        <f>Sheet1!FC45</f>
        <v>0</v>
      </c>
      <c r="BS41" s="206">
        <f>Sheet1!FD45</f>
        <v>0</v>
      </c>
      <c r="BT41" s="206">
        <f>Sheet1!FE45</f>
        <v>0</v>
      </c>
      <c r="BU41" s="206">
        <f>Sheet1!FF45</f>
        <v>0</v>
      </c>
      <c r="BV41" s="206">
        <f t="shared" si="6"/>
        <v>0</v>
      </c>
      <c r="BW41" s="206">
        <f>Sheet1!FG45</f>
        <v>0</v>
      </c>
      <c r="BX41" s="206">
        <f>Sheet1!FH45</f>
        <v>0</v>
      </c>
      <c r="BY41" s="206">
        <f>Sheet1!FI45</f>
        <v>0</v>
      </c>
      <c r="BZ41" s="206">
        <f>Sheet1!FJ45</f>
        <v>0</v>
      </c>
      <c r="CA41" s="206">
        <f t="shared" si="7"/>
        <v>0</v>
      </c>
      <c r="CB41" s="206">
        <f>Sheet1!FK45</f>
        <v>0</v>
      </c>
      <c r="CC41" s="206">
        <f>Sheet1!FL45</f>
        <v>0</v>
      </c>
      <c r="CD41" s="206">
        <f>Sheet1!FM45</f>
        <v>0</v>
      </c>
      <c r="CE41" s="206">
        <f>Sheet1!FN45</f>
        <v>0</v>
      </c>
      <c r="CF41" s="206">
        <f t="shared" si="8"/>
        <v>0</v>
      </c>
      <c r="CG41" s="206">
        <f t="shared" si="9"/>
        <v>0</v>
      </c>
      <c r="CH41" s="206">
        <f t="shared" si="10"/>
        <v>0</v>
      </c>
      <c r="CI41" s="206">
        <f t="shared" si="11"/>
        <v>0</v>
      </c>
      <c r="CJ41" s="206">
        <f t="shared" si="12"/>
        <v>0</v>
      </c>
      <c r="CK41" s="206">
        <f t="shared" si="13"/>
        <v>0</v>
      </c>
      <c r="CL41" s="206">
        <f t="shared" si="14"/>
        <v>0</v>
      </c>
      <c r="CM41" s="206">
        <f t="shared" si="15"/>
        <v>0</v>
      </c>
      <c r="CN41" s="206">
        <f t="shared" si="16"/>
        <v>0</v>
      </c>
      <c r="CO41" s="206">
        <f t="shared" si="17"/>
        <v>0</v>
      </c>
      <c r="CP41" s="206">
        <f t="shared" si="18"/>
        <v>0</v>
      </c>
    </row>
    <row r="42" spans="45:94">
      <c r="AS42" s="206">
        <f>Sheet1!EI46</f>
        <v>0</v>
      </c>
      <c r="AT42" s="206">
        <f>Sheet1!EJ46</f>
        <v>0</v>
      </c>
      <c r="AU42" s="206">
        <f>Sheet1!EK46</f>
        <v>0</v>
      </c>
      <c r="AV42" s="206">
        <f>Sheet1!EL46</f>
        <v>0</v>
      </c>
      <c r="AW42" s="206">
        <f t="shared" si="1"/>
        <v>0</v>
      </c>
      <c r="AX42" s="206">
        <f>Sheet1!EM46</f>
        <v>0</v>
      </c>
      <c r="AY42" s="206">
        <f>Sheet1!EN46</f>
        <v>0</v>
      </c>
      <c r="AZ42" s="206">
        <f>Sheet1!EO46</f>
        <v>0</v>
      </c>
      <c r="BA42" s="206">
        <f>Sheet1!EP46</f>
        <v>0</v>
      </c>
      <c r="BB42" s="206">
        <f t="shared" si="2"/>
        <v>0</v>
      </c>
      <c r="BC42" s="206">
        <f>Sheet1!EQ46</f>
        <v>0</v>
      </c>
      <c r="BD42" s="206">
        <f>Sheet1!ER46</f>
        <v>0</v>
      </c>
      <c r="BE42" s="206">
        <f>Sheet1!ES46</f>
        <v>0</v>
      </c>
      <c r="BF42" s="206">
        <f>Sheet1!ET46</f>
        <v>0</v>
      </c>
      <c r="BG42" s="206">
        <f t="shared" si="3"/>
        <v>0</v>
      </c>
      <c r="BH42" s="206">
        <f>Sheet1!EU46</f>
        <v>0</v>
      </c>
      <c r="BI42" s="206">
        <f>Sheet1!EV46</f>
        <v>0</v>
      </c>
      <c r="BJ42" s="206">
        <f>Sheet1!EW46</f>
        <v>0</v>
      </c>
      <c r="BK42" s="206">
        <f>Sheet1!EX46</f>
        <v>0</v>
      </c>
      <c r="BL42" s="206">
        <f t="shared" si="4"/>
        <v>0</v>
      </c>
      <c r="BM42" s="206">
        <f>Sheet1!EY46</f>
        <v>0</v>
      </c>
      <c r="BN42" s="206">
        <f>Sheet1!EZ46</f>
        <v>0</v>
      </c>
      <c r="BO42" s="206">
        <f>Sheet1!FA46</f>
        <v>0</v>
      </c>
      <c r="BP42" s="206">
        <f>Sheet1!FB46</f>
        <v>0</v>
      </c>
      <c r="BQ42" s="206">
        <f t="shared" si="5"/>
        <v>0</v>
      </c>
      <c r="BR42" s="206">
        <f>Sheet1!FC46</f>
        <v>0</v>
      </c>
      <c r="BS42" s="206">
        <f>Sheet1!FD46</f>
        <v>0</v>
      </c>
      <c r="BT42" s="206">
        <f>Sheet1!FE46</f>
        <v>0</v>
      </c>
      <c r="BU42" s="206">
        <f>Sheet1!FF46</f>
        <v>0</v>
      </c>
      <c r="BV42" s="206">
        <f t="shared" si="6"/>
        <v>0</v>
      </c>
      <c r="BW42" s="206">
        <f>Sheet1!FG46</f>
        <v>0</v>
      </c>
      <c r="BX42" s="206">
        <f>Sheet1!FH46</f>
        <v>0</v>
      </c>
      <c r="BY42" s="206">
        <f>Sheet1!FI46</f>
        <v>0</v>
      </c>
      <c r="BZ42" s="206">
        <f>Sheet1!FJ46</f>
        <v>0</v>
      </c>
      <c r="CA42" s="206">
        <f t="shared" si="7"/>
        <v>0</v>
      </c>
      <c r="CB42" s="206">
        <f>Sheet1!FK46</f>
        <v>0</v>
      </c>
      <c r="CC42" s="206">
        <f>Sheet1!FL46</f>
        <v>0</v>
      </c>
      <c r="CD42" s="206">
        <f>Sheet1!FM46</f>
        <v>0</v>
      </c>
      <c r="CE42" s="206">
        <f>Sheet1!FN46</f>
        <v>0</v>
      </c>
      <c r="CF42" s="206">
        <f t="shared" si="8"/>
        <v>0</v>
      </c>
      <c r="CG42" s="206">
        <f t="shared" si="9"/>
        <v>0</v>
      </c>
      <c r="CH42" s="206">
        <f t="shared" si="10"/>
        <v>0</v>
      </c>
      <c r="CI42" s="206">
        <f t="shared" si="11"/>
        <v>0</v>
      </c>
      <c r="CJ42" s="206">
        <f t="shared" si="12"/>
        <v>0</v>
      </c>
      <c r="CK42" s="206">
        <f t="shared" si="13"/>
        <v>0</v>
      </c>
      <c r="CL42" s="206">
        <f t="shared" si="14"/>
        <v>0</v>
      </c>
      <c r="CM42" s="206">
        <f t="shared" si="15"/>
        <v>0</v>
      </c>
      <c r="CN42" s="206">
        <f t="shared" si="16"/>
        <v>0</v>
      </c>
      <c r="CO42" s="206">
        <f t="shared" si="17"/>
        <v>0</v>
      </c>
      <c r="CP42" s="206">
        <f t="shared" si="18"/>
        <v>0</v>
      </c>
    </row>
    <row r="43" spans="45:94">
      <c r="AS43" s="206">
        <f>Sheet1!EI47</f>
        <v>0</v>
      </c>
      <c r="AT43" s="206">
        <f>Sheet1!EJ47</f>
        <v>0</v>
      </c>
      <c r="AU43" s="206">
        <f>Sheet1!EK47</f>
        <v>0</v>
      </c>
      <c r="AV43" s="206">
        <f>Sheet1!EL47</f>
        <v>0</v>
      </c>
      <c r="AW43" s="206">
        <f t="shared" si="1"/>
        <v>0</v>
      </c>
      <c r="AX43" s="206">
        <f>Sheet1!EM47</f>
        <v>0</v>
      </c>
      <c r="AY43" s="206">
        <f>Sheet1!EN47</f>
        <v>0</v>
      </c>
      <c r="AZ43" s="206">
        <f>Sheet1!EO47</f>
        <v>0</v>
      </c>
      <c r="BA43" s="206">
        <f>Sheet1!EP47</f>
        <v>0</v>
      </c>
      <c r="BB43" s="206">
        <f t="shared" si="2"/>
        <v>0</v>
      </c>
      <c r="BC43" s="206">
        <f>Sheet1!EQ47</f>
        <v>0</v>
      </c>
      <c r="BD43" s="206">
        <f>Sheet1!ER47</f>
        <v>0</v>
      </c>
      <c r="BE43" s="206">
        <f>Sheet1!ES47</f>
        <v>0</v>
      </c>
      <c r="BF43" s="206">
        <f>Sheet1!ET47</f>
        <v>0</v>
      </c>
      <c r="BG43" s="206">
        <f t="shared" si="3"/>
        <v>0</v>
      </c>
      <c r="BH43" s="206">
        <f>Sheet1!EU47</f>
        <v>0</v>
      </c>
      <c r="BI43" s="206">
        <f>Sheet1!EV47</f>
        <v>0</v>
      </c>
      <c r="BJ43" s="206">
        <f>Sheet1!EW47</f>
        <v>0</v>
      </c>
      <c r="BK43" s="206">
        <f>Sheet1!EX47</f>
        <v>0</v>
      </c>
      <c r="BL43" s="206">
        <f t="shared" si="4"/>
        <v>0</v>
      </c>
      <c r="BM43" s="206">
        <f>Sheet1!EY47</f>
        <v>0</v>
      </c>
      <c r="BN43" s="206">
        <f>Sheet1!EZ47</f>
        <v>0</v>
      </c>
      <c r="BO43" s="206">
        <f>Sheet1!FA47</f>
        <v>0</v>
      </c>
      <c r="BP43" s="206">
        <f>Sheet1!FB47</f>
        <v>0</v>
      </c>
      <c r="BQ43" s="206">
        <f t="shared" si="5"/>
        <v>0</v>
      </c>
      <c r="BR43" s="206">
        <f>Sheet1!FC47</f>
        <v>0</v>
      </c>
      <c r="BS43" s="206">
        <f>Sheet1!FD47</f>
        <v>0</v>
      </c>
      <c r="BT43" s="206">
        <f>Sheet1!FE47</f>
        <v>0</v>
      </c>
      <c r="BU43" s="206">
        <f>Sheet1!FF47</f>
        <v>0</v>
      </c>
      <c r="BV43" s="206">
        <f t="shared" si="6"/>
        <v>0</v>
      </c>
      <c r="BW43" s="206">
        <f>Sheet1!FG47</f>
        <v>0</v>
      </c>
      <c r="BX43" s="206">
        <f>Sheet1!FH47</f>
        <v>0</v>
      </c>
      <c r="BY43" s="206">
        <f>Sheet1!FI47</f>
        <v>0</v>
      </c>
      <c r="BZ43" s="206">
        <f>Sheet1!FJ47</f>
        <v>0</v>
      </c>
      <c r="CA43" s="206">
        <f t="shared" si="7"/>
        <v>0</v>
      </c>
      <c r="CB43" s="206">
        <f>Sheet1!FK47</f>
        <v>0</v>
      </c>
      <c r="CC43" s="206">
        <f>Sheet1!FL47</f>
        <v>0</v>
      </c>
      <c r="CD43" s="206">
        <f>Sheet1!FM47</f>
        <v>0</v>
      </c>
      <c r="CE43" s="206">
        <f>Sheet1!FN47</f>
        <v>0</v>
      </c>
      <c r="CF43" s="206">
        <f t="shared" si="8"/>
        <v>0</v>
      </c>
      <c r="CG43" s="206">
        <f t="shared" si="9"/>
        <v>0</v>
      </c>
      <c r="CH43" s="206">
        <f t="shared" si="10"/>
        <v>0</v>
      </c>
      <c r="CI43" s="206">
        <f t="shared" si="11"/>
        <v>0</v>
      </c>
      <c r="CJ43" s="206">
        <f t="shared" si="12"/>
        <v>0</v>
      </c>
      <c r="CK43" s="206">
        <f t="shared" si="13"/>
        <v>0</v>
      </c>
      <c r="CL43" s="206">
        <f t="shared" si="14"/>
        <v>0</v>
      </c>
      <c r="CM43" s="206">
        <f t="shared" si="15"/>
        <v>0</v>
      </c>
      <c r="CN43" s="206">
        <f t="shared" si="16"/>
        <v>0</v>
      </c>
      <c r="CO43" s="206">
        <f t="shared" si="17"/>
        <v>0</v>
      </c>
      <c r="CP43" s="206">
        <f t="shared" si="18"/>
        <v>0</v>
      </c>
    </row>
    <row r="44" spans="45:94">
      <c r="AS44" s="206">
        <f>Sheet1!EI48</f>
        <v>0</v>
      </c>
      <c r="AT44" s="206">
        <f>Sheet1!EJ48</f>
        <v>0</v>
      </c>
      <c r="AU44" s="206">
        <f>Sheet1!EK48</f>
        <v>0</v>
      </c>
      <c r="AV44" s="206">
        <f>Sheet1!EL48</f>
        <v>0</v>
      </c>
      <c r="AW44" s="206">
        <f t="shared" si="1"/>
        <v>0</v>
      </c>
      <c r="AX44" s="206">
        <f>Sheet1!EM48</f>
        <v>0</v>
      </c>
      <c r="AY44" s="206">
        <f>Sheet1!EN48</f>
        <v>0</v>
      </c>
      <c r="AZ44" s="206">
        <f>Sheet1!EO48</f>
        <v>0</v>
      </c>
      <c r="BA44" s="206">
        <f>Sheet1!EP48</f>
        <v>0</v>
      </c>
      <c r="BB44" s="206">
        <f t="shared" si="2"/>
        <v>0</v>
      </c>
      <c r="BC44" s="206">
        <f>Sheet1!EQ48</f>
        <v>0</v>
      </c>
      <c r="BD44" s="206">
        <f>Sheet1!ER48</f>
        <v>0</v>
      </c>
      <c r="BE44" s="206">
        <f>Sheet1!ES48</f>
        <v>0</v>
      </c>
      <c r="BF44" s="206">
        <f>Sheet1!ET48</f>
        <v>0</v>
      </c>
      <c r="BG44" s="206">
        <f t="shared" si="3"/>
        <v>0</v>
      </c>
      <c r="BH44" s="206">
        <f>Sheet1!EU48</f>
        <v>0</v>
      </c>
      <c r="BI44" s="206">
        <f>Sheet1!EV48</f>
        <v>0</v>
      </c>
      <c r="BJ44" s="206">
        <f>Sheet1!EW48</f>
        <v>0</v>
      </c>
      <c r="BK44" s="206">
        <f>Sheet1!EX48</f>
        <v>0</v>
      </c>
      <c r="BL44" s="206">
        <f t="shared" si="4"/>
        <v>0</v>
      </c>
      <c r="BM44" s="206">
        <f>Sheet1!EY48</f>
        <v>0</v>
      </c>
      <c r="BN44" s="206">
        <f>Sheet1!EZ48</f>
        <v>0</v>
      </c>
      <c r="BO44" s="206">
        <f>Sheet1!FA48</f>
        <v>0</v>
      </c>
      <c r="BP44" s="206">
        <f>Sheet1!FB48</f>
        <v>0</v>
      </c>
      <c r="BQ44" s="206">
        <f t="shared" si="5"/>
        <v>0</v>
      </c>
      <c r="BR44" s="206">
        <f>Sheet1!FC48</f>
        <v>0</v>
      </c>
      <c r="BS44" s="206">
        <f>Sheet1!FD48</f>
        <v>0</v>
      </c>
      <c r="BT44" s="206">
        <f>Sheet1!FE48</f>
        <v>0</v>
      </c>
      <c r="BU44" s="206">
        <f>Sheet1!FF48</f>
        <v>0</v>
      </c>
      <c r="BV44" s="206">
        <f t="shared" si="6"/>
        <v>0</v>
      </c>
      <c r="BW44" s="206">
        <f>Sheet1!FG48</f>
        <v>0</v>
      </c>
      <c r="BX44" s="206">
        <f>Sheet1!FH48</f>
        <v>0</v>
      </c>
      <c r="BY44" s="206">
        <f>Sheet1!FI48</f>
        <v>0</v>
      </c>
      <c r="BZ44" s="206">
        <f>Sheet1!FJ48</f>
        <v>0</v>
      </c>
      <c r="CA44" s="206">
        <f t="shared" si="7"/>
        <v>0</v>
      </c>
      <c r="CB44" s="206">
        <f>Sheet1!FK48</f>
        <v>0</v>
      </c>
      <c r="CC44" s="206">
        <f>Sheet1!FL48</f>
        <v>0</v>
      </c>
      <c r="CD44" s="206">
        <f>Sheet1!FM48</f>
        <v>0</v>
      </c>
      <c r="CE44" s="206">
        <f>Sheet1!FN48</f>
        <v>0</v>
      </c>
      <c r="CF44" s="206">
        <f t="shared" si="8"/>
        <v>0</v>
      </c>
      <c r="CG44" s="206">
        <f t="shared" si="9"/>
        <v>0</v>
      </c>
      <c r="CH44" s="206">
        <f t="shared" si="10"/>
        <v>0</v>
      </c>
      <c r="CI44" s="206">
        <f t="shared" si="11"/>
        <v>0</v>
      </c>
      <c r="CJ44" s="206">
        <f t="shared" si="12"/>
        <v>0</v>
      </c>
      <c r="CK44" s="206">
        <f t="shared" si="13"/>
        <v>0</v>
      </c>
      <c r="CL44" s="206">
        <f t="shared" si="14"/>
        <v>0</v>
      </c>
      <c r="CM44" s="206">
        <f t="shared" si="15"/>
        <v>0</v>
      </c>
      <c r="CN44" s="206">
        <f t="shared" si="16"/>
        <v>0</v>
      </c>
      <c r="CO44" s="206">
        <f t="shared" si="17"/>
        <v>0</v>
      </c>
      <c r="CP44" s="206">
        <f t="shared" si="18"/>
        <v>0</v>
      </c>
    </row>
    <row r="45" spans="45:94">
      <c r="AS45" s="206">
        <f>Sheet1!EI49</f>
        <v>0</v>
      </c>
      <c r="AT45" s="206">
        <f>Sheet1!EJ49</f>
        <v>0</v>
      </c>
      <c r="AU45" s="206">
        <f>Sheet1!EK49</f>
        <v>0</v>
      </c>
      <c r="AV45" s="206">
        <f>Sheet1!EL49</f>
        <v>0</v>
      </c>
      <c r="AW45" s="206">
        <f t="shared" si="1"/>
        <v>0</v>
      </c>
      <c r="AX45" s="206">
        <f>Sheet1!EM49</f>
        <v>0</v>
      </c>
      <c r="AY45" s="206">
        <f>Sheet1!EN49</f>
        <v>0</v>
      </c>
      <c r="AZ45" s="206">
        <f>Sheet1!EO49</f>
        <v>0</v>
      </c>
      <c r="BA45" s="206">
        <f>Sheet1!EP49</f>
        <v>0</v>
      </c>
      <c r="BB45" s="206">
        <f t="shared" si="2"/>
        <v>0</v>
      </c>
      <c r="BC45" s="206">
        <f>Sheet1!EQ49</f>
        <v>0</v>
      </c>
      <c r="BD45" s="206">
        <f>Sheet1!ER49</f>
        <v>0</v>
      </c>
      <c r="BE45" s="206">
        <f>Sheet1!ES49</f>
        <v>0</v>
      </c>
      <c r="BF45" s="206">
        <f>Sheet1!ET49</f>
        <v>0</v>
      </c>
      <c r="BG45" s="206">
        <f t="shared" si="3"/>
        <v>0</v>
      </c>
      <c r="BH45" s="206">
        <f>Sheet1!EU49</f>
        <v>0</v>
      </c>
      <c r="BI45" s="206">
        <f>Sheet1!EV49</f>
        <v>0</v>
      </c>
      <c r="BJ45" s="206">
        <f>Sheet1!EW49</f>
        <v>0</v>
      </c>
      <c r="BK45" s="206">
        <f>Sheet1!EX49</f>
        <v>0</v>
      </c>
      <c r="BL45" s="206">
        <f t="shared" si="4"/>
        <v>0</v>
      </c>
      <c r="BM45" s="206">
        <f>Sheet1!EY49</f>
        <v>0</v>
      </c>
      <c r="BN45" s="206">
        <f>Sheet1!EZ49</f>
        <v>0</v>
      </c>
      <c r="BO45" s="206">
        <f>Sheet1!FA49</f>
        <v>0</v>
      </c>
      <c r="BP45" s="206">
        <f>Sheet1!FB49</f>
        <v>0</v>
      </c>
      <c r="BQ45" s="206">
        <f t="shared" si="5"/>
        <v>0</v>
      </c>
      <c r="BR45" s="206">
        <f>Sheet1!FC49</f>
        <v>0</v>
      </c>
      <c r="BS45" s="206">
        <f>Sheet1!FD49</f>
        <v>0</v>
      </c>
      <c r="BT45" s="206">
        <f>Sheet1!FE49</f>
        <v>0</v>
      </c>
      <c r="BU45" s="206">
        <f>Sheet1!FF49</f>
        <v>0</v>
      </c>
      <c r="BV45" s="206">
        <f t="shared" si="6"/>
        <v>0</v>
      </c>
      <c r="BW45" s="206">
        <f>Sheet1!FG49</f>
        <v>0</v>
      </c>
      <c r="BX45" s="206">
        <f>Sheet1!FH49</f>
        <v>0</v>
      </c>
      <c r="BY45" s="206">
        <f>Sheet1!FI49</f>
        <v>0</v>
      </c>
      <c r="BZ45" s="206">
        <f>Sheet1!FJ49</f>
        <v>0</v>
      </c>
      <c r="CA45" s="206">
        <f t="shared" si="7"/>
        <v>0</v>
      </c>
      <c r="CB45" s="206">
        <f>Sheet1!FK49</f>
        <v>0</v>
      </c>
      <c r="CC45" s="206">
        <f>Sheet1!FL49</f>
        <v>0</v>
      </c>
      <c r="CD45" s="206">
        <f>Sheet1!FM49</f>
        <v>0</v>
      </c>
      <c r="CE45" s="206">
        <f>Sheet1!FN49</f>
        <v>0</v>
      </c>
      <c r="CF45" s="206">
        <f t="shared" si="8"/>
        <v>0</v>
      </c>
      <c r="CG45" s="206">
        <f t="shared" si="9"/>
        <v>0</v>
      </c>
      <c r="CH45" s="206">
        <f t="shared" si="10"/>
        <v>0</v>
      </c>
      <c r="CI45" s="206">
        <f t="shared" si="11"/>
        <v>0</v>
      </c>
      <c r="CJ45" s="206">
        <f t="shared" si="12"/>
        <v>0</v>
      </c>
      <c r="CK45" s="206">
        <f t="shared" si="13"/>
        <v>0</v>
      </c>
      <c r="CL45" s="206">
        <f t="shared" si="14"/>
        <v>0</v>
      </c>
      <c r="CM45" s="206">
        <f t="shared" si="15"/>
        <v>0</v>
      </c>
      <c r="CN45" s="206">
        <f t="shared" si="16"/>
        <v>0</v>
      </c>
      <c r="CO45" s="206">
        <f t="shared" si="17"/>
        <v>0</v>
      </c>
      <c r="CP45" s="206">
        <f t="shared" si="18"/>
        <v>0</v>
      </c>
    </row>
    <row r="46" spans="45:94">
      <c r="AS46" s="206">
        <f>Sheet1!EI50</f>
        <v>0</v>
      </c>
      <c r="AT46" s="206">
        <f>Sheet1!EJ50</f>
        <v>0</v>
      </c>
      <c r="AU46" s="206">
        <f>Sheet1!EK50</f>
        <v>0</v>
      </c>
      <c r="AV46" s="206">
        <f>Sheet1!EL50</f>
        <v>0</v>
      </c>
      <c r="AW46" s="206">
        <f t="shared" si="1"/>
        <v>0</v>
      </c>
      <c r="AX46" s="206">
        <f>Sheet1!EM50</f>
        <v>0</v>
      </c>
      <c r="AY46" s="206">
        <f>Sheet1!EN50</f>
        <v>0</v>
      </c>
      <c r="AZ46" s="206">
        <f>Sheet1!EO50</f>
        <v>0</v>
      </c>
      <c r="BA46" s="206">
        <f>Sheet1!EP50</f>
        <v>0</v>
      </c>
      <c r="BB46" s="206">
        <f t="shared" si="2"/>
        <v>0</v>
      </c>
      <c r="BC46" s="206">
        <f>Sheet1!EQ50</f>
        <v>0</v>
      </c>
      <c r="BD46" s="206">
        <f>Sheet1!ER50</f>
        <v>0</v>
      </c>
      <c r="BE46" s="206">
        <f>Sheet1!ES50</f>
        <v>0</v>
      </c>
      <c r="BF46" s="206">
        <f>Sheet1!ET50</f>
        <v>0</v>
      </c>
      <c r="BG46" s="206">
        <f t="shared" si="3"/>
        <v>0</v>
      </c>
      <c r="BH46" s="206">
        <f>Sheet1!EU50</f>
        <v>0</v>
      </c>
      <c r="BI46" s="206">
        <f>Sheet1!EV50</f>
        <v>0</v>
      </c>
      <c r="BJ46" s="206">
        <f>Sheet1!EW50</f>
        <v>0</v>
      </c>
      <c r="BK46" s="206">
        <f>Sheet1!EX50</f>
        <v>0</v>
      </c>
      <c r="BL46" s="206">
        <f t="shared" si="4"/>
        <v>0</v>
      </c>
      <c r="BM46" s="206">
        <f>Sheet1!EY50</f>
        <v>0</v>
      </c>
      <c r="BN46" s="206">
        <f>Sheet1!EZ50</f>
        <v>0</v>
      </c>
      <c r="BO46" s="206">
        <f>Sheet1!FA50</f>
        <v>0</v>
      </c>
      <c r="BP46" s="206">
        <f>Sheet1!FB50</f>
        <v>0</v>
      </c>
      <c r="BQ46" s="206">
        <f t="shared" si="5"/>
        <v>0</v>
      </c>
      <c r="BR46" s="206">
        <f>Sheet1!FC50</f>
        <v>0</v>
      </c>
      <c r="BS46" s="206">
        <f>Sheet1!FD50</f>
        <v>0</v>
      </c>
      <c r="BT46" s="206">
        <f>Sheet1!FE50</f>
        <v>0</v>
      </c>
      <c r="BU46" s="206">
        <f>Sheet1!FF50</f>
        <v>0</v>
      </c>
      <c r="BV46" s="206">
        <f t="shared" si="6"/>
        <v>0</v>
      </c>
      <c r="BW46" s="206">
        <f>Sheet1!FG50</f>
        <v>0</v>
      </c>
      <c r="BX46" s="206">
        <f>Sheet1!FH50</f>
        <v>0</v>
      </c>
      <c r="BY46" s="206">
        <f>Sheet1!FI50</f>
        <v>0</v>
      </c>
      <c r="BZ46" s="206">
        <f>Sheet1!FJ50</f>
        <v>0</v>
      </c>
      <c r="CA46" s="206">
        <f t="shared" si="7"/>
        <v>0</v>
      </c>
      <c r="CB46" s="206">
        <f>Sheet1!FK50</f>
        <v>0</v>
      </c>
      <c r="CC46" s="206">
        <f>Sheet1!FL50</f>
        <v>0</v>
      </c>
      <c r="CD46" s="206">
        <f>Sheet1!FM50</f>
        <v>0</v>
      </c>
      <c r="CE46" s="206">
        <f>Sheet1!FN50</f>
        <v>0</v>
      </c>
      <c r="CF46" s="206">
        <f t="shared" si="8"/>
        <v>0</v>
      </c>
      <c r="CG46" s="206">
        <f t="shared" si="9"/>
        <v>0</v>
      </c>
      <c r="CH46" s="206">
        <f t="shared" si="10"/>
        <v>0</v>
      </c>
      <c r="CI46" s="206">
        <f t="shared" si="11"/>
        <v>0</v>
      </c>
      <c r="CJ46" s="206">
        <f t="shared" si="12"/>
        <v>0</v>
      </c>
      <c r="CK46" s="206">
        <f t="shared" si="13"/>
        <v>0</v>
      </c>
      <c r="CL46" s="206">
        <f t="shared" si="14"/>
        <v>0</v>
      </c>
      <c r="CM46" s="206">
        <f t="shared" si="15"/>
        <v>0</v>
      </c>
      <c r="CN46" s="206">
        <f t="shared" si="16"/>
        <v>0</v>
      </c>
      <c r="CO46" s="206">
        <f t="shared" si="17"/>
        <v>0</v>
      </c>
      <c r="CP46" s="206">
        <f t="shared" si="18"/>
        <v>0</v>
      </c>
    </row>
    <row r="47" spans="45:94">
      <c r="AS47" s="206">
        <f>Sheet1!EI51</f>
        <v>0</v>
      </c>
      <c r="AT47" s="206">
        <f>Sheet1!EJ51</f>
        <v>0</v>
      </c>
      <c r="AU47" s="206">
        <f>Sheet1!EK51</f>
        <v>0</v>
      </c>
      <c r="AV47" s="206">
        <f>Sheet1!EL51</f>
        <v>0</v>
      </c>
      <c r="AW47" s="206">
        <f t="shared" ref="AW47:AW110" si="19">(AV47-AU47)*1440</f>
        <v>0</v>
      </c>
      <c r="AX47" s="206">
        <f>Sheet1!EM51</f>
        <v>0</v>
      </c>
      <c r="AY47" s="206">
        <f>Sheet1!EN51</f>
        <v>0</v>
      </c>
      <c r="AZ47" s="206">
        <f>Sheet1!EO51</f>
        <v>0</v>
      </c>
      <c r="BA47" s="206">
        <f>Sheet1!EP51</f>
        <v>0</v>
      </c>
      <c r="BB47" s="206">
        <f t="shared" ref="BB47:BB110" si="20">(BA47-AZ47)*1440</f>
        <v>0</v>
      </c>
      <c r="BC47" s="206">
        <f>Sheet1!EQ51</f>
        <v>0</v>
      </c>
      <c r="BD47" s="206">
        <f>Sheet1!ER51</f>
        <v>0</v>
      </c>
      <c r="BE47" s="206">
        <f>Sheet1!ES51</f>
        <v>0</v>
      </c>
      <c r="BF47" s="206">
        <f>Sheet1!ET51</f>
        <v>0</v>
      </c>
      <c r="BG47" s="206">
        <f t="shared" ref="BG47:BG110" si="21">(BF47-BE47)*1440</f>
        <v>0</v>
      </c>
      <c r="BH47" s="206">
        <f>Sheet1!EU51</f>
        <v>0</v>
      </c>
      <c r="BI47" s="206">
        <f>Sheet1!EV51</f>
        <v>0</v>
      </c>
      <c r="BJ47" s="206">
        <f>Sheet1!EW51</f>
        <v>0</v>
      </c>
      <c r="BK47" s="206">
        <f>Sheet1!EX51</f>
        <v>0</v>
      </c>
      <c r="BL47" s="206">
        <f t="shared" ref="BL47:BL110" si="22">(BK47-BJ47)*1440</f>
        <v>0</v>
      </c>
      <c r="BM47" s="206">
        <f>Sheet1!EY51</f>
        <v>0</v>
      </c>
      <c r="BN47" s="206">
        <f>Sheet1!EZ51</f>
        <v>0</v>
      </c>
      <c r="BO47" s="206">
        <f>Sheet1!FA51</f>
        <v>0</v>
      </c>
      <c r="BP47" s="206">
        <f>Sheet1!FB51</f>
        <v>0</v>
      </c>
      <c r="BQ47" s="206">
        <f t="shared" ref="BQ47:BQ110" si="23">(BP47-BO47)*1440</f>
        <v>0</v>
      </c>
      <c r="BR47" s="206">
        <f>Sheet1!FC51</f>
        <v>0</v>
      </c>
      <c r="BS47" s="206">
        <f>Sheet1!FD51</f>
        <v>0</v>
      </c>
      <c r="BT47" s="206">
        <f>Sheet1!FE51</f>
        <v>0</v>
      </c>
      <c r="BU47" s="206">
        <f>Sheet1!FF51</f>
        <v>0</v>
      </c>
      <c r="BV47" s="206">
        <f t="shared" ref="BV47:BV110" si="24">(BU47-BT47)*1440</f>
        <v>0</v>
      </c>
      <c r="BW47" s="206">
        <f>Sheet1!FG51</f>
        <v>0</v>
      </c>
      <c r="BX47" s="206">
        <f>Sheet1!FH51</f>
        <v>0</v>
      </c>
      <c r="BY47" s="206">
        <f>Sheet1!FI51</f>
        <v>0</v>
      </c>
      <c r="BZ47" s="206">
        <f>Sheet1!FJ51</f>
        <v>0</v>
      </c>
      <c r="CA47" s="206">
        <f t="shared" ref="CA47:CA110" si="25">(BZ47-BY47)*1440</f>
        <v>0</v>
      </c>
      <c r="CB47" s="206">
        <f>Sheet1!FK51</f>
        <v>0</v>
      </c>
      <c r="CC47" s="206">
        <f>Sheet1!FL51</f>
        <v>0</v>
      </c>
      <c r="CD47" s="206">
        <f>Sheet1!FM51</f>
        <v>0</v>
      </c>
      <c r="CE47" s="206">
        <f>Sheet1!FN51</f>
        <v>0</v>
      </c>
      <c r="CF47" s="206">
        <f t="shared" ref="CF47:CF110" si="26">(CE47-CD47)*1440</f>
        <v>0</v>
      </c>
      <c r="CG47" s="206">
        <f t="shared" ref="CG47:CG110" si="27">IF(AS47="BT",AW47,0)</f>
        <v>0</v>
      </c>
      <c r="CH47" s="206">
        <f t="shared" ref="CH47:CH110" si="28">IF(AX47="BT",BB47,0)</f>
        <v>0</v>
      </c>
      <c r="CI47" s="206">
        <f t="shared" ref="CI47:CI110" si="29">IF(BC47="BT",BG47,0)</f>
        <v>0</v>
      </c>
      <c r="CJ47" s="206">
        <f t="shared" ref="CJ47:CJ110" si="30">IF(BH47="BT",BL47,0)</f>
        <v>0</v>
      </c>
      <c r="CK47" s="206">
        <f t="shared" ref="CK47:CK110" si="31">IF(BM47="BT",BQ47,0)</f>
        <v>0</v>
      </c>
      <c r="CL47" s="206">
        <f t="shared" ref="CL47:CL110" si="32">IF(BR47="BT",BV47,0)</f>
        <v>0</v>
      </c>
      <c r="CM47" s="206">
        <f t="shared" ref="CM47:CM110" si="33">IF(BW47="BT",CA47,0)</f>
        <v>0</v>
      </c>
      <c r="CN47" s="206">
        <f t="shared" ref="CN47:CN110" si="34">IF(CB47="BT",CF47,0)</f>
        <v>0</v>
      </c>
      <c r="CO47" s="206">
        <f t="shared" ref="CO47:CO110" si="35">SUM(CG47:CN47)</f>
        <v>0</v>
      </c>
      <c r="CP47" s="206">
        <f t="shared" ref="CP47:CP110" si="36">SUM(AW47,BB47,BG47,BL47,BQ47,BV47,CA47,CF47)-CO47</f>
        <v>0</v>
      </c>
    </row>
    <row r="48" spans="45:94">
      <c r="AS48" s="206">
        <f>Sheet1!EI52</f>
        <v>0</v>
      </c>
      <c r="AT48" s="206">
        <f>Sheet1!EJ52</f>
        <v>0</v>
      </c>
      <c r="AU48" s="206">
        <f>Sheet1!EK52</f>
        <v>0</v>
      </c>
      <c r="AV48" s="206">
        <f>Sheet1!EL52</f>
        <v>0</v>
      </c>
      <c r="AW48" s="206">
        <f t="shared" si="19"/>
        <v>0</v>
      </c>
      <c r="AX48" s="206">
        <f>Sheet1!EM52</f>
        <v>0</v>
      </c>
      <c r="AY48" s="206">
        <f>Sheet1!EN52</f>
        <v>0</v>
      </c>
      <c r="AZ48" s="206">
        <f>Sheet1!EO52</f>
        <v>0</v>
      </c>
      <c r="BA48" s="206">
        <f>Sheet1!EP52</f>
        <v>0</v>
      </c>
      <c r="BB48" s="206">
        <f t="shared" si="20"/>
        <v>0</v>
      </c>
      <c r="BC48" s="206">
        <f>Sheet1!EQ52</f>
        <v>0</v>
      </c>
      <c r="BD48" s="206">
        <f>Sheet1!ER52</f>
        <v>0</v>
      </c>
      <c r="BE48" s="206">
        <f>Sheet1!ES52</f>
        <v>0</v>
      </c>
      <c r="BF48" s="206">
        <f>Sheet1!ET52</f>
        <v>0</v>
      </c>
      <c r="BG48" s="206">
        <f t="shared" si="21"/>
        <v>0</v>
      </c>
      <c r="BH48" s="206">
        <f>Sheet1!EU52</f>
        <v>0</v>
      </c>
      <c r="BI48" s="206">
        <f>Sheet1!EV52</f>
        <v>0</v>
      </c>
      <c r="BJ48" s="206">
        <f>Sheet1!EW52</f>
        <v>0</v>
      </c>
      <c r="BK48" s="206">
        <f>Sheet1!EX52</f>
        <v>0</v>
      </c>
      <c r="BL48" s="206">
        <f t="shared" si="22"/>
        <v>0</v>
      </c>
      <c r="BM48" s="206">
        <f>Sheet1!EY52</f>
        <v>0</v>
      </c>
      <c r="BN48" s="206">
        <f>Sheet1!EZ52</f>
        <v>0</v>
      </c>
      <c r="BO48" s="206">
        <f>Sheet1!FA52</f>
        <v>0</v>
      </c>
      <c r="BP48" s="206">
        <f>Sheet1!FB52</f>
        <v>0</v>
      </c>
      <c r="BQ48" s="206">
        <f t="shared" si="23"/>
        <v>0</v>
      </c>
      <c r="BR48" s="206">
        <f>Sheet1!FC52</f>
        <v>0</v>
      </c>
      <c r="BS48" s="206">
        <f>Sheet1!FD52</f>
        <v>0</v>
      </c>
      <c r="BT48" s="206">
        <f>Sheet1!FE52</f>
        <v>0</v>
      </c>
      <c r="BU48" s="206">
        <f>Sheet1!FF52</f>
        <v>0</v>
      </c>
      <c r="BV48" s="206">
        <f t="shared" si="24"/>
        <v>0</v>
      </c>
      <c r="BW48" s="206">
        <f>Sheet1!FG52</f>
        <v>0</v>
      </c>
      <c r="BX48" s="206">
        <f>Sheet1!FH52</f>
        <v>0</v>
      </c>
      <c r="BY48" s="206">
        <f>Sheet1!FI52</f>
        <v>0</v>
      </c>
      <c r="BZ48" s="206">
        <f>Sheet1!FJ52</f>
        <v>0</v>
      </c>
      <c r="CA48" s="206">
        <f t="shared" si="25"/>
        <v>0</v>
      </c>
      <c r="CB48" s="206">
        <f>Sheet1!FK52</f>
        <v>0</v>
      </c>
      <c r="CC48" s="206">
        <f>Sheet1!FL52</f>
        <v>0</v>
      </c>
      <c r="CD48" s="206">
        <f>Sheet1!FM52</f>
        <v>0</v>
      </c>
      <c r="CE48" s="206">
        <f>Sheet1!FN52</f>
        <v>0</v>
      </c>
      <c r="CF48" s="206">
        <f t="shared" si="26"/>
        <v>0</v>
      </c>
      <c r="CG48" s="206">
        <f t="shared" si="27"/>
        <v>0</v>
      </c>
      <c r="CH48" s="206">
        <f t="shared" si="28"/>
        <v>0</v>
      </c>
      <c r="CI48" s="206">
        <f t="shared" si="29"/>
        <v>0</v>
      </c>
      <c r="CJ48" s="206">
        <f t="shared" si="30"/>
        <v>0</v>
      </c>
      <c r="CK48" s="206">
        <f t="shared" si="31"/>
        <v>0</v>
      </c>
      <c r="CL48" s="206">
        <f t="shared" si="32"/>
        <v>0</v>
      </c>
      <c r="CM48" s="206">
        <f t="shared" si="33"/>
        <v>0</v>
      </c>
      <c r="CN48" s="206">
        <f t="shared" si="34"/>
        <v>0</v>
      </c>
      <c r="CO48" s="206">
        <f t="shared" si="35"/>
        <v>0</v>
      </c>
      <c r="CP48" s="206">
        <f t="shared" si="36"/>
        <v>0</v>
      </c>
    </row>
    <row r="49" spans="45:94">
      <c r="AS49" s="206">
        <f>Sheet1!EI53</f>
        <v>0</v>
      </c>
      <c r="AT49" s="206">
        <f>Sheet1!EJ53</f>
        <v>0</v>
      </c>
      <c r="AU49" s="206">
        <f>Sheet1!EK53</f>
        <v>0</v>
      </c>
      <c r="AV49" s="206">
        <f>Sheet1!EL53</f>
        <v>0</v>
      </c>
      <c r="AW49" s="206">
        <f t="shared" si="19"/>
        <v>0</v>
      </c>
      <c r="AX49" s="206">
        <f>Sheet1!EM53</f>
        <v>0</v>
      </c>
      <c r="AY49" s="206">
        <f>Sheet1!EN53</f>
        <v>0</v>
      </c>
      <c r="AZ49" s="206">
        <f>Sheet1!EO53</f>
        <v>0</v>
      </c>
      <c r="BA49" s="206">
        <f>Sheet1!EP53</f>
        <v>0</v>
      </c>
      <c r="BB49" s="206">
        <f t="shared" si="20"/>
        <v>0</v>
      </c>
      <c r="BC49" s="206">
        <f>Sheet1!EQ53</f>
        <v>0</v>
      </c>
      <c r="BD49" s="206">
        <f>Sheet1!ER53</f>
        <v>0</v>
      </c>
      <c r="BE49" s="206">
        <f>Sheet1!ES53</f>
        <v>0</v>
      </c>
      <c r="BF49" s="206">
        <f>Sheet1!ET53</f>
        <v>0</v>
      </c>
      <c r="BG49" s="206">
        <f t="shared" si="21"/>
        <v>0</v>
      </c>
      <c r="BH49" s="206">
        <f>Sheet1!EU53</f>
        <v>0</v>
      </c>
      <c r="BI49" s="206">
        <f>Sheet1!EV53</f>
        <v>0</v>
      </c>
      <c r="BJ49" s="206">
        <f>Sheet1!EW53</f>
        <v>0</v>
      </c>
      <c r="BK49" s="206">
        <f>Sheet1!EX53</f>
        <v>0</v>
      </c>
      <c r="BL49" s="206">
        <f t="shared" si="22"/>
        <v>0</v>
      </c>
      <c r="BM49" s="206">
        <f>Sheet1!EY53</f>
        <v>0</v>
      </c>
      <c r="BN49" s="206">
        <f>Sheet1!EZ53</f>
        <v>0</v>
      </c>
      <c r="BO49" s="206">
        <f>Sheet1!FA53</f>
        <v>0</v>
      </c>
      <c r="BP49" s="206">
        <f>Sheet1!FB53</f>
        <v>0</v>
      </c>
      <c r="BQ49" s="206">
        <f t="shared" si="23"/>
        <v>0</v>
      </c>
      <c r="BR49" s="206">
        <f>Sheet1!FC53</f>
        <v>0</v>
      </c>
      <c r="BS49" s="206">
        <f>Sheet1!FD53</f>
        <v>0</v>
      </c>
      <c r="BT49" s="206">
        <f>Sheet1!FE53</f>
        <v>0</v>
      </c>
      <c r="BU49" s="206">
        <f>Sheet1!FF53</f>
        <v>0</v>
      </c>
      <c r="BV49" s="206">
        <f t="shared" si="24"/>
        <v>0</v>
      </c>
      <c r="BW49" s="206">
        <f>Sheet1!FG53</f>
        <v>0</v>
      </c>
      <c r="BX49" s="206">
        <f>Sheet1!FH53</f>
        <v>0</v>
      </c>
      <c r="BY49" s="206">
        <f>Sheet1!FI53</f>
        <v>0</v>
      </c>
      <c r="BZ49" s="206">
        <f>Sheet1!FJ53</f>
        <v>0</v>
      </c>
      <c r="CA49" s="206">
        <f t="shared" si="25"/>
        <v>0</v>
      </c>
      <c r="CB49" s="206">
        <f>Sheet1!FK53</f>
        <v>0</v>
      </c>
      <c r="CC49" s="206">
        <f>Sheet1!FL53</f>
        <v>0</v>
      </c>
      <c r="CD49" s="206">
        <f>Sheet1!FM53</f>
        <v>0</v>
      </c>
      <c r="CE49" s="206">
        <f>Sheet1!FN53</f>
        <v>0</v>
      </c>
      <c r="CF49" s="206">
        <f t="shared" si="26"/>
        <v>0</v>
      </c>
      <c r="CG49" s="206">
        <f t="shared" si="27"/>
        <v>0</v>
      </c>
      <c r="CH49" s="206">
        <f t="shared" si="28"/>
        <v>0</v>
      </c>
      <c r="CI49" s="206">
        <f t="shared" si="29"/>
        <v>0</v>
      </c>
      <c r="CJ49" s="206">
        <f t="shared" si="30"/>
        <v>0</v>
      </c>
      <c r="CK49" s="206">
        <f t="shared" si="31"/>
        <v>0</v>
      </c>
      <c r="CL49" s="206">
        <f t="shared" si="32"/>
        <v>0</v>
      </c>
      <c r="CM49" s="206">
        <f t="shared" si="33"/>
        <v>0</v>
      </c>
      <c r="CN49" s="206">
        <f t="shared" si="34"/>
        <v>0</v>
      </c>
      <c r="CO49" s="206">
        <f t="shared" si="35"/>
        <v>0</v>
      </c>
      <c r="CP49" s="206">
        <f t="shared" si="36"/>
        <v>0</v>
      </c>
    </row>
    <row r="50" spans="45:94">
      <c r="AS50" s="206">
        <f>Sheet1!EI54</f>
        <v>0</v>
      </c>
      <c r="AT50" s="206">
        <f>Sheet1!EJ54</f>
        <v>0</v>
      </c>
      <c r="AU50" s="206">
        <f>Sheet1!EK54</f>
        <v>0</v>
      </c>
      <c r="AV50" s="206">
        <f>Sheet1!EL54</f>
        <v>0</v>
      </c>
      <c r="AW50" s="206">
        <f t="shared" si="19"/>
        <v>0</v>
      </c>
      <c r="AX50" s="206">
        <f>Sheet1!EM54</f>
        <v>0</v>
      </c>
      <c r="AY50" s="206">
        <f>Sheet1!EN54</f>
        <v>0</v>
      </c>
      <c r="AZ50" s="206">
        <f>Sheet1!EO54</f>
        <v>0</v>
      </c>
      <c r="BA50" s="206">
        <f>Sheet1!EP54</f>
        <v>0</v>
      </c>
      <c r="BB50" s="206">
        <f t="shared" si="20"/>
        <v>0</v>
      </c>
      <c r="BC50" s="206">
        <f>Sheet1!EQ54</f>
        <v>0</v>
      </c>
      <c r="BD50" s="206">
        <f>Sheet1!ER54</f>
        <v>0</v>
      </c>
      <c r="BE50" s="206">
        <f>Sheet1!ES54</f>
        <v>0</v>
      </c>
      <c r="BF50" s="206">
        <f>Sheet1!ET54</f>
        <v>0</v>
      </c>
      <c r="BG50" s="206">
        <f t="shared" si="21"/>
        <v>0</v>
      </c>
      <c r="BH50" s="206">
        <f>Sheet1!EU54</f>
        <v>0</v>
      </c>
      <c r="BI50" s="206">
        <f>Sheet1!EV54</f>
        <v>0</v>
      </c>
      <c r="BJ50" s="206">
        <f>Sheet1!EW54</f>
        <v>0</v>
      </c>
      <c r="BK50" s="206">
        <f>Sheet1!EX54</f>
        <v>0</v>
      </c>
      <c r="BL50" s="206">
        <f t="shared" si="22"/>
        <v>0</v>
      </c>
      <c r="BM50" s="206">
        <f>Sheet1!EY54</f>
        <v>0</v>
      </c>
      <c r="BN50" s="206">
        <f>Sheet1!EZ54</f>
        <v>0</v>
      </c>
      <c r="BO50" s="206">
        <f>Sheet1!FA54</f>
        <v>0</v>
      </c>
      <c r="BP50" s="206">
        <f>Sheet1!FB54</f>
        <v>0</v>
      </c>
      <c r="BQ50" s="206">
        <f t="shared" si="23"/>
        <v>0</v>
      </c>
      <c r="BR50" s="206">
        <f>Sheet1!FC54</f>
        <v>0</v>
      </c>
      <c r="BS50" s="206">
        <f>Sheet1!FD54</f>
        <v>0</v>
      </c>
      <c r="BT50" s="206">
        <f>Sheet1!FE54</f>
        <v>0</v>
      </c>
      <c r="BU50" s="206">
        <f>Sheet1!FF54</f>
        <v>0</v>
      </c>
      <c r="BV50" s="206">
        <f t="shared" si="24"/>
        <v>0</v>
      </c>
      <c r="BW50" s="206">
        <f>Sheet1!FG54</f>
        <v>0</v>
      </c>
      <c r="BX50" s="206">
        <f>Sheet1!FH54</f>
        <v>0</v>
      </c>
      <c r="BY50" s="206">
        <f>Sheet1!FI54</f>
        <v>0</v>
      </c>
      <c r="BZ50" s="206">
        <f>Sheet1!FJ54</f>
        <v>0</v>
      </c>
      <c r="CA50" s="206">
        <f t="shared" si="25"/>
        <v>0</v>
      </c>
      <c r="CB50" s="206">
        <f>Sheet1!FK54</f>
        <v>0</v>
      </c>
      <c r="CC50" s="206">
        <f>Sheet1!FL54</f>
        <v>0</v>
      </c>
      <c r="CD50" s="206">
        <f>Sheet1!FM54</f>
        <v>0</v>
      </c>
      <c r="CE50" s="206">
        <f>Sheet1!FN54</f>
        <v>0</v>
      </c>
      <c r="CF50" s="206">
        <f t="shared" si="26"/>
        <v>0</v>
      </c>
      <c r="CG50" s="206">
        <f t="shared" si="27"/>
        <v>0</v>
      </c>
      <c r="CH50" s="206">
        <f t="shared" si="28"/>
        <v>0</v>
      </c>
      <c r="CI50" s="206">
        <f t="shared" si="29"/>
        <v>0</v>
      </c>
      <c r="CJ50" s="206">
        <f t="shared" si="30"/>
        <v>0</v>
      </c>
      <c r="CK50" s="206">
        <f t="shared" si="31"/>
        <v>0</v>
      </c>
      <c r="CL50" s="206">
        <f t="shared" si="32"/>
        <v>0</v>
      </c>
      <c r="CM50" s="206">
        <f t="shared" si="33"/>
        <v>0</v>
      </c>
      <c r="CN50" s="206">
        <f t="shared" si="34"/>
        <v>0</v>
      </c>
      <c r="CO50" s="206">
        <f t="shared" si="35"/>
        <v>0</v>
      </c>
      <c r="CP50" s="206">
        <f t="shared" si="36"/>
        <v>0</v>
      </c>
    </row>
    <row r="51" spans="45:94">
      <c r="AS51" s="206">
        <f>Sheet1!EI55</f>
        <v>0</v>
      </c>
      <c r="AT51" s="206">
        <f>Sheet1!EJ55</f>
        <v>0</v>
      </c>
      <c r="AU51" s="206">
        <f>Sheet1!EK55</f>
        <v>0</v>
      </c>
      <c r="AV51" s="206">
        <f>Sheet1!EL55</f>
        <v>0</v>
      </c>
      <c r="AW51" s="206">
        <f t="shared" si="19"/>
        <v>0</v>
      </c>
      <c r="AX51" s="206">
        <f>Sheet1!EM55</f>
        <v>0</v>
      </c>
      <c r="AY51" s="206">
        <f>Sheet1!EN55</f>
        <v>0</v>
      </c>
      <c r="AZ51" s="206">
        <f>Sheet1!EO55</f>
        <v>0</v>
      </c>
      <c r="BA51" s="206">
        <f>Sheet1!EP55</f>
        <v>0</v>
      </c>
      <c r="BB51" s="206">
        <f t="shared" si="20"/>
        <v>0</v>
      </c>
      <c r="BC51" s="206">
        <f>Sheet1!EQ55</f>
        <v>0</v>
      </c>
      <c r="BD51" s="206">
        <f>Sheet1!ER55</f>
        <v>0</v>
      </c>
      <c r="BE51" s="206">
        <f>Sheet1!ES55</f>
        <v>0</v>
      </c>
      <c r="BF51" s="206">
        <f>Sheet1!ET55</f>
        <v>0</v>
      </c>
      <c r="BG51" s="206">
        <f t="shared" si="21"/>
        <v>0</v>
      </c>
      <c r="BH51" s="206">
        <f>Sheet1!EU55</f>
        <v>0</v>
      </c>
      <c r="BI51" s="206">
        <f>Sheet1!EV55</f>
        <v>0</v>
      </c>
      <c r="BJ51" s="206">
        <f>Sheet1!EW55</f>
        <v>0</v>
      </c>
      <c r="BK51" s="206">
        <f>Sheet1!EX55</f>
        <v>0</v>
      </c>
      <c r="BL51" s="206">
        <f t="shared" si="22"/>
        <v>0</v>
      </c>
      <c r="BM51" s="206">
        <f>Sheet1!EY55</f>
        <v>0</v>
      </c>
      <c r="BN51" s="206">
        <f>Sheet1!EZ55</f>
        <v>0</v>
      </c>
      <c r="BO51" s="206">
        <f>Sheet1!FA55</f>
        <v>0</v>
      </c>
      <c r="BP51" s="206">
        <f>Sheet1!FB55</f>
        <v>0</v>
      </c>
      <c r="BQ51" s="206">
        <f t="shared" si="23"/>
        <v>0</v>
      </c>
      <c r="BR51" s="206">
        <f>Sheet1!FC55</f>
        <v>0</v>
      </c>
      <c r="BS51" s="206">
        <f>Sheet1!FD55</f>
        <v>0</v>
      </c>
      <c r="BT51" s="206">
        <f>Sheet1!FE55</f>
        <v>0</v>
      </c>
      <c r="BU51" s="206">
        <f>Sheet1!FF55</f>
        <v>0</v>
      </c>
      <c r="BV51" s="206">
        <f t="shared" si="24"/>
        <v>0</v>
      </c>
      <c r="BW51" s="206">
        <f>Sheet1!FG55</f>
        <v>0</v>
      </c>
      <c r="BX51" s="206">
        <f>Sheet1!FH55</f>
        <v>0</v>
      </c>
      <c r="BY51" s="206">
        <f>Sheet1!FI55</f>
        <v>0</v>
      </c>
      <c r="BZ51" s="206">
        <f>Sheet1!FJ55</f>
        <v>0</v>
      </c>
      <c r="CA51" s="206">
        <f t="shared" si="25"/>
        <v>0</v>
      </c>
      <c r="CB51" s="206">
        <f>Sheet1!FK55</f>
        <v>0</v>
      </c>
      <c r="CC51" s="206">
        <f>Sheet1!FL55</f>
        <v>0</v>
      </c>
      <c r="CD51" s="206">
        <f>Sheet1!FM55</f>
        <v>0</v>
      </c>
      <c r="CE51" s="206">
        <f>Sheet1!FN55</f>
        <v>0</v>
      </c>
      <c r="CF51" s="206">
        <f t="shared" si="26"/>
        <v>0</v>
      </c>
      <c r="CG51" s="206">
        <f t="shared" si="27"/>
        <v>0</v>
      </c>
      <c r="CH51" s="206">
        <f t="shared" si="28"/>
        <v>0</v>
      </c>
      <c r="CI51" s="206">
        <f t="shared" si="29"/>
        <v>0</v>
      </c>
      <c r="CJ51" s="206">
        <f t="shared" si="30"/>
        <v>0</v>
      </c>
      <c r="CK51" s="206">
        <f t="shared" si="31"/>
        <v>0</v>
      </c>
      <c r="CL51" s="206">
        <f t="shared" si="32"/>
        <v>0</v>
      </c>
      <c r="CM51" s="206">
        <f t="shared" si="33"/>
        <v>0</v>
      </c>
      <c r="CN51" s="206">
        <f t="shared" si="34"/>
        <v>0</v>
      </c>
      <c r="CO51" s="206">
        <f t="shared" si="35"/>
        <v>0</v>
      </c>
      <c r="CP51" s="206">
        <f t="shared" si="36"/>
        <v>0</v>
      </c>
    </row>
    <row r="52" spans="45:94">
      <c r="AS52" s="206">
        <f>Sheet1!EI56</f>
        <v>0</v>
      </c>
      <c r="AT52" s="206">
        <f>Sheet1!EJ56</f>
        <v>0</v>
      </c>
      <c r="AU52" s="206">
        <f>Sheet1!EK56</f>
        <v>0</v>
      </c>
      <c r="AV52" s="206">
        <f>Sheet1!EL56</f>
        <v>0</v>
      </c>
      <c r="AW52" s="206">
        <f t="shared" si="19"/>
        <v>0</v>
      </c>
      <c r="AX52" s="206">
        <f>Sheet1!EM56</f>
        <v>0</v>
      </c>
      <c r="AY52" s="206">
        <f>Sheet1!EN56</f>
        <v>0</v>
      </c>
      <c r="AZ52" s="206">
        <f>Sheet1!EO56</f>
        <v>0</v>
      </c>
      <c r="BA52" s="206">
        <f>Sheet1!EP56</f>
        <v>0</v>
      </c>
      <c r="BB52" s="206">
        <f t="shared" si="20"/>
        <v>0</v>
      </c>
      <c r="BC52" s="206">
        <f>Sheet1!EQ56</f>
        <v>0</v>
      </c>
      <c r="BD52" s="206">
        <f>Sheet1!ER56</f>
        <v>0</v>
      </c>
      <c r="BE52" s="206">
        <f>Sheet1!ES56</f>
        <v>0</v>
      </c>
      <c r="BF52" s="206">
        <f>Sheet1!ET56</f>
        <v>0</v>
      </c>
      <c r="BG52" s="206">
        <f t="shared" si="21"/>
        <v>0</v>
      </c>
      <c r="BH52" s="206">
        <f>Sheet1!EU56</f>
        <v>0</v>
      </c>
      <c r="BI52" s="206">
        <f>Sheet1!EV56</f>
        <v>0</v>
      </c>
      <c r="BJ52" s="206">
        <f>Sheet1!EW56</f>
        <v>0</v>
      </c>
      <c r="BK52" s="206">
        <f>Sheet1!EX56</f>
        <v>0</v>
      </c>
      <c r="BL52" s="206">
        <f t="shared" si="22"/>
        <v>0</v>
      </c>
      <c r="BM52" s="206">
        <f>Sheet1!EY56</f>
        <v>0</v>
      </c>
      <c r="BN52" s="206">
        <f>Sheet1!EZ56</f>
        <v>0</v>
      </c>
      <c r="BO52" s="206">
        <f>Sheet1!FA56</f>
        <v>0</v>
      </c>
      <c r="BP52" s="206">
        <f>Sheet1!FB56</f>
        <v>0</v>
      </c>
      <c r="BQ52" s="206">
        <f t="shared" si="23"/>
        <v>0</v>
      </c>
      <c r="BR52" s="206">
        <f>Sheet1!FC56</f>
        <v>0</v>
      </c>
      <c r="BS52" s="206">
        <f>Sheet1!FD56</f>
        <v>0</v>
      </c>
      <c r="BT52" s="206">
        <f>Sheet1!FE56</f>
        <v>0</v>
      </c>
      <c r="BU52" s="206">
        <f>Sheet1!FF56</f>
        <v>0</v>
      </c>
      <c r="BV52" s="206">
        <f t="shared" si="24"/>
        <v>0</v>
      </c>
      <c r="BW52" s="206">
        <f>Sheet1!FG56</f>
        <v>0</v>
      </c>
      <c r="BX52" s="206">
        <f>Sheet1!FH56</f>
        <v>0</v>
      </c>
      <c r="BY52" s="206">
        <f>Sheet1!FI56</f>
        <v>0</v>
      </c>
      <c r="BZ52" s="206">
        <f>Sheet1!FJ56</f>
        <v>0</v>
      </c>
      <c r="CA52" s="206">
        <f t="shared" si="25"/>
        <v>0</v>
      </c>
      <c r="CB52" s="206">
        <f>Sheet1!FK56</f>
        <v>0</v>
      </c>
      <c r="CC52" s="206">
        <f>Sheet1!FL56</f>
        <v>0</v>
      </c>
      <c r="CD52" s="206">
        <f>Sheet1!FM56</f>
        <v>0</v>
      </c>
      <c r="CE52" s="206">
        <f>Sheet1!FN56</f>
        <v>0</v>
      </c>
      <c r="CF52" s="206">
        <f t="shared" si="26"/>
        <v>0</v>
      </c>
      <c r="CG52" s="206">
        <f t="shared" si="27"/>
        <v>0</v>
      </c>
      <c r="CH52" s="206">
        <f t="shared" si="28"/>
        <v>0</v>
      </c>
      <c r="CI52" s="206">
        <f t="shared" si="29"/>
        <v>0</v>
      </c>
      <c r="CJ52" s="206">
        <f t="shared" si="30"/>
        <v>0</v>
      </c>
      <c r="CK52" s="206">
        <f t="shared" si="31"/>
        <v>0</v>
      </c>
      <c r="CL52" s="206">
        <f t="shared" si="32"/>
        <v>0</v>
      </c>
      <c r="CM52" s="206">
        <f t="shared" si="33"/>
        <v>0</v>
      </c>
      <c r="CN52" s="206">
        <f t="shared" si="34"/>
        <v>0</v>
      </c>
      <c r="CO52" s="206">
        <f t="shared" si="35"/>
        <v>0</v>
      </c>
      <c r="CP52" s="206">
        <f t="shared" si="36"/>
        <v>0</v>
      </c>
    </row>
    <row r="53" spans="45:94">
      <c r="AS53" s="206">
        <f>Sheet1!EI57</f>
        <v>0</v>
      </c>
      <c r="AT53" s="206">
        <f>Sheet1!EJ57</f>
        <v>0</v>
      </c>
      <c r="AU53" s="206">
        <f>Sheet1!EK57</f>
        <v>0</v>
      </c>
      <c r="AV53" s="206">
        <f>Sheet1!EL57</f>
        <v>0</v>
      </c>
      <c r="AW53" s="206">
        <f t="shared" si="19"/>
        <v>0</v>
      </c>
      <c r="AX53" s="206">
        <f>Sheet1!EM57</f>
        <v>0</v>
      </c>
      <c r="AY53" s="206">
        <f>Sheet1!EN57</f>
        <v>0</v>
      </c>
      <c r="AZ53" s="206">
        <f>Sheet1!EO57</f>
        <v>0</v>
      </c>
      <c r="BA53" s="206">
        <f>Sheet1!EP57</f>
        <v>0</v>
      </c>
      <c r="BB53" s="206">
        <f t="shared" si="20"/>
        <v>0</v>
      </c>
      <c r="BC53" s="206">
        <f>Sheet1!EQ57</f>
        <v>0</v>
      </c>
      <c r="BD53" s="206">
        <f>Sheet1!ER57</f>
        <v>0</v>
      </c>
      <c r="BE53" s="206">
        <f>Sheet1!ES57</f>
        <v>0</v>
      </c>
      <c r="BF53" s="206">
        <f>Sheet1!ET57</f>
        <v>0</v>
      </c>
      <c r="BG53" s="206">
        <f t="shared" si="21"/>
        <v>0</v>
      </c>
      <c r="BH53" s="206">
        <f>Sheet1!EU57</f>
        <v>0</v>
      </c>
      <c r="BI53" s="206">
        <f>Sheet1!EV57</f>
        <v>0</v>
      </c>
      <c r="BJ53" s="206">
        <f>Sheet1!EW57</f>
        <v>0</v>
      </c>
      <c r="BK53" s="206">
        <f>Sheet1!EX57</f>
        <v>0</v>
      </c>
      <c r="BL53" s="206">
        <f t="shared" si="22"/>
        <v>0</v>
      </c>
      <c r="BM53" s="206">
        <f>Sheet1!EY57</f>
        <v>0</v>
      </c>
      <c r="BN53" s="206">
        <f>Sheet1!EZ57</f>
        <v>0</v>
      </c>
      <c r="BO53" s="206">
        <f>Sheet1!FA57</f>
        <v>0</v>
      </c>
      <c r="BP53" s="206">
        <f>Sheet1!FB57</f>
        <v>0</v>
      </c>
      <c r="BQ53" s="206">
        <f t="shared" si="23"/>
        <v>0</v>
      </c>
      <c r="BR53" s="206">
        <f>Sheet1!FC57</f>
        <v>0</v>
      </c>
      <c r="BS53" s="206">
        <f>Sheet1!FD57</f>
        <v>0</v>
      </c>
      <c r="BT53" s="206">
        <f>Sheet1!FE57</f>
        <v>0</v>
      </c>
      <c r="BU53" s="206">
        <f>Sheet1!FF57</f>
        <v>0</v>
      </c>
      <c r="BV53" s="206">
        <f t="shared" si="24"/>
        <v>0</v>
      </c>
      <c r="BW53" s="206">
        <f>Sheet1!FG57</f>
        <v>0</v>
      </c>
      <c r="BX53" s="206">
        <f>Sheet1!FH57</f>
        <v>0</v>
      </c>
      <c r="BY53" s="206">
        <f>Sheet1!FI57</f>
        <v>0</v>
      </c>
      <c r="BZ53" s="206">
        <f>Sheet1!FJ57</f>
        <v>0</v>
      </c>
      <c r="CA53" s="206">
        <f t="shared" si="25"/>
        <v>0</v>
      </c>
      <c r="CB53" s="206">
        <f>Sheet1!FK57</f>
        <v>0</v>
      </c>
      <c r="CC53" s="206">
        <f>Sheet1!FL57</f>
        <v>0</v>
      </c>
      <c r="CD53" s="206">
        <f>Sheet1!FM57</f>
        <v>0</v>
      </c>
      <c r="CE53" s="206">
        <f>Sheet1!FN57</f>
        <v>0</v>
      </c>
      <c r="CF53" s="206">
        <f t="shared" si="26"/>
        <v>0</v>
      </c>
      <c r="CG53" s="206">
        <f t="shared" si="27"/>
        <v>0</v>
      </c>
      <c r="CH53" s="206">
        <f t="shared" si="28"/>
        <v>0</v>
      </c>
      <c r="CI53" s="206">
        <f t="shared" si="29"/>
        <v>0</v>
      </c>
      <c r="CJ53" s="206">
        <f t="shared" si="30"/>
        <v>0</v>
      </c>
      <c r="CK53" s="206">
        <f t="shared" si="31"/>
        <v>0</v>
      </c>
      <c r="CL53" s="206">
        <f t="shared" si="32"/>
        <v>0</v>
      </c>
      <c r="CM53" s="206">
        <f t="shared" si="33"/>
        <v>0</v>
      </c>
      <c r="CN53" s="206">
        <f t="shared" si="34"/>
        <v>0</v>
      </c>
      <c r="CO53" s="206">
        <f t="shared" si="35"/>
        <v>0</v>
      </c>
      <c r="CP53" s="206">
        <f t="shared" si="36"/>
        <v>0</v>
      </c>
    </row>
    <row r="54" spans="45:94">
      <c r="AS54" s="206">
        <f>Sheet1!EI58</f>
        <v>0</v>
      </c>
      <c r="AT54" s="206">
        <f>Sheet1!EJ58</f>
        <v>0</v>
      </c>
      <c r="AU54" s="206">
        <f>Sheet1!EK58</f>
        <v>0</v>
      </c>
      <c r="AV54" s="206">
        <f>Sheet1!EL58</f>
        <v>0</v>
      </c>
      <c r="AW54" s="206">
        <f t="shared" si="19"/>
        <v>0</v>
      </c>
      <c r="AX54" s="206">
        <f>Sheet1!EM58</f>
        <v>0</v>
      </c>
      <c r="AY54" s="206">
        <f>Sheet1!EN58</f>
        <v>0</v>
      </c>
      <c r="AZ54" s="206">
        <f>Sheet1!EO58</f>
        <v>0</v>
      </c>
      <c r="BA54" s="206">
        <f>Sheet1!EP58</f>
        <v>0</v>
      </c>
      <c r="BB54" s="206">
        <f t="shared" si="20"/>
        <v>0</v>
      </c>
      <c r="BC54" s="206">
        <f>Sheet1!EQ58</f>
        <v>0</v>
      </c>
      <c r="BD54" s="206">
        <f>Sheet1!ER58</f>
        <v>0</v>
      </c>
      <c r="BE54" s="206">
        <f>Sheet1!ES58</f>
        <v>0</v>
      </c>
      <c r="BF54" s="206">
        <f>Sheet1!ET58</f>
        <v>0</v>
      </c>
      <c r="BG54" s="206">
        <f t="shared" si="21"/>
        <v>0</v>
      </c>
      <c r="BH54" s="206">
        <f>Sheet1!EU58</f>
        <v>0</v>
      </c>
      <c r="BI54" s="206">
        <f>Sheet1!EV58</f>
        <v>0</v>
      </c>
      <c r="BJ54" s="206">
        <f>Sheet1!EW58</f>
        <v>0</v>
      </c>
      <c r="BK54" s="206">
        <f>Sheet1!EX58</f>
        <v>0</v>
      </c>
      <c r="BL54" s="206">
        <f t="shared" si="22"/>
        <v>0</v>
      </c>
      <c r="BM54" s="206">
        <f>Sheet1!EY58</f>
        <v>0</v>
      </c>
      <c r="BN54" s="206">
        <f>Sheet1!EZ58</f>
        <v>0</v>
      </c>
      <c r="BO54" s="206">
        <f>Sheet1!FA58</f>
        <v>0</v>
      </c>
      <c r="BP54" s="206">
        <f>Sheet1!FB58</f>
        <v>0</v>
      </c>
      <c r="BQ54" s="206">
        <f t="shared" si="23"/>
        <v>0</v>
      </c>
      <c r="BR54" s="206">
        <f>Sheet1!FC58</f>
        <v>0</v>
      </c>
      <c r="BS54" s="206">
        <f>Sheet1!FD58</f>
        <v>0</v>
      </c>
      <c r="BT54" s="206">
        <f>Sheet1!FE58</f>
        <v>0</v>
      </c>
      <c r="BU54" s="206">
        <f>Sheet1!FF58</f>
        <v>0</v>
      </c>
      <c r="BV54" s="206">
        <f t="shared" si="24"/>
        <v>0</v>
      </c>
      <c r="BW54" s="206">
        <f>Sheet1!FG58</f>
        <v>0</v>
      </c>
      <c r="BX54" s="206">
        <f>Sheet1!FH58</f>
        <v>0</v>
      </c>
      <c r="BY54" s="206">
        <f>Sheet1!FI58</f>
        <v>0</v>
      </c>
      <c r="BZ54" s="206">
        <f>Sheet1!FJ58</f>
        <v>0</v>
      </c>
      <c r="CA54" s="206">
        <f t="shared" si="25"/>
        <v>0</v>
      </c>
      <c r="CB54" s="206">
        <f>Sheet1!FK58</f>
        <v>0</v>
      </c>
      <c r="CC54" s="206">
        <f>Sheet1!FL58</f>
        <v>0</v>
      </c>
      <c r="CD54" s="206">
        <f>Sheet1!FM58</f>
        <v>0</v>
      </c>
      <c r="CE54" s="206">
        <f>Sheet1!FN58</f>
        <v>0</v>
      </c>
      <c r="CF54" s="206">
        <f t="shared" si="26"/>
        <v>0</v>
      </c>
      <c r="CG54" s="206">
        <f t="shared" si="27"/>
        <v>0</v>
      </c>
      <c r="CH54" s="206">
        <f t="shared" si="28"/>
        <v>0</v>
      </c>
      <c r="CI54" s="206">
        <f t="shared" si="29"/>
        <v>0</v>
      </c>
      <c r="CJ54" s="206">
        <f t="shared" si="30"/>
        <v>0</v>
      </c>
      <c r="CK54" s="206">
        <f t="shared" si="31"/>
        <v>0</v>
      </c>
      <c r="CL54" s="206">
        <f t="shared" si="32"/>
        <v>0</v>
      </c>
      <c r="CM54" s="206">
        <f t="shared" si="33"/>
        <v>0</v>
      </c>
      <c r="CN54" s="206">
        <f t="shared" si="34"/>
        <v>0</v>
      </c>
      <c r="CO54" s="206">
        <f t="shared" si="35"/>
        <v>0</v>
      </c>
      <c r="CP54" s="206">
        <f t="shared" si="36"/>
        <v>0</v>
      </c>
    </row>
    <row r="55" spans="45:94">
      <c r="AS55" s="206">
        <f>Sheet1!EI59</f>
        <v>0</v>
      </c>
      <c r="AT55" s="206">
        <f>Sheet1!EJ59</f>
        <v>0</v>
      </c>
      <c r="AU55" s="206">
        <f>Sheet1!EK59</f>
        <v>0</v>
      </c>
      <c r="AV55" s="206">
        <f>Sheet1!EL59</f>
        <v>0</v>
      </c>
      <c r="AW55" s="206">
        <f t="shared" si="19"/>
        <v>0</v>
      </c>
      <c r="AX55" s="206">
        <f>Sheet1!EM59</f>
        <v>0</v>
      </c>
      <c r="AY55" s="206">
        <f>Sheet1!EN59</f>
        <v>0</v>
      </c>
      <c r="AZ55" s="206">
        <f>Sheet1!EO59</f>
        <v>0</v>
      </c>
      <c r="BA55" s="206">
        <f>Sheet1!EP59</f>
        <v>0</v>
      </c>
      <c r="BB55" s="206">
        <f t="shared" si="20"/>
        <v>0</v>
      </c>
      <c r="BC55" s="206">
        <f>Sheet1!EQ59</f>
        <v>0</v>
      </c>
      <c r="BD55" s="206">
        <f>Sheet1!ER59</f>
        <v>0</v>
      </c>
      <c r="BE55" s="206">
        <f>Sheet1!ES59</f>
        <v>0</v>
      </c>
      <c r="BF55" s="206">
        <f>Sheet1!ET59</f>
        <v>0</v>
      </c>
      <c r="BG55" s="206">
        <f t="shared" si="21"/>
        <v>0</v>
      </c>
      <c r="BH55" s="206">
        <f>Sheet1!EU59</f>
        <v>0</v>
      </c>
      <c r="BI55" s="206">
        <f>Sheet1!EV59</f>
        <v>0</v>
      </c>
      <c r="BJ55" s="206">
        <f>Sheet1!EW59</f>
        <v>0</v>
      </c>
      <c r="BK55" s="206">
        <f>Sheet1!EX59</f>
        <v>0</v>
      </c>
      <c r="BL55" s="206">
        <f t="shared" si="22"/>
        <v>0</v>
      </c>
      <c r="BM55" s="206">
        <f>Sheet1!EY59</f>
        <v>0</v>
      </c>
      <c r="BN55" s="206">
        <f>Sheet1!EZ59</f>
        <v>0</v>
      </c>
      <c r="BO55" s="206">
        <f>Sheet1!FA59</f>
        <v>0</v>
      </c>
      <c r="BP55" s="206">
        <f>Sheet1!FB59</f>
        <v>0</v>
      </c>
      <c r="BQ55" s="206">
        <f t="shared" si="23"/>
        <v>0</v>
      </c>
      <c r="BR55" s="206">
        <f>Sheet1!FC59</f>
        <v>0</v>
      </c>
      <c r="BS55" s="206">
        <f>Sheet1!FD59</f>
        <v>0</v>
      </c>
      <c r="BT55" s="206">
        <f>Sheet1!FE59</f>
        <v>0</v>
      </c>
      <c r="BU55" s="206">
        <f>Sheet1!FF59</f>
        <v>0</v>
      </c>
      <c r="BV55" s="206">
        <f t="shared" si="24"/>
        <v>0</v>
      </c>
      <c r="BW55" s="206">
        <f>Sheet1!FG59</f>
        <v>0</v>
      </c>
      <c r="BX55" s="206">
        <f>Sheet1!FH59</f>
        <v>0</v>
      </c>
      <c r="BY55" s="206">
        <f>Sheet1!FI59</f>
        <v>0</v>
      </c>
      <c r="BZ55" s="206">
        <f>Sheet1!FJ59</f>
        <v>0</v>
      </c>
      <c r="CA55" s="206">
        <f t="shared" si="25"/>
        <v>0</v>
      </c>
      <c r="CB55" s="206">
        <f>Sheet1!FK59</f>
        <v>0</v>
      </c>
      <c r="CC55" s="206">
        <f>Sheet1!FL59</f>
        <v>0</v>
      </c>
      <c r="CD55" s="206">
        <f>Sheet1!FM59</f>
        <v>0</v>
      </c>
      <c r="CE55" s="206">
        <f>Sheet1!FN59</f>
        <v>0</v>
      </c>
      <c r="CF55" s="206">
        <f t="shared" si="26"/>
        <v>0</v>
      </c>
      <c r="CG55" s="206">
        <f t="shared" si="27"/>
        <v>0</v>
      </c>
      <c r="CH55" s="206">
        <f t="shared" si="28"/>
        <v>0</v>
      </c>
      <c r="CI55" s="206">
        <f t="shared" si="29"/>
        <v>0</v>
      </c>
      <c r="CJ55" s="206">
        <f t="shared" si="30"/>
        <v>0</v>
      </c>
      <c r="CK55" s="206">
        <f t="shared" si="31"/>
        <v>0</v>
      </c>
      <c r="CL55" s="206">
        <f t="shared" si="32"/>
        <v>0</v>
      </c>
      <c r="CM55" s="206">
        <f t="shared" si="33"/>
        <v>0</v>
      </c>
      <c r="CN55" s="206">
        <f t="shared" si="34"/>
        <v>0</v>
      </c>
      <c r="CO55" s="206">
        <f t="shared" si="35"/>
        <v>0</v>
      </c>
      <c r="CP55" s="206">
        <f t="shared" si="36"/>
        <v>0</v>
      </c>
    </row>
    <row r="56" spans="45:94">
      <c r="AS56" s="206">
        <f>Sheet1!EI60</f>
        <v>0</v>
      </c>
      <c r="AT56" s="206">
        <f>Sheet1!EJ60</f>
        <v>0</v>
      </c>
      <c r="AU56" s="206">
        <f>Sheet1!EK60</f>
        <v>0</v>
      </c>
      <c r="AV56" s="206">
        <f>Sheet1!EL60</f>
        <v>0</v>
      </c>
      <c r="AW56" s="206">
        <f t="shared" si="19"/>
        <v>0</v>
      </c>
      <c r="AX56" s="206">
        <f>Sheet1!EM60</f>
        <v>0</v>
      </c>
      <c r="AY56" s="206">
        <f>Sheet1!EN60</f>
        <v>0</v>
      </c>
      <c r="AZ56" s="206">
        <f>Sheet1!EO60</f>
        <v>0</v>
      </c>
      <c r="BA56" s="206">
        <f>Sheet1!EP60</f>
        <v>0</v>
      </c>
      <c r="BB56" s="206">
        <f t="shared" si="20"/>
        <v>0</v>
      </c>
      <c r="BC56" s="206">
        <f>Sheet1!EQ60</f>
        <v>0</v>
      </c>
      <c r="BD56" s="206">
        <f>Sheet1!ER60</f>
        <v>0</v>
      </c>
      <c r="BE56" s="206">
        <f>Sheet1!ES60</f>
        <v>0</v>
      </c>
      <c r="BF56" s="206">
        <f>Sheet1!ET60</f>
        <v>0</v>
      </c>
      <c r="BG56" s="206">
        <f t="shared" si="21"/>
        <v>0</v>
      </c>
      <c r="BH56" s="206">
        <f>Sheet1!EU60</f>
        <v>0</v>
      </c>
      <c r="BI56" s="206">
        <f>Sheet1!EV60</f>
        <v>0</v>
      </c>
      <c r="BJ56" s="206">
        <f>Sheet1!EW60</f>
        <v>0</v>
      </c>
      <c r="BK56" s="206">
        <f>Sheet1!EX60</f>
        <v>0</v>
      </c>
      <c r="BL56" s="206">
        <f t="shared" si="22"/>
        <v>0</v>
      </c>
      <c r="BM56" s="206">
        <f>Sheet1!EY60</f>
        <v>0</v>
      </c>
      <c r="BN56" s="206">
        <f>Sheet1!EZ60</f>
        <v>0</v>
      </c>
      <c r="BO56" s="206">
        <f>Sheet1!FA60</f>
        <v>0</v>
      </c>
      <c r="BP56" s="206">
        <f>Sheet1!FB60</f>
        <v>0</v>
      </c>
      <c r="BQ56" s="206">
        <f t="shared" si="23"/>
        <v>0</v>
      </c>
      <c r="BR56" s="206">
        <f>Sheet1!FC60</f>
        <v>0</v>
      </c>
      <c r="BS56" s="206">
        <f>Sheet1!FD60</f>
        <v>0</v>
      </c>
      <c r="BT56" s="206">
        <f>Sheet1!FE60</f>
        <v>0</v>
      </c>
      <c r="BU56" s="206">
        <f>Sheet1!FF60</f>
        <v>0</v>
      </c>
      <c r="BV56" s="206">
        <f t="shared" si="24"/>
        <v>0</v>
      </c>
      <c r="BW56" s="206">
        <f>Sheet1!FG60</f>
        <v>0</v>
      </c>
      <c r="BX56" s="206">
        <f>Sheet1!FH60</f>
        <v>0</v>
      </c>
      <c r="BY56" s="206">
        <f>Sheet1!FI60</f>
        <v>0</v>
      </c>
      <c r="BZ56" s="206">
        <f>Sheet1!FJ60</f>
        <v>0</v>
      </c>
      <c r="CA56" s="206">
        <f t="shared" si="25"/>
        <v>0</v>
      </c>
      <c r="CB56" s="206">
        <f>Sheet1!FK60</f>
        <v>0</v>
      </c>
      <c r="CC56" s="206">
        <f>Sheet1!FL60</f>
        <v>0</v>
      </c>
      <c r="CD56" s="206">
        <f>Sheet1!FM60</f>
        <v>0</v>
      </c>
      <c r="CE56" s="206">
        <f>Sheet1!FN60</f>
        <v>0</v>
      </c>
      <c r="CF56" s="206">
        <f t="shared" si="26"/>
        <v>0</v>
      </c>
      <c r="CG56" s="206">
        <f t="shared" si="27"/>
        <v>0</v>
      </c>
      <c r="CH56" s="206">
        <f t="shared" si="28"/>
        <v>0</v>
      </c>
      <c r="CI56" s="206">
        <f t="shared" si="29"/>
        <v>0</v>
      </c>
      <c r="CJ56" s="206">
        <f t="shared" si="30"/>
        <v>0</v>
      </c>
      <c r="CK56" s="206">
        <f t="shared" si="31"/>
        <v>0</v>
      </c>
      <c r="CL56" s="206">
        <f t="shared" si="32"/>
        <v>0</v>
      </c>
      <c r="CM56" s="206">
        <f t="shared" si="33"/>
        <v>0</v>
      </c>
      <c r="CN56" s="206">
        <f t="shared" si="34"/>
        <v>0</v>
      </c>
      <c r="CO56" s="206">
        <f t="shared" si="35"/>
        <v>0</v>
      </c>
      <c r="CP56" s="206">
        <f t="shared" si="36"/>
        <v>0</v>
      </c>
    </row>
    <row r="57" spans="45:94">
      <c r="AS57" s="206">
        <f>Sheet1!EI61</f>
        <v>0</v>
      </c>
      <c r="AT57" s="206">
        <f>Sheet1!EJ61</f>
        <v>0</v>
      </c>
      <c r="AU57" s="206">
        <f>Sheet1!EK61</f>
        <v>0</v>
      </c>
      <c r="AV57" s="206">
        <f>Sheet1!EL61</f>
        <v>0</v>
      </c>
      <c r="AW57" s="206">
        <f t="shared" si="19"/>
        <v>0</v>
      </c>
      <c r="AX57" s="206">
        <f>Sheet1!EM61</f>
        <v>0</v>
      </c>
      <c r="AY57" s="206">
        <f>Sheet1!EN61</f>
        <v>0</v>
      </c>
      <c r="AZ57" s="206">
        <f>Sheet1!EO61</f>
        <v>0</v>
      </c>
      <c r="BA57" s="206">
        <f>Sheet1!EP61</f>
        <v>0</v>
      </c>
      <c r="BB57" s="206">
        <f t="shared" si="20"/>
        <v>0</v>
      </c>
      <c r="BC57" s="206">
        <f>Sheet1!EQ61</f>
        <v>0</v>
      </c>
      <c r="BD57" s="206">
        <f>Sheet1!ER61</f>
        <v>0</v>
      </c>
      <c r="BE57" s="206">
        <f>Sheet1!ES61</f>
        <v>0</v>
      </c>
      <c r="BF57" s="206">
        <f>Sheet1!ET61</f>
        <v>0</v>
      </c>
      <c r="BG57" s="206">
        <f t="shared" si="21"/>
        <v>0</v>
      </c>
      <c r="BH57" s="206">
        <f>Sheet1!EU61</f>
        <v>0</v>
      </c>
      <c r="BI57" s="206">
        <f>Sheet1!EV61</f>
        <v>0</v>
      </c>
      <c r="BJ57" s="206">
        <f>Sheet1!EW61</f>
        <v>0</v>
      </c>
      <c r="BK57" s="206">
        <f>Sheet1!EX61</f>
        <v>0</v>
      </c>
      <c r="BL57" s="206">
        <f t="shared" si="22"/>
        <v>0</v>
      </c>
      <c r="BM57" s="206">
        <f>Sheet1!EY61</f>
        <v>0</v>
      </c>
      <c r="BN57" s="206">
        <f>Sheet1!EZ61</f>
        <v>0</v>
      </c>
      <c r="BO57" s="206">
        <f>Sheet1!FA61</f>
        <v>0</v>
      </c>
      <c r="BP57" s="206">
        <f>Sheet1!FB61</f>
        <v>0</v>
      </c>
      <c r="BQ57" s="206">
        <f t="shared" si="23"/>
        <v>0</v>
      </c>
      <c r="BR57" s="206">
        <f>Sheet1!FC61</f>
        <v>0</v>
      </c>
      <c r="BS57" s="206">
        <f>Sheet1!FD61</f>
        <v>0</v>
      </c>
      <c r="BT57" s="206">
        <f>Sheet1!FE61</f>
        <v>0</v>
      </c>
      <c r="BU57" s="206">
        <f>Sheet1!FF61</f>
        <v>0</v>
      </c>
      <c r="BV57" s="206">
        <f t="shared" si="24"/>
        <v>0</v>
      </c>
      <c r="BW57" s="206">
        <f>Sheet1!FG61</f>
        <v>0</v>
      </c>
      <c r="BX57" s="206">
        <f>Sheet1!FH61</f>
        <v>0</v>
      </c>
      <c r="BY57" s="206">
        <f>Sheet1!FI61</f>
        <v>0</v>
      </c>
      <c r="BZ57" s="206">
        <f>Sheet1!FJ61</f>
        <v>0</v>
      </c>
      <c r="CA57" s="206">
        <f t="shared" si="25"/>
        <v>0</v>
      </c>
      <c r="CB57" s="206">
        <f>Sheet1!FK61</f>
        <v>0</v>
      </c>
      <c r="CC57" s="206">
        <f>Sheet1!FL61</f>
        <v>0</v>
      </c>
      <c r="CD57" s="206">
        <f>Sheet1!FM61</f>
        <v>0</v>
      </c>
      <c r="CE57" s="206">
        <f>Sheet1!FN61</f>
        <v>0</v>
      </c>
      <c r="CF57" s="206">
        <f t="shared" si="26"/>
        <v>0</v>
      </c>
      <c r="CG57" s="206">
        <f t="shared" si="27"/>
        <v>0</v>
      </c>
      <c r="CH57" s="206">
        <f t="shared" si="28"/>
        <v>0</v>
      </c>
      <c r="CI57" s="206">
        <f t="shared" si="29"/>
        <v>0</v>
      </c>
      <c r="CJ57" s="206">
        <f t="shared" si="30"/>
        <v>0</v>
      </c>
      <c r="CK57" s="206">
        <f t="shared" si="31"/>
        <v>0</v>
      </c>
      <c r="CL57" s="206">
        <f t="shared" si="32"/>
        <v>0</v>
      </c>
      <c r="CM57" s="206">
        <f t="shared" si="33"/>
        <v>0</v>
      </c>
      <c r="CN57" s="206">
        <f t="shared" si="34"/>
        <v>0</v>
      </c>
      <c r="CO57" s="206">
        <f t="shared" si="35"/>
        <v>0</v>
      </c>
      <c r="CP57" s="206">
        <f t="shared" si="36"/>
        <v>0</v>
      </c>
    </row>
    <row r="58" spans="45:94">
      <c r="AS58" s="206">
        <f>Sheet1!EI62</f>
        <v>0</v>
      </c>
      <c r="AT58" s="206">
        <f>Sheet1!EJ62</f>
        <v>0</v>
      </c>
      <c r="AU58" s="206">
        <f>Sheet1!EK62</f>
        <v>0</v>
      </c>
      <c r="AV58" s="206">
        <f>Sheet1!EL62</f>
        <v>0</v>
      </c>
      <c r="AW58" s="206">
        <f t="shared" si="19"/>
        <v>0</v>
      </c>
      <c r="AX58" s="206">
        <f>Sheet1!EM62</f>
        <v>0</v>
      </c>
      <c r="AY58" s="206">
        <f>Sheet1!EN62</f>
        <v>0</v>
      </c>
      <c r="AZ58" s="206">
        <f>Sheet1!EO62</f>
        <v>0</v>
      </c>
      <c r="BA58" s="206">
        <f>Sheet1!EP62</f>
        <v>0</v>
      </c>
      <c r="BB58" s="206">
        <f t="shared" si="20"/>
        <v>0</v>
      </c>
      <c r="BC58" s="206">
        <f>Sheet1!EQ62</f>
        <v>0</v>
      </c>
      <c r="BD58" s="206">
        <f>Sheet1!ER62</f>
        <v>0</v>
      </c>
      <c r="BE58" s="206">
        <f>Sheet1!ES62</f>
        <v>0</v>
      </c>
      <c r="BF58" s="206">
        <f>Sheet1!ET62</f>
        <v>0</v>
      </c>
      <c r="BG58" s="206">
        <f t="shared" si="21"/>
        <v>0</v>
      </c>
      <c r="BH58" s="206">
        <f>Sheet1!EU62</f>
        <v>0</v>
      </c>
      <c r="BI58" s="206">
        <f>Sheet1!EV62</f>
        <v>0</v>
      </c>
      <c r="BJ58" s="206">
        <f>Sheet1!EW62</f>
        <v>0</v>
      </c>
      <c r="BK58" s="206">
        <f>Sheet1!EX62</f>
        <v>0</v>
      </c>
      <c r="BL58" s="206">
        <f t="shared" si="22"/>
        <v>0</v>
      </c>
      <c r="BM58" s="206">
        <f>Sheet1!EY62</f>
        <v>0</v>
      </c>
      <c r="BN58" s="206">
        <f>Sheet1!EZ62</f>
        <v>0</v>
      </c>
      <c r="BO58" s="206">
        <f>Sheet1!FA62</f>
        <v>0</v>
      </c>
      <c r="BP58" s="206">
        <f>Sheet1!FB62</f>
        <v>0</v>
      </c>
      <c r="BQ58" s="206">
        <f t="shared" si="23"/>
        <v>0</v>
      </c>
      <c r="BR58" s="206">
        <f>Sheet1!FC62</f>
        <v>0</v>
      </c>
      <c r="BS58" s="206">
        <f>Sheet1!FD62</f>
        <v>0</v>
      </c>
      <c r="BT58" s="206">
        <f>Sheet1!FE62</f>
        <v>0</v>
      </c>
      <c r="BU58" s="206">
        <f>Sheet1!FF62</f>
        <v>0</v>
      </c>
      <c r="BV58" s="206">
        <f t="shared" si="24"/>
        <v>0</v>
      </c>
      <c r="BW58" s="206">
        <f>Sheet1!FG62</f>
        <v>0</v>
      </c>
      <c r="BX58" s="206">
        <f>Sheet1!FH62</f>
        <v>0</v>
      </c>
      <c r="BY58" s="206">
        <f>Sheet1!FI62</f>
        <v>0</v>
      </c>
      <c r="BZ58" s="206">
        <f>Sheet1!FJ62</f>
        <v>0</v>
      </c>
      <c r="CA58" s="206">
        <f t="shared" si="25"/>
        <v>0</v>
      </c>
      <c r="CB58" s="206">
        <f>Sheet1!FK62</f>
        <v>0</v>
      </c>
      <c r="CC58" s="206">
        <f>Sheet1!FL62</f>
        <v>0</v>
      </c>
      <c r="CD58" s="206">
        <f>Sheet1!FM62</f>
        <v>0</v>
      </c>
      <c r="CE58" s="206">
        <f>Sheet1!FN62</f>
        <v>0</v>
      </c>
      <c r="CF58" s="206">
        <f t="shared" si="26"/>
        <v>0</v>
      </c>
      <c r="CG58" s="206">
        <f t="shared" si="27"/>
        <v>0</v>
      </c>
      <c r="CH58" s="206">
        <f t="shared" si="28"/>
        <v>0</v>
      </c>
      <c r="CI58" s="206">
        <f t="shared" si="29"/>
        <v>0</v>
      </c>
      <c r="CJ58" s="206">
        <f t="shared" si="30"/>
        <v>0</v>
      </c>
      <c r="CK58" s="206">
        <f t="shared" si="31"/>
        <v>0</v>
      </c>
      <c r="CL58" s="206">
        <f t="shared" si="32"/>
        <v>0</v>
      </c>
      <c r="CM58" s="206">
        <f t="shared" si="33"/>
        <v>0</v>
      </c>
      <c r="CN58" s="206">
        <f t="shared" si="34"/>
        <v>0</v>
      </c>
      <c r="CO58" s="206">
        <f t="shared" si="35"/>
        <v>0</v>
      </c>
      <c r="CP58" s="206">
        <f t="shared" si="36"/>
        <v>0</v>
      </c>
    </row>
    <row r="59" spans="45:94">
      <c r="AS59" s="206">
        <f>Sheet1!EI63</f>
        <v>0</v>
      </c>
      <c r="AT59" s="206">
        <f>Sheet1!EJ63</f>
        <v>0</v>
      </c>
      <c r="AU59" s="206">
        <f>Sheet1!EK63</f>
        <v>0</v>
      </c>
      <c r="AV59" s="206">
        <f>Sheet1!EL63</f>
        <v>0</v>
      </c>
      <c r="AW59" s="206">
        <f t="shared" si="19"/>
        <v>0</v>
      </c>
      <c r="AX59" s="206">
        <f>Sheet1!EM63</f>
        <v>0</v>
      </c>
      <c r="AY59" s="206">
        <f>Sheet1!EN63</f>
        <v>0</v>
      </c>
      <c r="AZ59" s="206">
        <f>Sheet1!EO63</f>
        <v>0</v>
      </c>
      <c r="BA59" s="206">
        <f>Sheet1!EP63</f>
        <v>0</v>
      </c>
      <c r="BB59" s="206">
        <f t="shared" si="20"/>
        <v>0</v>
      </c>
      <c r="BC59" s="206">
        <f>Sheet1!EQ63</f>
        <v>0</v>
      </c>
      <c r="BD59" s="206">
        <f>Sheet1!ER63</f>
        <v>0</v>
      </c>
      <c r="BE59" s="206">
        <f>Sheet1!ES63</f>
        <v>0</v>
      </c>
      <c r="BF59" s="206">
        <f>Sheet1!ET63</f>
        <v>0</v>
      </c>
      <c r="BG59" s="206">
        <f t="shared" si="21"/>
        <v>0</v>
      </c>
      <c r="BH59" s="206">
        <f>Sheet1!EU63</f>
        <v>0</v>
      </c>
      <c r="BI59" s="206">
        <f>Sheet1!EV63</f>
        <v>0</v>
      </c>
      <c r="BJ59" s="206">
        <f>Sheet1!EW63</f>
        <v>0</v>
      </c>
      <c r="BK59" s="206">
        <f>Sheet1!EX63</f>
        <v>0</v>
      </c>
      <c r="BL59" s="206">
        <f t="shared" si="22"/>
        <v>0</v>
      </c>
      <c r="BM59" s="206">
        <f>Sheet1!EY63</f>
        <v>0</v>
      </c>
      <c r="BN59" s="206">
        <f>Sheet1!EZ63</f>
        <v>0</v>
      </c>
      <c r="BO59" s="206">
        <f>Sheet1!FA63</f>
        <v>0</v>
      </c>
      <c r="BP59" s="206">
        <f>Sheet1!FB63</f>
        <v>0</v>
      </c>
      <c r="BQ59" s="206">
        <f t="shared" si="23"/>
        <v>0</v>
      </c>
      <c r="BR59" s="206">
        <f>Sheet1!FC63</f>
        <v>0</v>
      </c>
      <c r="BS59" s="206">
        <f>Sheet1!FD63</f>
        <v>0</v>
      </c>
      <c r="BT59" s="206">
        <f>Sheet1!FE63</f>
        <v>0</v>
      </c>
      <c r="BU59" s="206">
        <f>Sheet1!FF63</f>
        <v>0</v>
      </c>
      <c r="BV59" s="206">
        <f t="shared" si="24"/>
        <v>0</v>
      </c>
      <c r="BW59" s="206">
        <f>Sheet1!FG63</f>
        <v>0</v>
      </c>
      <c r="BX59" s="206">
        <f>Sheet1!FH63</f>
        <v>0</v>
      </c>
      <c r="BY59" s="206">
        <f>Sheet1!FI63</f>
        <v>0</v>
      </c>
      <c r="BZ59" s="206">
        <f>Sheet1!FJ63</f>
        <v>0</v>
      </c>
      <c r="CA59" s="206">
        <f t="shared" si="25"/>
        <v>0</v>
      </c>
      <c r="CB59" s="206">
        <f>Sheet1!FK63</f>
        <v>0</v>
      </c>
      <c r="CC59" s="206">
        <f>Sheet1!FL63</f>
        <v>0</v>
      </c>
      <c r="CD59" s="206">
        <f>Sheet1!FM63</f>
        <v>0</v>
      </c>
      <c r="CE59" s="206">
        <f>Sheet1!FN63</f>
        <v>0</v>
      </c>
      <c r="CF59" s="206">
        <f t="shared" si="26"/>
        <v>0</v>
      </c>
      <c r="CG59" s="206">
        <f t="shared" si="27"/>
        <v>0</v>
      </c>
      <c r="CH59" s="206">
        <f t="shared" si="28"/>
        <v>0</v>
      </c>
      <c r="CI59" s="206">
        <f t="shared" si="29"/>
        <v>0</v>
      </c>
      <c r="CJ59" s="206">
        <f t="shared" si="30"/>
        <v>0</v>
      </c>
      <c r="CK59" s="206">
        <f t="shared" si="31"/>
        <v>0</v>
      </c>
      <c r="CL59" s="206">
        <f t="shared" si="32"/>
        <v>0</v>
      </c>
      <c r="CM59" s="206">
        <f t="shared" si="33"/>
        <v>0</v>
      </c>
      <c r="CN59" s="206">
        <f t="shared" si="34"/>
        <v>0</v>
      </c>
      <c r="CO59" s="206">
        <f t="shared" si="35"/>
        <v>0</v>
      </c>
      <c r="CP59" s="206">
        <f t="shared" si="36"/>
        <v>0</v>
      </c>
    </row>
    <row r="60" spans="45:94">
      <c r="AS60" s="206">
        <f>Sheet1!EI64</f>
        <v>0</v>
      </c>
      <c r="AT60" s="206">
        <f>Sheet1!EJ64</f>
        <v>0</v>
      </c>
      <c r="AU60" s="206">
        <f>Sheet1!EK64</f>
        <v>0</v>
      </c>
      <c r="AV60" s="206">
        <f>Sheet1!EL64</f>
        <v>0</v>
      </c>
      <c r="AW60" s="206">
        <f t="shared" si="19"/>
        <v>0</v>
      </c>
      <c r="AX60" s="206">
        <f>Sheet1!EM64</f>
        <v>0</v>
      </c>
      <c r="AY60" s="206">
        <f>Sheet1!EN64</f>
        <v>0</v>
      </c>
      <c r="AZ60" s="206">
        <f>Sheet1!EO64</f>
        <v>0</v>
      </c>
      <c r="BA60" s="206">
        <f>Sheet1!EP64</f>
        <v>0</v>
      </c>
      <c r="BB60" s="206">
        <f t="shared" si="20"/>
        <v>0</v>
      </c>
      <c r="BC60" s="206">
        <f>Sheet1!EQ64</f>
        <v>0</v>
      </c>
      <c r="BD60" s="206">
        <f>Sheet1!ER64</f>
        <v>0</v>
      </c>
      <c r="BE60" s="206">
        <f>Sheet1!ES64</f>
        <v>0</v>
      </c>
      <c r="BF60" s="206">
        <f>Sheet1!ET64</f>
        <v>0</v>
      </c>
      <c r="BG60" s="206">
        <f t="shared" si="21"/>
        <v>0</v>
      </c>
      <c r="BH60" s="206">
        <f>Sheet1!EU64</f>
        <v>0</v>
      </c>
      <c r="BI60" s="206">
        <f>Sheet1!EV64</f>
        <v>0</v>
      </c>
      <c r="BJ60" s="206">
        <f>Sheet1!EW64</f>
        <v>0</v>
      </c>
      <c r="BK60" s="206">
        <f>Sheet1!EX64</f>
        <v>0</v>
      </c>
      <c r="BL60" s="206">
        <f t="shared" si="22"/>
        <v>0</v>
      </c>
      <c r="BM60" s="206">
        <f>Sheet1!EY64</f>
        <v>0</v>
      </c>
      <c r="BN60" s="206">
        <f>Sheet1!EZ64</f>
        <v>0</v>
      </c>
      <c r="BO60" s="206">
        <f>Sheet1!FA64</f>
        <v>0</v>
      </c>
      <c r="BP60" s="206">
        <f>Sheet1!FB64</f>
        <v>0</v>
      </c>
      <c r="BQ60" s="206">
        <f t="shared" si="23"/>
        <v>0</v>
      </c>
      <c r="BR60" s="206">
        <f>Sheet1!FC64</f>
        <v>0</v>
      </c>
      <c r="BS60" s="206">
        <f>Sheet1!FD64</f>
        <v>0</v>
      </c>
      <c r="BT60" s="206">
        <f>Sheet1!FE64</f>
        <v>0</v>
      </c>
      <c r="BU60" s="206">
        <f>Sheet1!FF64</f>
        <v>0</v>
      </c>
      <c r="BV60" s="206">
        <f t="shared" si="24"/>
        <v>0</v>
      </c>
      <c r="BW60" s="206">
        <f>Sheet1!FG64</f>
        <v>0</v>
      </c>
      <c r="BX60" s="206">
        <f>Sheet1!FH64</f>
        <v>0</v>
      </c>
      <c r="BY60" s="206">
        <f>Sheet1!FI64</f>
        <v>0</v>
      </c>
      <c r="BZ60" s="206">
        <f>Sheet1!FJ64</f>
        <v>0</v>
      </c>
      <c r="CA60" s="206">
        <f t="shared" si="25"/>
        <v>0</v>
      </c>
      <c r="CB60" s="206">
        <f>Sheet1!FK64</f>
        <v>0</v>
      </c>
      <c r="CC60" s="206">
        <f>Sheet1!FL64</f>
        <v>0</v>
      </c>
      <c r="CD60" s="206">
        <f>Sheet1!FM64</f>
        <v>0</v>
      </c>
      <c r="CE60" s="206">
        <f>Sheet1!FN64</f>
        <v>0</v>
      </c>
      <c r="CF60" s="206">
        <f t="shared" si="26"/>
        <v>0</v>
      </c>
      <c r="CG60" s="206">
        <f t="shared" si="27"/>
        <v>0</v>
      </c>
      <c r="CH60" s="206">
        <f t="shared" si="28"/>
        <v>0</v>
      </c>
      <c r="CI60" s="206">
        <f t="shared" si="29"/>
        <v>0</v>
      </c>
      <c r="CJ60" s="206">
        <f t="shared" si="30"/>
        <v>0</v>
      </c>
      <c r="CK60" s="206">
        <f t="shared" si="31"/>
        <v>0</v>
      </c>
      <c r="CL60" s="206">
        <f t="shared" si="32"/>
        <v>0</v>
      </c>
      <c r="CM60" s="206">
        <f t="shared" si="33"/>
        <v>0</v>
      </c>
      <c r="CN60" s="206">
        <f t="shared" si="34"/>
        <v>0</v>
      </c>
      <c r="CO60" s="206">
        <f t="shared" si="35"/>
        <v>0</v>
      </c>
      <c r="CP60" s="206">
        <f t="shared" si="36"/>
        <v>0</v>
      </c>
    </row>
    <row r="61" spans="45:94">
      <c r="AS61" s="206">
        <f>Sheet1!EI65</f>
        <v>0</v>
      </c>
      <c r="AT61" s="206">
        <f>Sheet1!EJ65</f>
        <v>0</v>
      </c>
      <c r="AU61" s="206">
        <f>Sheet1!EK65</f>
        <v>0</v>
      </c>
      <c r="AV61" s="206">
        <f>Sheet1!EL65</f>
        <v>0</v>
      </c>
      <c r="AW61" s="206">
        <f t="shared" si="19"/>
        <v>0</v>
      </c>
      <c r="AX61" s="206">
        <f>Sheet1!EM65</f>
        <v>0</v>
      </c>
      <c r="AY61" s="206">
        <f>Sheet1!EN65</f>
        <v>0</v>
      </c>
      <c r="AZ61" s="206">
        <f>Sheet1!EO65</f>
        <v>0</v>
      </c>
      <c r="BA61" s="206">
        <f>Sheet1!EP65</f>
        <v>0</v>
      </c>
      <c r="BB61" s="206">
        <f t="shared" si="20"/>
        <v>0</v>
      </c>
      <c r="BC61" s="206">
        <f>Sheet1!EQ65</f>
        <v>0</v>
      </c>
      <c r="BD61" s="206">
        <f>Sheet1!ER65</f>
        <v>0</v>
      </c>
      <c r="BE61" s="206">
        <f>Sheet1!ES65</f>
        <v>0</v>
      </c>
      <c r="BF61" s="206">
        <f>Sheet1!ET65</f>
        <v>0</v>
      </c>
      <c r="BG61" s="206">
        <f t="shared" si="21"/>
        <v>0</v>
      </c>
      <c r="BH61" s="206">
        <f>Sheet1!EU65</f>
        <v>0</v>
      </c>
      <c r="BI61" s="206">
        <f>Sheet1!EV65</f>
        <v>0</v>
      </c>
      <c r="BJ61" s="206">
        <f>Sheet1!EW65</f>
        <v>0</v>
      </c>
      <c r="BK61" s="206">
        <f>Sheet1!EX65</f>
        <v>0</v>
      </c>
      <c r="BL61" s="206">
        <f t="shared" si="22"/>
        <v>0</v>
      </c>
      <c r="BM61" s="206">
        <f>Sheet1!EY65</f>
        <v>0</v>
      </c>
      <c r="BN61" s="206">
        <f>Sheet1!EZ65</f>
        <v>0</v>
      </c>
      <c r="BO61" s="206">
        <f>Sheet1!FA65</f>
        <v>0</v>
      </c>
      <c r="BP61" s="206">
        <f>Sheet1!FB65</f>
        <v>0</v>
      </c>
      <c r="BQ61" s="206">
        <f t="shared" si="23"/>
        <v>0</v>
      </c>
      <c r="BR61" s="206">
        <f>Sheet1!FC65</f>
        <v>0</v>
      </c>
      <c r="BS61" s="206">
        <f>Sheet1!FD65</f>
        <v>0</v>
      </c>
      <c r="BT61" s="206">
        <f>Sheet1!FE65</f>
        <v>0</v>
      </c>
      <c r="BU61" s="206">
        <f>Sheet1!FF65</f>
        <v>0</v>
      </c>
      <c r="BV61" s="206">
        <f t="shared" si="24"/>
        <v>0</v>
      </c>
      <c r="BW61" s="206">
        <f>Sheet1!FG65</f>
        <v>0</v>
      </c>
      <c r="BX61" s="206">
        <f>Sheet1!FH65</f>
        <v>0</v>
      </c>
      <c r="BY61" s="206">
        <f>Sheet1!FI65</f>
        <v>0</v>
      </c>
      <c r="BZ61" s="206">
        <f>Sheet1!FJ65</f>
        <v>0</v>
      </c>
      <c r="CA61" s="206">
        <f t="shared" si="25"/>
        <v>0</v>
      </c>
      <c r="CB61" s="206">
        <f>Sheet1!FK65</f>
        <v>0</v>
      </c>
      <c r="CC61" s="206">
        <f>Sheet1!FL65</f>
        <v>0</v>
      </c>
      <c r="CD61" s="206">
        <f>Sheet1!FM65</f>
        <v>0</v>
      </c>
      <c r="CE61" s="206">
        <f>Sheet1!FN65</f>
        <v>0</v>
      </c>
      <c r="CF61" s="206">
        <f t="shared" si="26"/>
        <v>0</v>
      </c>
      <c r="CG61" s="206">
        <f t="shared" si="27"/>
        <v>0</v>
      </c>
      <c r="CH61" s="206">
        <f t="shared" si="28"/>
        <v>0</v>
      </c>
      <c r="CI61" s="206">
        <f t="shared" si="29"/>
        <v>0</v>
      </c>
      <c r="CJ61" s="206">
        <f t="shared" si="30"/>
        <v>0</v>
      </c>
      <c r="CK61" s="206">
        <f t="shared" si="31"/>
        <v>0</v>
      </c>
      <c r="CL61" s="206">
        <f t="shared" si="32"/>
        <v>0</v>
      </c>
      <c r="CM61" s="206">
        <f t="shared" si="33"/>
        <v>0</v>
      </c>
      <c r="CN61" s="206">
        <f t="shared" si="34"/>
        <v>0</v>
      </c>
      <c r="CO61" s="206">
        <f t="shared" si="35"/>
        <v>0</v>
      </c>
      <c r="CP61" s="206">
        <f t="shared" si="36"/>
        <v>0</v>
      </c>
    </row>
    <row r="62" spans="45:94">
      <c r="AS62" s="206">
        <f>Sheet1!EI66</f>
        <v>0</v>
      </c>
      <c r="AT62" s="206">
        <f>Sheet1!EJ66</f>
        <v>0</v>
      </c>
      <c r="AU62" s="206">
        <f>Sheet1!EK66</f>
        <v>0</v>
      </c>
      <c r="AV62" s="206">
        <f>Sheet1!EL66</f>
        <v>0</v>
      </c>
      <c r="AW62" s="206">
        <f t="shared" si="19"/>
        <v>0</v>
      </c>
      <c r="AX62" s="206">
        <f>Sheet1!EM66</f>
        <v>0</v>
      </c>
      <c r="AY62" s="206">
        <f>Sheet1!EN66</f>
        <v>0</v>
      </c>
      <c r="AZ62" s="206">
        <f>Sheet1!EO66</f>
        <v>0</v>
      </c>
      <c r="BA62" s="206">
        <f>Sheet1!EP66</f>
        <v>0</v>
      </c>
      <c r="BB62" s="206">
        <f t="shared" si="20"/>
        <v>0</v>
      </c>
      <c r="BC62" s="206">
        <f>Sheet1!EQ66</f>
        <v>0</v>
      </c>
      <c r="BD62" s="206">
        <f>Sheet1!ER66</f>
        <v>0</v>
      </c>
      <c r="BE62" s="206">
        <f>Sheet1!ES66</f>
        <v>0</v>
      </c>
      <c r="BF62" s="206">
        <f>Sheet1!ET66</f>
        <v>0</v>
      </c>
      <c r="BG62" s="206">
        <f t="shared" si="21"/>
        <v>0</v>
      </c>
      <c r="BH62" s="206">
        <f>Sheet1!EU66</f>
        <v>0</v>
      </c>
      <c r="BI62" s="206">
        <f>Sheet1!EV66</f>
        <v>0</v>
      </c>
      <c r="BJ62" s="206">
        <f>Sheet1!EW66</f>
        <v>0</v>
      </c>
      <c r="BK62" s="206">
        <f>Sheet1!EX66</f>
        <v>0</v>
      </c>
      <c r="BL62" s="206">
        <f t="shared" si="22"/>
        <v>0</v>
      </c>
      <c r="BM62" s="206">
        <f>Sheet1!EY66</f>
        <v>0</v>
      </c>
      <c r="BN62" s="206">
        <f>Sheet1!EZ66</f>
        <v>0</v>
      </c>
      <c r="BO62" s="206">
        <f>Sheet1!FA66</f>
        <v>0</v>
      </c>
      <c r="BP62" s="206">
        <f>Sheet1!FB66</f>
        <v>0</v>
      </c>
      <c r="BQ62" s="206">
        <f t="shared" si="23"/>
        <v>0</v>
      </c>
      <c r="BR62" s="206">
        <f>Sheet1!FC66</f>
        <v>0</v>
      </c>
      <c r="BS62" s="206">
        <f>Sheet1!FD66</f>
        <v>0</v>
      </c>
      <c r="BT62" s="206">
        <f>Sheet1!FE66</f>
        <v>0</v>
      </c>
      <c r="BU62" s="206">
        <f>Sheet1!FF66</f>
        <v>0</v>
      </c>
      <c r="BV62" s="206">
        <f t="shared" si="24"/>
        <v>0</v>
      </c>
      <c r="BW62" s="206">
        <f>Sheet1!FG66</f>
        <v>0</v>
      </c>
      <c r="BX62" s="206">
        <f>Sheet1!FH66</f>
        <v>0</v>
      </c>
      <c r="BY62" s="206">
        <f>Sheet1!FI66</f>
        <v>0</v>
      </c>
      <c r="BZ62" s="206">
        <f>Sheet1!FJ66</f>
        <v>0</v>
      </c>
      <c r="CA62" s="206">
        <f t="shared" si="25"/>
        <v>0</v>
      </c>
      <c r="CB62" s="206">
        <f>Sheet1!FK66</f>
        <v>0</v>
      </c>
      <c r="CC62" s="206">
        <f>Sheet1!FL66</f>
        <v>0</v>
      </c>
      <c r="CD62" s="206">
        <f>Sheet1!FM66</f>
        <v>0</v>
      </c>
      <c r="CE62" s="206">
        <f>Sheet1!FN66</f>
        <v>0</v>
      </c>
      <c r="CF62" s="206">
        <f t="shared" si="26"/>
        <v>0</v>
      </c>
      <c r="CG62" s="206">
        <f t="shared" si="27"/>
        <v>0</v>
      </c>
      <c r="CH62" s="206">
        <f t="shared" si="28"/>
        <v>0</v>
      </c>
      <c r="CI62" s="206">
        <f t="shared" si="29"/>
        <v>0</v>
      </c>
      <c r="CJ62" s="206">
        <f t="shared" si="30"/>
        <v>0</v>
      </c>
      <c r="CK62" s="206">
        <f t="shared" si="31"/>
        <v>0</v>
      </c>
      <c r="CL62" s="206">
        <f t="shared" si="32"/>
        <v>0</v>
      </c>
      <c r="CM62" s="206">
        <f t="shared" si="33"/>
        <v>0</v>
      </c>
      <c r="CN62" s="206">
        <f t="shared" si="34"/>
        <v>0</v>
      </c>
      <c r="CO62" s="206">
        <f t="shared" si="35"/>
        <v>0</v>
      </c>
      <c r="CP62" s="206">
        <f t="shared" si="36"/>
        <v>0</v>
      </c>
    </row>
    <row r="63" spans="45:94">
      <c r="AS63" s="206">
        <f>Sheet1!EI67</f>
        <v>0</v>
      </c>
      <c r="AT63" s="206">
        <f>Sheet1!EJ67</f>
        <v>0</v>
      </c>
      <c r="AU63" s="206">
        <f>Sheet1!EK67</f>
        <v>0</v>
      </c>
      <c r="AV63" s="206">
        <f>Sheet1!EL67</f>
        <v>0</v>
      </c>
      <c r="AW63" s="206">
        <f t="shared" si="19"/>
        <v>0</v>
      </c>
      <c r="AX63" s="206">
        <f>Sheet1!EM67</f>
        <v>0</v>
      </c>
      <c r="AY63" s="206">
        <f>Sheet1!EN67</f>
        <v>0</v>
      </c>
      <c r="AZ63" s="206">
        <f>Sheet1!EO67</f>
        <v>0</v>
      </c>
      <c r="BA63" s="206">
        <f>Sheet1!EP67</f>
        <v>0</v>
      </c>
      <c r="BB63" s="206">
        <f t="shared" si="20"/>
        <v>0</v>
      </c>
      <c r="BC63" s="206">
        <f>Sheet1!EQ67</f>
        <v>0</v>
      </c>
      <c r="BD63" s="206">
        <f>Sheet1!ER67</f>
        <v>0</v>
      </c>
      <c r="BE63" s="206">
        <f>Sheet1!ES67</f>
        <v>0</v>
      </c>
      <c r="BF63" s="206">
        <f>Sheet1!ET67</f>
        <v>0</v>
      </c>
      <c r="BG63" s="206">
        <f t="shared" si="21"/>
        <v>0</v>
      </c>
      <c r="BH63" s="206">
        <f>Sheet1!EU67</f>
        <v>0</v>
      </c>
      <c r="BI63" s="206">
        <f>Sheet1!EV67</f>
        <v>0</v>
      </c>
      <c r="BJ63" s="206">
        <f>Sheet1!EW67</f>
        <v>0</v>
      </c>
      <c r="BK63" s="206">
        <f>Sheet1!EX67</f>
        <v>0</v>
      </c>
      <c r="BL63" s="206">
        <f t="shared" si="22"/>
        <v>0</v>
      </c>
      <c r="BM63" s="206">
        <f>Sheet1!EY67</f>
        <v>0</v>
      </c>
      <c r="BN63" s="206">
        <f>Sheet1!EZ67</f>
        <v>0</v>
      </c>
      <c r="BO63" s="206">
        <f>Sheet1!FA67</f>
        <v>0</v>
      </c>
      <c r="BP63" s="206">
        <f>Sheet1!FB67</f>
        <v>0</v>
      </c>
      <c r="BQ63" s="206">
        <f t="shared" si="23"/>
        <v>0</v>
      </c>
      <c r="BR63" s="206">
        <f>Sheet1!FC67</f>
        <v>0</v>
      </c>
      <c r="BS63" s="206">
        <f>Sheet1!FD67</f>
        <v>0</v>
      </c>
      <c r="BT63" s="206">
        <f>Sheet1!FE67</f>
        <v>0</v>
      </c>
      <c r="BU63" s="206">
        <f>Sheet1!FF67</f>
        <v>0</v>
      </c>
      <c r="BV63" s="206">
        <f t="shared" si="24"/>
        <v>0</v>
      </c>
      <c r="BW63" s="206">
        <f>Sheet1!FG67</f>
        <v>0</v>
      </c>
      <c r="BX63" s="206">
        <f>Sheet1!FH67</f>
        <v>0</v>
      </c>
      <c r="BY63" s="206">
        <f>Sheet1!FI67</f>
        <v>0</v>
      </c>
      <c r="BZ63" s="206">
        <f>Sheet1!FJ67</f>
        <v>0</v>
      </c>
      <c r="CA63" s="206">
        <f t="shared" si="25"/>
        <v>0</v>
      </c>
      <c r="CB63" s="206">
        <f>Sheet1!FK67</f>
        <v>0</v>
      </c>
      <c r="CC63" s="206">
        <f>Sheet1!FL67</f>
        <v>0</v>
      </c>
      <c r="CD63" s="206">
        <f>Sheet1!FM67</f>
        <v>0</v>
      </c>
      <c r="CE63" s="206">
        <f>Sheet1!FN67</f>
        <v>0</v>
      </c>
      <c r="CF63" s="206">
        <f t="shared" si="26"/>
        <v>0</v>
      </c>
      <c r="CG63" s="206">
        <f t="shared" si="27"/>
        <v>0</v>
      </c>
      <c r="CH63" s="206">
        <f t="shared" si="28"/>
        <v>0</v>
      </c>
      <c r="CI63" s="206">
        <f t="shared" si="29"/>
        <v>0</v>
      </c>
      <c r="CJ63" s="206">
        <f t="shared" si="30"/>
        <v>0</v>
      </c>
      <c r="CK63" s="206">
        <f t="shared" si="31"/>
        <v>0</v>
      </c>
      <c r="CL63" s="206">
        <f t="shared" si="32"/>
        <v>0</v>
      </c>
      <c r="CM63" s="206">
        <f t="shared" si="33"/>
        <v>0</v>
      </c>
      <c r="CN63" s="206">
        <f t="shared" si="34"/>
        <v>0</v>
      </c>
      <c r="CO63" s="206">
        <f t="shared" si="35"/>
        <v>0</v>
      </c>
      <c r="CP63" s="206">
        <f t="shared" si="36"/>
        <v>0</v>
      </c>
    </row>
    <row r="64" spans="45:94">
      <c r="AS64" s="206">
        <f>Sheet1!EI68</f>
        <v>0</v>
      </c>
      <c r="AT64" s="206">
        <f>Sheet1!EJ68</f>
        <v>0</v>
      </c>
      <c r="AU64" s="206">
        <f>Sheet1!EK68</f>
        <v>0</v>
      </c>
      <c r="AV64" s="206">
        <f>Sheet1!EL68</f>
        <v>0</v>
      </c>
      <c r="AW64" s="206">
        <f t="shared" si="19"/>
        <v>0</v>
      </c>
      <c r="AX64" s="206">
        <f>Sheet1!EM68</f>
        <v>0</v>
      </c>
      <c r="AY64" s="206">
        <f>Sheet1!EN68</f>
        <v>0</v>
      </c>
      <c r="AZ64" s="206">
        <f>Sheet1!EO68</f>
        <v>0</v>
      </c>
      <c r="BA64" s="206">
        <f>Sheet1!EP68</f>
        <v>0</v>
      </c>
      <c r="BB64" s="206">
        <f t="shared" si="20"/>
        <v>0</v>
      </c>
      <c r="BC64" s="206">
        <f>Sheet1!EQ68</f>
        <v>0</v>
      </c>
      <c r="BD64" s="206">
        <f>Sheet1!ER68</f>
        <v>0</v>
      </c>
      <c r="BE64" s="206">
        <f>Sheet1!ES68</f>
        <v>0</v>
      </c>
      <c r="BF64" s="206">
        <f>Sheet1!ET68</f>
        <v>0</v>
      </c>
      <c r="BG64" s="206">
        <f t="shared" si="21"/>
        <v>0</v>
      </c>
      <c r="BH64" s="206">
        <f>Sheet1!EU68</f>
        <v>0</v>
      </c>
      <c r="BI64" s="206">
        <f>Sheet1!EV68</f>
        <v>0</v>
      </c>
      <c r="BJ64" s="206">
        <f>Sheet1!EW68</f>
        <v>0</v>
      </c>
      <c r="BK64" s="206">
        <f>Sheet1!EX68</f>
        <v>0</v>
      </c>
      <c r="BL64" s="206">
        <f t="shared" si="22"/>
        <v>0</v>
      </c>
      <c r="BM64" s="206">
        <f>Sheet1!EY68</f>
        <v>0</v>
      </c>
      <c r="BN64" s="206">
        <f>Sheet1!EZ68</f>
        <v>0</v>
      </c>
      <c r="BO64" s="206">
        <f>Sheet1!FA68</f>
        <v>0</v>
      </c>
      <c r="BP64" s="206">
        <f>Sheet1!FB68</f>
        <v>0</v>
      </c>
      <c r="BQ64" s="206">
        <f t="shared" si="23"/>
        <v>0</v>
      </c>
      <c r="BR64" s="206">
        <f>Sheet1!FC68</f>
        <v>0</v>
      </c>
      <c r="BS64" s="206">
        <f>Sheet1!FD68</f>
        <v>0</v>
      </c>
      <c r="BT64" s="206">
        <f>Sheet1!FE68</f>
        <v>0</v>
      </c>
      <c r="BU64" s="206">
        <f>Sheet1!FF68</f>
        <v>0</v>
      </c>
      <c r="BV64" s="206">
        <f t="shared" si="24"/>
        <v>0</v>
      </c>
      <c r="BW64" s="206">
        <f>Sheet1!FG68</f>
        <v>0</v>
      </c>
      <c r="BX64" s="206">
        <f>Sheet1!FH68</f>
        <v>0</v>
      </c>
      <c r="BY64" s="206">
        <f>Sheet1!FI68</f>
        <v>0</v>
      </c>
      <c r="BZ64" s="206">
        <f>Sheet1!FJ68</f>
        <v>0</v>
      </c>
      <c r="CA64" s="206">
        <f t="shared" si="25"/>
        <v>0</v>
      </c>
      <c r="CB64" s="206">
        <f>Sheet1!FK68</f>
        <v>0</v>
      </c>
      <c r="CC64" s="206">
        <f>Sheet1!FL68</f>
        <v>0</v>
      </c>
      <c r="CD64" s="206">
        <f>Sheet1!FM68</f>
        <v>0</v>
      </c>
      <c r="CE64" s="206">
        <f>Sheet1!FN68</f>
        <v>0</v>
      </c>
      <c r="CF64" s="206">
        <f t="shared" si="26"/>
        <v>0</v>
      </c>
      <c r="CG64" s="206">
        <f t="shared" si="27"/>
        <v>0</v>
      </c>
      <c r="CH64" s="206">
        <f t="shared" si="28"/>
        <v>0</v>
      </c>
      <c r="CI64" s="206">
        <f t="shared" si="29"/>
        <v>0</v>
      </c>
      <c r="CJ64" s="206">
        <f t="shared" si="30"/>
        <v>0</v>
      </c>
      <c r="CK64" s="206">
        <f t="shared" si="31"/>
        <v>0</v>
      </c>
      <c r="CL64" s="206">
        <f t="shared" si="32"/>
        <v>0</v>
      </c>
      <c r="CM64" s="206">
        <f t="shared" si="33"/>
        <v>0</v>
      </c>
      <c r="CN64" s="206">
        <f t="shared" si="34"/>
        <v>0</v>
      </c>
      <c r="CO64" s="206">
        <f t="shared" si="35"/>
        <v>0</v>
      </c>
      <c r="CP64" s="206">
        <f t="shared" si="36"/>
        <v>0</v>
      </c>
    </row>
    <row r="65" spans="45:94">
      <c r="AS65" s="206">
        <f>Sheet1!EI69</f>
        <v>0</v>
      </c>
      <c r="AT65" s="206">
        <f>Sheet1!EJ69</f>
        <v>0</v>
      </c>
      <c r="AU65" s="206">
        <f>Sheet1!EK69</f>
        <v>0</v>
      </c>
      <c r="AV65" s="206">
        <f>Sheet1!EL69</f>
        <v>0</v>
      </c>
      <c r="AW65" s="206">
        <f t="shared" si="19"/>
        <v>0</v>
      </c>
      <c r="AX65" s="206">
        <f>Sheet1!EM69</f>
        <v>0</v>
      </c>
      <c r="AY65" s="206">
        <f>Sheet1!EN69</f>
        <v>0</v>
      </c>
      <c r="AZ65" s="206">
        <f>Sheet1!EO69</f>
        <v>0</v>
      </c>
      <c r="BA65" s="206">
        <f>Sheet1!EP69</f>
        <v>0</v>
      </c>
      <c r="BB65" s="206">
        <f t="shared" si="20"/>
        <v>0</v>
      </c>
      <c r="BC65" s="206">
        <f>Sheet1!EQ69</f>
        <v>0</v>
      </c>
      <c r="BD65" s="206">
        <f>Sheet1!ER69</f>
        <v>0</v>
      </c>
      <c r="BE65" s="206">
        <f>Sheet1!ES69</f>
        <v>0</v>
      </c>
      <c r="BF65" s="206">
        <f>Sheet1!ET69</f>
        <v>0</v>
      </c>
      <c r="BG65" s="206">
        <f t="shared" si="21"/>
        <v>0</v>
      </c>
      <c r="BH65" s="206">
        <f>Sheet1!EU69</f>
        <v>0</v>
      </c>
      <c r="BI65" s="206">
        <f>Sheet1!EV69</f>
        <v>0</v>
      </c>
      <c r="BJ65" s="206">
        <f>Sheet1!EW69</f>
        <v>0</v>
      </c>
      <c r="BK65" s="206">
        <f>Sheet1!EX69</f>
        <v>0</v>
      </c>
      <c r="BL65" s="206">
        <f t="shared" si="22"/>
        <v>0</v>
      </c>
      <c r="BM65" s="206">
        <f>Sheet1!EY69</f>
        <v>0</v>
      </c>
      <c r="BN65" s="206">
        <f>Sheet1!EZ69</f>
        <v>0</v>
      </c>
      <c r="BO65" s="206">
        <f>Sheet1!FA69</f>
        <v>0</v>
      </c>
      <c r="BP65" s="206">
        <f>Sheet1!FB69</f>
        <v>0</v>
      </c>
      <c r="BQ65" s="206">
        <f t="shared" si="23"/>
        <v>0</v>
      </c>
      <c r="BR65" s="206">
        <f>Sheet1!FC69</f>
        <v>0</v>
      </c>
      <c r="BS65" s="206">
        <f>Sheet1!FD69</f>
        <v>0</v>
      </c>
      <c r="BT65" s="206">
        <f>Sheet1!FE69</f>
        <v>0</v>
      </c>
      <c r="BU65" s="206">
        <f>Sheet1!FF69</f>
        <v>0</v>
      </c>
      <c r="BV65" s="206">
        <f t="shared" si="24"/>
        <v>0</v>
      </c>
      <c r="BW65" s="206">
        <f>Sheet1!FG69</f>
        <v>0</v>
      </c>
      <c r="BX65" s="206">
        <f>Sheet1!FH69</f>
        <v>0</v>
      </c>
      <c r="BY65" s="206">
        <f>Sheet1!FI69</f>
        <v>0</v>
      </c>
      <c r="BZ65" s="206">
        <f>Sheet1!FJ69</f>
        <v>0</v>
      </c>
      <c r="CA65" s="206">
        <f t="shared" si="25"/>
        <v>0</v>
      </c>
      <c r="CB65" s="206">
        <f>Sheet1!FK69</f>
        <v>0</v>
      </c>
      <c r="CC65" s="206">
        <f>Sheet1!FL69</f>
        <v>0</v>
      </c>
      <c r="CD65" s="206">
        <f>Sheet1!FM69</f>
        <v>0</v>
      </c>
      <c r="CE65" s="206">
        <f>Sheet1!FN69</f>
        <v>0</v>
      </c>
      <c r="CF65" s="206">
        <f t="shared" si="26"/>
        <v>0</v>
      </c>
      <c r="CG65" s="206">
        <f t="shared" si="27"/>
        <v>0</v>
      </c>
      <c r="CH65" s="206">
        <f t="shared" si="28"/>
        <v>0</v>
      </c>
      <c r="CI65" s="206">
        <f t="shared" si="29"/>
        <v>0</v>
      </c>
      <c r="CJ65" s="206">
        <f t="shared" si="30"/>
        <v>0</v>
      </c>
      <c r="CK65" s="206">
        <f t="shared" si="31"/>
        <v>0</v>
      </c>
      <c r="CL65" s="206">
        <f t="shared" si="32"/>
        <v>0</v>
      </c>
      <c r="CM65" s="206">
        <f t="shared" si="33"/>
        <v>0</v>
      </c>
      <c r="CN65" s="206">
        <f t="shared" si="34"/>
        <v>0</v>
      </c>
      <c r="CO65" s="206">
        <f t="shared" si="35"/>
        <v>0</v>
      </c>
      <c r="CP65" s="206">
        <f t="shared" si="36"/>
        <v>0</v>
      </c>
    </row>
    <row r="66" spans="45:94">
      <c r="AS66" s="206">
        <f>Sheet1!EI70</f>
        <v>0</v>
      </c>
      <c r="AT66" s="206">
        <f>Sheet1!EJ70</f>
        <v>0</v>
      </c>
      <c r="AU66" s="206">
        <f>Sheet1!EK70</f>
        <v>0</v>
      </c>
      <c r="AV66" s="206">
        <f>Sheet1!EL70</f>
        <v>0</v>
      </c>
      <c r="AW66" s="206">
        <f t="shared" si="19"/>
        <v>0</v>
      </c>
      <c r="AX66" s="206">
        <f>Sheet1!EM70</f>
        <v>0</v>
      </c>
      <c r="AY66" s="206">
        <f>Sheet1!EN70</f>
        <v>0</v>
      </c>
      <c r="AZ66" s="206">
        <f>Sheet1!EO70</f>
        <v>0</v>
      </c>
      <c r="BA66" s="206">
        <f>Sheet1!EP70</f>
        <v>0</v>
      </c>
      <c r="BB66" s="206">
        <f t="shared" si="20"/>
        <v>0</v>
      </c>
      <c r="BC66" s="206">
        <f>Sheet1!EQ70</f>
        <v>0</v>
      </c>
      <c r="BD66" s="206">
        <f>Sheet1!ER70</f>
        <v>0</v>
      </c>
      <c r="BE66" s="206">
        <f>Sheet1!ES70</f>
        <v>0</v>
      </c>
      <c r="BF66" s="206">
        <f>Sheet1!ET70</f>
        <v>0</v>
      </c>
      <c r="BG66" s="206">
        <f t="shared" si="21"/>
        <v>0</v>
      </c>
      <c r="BH66" s="206">
        <f>Sheet1!EU70</f>
        <v>0</v>
      </c>
      <c r="BI66" s="206">
        <f>Sheet1!EV70</f>
        <v>0</v>
      </c>
      <c r="BJ66" s="206">
        <f>Sheet1!EW70</f>
        <v>0</v>
      </c>
      <c r="BK66" s="206">
        <f>Sheet1!EX70</f>
        <v>0</v>
      </c>
      <c r="BL66" s="206">
        <f t="shared" si="22"/>
        <v>0</v>
      </c>
      <c r="BM66" s="206">
        <f>Sheet1!EY70</f>
        <v>0</v>
      </c>
      <c r="BN66" s="206">
        <f>Sheet1!EZ70</f>
        <v>0</v>
      </c>
      <c r="BO66" s="206">
        <f>Sheet1!FA70</f>
        <v>0</v>
      </c>
      <c r="BP66" s="206">
        <f>Sheet1!FB70</f>
        <v>0</v>
      </c>
      <c r="BQ66" s="206">
        <f t="shared" si="23"/>
        <v>0</v>
      </c>
      <c r="BR66" s="206">
        <f>Sheet1!FC70</f>
        <v>0</v>
      </c>
      <c r="BS66" s="206">
        <f>Sheet1!FD70</f>
        <v>0</v>
      </c>
      <c r="BT66" s="206">
        <f>Sheet1!FE70</f>
        <v>0</v>
      </c>
      <c r="BU66" s="206">
        <f>Sheet1!FF70</f>
        <v>0</v>
      </c>
      <c r="BV66" s="206">
        <f t="shared" si="24"/>
        <v>0</v>
      </c>
      <c r="BW66" s="206">
        <f>Sheet1!FG70</f>
        <v>0</v>
      </c>
      <c r="BX66" s="206">
        <f>Sheet1!FH70</f>
        <v>0</v>
      </c>
      <c r="BY66" s="206">
        <f>Sheet1!FI70</f>
        <v>0</v>
      </c>
      <c r="BZ66" s="206">
        <f>Sheet1!FJ70</f>
        <v>0</v>
      </c>
      <c r="CA66" s="206">
        <f t="shared" si="25"/>
        <v>0</v>
      </c>
      <c r="CB66" s="206">
        <f>Sheet1!FK70</f>
        <v>0</v>
      </c>
      <c r="CC66" s="206">
        <f>Sheet1!FL70</f>
        <v>0</v>
      </c>
      <c r="CD66" s="206">
        <f>Sheet1!FM70</f>
        <v>0</v>
      </c>
      <c r="CE66" s="206">
        <f>Sheet1!FN70</f>
        <v>0</v>
      </c>
      <c r="CF66" s="206">
        <f t="shared" si="26"/>
        <v>0</v>
      </c>
      <c r="CG66" s="206">
        <f t="shared" si="27"/>
        <v>0</v>
      </c>
      <c r="CH66" s="206">
        <f t="shared" si="28"/>
        <v>0</v>
      </c>
      <c r="CI66" s="206">
        <f t="shared" si="29"/>
        <v>0</v>
      </c>
      <c r="CJ66" s="206">
        <f t="shared" si="30"/>
        <v>0</v>
      </c>
      <c r="CK66" s="206">
        <f t="shared" si="31"/>
        <v>0</v>
      </c>
      <c r="CL66" s="206">
        <f t="shared" si="32"/>
        <v>0</v>
      </c>
      <c r="CM66" s="206">
        <f t="shared" si="33"/>
        <v>0</v>
      </c>
      <c r="CN66" s="206">
        <f t="shared" si="34"/>
        <v>0</v>
      </c>
      <c r="CO66" s="206">
        <f t="shared" si="35"/>
        <v>0</v>
      </c>
      <c r="CP66" s="206">
        <f t="shared" si="36"/>
        <v>0</v>
      </c>
    </row>
    <row r="67" spans="45:94">
      <c r="AS67" s="206">
        <f>Sheet1!EI71</f>
        <v>0</v>
      </c>
      <c r="AT67" s="206">
        <f>Sheet1!EJ71</f>
        <v>0</v>
      </c>
      <c r="AU67" s="206">
        <f>Sheet1!EK71</f>
        <v>0</v>
      </c>
      <c r="AV67" s="206">
        <f>Sheet1!EL71</f>
        <v>0</v>
      </c>
      <c r="AW67" s="206">
        <f t="shared" si="19"/>
        <v>0</v>
      </c>
      <c r="AX67" s="206">
        <f>Sheet1!EM71</f>
        <v>0</v>
      </c>
      <c r="AY67" s="206">
        <f>Sheet1!EN71</f>
        <v>0</v>
      </c>
      <c r="AZ67" s="206">
        <f>Sheet1!EO71</f>
        <v>0</v>
      </c>
      <c r="BA67" s="206">
        <f>Sheet1!EP71</f>
        <v>0</v>
      </c>
      <c r="BB67" s="206">
        <f t="shared" si="20"/>
        <v>0</v>
      </c>
      <c r="BC67" s="206">
        <f>Sheet1!EQ71</f>
        <v>0</v>
      </c>
      <c r="BD67" s="206">
        <f>Sheet1!ER71</f>
        <v>0</v>
      </c>
      <c r="BE67" s="206">
        <f>Sheet1!ES71</f>
        <v>0</v>
      </c>
      <c r="BF67" s="206">
        <f>Sheet1!ET71</f>
        <v>0</v>
      </c>
      <c r="BG67" s="206">
        <f t="shared" si="21"/>
        <v>0</v>
      </c>
      <c r="BH67" s="206">
        <f>Sheet1!EU71</f>
        <v>0</v>
      </c>
      <c r="BI67" s="206">
        <f>Sheet1!EV71</f>
        <v>0</v>
      </c>
      <c r="BJ67" s="206">
        <f>Sheet1!EW71</f>
        <v>0</v>
      </c>
      <c r="BK67" s="206">
        <f>Sheet1!EX71</f>
        <v>0</v>
      </c>
      <c r="BL67" s="206">
        <f t="shared" si="22"/>
        <v>0</v>
      </c>
      <c r="BM67" s="206">
        <f>Sheet1!EY71</f>
        <v>0</v>
      </c>
      <c r="BN67" s="206">
        <f>Sheet1!EZ71</f>
        <v>0</v>
      </c>
      <c r="BO67" s="206">
        <f>Sheet1!FA71</f>
        <v>0</v>
      </c>
      <c r="BP67" s="206">
        <f>Sheet1!FB71</f>
        <v>0</v>
      </c>
      <c r="BQ67" s="206">
        <f t="shared" si="23"/>
        <v>0</v>
      </c>
      <c r="BR67" s="206">
        <f>Sheet1!FC71</f>
        <v>0</v>
      </c>
      <c r="BS67" s="206">
        <f>Sheet1!FD71</f>
        <v>0</v>
      </c>
      <c r="BT67" s="206">
        <f>Sheet1!FE71</f>
        <v>0</v>
      </c>
      <c r="BU67" s="206">
        <f>Sheet1!FF71</f>
        <v>0</v>
      </c>
      <c r="BV67" s="206">
        <f t="shared" si="24"/>
        <v>0</v>
      </c>
      <c r="BW67" s="206">
        <f>Sheet1!FG71</f>
        <v>0</v>
      </c>
      <c r="BX67" s="206">
        <f>Sheet1!FH71</f>
        <v>0</v>
      </c>
      <c r="BY67" s="206">
        <f>Sheet1!FI71</f>
        <v>0</v>
      </c>
      <c r="BZ67" s="206">
        <f>Sheet1!FJ71</f>
        <v>0</v>
      </c>
      <c r="CA67" s="206">
        <f t="shared" si="25"/>
        <v>0</v>
      </c>
      <c r="CB67" s="206">
        <f>Sheet1!FK71</f>
        <v>0</v>
      </c>
      <c r="CC67" s="206">
        <f>Sheet1!FL71</f>
        <v>0</v>
      </c>
      <c r="CD67" s="206">
        <f>Sheet1!FM71</f>
        <v>0</v>
      </c>
      <c r="CE67" s="206">
        <f>Sheet1!FN71</f>
        <v>0</v>
      </c>
      <c r="CF67" s="206">
        <f t="shared" si="26"/>
        <v>0</v>
      </c>
      <c r="CG67" s="206">
        <f t="shared" si="27"/>
        <v>0</v>
      </c>
      <c r="CH67" s="206">
        <f t="shared" si="28"/>
        <v>0</v>
      </c>
      <c r="CI67" s="206">
        <f t="shared" si="29"/>
        <v>0</v>
      </c>
      <c r="CJ67" s="206">
        <f t="shared" si="30"/>
        <v>0</v>
      </c>
      <c r="CK67" s="206">
        <f t="shared" si="31"/>
        <v>0</v>
      </c>
      <c r="CL67" s="206">
        <f t="shared" si="32"/>
        <v>0</v>
      </c>
      <c r="CM67" s="206">
        <f t="shared" si="33"/>
        <v>0</v>
      </c>
      <c r="CN67" s="206">
        <f t="shared" si="34"/>
        <v>0</v>
      </c>
      <c r="CO67" s="206">
        <f t="shared" si="35"/>
        <v>0</v>
      </c>
      <c r="CP67" s="206">
        <f t="shared" si="36"/>
        <v>0</v>
      </c>
    </row>
    <row r="68" spans="45:94">
      <c r="AS68" s="206">
        <f>Sheet1!EI72</f>
        <v>0</v>
      </c>
      <c r="AT68" s="206">
        <f>Sheet1!EJ72</f>
        <v>0</v>
      </c>
      <c r="AU68" s="206">
        <f>Sheet1!EK72</f>
        <v>0</v>
      </c>
      <c r="AV68" s="206">
        <f>Sheet1!EL72</f>
        <v>0</v>
      </c>
      <c r="AW68" s="206">
        <f t="shared" si="19"/>
        <v>0</v>
      </c>
      <c r="AX68" s="206">
        <f>Sheet1!EM72</f>
        <v>0</v>
      </c>
      <c r="AY68" s="206">
        <f>Sheet1!EN72</f>
        <v>0</v>
      </c>
      <c r="AZ68" s="206">
        <f>Sheet1!EO72</f>
        <v>0</v>
      </c>
      <c r="BA68" s="206">
        <f>Sheet1!EP72</f>
        <v>0</v>
      </c>
      <c r="BB68" s="206">
        <f t="shared" si="20"/>
        <v>0</v>
      </c>
      <c r="BC68" s="206">
        <f>Sheet1!EQ72</f>
        <v>0</v>
      </c>
      <c r="BD68" s="206">
        <f>Sheet1!ER72</f>
        <v>0</v>
      </c>
      <c r="BE68" s="206">
        <f>Sheet1!ES72</f>
        <v>0</v>
      </c>
      <c r="BF68" s="206">
        <f>Sheet1!ET72</f>
        <v>0</v>
      </c>
      <c r="BG68" s="206">
        <f t="shared" si="21"/>
        <v>0</v>
      </c>
      <c r="BH68" s="206">
        <f>Sheet1!EU72</f>
        <v>0</v>
      </c>
      <c r="BI68" s="206">
        <f>Sheet1!EV72</f>
        <v>0</v>
      </c>
      <c r="BJ68" s="206">
        <f>Sheet1!EW72</f>
        <v>0</v>
      </c>
      <c r="BK68" s="206">
        <f>Sheet1!EX72</f>
        <v>0</v>
      </c>
      <c r="BL68" s="206">
        <f t="shared" si="22"/>
        <v>0</v>
      </c>
      <c r="BM68" s="206">
        <f>Sheet1!EY72</f>
        <v>0</v>
      </c>
      <c r="BN68" s="206">
        <f>Sheet1!EZ72</f>
        <v>0</v>
      </c>
      <c r="BO68" s="206">
        <f>Sheet1!FA72</f>
        <v>0</v>
      </c>
      <c r="BP68" s="206">
        <f>Sheet1!FB72</f>
        <v>0</v>
      </c>
      <c r="BQ68" s="206">
        <f t="shared" si="23"/>
        <v>0</v>
      </c>
      <c r="BR68" s="206">
        <f>Sheet1!FC72</f>
        <v>0</v>
      </c>
      <c r="BS68" s="206">
        <f>Sheet1!FD72</f>
        <v>0</v>
      </c>
      <c r="BT68" s="206">
        <f>Sheet1!FE72</f>
        <v>0</v>
      </c>
      <c r="BU68" s="206">
        <f>Sheet1!FF72</f>
        <v>0</v>
      </c>
      <c r="BV68" s="206">
        <f t="shared" si="24"/>
        <v>0</v>
      </c>
      <c r="BW68" s="206">
        <f>Sheet1!FG72</f>
        <v>0</v>
      </c>
      <c r="BX68" s="206">
        <f>Sheet1!FH72</f>
        <v>0</v>
      </c>
      <c r="BY68" s="206">
        <f>Sheet1!FI72</f>
        <v>0</v>
      </c>
      <c r="BZ68" s="206">
        <f>Sheet1!FJ72</f>
        <v>0</v>
      </c>
      <c r="CA68" s="206">
        <f t="shared" si="25"/>
        <v>0</v>
      </c>
      <c r="CB68" s="206">
        <f>Sheet1!FK72</f>
        <v>0</v>
      </c>
      <c r="CC68" s="206">
        <f>Sheet1!FL72</f>
        <v>0</v>
      </c>
      <c r="CD68" s="206">
        <f>Sheet1!FM72</f>
        <v>0</v>
      </c>
      <c r="CE68" s="206">
        <f>Sheet1!FN72</f>
        <v>0</v>
      </c>
      <c r="CF68" s="206">
        <f t="shared" si="26"/>
        <v>0</v>
      </c>
      <c r="CG68" s="206">
        <f t="shared" si="27"/>
        <v>0</v>
      </c>
      <c r="CH68" s="206">
        <f t="shared" si="28"/>
        <v>0</v>
      </c>
      <c r="CI68" s="206">
        <f t="shared" si="29"/>
        <v>0</v>
      </c>
      <c r="CJ68" s="206">
        <f t="shared" si="30"/>
        <v>0</v>
      </c>
      <c r="CK68" s="206">
        <f t="shared" si="31"/>
        <v>0</v>
      </c>
      <c r="CL68" s="206">
        <f t="shared" si="32"/>
        <v>0</v>
      </c>
      <c r="CM68" s="206">
        <f t="shared" si="33"/>
        <v>0</v>
      </c>
      <c r="CN68" s="206">
        <f t="shared" si="34"/>
        <v>0</v>
      </c>
      <c r="CO68" s="206">
        <f t="shared" si="35"/>
        <v>0</v>
      </c>
      <c r="CP68" s="206">
        <f t="shared" si="36"/>
        <v>0</v>
      </c>
    </row>
    <row r="69" spans="45:94">
      <c r="AS69" s="206">
        <f>Sheet1!EI73</f>
        <v>0</v>
      </c>
      <c r="AT69" s="206">
        <f>Sheet1!EJ73</f>
        <v>0</v>
      </c>
      <c r="AU69" s="206">
        <f>Sheet1!EK73</f>
        <v>0</v>
      </c>
      <c r="AV69" s="206">
        <f>Sheet1!EL73</f>
        <v>0</v>
      </c>
      <c r="AW69" s="206">
        <f t="shared" si="19"/>
        <v>0</v>
      </c>
      <c r="AX69" s="206">
        <f>Sheet1!EM73</f>
        <v>0</v>
      </c>
      <c r="AY69" s="206">
        <f>Sheet1!EN73</f>
        <v>0</v>
      </c>
      <c r="AZ69" s="206">
        <f>Sheet1!EO73</f>
        <v>0</v>
      </c>
      <c r="BA69" s="206">
        <f>Sheet1!EP73</f>
        <v>0</v>
      </c>
      <c r="BB69" s="206">
        <f t="shared" si="20"/>
        <v>0</v>
      </c>
      <c r="BC69" s="206">
        <f>Sheet1!EQ73</f>
        <v>0</v>
      </c>
      <c r="BD69" s="206">
        <f>Sheet1!ER73</f>
        <v>0</v>
      </c>
      <c r="BE69" s="206">
        <f>Sheet1!ES73</f>
        <v>0</v>
      </c>
      <c r="BF69" s="206">
        <f>Sheet1!ET73</f>
        <v>0</v>
      </c>
      <c r="BG69" s="206">
        <f t="shared" si="21"/>
        <v>0</v>
      </c>
      <c r="BH69" s="206">
        <f>Sheet1!EU73</f>
        <v>0</v>
      </c>
      <c r="BI69" s="206">
        <f>Sheet1!EV73</f>
        <v>0</v>
      </c>
      <c r="BJ69" s="206">
        <f>Sheet1!EW73</f>
        <v>0</v>
      </c>
      <c r="BK69" s="206">
        <f>Sheet1!EX73</f>
        <v>0</v>
      </c>
      <c r="BL69" s="206">
        <f t="shared" si="22"/>
        <v>0</v>
      </c>
      <c r="BM69" s="206">
        <f>Sheet1!EY73</f>
        <v>0</v>
      </c>
      <c r="BN69" s="206">
        <f>Sheet1!EZ73</f>
        <v>0</v>
      </c>
      <c r="BO69" s="206">
        <f>Sheet1!FA73</f>
        <v>0</v>
      </c>
      <c r="BP69" s="206">
        <f>Sheet1!FB73</f>
        <v>0</v>
      </c>
      <c r="BQ69" s="206">
        <f t="shared" si="23"/>
        <v>0</v>
      </c>
      <c r="BR69" s="206">
        <f>Sheet1!FC73</f>
        <v>0</v>
      </c>
      <c r="BS69" s="206">
        <f>Sheet1!FD73</f>
        <v>0</v>
      </c>
      <c r="BT69" s="206">
        <f>Sheet1!FE73</f>
        <v>0</v>
      </c>
      <c r="BU69" s="206">
        <f>Sheet1!FF73</f>
        <v>0</v>
      </c>
      <c r="BV69" s="206">
        <f t="shared" si="24"/>
        <v>0</v>
      </c>
      <c r="BW69" s="206">
        <f>Sheet1!FG73</f>
        <v>0</v>
      </c>
      <c r="BX69" s="206">
        <f>Sheet1!FH73</f>
        <v>0</v>
      </c>
      <c r="BY69" s="206">
        <f>Sheet1!FI73</f>
        <v>0</v>
      </c>
      <c r="BZ69" s="206">
        <f>Sheet1!FJ73</f>
        <v>0</v>
      </c>
      <c r="CA69" s="206">
        <f t="shared" si="25"/>
        <v>0</v>
      </c>
      <c r="CB69" s="206">
        <f>Sheet1!FK73</f>
        <v>0</v>
      </c>
      <c r="CC69" s="206">
        <f>Sheet1!FL73</f>
        <v>0</v>
      </c>
      <c r="CD69" s="206">
        <f>Sheet1!FM73</f>
        <v>0</v>
      </c>
      <c r="CE69" s="206">
        <f>Sheet1!FN73</f>
        <v>0</v>
      </c>
      <c r="CF69" s="206">
        <f t="shared" si="26"/>
        <v>0</v>
      </c>
      <c r="CG69" s="206">
        <f t="shared" si="27"/>
        <v>0</v>
      </c>
      <c r="CH69" s="206">
        <f t="shared" si="28"/>
        <v>0</v>
      </c>
      <c r="CI69" s="206">
        <f t="shared" si="29"/>
        <v>0</v>
      </c>
      <c r="CJ69" s="206">
        <f t="shared" si="30"/>
        <v>0</v>
      </c>
      <c r="CK69" s="206">
        <f t="shared" si="31"/>
        <v>0</v>
      </c>
      <c r="CL69" s="206">
        <f t="shared" si="32"/>
        <v>0</v>
      </c>
      <c r="CM69" s="206">
        <f t="shared" si="33"/>
        <v>0</v>
      </c>
      <c r="CN69" s="206">
        <f t="shared" si="34"/>
        <v>0</v>
      </c>
      <c r="CO69" s="206">
        <f t="shared" si="35"/>
        <v>0</v>
      </c>
      <c r="CP69" s="206">
        <f t="shared" si="36"/>
        <v>0</v>
      </c>
    </row>
    <row r="70" spans="45:94">
      <c r="AS70" s="206">
        <f>Sheet1!EI74</f>
        <v>0</v>
      </c>
      <c r="AT70" s="206">
        <f>Sheet1!EJ74</f>
        <v>0</v>
      </c>
      <c r="AU70" s="206">
        <f>Sheet1!EK74</f>
        <v>0</v>
      </c>
      <c r="AV70" s="206">
        <f>Sheet1!EL74</f>
        <v>0</v>
      </c>
      <c r="AW70" s="206">
        <f t="shared" si="19"/>
        <v>0</v>
      </c>
      <c r="AX70" s="206">
        <f>Sheet1!EM74</f>
        <v>0</v>
      </c>
      <c r="AY70" s="206">
        <f>Sheet1!EN74</f>
        <v>0</v>
      </c>
      <c r="AZ70" s="206">
        <f>Sheet1!EO74</f>
        <v>0</v>
      </c>
      <c r="BA70" s="206">
        <f>Sheet1!EP74</f>
        <v>0</v>
      </c>
      <c r="BB70" s="206">
        <f t="shared" si="20"/>
        <v>0</v>
      </c>
      <c r="BC70" s="206">
        <f>Sheet1!EQ74</f>
        <v>0</v>
      </c>
      <c r="BD70" s="206">
        <f>Sheet1!ER74</f>
        <v>0</v>
      </c>
      <c r="BE70" s="206">
        <f>Sheet1!ES74</f>
        <v>0</v>
      </c>
      <c r="BF70" s="206">
        <f>Sheet1!ET74</f>
        <v>0</v>
      </c>
      <c r="BG70" s="206">
        <f t="shared" si="21"/>
        <v>0</v>
      </c>
      <c r="BH70" s="206">
        <f>Sheet1!EU74</f>
        <v>0</v>
      </c>
      <c r="BI70" s="206">
        <f>Sheet1!EV74</f>
        <v>0</v>
      </c>
      <c r="BJ70" s="206">
        <f>Sheet1!EW74</f>
        <v>0</v>
      </c>
      <c r="BK70" s="206">
        <f>Sheet1!EX74</f>
        <v>0</v>
      </c>
      <c r="BL70" s="206">
        <f t="shared" si="22"/>
        <v>0</v>
      </c>
      <c r="BM70" s="206">
        <f>Sheet1!EY74</f>
        <v>0</v>
      </c>
      <c r="BN70" s="206">
        <f>Sheet1!EZ74</f>
        <v>0</v>
      </c>
      <c r="BO70" s="206">
        <f>Sheet1!FA74</f>
        <v>0</v>
      </c>
      <c r="BP70" s="206">
        <f>Sheet1!FB74</f>
        <v>0</v>
      </c>
      <c r="BQ70" s="206">
        <f t="shared" si="23"/>
        <v>0</v>
      </c>
      <c r="BR70" s="206">
        <f>Sheet1!FC74</f>
        <v>0</v>
      </c>
      <c r="BS70" s="206">
        <f>Sheet1!FD74</f>
        <v>0</v>
      </c>
      <c r="BT70" s="206">
        <f>Sheet1!FE74</f>
        <v>0</v>
      </c>
      <c r="BU70" s="206">
        <f>Sheet1!FF74</f>
        <v>0</v>
      </c>
      <c r="BV70" s="206">
        <f t="shared" si="24"/>
        <v>0</v>
      </c>
      <c r="BW70" s="206">
        <f>Sheet1!FG74</f>
        <v>0</v>
      </c>
      <c r="BX70" s="206">
        <f>Sheet1!FH74</f>
        <v>0</v>
      </c>
      <c r="BY70" s="206">
        <f>Sheet1!FI74</f>
        <v>0</v>
      </c>
      <c r="BZ70" s="206">
        <f>Sheet1!FJ74</f>
        <v>0</v>
      </c>
      <c r="CA70" s="206">
        <f t="shared" si="25"/>
        <v>0</v>
      </c>
      <c r="CB70" s="206">
        <f>Sheet1!FK74</f>
        <v>0</v>
      </c>
      <c r="CC70" s="206">
        <f>Sheet1!FL74</f>
        <v>0</v>
      </c>
      <c r="CD70" s="206">
        <f>Sheet1!FM74</f>
        <v>0</v>
      </c>
      <c r="CE70" s="206">
        <f>Sheet1!FN74</f>
        <v>0</v>
      </c>
      <c r="CF70" s="206">
        <f t="shared" si="26"/>
        <v>0</v>
      </c>
      <c r="CG70" s="206">
        <f t="shared" si="27"/>
        <v>0</v>
      </c>
      <c r="CH70" s="206">
        <f t="shared" si="28"/>
        <v>0</v>
      </c>
      <c r="CI70" s="206">
        <f t="shared" si="29"/>
        <v>0</v>
      </c>
      <c r="CJ70" s="206">
        <f t="shared" si="30"/>
        <v>0</v>
      </c>
      <c r="CK70" s="206">
        <f t="shared" si="31"/>
        <v>0</v>
      </c>
      <c r="CL70" s="206">
        <f t="shared" si="32"/>
        <v>0</v>
      </c>
      <c r="CM70" s="206">
        <f t="shared" si="33"/>
        <v>0</v>
      </c>
      <c r="CN70" s="206">
        <f t="shared" si="34"/>
        <v>0</v>
      </c>
      <c r="CO70" s="206">
        <f t="shared" si="35"/>
        <v>0</v>
      </c>
      <c r="CP70" s="206">
        <f t="shared" si="36"/>
        <v>0</v>
      </c>
    </row>
    <row r="71" spans="45:94">
      <c r="AS71" s="206">
        <f>Sheet1!EI75</f>
        <v>0</v>
      </c>
      <c r="AT71" s="206">
        <f>Sheet1!EJ75</f>
        <v>0</v>
      </c>
      <c r="AU71" s="206">
        <f>Sheet1!EK75</f>
        <v>0</v>
      </c>
      <c r="AV71" s="206">
        <f>Sheet1!EL75</f>
        <v>0</v>
      </c>
      <c r="AW71" s="206">
        <f t="shared" si="19"/>
        <v>0</v>
      </c>
      <c r="AX71" s="206">
        <f>Sheet1!EM75</f>
        <v>0</v>
      </c>
      <c r="AY71" s="206">
        <f>Sheet1!EN75</f>
        <v>0</v>
      </c>
      <c r="AZ71" s="206">
        <f>Sheet1!EO75</f>
        <v>0</v>
      </c>
      <c r="BA71" s="206">
        <f>Sheet1!EP75</f>
        <v>0</v>
      </c>
      <c r="BB71" s="206">
        <f t="shared" si="20"/>
        <v>0</v>
      </c>
      <c r="BC71" s="206">
        <f>Sheet1!EQ75</f>
        <v>0</v>
      </c>
      <c r="BD71" s="206">
        <f>Sheet1!ER75</f>
        <v>0</v>
      </c>
      <c r="BE71" s="206">
        <f>Sheet1!ES75</f>
        <v>0</v>
      </c>
      <c r="BF71" s="206">
        <f>Sheet1!ET75</f>
        <v>0</v>
      </c>
      <c r="BG71" s="206">
        <f t="shared" si="21"/>
        <v>0</v>
      </c>
      <c r="BH71" s="206">
        <f>Sheet1!EU75</f>
        <v>0</v>
      </c>
      <c r="BI71" s="206">
        <f>Sheet1!EV75</f>
        <v>0</v>
      </c>
      <c r="BJ71" s="206">
        <f>Sheet1!EW75</f>
        <v>0</v>
      </c>
      <c r="BK71" s="206">
        <f>Sheet1!EX75</f>
        <v>0</v>
      </c>
      <c r="BL71" s="206">
        <f t="shared" si="22"/>
        <v>0</v>
      </c>
      <c r="BM71" s="206">
        <f>Sheet1!EY75</f>
        <v>0</v>
      </c>
      <c r="BN71" s="206">
        <f>Sheet1!EZ75</f>
        <v>0</v>
      </c>
      <c r="BO71" s="206">
        <f>Sheet1!FA75</f>
        <v>0</v>
      </c>
      <c r="BP71" s="206">
        <f>Sheet1!FB75</f>
        <v>0</v>
      </c>
      <c r="BQ71" s="206">
        <f t="shared" si="23"/>
        <v>0</v>
      </c>
      <c r="BR71" s="206">
        <f>Sheet1!FC75</f>
        <v>0</v>
      </c>
      <c r="BS71" s="206">
        <f>Sheet1!FD75</f>
        <v>0</v>
      </c>
      <c r="BT71" s="206">
        <f>Sheet1!FE75</f>
        <v>0</v>
      </c>
      <c r="BU71" s="206">
        <f>Sheet1!FF75</f>
        <v>0</v>
      </c>
      <c r="BV71" s="206">
        <f t="shared" si="24"/>
        <v>0</v>
      </c>
      <c r="BW71" s="206">
        <f>Sheet1!FG75</f>
        <v>0</v>
      </c>
      <c r="BX71" s="206">
        <f>Sheet1!FH75</f>
        <v>0</v>
      </c>
      <c r="BY71" s="206">
        <f>Sheet1!FI75</f>
        <v>0</v>
      </c>
      <c r="BZ71" s="206">
        <f>Sheet1!FJ75</f>
        <v>0</v>
      </c>
      <c r="CA71" s="206">
        <f t="shared" si="25"/>
        <v>0</v>
      </c>
      <c r="CB71" s="206">
        <f>Sheet1!FK75</f>
        <v>0</v>
      </c>
      <c r="CC71" s="206">
        <f>Sheet1!FL75</f>
        <v>0</v>
      </c>
      <c r="CD71" s="206">
        <f>Sheet1!FM75</f>
        <v>0</v>
      </c>
      <c r="CE71" s="206">
        <f>Sheet1!FN75</f>
        <v>0</v>
      </c>
      <c r="CF71" s="206">
        <f t="shared" si="26"/>
        <v>0</v>
      </c>
      <c r="CG71" s="206">
        <f t="shared" si="27"/>
        <v>0</v>
      </c>
      <c r="CH71" s="206">
        <f t="shared" si="28"/>
        <v>0</v>
      </c>
      <c r="CI71" s="206">
        <f t="shared" si="29"/>
        <v>0</v>
      </c>
      <c r="CJ71" s="206">
        <f t="shared" si="30"/>
        <v>0</v>
      </c>
      <c r="CK71" s="206">
        <f t="shared" si="31"/>
        <v>0</v>
      </c>
      <c r="CL71" s="206">
        <f t="shared" si="32"/>
        <v>0</v>
      </c>
      <c r="CM71" s="206">
        <f t="shared" si="33"/>
        <v>0</v>
      </c>
      <c r="CN71" s="206">
        <f t="shared" si="34"/>
        <v>0</v>
      </c>
      <c r="CO71" s="206">
        <f t="shared" si="35"/>
        <v>0</v>
      </c>
      <c r="CP71" s="206">
        <f t="shared" si="36"/>
        <v>0</v>
      </c>
    </row>
    <row r="72" spans="45:94">
      <c r="AS72" s="206">
        <f>Sheet1!EI76</f>
        <v>0</v>
      </c>
      <c r="AT72" s="206">
        <f>Sheet1!EJ76</f>
        <v>0</v>
      </c>
      <c r="AU72" s="206">
        <f>Sheet1!EK76</f>
        <v>0</v>
      </c>
      <c r="AV72" s="206">
        <f>Sheet1!EL76</f>
        <v>0</v>
      </c>
      <c r="AW72" s="206">
        <f t="shared" si="19"/>
        <v>0</v>
      </c>
      <c r="AX72" s="206">
        <f>Sheet1!EM76</f>
        <v>0</v>
      </c>
      <c r="AY72" s="206">
        <f>Sheet1!EN76</f>
        <v>0</v>
      </c>
      <c r="AZ72" s="206">
        <f>Sheet1!EO76</f>
        <v>0</v>
      </c>
      <c r="BA72" s="206">
        <f>Sheet1!EP76</f>
        <v>0</v>
      </c>
      <c r="BB72" s="206">
        <f t="shared" si="20"/>
        <v>0</v>
      </c>
      <c r="BC72" s="206">
        <f>Sheet1!EQ76</f>
        <v>0</v>
      </c>
      <c r="BD72" s="206">
        <f>Sheet1!ER76</f>
        <v>0</v>
      </c>
      <c r="BE72" s="206">
        <f>Sheet1!ES76</f>
        <v>0</v>
      </c>
      <c r="BF72" s="206">
        <f>Sheet1!ET76</f>
        <v>0</v>
      </c>
      <c r="BG72" s="206">
        <f t="shared" si="21"/>
        <v>0</v>
      </c>
      <c r="BH72" s="206">
        <f>Sheet1!EU76</f>
        <v>0</v>
      </c>
      <c r="BI72" s="206">
        <f>Sheet1!EV76</f>
        <v>0</v>
      </c>
      <c r="BJ72" s="206">
        <f>Sheet1!EW76</f>
        <v>0</v>
      </c>
      <c r="BK72" s="206">
        <f>Sheet1!EX76</f>
        <v>0</v>
      </c>
      <c r="BL72" s="206">
        <f t="shared" si="22"/>
        <v>0</v>
      </c>
      <c r="BM72" s="206">
        <f>Sheet1!EY76</f>
        <v>0</v>
      </c>
      <c r="BN72" s="206">
        <f>Sheet1!EZ76</f>
        <v>0</v>
      </c>
      <c r="BO72" s="206">
        <f>Sheet1!FA76</f>
        <v>0</v>
      </c>
      <c r="BP72" s="206">
        <f>Sheet1!FB76</f>
        <v>0</v>
      </c>
      <c r="BQ72" s="206">
        <f t="shared" si="23"/>
        <v>0</v>
      </c>
      <c r="BR72" s="206">
        <f>Sheet1!FC76</f>
        <v>0</v>
      </c>
      <c r="BS72" s="206">
        <f>Sheet1!FD76</f>
        <v>0</v>
      </c>
      <c r="BT72" s="206">
        <f>Sheet1!FE76</f>
        <v>0</v>
      </c>
      <c r="BU72" s="206">
        <f>Sheet1!FF76</f>
        <v>0</v>
      </c>
      <c r="BV72" s="206">
        <f t="shared" si="24"/>
        <v>0</v>
      </c>
      <c r="BW72" s="206">
        <f>Sheet1!FG76</f>
        <v>0</v>
      </c>
      <c r="BX72" s="206">
        <f>Sheet1!FH76</f>
        <v>0</v>
      </c>
      <c r="BY72" s="206">
        <f>Sheet1!FI76</f>
        <v>0</v>
      </c>
      <c r="BZ72" s="206">
        <f>Sheet1!FJ76</f>
        <v>0</v>
      </c>
      <c r="CA72" s="206">
        <f t="shared" si="25"/>
        <v>0</v>
      </c>
      <c r="CB72" s="206">
        <f>Sheet1!FK76</f>
        <v>0</v>
      </c>
      <c r="CC72" s="206">
        <f>Sheet1!FL76</f>
        <v>0</v>
      </c>
      <c r="CD72" s="206">
        <f>Sheet1!FM76</f>
        <v>0</v>
      </c>
      <c r="CE72" s="206">
        <f>Sheet1!FN76</f>
        <v>0</v>
      </c>
      <c r="CF72" s="206">
        <f t="shared" si="26"/>
        <v>0</v>
      </c>
      <c r="CG72" s="206">
        <f t="shared" si="27"/>
        <v>0</v>
      </c>
      <c r="CH72" s="206">
        <f t="shared" si="28"/>
        <v>0</v>
      </c>
      <c r="CI72" s="206">
        <f t="shared" si="29"/>
        <v>0</v>
      </c>
      <c r="CJ72" s="206">
        <f t="shared" si="30"/>
        <v>0</v>
      </c>
      <c r="CK72" s="206">
        <f t="shared" si="31"/>
        <v>0</v>
      </c>
      <c r="CL72" s="206">
        <f t="shared" si="32"/>
        <v>0</v>
      </c>
      <c r="CM72" s="206">
        <f t="shared" si="33"/>
        <v>0</v>
      </c>
      <c r="CN72" s="206">
        <f t="shared" si="34"/>
        <v>0</v>
      </c>
      <c r="CO72" s="206">
        <f t="shared" si="35"/>
        <v>0</v>
      </c>
      <c r="CP72" s="206">
        <f t="shared" si="36"/>
        <v>0</v>
      </c>
    </row>
    <row r="73" spans="45:94">
      <c r="AS73" s="206">
        <f>Sheet1!EI77</f>
        <v>0</v>
      </c>
      <c r="AT73" s="206">
        <f>Sheet1!EJ77</f>
        <v>0</v>
      </c>
      <c r="AU73" s="206">
        <f>Sheet1!EK77</f>
        <v>0</v>
      </c>
      <c r="AV73" s="206">
        <f>Sheet1!EL77</f>
        <v>0</v>
      </c>
      <c r="AW73" s="206">
        <f t="shared" si="19"/>
        <v>0</v>
      </c>
      <c r="AX73" s="206">
        <f>Sheet1!EM77</f>
        <v>0</v>
      </c>
      <c r="AY73" s="206">
        <f>Sheet1!EN77</f>
        <v>0</v>
      </c>
      <c r="AZ73" s="206">
        <f>Sheet1!EO77</f>
        <v>0</v>
      </c>
      <c r="BA73" s="206">
        <f>Sheet1!EP77</f>
        <v>0</v>
      </c>
      <c r="BB73" s="206">
        <f t="shared" si="20"/>
        <v>0</v>
      </c>
      <c r="BC73" s="206">
        <f>Sheet1!EQ77</f>
        <v>0</v>
      </c>
      <c r="BD73" s="206">
        <f>Sheet1!ER77</f>
        <v>0</v>
      </c>
      <c r="BE73" s="206">
        <f>Sheet1!ES77</f>
        <v>0</v>
      </c>
      <c r="BF73" s="206">
        <f>Sheet1!ET77</f>
        <v>0</v>
      </c>
      <c r="BG73" s="206">
        <f t="shared" si="21"/>
        <v>0</v>
      </c>
      <c r="BH73" s="206">
        <f>Sheet1!EU77</f>
        <v>0</v>
      </c>
      <c r="BI73" s="206">
        <f>Sheet1!EV77</f>
        <v>0</v>
      </c>
      <c r="BJ73" s="206">
        <f>Sheet1!EW77</f>
        <v>0</v>
      </c>
      <c r="BK73" s="206">
        <f>Sheet1!EX77</f>
        <v>0</v>
      </c>
      <c r="BL73" s="206">
        <f t="shared" si="22"/>
        <v>0</v>
      </c>
      <c r="BM73" s="206">
        <f>Sheet1!EY77</f>
        <v>0</v>
      </c>
      <c r="BN73" s="206">
        <f>Sheet1!EZ77</f>
        <v>0</v>
      </c>
      <c r="BO73" s="206">
        <f>Sheet1!FA77</f>
        <v>0</v>
      </c>
      <c r="BP73" s="206">
        <f>Sheet1!FB77</f>
        <v>0</v>
      </c>
      <c r="BQ73" s="206">
        <f t="shared" si="23"/>
        <v>0</v>
      </c>
      <c r="BR73" s="206">
        <f>Sheet1!FC77</f>
        <v>0</v>
      </c>
      <c r="BS73" s="206">
        <f>Sheet1!FD77</f>
        <v>0</v>
      </c>
      <c r="BT73" s="206">
        <f>Sheet1!FE77</f>
        <v>0</v>
      </c>
      <c r="BU73" s="206">
        <f>Sheet1!FF77</f>
        <v>0</v>
      </c>
      <c r="BV73" s="206">
        <f t="shared" si="24"/>
        <v>0</v>
      </c>
      <c r="BW73" s="206">
        <f>Sheet1!FG77</f>
        <v>0</v>
      </c>
      <c r="BX73" s="206">
        <f>Sheet1!FH77</f>
        <v>0</v>
      </c>
      <c r="BY73" s="206">
        <f>Sheet1!FI77</f>
        <v>0</v>
      </c>
      <c r="BZ73" s="206">
        <f>Sheet1!FJ77</f>
        <v>0</v>
      </c>
      <c r="CA73" s="206">
        <f t="shared" si="25"/>
        <v>0</v>
      </c>
      <c r="CB73" s="206">
        <f>Sheet1!FK77</f>
        <v>0</v>
      </c>
      <c r="CC73" s="206">
        <f>Sheet1!FL77</f>
        <v>0</v>
      </c>
      <c r="CD73" s="206">
        <f>Sheet1!FM77</f>
        <v>0</v>
      </c>
      <c r="CE73" s="206">
        <f>Sheet1!FN77</f>
        <v>0</v>
      </c>
      <c r="CF73" s="206">
        <f t="shared" si="26"/>
        <v>0</v>
      </c>
      <c r="CG73" s="206">
        <f t="shared" si="27"/>
        <v>0</v>
      </c>
      <c r="CH73" s="206">
        <f t="shared" si="28"/>
        <v>0</v>
      </c>
      <c r="CI73" s="206">
        <f t="shared" si="29"/>
        <v>0</v>
      </c>
      <c r="CJ73" s="206">
        <f t="shared" si="30"/>
        <v>0</v>
      </c>
      <c r="CK73" s="206">
        <f t="shared" si="31"/>
        <v>0</v>
      </c>
      <c r="CL73" s="206">
        <f t="shared" si="32"/>
        <v>0</v>
      </c>
      <c r="CM73" s="206">
        <f t="shared" si="33"/>
        <v>0</v>
      </c>
      <c r="CN73" s="206">
        <f t="shared" si="34"/>
        <v>0</v>
      </c>
      <c r="CO73" s="206">
        <f t="shared" si="35"/>
        <v>0</v>
      </c>
      <c r="CP73" s="206">
        <f t="shared" si="36"/>
        <v>0</v>
      </c>
    </row>
    <row r="74" spans="45:94">
      <c r="AS74" s="206">
        <f>Sheet1!EI78</f>
        <v>0</v>
      </c>
      <c r="AT74" s="206">
        <f>Sheet1!EJ78</f>
        <v>0</v>
      </c>
      <c r="AU74" s="206">
        <f>Sheet1!EK78</f>
        <v>0</v>
      </c>
      <c r="AV74" s="206">
        <f>Sheet1!EL78</f>
        <v>0</v>
      </c>
      <c r="AW74" s="206">
        <f t="shared" si="19"/>
        <v>0</v>
      </c>
      <c r="AX74" s="206">
        <f>Sheet1!EM78</f>
        <v>0</v>
      </c>
      <c r="AY74" s="206">
        <f>Sheet1!EN78</f>
        <v>0</v>
      </c>
      <c r="AZ74" s="206">
        <f>Sheet1!EO78</f>
        <v>0</v>
      </c>
      <c r="BA74" s="206">
        <f>Sheet1!EP78</f>
        <v>0</v>
      </c>
      <c r="BB74" s="206">
        <f t="shared" si="20"/>
        <v>0</v>
      </c>
      <c r="BC74" s="206">
        <f>Sheet1!EQ78</f>
        <v>0</v>
      </c>
      <c r="BD74" s="206">
        <f>Sheet1!ER78</f>
        <v>0</v>
      </c>
      <c r="BE74" s="206">
        <f>Sheet1!ES78</f>
        <v>0</v>
      </c>
      <c r="BF74" s="206">
        <f>Sheet1!ET78</f>
        <v>0</v>
      </c>
      <c r="BG74" s="206">
        <f t="shared" si="21"/>
        <v>0</v>
      </c>
      <c r="BH74" s="206">
        <f>Sheet1!EU78</f>
        <v>0</v>
      </c>
      <c r="BI74" s="206">
        <f>Sheet1!EV78</f>
        <v>0</v>
      </c>
      <c r="BJ74" s="206">
        <f>Sheet1!EW78</f>
        <v>0</v>
      </c>
      <c r="BK74" s="206">
        <f>Sheet1!EX78</f>
        <v>0</v>
      </c>
      <c r="BL74" s="206">
        <f t="shared" si="22"/>
        <v>0</v>
      </c>
      <c r="BM74" s="206">
        <f>Sheet1!EY78</f>
        <v>0</v>
      </c>
      <c r="BN74" s="206">
        <f>Sheet1!EZ78</f>
        <v>0</v>
      </c>
      <c r="BO74" s="206">
        <f>Sheet1!FA78</f>
        <v>0</v>
      </c>
      <c r="BP74" s="206">
        <f>Sheet1!FB78</f>
        <v>0</v>
      </c>
      <c r="BQ74" s="206">
        <f t="shared" si="23"/>
        <v>0</v>
      </c>
      <c r="BR74" s="206">
        <f>Sheet1!FC78</f>
        <v>0</v>
      </c>
      <c r="BS74" s="206">
        <f>Sheet1!FD78</f>
        <v>0</v>
      </c>
      <c r="BT74" s="206">
        <f>Sheet1!FE78</f>
        <v>0</v>
      </c>
      <c r="BU74" s="206">
        <f>Sheet1!FF78</f>
        <v>0</v>
      </c>
      <c r="BV74" s="206">
        <f t="shared" si="24"/>
        <v>0</v>
      </c>
      <c r="BW74" s="206">
        <f>Sheet1!FG78</f>
        <v>0</v>
      </c>
      <c r="BX74" s="206">
        <f>Sheet1!FH78</f>
        <v>0</v>
      </c>
      <c r="BY74" s="206">
        <f>Sheet1!FI78</f>
        <v>0</v>
      </c>
      <c r="BZ74" s="206">
        <f>Sheet1!FJ78</f>
        <v>0</v>
      </c>
      <c r="CA74" s="206">
        <f t="shared" si="25"/>
        <v>0</v>
      </c>
      <c r="CB74" s="206">
        <f>Sheet1!FK78</f>
        <v>0</v>
      </c>
      <c r="CC74" s="206">
        <f>Sheet1!FL78</f>
        <v>0</v>
      </c>
      <c r="CD74" s="206">
        <f>Sheet1!FM78</f>
        <v>0</v>
      </c>
      <c r="CE74" s="206">
        <f>Sheet1!FN78</f>
        <v>0</v>
      </c>
      <c r="CF74" s="206">
        <f t="shared" si="26"/>
        <v>0</v>
      </c>
      <c r="CG74" s="206">
        <f t="shared" si="27"/>
        <v>0</v>
      </c>
      <c r="CH74" s="206">
        <f t="shared" si="28"/>
        <v>0</v>
      </c>
      <c r="CI74" s="206">
        <f t="shared" si="29"/>
        <v>0</v>
      </c>
      <c r="CJ74" s="206">
        <f t="shared" si="30"/>
        <v>0</v>
      </c>
      <c r="CK74" s="206">
        <f t="shared" si="31"/>
        <v>0</v>
      </c>
      <c r="CL74" s="206">
        <f t="shared" si="32"/>
        <v>0</v>
      </c>
      <c r="CM74" s="206">
        <f t="shared" si="33"/>
        <v>0</v>
      </c>
      <c r="CN74" s="206">
        <f t="shared" si="34"/>
        <v>0</v>
      </c>
      <c r="CO74" s="206">
        <f t="shared" si="35"/>
        <v>0</v>
      </c>
      <c r="CP74" s="206">
        <f t="shared" si="36"/>
        <v>0</v>
      </c>
    </row>
    <row r="75" spans="45:94">
      <c r="AS75" s="206">
        <f>Sheet1!EI79</f>
        <v>0</v>
      </c>
      <c r="AT75" s="206">
        <f>Sheet1!EJ79</f>
        <v>0</v>
      </c>
      <c r="AU75" s="206">
        <f>Sheet1!EK79</f>
        <v>0</v>
      </c>
      <c r="AV75" s="206">
        <f>Sheet1!EL79</f>
        <v>0</v>
      </c>
      <c r="AW75" s="206">
        <f t="shared" si="19"/>
        <v>0</v>
      </c>
      <c r="AX75" s="206">
        <f>Sheet1!EM79</f>
        <v>0</v>
      </c>
      <c r="AY75" s="206">
        <f>Sheet1!EN79</f>
        <v>0</v>
      </c>
      <c r="AZ75" s="206">
        <f>Sheet1!EO79</f>
        <v>0</v>
      </c>
      <c r="BA75" s="206">
        <f>Sheet1!EP79</f>
        <v>0</v>
      </c>
      <c r="BB75" s="206">
        <f t="shared" si="20"/>
        <v>0</v>
      </c>
      <c r="BC75" s="206">
        <f>Sheet1!EQ79</f>
        <v>0</v>
      </c>
      <c r="BD75" s="206">
        <f>Sheet1!ER79</f>
        <v>0</v>
      </c>
      <c r="BE75" s="206">
        <f>Sheet1!ES79</f>
        <v>0</v>
      </c>
      <c r="BF75" s="206">
        <f>Sheet1!ET79</f>
        <v>0</v>
      </c>
      <c r="BG75" s="206">
        <f t="shared" si="21"/>
        <v>0</v>
      </c>
      <c r="BH75" s="206">
        <f>Sheet1!EU79</f>
        <v>0</v>
      </c>
      <c r="BI75" s="206">
        <f>Sheet1!EV79</f>
        <v>0</v>
      </c>
      <c r="BJ75" s="206">
        <f>Sheet1!EW79</f>
        <v>0</v>
      </c>
      <c r="BK75" s="206">
        <f>Sheet1!EX79</f>
        <v>0</v>
      </c>
      <c r="BL75" s="206">
        <f t="shared" si="22"/>
        <v>0</v>
      </c>
      <c r="BM75" s="206">
        <f>Sheet1!EY79</f>
        <v>0</v>
      </c>
      <c r="BN75" s="206">
        <f>Sheet1!EZ79</f>
        <v>0</v>
      </c>
      <c r="BO75" s="206">
        <f>Sheet1!FA79</f>
        <v>0</v>
      </c>
      <c r="BP75" s="206">
        <f>Sheet1!FB79</f>
        <v>0</v>
      </c>
      <c r="BQ75" s="206">
        <f t="shared" si="23"/>
        <v>0</v>
      </c>
      <c r="BR75" s="206">
        <f>Sheet1!FC79</f>
        <v>0</v>
      </c>
      <c r="BS75" s="206">
        <f>Sheet1!FD79</f>
        <v>0</v>
      </c>
      <c r="BT75" s="206">
        <f>Sheet1!FE79</f>
        <v>0</v>
      </c>
      <c r="BU75" s="206">
        <f>Sheet1!FF79</f>
        <v>0</v>
      </c>
      <c r="BV75" s="206">
        <f t="shared" si="24"/>
        <v>0</v>
      </c>
      <c r="BW75" s="206">
        <f>Sheet1!FG79</f>
        <v>0</v>
      </c>
      <c r="BX75" s="206">
        <f>Sheet1!FH79</f>
        <v>0</v>
      </c>
      <c r="BY75" s="206">
        <f>Sheet1!FI79</f>
        <v>0</v>
      </c>
      <c r="BZ75" s="206">
        <f>Sheet1!FJ79</f>
        <v>0</v>
      </c>
      <c r="CA75" s="206">
        <f t="shared" si="25"/>
        <v>0</v>
      </c>
      <c r="CB75" s="206">
        <f>Sheet1!FK79</f>
        <v>0</v>
      </c>
      <c r="CC75" s="206">
        <f>Sheet1!FL79</f>
        <v>0</v>
      </c>
      <c r="CD75" s="206">
        <f>Sheet1!FM79</f>
        <v>0</v>
      </c>
      <c r="CE75" s="206">
        <f>Sheet1!FN79</f>
        <v>0</v>
      </c>
      <c r="CF75" s="206">
        <f t="shared" si="26"/>
        <v>0</v>
      </c>
      <c r="CG75" s="206">
        <f t="shared" si="27"/>
        <v>0</v>
      </c>
      <c r="CH75" s="206">
        <f t="shared" si="28"/>
        <v>0</v>
      </c>
      <c r="CI75" s="206">
        <f t="shared" si="29"/>
        <v>0</v>
      </c>
      <c r="CJ75" s="206">
        <f t="shared" si="30"/>
        <v>0</v>
      </c>
      <c r="CK75" s="206">
        <f t="shared" si="31"/>
        <v>0</v>
      </c>
      <c r="CL75" s="206">
        <f t="shared" si="32"/>
        <v>0</v>
      </c>
      <c r="CM75" s="206">
        <f t="shared" si="33"/>
        <v>0</v>
      </c>
      <c r="CN75" s="206">
        <f t="shared" si="34"/>
        <v>0</v>
      </c>
      <c r="CO75" s="206">
        <f t="shared" si="35"/>
        <v>0</v>
      </c>
      <c r="CP75" s="206">
        <f t="shared" si="36"/>
        <v>0</v>
      </c>
    </row>
    <row r="76" spans="45:94">
      <c r="AS76" s="206">
        <f>Sheet1!EI80</f>
        <v>0</v>
      </c>
      <c r="AT76" s="206">
        <f>Sheet1!EJ80</f>
        <v>0</v>
      </c>
      <c r="AU76" s="206">
        <f>Sheet1!EK80</f>
        <v>0</v>
      </c>
      <c r="AV76" s="206">
        <f>Sheet1!EL80</f>
        <v>0</v>
      </c>
      <c r="AW76" s="206">
        <f t="shared" si="19"/>
        <v>0</v>
      </c>
      <c r="AX76" s="206">
        <f>Sheet1!EM80</f>
        <v>0</v>
      </c>
      <c r="AY76" s="206">
        <f>Sheet1!EN80</f>
        <v>0</v>
      </c>
      <c r="AZ76" s="206">
        <f>Sheet1!EO80</f>
        <v>0</v>
      </c>
      <c r="BA76" s="206">
        <f>Sheet1!EP80</f>
        <v>0</v>
      </c>
      <c r="BB76" s="206">
        <f t="shared" si="20"/>
        <v>0</v>
      </c>
      <c r="BC76" s="206">
        <f>Sheet1!EQ80</f>
        <v>0</v>
      </c>
      <c r="BD76" s="206">
        <f>Sheet1!ER80</f>
        <v>0</v>
      </c>
      <c r="BE76" s="206">
        <f>Sheet1!ES80</f>
        <v>0</v>
      </c>
      <c r="BF76" s="206">
        <f>Sheet1!ET80</f>
        <v>0</v>
      </c>
      <c r="BG76" s="206">
        <f t="shared" si="21"/>
        <v>0</v>
      </c>
      <c r="BH76" s="206">
        <f>Sheet1!EU80</f>
        <v>0</v>
      </c>
      <c r="BI76" s="206">
        <f>Sheet1!EV80</f>
        <v>0</v>
      </c>
      <c r="BJ76" s="206">
        <f>Sheet1!EW80</f>
        <v>0</v>
      </c>
      <c r="BK76" s="206">
        <f>Sheet1!EX80</f>
        <v>0</v>
      </c>
      <c r="BL76" s="206">
        <f t="shared" si="22"/>
        <v>0</v>
      </c>
      <c r="BM76" s="206">
        <f>Sheet1!EY80</f>
        <v>0</v>
      </c>
      <c r="BN76" s="206">
        <f>Sheet1!EZ80</f>
        <v>0</v>
      </c>
      <c r="BO76" s="206">
        <f>Sheet1!FA80</f>
        <v>0</v>
      </c>
      <c r="BP76" s="206">
        <f>Sheet1!FB80</f>
        <v>0</v>
      </c>
      <c r="BQ76" s="206">
        <f t="shared" si="23"/>
        <v>0</v>
      </c>
      <c r="BR76" s="206">
        <f>Sheet1!FC80</f>
        <v>0</v>
      </c>
      <c r="BS76" s="206">
        <f>Sheet1!FD80</f>
        <v>0</v>
      </c>
      <c r="BT76" s="206">
        <f>Sheet1!FE80</f>
        <v>0</v>
      </c>
      <c r="BU76" s="206">
        <f>Sheet1!FF80</f>
        <v>0</v>
      </c>
      <c r="BV76" s="206">
        <f t="shared" si="24"/>
        <v>0</v>
      </c>
      <c r="BW76" s="206">
        <f>Sheet1!FG80</f>
        <v>0</v>
      </c>
      <c r="BX76" s="206">
        <f>Sheet1!FH80</f>
        <v>0</v>
      </c>
      <c r="BY76" s="206">
        <f>Sheet1!FI80</f>
        <v>0</v>
      </c>
      <c r="BZ76" s="206">
        <f>Sheet1!FJ80</f>
        <v>0</v>
      </c>
      <c r="CA76" s="206">
        <f t="shared" si="25"/>
        <v>0</v>
      </c>
      <c r="CB76" s="206">
        <f>Sheet1!FK80</f>
        <v>0</v>
      </c>
      <c r="CC76" s="206">
        <f>Sheet1!FL80</f>
        <v>0</v>
      </c>
      <c r="CD76" s="206">
        <f>Sheet1!FM80</f>
        <v>0</v>
      </c>
      <c r="CE76" s="206">
        <f>Sheet1!FN80</f>
        <v>0</v>
      </c>
      <c r="CF76" s="206">
        <f t="shared" si="26"/>
        <v>0</v>
      </c>
      <c r="CG76" s="206">
        <f t="shared" si="27"/>
        <v>0</v>
      </c>
      <c r="CH76" s="206">
        <f t="shared" si="28"/>
        <v>0</v>
      </c>
      <c r="CI76" s="206">
        <f t="shared" si="29"/>
        <v>0</v>
      </c>
      <c r="CJ76" s="206">
        <f t="shared" si="30"/>
        <v>0</v>
      </c>
      <c r="CK76" s="206">
        <f t="shared" si="31"/>
        <v>0</v>
      </c>
      <c r="CL76" s="206">
        <f t="shared" si="32"/>
        <v>0</v>
      </c>
      <c r="CM76" s="206">
        <f t="shared" si="33"/>
        <v>0</v>
      </c>
      <c r="CN76" s="206">
        <f t="shared" si="34"/>
        <v>0</v>
      </c>
      <c r="CO76" s="206">
        <f t="shared" si="35"/>
        <v>0</v>
      </c>
      <c r="CP76" s="206">
        <f t="shared" si="36"/>
        <v>0</v>
      </c>
    </row>
    <row r="77" spans="45:94">
      <c r="AS77" s="206">
        <f>Sheet1!EI81</f>
        <v>0</v>
      </c>
      <c r="AT77" s="206">
        <f>Sheet1!EJ81</f>
        <v>0</v>
      </c>
      <c r="AU77" s="206">
        <f>Sheet1!EK81</f>
        <v>0</v>
      </c>
      <c r="AV77" s="206">
        <f>Sheet1!EL81</f>
        <v>0</v>
      </c>
      <c r="AW77" s="206">
        <f t="shared" si="19"/>
        <v>0</v>
      </c>
      <c r="AX77" s="206">
        <f>Sheet1!EM81</f>
        <v>0</v>
      </c>
      <c r="AY77" s="206">
        <f>Sheet1!EN81</f>
        <v>0</v>
      </c>
      <c r="AZ77" s="206">
        <f>Sheet1!EO81</f>
        <v>0</v>
      </c>
      <c r="BA77" s="206">
        <f>Sheet1!EP81</f>
        <v>0</v>
      </c>
      <c r="BB77" s="206">
        <f t="shared" si="20"/>
        <v>0</v>
      </c>
      <c r="BC77" s="206">
        <f>Sheet1!EQ81</f>
        <v>0</v>
      </c>
      <c r="BD77" s="206">
        <f>Sheet1!ER81</f>
        <v>0</v>
      </c>
      <c r="BE77" s="206">
        <f>Sheet1!ES81</f>
        <v>0</v>
      </c>
      <c r="BF77" s="206">
        <f>Sheet1!ET81</f>
        <v>0</v>
      </c>
      <c r="BG77" s="206">
        <f t="shared" si="21"/>
        <v>0</v>
      </c>
      <c r="BH77" s="206">
        <f>Sheet1!EU81</f>
        <v>0</v>
      </c>
      <c r="BI77" s="206">
        <f>Sheet1!EV81</f>
        <v>0</v>
      </c>
      <c r="BJ77" s="206">
        <f>Sheet1!EW81</f>
        <v>0</v>
      </c>
      <c r="BK77" s="206">
        <f>Sheet1!EX81</f>
        <v>0</v>
      </c>
      <c r="BL77" s="206">
        <f t="shared" si="22"/>
        <v>0</v>
      </c>
      <c r="BM77" s="206">
        <f>Sheet1!EY81</f>
        <v>0</v>
      </c>
      <c r="BN77" s="206">
        <f>Sheet1!EZ81</f>
        <v>0</v>
      </c>
      <c r="BO77" s="206">
        <f>Sheet1!FA81</f>
        <v>0</v>
      </c>
      <c r="BP77" s="206">
        <f>Sheet1!FB81</f>
        <v>0</v>
      </c>
      <c r="BQ77" s="206">
        <f t="shared" si="23"/>
        <v>0</v>
      </c>
      <c r="BR77" s="206">
        <f>Sheet1!FC81</f>
        <v>0</v>
      </c>
      <c r="BS77" s="206">
        <f>Sheet1!FD81</f>
        <v>0</v>
      </c>
      <c r="BT77" s="206">
        <f>Sheet1!FE81</f>
        <v>0</v>
      </c>
      <c r="BU77" s="206">
        <f>Sheet1!FF81</f>
        <v>0</v>
      </c>
      <c r="BV77" s="206">
        <f t="shared" si="24"/>
        <v>0</v>
      </c>
      <c r="BW77" s="206">
        <f>Sheet1!FG81</f>
        <v>0</v>
      </c>
      <c r="BX77" s="206">
        <f>Sheet1!FH81</f>
        <v>0</v>
      </c>
      <c r="BY77" s="206">
        <f>Sheet1!FI81</f>
        <v>0</v>
      </c>
      <c r="BZ77" s="206">
        <f>Sheet1!FJ81</f>
        <v>0</v>
      </c>
      <c r="CA77" s="206">
        <f t="shared" si="25"/>
        <v>0</v>
      </c>
      <c r="CB77" s="206">
        <f>Sheet1!FK81</f>
        <v>0</v>
      </c>
      <c r="CC77" s="206">
        <f>Sheet1!FL81</f>
        <v>0</v>
      </c>
      <c r="CD77" s="206">
        <f>Sheet1!FM81</f>
        <v>0</v>
      </c>
      <c r="CE77" s="206">
        <f>Sheet1!FN81</f>
        <v>0</v>
      </c>
      <c r="CF77" s="206">
        <f t="shared" si="26"/>
        <v>0</v>
      </c>
      <c r="CG77" s="206">
        <f t="shared" si="27"/>
        <v>0</v>
      </c>
      <c r="CH77" s="206">
        <f t="shared" si="28"/>
        <v>0</v>
      </c>
      <c r="CI77" s="206">
        <f t="shared" si="29"/>
        <v>0</v>
      </c>
      <c r="CJ77" s="206">
        <f t="shared" si="30"/>
        <v>0</v>
      </c>
      <c r="CK77" s="206">
        <f t="shared" si="31"/>
        <v>0</v>
      </c>
      <c r="CL77" s="206">
        <f t="shared" si="32"/>
        <v>0</v>
      </c>
      <c r="CM77" s="206">
        <f t="shared" si="33"/>
        <v>0</v>
      </c>
      <c r="CN77" s="206">
        <f t="shared" si="34"/>
        <v>0</v>
      </c>
      <c r="CO77" s="206">
        <f t="shared" si="35"/>
        <v>0</v>
      </c>
      <c r="CP77" s="206">
        <f t="shared" si="36"/>
        <v>0</v>
      </c>
    </row>
    <row r="78" spans="45:94">
      <c r="AS78" s="206">
        <f>Sheet1!EI82</f>
        <v>0</v>
      </c>
      <c r="AT78" s="206">
        <f>Sheet1!EJ82</f>
        <v>0</v>
      </c>
      <c r="AU78" s="206">
        <f>Sheet1!EK82</f>
        <v>0</v>
      </c>
      <c r="AV78" s="206">
        <f>Sheet1!EL82</f>
        <v>0</v>
      </c>
      <c r="AW78" s="206">
        <f t="shared" si="19"/>
        <v>0</v>
      </c>
      <c r="AX78" s="206">
        <f>Sheet1!EM82</f>
        <v>0</v>
      </c>
      <c r="AY78" s="206">
        <f>Sheet1!EN82</f>
        <v>0</v>
      </c>
      <c r="AZ78" s="206">
        <f>Sheet1!EO82</f>
        <v>0</v>
      </c>
      <c r="BA78" s="206">
        <f>Sheet1!EP82</f>
        <v>0</v>
      </c>
      <c r="BB78" s="206">
        <f t="shared" si="20"/>
        <v>0</v>
      </c>
      <c r="BC78" s="206">
        <f>Sheet1!EQ82</f>
        <v>0</v>
      </c>
      <c r="BD78" s="206">
        <f>Sheet1!ER82</f>
        <v>0</v>
      </c>
      <c r="BE78" s="206">
        <f>Sheet1!ES82</f>
        <v>0</v>
      </c>
      <c r="BF78" s="206">
        <f>Sheet1!ET82</f>
        <v>0</v>
      </c>
      <c r="BG78" s="206">
        <f t="shared" si="21"/>
        <v>0</v>
      </c>
      <c r="BH78" s="206">
        <f>Sheet1!EU82</f>
        <v>0</v>
      </c>
      <c r="BI78" s="206">
        <f>Sheet1!EV82</f>
        <v>0</v>
      </c>
      <c r="BJ78" s="206">
        <f>Sheet1!EW82</f>
        <v>0</v>
      </c>
      <c r="BK78" s="206">
        <f>Sheet1!EX82</f>
        <v>0</v>
      </c>
      <c r="BL78" s="206">
        <f t="shared" si="22"/>
        <v>0</v>
      </c>
      <c r="BM78" s="206">
        <f>Sheet1!EY82</f>
        <v>0</v>
      </c>
      <c r="BN78" s="206">
        <f>Sheet1!EZ82</f>
        <v>0</v>
      </c>
      <c r="BO78" s="206">
        <f>Sheet1!FA82</f>
        <v>0</v>
      </c>
      <c r="BP78" s="206">
        <f>Sheet1!FB82</f>
        <v>0</v>
      </c>
      <c r="BQ78" s="206">
        <f t="shared" si="23"/>
        <v>0</v>
      </c>
      <c r="BR78" s="206">
        <f>Sheet1!FC82</f>
        <v>0</v>
      </c>
      <c r="BS78" s="206">
        <f>Sheet1!FD82</f>
        <v>0</v>
      </c>
      <c r="BT78" s="206">
        <f>Sheet1!FE82</f>
        <v>0</v>
      </c>
      <c r="BU78" s="206">
        <f>Sheet1!FF82</f>
        <v>0</v>
      </c>
      <c r="BV78" s="206">
        <f t="shared" si="24"/>
        <v>0</v>
      </c>
      <c r="BW78" s="206">
        <f>Sheet1!FG82</f>
        <v>0</v>
      </c>
      <c r="BX78" s="206">
        <f>Sheet1!FH82</f>
        <v>0</v>
      </c>
      <c r="BY78" s="206">
        <f>Sheet1!FI82</f>
        <v>0</v>
      </c>
      <c r="BZ78" s="206">
        <f>Sheet1!FJ82</f>
        <v>0</v>
      </c>
      <c r="CA78" s="206">
        <f t="shared" si="25"/>
        <v>0</v>
      </c>
      <c r="CB78" s="206">
        <f>Sheet1!FK82</f>
        <v>0</v>
      </c>
      <c r="CC78" s="206">
        <f>Sheet1!FL82</f>
        <v>0</v>
      </c>
      <c r="CD78" s="206">
        <f>Sheet1!FM82</f>
        <v>0</v>
      </c>
      <c r="CE78" s="206">
        <f>Sheet1!FN82</f>
        <v>0</v>
      </c>
      <c r="CF78" s="206">
        <f t="shared" si="26"/>
        <v>0</v>
      </c>
      <c r="CG78" s="206">
        <f t="shared" si="27"/>
        <v>0</v>
      </c>
      <c r="CH78" s="206">
        <f t="shared" si="28"/>
        <v>0</v>
      </c>
      <c r="CI78" s="206">
        <f t="shared" si="29"/>
        <v>0</v>
      </c>
      <c r="CJ78" s="206">
        <f t="shared" si="30"/>
        <v>0</v>
      </c>
      <c r="CK78" s="206">
        <f t="shared" si="31"/>
        <v>0</v>
      </c>
      <c r="CL78" s="206">
        <f t="shared" si="32"/>
        <v>0</v>
      </c>
      <c r="CM78" s="206">
        <f t="shared" si="33"/>
        <v>0</v>
      </c>
      <c r="CN78" s="206">
        <f t="shared" si="34"/>
        <v>0</v>
      </c>
      <c r="CO78" s="206">
        <f t="shared" si="35"/>
        <v>0</v>
      </c>
      <c r="CP78" s="206">
        <f t="shared" si="36"/>
        <v>0</v>
      </c>
    </row>
    <row r="79" spans="45:94">
      <c r="AS79" s="206">
        <f>Sheet1!EI83</f>
        <v>0</v>
      </c>
      <c r="AT79" s="206">
        <f>Sheet1!EJ83</f>
        <v>0</v>
      </c>
      <c r="AU79" s="206">
        <f>Sheet1!EK83</f>
        <v>0</v>
      </c>
      <c r="AV79" s="206">
        <f>Sheet1!EL83</f>
        <v>0</v>
      </c>
      <c r="AW79" s="206">
        <f t="shared" si="19"/>
        <v>0</v>
      </c>
      <c r="AX79" s="206">
        <f>Sheet1!EM83</f>
        <v>0</v>
      </c>
      <c r="AY79" s="206">
        <f>Sheet1!EN83</f>
        <v>0</v>
      </c>
      <c r="AZ79" s="206">
        <f>Sheet1!EO83</f>
        <v>0</v>
      </c>
      <c r="BA79" s="206">
        <f>Sheet1!EP83</f>
        <v>0</v>
      </c>
      <c r="BB79" s="206">
        <f t="shared" si="20"/>
        <v>0</v>
      </c>
      <c r="BC79" s="206">
        <f>Sheet1!EQ83</f>
        <v>0</v>
      </c>
      <c r="BD79" s="206">
        <f>Sheet1!ER83</f>
        <v>0</v>
      </c>
      <c r="BE79" s="206">
        <f>Sheet1!ES83</f>
        <v>0</v>
      </c>
      <c r="BF79" s="206">
        <f>Sheet1!ET83</f>
        <v>0</v>
      </c>
      <c r="BG79" s="206">
        <f t="shared" si="21"/>
        <v>0</v>
      </c>
      <c r="BH79" s="206">
        <f>Sheet1!EU83</f>
        <v>0</v>
      </c>
      <c r="BI79" s="206">
        <f>Sheet1!EV83</f>
        <v>0</v>
      </c>
      <c r="BJ79" s="206">
        <f>Sheet1!EW83</f>
        <v>0</v>
      </c>
      <c r="BK79" s="206">
        <f>Sheet1!EX83</f>
        <v>0</v>
      </c>
      <c r="BL79" s="206">
        <f t="shared" si="22"/>
        <v>0</v>
      </c>
      <c r="BM79" s="206">
        <f>Sheet1!EY83</f>
        <v>0</v>
      </c>
      <c r="BN79" s="206">
        <f>Sheet1!EZ83</f>
        <v>0</v>
      </c>
      <c r="BO79" s="206">
        <f>Sheet1!FA83</f>
        <v>0</v>
      </c>
      <c r="BP79" s="206">
        <f>Sheet1!FB83</f>
        <v>0</v>
      </c>
      <c r="BQ79" s="206">
        <f t="shared" si="23"/>
        <v>0</v>
      </c>
      <c r="BR79" s="206">
        <f>Sheet1!FC83</f>
        <v>0</v>
      </c>
      <c r="BS79" s="206">
        <f>Sheet1!FD83</f>
        <v>0</v>
      </c>
      <c r="BT79" s="206">
        <f>Sheet1!FE83</f>
        <v>0</v>
      </c>
      <c r="BU79" s="206">
        <f>Sheet1!FF83</f>
        <v>0</v>
      </c>
      <c r="BV79" s="206">
        <f t="shared" si="24"/>
        <v>0</v>
      </c>
      <c r="BW79" s="206">
        <f>Sheet1!FG83</f>
        <v>0</v>
      </c>
      <c r="BX79" s="206">
        <f>Sheet1!FH83</f>
        <v>0</v>
      </c>
      <c r="BY79" s="206">
        <f>Sheet1!FI83</f>
        <v>0</v>
      </c>
      <c r="BZ79" s="206">
        <f>Sheet1!FJ83</f>
        <v>0</v>
      </c>
      <c r="CA79" s="206">
        <f t="shared" si="25"/>
        <v>0</v>
      </c>
      <c r="CB79" s="206">
        <f>Sheet1!FK83</f>
        <v>0</v>
      </c>
      <c r="CC79" s="206">
        <f>Sheet1!FL83</f>
        <v>0</v>
      </c>
      <c r="CD79" s="206">
        <f>Sheet1!FM83</f>
        <v>0</v>
      </c>
      <c r="CE79" s="206">
        <f>Sheet1!FN83</f>
        <v>0</v>
      </c>
      <c r="CF79" s="206">
        <f t="shared" si="26"/>
        <v>0</v>
      </c>
      <c r="CG79" s="206">
        <f t="shared" si="27"/>
        <v>0</v>
      </c>
      <c r="CH79" s="206">
        <f t="shared" si="28"/>
        <v>0</v>
      </c>
      <c r="CI79" s="206">
        <f t="shared" si="29"/>
        <v>0</v>
      </c>
      <c r="CJ79" s="206">
        <f t="shared" si="30"/>
        <v>0</v>
      </c>
      <c r="CK79" s="206">
        <f t="shared" si="31"/>
        <v>0</v>
      </c>
      <c r="CL79" s="206">
        <f t="shared" si="32"/>
        <v>0</v>
      </c>
      <c r="CM79" s="206">
        <f t="shared" si="33"/>
        <v>0</v>
      </c>
      <c r="CN79" s="206">
        <f t="shared" si="34"/>
        <v>0</v>
      </c>
      <c r="CO79" s="206">
        <f t="shared" si="35"/>
        <v>0</v>
      </c>
      <c r="CP79" s="206">
        <f t="shared" si="36"/>
        <v>0</v>
      </c>
    </row>
    <row r="80" spans="45:94">
      <c r="AS80" s="206">
        <f>Sheet1!EI84</f>
        <v>0</v>
      </c>
      <c r="AT80" s="206">
        <f>Sheet1!EJ84</f>
        <v>0</v>
      </c>
      <c r="AU80" s="206">
        <f>Sheet1!EK84</f>
        <v>0</v>
      </c>
      <c r="AV80" s="206">
        <f>Sheet1!EL84</f>
        <v>0</v>
      </c>
      <c r="AW80" s="206">
        <f t="shared" si="19"/>
        <v>0</v>
      </c>
      <c r="AX80" s="206">
        <f>Sheet1!EM84</f>
        <v>0</v>
      </c>
      <c r="AY80" s="206">
        <f>Sheet1!EN84</f>
        <v>0</v>
      </c>
      <c r="AZ80" s="206">
        <f>Sheet1!EO84</f>
        <v>0</v>
      </c>
      <c r="BA80" s="206">
        <f>Sheet1!EP84</f>
        <v>0</v>
      </c>
      <c r="BB80" s="206">
        <f t="shared" si="20"/>
        <v>0</v>
      </c>
      <c r="BC80" s="206">
        <f>Sheet1!EQ84</f>
        <v>0</v>
      </c>
      <c r="BD80" s="206">
        <f>Sheet1!ER84</f>
        <v>0</v>
      </c>
      <c r="BE80" s="206">
        <f>Sheet1!ES84</f>
        <v>0</v>
      </c>
      <c r="BF80" s="206">
        <f>Sheet1!ET84</f>
        <v>0</v>
      </c>
      <c r="BG80" s="206">
        <f t="shared" si="21"/>
        <v>0</v>
      </c>
      <c r="BH80" s="206">
        <f>Sheet1!EU84</f>
        <v>0</v>
      </c>
      <c r="BI80" s="206">
        <f>Sheet1!EV84</f>
        <v>0</v>
      </c>
      <c r="BJ80" s="206">
        <f>Sheet1!EW84</f>
        <v>0</v>
      </c>
      <c r="BK80" s="206">
        <f>Sheet1!EX84</f>
        <v>0</v>
      </c>
      <c r="BL80" s="206">
        <f t="shared" si="22"/>
        <v>0</v>
      </c>
      <c r="BM80" s="206">
        <f>Sheet1!EY84</f>
        <v>0</v>
      </c>
      <c r="BN80" s="206">
        <f>Sheet1!EZ84</f>
        <v>0</v>
      </c>
      <c r="BO80" s="206">
        <f>Sheet1!FA84</f>
        <v>0</v>
      </c>
      <c r="BP80" s="206">
        <f>Sheet1!FB84</f>
        <v>0</v>
      </c>
      <c r="BQ80" s="206">
        <f t="shared" si="23"/>
        <v>0</v>
      </c>
      <c r="BR80" s="206">
        <f>Sheet1!FC84</f>
        <v>0</v>
      </c>
      <c r="BS80" s="206">
        <f>Sheet1!FD84</f>
        <v>0</v>
      </c>
      <c r="BT80" s="206">
        <f>Sheet1!FE84</f>
        <v>0</v>
      </c>
      <c r="BU80" s="206">
        <f>Sheet1!FF84</f>
        <v>0</v>
      </c>
      <c r="BV80" s="206">
        <f t="shared" si="24"/>
        <v>0</v>
      </c>
      <c r="BW80" s="206">
        <f>Sheet1!FG84</f>
        <v>0</v>
      </c>
      <c r="BX80" s="206">
        <f>Sheet1!FH84</f>
        <v>0</v>
      </c>
      <c r="BY80" s="206">
        <f>Sheet1!FI84</f>
        <v>0</v>
      </c>
      <c r="BZ80" s="206">
        <f>Sheet1!FJ84</f>
        <v>0</v>
      </c>
      <c r="CA80" s="206">
        <f t="shared" si="25"/>
        <v>0</v>
      </c>
      <c r="CB80" s="206">
        <f>Sheet1!FK84</f>
        <v>0</v>
      </c>
      <c r="CC80" s="206">
        <f>Sheet1!FL84</f>
        <v>0</v>
      </c>
      <c r="CD80" s="206">
        <f>Sheet1!FM84</f>
        <v>0</v>
      </c>
      <c r="CE80" s="206">
        <f>Sheet1!FN84</f>
        <v>0</v>
      </c>
      <c r="CF80" s="206">
        <f t="shared" si="26"/>
        <v>0</v>
      </c>
      <c r="CG80" s="206">
        <f t="shared" si="27"/>
        <v>0</v>
      </c>
      <c r="CH80" s="206">
        <f t="shared" si="28"/>
        <v>0</v>
      </c>
      <c r="CI80" s="206">
        <f t="shared" si="29"/>
        <v>0</v>
      </c>
      <c r="CJ80" s="206">
        <f t="shared" si="30"/>
        <v>0</v>
      </c>
      <c r="CK80" s="206">
        <f t="shared" si="31"/>
        <v>0</v>
      </c>
      <c r="CL80" s="206">
        <f t="shared" si="32"/>
        <v>0</v>
      </c>
      <c r="CM80" s="206">
        <f t="shared" si="33"/>
        <v>0</v>
      </c>
      <c r="CN80" s="206">
        <f t="shared" si="34"/>
        <v>0</v>
      </c>
      <c r="CO80" s="206">
        <f t="shared" si="35"/>
        <v>0</v>
      </c>
      <c r="CP80" s="206">
        <f t="shared" si="36"/>
        <v>0</v>
      </c>
    </row>
    <row r="81" spans="45:94">
      <c r="AS81" s="206">
        <f>Sheet1!EI85</f>
        <v>0</v>
      </c>
      <c r="AT81" s="206">
        <f>Sheet1!EJ85</f>
        <v>0</v>
      </c>
      <c r="AU81" s="206">
        <f>Sheet1!EK85</f>
        <v>0</v>
      </c>
      <c r="AV81" s="206">
        <f>Sheet1!EL85</f>
        <v>0</v>
      </c>
      <c r="AW81" s="206">
        <f t="shared" si="19"/>
        <v>0</v>
      </c>
      <c r="AX81" s="206">
        <f>Sheet1!EM85</f>
        <v>0</v>
      </c>
      <c r="AY81" s="206">
        <f>Sheet1!EN85</f>
        <v>0</v>
      </c>
      <c r="AZ81" s="206">
        <f>Sheet1!EO85</f>
        <v>0</v>
      </c>
      <c r="BA81" s="206">
        <f>Sheet1!EP85</f>
        <v>0</v>
      </c>
      <c r="BB81" s="206">
        <f t="shared" si="20"/>
        <v>0</v>
      </c>
      <c r="BC81" s="206">
        <f>Sheet1!EQ85</f>
        <v>0</v>
      </c>
      <c r="BD81" s="206">
        <f>Sheet1!ER85</f>
        <v>0</v>
      </c>
      <c r="BE81" s="206">
        <f>Sheet1!ES85</f>
        <v>0</v>
      </c>
      <c r="BF81" s="206">
        <f>Sheet1!ET85</f>
        <v>0</v>
      </c>
      <c r="BG81" s="206">
        <f t="shared" si="21"/>
        <v>0</v>
      </c>
      <c r="BH81" s="206">
        <f>Sheet1!EU85</f>
        <v>0</v>
      </c>
      <c r="BI81" s="206">
        <f>Sheet1!EV85</f>
        <v>0</v>
      </c>
      <c r="BJ81" s="206">
        <f>Sheet1!EW85</f>
        <v>0</v>
      </c>
      <c r="BK81" s="206">
        <f>Sheet1!EX85</f>
        <v>0</v>
      </c>
      <c r="BL81" s="206">
        <f t="shared" si="22"/>
        <v>0</v>
      </c>
      <c r="BM81" s="206">
        <f>Sheet1!EY85</f>
        <v>0</v>
      </c>
      <c r="BN81" s="206">
        <f>Sheet1!EZ85</f>
        <v>0</v>
      </c>
      <c r="BO81" s="206">
        <f>Sheet1!FA85</f>
        <v>0</v>
      </c>
      <c r="BP81" s="206">
        <f>Sheet1!FB85</f>
        <v>0</v>
      </c>
      <c r="BQ81" s="206">
        <f t="shared" si="23"/>
        <v>0</v>
      </c>
      <c r="BR81" s="206">
        <f>Sheet1!FC85</f>
        <v>0</v>
      </c>
      <c r="BS81" s="206">
        <f>Sheet1!FD85</f>
        <v>0</v>
      </c>
      <c r="BT81" s="206">
        <f>Sheet1!FE85</f>
        <v>0</v>
      </c>
      <c r="BU81" s="206">
        <f>Sheet1!FF85</f>
        <v>0</v>
      </c>
      <c r="BV81" s="206">
        <f t="shared" si="24"/>
        <v>0</v>
      </c>
      <c r="BW81" s="206">
        <f>Sheet1!FG85</f>
        <v>0</v>
      </c>
      <c r="BX81" s="206">
        <f>Sheet1!FH85</f>
        <v>0</v>
      </c>
      <c r="BY81" s="206">
        <f>Sheet1!FI85</f>
        <v>0</v>
      </c>
      <c r="BZ81" s="206">
        <f>Sheet1!FJ85</f>
        <v>0</v>
      </c>
      <c r="CA81" s="206">
        <f t="shared" si="25"/>
        <v>0</v>
      </c>
      <c r="CB81" s="206">
        <f>Sheet1!FK85</f>
        <v>0</v>
      </c>
      <c r="CC81" s="206">
        <f>Sheet1!FL85</f>
        <v>0</v>
      </c>
      <c r="CD81" s="206">
        <f>Sheet1!FM85</f>
        <v>0</v>
      </c>
      <c r="CE81" s="206">
        <f>Sheet1!FN85</f>
        <v>0</v>
      </c>
      <c r="CF81" s="206">
        <f t="shared" si="26"/>
        <v>0</v>
      </c>
      <c r="CG81" s="206">
        <f t="shared" si="27"/>
        <v>0</v>
      </c>
      <c r="CH81" s="206">
        <f t="shared" si="28"/>
        <v>0</v>
      </c>
      <c r="CI81" s="206">
        <f t="shared" si="29"/>
        <v>0</v>
      </c>
      <c r="CJ81" s="206">
        <f t="shared" si="30"/>
        <v>0</v>
      </c>
      <c r="CK81" s="206">
        <f t="shared" si="31"/>
        <v>0</v>
      </c>
      <c r="CL81" s="206">
        <f t="shared" si="32"/>
        <v>0</v>
      </c>
      <c r="CM81" s="206">
        <f t="shared" si="33"/>
        <v>0</v>
      </c>
      <c r="CN81" s="206">
        <f t="shared" si="34"/>
        <v>0</v>
      </c>
      <c r="CO81" s="206">
        <f t="shared" si="35"/>
        <v>0</v>
      </c>
      <c r="CP81" s="206">
        <f t="shared" si="36"/>
        <v>0</v>
      </c>
    </row>
    <row r="82" spans="45:94">
      <c r="AS82" s="206">
        <f>Sheet1!EI86</f>
        <v>0</v>
      </c>
      <c r="AT82" s="206">
        <f>Sheet1!EJ86</f>
        <v>0</v>
      </c>
      <c r="AU82" s="206">
        <f>Sheet1!EK86</f>
        <v>0</v>
      </c>
      <c r="AV82" s="206">
        <f>Sheet1!EL86</f>
        <v>0</v>
      </c>
      <c r="AW82" s="206">
        <f t="shared" si="19"/>
        <v>0</v>
      </c>
      <c r="AX82" s="206">
        <f>Sheet1!EM86</f>
        <v>0</v>
      </c>
      <c r="AY82" s="206">
        <f>Sheet1!EN86</f>
        <v>0</v>
      </c>
      <c r="AZ82" s="206">
        <f>Sheet1!EO86</f>
        <v>0</v>
      </c>
      <c r="BA82" s="206">
        <f>Sheet1!EP86</f>
        <v>0</v>
      </c>
      <c r="BB82" s="206">
        <f t="shared" si="20"/>
        <v>0</v>
      </c>
      <c r="BC82" s="206">
        <f>Sheet1!EQ86</f>
        <v>0</v>
      </c>
      <c r="BD82" s="206">
        <f>Sheet1!ER86</f>
        <v>0</v>
      </c>
      <c r="BE82" s="206">
        <f>Sheet1!ES86</f>
        <v>0</v>
      </c>
      <c r="BF82" s="206">
        <f>Sheet1!ET86</f>
        <v>0</v>
      </c>
      <c r="BG82" s="206">
        <f t="shared" si="21"/>
        <v>0</v>
      </c>
      <c r="BH82" s="206">
        <f>Sheet1!EU86</f>
        <v>0</v>
      </c>
      <c r="BI82" s="206">
        <f>Sheet1!EV86</f>
        <v>0</v>
      </c>
      <c r="BJ82" s="206">
        <f>Sheet1!EW86</f>
        <v>0</v>
      </c>
      <c r="BK82" s="206">
        <f>Sheet1!EX86</f>
        <v>0</v>
      </c>
      <c r="BL82" s="206">
        <f t="shared" si="22"/>
        <v>0</v>
      </c>
      <c r="BM82" s="206">
        <f>Sheet1!EY86</f>
        <v>0</v>
      </c>
      <c r="BN82" s="206">
        <f>Sheet1!EZ86</f>
        <v>0</v>
      </c>
      <c r="BO82" s="206">
        <f>Sheet1!FA86</f>
        <v>0</v>
      </c>
      <c r="BP82" s="206">
        <f>Sheet1!FB86</f>
        <v>0</v>
      </c>
      <c r="BQ82" s="206">
        <f t="shared" si="23"/>
        <v>0</v>
      </c>
      <c r="BR82" s="206">
        <f>Sheet1!FC86</f>
        <v>0</v>
      </c>
      <c r="BS82" s="206">
        <f>Sheet1!FD86</f>
        <v>0</v>
      </c>
      <c r="BT82" s="206">
        <f>Sheet1!FE86</f>
        <v>0</v>
      </c>
      <c r="BU82" s="206">
        <f>Sheet1!FF86</f>
        <v>0</v>
      </c>
      <c r="BV82" s="206">
        <f t="shared" si="24"/>
        <v>0</v>
      </c>
      <c r="BW82" s="206">
        <f>Sheet1!FG86</f>
        <v>0</v>
      </c>
      <c r="BX82" s="206">
        <f>Sheet1!FH86</f>
        <v>0</v>
      </c>
      <c r="BY82" s="206">
        <f>Sheet1!FI86</f>
        <v>0</v>
      </c>
      <c r="BZ82" s="206">
        <f>Sheet1!FJ86</f>
        <v>0</v>
      </c>
      <c r="CA82" s="206">
        <f t="shared" si="25"/>
        <v>0</v>
      </c>
      <c r="CB82" s="206">
        <f>Sheet1!FK86</f>
        <v>0</v>
      </c>
      <c r="CC82" s="206">
        <f>Sheet1!FL86</f>
        <v>0</v>
      </c>
      <c r="CD82" s="206">
        <f>Sheet1!FM86</f>
        <v>0</v>
      </c>
      <c r="CE82" s="206">
        <f>Sheet1!FN86</f>
        <v>0</v>
      </c>
      <c r="CF82" s="206">
        <f t="shared" si="26"/>
        <v>0</v>
      </c>
      <c r="CG82" s="206">
        <f t="shared" si="27"/>
        <v>0</v>
      </c>
      <c r="CH82" s="206">
        <f t="shared" si="28"/>
        <v>0</v>
      </c>
      <c r="CI82" s="206">
        <f t="shared" si="29"/>
        <v>0</v>
      </c>
      <c r="CJ82" s="206">
        <f t="shared" si="30"/>
        <v>0</v>
      </c>
      <c r="CK82" s="206">
        <f t="shared" si="31"/>
        <v>0</v>
      </c>
      <c r="CL82" s="206">
        <f t="shared" si="32"/>
        <v>0</v>
      </c>
      <c r="CM82" s="206">
        <f t="shared" si="33"/>
        <v>0</v>
      </c>
      <c r="CN82" s="206">
        <f t="shared" si="34"/>
        <v>0</v>
      </c>
      <c r="CO82" s="206">
        <f t="shared" si="35"/>
        <v>0</v>
      </c>
      <c r="CP82" s="206">
        <f t="shared" si="36"/>
        <v>0</v>
      </c>
    </row>
    <row r="83" spans="45:94">
      <c r="AS83" s="206">
        <f>Sheet1!EI87</f>
        <v>0</v>
      </c>
      <c r="AT83" s="206">
        <f>Sheet1!EJ87</f>
        <v>0</v>
      </c>
      <c r="AU83" s="206">
        <f>Sheet1!EK87</f>
        <v>0</v>
      </c>
      <c r="AV83" s="206">
        <f>Sheet1!EL87</f>
        <v>0</v>
      </c>
      <c r="AW83" s="206">
        <f t="shared" si="19"/>
        <v>0</v>
      </c>
      <c r="AX83" s="206">
        <f>Sheet1!EM87</f>
        <v>0</v>
      </c>
      <c r="AY83" s="206">
        <f>Sheet1!EN87</f>
        <v>0</v>
      </c>
      <c r="AZ83" s="206">
        <f>Sheet1!EO87</f>
        <v>0</v>
      </c>
      <c r="BA83" s="206">
        <f>Sheet1!EP87</f>
        <v>0</v>
      </c>
      <c r="BB83" s="206">
        <f t="shared" si="20"/>
        <v>0</v>
      </c>
      <c r="BC83" s="206">
        <f>Sheet1!EQ87</f>
        <v>0</v>
      </c>
      <c r="BD83" s="206">
        <f>Sheet1!ER87</f>
        <v>0</v>
      </c>
      <c r="BE83" s="206">
        <f>Sheet1!ES87</f>
        <v>0</v>
      </c>
      <c r="BF83" s="206">
        <f>Sheet1!ET87</f>
        <v>0</v>
      </c>
      <c r="BG83" s="206">
        <f t="shared" si="21"/>
        <v>0</v>
      </c>
      <c r="BH83" s="206">
        <f>Sheet1!EU87</f>
        <v>0</v>
      </c>
      <c r="BI83" s="206">
        <f>Sheet1!EV87</f>
        <v>0</v>
      </c>
      <c r="BJ83" s="206">
        <f>Sheet1!EW87</f>
        <v>0</v>
      </c>
      <c r="BK83" s="206">
        <f>Sheet1!EX87</f>
        <v>0</v>
      </c>
      <c r="BL83" s="206">
        <f t="shared" si="22"/>
        <v>0</v>
      </c>
      <c r="BM83" s="206">
        <f>Sheet1!EY87</f>
        <v>0</v>
      </c>
      <c r="BN83" s="206">
        <f>Sheet1!EZ87</f>
        <v>0</v>
      </c>
      <c r="BO83" s="206">
        <f>Sheet1!FA87</f>
        <v>0</v>
      </c>
      <c r="BP83" s="206">
        <f>Sheet1!FB87</f>
        <v>0</v>
      </c>
      <c r="BQ83" s="206">
        <f t="shared" si="23"/>
        <v>0</v>
      </c>
      <c r="BR83" s="206">
        <f>Sheet1!FC87</f>
        <v>0</v>
      </c>
      <c r="BS83" s="206">
        <f>Sheet1!FD87</f>
        <v>0</v>
      </c>
      <c r="BT83" s="206">
        <f>Sheet1!FE87</f>
        <v>0</v>
      </c>
      <c r="BU83" s="206">
        <f>Sheet1!FF87</f>
        <v>0</v>
      </c>
      <c r="BV83" s="206">
        <f t="shared" si="24"/>
        <v>0</v>
      </c>
      <c r="BW83" s="206">
        <f>Sheet1!FG87</f>
        <v>0</v>
      </c>
      <c r="BX83" s="206">
        <f>Sheet1!FH87</f>
        <v>0</v>
      </c>
      <c r="BY83" s="206">
        <f>Sheet1!FI87</f>
        <v>0</v>
      </c>
      <c r="BZ83" s="206">
        <f>Sheet1!FJ87</f>
        <v>0</v>
      </c>
      <c r="CA83" s="206">
        <f t="shared" si="25"/>
        <v>0</v>
      </c>
      <c r="CB83" s="206">
        <f>Sheet1!FK87</f>
        <v>0</v>
      </c>
      <c r="CC83" s="206">
        <f>Sheet1!FL87</f>
        <v>0</v>
      </c>
      <c r="CD83" s="206">
        <f>Sheet1!FM87</f>
        <v>0</v>
      </c>
      <c r="CE83" s="206">
        <f>Sheet1!FN87</f>
        <v>0</v>
      </c>
      <c r="CF83" s="206">
        <f t="shared" si="26"/>
        <v>0</v>
      </c>
      <c r="CG83" s="206">
        <f t="shared" si="27"/>
        <v>0</v>
      </c>
      <c r="CH83" s="206">
        <f t="shared" si="28"/>
        <v>0</v>
      </c>
      <c r="CI83" s="206">
        <f t="shared" si="29"/>
        <v>0</v>
      </c>
      <c r="CJ83" s="206">
        <f t="shared" si="30"/>
        <v>0</v>
      </c>
      <c r="CK83" s="206">
        <f t="shared" si="31"/>
        <v>0</v>
      </c>
      <c r="CL83" s="206">
        <f t="shared" si="32"/>
        <v>0</v>
      </c>
      <c r="CM83" s="206">
        <f t="shared" si="33"/>
        <v>0</v>
      </c>
      <c r="CN83" s="206">
        <f t="shared" si="34"/>
        <v>0</v>
      </c>
      <c r="CO83" s="206">
        <f t="shared" si="35"/>
        <v>0</v>
      </c>
      <c r="CP83" s="206">
        <f t="shared" si="36"/>
        <v>0</v>
      </c>
    </row>
    <row r="84" spans="45:94">
      <c r="AS84" s="206">
        <f>Sheet1!EI88</f>
        <v>0</v>
      </c>
      <c r="AT84" s="206">
        <f>Sheet1!EJ88</f>
        <v>0</v>
      </c>
      <c r="AU84" s="206">
        <f>Sheet1!EK88</f>
        <v>0</v>
      </c>
      <c r="AV84" s="206">
        <f>Sheet1!EL88</f>
        <v>0</v>
      </c>
      <c r="AW84" s="206">
        <f t="shared" si="19"/>
        <v>0</v>
      </c>
      <c r="AX84" s="206">
        <f>Sheet1!EM88</f>
        <v>0</v>
      </c>
      <c r="AY84" s="206">
        <f>Sheet1!EN88</f>
        <v>0</v>
      </c>
      <c r="AZ84" s="206">
        <f>Sheet1!EO88</f>
        <v>0</v>
      </c>
      <c r="BA84" s="206">
        <f>Sheet1!EP88</f>
        <v>0</v>
      </c>
      <c r="BB84" s="206">
        <f t="shared" si="20"/>
        <v>0</v>
      </c>
      <c r="BC84" s="206">
        <f>Sheet1!EQ88</f>
        <v>0</v>
      </c>
      <c r="BD84" s="206">
        <f>Sheet1!ER88</f>
        <v>0</v>
      </c>
      <c r="BE84" s="206">
        <f>Sheet1!ES88</f>
        <v>0</v>
      </c>
      <c r="BF84" s="206">
        <f>Sheet1!ET88</f>
        <v>0</v>
      </c>
      <c r="BG84" s="206">
        <f t="shared" si="21"/>
        <v>0</v>
      </c>
      <c r="BH84" s="206">
        <f>Sheet1!EU88</f>
        <v>0</v>
      </c>
      <c r="BI84" s="206">
        <f>Sheet1!EV88</f>
        <v>0</v>
      </c>
      <c r="BJ84" s="206">
        <f>Sheet1!EW88</f>
        <v>0</v>
      </c>
      <c r="BK84" s="206">
        <f>Sheet1!EX88</f>
        <v>0</v>
      </c>
      <c r="BL84" s="206">
        <f t="shared" si="22"/>
        <v>0</v>
      </c>
      <c r="BM84" s="206">
        <f>Sheet1!EY88</f>
        <v>0</v>
      </c>
      <c r="BN84" s="206">
        <f>Sheet1!EZ88</f>
        <v>0</v>
      </c>
      <c r="BO84" s="206">
        <f>Sheet1!FA88</f>
        <v>0</v>
      </c>
      <c r="BP84" s="206">
        <f>Sheet1!FB88</f>
        <v>0</v>
      </c>
      <c r="BQ84" s="206">
        <f t="shared" si="23"/>
        <v>0</v>
      </c>
      <c r="BR84" s="206">
        <f>Sheet1!FC88</f>
        <v>0</v>
      </c>
      <c r="BS84" s="206">
        <f>Sheet1!FD88</f>
        <v>0</v>
      </c>
      <c r="BT84" s="206">
        <f>Sheet1!FE88</f>
        <v>0</v>
      </c>
      <c r="BU84" s="206">
        <f>Sheet1!FF88</f>
        <v>0</v>
      </c>
      <c r="BV84" s="206">
        <f t="shared" si="24"/>
        <v>0</v>
      </c>
      <c r="BW84" s="206">
        <f>Sheet1!FG88</f>
        <v>0</v>
      </c>
      <c r="BX84" s="206">
        <f>Sheet1!FH88</f>
        <v>0</v>
      </c>
      <c r="BY84" s="206">
        <f>Sheet1!FI88</f>
        <v>0</v>
      </c>
      <c r="BZ84" s="206">
        <f>Sheet1!FJ88</f>
        <v>0</v>
      </c>
      <c r="CA84" s="206">
        <f t="shared" si="25"/>
        <v>0</v>
      </c>
      <c r="CB84" s="206">
        <f>Sheet1!FK88</f>
        <v>0</v>
      </c>
      <c r="CC84" s="206">
        <f>Sheet1!FL88</f>
        <v>0</v>
      </c>
      <c r="CD84" s="206">
        <f>Sheet1!FM88</f>
        <v>0</v>
      </c>
      <c r="CE84" s="206">
        <f>Sheet1!FN88</f>
        <v>0</v>
      </c>
      <c r="CF84" s="206">
        <f t="shared" si="26"/>
        <v>0</v>
      </c>
      <c r="CG84" s="206">
        <f t="shared" si="27"/>
        <v>0</v>
      </c>
      <c r="CH84" s="206">
        <f t="shared" si="28"/>
        <v>0</v>
      </c>
      <c r="CI84" s="206">
        <f t="shared" si="29"/>
        <v>0</v>
      </c>
      <c r="CJ84" s="206">
        <f t="shared" si="30"/>
        <v>0</v>
      </c>
      <c r="CK84" s="206">
        <f t="shared" si="31"/>
        <v>0</v>
      </c>
      <c r="CL84" s="206">
        <f t="shared" si="32"/>
        <v>0</v>
      </c>
      <c r="CM84" s="206">
        <f t="shared" si="33"/>
        <v>0</v>
      </c>
      <c r="CN84" s="206">
        <f t="shared" si="34"/>
        <v>0</v>
      </c>
      <c r="CO84" s="206">
        <f t="shared" si="35"/>
        <v>0</v>
      </c>
      <c r="CP84" s="206">
        <f t="shared" si="36"/>
        <v>0</v>
      </c>
    </row>
    <row r="85" spans="45:94">
      <c r="AS85" s="206">
        <f>Sheet1!EI89</f>
        <v>0</v>
      </c>
      <c r="AT85" s="206">
        <f>Sheet1!EJ89</f>
        <v>0</v>
      </c>
      <c r="AU85" s="206">
        <f>Sheet1!EK89</f>
        <v>0</v>
      </c>
      <c r="AV85" s="206">
        <f>Sheet1!EL89</f>
        <v>0</v>
      </c>
      <c r="AW85" s="206">
        <f t="shared" si="19"/>
        <v>0</v>
      </c>
      <c r="AX85" s="206">
        <f>Sheet1!EM89</f>
        <v>0</v>
      </c>
      <c r="AY85" s="206">
        <f>Sheet1!EN89</f>
        <v>0</v>
      </c>
      <c r="AZ85" s="206">
        <f>Sheet1!EO89</f>
        <v>0</v>
      </c>
      <c r="BA85" s="206">
        <f>Sheet1!EP89</f>
        <v>0</v>
      </c>
      <c r="BB85" s="206">
        <f t="shared" si="20"/>
        <v>0</v>
      </c>
      <c r="BC85" s="206">
        <f>Sheet1!EQ89</f>
        <v>0</v>
      </c>
      <c r="BD85" s="206">
        <f>Sheet1!ER89</f>
        <v>0</v>
      </c>
      <c r="BE85" s="206">
        <f>Sheet1!ES89</f>
        <v>0</v>
      </c>
      <c r="BF85" s="206">
        <f>Sheet1!ET89</f>
        <v>0</v>
      </c>
      <c r="BG85" s="206">
        <f t="shared" si="21"/>
        <v>0</v>
      </c>
      <c r="BH85" s="206">
        <f>Sheet1!EU89</f>
        <v>0</v>
      </c>
      <c r="BI85" s="206">
        <f>Sheet1!EV89</f>
        <v>0</v>
      </c>
      <c r="BJ85" s="206">
        <f>Sheet1!EW89</f>
        <v>0</v>
      </c>
      <c r="BK85" s="206">
        <f>Sheet1!EX89</f>
        <v>0</v>
      </c>
      <c r="BL85" s="206">
        <f t="shared" si="22"/>
        <v>0</v>
      </c>
      <c r="BM85" s="206">
        <f>Sheet1!EY89</f>
        <v>0</v>
      </c>
      <c r="BN85" s="206">
        <f>Sheet1!EZ89</f>
        <v>0</v>
      </c>
      <c r="BO85" s="206">
        <f>Sheet1!FA89</f>
        <v>0</v>
      </c>
      <c r="BP85" s="206">
        <f>Sheet1!FB89</f>
        <v>0</v>
      </c>
      <c r="BQ85" s="206">
        <f t="shared" si="23"/>
        <v>0</v>
      </c>
      <c r="BR85" s="206">
        <f>Sheet1!FC89</f>
        <v>0</v>
      </c>
      <c r="BS85" s="206">
        <f>Sheet1!FD89</f>
        <v>0</v>
      </c>
      <c r="BT85" s="206">
        <f>Sheet1!FE89</f>
        <v>0</v>
      </c>
      <c r="BU85" s="206">
        <f>Sheet1!FF89</f>
        <v>0</v>
      </c>
      <c r="BV85" s="206">
        <f t="shared" si="24"/>
        <v>0</v>
      </c>
      <c r="BW85" s="206">
        <f>Sheet1!FG89</f>
        <v>0</v>
      </c>
      <c r="BX85" s="206">
        <f>Sheet1!FH89</f>
        <v>0</v>
      </c>
      <c r="BY85" s="206">
        <f>Sheet1!FI89</f>
        <v>0</v>
      </c>
      <c r="BZ85" s="206">
        <f>Sheet1!FJ89</f>
        <v>0</v>
      </c>
      <c r="CA85" s="206">
        <f t="shared" si="25"/>
        <v>0</v>
      </c>
      <c r="CB85" s="206">
        <f>Sheet1!FK89</f>
        <v>0</v>
      </c>
      <c r="CC85" s="206">
        <f>Sheet1!FL89</f>
        <v>0</v>
      </c>
      <c r="CD85" s="206">
        <f>Sheet1!FM89</f>
        <v>0</v>
      </c>
      <c r="CE85" s="206">
        <f>Sheet1!FN89</f>
        <v>0</v>
      </c>
      <c r="CF85" s="206">
        <f t="shared" si="26"/>
        <v>0</v>
      </c>
      <c r="CG85" s="206">
        <f t="shared" si="27"/>
        <v>0</v>
      </c>
      <c r="CH85" s="206">
        <f t="shared" si="28"/>
        <v>0</v>
      </c>
      <c r="CI85" s="206">
        <f t="shared" si="29"/>
        <v>0</v>
      </c>
      <c r="CJ85" s="206">
        <f t="shared" si="30"/>
        <v>0</v>
      </c>
      <c r="CK85" s="206">
        <f t="shared" si="31"/>
        <v>0</v>
      </c>
      <c r="CL85" s="206">
        <f t="shared" si="32"/>
        <v>0</v>
      </c>
      <c r="CM85" s="206">
        <f t="shared" si="33"/>
        <v>0</v>
      </c>
      <c r="CN85" s="206">
        <f t="shared" si="34"/>
        <v>0</v>
      </c>
      <c r="CO85" s="206">
        <f t="shared" si="35"/>
        <v>0</v>
      </c>
      <c r="CP85" s="206">
        <f t="shared" si="36"/>
        <v>0</v>
      </c>
    </row>
    <row r="86" spans="45:94">
      <c r="AS86" s="206">
        <f>Sheet1!EI90</f>
        <v>0</v>
      </c>
      <c r="AT86" s="206">
        <f>Sheet1!EJ90</f>
        <v>0</v>
      </c>
      <c r="AU86" s="206">
        <f>Sheet1!EK90</f>
        <v>0</v>
      </c>
      <c r="AV86" s="206">
        <f>Sheet1!EL90</f>
        <v>0</v>
      </c>
      <c r="AW86" s="206">
        <f t="shared" si="19"/>
        <v>0</v>
      </c>
      <c r="AX86" s="206">
        <f>Sheet1!EM90</f>
        <v>0</v>
      </c>
      <c r="AY86" s="206">
        <f>Sheet1!EN90</f>
        <v>0</v>
      </c>
      <c r="AZ86" s="206">
        <f>Sheet1!EO90</f>
        <v>0</v>
      </c>
      <c r="BA86" s="206">
        <f>Sheet1!EP90</f>
        <v>0</v>
      </c>
      <c r="BB86" s="206">
        <f t="shared" si="20"/>
        <v>0</v>
      </c>
      <c r="BC86" s="206">
        <f>Sheet1!EQ90</f>
        <v>0</v>
      </c>
      <c r="BD86" s="206">
        <f>Sheet1!ER90</f>
        <v>0</v>
      </c>
      <c r="BE86" s="206">
        <f>Sheet1!ES90</f>
        <v>0</v>
      </c>
      <c r="BF86" s="206">
        <f>Sheet1!ET90</f>
        <v>0</v>
      </c>
      <c r="BG86" s="206">
        <f t="shared" si="21"/>
        <v>0</v>
      </c>
      <c r="BH86" s="206">
        <f>Sheet1!EU90</f>
        <v>0</v>
      </c>
      <c r="BI86" s="206">
        <f>Sheet1!EV90</f>
        <v>0</v>
      </c>
      <c r="BJ86" s="206">
        <f>Sheet1!EW90</f>
        <v>0</v>
      </c>
      <c r="BK86" s="206">
        <f>Sheet1!EX90</f>
        <v>0</v>
      </c>
      <c r="BL86" s="206">
        <f t="shared" si="22"/>
        <v>0</v>
      </c>
      <c r="BM86" s="206">
        <f>Sheet1!EY90</f>
        <v>0</v>
      </c>
      <c r="BN86" s="206">
        <f>Sheet1!EZ90</f>
        <v>0</v>
      </c>
      <c r="BO86" s="206">
        <f>Sheet1!FA90</f>
        <v>0</v>
      </c>
      <c r="BP86" s="206">
        <f>Sheet1!FB90</f>
        <v>0</v>
      </c>
      <c r="BQ86" s="206">
        <f t="shared" si="23"/>
        <v>0</v>
      </c>
      <c r="BR86" s="206">
        <f>Sheet1!FC90</f>
        <v>0</v>
      </c>
      <c r="BS86" s="206">
        <f>Sheet1!FD90</f>
        <v>0</v>
      </c>
      <c r="BT86" s="206">
        <f>Sheet1!FE90</f>
        <v>0</v>
      </c>
      <c r="BU86" s="206">
        <f>Sheet1!FF90</f>
        <v>0</v>
      </c>
      <c r="BV86" s="206">
        <f t="shared" si="24"/>
        <v>0</v>
      </c>
      <c r="BW86" s="206">
        <f>Sheet1!FG90</f>
        <v>0</v>
      </c>
      <c r="BX86" s="206">
        <f>Sheet1!FH90</f>
        <v>0</v>
      </c>
      <c r="BY86" s="206">
        <f>Sheet1!FI90</f>
        <v>0</v>
      </c>
      <c r="BZ86" s="206">
        <f>Sheet1!FJ90</f>
        <v>0</v>
      </c>
      <c r="CA86" s="206">
        <f t="shared" si="25"/>
        <v>0</v>
      </c>
      <c r="CB86" s="206">
        <f>Sheet1!FK90</f>
        <v>0</v>
      </c>
      <c r="CC86" s="206">
        <f>Sheet1!FL90</f>
        <v>0</v>
      </c>
      <c r="CD86" s="206">
        <f>Sheet1!FM90</f>
        <v>0</v>
      </c>
      <c r="CE86" s="206">
        <f>Sheet1!FN90</f>
        <v>0</v>
      </c>
      <c r="CF86" s="206">
        <f t="shared" si="26"/>
        <v>0</v>
      </c>
      <c r="CG86" s="206">
        <f t="shared" si="27"/>
        <v>0</v>
      </c>
      <c r="CH86" s="206">
        <f t="shared" si="28"/>
        <v>0</v>
      </c>
      <c r="CI86" s="206">
        <f t="shared" si="29"/>
        <v>0</v>
      </c>
      <c r="CJ86" s="206">
        <f t="shared" si="30"/>
        <v>0</v>
      </c>
      <c r="CK86" s="206">
        <f t="shared" si="31"/>
        <v>0</v>
      </c>
      <c r="CL86" s="206">
        <f t="shared" si="32"/>
        <v>0</v>
      </c>
      <c r="CM86" s="206">
        <f t="shared" si="33"/>
        <v>0</v>
      </c>
      <c r="CN86" s="206">
        <f t="shared" si="34"/>
        <v>0</v>
      </c>
      <c r="CO86" s="206">
        <f t="shared" si="35"/>
        <v>0</v>
      </c>
      <c r="CP86" s="206">
        <f t="shared" si="36"/>
        <v>0</v>
      </c>
    </row>
    <row r="87" spans="45:94">
      <c r="AS87" s="206">
        <f>Sheet1!EI91</f>
        <v>0</v>
      </c>
      <c r="AT87" s="206">
        <f>Sheet1!EJ91</f>
        <v>0</v>
      </c>
      <c r="AU87" s="206">
        <f>Sheet1!EK91</f>
        <v>0</v>
      </c>
      <c r="AV87" s="206">
        <f>Sheet1!EL91</f>
        <v>0</v>
      </c>
      <c r="AW87" s="206">
        <f t="shared" si="19"/>
        <v>0</v>
      </c>
      <c r="AX87" s="206">
        <f>Sheet1!EM91</f>
        <v>0</v>
      </c>
      <c r="AY87" s="206">
        <f>Sheet1!EN91</f>
        <v>0</v>
      </c>
      <c r="AZ87" s="206">
        <f>Sheet1!EO91</f>
        <v>0</v>
      </c>
      <c r="BA87" s="206">
        <f>Sheet1!EP91</f>
        <v>0</v>
      </c>
      <c r="BB87" s="206">
        <f t="shared" si="20"/>
        <v>0</v>
      </c>
      <c r="BC87" s="206">
        <f>Sheet1!EQ91</f>
        <v>0</v>
      </c>
      <c r="BD87" s="206">
        <f>Sheet1!ER91</f>
        <v>0</v>
      </c>
      <c r="BE87" s="206">
        <f>Sheet1!ES91</f>
        <v>0</v>
      </c>
      <c r="BF87" s="206">
        <f>Sheet1!ET91</f>
        <v>0</v>
      </c>
      <c r="BG87" s="206">
        <f t="shared" si="21"/>
        <v>0</v>
      </c>
      <c r="BH87" s="206">
        <f>Sheet1!EU91</f>
        <v>0</v>
      </c>
      <c r="BI87" s="206">
        <f>Sheet1!EV91</f>
        <v>0</v>
      </c>
      <c r="BJ87" s="206">
        <f>Sheet1!EW91</f>
        <v>0</v>
      </c>
      <c r="BK87" s="206">
        <f>Sheet1!EX91</f>
        <v>0</v>
      </c>
      <c r="BL87" s="206">
        <f t="shared" si="22"/>
        <v>0</v>
      </c>
      <c r="BM87" s="206">
        <f>Sheet1!EY91</f>
        <v>0</v>
      </c>
      <c r="BN87" s="206">
        <f>Sheet1!EZ91</f>
        <v>0</v>
      </c>
      <c r="BO87" s="206">
        <f>Sheet1!FA91</f>
        <v>0</v>
      </c>
      <c r="BP87" s="206">
        <f>Sheet1!FB91</f>
        <v>0</v>
      </c>
      <c r="BQ87" s="206">
        <f t="shared" si="23"/>
        <v>0</v>
      </c>
      <c r="BR87" s="206">
        <f>Sheet1!FC91</f>
        <v>0</v>
      </c>
      <c r="BS87" s="206">
        <f>Sheet1!FD91</f>
        <v>0</v>
      </c>
      <c r="BT87" s="206">
        <f>Sheet1!FE91</f>
        <v>0</v>
      </c>
      <c r="BU87" s="206">
        <f>Sheet1!FF91</f>
        <v>0</v>
      </c>
      <c r="BV87" s="206">
        <f t="shared" si="24"/>
        <v>0</v>
      </c>
      <c r="BW87" s="206">
        <f>Sheet1!FG91</f>
        <v>0</v>
      </c>
      <c r="BX87" s="206">
        <f>Sheet1!FH91</f>
        <v>0</v>
      </c>
      <c r="BY87" s="206">
        <f>Sheet1!FI91</f>
        <v>0</v>
      </c>
      <c r="BZ87" s="206">
        <f>Sheet1!FJ91</f>
        <v>0</v>
      </c>
      <c r="CA87" s="206">
        <f t="shared" si="25"/>
        <v>0</v>
      </c>
      <c r="CB87" s="206">
        <f>Sheet1!FK91</f>
        <v>0</v>
      </c>
      <c r="CC87" s="206">
        <f>Sheet1!FL91</f>
        <v>0</v>
      </c>
      <c r="CD87" s="206">
        <f>Sheet1!FM91</f>
        <v>0</v>
      </c>
      <c r="CE87" s="206">
        <f>Sheet1!FN91</f>
        <v>0</v>
      </c>
      <c r="CF87" s="206">
        <f t="shared" si="26"/>
        <v>0</v>
      </c>
      <c r="CG87" s="206">
        <f t="shared" si="27"/>
        <v>0</v>
      </c>
      <c r="CH87" s="206">
        <f t="shared" si="28"/>
        <v>0</v>
      </c>
      <c r="CI87" s="206">
        <f t="shared" si="29"/>
        <v>0</v>
      </c>
      <c r="CJ87" s="206">
        <f t="shared" si="30"/>
        <v>0</v>
      </c>
      <c r="CK87" s="206">
        <f t="shared" si="31"/>
        <v>0</v>
      </c>
      <c r="CL87" s="206">
        <f t="shared" si="32"/>
        <v>0</v>
      </c>
      <c r="CM87" s="206">
        <f t="shared" si="33"/>
        <v>0</v>
      </c>
      <c r="CN87" s="206">
        <f t="shared" si="34"/>
        <v>0</v>
      </c>
      <c r="CO87" s="206">
        <f t="shared" si="35"/>
        <v>0</v>
      </c>
      <c r="CP87" s="206">
        <f t="shared" si="36"/>
        <v>0</v>
      </c>
    </row>
    <row r="88" spans="45:94">
      <c r="AS88" s="206">
        <f>Sheet1!EI92</f>
        <v>0</v>
      </c>
      <c r="AT88" s="206">
        <f>Sheet1!EJ92</f>
        <v>0</v>
      </c>
      <c r="AU88" s="206">
        <f>Sheet1!EK92</f>
        <v>0</v>
      </c>
      <c r="AV88" s="206">
        <f>Sheet1!EL92</f>
        <v>0</v>
      </c>
      <c r="AW88" s="206">
        <f t="shared" si="19"/>
        <v>0</v>
      </c>
      <c r="AX88" s="206">
        <f>Sheet1!EM92</f>
        <v>0</v>
      </c>
      <c r="AY88" s="206">
        <f>Sheet1!EN92</f>
        <v>0</v>
      </c>
      <c r="AZ88" s="206">
        <f>Sheet1!EO92</f>
        <v>0</v>
      </c>
      <c r="BA88" s="206">
        <f>Sheet1!EP92</f>
        <v>0</v>
      </c>
      <c r="BB88" s="206">
        <f t="shared" si="20"/>
        <v>0</v>
      </c>
      <c r="BC88" s="206">
        <f>Sheet1!EQ92</f>
        <v>0</v>
      </c>
      <c r="BD88" s="206">
        <f>Sheet1!ER92</f>
        <v>0</v>
      </c>
      <c r="BE88" s="206">
        <f>Sheet1!ES92</f>
        <v>0</v>
      </c>
      <c r="BF88" s="206">
        <f>Sheet1!ET92</f>
        <v>0</v>
      </c>
      <c r="BG88" s="206">
        <f t="shared" si="21"/>
        <v>0</v>
      </c>
      <c r="BH88" s="206">
        <f>Sheet1!EU92</f>
        <v>0</v>
      </c>
      <c r="BI88" s="206">
        <f>Sheet1!EV92</f>
        <v>0</v>
      </c>
      <c r="BJ88" s="206">
        <f>Sheet1!EW92</f>
        <v>0</v>
      </c>
      <c r="BK88" s="206">
        <f>Sheet1!EX92</f>
        <v>0</v>
      </c>
      <c r="BL88" s="206">
        <f t="shared" si="22"/>
        <v>0</v>
      </c>
      <c r="BM88" s="206">
        <f>Sheet1!EY92</f>
        <v>0</v>
      </c>
      <c r="BN88" s="206">
        <f>Sheet1!EZ92</f>
        <v>0</v>
      </c>
      <c r="BO88" s="206">
        <f>Sheet1!FA92</f>
        <v>0</v>
      </c>
      <c r="BP88" s="206">
        <f>Sheet1!FB92</f>
        <v>0</v>
      </c>
      <c r="BQ88" s="206">
        <f t="shared" si="23"/>
        <v>0</v>
      </c>
      <c r="BR88" s="206">
        <f>Sheet1!FC92</f>
        <v>0</v>
      </c>
      <c r="BS88" s="206">
        <f>Sheet1!FD92</f>
        <v>0</v>
      </c>
      <c r="BT88" s="206">
        <f>Sheet1!FE92</f>
        <v>0</v>
      </c>
      <c r="BU88" s="206">
        <f>Sheet1!FF92</f>
        <v>0</v>
      </c>
      <c r="BV88" s="206">
        <f t="shared" si="24"/>
        <v>0</v>
      </c>
      <c r="BW88" s="206">
        <f>Sheet1!FG92</f>
        <v>0</v>
      </c>
      <c r="BX88" s="206">
        <f>Sheet1!FH92</f>
        <v>0</v>
      </c>
      <c r="BY88" s="206">
        <f>Sheet1!FI92</f>
        <v>0</v>
      </c>
      <c r="BZ88" s="206">
        <f>Sheet1!FJ92</f>
        <v>0</v>
      </c>
      <c r="CA88" s="206">
        <f t="shared" si="25"/>
        <v>0</v>
      </c>
      <c r="CB88" s="206">
        <f>Sheet1!FK92</f>
        <v>0</v>
      </c>
      <c r="CC88" s="206">
        <f>Sheet1!FL92</f>
        <v>0</v>
      </c>
      <c r="CD88" s="206">
        <f>Sheet1!FM92</f>
        <v>0</v>
      </c>
      <c r="CE88" s="206">
        <f>Sheet1!FN92</f>
        <v>0</v>
      </c>
      <c r="CF88" s="206">
        <f t="shared" si="26"/>
        <v>0</v>
      </c>
      <c r="CG88" s="206">
        <f t="shared" si="27"/>
        <v>0</v>
      </c>
      <c r="CH88" s="206">
        <f t="shared" si="28"/>
        <v>0</v>
      </c>
      <c r="CI88" s="206">
        <f t="shared" si="29"/>
        <v>0</v>
      </c>
      <c r="CJ88" s="206">
        <f t="shared" si="30"/>
        <v>0</v>
      </c>
      <c r="CK88" s="206">
        <f t="shared" si="31"/>
        <v>0</v>
      </c>
      <c r="CL88" s="206">
        <f t="shared" si="32"/>
        <v>0</v>
      </c>
      <c r="CM88" s="206">
        <f t="shared" si="33"/>
        <v>0</v>
      </c>
      <c r="CN88" s="206">
        <f t="shared" si="34"/>
        <v>0</v>
      </c>
      <c r="CO88" s="206">
        <f t="shared" si="35"/>
        <v>0</v>
      </c>
      <c r="CP88" s="206">
        <f t="shared" si="36"/>
        <v>0</v>
      </c>
    </row>
    <row r="89" spans="45:94">
      <c r="AS89" s="206">
        <f>Sheet1!EI93</f>
        <v>0</v>
      </c>
      <c r="AT89" s="206">
        <f>Sheet1!EJ93</f>
        <v>0</v>
      </c>
      <c r="AU89" s="206">
        <f>Sheet1!EK93</f>
        <v>0</v>
      </c>
      <c r="AV89" s="206">
        <f>Sheet1!EL93</f>
        <v>0</v>
      </c>
      <c r="AW89" s="206">
        <f t="shared" si="19"/>
        <v>0</v>
      </c>
      <c r="AX89" s="206">
        <f>Sheet1!EM93</f>
        <v>0</v>
      </c>
      <c r="AY89" s="206">
        <f>Sheet1!EN93</f>
        <v>0</v>
      </c>
      <c r="AZ89" s="206">
        <f>Sheet1!EO93</f>
        <v>0</v>
      </c>
      <c r="BA89" s="206">
        <f>Sheet1!EP93</f>
        <v>0</v>
      </c>
      <c r="BB89" s="206">
        <f t="shared" si="20"/>
        <v>0</v>
      </c>
      <c r="BC89" s="206">
        <f>Sheet1!EQ93</f>
        <v>0</v>
      </c>
      <c r="BD89" s="206">
        <f>Sheet1!ER93</f>
        <v>0</v>
      </c>
      <c r="BE89" s="206">
        <f>Sheet1!ES93</f>
        <v>0</v>
      </c>
      <c r="BF89" s="206">
        <f>Sheet1!ET93</f>
        <v>0</v>
      </c>
      <c r="BG89" s="206">
        <f t="shared" si="21"/>
        <v>0</v>
      </c>
      <c r="BH89" s="206">
        <f>Sheet1!EU93</f>
        <v>0</v>
      </c>
      <c r="BI89" s="206">
        <f>Sheet1!EV93</f>
        <v>0</v>
      </c>
      <c r="BJ89" s="206">
        <f>Sheet1!EW93</f>
        <v>0</v>
      </c>
      <c r="BK89" s="206">
        <f>Sheet1!EX93</f>
        <v>0</v>
      </c>
      <c r="BL89" s="206">
        <f t="shared" si="22"/>
        <v>0</v>
      </c>
      <c r="BM89" s="206">
        <f>Sheet1!EY93</f>
        <v>0</v>
      </c>
      <c r="BN89" s="206">
        <f>Sheet1!EZ93</f>
        <v>0</v>
      </c>
      <c r="BO89" s="206">
        <f>Sheet1!FA93</f>
        <v>0</v>
      </c>
      <c r="BP89" s="206">
        <f>Sheet1!FB93</f>
        <v>0</v>
      </c>
      <c r="BQ89" s="206">
        <f t="shared" si="23"/>
        <v>0</v>
      </c>
      <c r="BR89" s="206">
        <f>Sheet1!FC93</f>
        <v>0</v>
      </c>
      <c r="BS89" s="206">
        <f>Sheet1!FD93</f>
        <v>0</v>
      </c>
      <c r="BT89" s="206">
        <f>Sheet1!FE93</f>
        <v>0</v>
      </c>
      <c r="BU89" s="206">
        <f>Sheet1!FF93</f>
        <v>0</v>
      </c>
      <c r="BV89" s="206">
        <f t="shared" si="24"/>
        <v>0</v>
      </c>
      <c r="BW89" s="206">
        <f>Sheet1!FG93</f>
        <v>0</v>
      </c>
      <c r="BX89" s="206">
        <f>Sheet1!FH93</f>
        <v>0</v>
      </c>
      <c r="BY89" s="206">
        <f>Sheet1!FI93</f>
        <v>0</v>
      </c>
      <c r="BZ89" s="206">
        <f>Sheet1!FJ93</f>
        <v>0</v>
      </c>
      <c r="CA89" s="206">
        <f t="shared" si="25"/>
        <v>0</v>
      </c>
      <c r="CB89" s="206">
        <f>Sheet1!FK93</f>
        <v>0</v>
      </c>
      <c r="CC89" s="206">
        <f>Sheet1!FL93</f>
        <v>0</v>
      </c>
      <c r="CD89" s="206">
        <f>Sheet1!FM93</f>
        <v>0</v>
      </c>
      <c r="CE89" s="206">
        <f>Sheet1!FN93</f>
        <v>0</v>
      </c>
      <c r="CF89" s="206">
        <f t="shared" si="26"/>
        <v>0</v>
      </c>
      <c r="CG89" s="206">
        <f t="shared" si="27"/>
        <v>0</v>
      </c>
      <c r="CH89" s="206">
        <f t="shared" si="28"/>
        <v>0</v>
      </c>
      <c r="CI89" s="206">
        <f t="shared" si="29"/>
        <v>0</v>
      </c>
      <c r="CJ89" s="206">
        <f t="shared" si="30"/>
        <v>0</v>
      </c>
      <c r="CK89" s="206">
        <f t="shared" si="31"/>
        <v>0</v>
      </c>
      <c r="CL89" s="206">
        <f t="shared" si="32"/>
        <v>0</v>
      </c>
      <c r="CM89" s="206">
        <f t="shared" si="33"/>
        <v>0</v>
      </c>
      <c r="CN89" s="206">
        <f t="shared" si="34"/>
        <v>0</v>
      </c>
      <c r="CO89" s="206">
        <f t="shared" si="35"/>
        <v>0</v>
      </c>
      <c r="CP89" s="206">
        <f t="shared" si="36"/>
        <v>0</v>
      </c>
    </row>
    <row r="90" spans="45:94">
      <c r="AS90" s="206">
        <f>Sheet1!EI94</f>
        <v>0</v>
      </c>
      <c r="AT90" s="206">
        <f>Sheet1!EJ94</f>
        <v>0</v>
      </c>
      <c r="AU90" s="206">
        <f>Sheet1!EK94</f>
        <v>0</v>
      </c>
      <c r="AV90" s="206">
        <f>Sheet1!EL94</f>
        <v>0</v>
      </c>
      <c r="AW90" s="206">
        <f t="shared" si="19"/>
        <v>0</v>
      </c>
      <c r="AX90" s="206">
        <f>Sheet1!EM94</f>
        <v>0</v>
      </c>
      <c r="AY90" s="206">
        <f>Sheet1!EN94</f>
        <v>0</v>
      </c>
      <c r="AZ90" s="206">
        <f>Sheet1!EO94</f>
        <v>0</v>
      </c>
      <c r="BA90" s="206">
        <f>Sheet1!EP94</f>
        <v>0</v>
      </c>
      <c r="BB90" s="206">
        <f t="shared" si="20"/>
        <v>0</v>
      </c>
      <c r="BC90" s="206">
        <f>Sheet1!EQ94</f>
        <v>0</v>
      </c>
      <c r="BD90" s="206">
        <f>Sheet1!ER94</f>
        <v>0</v>
      </c>
      <c r="BE90" s="206">
        <f>Sheet1!ES94</f>
        <v>0</v>
      </c>
      <c r="BF90" s="206">
        <f>Sheet1!ET94</f>
        <v>0</v>
      </c>
      <c r="BG90" s="206">
        <f t="shared" si="21"/>
        <v>0</v>
      </c>
      <c r="BH90" s="206">
        <f>Sheet1!EU94</f>
        <v>0</v>
      </c>
      <c r="BI90" s="206">
        <f>Sheet1!EV94</f>
        <v>0</v>
      </c>
      <c r="BJ90" s="206">
        <f>Sheet1!EW94</f>
        <v>0</v>
      </c>
      <c r="BK90" s="206">
        <f>Sheet1!EX94</f>
        <v>0</v>
      </c>
      <c r="BL90" s="206">
        <f t="shared" si="22"/>
        <v>0</v>
      </c>
      <c r="BM90" s="206">
        <f>Sheet1!EY94</f>
        <v>0</v>
      </c>
      <c r="BN90" s="206">
        <f>Sheet1!EZ94</f>
        <v>0</v>
      </c>
      <c r="BO90" s="206">
        <f>Sheet1!FA94</f>
        <v>0</v>
      </c>
      <c r="BP90" s="206">
        <f>Sheet1!FB94</f>
        <v>0</v>
      </c>
      <c r="BQ90" s="206">
        <f t="shared" si="23"/>
        <v>0</v>
      </c>
      <c r="BR90" s="206">
        <f>Sheet1!FC94</f>
        <v>0</v>
      </c>
      <c r="BS90" s="206">
        <f>Sheet1!FD94</f>
        <v>0</v>
      </c>
      <c r="BT90" s="206">
        <f>Sheet1!FE94</f>
        <v>0</v>
      </c>
      <c r="BU90" s="206">
        <f>Sheet1!FF94</f>
        <v>0</v>
      </c>
      <c r="BV90" s="206">
        <f t="shared" si="24"/>
        <v>0</v>
      </c>
      <c r="BW90" s="206">
        <f>Sheet1!FG94</f>
        <v>0</v>
      </c>
      <c r="BX90" s="206">
        <f>Sheet1!FH94</f>
        <v>0</v>
      </c>
      <c r="BY90" s="206">
        <f>Sheet1!FI94</f>
        <v>0</v>
      </c>
      <c r="BZ90" s="206">
        <f>Sheet1!FJ94</f>
        <v>0</v>
      </c>
      <c r="CA90" s="206">
        <f t="shared" si="25"/>
        <v>0</v>
      </c>
      <c r="CB90" s="206">
        <f>Sheet1!FK94</f>
        <v>0</v>
      </c>
      <c r="CC90" s="206">
        <f>Sheet1!FL94</f>
        <v>0</v>
      </c>
      <c r="CD90" s="206">
        <f>Sheet1!FM94</f>
        <v>0</v>
      </c>
      <c r="CE90" s="206">
        <f>Sheet1!FN94</f>
        <v>0</v>
      </c>
      <c r="CF90" s="206">
        <f t="shared" si="26"/>
        <v>0</v>
      </c>
      <c r="CG90" s="206">
        <f t="shared" si="27"/>
        <v>0</v>
      </c>
      <c r="CH90" s="206">
        <f t="shared" si="28"/>
        <v>0</v>
      </c>
      <c r="CI90" s="206">
        <f t="shared" si="29"/>
        <v>0</v>
      </c>
      <c r="CJ90" s="206">
        <f t="shared" si="30"/>
        <v>0</v>
      </c>
      <c r="CK90" s="206">
        <f t="shared" si="31"/>
        <v>0</v>
      </c>
      <c r="CL90" s="206">
        <f t="shared" si="32"/>
        <v>0</v>
      </c>
      <c r="CM90" s="206">
        <f t="shared" si="33"/>
        <v>0</v>
      </c>
      <c r="CN90" s="206">
        <f t="shared" si="34"/>
        <v>0</v>
      </c>
      <c r="CO90" s="206">
        <f t="shared" si="35"/>
        <v>0</v>
      </c>
      <c r="CP90" s="206">
        <f t="shared" si="36"/>
        <v>0</v>
      </c>
    </row>
    <row r="91" spans="45:94">
      <c r="AS91" s="206">
        <f>Sheet1!EI95</f>
        <v>0</v>
      </c>
      <c r="AT91" s="206">
        <f>Sheet1!EJ95</f>
        <v>0</v>
      </c>
      <c r="AU91" s="206">
        <f>Sheet1!EK95</f>
        <v>0</v>
      </c>
      <c r="AV91" s="206">
        <f>Sheet1!EL95</f>
        <v>0</v>
      </c>
      <c r="AW91" s="206">
        <f t="shared" si="19"/>
        <v>0</v>
      </c>
      <c r="AX91" s="206">
        <f>Sheet1!EM95</f>
        <v>0</v>
      </c>
      <c r="AY91" s="206">
        <f>Sheet1!EN95</f>
        <v>0</v>
      </c>
      <c r="AZ91" s="206">
        <f>Sheet1!EO95</f>
        <v>0</v>
      </c>
      <c r="BA91" s="206">
        <f>Sheet1!EP95</f>
        <v>0</v>
      </c>
      <c r="BB91" s="206">
        <f t="shared" si="20"/>
        <v>0</v>
      </c>
      <c r="BC91" s="206">
        <f>Sheet1!EQ95</f>
        <v>0</v>
      </c>
      <c r="BD91" s="206">
        <f>Sheet1!ER95</f>
        <v>0</v>
      </c>
      <c r="BE91" s="206">
        <f>Sheet1!ES95</f>
        <v>0</v>
      </c>
      <c r="BF91" s="206">
        <f>Sheet1!ET95</f>
        <v>0</v>
      </c>
      <c r="BG91" s="206">
        <f t="shared" si="21"/>
        <v>0</v>
      </c>
      <c r="BH91" s="206">
        <f>Sheet1!EU95</f>
        <v>0</v>
      </c>
      <c r="BI91" s="206">
        <f>Sheet1!EV95</f>
        <v>0</v>
      </c>
      <c r="BJ91" s="206">
        <f>Sheet1!EW95</f>
        <v>0</v>
      </c>
      <c r="BK91" s="206">
        <f>Sheet1!EX95</f>
        <v>0</v>
      </c>
      <c r="BL91" s="206">
        <f t="shared" si="22"/>
        <v>0</v>
      </c>
      <c r="BM91" s="206">
        <f>Sheet1!EY95</f>
        <v>0</v>
      </c>
      <c r="BN91" s="206">
        <f>Sheet1!EZ95</f>
        <v>0</v>
      </c>
      <c r="BO91" s="206">
        <f>Sheet1!FA95</f>
        <v>0</v>
      </c>
      <c r="BP91" s="206">
        <f>Sheet1!FB95</f>
        <v>0</v>
      </c>
      <c r="BQ91" s="206">
        <f t="shared" si="23"/>
        <v>0</v>
      </c>
      <c r="BR91" s="206">
        <f>Sheet1!FC95</f>
        <v>0</v>
      </c>
      <c r="BS91" s="206">
        <f>Sheet1!FD95</f>
        <v>0</v>
      </c>
      <c r="BT91" s="206">
        <f>Sheet1!FE95</f>
        <v>0</v>
      </c>
      <c r="BU91" s="206">
        <f>Sheet1!FF95</f>
        <v>0</v>
      </c>
      <c r="BV91" s="206">
        <f t="shared" si="24"/>
        <v>0</v>
      </c>
      <c r="BW91" s="206">
        <f>Sheet1!FG95</f>
        <v>0</v>
      </c>
      <c r="BX91" s="206">
        <f>Sheet1!FH95</f>
        <v>0</v>
      </c>
      <c r="BY91" s="206">
        <f>Sheet1!FI95</f>
        <v>0</v>
      </c>
      <c r="BZ91" s="206">
        <f>Sheet1!FJ95</f>
        <v>0</v>
      </c>
      <c r="CA91" s="206">
        <f t="shared" si="25"/>
        <v>0</v>
      </c>
      <c r="CB91" s="206">
        <f>Sheet1!FK95</f>
        <v>0</v>
      </c>
      <c r="CC91" s="206">
        <f>Sheet1!FL95</f>
        <v>0</v>
      </c>
      <c r="CD91" s="206">
        <f>Sheet1!FM95</f>
        <v>0</v>
      </c>
      <c r="CE91" s="206">
        <f>Sheet1!FN95</f>
        <v>0</v>
      </c>
      <c r="CF91" s="206">
        <f t="shared" si="26"/>
        <v>0</v>
      </c>
      <c r="CG91" s="206">
        <f t="shared" si="27"/>
        <v>0</v>
      </c>
      <c r="CH91" s="206">
        <f t="shared" si="28"/>
        <v>0</v>
      </c>
      <c r="CI91" s="206">
        <f t="shared" si="29"/>
        <v>0</v>
      </c>
      <c r="CJ91" s="206">
        <f t="shared" si="30"/>
        <v>0</v>
      </c>
      <c r="CK91" s="206">
        <f t="shared" si="31"/>
        <v>0</v>
      </c>
      <c r="CL91" s="206">
        <f t="shared" si="32"/>
        <v>0</v>
      </c>
      <c r="CM91" s="206">
        <f t="shared" si="33"/>
        <v>0</v>
      </c>
      <c r="CN91" s="206">
        <f t="shared" si="34"/>
        <v>0</v>
      </c>
      <c r="CO91" s="206">
        <f t="shared" si="35"/>
        <v>0</v>
      </c>
      <c r="CP91" s="206">
        <f t="shared" si="36"/>
        <v>0</v>
      </c>
    </row>
    <row r="92" spans="45:94">
      <c r="AS92" s="206">
        <f>Sheet1!EI96</f>
        <v>0</v>
      </c>
      <c r="AT92" s="206">
        <f>Sheet1!EJ96</f>
        <v>0</v>
      </c>
      <c r="AU92" s="206">
        <f>Sheet1!EK96</f>
        <v>0</v>
      </c>
      <c r="AV92" s="206">
        <f>Sheet1!EL96</f>
        <v>0</v>
      </c>
      <c r="AW92" s="206">
        <f t="shared" si="19"/>
        <v>0</v>
      </c>
      <c r="AX92" s="206">
        <f>Sheet1!EM96</f>
        <v>0</v>
      </c>
      <c r="AY92" s="206">
        <f>Sheet1!EN96</f>
        <v>0</v>
      </c>
      <c r="AZ92" s="206">
        <f>Sheet1!EO96</f>
        <v>0</v>
      </c>
      <c r="BA92" s="206">
        <f>Sheet1!EP96</f>
        <v>0</v>
      </c>
      <c r="BB92" s="206">
        <f t="shared" si="20"/>
        <v>0</v>
      </c>
      <c r="BC92" s="206">
        <f>Sheet1!EQ96</f>
        <v>0</v>
      </c>
      <c r="BD92" s="206">
        <f>Sheet1!ER96</f>
        <v>0</v>
      </c>
      <c r="BE92" s="206">
        <f>Sheet1!ES96</f>
        <v>0</v>
      </c>
      <c r="BF92" s="206">
        <f>Sheet1!ET96</f>
        <v>0</v>
      </c>
      <c r="BG92" s="206">
        <f t="shared" si="21"/>
        <v>0</v>
      </c>
      <c r="BH92" s="206">
        <f>Sheet1!EU96</f>
        <v>0</v>
      </c>
      <c r="BI92" s="206">
        <f>Sheet1!EV96</f>
        <v>0</v>
      </c>
      <c r="BJ92" s="206">
        <f>Sheet1!EW96</f>
        <v>0</v>
      </c>
      <c r="BK92" s="206">
        <f>Sheet1!EX96</f>
        <v>0</v>
      </c>
      <c r="BL92" s="206">
        <f t="shared" si="22"/>
        <v>0</v>
      </c>
      <c r="BM92" s="206">
        <f>Sheet1!EY96</f>
        <v>0</v>
      </c>
      <c r="BN92" s="206">
        <f>Sheet1!EZ96</f>
        <v>0</v>
      </c>
      <c r="BO92" s="206">
        <f>Sheet1!FA96</f>
        <v>0</v>
      </c>
      <c r="BP92" s="206">
        <f>Sheet1!FB96</f>
        <v>0</v>
      </c>
      <c r="BQ92" s="206">
        <f t="shared" si="23"/>
        <v>0</v>
      </c>
      <c r="BR92" s="206">
        <f>Sheet1!FC96</f>
        <v>0</v>
      </c>
      <c r="BS92" s="206">
        <f>Sheet1!FD96</f>
        <v>0</v>
      </c>
      <c r="BT92" s="206">
        <f>Sheet1!FE96</f>
        <v>0</v>
      </c>
      <c r="BU92" s="206">
        <f>Sheet1!FF96</f>
        <v>0</v>
      </c>
      <c r="BV92" s="206">
        <f t="shared" si="24"/>
        <v>0</v>
      </c>
      <c r="BW92" s="206">
        <f>Sheet1!FG96</f>
        <v>0</v>
      </c>
      <c r="BX92" s="206">
        <f>Sheet1!FH96</f>
        <v>0</v>
      </c>
      <c r="BY92" s="206">
        <f>Sheet1!FI96</f>
        <v>0</v>
      </c>
      <c r="BZ92" s="206">
        <f>Sheet1!FJ96</f>
        <v>0</v>
      </c>
      <c r="CA92" s="206">
        <f t="shared" si="25"/>
        <v>0</v>
      </c>
      <c r="CB92" s="206">
        <f>Sheet1!FK96</f>
        <v>0</v>
      </c>
      <c r="CC92" s="206">
        <f>Sheet1!FL96</f>
        <v>0</v>
      </c>
      <c r="CD92" s="206">
        <f>Sheet1!FM96</f>
        <v>0</v>
      </c>
      <c r="CE92" s="206">
        <f>Sheet1!FN96</f>
        <v>0</v>
      </c>
      <c r="CF92" s="206">
        <f t="shared" si="26"/>
        <v>0</v>
      </c>
      <c r="CG92" s="206">
        <f t="shared" si="27"/>
        <v>0</v>
      </c>
      <c r="CH92" s="206">
        <f t="shared" si="28"/>
        <v>0</v>
      </c>
      <c r="CI92" s="206">
        <f t="shared" si="29"/>
        <v>0</v>
      </c>
      <c r="CJ92" s="206">
        <f t="shared" si="30"/>
        <v>0</v>
      </c>
      <c r="CK92" s="206">
        <f t="shared" si="31"/>
        <v>0</v>
      </c>
      <c r="CL92" s="206">
        <f t="shared" si="32"/>
        <v>0</v>
      </c>
      <c r="CM92" s="206">
        <f t="shared" si="33"/>
        <v>0</v>
      </c>
      <c r="CN92" s="206">
        <f t="shared" si="34"/>
        <v>0</v>
      </c>
      <c r="CO92" s="206">
        <f t="shared" si="35"/>
        <v>0</v>
      </c>
      <c r="CP92" s="206">
        <f t="shared" si="36"/>
        <v>0</v>
      </c>
    </row>
    <row r="93" spans="45:94">
      <c r="AS93" s="206">
        <f>Sheet1!EI97</f>
        <v>0</v>
      </c>
      <c r="AT93" s="206">
        <f>Sheet1!EJ97</f>
        <v>0</v>
      </c>
      <c r="AU93" s="206">
        <f>Sheet1!EK97</f>
        <v>0</v>
      </c>
      <c r="AV93" s="206">
        <f>Sheet1!EL97</f>
        <v>0</v>
      </c>
      <c r="AW93" s="206">
        <f t="shared" si="19"/>
        <v>0</v>
      </c>
      <c r="AX93" s="206">
        <f>Sheet1!EM97</f>
        <v>0</v>
      </c>
      <c r="AY93" s="206">
        <f>Sheet1!EN97</f>
        <v>0</v>
      </c>
      <c r="AZ93" s="206">
        <f>Sheet1!EO97</f>
        <v>0</v>
      </c>
      <c r="BA93" s="206">
        <f>Sheet1!EP97</f>
        <v>0</v>
      </c>
      <c r="BB93" s="206">
        <f t="shared" si="20"/>
        <v>0</v>
      </c>
      <c r="BC93" s="206">
        <f>Sheet1!EQ97</f>
        <v>0</v>
      </c>
      <c r="BD93" s="206">
        <f>Sheet1!ER97</f>
        <v>0</v>
      </c>
      <c r="BE93" s="206">
        <f>Sheet1!ES97</f>
        <v>0</v>
      </c>
      <c r="BF93" s="206">
        <f>Sheet1!ET97</f>
        <v>0</v>
      </c>
      <c r="BG93" s="206">
        <f t="shared" si="21"/>
        <v>0</v>
      </c>
      <c r="BH93" s="206">
        <f>Sheet1!EU97</f>
        <v>0</v>
      </c>
      <c r="BI93" s="206">
        <f>Sheet1!EV97</f>
        <v>0</v>
      </c>
      <c r="BJ93" s="206">
        <f>Sheet1!EW97</f>
        <v>0</v>
      </c>
      <c r="BK93" s="206">
        <f>Sheet1!EX97</f>
        <v>0</v>
      </c>
      <c r="BL93" s="206">
        <f t="shared" si="22"/>
        <v>0</v>
      </c>
      <c r="BM93" s="206">
        <f>Sheet1!EY97</f>
        <v>0</v>
      </c>
      <c r="BN93" s="206">
        <f>Sheet1!EZ97</f>
        <v>0</v>
      </c>
      <c r="BO93" s="206">
        <f>Sheet1!FA97</f>
        <v>0</v>
      </c>
      <c r="BP93" s="206">
        <f>Sheet1!FB97</f>
        <v>0</v>
      </c>
      <c r="BQ93" s="206">
        <f t="shared" si="23"/>
        <v>0</v>
      </c>
      <c r="BR93" s="206">
        <f>Sheet1!FC97</f>
        <v>0</v>
      </c>
      <c r="BS93" s="206">
        <f>Sheet1!FD97</f>
        <v>0</v>
      </c>
      <c r="BT93" s="206">
        <f>Sheet1!FE97</f>
        <v>0</v>
      </c>
      <c r="BU93" s="206">
        <f>Sheet1!FF97</f>
        <v>0</v>
      </c>
      <c r="BV93" s="206">
        <f t="shared" si="24"/>
        <v>0</v>
      </c>
      <c r="BW93" s="206">
        <f>Sheet1!FG97</f>
        <v>0</v>
      </c>
      <c r="BX93" s="206">
        <f>Sheet1!FH97</f>
        <v>0</v>
      </c>
      <c r="BY93" s="206">
        <f>Sheet1!FI97</f>
        <v>0</v>
      </c>
      <c r="BZ93" s="206">
        <f>Sheet1!FJ97</f>
        <v>0</v>
      </c>
      <c r="CA93" s="206">
        <f t="shared" si="25"/>
        <v>0</v>
      </c>
      <c r="CB93" s="206">
        <f>Sheet1!FK97</f>
        <v>0</v>
      </c>
      <c r="CC93" s="206">
        <f>Sheet1!FL97</f>
        <v>0</v>
      </c>
      <c r="CD93" s="206">
        <f>Sheet1!FM97</f>
        <v>0</v>
      </c>
      <c r="CE93" s="206">
        <f>Sheet1!FN97</f>
        <v>0</v>
      </c>
      <c r="CF93" s="206">
        <f t="shared" si="26"/>
        <v>0</v>
      </c>
      <c r="CG93" s="206">
        <f t="shared" si="27"/>
        <v>0</v>
      </c>
      <c r="CH93" s="206">
        <f t="shared" si="28"/>
        <v>0</v>
      </c>
      <c r="CI93" s="206">
        <f t="shared" si="29"/>
        <v>0</v>
      </c>
      <c r="CJ93" s="206">
        <f t="shared" si="30"/>
        <v>0</v>
      </c>
      <c r="CK93" s="206">
        <f t="shared" si="31"/>
        <v>0</v>
      </c>
      <c r="CL93" s="206">
        <f t="shared" si="32"/>
        <v>0</v>
      </c>
      <c r="CM93" s="206">
        <f t="shared" si="33"/>
        <v>0</v>
      </c>
      <c r="CN93" s="206">
        <f t="shared" si="34"/>
        <v>0</v>
      </c>
      <c r="CO93" s="206">
        <f t="shared" si="35"/>
        <v>0</v>
      </c>
      <c r="CP93" s="206">
        <f t="shared" si="36"/>
        <v>0</v>
      </c>
    </row>
    <row r="94" spans="45:94">
      <c r="AS94" s="206">
        <f>Sheet1!EI98</f>
        <v>0</v>
      </c>
      <c r="AT94" s="206">
        <f>Sheet1!EJ98</f>
        <v>0</v>
      </c>
      <c r="AU94" s="206">
        <f>Sheet1!EK98</f>
        <v>0</v>
      </c>
      <c r="AV94" s="206">
        <f>Sheet1!EL98</f>
        <v>0</v>
      </c>
      <c r="AW94" s="206">
        <f t="shared" si="19"/>
        <v>0</v>
      </c>
      <c r="AX94" s="206">
        <f>Sheet1!EM98</f>
        <v>0</v>
      </c>
      <c r="AY94" s="206">
        <f>Sheet1!EN98</f>
        <v>0</v>
      </c>
      <c r="AZ94" s="206">
        <f>Sheet1!EO98</f>
        <v>0</v>
      </c>
      <c r="BA94" s="206">
        <f>Sheet1!EP98</f>
        <v>0</v>
      </c>
      <c r="BB94" s="206">
        <f t="shared" si="20"/>
        <v>0</v>
      </c>
      <c r="BC94" s="206">
        <f>Sheet1!EQ98</f>
        <v>0</v>
      </c>
      <c r="BD94" s="206">
        <f>Sheet1!ER98</f>
        <v>0</v>
      </c>
      <c r="BE94" s="206">
        <f>Sheet1!ES98</f>
        <v>0</v>
      </c>
      <c r="BF94" s="206">
        <f>Sheet1!ET98</f>
        <v>0</v>
      </c>
      <c r="BG94" s="206">
        <f t="shared" si="21"/>
        <v>0</v>
      </c>
      <c r="BH94" s="206">
        <f>Sheet1!EU98</f>
        <v>0</v>
      </c>
      <c r="BI94" s="206">
        <f>Sheet1!EV98</f>
        <v>0</v>
      </c>
      <c r="BJ94" s="206">
        <f>Sheet1!EW98</f>
        <v>0</v>
      </c>
      <c r="BK94" s="206">
        <f>Sheet1!EX98</f>
        <v>0</v>
      </c>
      <c r="BL94" s="206">
        <f t="shared" si="22"/>
        <v>0</v>
      </c>
      <c r="BM94" s="206">
        <f>Sheet1!EY98</f>
        <v>0</v>
      </c>
      <c r="BN94" s="206">
        <f>Sheet1!EZ98</f>
        <v>0</v>
      </c>
      <c r="BO94" s="206">
        <f>Sheet1!FA98</f>
        <v>0</v>
      </c>
      <c r="BP94" s="206">
        <f>Sheet1!FB98</f>
        <v>0</v>
      </c>
      <c r="BQ94" s="206">
        <f t="shared" si="23"/>
        <v>0</v>
      </c>
      <c r="BR94" s="206">
        <f>Sheet1!FC98</f>
        <v>0</v>
      </c>
      <c r="BS94" s="206">
        <f>Sheet1!FD98</f>
        <v>0</v>
      </c>
      <c r="BT94" s="206">
        <f>Sheet1!FE98</f>
        <v>0</v>
      </c>
      <c r="BU94" s="206">
        <f>Sheet1!FF98</f>
        <v>0</v>
      </c>
      <c r="BV94" s="206">
        <f t="shared" si="24"/>
        <v>0</v>
      </c>
      <c r="BW94" s="206">
        <f>Sheet1!FG98</f>
        <v>0</v>
      </c>
      <c r="BX94" s="206">
        <f>Sheet1!FH98</f>
        <v>0</v>
      </c>
      <c r="BY94" s="206">
        <f>Sheet1!FI98</f>
        <v>0</v>
      </c>
      <c r="BZ94" s="206">
        <f>Sheet1!FJ98</f>
        <v>0</v>
      </c>
      <c r="CA94" s="206">
        <f t="shared" si="25"/>
        <v>0</v>
      </c>
      <c r="CB94" s="206">
        <f>Sheet1!FK98</f>
        <v>0</v>
      </c>
      <c r="CC94" s="206">
        <f>Sheet1!FL98</f>
        <v>0</v>
      </c>
      <c r="CD94" s="206">
        <f>Sheet1!FM98</f>
        <v>0</v>
      </c>
      <c r="CE94" s="206">
        <f>Sheet1!FN98</f>
        <v>0</v>
      </c>
      <c r="CF94" s="206">
        <f t="shared" si="26"/>
        <v>0</v>
      </c>
      <c r="CG94" s="206">
        <f t="shared" si="27"/>
        <v>0</v>
      </c>
      <c r="CH94" s="206">
        <f t="shared" si="28"/>
        <v>0</v>
      </c>
      <c r="CI94" s="206">
        <f t="shared" si="29"/>
        <v>0</v>
      </c>
      <c r="CJ94" s="206">
        <f t="shared" si="30"/>
        <v>0</v>
      </c>
      <c r="CK94" s="206">
        <f t="shared" si="31"/>
        <v>0</v>
      </c>
      <c r="CL94" s="206">
        <f t="shared" si="32"/>
        <v>0</v>
      </c>
      <c r="CM94" s="206">
        <f t="shared" si="33"/>
        <v>0</v>
      </c>
      <c r="CN94" s="206">
        <f t="shared" si="34"/>
        <v>0</v>
      </c>
      <c r="CO94" s="206">
        <f t="shared" si="35"/>
        <v>0</v>
      </c>
      <c r="CP94" s="206">
        <f t="shared" si="36"/>
        <v>0</v>
      </c>
    </row>
    <row r="95" spans="45:94">
      <c r="AS95" s="206">
        <f>Sheet1!EI99</f>
        <v>0</v>
      </c>
      <c r="AT95" s="206">
        <f>Sheet1!EJ99</f>
        <v>0</v>
      </c>
      <c r="AU95" s="206">
        <f>Sheet1!EK99</f>
        <v>0</v>
      </c>
      <c r="AV95" s="206">
        <f>Sheet1!EL99</f>
        <v>0</v>
      </c>
      <c r="AW95" s="206">
        <f t="shared" si="19"/>
        <v>0</v>
      </c>
      <c r="AX95" s="206">
        <f>Sheet1!EM99</f>
        <v>0</v>
      </c>
      <c r="AY95" s="206">
        <f>Sheet1!EN99</f>
        <v>0</v>
      </c>
      <c r="AZ95" s="206">
        <f>Sheet1!EO99</f>
        <v>0</v>
      </c>
      <c r="BA95" s="206">
        <f>Sheet1!EP99</f>
        <v>0</v>
      </c>
      <c r="BB95" s="206">
        <f t="shared" si="20"/>
        <v>0</v>
      </c>
      <c r="BC95" s="206">
        <f>Sheet1!EQ99</f>
        <v>0</v>
      </c>
      <c r="BD95" s="206">
        <f>Sheet1!ER99</f>
        <v>0</v>
      </c>
      <c r="BE95" s="206">
        <f>Sheet1!ES99</f>
        <v>0</v>
      </c>
      <c r="BF95" s="206">
        <f>Sheet1!ET99</f>
        <v>0</v>
      </c>
      <c r="BG95" s="206">
        <f t="shared" si="21"/>
        <v>0</v>
      </c>
      <c r="BH95" s="206">
        <f>Sheet1!EU99</f>
        <v>0</v>
      </c>
      <c r="BI95" s="206">
        <f>Sheet1!EV99</f>
        <v>0</v>
      </c>
      <c r="BJ95" s="206">
        <f>Sheet1!EW99</f>
        <v>0</v>
      </c>
      <c r="BK95" s="206">
        <f>Sheet1!EX99</f>
        <v>0</v>
      </c>
      <c r="BL95" s="206">
        <f t="shared" si="22"/>
        <v>0</v>
      </c>
      <c r="BM95" s="206">
        <f>Sheet1!EY99</f>
        <v>0</v>
      </c>
      <c r="BN95" s="206">
        <f>Sheet1!EZ99</f>
        <v>0</v>
      </c>
      <c r="BO95" s="206">
        <f>Sheet1!FA99</f>
        <v>0</v>
      </c>
      <c r="BP95" s="206">
        <f>Sheet1!FB99</f>
        <v>0</v>
      </c>
      <c r="BQ95" s="206">
        <f t="shared" si="23"/>
        <v>0</v>
      </c>
      <c r="BR95" s="206">
        <f>Sheet1!FC99</f>
        <v>0</v>
      </c>
      <c r="BS95" s="206">
        <f>Sheet1!FD99</f>
        <v>0</v>
      </c>
      <c r="BT95" s="206">
        <f>Sheet1!FE99</f>
        <v>0</v>
      </c>
      <c r="BU95" s="206">
        <f>Sheet1!FF99</f>
        <v>0</v>
      </c>
      <c r="BV95" s="206">
        <f t="shared" si="24"/>
        <v>0</v>
      </c>
      <c r="BW95" s="206">
        <f>Sheet1!FG99</f>
        <v>0</v>
      </c>
      <c r="BX95" s="206">
        <f>Sheet1!FH99</f>
        <v>0</v>
      </c>
      <c r="BY95" s="206">
        <f>Sheet1!FI99</f>
        <v>0</v>
      </c>
      <c r="BZ95" s="206">
        <f>Sheet1!FJ99</f>
        <v>0</v>
      </c>
      <c r="CA95" s="206">
        <f t="shared" si="25"/>
        <v>0</v>
      </c>
      <c r="CB95" s="206">
        <f>Sheet1!FK99</f>
        <v>0</v>
      </c>
      <c r="CC95" s="206">
        <f>Sheet1!FL99</f>
        <v>0</v>
      </c>
      <c r="CD95" s="206">
        <f>Sheet1!FM99</f>
        <v>0</v>
      </c>
      <c r="CE95" s="206">
        <f>Sheet1!FN99</f>
        <v>0</v>
      </c>
      <c r="CF95" s="206">
        <f t="shared" si="26"/>
        <v>0</v>
      </c>
      <c r="CG95" s="206">
        <f t="shared" si="27"/>
        <v>0</v>
      </c>
      <c r="CH95" s="206">
        <f t="shared" si="28"/>
        <v>0</v>
      </c>
      <c r="CI95" s="206">
        <f t="shared" si="29"/>
        <v>0</v>
      </c>
      <c r="CJ95" s="206">
        <f t="shared" si="30"/>
        <v>0</v>
      </c>
      <c r="CK95" s="206">
        <f t="shared" si="31"/>
        <v>0</v>
      </c>
      <c r="CL95" s="206">
        <f t="shared" si="32"/>
        <v>0</v>
      </c>
      <c r="CM95" s="206">
        <f t="shared" si="33"/>
        <v>0</v>
      </c>
      <c r="CN95" s="206">
        <f t="shared" si="34"/>
        <v>0</v>
      </c>
      <c r="CO95" s="206">
        <f t="shared" si="35"/>
        <v>0</v>
      </c>
      <c r="CP95" s="206">
        <f t="shared" si="36"/>
        <v>0</v>
      </c>
    </row>
    <row r="96" spans="45:94">
      <c r="AS96" s="206">
        <f>Sheet1!EI100</f>
        <v>0</v>
      </c>
      <c r="AT96" s="206">
        <f>Sheet1!EJ100</f>
        <v>0</v>
      </c>
      <c r="AU96" s="206">
        <f>Sheet1!EK100</f>
        <v>0</v>
      </c>
      <c r="AV96" s="206">
        <f>Sheet1!EL100</f>
        <v>0</v>
      </c>
      <c r="AW96" s="206">
        <f t="shared" si="19"/>
        <v>0</v>
      </c>
      <c r="AX96" s="206">
        <f>Sheet1!EM100</f>
        <v>0</v>
      </c>
      <c r="AY96" s="206">
        <f>Sheet1!EN100</f>
        <v>0</v>
      </c>
      <c r="AZ96" s="206">
        <f>Sheet1!EO100</f>
        <v>0</v>
      </c>
      <c r="BA96" s="206">
        <f>Sheet1!EP100</f>
        <v>0</v>
      </c>
      <c r="BB96" s="206">
        <f t="shared" si="20"/>
        <v>0</v>
      </c>
      <c r="BC96" s="206">
        <f>Sheet1!EQ100</f>
        <v>0</v>
      </c>
      <c r="BD96" s="206">
        <f>Sheet1!ER100</f>
        <v>0</v>
      </c>
      <c r="BE96" s="206">
        <f>Sheet1!ES100</f>
        <v>0</v>
      </c>
      <c r="BF96" s="206">
        <f>Sheet1!ET100</f>
        <v>0</v>
      </c>
      <c r="BG96" s="206">
        <f t="shared" si="21"/>
        <v>0</v>
      </c>
      <c r="BH96" s="206">
        <f>Sheet1!EU100</f>
        <v>0</v>
      </c>
      <c r="BI96" s="206">
        <f>Sheet1!EV100</f>
        <v>0</v>
      </c>
      <c r="BJ96" s="206">
        <f>Sheet1!EW100</f>
        <v>0</v>
      </c>
      <c r="BK96" s="206">
        <f>Sheet1!EX100</f>
        <v>0</v>
      </c>
      <c r="BL96" s="206">
        <f t="shared" si="22"/>
        <v>0</v>
      </c>
      <c r="BM96" s="206">
        <f>Sheet1!EY100</f>
        <v>0</v>
      </c>
      <c r="BN96" s="206">
        <f>Sheet1!EZ100</f>
        <v>0</v>
      </c>
      <c r="BO96" s="206">
        <f>Sheet1!FA100</f>
        <v>0</v>
      </c>
      <c r="BP96" s="206">
        <f>Sheet1!FB100</f>
        <v>0</v>
      </c>
      <c r="BQ96" s="206">
        <f t="shared" si="23"/>
        <v>0</v>
      </c>
      <c r="BR96" s="206">
        <f>Sheet1!FC100</f>
        <v>0</v>
      </c>
      <c r="BS96" s="206">
        <f>Sheet1!FD100</f>
        <v>0</v>
      </c>
      <c r="BT96" s="206">
        <f>Sheet1!FE100</f>
        <v>0</v>
      </c>
      <c r="BU96" s="206">
        <f>Sheet1!FF100</f>
        <v>0</v>
      </c>
      <c r="BV96" s="206">
        <f t="shared" si="24"/>
        <v>0</v>
      </c>
      <c r="BW96" s="206">
        <f>Sheet1!FG100</f>
        <v>0</v>
      </c>
      <c r="BX96" s="206">
        <f>Sheet1!FH100</f>
        <v>0</v>
      </c>
      <c r="BY96" s="206">
        <f>Sheet1!FI100</f>
        <v>0</v>
      </c>
      <c r="BZ96" s="206">
        <f>Sheet1!FJ100</f>
        <v>0</v>
      </c>
      <c r="CA96" s="206">
        <f t="shared" si="25"/>
        <v>0</v>
      </c>
      <c r="CB96" s="206">
        <f>Sheet1!FK100</f>
        <v>0</v>
      </c>
      <c r="CC96" s="206">
        <f>Sheet1!FL100</f>
        <v>0</v>
      </c>
      <c r="CD96" s="206">
        <f>Sheet1!FM100</f>
        <v>0</v>
      </c>
      <c r="CE96" s="206">
        <f>Sheet1!FN100</f>
        <v>0</v>
      </c>
      <c r="CF96" s="206">
        <f t="shared" si="26"/>
        <v>0</v>
      </c>
      <c r="CG96" s="206">
        <f t="shared" si="27"/>
        <v>0</v>
      </c>
      <c r="CH96" s="206">
        <f t="shared" si="28"/>
        <v>0</v>
      </c>
      <c r="CI96" s="206">
        <f t="shared" si="29"/>
        <v>0</v>
      </c>
      <c r="CJ96" s="206">
        <f t="shared" si="30"/>
        <v>0</v>
      </c>
      <c r="CK96" s="206">
        <f t="shared" si="31"/>
        <v>0</v>
      </c>
      <c r="CL96" s="206">
        <f t="shared" si="32"/>
        <v>0</v>
      </c>
      <c r="CM96" s="206">
        <f t="shared" si="33"/>
        <v>0</v>
      </c>
      <c r="CN96" s="206">
        <f t="shared" si="34"/>
        <v>0</v>
      </c>
      <c r="CO96" s="206">
        <f t="shared" si="35"/>
        <v>0</v>
      </c>
      <c r="CP96" s="206">
        <f t="shared" si="36"/>
        <v>0</v>
      </c>
    </row>
    <row r="97" spans="45:94">
      <c r="AS97" s="206">
        <f>Sheet1!EI101</f>
        <v>0</v>
      </c>
      <c r="AT97" s="206">
        <f>Sheet1!EJ101</f>
        <v>0</v>
      </c>
      <c r="AU97" s="206">
        <f>Sheet1!EK101</f>
        <v>0</v>
      </c>
      <c r="AV97" s="206">
        <f>Sheet1!EL101</f>
        <v>0</v>
      </c>
      <c r="AW97" s="206">
        <f t="shared" si="19"/>
        <v>0</v>
      </c>
      <c r="AX97" s="206">
        <f>Sheet1!EM101</f>
        <v>0</v>
      </c>
      <c r="AY97" s="206">
        <f>Sheet1!EN101</f>
        <v>0</v>
      </c>
      <c r="AZ97" s="206">
        <f>Sheet1!EO101</f>
        <v>0</v>
      </c>
      <c r="BA97" s="206">
        <f>Sheet1!EP101</f>
        <v>0</v>
      </c>
      <c r="BB97" s="206">
        <f t="shared" si="20"/>
        <v>0</v>
      </c>
      <c r="BC97" s="206">
        <f>Sheet1!EQ101</f>
        <v>0</v>
      </c>
      <c r="BD97" s="206">
        <f>Sheet1!ER101</f>
        <v>0</v>
      </c>
      <c r="BE97" s="206">
        <f>Sheet1!ES101</f>
        <v>0</v>
      </c>
      <c r="BF97" s="206">
        <f>Sheet1!ET101</f>
        <v>0</v>
      </c>
      <c r="BG97" s="206">
        <f t="shared" si="21"/>
        <v>0</v>
      </c>
      <c r="BH97" s="206">
        <f>Sheet1!EU101</f>
        <v>0</v>
      </c>
      <c r="BI97" s="206">
        <f>Sheet1!EV101</f>
        <v>0</v>
      </c>
      <c r="BJ97" s="206">
        <f>Sheet1!EW101</f>
        <v>0</v>
      </c>
      <c r="BK97" s="206">
        <f>Sheet1!EX101</f>
        <v>0</v>
      </c>
      <c r="BL97" s="206">
        <f t="shared" si="22"/>
        <v>0</v>
      </c>
      <c r="BM97" s="206">
        <f>Sheet1!EY101</f>
        <v>0</v>
      </c>
      <c r="BN97" s="206">
        <f>Sheet1!EZ101</f>
        <v>0</v>
      </c>
      <c r="BO97" s="206">
        <f>Sheet1!FA101</f>
        <v>0</v>
      </c>
      <c r="BP97" s="206">
        <f>Sheet1!FB101</f>
        <v>0</v>
      </c>
      <c r="BQ97" s="206">
        <f t="shared" si="23"/>
        <v>0</v>
      </c>
      <c r="BR97" s="206">
        <f>Sheet1!FC101</f>
        <v>0</v>
      </c>
      <c r="BS97" s="206">
        <f>Sheet1!FD101</f>
        <v>0</v>
      </c>
      <c r="BT97" s="206">
        <f>Sheet1!FE101</f>
        <v>0</v>
      </c>
      <c r="BU97" s="206">
        <f>Sheet1!FF101</f>
        <v>0</v>
      </c>
      <c r="BV97" s="206">
        <f t="shared" si="24"/>
        <v>0</v>
      </c>
      <c r="BW97" s="206">
        <f>Sheet1!FG101</f>
        <v>0</v>
      </c>
      <c r="BX97" s="206">
        <f>Sheet1!FH101</f>
        <v>0</v>
      </c>
      <c r="BY97" s="206">
        <f>Sheet1!FI101</f>
        <v>0</v>
      </c>
      <c r="BZ97" s="206">
        <f>Sheet1!FJ101</f>
        <v>0</v>
      </c>
      <c r="CA97" s="206">
        <f t="shared" si="25"/>
        <v>0</v>
      </c>
      <c r="CB97" s="206">
        <f>Sheet1!FK101</f>
        <v>0</v>
      </c>
      <c r="CC97" s="206">
        <f>Sheet1!FL101</f>
        <v>0</v>
      </c>
      <c r="CD97" s="206">
        <f>Sheet1!FM101</f>
        <v>0</v>
      </c>
      <c r="CE97" s="206">
        <f>Sheet1!FN101</f>
        <v>0</v>
      </c>
      <c r="CF97" s="206">
        <f t="shared" si="26"/>
        <v>0</v>
      </c>
      <c r="CG97" s="206">
        <f t="shared" si="27"/>
        <v>0</v>
      </c>
      <c r="CH97" s="206">
        <f t="shared" si="28"/>
        <v>0</v>
      </c>
      <c r="CI97" s="206">
        <f t="shared" si="29"/>
        <v>0</v>
      </c>
      <c r="CJ97" s="206">
        <f t="shared" si="30"/>
        <v>0</v>
      </c>
      <c r="CK97" s="206">
        <f t="shared" si="31"/>
        <v>0</v>
      </c>
      <c r="CL97" s="206">
        <f t="shared" si="32"/>
        <v>0</v>
      </c>
      <c r="CM97" s="206">
        <f t="shared" si="33"/>
        <v>0</v>
      </c>
      <c r="CN97" s="206">
        <f t="shared" si="34"/>
        <v>0</v>
      </c>
      <c r="CO97" s="206">
        <f t="shared" si="35"/>
        <v>0</v>
      </c>
      <c r="CP97" s="206">
        <f t="shared" si="36"/>
        <v>0</v>
      </c>
    </row>
    <row r="98" spans="45:94">
      <c r="AS98" s="206">
        <f>Sheet1!EI102</f>
        <v>0</v>
      </c>
      <c r="AT98" s="206">
        <f>Sheet1!EJ102</f>
        <v>0</v>
      </c>
      <c r="AU98" s="206">
        <f>Sheet1!EK102</f>
        <v>0</v>
      </c>
      <c r="AV98" s="206">
        <f>Sheet1!EL102</f>
        <v>0</v>
      </c>
      <c r="AW98" s="206">
        <f t="shared" si="19"/>
        <v>0</v>
      </c>
      <c r="AX98" s="206">
        <f>Sheet1!EM102</f>
        <v>0</v>
      </c>
      <c r="AY98" s="206">
        <f>Sheet1!EN102</f>
        <v>0</v>
      </c>
      <c r="AZ98" s="206">
        <f>Sheet1!EO102</f>
        <v>0</v>
      </c>
      <c r="BA98" s="206">
        <f>Sheet1!EP102</f>
        <v>0</v>
      </c>
      <c r="BB98" s="206">
        <f t="shared" si="20"/>
        <v>0</v>
      </c>
      <c r="BC98" s="206">
        <f>Sheet1!EQ102</f>
        <v>0</v>
      </c>
      <c r="BD98" s="206">
        <f>Sheet1!ER102</f>
        <v>0</v>
      </c>
      <c r="BE98" s="206">
        <f>Sheet1!ES102</f>
        <v>0</v>
      </c>
      <c r="BF98" s="206">
        <f>Sheet1!ET102</f>
        <v>0</v>
      </c>
      <c r="BG98" s="206">
        <f t="shared" si="21"/>
        <v>0</v>
      </c>
      <c r="BH98" s="206">
        <f>Sheet1!EU102</f>
        <v>0</v>
      </c>
      <c r="BI98" s="206">
        <f>Sheet1!EV102</f>
        <v>0</v>
      </c>
      <c r="BJ98" s="206">
        <f>Sheet1!EW102</f>
        <v>0</v>
      </c>
      <c r="BK98" s="206">
        <f>Sheet1!EX102</f>
        <v>0</v>
      </c>
      <c r="BL98" s="206">
        <f t="shared" si="22"/>
        <v>0</v>
      </c>
      <c r="BM98" s="206">
        <f>Sheet1!EY102</f>
        <v>0</v>
      </c>
      <c r="BN98" s="206">
        <f>Sheet1!EZ102</f>
        <v>0</v>
      </c>
      <c r="BO98" s="206">
        <f>Sheet1!FA102</f>
        <v>0</v>
      </c>
      <c r="BP98" s="206">
        <f>Sheet1!FB102</f>
        <v>0</v>
      </c>
      <c r="BQ98" s="206">
        <f t="shared" si="23"/>
        <v>0</v>
      </c>
      <c r="BR98" s="206">
        <f>Sheet1!FC102</f>
        <v>0</v>
      </c>
      <c r="BS98" s="206">
        <f>Sheet1!FD102</f>
        <v>0</v>
      </c>
      <c r="BT98" s="206">
        <f>Sheet1!FE102</f>
        <v>0</v>
      </c>
      <c r="BU98" s="206">
        <f>Sheet1!FF102</f>
        <v>0</v>
      </c>
      <c r="BV98" s="206">
        <f t="shared" si="24"/>
        <v>0</v>
      </c>
      <c r="BW98" s="206">
        <f>Sheet1!FG102</f>
        <v>0</v>
      </c>
      <c r="BX98" s="206">
        <f>Sheet1!FH102</f>
        <v>0</v>
      </c>
      <c r="BY98" s="206">
        <f>Sheet1!FI102</f>
        <v>0</v>
      </c>
      <c r="BZ98" s="206">
        <f>Sheet1!FJ102</f>
        <v>0</v>
      </c>
      <c r="CA98" s="206">
        <f t="shared" si="25"/>
        <v>0</v>
      </c>
      <c r="CB98" s="206">
        <f>Sheet1!FK102</f>
        <v>0</v>
      </c>
      <c r="CC98" s="206">
        <f>Sheet1!FL102</f>
        <v>0</v>
      </c>
      <c r="CD98" s="206">
        <f>Sheet1!FM102</f>
        <v>0</v>
      </c>
      <c r="CE98" s="206">
        <f>Sheet1!FN102</f>
        <v>0</v>
      </c>
      <c r="CF98" s="206">
        <f t="shared" si="26"/>
        <v>0</v>
      </c>
      <c r="CG98" s="206">
        <f t="shared" si="27"/>
        <v>0</v>
      </c>
      <c r="CH98" s="206">
        <f t="shared" si="28"/>
        <v>0</v>
      </c>
      <c r="CI98" s="206">
        <f t="shared" si="29"/>
        <v>0</v>
      </c>
      <c r="CJ98" s="206">
        <f t="shared" si="30"/>
        <v>0</v>
      </c>
      <c r="CK98" s="206">
        <f t="shared" si="31"/>
        <v>0</v>
      </c>
      <c r="CL98" s="206">
        <f t="shared" si="32"/>
        <v>0</v>
      </c>
      <c r="CM98" s="206">
        <f t="shared" si="33"/>
        <v>0</v>
      </c>
      <c r="CN98" s="206">
        <f t="shared" si="34"/>
        <v>0</v>
      </c>
      <c r="CO98" s="206">
        <f t="shared" si="35"/>
        <v>0</v>
      </c>
      <c r="CP98" s="206">
        <f t="shared" si="36"/>
        <v>0</v>
      </c>
    </row>
    <row r="99" spans="45:94">
      <c r="AS99" s="206">
        <f>Sheet1!EI103</f>
        <v>0</v>
      </c>
      <c r="AT99" s="206">
        <f>Sheet1!EJ103</f>
        <v>0</v>
      </c>
      <c r="AU99" s="206">
        <f>Sheet1!EK103</f>
        <v>0</v>
      </c>
      <c r="AV99" s="206">
        <f>Sheet1!EL103</f>
        <v>0</v>
      </c>
      <c r="AW99" s="206">
        <f t="shared" si="19"/>
        <v>0</v>
      </c>
      <c r="AX99" s="206">
        <f>Sheet1!EM103</f>
        <v>0</v>
      </c>
      <c r="AY99" s="206">
        <f>Sheet1!EN103</f>
        <v>0</v>
      </c>
      <c r="AZ99" s="206">
        <f>Sheet1!EO103</f>
        <v>0</v>
      </c>
      <c r="BA99" s="206">
        <f>Sheet1!EP103</f>
        <v>0</v>
      </c>
      <c r="BB99" s="206">
        <f t="shared" si="20"/>
        <v>0</v>
      </c>
      <c r="BC99" s="206">
        <f>Sheet1!EQ103</f>
        <v>0</v>
      </c>
      <c r="BD99" s="206">
        <f>Sheet1!ER103</f>
        <v>0</v>
      </c>
      <c r="BE99" s="206">
        <f>Sheet1!ES103</f>
        <v>0</v>
      </c>
      <c r="BF99" s="206">
        <f>Sheet1!ET103</f>
        <v>0</v>
      </c>
      <c r="BG99" s="206">
        <f t="shared" si="21"/>
        <v>0</v>
      </c>
      <c r="BH99" s="206">
        <f>Sheet1!EU103</f>
        <v>0</v>
      </c>
      <c r="BI99" s="206">
        <f>Sheet1!EV103</f>
        <v>0</v>
      </c>
      <c r="BJ99" s="206">
        <f>Sheet1!EW103</f>
        <v>0</v>
      </c>
      <c r="BK99" s="206">
        <f>Sheet1!EX103</f>
        <v>0</v>
      </c>
      <c r="BL99" s="206">
        <f t="shared" si="22"/>
        <v>0</v>
      </c>
      <c r="BM99" s="206">
        <f>Sheet1!EY103</f>
        <v>0</v>
      </c>
      <c r="BN99" s="206">
        <f>Sheet1!EZ103</f>
        <v>0</v>
      </c>
      <c r="BO99" s="206">
        <f>Sheet1!FA103</f>
        <v>0</v>
      </c>
      <c r="BP99" s="206">
        <f>Sheet1!FB103</f>
        <v>0</v>
      </c>
      <c r="BQ99" s="206">
        <f t="shared" si="23"/>
        <v>0</v>
      </c>
      <c r="BR99" s="206">
        <f>Sheet1!FC103</f>
        <v>0</v>
      </c>
      <c r="BS99" s="206">
        <f>Sheet1!FD103</f>
        <v>0</v>
      </c>
      <c r="BT99" s="206">
        <f>Sheet1!FE103</f>
        <v>0</v>
      </c>
      <c r="BU99" s="206">
        <f>Sheet1!FF103</f>
        <v>0</v>
      </c>
      <c r="BV99" s="206">
        <f t="shared" si="24"/>
        <v>0</v>
      </c>
      <c r="BW99" s="206">
        <f>Sheet1!FG103</f>
        <v>0</v>
      </c>
      <c r="BX99" s="206">
        <f>Sheet1!FH103</f>
        <v>0</v>
      </c>
      <c r="BY99" s="206">
        <f>Sheet1!FI103</f>
        <v>0</v>
      </c>
      <c r="BZ99" s="206">
        <f>Sheet1!FJ103</f>
        <v>0</v>
      </c>
      <c r="CA99" s="206">
        <f t="shared" si="25"/>
        <v>0</v>
      </c>
      <c r="CB99" s="206">
        <f>Sheet1!FK103</f>
        <v>0</v>
      </c>
      <c r="CC99" s="206">
        <f>Sheet1!FL103</f>
        <v>0</v>
      </c>
      <c r="CD99" s="206">
        <f>Sheet1!FM103</f>
        <v>0</v>
      </c>
      <c r="CE99" s="206">
        <f>Sheet1!FN103</f>
        <v>0</v>
      </c>
      <c r="CF99" s="206">
        <f t="shared" si="26"/>
        <v>0</v>
      </c>
      <c r="CG99" s="206">
        <f t="shared" si="27"/>
        <v>0</v>
      </c>
      <c r="CH99" s="206">
        <f t="shared" si="28"/>
        <v>0</v>
      </c>
      <c r="CI99" s="206">
        <f t="shared" si="29"/>
        <v>0</v>
      </c>
      <c r="CJ99" s="206">
        <f t="shared" si="30"/>
        <v>0</v>
      </c>
      <c r="CK99" s="206">
        <f t="shared" si="31"/>
        <v>0</v>
      </c>
      <c r="CL99" s="206">
        <f t="shared" si="32"/>
        <v>0</v>
      </c>
      <c r="CM99" s="206">
        <f t="shared" si="33"/>
        <v>0</v>
      </c>
      <c r="CN99" s="206">
        <f t="shared" si="34"/>
        <v>0</v>
      </c>
      <c r="CO99" s="206">
        <f t="shared" si="35"/>
        <v>0</v>
      </c>
      <c r="CP99" s="206">
        <f t="shared" si="36"/>
        <v>0</v>
      </c>
    </row>
    <row r="100" spans="45:94">
      <c r="AS100" s="206">
        <f>Sheet1!EI104</f>
        <v>0</v>
      </c>
      <c r="AT100" s="206">
        <f>Sheet1!EJ104</f>
        <v>0</v>
      </c>
      <c r="AU100" s="206">
        <f>Sheet1!EK104</f>
        <v>0</v>
      </c>
      <c r="AV100" s="206">
        <f>Sheet1!EL104</f>
        <v>0</v>
      </c>
      <c r="AW100" s="206">
        <f t="shared" si="19"/>
        <v>0</v>
      </c>
      <c r="AX100" s="206">
        <f>Sheet1!EM104</f>
        <v>0</v>
      </c>
      <c r="AY100" s="206">
        <f>Sheet1!EN104</f>
        <v>0</v>
      </c>
      <c r="AZ100" s="206">
        <f>Sheet1!EO104</f>
        <v>0</v>
      </c>
      <c r="BA100" s="206">
        <f>Sheet1!EP104</f>
        <v>0</v>
      </c>
      <c r="BB100" s="206">
        <f t="shared" si="20"/>
        <v>0</v>
      </c>
      <c r="BC100" s="206">
        <f>Sheet1!EQ104</f>
        <v>0</v>
      </c>
      <c r="BD100" s="206">
        <f>Sheet1!ER104</f>
        <v>0</v>
      </c>
      <c r="BE100" s="206">
        <f>Sheet1!ES104</f>
        <v>0</v>
      </c>
      <c r="BF100" s="206">
        <f>Sheet1!ET104</f>
        <v>0</v>
      </c>
      <c r="BG100" s="206">
        <f t="shared" si="21"/>
        <v>0</v>
      </c>
      <c r="BH100" s="206">
        <f>Sheet1!EU104</f>
        <v>0</v>
      </c>
      <c r="BI100" s="206">
        <f>Sheet1!EV104</f>
        <v>0</v>
      </c>
      <c r="BJ100" s="206">
        <f>Sheet1!EW104</f>
        <v>0</v>
      </c>
      <c r="BK100" s="206">
        <f>Sheet1!EX104</f>
        <v>0</v>
      </c>
      <c r="BL100" s="206">
        <f t="shared" si="22"/>
        <v>0</v>
      </c>
      <c r="BM100" s="206">
        <f>Sheet1!EY104</f>
        <v>0</v>
      </c>
      <c r="BN100" s="206">
        <f>Sheet1!EZ104</f>
        <v>0</v>
      </c>
      <c r="BO100" s="206">
        <f>Sheet1!FA104</f>
        <v>0</v>
      </c>
      <c r="BP100" s="206">
        <f>Sheet1!FB104</f>
        <v>0</v>
      </c>
      <c r="BQ100" s="206">
        <f t="shared" si="23"/>
        <v>0</v>
      </c>
      <c r="BR100" s="206">
        <f>Sheet1!FC104</f>
        <v>0</v>
      </c>
      <c r="BS100" s="206">
        <f>Sheet1!FD104</f>
        <v>0</v>
      </c>
      <c r="BT100" s="206">
        <f>Sheet1!FE104</f>
        <v>0</v>
      </c>
      <c r="BU100" s="206">
        <f>Sheet1!FF104</f>
        <v>0</v>
      </c>
      <c r="BV100" s="206">
        <f t="shared" si="24"/>
        <v>0</v>
      </c>
      <c r="BW100" s="206">
        <f>Sheet1!FG104</f>
        <v>0</v>
      </c>
      <c r="BX100" s="206">
        <f>Sheet1!FH104</f>
        <v>0</v>
      </c>
      <c r="BY100" s="206">
        <f>Sheet1!FI104</f>
        <v>0</v>
      </c>
      <c r="BZ100" s="206">
        <f>Sheet1!FJ104</f>
        <v>0</v>
      </c>
      <c r="CA100" s="206">
        <f t="shared" si="25"/>
        <v>0</v>
      </c>
      <c r="CB100" s="206">
        <f>Sheet1!FK104</f>
        <v>0</v>
      </c>
      <c r="CC100" s="206">
        <f>Sheet1!FL104</f>
        <v>0</v>
      </c>
      <c r="CD100" s="206">
        <f>Sheet1!FM104</f>
        <v>0</v>
      </c>
      <c r="CE100" s="206">
        <f>Sheet1!FN104</f>
        <v>0</v>
      </c>
      <c r="CF100" s="206">
        <f t="shared" si="26"/>
        <v>0</v>
      </c>
      <c r="CG100" s="206">
        <f t="shared" si="27"/>
        <v>0</v>
      </c>
      <c r="CH100" s="206">
        <f t="shared" si="28"/>
        <v>0</v>
      </c>
      <c r="CI100" s="206">
        <f t="shared" si="29"/>
        <v>0</v>
      </c>
      <c r="CJ100" s="206">
        <f t="shared" si="30"/>
        <v>0</v>
      </c>
      <c r="CK100" s="206">
        <f t="shared" si="31"/>
        <v>0</v>
      </c>
      <c r="CL100" s="206">
        <f t="shared" si="32"/>
        <v>0</v>
      </c>
      <c r="CM100" s="206">
        <f t="shared" si="33"/>
        <v>0</v>
      </c>
      <c r="CN100" s="206">
        <f t="shared" si="34"/>
        <v>0</v>
      </c>
      <c r="CO100" s="206">
        <f t="shared" si="35"/>
        <v>0</v>
      </c>
      <c r="CP100" s="206">
        <f t="shared" si="36"/>
        <v>0</v>
      </c>
    </row>
    <row r="101" spans="45:94">
      <c r="AS101" s="206">
        <f>Sheet1!EI105</f>
        <v>0</v>
      </c>
      <c r="AT101" s="206">
        <f>Sheet1!EJ105</f>
        <v>0</v>
      </c>
      <c r="AU101" s="206">
        <f>Sheet1!EK105</f>
        <v>0</v>
      </c>
      <c r="AV101" s="206">
        <f>Sheet1!EL105</f>
        <v>0</v>
      </c>
      <c r="AW101" s="206">
        <f t="shared" si="19"/>
        <v>0</v>
      </c>
      <c r="AX101" s="206">
        <f>Sheet1!EM105</f>
        <v>0</v>
      </c>
      <c r="AY101" s="206">
        <f>Sheet1!EN105</f>
        <v>0</v>
      </c>
      <c r="AZ101" s="206">
        <f>Sheet1!EO105</f>
        <v>0</v>
      </c>
      <c r="BA101" s="206">
        <f>Sheet1!EP105</f>
        <v>0</v>
      </c>
      <c r="BB101" s="206">
        <f t="shared" si="20"/>
        <v>0</v>
      </c>
      <c r="BC101" s="206">
        <f>Sheet1!EQ105</f>
        <v>0</v>
      </c>
      <c r="BD101" s="206">
        <f>Sheet1!ER105</f>
        <v>0</v>
      </c>
      <c r="BE101" s="206">
        <f>Sheet1!ES105</f>
        <v>0</v>
      </c>
      <c r="BF101" s="206">
        <f>Sheet1!ET105</f>
        <v>0</v>
      </c>
      <c r="BG101" s="206">
        <f t="shared" si="21"/>
        <v>0</v>
      </c>
      <c r="BH101" s="206">
        <f>Sheet1!EU105</f>
        <v>0</v>
      </c>
      <c r="BI101" s="206">
        <f>Sheet1!EV105</f>
        <v>0</v>
      </c>
      <c r="BJ101" s="206">
        <f>Sheet1!EW105</f>
        <v>0</v>
      </c>
      <c r="BK101" s="206">
        <f>Sheet1!EX105</f>
        <v>0</v>
      </c>
      <c r="BL101" s="206">
        <f t="shared" si="22"/>
        <v>0</v>
      </c>
      <c r="BM101" s="206">
        <f>Sheet1!EY105</f>
        <v>0</v>
      </c>
      <c r="BN101" s="206">
        <f>Sheet1!EZ105</f>
        <v>0</v>
      </c>
      <c r="BO101" s="206">
        <f>Sheet1!FA105</f>
        <v>0</v>
      </c>
      <c r="BP101" s="206">
        <f>Sheet1!FB105</f>
        <v>0</v>
      </c>
      <c r="BQ101" s="206">
        <f t="shared" si="23"/>
        <v>0</v>
      </c>
      <c r="BR101" s="206">
        <f>Sheet1!FC105</f>
        <v>0</v>
      </c>
      <c r="BS101" s="206">
        <f>Sheet1!FD105</f>
        <v>0</v>
      </c>
      <c r="BT101" s="206">
        <f>Sheet1!FE105</f>
        <v>0</v>
      </c>
      <c r="BU101" s="206">
        <f>Sheet1!FF105</f>
        <v>0</v>
      </c>
      <c r="BV101" s="206">
        <f t="shared" si="24"/>
        <v>0</v>
      </c>
      <c r="BW101" s="206">
        <f>Sheet1!FG105</f>
        <v>0</v>
      </c>
      <c r="BX101" s="206">
        <f>Sheet1!FH105</f>
        <v>0</v>
      </c>
      <c r="BY101" s="206">
        <f>Sheet1!FI105</f>
        <v>0</v>
      </c>
      <c r="BZ101" s="206">
        <f>Sheet1!FJ105</f>
        <v>0</v>
      </c>
      <c r="CA101" s="206">
        <f t="shared" si="25"/>
        <v>0</v>
      </c>
      <c r="CB101" s="206">
        <f>Sheet1!FK105</f>
        <v>0</v>
      </c>
      <c r="CC101" s="206">
        <f>Sheet1!FL105</f>
        <v>0</v>
      </c>
      <c r="CD101" s="206">
        <f>Sheet1!FM105</f>
        <v>0</v>
      </c>
      <c r="CE101" s="206">
        <f>Sheet1!FN105</f>
        <v>0</v>
      </c>
      <c r="CF101" s="206">
        <f t="shared" si="26"/>
        <v>0</v>
      </c>
      <c r="CG101" s="206">
        <f t="shared" si="27"/>
        <v>0</v>
      </c>
      <c r="CH101" s="206">
        <f t="shared" si="28"/>
        <v>0</v>
      </c>
      <c r="CI101" s="206">
        <f t="shared" si="29"/>
        <v>0</v>
      </c>
      <c r="CJ101" s="206">
        <f t="shared" si="30"/>
        <v>0</v>
      </c>
      <c r="CK101" s="206">
        <f t="shared" si="31"/>
        <v>0</v>
      </c>
      <c r="CL101" s="206">
        <f t="shared" si="32"/>
        <v>0</v>
      </c>
      <c r="CM101" s="206">
        <f t="shared" si="33"/>
        <v>0</v>
      </c>
      <c r="CN101" s="206">
        <f t="shared" si="34"/>
        <v>0</v>
      </c>
      <c r="CO101" s="206">
        <f t="shared" si="35"/>
        <v>0</v>
      </c>
      <c r="CP101" s="206">
        <f t="shared" si="36"/>
        <v>0</v>
      </c>
    </row>
    <row r="102" spans="45:94">
      <c r="AS102" s="206">
        <f>Sheet1!EI106</f>
        <v>0</v>
      </c>
      <c r="AT102" s="206">
        <f>Sheet1!EJ106</f>
        <v>0</v>
      </c>
      <c r="AU102" s="206">
        <f>Sheet1!EK106</f>
        <v>0</v>
      </c>
      <c r="AV102" s="206">
        <f>Sheet1!EL106</f>
        <v>0</v>
      </c>
      <c r="AW102" s="206">
        <f t="shared" si="19"/>
        <v>0</v>
      </c>
      <c r="AX102" s="206">
        <f>Sheet1!EM106</f>
        <v>0</v>
      </c>
      <c r="AY102" s="206">
        <f>Sheet1!EN106</f>
        <v>0</v>
      </c>
      <c r="AZ102" s="206">
        <f>Sheet1!EO106</f>
        <v>0</v>
      </c>
      <c r="BA102" s="206">
        <f>Sheet1!EP106</f>
        <v>0</v>
      </c>
      <c r="BB102" s="206">
        <f t="shared" si="20"/>
        <v>0</v>
      </c>
      <c r="BC102" s="206">
        <f>Sheet1!EQ106</f>
        <v>0</v>
      </c>
      <c r="BD102" s="206">
        <f>Sheet1!ER106</f>
        <v>0</v>
      </c>
      <c r="BE102" s="206">
        <f>Sheet1!ES106</f>
        <v>0</v>
      </c>
      <c r="BF102" s="206">
        <f>Sheet1!ET106</f>
        <v>0</v>
      </c>
      <c r="BG102" s="206">
        <f t="shared" si="21"/>
        <v>0</v>
      </c>
      <c r="BH102" s="206">
        <f>Sheet1!EU106</f>
        <v>0</v>
      </c>
      <c r="BI102" s="206">
        <f>Sheet1!EV106</f>
        <v>0</v>
      </c>
      <c r="BJ102" s="206">
        <f>Sheet1!EW106</f>
        <v>0</v>
      </c>
      <c r="BK102" s="206">
        <f>Sheet1!EX106</f>
        <v>0</v>
      </c>
      <c r="BL102" s="206">
        <f t="shared" si="22"/>
        <v>0</v>
      </c>
      <c r="BM102" s="206">
        <f>Sheet1!EY106</f>
        <v>0</v>
      </c>
      <c r="BN102" s="206">
        <f>Sheet1!EZ106</f>
        <v>0</v>
      </c>
      <c r="BO102" s="206">
        <f>Sheet1!FA106</f>
        <v>0</v>
      </c>
      <c r="BP102" s="206">
        <f>Sheet1!FB106</f>
        <v>0</v>
      </c>
      <c r="BQ102" s="206">
        <f t="shared" si="23"/>
        <v>0</v>
      </c>
      <c r="BR102" s="206">
        <f>Sheet1!FC106</f>
        <v>0</v>
      </c>
      <c r="BS102" s="206">
        <f>Sheet1!FD106</f>
        <v>0</v>
      </c>
      <c r="BT102" s="206">
        <f>Sheet1!FE106</f>
        <v>0</v>
      </c>
      <c r="BU102" s="206">
        <f>Sheet1!FF106</f>
        <v>0</v>
      </c>
      <c r="BV102" s="206">
        <f t="shared" si="24"/>
        <v>0</v>
      </c>
      <c r="BW102" s="206">
        <f>Sheet1!FG106</f>
        <v>0</v>
      </c>
      <c r="BX102" s="206">
        <f>Sheet1!FH106</f>
        <v>0</v>
      </c>
      <c r="BY102" s="206">
        <f>Sheet1!FI106</f>
        <v>0</v>
      </c>
      <c r="BZ102" s="206">
        <f>Sheet1!FJ106</f>
        <v>0</v>
      </c>
      <c r="CA102" s="206">
        <f t="shared" si="25"/>
        <v>0</v>
      </c>
      <c r="CB102" s="206">
        <f>Sheet1!FK106</f>
        <v>0</v>
      </c>
      <c r="CC102" s="206">
        <f>Sheet1!FL106</f>
        <v>0</v>
      </c>
      <c r="CD102" s="206">
        <f>Sheet1!FM106</f>
        <v>0</v>
      </c>
      <c r="CE102" s="206">
        <f>Sheet1!FN106</f>
        <v>0</v>
      </c>
      <c r="CF102" s="206">
        <f t="shared" si="26"/>
        <v>0</v>
      </c>
      <c r="CG102" s="206">
        <f t="shared" si="27"/>
        <v>0</v>
      </c>
      <c r="CH102" s="206">
        <f t="shared" si="28"/>
        <v>0</v>
      </c>
      <c r="CI102" s="206">
        <f t="shared" si="29"/>
        <v>0</v>
      </c>
      <c r="CJ102" s="206">
        <f t="shared" si="30"/>
        <v>0</v>
      </c>
      <c r="CK102" s="206">
        <f t="shared" si="31"/>
        <v>0</v>
      </c>
      <c r="CL102" s="206">
        <f t="shared" si="32"/>
        <v>0</v>
      </c>
      <c r="CM102" s="206">
        <f t="shared" si="33"/>
        <v>0</v>
      </c>
      <c r="CN102" s="206">
        <f t="shared" si="34"/>
        <v>0</v>
      </c>
      <c r="CO102" s="206">
        <f t="shared" si="35"/>
        <v>0</v>
      </c>
      <c r="CP102" s="206">
        <f t="shared" si="36"/>
        <v>0</v>
      </c>
    </row>
    <row r="103" spans="45:94">
      <c r="AS103" s="206">
        <f>Sheet1!EI107</f>
        <v>0</v>
      </c>
      <c r="AT103" s="206">
        <f>Sheet1!EJ107</f>
        <v>0</v>
      </c>
      <c r="AU103" s="206">
        <f>Sheet1!EK107</f>
        <v>0</v>
      </c>
      <c r="AV103" s="206">
        <f>Sheet1!EL107</f>
        <v>0</v>
      </c>
      <c r="AW103" s="206">
        <f t="shared" si="19"/>
        <v>0</v>
      </c>
      <c r="AX103" s="206">
        <f>Sheet1!EM107</f>
        <v>0</v>
      </c>
      <c r="AY103" s="206">
        <f>Sheet1!EN107</f>
        <v>0</v>
      </c>
      <c r="AZ103" s="206">
        <f>Sheet1!EO107</f>
        <v>0</v>
      </c>
      <c r="BA103" s="206">
        <f>Sheet1!EP107</f>
        <v>0</v>
      </c>
      <c r="BB103" s="206">
        <f t="shared" si="20"/>
        <v>0</v>
      </c>
      <c r="BC103" s="206">
        <f>Sheet1!EQ107</f>
        <v>0</v>
      </c>
      <c r="BD103" s="206">
        <f>Sheet1!ER107</f>
        <v>0</v>
      </c>
      <c r="BE103" s="206">
        <f>Sheet1!ES107</f>
        <v>0</v>
      </c>
      <c r="BF103" s="206">
        <f>Sheet1!ET107</f>
        <v>0</v>
      </c>
      <c r="BG103" s="206">
        <f t="shared" si="21"/>
        <v>0</v>
      </c>
      <c r="BH103" s="206">
        <f>Sheet1!EU107</f>
        <v>0</v>
      </c>
      <c r="BI103" s="206">
        <f>Sheet1!EV107</f>
        <v>0</v>
      </c>
      <c r="BJ103" s="206">
        <f>Sheet1!EW107</f>
        <v>0</v>
      </c>
      <c r="BK103" s="206">
        <f>Sheet1!EX107</f>
        <v>0</v>
      </c>
      <c r="BL103" s="206">
        <f t="shared" si="22"/>
        <v>0</v>
      </c>
      <c r="BM103" s="206">
        <f>Sheet1!EY107</f>
        <v>0</v>
      </c>
      <c r="BN103" s="206">
        <f>Sheet1!EZ107</f>
        <v>0</v>
      </c>
      <c r="BO103" s="206">
        <f>Sheet1!FA107</f>
        <v>0</v>
      </c>
      <c r="BP103" s="206">
        <f>Sheet1!FB107</f>
        <v>0</v>
      </c>
      <c r="BQ103" s="206">
        <f t="shared" si="23"/>
        <v>0</v>
      </c>
      <c r="BR103" s="206">
        <f>Sheet1!FC107</f>
        <v>0</v>
      </c>
      <c r="BS103" s="206">
        <f>Sheet1!FD107</f>
        <v>0</v>
      </c>
      <c r="BT103" s="206">
        <f>Sheet1!FE107</f>
        <v>0</v>
      </c>
      <c r="BU103" s="206">
        <f>Sheet1!FF107</f>
        <v>0</v>
      </c>
      <c r="BV103" s="206">
        <f t="shared" si="24"/>
        <v>0</v>
      </c>
      <c r="BW103" s="206">
        <f>Sheet1!FG107</f>
        <v>0</v>
      </c>
      <c r="BX103" s="206">
        <f>Sheet1!FH107</f>
        <v>0</v>
      </c>
      <c r="BY103" s="206">
        <f>Sheet1!FI107</f>
        <v>0</v>
      </c>
      <c r="BZ103" s="206">
        <f>Sheet1!FJ107</f>
        <v>0</v>
      </c>
      <c r="CA103" s="206">
        <f t="shared" si="25"/>
        <v>0</v>
      </c>
      <c r="CB103" s="206">
        <f>Sheet1!FK107</f>
        <v>0</v>
      </c>
      <c r="CC103" s="206">
        <f>Sheet1!FL107</f>
        <v>0</v>
      </c>
      <c r="CD103" s="206">
        <f>Sheet1!FM107</f>
        <v>0</v>
      </c>
      <c r="CE103" s="206">
        <f>Sheet1!FN107</f>
        <v>0</v>
      </c>
      <c r="CF103" s="206">
        <f t="shared" si="26"/>
        <v>0</v>
      </c>
      <c r="CG103" s="206">
        <f t="shared" si="27"/>
        <v>0</v>
      </c>
      <c r="CH103" s="206">
        <f t="shared" si="28"/>
        <v>0</v>
      </c>
      <c r="CI103" s="206">
        <f t="shared" si="29"/>
        <v>0</v>
      </c>
      <c r="CJ103" s="206">
        <f t="shared" si="30"/>
        <v>0</v>
      </c>
      <c r="CK103" s="206">
        <f t="shared" si="31"/>
        <v>0</v>
      </c>
      <c r="CL103" s="206">
        <f t="shared" si="32"/>
        <v>0</v>
      </c>
      <c r="CM103" s="206">
        <f t="shared" si="33"/>
        <v>0</v>
      </c>
      <c r="CN103" s="206">
        <f t="shared" si="34"/>
        <v>0</v>
      </c>
      <c r="CO103" s="206">
        <f t="shared" si="35"/>
        <v>0</v>
      </c>
      <c r="CP103" s="206">
        <f t="shared" si="36"/>
        <v>0</v>
      </c>
    </row>
    <row r="104" spans="45:94">
      <c r="AS104" s="206">
        <f>Sheet1!EI108</f>
        <v>0</v>
      </c>
      <c r="AT104" s="206">
        <f>Sheet1!EJ108</f>
        <v>0</v>
      </c>
      <c r="AU104" s="206">
        <f>Sheet1!EK108</f>
        <v>0</v>
      </c>
      <c r="AV104" s="206">
        <f>Sheet1!EL108</f>
        <v>0</v>
      </c>
      <c r="AW104" s="206">
        <f t="shared" si="19"/>
        <v>0</v>
      </c>
      <c r="AX104" s="206">
        <f>Sheet1!EM108</f>
        <v>0</v>
      </c>
      <c r="AY104" s="206">
        <f>Sheet1!EN108</f>
        <v>0</v>
      </c>
      <c r="AZ104" s="206">
        <f>Sheet1!EO108</f>
        <v>0</v>
      </c>
      <c r="BA104" s="206">
        <f>Sheet1!EP108</f>
        <v>0</v>
      </c>
      <c r="BB104" s="206">
        <f t="shared" si="20"/>
        <v>0</v>
      </c>
      <c r="BC104" s="206">
        <f>Sheet1!EQ108</f>
        <v>0</v>
      </c>
      <c r="BD104" s="206">
        <f>Sheet1!ER108</f>
        <v>0</v>
      </c>
      <c r="BE104" s="206">
        <f>Sheet1!ES108</f>
        <v>0</v>
      </c>
      <c r="BF104" s="206">
        <f>Sheet1!ET108</f>
        <v>0</v>
      </c>
      <c r="BG104" s="206">
        <f t="shared" si="21"/>
        <v>0</v>
      </c>
      <c r="BH104" s="206">
        <f>Sheet1!EU108</f>
        <v>0</v>
      </c>
      <c r="BI104" s="206">
        <f>Sheet1!EV108</f>
        <v>0</v>
      </c>
      <c r="BJ104" s="206">
        <f>Sheet1!EW108</f>
        <v>0</v>
      </c>
      <c r="BK104" s="206">
        <f>Sheet1!EX108</f>
        <v>0</v>
      </c>
      <c r="BL104" s="206">
        <f t="shared" si="22"/>
        <v>0</v>
      </c>
      <c r="BM104" s="206">
        <f>Sheet1!EY108</f>
        <v>0</v>
      </c>
      <c r="BN104" s="206">
        <f>Sheet1!EZ108</f>
        <v>0</v>
      </c>
      <c r="BO104" s="206">
        <f>Sheet1!FA108</f>
        <v>0</v>
      </c>
      <c r="BP104" s="206">
        <f>Sheet1!FB108</f>
        <v>0</v>
      </c>
      <c r="BQ104" s="206">
        <f t="shared" si="23"/>
        <v>0</v>
      </c>
      <c r="BR104" s="206">
        <f>Sheet1!FC108</f>
        <v>0</v>
      </c>
      <c r="BS104" s="206">
        <f>Sheet1!FD108</f>
        <v>0</v>
      </c>
      <c r="BT104" s="206">
        <f>Sheet1!FE108</f>
        <v>0</v>
      </c>
      <c r="BU104" s="206">
        <f>Sheet1!FF108</f>
        <v>0</v>
      </c>
      <c r="BV104" s="206">
        <f t="shared" si="24"/>
        <v>0</v>
      </c>
      <c r="BW104" s="206">
        <f>Sheet1!FG108</f>
        <v>0</v>
      </c>
      <c r="BX104" s="206">
        <f>Sheet1!FH108</f>
        <v>0</v>
      </c>
      <c r="BY104" s="206">
        <f>Sheet1!FI108</f>
        <v>0</v>
      </c>
      <c r="BZ104" s="206">
        <f>Sheet1!FJ108</f>
        <v>0</v>
      </c>
      <c r="CA104" s="206">
        <f t="shared" si="25"/>
        <v>0</v>
      </c>
      <c r="CB104" s="206">
        <f>Sheet1!FK108</f>
        <v>0</v>
      </c>
      <c r="CC104" s="206">
        <f>Sheet1!FL108</f>
        <v>0</v>
      </c>
      <c r="CD104" s="206">
        <f>Sheet1!FM108</f>
        <v>0</v>
      </c>
      <c r="CE104" s="206">
        <f>Sheet1!FN108</f>
        <v>0</v>
      </c>
      <c r="CF104" s="206">
        <f t="shared" si="26"/>
        <v>0</v>
      </c>
      <c r="CG104" s="206">
        <f t="shared" si="27"/>
        <v>0</v>
      </c>
      <c r="CH104" s="206">
        <f t="shared" si="28"/>
        <v>0</v>
      </c>
      <c r="CI104" s="206">
        <f t="shared" si="29"/>
        <v>0</v>
      </c>
      <c r="CJ104" s="206">
        <f t="shared" si="30"/>
        <v>0</v>
      </c>
      <c r="CK104" s="206">
        <f t="shared" si="31"/>
        <v>0</v>
      </c>
      <c r="CL104" s="206">
        <f t="shared" si="32"/>
        <v>0</v>
      </c>
      <c r="CM104" s="206">
        <f t="shared" si="33"/>
        <v>0</v>
      </c>
      <c r="CN104" s="206">
        <f t="shared" si="34"/>
        <v>0</v>
      </c>
      <c r="CO104" s="206">
        <f t="shared" si="35"/>
        <v>0</v>
      </c>
      <c r="CP104" s="206">
        <f t="shared" si="36"/>
        <v>0</v>
      </c>
    </row>
    <row r="105" spans="45:94">
      <c r="AS105" s="206">
        <f>Sheet1!EI109</f>
        <v>0</v>
      </c>
      <c r="AT105" s="206">
        <f>Sheet1!EJ109</f>
        <v>0</v>
      </c>
      <c r="AU105" s="206">
        <f>Sheet1!EK109</f>
        <v>0</v>
      </c>
      <c r="AV105" s="206">
        <f>Sheet1!EL109</f>
        <v>0</v>
      </c>
      <c r="AW105" s="206">
        <f t="shared" si="19"/>
        <v>0</v>
      </c>
      <c r="AX105" s="206">
        <f>Sheet1!EM109</f>
        <v>0</v>
      </c>
      <c r="AY105" s="206">
        <f>Sheet1!EN109</f>
        <v>0</v>
      </c>
      <c r="AZ105" s="206">
        <f>Sheet1!EO109</f>
        <v>0</v>
      </c>
      <c r="BA105" s="206">
        <f>Sheet1!EP109</f>
        <v>0</v>
      </c>
      <c r="BB105" s="206">
        <f t="shared" si="20"/>
        <v>0</v>
      </c>
      <c r="BC105" s="206">
        <f>Sheet1!EQ109</f>
        <v>0</v>
      </c>
      <c r="BD105" s="206">
        <f>Sheet1!ER109</f>
        <v>0</v>
      </c>
      <c r="BE105" s="206">
        <f>Sheet1!ES109</f>
        <v>0</v>
      </c>
      <c r="BF105" s="206">
        <f>Sheet1!ET109</f>
        <v>0</v>
      </c>
      <c r="BG105" s="206">
        <f t="shared" si="21"/>
        <v>0</v>
      </c>
      <c r="BH105" s="206">
        <f>Sheet1!EU109</f>
        <v>0</v>
      </c>
      <c r="BI105" s="206">
        <f>Sheet1!EV109</f>
        <v>0</v>
      </c>
      <c r="BJ105" s="206">
        <f>Sheet1!EW109</f>
        <v>0</v>
      </c>
      <c r="BK105" s="206">
        <f>Sheet1!EX109</f>
        <v>0</v>
      </c>
      <c r="BL105" s="206">
        <f t="shared" si="22"/>
        <v>0</v>
      </c>
      <c r="BM105" s="206">
        <f>Sheet1!EY109</f>
        <v>0</v>
      </c>
      <c r="BN105" s="206">
        <f>Sheet1!EZ109</f>
        <v>0</v>
      </c>
      <c r="BO105" s="206">
        <f>Sheet1!FA109</f>
        <v>0</v>
      </c>
      <c r="BP105" s="206">
        <f>Sheet1!FB109</f>
        <v>0</v>
      </c>
      <c r="BQ105" s="206">
        <f t="shared" si="23"/>
        <v>0</v>
      </c>
      <c r="BR105" s="206">
        <f>Sheet1!FC109</f>
        <v>0</v>
      </c>
      <c r="BS105" s="206">
        <f>Sheet1!FD109</f>
        <v>0</v>
      </c>
      <c r="BT105" s="206">
        <f>Sheet1!FE109</f>
        <v>0</v>
      </c>
      <c r="BU105" s="206">
        <f>Sheet1!FF109</f>
        <v>0</v>
      </c>
      <c r="BV105" s="206">
        <f t="shared" si="24"/>
        <v>0</v>
      </c>
      <c r="BW105" s="206">
        <f>Sheet1!FG109</f>
        <v>0</v>
      </c>
      <c r="BX105" s="206">
        <f>Sheet1!FH109</f>
        <v>0</v>
      </c>
      <c r="BY105" s="206">
        <f>Sheet1!FI109</f>
        <v>0</v>
      </c>
      <c r="BZ105" s="206">
        <f>Sheet1!FJ109</f>
        <v>0</v>
      </c>
      <c r="CA105" s="206">
        <f t="shared" si="25"/>
        <v>0</v>
      </c>
      <c r="CB105" s="206">
        <f>Sheet1!FK109</f>
        <v>0</v>
      </c>
      <c r="CC105" s="206">
        <f>Sheet1!FL109</f>
        <v>0</v>
      </c>
      <c r="CD105" s="206">
        <f>Sheet1!FM109</f>
        <v>0</v>
      </c>
      <c r="CE105" s="206">
        <f>Sheet1!FN109</f>
        <v>0</v>
      </c>
      <c r="CF105" s="206">
        <f t="shared" si="26"/>
        <v>0</v>
      </c>
      <c r="CG105" s="206">
        <f t="shared" si="27"/>
        <v>0</v>
      </c>
      <c r="CH105" s="206">
        <f t="shared" si="28"/>
        <v>0</v>
      </c>
      <c r="CI105" s="206">
        <f t="shared" si="29"/>
        <v>0</v>
      </c>
      <c r="CJ105" s="206">
        <f t="shared" si="30"/>
        <v>0</v>
      </c>
      <c r="CK105" s="206">
        <f t="shared" si="31"/>
        <v>0</v>
      </c>
      <c r="CL105" s="206">
        <f t="shared" si="32"/>
        <v>0</v>
      </c>
      <c r="CM105" s="206">
        <f t="shared" si="33"/>
        <v>0</v>
      </c>
      <c r="CN105" s="206">
        <f t="shared" si="34"/>
        <v>0</v>
      </c>
      <c r="CO105" s="206">
        <f t="shared" si="35"/>
        <v>0</v>
      </c>
      <c r="CP105" s="206">
        <f t="shared" si="36"/>
        <v>0</v>
      </c>
    </row>
    <row r="106" spans="45:94">
      <c r="AS106" s="206">
        <f>Sheet1!EI110</f>
        <v>0</v>
      </c>
      <c r="AT106" s="206">
        <f>Sheet1!EJ110</f>
        <v>0</v>
      </c>
      <c r="AU106" s="206">
        <f>Sheet1!EK110</f>
        <v>0</v>
      </c>
      <c r="AV106" s="206">
        <f>Sheet1!EL110</f>
        <v>0</v>
      </c>
      <c r="AW106" s="206">
        <f t="shared" si="19"/>
        <v>0</v>
      </c>
      <c r="AX106" s="206">
        <f>Sheet1!EM110</f>
        <v>0</v>
      </c>
      <c r="AY106" s="206">
        <f>Sheet1!EN110</f>
        <v>0</v>
      </c>
      <c r="AZ106" s="206">
        <f>Sheet1!EO110</f>
        <v>0</v>
      </c>
      <c r="BA106" s="206">
        <f>Sheet1!EP110</f>
        <v>0</v>
      </c>
      <c r="BB106" s="206">
        <f t="shared" si="20"/>
        <v>0</v>
      </c>
      <c r="BC106" s="206">
        <f>Sheet1!EQ110</f>
        <v>0</v>
      </c>
      <c r="BD106" s="206">
        <f>Sheet1!ER110</f>
        <v>0</v>
      </c>
      <c r="BE106" s="206">
        <f>Sheet1!ES110</f>
        <v>0</v>
      </c>
      <c r="BF106" s="206">
        <f>Sheet1!ET110</f>
        <v>0</v>
      </c>
      <c r="BG106" s="206">
        <f t="shared" si="21"/>
        <v>0</v>
      </c>
      <c r="BH106" s="206">
        <f>Sheet1!EU110</f>
        <v>0</v>
      </c>
      <c r="BI106" s="206">
        <f>Sheet1!EV110</f>
        <v>0</v>
      </c>
      <c r="BJ106" s="206">
        <f>Sheet1!EW110</f>
        <v>0</v>
      </c>
      <c r="BK106" s="206">
        <f>Sheet1!EX110</f>
        <v>0</v>
      </c>
      <c r="BL106" s="206">
        <f t="shared" si="22"/>
        <v>0</v>
      </c>
      <c r="BM106" s="206">
        <f>Sheet1!EY110</f>
        <v>0</v>
      </c>
      <c r="BN106" s="206">
        <f>Sheet1!EZ110</f>
        <v>0</v>
      </c>
      <c r="BO106" s="206">
        <f>Sheet1!FA110</f>
        <v>0</v>
      </c>
      <c r="BP106" s="206">
        <f>Sheet1!FB110</f>
        <v>0</v>
      </c>
      <c r="BQ106" s="206">
        <f t="shared" si="23"/>
        <v>0</v>
      </c>
      <c r="BR106" s="206">
        <f>Sheet1!FC110</f>
        <v>0</v>
      </c>
      <c r="BS106" s="206">
        <f>Sheet1!FD110</f>
        <v>0</v>
      </c>
      <c r="BT106" s="206">
        <f>Sheet1!FE110</f>
        <v>0</v>
      </c>
      <c r="BU106" s="206">
        <f>Sheet1!FF110</f>
        <v>0</v>
      </c>
      <c r="BV106" s="206">
        <f t="shared" si="24"/>
        <v>0</v>
      </c>
      <c r="BW106" s="206">
        <f>Sheet1!FG110</f>
        <v>0</v>
      </c>
      <c r="BX106" s="206">
        <f>Sheet1!FH110</f>
        <v>0</v>
      </c>
      <c r="BY106" s="206">
        <f>Sheet1!FI110</f>
        <v>0</v>
      </c>
      <c r="BZ106" s="206">
        <f>Sheet1!FJ110</f>
        <v>0</v>
      </c>
      <c r="CA106" s="206">
        <f t="shared" si="25"/>
        <v>0</v>
      </c>
      <c r="CB106" s="206">
        <f>Sheet1!FK110</f>
        <v>0</v>
      </c>
      <c r="CC106" s="206">
        <f>Sheet1!FL110</f>
        <v>0</v>
      </c>
      <c r="CD106" s="206">
        <f>Sheet1!FM110</f>
        <v>0</v>
      </c>
      <c r="CE106" s="206">
        <f>Sheet1!FN110</f>
        <v>0</v>
      </c>
      <c r="CF106" s="206">
        <f t="shared" si="26"/>
        <v>0</v>
      </c>
      <c r="CG106" s="206">
        <f t="shared" si="27"/>
        <v>0</v>
      </c>
      <c r="CH106" s="206">
        <f t="shared" si="28"/>
        <v>0</v>
      </c>
      <c r="CI106" s="206">
        <f t="shared" si="29"/>
        <v>0</v>
      </c>
      <c r="CJ106" s="206">
        <f t="shared" si="30"/>
        <v>0</v>
      </c>
      <c r="CK106" s="206">
        <f t="shared" si="31"/>
        <v>0</v>
      </c>
      <c r="CL106" s="206">
        <f t="shared" si="32"/>
        <v>0</v>
      </c>
      <c r="CM106" s="206">
        <f t="shared" si="33"/>
        <v>0</v>
      </c>
      <c r="CN106" s="206">
        <f t="shared" si="34"/>
        <v>0</v>
      </c>
      <c r="CO106" s="206">
        <f t="shared" si="35"/>
        <v>0</v>
      </c>
      <c r="CP106" s="206">
        <f t="shared" si="36"/>
        <v>0</v>
      </c>
    </row>
    <row r="107" spans="45:94">
      <c r="AS107" s="206">
        <f>Sheet1!EI111</f>
        <v>0</v>
      </c>
      <c r="AT107" s="206">
        <f>Sheet1!EJ111</f>
        <v>0</v>
      </c>
      <c r="AU107" s="206">
        <f>Sheet1!EK111</f>
        <v>0</v>
      </c>
      <c r="AV107" s="206">
        <f>Sheet1!EL111</f>
        <v>0</v>
      </c>
      <c r="AW107" s="206">
        <f t="shared" si="19"/>
        <v>0</v>
      </c>
      <c r="AX107" s="206">
        <f>Sheet1!EM111</f>
        <v>0</v>
      </c>
      <c r="AY107" s="206">
        <f>Sheet1!EN111</f>
        <v>0</v>
      </c>
      <c r="AZ107" s="206">
        <f>Sheet1!EO111</f>
        <v>0</v>
      </c>
      <c r="BA107" s="206">
        <f>Sheet1!EP111</f>
        <v>0</v>
      </c>
      <c r="BB107" s="206">
        <f t="shared" si="20"/>
        <v>0</v>
      </c>
      <c r="BC107" s="206">
        <f>Sheet1!EQ111</f>
        <v>0</v>
      </c>
      <c r="BD107" s="206">
        <f>Sheet1!ER111</f>
        <v>0</v>
      </c>
      <c r="BE107" s="206">
        <f>Sheet1!ES111</f>
        <v>0</v>
      </c>
      <c r="BF107" s="206">
        <f>Sheet1!ET111</f>
        <v>0</v>
      </c>
      <c r="BG107" s="206">
        <f t="shared" si="21"/>
        <v>0</v>
      </c>
      <c r="BH107" s="206">
        <f>Sheet1!EU111</f>
        <v>0</v>
      </c>
      <c r="BI107" s="206">
        <f>Sheet1!EV111</f>
        <v>0</v>
      </c>
      <c r="BJ107" s="206">
        <f>Sheet1!EW111</f>
        <v>0</v>
      </c>
      <c r="BK107" s="206">
        <f>Sheet1!EX111</f>
        <v>0</v>
      </c>
      <c r="BL107" s="206">
        <f t="shared" si="22"/>
        <v>0</v>
      </c>
      <c r="BM107" s="206">
        <f>Sheet1!EY111</f>
        <v>0</v>
      </c>
      <c r="BN107" s="206">
        <f>Sheet1!EZ111</f>
        <v>0</v>
      </c>
      <c r="BO107" s="206">
        <f>Sheet1!FA111</f>
        <v>0</v>
      </c>
      <c r="BP107" s="206">
        <f>Sheet1!FB111</f>
        <v>0</v>
      </c>
      <c r="BQ107" s="206">
        <f t="shared" si="23"/>
        <v>0</v>
      </c>
      <c r="BR107" s="206">
        <f>Sheet1!FC111</f>
        <v>0</v>
      </c>
      <c r="BS107" s="206">
        <f>Sheet1!FD111</f>
        <v>0</v>
      </c>
      <c r="BT107" s="206">
        <f>Sheet1!FE111</f>
        <v>0</v>
      </c>
      <c r="BU107" s="206">
        <f>Sheet1!FF111</f>
        <v>0</v>
      </c>
      <c r="BV107" s="206">
        <f t="shared" si="24"/>
        <v>0</v>
      </c>
      <c r="BW107" s="206">
        <f>Sheet1!FG111</f>
        <v>0</v>
      </c>
      <c r="BX107" s="206">
        <f>Sheet1!FH111</f>
        <v>0</v>
      </c>
      <c r="BY107" s="206">
        <f>Sheet1!FI111</f>
        <v>0</v>
      </c>
      <c r="BZ107" s="206">
        <f>Sheet1!FJ111</f>
        <v>0</v>
      </c>
      <c r="CA107" s="206">
        <f t="shared" si="25"/>
        <v>0</v>
      </c>
      <c r="CB107" s="206">
        <f>Sheet1!FK111</f>
        <v>0</v>
      </c>
      <c r="CC107" s="206">
        <f>Sheet1!FL111</f>
        <v>0</v>
      </c>
      <c r="CD107" s="206">
        <f>Sheet1!FM111</f>
        <v>0</v>
      </c>
      <c r="CE107" s="206">
        <f>Sheet1!FN111</f>
        <v>0</v>
      </c>
      <c r="CF107" s="206">
        <f t="shared" si="26"/>
        <v>0</v>
      </c>
      <c r="CG107" s="206">
        <f t="shared" si="27"/>
        <v>0</v>
      </c>
      <c r="CH107" s="206">
        <f t="shared" si="28"/>
        <v>0</v>
      </c>
      <c r="CI107" s="206">
        <f t="shared" si="29"/>
        <v>0</v>
      </c>
      <c r="CJ107" s="206">
        <f t="shared" si="30"/>
        <v>0</v>
      </c>
      <c r="CK107" s="206">
        <f t="shared" si="31"/>
        <v>0</v>
      </c>
      <c r="CL107" s="206">
        <f t="shared" si="32"/>
        <v>0</v>
      </c>
      <c r="CM107" s="206">
        <f t="shared" si="33"/>
        <v>0</v>
      </c>
      <c r="CN107" s="206">
        <f t="shared" si="34"/>
        <v>0</v>
      </c>
      <c r="CO107" s="206">
        <f t="shared" si="35"/>
        <v>0</v>
      </c>
      <c r="CP107" s="206">
        <f t="shared" si="36"/>
        <v>0</v>
      </c>
    </row>
    <row r="108" spans="45:94">
      <c r="AS108" s="206">
        <f>Sheet1!EI112</f>
        <v>0</v>
      </c>
      <c r="AT108" s="206">
        <f>Sheet1!EJ112</f>
        <v>0</v>
      </c>
      <c r="AU108" s="206">
        <f>Sheet1!EK112</f>
        <v>0</v>
      </c>
      <c r="AV108" s="206">
        <f>Sheet1!EL112</f>
        <v>0</v>
      </c>
      <c r="AW108" s="206">
        <f t="shared" si="19"/>
        <v>0</v>
      </c>
      <c r="AX108" s="206">
        <f>Sheet1!EM112</f>
        <v>0</v>
      </c>
      <c r="AY108" s="206">
        <f>Sheet1!EN112</f>
        <v>0</v>
      </c>
      <c r="AZ108" s="206">
        <f>Sheet1!EO112</f>
        <v>0</v>
      </c>
      <c r="BA108" s="206">
        <f>Sheet1!EP112</f>
        <v>0</v>
      </c>
      <c r="BB108" s="206">
        <f t="shared" si="20"/>
        <v>0</v>
      </c>
      <c r="BC108" s="206">
        <f>Sheet1!EQ112</f>
        <v>0</v>
      </c>
      <c r="BD108" s="206">
        <f>Sheet1!ER112</f>
        <v>0</v>
      </c>
      <c r="BE108" s="206">
        <f>Sheet1!ES112</f>
        <v>0</v>
      </c>
      <c r="BF108" s="206">
        <f>Sheet1!ET112</f>
        <v>0</v>
      </c>
      <c r="BG108" s="206">
        <f t="shared" si="21"/>
        <v>0</v>
      </c>
      <c r="BH108" s="206">
        <f>Sheet1!EU112</f>
        <v>0</v>
      </c>
      <c r="BI108" s="206">
        <f>Sheet1!EV112</f>
        <v>0</v>
      </c>
      <c r="BJ108" s="206">
        <f>Sheet1!EW112</f>
        <v>0</v>
      </c>
      <c r="BK108" s="206">
        <f>Sheet1!EX112</f>
        <v>0</v>
      </c>
      <c r="BL108" s="206">
        <f t="shared" si="22"/>
        <v>0</v>
      </c>
      <c r="BM108" s="206">
        <f>Sheet1!EY112</f>
        <v>0</v>
      </c>
      <c r="BN108" s="206">
        <f>Sheet1!EZ112</f>
        <v>0</v>
      </c>
      <c r="BO108" s="206">
        <f>Sheet1!FA112</f>
        <v>0</v>
      </c>
      <c r="BP108" s="206">
        <f>Sheet1!FB112</f>
        <v>0</v>
      </c>
      <c r="BQ108" s="206">
        <f t="shared" si="23"/>
        <v>0</v>
      </c>
      <c r="BR108" s="206">
        <f>Sheet1!FC112</f>
        <v>0</v>
      </c>
      <c r="BS108" s="206">
        <f>Sheet1!FD112</f>
        <v>0</v>
      </c>
      <c r="BT108" s="206">
        <f>Sheet1!FE112</f>
        <v>0</v>
      </c>
      <c r="BU108" s="206">
        <f>Sheet1!FF112</f>
        <v>0</v>
      </c>
      <c r="BV108" s="206">
        <f t="shared" si="24"/>
        <v>0</v>
      </c>
      <c r="BW108" s="206">
        <f>Sheet1!FG112</f>
        <v>0</v>
      </c>
      <c r="BX108" s="206">
        <f>Sheet1!FH112</f>
        <v>0</v>
      </c>
      <c r="BY108" s="206">
        <f>Sheet1!FI112</f>
        <v>0</v>
      </c>
      <c r="BZ108" s="206">
        <f>Sheet1!FJ112</f>
        <v>0</v>
      </c>
      <c r="CA108" s="206">
        <f t="shared" si="25"/>
        <v>0</v>
      </c>
      <c r="CB108" s="206">
        <f>Sheet1!FK112</f>
        <v>0</v>
      </c>
      <c r="CC108" s="206">
        <f>Sheet1!FL112</f>
        <v>0</v>
      </c>
      <c r="CD108" s="206">
        <f>Sheet1!FM112</f>
        <v>0</v>
      </c>
      <c r="CE108" s="206">
        <f>Sheet1!FN112</f>
        <v>0</v>
      </c>
      <c r="CF108" s="206">
        <f t="shared" si="26"/>
        <v>0</v>
      </c>
      <c r="CG108" s="206">
        <f t="shared" si="27"/>
        <v>0</v>
      </c>
      <c r="CH108" s="206">
        <f t="shared" si="28"/>
        <v>0</v>
      </c>
      <c r="CI108" s="206">
        <f t="shared" si="29"/>
        <v>0</v>
      </c>
      <c r="CJ108" s="206">
        <f t="shared" si="30"/>
        <v>0</v>
      </c>
      <c r="CK108" s="206">
        <f t="shared" si="31"/>
        <v>0</v>
      </c>
      <c r="CL108" s="206">
        <f t="shared" si="32"/>
        <v>0</v>
      </c>
      <c r="CM108" s="206">
        <f t="shared" si="33"/>
        <v>0</v>
      </c>
      <c r="CN108" s="206">
        <f t="shared" si="34"/>
        <v>0</v>
      </c>
      <c r="CO108" s="206">
        <f t="shared" si="35"/>
        <v>0</v>
      </c>
      <c r="CP108" s="206">
        <f t="shared" si="36"/>
        <v>0</v>
      </c>
    </row>
    <row r="109" spans="45:94">
      <c r="AS109" s="206">
        <f>Sheet1!EI113</f>
        <v>0</v>
      </c>
      <c r="AT109" s="206">
        <f>Sheet1!EJ113</f>
        <v>0</v>
      </c>
      <c r="AU109" s="206">
        <f>Sheet1!EK113</f>
        <v>0</v>
      </c>
      <c r="AV109" s="206">
        <f>Sheet1!EL113</f>
        <v>0</v>
      </c>
      <c r="AW109" s="206">
        <f t="shared" si="19"/>
        <v>0</v>
      </c>
      <c r="AX109" s="206">
        <f>Sheet1!EM113</f>
        <v>0</v>
      </c>
      <c r="AY109" s="206">
        <f>Sheet1!EN113</f>
        <v>0</v>
      </c>
      <c r="AZ109" s="206">
        <f>Sheet1!EO113</f>
        <v>0</v>
      </c>
      <c r="BA109" s="206">
        <f>Sheet1!EP113</f>
        <v>0</v>
      </c>
      <c r="BB109" s="206">
        <f t="shared" si="20"/>
        <v>0</v>
      </c>
      <c r="BC109" s="206">
        <f>Sheet1!EQ113</f>
        <v>0</v>
      </c>
      <c r="BD109" s="206">
        <f>Sheet1!ER113</f>
        <v>0</v>
      </c>
      <c r="BE109" s="206">
        <f>Sheet1!ES113</f>
        <v>0</v>
      </c>
      <c r="BF109" s="206">
        <f>Sheet1!ET113</f>
        <v>0</v>
      </c>
      <c r="BG109" s="206">
        <f t="shared" si="21"/>
        <v>0</v>
      </c>
      <c r="BH109" s="206">
        <f>Sheet1!EU113</f>
        <v>0</v>
      </c>
      <c r="BI109" s="206">
        <f>Sheet1!EV113</f>
        <v>0</v>
      </c>
      <c r="BJ109" s="206">
        <f>Sheet1!EW113</f>
        <v>0</v>
      </c>
      <c r="BK109" s="206">
        <f>Sheet1!EX113</f>
        <v>0</v>
      </c>
      <c r="BL109" s="206">
        <f t="shared" si="22"/>
        <v>0</v>
      </c>
      <c r="BM109" s="206">
        <f>Sheet1!EY113</f>
        <v>0</v>
      </c>
      <c r="BN109" s="206">
        <f>Sheet1!EZ113</f>
        <v>0</v>
      </c>
      <c r="BO109" s="206">
        <f>Sheet1!FA113</f>
        <v>0</v>
      </c>
      <c r="BP109" s="206">
        <f>Sheet1!FB113</f>
        <v>0</v>
      </c>
      <c r="BQ109" s="206">
        <f t="shared" si="23"/>
        <v>0</v>
      </c>
      <c r="BR109" s="206">
        <f>Sheet1!FC113</f>
        <v>0</v>
      </c>
      <c r="BS109" s="206">
        <f>Sheet1!FD113</f>
        <v>0</v>
      </c>
      <c r="BT109" s="206">
        <f>Sheet1!FE113</f>
        <v>0</v>
      </c>
      <c r="BU109" s="206">
        <f>Sheet1!FF113</f>
        <v>0</v>
      </c>
      <c r="BV109" s="206">
        <f t="shared" si="24"/>
        <v>0</v>
      </c>
      <c r="BW109" s="206">
        <f>Sheet1!FG113</f>
        <v>0</v>
      </c>
      <c r="BX109" s="206">
        <f>Sheet1!FH113</f>
        <v>0</v>
      </c>
      <c r="BY109" s="206">
        <f>Sheet1!FI113</f>
        <v>0</v>
      </c>
      <c r="BZ109" s="206">
        <f>Sheet1!FJ113</f>
        <v>0</v>
      </c>
      <c r="CA109" s="206">
        <f t="shared" si="25"/>
        <v>0</v>
      </c>
      <c r="CB109" s="206">
        <f>Sheet1!FK113</f>
        <v>0</v>
      </c>
      <c r="CC109" s="206">
        <f>Sheet1!FL113</f>
        <v>0</v>
      </c>
      <c r="CD109" s="206">
        <f>Sheet1!FM113</f>
        <v>0</v>
      </c>
      <c r="CE109" s="206">
        <f>Sheet1!FN113</f>
        <v>0</v>
      </c>
      <c r="CF109" s="206">
        <f t="shared" si="26"/>
        <v>0</v>
      </c>
      <c r="CG109" s="206">
        <f t="shared" si="27"/>
        <v>0</v>
      </c>
      <c r="CH109" s="206">
        <f t="shared" si="28"/>
        <v>0</v>
      </c>
      <c r="CI109" s="206">
        <f t="shared" si="29"/>
        <v>0</v>
      </c>
      <c r="CJ109" s="206">
        <f t="shared" si="30"/>
        <v>0</v>
      </c>
      <c r="CK109" s="206">
        <f t="shared" si="31"/>
        <v>0</v>
      </c>
      <c r="CL109" s="206">
        <f t="shared" si="32"/>
        <v>0</v>
      </c>
      <c r="CM109" s="206">
        <f t="shared" si="33"/>
        <v>0</v>
      </c>
      <c r="CN109" s="206">
        <f t="shared" si="34"/>
        <v>0</v>
      </c>
      <c r="CO109" s="206">
        <f t="shared" si="35"/>
        <v>0</v>
      </c>
      <c r="CP109" s="206">
        <f t="shared" si="36"/>
        <v>0</v>
      </c>
    </row>
    <row r="110" spans="45:94">
      <c r="AS110" s="206">
        <f>Sheet1!EI114</f>
        <v>0</v>
      </c>
      <c r="AT110" s="206">
        <f>Sheet1!EJ114</f>
        <v>0</v>
      </c>
      <c r="AU110" s="206">
        <f>Sheet1!EK114</f>
        <v>0</v>
      </c>
      <c r="AV110" s="206">
        <f>Sheet1!EL114</f>
        <v>0</v>
      </c>
      <c r="AW110" s="206">
        <f t="shared" si="19"/>
        <v>0</v>
      </c>
      <c r="AX110" s="206">
        <f>Sheet1!EM114</f>
        <v>0</v>
      </c>
      <c r="AY110" s="206">
        <f>Sheet1!EN114</f>
        <v>0</v>
      </c>
      <c r="AZ110" s="206">
        <f>Sheet1!EO114</f>
        <v>0</v>
      </c>
      <c r="BA110" s="206">
        <f>Sheet1!EP114</f>
        <v>0</v>
      </c>
      <c r="BB110" s="206">
        <f t="shared" si="20"/>
        <v>0</v>
      </c>
      <c r="BC110" s="206">
        <f>Sheet1!EQ114</f>
        <v>0</v>
      </c>
      <c r="BD110" s="206">
        <f>Sheet1!ER114</f>
        <v>0</v>
      </c>
      <c r="BE110" s="206">
        <f>Sheet1!ES114</f>
        <v>0</v>
      </c>
      <c r="BF110" s="206">
        <f>Sheet1!ET114</f>
        <v>0</v>
      </c>
      <c r="BG110" s="206">
        <f t="shared" si="21"/>
        <v>0</v>
      </c>
      <c r="BH110" s="206">
        <f>Sheet1!EU114</f>
        <v>0</v>
      </c>
      <c r="BI110" s="206">
        <f>Sheet1!EV114</f>
        <v>0</v>
      </c>
      <c r="BJ110" s="206">
        <f>Sheet1!EW114</f>
        <v>0</v>
      </c>
      <c r="BK110" s="206">
        <f>Sheet1!EX114</f>
        <v>0</v>
      </c>
      <c r="BL110" s="206">
        <f t="shared" si="22"/>
        <v>0</v>
      </c>
      <c r="BM110" s="206">
        <f>Sheet1!EY114</f>
        <v>0</v>
      </c>
      <c r="BN110" s="206">
        <f>Sheet1!EZ114</f>
        <v>0</v>
      </c>
      <c r="BO110" s="206">
        <f>Sheet1!FA114</f>
        <v>0</v>
      </c>
      <c r="BP110" s="206">
        <f>Sheet1!FB114</f>
        <v>0</v>
      </c>
      <c r="BQ110" s="206">
        <f t="shared" si="23"/>
        <v>0</v>
      </c>
      <c r="BR110" s="206">
        <f>Sheet1!FC114</f>
        <v>0</v>
      </c>
      <c r="BS110" s="206">
        <f>Sheet1!FD114</f>
        <v>0</v>
      </c>
      <c r="BT110" s="206">
        <f>Sheet1!FE114</f>
        <v>0</v>
      </c>
      <c r="BU110" s="206">
        <f>Sheet1!FF114</f>
        <v>0</v>
      </c>
      <c r="BV110" s="206">
        <f t="shared" si="24"/>
        <v>0</v>
      </c>
      <c r="BW110" s="206">
        <f>Sheet1!FG114</f>
        <v>0</v>
      </c>
      <c r="BX110" s="206">
        <f>Sheet1!FH114</f>
        <v>0</v>
      </c>
      <c r="BY110" s="206">
        <f>Sheet1!FI114</f>
        <v>0</v>
      </c>
      <c r="BZ110" s="206">
        <f>Sheet1!FJ114</f>
        <v>0</v>
      </c>
      <c r="CA110" s="206">
        <f t="shared" si="25"/>
        <v>0</v>
      </c>
      <c r="CB110" s="206">
        <f>Sheet1!FK114</f>
        <v>0</v>
      </c>
      <c r="CC110" s="206">
        <f>Sheet1!FL114</f>
        <v>0</v>
      </c>
      <c r="CD110" s="206">
        <f>Sheet1!FM114</f>
        <v>0</v>
      </c>
      <c r="CE110" s="206">
        <f>Sheet1!FN114</f>
        <v>0</v>
      </c>
      <c r="CF110" s="206">
        <f t="shared" si="26"/>
        <v>0</v>
      </c>
      <c r="CG110" s="206">
        <f t="shared" si="27"/>
        <v>0</v>
      </c>
      <c r="CH110" s="206">
        <f t="shared" si="28"/>
        <v>0</v>
      </c>
      <c r="CI110" s="206">
        <f t="shared" si="29"/>
        <v>0</v>
      </c>
      <c r="CJ110" s="206">
        <f t="shared" si="30"/>
        <v>0</v>
      </c>
      <c r="CK110" s="206">
        <f t="shared" si="31"/>
        <v>0</v>
      </c>
      <c r="CL110" s="206">
        <f t="shared" si="32"/>
        <v>0</v>
      </c>
      <c r="CM110" s="206">
        <f t="shared" si="33"/>
        <v>0</v>
      </c>
      <c r="CN110" s="206">
        <f t="shared" si="34"/>
        <v>0</v>
      </c>
      <c r="CO110" s="206">
        <f t="shared" si="35"/>
        <v>0</v>
      </c>
      <c r="CP110" s="206">
        <f t="shared" si="36"/>
        <v>0</v>
      </c>
    </row>
    <row r="111" spans="45:94">
      <c r="AS111" s="206">
        <f>Sheet1!EI115</f>
        <v>0</v>
      </c>
      <c r="AT111" s="206">
        <f>Sheet1!EJ115</f>
        <v>0</v>
      </c>
      <c r="AU111" s="206">
        <f>Sheet1!EK115</f>
        <v>0</v>
      </c>
      <c r="AV111" s="206">
        <f>Sheet1!EL115</f>
        <v>0</v>
      </c>
      <c r="AW111" s="206">
        <f t="shared" ref="AW111:AW159" si="37">(AV111-AU111)*1440</f>
        <v>0</v>
      </c>
      <c r="AX111" s="206">
        <f>Sheet1!EM115</f>
        <v>0</v>
      </c>
      <c r="AY111" s="206">
        <f>Sheet1!EN115</f>
        <v>0</v>
      </c>
      <c r="AZ111" s="206">
        <f>Sheet1!EO115</f>
        <v>0</v>
      </c>
      <c r="BA111" s="206">
        <f>Sheet1!EP115</f>
        <v>0</v>
      </c>
      <c r="BB111" s="206">
        <f t="shared" ref="BB111:BB159" si="38">(BA111-AZ111)*1440</f>
        <v>0</v>
      </c>
      <c r="BC111" s="206">
        <f>Sheet1!EQ115</f>
        <v>0</v>
      </c>
      <c r="BD111" s="206">
        <f>Sheet1!ER115</f>
        <v>0</v>
      </c>
      <c r="BE111" s="206">
        <f>Sheet1!ES115</f>
        <v>0</v>
      </c>
      <c r="BF111" s="206">
        <f>Sheet1!ET115</f>
        <v>0</v>
      </c>
      <c r="BG111" s="206">
        <f t="shared" ref="BG111:BG159" si="39">(BF111-BE111)*1440</f>
        <v>0</v>
      </c>
      <c r="BH111" s="206">
        <f>Sheet1!EU115</f>
        <v>0</v>
      </c>
      <c r="BI111" s="206">
        <f>Sheet1!EV115</f>
        <v>0</v>
      </c>
      <c r="BJ111" s="206">
        <f>Sheet1!EW115</f>
        <v>0</v>
      </c>
      <c r="BK111" s="206">
        <f>Sheet1!EX115</f>
        <v>0</v>
      </c>
      <c r="BL111" s="206">
        <f t="shared" ref="BL111:BL159" si="40">(BK111-BJ111)*1440</f>
        <v>0</v>
      </c>
      <c r="BM111" s="206">
        <f>Sheet1!EY115</f>
        <v>0</v>
      </c>
      <c r="BN111" s="206">
        <f>Sheet1!EZ115</f>
        <v>0</v>
      </c>
      <c r="BO111" s="206">
        <f>Sheet1!FA115</f>
        <v>0</v>
      </c>
      <c r="BP111" s="206">
        <f>Sheet1!FB115</f>
        <v>0</v>
      </c>
      <c r="BQ111" s="206">
        <f t="shared" ref="BQ111:BQ159" si="41">(BP111-BO111)*1440</f>
        <v>0</v>
      </c>
      <c r="BR111" s="206">
        <f>Sheet1!FC115</f>
        <v>0</v>
      </c>
      <c r="BS111" s="206">
        <f>Sheet1!FD115</f>
        <v>0</v>
      </c>
      <c r="BT111" s="206">
        <f>Sheet1!FE115</f>
        <v>0</v>
      </c>
      <c r="BU111" s="206">
        <f>Sheet1!FF115</f>
        <v>0</v>
      </c>
      <c r="BV111" s="206">
        <f t="shared" ref="BV111:BV159" si="42">(BU111-BT111)*1440</f>
        <v>0</v>
      </c>
      <c r="BW111" s="206">
        <f>Sheet1!FG115</f>
        <v>0</v>
      </c>
      <c r="BX111" s="206">
        <f>Sheet1!FH115</f>
        <v>0</v>
      </c>
      <c r="BY111" s="206">
        <f>Sheet1!FI115</f>
        <v>0</v>
      </c>
      <c r="BZ111" s="206">
        <f>Sheet1!FJ115</f>
        <v>0</v>
      </c>
      <c r="CA111" s="206">
        <f t="shared" ref="CA111:CA159" si="43">(BZ111-BY111)*1440</f>
        <v>0</v>
      </c>
      <c r="CB111" s="206">
        <f>Sheet1!FK115</f>
        <v>0</v>
      </c>
      <c r="CC111" s="206">
        <f>Sheet1!FL115</f>
        <v>0</v>
      </c>
      <c r="CD111" s="206">
        <f>Sheet1!FM115</f>
        <v>0</v>
      </c>
      <c r="CE111" s="206">
        <f>Sheet1!FN115</f>
        <v>0</v>
      </c>
      <c r="CF111" s="206">
        <f t="shared" ref="CF111:CF159" si="44">(CE111-CD111)*1440</f>
        <v>0</v>
      </c>
      <c r="CG111" s="206">
        <f t="shared" ref="CG111:CG159" si="45">IF(AS111="BT",AW111,0)</f>
        <v>0</v>
      </c>
      <c r="CH111" s="206">
        <f t="shared" ref="CH111:CH159" si="46">IF(AX111="BT",BB111,0)</f>
        <v>0</v>
      </c>
      <c r="CI111" s="206">
        <f t="shared" ref="CI111:CI159" si="47">IF(BC111="BT",BG111,0)</f>
        <v>0</v>
      </c>
      <c r="CJ111" s="206">
        <f t="shared" ref="CJ111:CJ159" si="48">IF(BH111="BT",BL111,0)</f>
        <v>0</v>
      </c>
      <c r="CK111" s="206">
        <f t="shared" ref="CK111:CK159" si="49">IF(BM111="BT",BQ111,0)</f>
        <v>0</v>
      </c>
      <c r="CL111" s="206">
        <f t="shared" ref="CL111:CL159" si="50">IF(BR111="BT",BV111,0)</f>
        <v>0</v>
      </c>
      <c r="CM111" s="206">
        <f t="shared" ref="CM111:CM159" si="51">IF(BW111="BT",CA111,0)</f>
        <v>0</v>
      </c>
      <c r="CN111" s="206">
        <f t="shared" ref="CN111:CN159" si="52">IF(CB111="BT",CF111,0)</f>
        <v>0</v>
      </c>
      <c r="CO111" s="206">
        <f t="shared" ref="CO111:CO159" si="53">SUM(CG111:CN111)</f>
        <v>0</v>
      </c>
      <c r="CP111" s="206">
        <f t="shared" ref="CP111:CP159" si="54">SUM(AW111,BB111,BG111,BL111,BQ111,BV111,CA111,CF111)-CO111</f>
        <v>0</v>
      </c>
    </row>
    <row r="112" spans="45:94">
      <c r="AS112" s="206">
        <f>Sheet1!EI116</f>
        <v>0</v>
      </c>
      <c r="AT112" s="206">
        <f>Sheet1!EJ116</f>
        <v>0</v>
      </c>
      <c r="AU112" s="206">
        <f>Sheet1!EK116</f>
        <v>0</v>
      </c>
      <c r="AV112" s="206">
        <f>Sheet1!EL116</f>
        <v>0</v>
      </c>
      <c r="AW112" s="206">
        <f t="shared" si="37"/>
        <v>0</v>
      </c>
      <c r="AX112" s="206">
        <f>Sheet1!EM116</f>
        <v>0</v>
      </c>
      <c r="AY112" s="206">
        <f>Sheet1!EN116</f>
        <v>0</v>
      </c>
      <c r="AZ112" s="206">
        <f>Sheet1!EO116</f>
        <v>0</v>
      </c>
      <c r="BA112" s="206">
        <f>Sheet1!EP116</f>
        <v>0</v>
      </c>
      <c r="BB112" s="206">
        <f t="shared" si="38"/>
        <v>0</v>
      </c>
      <c r="BC112" s="206">
        <f>Sheet1!EQ116</f>
        <v>0</v>
      </c>
      <c r="BD112" s="206">
        <f>Sheet1!ER116</f>
        <v>0</v>
      </c>
      <c r="BE112" s="206">
        <f>Sheet1!ES116</f>
        <v>0</v>
      </c>
      <c r="BF112" s="206">
        <f>Sheet1!ET116</f>
        <v>0</v>
      </c>
      <c r="BG112" s="206">
        <f t="shared" si="39"/>
        <v>0</v>
      </c>
      <c r="BH112" s="206">
        <f>Sheet1!EU116</f>
        <v>0</v>
      </c>
      <c r="BI112" s="206">
        <f>Sheet1!EV116</f>
        <v>0</v>
      </c>
      <c r="BJ112" s="206">
        <f>Sheet1!EW116</f>
        <v>0</v>
      </c>
      <c r="BK112" s="206">
        <f>Sheet1!EX116</f>
        <v>0</v>
      </c>
      <c r="BL112" s="206">
        <f t="shared" si="40"/>
        <v>0</v>
      </c>
      <c r="BM112" s="206">
        <f>Sheet1!EY116</f>
        <v>0</v>
      </c>
      <c r="BN112" s="206">
        <f>Sheet1!EZ116</f>
        <v>0</v>
      </c>
      <c r="BO112" s="206">
        <f>Sheet1!FA116</f>
        <v>0</v>
      </c>
      <c r="BP112" s="206">
        <f>Sheet1!FB116</f>
        <v>0</v>
      </c>
      <c r="BQ112" s="206">
        <f t="shared" si="41"/>
        <v>0</v>
      </c>
      <c r="BR112" s="206">
        <f>Sheet1!FC116</f>
        <v>0</v>
      </c>
      <c r="BS112" s="206">
        <f>Sheet1!FD116</f>
        <v>0</v>
      </c>
      <c r="BT112" s="206">
        <f>Sheet1!FE116</f>
        <v>0</v>
      </c>
      <c r="BU112" s="206">
        <f>Sheet1!FF116</f>
        <v>0</v>
      </c>
      <c r="BV112" s="206">
        <f t="shared" si="42"/>
        <v>0</v>
      </c>
      <c r="BW112" s="206">
        <f>Sheet1!FG116</f>
        <v>0</v>
      </c>
      <c r="BX112" s="206">
        <f>Sheet1!FH116</f>
        <v>0</v>
      </c>
      <c r="BY112" s="206">
        <f>Sheet1!FI116</f>
        <v>0</v>
      </c>
      <c r="BZ112" s="206">
        <f>Sheet1!FJ116</f>
        <v>0</v>
      </c>
      <c r="CA112" s="206">
        <f t="shared" si="43"/>
        <v>0</v>
      </c>
      <c r="CB112" s="206">
        <f>Sheet1!FK116</f>
        <v>0</v>
      </c>
      <c r="CC112" s="206">
        <f>Sheet1!FL116</f>
        <v>0</v>
      </c>
      <c r="CD112" s="206">
        <f>Sheet1!FM116</f>
        <v>0</v>
      </c>
      <c r="CE112" s="206">
        <f>Sheet1!FN116</f>
        <v>0</v>
      </c>
      <c r="CF112" s="206">
        <f t="shared" si="44"/>
        <v>0</v>
      </c>
      <c r="CG112" s="206">
        <f t="shared" si="45"/>
        <v>0</v>
      </c>
      <c r="CH112" s="206">
        <f t="shared" si="46"/>
        <v>0</v>
      </c>
      <c r="CI112" s="206">
        <f t="shared" si="47"/>
        <v>0</v>
      </c>
      <c r="CJ112" s="206">
        <f t="shared" si="48"/>
        <v>0</v>
      </c>
      <c r="CK112" s="206">
        <f t="shared" si="49"/>
        <v>0</v>
      </c>
      <c r="CL112" s="206">
        <f t="shared" si="50"/>
        <v>0</v>
      </c>
      <c r="CM112" s="206">
        <f t="shared" si="51"/>
        <v>0</v>
      </c>
      <c r="CN112" s="206">
        <f t="shared" si="52"/>
        <v>0</v>
      </c>
      <c r="CO112" s="206">
        <f t="shared" si="53"/>
        <v>0</v>
      </c>
      <c r="CP112" s="206">
        <f t="shared" si="54"/>
        <v>0</v>
      </c>
    </row>
    <row r="113" spans="45:94">
      <c r="AS113" s="206">
        <f>Sheet1!EI117</f>
        <v>0</v>
      </c>
      <c r="AT113" s="206">
        <f>Sheet1!EJ117</f>
        <v>0</v>
      </c>
      <c r="AU113" s="206">
        <f>Sheet1!EK117</f>
        <v>0</v>
      </c>
      <c r="AV113" s="206">
        <f>Sheet1!EL117</f>
        <v>0</v>
      </c>
      <c r="AW113" s="206">
        <f t="shared" si="37"/>
        <v>0</v>
      </c>
      <c r="AX113" s="206">
        <f>Sheet1!EM117</f>
        <v>0</v>
      </c>
      <c r="AY113" s="206">
        <f>Sheet1!EN117</f>
        <v>0</v>
      </c>
      <c r="AZ113" s="206">
        <f>Sheet1!EO117</f>
        <v>0</v>
      </c>
      <c r="BA113" s="206">
        <f>Sheet1!EP117</f>
        <v>0</v>
      </c>
      <c r="BB113" s="206">
        <f t="shared" si="38"/>
        <v>0</v>
      </c>
      <c r="BC113" s="206">
        <f>Sheet1!EQ117</f>
        <v>0</v>
      </c>
      <c r="BD113" s="206">
        <f>Sheet1!ER117</f>
        <v>0</v>
      </c>
      <c r="BE113" s="206">
        <f>Sheet1!ES117</f>
        <v>0</v>
      </c>
      <c r="BF113" s="206">
        <f>Sheet1!ET117</f>
        <v>0</v>
      </c>
      <c r="BG113" s="206">
        <f t="shared" si="39"/>
        <v>0</v>
      </c>
      <c r="BH113" s="206">
        <f>Sheet1!EU117</f>
        <v>0</v>
      </c>
      <c r="BI113" s="206">
        <f>Sheet1!EV117</f>
        <v>0</v>
      </c>
      <c r="BJ113" s="206">
        <f>Sheet1!EW117</f>
        <v>0</v>
      </c>
      <c r="BK113" s="206">
        <f>Sheet1!EX117</f>
        <v>0</v>
      </c>
      <c r="BL113" s="206">
        <f t="shared" si="40"/>
        <v>0</v>
      </c>
      <c r="BM113" s="206">
        <f>Sheet1!EY117</f>
        <v>0</v>
      </c>
      <c r="BN113" s="206">
        <f>Sheet1!EZ117</f>
        <v>0</v>
      </c>
      <c r="BO113" s="206">
        <f>Sheet1!FA117</f>
        <v>0</v>
      </c>
      <c r="BP113" s="206">
        <f>Sheet1!FB117</f>
        <v>0</v>
      </c>
      <c r="BQ113" s="206">
        <f t="shared" si="41"/>
        <v>0</v>
      </c>
      <c r="BR113" s="206">
        <f>Sheet1!FC117</f>
        <v>0</v>
      </c>
      <c r="BS113" s="206">
        <f>Sheet1!FD117</f>
        <v>0</v>
      </c>
      <c r="BT113" s="206">
        <f>Sheet1!FE117</f>
        <v>0</v>
      </c>
      <c r="BU113" s="206">
        <f>Sheet1!FF117</f>
        <v>0</v>
      </c>
      <c r="BV113" s="206">
        <f t="shared" si="42"/>
        <v>0</v>
      </c>
      <c r="BW113" s="206">
        <f>Sheet1!FG117</f>
        <v>0</v>
      </c>
      <c r="BX113" s="206">
        <f>Sheet1!FH117</f>
        <v>0</v>
      </c>
      <c r="BY113" s="206">
        <f>Sheet1!FI117</f>
        <v>0</v>
      </c>
      <c r="BZ113" s="206">
        <f>Sheet1!FJ117</f>
        <v>0</v>
      </c>
      <c r="CA113" s="206">
        <f t="shared" si="43"/>
        <v>0</v>
      </c>
      <c r="CB113" s="206">
        <f>Sheet1!FK117</f>
        <v>0</v>
      </c>
      <c r="CC113" s="206">
        <f>Sheet1!FL117</f>
        <v>0</v>
      </c>
      <c r="CD113" s="206">
        <f>Sheet1!FM117</f>
        <v>0</v>
      </c>
      <c r="CE113" s="206">
        <f>Sheet1!FN117</f>
        <v>0</v>
      </c>
      <c r="CF113" s="206">
        <f t="shared" si="44"/>
        <v>0</v>
      </c>
      <c r="CG113" s="206">
        <f t="shared" si="45"/>
        <v>0</v>
      </c>
      <c r="CH113" s="206">
        <f t="shared" si="46"/>
        <v>0</v>
      </c>
      <c r="CI113" s="206">
        <f t="shared" si="47"/>
        <v>0</v>
      </c>
      <c r="CJ113" s="206">
        <f t="shared" si="48"/>
        <v>0</v>
      </c>
      <c r="CK113" s="206">
        <f t="shared" si="49"/>
        <v>0</v>
      </c>
      <c r="CL113" s="206">
        <f t="shared" si="50"/>
        <v>0</v>
      </c>
      <c r="CM113" s="206">
        <f t="shared" si="51"/>
        <v>0</v>
      </c>
      <c r="CN113" s="206">
        <f t="shared" si="52"/>
        <v>0</v>
      </c>
      <c r="CO113" s="206">
        <f t="shared" si="53"/>
        <v>0</v>
      </c>
      <c r="CP113" s="206">
        <f t="shared" si="54"/>
        <v>0</v>
      </c>
    </row>
    <row r="114" spans="45:94">
      <c r="AS114" s="206">
        <f>Sheet1!EI118</f>
        <v>0</v>
      </c>
      <c r="AT114" s="206">
        <f>Sheet1!EJ118</f>
        <v>0</v>
      </c>
      <c r="AU114" s="206">
        <f>Sheet1!EK118</f>
        <v>0</v>
      </c>
      <c r="AV114" s="206">
        <f>Sheet1!EL118</f>
        <v>0</v>
      </c>
      <c r="AW114" s="206">
        <f t="shared" si="37"/>
        <v>0</v>
      </c>
      <c r="AX114" s="206">
        <f>Sheet1!EM118</f>
        <v>0</v>
      </c>
      <c r="AY114" s="206">
        <f>Sheet1!EN118</f>
        <v>0</v>
      </c>
      <c r="AZ114" s="206">
        <f>Sheet1!EO118</f>
        <v>0</v>
      </c>
      <c r="BA114" s="206">
        <f>Sheet1!EP118</f>
        <v>0</v>
      </c>
      <c r="BB114" s="206">
        <f t="shared" si="38"/>
        <v>0</v>
      </c>
      <c r="BC114" s="206">
        <f>Sheet1!EQ118</f>
        <v>0</v>
      </c>
      <c r="BD114" s="206">
        <f>Sheet1!ER118</f>
        <v>0</v>
      </c>
      <c r="BE114" s="206">
        <f>Sheet1!ES118</f>
        <v>0</v>
      </c>
      <c r="BF114" s="206">
        <f>Sheet1!ET118</f>
        <v>0</v>
      </c>
      <c r="BG114" s="206">
        <f t="shared" si="39"/>
        <v>0</v>
      </c>
      <c r="BH114" s="206">
        <f>Sheet1!EU118</f>
        <v>0</v>
      </c>
      <c r="BI114" s="206">
        <f>Sheet1!EV118</f>
        <v>0</v>
      </c>
      <c r="BJ114" s="206">
        <f>Sheet1!EW118</f>
        <v>0</v>
      </c>
      <c r="BK114" s="206">
        <f>Sheet1!EX118</f>
        <v>0</v>
      </c>
      <c r="BL114" s="206">
        <f t="shared" si="40"/>
        <v>0</v>
      </c>
      <c r="BM114" s="206">
        <f>Sheet1!EY118</f>
        <v>0</v>
      </c>
      <c r="BN114" s="206">
        <f>Sheet1!EZ118</f>
        <v>0</v>
      </c>
      <c r="BO114" s="206">
        <f>Sheet1!FA118</f>
        <v>0</v>
      </c>
      <c r="BP114" s="206">
        <f>Sheet1!FB118</f>
        <v>0</v>
      </c>
      <c r="BQ114" s="206">
        <f t="shared" si="41"/>
        <v>0</v>
      </c>
      <c r="BR114" s="206">
        <f>Sheet1!FC118</f>
        <v>0</v>
      </c>
      <c r="BS114" s="206">
        <f>Sheet1!FD118</f>
        <v>0</v>
      </c>
      <c r="BT114" s="206">
        <f>Sheet1!FE118</f>
        <v>0</v>
      </c>
      <c r="BU114" s="206">
        <f>Sheet1!FF118</f>
        <v>0</v>
      </c>
      <c r="BV114" s="206">
        <f t="shared" si="42"/>
        <v>0</v>
      </c>
      <c r="BW114" s="206">
        <f>Sheet1!FG118</f>
        <v>0</v>
      </c>
      <c r="BX114" s="206">
        <f>Sheet1!FH118</f>
        <v>0</v>
      </c>
      <c r="BY114" s="206">
        <f>Sheet1!FI118</f>
        <v>0</v>
      </c>
      <c r="BZ114" s="206">
        <f>Sheet1!FJ118</f>
        <v>0</v>
      </c>
      <c r="CA114" s="206">
        <f t="shared" si="43"/>
        <v>0</v>
      </c>
      <c r="CB114" s="206">
        <f>Sheet1!FK118</f>
        <v>0</v>
      </c>
      <c r="CC114" s="206">
        <f>Sheet1!FL118</f>
        <v>0</v>
      </c>
      <c r="CD114" s="206">
        <f>Sheet1!FM118</f>
        <v>0</v>
      </c>
      <c r="CE114" s="206">
        <f>Sheet1!FN118</f>
        <v>0</v>
      </c>
      <c r="CF114" s="206">
        <f t="shared" si="44"/>
        <v>0</v>
      </c>
      <c r="CG114" s="206">
        <f t="shared" si="45"/>
        <v>0</v>
      </c>
      <c r="CH114" s="206">
        <f t="shared" si="46"/>
        <v>0</v>
      </c>
      <c r="CI114" s="206">
        <f t="shared" si="47"/>
        <v>0</v>
      </c>
      <c r="CJ114" s="206">
        <f t="shared" si="48"/>
        <v>0</v>
      </c>
      <c r="CK114" s="206">
        <f t="shared" si="49"/>
        <v>0</v>
      </c>
      <c r="CL114" s="206">
        <f t="shared" si="50"/>
        <v>0</v>
      </c>
      <c r="CM114" s="206">
        <f t="shared" si="51"/>
        <v>0</v>
      </c>
      <c r="CN114" s="206">
        <f t="shared" si="52"/>
        <v>0</v>
      </c>
      <c r="CO114" s="206">
        <f t="shared" si="53"/>
        <v>0</v>
      </c>
      <c r="CP114" s="206">
        <f t="shared" si="54"/>
        <v>0</v>
      </c>
    </row>
    <row r="115" spans="45:94">
      <c r="AS115" s="206">
        <f>Sheet1!EI119</f>
        <v>0</v>
      </c>
      <c r="AT115" s="206">
        <f>Sheet1!EJ119</f>
        <v>0</v>
      </c>
      <c r="AU115" s="206">
        <f>Sheet1!EK119</f>
        <v>0</v>
      </c>
      <c r="AV115" s="206">
        <f>Sheet1!EL119</f>
        <v>0</v>
      </c>
      <c r="AW115" s="206">
        <f t="shared" si="37"/>
        <v>0</v>
      </c>
      <c r="AX115" s="206">
        <f>Sheet1!EM119</f>
        <v>0</v>
      </c>
      <c r="AY115" s="206">
        <f>Sheet1!EN119</f>
        <v>0</v>
      </c>
      <c r="AZ115" s="206">
        <f>Sheet1!EO119</f>
        <v>0</v>
      </c>
      <c r="BA115" s="206">
        <f>Sheet1!EP119</f>
        <v>0</v>
      </c>
      <c r="BB115" s="206">
        <f t="shared" si="38"/>
        <v>0</v>
      </c>
      <c r="BC115" s="206">
        <f>Sheet1!EQ119</f>
        <v>0</v>
      </c>
      <c r="BD115" s="206">
        <f>Sheet1!ER119</f>
        <v>0</v>
      </c>
      <c r="BE115" s="206">
        <f>Sheet1!ES119</f>
        <v>0</v>
      </c>
      <c r="BF115" s="206">
        <f>Sheet1!ET119</f>
        <v>0</v>
      </c>
      <c r="BG115" s="206">
        <f t="shared" si="39"/>
        <v>0</v>
      </c>
      <c r="BH115" s="206">
        <f>Sheet1!EU119</f>
        <v>0</v>
      </c>
      <c r="BI115" s="206">
        <f>Sheet1!EV119</f>
        <v>0</v>
      </c>
      <c r="BJ115" s="206">
        <f>Sheet1!EW119</f>
        <v>0</v>
      </c>
      <c r="BK115" s="206">
        <f>Sheet1!EX119</f>
        <v>0</v>
      </c>
      <c r="BL115" s="206">
        <f t="shared" si="40"/>
        <v>0</v>
      </c>
      <c r="BM115" s="206">
        <f>Sheet1!EY119</f>
        <v>0</v>
      </c>
      <c r="BN115" s="206">
        <f>Sheet1!EZ119</f>
        <v>0</v>
      </c>
      <c r="BO115" s="206">
        <f>Sheet1!FA119</f>
        <v>0</v>
      </c>
      <c r="BP115" s="206">
        <f>Sheet1!FB119</f>
        <v>0</v>
      </c>
      <c r="BQ115" s="206">
        <f t="shared" si="41"/>
        <v>0</v>
      </c>
      <c r="BR115" s="206">
        <f>Sheet1!FC119</f>
        <v>0</v>
      </c>
      <c r="BS115" s="206">
        <f>Sheet1!FD119</f>
        <v>0</v>
      </c>
      <c r="BT115" s="206">
        <f>Sheet1!FE119</f>
        <v>0</v>
      </c>
      <c r="BU115" s="206">
        <f>Sheet1!FF119</f>
        <v>0</v>
      </c>
      <c r="BV115" s="206">
        <f t="shared" si="42"/>
        <v>0</v>
      </c>
      <c r="BW115" s="206">
        <f>Sheet1!FG119</f>
        <v>0</v>
      </c>
      <c r="BX115" s="206">
        <f>Sheet1!FH119</f>
        <v>0</v>
      </c>
      <c r="BY115" s="206">
        <f>Sheet1!FI119</f>
        <v>0</v>
      </c>
      <c r="BZ115" s="206">
        <f>Sheet1!FJ119</f>
        <v>0</v>
      </c>
      <c r="CA115" s="206">
        <f t="shared" si="43"/>
        <v>0</v>
      </c>
      <c r="CB115" s="206">
        <f>Sheet1!FK119</f>
        <v>0</v>
      </c>
      <c r="CC115" s="206">
        <f>Sheet1!FL119</f>
        <v>0</v>
      </c>
      <c r="CD115" s="206">
        <f>Sheet1!FM119</f>
        <v>0</v>
      </c>
      <c r="CE115" s="206">
        <f>Sheet1!FN119</f>
        <v>0</v>
      </c>
      <c r="CF115" s="206">
        <f t="shared" si="44"/>
        <v>0</v>
      </c>
      <c r="CG115" s="206">
        <f t="shared" si="45"/>
        <v>0</v>
      </c>
      <c r="CH115" s="206">
        <f t="shared" si="46"/>
        <v>0</v>
      </c>
      <c r="CI115" s="206">
        <f t="shared" si="47"/>
        <v>0</v>
      </c>
      <c r="CJ115" s="206">
        <f t="shared" si="48"/>
        <v>0</v>
      </c>
      <c r="CK115" s="206">
        <f t="shared" si="49"/>
        <v>0</v>
      </c>
      <c r="CL115" s="206">
        <f t="shared" si="50"/>
        <v>0</v>
      </c>
      <c r="CM115" s="206">
        <f t="shared" si="51"/>
        <v>0</v>
      </c>
      <c r="CN115" s="206">
        <f t="shared" si="52"/>
        <v>0</v>
      </c>
      <c r="CO115" s="206">
        <f t="shared" si="53"/>
        <v>0</v>
      </c>
      <c r="CP115" s="206">
        <f t="shared" si="54"/>
        <v>0</v>
      </c>
    </row>
    <row r="116" spans="45:94">
      <c r="AS116" s="206">
        <f>Sheet1!EI120</f>
        <v>0</v>
      </c>
      <c r="AT116" s="206">
        <f>Sheet1!EJ120</f>
        <v>0</v>
      </c>
      <c r="AU116" s="206">
        <f>Sheet1!EK120</f>
        <v>0</v>
      </c>
      <c r="AV116" s="206">
        <f>Sheet1!EL120</f>
        <v>0</v>
      </c>
      <c r="AW116" s="206">
        <f t="shared" si="37"/>
        <v>0</v>
      </c>
      <c r="AX116" s="206">
        <f>Sheet1!EM120</f>
        <v>0</v>
      </c>
      <c r="AY116" s="206">
        <f>Sheet1!EN120</f>
        <v>0</v>
      </c>
      <c r="AZ116" s="206">
        <f>Sheet1!EO120</f>
        <v>0</v>
      </c>
      <c r="BA116" s="206">
        <f>Sheet1!EP120</f>
        <v>0</v>
      </c>
      <c r="BB116" s="206">
        <f t="shared" si="38"/>
        <v>0</v>
      </c>
      <c r="BC116" s="206">
        <f>Sheet1!EQ120</f>
        <v>0</v>
      </c>
      <c r="BD116" s="206">
        <f>Sheet1!ER120</f>
        <v>0</v>
      </c>
      <c r="BE116" s="206">
        <f>Sheet1!ES120</f>
        <v>0</v>
      </c>
      <c r="BF116" s="206">
        <f>Sheet1!ET120</f>
        <v>0</v>
      </c>
      <c r="BG116" s="206">
        <f t="shared" si="39"/>
        <v>0</v>
      </c>
      <c r="BH116" s="206">
        <f>Sheet1!EU120</f>
        <v>0</v>
      </c>
      <c r="BI116" s="206">
        <f>Sheet1!EV120</f>
        <v>0</v>
      </c>
      <c r="BJ116" s="206">
        <f>Sheet1!EW120</f>
        <v>0</v>
      </c>
      <c r="BK116" s="206">
        <f>Sheet1!EX120</f>
        <v>0</v>
      </c>
      <c r="BL116" s="206">
        <f t="shared" si="40"/>
        <v>0</v>
      </c>
      <c r="BM116" s="206">
        <f>Sheet1!EY120</f>
        <v>0</v>
      </c>
      <c r="BN116" s="206">
        <f>Sheet1!EZ120</f>
        <v>0</v>
      </c>
      <c r="BO116" s="206">
        <f>Sheet1!FA120</f>
        <v>0</v>
      </c>
      <c r="BP116" s="206">
        <f>Sheet1!FB120</f>
        <v>0</v>
      </c>
      <c r="BQ116" s="206">
        <f t="shared" si="41"/>
        <v>0</v>
      </c>
      <c r="BR116" s="206">
        <f>Sheet1!FC120</f>
        <v>0</v>
      </c>
      <c r="BS116" s="206">
        <f>Sheet1!FD120</f>
        <v>0</v>
      </c>
      <c r="BT116" s="206">
        <f>Sheet1!FE120</f>
        <v>0</v>
      </c>
      <c r="BU116" s="206">
        <f>Sheet1!FF120</f>
        <v>0</v>
      </c>
      <c r="BV116" s="206">
        <f t="shared" si="42"/>
        <v>0</v>
      </c>
      <c r="BW116" s="206">
        <f>Sheet1!FG120</f>
        <v>0</v>
      </c>
      <c r="BX116" s="206">
        <f>Sheet1!FH120</f>
        <v>0</v>
      </c>
      <c r="BY116" s="206">
        <f>Sheet1!FI120</f>
        <v>0</v>
      </c>
      <c r="BZ116" s="206">
        <f>Sheet1!FJ120</f>
        <v>0</v>
      </c>
      <c r="CA116" s="206">
        <f t="shared" si="43"/>
        <v>0</v>
      </c>
      <c r="CB116" s="206">
        <f>Sheet1!FK120</f>
        <v>0</v>
      </c>
      <c r="CC116" s="206">
        <f>Sheet1!FL120</f>
        <v>0</v>
      </c>
      <c r="CD116" s="206">
        <f>Sheet1!FM120</f>
        <v>0</v>
      </c>
      <c r="CE116" s="206">
        <f>Sheet1!FN120</f>
        <v>0</v>
      </c>
      <c r="CF116" s="206">
        <f t="shared" si="44"/>
        <v>0</v>
      </c>
      <c r="CG116" s="206">
        <f t="shared" si="45"/>
        <v>0</v>
      </c>
      <c r="CH116" s="206">
        <f t="shared" si="46"/>
        <v>0</v>
      </c>
      <c r="CI116" s="206">
        <f t="shared" si="47"/>
        <v>0</v>
      </c>
      <c r="CJ116" s="206">
        <f t="shared" si="48"/>
        <v>0</v>
      </c>
      <c r="CK116" s="206">
        <f t="shared" si="49"/>
        <v>0</v>
      </c>
      <c r="CL116" s="206">
        <f t="shared" si="50"/>
        <v>0</v>
      </c>
      <c r="CM116" s="206">
        <f t="shared" si="51"/>
        <v>0</v>
      </c>
      <c r="CN116" s="206">
        <f t="shared" si="52"/>
        <v>0</v>
      </c>
      <c r="CO116" s="206">
        <f t="shared" si="53"/>
        <v>0</v>
      </c>
      <c r="CP116" s="206">
        <f t="shared" si="54"/>
        <v>0</v>
      </c>
    </row>
    <row r="117" spans="45:94">
      <c r="AS117" s="206">
        <f>Sheet1!EI121</f>
        <v>0</v>
      </c>
      <c r="AT117" s="206">
        <f>Sheet1!EJ121</f>
        <v>0</v>
      </c>
      <c r="AU117" s="206">
        <f>Sheet1!EK121</f>
        <v>0</v>
      </c>
      <c r="AV117" s="206">
        <f>Sheet1!EL121</f>
        <v>0</v>
      </c>
      <c r="AW117" s="206">
        <f t="shared" si="37"/>
        <v>0</v>
      </c>
      <c r="AX117" s="206">
        <f>Sheet1!EM121</f>
        <v>0</v>
      </c>
      <c r="AY117" s="206">
        <f>Sheet1!EN121</f>
        <v>0</v>
      </c>
      <c r="AZ117" s="206">
        <f>Sheet1!EO121</f>
        <v>0</v>
      </c>
      <c r="BA117" s="206">
        <f>Sheet1!EP121</f>
        <v>0</v>
      </c>
      <c r="BB117" s="206">
        <f t="shared" si="38"/>
        <v>0</v>
      </c>
      <c r="BC117" s="206">
        <f>Sheet1!EQ121</f>
        <v>0</v>
      </c>
      <c r="BD117" s="206">
        <f>Sheet1!ER121</f>
        <v>0</v>
      </c>
      <c r="BE117" s="206">
        <f>Sheet1!ES121</f>
        <v>0</v>
      </c>
      <c r="BF117" s="206">
        <f>Sheet1!ET121</f>
        <v>0</v>
      </c>
      <c r="BG117" s="206">
        <f t="shared" si="39"/>
        <v>0</v>
      </c>
      <c r="BH117" s="206">
        <f>Sheet1!EU121</f>
        <v>0</v>
      </c>
      <c r="BI117" s="206">
        <f>Sheet1!EV121</f>
        <v>0</v>
      </c>
      <c r="BJ117" s="206">
        <f>Sheet1!EW121</f>
        <v>0</v>
      </c>
      <c r="BK117" s="206">
        <f>Sheet1!EX121</f>
        <v>0</v>
      </c>
      <c r="BL117" s="206">
        <f t="shared" si="40"/>
        <v>0</v>
      </c>
      <c r="BM117" s="206">
        <f>Sheet1!EY121</f>
        <v>0</v>
      </c>
      <c r="BN117" s="206">
        <f>Sheet1!EZ121</f>
        <v>0</v>
      </c>
      <c r="BO117" s="206">
        <f>Sheet1!FA121</f>
        <v>0</v>
      </c>
      <c r="BP117" s="206">
        <f>Sheet1!FB121</f>
        <v>0</v>
      </c>
      <c r="BQ117" s="206">
        <f t="shared" si="41"/>
        <v>0</v>
      </c>
      <c r="BR117" s="206">
        <f>Sheet1!FC121</f>
        <v>0</v>
      </c>
      <c r="BS117" s="206">
        <f>Sheet1!FD121</f>
        <v>0</v>
      </c>
      <c r="BT117" s="206">
        <f>Sheet1!FE121</f>
        <v>0</v>
      </c>
      <c r="BU117" s="206">
        <f>Sheet1!FF121</f>
        <v>0</v>
      </c>
      <c r="BV117" s="206">
        <f t="shared" si="42"/>
        <v>0</v>
      </c>
      <c r="BW117" s="206">
        <f>Sheet1!FG121</f>
        <v>0</v>
      </c>
      <c r="BX117" s="206">
        <f>Sheet1!FH121</f>
        <v>0</v>
      </c>
      <c r="BY117" s="206">
        <f>Sheet1!FI121</f>
        <v>0</v>
      </c>
      <c r="BZ117" s="206">
        <f>Sheet1!FJ121</f>
        <v>0</v>
      </c>
      <c r="CA117" s="206">
        <f t="shared" si="43"/>
        <v>0</v>
      </c>
      <c r="CB117" s="206">
        <f>Sheet1!FK121</f>
        <v>0</v>
      </c>
      <c r="CC117" s="206">
        <f>Sheet1!FL121</f>
        <v>0</v>
      </c>
      <c r="CD117" s="206">
        <f>Sheet1!FM121</f>
        <v>0</v>
      </c>
      <c r="CE117" s="206">
        <f>Sheet1!FN121</f>
        <v>0</v>
      </c>
      <c r="CF117" s="206">
        <f t="shared" si="44"/>
        <v>0</v>
      </c>
      <c r="CG117" s="206">
        <f t="shared" si="45"/>
        <v>0</v>
      </c>
      <c r="CH117" s="206">
        <f t="shared" si="46"/>
        <v>0</v>
      </c>
      <c r="CI117" s="206">
        <f t="shared" si="47"/>
        <v>0</v>
      </c>
      <c r="CJ117" s="206">
        <f t="shared" si="48"/>
        <v>0</v>
      </c>
      <c r="CK117" s="206">
        <f t="shared" si="49"/>
        <v>0</v>
      </c>
      <c r="CL117" s="206">
        <f t="shared" si="50"/>
        <v>0</v>
      </c>
      <c r="CM117" s="206">
        <f t="shared" si="51"/>
        <v>0</v>
      </c>
      <c r="CN117" s="206">
        <f t="shared" si="52"/>
        <v>0</v>
      </c>
      <c r="CO117" s="206">
        <f t="shared" si="53"/>
        <v>0</v>
      </c>
      <c r="CP117" s="206">
        <f t="shared" si="54"/>
        <v>0</v>
      </c>
    </row>
    <row r="118" spans="45:94">
      <c r="AS118" s="206">
        <f>Sheet1!EI122</f>
        <v>0</v>
      </c>
      <c r="AT118" s="206">
        <f>Sheet1!EJ122</f>
        <v>0</v>
      </c>
      <c r="AU118" s="206">
        <f>Sheet1!EK122</f>
        <v>0</v>
      </c>
      <c r="AV118" s="206">
        <f>Sheet1!EL122</f>
        <v>0</v>
      </c>
      <c r="AW118" s="206">
        <f t="shared" si="37"/>
        <v>0</v>
      </c>
      <c r="AX118" s="206">
        <f>Sheet1!EM122</f>
        <v>0</v>
      </c>
      <c r="AY118" s="206">
        <f>Sheet1!EN122</f>
        <v>0</v>
      </c>
      <c r="AZ118" s="206">
        <f>Sheet1!EO122</f>
        <v>0</v>
      </c>
      <c r="BA118" s="206">
        <f>Sheet1!EP122</f>
        <v>0</v>
      </c>
      <c r="BB118" s="206">
        <f t="shared" si="38"/>
        <v>0</v>
      </c>
      <c r="BC118" s="206">
        <f>Sheet1!EQ122</f>
        <v>0</v>
      </c>
      <c r="BD118" s="206">
        <f>Sheet1!ER122</f>
        <v>0</v>
      </c>
      <c r="BE118" s="206">
        <f>Sheet1!ES122</f>
        <v>0</v>
      </c>
      <c r="BF118" s="206">
        <f>Sheet1!ET122</f>
        <v>0</v>
      </c>
      <c r="BG118" s="206">
        <f t="shared" si="39"/>
        <v>0</v>
      </c>
      <c r="BH118" s="206">
        <f>Sheet1!EU122</f>
        <v>0</v>
      </c>
      <c r="BI118" s="206">
        <f>Sheet1!EV122</f>
        <v>0</v>
      </c>
      <c r="BJ118" s="206">
        <f>Sheet1!EW122</f>
        <v>0</v>
      </c>
      <c r="BK118" s="206">
        <f>Sheet1!EX122</f>
        <v>0</v>
      </c>
      <c r="BL118" s="206">
        <f t="shared" si="40"/>
        <v>0</v>
      </c>
      <c r="BM118" s="206">
        <f>Sheet1!EY122</f>
        <v>0</v>
      </c>
      <c r="BN118" s="206">
        <f>Sheet1!EZ122</f>
        <v>0</v>
      </c>
      <c r="BO118" s="206">
        <f>Sheet1!FA122</f>
        <v>0</v>
      </c>
      <c r="BP118" s="206">
        <f>Sheet1!FB122</f>
        <v>0</v>
      </c>
      <c r="BQ118" s="206">
        <f t="shared" si="41"/>
        <v>0</v>
      </c>
      <c r="BR118" s="206">
        <f>Sheet1!FC122</f>
        <v>0</v>
      </c>
      <c r="BS118" s="206">
        <f>Sheet1!FD122</f>
        <v>0</v>
      </c>
      <c r="BT118" s="206">
        <f>Sheet1!FE122</f>
        <v>0</v>
      </c>
      <c r="BU118" s="206">
        <f>Sheet1!FF122</f>
        <v>0</v>
      </c>
      <c r="BV118" s="206">
        <f t="shared" si="42"/>
        <v>0</v>
      </c>
      <c r="BW118" s="206">
        <f>Sheet1!FG122</f>
        <v>0</v>
      </c>
      <c r="BX118" s="206">
        <f>Sheet1!FH122</f>
        <v>0</v>
      </c>
      <c r="BY118" s="206">
        <f>Sheet1!FI122</f>
        <v>0</v>
      </c>
      <c r="BZ118" s="206">
        <f>Sheet1!FJ122</f>
        <v>0</v>
      </c>
      <c r="CA118" s="206">
        <f t="shared" si="43"/>
        <v>0</v>
      </c>
      <c r="CB118" s="206">
        <f>Sheet1!FK122</f>
        <v>0</v>
      </c>
      <c r="CC118" s="206">
        <f>Sheet1!FL122</f>
        <v>0</v>
      </c>
      <c r="CD118" s="206">
        <f>Sheet1!FM122</f>
        <v>0</v>
      </c>
      <c r="CE118" s="206">
        <f>Sheet1!FN122</f>
        <v>0</v>
      </c>
      <c r="CF118" s="206">
        <f t="shared" si="44"/>
        <v>0</v>
      </c>
      <c r="CG118" s="206">
        <f t="shared" si="45"/>
        <v>0</v>
      </c>
      <c r="CH118" s="206">
        <f t="shared" si="46"/>
        <v>0</v>
      </c>
      <c r="CI118" s="206">
        <f t="shared" si="47"/>
        <v>0</v>
      </c>
      <c r="CJ118" s="206">
        <f t="shared" si="48"/>
        <v>0</v>
      </c>
      <c r="CK118" s="206">
        <f t="shared" si="49"/>
        <v>0</v>
      </c>
      <c r="CL118" s="206">
        <f t="shared" si="50"/>
        <v>0</v>
      </c>
      <c r="CM118" s="206">
        <f t="shared" si="51"/>
        <v>0</v>
      </c>
      <c r="CN118" s="206">
        <f t="shared" si="52"/>
        <v>0</v>
      </c>
      <c r="CO118" s="206">
        <f t="shared" si="53"/>
        <v>0</v>
      </c>
      <c r="CP118" s="206">
        <f t="shared" si="54"/>
        <v>0</v>
      </c>
    </row>
    <row r="119" spans="45:94">
      <c r="AS119" s="206">
        <f>Sheet1!EI123</f>
        <v>0</v>
      </c>
      <c r="AT119" s="206">
        <f>Sheet1!EJ123</f>
        <v>0</v>
      </c>
      <c r="AU119" s="206">
        <f>Sheet1!EK123</f>
        <v>0</v>
      </c>
      <c r="AV119" s="206">
        <f>Sheet1!EL123</f>
        <v>0</v>
      </c>
      <c r="AW119" s="206">
        <f t="shared" si="37"/>
        <v>0</v>
      </c>
      <c r="AX119" s="206">
        <f>Sheet1!EM123</f>
        <v>0</v>
      </c>
      <c r="AY119" s="206">
        <f>Sheet1!EN123</f>
        <v>0</v>
      </c>
      <c r="AZ119" s="206">
        <f>Sheet1!EO123</f>
        <v>0</v>
      </c>
      <c r="BA119" s="206">
        <f>Sheet1!EP123</f>
        <v>0</v>
      </c>
      <c r="BB119" s="206">
        <f t="shared" si="38"/>
        <v>0</v>
      </c>
      <c r="BC119" s="206">
        <f>Sheet1!EQ123</f>
        <v>0</v>
      </c>
      <c r="BD119" s="206">
        <f>Sheet1!ER123</f>
        <v>0</v>
      </c>
      <c r="BE119" s="206">
        <f>Sheet1!ES123</f>
        <v>0</v>
      </c>
      <c r="BF119" s="206">
        <f>Sheet1!ET123</f>
        <v>0</v>
      </c>
      <c r="BG119" s="206">
        <f t="shared" si="39"/>
        <v>0</v>
      </c>
      <c r="BH119" s="206">
        <f>Sheet1!EU123</f>
        <v>0</v>
      </c>
      <c r="BI119" s="206">
        <f>Sheet1!EV123</f>
        <v>0</v>
      </c>
      <c r="BJ119" s="206">
        <f>Sheet1!EW123</f>
        <v>0</v>
      </c>
      <c r="BK119" s="206">
        <f>Sheet1!EX123</f>
        <v>0</v>
      </c>
      <c r="BL119" s="206">
        <f t="shared" si="40"/>
        <v>0</v>
      </c>
      <c r="BM119" s="206">
        <f>Sheet1!EY123</f>
        <v>0</v>
      </c>
      <c r="BN119" s="206">
        <f>Sheet1!EZ123</f>
        <v>0</v>
      </c>
      <c r="BO119" s="206">
        <f>Sheet1!FA123</f>
        <v>0</v>
      </c>
      <c r="BP119" s="206">
        <f>Sheet1!FB123</f>
        <v>0</v>
      </c>
      <c r="BQ119" s="206">
        <f t="shared" si="41"/>
        <v>0</v>
      </c>
      <c r="BR119" s="206">
        <f>Sheet1!FC123</f>
        <v>0</v>
      </c>
      <c r="BS119" s="206">
        <f>Sheet1!FD123</f>
        <v>0</v>
      </c>
      <c r="BT119" s="206">
        <f>Sheet1!FE123</f>
        <v>0</v>
      </c>
      <c r="BU119" s="206">
        <f>Sheet1!FF123</f>
        <v>0</v>
      </c>
      <c r="BV119" s="206">
        <f t="shared" si="42"/>
        <v>0</v>
      </c>
      <c r="BW119" s="206">
        <f>Sheet1!FG123</f>
        <v>0</v>
      </c>
      <c r="BX119" s="206">
        <f>Sheet1!FH123</f>
        <v>0</v>
      </c>
      <c r="BY119" s="206">
        <f>Sheet1!FI123</f>
        <v>0</v>
      </c>
      <c r="BZ119" s="206">
        <f>Sheet1!FJ123</f>
        <v>0</v>
      </c>
      <c r="CA119" s="206">
        <f t="shared" si="43"/>
        <v>0</v>
      </c>
      <c r="CB119" s="206">
        <f>Sheet1!FK123</f>
        <v>0</v>
      </c>
      <c r="CC119" s="206">
        <f>Sheet1!FL123</f>
        <v>0</v>
      </c>
      <c r="CD119" s="206">
        <f>Sheet1!FM123</f>
        <v>0</v>
      </c>
      <c r="CE119" s="206">
        <f>Sheet1!FN123</f>
        <v>0</v>
      </c>
      <c r="CF119" s="206">
        <f t="shared" si="44"/>
        <v>0</v>
      </c>
      <c r="CG119" s="206">
        <f t="shared" si="45"/>
        <v>0</v>
      </c>
      <c r="CH119" s="206">
        <f t="shared" si="46"/>
        <v>0</v>
      </c>
      <c r="CI119" s="206">
        <f t="shared" si="47"/>
        <v>0</v>
      </c>
      <c r="CJ119" s="206">
        <f t="shared" si="48"/>
        <v>0</v>
      </c>
      <c r="CK119" s="206">
        <f t="shared" si="49"/>
        <v>0</v>
      </c>
      <c r="CL119" s="206">
        <f t="shared" si="50"/>
        <v>0</v>
      </c>
      <c r="CM119" s="206">
        <f t="shared" si="51"/>
        <v>0</v>
      </c>
      <c r="CN119" s="206">
        <f t="shared" si="52"/>
        <v>0</v>
      </c>
      <c r="CO119" s="206">
        <f t="shared" si="53"/>
        <v>0</v>
      </c>
      <c r="CP119" s="206">
        <f t="shared" si="54"/>
        <v>0</v>
      </c>
    </row>
    <row r="120" spans="45:94">
      <c r="AS120" s="206">
        <f>Sheet1!EI124</f>
        <v>0</v>
      </c>
      <c r="AT120" s="206">
        <f>Sheet1!EJ124</f>
        <v>0</v>
      </c>
      <c r="AU120" s="206">
        <f>Sheet1!EK124</f>
        <v>0</v>
      </c>
      <c r="AV120" s="206">
        <f>Sheet1!EL124</f>
        <v>0</v>
      </c>
      <c r="AW120" s="206">
        <f t="shared" si="37"/>
        <v>0</v>
      </c>
      <c r="AX120" s="206">
        <f>Sheet1!EM124</f>
        <v>0</v>
      </c>
      <c r="AY120" s="206">
        <f>Sheet1!EN124</f>
        <v>0</v>
      </c>
      <c r="AZ120" s="206">
        <f>Sheet1!EO124</f>
        <v>0</v>
      </c>
      <c r="BA120" s="206">
        <f>Sheet1!EP124</f>
        <v>0</v>
      </c>
      <c r="BB120" s="206">
        <f t="shared" si="38"/>
        <v>0</v>
      </c>
      <c r="BC120" s="206">
        <f>Sheet1!EQ124</f>
        <v>0</v>
      </c>
      <c r="BD120" s="206">
        <f>Sheet1!ER124</f>
        <v>0</v>
      </c>
      <c r="BE120" s="206">
        <f>Sheet1!ES124</f>
        <v>0</v>
      </c>
      <c r="BF120" s="206">
        <f>Sheet1!ET124</f>
        <v>0</v>
      </c>
      <c r="BG120" s="206">
        <f t="shared" si="39"/>
        <v>0</v>
      </c>
      <c r="BH120" s="206">
        <f>Sheet1!EU124</f>
        <v>0</v>
      </c>
      <c r="BI120" s="206">
        <f>Sheet1!EV124</f>
        <v>0</v>
      </c>
      <c r="BJ120" s="206">
        <f>Sheet1!EW124</f>
        <v>0</v>
      </c>
      <c r="BK120" s="206">
        <f>Sheet1!EX124</f>
        <v>0</v>
      </c>
      <c r="BL120" s="206">
        <f t="shared" si="40"/>
        <v>0</v>
      </c>
      <c r="BM120" s="206">
        <f>Sheet1!EY124</f>
        <v>0</v>
      </c>
      <c r="BN120" s="206">
        <f>Sheet1!EZ124</f>
        <v>0</v>
      </c>
      <c r="BO120" s="206">
        <f>Sheet1!FA124</f>
        <v>0</v>
      </c>
      <c r="BP120" s="206">
        <f>Sheet1!FB124</f>
        <v>0</v>
      </c>
      <c r="BQ120" s="206">
        <f t="shared" si="41"/>
        <v>0</v>
      </c>
      <c r="BR120" s="206">
        <f>Sheet1!FC124</f>
        <v>0</v>
      </c>
      <c r="BS120" s="206">
        <f>Sheet1!FD124</f>
        <v>0</v>
      </c>
      <c r="BT120" s="206">
        <f>Sheet1!FE124</f>
        <v>0</v>
      </c>
      <c r="BU120" s="206">
        <f>Sheet1!FF124</f>
        <v>0</v>
      </c>
      <c r="BV120" s="206">
        <f t="shared" si="42"/>
        <v>0</v>
      </c>
      <c r="BW120" s="206">
        <f>Sheet1!FG124</f>
        <v>0</v>
      </c>
      <c r="BX120" s="206">
        <f>Sheet1!FH124</f>
        <v>0</v>
      </c>
      <c r="BY120" s="206">
        <f>Sheet1!FI124</f>
        <v>0</v>
      </c>
      <c r="BZ120" s="206">
        <f>Sheet1!FJ124</f>
        <v>0</v>
      </c>
      <c r="CA120" s="206">
        <f t="shared" si="43"/>
        <v>0</v>
      </c>
      <c r="CB120" s="206">
        <f>Sheet1!FK124</f>
        <v>0</v>
      </c>
      <c r="CC120" s="206">
        <f>Sheet1!FL124</f>
        <v>0</v>
      </c>
      <c r="CD120" s="206">
        <f>Sheet1!FM124</f>
        <v>0</v>
      </c>
      <c r="CE120" s="206">
        <f>Sheet1!FN124</f>
        <v>0</v>
      </c>
      <c r="CF120" s="206">
        <f t="shared" si="44"/>
        <v>0</v>
      </c>
      <c r="CG120" s="206">
        <f t="shared" si="45"/>
        <v>0</v>
      </c>
      <c r="CH120" s="206">
        <f t="shared" si="46"/>
        <v>0</v>
      </c>
      <c r="CI120" s="206">
        <f t="shared" si="47"/>
        <v>0</v>
      </c>
      <c r="CJ120" s="206">
        <f t="shared" si="48"/>
        <v>0</v>
      </c>
      <c r="CK120" s="206">
        <f t="shared" si="49"/>
        <v>0</v>
      </c>
      <c r="CL120" s="206">
        <f t="shared" si="50"/>
        <v>0</v>
      </c>
      <c r="CM120" s="206">
        <f t="shared" si="51"/>
        <v>0</v>
      </c>
      <c r="CN120" s="206">
        <f t="shared" si="52"/>
        <v>0</v>
      </c>
      <c r="CO120" s="206">
        <f t="shared" si="53"/>
        <v>0</v>
      </c>
      <c r="CP120" s="206">
        <f t="shared" si="54"/>
        <v>0</v>
      </c>
    </row>
    <row r="121" spans="45:94">
      <c r="AS121" s="206">
        <f>Sheet1!EI125</f>
        <v>0</v>
      </c>
      <c r="AT121" s="206">
        <f>Sheet1!EJ125</f>
        <v>0</v>
      </c>
      <c r="AU121" s="206">
        <f>Sheet1!EK125</f>
        <v>0</v>
      </c>
      <c r="AV121" s="206">
        <f>Sheet1!EL125</f>
        <v>0</v>
      </c>
      <c r="AW121" s="206">
        <f t="shared" si="37"/>
        <v>0</v>
      </c>
      <c r="AX121" s="206">
        <f>Sheet1!EM125</f>
        <v>0</v>
      </c>
      <c r="AY121" s="206">
        <f>Sheet1!EN125</f>
        <v>0</v>
      </c>
      <c r="AZ121" s="206">
        <f>Sheet1!EO125</f>
        <v>0</v>
      </c>
      <c r="BA121" s="206">
        <f>Sheet1!EP125</f>
        <v>0</v>
      </c>
      <c r="BB121" s="206">
        <f t="shared" si="38"/>
        <v>0</v>
      </c>
      <c r="BC121" s="206">
        <f>Sheet1!EQ125</f>
        <v>0</v>
      </c>
      <c r="BD121" s="206">
        <f>Sheet1!ER125</f>
        <v>0</v>
      </c>
      <c r="BE121" s="206">
        <f>Sheet1!ES125</f>
        <v>0</v>
      </c>
      <c r="BF121" s="206">
        <f>Sheet1!ET125</f>
        <v>0</v>
      </c>
      <c r="BG121" s="206">
        <f t="shared" si="39"/>
        <v>0</v>
      </c>
      <c r="BH121" s="206">
        <f>Sheet1!EU125</f>
        <v>0</v>
      </c>
      <c r="BI121" s="206">
        <f>Sheet1!EV125</f>
        <v>0</v>
      </c>
      <c r="BJ121" s="206">
        <f>Sheet1!EW125</f>
        <v>0</v>
      </c>
      <c r="BK121" s="206">
        <f>Sheet1!EX125</f>
        <v>0</v>
      </c>
      <c r="BL121" s="206">
        <f t="shared" si="40"/>
        <v>0</v>
      </c>
      <c r="BM121" s="206">
        <f>Sheet1!EY125</f>
        <v>0</v>
      </c>
      <c r="BN121" s="206">
        <f>Sheet1!EZ125</f>
        <v>0</v>
      </c>
      <c r="BO121" s="206">
        <f>Sheet1!FA125</f>
        <v>0</v>
      </c>
      <c r="BP121" s="206">
        <f>Sheet1!FB125</f>
        <v>0</v>
      </c>
      <c r="BQ121" s="206">
        <f t="shared" si="41"/>
        <v>0</v>
      </c>
      <c r="BR121" s="206">
        <f>Sheet1!FC125</f>
        <v>0</v>
      </c>
      <c r="BS121" s="206">
        <f>Sheet1!FD125</f>
        <v>0</v>
      </c>
      <c r="BT121" s="206">
        <f>Sheet1!FE125</f>
        <v>0</v>
      </c>
      <c r="BU121" s="206">
        <f>Sheet1!FF125</f>
        <v>0</v>
      </c>
      <c r="BV121" s="206">
        <f t="shared" si="42"/>
        <v>0</v>
      </c>
      <c r="BW121" s="206">
        <f>Sheet1!FG125</f>
        <v>0</v>
      </c>
      <c r="BX121" s="206">
        <f>Sheet1!FH125</f>
        <v>0</v>
      </c>
      <c r="BY121" s="206">
        <f>Sheet1!FI125</f>
        <v>0</v>
      </c>
      <c r="BZ121" s="206">
        <f>Sheet1!FJ125</f>
        <v>0</v>
      </c>
      <c r="CA121" s="206">
        <f t="shared" si="43"/>
        <v>0</v>
      </c>
      <c r="CB121" s="206">
        <f>Sheet1!FK125</f>
        <v>0</v>
      </c>
      <c r="CC121" s="206">
        <f>Sheet1!FL125</f>
        <v>0</v>
      </c>
      <c r="CD121" s="206">
        <f>Sheet1!FM125</f>
        <v>0</v>
      </c>
      <c r="CE121" s="206">
        <f>Sheet1!FN125</f>
        <v>0</v>
      </c>
      <c r="CF121" s="206">
        <f t="shared" si="44"/>
        <v>0</v>
      </c>
      <c r="CG121" s="206">
        <f t="shared" si="45"/>
        <v>0</v>
      </c>
      <c r="CH121" s="206">
        <f t="shared" si="46"/>
        <v>0</v>
      </c>
      <c r="CI121" s="206">
        <f t="shared" si="47"/>
        <v>0</v>
      </c>
      <c r="CJ121" s="206">
        <f t="shared" si="48"/>
        <v>0</v>
      </c>
      <c r="CK121" s="206">
        <f t="shared" si="49"/>
        <v>0</v>
      </c>
      <c r="CL121" s="206">
        <f t="shared" si="50"/>
        <v>0</v>
      </c>
      <c r="CM121" s="206">
        <f t="shared" si="51"/>
        <v>0</v>
      </c>
      <c r="CN121" s="206">
        <f t="shared" si="52"/>
        <v>0</v>
      </c>
      <c r="CO121" s="206">
        <f t="shared" si="53"/>
        <v>0</v>
      </c>
      <c r="CP121" s="206">
        <f t="shared" si="54"/>
        <v>0</v>
      </c>
    </row>
    <row r="122" spans="45:94">
      <c r="AS122" s="206">
        <f>Sheet1!EI126</f>
        <v>0</v>
      </c>
      <c r="AT122" s="206">
        <f>Sheet1!EJ126</f>
        <v>0</v>
      </c>
      <c r="AU122" s="206">
        <f>Sheet1!EK126</f>
        <v>0</v>
      </c>
      <c r="AV122" s="206">
        <f>Sheet1!EL126</f>
        <v>0</v>
      </c>
      <c r="AW122" s="206">
        <f t="shared" si="37"/>
        <v>0</v>
      </c>
      <c r="AX122" s="206">
        <f>Sheet1!EM126</f>
        <v>0</v>
      </c>
      <c r="AY122" s="206">
        <f>Sheet1!EN126</f>
        <v>0</v>
      </c>
      <c r="AZ122" s="206">
        <f>Sheet1!EO126</f>
        <v>0</v>
      </c>
      <c r="BA122" s="206">
        <f>Sheet1!EP126</f>
        <v>0</v>
      </c>
      <c r="BB122" s="206">
        <f t="shared" si="38"/>
        <v>0</v>
      </c>
      <c r="BC122" s="206">
        <f>Sheet1!EQ126</f>
        <v>0</v>
      </c>
      <c r="BD122" s="206">
        <f>Sheet1!ER126</f>
        <v>0</v>
      </c>
      <c r="BE122" s="206">
        <f>Sheet1!ES126</f>
        <v>0</v>
      </c>
      <c r="BF122" s="206">
        <f>Sheet1!ET126</f>
        <v>0</v>
      </c>
      <c r="BG122" s="206">
        <f t="shared" si="39"/>
        <v>0</v>
      </c>
      <c r="BH122" s="206">
        <f>Sheet1!EU126</f>
        <v>0</v>
      </c>
      <c r="BI122" s="206">
        <f>Sheet1!EV126</f>
        <v>0</v>
      </c>
      <c r="BJ122" s="206">
        <f>Sheet1!EW126</f>
        <v>0</v>
      </c>
      <c r="BK122" s="206">
        <f>Sheet1!EX126</f>
        <v>0</v>
      </c>
      <c r="BL122" s="206">
        <f t="shared" si="40"/>
        <v>0</v>
      </c>
      <c r="BM122" s="206">
        <f>Sheet1!EY126</f>
        <v>0</v>
      </c>
      <c r="BN122" s="206">
        <f>Sheet1!EZ126</f>
        <v>0</v>
      </c>
      <c r="BO122" s="206">
        <f>Sheet1!FA126</f>
        <v>0</v>
      </c>
      <c r="BP122" s="206">
        <f>Sheet1!FB126</f>
        <v>0</v>
      </c>
      <c r="BQ122" s="206">
        <f t="shared" si="41"/>
        <v>0</v>
      </c>
      <c r="BR122" s="206">
        <f>Sheet1!FC126</f>
        <v>0</v>
      </c>
      <c r="BS122" s="206">
        <f>Sheet1!FD126</f>
        <v>0</v>
      </c>
      <c r="BT122" s="206">
        <f>Sheet1!FE126</f>
        <v>0</v>
      </c>
      <c r="BU122" s="206">
        <f>Sheet1!FF126</f>
        <v>0</v>
      </c>
      <c r="BV122" s="206">
        <f t="shared" si="42"/>
        <v>0</v>
      </c>
      <c r="BW122" s="206">
        <f>Sheet1!FG126</f>
        <v>0</v>
      </c>
      <c r="BX122" s="206">
        <f>Sheet1!FH126</f>
        <v>0</v>
      </c>
      <c r="BY122" s="206">
        <f>Sheet1!FI126</f>
        <v>0</v>
      </c>
      <c r="BZ122" s="206">
        <f>Sheet1!FJ126</f>
        <v>0</v>
      </c>
      <c r="CA122" s="206">
        <f t="shared" si="43"/>
        <v>0</v>
      </c>
      <c r="CB122" s="206">
        <f>Sheet1!FK126</f>
        <v>0</v>
      </c>
      <c r="CC122" s="206">
        <f>Sheet1!FL126</f>
        <v>0</v>
      </c>
      <c r="CD122" s="206">
        <f>Sheet1!FM126</f>
        <v>0</v>
      </c>
      <c r="CE122" s="206">
        <f>Sheet1!FN126</f>
        <v>0</v>
      </c>
      <c r="CF122" s="206">
        <f t="shared" si="44"/>
        <v>0</v>
      </c>
      <c r="CG122" s="206">
        <f t="shared" si="45"/>
        <v>0</v>
      </c>
      <c r="CH122" s="206">
        <f t="shared" si="46"/>
        <v>0</v>
      </c>
      <c r="CI122" s="206">
        <f t="shared" si="47"/>
        <v>0</v>
      </c>
      <c r="CJ122" s="206">
        <f t="shared" si="48"/>
        <v>0</v>
      </c>
      <c r="CK122" s="206">
        <f t="shared" si="49"/>
        <v>0</v>
      </c>
      <c r="CL122" s="206">
        <f t="shared" si="50"/>
        <v>0</v>
      </c>
      <c r="CM122" s="206">
        <f t="shared" si="51"/>
        <v>0</v>
      </c>
      <c r="CN122" s="206">
        <f t="shared" si="52"/>
        <v>0</v>
      </c>
      <c r="CO122" s="206">
        <f t="shared" si="53"/>
        <v>0</v>
      </c>
      <c r="CP122" s="206">
        <f t="shared" si="54"/>
        <v>0</v>
      </c>
    </row>
    <row r="123" spans="45:94">
      <c r="AS123" s="206">
        <f>Sheet1!EI127</f>
        <v>0</v>
      </c>
      <c r="AT123" s="206">
        <f>Sheet1!EJ127</f>
        <v>0</v>
      </c>
      <c r="AU123" s="206">
        <f>Sheet1!EK127</f>
        <v>0</v>
      </c>
      <c r="AV123" s="206">
        <f>Sheet1!EL127</f>
        <v>0</v>
      </c>
      <c r="AW123" s="206">
        <f t="shared" si="37"/>
        <v>0</v>
      </c>
      <c r="AX123" s="206">
        <f>Sheet1!EM127</f>
        <v>0</v>
      </c>
      <c r="AY123" s="206">
        <f>Sheet1!EN127</f>
        <v>0</v>
      </c>
      <c r="AZ123" s="206">
        <f>Sheet1!EO127</f>
        <v>0</v>
      </c>
      <c r="BA123" s="206">
        <f>Sheet1!EP127</f>
        <v>0</v>
      </c>
      <c r="BB123" s="206">
        <f t="shared" si="38"/>
        <v>0</v>
      </c>
      <c r="BC123" s="206">
        <f>Sheet1!EQ127</f>
        <v>0</v>
      </c>
      <c r="BD123" s="206">
        <f>Sheet1!ER127</f>
        <v>0</v>
      </c>
      <c r="BE123" s="206">
        <f>Sheet1!ES127</f>
        <v>0</v>
      </c>
      <c r="BF123" s="206">
        <f>Sheet1!ET127</f>
        <v>0</v>
      </c>
      <c r="BG123" s="206">
        <f t="shared" si="39"/>
        <v>0</v>
      </c>
      <c r="BH123" s="206">
        <f>Sheet1!EU127</f>
        <v>0</v>
      </c>
      <c r="BI123" s="206">
        <f>Sheet1!EV127</f>
        <v>0</v>
      </c>
      <c r="BJ123" s="206">
        <f>Sheet1!EW127</f>
        <v>0</v>
      </c>
      <c r="BK123" s="206">
        <f>Sheet1!EX127</f>
        <v>0</v>
      </c>
      <c r="BL123" s="206">
        <f t="shared" si="40"/>
        <v>0</v>
      </c>
      <c r="BM123" s="206">
        <f>Sheet1!EY127</f>
        <v>0</v>
      </c>
      <c r="BN123" s="206">
        <f>Sheet1!EZ127</f>
        <v>0</v>
      </c>
      <c r="BO123" s="206">
        <f>Sheet1!FA127</f>
        <v>0</v>
      </c>
      <c r="BP123" s="206">
        <f>Sheet1!FB127</f>
        <v>0</v>
      </c>
      <c r="BQ123" s="206">
        <f t="shared" si="41"/>
        <v>0</v>
      </c>
      <c r="BR123" s="206">
        <f>Sheet1!FC127</f>
        <v>0</v>
      </c>
      <c r="BS123" s="206">
        <f>Sheet1!FD127</f>
        <v>0</v>
      </c>
      <c r="BT123" s="206">
        <f>Sheet1!FE127</f>
        <v>0</v>
      </c>
      <c r="BU123" s="206">
        <f>Sheet1!FF127</f>
        <v>0</v>
      </c>
      <c r="BV123" s="206">
        <f t="shared" si="42"/>
        <v>0</v>
      </c>
      <c r="BW123" s="206">
        <f>Sheet1!FG127</f>
        <v>0</v>
      </c>
      <c r="BX123" s="206">
        <f>Sheet1!FH127</f>
        <v>0</v>
      </c>
      <c r="BY123" s="206">
        <f>Sheet1!FI127</f>
        <v>0</v>
      </c>
      <c r="BZ123" s="206">
        <f>Sheet1!FJ127</f>
        <v>0</v>
      </c>
      <c r="CA123" s="206">
        <f t="shared" si="43"/>
        <v>0</v>
      </c>
      <c r="CB123" s="206">
        <f>Sheet1!FK127</f>
        <v>0</v>
      </c>
      <c r="CC123" s="206">
        <f>Sheet1!FL127</f>
        <v>0</v>
      </c>
      <c r="CD123" s="206">
        <f>Sheet1!FM127</f>
        <v>0</v>
      </c>
      <c r="CE123" s="206">
        <f>Sheet1!FN127</f>
        <v>0</v>
      </c>
      <c r="CF123" s="206">
        <f t="shared" si="44"/>
        <v>0</v>
      </c>
      <c r="CG123" s="206">
        <f t="shared" si="45"/>
        <v>0</v>
      </c>
      <c r="CH123" s="206">
        <f t="shared" si="46"/>
        <v>0</v>
      </c>
      <c r="CI123" s="206">
        <f t="shared" si="47"/>
        <v>0</v>
      </c>
      <c r="CJ123" s="206">
        <f t="shared" si="48"/>
        <v>0</v>
      </c>
      <c r="CK123" s="206">
        <f t="shared" si="49"/>
        <v>0</v>
      </c>
      <c r="CL123" s="206">
        <f t="shared" si="50"/>
        <v>0</v>
      </c>
      <c r="CM123" s="206">
        <f t="shared" si="51"/>
        <v>0</v>
      </c>
      <c r="CN123" s="206">
        <f t="shared" si="52"/>
        <v>0</v>
      </c>
      <c r="CO123" s="206">
        <f t="shared" si="53"/>
        <v>0</v>
      </c>
      <c r="CP123" s="206">
        <f t="shared" si="54"/>
        <v>0</v>
      </c>
    </row>
    <row r="124" spans="45:94">
      <c r="AS124" s="206">
        <f>Sheet1!EI128</f>
        <v>0</v>
      </c>
      <c r="AT124" s="206">
        <f>Sheet1!EJ128</f>
        <v>0</v>
      </c>
      <c r="AU124" s="206">
        <f>Sheet1!EK128</f>
        <v>0</v>
      </c>
      <c r="AV124" s="206">
        <f>Sheet1!EL128</f>
        <v>0</v>
      </c>
      <c r="AW124" s="206">
        <f t="shared" si="37"/>
        <v>0</v>
      </c>
      <c r="AX124" s="206">
        <f>Sheet1!EM128</f>
        <v>0</v>
      </c>
      <c r="AY124" s="206">
        <f>Sheet1!EN128</f>
        <v>0</v>
      </c>
      <c r="AZ124" s="206">
        <f>Sheet1!EO128</f>
        <v>0</v>
      </c>
      <c r="BA124" s="206">
        <f>Sheet1!EP128</f>
        <v>0</v>
      </c>
      <c r="BB124" s="206">
        <f t="shared" si="38"/>
        <v>0</v>
      </c>
      <c r="BC124" s="206">
        <f>Sheet1!EQ128</f>
        <v>0</v>
      </c>
      <c r="BD124" s="206">
        <f>Sheet1!ER128</f>
        <v>0</v>
      </c>
      <c r="BE124" s="206">
        <f>Sheet1!ES128</f>
        <v>0</v>
      </c>
      <c r="BF124" s="206">
        <f>Sheet1!ET128</f>
        <v>0</v>
      </c>
      <c r="BG124" s="206">
        <f t="shared" si="39"/>
        <v>0</v>
      </c>
      <c r="BH124" s="206">
        <f>Sheet1!EU128</f>
        <v>0</v>
      </c>
      <c r="BI124" s="206">
        <f>Sheet1!EV128</f>
        <v>0</v>
      </c>
      <c r="BJ124" s="206">
        <f>Sheet1!EW128</f>
        <v>0</v>
      </c>
      <c r="BK124" s="206">
        <f>Sheet1!EX128</f>
        <v>0</v>
      </c>
      <c r="BL124" s="206">
        <f t="shared" si="40"/>
        <v>0</v>
      </c>
      <c r="BM124" s="206">
        <f>Sheet1!EY128</f>
        <v>0</v>
      </c>
      <c r="BN124" s="206">
        <f>Sheet1!EZ128</f>
        <v>0</v>
      </c>
      <c r="BO124" s="206">
        <f>Sheet1!FA128</f>
        <v>0</v>
      </c>
      <c r="BP124" s="206">
        <f>Sheet1!FB128</f>
        <v>0</v>
      </c>
      <c r="BQ124" s="206">
        <f t="shared" si="41"/>
        <v>0</v>
      </c>
      <c r="BR124" s="206">
        <f>Sheet1!FC128</f>
        <v>0</v>
      </c>
      <c r="BS124" s="206">
        <f>Sheet1!FD128</f>
        <v>0</v>
      </c>
      <c r="BT124" s="206">
        <f>Sheet1!FE128</f>
        <v>0</v>
      </c>
      <c r="BU124" s="206">
        <f>Sheet1!FF128</f>
        <v>0</v>
      </c>
      <c r="BV124" s="206">
        <f t="shared" si="42"/>
        <v>0</v>
      </c>
      <c r="BW124" s="206">
        <f>Sheet1!FG128</f>
        <v>0</v>
      </c>
      <c r="BX124" s="206">
        <f>Sheet1!FH128</f>
        <v>0</v>
      </c>
      <c r="BY124" s="206">
        <f>Sheet1!FI128</f>
        <v>0</v>
      </c>
      <c r="BZ124" s="206">
        <f>Sheet1!FJ128</f>
        <v>0</v>
      </c>
      <c r="CA124" s="206">
        <f t="shared" si="43"/>
        <v>0</v>
      </c>
      <c r="CB124" s="206">
        <f>Sheet1!FK128</f>
        <v>0</v>
      </c>
      <c r="CC124" s="206">
        <f>Sheet1!FL128</f>
        <v>0</v>
      </c>
      <c r="CD124" s="206">
        <f>Sheet1!FM128</f>
        <v>0</v>
      </c>
      <c r="CE124" s="206">
        <f>Sheet1!FN128</f>
        <v>0</v>
      </c>
      <c r="CF124" s="206">
        <f t="shared" si="44"/>
        <v>0</v>
      </c>
      <c r="CG124" s="206">
        <f t="shared" si="45"/>
        <v>0</v>
      </c>
      <c r="CH124" s="206">
        <f t="shared" si="46"/>
        <v>0</v>
      </c>
      <c r="CI124" s="206">
        <f t="shared" si="47"/>
        <v>0</v>
      </c>
      <c r="CJ124" s="206">
        <f t="shared" si="48"/>
        <v>0</v>
      </c>
      <c r="CK124" s="206">
        <f t="shared" si="49"/>
        <v>0</v>
      </c>
      <c r="CL124" s="206">
        <f t="shared" si="50"/>
        <v>0</v>
      </c>
      <c r="CM124" s="206">
        <f t="shared" si="51"/>
        <v>0</v>
      </c>
      <c r="CN124" s="206">
        <f t="shared" si="52"/>
        <v>0</v>
      </c>
      <c r="CO124" s="206">
        <f t="shared" si="53"/>
        <v>0</v>
      </c>
      <c r="CP124" s="206">
        <f t="shared" si="54"/>
        <v>0</v>
      </c>
    </row>
    <row r="125" spans="45:94">
      <c r="AS125" s="206">
        <f>Sheet1!EI129</f>
        <v>0</v>
      </c>
      <c r="AT125" s="206">
        <f>Sheet1!EJ129</f>
        <v>0</v>
      </c>
      <c r="AU125" s="206">
        <f>Sheet1!EK129</f>
        <v>0</v>
      </c>
      <c r="AV125" s="206">
        <f>Sheet1!EL129</f>
        <v>0</v>
      </c>
      <c r="AW125" s="206">
        <f t="shared" si="37"/>
        <v>0</v>
      </c>
      <c r="AX125" s="206">
        <f>Sheet1!EM129</f>
        <v>0</v>
      </c>
      <c r="AY125" s="206">
        <f>Sheet1!EN129</f>
        <v>0</v>
      </c>
      <c r="AZ125" s="206">
        <f>Sheet1!EO129</f>
        <v>0</v>
      </c>
      <c r="BA125" s="206">
        <f>Sheet1!EP129</f>
        <v>0</v>
      </c>
      <c r="BB125" s="206">
        <f t="shared" si="38"/>
        <v>0</v>
      </c>
      <c r="BC125" s="206">
        <f>Sheet1!EQ129</f>
        <v>0</v>
      </c>
      <c r="BD125" s="206">
        <f>Sheet1!ER129</f>
        <v>0</v>
      </c>
      <c r="BE125" s="206">
        <f>Sheet1!ES129</f>
        <v>0</v>
      </c>
      <c r="BF125" s="206">
        <f>Sheet1!ET129</f>
        <v>0</v>
      </c>
      <c r="BG125" s="206">
        <f t="shared" si="39"/>
        <v>0</v>
      </c>
      <c r="BH125" s="206">
        <f>Sheet1!EU129</f>
        <v>0</v>
      </c>
      <c r="BI125" s="206">
        <f>Sheet1!EV129</f>
        <v>0</v>
      </c>
      <c r="BJ125" s="206">
        <f>Sheet1!EW129</f>
        <v>0</v>
      </c>
      <c r="BK125" s="206">
        <f>Sheet1!EX129</f>
        <v>0</v>
      </c>
      <c r="BL125" s="206">
        <f t="shared" si="40"/>
        <v>0</v>
      </c>
      <c r="BM125" s="206">
        <f>Sheet1!EY129</f>
        <v>0</v>
      </c>
      <c r="BN125" s="206">
        <f>Sheet1!EZ129</f>
        <v>0</v>
      </c>
      <c r="BO125" s="206">
        <f>Sheet1!FA129</f>
        <v>0</v>
      </c>
      <c r="BP125" s="206">
        <f>Sheet1!FB129</f>
        <v>0</v>
      </c>
      <c r="BQ125" s="206">
        <f t="shared" si="41"/>
        <v>0</v>
      </c>
      <c r="BR125" s="206">
        <f>Sheet1!FC129</f>
        <v>0</v>
      </c>
      <c r="BS125" s="206">
        <f>Sheet1!FD129</f>
        <v>0</v>
      </c>
      <c r="BT125" s="206">
        <f>Sheet1!FE129</f>
        <v>0</v>
      </c>
      <c r="BU125" s="206">
        <f>Sheet1!FF129</f>
        <v>0</v>
      </c>
      <c r="BV125" s="206">
        <f t="shared" si="42"/>
        <v>0</v>
      </c>
      <c r="BW125" s="206">
        <f>Sheet1!FG129</f>
        <v>0</v>
      </c>
      <c r="BX125" s="206">
        <f>Sheet1!FH129</f>
        <v>0</v>
      </c>
      <c r="BY125" s="206">
        <f>Sheet1!FI129</f>
        <v>0</v>
      </c>
      <c r="BZ125" s="206">
        <f>Sheet1!FJ129</f>
        <v>0</v>
      </c>
      <c r="CA125" s="206">
        <f t="shared" si="43"/>
        <v>0</v>
      </c>
      <c r="CB125" s="206">
        <f>Sheet1!FK129</f>
        <v>0</v>
      </c>
      <c r="CC125" s="206">
        <f>Sheet1!FL129</f>
        <v>0</v>
      </c>
      <c r="CD125" s="206">
        <f>Sheet1!FM129</f>
        <v>0</v>
      </c>
      <c r="CE125" s="206">
        <f>Sheet1!FN129</f>
        <v>0</v>
      </c>
      <c r="CF125" s="206">
        <f t="shared" si="44"/>
        <v>0</v>
      </c>
      <c r="CG125" s="206">
        <f t="shared" si="45"/>
        <v>0</v>
      </c>
      <c r="CH125" s="206">
        <f t="shared" si="46"/>
        <v>0</v>
      </c>
      <c r="CI125" s="206">
        <f t="shared" si="47"/>
        <v>0</v>
      </c>
      <c r="CJ125" s="206">
        <f t="shared" si="48"/>
        <v>0</v>
      </c>
      <c r="CK125" s="206">
        <f t="shared" si="49"/>
        <v>0</v>
      </c>
      <c r="CL125" s="206">
        <f t="shared" si="50"/>
        <v>0</v>
      </c>
      <c r="CM125" s="206">
        <f t="shared" si="51"/>
        <v>0</v>
      </c>
      <c r="CN125" s="206">
        <f t="shared" si="52"/>
        <v>0</v>
      </c>
      <c r="CO125" s="206">
        <f t="shared" si="53"/>
        <v>0</v>
      </c>
      <c r="CP125" s="206">
        <f t="shared" si="54"/>
        <v>0</v>
      </c>
    </row>
    <row r="126" spans="45:94">
      <c r="AS126" s="206">
        <f>Sheet1!EI130</f>
        <v>0</v>
      </c>
      <c r="AT126" s="206">
        <f>Sheet1!EJ130</f>
        <v>0</v>
      </c>
      <c r="AU126" s="206">
        <f>Sheet1!EK130</f>
        <v>0</v>
      </c>
      <c r="AV126" s="206">
        <f>Sheet1!EL130</f>
        <v>0</v>
      </c>
      <c r="AW126" s="206">
        <f t="shared" si="37"/>
        <v>0</v>
      </c>
      <c r="AX126" s="206">
        <f>Sheet1!EM130</f>
        <v>0</v>
      </c>
      <c r="AY126" s="206">
        <f>Sheet1!EN130</f>
        <v>0</v>
      </c>
      <c r="AZ126" s="206">
        <f>Sheet1!EO130</f>
        <v>0</v>
      </c>
      <c r="BA126" s="206">
        <f>Sheet1!EP130</f>
        <v>0</v>
      </c>
      <c r="BB126" s="206">
        <f t="shared" si="38"/>
        <v>0</v>
      </c>
      <c r="BC126" s="206">
        <f>Sheet1!EQ130</f>
        <v>0</v>
      </c>
      <c r="BD126" s="206">
        <f>Sheet1!ER130</f>
        <v>0</v>
      </c>
      <c r="BE126" s="206">
        <f>Sheet1!ES130</f>
        <v>0</v>
      </c>
      <c r="BF126" s="206">
        <f>Sheet1!ET130</f>
        <v>0</v>
      </c>
      <c r="BG126" s="206">
        <f t="shared" si="39"/>
        <v>0</v>
      </c>
      <c r="BH126" s="206">
        <f>Sheet1!EU130</f>
        <v>0</v>
      </c>
      <c r="BI126" s="206">
        <f>Sheet1!EV130</f>
        <v>0</v>
      </c>
      <c r="BJ126" s="206">
        <f>Sheet1!EW130</f>
        <v>0</v>
      </c>
      <c r="BK126" s="206">
        <f>Sheet1!EX130</f>
        <v>0</v>
      </c>
      <c r="BL126" s="206">
        <f t="shared" si="40"/>
        <v>0</v>
      </c>
      <c r="BM126" s="206">
        <f>Sheet1!EY130</f>
        <v>0</v>
      </c>
      <c r="BN126" s="206">
        <f>Sheet1!EZ130</f>
        <v>0</v>
      </c>
      <c r="BO126" s="206">
        <f>Sheet1!FA130</f>
        <v>0</v>
      </c>
      <c r="BP126" s="206">
        <f>Sheet1!FB130</f>
        <v>0</v>
      </c>
      <c r="BQ126" s="206">
        <f t="shared" si="41"/>
        <v>0</v>
      </c>
      <c r="BR126" s="206">
        <f>Sheet1!FC130</f>
        <v>0</v>
      </c>
      <c r="BS126" s="206">
        <f>Sheet1!FD130</f>
        <v>0</v>
      </c>
      <c r="BT126" s="206">
        <f>Sheet1!FE130</f>
        <v>0</v>
      </c>
      <c r="BU126" s="206">
        <f>Sheet1!FF130</f>
        <v>0</v>
      </c>
      <c r="BV126" s="206">
        <f t="shared" si="42"/>
        <v>0</v>
      </c>
      <c r="BW126" s="206">
        <f>Sheet1!FG130</f>
        <v>0</v>
      </c>
      <c r="BX126" s="206">
        <f>Sheet1!FH130</f>
        <v>0</v>
      </c>
      <c r="BY126" s="206">
        <f>Sheet1!FI130</f>
        <v>0</v>
      </c>
      <c r="BZ126" s="206">
        <f>Sheet1!FJ130</f>
        <v>0</v>
      </c>
      <c r="CA126" s="206">
        <f t="shared" si="43"/>
        <v>0</v>
      </c>
      <c r="CB126" s="206">
        <f>Sheet1!FK130</f>
        <v>0</v>
      </c>
      <c r="CC126" s="206">
        <f>Sheet1!FL130</f>
        <v>0</v>
      </c>
      <c r="CD126" s="206">
        <f>Sheet1!FM130</f>
        <v>0</v>
      </c>
      <c r="CE126" s="206">
        <f>Sheet1!FN130</f>
        <v>0</v>
      </c>
      <c r="CF126" s="206">
        <f t="shared" si="44"/>
        <v>0</v>
      </c>
      <c r="CG126" s="206">
        <f t="shared" si="45"/>
        <v>0</v>
      </c>
      <c r="CH126" s="206">
        <f t="shared" si="46"/>
        <v>0</v>
      </c>
      <c r="CI126" s="206">
        <f t="shared" si="47"/>
        <v>0</v>
      </c>
      <c r="CJ126" s="206">
        <f t="shared" si="48"/>
        <v>0</v>
      </c>
      <c r="CK126" s="206">
        <f t="shared" si="49"/>
        <v>0</v>
      </c>
      <c r="CL126" s="206">
        <f t="shared" si="50"/>
        <v>0</v>
      </c>
      <c r="CM126" s="206">
        <f t="shared" si="51"/>
        <v>0</v>
      </c>
      <c r="CN126" s="206">
        <f t="shared" si="52"/>
        <v>0</v>
      </c>
      <c r="CO126" s="206">
        <f t="shared" si="53"/>
        <v>0</v>
      </c>
      <c r="CP126" s="206">
        <f t="shared" si="54"/>
        <v>0</v>
      </c>
    </row>
    <row r="127" spans="45:94">
      <c r="AS127" s="206">
        <f>Sheet1!EI131</f>
        <v>0</v>
      </c>
      <c r="AT127" s="206">
        <f>Sheet1!EJ131</f>
        <v>0</v>
      </c>
      <c r="AU127" s="206">
        <f>Sheet1!EK131</f>
        <v>0</v>
      </c>
      <c r="AV127" s="206">
        <f>Sheet1!EL131</f>
        <v>0</v>
      </c>
      <c r="AW127" s="206">
        <f t="shared" si="37"/>
        <v>0</v>
      </c>
      <c r="AX127" s="206">
        <f>Sheet1!EM131</f>
        <v>0</v>
      </c>
      <c r="AY127" s="206">
        <f>Sheet1!EN131</f>
        <v>0</v>
      </c>
      <c r="AZ127" s="206">
        <f>Sheet1!EO131</f>
        <v>0</v>
      </c>
      <c r="BA127" s="206">
        <f>Sheet1!EP131</f>
        <v>0</v>
      </c>
      <c r="BB127" s="206">
        <f t="shared" si="38"/>
        <v>0</v>
      </c>
      <c r="BC127" s="206">
        <f>Sheet1!EQ131</f>
        <v>0</v>
      </c>
      <c r="BD127" s="206">
        <f>Sheet1!ER131</f>
        <v>0</v>
      </c>
      <c r="BE127" s="206">
        <f>Sheet1!ES131</f>
        <v>0</v>
      </c>
      <c r="BF127" s="206">
        <f>Sheet1!ET131</f>
        <v>0</v>
      </c>
      <c r="BG127" s="206">
        <f t="shared" si="39"/>
        <v>0</v>
      </c>
      <c r="BH127" s="206">
        <f>Sheet1!EU131</f>
        <v>0</v>
      </c>
      <c r="BI127" s="206">
        <f>Sheet1!EV131</f>
        <v>0</v>
      </c>
      <c r="BJ127" s="206">
        <f>Sheet1!EW131</f>
        <v>0</v>
      </c>
      <c r="BK127" s="206">
        <f>Sheet1!EX131</f>
        <v>0</v>
      </c>
      <c r="BL127" s="206">
        <f t="shared" si="40"/>
        <v>0</v>
      </c>
      <c r="BM127" s="206">
        <f>Sheet1!EY131</f>
        <v>0</v>
      </c>
      <c r="BN127" s="206">
        <f>Sheet1!EZ131</f>
        <v>0</v>
      </c>
      <c r="BO127" s="206">
        <f>Sheet1!FA131</f>
        <v>0</v>
      </c>
      <c r="BP127" s="206">
        <f>Sheet1!FB131</f>
        <v>0</v>
      </c>
      <c r="BQ127" s="206">
        <f t="shared" si="41"/>
        <v>0</v>
      </c>
      <c r="BR127" s="206">
        <f>Sheet1!FC131</f>
        <v>0</v>
      </c>
      <c r="BS127" s="206">
        <f>Sheet1!FD131</f>
        <v>0</v>
      </c>
      <c r="BT127" s="206">
        <f>Sheet1!FE131</f>
        <v>0</v>
      </c>
      <c r="BU127" s="206">
        <f>Sheet1!FF131</f>
        <v>0</v>
      </c>
      <c r="BV127" s="206">
        <f t="shared" si="42"/>
        <v>0</v>
      </c>
      <c r="BW127" s="206">
        <f>Sheet1!FG131</f>
        <v>0</v>
      </c>
      <c r="BX127" s="206">
        <f>Sheet1!FH131</f>
        <v>0</v>
      </c>
      <c r="BY127" s="206">
        <f>Sheet1!FI131</f>
        <v>0</v>
      </c>
      <c r="BZ127" s="206">
        <f>Sheet1!FJ131</f>
        <v>0</v>
      </c>
      <c r="CA127" s="206">
        <f t="shared" si="43"/>
        <v>0</v>
      </c>
      <c r="CB127" s="206">
        <f>Sheet1!FK131</f>
        <v>0</v>
      </c>
      <c r="CC127" s="206">
        <f>Sheet1!FL131</f>
        <v>0</v>
      </c>
      <c r="CD127" s="206">
        <f>Sheet1!FM131</f>
        <v>0</v>
      </c>
      <c r="CE127" s="206">
        <f>Sheet1!FN131</f>
        <v>0</v>
      </c>
      <c r="CF127" s="206">
        <f t="shared" si="44"/>
        <v>0</v>
      </c>
      <c r="CG127" s="206">
        <f t="shared" si="45"/>
        <v>0</v>
      </c>
      <c r="CH127" s="206">
        <f t="shared" si="46"/>
        <v>0</v>
      </c>
      <c r="CI127" s="206">
        <f t="shared" si="47"/>
        <v>0</v>
      </c>
      <c r="CJ127" s="206">
        <f t="shared" si="48"/>
        <v>0</v>
      </c>
      <c r="CK127" s="206">
        <f t="shared" si="49"/>
        <v>0</v>
      </c>
      <c r="CL127" s="206">
        <f t="shared" si="50"/>
        <v>0</v>
      </c>
      <c r="CM127" s="206">
        <f t="shared" si="51"/>
        <v>0</v>
      </c>
      <c r="CN127" s="206">
        <f t="shared" si="52"/>
        <v>0</v>
      </c>
      <c r="CO127" s="206">
        <f t="shared" si="53"/>
        <v>0</v>
      </c>
      <c r="CP127" s="206">
        <f t="shared" si="54"/>
        <v>0</v>
      </c>
    </row>
    <row r="128" spans="45:94">
      <c r="AS128" s="206">
        <f>Sheet1!EI132</f>
        <v>0</v>
      </c>
      <c r="AT128" s="206">
        <f>Sheet1!EJ132</f>
        <v>0</v>
      </c>
      <c r="AU128" s="206">
        <f>Sheet1!EK132</f>
        <v>0</v>
      </c>
      <c r="AV128" s="206">
        <f>Sheet1!EL132</f>
        <v>0</v>
      </c>
      <c r="AW128" s="206">
        <f t="shared" si="37"/>
        <v>0</v>
      </c>
      <c r="AX128" s="206">
        <f>Sheet1!EM132</f>
        <v>0</v>
      </c>
      <c r="AY128" s="206">
        <f>Sheet1!EN132</f>
        <v>0</v>
      </c>
      <c r="AZ128" s="206">
        <f>Sheet1!EO132</f>
        <v>0</v>
      </c>
      <c r="BA128" s="206">
        <f>Sheet1!EP132</f>
        <v>0</v>
      </c>
      <c r="BB128" s="206">
        <f t="shared" si="38"/>
        <v>0</v>
      </c>
      <c r="BC128" s="206">
        <f>Sheet1!EQ132</f>
        <v>0</v>
      </c>
      <c r="BD128" s="206">
        <f>Sheet1!ER132</f>
        <v>0</v>
      </c>
      <c r="BE128" s="206">
        <f>Sheet1!ES132</f>
        <v>0</v>
      </c>
      <c r="BF128" s="206">
        <f>Sheet1!ET132</f>
        <v>0</v>
      </c>
      <c r="BG128" s="206">
        <f t="shared" si="39"/>
        <v>0</v>
      </c>
      <c r="BH128" s="206">
        <f>Sheet1!EU132</f>
        <v>0</v>
      </c>
      <c r="BI128" s="206">
        <f>Sheet1!EV132</f>
        <v>0</v>
      </c>
      <c r="BJ128" s="206">
        <f>Sheet1!EW132</f>
        <v>0</v>
      </c>
      <c r="BK128" s="206">
        <f>Sheet1!EX132</f>
        <v>0</v>
      </c>
      <c r="BL128" s="206">
        <f t="shared" si="40"/>
        <v>0</v>
      </c>
      <c r="BM128" s="206">
        <f>Sheet1!EY132</f>
        <v>0</v>
      </c>
      <c r="BN128" s="206">
        <f>Sheet1!EZ132</f>
        <v>0</v>
      </c>
      <c r="BO128" s="206">
        <f>Sheet1!FA132</f>
        <v>0</v>
      </c>
      <c r="BP128" s="206">
        <f>Sheet1!FB132</f>
        <v>0</v>
      </c>
      <c r="BQ128" s="206">
        <f t="shared" si="41"/>
        <v>0</v>
      </c>
      <c r="BR128" s="206">
        <f>Sheet1!FC132</f>
        <v>0</v>
      </c>
      <c r="BS128" s="206">
        <f>Sheet1!FD132</f>
        <v>0</v>
      </c>
      <c r="BT128" s="206">
        <f>Sheet1!FE132</f>
        <v>0</v>
      </c>
      <c r="BU128" s="206">
        <f>Sheet1!FF132</f>
        <v>0</v>
      </c>
      <c r="BV128" s="206">
        <f t="shared" si="42"/>
        <v>0</v>
      </c>
      <c r="BW128" s="206">
        <f>Sheet1!FG132</f>
        <v>0</v>
      </c>
      <c r="BX128" s="206">
        <f>Sheet1!FH132</f>
        <v>0</v>
      </c>
      <c r="BY128" s="206">
        <f>Sheet1!FI132</f>
        <v>0</v>
      </c>
      <c r="BZ128" s="206">
        <f>Sheet1!FJ132</f>
        <v>0</v>
      </c>
      <c r="CA128" s="206">
        <f t="shared" si="43"/>
        <v>0</v>
      </c>
      <c r="CB128" s="206">
        <f>Sheet1!FK132</f>
        <v>0</v>
      </c>
      <c r="CC128" s="206">
        <f>Sheet1!FL132</f>
        <v>0</v>
      </c>
      <c r="CD128" s="206">
        <f>Sheet1!FM132</f>
        <v>0</v>
      </c>
      <c r="CE128" s="206">
        <f>Sheet1!FN132</f>
        <v>0</v>
      </c>
      <c r="CF128" s="206">
        <f t="shared" si="44"/>
        <v>0</v>
      </c>
      <c r="CG128" s="206">
        <f t="shared" si="45"/>
        <v>0</v>
      </c>
      <c r="CH128" s="206">
        <f t="shared" si="46"/>
        <v>0</v>
      </c>
      <c r="CI128" s="206">
        <f t="shared" si="47"/>
        <v>0</v>
      </c>
      <c r="CJ128" s="206">
        <f t="shared" si="48"/>
        <v>0</v>
      </c>
      <c r="CK128" s="206">
        <f t="shared" si="49"/>
        <v>0</v>
      </c>
      <c r="CL128" s="206">
        <f t="shared" si="50"/>
        <v>0</v>
      </c>
      <c r="CM128" s="206">
        <f t="shared" si="51"/>
        <v>0</v>
      </c>
      <c r="CN128" s="206">
        <f t="shared" si="52"/>
        <v>0</v>
      </c>
      <c r="CO128" s="206">
        <f t="shared" si="53"/>
        <v>0</v>
      </c>
      <c r="CP128" s="206">
        <f t="shared" si="54"/>
        <v>0</v>
      </c>
    </row>
    <row r="129" spans="45:94">
      <c r="AS129" s="206">
        <f>Sheet1!EI133</f>
        <v>0</v>
      </c>
      <c r="AT129" s="206">
        <f>Sheet1!EJ133</f>
        <v>0</v>
      </c>
      <c r="AU129" s="206">
        <f>Sheet1!EK133</f>
        <v>0</v>
      </c>
      <c r="AV129" s="206">
        <f>Sheet1!EL133</f>
        <v>0</v>
      </c>
      <c r="AW129" s="206">
        <f t="shared" si="37"/>
        <v>0</v>
      </c>
      <c r="AX129" s="206">
        <f>Sheet1!EM133</f>
        <v>0</v>
      </c>
      <c r="AY129" s="206">
        <f>Sheet1!EN133</f>
        <v>0</v>
      </c>
      <c r="AZ129" s="206">
        <f>Sheet1!EO133</f>
        <v>0</v>
      </c>
      <c r="BA129" s="206">
        <f>Sheet1!EP133</f>
        <v>0</v>
      </c>
      <c r="BB129" s="206">
        <f t="shared" si="38"/>
        <v>0</v>
      </c>
      <c r="BC129" s="206">
        <f>Sheet1!EQ133</f>
        <v>0</v>
      </c>
      <c r="BD129" s="206">
        <f>Sheet1!ER133</f>
        <v>0</v>
      </c>
      <c r="BE129" s="206">
        <f>Sheet1!ES133</f>
        <v>0</v>
      </c>
      <c r="BF129" s="206">
        <f>Sheet1!ET133</f>
        <v>0</v>
      </c>
      <c r="BG129" s="206">
        <f t="shared" si="39"/>
        <v>0</v>
      </c>
      <c r="BH129" s="206">
        <f>Sheet1!EU133</f>
        <v>0</v>
      </c>
      <c r="BI129" s="206">
        <f>Sheet1!EV133</f>
        <v>0</v>
      </c>
      <c r="BJ129" s="206">
        <f>Sheet1!EW133</f>
        <v>0</v>
      </c>
      <c r="BK129" s="206">
        <f>Sheet1!EX133</f>
        <v>0</v>
      </c>
      <c r="BL129" s="206">
        <f t="shared" si="40"/>
        <v>0</v>
      </c>
      <c r="BM129" s="206">
        <f>Sheet1!EY133</f>
        <v>0</v>
      </c>
      <c r="BN129" s="206">
        <f>Sheet1!EZ133</f>
        <v>0</v>
      </c>
      <c r="BO129" s="206">
        <f>Sheet1!FA133</f>
        <v>0</v>
      </c>
      <c r="BP129" s="206">
        <f>Sheet1!FB133</f>
        <v>0</v>
      </c>
      <c r="BQ129" s="206">
        <f t="shared" si="41"/>
        <v>0</v>
      </c>
      <c r="BR129" s="206">
        <f>Sheet1!FC133</f>
        <v>0</v>
      </c>
      <c r="BS129" s="206">
        <f>Sheet1!FD133</f>
        <v>0</v>
      </c>
      <c r="BT129" s="206">
        <f>Sheet1!FE133</f>
        <v>0</v>
      </c>
      <c r="BU129" s="206">
        <f>Sheet1!FF133</f>
        <v>0</v>
      </c>
      <c r="BV129" s="206">
        <f t="shared" si="42"/>
        <v>0</v>
      </c>
      <c r="BW129" s="206">
        <f>Sheet1!FG133</f>
        <v>0</v>
      </c>
      <c r="BX129" s="206">
        <f>Sheet1!FH133</f>
        <v>0</v>
      </c>
      <c r="BY129" s="206">
        <f>Sheet1!FI133</f>
        <v>0</v>
      </c>
      <c r="BZ129" s="206">
        <f>Sheet1!FJ133</f>
        <v>0</v>
      </c>
      <c r="CA129" s="206">
        <f t="shared" si="43"/>
        <v>0</v>
      </c>
      <c r="CB129" s="206">
        <f>Sheet1!FK133</f>
        <v>0</v>
      </c>
      <c r="CC129" s="206">
        <f>Sheet1!FL133</f>
        <v>0</v>
      </c>
      <c r="CD129" s="206">
        <f>Sheet1!FM133</f>
        <v>0</v>
      </c>
      <c r="CE129" s="206">
        <f>Sheet1!FN133</f>
        <v>0</v>
      </c>
      <c r="CF129" s="206">
        <f t="shared" si="44"/>
        <v>0</v>
      </c>
      <c r="CG129" s="206">
        <f t="shared" si="45"/>
        <v>0</v>
      </c>
      <c r="CH129" s="206">
        <f t="shared" si="46"/>
        <v>0</v>
      </c>
      <c r="CI129" s="206">
        <f t="shared" si="47"/>
        <v>0</v>
      </c>
      <c r="CJ129" s="206">
        <f t="shared" si="48"/>
        <v>0</v>
      </c>
      <c r="CK129" s="206">
        <f t="shared" si="49"/>
        <v>0</v>
      </c>
      <c r="CL129" s="206">
        <f t="shared" si="50"/>
        <v>0</v>
      </c>
      <c r="CM129" s="206">
        <f t="shared" si="51"/>
        <v>0</v>
      </c>
      <c r="CN129" s="206">
        <f t="shared" si="52"/>
        <v>0</v>
      </c>
      <c r="CO129" s="206">
        <f t="shared" si="53"/>
        <v>0</v>
      </c>
      <c r="CP129" s="206">
        <f t="shared" si="54"/>
        <v>0</v>
      </c>
    </row>
    <row r="130" spans="45:94">
      <c r="AS130" s="206">
        <f>Sheet1!EI134</f>
        <v>0</v>
      </c>
      <c r="AT130" s="206">
        <f>Sheet1!EJ134</f>
        <v>0</v>
      </c>
      <c r="AU130" s="206">
        <f>Sheet1!EK134</f>
        <v>0</v>
      </c>
      <c r="AV130" s="206">
        <f>Sheet1!EL134</f>
        <v>0</v>
      </c>
      <c r="AW130" s="206">
        <f t="shared" si="37"/>
        <v>0</v>
      </c>
      <c r="AX130" s="206">
        <f>Sheet1!EM134</f>
        <v>0</v>
      </c>
      <c r="AY130" s="206">
        <f>Sheet1!EN134</f>
        <v>0</v>
      </c>
      <c r="AZ130" s="206">
        <f>Sheet1!EO134</f>
        <v>0</v>
      </c>
      <c r="BA130" s="206">
        <f>Sheet1!EP134</f>
        <v>0</v>
      </c>
      <c r="BB130" s="206">
        <f t="shared" si="38"/>
        <v>0</v>
      </c>
      <c r="BC130" s="206">
        <f>Sheet1!EQ134</f>
        <v>0</v>
      </c>
      <c r="BD130" s="206">
        <f>Sheet1!ER134</f>
        <v>0</v>
      </c>
      <c r="BE130" s="206">
        <f>Sheet1!ES134</f>
        <v>0</v>
      </c>
      <c r="BF130" s="206">
        <f>Sheet1!ET134</f>
        <v>0</v>
      </c>
      <c r="BG130" s="206">
        <f t="shared" si="39"/>
        <v>0</v>
      </c>
      <c r="BH130" s="206">
        <f>Sheet1!EU134</f>
        <v>0</v>
      </c>
      <c r="BI130" s="206">
        <f>Sheet1!EV134</f>
        <v>0</v>
      </c>
      <c r="BJ130" s="206">
        <f>Sheet1!EW134</f>
        <v>0</v>
      </c>
      <c r="BK130" s="206">
        <f>Sheet1!EX134</f>
        <v>0</v>
      </c>
      <c r="BL130" s="206">
        <f t="shared" si="40"/>
        <v>0</v>
      </c>
      <c r="BM130" s="206">
        <f>Sheet1!EY134</f>
        <v>0</v>
      </c>
      <c r="BN130" s="206">
        <f>Sheet1!EZ134</f>
        <v>0</v>
      </c>
      <c r="BO130" s="206">
        <f>Sheet1!FA134</f>
        <v>0</v>
      </c>
      <c r="BP130" s="206">
        <f>Sheet1!FB134</f>
        <v>0</v>
      </c>
      <c r="BQ130" s="206">
        <f t="shared" si="41"/>
        <v>0</v>
      </c>
      <c r="BR130" s="206">
        <f>Sheet1!FC134</f>
        <v>0</v>
      </c>
      <c r="BS130" s="206">
        <f>Sheet1!FD134</f>
        <v>0</v>
      </c>
      <c r="BT130" s="206">
        <f>Sheet1!FE134</f>
        <v>0</v>
      </c>
      <c r="BU130" s="206">
        <f>Sheet1!FF134</f>
        <v>0</v>
      </c>
      <c r="BV130" s="206">
        <f t="shared" si="42"/>
        <v>0</v>
      </c>
      <c r="BW130" s="206">
        <f>Sheet1!FG134</f>
        <v>0</v>
      </c>
      <c r="BX130" s="206">
        <f>Sheet1!FH134</f>
        <v>0</v>
      </c>
      <c r="BY130" s="206">
        <f>Sheet1!FI134</f>
        <v>0</v>
      </c>
      <c r="BZ130" s="206">
        <f>Sheet1!FJ134</f>
        <v>0</v>
      </c>
      <c r="CA130" s="206">
        <f t="shared" si="43"/>
        <v>0</v>
      </c>
      <c r="CB130" s="206">
        <f>Sheet1!FK134</f>
        <v>0</v>
      </c>
      <c r="CC130" s="206">
        <f>Sheet1!FL134</f>
        <v>0</v>
      </c>
      <c r="CD130" s="206">
        <f>Sheet1!FM134</f>
        <v>0</v>
      </c>
      <c r="CE130" s="206">
        <f>Sheet1!FN134</f>
        <v>0</v>
      </c>
      <c r="CF130" s="206">
        <f t="shared" si="44"/>
        <v>0</v>
      </c>
      <c r="CG130" s="206">
        <f t="shared" si="45"/>
        <v>0</v>
      </c>
      <c r="CH130" s="206">
        <f t="shared" si="46"/>
        <v>0</v>
      </c>
      <c r="CI130" s="206">
        <f t="shared" si="47"/>
        <v>0</v>
      </c>
      <c r="CJ130" s="206">
        <f t="shared" si="48"/>
        <v>0</v>
      </c>
      <c r="CK130" s="206">
        <f t="shared" si="49"/>
        <v>0</v>
      </c>
      <c r="CL130" s="206">
        <f t="shared" si="50"/>
        <v>0</v>
      </c>
      <c r="CM130" s="206">
        <f t="shared" si="51"/>
        <v>0</v>
      </c>
      <c r="CN130" s="206">
        <f t="shared" si="52"/>
        <v>0</v>
      </c>
      <c r="CO130" s="206">
        <f t="shared" si="53"/>
        <v>0</v>
      </c>
      <c r="CP130" s="206">
        <f t="shared" si="54"/>
        <v>0</v>
      </c>
    </row>
    <row r="131" spans="45:94">
      <c r="AS131" s="206">
        <f>Sheet1!EI135</f>
        <v>0</v>
      </c>
      <c r="AT131" s="206">
        <f>Sheet1!EJ135</f>
        <v>0</v>
      </c>
      <c r="AU131" s="206">
        <f>Sheet1!EK135</f>
        <v>0</v>
      </c>
      <c r="AV131" s="206">
        <f>Sheet1!EL135</f>
        <v>0</v>
      </c>
      <c r="AW131" s="206">
        <f t="shared" si="37"/>
        <v>0</v>
      </c>
      <c r="AX131" s="206">
        <f>Sheet1!EM135</f>
        <v>0</v>
      </c>
      <c r="AY131" s="206">
        <f>Sheet1!EN135</f>
        <v>0</v>
      </c>
      <c r="AZ131" s="206">
        <f>Sheet1!EO135</f>
        <v>0</v>
      </c>
      <c r="BA131" s="206">
        <f>Sheet1!EP135</f>
        <v>0</v>
      </c>
      <c r="BB131" s="206">
        <f t="shared" si="38"/>
        <v>0</v>
      </c>
      <c r="BC131" s="206">
        <f>Sheet1!EQ135</f>
        <v>0</v>
      </c>
      <c r="BD131" s="206">
        <f>Sheet1!ER135</f>
        <v>0</v>
      </c>
      <c r="BE131" s="206">
        <f>Sheet1!ES135</f>
        <v>0</v>
      </c>
      <c r="BF131" s="206">
        <f>Sheet1!ET135</f>
        <v>0</v>
      </c>
      <c r="BG131" s="206">
        <f t="shared" si="39"/>
        <v>0</v>
      </c>
      <c r="BH131" s="206">
        <f>Sheet1!EU135</f>
        <v>0</v>
      </c>
      <c r="BI131" s="206">
        <f>Sheet1!EV135</f>
        <v>0</v>
      </c>
      <c r="BJ131" s="206">
        <f>Sheet1!EW135</f>
        <v>0</v>
      </c>
      <c r="BK131" s="206">
        <f>Sheet1!EX135</f>
        <v>0</v>
      </c>
      <c r="BL131" s="206">
        <f t="shared" si="40"/>
        <v>0</v>
      </c>
      <c r="BM131" s="206">
        <f>Sheet1!EY135</f>
        <v>0</v>
      </c>
      <c r="BN131" s="206">
        <f>Sheet1!EZ135</f>
        <v>0</v>
      </c>
      <c r="BO131" s="206">
        <f>Sheet1!FA135</f>
        <v>0</v>
      </c>
      <c r="BP131" s="206">
        <f>Sheet1!FB135</f>
        <v>0</v>
      </c>
      <c r="BQ131" s="206">
        <f t="shared" si="41"/>
        <v>0</v>
      </c>
      <c r="BR131" s="206">
        <f>Sheet1!FC135</f>
        <v>0</v>
      </c>
      <c r="BS131" s="206">
        <f>Sheet1!FD135</f>
        <v>0</v>
      </c>
      <c r="BT131" s="206">
        <f>Sheet1!FE135</f>
        <v>0</v>
      </c>
      <c r="BU131" s="206">
        <f>Sheet1!FF135</f>
        <v>0</v>
      </c>
      <c r="BV131" s="206">
        <f t="shared" si="42"/>
        <v>0</v>
      </c>
      <c r="BW131" s="206">
        <f>Sheet1!FG135</f>
        <v>0</v>
      </c>
      <c r="BX131" s="206">
        <f>Sheet1!FH135</f>
        <v>0</v>
      </c>
      <c r="BY131" s="206">
        <f>Sheet1!FI135</f>
        <v>0</v>
      </c>
      <c r="BZ131" s="206">
        <f>Sheet1!FJ135</f>
        <v>0</v>
      </c>
      <c r="CA131" s="206">
        <f t="shared" si="43"/>
        <v>0</v>
      </c>
      <c r="CB131" s="206">
        <f>Sheet1!FK135</f>
        <v>0</v>
      </c>
      <c r="CC131" s="206">
        <f>Sheet1!FL135</f>
        <v>0</v>
      </c>
      <c r="CD131" s="206">
        <f>Sheet1!FM135</f>
        <v>0</v>
      </c>
      <c r="CE131" s="206">
        <f>Sheet1!FN135</f>
        <v>0</v>
      </c>
      <c r="CF131" s="206">
        <f t="shared" si="44"/>
        <v>0</v>
      </c>
      <c r="CG131" s="206">
        <f t="shared" si="45"/>
        <v>0</v>
      </c>
      <c r="CH131" s="206">
        <f t="shared" si="46"/>
        <v>0</v>
      </c>
      <c r="CI131" s="206">
        <f t="shared" si="47"/>
        <v>0</v>
      </c>
      <c r="CJ131" s="206">
        <f t="shared" si="48"/>
        <v>0</v>
      </c>
      <c r="CK131" s="206">
        <f t="shared" si="49"/>
        <v>0</v>
      </c>
      <c r="CL131" s="206">
        <f t="shared" si="50"/>
        <v>0</v>
      </c>
      <c r="CM131" s="206">
        <f t="shared" si="51"/>
        <v>0</v>
      </c>
      <c r="CN131" s="206">
        <f t="shared" si="52"/>
        <v>0</v>
      </c>
      <c r="CO131" s="206">
        <f t="shared" si="53"/>
        <v>0</v>
      </c>
      <c r="CP131" s="206">
        <f t="shared" si="54"/>
        <v>0</v>
      </c>
    </row>
    <row r="132" spans="45:94">
      <c r="AS132" s="206">
        <f>Sheet1!EI136</f>
        <v>0</v>
      </c>
      <c r="AT132" s="206">
        <f>Sheet1!EJ136</f>
        <v>0</v>
      </c>
      <c r="AU132" s="206">
        <f>Sheet1!EK136</f>
        <v>0</v>
      </c>
      <c r="AV132" s="206">
        <f>Sheet1!EL136</f>
        <v>0</v>
      </c>
      <c r="AW132" s="206">
        <f t="shared" si="37"/>
        <v>0</v>
      </c>
      <c r="AX132" s="206">
        <f>Sheet1!EM136</f>
        <v>0</v>
      </c>
      <c r="AY132" s="206">
        <f>Sheet1!EN136</f>
        <v>0</v>
      </c>
      <c r="AZ132" s="206">
        <f>Sheet1!EO136</f>
        <v>0</v>
      </c>
      <c r="BA132" s="206">
        <f>Sheet1!EP136</f>
        <v>0</v>
      </c>
      <c r="BB132" s="206">
        <f t="shared" si="38"/>
        <v>0</v>
      </c>
      <c r="BC132" s="206">
        <f>Sheet1!EQ136</f>
        <v>0</v>
      </c>
      <c r="BD132" s="206">
        <f>Sheet1!ER136</f>
        <v>0</v>
      </c>
      <c r="BE132" s="206">
        <f>Sheet1!ES136</f>
        <v>0</v>
      </c>
      <c r="BF132" s="206">
        <f>Sheet1!ET136</f>
        <v>0</v>
      </c>
      <c r="BG132" s="206">
        <f t="shared" si="39"/>
        <v>0</v>
      </c>
      <c r="BH132" s="206">
        <f>Sheet1!EU136</f>
        <v>0</v>
      </c>
      <c r="BI132" s="206">
        <f>Sheet1!EV136</f>
        <v>0</v>
      </c>
      <c r="BJ132" s="206">
        <f>Sheet1!EW136</f>
        <v>0</v>
      </c>
      <c r="BK132" s="206">
        <f>Sheet1!EX136</f>
        <v>0</v>
      </c>
      <c r="BL132" s="206">
        <f t="shared" si="40"/>
        <v>0</v>
      </c>
      <c r="BM132" s="206">
        <f>Sheet1!EY136</f>
        <v>0</v>
      </c>
      <c r="BN132" s="206">
        <f>Sheet1!EZ136</f>
        <v>0</v>
      </c>
      <c r="BO132" s="206">
        <f>Sheet1!FA136</f>
        <v>0</v>
      </c>
      <c r="BP132" s="206">
        <f>Sheet1!FB136</f>
        <v>0</v>
      </c>
      <c r="BQ132" s="206">
        <f t="shared" si="41"/>
        <v>0</v>
      </c>
      <c r="BR132" s="206">
        <f>Sheet1!FC136</f>
        <v>0</v>
      </c>
      <c r="BS132" s="206">
        <f>Sheet1!FD136</f>
        <v>0</v>
      </c>
      <c r="BT132" s="206">
        <f>Sheet1!FE136</f>
        <v>0</v>
      </c>
      <c r="BU132" s="206">
        <f>Sheet1!FF136</f>
        <v>0</v>
      </c>
      <c r="BV132" s="206">
        <f t="shared" si="42"/>
        <v>0</v>
      </c>
      <c r="BW132" s="206">
        <f>Sheet1!FG136</f>
        <v>0</v>
      </c>
      <c r="BX132" s="206">
        <f>Sheet1!FH136</f>
        <v>0</v>
      </c>
      <c r="BY132" s="206">
        <f>Sheet1!FI136</f>
        <v>0</v>
      </c>
      <c r="BZ132" s="206">
        <f>Sheet1!FJ136</f>
        <v>0</v>
      </c>
      <c r="CA132" s="206">
        <f t="shared" si="43"/>
        <v>0</v>
      </c>
      <c r="CB132" s="206">
        <f>Sheet1!FK136</f>
        <v>0</v>
      </c>
      <c r="CC132" s="206">
        <f>Sheet1!FL136</f>
        <v>0</v>
      </c>
      <c r="CD132" s="206">
        <f>Sheet1!FM136</f>
        <v>0</v>
      </c>
      <c r="CE132" s="206">
        <f>Sheet1!FN136</f>
        <v>0</v>
      </c>
      <c r="CF132" s="206">
        <f t="shared" si="44"/>
        <v>0</v>
      </c>
      <c r="CG132" s="206">
        <f t="shared" si="45"/>
        <v>0</v>
      </c>
      <c r="CH132" s="206">
        <f t="shared" si="46"/>
        <v>0</v>
      </c>
      <c r="CI132" s="206">
        <f t="shared" si="47"/>
        <v>0</v>
      </c>
      <c r="CJ132" s="206">
        <f t="shared" si="48"/>
        <v>0</v>
      </c>
      <c r="CK132" s="206">
        <f t="shared" si="49"/>
        <v>0</v>
      </c>
      <c r="CL132" s="206">
        <f t="shared" si="50"/>
        <v>0</v>
      </c>
      <c r="CM132" s="206">
        <f t="shared" si="51"/>
        <v>0</v>
      </c>
      <c r="CN132" s="206">
        <f t="shared" si="52"/>
        <v>0</v>
      </c>
      <c r="CO132" s="206">
        <f t="shared" si="53"/>
        <v>0</v>
      </c>
      <c r="CP132" s="206">
        <f t="shared" si="54"/>
        <v>0</v>
      </c>
    </row>
    <row r="133" spans="45:94">
      <c r="AS133" s="206">
        <f>Sheet1!EI137</f>
        <v>0</v>
      </c>
      <c r="AT133" s="206">
        <f>Sheet1!EJ137</f>
        <v>0</v>
      </c>
      <c r="AU133" s="206">
        <f>Sheet1!EK137</f>
        <v>0</v>
      </c>
      <c r="AV133" s="206">
        <f>Sheet1!EL137</f>
        <v>0</v>
      </c>
      <c r="AW133" s="206">
        <f t="shared" si="37"/>
        <v>0</v>
      </c>
      <c r="AX133" s="206">
        <f>Sheet1!EM137</f>
        <v>0</v>
      </c>
      <c r="AY133" s="206">
        <f>Sheet1!EN137</f>
        <v>0</v>
      </c>
      <c r="AZ133" s="206">
        <f>Sheet1!EO137</f>
        <v>0</v>
      </c>
      <c r="BA133" s="206">
        <f>Sheet1!EP137</f>
        <v>0</v>
      </c>
      <c r="BB133" s="206">
        <f t="shared" si="38"/>
        <v>0</v>
      </c>
      <c r="BC133" s="206">
        <f>Sheet1!EQ137</f>
        <v>0</v>
      </c>
      <c r="BD133" s="206">
        <f>Sheet1!ER137</f>
        <v>0</v>
      </c>
      <c r="BE133" s="206">
        <f>Sheet1!ES137</f>
        <v>0</v>
      </c>
      <c r="BF133" s="206">
        <f>Sheet1!ET137</f>
        <v>0</v>
      </c>
      <c r="BG133" s="206">
        <f t="shared" si="39"/>
        <v>0</v>
      </c>
      <c r="BH133" s="206">
        <f>Sheet1!EU137</f>
        <v>0</v>
      </c>
      <c r="BI133" s="206">
        <f>Sheet1!EV137</f>
        <v>0</v>
      </c>
      <c r="BJ133" s="206">
        <f>Sheet1!EW137</f>
        <v>0</v>
      </c>
      <c r="BK133" s="206">
        <f>Sheet1!EX137</f>
        <v>0</v>
      </c>
      <c r="BL133" s="206">
        <f t="shared" si="40"/>
        <v>0</v>
      </c>
      <c r="BM133" s="206">
        <f>Sheet1!EY137</f>
        <v>0</v>
      </c>
      <c r="BN133" s="206">
        <f>Sheet1!EZ137</f>
        <v>0</v>
      </c>
      <c r="BO133" s="206">
        <f>Sheet1!FA137</f>
        <v>0</v>
      </c>
      <c r="BP133" s="206">
        <f>Sheet1!FB137</f>
        <v>0</v>
      </c>
      <c r="BQ133" s="206">
        <f t="shared" si="41"/>
        <v>0</v>
      </c>
      <c r="BR133" s="206">
        <f>Sheet1!FC137</f>
        <v>0</v>
      </c>
      <c r="BS133" s="206">
        <f>Sheet1!FD137</f>
        <v>0</v>
      </c>
      <c r="BT133" s="206">
        <f>Sheet1!FE137</f>
        <v>0</v>
      </c>
      <c r="BU133" s="206">
        <f>Sheet1!FF137</f>
        <v>0</v>
      </c>
      <c r="BV133" s="206">
        <f t="shared" si="42"/>
        <v>0</v>
      </c>
      <c r="BW133" s="206">
        <f>Sheet1!FG137</f>
        <v>0</v>
      </c>
      <c r="BX133" s="206">
        <f>Sheet1!FH137</f>
        <v>0</v>
      </c>
      <c r="BY133" s="206">
        <f>Sheet1!FI137</f>
        <v>0</v>
      </c>
      <c r="BZ133" s="206">
        <f>Sheet1!FJ137</f>
        <v>0</v>
      </c>
      <c r="CA133" s="206">
        <f t="shared" si="43"/>
        <v>0</v>
      </c>
      <c r="CB133" s="206">
        <f>Sheet1!FK137</f>
        <v>0</v>
      </c>
      <c r="CC133" s="206">
        <f>Sheet1!FL137</f>
        <v>0</v>
      </c>
      <c r="CD133" s="206">
        <f>Sheet1!FM137</f>
        <v>0</v>
      </c>
      <c r="CE133" s="206">
        <f>Sheet1!FN137</f>
        <v>0</v>
      </c>
      <c r="CF133" s="206">
        <f t="shared" si="44"/>
        <v>0</v>
      </c>
      <c r="CG133" s="206">
        <f t="shared" si="45"/>
        <v>0</v>
      </c>
      <c r="CH133" s="206">
        <f t="shared" si="46"/>
        <v>0</v>
      </c>
      <c r="CI133" s="206">
        <f t="shared" si="47"/>
        <v>0</v>
      </c>
      <c r="CJ133" s="206">
        <f t="shared" si="48"/>
        <v>0</v>
      </c>
      <c r="CK133" s="206">
        <f t="shared" si="49"/>
        <v>0</v>
      </c>
      <c r="CL133" s="206">
        <f t="shared" si="50"/>
        <v>0</v>
      </c>
      <c r="CM133" s="206">
        <f t="shared" si="51"/>
        <v>0</v>
      </c>
      <c r="CN133" s="206">
        <f t="shared" si="52"/>
        <v>0</v>
      </c>
      <c r="CO133" s="206">
        <f t="shared" si="53"/>
        <v>0</v>
      </c>
      <c r="CP133" s="206">
        <f t="shared" si="54"/>
        <v>0</v>
      </c>
    </row>
    <row r="134" spans="45:94">
      <c r="AS134" s="206">
        <f>Sheet1!EI138</f>
        <v>0</v>
      </c>
      <c r="AT134" s="206">
        <f>Sheet1!EJ138</f>
        <v>0</v>
      </c>
      <c r="AU134" s="206">
        <f>Sheet1!EK138</f>
        <v>0</v>
      </c>
      <c r="AV134" s="206">
        <f>Sheet1!EL138</f>
        <v>0</v>
      </c>
      <c r="AW134" s="206">
        <f t="shared" si="37"/>
        <v>0</v>
      </c>
      <c r="AX134" s="206">
        <f>Sheet1!EM138</f>
        <v>0</v>
      </c>
      <c r="AY134" s="206">
        <f>Sheet1!EN138</f>
        <v>0</v>
      </c>
      <c r="AZ134" s="206">
        <f>Sheet1!EO138</f>
        <v>0</v>
      </c>
      <c r="BA134" s="206">
        <f>Sheet1!EP138</f>
        <v>0</v>
      </c>
      <c r="BB134" s="206">
        <f t="shared" si="38"/>
        <v>0</v>
      </c>
      <c r="BC134" s="206">
        <f>Sheet1!EQ138</f>
        <v>0</v>
      </c>
      <c r="BD134" s="206">
        <f>Sheet1!ER138</f>
        <v>0</v>
      </c>
      <c r="BE134" s="206">
        <f>Sheet1!ES138</f>
        <v>0</v>
      </c>
      <c r="BF134" s="206">
        <f>Sheet1!ET138</f>
        <v>0</v>
      </c>
      <c r="BG134" s="206">
        <f t="shared" si="39"/>
        <v>0</v>
      </c>
      <c r="BH134" s="206">
        <f>Sheet1!EU138</f>
        <v>0</v>
      </c>
      <c r="BI134" s="206">
        <f>Sheet1!EV138</f>
        <v>0</v>
      </c>
      <c r="BJ134" s="206">
        <f>Sheet1!EW138</f>
        <v>0</v>
      </c>
      <c r="BK134" s="206">
        <f>Sheet1!EX138</f>
        <v>0</v>
      </c>
      <c r="BL134" s="206">
        <f t="shared" si="40"/>
        <v>0</v>
      </c>
      <c r="BM134" s="206">
        <f>Sheet1!EY138</f>
        <v>0</v>
      </c>
      <c r="BN134" s="206">
        <f>Sheet1!EZ138</f>
        <v>0</v>
      </c>
      <c r="BO134" s="206">
        <f>Sheet1!FA138</f>
        <v>0</v>
      </c>
      <c r="BP134" s="206">
        <f>Sheet1!FB138</f>
        <v>0</v>
      </c>
      <c r="BQ134" s="206">
        <f t="shared" si="41"/>
        <v>0</v>
      </c>
      <c r="BR134" s="206">
        <f>Sheet1!FC138</f>
        <v>0</v>
      </c>
      <c r="BS134" s="206">
        <f>Sheet1!FD138</f>
        <v>0</v>
      </c>
      <c r="BT134" s="206">
        <f>Sheet1!FE138</f>
        <v>0</v>
      </c>
      <c r="BU134" s="206">
        <f>Sheet1!FF138</f>
        <v>0</v>
      </c>
      <c r="BV134" s="206">
        <f t="shared" si="42"/>
        <v>0</v>
      </c>
      <c r="BW134" s="206">
        <f>Sheet1!FG138</f>
        <v>0</v>
      </c>
      <c r="BX134" s="206">
        <f>Sheet1!FH138</f>
        <v>0</v>
      </c>
      <c r="BY134" s="206">
        <f>Sheet1!FI138</f>
        <v>0</v>
      </c>
      <c r="BZ134" s="206">
        <f>Sheet1!FJ138</f>
        <v>0</v>
      </c>
      <c r="CA134" s="206">
        <f t="shared" si="43"/>
        <v>0</v>
      </c>
      <c r="CB134" s="206">
        <f>Sheet1!FK138</f>
        <v>0</v>
      </c>
      <c r="CC134" s="206">
        <f>Sheet1!FL138</f>
        <v>0</v>
      </c>
      <c r="CD134" s="206">
        <f>Sheet1!FM138</f>
        <v>0</v>
      </c>
      <c r="CE134" s="206">
        <f>Sheet1!FN138</f>
        <v>0</v>
      </c>
      <c r="CF134" s="206">
        <f t="shared" si="44"/>
        <v>0</v>
      </c>
      <c r="CG134" s="206">
        <f t="shared" si="45"/>
        <v>0</v>
      </c>
      <c r="CH134" s="206">
        <f t="shared" si="46"/>
        <v>0</v>
      </c>
      <c r="CI134" s="206">
        <f t="shared" si="47"/>
        <v>0</v>
      </c>
      <c r="CJ134" s="206">
        <f t="shared" si="48"/>
        <v>0</v>
      </c>
      <c r="CK134" s="206">
        <f t="shared" si="49"/>
        <v>0</v>
      </c>
      <c r="CL134" s="206">
        <f t="shared" si="50"/>
        <v>0</v>
      </c>
      <c r="CM134" s="206">
        <f t="shared" si="51"/>
        <v>0</v>
      </c>
      <c r="CN134" s="206">
        <f t="shared" si="52"/>
        <v>0</v>
      </c>
      <c r="CO134" s="206">
        <f t="shared" si="53"/>
        <v>0</v>
      </c>
      <c r="CP134" s="206">
        <f t="shared" si="54"/>
        <v>0</v>
      </c>
    </row>
    <row r="135" spans="45:94">
      <c r="AS135" s="206">
        <f>Sheet1!EI139</f>
        <v>0</v>
      </c>
      <c r="AT135" s="206">
        <f>Sheet1!EJ139</f>
        <v>0</v>
      </c>
      <c r="AU135" s="206">
        <f>Sheet1!EK139</f>
        <v>0</v>
      </c>
      <c r="AV135" s="206">
        <f>Sheet1!EL139</f>
        <v>0</v>
      </c>
      <c r="AW135" s="206">
        <f t="shared" si="37"/>
        <v>0</v>
      </c>
      <c r="AX135" s="206">
        <f>Sheet1!EM139</f>
        <v>0</v>
      </c>
      <c r="AY135" s="206">
        <f>Sheet1!EN139</f>
        <v>0</v>
      </c>
      <c r="AZ135" s="206">
        <f>Sheet1!EO139</f>
        <v>0</v>
      </c>
      <c r="BA135" s="206">
        <f>Sheet1!EP139</f>
        <v>0</v>
      </c>
      <c r="BB135" s="206">
        <f t="shared" si="38"/>
        <v>0</v>
      </c>
      <c r="BC135" s="206">
        <f>Sheet1!EQ139</f>
        <v>0</v>
      </c>
      <c r="BD135" s="206">
        <f>Sheet1!ER139</f>
        <v>0</v>
      </c>
      <c r="BE135" s="206">
        <f>Sheet1!ES139</f>
        <v>0</v>
      </c>
      <c r="BF135" s="206">
        <f>Sheet1!ET139</f>
        <v>0</v>
      </c>
      <c r="BG135" s="206">
        <f t="shared" si="39"/>
        <v>0</v>
      </c>
      <c r="BH135" s="206">
        <f>Sheet1!EU139</f>
        <v>0</v>
      </c>
      <c r="BI135" s="206">
        <f>Sheet1!EV139</f>
        <v>0</v>
      </c>
      <c r="BJ135" s="206">
        <f>Sheet1!EW139</f>
        <v>0</v>
      </c>
      <c r="BK135" s="206">
        <f>Sheet1!EX139</f>
        <v>0</v>
      </c>
      <c r="BL135" s="206">
        <f t="shared" si="40"/>
        <v>0</v>
      </c>
      <c r="BM135" s="206">
        <f>Sheet1!EY139</f>
        <v>0</v>
      </c>
      <c r="BN135" s="206">
        <f>Sheet1!EZ139</f>
        <v>0</v>
      </c>
      <c r="BO135" s="206">
        <f>Sheet1!FA139</f>
        <v>0</v>
      </c>
      <c r="BP135" s="206">
        <f>Sheet1!FB139</f>
        <v>0</v>
      </c>
      <c r="BQ135" s="206">
        <f t="shared" si="41"/>
        <v>0</v>
      </c>
      <c r="BR135" s="206">
        <f>Sheet1!FC139</f>
        <v>0</v>
      </c>
      <c r="BS135" s="206">
        <f>Sheet1!FD139</f>
        <v>0</v>
      </c>
      <c r="BT135" s="206">
        <f>Sheet1!FE139</f>
        <v>0</v>
      </c>
      <c r="BU135" s="206">
        <f>Sheet1!FF139</f>
        <v>0</v>
      </c>
      <c r="BV135" s="206">
        <f t="shared" si="42"/>
        <v>0</v>
      </c>
      <c r="BW135" s="206">
        <f>Sheet1!FG139</f>
        <v>0</v>
      </c>
      <c r="BX135" s="206">
        <f>Sheet1!FH139</f>
        <v>0</v>
      </c>
      <c r="BY135" s="206">
        <f>Sheet1!FI139</f>
        <v>0</v>
      </c>
      <c r="BZ135" s="206">
        <f>Sheet1!FJ139</f>
        <v>0</v>
      </c>
      <c r="CA135" s="206">
        <f t="shared" si="43"/>
        <v>0</v>
      </c>
      <c r="CB135" s="206">
        <f>Sheet1!FK139</f>
        <v>0</v>
      </c>
      <c r="CC135" s="206">
        <f>Sheet1!FL139</f>
        <v>0</v>
      </c>
      <c r="CD135" s="206">
        <f>Sheet1!FM139</f>
        <v>0</v>
      </c>
      <c r="CE135" s="206">
        <f>Sheet1!FN139</f>
        <v>0</v>
      </c>
      <c r="CF135" s="206">
        <f t="shared" si="44"/>
        <v>0</v>
      </c>
      <c r="CG135" s="206">
        <f t="shared" si="45"/>
        <v>0</v>
      </c>
      <c r="CH135" s="206">
        <f t="shared" si="46"/>
        <v>0</v>
      </c>
      <c r="CI135" s="206">
        <f t="shared" si="47"/>
        <v>0</v>
      </c>
      <c r="CJ135" s="206">
        <f t="shared" si="48"/>
        <v>0</v>
      </c>
      <c r="CK135" s="206">
        <f t="shared" si="49"/>
        <v>0</v>
      </c>
      <c r="CL135" s="206">
        <f t="shared" si="50"/>
        <v>0</v>
      </c>
      <c r="CM135" s="206">
        <f t="shared" si="51"/>
        <v>0</v>
      </c>
      <c r="CN135" s="206">
        <f t="shared" si="52"/>
        <v>0</v>
      </c>
      <c r="CO135" s="206">
        <f t="shared" si="53"/>
        <v>0</v>
      </c>
      <c r="CP135" s="206">
        <f t="shared" si="54"/>
        <v>0</v>
      </c>
    </row>
    <row r="136" spans="45:94">
      <c r="AS136" s="206">
        <f>Sheet1!EI140</f>
        <v>0</v>
      </c>
      <c r="AT136" s="206">
        <f>Sheet1!EJ140</f>
        <v>0</v>
      </c>
      <c r="AU136" s="206">
        <f>Sheet1!EK140</f>
        <v>0</v>
      </c>
      <c r="AV136" s="206">
        <f>Sheet1!EL140</f>
        <v>0</v>
      </c>
      <c r="AW136" s="206">
        <f t="shared" si="37"/>
        <v>0</v>
      </c>
      <c r="AX136" s="206">
        <f>Sheet1!EM140</f>
        <v>0</v>
      </c>
      <c r="AY136" s="206">
        <f>Sheet1!EN140</f>
        <v>0</v>
      </c>
      <c r="AZ136" s="206">
        <f>Sheet1!EO140</f>
        <v>0</v>
      </c>
      <c r="BA136" s="206">
        <f>Sheet1!EP140</f>
        <v>0</v>
      </c>
      <c r="BB136" s="206">
        <f t="shared" si="38"/>
        <v>0</v>
      </c>
      <c r="BC136" s="206">
        <f>Sheet1!EQ140</f>
        <v>0</v>
      </c>
      <c r="BD136" s="206">
        <f>Sheet1!ER140</f>
        <v>0</v>
      </c>
      <c r="BE136" s="206">
        <f>Sheet1!ES140</f>
        <v>0</v>
      </c>
      <c r="BF136" s="206">
        <f>Sheet1!ET140</f>
        <v>0</v>
      </c>
      <c r="BG136" s="206">
        <f t="shared" si="39"/>
        <v>0</v>
      </c>
      <c r="BH136" s="206">
        <f>Sheet1!EU140</f>
        <v>0</v>
      </c>
      <c r="BI136" s="206">
        <f>Sheet1!EV140</f>
        <v>0</v>
      </c>
      <c r="BJ136" s="206">
        <f>Sheet1!EW140</f>
        <v>0</v>
      </c>
      <c r="BK136" s="206">
        <f>Sheet1!EX140</f>
        <v>0</v>
      </c>
      <c r="BL136" s="206">
        <f t="shared" si="40"/>
        <v>0</v>
      </c>
      <c r="BM136" s="206">
        <f>Sheet1!EY140</f>
        <v>0</v>
      </c>
      <c r="BN136" s="206">
        <f>Sheet1!EZ140</f>
        <v>0</v>
      </c>
      <c r="BO136" s="206">
        <f>Sheet1!FA140</f>
        <v>0</v>
      </c>
      <c r="BP136" s="206">
        <f>Sheet1!FB140</f>
        <v>0</v>
      </c>
      <c r="BQ136" s="206">
        <f t="shared" si="41"/>
        <v>0</v>
      </c>
      <c r="BR136" s="206">
        <f>Sheet1!FC140</f>
        <v>0</v>
      </c>
      <c r="BS136" s="206">
        <f>Sheet1!FD140</f>
        <v>0</v>
      </c>
      <c r="BT136" s="206">
        <f>Sheet1!FE140</f>
        <v>0</v>
      </c>
      <c r="BU136" s="206">
        <f>Sheet1!FF140</f>
        <v>0</v>
      </c>
      <c r="BV136" s="206">
        <f t="shared" si="42"/>
        <v>0</v>
      </c>
      <c r="BW136" s="206">
        <f>Sheet1!FG140</f>
        <v>0</v>
      </c>
      <c r="BX136" s="206">
        <f>Sheet1!FH140</f>
        <v>0</v>
      </c>
      <c r="BY136" s="206">
        <f>Sheet1!FI140</f>
        <v>0</v>
      </c>
      <c r="BZ136" s="206">
        <f>Sheet1!FJ140</f>
        <v>0</v>
      </c>
      <c r="CA136" s="206">
        <f t="shared" si="43"/>
        <v>0</v>
      </c>
      <c r="CB136" s="206">
        <f>Sheet1!FK140</f>
        <v>0</v>
      </c>
      <c r="CC136" s="206">
        <f>Sheet1!FL140</f>
        <v>0</v>
      </c>
      <c r="CD136" s="206">
        <f>Sheet1!FM140</f>
        <v>0</v>
      </c>
      <c r="CE136" s="206">
        <f>Sheet1!FN140</f>
        <v>0</v>
      </c>
      <c r="CF136" s="206">
        <f t="shared" si="44"/>
        <v>0</v>
      </c>
      <c r="CG136" s="206">
        <f t="shared" si="45"/>
        <v>0</v>
      </c>
      <c r="CH136" s="206">
        <f t="shared" si="46"/>
        <v>0</v>
      </c>
      <c r="CI136" s="206">
        <f t="shared" si="47"/>
        <v>0</v>
      </c>
      <c r="CJ136" s="206">
        <f t="shared" si="48"/>
        <v>0</v>
      </c>
      <c r="CK136" s="206">
        <f t="shared" si="49"/>
        <v>0</v>
      </c>
      <c r="CL136" s="206">
        <f t="shared" si="50"/>
        <v>0</v>
      </c>
      <c r="CM136" s="206">
        <f t="shared" si="51"/>
        <v>0</v>
      </c>
      <c r="CN136" s="206">
        <f t="shared" si="52"/>
        <v>0</v>
      </c>
      <c r="CO136" s="206">
        <f t="shared" si="53"/>
        <v>0</v>
      </c>
      <c r="CP136" s="206">
        <f t="shared" si="54"/>
        <v>0</v>
      </c>
    </row>
    <row r="137" spans="45:94">
      <c r="AS137" s="206">
        <f>Sheet1!EI141</f>
        <v>0</v>
      </c>
      <c r="AT137" s="206">
        <f>Sheet1!EJ141</f>
        <v>0</v>
      </c>
      <c r="AU137" s="206">
        <f>Sheet1!EK141</f>
        <v>0</v>
      </c>
      <c r="AV137" s="206">
        <f>Sheet1!EL141</f>
        <v>0</v>
      </c>
      <c r="AW137" s="206">
        <f t="shared" si="37"/>
        <v>0</v>
      </c>
      <c r="AX137" s="206">
        <f>Sheet1!EM141</f>
        <v>0</v>
      </c>
      <c r="AY137" s="206">
        <f>Sheet1!EN141</f>
        <v>0</v>
      </c>
      <c r="AZ137" s="206">
        <f>Sheet1!EO141</f>
        <v>0</v>
      </c>
      <c r="BA137" s="206">
        <f>Sheet1!EP141</f>
        <v>0</v>
      </c>
      <c r="BB137" s="206">
        <f t="shared" si="38"/>
        <v>0</v>
      </c>
      <c r="BC137" s="206">
        <f>Sheet1!EQ141</f>
        <v>0</v>
      </c>
      <c r="BD137" s="206">
        <f>Sheet1!ER141</f>
        <v>0</v>
      </c>
      <c r="BE137" s="206">
        <f>Sheet1!ES141</f>
        <v>0</v>
      </c>
      <c r="BF137" s="206">
        <f>Sheet1!ET141</f>
        <v>0</v>
      </c>
      <c r="BG137" s="206">
        <f t="shared" si="39"/>
        <v>0</v>
      </c>
      <c r="BH137" s="206">
        <f>Sheet1!EU141</f>
        <v>0</v>
      </c>
      <c r="BI137" s="206">
        <f>Sheet1!EV141</f>
        <v>0</v>
      </c>
      <c r="BJ137" s="206">
        <f>Sheet1!EW141</f>
        <v>0</v>
      </c>
      <c r="BK137" s="206">
        <f>Sheet1!EX141</f>
        <v>0</v>
      </c>
      <c r="BL137" s="206">
        <f t="shared" si="40"/>
        <v>0</v>
      </c>
      <c r="BM137" s="206">
        <f>Sheet1!EY141</f>
        <v>0</v>
      </c>
      <c r="BN137" s="206">
        <f>Sheet1!EZ141</f>
        <v>0</v>
      </c>
      <c r="BO137" s="206">
        <f>Sheet1!FA141</f>
        <v>0</v>
      </c>
      <c r="BP137" s="206">
        <f>Sheet1!FB141</f>
        <v>0</v>
      </c>
      <c r="BQ137" s="206">
        <f t="shared" si="41"/>
        <v>0</v>
      </c>
      <c r="BR137" s="206">
        <f>Sheet1!FC141</f>
        <v>0</v>
      </c>
      <c r="BS137" s="206">
        <f>Sheet1!FD141</f>
        <v>0</v>
      </c>
      <c r="BT137" s="206">
        <f>Sheet1!FE141</f>
        <v>0</v>
      </c>
      <c r="BU137" s="206">
        <f>Sheet1!FF141</f>
        <v>0</v>
      </c>
      <c r="BV137" s="206">
        <f t="shared" si="42"/>
        <v>0</v>
      </c>
      <c r="BW137" s="206">
        <f>Sheet1!FG141</f>
        <v>0</v>
      </c>
      <c r="BX137" s="206">
        <f>Sheet1!FH141</f>
        <v>0</v>
      </c>
      <c r="BY137" s="206">
        <f>Sheet1!FI141</f>
        <v>0</v>
      </c>
      <c r="BZ137" s="206">
        <f>Sheet1!FJ141</f>
        <v>0</v>
      </c>
      <c r="CA137" s="206">
        <f t="shared" si="43"/>
        <v>0</v>
      </c>
      <c r="CB137" s="206">
        <f>Sheet1!FK141</f>
        <v>0</v>
      </c>
      <c r="CC137" s="206">
        <f>Sheet1!FL141</f>
        <v>0</v>
      </c>
      <c r="CD137" s="206">
        <f>Sheet1!FM141</f>
        <v>0</v>
      </c>
      <c r="CE137" s="206">
        <f>Sheet1!FN141</f>
        <v>0</v>
      </c>
      <c r="CF137" s="206">
        <f t="shared" si="44"/>
        <v>0</v>
      </c>
      <c r="CG137" s="206">
        <f t="shared" si="45"/>
        <v>0</v>
      </c>
      <c r="CH137" s="206">
        <f t="shared" si="46"/>
        <v>0</v>
      </c>
      <c r="CI137" s="206">
        <f t="shared" si="47"/>
        <v>0</v>
      </c>
      <c r="CJ137" s="206">
        <f t="shared" si="48"/>
        <v>0</v>
      </c>
      <c r="CK137" s="206">
        <f t="shared" si="49"/>
        <v>0</v>
      </c>
      <c r="CL137" s="206">
        <f t="shared" si="50"/>
        <v>0</v>
      </c>
      <c r="CM137" s="206">
        <f t="shared" si="51"/>
        <v>0</v>
      </c>
      <c r="CN137" s="206">
        <f t="shared" si="52"/>
        <v>0</v>
      </c>
      <c r="CO137" s="206">
        <f t="shared" si="53"/>
        <v>0</v>
      </c>
      <c r="CP137" s="206">
        <f t="shared" si="54"/>
        <v>0</v>
      </c>
    </row>
    <row r="138" spans="45:94">
      <c r="AS138" s="206">
        <f>Sheet1!EI142</f>
        <v>0</v>
      </c>
      <c r="AT138" s="206">
        <f>Sheet1!EJ142</f>
        <v>0</v>
      </c>
      <c r="AU138" s="206">
        <f>Sheet1!EK142</f>
        <v>0</v>
      </c>
      <c r="AV138" s="206">
        <f>Sheet1!EL142</f>
        <v>0</v>
      </c>
      <c r="AW138" s="206">
        <f t="shared" si="37"/>
        <v>0</v>
      </c>
      <c r="AX138" s="206">
        <f>Sheet1!EM142</f>
        <v>0</v>
      </c>
      <c r="AY138" s="206">
        <f>Sheet1!EN142</f>
        <v>0</v>
      </c>
      <c r="AZ138" s="206">
        <f>Sheet1!EO142</f>
        <v>0</v>
      </c>
      <c r="BA138" s="206">
        <f>Sheet1!EP142</f>
        <v>0</v>
      </c>
      <c r="BB138" s="206">
        <f t="shared" si="38"/>
        <v>0</v>
      </c>
      <c r="BC138" s="206">
        <f>Sheet1!EQ142</f>
        <v>0</v>
      </c>
      <c r="BD138" s="206">
        <f>Sheet1!ER142</f>
        <v>0</v>
      </c>
      <c r="BE138" s="206">
        <f>Sheet1!ES142</f>
        <v>0</v>
      </c>
      <c r="BF138" s="206">
        <f>Sheet1!ET142</f>
        <v>0</v>
      </c>
      <c r="BG138" s="206">
        <f t="shared" si="39"/>
        <v>0</v>
      </c>
      <c r="BH138" s="206">
        <f>Sheet1!EU142</f>
        <v>0</v>
      </c>
      <c r="BI138" s="206">
        <f>Sheet1!EV142</f>
        <v>0</v>
      </c>
      <c r="BJ138" s="206">
        <f>Sheet1!EW142</f>
        <v>0</v>
      </c>
      <c r="BK138" s="206">
        <f>Sheet1!EX142</f>
        <v>0</v>
      </c>
      <c r="BL138" s="206">
        <f t="shared" si="40"/>
        <v>0</v>
      </c>
      <c r="BM138" s="206">
        <f>Sheet1!EY142</f>
        <v>0</v>
      </c>
      <c r="BN138" s="206">
        <f>Sheet1!EZ142</f>
        <v>0</v>
      </c>
      <c r="BO138" s="206">
        <f>Sheet1!FA142</f>
        <v>0</v>
      </c>
      <c r="BP138" s="206">
        <f>Sheet1!FB142</f>
        <v>0</v>
      </c>
      <c r="BQ138" s="206">
        <f t="shared" si="41"/>
        <v>0</v>
      </c>
      <c r="BR138" s="206">
        <f>Sheet1!FC142</f>
        <v>0</v>
      </c>
      <c r="BS138" s="206">
        <f>Sheet1!FD142</f>
        <v>0</v>
      </c>
      <c r="BT138" s="206">
        <f>Sheet1!FE142</f>
        <v>0</v>
      </c>
      <c r="BU138" s="206">
        <f>Sheet1!FF142</f>
        <v>0</v>
      </c>
      <c r="BV138" s="206">
        <f t="shared" si="42"/>
        <v>0</v>
      </c>
      <c r="BW138" s="206">
        <f>Sheet1!FG142</f>
        <v>0</v>
      </c>
      <c r="BX138" s="206">
        <f>Sheet1!FH142</f>
        <v>0</v>
      </c>
      <c r="BY138" s="206">
        <f>Sheet1!FI142</f>
        <v>0</v>
      </c>
      <c r="BZ138" s="206">
        <f>Sheet1!FJ142</f>
        <v>0</v>
      </c>
      <c r="CA138" s="206">
        <f t="shared" si="43"/>
        <v>0</v>
      </c>
      <c r="CB138" s="206">
        <f>Sheet1!FK142</f>
        <v>0</v>
      </c>
      <c r="CC138" s="206">
        <f>Sheet1!FL142</f>
        <v>0</v>
      </c>
      <c r="CD138" s="206">
        <f>Sheet1!FM142</f>
        <v>0</v>
      </c>
      <c r="CE138" s="206">
        <f>Sheet1!FN142</f>
        <v>0</v>
      </c>
      <c r="CF138" s="206">
        <f t="shared" si="44"/>
        <v>0</v>
      </c>
      <c r="CG138" s="206">
        <f t="shared" si="45"/>
        <v>0</v>
      </c>
      <c r="CH138" s="206">
        <f t="shared" si="46"/>
        <v>0</v>
      </c>
      <c r="CI138" s="206">
        <f t="shared" si="47"/>
        <v>0</v>
      </c>
      <c r="CJ138" s="206">
        <f t="shared" si="48"/>
        <v>0</v>
      </c>
      <c r="CK138" s="206">
        <f t="shared" si="49"/>
        <v>0</v>
      </c>
      <c r="CL138" s="206">
        <f t="shared" si="50"/>
        <v>0</v>
      </c>
      <c r="CM138" s="206">
        <f t="shared" si="51"/>
        <v>0</v>
      </c>
      <c r="CN138" s="206">
        <f t="shared" si="52"/>
        <v>0</v>
      </c>
      <c r="CO138" s="206">
        <f t="shared" si="53"/>
        <v>0</v>
      </c>
      <c r="CP138" s="206">
        <f t="shared" si="54"/>
        <v>0</v>
      </c>
    </row>
    <row r="139" spans="45:94">
      <c r="AS139" s="206">
        <f>Sheet1!EI143</f>
        <v>0</v>
      </c>
      <c r="AT139" s="206">
        <f>Sheet1!EJ143</f>
        <v>0</v>
      </c>
      <c r="AU139" s="206">
        <f>Sheet1!EK143</f>
        <v>0</v>
      </c>
      <c r="AV139" s="206">
        <f>Sheet1!EL143</f>
        <v>0</v>
      </c>
      <c r="AW139" s="206">
        <f t="shared" si="37"/>
        <v>0</v>
      </c>
      <c r="AX139" s="206">
        <f>Sheet1!EM143</f>
        <v>0</v>
      </c>
      <c r="AY139" s="206">
        <f>Sheet1!EN143</f>
        <v>0</v>
      </c>
      <c r="AZ139" s="206">
        <f>Sheet1!EO143</f>
        <v>0</v>
      </c>
      <c r="BA139" s="206">
        <f>Sheet1!EP143</f>
        <v>0</v>
      </c>
      <c r="BB139" s="206">
        <f t="shared" si="38"/>
        <v>0</v>
      </c>
      <c r="BC139" s="206">
        <f>Sheet1!EQ143</f>
        <v>0</v>
      </c>
      <c r="BD139" s="206">
        <f>Sheet1!ER143</f>
        <v>0</v>
      </c>
      <c r="BE139" s="206">
        <f>Sheet1!ES143</f>
        <v>0</v>
      </c>
      <c r="BF139" s="206">
        <f>Sheet1!ET143</f>
        <v>0</v>
      </c>
      <c r="BG139" s="206">
        <f t="shared" si="39"/>
        <v>0</v>
      </c>
      <c r="BH139" s="206">
        <f>Sheet1!EU143</f>
        <v>0</v>
      </c>
      <c r="BI139" s="206">
        <f>Sheet1!EV143</f>
        <v>0</v>
      </c>
      <c r="BJ139" s="206">
        <f>Sheet1!EW143</f>
        <v>0</v>
      </c>
      <c r="BK139" s="206">
        <f>Sheet1!EX143</f>
        <v>0</v>
      </c>
      <c r="BL139" s="206">
        <f t="shared" si="40"/>
        <v>0</v>
      </c>
      <c r="BM139" s="206">
        <f>Sheet1!EY143</f>
        <v>0</v>
      </c>
      <c r="BN139" s="206">
        <f>Sheet1!EZ143</f>
        <v>0</v>
      </c>
      <c r="BO139" s="206">
        <f>Sheet1!FA143</f>
        <v>0</v>
      </c>
      <c r="BP139" s="206">
        <f>Sheet1!FB143</f>
        <v>0</v>
      </c>
      <c r="BQ139" s="206">
        <f t="shared" si="41"/>
        <v>0</v>
      </c>
      <c r="BR139" s="206">
        <f>Sheet1!FC143</f>
        <v>0</v>
      </c>
      <c r="BS139" s="206">
        <f>Sheet1!FD143</f>
        <v>0</v>
      </c>
      <c r="BT139" s="206">
        <f>Sheet1!FE143</f>
        <v>0</v>
      </c>
      <c r="BU139" s="206">
        <f>Sheet1!FF143</f>
        <v>0</v>
      </c>
      <c r="BV139" s="206">
        <f t="shared" si="42"/>
        <v>0</v>
      </c>
      <c r="BW139" s="206">
        <f>Sheet1!FG143</f>
        <v>0</v>
      </c>
      <c r="BX139" s="206">
        <f>Sheet1!FH143</f>
        <v>0</v>
      </c>
      <c r="BY139" s="206">
        <f>Sheet1!FI143</f>
        <v>0</v>
      </c>
      <c r="BZ139" s="206">
        <f>Sheet1!FJ143</f>
        <v>0</v>
      </c>
      <c r="CA139" s="206">
        <f t="shared" si="43"/>
        <v>0</v>
      </c>
      <c r="CB139" s="206">
        <f>Sheet1!FK143</f>
        <v>0</v>
      </c>
      <c r="CC139" s="206">
        <f>Sheet1!FL143</f>
        <v>0</v>
      </c>
      <c r="CD139" s="206">
        <f>Sheet1!FM143</f>
        <v>0</v>
      </c>
      <c r="CE139" s="206">
        <f>Sheet1!FN143</f>
        <v>0</v>
      </c>
      <c r="CF139" s="206">
        <f t="shared" si="44"/>
        <v>0</v>
      </c>
      <c r="CG139" s="206">
        <f t="shared" si="45"/>
        <v>0</v>
      </c>
      <c r="CH139" s="206">
        <f t="shared" si="46"/>
        <v>0</v>
      </c>
      <c r="CI139" s="206">
        <f t="shared" si="47"/>
        <v>0</v>
      </c>
      <c r="CJ139" s="206">
        <f t="shared" si="48"/>
        <v>0</v>
      </c>
      <c r="CK139" s="206">
        <f t="shared" si="49"/>
        <v>0</v>
      </c>
      <c r="CL139" s="206">
        <f t="shared" si="50"/>
        <v>0</v>
      </c>
      <c r="CM139" s="206">
        <f t="shared" si="51"/>
        <v>0</v>
      </c>
      <c r="CN139" s="206">
        <f t="shared" si="52"/>
        <v>0</v>
      </c>
      <c r="CO139" s="206">
        <f t="shared" si="53"/>
        <v>0</v>
      </c>
      <c r="CP139" s="206">
        <f t="shared" si="54"/>
        <v>0</v>
      </c>
    </row>
    <row r="140" spans="45:94">
      <c r="AS140" s="206">
        <f>Sheet1!EI144</f>
        <v>0</v>
      </c>
      <c r="AT140" s="206">
        <f>Sheet1!EJ144</f>
        <v>0</v>
      </c>
      <c r="AU140" s="206">
        <f>Sheet1!EK144</f>
        <v>0</v>
      </c>
      <c r="AV140" s="206">
        <f>Sheet1!EL144</f>
        <v>0</v>
      </c>
      <c r="AW140" s="206">
        <f t="shared" si="37"/>
        <v>0</v>
      </c>
      <c r="AX140" s="206">
        <f>Sheet1!EM144</f>
        <v>0</v>
      </c>
      <c r="AY140" s="206">
        <f>Sheet1!EN144</f>
        <v>0</v>
      </c>
      <c r="AZ140" s="206">
        <f>Sheet1!EO144</f>
        <v>0</v>
      </c>
      <c r="BA140" s="206">
        <f>Sheet1!EP144</f>
        <v>0</v>
      </c>
      <c r="BB140" s="206">
        <f t="shared" si="38"/>
        <v>0</v>
      </c>
      <c r="BC140" s="206">
        <f>Sheet1!EQ144</f>
        <v>0</v>
      </c>
      <c r="BD140" s="206">
        <f>Sheet1!ER144</f>
        <v>0</v>
      </c>
      <c r="BE140" s="206">
        <f>Sheet1!ES144</f>
        <v>0</v>
      </c>
      <c r="BF140" s="206">
        <f>Sheet1!ET144</f>
        <v>0</v>
      </c>
      <c r="BG140" s="206">
        <f t="shared" si="39"/>
        <v>0</v>
      </c>
      <c r="BH140" s="206">
        <f>Sheet1!EU144</f>
        <v>0</v>
      </c>
      <c r="BI140" s="206">
        <f>Sheet1!EV144</f>
        <v>0</v>
      </c>
      <c r="BJ140" s="206">
        <f>Sheet1!EW144</f>
        <v>0</v>
      </c>
      <c r="BK140" s="206">
        <f>Sheet1!EX144</f>
        <v>0</v>
      </c>
      <c r="BL140" s="206">
        <f t="shared" si="40"/>
        <v>0</v>
      </c>
      <c r="BM140" s="206">
        <f>Sheet1!EY144</f>
        <v>0</v>
      </c>
      <c r="BN140" s="206">
        <f>Sheet1!EZ144</f>
        <v>0</v>
      </c>
      <c r="BO140" s="206">
        <f>Sheet1!FA144</f>
        <v>0</v>
      </c>
      <c r="BP140" s="206">
        <f>Sheet1!FB144</f>
        <v>0</v>
      </c>
      <c r="BQ140" s="206">
        <f t="shared" si="41"/>
        <v>0</v>
      </c>
      <c r="BR140" s="206">
        <f>Sheet1!FC144</f>
        <v>0</v>
      </c>
      <c r="BS140" s="206">
        <f>Sheet1!FD144</f>
        <v>0</v>
      </c>
      <c r="BT140" s="206">
        <f>Sheet1!FE144</f>
        <v>0</v>
      </c>
      <c r="BU140" s="206">
        <f>Sheet1!FF144</f>
        <v>0</v>
      </c>
      <c r="BV140" s="206">
        <f t="shared" si="42"/>
        <v>0</v>
      </c>
      <c r="BW140" s="206">
        <f>Sheet1!FG144</f>
        <v>0</v>
      </c>
      <c r="BX140" s="206">
        <f>Sheet1!FH144</f>
        <v>0</v>
      </c>
      <c r="BY140" s="206">
        <f>Sheet1!FI144</f>
        <v>0</v>
      </c>
      <c r="BZ140" s="206">
        <f>Sheet1!FJ144</f>
        <v>0</v>
      </c>
      <c r="CA140" s="206">
        <f t="shared" si="43"/>
        <v>0</v>
      </c>
      <c r="CB140" s="206">
        <f>Sheet1!FK144</f>
        <v>0</v>
      </c>
      <c r="CC140" s="206">
        <f>Sheet1!FL144</f>
        <v>0</v>
      </c>
      <c r="CD140" s="206">
        <f>Sheet1!FM144</f>
        <v>0</v>
      </c>
      <c r="CE140" s="206">
        <f>Sheet1!FN144</f>
        <v>0</v>
      </c>
      <c r="CF140" s="206">
        <f t="shared" si="44"/>
        <v>0</v>
      </c>
      <c r="CG140" s="206">
        <f t="shared" si="45"/>
        <v>0</v>
      </c>
      <c r="CH140" s="206">
        <f t="shared" si="46"/>
        <v>0</v>
      </c>
      <c r="CI140" s="206">
        <f t="shared" si="47"/>
        <v>0</v>
      </c>
      <c r="CJ140" s="206">
        <f t="shared" si="48"/>
        <v>0</v>
      </c>
      <c r="CK140" s="206">
        <f t="shared" si="49"/>
        <v>0</v>
      </c>
      <c r="CL140" s="206">
        <f t="shared" si="50"/>
        <v>0</v>
      </c>
      <c r="CM140" s="206">
        <f t="shared" si="51"/>
        <v>0</v>
      </c>
      <c r="CN140" s="206">
        <f t="shared" si="52"/>
        <v>0</v>
      </c>
      <c r="CO140" s="206">
        <f t="shared" si="53"/>
        <v>0</v>
      </c>
      <c r="CP140" s="206">
        <f t="shared" si="54"/>
        <v>0</v>
      </c>
    </row>
    <row r="141" spans="45:94">
      <c r="AS141" s="206">
        <f>Sheet1!EI145</f>
        <v>0</v>
      </c>
      <c r="AT141" s="206">
        <f>Sheet1!EJ145</f>
        <v>0</v>
      </c>
      <c r="AU141" s="206">
        <f>Sheet1!EK145</f>
        <v>0</v>
      </c>
      <c r="AV141" s="206">
        <f>Sheet1!EL145</f>
        <v>0</v>
      </c>
      <c r="AW141" s="206">
        <f t="shared" si="37"/>
        <v>0</v>
      </c>
      <c r="AX141" s="206">
        <f>Sheet1!EM145</f>
        <v>0</v>
      </c>
      <c r="AY141" s="206">
        <f>Sheet1!EN145</f>
        <v>0</v>
      </c>
      <c r="AZ141" s="206">
        <f>Sheet1!EO145</f>
        <v>0</v>
      </c>
      <c r="BA141" s="206">
        <f>Sheet1!EP145</f>
        <v>0</v>
      </c>
      <c r="BB141" s="206">
        <f t="shared" si="38"/>
        <v>0</v>
      </c>
      <c r="BC141" s="206">
        <f>Sheet1!EQ145</f>
        <v>0</v>
      </c>
      <c r="BD141" s="206">
        <f>Sheet1!ER145</f>
        <v>0</v>
      </c>
      <c r="BE141" s="206">
        <f>Sheet1!ES145</f>
        <v>0</v>
      </c>
      <c r="BF141" s="206">
        <f>Sheet1!ET145</f>
        <v>0</v>
      </c>
      <c r="BG141" s="206">
        <f t="shared" si="39"/>
        <v>0</v>
      </c>
      <c r="BH141" s="206">
        <f>Sheet1!EU145</f>
        <v>0</v>
      </c>
      <c r="BI141" s="206">
        <f>Sheet1!EV145</f>
        <v>0</v>
      </c>
      <c r="BJ141" s="206">
        <f>Sheet1!EW145</f>
        <v>0</v>
      </c>
      <c r="BK141" s="206">
        <f>Sheet1!EX145</f>
        <v>0</v>
      </c>
      <c r="BL141" s="206">
        <f t="shared" si="40"/>
        <v>0</v>
      </c>
      <c r="BM141" s="206">
        <f>Sheet1!EY145</f>
        <v>0</v>
      </c>
      <c r="BN141" s="206">
        <f>Sheet1!EZ145</f>
        <v>0</v>
      </c>
      <c r="BO141" s="206">
        <f>Sheet1!FA145</f>
        <v>0</v>
      </c>
      <c r="BP141" s="206">
        <f>Sheet1!FB145</f>
        <v>0</v>
      </c>
      <c r="BQ141" s="206">
        <f t="shared" si="41"/>
        <v>0</v>
      </c>
      <c r="BR141" s="206">
        <f>Sheet1!FC145</f>
        <v>0</v>
      </c>
      <c r="BS141" s="206">
        <f>Sheet1!FD145</f>
        <v>0</v>
      </c>
      <c r="BT141" s="206">
        <f>Sheet1!FE145</f>
        <v>0</v>
      </c>
      <c r="BU141" s="206">
        <f>Sheet1!FF145</f>
        <v>0</v>
      </c>
      <c r="BV141" s="206">
        <f t="shared" si="42"/>
        <v>0</v>
      </c>
      <c r="BW141" s="206">
        <f>Sheet1!FG145</f>
        <v>0</v>
      </c>
      <c r="BX141" s="206">
        <f>Sheet1!FH145</f>
        <v>0</v>
      </c>
      <c r="BY141" s="206">
        <f>Sheet1!FI145</f>
        <v>0</v>
      </c>
      <c r="BZ141" s="206">
        <f>Sheet1!FJ145</f>
        <v>0</v>
      </c>
      <c r="CA141" s="206">
        <f t="shared" si="43"/>
        <v>0</v>
      </c>
      <c r="CB141" s="206">
        <f>Sheet1!FK145</f>
        <v>0</v>
      </c>
      <c r="CC141" s="206">
        <f>Sheet1!FL145</f>
        <v>0</v>
      </c>
      <c r="CD141" s="206">
        <f>Sheet1!FM145</f>
        <v>0</v>
      </c>
      <c r="CE141" s="206">
        <f>Sheet1!FN145</f>
        <v>0</v>
      </c>
      <c r="CF141" s="206">
        <f t="shared" si="44"/>
        <v>0</v>
      </c>
      <c r="CG141" s="206">
        <f t="shared" si="45"/>
        <v>0</v>
      </c>
      <c r="CH141" s="206">
        <f t="shared" si="46"/>
        <v>0</v>
      </c>
      <c r="CI141" s="206">
        <f t="shared" si="47"/>
        <v>0</v>
      </c>
      <c r="CJ141" s="206">
        <f t="shared" si="48"/>
        <v>0</v>
      </c>
      <c r="CK141" s="206">
        <f t="shared" si="49"/>
        <v>0</v>
      </c>
      <c r="CL141" s="206">
        <f t="shared" si="50"/>
        <v>0</v>
      </c>
      <c r="CM141" s="206">
        <f t="shared" si="51"/>
        <v>0</v>
      </c>
      <c r="CN141" s="206">
        <f t="shared" si="52"/>
        <v>0</v>
      </c>
      <c r="CO141" s="206">
        <f t="shared" si="53"/>
        <v>0</v>
      </c>
      <c r="CP141" s="206">
        <f t="shared" si="54"/>
        <v>0</v>
      </c>
    </row>
    <row r="142" spans="45:94">
      <c r="AS142" s="206">
        <f>Sheet1!EI146</f>
        <v>0</v>
      </c>
      <c r="AT142" s="206">
        <f>Sheet1!EJ146</f>
        <v>0</v>
      </c>
      <c r="AU142" s="206">
        <f>Sheet1!EK146</f>
        <v>0</v>
      </c>
      <c r="AV142" s="206">
        <f>Sheet1!EL146</f>
        <v>0</v>
      </c>
      <c r="AW142" s="206">
        <f t="shared" si="37"/>
        <v>0</v>
      </c>
      <c r="AX142" s="206">
        <f>Sheet1!EM146</f>
        <v>0</v>
      </c>
      <c r="AY142" s="206">
        <f>Sheet1!EN146</f>
        <v>0</v>
      </c>
      <c r="AZ142" s="206">
        <f>Sheet1!EO146</f>
        <v>0</v>
      </c>
      <c r="BA142" s="206">
        <f>Sheet1!EP146</f>
        <v>0</v>
      </c>
      <c r="BB142" s="206">
        <f t="shared" si="38"/>
        <v>0</v>
      </c>
      <c r="BC142" s="206">
        <f>Sheet1!EQ146</f>
        <v>0</v>
      </c>
      <c r="BD142" s="206">
        <f>Sheet1!ER146</f>
        <v>0</v>
      </c>
      <c r="BE142" s="206">
        <f>Sheet1!ES146</f>
        <v>0</v>
      </c>
      <c r="BF142" s="206">
        <f>Sheet1!ET146</f>
        <v>0</v>
      </c>
      <c r="BG142" s="206">
        <f t="shared" si="39"/>
        <v>0</v>
      </c>
      <c r="BH142" s="206">
        <f>Sheet1!EU146</f>
        <v>0</v>
      </c>
      <c r="BI142" s="206">
        <f>Sheet1!EV146</f>
        <v>0</v>
      </c>
      <c r="BJ142" s="206">
        <f>Sheet1!EW146</f>
        <v>0</v>
      </c>
      <c r="BK142" s="206">
        <f>Sheet1!EX146</f>
        <v>0</v>
      </c>
      <c r="BL142" s="206">
        <f t="shared" si="40"/>
        <v>0</v>
      </c>
      <c r="BM142" s="206">
        <f>Sheet1!EY146</f>
        <v>0</v>
      </c>
      <c r="BN142" s="206">
        <f>Sheet1!EZ146</f>
        <v>0</v>
      </c>
      <c r="BO142" s="206">
        <f>Sheet1!FA146</f>
        <v>0</v>
      </c>
      <c r="BP142" s="206">
        <f>Sheet1!FB146</f>
        <v>0</v>
      </c>
      <c r="BQ142" s="206">
        <f t="shared" si="41"/>
        <v>0</v>
      </c>
      <c r="BR142" s="206">
        <f>Sheet1!FC146</f>
        <v>0</v>
      </c>
      <c r="BS142" s="206">
        <f>Sheet1!FD146</f>
        <v>0</v>
      </c>
      <c r="BT142" s="206">
        <f>Sheet1!FE146</f>
        <v>0</v>
      </c>
      <c r="BU142" s="206">
        <f>Sheet1!FF146</f>
        <v>0</v>
      </c>
      <c r="BV142" s="206">
        <f t="shared" si="42"/>
        <v>0</v>
      </c>
      <c r="BW142" s="206">
        <f>Sheet1!FG146</f>
        <v>0</v>
      </c>
      <c r="BX142" s="206">
        <f>Sheet1!FH146</f>
        <v>0</v>
      </c>
      <c r="BY142" s="206">
        <f>Sheet1!FI146</f>
        <v>0</v>
      </c>
      <c r="BZ142" s="206">
        <f>Sheet1!FJ146</f>
        <v>0</v>
      </c>
      <c r="CA142" s="206">
        <f t="shared" si="43"/>
        <v>0</v>
      </c>
      <c r="CB142" s="206">
        <f>Sheet1!FK146</f>
        <v>0</v>
      </c>
      <c r="CC142" s="206">
        <f>Sheet1!FL146</f>
        <v>0</v>
      </c>
      <c r="CD142" s="206">
        <f>Sheet1!FM146</f>
        <v>0</v>
      </c>
      <c r="CE142" s="206">
        <f>Sheet1!FN146</f>
        <v>0</v>
      </c>
      <c r="CF142" s="206">
        <f t="shared" si="44"/>
        <v>0</v>
      </c>
      <c r="CG142" s="206">
        <f t="shared" si="45"/>
        <v>0</v>
      </c>
      <c r="CH142" s="206">
        <f t="shared" si="46"/>
        <v>0</v>
      </c>
      <c r="CI142" s="206">
        <f t="shared" si="47"/>
        <v>0</v>
      </c>
      <c r="CJ142" s="206">
        <f t="shared" si="48"/>
        <v>0</v>
      </c>
      <c r="CK142" s="206">
        <f t="shared" si="49"/>
        <v>0</v>
      </c>
      <c r="CL142" s="206">
        <f t="shared" si="50"/>
        <v>0</v>
      </c>
      <c r="CM142" s="206">
        <f t="shared" si="51"/>
        <v>0</v>
      </c>
      <c r="CN142" s="206">
        <f t="shared" si="52"/>
        <v>0</v>
      </c>
      <c r="CO142" s="206">
        <f t="shared" si="53"/>
        <v>0</v>
      </c>
      <c r="CP142" s="206">
        <f t="shared" si="54"/>
        <v>0</v>
      </c>
    </row>
    <row r="143" spans="45:94">
      <c r="AS143" s="206">
        <f>Sheet1!EI147</f>
        <v>0</v>
      </c>
      <c r="AT143" s="206">
        <f>Sheet1!EJ147</f>
        <v>0</v>
      </c>
      <c r="AU143" s="206">
        <f>Sheet1!EK147</f>
        <v>0</v>
      </c>
      <c r="AV143" s="206">
        <f>Sheet1!EL147</f>
        <v>0</v>
      </c>
      <c r="AW143" s="206">
        <f t="shared" si="37"/>
        <v>0</v>
      </c>
      <c r="AX143" s="206">
        <f>Sheet1!EM147</f>
        <v>0</v>
      </c>
      <c r="AY143" s="206">
        <f>Sheet1!EN147</f>
        <v>0</v>
      </c>
      <c r="AZ143" s="206">
        <f>Sheet1!EO147</f>
        <v>0</v>
      </c>
      <c r="BA143" s="206">
        <f>Sheet1!EP147</f>
        <v>0</v>
      </c>
      <c r="BB143" s="206">
        <f t="shared" si="38"/>
        <v>0</v>
      </c>
      <c r="BC143" s="206">
        <f>Sheet1!EQ147</f>
        <v>0</v>
      </c>
      <c r="BD143" s="206">
        <f>Sheet1!ER147</f>
        <v>0</v>
      </c>
      <c r="BE143" s="206">
        <f>Sheet1!ES147</f>
        <v>0</v>
      </c>
      <c r="BF143" s="206">
        <f>Sheet1!ET147</f>
        <v>0</v>
      </c>
      <c r="BG143" s="206">
        <f t="shared" si="39"/>
        <v>0</v>
      </c>
      <c r="BH143" s="206">
        <f>Sheet1!EU147</f>
        <v>0</v>
      </c>
      <c r="BI143" s="206">
        <f>Sheet1!EV147</f>
        <v>0</v>
      </c>
      <c r="BJ143" s="206">
        <f>Sheet1!EW147</f>
        <v>0</v>
      </c>
      <c r="BK143" s="206">
        <f>Sheet1!EX147</f>
        <v>0</v>
      </c>
      <c r="BL143" s="206">
        <f t="shared" si="40"/>
        <v>0</v>
      </c>
      <c r="BM143" s="206">
        <f>Sheet1!EY147</f>
        <v>0</v>
      </c>
      <c r="BN143" s="206">
        <f>Sheet1!EZ147</f>
        <v>0</v>
      </c>
      <c r="BO143" s="206">
        <f>Sheet1!FA147</f>
        <v>0</v>
      </c>
      <c r="BP143" s="206">
        <f>Sheet1!FB147</f>
        <v>0</v>
      </c>
      <c r="BQ143" s="206">
        <f t="shared" si="41"/>
        <v>0</v>
      </c>
      <c r="BR143" s="206">
        <f>Sheet1!FC147</f>
        <v>0</v>
      </c>
      <c r="BS143" s="206">
        <f>Sheet1!FD147</f>
        <v>0</v>
      </c>
      <c r="BT143" s="206">
        <f>Sheet1!FE147</f>
        <v>0</v>
      </c>
      <c r="BU143" s="206">
        <f>Sheet1!FF147</f>
        <v>0</v>
      </c>
      <c r="BV143" s="206">
        <f t="shared" si="42"/>
        <v>0</v>
      </c>
      <c r="BW143" s="206">
        <f>Sheet1!FG147</f>
        <v>0</v>
      </c>
      <c r="BX143" s="206">
        <f>Sheet1!FH147</f>
        <v>0</v>
      </c>
      <c r="BY143" s="206">
        <f>Sheet1!FI147</f>
        <v>0</v>
      </c>
      <c r="BZ143" s="206">
        <f>Sheet1!FJ147</f>
        <v>0</v>
      </c>
      <c r="CA143" s="206">
        <f t="shared" si="43"/>
        <v>0</v>
      </c>
      <c r="CB143" s="206">
        <f>Sheet1!FK147</f>
        <v>0</v>
      </c>
      <c r="CC143" s="206">
        <f>Sheet1!FL147</f>
        <v>0</v>
      </c>
      <c r="CD143" s="206">
        <f>Sheet1!FM147</f>
        <v>0</v>
      </c>
      <c r="CE143" s="206">
        <f>Sheet1!FN147</f>
        <v>0</v>
      </c>
      <c r="CF143" s="206">
        <f t="shared" si="44"/>
        <v>0</v>
      </c>
      <c r="CG143" s="206">
        <f t="shared" si="45"/>
        <v>0</v>
      </c>
      <c r="CH143" s="206">
        <f t="shared" si="46"/>
        <v>0</v>
      </c>
      <c r="CI143" s="206">
        <f t="shared" si="47"/>
        <v>0</v>
      </c>
      <c r="CJ143" s="206">
        <f t="shared" si="48"/>
        <v>0</v>
      </c>
      <c r="CK143" s="206">
        <f t="shared" si="49"/>
        <v>0</v>
      </c>
      <c r="CL143" s="206">
        <f t="shared" si="50"/>
        <v>0</v>
      </c>
      <c r="CM143" s="206">
        <f t="shared" si="51"/>
        <v>0</v>
      </c>
      <c r="CN143" s="206">
        <f t="shared" si="52"/>
        <v>0</v>
      </c>
      <c r="CO143" s="206">
        <f t="shared" si="53"/>
        <v>0</v>
      </c>
      <c r="CP143" s="206">
        <f t="shared" si="54"/>
        <v>0</v>
      </c>
    </row>
    <row r="144" spans="45:94">
      <c r="AS144" s="206">
        <f>Sheet1!EI148</f>
        <v>0</v>
      </c>
      <c r="AT144" s="206">
        <f>Sheet1!EJ148</f>
        <v>0</v>
      </c>
      <c r="AU144" s="206">
        <f>Sheet1!EK148</f>
        <v>0</v>
      </c>
      <c r="AV144" s="206">
        <f>Sheet1!EL148</f>
        <v>0</v>
      </c>
      <c r="AW144" s="206">
        <f t="shared" si="37"/>
        <v>0</v>
      </c>
      <c r="AX144" s="206">
        <f>Sheet1!EM148</f>
        <v>0</v>
      </c>
      <c r="AY144" s="206">
        <f>Sheet1!EN148</f>
        <v>0</v>
      </c>
      <c r="AZ144" s="206">
        <f>Sheet1!EO148</f>
        <v>0</v>
      </c>
      <c r="BA144" s="206">
        <f>Sheet1!EP148</f>
        <v>0</v>
      </c>
      <c r="BB144" s="206">
        <f t="shared" si="38"/>
        <v>0</v>
      </c>
      <c r="BC144" s="206">
        <f>Sheet1!EQ148</f>
        <v>0</v>
      </c>
      <c r="BD144" s="206">
        <f>Sheet1!ER148</f>
        <v>0</v>
      </c>
      <c r="BE144" s="206">
        <f>Sheet1!ES148</f>
        <v>0</v>
      </c>
      <c r="BF144" s="206">
        <f>Sheet1!ET148</f>
        <v>0</v>
      </c>
      <c r="BG144" s="206">
        <f t="shared" si="39"/>
        <v>0</v>
      </c>
      <c r="BH144" s="206">
        <f>Sheet1!EU148</f>
        <v>0</v>
      </c>
      <c r="BI144" s="206">
        <f>Sheet1!EV148</f>
        <v>0</v>
      </c>
      <c r="BJ144" s="206">
        <f>Sheet1!EW148</f>
        <v>0</v>
      </c>
      <c r="BK144" s="206">
        <f>Sheet1!EX148</f>
        <v>0</v>
      </c>
      <c r="BL144" s="206">
        <f t="shared" si="40"/>
        <v>0</v>
      </c>
      <c r="BM144" s="206">
        <f>Sheet1!EY148</f>
        <v>0</v>
      </c>
      <c r="BN144" s="206">
        <f>Sheet1!EZ148</f>
        <v>0</v>
      </c>
      <c r="BO144" s="206">
        <f>Sheet1!FA148</f>
        <v>0</v>
      </c>
      <c r="BP144" s="206">
        <f>Sheet1!FB148</f>
        <v>0</v>
      </c>
      <c r="BQ144" s="206">
        <f t="shared" si="41"/>
        <v>0</v>
      </c>
      <c r="BR144" s="206">
        <f>Sheet1!FC148</f>
        <v>0</v>
      </c>
      <c r="BS144" s="206">
        <f>Sheet1!FD148</f>
        <v>0</v>
      </c>
      <c r="BT144" s="206">
        <f>Sheet1!FE148</f>
        <v>0</v>
      </c>
      <c r="BU144" s="206">
        <f>Sheet1!FF148</f>
        <v>0</v>
      </c>
      <c r="BV144" s="206">
        <f t="shared" si="42"/>
        <v>0</v>
      </c>
      <c r="BW144" s="206">
        <f>Sheet1!FG148</f>
        <v>0</v>
      </c>
      <c r="BX144" s="206">
        <f>Sheet1!FH148</f>
        <v>0</v>
      </c>
      <c r="BY144" s="206">
        <f>Sheet1!FI148</f>
        <v>0</v>
      </c>
      <c r="BZ144" s="206">
        <f>Sheet1!FJ148</f>
        <v>0</v>
      </c>
      <c r="CA144" s="206">
        <f t="shared" si="43"/>
        <v>0</v>
      </c>
      <c r="CB144" s="206">
        <f>Sheet1!FK148</f>
        <v>0</v>
      </c>
      <c r="CC144" s="206">
        <f>Sheet1!FL148</f>
        <v>0</v>
      </c>
      <c r="CD144" s="206">
        <f>Sheet1!FM148</f>
        <v>0</v>
      </c>
      <c r="CE144" s="206">
        <f>Sheet1!FN148</f>
        <v>0</v>
      </c>
      <c r="CF144" s="206">
        <f t="shared" si="44"/>
        <v>0</v>
      </c>
      <c r="CG144" s="206">
        <f t="shared" si="45"/>
        <v>0</v>
      </c>
      <c r="CH144" s="206">
        <f t="shared" si="46"/>
        <v>0</v>
      </c>
      <c r="CI144" s="206">
        <f t="shared" si="47"/>
        <v>0</v>
      </c>
      <c r="CJ144" s="206">
        <f t="shared" si="48"/>
        <v>0</v>
      </c>
      <c r="CK144" s="206">
        <f t="shared" si="49"/>
        <v>0</v>
      </c>
      <c r="CL144" s="206">
        <f t="shared" si="50"/>
        <v>0</v>
      </c>
      <c r="CM144" s="206">
        <f t="shared" si="51"/>
        <v>0</v>
      </c>
      <c r="CN144" s="206">
        <f t="shared" si="52"/>
        <v>0</v>
      </c>
      <c r="CO144" s="206">
        <f t="shared" si="53"/>
        <v>0</v>
      </c>
      <c r="CP144" s="206">
        <f t="shared" si="54"/>
        <v>0</v>
      </c>
    </row>
    <row r="145" spans="45:94">
      <c r="AS145" s="206">
        <f>Sheet1!EI149</f>
        <v>0</v>
      </c>
      <c r="AT145" s="206">
        <f>Sheet1!EJ149</f>
        <v>0</v>
      </c>
      <c r="AU145" s="206">
        <f>Sheet1!EK149</f>
        <v>0</v>
      </c>
      <c r="AV145" s="206">
        <f>Sheet1!EL149</f>
        <v>0</v>
      </c>
      <c r="AW145" s="206">
        <f t="shared" si="37"/>
        <v>0</v>
      </c>
      <c r="AX145" s="206">
        <f>Sheet1!EM149</f>
        <v>0</v>
      </c>
      <c r="AY145" s="206">
        <f>Sheet1!EN149</f>
        <v>0</v>
      </c>
      <c r="AZ145" s="206">
        <f>Sheet1!EO149</f>
        <v>0</v>
      </c>
      <c r="BA145" s="206">
        <f>Sheet1!EP149</f>
        <v>0</v>
      </c>
      <c r="BB145" s="206">
        <f t="shared" si="38"/>
        <v>0</v>
      </c>
      <c r="BC145" s="206">
        <f>Sheet1!EQ149</f>
        <v>0</v>
      </c>
      <c r="BD145" s="206">
        <f>Sheet1!ER149</f>
        <v>0</v>
      </c>
      <c r="BE145" s="206">
        <f>Sheet1!ES149</f>
        <v>0</v>
      </c>
      <c r="BF145" s="206">
        <f>Sheet1!ET149</f>
        <v>0</v>
      </c>
      <c r="BG145" s="206">
        <f t="shared" si="39"/>
        <v>0</v>
      </c>
      <c r="BH145" s="206">
        <f>Sheet1!EU149</f>
        <v>0</v>
      </c>
      <c r="BI145" s="206">
        <f>Sheet1!EV149</f>
        <v>0</v>
      </c>
      <c r="BJ145" s="206">
        <f>Sheet1!EW149</f>
        <v>0</v>
      </c>
      <c r="BK145" s="206">
        <f>Sheet1!EX149</f>
        <v>0</v>
      </c>
      <c r="BL145" s="206">
        <f t="shared" si="40"/>
        <v>0</v>
      </c>
      <c r="BM145" s="206">
        <f>Sheet1!EY149</f>
        <v>0</v>
      </c>
      <c r="BN145" s="206">
        <f>Sheet1!EZ149</f>
        <v>0</v>
      </c>
      <c r="BO145" s="206">
        <f>Sheet1!FA149</f>
        <v>0</v>
      </c>
      <c r="BP145" s="206">
        <f>Sheet1!FB149</f>
        <v>0</v>
      </c>
      <c r="BQ145" s="206">
        <f t="shared" si="41"/>
        <v>0</v>
      </c>
      <c r="BR145" s="206">
        <f>Sheet1!FC149</f>
        <v>0</v>
      </c>
      <c r="BS145" s="206">
        <f>Sheet1!FD149</f>
        <v>0</v>
      </c>
      <c r="BT145" s="206">
        <f>Sheet1!FE149</f>
        <v>0</v>
      </c>
      <c r="BU145" s="206">
        <f>Sheet1!FF149</f>
        <v>0</v>
      </c>
      <c r="BV145" s="206">
        <f t="shared" si="42"/>
        <v>0</v>
      </c>
      <c r="BW145" s="206">
        <f>Sheet1!FG149</f>
        <v>0</v>
      </c>
      <c r="BX145" s="206">
        <f>Sheet1!FH149</f>
        <v>0</v>
      </c>
      <c r="BY145" s="206">
        <f>Sheet1!FI149</f>
        <v>0</v>
      </c>
      <c r="BZ145" s="206">
        <f>Sheet1!FJ149</f>
        <v>0</v>
      </c>
      <c r="CA145" s="206">
        <f t="shared" si="43"/>
        <v>0</v>
      </c>
      <c r="CB145" s="206">
        <f>Sheet1!FK149</f>
        <v>0</v>
      </c>
      <c r="CC145" s="206">
        <f>Sheet1!FL149</f>
        <v>0</v>
      </c>
      <c r="CD145" s="206">
        <f>Sheet1!FM149</f>
        <v>0</v>
      </c>
      <c r="CE145" s="206">
        <f>Sheet1!FN149</f>
        <v>0</v>
      </c>
      <c r="CF145" s="206">
        <f t="shared" si="44"/>
        <v>0</v>
      </c>
      <c r="CG145" s="206">
        <f t="shared" si="45"/>
        <v>0</v>
      </c>
      <c r="CH145" s="206">
        <f t="shared" si="46"/>
        <v>0</v>
      </c>
      <c r="CI145" s="206">
        <f t="shared" si="47"/>
        <v>0</v>
      </c>
      <c r="CJ145" s="206">
        <f t="shared" si="48"/>
        <v>0</v>
      </c>
      <c r="CK145" s="206">
        <f t="shared" si="49"/>
        <v>0</v>
      </c>
      <c r="CL145" s="206">
        <f t="shared" si="50"/>
        <v>0</v>
      </c>
      <c r="CM145" s="206">
        <f t="shared" si="51"/>
        <v>0</v>
      </c>
      <c r="CN145" s="206">
        <f t="shared" si="52"/>
        <v>0</v>
      </c>
      <c r="CO145" s="206">
        <f t="shared" si="53"/>
        <v>0</v>
      </c>
      <c r="CP145" s="206">
        <f t="shared" si="54"/>
        <v>0</v>
      </c>
    </row>
    <row r="146" spans="45:94">
      <c r="AS146" s="206">
        <f>Sheet1!EI150</f>
        <v>0</v>
      </c>
      <c r="AT146" s="206">
        <f>Sheet1!EJ150</f>
        <v>0</v>
      </c>
      <c r="AU146" s="206">
        <f>Sheet1!EK150</f>
        <v>0</v>
      </c>
      <c r="AV146" s="206">
        <f>Sheet1!EL150</f>
        <v>0</v>
      </c>
      <c r="AW146" s="206">
        <f t="shared" si="37"/>
        <v>0</v>
      </c>
      <c r="AX146" s="206">
        <f>Sheet1!EM150</f>
        <v>0</v>
      </c>
      <c r="AY146" s="206">
        <f>Sheet1!EN150</f>
        <v>0</v>
      </c>
      <c r="AZ146" s="206">
        <f>Sheet1!EO150</f>
        <v>0</v>
      </c>
      <c r="BA146" s="206">
        <f>Sheet1!EP150</f>
        <v>0</v>
      </c>
      <c r="BB146" s="206">
        <f t="shared" si="38"/>
        <v>0</v>
      </c>
      <c r="BC146" s="206">
        <f>Sheet1!EQ150</f>
        <v>0</v>
      </c>
      <c r="BD146" s="206">
        <f>Sheet1!ER150</f>
        <v>0</v>
      </c>
      <c r="BE146" s="206">
        <f>Sheet1!ES150</f>
        <v>0</v>
      </c>
      <c r="BF146" s="206">
        <f>Sheet1!ET150</f>
        <v>0</v>
      </c>
      <c r="BG146" s="206">
        <f t="shared" si="39"/>
        <v>0</v>
      </c>
      <c r="BH146" s="206">
        <f>Sheet1!EU150</f>
        <v>0</v>
      </c>
      <c r="BI146" s="206">
        <f>Sheet1!EV150</f>
        <v>0</v>
      </c>
      <c r="BJ146" s="206">
        <f>Sheet1!EW150</f>
        <v>0</v>
      </c>
      <c r="BK146" s="206">
        <f>Sheet1!EX150</f>
        <v>0</v>
      </c>
      <c r="BL146" s="206">
        <f t="shared" si="40"/>
        <v>0</v>
      </c>
      <c r="BM146" s="206">
        <f>Sheet1!EY150</f>
        <v>0</v>
      </c>
      <c r="BN146" s="206">
        <f>Sheet1!EZ150</f>
        <v>0</v>
      </c>
      <c r="BO146" s="206">
        <f>Sheet1!FA150</f>
        <v>0</v>
      </c>
      <c r="BP146" s="206">
        <f>Sheet1!FB150</f>
        <v>0</v>
      </c>
      <c r="BQ146" s="206">
        <f t="shared" si="41"/>
        <v>0</v>
      </c>
      <c r="BR146" s="206">
        <f>Sheet1!FC150</f>
        <v>0</v>
      </c>
      <c r="BS146" s="206">
        <f>Sheet1!FD150</f>
        <v>0</v>
      </c>
      <c r="BT146" s="206">
        <f>Sheet1!FE150</f>
        <v>0</v>
      </c>
      <c r="BU146" s="206">
        <f>Sheet1!FF150</f>
        <v>0</v>
      </c>
      <c r="BV146" s="206">
        <f t="shared" si="42"/>
        <v>0</v>
      </c>
      <c r="BW146" s="206">
        <f>Sheet1!FG150</f>
        <v>0</v>
      </c>
      <c r="BX146" s="206">
        <f>Sheet1!FH150</f>
        <v>0</v>
      </c>
      <c r="BY146" s="206">
        <f>Sheet1!FI150</f>
        <v>0</v>
      </c>
      <c r="BZ146" s="206">
        <f>Sheet1!FJ150</f>
        <v>0</v>
      </c>
      <c r="CA146" s="206">
        <f t="shared" si="43"/>
        <v>0</v>
      </c>
      <c r="CB146" s="206">
        <f>Sheet1!FK150</f>
        <v>0</v>
      </c>
      <c r="CC146" s="206">
        <f>Sheet1!FL150</f>
        <v>0</v>
      </c>
      <c r="CD146" s="206">
        <f>Sheet1!FM150</f>
        <v>0</v>
      </c>
      <c r="CE146" s="206">
        <f>Sheet1!FN150</f>
        <v>0</v>
      </c>
      <c r="CF146" s="206">
        <f t="shared" si="44"/>
        <v>0</v>
      </c>
      <c r="CG146" s="206">
        <f t="shared" si="45"/>
        <v>0</v>
      </c>
      <c r="CH146" s="206">
        <f t="shared" si="46"/>
        <v>0</v>
      </c>
      <c r="CI146" s="206">
        <f t="shared" si="47"/>
        <v>0</v>
      </c>
      <c r="CJ146" s="206">
        <f t="shared" si="48"/>
        <v>0</v>
      </c>
      <c r="CK146" s="206">
        <f t="shared" si="49"/>
        <v>0</v>
      </c>
      <c r="CL146" s="206">
        <f t="shared" si="50"/>
        <v>0</v>
      </c>
      <c r="CM146" s="206">
        <f t="shared" si="51"/>
        <v>0</v>
      </c>
      <c r="CN146" s="206">
        <f t="shared" si="52"/>
        <v>0</v>
      </c>
      <c r="CO146" s="206">
        <f t="shared" si="53"/>
        <v>0</v>
      </c>
      <c r="CP146" s="206">
        <f t="shared" si="54"/>
        <v>0</v>
      </c>
    </row>
    <row r="147" spans="45:94">
      <c r="AS147" s="206">
        <f>Sheet1!EI151</f>
        <v>0</v>
      </c>
      <c r="AT147" s="206">
        <f>Sheet1!EJ151</f>
        <v>0</v>
      </c>
      <c r="AU147" s="206">
        <f>Sheet1!EK151</f>
        <v>0</v>
      </c>
      <c r="AV147" s="206">
        <f>Sheet1!EL151</f>
        <v>0</v>
      </c>
      <c r="AW147" s="206">
        <f t="shared" si="37"/>
        <v>0</v>
      </c>
      <c r="AX147" s="206">
        <f>Sheet1!EM151</f>
        <v>0</v>
      </c>
      <c r="AY147" s="206">
        <f>Sheet1!EN151</f>
        <v>0</v>
      </c>
      <c r="AZ147" s="206">
        <f>Sheet1!EO151</f>
        <v>0</v>
      </c>
      <c r="BA147" s="206">
        <f>Sheet1!EP151</f>
        <v>0</v>
      </c>
      <c r="BB147" s="206">
        <f t="shared" si="38"/>
        <v>0</v>
      </c>
      <c r="BC147" s="206">
        <f>Sheet1!EQ151</f>
        <v>0</v>
      </c>
      <c r="BD147" s="206">
        <f>Sheet1!ER151</f>
        <v>0</v>
      </c>
      <c r="BE147" s="206">
        <f>Sheet1!ES151</f>
        <v>0</v>
      </c>
      <c r="BF147" s="206">
        <f>Sheet1!ET151</f>
        <v>0</v>
      </c>
      <c r="BG147" s="206">
        <f t="shared" si="39"/>
        <v>0</v>
      </c>
      <c r="BH147" s="206">
        <f>Sheet1!EU151</f>
        <v>0</v>
      </c>
      <c r="BI147" s="206">
        <f>Sheet1!EV151</f>
        <v>0</v>
      </c>
      <c r="BJ147" s="206">
        <f>Sheet1!EW151</f>
        <v>0</v>
      </c>
      <c r="BK147" s="206">
        <f>Sheet1!EX151</f>
        <v>0</v>
      </c>
      <c r="BL147" s="206">
        <f t="shared" si="40"/>
        <v>0</v>
      </c>
      <c r="BM147" s="206">
        <f>Sheet1!EY151</f>
        <v>0</v>
      </c>
      <c r="BN147" s="206">
        <f>Sheet1!EZ151</f>
        <v>0</v>
      </c>
      <c r="BO147" s="206">
        <f>Sheet1!FA151</f>
        <v>0</v>
      </c>
      <c r="BP147" s="206">
        <f>Sheet1!FB151</f>
        <v>0</v>
      </c>
      <c r="BQ147" s="206">
        <f t="shared" si="41"/>
        <v>0</v>
      </c>
      <c r="BR147" s="206">
        <f>Sheet1!FC151</f>
        <v>0</v>
      </c>
      <c r="BS147" s="206">
        <f>Sheet1!FD151</f>
        <v>0</v>
      </c>
      <c r="BT147" s="206">
        <f>Sheet1!FE151</f>
        <v>0</v>
      </c>
      <c r="BU147" s="206">
        <f>Sheet1!FF151</f>
        <v>0</v>
      </c>
      <c r="BV147" s="206">
        <f t="shared" si="42"/>
        <v>0</v>
      </c>
      <c r="BW147" s="206">
        <f>Sheet1!FG151</f>
        <v>0</v>
      </c>
      <c r="BX147" s="206">
        <f>Sheet1!FH151</f>
        <v>0</v>
      </c>
      <c r="BY147" s="206">
        <f>Sheet1!FI151</f>
        <v>0</v>
      </c>
      <c r="BZ147" s="206">
        <f>Sheet1!FJ151</f>
        <v>0</v>
      </c>
      <c r="CA147" s="206">
        <f t="shared" si="43"/>
        <v>0</v>
      </c>
      <c r="CB147" s="206">
        <f>Sheet1!FK151</f>
        <v>0</v>
      </c>
      <c r="CC147" s="206">
        <f>Sheet1!FL151</f>
        <v>0</v>
      </c>
      <c r="CD147" s="206">
        <f>Sheet1!FM151</f>
        <v>0</v>
      </c>
      <c r="CE147" s="206">
        <f>Sheet1!FN151</f>
        <v>0</v>
      </c>
      <c r="CF147" s="206">
        <f t="shared" si="44"/>
        <v>0</v>
      </c>
      <c r="CG147" s="206">
        <f t="shared" si="45"/>
        <v>0</v>
      </c>
      <c r="CH147" s="206">
        <f t="shared" si="46"/>
        <v>0</v>
      </c>
      <c r="CI147" s="206">
        <f t="shared" si="47"/>
        <v>0</v>
      </c>
      <c r="CJ147" s="206">
        <f t="shared" si="48"/>
        <v>0</v>
      </c>
      <c r="CK147" s="206">
        <f t="shared" si="49"/>
        <v>0</v>
      </c>
      <c r="CL147" s="206">
        <f t="shared" si="50"/>
        <v>0</v>
      </c>
      <c r="CM147" s="206">
        <f t="shared" si="51"/>
        <v>0</v>
      </c>
      <c r="CN147" s="206">
        <f t="shared" si="52"/>
        <v>0</v>
      </c>
      <c r="CO147" s="206">
        <f t="shared" si="53"/>
        <v>0</v>
      </c>
      <c r="CP147" s="206">
        <f t="shared" si="54"/>
        <v>0</v>
      </c>
    </row>
    <row r="148" spans="45:94">
      <c r="AS148" s="206">
        <f>Sheet1!EI152</f>
        <v>0</v>
      </c>
      <c r="AT148" s="206">
        <f>Sheet1!EJ152</f>
        <v>0</v>
      </c>
      <c r="AU148" s="206">
        <f>Sheet1!EK152</f>
        <v>0</v>
      </c>
      <c r="AV148" s="206">
        <f>Sheet1!EL152</f>
        <v>0</v>
      </c>
      <c r="AW148" s="206">
        <f t="shared" si="37"/>
        <v>0</v>
      </c>
      <c r="AX148" s="206">
        <f>Sheet1!EM152</f>
        <v>0</v>
      </c>
      <c r="AY148" s="206">
        <f>Sheet1!EN152</f>
        <v>0</v>
      </c>
      <c r="AZ148" s="206">
        <f>Sheet1!EO152</f>
        <v>0</v>
      </c>
      <c r="BA148" s="206">
        <f>Sheet1!EP152</f>
        <v>0</v>
      </c>
      <c r="BB148" s="206">
        <f t="shared" si="38"/>
        <v>0</v>
      </c>
      <c r="BC148" s="206">
        <f>Sheet1!EQ152</f>
        <v>0</v>
      </c>
      <c r="BD148" s="206">
        <f>Sheet1!ER152</f>
        <v>0</v>
      </c>
      <c r="BE148" s="206">
        <f>Sheet1!ES152</f>
        <v>0</v>
      </c>
      <c r="BF148" s="206">
        <f>Sheet1!ET152</f>
        <v>0</v>
      </c>
      <c r="BG148" s="206">
        <f t="shared" si="39"/>
        <v>0</v>
      </c>
      <c r="BH148" s="206">
        <f>Sheet1!EU152</f>
        <v>0</v>
      </c>
      <c r="BI148" s="206">
        <f>Sheet1!EV152</f>
        <v>0</v>
      </c>
      <c r="BJ148" s="206">
        <f>Sheet1!EW152</f>
        <v>0</v>
      </c>
      <c r="BK148" s="206">
        <f>Sheet1!EX152</f>
        <v>0</v>
      </c>
      <c r="BL148" s="206">
        <f t="shared" si="40"/>
        <v>0</v>
      </c>
      <c r="BM148" s="206">
        <f>Sheet1!EY152</f>
        <v>0</v>
      </c>
      <c r="BN148" s="206">
        <f>Sheet1!EZ152</f>
        <v>0</v>
      </c>
      <c r="BO148" s="206">
        <f>Sheet1!FA152</f>
        <v>0</v>
      </c>
      <c r="BP148" s="206">
        <f>Sheet1!FB152</f>
        <v>0</v>
      </c>
      <c r="BQ148" s="206">
        <f t="shared" si="41"/>
        <v>0</v>
      </c>
      <c r="BR148" s="206">
        <f>Sheet1!FC152</f>
        <v>0</v>
      </c>
      <c r="BS148" s="206">
        <f>Sheet1!FD152</f>
        <v>0</v>
      </c>
      <c r="BT148" s="206">
        <f>Sheet1!FE152</f>
        <v>0</v>
      </c>
      <c r="BU148" s="206">
        <f>Sheet1!FF152</f>
        <v>0</v>
      </c>
      <c r="BV148" s="206">
        <f t="shared" si="42"/>
        <v>0</v>
      </c>
      <c r="BW148" s="206">
        <f>Sheet1!FG152</f>
        <v>0</v>
      </c>
      <c r="BX148" s="206">
        <f>Sheet1!FH152</f>
        <v>0</v>
      </c>
      <c r="BY148" s="206">
        <f>Sheet1!FI152</f>
        <v>0</v>
      </c>
      <c r="BZ148" s="206">
        <f>Sheet1!FJ152</f>
        <v>0</v>
      </c>
      <c r="CA148" s="206">
        <f t="shared" si="43"/>
        <v>0</v>
      </c>
      <c r="CB148" s="206">
        <f>Sheet1!FK152</f>
        <v>0</v>
      </c>
      <c r="CC148" s="206">
        <f>Sheet1!FL152</f>
        <v>0</v>
      </c>
      <c r="CD148" s="206">
        <f>Sheet1!FM152</f>
        <v>0</v>
      </c>
      <c r="CE148" s="206">
        <f>Sheet1!FN152</f>
        <v>0</v>
      </c>
      <c r="CF148" s="206">
        <f t="shared" si="44"/>
        <v>0</v>
      </c>
      <c r="CG148" s="206">
        <f t="shared" si="45"/>
        <v>0</v>
      </c>
      <c r="CH148" s="206">
        <f t="shared" si="46"/>
        <v>0</v>
      </c>
      <c r="CI148" s="206">
        <f t="shared" si="47"/>
        <v>0</v>
      </c>
      <c r="CJ148" s="206">
        <f t="shared" si="48"/>
        <v>0</v>
      </c>
      <c r="CK148" s="206">
        <f t="shared" si="49"/>
        <v>0</v>
      </c>
      <c r="CL148" s="206">
        <f t="shared" si="50"/>
        <v>0</v>
      </c>
      <c r="CM148" s="206">
        <f t="shared" si="51"/>
        <v>0</v>
      </c>
      <c r="CN148" s="206">
        <f t="shared" si="52"/>
        <v>0</v>
      </c>
      <c r="CO148" s="206">
        <f t="shared" si="53"/>
        <v>0</v>
      </c>
      <c r="CP148" s="206">
        <f t="shared" si="54"/>
        <v>0</v>
      </c>
    </row>
    <row r="149" spans="45:94">
      <c r="AS149" s="206">
        <f>Sheet1!EI153</f>
        <v>0</v>
      </c>
      <c r="AT149" s="206">
        <f>Sheet1!EJ153</f>
        <v>0</v>
      </c>
      <c r="AU149" s="206">
        <f>Sheet1!EK153</f>
        <v>0</v>
      </c>
      <c r="AV149" s="206">
        <f>Sheet1!EL153</f>
        <v>0</v>
      </c>
      <c r="AW149" s="206">
        <f t="shared" si="37"/>
        <v>0</v>
      </c>
      <c r="AX149" s="206">
        <f>Sheet1!EM153</f>
        <v>0</v>
      </c>
      <c r="AY149" s="206">
        <f>Sheet1!EN153</f>
        <v>0</v>
      </c>
      <c r="AZ149" s="206">
        <f>Sheet1!EO153</f>
        <v>0</v>
      </c>
      <c r="BA149" s="206">
        <f>Sheet1!EP153</f>
        <v>0</v>
      </c>
      <c r="BB149" s="206">
        <f t="shared" si="38"/>
        <v>0</v>
      </c>
      <c r="BC149" s="206">
        <f>Sheet1!EQ153</f>
        <v>0</v>
      </c>
      <c r="BD149" s="206">
        <f>Sheet1!ER153</f>
        <v>0</v>
      </c>
      <c r="BE149" s="206">
        <f>Sheet1!ES153</f>
        <v>0</v>
      </c>
      <c r="BF149" s="206">
        <f>Sheet1!ET153</f>
        <v>0</v>
      </c>
      <c r="BG149" s="206">
        <f t="shared" si="39"/>
        <v>0</v>
      </c>
      <c r="BH149" s="206">
        <f>Sheet1!EU153</f>
        <v>0</v>
      </c>
      <c r="BI149" s="206">
        <f>Sheet1!EV153</f>
        <v>0</v>
      </c>
      <c r="BJ149" s="206">
        <f>Sheet1!EW153</f>
        <v>0</v>
      </c>
      <c r="BK149" s="206">
        <f>Sheet1!EX153</f>
        <v>0</v>
      </c>
      <c r="BL149" s="206">
        <f t="shared" si="40"/>
        <v>0</v>
      </c>
      <c r="BM149" s="206">
        <f>Sheet1!EY153</f>
        <v>0</v>
      </c>
      <c r="BN149" s="206">
        <f>Sheet1!EZ153</f>
        <v>0</v>
      </c>
      <c r="BO149" s="206">
        <f>Sheet1!FA153</f>
        <v>0</v>
      </c>
      <c r="BP149" s="206">
        <f>Sheet1!FB153</f>
        <v>0</v>
      </c>
      <c r="BQ149" s="206">
        <f t="shared" si="41"/>
        <v>0</v>
      </c>
      <c r="BR149" s="206">
        <f>Sheet1!FC153</f>
        <v>0</v>
      </c>
      <c r="BS149" s="206">
        <f>Sheet1!FD153</f>
        <v>0</v>
      </c>
      <c r="BT149" s="206">
        <f>Sheet1!FE153</f>
        <v>0</v>
      </c>
      <c r="BU149" s="206">
        <f>Sheet1!FF153</f>
        <v>0</v>
      </c>
      <c r="BV149" s="206">
        <f t="shared" si="42"/>
        <v>0</v>
      </c>
      <c r="BW149" s="206">
        <f>Sheet1!FG153</f>
        <v>0</v>
      </c>
      <c r="BX149" s="206">
        <f>Sheet1!FH153</f>
        <v>0</v>
      </c>
      <c r="BY149" s="206">
        <f>Sheet1!FI153</f>
        <v>0</v>
      </c>
      <c r="BZ149" s="206">
        <f>Sheet1!FJ153</f>
        <v>0</v>
      </c>
      <c r="CA149" s="206">
        <f t="shared" si="43"/>
        <v>0</v>
      </c>
      <c r="CB149" s="206">
        <f>Sheet1!FK153</f>
        <v>0</v>
      </c>
      <c r="CC149" s="206">
        <f>Sheet1!FL153</f>
        <v>0</v>
      </c>
      <c r="CD149" s="206">
        <f>Sheet1!FM153</f>
        <v>0</v>
      </c>
      <c r="CE149" s="206">
        <f>Sheet1!FN153</f>
        <v>0</v>
      </c>
      <c r="CF149" s="206">
        <f t="shared" si="44"/>
        <v>0</v>
      </c>
      <c r="CG149" s="206">
        <f t="shared" si="45"/>
        <v>0</v>
      </c>
      <c r="CH149" s="206">
        <f t="shared" si="46"/>
        <v>0</v>
      </c>
      <c r="CI149" s="206">
        <f t="shared" si="47"/>
        <v>0</v>
      </c>
      <c r="CJ149" s="206">
        <f t="shared" si="48"/>
        <v>0</v>
      </c>
      <c r="CK149" s="206">
        <f t="shared" si="49"/>
        <v>0</v>
      </c>
      <c r="CL149" s="206">
        <f t="shared" si="50"/>
        <v>0</v>
      </c>
      <c r="CM149" s="206">
        <f t="shared" si="51"/>
        <v>0</v>
      </c>
      <c r="CN149" s="206">
        <f t="shared" si="52"/>
        <v>0</v>
      </c>
      <c r="CO149" s="206">
        <f t="shared" si="53"/>
        <v>0</v>
      </c>
      <c r="CP149" s="206">
        <f t="shared" si="54"/>
        <v>0</v>
      </c>
    </row>
    <row r="150" spans="45:94">
      <c r="AS150" s="206">
        <f>Sheet1!EI154</f>
        <v>0</v>
      </c>
      <c r="AT150" s="206">
        <f>Sheet1!EJ154</f>
        <v>0</v>
      </c>
      <c r="AU150" s="206">
        <f>Sheet1!EK154</f>
        <v>0</v>
      </c>
      <c r="AV150" s="206">
        <f>Sheet1!EL154</f>
        <v>0</v>
      </c>
      <c r="AW150" s="206">
        <f t="shared" si="37"/>
        <v>0</v>
      </c>
      <c r="AX150" s="206">
        <f>Sheet1!EM154</f>
        <v>0</v>
      </c>
      <c r="AY150" s="206">
        <f>Sheet1!EN154</f>
        <v>0</v>
      </c>
      <c r="AZ150" s="206">
        <f>Sheet1!EO154</f>
        <v>0</v>
      </c>
      <c r="BA150" s="206">
        <f>Sheet1!EP154</f>
        <v>0</v>
      </c>
      <c r="BB150" s="206">
        <f t="shared" si="38"/>
        <v>0</v>
      </c>
      <c r="BC150" s="206">
        <f>Sheet1!EQ154</f>
        <v>0</v>
      </c>
      <c r="BD150" s="206">
        <f>Sheet1!ER154</f>
        <v>0</v>
      </c>
      <c r="BE150" s="206">
        <f>Sheet1!ES154</f>
        <v>0</v>
      </c>
      <c r="BF150" s="206">
        <f>Sheet1!ET154</f>
        <v>0</v>
      </c>
      <c r="BG150" s="206">
        <f t="shared" si="39"/>
        <v>0</v>
      </c>
      <c r="BH150" s="206">
        <f>Sheet1!EU154</f>
        <v>0</v>
      </c>
      <c r="BI150" s="206">
        <f>Sheet1!EV154</f>
        <v>0</v>
      </c>
      <c r="BJ150" s="206">
        <f>Sheet1!EW154</f>
        <v>0</v>
      </c>
      <c r="BK150" s="206">
        <f>Sheet1!EX154</f>
        <v>0</v>
      </c>
      <c r="BL150" s="206">
        <f t="shared" si="40"/>
        <v>0</v>
      </c>
      <c r="BM150" s="206">
        <f>Sheet1!EY154</f>
        <v>0</v>
      </c>
      <c r="BN150" s="206">
        <f>Sheet1!EZ154</f>
        <v>0</v>
      </c>
      <c r="BO150" s="206">
        <f>Sheet1!FA154</f>
        <v>0</v>
      </c>
      <c r="BP150" s="206">
        <f>Sheet1!FB154</f>
        <v>0</v>
      </c>
      <c r="BQ150" s="206">
        <f t="shared" si="41"/>
        <v>0</v>
      </c>
      <c r="BR150" s="206">
        <f>Sheet1!FC154</f>
        <v>0</v>
      </c>
      <c r="BS150" s="206">
        <f>Sheet1!FD154</f>
        <v>0</v>
      </c>
      <c r="BT150" s="206">
        <f>Sheet1!FE154</f>
        <v>0</v>
      </c>
      <c r="BU150" s="206">
        <f>Sheet1!FF154</f>
        <v>0</v>
      </c>
      <c r="BV150" s="206">
        <f t="shared" si="42"/>
        <v>0</v>
      </c>
      <c r="BW150" s="206">
        <f>Sheet1!FG154</f>
        <v>0</v>
      </c>
      <c r="BX150" s="206">
        <f>Sheet1!FH154</f>
        <v>0</v>
      </c>
      <c r="BY150" s="206">
        <f>Sheet1!FI154</f>
        <v>0</v>
      </c>
      <c r="BZ150" s="206">
        <f>Sheet1!FJ154</f>
        <v>0</v>
      </c>
      <c r="CA150" s="206">
        <f t="shared" si="43"/>
        <v>0</v>
      </c>
      <c r="CB150" s="206">
        <f>Sheet1!FK154</f>
        <v>0</v>
      </c>
      <c r="CC150" s="206">
        <f>Sheet1!FL154</f>
        <v>0</v>
      </c>
      <c r="CD150" s="206">
        <f>Sheet1!FM154</f>
        <v>0</v>
      </c>
      <c r="CE150" s="206">
        <f>Sheet1!FN154</f>
        <v>0</v>
      </c>
      <c r="CF150" s="206">
        <f t="shared" si="44"/>
        <v>0</v>
      </c>
      <c r="CG150" s="206">
        <f t="shared" si="45"/>
        <v>0</v>
      </c>
      <c r="CH150" s="206">
        <f t="shared" si="46"/>
        <v>0</v>
      </c>
      <c r="CI150" s="206">
        <f t="shared" si="47"/>
        <v>0</v>
      </c>
      <c r="CJ150" s="206">
        <f t="shared" si="48"/>
        <v>0</v>
      </c>
      <c r="CK150" s="206">
        <f t="shared" si="49"/>
        <v>0</v>
      </c>
      <c r="CL150" s="206">
        <f t="shared" si="50"/>
        <v>0</v>
      </c>
      <c r="CM150" s="206">
        <f t="shared" si="51"/>
        <v>0</v>
      </c>
      <c r="CN150" s="206">
        <f t="shared" si="52"/>
        <v>0</v>
      </c>
      <c r="CO150" s="206">
        <f t="shared" si="53"/>
        <v>0</v>
      </c>
      <c r="CP150" s="206">
        <f t="shared" si="54"/>
        <v>0</v>
      </c>
    </row>
    <row r="151" spans="45:94">
      <c r="AS151" s="206">
        <f>Sheet1!EI155</f>
        <v>0</v>
      </c>
      <c r="AT151" s="206">
        <f>Sheet1!EJ155</f>
        <v>0</v>
      </c>
      <c r="AU151" s="206">
        <f>Sheet1!EK155</f>
        <v>0</v>
      </c>
      <c r="AV151" s="206">
        <f>Sheet1!EL155</f>
        <v>0</v>
      </c>
      <c r="AW151" s="206">
        <f t="shared" si="37"/>
        <v>0</v>
      </c>
      <c r="AX151" s="206">
        <f>Sheet1!EM155</f>
        <v>0</v>
      </c>
      <c r="AY151" s="206">
        <f>Sheet1!EN155</f>
        <v>0</v>
      </c>
      <c r="AZ151" s="206">
        <f>Sheet1!EO155</f>
        <v>0</v>
      </c>
      <c r="BA151" s="206">
        <f>Sheet1!EP155</f>
        <v>0</v>
      </c>
      <c r="BB151" s="206">
        <f t="shared" si="38"/>
        <v>0</v>
      </c>
      <c r="BC151" s="206">
        <f>Sheet1!EQ155</f>
        <v>0</v>
      </c>
      <c r="BD151" s="206">
        <f>Sheet1!ER155</f>
        <v>0</v>
      </c>
      <c r="BE151" s="206">
        <f>Sheet1!ES155</f>
        <v>0</v>
      </c>
      <c r="BF151" s="206">
        <f>Sheet1!ET155</f>
        <v>0</v>
      </c>
      <c r="BG151" s="206">
        <f t="shared" si="39"/>
        <v>0</v>
      </c>
      <c r="BH151" s="206">
        <f>Sheet1!EU155</f>
        <v>0</v>
      </c>
      <c r="BI151" s="206">
        <f>Sheet1!EV155</f>
        <v>0</v>
      </c>
      <c r="BJ151" s="206">
        <f>Sheet1!EW155</f>
        <v>0</v>
      </c>
      <c r="BK151" s="206">
        <f>Sheet1!EX155</f>
        <v>0</v>
      </c>
      <c r="BL151" s="206">
        <f t="shared" si="40"/>
        <v>0</v>
      </c>
      <c r="BM151" s="206">
        <f>Sheet1!EY155</f>
        <v>0</v>
      </c>
      <c r="BN151" s="206">
        <f>Sheet1!EZ155</f>
        <v>0</v>
      </c>
      <c r="BO151" s="206">
        <f>Sheet1!FA155</f>
        <v>0</v>
      </c>
      <c r="BP151" s="206">
        <f>Sheet1!FB155</f>
        <v>0</v>
      </c>
      <c r="BQ151" s="206">
        <f t="shared" si="41"/>
        <v>0</v>
      </c>
      <c r="BR151" s="206">
        <f>Sheet1!FC155</f>
        <v>0</v>
      </c>
      <c r="BS151" s="206">
        <f>Sheet1!FD155</f>
        <v>0</v>
      </c>
      <c r="BT151" s="206">
        <f>Sheet1!FE155</f>
        <v>0</v>
      </c>
      <c r="BU151" s="206">
        <f>Sheet1!FF155</f>
        <v>0</v>
      </c>
      <c r="BV151" s="206">
        <f t="shared" si="42"/>
        <v>0</v>
      </c>
      <c r="BW151" s="206">
        <f>Sheet1!FG155</f>
        <v>0</v>
      </c>
      <c r="BX151" s="206">
        <f>Sheet1!FH155</f>
        <v>0</v>
      </c>
      <c r="BY151" s="206">
        <f>Sheet1!FI155</f>
        <v>0</v>
      </c>
      <c r="BZ151" s="206">
        <f>Sheet1!FJ155</f>
        <v>0</v>
      </c>
      <c r="CA151" s="206">
        <f t="shared" si="43"/>
        <v>0</v>
      </c>
      <c r="CB151" s="206">
        <f>Sheet1!FK155</f>
        <v>0</v>
      </c>
      <c r="CC151" s="206">
        <f>Sheet1!FL155</f>
        <v>0</v>
      </c>
      <c r="CD151" s="206">
        <f>Sheet1!FM155</f>
        <v>0</v>
      </c>
      <c r="CE151" s="206">
        <f>Sheet1!FN155</f>
        <v>0</v>
      </c>
      <c r="CF151" s="206">
        <f t="shared" si="44"/>
        <v>0</v>
      </c>
      <c r="CG151" s="206">
        <f t="shared" si="45"/>
        <v>0</v>
      </c>
      <c r="CH151" s="206">
        <f t="shared" si="46"/>
        <v>0</v>
      </c>
      <c r="CI151" s="206">
        <f t="shared" si="47"/>
        <v>0</v>
      </c>
      <c r="CJ151" s="206">
        <f t="shared" si="48"/>
        <v>0</v>
      </c>
      <c r="CK151" s="206">
        <f t="shared" si="49"/>
        <v>0</v>
      </c>
      <c r="CL151" s="206">
        <f t="shared" si="50"/>
        <v>0</v>
      </c>
      <c r="CM151" s="206">
        <f t="shared" si="51"/>
        <v>0</v>
      </c>
      <c r="CN151" s="206">
        <f t="shared" si="52"/>
        <v>0</v>
      </c>
      <c r="CO151" s="206">
        <f t="shared" si="53"/>
        <v>0</v>
      </c>
      <c r="CP151" s="206">
        <f t="shared" si="54"/>
        <v>0</v>
      </c>
    </row>
    <row r="152" spans="45:94">
      <c r="AS152" s="206">
        <f>Sheet1!EI156</f>
        <v>0</v>
      </c>
      <c r="AT152" s="206">
        <f>Sheet1!EJ156</f>
        <v>0</v>
      </c>
      <c r="AU152" s="206">
        <f>Sheet1!EK156</f>
        <v>0</v>
      </c>
      <c r="AV152" s="206">
        <f>Sheet1!EL156</f>
        <v>0</v>
      </c>
      <c r="AW152" s="206">
        <f t="shared" si="37"/>
        <v>0</v>
      </c>
      <c r="AX152" s="206">
        <f>Sheet1!EM156</f>
        <v>0</v>
      </c>
      <c r="AY152" s="206">
        <f>Sheet1!EN156</f>
        <v>0</v>
      </c>
      <c r="AZ152" s="206">
        <f>Sheet1!EO156</f>
        <v>0</v>
      </c>
      <c r="BA152" s="206">
        <f>Sheet1!EP156</f>
        <v>0</v>
      </c>
      <c r="BB152" s="206">
        <f t="shared" si="38"/>
        <v>0</v>
      </c>
      <c r="BC152" s="206">
        <f>Sheet1!EQ156</f>
        <v>0</v>
      </c>
      <c r="BD152" s="206">
        <f>Sheet1!ER156</f>
        <v>0</v>
      </c>
      <c r="BE152" s="206">
        <f>Sheet1!ES156</f>
        <v>0</v>
      </c>
      <c r="BF152" s="206">
        <f>Sheet1!ET156</f>
        <v>0</v>
      </c>
      <c r="BG152" s="206">
        <f t="shared" si="39"/>
        <v>0</v>
      </c>
      <c r="BH152" s="206">
        <f>Sheet1!EU156</f>
        <v>0</v>
      </c>
      <c r="BI152" s="206">
        <f>Sheet1!EV156</f>
        <v>0</v>
      </c>
      <c r="BJ152" s="206">
        <f>Sheet1!EW156</f>
        <v>0</v>
      </c>
      <c r="BK152" s="206">
        <f>Sheet1!EX156</f>
        <v>0</v>
      </c>
      <c r="BL152" s="206">
        <f t="shared" si="40"/>
        <v>0</v>
      </c>
      <c r="BM152" s="206">
        <f>Sheet1!EY156</f>
        <v>0</v>
      </c>
      <c r="BN152" s="206">
        <f>Sheet1!EZ156</f>
        <v>0</v>
      </c>
      <c r="BO152" s="206">
        <f>Sheet1!FA156</f>
        <v>0</v>
      </c>
      <c r="BP152" s="206">
        <f>Sheet1!FB156</f>
        <v>0</v>
      </c>
      <c r="BQ152" s="206">
        <f t="shared" si="41"/>
        <v>0</v>
      </c>
      <c r="BR152" s="206">
        <f>Sheet1!FC156</f>
        <v>0</v>
      </c>
      <c r="BS152" s="206">
        <f>Sheet1!FD156</f>
        <v>0</v>
      </c>
      <c r="BT152" s="206">
        <f>Sheet1!FE156</f>
        <v>0</v>
      </c>
      <c r="BU152" s="206">
        <f>Sheet1!FF156</f>
        <v>0</v>
      </c>
      <c r="BV152" s="206">
        <f t="shared" si="42"/>
        <v>0</v>
      </c>
      <c r="BW152" s="206">
        <f>Sheet1!FG156</f>
        <v>0</v>
      </c>
      <c r="BX152" s="206">
        <f>Sheet1!FH156</f>
        <v>0</v>
      </c>
      <c r="BY152" s="206">
        <f>Sheet1!FI156</f>
        <v>0</v>
      </c>
      <c r="BZ152" s="206">
        <f>Sheet1!FJ156</f>
        <v>0</v>
      </c>
      <c r="CA152" s="206">
        <f t="shared" si="43"/>
        <v>0</v>
      </c>
      <c r="CB152" s="206">
        <f>Sheet1!FK156</f>
        <v>0</v>
      </c>
      <c r="CC152" s="206">
        <f>Sheet1!FL156</f>
        <v>0</v>
      </c>
      <c r="CD152" s="206">
        <f>Sheet1!FM156</f>
        <v>0</v>
      </c>
      <c r="CE152" s="206">
        <f>Sheet1!FN156</f>
        <v>0</v>
      </c>
      <c r="CF152" s="206">
        <f t="shared" si="44"/>
        <v>0</v>
      </c>
      <c r="CG152" s="206">
        <f t="shared" si="45"/>
        <v>0</v>
      </c>
      <c r="CH152" s="206">
        <f t="shared" si="46"/>
        <v>0</v>
      </c>
      <c r="CI152" s="206">
        <f t="shared" si="47"/>
        <v>0</v>
      </c>
      <c r="CJ152" s="206">
        <f t="shared" si="48"/>
        <v>0</v>
      </c>
      <c r="CK152" s="206">
        <f t="shared" si="49"/>
        <v>0</v>
      </c>
      <c r="CL152" s="206">
        <f t="shared" si="50"/>
        <v>0</v>
      </c>
      <c r="CM152" s="206">
        <f t="shared" si="51"/>
        <v>0</v>
      </c>
      <c r="CN152" s="206">
        <f t="shared" si="52"/>
        <v>0</v>
      </c>
      <c r="CO152" s="206">
        <f t="shared" si="53"/>
        <v>0</v>
      </c>
      <c r="CP152" s="206">
        <f t="shared" si="54"/>
        <v>0</v>
      </c>
    </row>
    <row r="153" spans="45:94">
      <c r="AS153" s="206">
        <f>Sheet1!EI157</f>
        <v>0</v>
      </c>
      <c r="AT153" s="206">
        <f>Sheet1!EJ157</f>
        <v>0</v>
      </c>
      <c r="AU153" s="206">
        <f>Sheet1!EK157</f>
        <v>0</v>
      </c>
      <c r="AV153" s="206">
        <f>Sheet1!EL157</f>
        <v>0</v>
      </c>
      <c r="AW153" s="206">
        <f t="shared" si="37"/>
        <v>0</v>
      </c>
      <c r="AX153" s="206">
        <f>Sheet1!EM157</f>
        <v>0</v>
      </c>
      <c r="AY153" s="206">
        <f>Sheet1!EN157</f>
        <v>0</v>
      </c>
      <c r="AZ153" s="206">
        <f>Sheet1!EO157</f>
        <v>0</v>
      </c>
      <c r="BA153" s="206">
        <f>Sheet1!EP157</f>
        <v>0</v>
      </c>
      <c r="BB153" s="206">
        <f t="shared" si="38"/>
        <v>0</v>
      </c>
      <c r="BC153" s="206">
        <f>Sheet1!EQ157</f>
        <v>0</v>
      </c>
      <c r="BD153" s="206">
        <f>Sheet1!ER157</f>
        <v>0</v>
      </c>
      <c r="BE153" s="206">
        <f>Sheet1!ES157</f>
        <v>0</v>
      </c>
      <c r="BF153" s="206">
        <f>Sheet1!ET157</f>
        <v>0</v>
      </c>
      <c r="BG153" s="206">
        <f t="shared" si="39"/>
        <v>0</v>
      </c>
      <c r="BH153" s="206">
        <f>Sheet1!EU157</f>
        <v>0</v>
      </c>
      <c r="BI153" s="206">
        <f>Sheet1!EV157</f>
        <v>0</v>
      </c>
      <c r="BJ153" s="206">
        <f>Sheet1!EW157</f>
        <v>0</v>
      </c>
      <c r="BK153" s="206">
        <f>Sheet1!EX157</f>
        <v>0</v>
      </c>
      <c r="BL153" s="206">
        <f t="shared" si="40"/>
        <v>0</v>
      </c>
      <c r="BM153" s="206">
        <f>Sheet1!EY157</f>
        <v>0</v>
      </c>
      <c r="BN153" s="206">
        <f>Sheet1!EZ157</f>
        <v>0</v>
      </c>
      <c r="BO153" s="206">
        <f>Sheet1!FA157</f>
        <v>0</v>
      </c>
      <c r="BP153" s="206">
        <f>Sheet1!FB157</f>
        <v>0</v>
      </c>
      <c r="BQ153" s="206">
        <f t="shared" si="41"/>
        <v>0</v>
      </c>
      <c r="BR153" s="206">
        <f>Sheet1!FC157</f>
        <v>0</v>
      </c>
      <c r="BS153" s="206">
        <f>Sheet1!FD157</f>
        <v>0</v>
      </c>
      <c r="BT153" s="206">
        <f>Sheet1!FE157</f>
        <v>0</v>
      </c>
      <c r="BU153" s="206">
        <f>Sheet1!FF157</f>
        <v>0</v>
      </c>
      <c r="BV153" s="206">
        <f t="shared" si="42"/>
        <v>0</v>
      </c>
      <c r="BW153" s="206">
        <f>Sheet1!FG157</f>
        <v>0</v>
      </c>
      <c r="BX153" s="206">
        <f>Sheet1!FH157</f>
        <v>0</v>
      </c>
      <c r="BY153" s="206">
        <f>Sheet1!FI157</f>
        <v>0</v>
      </c>
      <c r="BZ153" s="206">
        <f>Sheet1!FJ157</f>
        <v>0</v>
      </c>
      <c r="CA153" s="206">
        <f t="shared" si="43"/>
        <v>0</v>
      </c>
      <c r="CB153" s="206">
        <f>Sheet1!FK157</f>
        <v>0</v>
      </c>
      <c r="CC153" s="206">
        <f>Sheet1!FL157</f>
        <v>0</v>
      </c>
      <c r="CD153" s="206">
        <f>Sheet1!FM157</f>
        <v>0</v>
      </c>
      <c r="CE153" s="206">
        <f>Sheet1!FN157</f>
        <v>0</v>
      </c>
      <c r="CF153" s="206">
        <f t="shared" si="44"/>
        <v>0</v>
      </c>
      <c r="CG153" s="206">
        <f t="shared" si="45"/>
        <v>0</v>
      </c>
      <c r="CH153" s="206">
        <f t="shared" si="46"/>
        <v>0</v>
      </c>
      <c r="CI153" s="206">
        <f t="shared" si="47"/>
        <v>0</v>
      </c>
      <c r="CJ153" s="206">
        <f t="shared" si="48"/>
        <v>0</v>
      </c>
      <c r="CK153" s="206">
        <f t="shared" si="49"/>
        <v>0</v>
      </c>
      <c r="CL153" s="206">
        <f t="shared" si="50"/>
        <v>0</v>
      </c>
      <c r="CM153" s="206">
        <f t="shared" si="51"/>
        <v>0</v>
      </c>
      <c r="CN153" s="206">
        <f t="shared" si="52"/>
        <v>0</v>
      </c>
      <c r="CO153" s="206">
        <f t="shared" si="53"/>
        <v>0</v>
      </c>
      <c r="CP153" s="206">
        <f t="shared" si="54"/>
        <v>0</v>
      </c>
    </row>
    <row r="154" spans="45:94">
      <c r="AS154" s="206">
        <f>Sheet1!EI158</f>
        <v>0</v>
      </c>
      <c r="AT154" s="206">
        <f>Sheet1!EJ158</f>
        <v>0</v>
      </c>
      <c r="AU154" s="206">
        <f>Sheet1!EK158</f>
        <v>0</v>
      </c>
      <c r="AV154" s="206">
        <f>Sheet1!EL158</f>
        <v>0</v>
      </c>
      <c r="AW154" s="206">
        <f t="shared" si="37"/>
        <v>0</v>
      </c>
      <c r="AX154" s="206">
        <f>Sheet1!EM158</f>
        <v>0</v>
      </c>
      <c r="AY154" s="206">
        <f>Sheet1!EN158</f>
        <v>0</v>
      </c>
      <c r="AZ154" s="206">
        <f>Sheet1!EO158</f>
        <v>0</v>
      </c>
      <c r="BA154" s="206">
        <f>Sheet1!EP158</f>
        <v>0</v>
      </c>
      <c r="BB154" s="206">
        <f t="shared" si="38"/>
        <v>0</v>
      </c>
      <c r="BC154" s="206">
        <f>Sheet1!EQ158</f>
        <v>0</v>
      </c>
      <c r="BD154" s="206">
        <f>Sheet1!ER158</f>
        <v>0</v>
      </c>
      <c r="BE154" s="206">
        <f>Sheet1!ES158</f>
        <v>0</v>
      </c>
      <c r="BF154" s="206">
        <f>Sheet1!ET158</f>
        <v>0</v>
      </c>
      <c r="BG154" s="206">
        <f t="shared" si="39"/>
        <v>0</v>
      </c>
      <c r="BH154" s="206">
        <f>Sheet1!EU158</f>
        <v>0</v>
      </c>
      <c r="BI154" s="206">
        <f>Sheet1!EV158</f>
        <v>0</v>
      </c>
      <c r="BJ154" s="206">
        <f>Sheet1!EW158</f>
        <v>0</v>
      </c>
      <c r="BK154" s="206">
        <f>Sheet1!EX158</f>
        <v>0</v>
      </c>
      <c r="BL154" s="206">
        <f t="shared" si="40"/>
        <v>0</v>
      </c>
      <c r="BM154" s="206">
        <f>Sheet1!EY158</f>
        <v>0</v>
      </c>
      <c r="BN154" s="206">
        <f>Sheet1!EZ158</f>
        <v>0</v>
      </c>
      <c r="BO154" s="206">
        <f>Sheet1!FA158</f>
        <v>0</v>
      </c>
      <c r="BP154" s="206">
        <f>Sheet1!FB158</f>
        <v>0</v>
      </c>
      <c r="BQ154" s="206">
        <f t="shared" si="41"/>
        <v>0</v>
      </c>
      <c r="BR154" s="206">
        <f>Sheet1!FC158</f>
        <v>0</v>
      </c>
      <c r="BS154" s="206">
        <f>Sheet1!FD158</f>
        <v>0</v>
      </c>
      <c r="BT154" s="206">
        <f>Sheet1!FE158</f>
        <v>0</v>
      </c>
      <c r="BU154" s="206">
        <f>Sheet1!FF158</f>
        <v>0</v>
      </c>
      <c r="BV154" s="206">
        <f t="shared" si="42"/>
        <v>0</v>
      </c>
      <c r="BW154" s="206">
        <f>Sheet1!FG158</f>
        <v>0</v>
      </c>
      <c r="BX154" s="206">
        <f>Sheet1!FH158</f>
        <v>0</v>
      </c>
      <c r="BY154" s="206">
        <f>Sheet1!FI158</f>
        <v>0</v>
      </c>
      <c r="BZ154" s="206">
        <f>Sheet1!FJ158</f>
        <v>0</v>
      </c>
      <c r="CA154" s="206">
        <f t="shared" si="43"/>
        <v>0</v>
      </c>
      <c r="CB154" s="206">
        <f>Sheet1!FK158</f>
        <v>0</v>
      </c>
      <c r="CC154" s="206">
        <f>Sheet1!FL158</f>
        <v>0</v>
      </c>
      <c r="CD154" s="206">
        <f>Sheet1!FM158</f>
        <v>0</v>
      </c>
      <c r="CE154" s="206">
        <f>Sheet1!FN158</f>
        <v>0</v>
      </c>
      <c r="CF154" s="206">
        <f t="shared" si="44"/>
        <v>0</v>
      </c>
      <c r="CG154" s="206">
        <f t="shared" si="45"/>
        <v>0</v>
      </c>
      <c r="CH154" s="206">
        <f t="shared" si="46"/>
        <v>0</v>
      </c>
      <c r="CI154" s="206">
        <f t="shared" si="47"/>
        <v>0</v>
      </c>
      <c r="CJ154" s="206">
        <f t="shared" si="48"/>
        <v>0</v>
      </c>
      <c r="CK154" s="206">
        <f t="shared" si="49"/>
        <v>0</v>
      </c>
      <c r="CL154" s="206">
        <f t="shared" si="50"/>
        <v>0</v>
      </c>
      <c r="CM154" s="206">
        <f t="shared" si="51"/>
        <v>0</v>
      </c>
      <c r="CN154" s="206">
        <f t="shared" si="52"/>
        <v>0</v>
      </c>
      <c r="CO154" s="206">
        <f t="shared" si="53"/>
        <v>0</v>
      </c>
      <c r="CP154" s="206">
        <f t="shared" si="54"/>
        <v>0</v>
      </c>
    </row>
    <row r="155" spans="45:94">
      <c r="AS155" s="206">
        <f>Sheet1!EI159</f>
        <v>0</v>
      </c>
      <c r="AT155" s="206">
        <f>Sheet1!EJ159</f>
        <v>0</v>
      </c>
      <c r="AU155" s="206">
        <f>Sheet1!EK159</f>
        <v>0</v>
      </c>
      <c r="AV155" s="206">
        <f>Sheet1!EL159</f>
        <v>0</v>
      </c>
      <c r="AW155" s="206">
        <f t="shared" si="37"/>
        <v>0</v>
      </c>
      <c r="AX155" s="206">
        <f>Sheet1!EM159</f>
        <v>0</v>
      </c>
      <c r="AY155" s="206">
        <f>Sheet1!EN159</f>
        <v>0</v>
      </c>
      <c r="AZ155" s="206">
        <f>Sheet1!EO159</f>
        <v>0</v>
      </c>
      <c r="BA155" s="206">
        <f>Sheet1!EP159</f>
        <v>0</v>
      </c>
      <c r="BB155" s="206">
        <f t="shared" si="38"/>
        <v>0</v>
      </c>
      <c r="BC155" s="206">
        <f>Sheet1!EQ159</f>
        <v>0</v>
      </c>
      <c r="BD155" s="206">
        <f>Sheet1!ER159</f>
        <v>0</v>
      </c>
      <c r="BE155" s="206">
        <f>Sheet1!ES159</f>
        <v>0</v>
      </c>
      <c r="BF155" s="206">
        <f>Sheet1!ET159</f>
        <v>0</v>
      </c>
      <c r="BG155" s="206">
        <f t="shared" si="39"/>
        <v>0</v>
      </c>
      <c r="BH155" s="206">
        <f>Sheet1!EU159</f>
        <v>0</v>
      </c>
      <c r="BI155" s="206">
        <f>Sheet1!EV159</f>
        <v>0</v>
      </c>
      <c r="BJ155" s="206">
        <f>Sheet1!EW159</f>
        <v>0</v>
      </c>
      <c r="BK155" s="206">
        <f>Sheet1!EX159</f>
        <v>0</v>
      </c>
      <c r="BL155" s="206">
        <f t="shared" si="40"/>
        <v>0</v>
      </c>
      <c r="BM155" s="206">
        <f>Sheet1!EY159</f>
        <v>0</v>
      </c>
      <c r="BN155" s="206">
        <f>Sheet1!EZ159</f>
        <v>0</v>
      </c>
      <c r="BO155" s="206">
        <f>Sheet1!FA159</f>
        <v>0</v>
      </c>
      <c r="BP155" s="206">
        <f>Sheet1!FB159</f>
        <v>0</v>
      </c>
      <c r="BQ155" s="206">
        <f t="shared" si="41"/>
        <v>0</v>
      </c>
      <c r="BR155" s="206">
        <f>Sheet1!FC159</f>
        <v>0</v>
      </c>
      <c r="BS155" s="206">
        <f>Sheet1!FD159</f>
        <v>0</v>
      </c>
      <c r="BT155" s="206">
        <f>Sheet1!FE159</f>
        <v>0</v>
      </c>
      <c r="BU155" s="206">
        <f>Sheet1!FF159</f>
        <v>0</v>
      </c>
      <c r="BV155" s="206">
        <f t="shared" si="42"/>
        <v>0</v>
      </c>
      <c r="BW155" s="206">
        <f>Sheet1!FG159</f>
        <v>0</v>
      </c>
      <c r="BX155" s="206">
        <f>Sheet1!FH159</f>
        <v>0</v>
      </c>
      <c r="BY155" s="206">
        <f>Sheet1!FI159</f>
        <v>0</v>
      </c>
      <c r="BZ155" s="206">
        <f>Sheet1!FJ159</f>
        <v>0</v>
      </c>
      <c r="CA155" s="206">
        <f t="shared" si="43"/>
        <v>0</v>
      </c>
      <c r="CB155" s="206">
        <f>Sheet1!FK159</f>
        <v>0</v>
      </c>
      <c r="CC155" s="206">
        <f>Sheet1!FL159</f>
        <v>0</v>
      </c>
      <c r="CD155" s="206">
        <f>Sheet1!FM159</f>
        <v>0</v>
      </c>
      <c r="CE155" s="206">
        <f>Sheet1!FN159</f>
        <v>0</v>
      </c>
      <c r="CF155" s="206">
        <f t="shared" si="44"/>
        <v>0</v>
      </c>
      <c r="CG155" s="206">
        <f t="shared" si="45"/>
        <v>0</v>
      </c>
      <c r="CH155" s="206">
        <f t="shared" si="46"/>
        <v>0</v>
      </c>
      <c r="CI155" s="206">
        <f t="shared" si="47"/>
        <v>0</v>
      </c>
      <c r="CJ155" s="206">
        <f t="shared" si="48"/>
        <v>0</v>
      </c>
      <c r="CK155" s="206">
        <f t="shared" si="49"/>
        <v>0</v>
      </c>
      <c r="CL155" s="206">
        <f t="shared" si="50"/>
        <v>0</v>
      </c>
      <c r="CM155" s="206">
        <f t="shared" si="51"/>
        <v>0</v>
      </c>
      <c r="CN155" s="206">
        <f t="shared" si="52"/>
        <v>0</v>
      </c>
      <c r="CO155" s="206">
        <f t="shared" si="53"/>
        <v>0</v>
      </c>
      <c r="CP155" s="206">
        <f t="shared" si="54"/>
        <v>0</v>
      </c>
    </row>
    <row r="156" spans="45:94">
      <c r="AS156" s="206">
        <f>Sheet1!EI160</f>
        <v>0</v>
      </c>
      <c r="AT156" s="206">
        <f>Sheet1!EJ160</f>
        <v>0</v>
      </c>
      <c r="AU156" s="206">
        <f>Sheet1!EK160</f>
        <v>0</v>
      </c>
      <c r="AV156" s="206">
        <f>Sheet1!EL160</f>
        <v>0</v>
      </c>
      <c r="AW156" s="206">
        <f t="shared" si="37"/>
        <v>0</v>
      </c>
      <c r="AX156" s="206">
        <f>Sheet1!EM160</f>
        <v>0</v>
      </c>
      <c r="AY156" s="206">
        <f>Sheet1!EN160</f>
        <v>0</v>
      </c>
      <c r="AZ156" s="206">
        <f>Sheet1!EO160</f>
        <v>0</v>
      </c>
      <c r="BA156" s="206">
        <f>Sheet1!EP160</f>
        <v>0</v>
      </c>
      <c r="BB156" s="206">
        <f t="shared" si="38"/>
        <v>0</v>
      </c>
      <c r="BC156" s="206">
        <f>Sheet1!EQ160</f>
        <v>0</v>
      </c>
      <c r="BD156" s="206">
        <f>Sheet1!ER160</f>
        <v>0</v>
      </c>
      <c r="BE156" s="206">
        <f>Sheet1!ES160</f>
        <v>0</v>
      </c>
      <c r="BF156" s="206">
        <f>Sheet1!ET160</f>
        <v>0</v>
      </c>
      <c r="BG156" s="206">
        <f t="shared" si="39"/>
        <v>0</v>
      </c>
      <c r="BH156" s="206">
        <f>Sheet1!EU160</f>
        <v>0</v>
      </c>
      <c r="BI156" s="206">
        <f>Sheet1!EV160</f>
        <v>0</v>
      </c>
      <c r="BJ156" s="206">
        <f>Sheet1!EW160</f>
        <v>0</v>
      </c>
      <c r="BK156" s="206">
        <f>Sheet1!EX160</f>
        <v>0</v>
      </c>
      <c r="BL156" s="206">
        <f t="shared" si="40"/>
        <v>0</v>
      </c>
      <c r="BM156" s="206">
        <f>Sheet1!EY160</f>
        <v>0</v>
      </c>
      <c r="BN156" s="206">
        <f>Sheet1!EZ160</f>
        <v>0</v>
      </c>
      <c r="BO156" s="206">
        <f>Sheet1!FA160</f>
        <v>0</v>
      </c>
      <c r="BP156" s="206">
        <f>Sheet1!FB160</f>
        <v>0</v>
      </c>
      <c r="BQ156" s="206">
        <f t="shared" si="41"/>
        <v>0</v>
      </c>
      <c r="BR156" s="206">
        <f>Sheet1!FC160</f>
        <v>0</v>
      </c>
      <c r="BS156" s="206">
        <f>Sheet1!FD160</f>
        <v>0</v>
      </c>
      <c r="BT156" s="206">
        <f>Sheet1!FE160</f>
        <v>0</v>
      </c>
      <c r="BU156" s="206">
        <f>Sheet1!FF160</f>
        <v>0</v>
      </c>
      <c r="BV156" s="206">
        <f t="shared" si="42"/>
        <v>0</v>
      </c>
      <c r="BW156" s="206">
        <f>Sheet1!FG160</f>
        <v>0</v>
      </c>
      <c r="BX156" s="206">
        <f>Sheet1!FH160</f>
        <v>0</v>
      </c>
      <c r="BY156" s="206">
        <f>Sheet1!FI160</f>
        <v>0</v>
      </c>
      <c r="BZ156" s="206">
        <f>Sheet1!FJ160</f>
        <v>0</v>
      </c>
      <c r="CA156" s="206">
        <f t="shared" si="43"/>
        <v>0</v>
      </c>
      <c r="CB156" s="206">
        <f>Sheet1!FK160</f>
        <v>0</v>
      </c>
      <c r="CC156" s="206">
        <f>Sheet1!FL160</f>
        <v>0</v>
      </c>
      <c r="CD156" s="206">
        <f>Sheet1!FM160</f>
        <v>0</v>
      </c>
      <c r="CE156" s="206">
        <f>Sheet1!FN160</f>
        <v>0</v>
      </c>
      <c r="CF156" s="206">
        <f t="shared" si="44"/>
        <v>0</v>
      </c>
      <c r="CG156" s="206">
        <f t="shared" si="45"/>
        <v>0</v>
      </c>
      <c r="CH156" s="206">
        <f t="shared" si="46"/>
        <v>0</v>
      </c>
      <c r="CI156" s="206">
        <f t="shared" si="47"/>
        <v>0</v>
      </c>
      <c r="CJ156" s="206">
        <f t="shared" si="48"/>
        <v>0</v>
      </c>
      <c r="CK156" s="206">
        <f t="shared" si="49"/>
        <v>0</v>
      </c>
      <c r="CL156" s="206">
        <f t="shared" si="50"/>
        <v>0</v>
      </c>
      <c r="CM156" s="206">
        <f t="shared" si="51"/>
        <v>0</v>
      </c>
      <c r="CN156" s="206">
        <f t="shared" si="52"/>
        <v>0</v>
      </c>
      <c r="CO156" s="206">
        <f t="shared" si="53"/>
        <v>0</v>
      </c>
      <c r="CP156" s="206">
        <f t="shared" si="54"/>
        <v>0</v>
      </c>
    </row>
    <row r="157" spans="45:94">
      <c r="AS157" s="206">
        <f>Sheet1!EI161</f>
        <v>0</v>
      </c>
      <c r="AT157" s="206">
        <f>Sheet1!EJ161</f>
        <v>0</v>
      </c>
      <c r="AU157" s="206">
        <f>Sheet1!EK161</f>
        <v>0</v>
      </c>
      <c r="AV157" s="206">
        <f>Sheet1!EL161</f>
        <v>0</v>
      </c>
      <c r="AW157" s="206">
        <f t="shared" si="37"/>
        <v>0</v>
      </c>
      <c r="AX157" s="206">
        <f>Sheet1!EM161</f>
        <v>0</v>
      </c>
      <c r="AY157" s="206">
        <f>Sheet1!EN161</f>
        <v>0</v>
      </c>
      <c r="AZ157" s="206">
        <f>Sheet1!EO161</f>
        <v>0</v>
      </c>
      <c r="BA157" s="206">
        <f>Sheet1!EP161</f>
        <v>0</v>
      </c>
      <c r="BB157" s="206">
        <f t="shared" si="38"/>
        <v>0</v>
      </c>
      <c r="BC157" s="206">
        <f>Sheet1!EQ161</f>
        <v>0</v>
      </c>
      <c r="BD157" s="206">
        <f>Sheet1!ER161</f>
        <v>0</v>
      </c>
      <c r="BE157" s="206">
        <f>Sheet1!ES161</f>
        <v>0</v>
      </c>
      <c r="BF157" s="206">
        <f>Sheet1!ET161</f>
        <v>0</v>
      </c>
      <c r="BG157" s="206">
        <f t="shared" si="39"/>
        <v>0</v>
      </c>
      <c r="BH157" s="206">
        <f>Sheet1!EU161</f>
        <v>0</v>
      </c>
      <c r="BI157" s="206">
        <f>Sheet1!EV161</f>
        <v>0</v>
      </c>
      <c r="BJ157" s="206">
        <f>Sheet1!EW161</f>
        <v>0</v>
      </c>
      <c r="BK157" s="206">
        <f>Sheet1!EX161</f>
        <v>0</v>
      </c>
      <c r="BL157" s="206">
        <f t="shared" si="40"/>
        <v>0</v>
      </c>
      <c r="BM157" s="206">
        <f>Sheet1!EY161</f>
        <v>0</v>
      </c>
      <c r="BN157" s="206">
        <f>Sheet1!EZ161</f>
        <v>0</v>
      </c>
      <c r="BO157" s="206">
        <f>Sheet1!FA161</f>
        <v>0</v>
      </c>
      <c r="BP157" s="206">
        <f>Sheet1!FB161</f>
        <v>0</v>
      </c>
      <c r="BQ157" s="206">
        <f t="shared" si="41"/>
        <v>0</v>
      </c>
      <c r="BR157" s="206">
        <f>Sheet1!FC161</f>
        <v>0</v>
      </c>
      <c r="BS157" s="206">
        <f>Sheet1!FD161</f>
        <v>0</v>
      </c>
      <c r="BT157" s="206">
        <f>Sheet1!FE161</f>
        <v>0</v>
      </c>
      <c r="BU157" s="206">
        <f>Sheet1!FF161</f>
        <v>0</v>
      </c>
      <c r="BV157" s="206">
        <f t="shared" si="42"/>
        <v>0</v>
      </c>
      <c r="BW157" s="206">
        <f>Sheet1!FG161</f>
        <v>0</v>
      </c>
      <c r="BX157" s="206">
        <f>Sheet1!FH161</f>
        <v>0</v>
      </c>
      <c r="BY157" s="206">
        <f>Sheet1!FI161</f>
        <v>0</v>
      </c>
      <c r="BZ157" s="206">
        <f>Sheet1!FJ161</f>
        <v>0</v>
      </c>
      <c r="CA157" s="206">
        <f t="shared" si="43"/>
        <v>0</v>
      </c>
      <c r="CB157" s="206">
        <f>Sheet1!FK161</f>
        <v>0</v>
      </c>
      <c r="CC157" s="206">
        <f>Sheet1!FL161</f>
        <v>0</v>
      </c>
      <c r="CD157" s="206">
        <f>Sheet1!FM161</f>
        <v>0</v>
      </c>
      <c r="CE157" s="206">
        <f>Sheet1!FN161</f>
        <v>0</v>
      </c>
      <c r="CF157" s="206">
        <f t="shared" si="44"/>
        <v>0</v>
      </c>
      <c r="CG157" s="206">
        <f t="shared" si="45"/>
        <v>0</v>
      </c>
      <c r="CH157" s="206">
        <f t="shared" si="46"/>
        <v>0</v>
      </c>
      <c r="CI157" s="206">
        <f t="shared" si="47"/>
        <v>0</v>
      </c>
      <c r="CJ157" s="206">
        <f t="shared" si="48"/>
        <v>0</v>
      </c>
      <c r="CK157" s="206">
        <f t="shared" si="49"/>
        <v>0</v>
      </c>
      <c r="CL157" s="206">
        <f t="shared" si="50"/>
        <v>0</v>
      </c>
      <c r="CM157" s="206">
        <f t="shared" si="51"/>
        <v>0</v>
      </c>
      <c r="CN157" s="206">
        <f t="shared" si="52"/>
        <v>0</v>
      </c>
      <c r="CO157" s="206">
        <f t="shared" si="53"/>
        <v>0</v>
      </c>
      <c r="CP157" s="206">
        <f t="shared" si="54"/>
        <v>0</v>
      </c>
    </row>
    <row r="158" spans="45:94">
      <c r="AS158" s="206">
        <f>Sheet1!EI162</f>
        <v>0</v>
      </c>
      <c r="AT158" s="206">
        <f>Sheet1!EJ162</f>
        <v>0</v>
      </c>
      <c r="AU158" s="206">
        <f>Sheet1!EK162</f>
        <v>0</v>
      </c>
      <c r="AV158" s="206">
        <f>Sheet1!EL162</f>
        <v>0</v>
      </c>
      <c r="AW158" s="206">
        <f t="shared" si="37"/>
        <v>0</v>
      </c>
      <c r="AX158" s="206">
        <f>Sheet1!EM162</f>
        <v>0</v>
      </c>
      <c r="AY158" s="206">
        <f>Sheet1!EN162</f>
        <v>0</v>
      </c>
      <c r="AZ158" s="206">
        <f>Sheet1!EO162</f>
        <v>0</v>
      </c>
      <c r="BA158" s="206">
        <f>Sheet1!EP162</f>
        <v>0</v>
      </c>
      <c r="BB158" s="206">
        <f t="shared" si="38"/>
        <v>0</v>
      </c>
      <c r="BC158" s="206">
        <f>Sheet1!EQ162</f>
        <v>0</v>
      </c>
      <c r="BD158" s="206">
        <f>Sheet1!ER162</f>
        <v>0</v>
      </c>
      <c r="BE158" s="206">
        <f>Sheet1!ES162</f>
        <v>0</v>
      </c>
      <c r="BF158" s="206">
        <f>Sheet1!ET162</f>
        <v>0</v>
      </c>
      <c r="BG158" s="206">
        <f t="shared" si="39"/>
        <v>0</v>
      </c>
      <c r="BH158" s="206">
        <f>Sheet1!EU162</f>
        <v>0</v>
      </c>
      <c r="BI158" s="206">
        <f>Sheet1!EV162</f>
        <v>0</v>
      </c>
      <c r="BJ158" s="206">
        <f>Sheet1!EW162</f>
        <v>0</v>
      </c>
      <c r="BK158" s="206">
        <f>Sheet1!EX162</f>
        <v>0</v>
      </c>
      <c r="BL158" s="206">
        <f t="shared" si="40"/>
        <v>0</v>
      </c>
      <c r="BM158" s="206">
        <f>Sheet1!EY162</f>
        <v>0</v>
      </c>
      <c r="BN158" s="206">
        <f>Sheet1!EZ162</f>
        <v>0</v>
      </c>
      <c r="BO158" s="206">
        <f>Sheet1!FA162</f>
        <v>0</v>
      </c>
      <c r="BP158" s="206">
        <f>Sheet1!FB162</f>
        <v>0</v>
      </c>
      <c r="BQ158" s="206">
        <f t="shared" si="41"/>
        <v>0</v>
      </c>
      <c r="BR158" s="206">
        <f>Sheet1!FC162</f>
        <v>0</v>
      </c>
      <c r="BS158" s="206">
        <f>Sheet1!FD162</f>
        <v>0</v>
      </c>
      <c r="BT158" s="206">
        <f>Sheet1!FE162</f>
        <v>0</v>
      </c>
      <c r="BU158" s="206">
        <f>Sheet1!FF162</f>
        <v>0</v>
      </c>
      <c r="BV158" s="206">
        <f t="shared" si="42"/>
        <v>0</v>
      </c>
      <c r="BW158" s="206">
        <f>Sheet1!FG162</f>
        <v>0</v>
      </c>
      <c r="BX158" s="206">
        <f>Sheet1!FH162</f>
        <v>0</v>
      </c>
      <c r="BY158" s="206">
        <f>Sheet1!FI162</f>
        <v>0</v>
      </c>
      <c r="BZ158" s="206">
        <f>Sheet1!FJ162</f>
        <v>0</v>
      </c>
      <c r="CA158" s="206">
        <f t="shared" si="43"/>
        <v>0</v>
      </c>
      <c r="CB158" s="206">
        <f>Sheet1!FK162</f>
        <v>0</v>
      </c>
      <c r="CC158" s="206">
        <f>Sheet1!FL162</f>
        <v>0</v>
      </c>
      <c r="CD158" s="206">
        <f>Sheet1!FM162</f>
        <v>0</v>
      </c>
      <c r="CE158" s="206">
        <f>Sheet1!FN162</f>
        <v>0</v>
      </c>
      <c r="CF158" s="206">
        <f t="shared" si="44"/>
        <v>0</v>
      </c>
      <c r="CG158" s="206">
        <f t="shared" si="45"/>
        <v>0</v>
      </c>
      <c r="CH158" s="206">
        <f t="shared" si="46"/>
        <v>0</v>
      </c>
      <c r="CI158" s="206">
        <f t="shared" si="47"/>
        <v>0</v>
      </c>
      <c r="CJ158" s="206">
        <f t="shared" si="48"/>
        <v>0</v>
      </c>
      <c r="CK158" s="206">
        <f t="shared" si="49"/>
        <v>0</v>
      </c>
      <c r="CL158" s="206">
        <f t="shared" si="50"/>
        <v>0</v>
      </c>
      <c r="CM158" s="206">
        <f t="shared" si="51"/>
        <v>0</v>
      </c>
      <c r="CN158" s="206">
        <f t="shared" si="52"/>
        <v>0</v>
      </c>
      <c r="CO158" s="206">
        <f t="shared" si="53"/>
        <v>0</v>
      </c>
      <c r="CP158" s="206">
        <f t="shared" si="54"/>
        <v>0</v>
      </c>
    </row>
    <row r="159" spans="45:94">
      <c r="AS159" s="206">
        <f>Sheet1!EI163</f>
        <v>0</v>
      </c>
      <c r="AT159" s="206">
        <f>Sheet1!EJ163</f>
        <v>0</v>
      </c>
      <c r="AU159" s="206">
        <f>Sheet1!EK163</f>
        <v>0</v>
      </c>
      <c r="AV159" s="206">
        <f>Sheet1!EL163</f>
        <v>0</v>
      </c>
      <c r="AW159" s="206">
        <f t="shared" si="37"/>
        <v>0</v>
      </c>
      <c r="AX159" s="206">
        <f>Sheet1!EM163</f>
        <v>0</v>
      </c>
      <c r="AY159" s="206">
        <f>Sheet1!EN163</f>
        <v>0</v>
      </c>
      <c r="AZ159" s="206">
        <f>Sheet1!EO163</f>
        <v>0</v>
      </c>
      <c r="BA159" s="206">
        <f>Sheet1!EP163</f>
        <v>0</v>
      </c>
      <c r="BB159" s="206">
        <f t="shared" si="38"/>
        <v>0</v>
      </c>
      <c r="BC159" s="206">
        <f>Sheet1!EQ163</f>
        <v>0</v>
      </c>
      <c r="BD159" s="206">
        <f>Sheet1!ER163</f>
        <v>0</v>
      </c>
      <c r="BE159" s="206">
        <f>Sheet1!ES163</f>
        <v>0</v>
      </c>
      <c r="BF159" s="206">
        <f>Sheet1!ET163</f>
        <v>0</v>
      </c>
      <c r="BG159" s="206">
        <f t="shared" si="39"/>
        <v>0</v>
      </c>
      <c r="BH159" s="206">
        <f>Sheet1!EU163</f>
        <v>0</v>
      </c>
      <c r="BI159" s="206">
        <f>Sheet1!EV163</f>
        <v>0</v>
      </c>
      <c r="BJ159" s="206">
        <f>Sheet1!EW163</f>
        <v>0</v>
      </c>
      <c r="BK159" s="206">
        <f>Sheet1!EX163</f>
        <v>0</v>
      </c>
      <c r="BL159" s="206">
        <f t="shared" si="40"/>
        <v>0</v>
      </c>
      <c r="BM159" s="206">
        <f>Sheet1!EY163</f>
        <v>0</v>
      </c>
      <c r="BN159" s="206">
        <f>Sheet1!EZ163</f>
        <v>0</v>
      </c>
      <c r="BO159" s="206">
        <f>Sheet1!FA163</f>
        <v>0</v>
      </c>
      <c r="BP159" s="206">
        <f>Sheet1!FB163</f>
        <v>0</v>
      </c>
      <c r="BQ159" s="206">
        <f t="shared" si="41"/>
        <v>0</v>
      </c>
      <c r="BR159" s="206">
        <f>Sheet1!FC163</f>
        <v>0</v>
      </c>
      <c r="BS159" s="206">
        <f>Sheet1!FD163</f>
        <v>0</v>
      </c>
      <c r="BT159" s="206">
        <f>Sheet1!FE163</f>
        <v>0</v>
      </c>
      <c r="BU159" s="206">
        <f>Sheet1!FF163</f>
        <v>0</v>
      </c>
      <c r="BV159" s="206">
        <f t="shared" si="42"/>
        <v>0</v>
      </c>
      <c r="BW159" s="206">
        <f>Sheet1!FG163</f>
        <v>0</v>
      </c>
      <c r="BX159" s="206">
        <f>Sheet1!FH163</f>
        <v>0</v>
      </c>
      <c r="BY159" s="206">
        <f>Sheet1!FI163</f>
        <v>0</v>
      </c>
      <c r="BZ159" s="206">
        <f>Sheet1!FJ163</f>
        <v>0</v>
      </c>
      <c r="CA159" s="206">
        <f t="shared" si="43"/>
        <v>0</v>
      </c>
      <c r="CB159" s="206">
        <f>Sheet1!FK163</f>
        <v>0</v>
      </c>
      <c r="CC159" s="206">
        <f>Sheet1!FL163</f>
        <v>0</v>
      </c>
      <c r="CD159" s="206">
        <f>Sheet1!FM163</f>
        <v>0</v>
      </c>
      <c r="CE159" s="206">
        <f>Sheet1!FN163</f>
        <v>0</v>
      </c>
      <c r="CF159" s="206">
        <f t="shared" si="44"/>
        <v>0</v>
      </c>
      <c r="CG159" s="206">
        <f t="shared" si="45"/>
        <v>0</v>
      </c>
      <c r="CH159" s="206">
        <f t="shared" si="46"/>
        <v>0</v>
      </c>
      <c r="CI159" s="206">
        <f t="shared" si="47"/>
        <v>0</v>
      </c>
      <c r="CJ159" s="206">
        <f t="shared" si="48"/>
        <v>0</v>
      </c>
      <c r="CK159" s="206">
        <f t="shared" si="49"/>
        <v>0</v>
      </c>
      <c r="CL159" s="206">
        <f t="shared" si="50"/>
        <v>0</v>
      </c>
      <c r="CM159" s="206">
        <f t="shared" si="51"/>
        <v>0</v>
      </c>
      <c r="CN159" s="206">
        <f t="shared" si="52"/>
        <v>0</v>
      </c>
      <c r="CO159" s="206">
        <f t="shared" si="53"/>
        <v>0</v>
      </c>
      <c r="CP159" s="206">
        <f t="shared" si="5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W62"/>
  <sheetViews>
    <sheetView topLeftCell="F1" workbookViewId="0">
      <selection activeCell="O2" sqref="O2:O62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5" max="15" width="9.140625" customWidth="1"/>
    <col min="16" max="16" width="10.42578125" bestFit="1" customWidth="1"/>
    <col min="17" max="17" width="11.7109375" bestFit="1" customWidth="1"/>
    <col min="19" max="19" width="10.28515625" bestFit="1" customWidth="1"/>
    <col min="29" max="29" width="10.42578125" bestFit="1" customWidth="1"/>
  </cols>
  <sheetData>
    <row r="1" spans="1:49">
      <c r="A1" s="135" t="s">
        <v>126</v>
      </c>
      <c r="B1" s="135" t="s">
        <v>127</v>
      </c>
      <c r="C1" s="135" t="s">
        <v>128</v>
      </c>
      <c r="D1" s="135" t="s">
        <v>49</v>
      </c>
      <c r="E1" s="135" t="s">
        <v>129</v>
      </c>
      <c r="F1" s="135" t="s">
        <v>130</v>
      </c>
      <c r="G1" s="135" t="s">
        <v>131</v>
      </c>
      <c r="H1" s="135" t="s">
        <v>132</v>
      </c>
      <c r="I1" s="135" t="s">
        <v>133</v>
      </c>
      <c r="J1" s="135" t="s">
        <v>134</v>
      </c>
      <c r="K1" s="135" t="s">
        <v>135</v>
      </c>
      <c r="L1" s="135" t="s">
        <v>136</v>
      </c>
      <c r="M1" s="135" t="s">
        <v>137</v>
      </c>
      <c r="N1" s="135" t="s">
        <v>138</v>
      </c>
      <c r="O1" s="135" t="s">
        <v>139</v>
      </c>
      <c r="P1" s="135" t="s">
        <v>140</v>
      </c>
      <c r="Q1" s="135" t="s">
        <v>141</v>
      </c>
      <c r="R1" s="135" t="s">
        <v>58</v>
      </c>
      <c r="S1" s="135" t="s">
        <v>142</v>
      </c>
      <c r="T1" s="135" t="s">
        <v>143</v>
      </c>
      <c r="U1" s="135" t="s">
        <v>144</v>
      </c>
      <c r="V1" s="135" t="s">
        <v>145</v>
      </c>
      <c r="W1" s="135" t="s">
        <v>146</v>
      </c>
      <c r="X1" s="135" t="s">
        <v>147</v>
      </c>
      <c r="Y1" s="135" t="s">
        <v>148</v>
      </c>
      <c r="Z1" s="135" t="s">
        <v>149</v>
      </c>
      <c r="AA1" s="135" t="s">
        <v>150</v>
      </c>
      <c r="AB1" s="135" t="s">
        <v>153</v>
      </c>
      <c r="AC1" s="135" t="s">
        <v>214</v>
      </c>
      <c r="AD1" s="173" t="s">
        <v>195</v>
      </c>
      <c r="AE1" s="173" t="s">
        <v>196</v>
      </c>
      <c r="AF1" s="173" t="s">
        <v>197</v>
      </c>
      <c r="AG1" s="173" t="s">
        <v>198</v>
      </c>
      <c r="AH1" s="173" t="s">
        <v>199</v>
      </c>
      <c r="AI1" s="173" t="s">
        <v>200</v>
      </c>
      <c r="AJ1" s="173" t="s">
        <v>201</v>
      </c>
      <c r="AK1" s="173" t="s">
        <v>202</v>
      </c>
      <c r="AL1" s="173" t="s">
        <v>203</v>
      </c>
      <c r="AM1" s="173" t="s">
        <v>204</v>
      </c>
      <c r="AN1" s="173" t="s">
        <v>205</v>
      </c>
      <c r="AO1" s="173" t="s">
        <v>206</v>
      </c>
      <c r="AP1" s="173" t="s">
        <v>207</v>
      </c>
      <c r="AQ1" s="173" t="s">
        <v>208</v>
      </c>
      <c r="AR1" s="173" t="s">
        <v>209</v>
      </c>
      <c r="AS1" s="173" t="s">
        <v>210</v>
      </c>
      <c r="AT1" s="173" t="s">
        <v>211</v>
      </c>
      <c r="AU1" s="173" t="s">
        <v>212</v>
      </c>
      <c r="AV1" s="173" t="s">
        <v>213</v>
      </c>
      <c r="AW1" s="205" t="s">
        <v>215</v>
      </c>
    </row>
    <row r="2" spans="1:49" ht="19.5" customHeight="1">
      <c r="A2" s="136">
        <f>Sheet1!B6</f>
        <v>1</v>
      </c>
      <c r="B2" s="136" t="str">
        <f>IF(Sheet1!E6="","",Sheet1!E6)</f>
        <v/>
      </c>
      <c r="C2" s="136" t="str">
        <f>IF(Sheet1!P6="","",Sheet1!P6-Sheet1!FT6)</f>
        <v/>
      </c>
      <c r="D2" s="136" t="str">
        <f>IF(Sheet1!Q6="","",Sheet1!Q6)</f>
        <v/>
      </c>
      <c r="E2" s="136" t="str">
        <f>IF(Sheet1!R6="","",Sheet1!R6)</f>
        <v/>
      </c>
      <c r="F2" s="136" t="str">
        <f>IF(Sheet1!S6="","",Sheet1!S6)</f>
        <v/>
      </c>
      <c r="G2" s="136" t="str">
        <f>IF(Sheet1!T6="","",Sheet1!T6)</f>
        <v/>
      </c>
      <c r="H2" s="136" t="str">
        <f>IF(Sheet1!U6="","",Sheet1!U6)</f>
        <v/>
      </c>
      <c r="I2" s="136" t="str">
        <f>IF(Sheet1!V6="","",Sheet1!V6)</f>
        <v/>
      </c>
      <c r="J2" s="136" t="str">
        <f>IF(Sheet1!W6="","",Sheet1!W6)</f>
        <v/>
      </c>
      <c r="K2" s="136" t="str">
        <f>IF(Sheet1!X6="","",Sheet1!X6)</f>
        <v/>
      </c>
      <c r="L2" s="136" t="str">
        <f>IF(Sheet1!Y6="","",Sheet1!Y6)</f>
        <v/>
      </c>
      <c r="M2" s="136" t="str">
        <f>IF(Sheet1!Z6="","",Sheet1!Z6)</f>
        <v/>
      </c>
      <c r="N2" s="136" t="str">
        <f>IF(Sheet1!AA6="","",Sheet1!AA6)</f>
        <v/>
      </c>
      <c r="O2" s="136" t="e">
        <f>(E2*F2+G2*H2+I2*J2+K2*L2+M2*N2)</f>
        <v>#VALUE!</v>
      </c>
      <c r="P2" s="136">
        <f>IF(Sheet1!BR7="","",Sheet1!BR7)</f>
        <v>0</v>
      </c>
      <c r="Q2" s="136">
        <f>IF(B2="",0,IF(ISNUMBER(SEARCH("Yes",Sheet1!BD6)),75,100))</f>
        <v>0</v>
      </c>
      <c r="R2" s="136" t="str">
        <f>IF(Sheet1!AE6="","",Sheet1!AE6)</f>
        <v/>
      </c>
      <c r="S2" s="136" t="str">
        <f>IF(Sheet1!AU6="","",Sheet1!AU6)</f>
        <v/>
      </c>
      <c r="T2" s="136" t="str">
        <f>IF(Sheet1!J6="","",Sheet1!J6)</f>
        <v/>
      </c>
      <c r="U2" s="136" t="str">
        <f>IF(Sheet1!K6="","",Sheet1!K6)</f>
        <v/>
      </c>
      <c r="V2" s="136" t="str">
        <f>IF(Sheet1!L6="","",Sheet1!L6)</f>
        <v/>
      </c>
      <c r="W2" s="136" t="str">
        <f>IF(Sheet1!M6="","",Sheet1!M6)</f>
        <v/>
      </c>
      <c r="X2" s="136" t="str">
        <f>IF(Sheet1!N6="","",Sheet1!N6)</f>
        <v/>
      </c>
      <c r="Y2" s="136" t="str">
        <f>IF(Sheet1!O6="","",Sheet1!O6)</f>
        <v/>
      </c>
      <c r="Z2" s="136" t="str">
        <f>IF(Sheet1!G6="","",Sheet1!G6)</f>
        <v/>
      </c>
      <c r="AA2" s="136" t="str">
        <f>IF(Sheet1!F6="","",Sheet1!F6)</f>
        <v/>
      </c>
      <c r="AB2" s="136" t="str">
        <f>IF(Sheet1!E6="","",Sheet1!AP6)</f>
        <v/>
      </c>
      <c r="AC2" s="136">
        <f>IF(Sheet1!CV7="",0,Sheet1!CV7)</f>
        <v>0</v>
      </c>
      <c r="AD2" s="136">
        <f>IF(Sheet1!CW7="",0,Sheet1!CW7)</f>
        <v>0</v>
      </c>
      <c r="AE2" s="136">
        <f>IF(Sheet1!CX7="",0,Sheet1!CX7)</f>
        <v>0</v>
      </c>
      <c r="AF2" s="136">
        <f>IF(Sheet1!CY7="",0,Sheet1!CY7)</f>
        <v>0</v>
      </c>
      <c r="AG2" s="136">
        <f>IF(Sheet1!CZ7="",0,Sheet1!CZ7)</f>
        <v>0</v>
      </c>
      <c r="AH2" s="136">
        <f>IF(Sheet1!DA7="",0,Sheet1!DA7)</f>
        <v>0</v>
      </c>
      <c r="AI2" s="136">
        <f>IF(Sheet1!DB7="",0,Sheet1!DB7)</f>
        <v>0</v>
      </c>
      <c r="AJ2" s="136">
        <f>IF(Sheet1!DC7="",0,Sheet1!DC7)</f>
        <v>0</v>
      </c>
      <c r="AK2" s="136">
        <f>IF(Sheet1!DD7="",0,Sheet1!DD7)</f>
        <v>0</v>
      </c>
      <c r="AL2" s="136">
        <f>IF(Sheet1!DE7="",0,Sheet1!DE7)</f>
        <v>0</v>
      </c>
      <c r="AM2" s="136">
        <f>IF(Sheet1!DF7="",0,Sheet1!DF7)</f>
        <v>0</v>
      </c>
      <c r="AN2" s="136">
        <f>IF(Sheet1!DG7="",0,Sheet1!DG7)</f>
        <v>0</v>
      </c>
      <c r="AO2" s="136">
        <f>IF(Sheet1!DH7="",0,Sheet1!DH7)</f>
        <v>0</v>
      </c>
      <c r="AP2" s="136">
        <f>IF(Sheet1!DI7="",0,Sheet1!DI7)</f>
        <v>0</v>
      </c>
      <c r="AQ2" s="136">
        <f>IF(Sheet1!DJ7="",0,Sheet1!DJ7)</f>
        <v>0</v>
      </c>
      <c r="AR2" s="136">
        <f>IF(Sheet1!DK7="",0,Sheet1!DK7)</f>
        <v>0</v>
      </c>
      <c r="AS2" s="136">
        <f>IF(Sheet1!DL7="",0,Sheet1!DL7)</f>
        <v>0</v>
      </c>
      <c r="AT2" s="136">
        <f>IF(Sheet1!DM7="",0,Sheet1!DM7)</f>
        <v>0</v>
      </c>
      <c r="AU2" s="136">
        <f>IF(Sheet1!DN7="",0,Sheet1!DN7)</f>
        <v>0</v>
      </c>
      <c r="AV2" s="136">
        <f>IF(Sheet1!DO7="",0,Sheet1!DO7)</f>
        <v>0</v>
      </c>
      <c r="AW2">
        <f>IF((AC2*AD2+AE2*AF2+AG2*AH2+AI2*AJ2+AK2*AL2+AM2*AN2+AO2*AP2+AQ2*AR2+AS2*AT2+AU2*AV2)=0,0,(AC2*AD2+AE2*AF2+AG2*AH2+AI2*AJ2+AK2*AL2+AM2*AN2+AO2*AP2+AQ2*AR2+AS2*AT2+AU2*AV2))</f>
        <v>0</v>
      </c>
    </row>
    <row r="3" spans="1:49">
      <c r="A3" s="136" t="str">
        <f>Sheet1!B7</f>
        <v/>
      </c>
      <c r="B3" s="136" t="str">
        <f>IF(Sheet1!E7="","",Sheet1!E7)</f>
        <v/>
      </c>
      <c r="C3" s="136" t="str">
        <f>IF(Sheet1!P7="","",Sheet1!P7-Sheet1!FT8)</f>
        <v/>
      </c>
      <c r="D3" s="136" t="str">
        <f>IF(Sheet1!Q7="","",Sheet1!Q7)</f>
        <v/>
      </c>
      <c r="E3" s="136" t="str">
        <f>IF(Sheet1!R7="","",Sheet1!R7)</f>
        <v/>
      </c>
      <c r="F3" s="136" t="str">
        <f>IF(Sheet1!S7="","",Sheet1!S7)</f>
        <v/>
      </c>
      <c r="G3" s="136" t="str">
        <f>IF(Sheet1!T7="","",Sheet1!T7)</f>
        <v/>
      </c>
      <c r="H3" s="136" t="str">
        <f>IF(Sheet1!U7="","",Sheet1!U7)</f>
        <v/>
      </c>
      <c r="I3" s="136" t="str">
        <f>IF(Sheet1!V7="","",Sheet1!V7)</f>
        <v/>
      </c>
      <c r="J3" s="136" t="str">
        <f>IF(Sheet1!W7="","",Sheet1!W7)</f>
        <v/>
      </c>
      <c r="K3" s="136" t="str">
        <f>IF(Sheet1!X7="","",Sheet1!X7)</f>
        <v/>
      </c>
      <c r="L3" s="136" t="str">
        <f>IF(Sheet1!Y7="","",Sheet1!Y7)</f>
        <v/>
      </c>
      <c r="M3" s="136" t="str">
        <f>IF(Sheet1!Z7="","",Sheet1!Z7)</f>
        <v/>
      </c>
      <c r="N3" s="136" t="str">
        <f>IF(Sheet1!AA7="","",Sheet1!AA7)</f>
        <v/>
      </c>
      <c r="O3" s="136" t="e">
        <f t="shared" ref="O3:O62" si="0">(E3*F3+G3*H3+I3*J3+K3*L3+M3*N3)</f>
        <v>#VALUE!</v>
      </c>
      <c r="P3" s="136">
        <f>IF(Sheet1!BR9="","",Sheet1!BR9)</f>
        <v>0</v>
      </c>
      <c r="Q3" s="136">
        <f>IF(B3="",0,IF(ISNUMBER(SEARCH("Yes",Sheet1!BD8)),75,100))</f>
        <v>0</v>
      </c>
      <c r="R3" s="136" t="str">
        <f>IF(Sheet1!AE7="","",Sheet1!AE7)</f>
        <v/>
      </c>
      <c r="S3" s="136" t="str">
        <f>IF(Sheet1!AU7="","",Sheet1!AU7)</f>
        <v/>
      </c>
      <c r="T3" s="136" t="str">
        <f>IF(Sheet1!J7="","",Sheet1!J7)</f>
        <v/>
      </c>
      <c r="U3" s="136" t="str">
        <f>IF(Sheet1!K7="","",Sheet1!K7)</f>
        <v/>
      </c>
      <c r="V3" s="136" t="str">
        <f>IF(Sheet1!L7="","",Sheet1!L7)</f>
        <v/>
      </c>
      <c r="W3" s="136" t="str">
        <f>IF(Sheet1!M7="","",Sheet1!M7)</f>
        <v/>
      </c>
      <c r="X3" s="136" t="str">
        <f>IF(Sheet1!N7="","",Sheet1!N7)</f>
        <v/>
      </c>
      <c r="Y3" s="136" t="str">
        <f>IF(Sheet1!O7="","",Sheet1!O7)</f>
        <v/>
      </c>
      <c r="Z3" s="136" t="str">
        <f>IF(Sheet1!G7="","",Sheet1!G7)</f>
        <v/>
      </c>
      <c r="AA3" s="136" t="str">
        <f>IF(Sheet1!F7="","",Sheet1!F7)</f>
        <v/>
      </c>
      <c r="AB3" s="136" t="str">
        <f>IF(Sheet1!E7="","",Sheet1!AP7)</f>
        <v/>
      </c>
      <c r="AC3" s="136">
        <f>IF(Sheet1!CV9="",0,Sheet1!CV9)</f>
        <v>0</v>
      </c>
      <c r="AD3" s="136">
        <f>IF(Sheet1!CW9="",0,Sheet1!CW9)</f>
        <v>0</v>
      </c>
      <c r="AE3" s="136">
        <f>IF(Sheet1!CX9="",0,Sheet1!CX9)</f>
        <v>0</v>
      </c>
      <c r="AF3" s="136">
        <f>IF(Sheet1!CY9="",0,Sheet1!CY9)</f>
        <v>0</v>
      </c>
      <c r="AG3" s="136">
        <f>IF(Sheet1!CZ9="",0,Sheet1!CZ9)</f>
        <v>0</v>
      </c>
      <c r="AH3" s="136">
        <f>IF(Sheet1!DA9="",0,Sheet1!DA9)</f>
        <v>0</v>
      </c>
      <c r="AI3" s="136">
        <f>IF(Sheet1!DB9="",0,Sheet1!DB9)</f>
        <v>0</v>
      </c>
      <c r="AJ3" s="136">
        <f>IF(Sheet1!DC9="",0,Sheet1!DC9)</f>
        <v>0</v>
      </c>
      <c r="AK3" s="136">
        <f>IF(Sheet1!DD9="",0,Sheet1!DD9)</f>
        <v>0</v>
      </c>
      <c r="AL3" s="136">
        <f>IF(Sheet1!DE9="",0,Sheet1!DE9)</f>
        <v>0</v>
      </c>
      <c r="AM3" s="136">
        <f>IF(Sheet1!DF9="",0,Sheet1!DF9)</f>
        <v>0</v>
      </c>
      <c r="AN3" s="136">
        <f>IF(Sheet1!DG9="",0,Sheet1!DG9)</f>
        <v>0</v>
      </c>
      <c r="AO3" s="136">
        <f>IF(Sheet1!DH9="",0,Sheet1!DH9)</f>
        <v>0</v>
      </c>
      <c r="AP3" s="136">
        <f>IF(Sheet1!DI9="",0,Sheet1!DI9)</f>
        <v>0</v>
      </c>
      <c r="AQ3" s="136">
        <f>IF(Sheet1!DJ9="",0,Sheet1!DJ9)</f>
        <v>0</v>
      </c>
      <c r="AR3" s="136">
        <f>IF(Sheet1!DK9="",0,Sheet1!DK9)</f>
        <v>0</v>
      </c>
      <c r="AS3" s="136">
        <f>IF(Sheet1!DL9="",0,Sheet1!DL9)</f>
        <v>0</v>
      </c>
      <c r="AT3" s="136">
        <f>IF(Sheet1!DM9="",0,Sheet1!DM9)</f>
        <v>0</v>
      </c>
      <c r="AU3" s="136">
        <f>IF(Sheet1!DN9="",0,Sheet1!DN9)</f>
        <v>0</v>
      </c>
      <c r="AV3" s="136">
        <f>IF(Sheet1!DO9="",0,Sheet1!DO9)</f>
        <v>0</v>
      </c>
      <c r="AW3">
        <f t="shared" ref="AW3:AW62" si="1">IF((AC3*AD3+AE3*AF3+AG3*AH3+AI3*AJ3+AK3*AL3+AM3*AN3+AO3*AP3+AQ3*AR3+AS3*AT3+AU3*AV3)=0,0,(AC3*AD3+AE3*AF3+AG3*AH3+AI3*AJ3+AK3*AL3+AM3*AN3+AO3*AP3+AQ3*AR3+AS3*AT3+AU3*AV3))</f>
        <v>0</v>
      </c>
    </row>
    <row r="4" spans="1:49">
      <c r="A4" s="136" t="str">
        <f>Sheet1!B8</f>
        <v/>
      </c>
      <c r="B4" s="136" t="str">
        <f>IF(Sheet1!E8="","",Sheet1!E8)</f>
        <v/>
      </c>
      <c r="C4" s="136" t="str">
        <f>IF(Sheet1!P8="","",Sheet1!P8-Sheet1!FT10)</f>
        <v/>
      </c>
      <c r="D4" s="136" t="str">
        <f>IF(Sheet1!Q8="","",Sheet1!Q8)</f>
        <v/>
      </c>
      <c r="E4" s="136" t="str">
        <f>IF(Sheet1!R8="","",Sheet1!R8)</f>
        <v/>
      </c>
      <c r="F4" s="136" t="str">
        <f>IF(Sheet1!S8="","",Sheet1!S8)</f>
        <v/>
      </c>
      <c r="G4" s="136" t="str">
        <f>IF(Sheet1!T8="","",Sheet1!T8)</f>
        <v/>
      </c>
      <c r="H4" s="136" t="str">
        <f>IF(Sheet1!U8="","",Sheet1!U8)</f>
        <v/>
      </c>
      <c r="I4" s="136" t="str">
        <f>IF(Sheet1!V8="","",Sheet1!V8)</f>
        <v/>
      </c>
      <c r="J4" s="136" t="str">
        <f>IF(Sheet1!W8="","",Sheet1!W8)</f>
        <v/>
      </c>
      <c r="K4" s="136" t="str">
        <f>IF(Sheet1!X8="","",Sheet1!X8)</f>
        <v/>
      </c>
      <c r="L4" s="136" t="str">
        <f>IF(Sheet1!Y8="","",Sheet1!Y8)</f>
        <v/>
      </c>
      <c r="M4" s="136" t="str">
        <f>IF(Sheet1!Z8="","",Sheet1!Z8)</f>
        <v/>
      </c>
      <c r="N4" s="136" t="str">
        <f>IF(Sheet1!AA8="","",Sheet1!AA8)</f>
        <v/>
      </c>
      <c r="O4" s="136" t="e">
        <f t="shared" si="0"/>
        <v>#VALUE!</v>
      </c>
      <c r="P4" s="136">
        <f>IF(Sheet1!BR11="","",Sheet1!BR11)</f>
        <v>0</v>
      </c>
      <c r="Q4" s="136">
        <f>IF(B4="",0,IF(ISNUMBER(SEARCH("Yes",Sheet1!BD10)),75,100))</f>
        <v>0</v>
      </c>
      <c r="R4" s="136" t="str">
        <f>IF(Sheet1!AE8="","",Sheet1!AE8)</f>
        <v/>
      </c>
      <c r="S4" s="136" t="str">
        <f>IF(Sheet1!AU8="","",Sheet1!AU8)</f>
        <v/>
      </c>
      <c r="T4" s="136" t="str">
        <f>IF(Sheet1!J8="","",Sheet1!J8)</f>
        <v/>
      </c>
      <c r="U4" s="136" t="str">
        <f>IF(Sheet1!K8="","",Sheet1!K8)</f>
        <v/>
      </c>
      <c r="V4" s="136" t="str">
        <f>IF(Sheet1!L8="","",Sheet1!L8)</f>
        <v/>
      </c>
      <c r="W4" s="136" t="str">
        <f>IF(Sheet1!M8="","",Sheet1!M8)</f>
        <v/>
      </c>
      <c r="X4" s="136" t="str">
        <f>IF(Sheet1!N8="","",Sheet1!N8)</f>
        <v/>
      </c>
      <c r="Y4" s="136" t="str">
        <f>IF(Sheet1!O8="","",Sheet1!O8)</f>
        <v/>
      </c>
      <c r="Z4" s="136" t="str">
        <f>IF(Sheet1!G8="","",Sheet1!G8)</f>
        <v/>
      </c>
      <c r="AA4" s="136" t="str">
        <f>IF(Sheet1!F8="","",Sheet1!F8)</f>
        <v/>
      </c>
      <c r="AB4" s="136" t="str">
        <f>IF(Sheet1!E8="","",Sheet1!AP8)</f>
        <v/>
      </c>
      <c r="AC4" s="136">
        <f>IF(Sheet1!CV11="",0,Sheet1!CV11)</f>
        <v>0</v>
      </c>
      <c r="AD4" s="136">
        <f>IF(Sheet1!CW11="",0,Sheet1!CW11)</f>
        <v>0</v>
      </c>
      <c r="AE4" s="136">
        <f>IF(Sheet1!CX11="",0,Sheet1!CX11)</f>
        <v>0</v>
      </c>
      <c r="AF4" s="136">
        <f>IF(Sheet1!CY11="",0,Sheet1!CY11)</f>
        <v>0</v>
      </c>
      <c r="AG4" s="136">
        <f>IF(Sheet1!CZ11="",0,Sheet1!CZ11)</f>
        <v>0</v>
      </c>
      <c r="AH4" s="136">
        <f>IF(Sheet1!DA11="",0,Sheet1!DA11)</f>
        <v>0</v>
      </c>
      <c r="AI4" s="136">
        <f>IF(Sheet1!DB11="",0,Sheet1!DB11)</f>
        <v>0</v>
      </c>
      <c r="AJ4" s="136">
        <f>IF(Sheet1!DC11="",0,Sheet1!DC11)</f>
        <v>0</v>
      </c>
      <c r="AK4" s="136">
        <f>IF(Sheet1!DD11="",0,Sheet1!DD11)</f>
        <v>0</v>
      </c>
      <c r="AL4" s="136">
        <f>IF(Sheet1!DE11="",0,Sheet1!DE11)</f>
        <v>0</v>
      </c>
      <c r="AM4" s="136">
        <f>IF(Sheet1!DF11="",0,Sheet1!DF11)</f>
        <v>0</v>
      </c>
      <c r="AN4" s="136">
        <f>IF(Sheet1!DG11="",0,Sheet1!DG11)</f>
        <v>0</v>
      </c>
      <c r="AO4" s="136">
        <f>IF(Sheet1!DH11="",0,Sheet1!DH11)</f>
        <v>0</v>
      </c>
      <c r="AP4" s="136">
        <f>IF(Sheet1!DI11="",0,Sheet1!DI11)</f>
        <v>0</v>
      </c>
      <c r="AQ4" s="136">
        <f>IF(Sheet1!DJ11="",0,Sheet1!DJ11)</f>
        <v>0</v>
      </c>
      <c r="AR4" s="136">
        <f>IF(Sheet1!DK11="",0,Sheet1!DK11)</f>
        <v>0</v>
      </c>
      <c r="AS4" s="136">
        <f>IF(Sheet1!DL11="",0,Sheet1!DL11)</f>
        <v>0</v>
      </c>
      <c r="AT4" s="136">
        <f>IF(Sheet1!DM11="",0,Sheet1!DM11)</f>
        <v>0</v>
      </c>
      <c r="AU4" s="136">
        <f>IF(Sheet1!DN11="",0,Sheet1!DN11)</f>
        <v>0</v>
      </c>
      <c r="AV4" s="136">
        <f>IF(Sheet1!DO11="",0,Sheet1!DO11)</f>
        <v>0</v>
      </c>
      <c r="AW4">
        <f t="shared" si="1"/>
        <v>0</v>
      </c>
    </row>
    <row r="5" spans="1:49">
      <c r="A5" s="136" t="str">
        <f>Sheet1!B9</f>
        <v/>
      </c>
      <c r="B5" s="136" t="str">
        <f>IF(Sheet1!E9="","",Sheet1!E9)</f>
        <v/>
      </c>
      <c r="C5" s="136" t="str">
        <f>IF(Sheet1!P9="","",Sheet1!P9-Sheet1!FT12)</f>
        <v/>
      </c>
      <c r="D5" s="136" t="str">
        <f>IF(Sheet1!Q9="","",Sheet1!Q9)</f>
        <v/>
      </c>
      <c r="E5" s="136" t="str">
        <f>IF(Sheet1!R9="","",Sheet1!R9)</f>
        <v/>
      </c>
      <c r="F5" s="136" t="str">
        <f>IF(Sheet1!S9="","",Sheet1!S9)</f>
        <v/>
      </c>
      <c r="G5" s="136" t="str">
        <f>IF(Sheet1!T9="","",Sheet1!T9)</f>
        <v/>
      </c>
      <c r="H5" s="136" t="str">
        <f>IF(Sheet1!U9="","",Sheet1!U9)</f>
        <v/>
      </c>
      <c r="I5" s="136" t="str">
        <f>IF(Sheet1!V9="","",Sheet1!V9)</f>
        <v/>
      </c>
      <c r="J5" s="136" t="str">
        <f>IF(Sheet1!W9="","",Sheet1!W9)</f>
        <v/>
      </c>
      <c r="K5" s="136" t="str">
        <f>IF(Sheet1!X9="","",Sheet1!X9)</f>
        <v/>
      </c>
      <c r="L5" s="136" t="str">
        <f>IF(Sheet1!Y9="","",Sheet1!Y9)</f>
        <v/>
      </c>
      <c r="M5" s="136" t="str">
        <f>IF(Sheet1!Z9="","",Sheet1!Z9)</f>
        <v/>
      </c>
      <c r="N5" s="136" t="str">
        <f>IF(Sheet1!AA9="","",Sheet1!AA9)</f>
        <v/>
      </c>
      <c r="O5" s="136" t="e">
        <f t="shared" si="0"/>
        <v>#VALUE!</v>
      </c>
      <c r="P5" s="136">
        <f>IF(Sheet1!BR13="","",Sheet1!BR13)</f>
        <v>0</v>
      </c>
      <c r="Q5" s="136">
        <f>IF(B5="",0,IF(ISNUMBER(SEARCH("Yes",Sheet1!BD12)),75,100))</f>
        <v>0</v>
      </c>
      <c r="R5" s="136" t="str">
        <f>IF(Sheet1!AE9="","",Sheet1!AE9)</f>
        <v/>
      </c>
      <c r="S5" s="136" t="str">
        <f>IF(Sheet1!AU9="","",Sheet1!AU9)</f>
        <v/>
      </c>
      <c r="T5" s="136" t="str">
        <f>IF(Sheet1!J9="","",Sheet1!J9)</f>
        <v/>
      </c>
      <c r="U5" s="136" t="str">
        <f>IF(Sheet1!K9="","",Sheet1!K9)</f>
        <v/>
      </c>
      <c r="V5" s="136" t="str">
        <f>IF(Sheet1!L9="","",Sheet1!L9)</f>
        <v/>
      </c>
      <c r="W5" s="136" t="str">
        <f>IF(Sheet1!M9="","",Sheet1!M9)</f>
        <v/>
      </c>
      <c r="X5" s="136" t="str">
        <f>IF(Sheet1!N9="","",Sheet1!N9)</f>
        <v/>
      </c>
      <c r="Y5" s="136" t="str">
        <f>IF(Sheet1!O9="","",Sheet1!O9)</f>
        <v/>
      </c>
      <c r="Z5" s="136" t="str">
        <f>IF(Sheet1!G9="","",Sheet1!G9)</f>
        <v/>
      </c>
      <c r="AA5" s="136" t="str">
        <f>IF(Sheet1!F9="","",Sheet1!F9)</f>
        <v/>
      </c>
      <c r="AB5" s="136" t="str">
        <f>IF(Sheet1!E9="","",Sheet1!AP9)</f>
        <v/>
      </c>
      <c r="AC5" s="136">
        <f>IF(Sheet1!CV13="",0,Sheet1!CV13)</f>
        <v>0</v>
      </c>
      <c r="AD5" s="136">
        <f>IF(Sheet1!CW13="",0,Sheet1!CW13)</f>
        <v>0</v>
      </c>
      <c r="AE5" s="136">
        <f>IF(Sheet1!CX13="",0,Sheet1!CX13)</f>
        <v>0</v>
      </c>
      <c r="AF5" s="136">
        <f>IF(Sheet1!CY13="",0,Sheet1!CY13)</f>
        <v>0</v>
      </c>
      <c r="AG5" s="136">
        <f>IF(Sheet1!CZ13="",0,Sheet1!CZ13)</f>
        <v>0</v>
      </c>
      <c r="AH5" s="136">
        <f>IF(Sheet1!DA13="",0,Sheet1!DA13)</f>
        <v>0</v>
      </c>
      <c r="AI5" s="136">
        <f>IF(Sheet1!DB13="",0,Sheet1!DB13)</f>
        <v>0</v>
      </c>
      <c r="AJ5" s="136">
        <f>IF(Sheet1!DC13="",0,Sheet1!DC13)</f>
        <v>0</v>
      </c>
      <c r="AK5" s="136">
        <f>IF(Sheet1!DD13="",0,Sheet1!DD13)</f>
        <v>0</v>
      </c>
      <c r="AL5" s="136">
        <f>IF(Sheet1!DE13="",0,Sheet1!DE13)</f>
        <v>0</v>
      </c>
      <c r="AM5" s="136">
        <f>IF(Sheet1!DF13="",0,Sheet1!DF13)</f>
        <v>0</v>
      </c>
      <c r="AN5" s="136">
        <f>IF(Sheet1!DG13="",0,Sheet1!DG13)</f>
        <v>0</v>
      </c>
      <c r="AO5" s="136">
        <f>IF(Sheet1!DH13="",0,Sheet1!DH13)</f>
        <v>0</v>
      </c>
      <c r="AP5" s="136">
        <f>IF(Sheet1!DI13="",0,Sheet1!DI13)</f>
        <v>0</v>
      </c>
      <c r="AQ5" s="136">
        <f>IF(Sheet1!DJ13="",0,Sheet1!DJ13)</f>
        <v>0</v>
      </c>
      <c r="AR5" s="136">
        <f>IF(Sheet1!DK13="",0,Sheet1!DK13)</f>
        <v>0</v>
      </c>
      <c r="AS5" s="136">
        <f>IF(Sheet1!DL13="",0,Sheet1!DL13)</f>
        <v>0</v>
      </c>
      <c r="AT5" s="136">
        <f>IF(Sheet1!DM13="",0,Sheet1!DM13)</f>
        <v>0</v>
      </c>
      <c r="AU5" s="136">
        <f>IF(Sheet1!DN13="",0,Sheet1!DN13)</f>
        <v>0</v>
      </c>
      <c r="AV5" s="136">
        <f>IF(Sheet1!DO13="",0,Sheet1!DO13)</f>
        <v>0</v>
      </c>
      <c r="AW5">
        <f t="shared" si="1"/>
        <v>0</v>
      </c>
    </row>
    <row r="6" spans="1:49">
      <c r="A6" s="136" t="str">
        <f>Sheet1!B10</f>
        <v/>
      </c>
      <c r="B6" s="136" t="str">
        <f>IF(Sheet1!E10="","",Sheet1!E10)</f>
        <v/>
      </c>
      <c r="C6" s="136" t="str">
        <f>IF(Sheet1!P10="","",Sheet1!P10-Sheet1!FT14)</f>
        <v/>
      </c>
      <c r="D6" s="136" t="str">
        <f>IF(Sheet1!Q10="","",Sheet1!Q10)</f>
        <v/>
      </c>
      <c r="E6" s="136" t="str">
        <f>IF(Sheet1!R10="","",Sheet1!R10)</f>
        <v/>
      </c>
      <c r="F6" s="136" t="str">
        <f>IF(Sheet1!S10="","",Sheet1!S10)</f>
        <v/>
      </c>
      <c r="G6" s="136" t="str">
        <f>IF(Sheet1!T10="","",Sheet1!T10)</f>
        <v/>
      </c>
      <c r="H6" s="136" t="str">
        <f>IF(Sheet1!U10="","",Sheet1!U10)</f>
        <v/>
      </c>
      <c r="I6" s="136" t="str">
        <f>IF(Sheet1!V10="","",Sheet1!V10)</f>
        <v/>
      </c>
      <c r="J6" s="136" t="str">
        <f>IF(Sheet1!W10="","",Sheet1!W10)</f>
        <v/>
      </c>
      <c r="K6" s="136" t="str">
        <f>IF(Sheet1!X10="","",Sheet1!X10)</f>
        <v/>
      </c>
      <c r="L6" s="136" t="str">
        <f>IF(Sheet1!Y10="","",Sheet1!Y10)</f>
        <v/>
      </c>
      <c r="M6" s="136" t="str">
        <f>IF(Sheet1!Z10="","",Sheet1!Z10)</f>
        <v/>
      </c>
      <c r="N6" s="136" t="str">
        <f>IF(Sheet1!AA10="","",Sheet1!AA10)</f>
        <v/>
      </c>
      <c r="O6" s="136" t="e">
        <f t="shared" si="0"/>
        <v>#VALUE!</v>
      </c>
      <c r="P6" s="136">
        <f>IF(Sheet1!BR15="","",Sheet1!BR15)</f>
        <v>0</v>
      </c>
      <c r="Q6" s="136">
        <f>IF(B6="",0,IF(ISNUMBER(SEARCH("Yes",Sheet1!BD14)),75,100))</f>
        <v>0</v>
      </c>
      <c r="R6" s="136" t="str">
        <f>IF(Sheet1!AE10="","",Sheet1!AE10)</f>
        <v/>
      </c>
      <c r="S6" s="136" t="str">
        <f>IF(Sheet1!AU10="","",Sheet1!AU10)</f>
        <v/>
      </c>
      <c r="T6" s="136" t="str">
        <f>IF(Sheet1!J10="","",Sheet1!J10)</f>
        <v/>
      </c>
      <c r="U6" s="136" t="str">
        <f>IF(Sheet1!K10="","",Sheet1!K10)</f>
        <v/>
      </c>
      <c r="V6" s="136" t="str">
        <f>IF(Sheet1!L10="","",Sheet1!L10)</f>
        <v/>
      </c>
      <c r="W6" s="136" t="str">
        <f>IF(Sheet1!M10="","",Sheet1!M10)</f>
        <v/>
      </c>
      <c r="X6" s="136" t="str">
        <f>IF(Sheet1!N10="","",Sheet1!N10)</f>
        <v/>
      </c>
      <c r="Y6" s="136" t="str">
        <f>IF(Sheet1!O10="","",Sheet1!O10)</f>
        <v/>
      </c>
      <c r="Z6" s="136" t="str">
        <f>IF(Sheet1!G10="","",Sheet1!G10)</f>
        <v/>
      </c>
      <c r="AA6" s="136" t="str">
        <f>IF(Sheet1!F10="","",Sheet1!F10)</f>
        <v/>
      </c>
      <c r="AB6" s="136" t="str">
        <f>IF(Sheet1!E10="","",Sheet1!AP10)</f>
        <v/>
      </c>
      <c r="AC6" s="136">
        <f>IF(Sheet1!CV15="",0,Sheet1!CV15)</f>
        <v>0</v>
      </c>
      <c r="AD6" s="136">
        <f>IF(Sheet1!CW15="",0,Sheet1!CW15)</f>
        <v>0</v>
      </c>
      <c r="AE6" s="136">
        <f>IF(Sheet1!CX15="",0,Sheet1!CX15)</f>
        <v>0</v>
      </c>
      <c r="AF6" s="136">
        <f>IF(Sheet1!CY15="",0,Sheet1!CY15)</f>
        <v>0</v>
      </c>
      <c r="AG6" s="136">
        <f>IF(Sheet1!CZ15="",0,Sheet1!CZ15)</f>
        <v>0</v>
      </c>
      <c r="AH6" s="136">
        <f>IF(Sheet1!DA15="",0,Sheet1!DA15)</f>
        <v>0</v>
      </c>
      <c r="AI6" s="136">
        <f>IF(Sheet1!DB15="",0,Sheet1!DB15)</f>
        <v>0</v>
      </c>
      <c r="AJ6" s="136">
        <f>IF(Sheet1!DC15="",0,Sheet1!DC15)</f>
        <v>0</v>
      </c>
      <c r="AK6" s="136">
        <f>IF(Sheet1!DD15="",0,Sheet1!DD15)</f>
        <v>0</v>
      </c>
      <c r="AL6" s="136">
        <f>IF(Sheet1!DE15="",0,Sheet1!DE15)</f>
        <v>0</v>
      </c>
      <c r="AM6" s="136">
        <f>IF(Sheet1!DF15="",0,Sheet1!DF15)</f>
        <v>0</v>
      </c>
      <c r="AN6" s="136">
        <f>IF(Sheet1!DG15="",0,Sheet1!DG15)</f>
        <v>0</v>
      </c>
      <c r="AO6" s="136">
        <f>IF(Sheet1!DH15="",0,Sheet1!DH15)</f>
        <v>0</v>
      </c>
      <c r="AP6" s="136">
        <f>IF(Sheet1!DI15="",0,Sheet1!DI15)</f>
        <v>0</v>
      </c>
      <c r="AQ6" s="136">
        <f>IF(Sheet1!DJ15="",0,Sheet1!DJ15)</f>
        <v>0</v>
      </c>
      <c r="AR6" s="136">
        <f>IF(Sheet1!DK15="",0,Sheet1!DK15)</f>
        <v>0</v>
      </c>
      <c r="AS6" s="136">
        <f>IF(Sheet1!DL15="",0,Sheet1!DL15)</f>
        <v>0</v>
      </c>
      <c r="AT6" s="136">
        <f>IF(Sheet1!DM15="",0,Sheet1!DM15)</f>
        <v>0</v>
      </c>
      <c r="AU6" s="136">
        <f>IF(Sheet1!DN15="",0,Sheet1!DN15)</f>
        <v>0</v>
      </c>
      <c r="AV6" s="136">
        <f>IF(Sheet1!DO15="",0,Sheet1!DO15)</f>
        <v>0</v>
      </c>
      <c r="AW6">
        <f t="shared" si="1"/>
        <v>0</v>
      </c>
    </row>
    <row r="7" spans="1:49">
      <c r="A7" s="136" t="str">
        <f>Sheet1!B11</f>
        <v/>
      </c>
      <c r="B7" s="136" t="str">
        <f>IF(Sheet1!E11="","",Sheet1!E11)</f>
        <v/>
      </c>
      <c r="C7" s="136" t="str">
        <f>IF(Sheet1!P11="","",Sheet1!P11-Sheet1!FT16)</f>
        <v/>
      </c>
      <c r="D7" s="136" t="str">
        <f>IF(Sheet1!Q11="","",Sheet1!Q11)</f>
        <v/>
      </c>
      <c r="E7" s="136" t="str">
        <f>IF(Sheet1!R11="","",Sheet1!R11)</f>
        <v/>
      </c>
      <c r="F7" s="136" t="str">
        <f>IF(Sheet1!S11="","",Sheet1!S11)</f>
        <v/>
      </c>
      <c r="G7" s="136" t="str">
        <f>IF(Sheet1!T11="","",Sheet1!T11)</f>
        <v/>
      </c>
      <c r="H7" s="136" t="str">
        <f>IF(Sheet1!U11="","",Sheet1!U11)</f>
        <v/>
      </c>
      <c r="I7" s="136" t="str">
        <f>IF(Sheet1!V11="","",Sheet1!V11)</f>
        <v/>
      </c>
      <c r="J7" s="136" t="str">
        <f>IF(Sheet1!W11="","",Sheet1!W11)</f>
        <v/>
      </c>
      <c r="K7" s="136" t="str">
        <f>IF(Sheet1!X11="","",Sheet1!X11)</f>
        <v/>
      </c>
      <c r="L7" s="136" t="str">
        <f>IF(Sheet1!Y11="","",Sheet1!Y11)</f>
        <v/>
      </c>
      <c r="M7" s="136" t="str">
        <f>IF(Sheet1!Z11="","",Sheet1!Z11)</f>
        <v/>
      </c>
      <c r="N7" s="136" t="str">
        <f>IF(Sheet1!AA11="","",Sheet1!AA11)</f>
        <v/>
      </c>
      <c r="O7" s="136" t="e">
        <f t="shared" si="0"/>
        <v>#VALUE!</v>
      </c>
      <c r="P7" s="136">
        <f>IF(Sheet1!BR17="","",Sheet1!BR17)</f>
        <v>0</v>
      </c>
      <c r="Q7" s="136">
        <f>IF(B7="",0,IF(ISNUMBER(SEARCH("Yes",Sheet1!BD16)),75,100))</f>
        <v>0</v>
      </c>
      <c r="R7" s="136" t="str">
        <f>IF(Sheet1!AE11="","",Sheet1!AE11)</f>
        <v/>
      </c>
      <c r="S7" s="136" t="str">
        <f>IF(Sheet1!AU11="","",Sheet1!AU11)</f>
        <v/>
      </c>
      <c r="T7" s="136" t="str">
        <f>IF(Sheet1!J11="","",Sheet1!J11)</f>
        <v/>
      </c>
      <c r="U7" s="136" t="str">
        <f>IF(Sheet1!K11="","",Sheet1!K11)</f>
        <v/>
      </c>
      <c r="V7" s="136" t="str">
        <f>IF(Sheet1!L11="","",Sheet1!L11)</f>
        <v/>
      </c>
      <c r="W7" s="136" t="str">
        <f>IF(Sheet1!M11="","",Sheet1!M11)</f>
        <v/>
      </c>
      <c r="X7" s="136" t="str">
        <f>IF(Sheet1!N11="","",Sheet1!N11)</f>
        <v/>
      </c>
      <c r="Y7" s="136" t="str">
        <f>IF(Sheet1!O11="","",Sheet1!O11)</f>
        <v/>
      </c>
      <c r="Z7" s="136" t="str">
        <f>IF(Sheet1!G11="","",Sheet1!G11)</f>
        <v/>
      </c>
      <c r="AA7" s="136" t="str">
        <f>IF(Sheet1!F11="","",Sheet1!F11)</f>
        <v/>
      </c>
      <c r="AB7" s="136" t="str">
        <f>IF(Sheet1!E11="","",Sheet1!AP11)</f>
        <v/>
      </c>
      <c r="AC7" s="136">
        <f>IF(Sheet1!CV17="",0,Sheet1!CV17)</f>
        <v>0</v>
      </c>
      <c r="AD7" s="136">
        <f>IF(Sheet1!CW17="",0,Sheet1!CW17)</f>
        <v>0</v>
      </c>
      <c r="AE7" s="136">
        <f>IF(Sheet1!CX17="",0,Sheet1!CX17)</f>
        <v>0</v>
      </c>
      <c r="AF7" s="136">
        <f>IF(Sheet1!CY17="",0,Sheet1!CY17)</f>
        <v>0</v>
      </c>
      <c r="AG7" s="136">
        <f>IF(Sheet1!CZ17="",0,Sheet1!CZ17)</f>
        <v>0</v>
      </c>
      <c r="AH7" s="136">
        <f>IF(Sheet1!DA17="",0,Sheet1!DA17)</f>
        <v>0</v>
      </c>
      <c r="AI7" s="136">
        <f>IF(Sheet1!DB17="",0,Sheet1!DB17)</f>
        <v>0</v>
      </c>
      <c r="AJ7" s="136">
        <f>IF(Sheet1!DC17="",0,Sheet1!DC17)</f>
        <v>0</v>
      </c>
      <c r="AK7" s="136">
        <f>IF(Sheet1!DD17="",0,Sheet1!DD17)</f>
        <v>0</v>
      </c>
      <c r="AL7" s="136">
        <f>IF(Sheet1!DE17="",0,Sheet1!DE17)</f>
        <v>0</v>
      </c>
      <c r="AM7" s="136">
        <f>IF(Sheet1!DF17="",0,Sheet1!DF17)</f>
        <v>0</v>
      </c>
      <c r="AN7" s="136">
        <f>IF(Sheet1!DG17="",0,Sheet1!DG17)</f>
        <v>0</v>
      </c>
      <c r="AO7" s="136">
        <f>IF(Sheet1!DH17="",0,Sheet1!DH17)</f>
        <v>0</v>
      </c>
      <c r="AP7" s="136">
        <f>IF(Sheet1!DI17="",0,Sheet1!DI17)</f>
        <v>0</v>
      </c>
      <c r="AQ7" s="136">
        <f>IF(Sheet1!DJ17="",0,Sheet1!DJ17)</f>
        <v>0</v>
      </c>
      <c r="AR7" s="136">
        <f>IF(Sheet1!DK17="",0,Sheet1!DK17)</f>
        <v>0</v>
      </c>
      <c r="AS7" s="136">
        <f>IF(Sheet1!DL17="",0,Sheet1!DL17)</f>
        <v>0</v>
      </c>
      <c r="AT7" s="136">
        <f>IF(Sheet1!DM17="",0,Sheet1!DM17)</f>
        <v>0</v>
      </c>
      <c r="AU7" s="136">
        <f>IF(Sheet1!DN17="",0,Sheet1!DN17)</f>
        <v>0</v>
      </c>
      <c r="AV7" s="136">
        <f>IF(Sheet1!DO17="",0,Sheet1!DO17)</f>
        <v>0</v>
      </c>
      <c r="AW7">
        <f t="shared" si="1"/>
        <v>0</v>
      </c>
    </row>
    <row r="8" spans="1:49">
      <c r="A8" s="136" t="str">
        <f>Sheet1!B12</f>
        <v/>
      </c>
      <c r="B8" s="136" t="str">
        <f>IF(Sheet1!E12="","",Sheet1!E12)</f>
        <v/>
      </c>
      <c r="C8" s="136" t="str">
        <f>IF(Sheet1!P12="","",Sheet1!P12-Sheet1!FT18)</f>
        <v/>
      </c>
      <c r="D8" s="136" t="str">
        <f>IF(Sheet1!Q12="","",Sheet1!Q12)</f>
        <v/>
      </c>
      <c r="E8" s="136" t="str">
        <f>IF(Sheet1!R12="","",Sheet1!R12)</f>
        <v/>
      </c>
      <c r="F8" s="136" t="str">
        <f>IF(Sheet1!S12="","",Sheet1!S12)</f>
        <v/>
      </c>
      <c r="G8" s="136" t="str">
        <f>IF(Sheet1!T12="","",Sheet1!T12)</f>
        <v/>
      </c>
      <c r="H8" s="136" t="str">
        <f>IF(Sheet1!U12="","",Sheet1!U12)</f>
        <v/>
      </c>
      <c r="I8" s="136" t="str">
        <f>IF(Sheet1!V12="","",Sheet1!V12)</f>
        <v/>
      </c>
      <c r="J8" s="136" t="str">
        <f>IF(Sheet1!W12="","",Sheet1!W12)</f>
        <v/>
      </c>
      <c r="K8" s="136" t="str">
        <f>IF(Sheet1!X12="","",Sheet1!X12)</f>
        <v/>
      </c>
      <c r="L8" s="136" t="str">
        <f>IF(Sheet1!Y12="","",Sheet1!Y12)</f>
        <v/>
      </c>
      <c r="M8" s="136" t="str">
        <f>IF(Sheet1!Z12="","",Sheet1!Z12)</f>
        <v/>
      </c>
      <c r="N8" s="136" t="str">
        <f>IF(Sheet1!AA12="","",Sheet1!AA12)</f>
        <v/>
      </c>
      <c r="O8" s="136" t="e">
        <f t="shared" si="0"/>
        <v>#VALUE!</v>
      </c>
      <c r="P8" s="136">
        <f>IF(Sheet1!BR19="","",Sheet1!BR19)</f>
        <v>0</v>
      </c>
      <c r="Q8" s="136">
        <f>IF(B8="",0,IF(ISNUMBER(SEARCH("Yes",Sheet1!BD18)),75,100))</f>
        <v>0</v>
      </c>
      <c r="R8" s="136" t="str">
        <f>IF(Sheet1!AE12="","",Sheet1!AE12)</f>
        <v/>
      </c>
      <c r="S8" s="136" t="str">
        <f>IF(Sheet1!AU12="","",Sheet1!AU12)</f>
        <v/>
      </c>
      <c r="T8" s="136" t="str">
        <f>IF(Sheet1!J12="","",Sheet1!J12)</f>
        <v/>
      </c>
      <c r="U8" s="136" t="str">
        <f>IF(Sheet1!K12="","",Sheet1!K12)</f>
        <v/>
      </c>
      <c r="V8" s="136" t="str">
        <f>IF(Sheet1!L12="","",Sheet1!L12)</f>
        <v/>
      </c>
      <c r="W8" s="136" t="str">
        <f>IF(Sheet1!M12="","",Sheet1!M12)</f>
        <v/>
      </c>
      <c r="X8" s="136" t="str">
        <f>IF(Sheet1!N12="","",Sheet1!N12)</f>
        <v/>
      </c>
      <c r="Y8" s="136" t="str">
        <f>IF(Sheet1!O12="","",Sheet1!O12)</f>
        <v/>
      </c>
      <c r="Z8" s="136" t="str">
        <f>IF(Sheet1!G12="","",Sheet1!G12)</f>
        <v/>
      </c>
      <c r="AA8" s="136" t="str">
        <f>IF(Sheet1!F12="","",Sheet1!F12)</f>
        <v/>
      </c>
      <c r="AB8" s="136" t="str">
        <f>IF(Sheet1!E12="","",Sheet1!AP12)</f>
        <v/>
      </c>
      <c r="AC8" s="136">
        <f>IF(Sheet1!CV19="",0,Sheet1!CV19)</f>
        <v>0</v>
      </c>
      <c r="AD8" s="136">
        <f>IF(Sheet1!CW19="",0,Sheet1!CW19)</f>
        <v>0</v>
      </c>
      <c r="AE8" s="136">
        <f>IF(Sheet1!CX19="",0,Sheet1!CX19)</f>
        <v>0</v>
      </c>
      <c r="AF8" s="136">
        <f>IF(Sheet1!CY19="",0,Sheet1!CY19)</f>
        <v>0</v>
      </c>
      <c r="AG8" s="136">
        <f>IF(Sheet1!CZ19="",0,Sheet1!CZ19)</f>
        <v>0</v>
      </c>
      <c r="AH8" s="136">
        <f>IF(Sheet1!DA19="",0,Sheet1!DA19)</f>
        <v>0</v>
      </c>
      <c r="AI8" s="136">
        <f>IF(Sheet1!DB19="",0,Sheet1!DB19)</f>
        <v>0</v>
      </c>
      <c r="AJ8" s="136">
        <f>IF(Sheet1!DC19="",0,Sheet1!DC19)</f>
        <v>0</v>
      </c>
      <c r="AK8" s="136">
        <f>IF(Sheet1!DD19="",0,Sheet1!DD19)</f>
        <v>0</v>
      </c>
      <c r="AL8" s="136">
        <f>IF(Sheet1!DE19="",0,Sheet1!DE19)</f>
        <v>0</v>
      </c>
      <c r="AM8" s="136">
        <f>IF(Sheet1!DF19="",0,Sheet1!DF19)</f>
        <v>0</v>
      </c>
      <c r="AN8" s="136">
        <f>IF(Sheet1!DG19="",0,Sheet1!DG19)</f>
        <v>0</v>
      </c>
      <c r="AO8" s="136">
        <f>IF(Sheet1!DH19="",0,Sheet1!DH19)</f>
        <v>0</v>
      </c>
      <c r="AP8" s="136">
        <f>IF(Sheet1!DI19="",0,Sheet1!DI19)</f>
        <v>0</v>
      </c>
      <c r="AQ8" s="136">
        <f>IF(Sheet1!DJ19="",0,Sheet1!DJ19)</f>
        <v>0</v>
      </c>
      <c r="AR8" s="136">
        <f>IF(Sheet1!DK19="",0,Sheet1!DK19)</f>
        <v>0</v>
      </c>
      <c r="AS8" s="136">
        <f>IF(Sheet1!DL19="",0,Sheet1!DL19)</f>
        <v>0</v>
      </c>
      <c r="AT8" s="136">
        <f>IF(Sheet1!DM19="",0,Sheet1!DM19)</f>
        <v>0</v>
      </c>
      <c r="AU8" s="136">
        <f>IF(Sheet1!DN19="",0,Sheet1!DN19)</f>
        <v>0</v>
      </c>
      <c r="AV8" s="136">
        <f>IF(Sheet1!DO19="",0,Sheet1!DO19)</f>
        <v>0</v>
      </c>
      <c r="AW8">
        <f t="shared" si="1"/>
        <v>0</v>
      </c>
    </row>
    <row r="9" spans="1:49">
      <c r="A9" s="136" t="str">
        <f>Sheet1!B13</f>
        <v/>
      </c>
      <c r="B9" s="136" t="str">
        <f>IF(Sheet1!E13="","",Sheet1!E13)</f>
        <v/>
      </c>
      <c r="C9" s="136" t="str">
        <f>IF(Sheet1!P13="","",Sheet1!P13-Sheet1!FT20)</f>
        <v/>
      </c>
      <c r="D9" s="136" t="str">
        <f>IF(Sheet1!Q13="","",Sheet1!Q13)</f>
        <v/>
      </c>
      <c r="E9" s="136" t="str">
        <f>IF(Sheet1!R13="","",Sheet1!R13)</f>
        <v/>
      </c>
      <c r="F9" s="136" t="str">
        <f>IF(Sheet1!S13="","",Sheet1!S13)</f>
        <v/>
      </c>
      <c r="G9" s="136" t="str">
        <f>IF(Sheet1!T13="","",Sheet1!T13)</f>
        <v/>
      </c>
      <c r="H9" s="136" t="str">
        <f>IF(Sheet1!U13="","",Sheet1!U13)</f>
        <v/>
      </c>
      <c r="I9" s="136" t="str">
        <f>IF(Sheet1!V13="","",Sheet1!V13)</f>
        <v/>
      </c>
      <c r="J9" s="136" t="str">
        <f>IF(Sheet1!W13="","",Sheet1!W13)</f>
        <v/>
      </c>
      <c r="K9" s="136" t="str">
        <f>IF(Sheet1!X13="","",Sheet1!X13)</f>
        <v/>
      </c>
      <c r="L9" s="136" t="str">
        <f>IF(Sheet1!Y13="","",Sheet1!Y13)</f>
        <v/>
      </c>
      <c r="M9" s="136" t="str">
        <f>IF(Sheet1!Z13="","",Sheet1!Z13)</f>
        <v/>
      </c>
      <c r="N9" s="136" t="str">
        <f>IF(Sheet1!AA13="","",Sheet1!AA13)</f>
        <v/>
      </c>
      <c r="O9" s="136" t="e">
        <f t="shared" si="0"/>
        <v>#VALUE!</v>
      </c>
      <c r="P9" s="136">
        <f>IF(Sheet1!BR21="","",Sheet1!BR21)</f>
        <v>0</v>
      </c>
      <c r="Q9" s="136">
        <f>IF(B9="",0,IF(ISNUMBER(SEARCH("Yes",Sheet1!BD20)),75,100))</f>
        <v>0</v>
      </c>
      <c r="R9" s="136" t="str">
        <f>IF(Sheet1!AE13="","",Sheet1!AE13)</f>
        <v/>
      </c>
      <c r="S9" s="136" t="str">
        <f>IF(Sheet1!AU13="","",Sheet1!AU13)</f>
        <v/>
      </c>
      <c r="T9" s="136" t="str">
        <f>IF(Sheet1!J13="","",Sheet1!J13)</f>
        <v/>
      </c>
      <c r="U9" s="136" t="str">
        <f>IF(Sheet1!K13="","",Sheet1!K13)</f>
        <v/>
      </c>
      <c r="V9" s="136" t="str">
        <f>IF(Sheet1!L13="","",Sheet1!L13)</f>
        <v/>
      </c>
      <c r="W9" s="136" t="str">
        <f>IF(Sheet1!M13="","",Sheet1!M13)</f>
        <v/>
      </c>
      <c r="X9" s="136" t="str">
        <f>IF(Sheet1!N13="","",Sheet1!N13)</f>
        <v/>
      </c>
      <c r="Y9" s="136" t="str">
        <f>IF(Sheet1!O13="","",Sheet1!O13)</f>
        <v/>
      </c>
      <c r="Z9" s="136" t="str">
        <f>IF(Sheet1!G13="","",Sheet1!G13)</f>
        <v/>
      </c>
      <c r="AA9" s="136" t="str">
        <f>IF(Sheet1!F13="","",Sheet1!F13)</f>
        <v/>
      </c>
      <c r="AB9" s="136" t="str">
        <f>IF(Sheet1!E13="","",Sheet1!AP13)</f>
        <v/>
      </c>
      <c r="AC9" s="136">
        <f>IF(Sheet1!CV21="",0,Sheet1!CV21)</f>
        <v>0</v>
      </c>
      <c r="AD9" s="136">
        <f>IF(Sheet1!CW21="",0,Sheet1!CW21)</f>
        <v>0</v>
      </c>
      <c r="AE9" s="136">
        <f>IF(Sheet1!CX21="",0,Sheet1!CX21)</f>
        <v>0</v>
      </c>
      <c r="AF9" s="136">
        <f>IF(Sheet1!CY21="",0,Sheet1!CY21)</f>
        <v>0</v>
      </c>
      <c r="AG9" s="136">
        <f>IF(Sheet1!CZ21="",0,Sheet1!CZ21)</f>
        <v>0</v>
      </c>
      <c r="AH9" s="136">
        <f>IF(Sheet1!DA21="",0,Sheet1!DA21)</f>
        <v>0</v>
      </c>
      <c r="AI9" s="136">
        <f>IF(Sheet1!DB21="",0,Sheet1!DB21)</f>
        <v>0</v>
      </c>
      <c r="AJ9" s="136">
        <f>IF(Sheet1!DC21="",0,Sheet1!DC21)</f>
        <v>0</v>
      </c>
      <c r="AK9" s="136">
        <f>IF(Sheet1!DD21="",0,Sheet1!DD21)</f>
        <v>0</v>
      </c>
      <c r="AL9" s="136">
        <f>IF(Sheet1!DE21="",0,Sheet1!DE21)</f>
        <v>0</v>
      </c>
      <c r="AM9" s="136">
        <f>IF(Sheet1!DF21="",0,Sheet1!DF21)</f>
        <v>0</v>
      </c>
      <c r="AN9" s="136">
        <f>IF(Sheet1!DG21="",0,Sheet1!DG21)</f>
        <v>0</v>
      </c>
      <c r="AO9" s="136">
        <f>IF(Sheet1!DH21="",0,Sheet1!DH21)</f>
        <v>0</v>
      </c>
      <c r="AP9" s="136">
        <f>IF(Sheet1!DI21="",0,Sheet1!DI21)</f>
        <v>0</v>
      </c>
      <c r="AQ9" s="136">
        <f>IF(Sheet1!DJ21="",0,Sheet1!DJ21)</f>
        <v>0</v>
      </c>
      <c r="AR9" s="136">
        <f>IF(Sheet1!DK21="",0,Sheet1!DK21)</f>
        <v>0</v>
      </c>
      <c r="AS9" s="136">
        <f>IF(Sheet1!DL21="",0,Sheet1!DL21)</f>
        <v>0</v>
      </c>
      <c r="AT9" s="136">
        <f>IF(Sheet1!DM21="",0,Sheet1!DM21)</f>
        <v>0</v>
      </c>
      <c r="AU9" s="136">
        <f>IF(Sheet1!DN21="",0,Sheet1!DN21)</f>
        <v>0</v>
      </c>
      <c r="AV9" s="136">
        <f>IF(Sheet1!DO21="",0,Sheet1!DO21)</f>
        <v>0</v>
      </c>
      <c r="AW9">
        <f t="shared" si="1"/>
        <v>0</v>
      </c>
    </row>
    <row r="10" spans="1:49">
      <c r="A10" s="136" t="str">
        <f>Sheet1!B14</f>
        <v/>
      </c>
      <c r="B10" s="136" t="str">
        <f>IF(Sheet1!E14="","",Sheet1!E14)</f>
        <v/>
      </c>
      <c r="C10" s="136" t="str">
        <f>IF(Sheet1!P14="","",Sheet1!P14-Sheet1!FT22)</f>
        <v/>
      </c>
      <c r="D10" s="136" t="str">
        <f>IF(Sheet1!Q14="","",Sheet1!Q14)</f>
        <v/>
      </c>
      <c r="E10" s="136" t="str">
        <f>IF(Sheet1!R14="","",Sheet1!R14)</f>
        <v/>
      </c>
      <c r="F10" s="136" t="str">
        <f>IF(Sheet1!S14="","",Sheet1!S14)</f>
        <v/>
      </c>
      <c r="G10" s="136" t="str">
        <f>IF(Sheet1!T14="","",Sheet1!T14)</f>
        <v/>
      </c>
      <c r="H10" s="136" t="str">
        <f>IF(Sheet1!U14="","",Sheet1!U14)</f>
        <v/>
      </c>
      <c r="I10" s="136" t="str">
        <f>IF(Sheet1!V14="","",Sheet1!V14)</f>
        <v/>
      </c>
      <c r="J10" s="136" t="str">
        <f>IF(Sheet1!W14="","",Sheet1!W14)</f>
        <v/>
      </c>
      <c r="K10" s="136" t="str">
        <f>IF(Sheet1!X14="","",Sheet1!X14)</f>
        <v/>
      </c>
      <c r="L10" s="136" t="str">
        <f>IF(Sheet1!Y14="","",Sheet1!Y14)</f>
        <v/>
      </c>
      <c r="M10" s="136" t="str">
        <f>IF(Sheet1!Z14="","",Sheet1!Z14)</f>
        <v/>
      </c>
      <c r="N10" s="136" t="str">
        <f>IF(Sheet1!AA14="","",Sheet1!AA14)</f>
        <v/>
      </c>
      <c r="O10" s="136" t="e">
        <f t="shared" si="0"/>
        <v>#VALUE!</v>
      </c>
      <c r="P10" s="136">
        <f>IF(Sheet1!BR23="","",Sheet1!BR23)</f>
        <v>0</v>
      </c>
      <c r="Q10" s="136">
        <f>IF(B10="",0,IF(ISNUMBER(SEARCH("Yes",Sheet1!BD22)),75,100))</f>
        <v>0</v>
      </c>
      <c r="R10" s="136" t="str">
        <f>IF(Sheet1!AE14="","",Sheet1!AE14)</f>
        <v/>
      </c>
      <c r="S10" s="136" t="str">
        <f>IF(Sheet1!AU14="","",Sheet1!AU14)</f>
        <v/>
      </c>
      <c r="T10" s="136" t="str">
        <f>IF(Sheet1!J14="","",Sheet1!J14)</f>
        <v/>
      </c>
      <c r="U10" s="136" t="str">
        <f>IF(Sheet1!K14="","",Sheet1!K14)</f>
        <v/>
      </c>
      <c r="V10" s="136" t="str">
        <f>IF(Sheet1!L14="","",Sheet1!L14)</f>
        <v/>
      </c>
      <c r="W10" s="136" t="str">
        <f>IF(Sheet1!M14="","",Sheet1!M14)</f>
        <v/>
      </c>
      <c r="X10" s="136" t="str">
        <f>IF(Sheet1!N14="","",Sheet1!N14)</f>
        <v/>
      </c>
      <c r="Y10" s="136" t="str">
        <f>IF(Sheet1!O14="","",Sheet1!O14)</f>
        <v/>
      </c>
      <c r="Z10" s="136" t="str">
        <f>IF(Sheet1!G14="","",Sheet1!G14)</f>
        <v/>
      </c>
      <c r="AA10" s="136" t="str">
        <f>IF(Sheet1!F14="","",Sheet1!F14)</f>
        <v/>
      </c>
      <c r="AB10" s="136" t="str">
        <f>IF(Sheet1!E14="","",Sheet1!AP14)</f>
        <v/>
      </c>
      <c r="AC10" s="136">
        <f>IF(Sheet1!CV23="",0,Sheet1!CV23)</f>
        <v>0</v>
      </c>
      <c r="AD10" s="136">
        <f>IF(Sheet1!CW23="",0,Sheet1!CW23)</f>
        <v>0</v>
      </c>
      <c r="AE10" s="136">
        <f>IF(Sheet1!CX23="",0,Sheet1!CX23)</f>
        <v>0</v>
      </c>
      <c r="AF10" s="136">
        <f>IF(Sheet1!CY23="",0,Sheet1!CY23)</f>
        <v>0</v>
      </c>
      <c r="AG10" s="136">
        <f>IF(Sheet1!CZ23="",0,Sheet1!CZ23)</f>
        <v>0</v>
      </c>
      <c r="AH10" s="136">
        <f>IF(Sheet1!DA23="",0,Sheet1!DA23)</f>
        <v>0</v>
      </c>
      <c r="AI10" s="136">
        <f>IF(Sheet1!DB23="",0,Sheet1!DB23)</f>
        <v>0</v>
      </c>
      <c r="AJ10" s="136">
        <f>IF(Sheet1!DC23="",0,Sheet1!DC23)</f>
        <v>0</v>
      </c>
      <c r="AK10" s="136">
        <f>IF(Sheet1!DD23="",0,Sheet1!DD23)</f>
        <v>0</v>
      </c>
      <c r="AL10" s="136">
        <f>IF(Sheet1!DE23="",0,Sheet1!DE23)</f>
        <v>0</v>
      </c>
      <c r="AM10" s="136">
        <f>IF(Sheet1!DF23="",0,Sheet1!DF23)</f>
        <v>0</v>
      </c>
      <c r="AN10" s="136">
        <f>IF(Sheet1!DG23="",0,Sheet1!DG23)</f>
        <v>0</v>
      </c>
      <c r="AO10" s="136">
        <f>IF(Sheet1!DH23="",0,Sheet1!DH23)</f>
        <v>0</v>
      </c>
      <c r="AP10" s="136">
        <f>IF(Sheet1!DI23="",0,Sheet1!DI23)</f>
        <v>0</v>
      </c>
      <c r="AQ10" s="136">
        <f>IF(Sheet1!DJ23="",0,Sheet1!DJ23)</f>
        <v>0</v>
      </c>
      <c r="AR10" s="136">
        <f>IF(Sheet1!DK23="",0,Sheet1!DK23)</f>
        <v>0</v>
      </c>
      <c r="AS10" s="136">
        <f>IF(Sheet1!DL23="",0,Sheet1!DL23)</f>
        <v>0</v>
      </c>
      <c r="AT10" s="136">
        <f>IF(Sheet1!DM23="",0,Sheet1!DM23)</f>
        <v>0</v>
      </c>
      <c r="AU10" s="136">
        <f>IF(Sheet1!DN23="",0,Sheet1!DN23)</f>
        <v>0</v>
      </c>
      <c r="AV10" s="136">
        <f>IF(Sheet1!DO23="",0,Sheet1!DO23)</f>
        <v>0</v>
      </c>
      <c r="AW10">
        <f t="shared" si="1"/>
        <v>0</v>
      </c>
    </row>
    <row r="11" spans="1:49">
      <c r="A11" s="136" t="str">
        <f>Sheet1!B15</f>
        <v/>
      </c>
      <c r="B11" s="136" t="str">
        <f>IF(Sheet1!E15="","",Sheet1!E15)</f>
        <v/>
      </c>
      <c r="C11" s="136" t="str">
        <f>IF(Sheet1!P15="","",Sheet1!P15-Sheet1!FT24)</f>
        <v/>
      </c>
      <c r="D11" s="136" t="str">
        <f>IF(Sheet1!Q15="","",Sheet1!Q15)</f>
        <v/>
      </c>
      <c r="E11" s="136" t="str">
        <f>IF(Sheet1!R15="","",Sheet1!R15)</f>
        <v/>
      </c>
      <c r="F11" s="136" t="str">
        <f>IF(Sheet1!S15="","",Sheet1!S15)</f>
        <v/>
      </c>
      <c r="G11" s="136" t="str">
        <f>IF(Sheet1!T15="","",Sheet1!T15)</f>
        <v/>
      </c>
      <c r="H11" s="136" t="str">
        <f>IF(Sheet1!U15="","",Sheet1!U15)</f>
        <v/>
      </c>
      <c r="I11" s="136" t="str">
        <f>IF(Sheet1!V15="","",Sheet1!V15)</f>
        <v/>
      </c>
      <c r="J11" s="136" t="str">
        <f>IF(Sheet1!W15="","",Sheet1!W15)</f>
        <v/>
      </c>
      <c r="K11" s="136" t="str">
        <f>IF(Sheet1!X15="","",Sheet1!X15)</f>
        <v/>
      </c>
      <c r="L11" s="136" t="str">
        <f>IF(Sheet1!Y15="","",Sheet1!Y15)</f>
        <v/>
      </c>
      <c r="M11" s="136" t="str">
        <f>IF(Sheet1!Z15="","",Sheet1!Z15)</f>
        <v/>
      </c>
      <c r="N11" s="136" t="str">
        <f>IF(Sheet1!AA15="","",Sheet1!AA15)</f>
        <v/>
      </c>
      <c r="O11" s="136" t="e">
        <f t="shared" si="0"/>
        <v>#VALUE!</v>
      </c>
      <c r="P11" s="136">
        <f>IF(Sheet1!BR25="","",Sheet1!BR25)</f>
        <v>0</v>
      </c>
      <c r="Q11" s="136">
        <f>IF(B11="",0,IF(ISNUMBER(SEARCH("Yes",Sheet1!BD24)),75,100))</f>
        <v>0</v>
      </c>
      <c r="R11" s="136" t="str">
        <f>IF(Sheet1!AE15="","",Sheet1!AE15)</f>
        <v/>
      </c>
      <c r="S11" s="136" t="str">
        <f>IF(Sheet1!AU15="","",Sheet1!AU15)</f>
        <v/>
      </c>
      <c r="T11" s="136" t="str">
        <f>IF(Sheet1!J15="","",Sheet1!J15)</f>
        <v/>
      </c>
      <c r="U11" s="136" t="str">
        <f>IF(Sheet1!K15="","",Sheet1!K15)</f>
        <v/>
      </c>
      <c r="V11" s="136" t="str">
        <f>IF(Sheet1!L15="","",Sheet1!L15)</f>
        <v/>
      </c>
      <c r="W11" s="136" t="str">
        <f>IF(Sheet1!M15="","",Sheet1!M15)</f>
        <v/>
      </c>
      <c r="X11" s="136" t="str">
        <f>IF(Sheet1!N15="","",Sheet1!N15)</f>
        <v/>
      </c>
      <c r="Y11" s="136" t="str">
        <f>IF(Sheet1!O15="","",Sheet1!O15)</f>
        <v/>
      </c>
      <c r="Z11" s="136" t="str">
        <f>IF(Sheet1!G15="","",Sheet1!G15)</f>
        <v/>
      </c>
      <c r="AA11" s="136" t="str">
        <f>IF(Sheet1!F15="","",Sheet1!F15)</f>
        <v/>
      </c>
      <c r="AB11" s="136" t="str">
        <f>IF(Sheet1!E15="","",Sheet1!AP15)</f>
        <v/>
      </c>
      <c r="AC11" s="136">
        <f>IF(Sheet1!CV25="",0,Sheet1!CV25)</f>
        <v>0</v>
      </c>
      <c r="AD11" s="136">
        <f>IF(Sheet1!CW25="",0,Sheet1!CW25)</f>
        <v>0</v>
      </c>
      <c r="AE11" s="136">
        <f>IF(Sheet1!CX25="",0,Sheet1!CX25)</f>
        <v>0</v>
      </c>
      <c r="AF11" s="136">
        <f>IF(Sheet1!CY25="",0,Sheet1!CY25)</f>
        <v>0</v>
      </c>
      <c r="AG11" s="136">
        <f>IF(Sheet1!CZ25="",0,Sheet1!CZ25)</f>
        <v>0</v>
      </c>
      <c r="AH11" s="136">
        <f>IF(Sheet1!DA25="",0,Sheet1!DA25)</f>
        <v>0</v>
      </c>
      <c r="AI11" s="136">
        <f>IF(Sheet1!DB25="",0,Sheet1!DB25)</f>
        <v>0</v>
      </c>
      <c r="AJ11" s="136">
        <f>IF(Sheet1!DC25="",0,Sheet1!DC25)</f>
        <v>0</v>
      </c>
      <c r="AK11" s="136">
        <f>IF(Sheet1!DD25="",0,Sheet1!DD25)</f>
        <v>0</v>
      </c>
      <c r="AL11" s="136">
        <f>IF(Sheet1!DE25="",0,Sheet1!DE25)</f>
        <v>0</v>
      </c>
      <c r="AM11" s="136">
        <f>IF(Sheet1!DF25="",0,Sheet1!DF25)</f>
        <v>0</v>
      </c>
      <c r="AN11" s="136">
        <f>IF(Sheet1!DG25="",0,Sheet1!DG25)</f>
        <v>0</v>
      </c>
      <c r="AO11" s="136">
        <f>IF(Sheet1!DH25="",0,Sheet1!DH25)</f>
        <v>0</v>
      </c>
      <c r="AP11" s="136">
        <f>IF(Sheet1!DI25="",0,Sheet1!DI25)</f>
        <v>0</v>
      </c>
      <c r="AQ11" s="136">
        <f>IF(Sheet1!DJ25="",0,Sheet1!DJ25)</f>
        <v>0</v>
      </c>
      <c r="AR11" s="136">
        <f>IF(Sheet1!DK25="",0,Sheet1!DK25)</f>
        <v>0</v>
      </c>
      <c r="AS11" s="136">
        <f>IF(Sheet1!DL25="",0,Sheet1!DL25)</f>
        <v>0</v>
      </c>
      <c r="AT11" s="136">
        <f>IF(Sheet1!DM25="",0,Sheet1!DM25)</f>
        <v>0</v>
      </c>
      <c r="AU11" s="136">
        <f>IF(Sheet1!DN25="",0,Sheet1!DN25)</f>
        <v>0</v>
      </c>
      <c r="AV11" s="136">
        <f>IF(Sheet1!DO25="",0,Sheet1!DO25)</f>
        <v>0</v>
      </c>
      <c r="AW11">
        <f t="shared" si="1"/>
        <v>0</v>
      </c>
    </row>
    <row r="12" spans="1:49">
      <c r="A12" s="136" t="str">
        <f>Sheet1!B16</f>
        <v/>
      </c>
      <c r="B12" s="136" t="str">
        <f>IF(Sheet1!E16="","",Sheet1!E16)</f>
        <v/>
      </c>
      <c r="C12" s="136" t="str">
        <f>IF(Sheet1!P16="","",Sheet1!P16-Sheet1!FT26)</f>
        <v/>
      </c>
      <c r="D12" s="136" t="str">
        <f>IF(Sheet1!Q16="","",Sheet1!Q16)</f>
        <v/>
      </c>
      <c r="E12" s="136" t="str">
        <f>IF(Sheet1!R16="","",Sheet1!R16)</f>
        <v/>
      </c>
      <c r="F12" s="136" t="str">
        <f>IF(Sheet1!S16="","",Sheet1!S16)</f>
        <v/>
      </c>
      <c r="G12" s="136" t="str">
        <f>IF(Sheet1!T16="","",Sheet1!T16)</f>
        <v/>
      </c>
      <c r="H12" s="136" t="str">
        <f>IF(Sheet1!U16="","",Sheet1!U16)</f>
        <v/>
      </c>
      <c r="I12" s="136" t="str">
        <f>IF(Sheet1!V16="","",Sheet1!V16)</f>
        <v/>
      </c>
      <c r="J12" s="136" t="str">
        <f>IF(Sheet1!W16="","",Sheet1!W16)</f>
        <v/>
      </c>
      <c r="K12" s="136" t="str">
        <f>IF(Sheet1!X16="","",Sheet1!X16)</f>
        <v/>
      </c>
      <c r="L12" s="136" t="str">
        <f>IF(Sheet1!Y16="","",Sheet1!Y16)</f>
        <v/>
      </c>
      <c r="M12" s="136" t="str">
        <f>IF(Sheet1!Z16="","",Sheet1!Z16)</f>
        <v/>
      </c>
      <c r="N12" s="136" t="str">
        <f>IF(Sheet1!AA16="","",Sheet1!AA16)</f>
        <v/>
      </c>
      <c r="O12" s="136" t="e">
        <f t="shared" si="0"/>
        <v>#VALUE!</v>
      </c>
      <c r="P12" s="136">
        <f>IF(Sheet1!BR27="","",Sheet1!BR27)</f>
        <v>0</v>
      </c>
      <c r="Q12" s="136">
        <f>IF(B12="",0,IF(ISNUMBER(SEARCH("Yes",Sheet1!BD26)),75,100))</f>
        <v>0</v>
      </c>
      <c r="R12" s="136" t="str">
        <f>IF(Sheet1!AE16="","",Sheet1!AE16)</f>
        <v/>
      </c>
      <c r="S12" s="136" t="str">
        <f>IF(Sheet1!AU16="","",Sheet1!AU16)</f>
        <v/>
      </c>
      <c r="T12" s="136" t="str">
        <f>IF(Sheet1!J16="","",Sheet1!J16)</f>
        <v/>
      </c>
      <c r="U12" s="136" t="str">
        <f>IF(Sheet1!K16="","",Sheet1!K16)</f>
        <v/>
      </c>
      <c r="V12" s="136" t="str">
        <f>IF(Sheet1!L16="","",Sheet1!L16)</f>
        <v/>
      </c>
      <c r="W12" s="136" t="str">
        <f>IF(Sheet1!M16="","",Sheet1!M16)</f>
        <v/>
      </c>
      <c r="X12" s="136" t="str">
        <f>IF(Sheet1!N16="","",Sheet1!N16)</f>
        <v/>
      </c>
      <c r="Y12" s="136" t="str">
        <f>IF(Sheet1!O16="","",Sheet1!O16)</f>
        <v/>
      </c>
      <c r="Z12" s="136" t="str">
        <f>IF(Sheet1!G16="","",Sheet1!G16)</f>
        <v/>
      </c>
      <c r="AA12" s="136" t="str">
        <f>IF(Sheet1!F16="","",Sheet1!F16)</f>
        <v/>
      </c>
      <c r="AB12" s="136" t="str">
        <f>IF(Sheet1!E16="","",Sheet1!AP16)</f>
        <v/>
      </c>
      <c r="AC12" s="136">
        <f>IF(Sheet1!CV27="",0,Sheet1!CV27)</f>
        <v>0</v>
      </c>
      <c r="AD12" s="136">
        <f>IF(Sheet1!CW27="",0,Sheet1!CW27)</f>
        <v>0</v>
      </c>
      <c r="AE12" s="136">
        <f>IF(Sheet1!CX27="",0,Sheet1!CX27)</f>
        <v>0</v>
      </c>
      <c r="AF12" s="136">
        <f>IF(Sheet1!CY27="",0,Sheet1!CY27)</f>
        <v>0</v>
      </c>
      <c r="AG12" s="136">
        <f>IF(Sheet1!CZ27="",0,Sheet1!CZ27)</f>
        <v>0</v>
      </c>
      <c r="AH12" s="136">
        <f>IF(Sheet1!DA27="",0,Sheet1!DA27)</f>
        <v>0</v>
      </c>
      <c r="AI12" s="136">
        <f>IF(Sheet1!DB27="",0,Sheet1!DB27)</f>
        <v>0</v>
      </c>
      <c r="AJ12" s="136">
        <f>IF(Sheet1!DC27="",0,Sheet1!DC27)</f>
        <v>0</v>
      </c>
      <c r="AK12" s="136">
        <f>IF(Sheet1!DD27="",0,Sheet1!DD27)</f>
        <v>0</v>
      </c>
      <c r="AL12" s="136">
        <f>IF(Sheet1!DE27="",0,Sheet1!DE27)</f>
        <v>0</v>
      </c>
      <c r="AM12" s="136">
        <f>IF(Sheet1!DF27="",0,Sheet1!DF27)</f>
        <v>0</v>
      </c>
      <c r="AN12" s="136">
        <f>IF(Sheet1!DG27="",0,Sheet1!DG27)</f>
        <v>0</v>
      </c>
      <c r="AO12" s="136">
        <f>IF(Sheet1!DH27="",0,Sheet1!DH27)</f>
        <v>0</v>
      </c>
      <c r="AP12" s="136">
        <f>IF(Sheet1!DI27="",0,Sheet1!DI27)</f>
        <v>0</v>
      </c>
      <c r="AQ12" s="136">
        <f>IF(Sheet1!DJ27="",0,Sheet1!DJ27)</f>
        <v>0</v>
      </c>
      <c r="AR12" s="136">
        <f>IF(Sheet1!DK27="",0,Sheet1!DK27)</f>
        <v>0</v>
      </c>
      <c r="AS12" s="136">
        <f>IF(Sheet1!DL27="",0,Sheet1!DL27)</f>
        <v>0</v>
      </c>
      <c r="AT12" s="136">
        <f>IF(Sheet1!DM27="",0,Sheet1!DM27)</f>
        <v>0</v>
      </c>
      <c r="AU12" s="136">
        <f>IF(Sheet1!DN27="",0,Sheet1!DN27)</f>
        <v>0</v>
      </c>
      <c r="AV12" s="136">
        <f>IF(Sheet1!DO27="",0,Sheet1!DO27)</f>
        <v>0</v>
      </c>
      <c r="AW12">
        <f t="shared" si="1"/>
        <v>0</v>
      </c>
    </row>
    <row r="13" spans="1:49">
      <c r="A13" s="136" t="str">
        <f>Sheet1!B17</f>
        <v/>
      </c>
      <c r="B13" s="136" t="str">
        <f>IF(Sheet1!E17="","",Sheet1!E17)</f>
        <v/>
      </c>
      <c r="C13" s="136" t="str">
        <f>IF(Sheet1!P17="","",Sheet1!P17-Sheet1!FT28)</f>
        <v/>
      </c>
      <c r="D13" s="136" t="str">
        <f>IF(Sheet1!Q17="","",Sheet1!Q17)</f>
        <v/>
      </c>
      <c r="E13" s="136" t="str">
        <f>IF(Sheet1!R17="","",Sheet1!R17)</f>
        <v/>
      </c>
      <c r="F13" s="136" t="str">
        <f>IF(Sheet1!S17="","",Sheet1!S17)</f>
        <v/>
      </c>
      <c r="G13" s="136" t="str">
        <f>IF(Sheet1!T17="","",Sheet1!T17)</f>
        <v/>
      </c>
      <c r="H13" s="136" t="str">
        <f>IF(Sheet1!U17="","",Sheet1!U17)</f>
        <v/>
      </c>
      <c r="I13" s="136" t="str">
        <f>IF(Sheet1!V17="","",Sheet1!V17)</f>
        <v/>
      </c>
      <c r="J13" s="136" t="str">
        <f>IF(Sheet1!W17="","",Sheet1!W17)</f>
        <v/>
      </c>
      <c r="K13" s="136" t="str">
        <f>IF(Sheet1!X17="","",Sheet1!X17)</f>
        <v/>
      </c>
      <c r="L13" s="136" t="str">
        <f>IF(Sheet1!Y17="","",Sheet1!Y17)</f>
        <v/>
      </c>
      <c r="M13" s="136" t="str">
        <f>IF(Sheet1!Z17="","",Sheet1!Z17)</f>
        <v/>
      </c>
      <c r="N13" s="136" t="str">
        <f>IF(Sheet1!AA17="","",Sheet1!AA17)</f>
        <v/>
      </c>
      <c r="O13" s="136" t="e">
        <f t="shared" si="0"/>
        <v>#VALUE!</v>
      </c>
      <c r="P13" s="136">
        <f>IF(Sheet1!BR29="","",Sheet1!BR29)</f>
        <v>0</v>
      </c>
      <c r="Q13" s="136">
        <f>IF(B13="",0,IF(ISNUMBER(SEARCH("Yes",Sheet1!BD28)),75,100))</f>
        <v>0</v>
      </c>
      <c r="R13" s="136" t="str">
        <f>IF(Sheet1!AE17="","",Sheet1!AE17)</f>
        <v/>
      </c>
      <c r="S13" s="136" t="str">
        <f>IF(Sheet1!AU17="","",Sheet1!AU17)</f>
        <v/>
      </c>
      <c r="T13" s="136" t="str">
        <f>IF(Sheet1!J17="","",Sheet1!J17)</f>
        <v/>
      </c>
      <c r="U13" s="136" t="str">
        <f>IF(Sheet1!K17="","",Sheet1!K17)</f>
        <v/>
      </c>
      <c r="V13" s="136" t="str">
        <f>IF(Sheet1!L17="","",Sheet1!L17)</f>
        <v/>
      </c>
      <c r="W13" s="136" t="str">
        <f>IF(Sheet1!M17="","",Sheet1!M17)</f>
        <v/>
      </c>
      <c r="X13" s="136" t="str">
        <f>IF(Sheet1!N17="","",Sheet1!N17)</f>
        <v/>
      </c>
      <c r="Y13" s="136" t="str">
        <f>IF(Sheet1!O17="","",Sheet1!O17)</f>
        <v/>
      </c>
      <c r="Z13" s="136" t="str">
        <f>IF(Sheet1!G17="","",Sheet1!G17)</f>
        <v/>
      </c>
      <c r="AA13" s="136" t="str">
        <f>IF(Sheet1!F17="","",Sheet1!F17)</f>
        <v/>
      </c>
      <c r="AB13" s="136" t="str">
        <f>IF(Sheet1!E17="","",Sheet1!AP17)</f>
        <v/>
      </c>
      <c r="AC13" s="136">
        <f>IF(Sheet1!CV29="",0,Sheet1!CV29)</f>
        <v>0</v>
      </c>
      <c r="AD13" s="136">
        <f>IF(Sheet1!CW29="",0,Sheet1!CW29)</f>
        <v>0</v>
      </c>
      <c r="AE13" s="136">
        <f>IF(Sheet1!CX29="",0,Sheet1!CX29)</f>
        <v>0</v>
      </c>
      <c r="AF13" s="136">
        <f>IF(Sheet1!CY29="",0,Sheet1!CY29)</f>
        <v>0</v>
      </c>
      <c r="AG13" s="136">
        <f>IF(Sheet1!CZ29="",0,Sheet1!CZ29)</f>
        <v>0</v>
      </c>
      <c r="AH13" s="136">
        <f>IF(Sheet1!DA29="",0,Sheet1!DA29)</f>
        <v>0</v>
      </c>
      <c r="AI13" s="136">
        <f>IF(Sheet1!DB29="",0,Sheet1!DB29)</f>
        <v>0</v>
      </c>
      <c r="AJ13" s="136">
        <f>IF(Sheet1!DC29="",0,Sheet1!DC29)</f>
        <v>0</v>
      </c>
      <c r="AK13" s="136">
        <f>IF(Sheet1!DD29="",0,Sheet1!DD29)</f>
        <v>0</v>
      </c>
      <c r="AL13" s="136">
        <f>IF(Sheet1!DE29="",0,Sheet1!DE29)</f>
        <v>0</v>
      </c>
      <c r="AM13" s="136">
        <f>IF(Sheet1!DF29="",0,Sheet1!DF29)</f>
        <v>0</v>
      </c>
      <c r="AN13" s="136">
        <f>IF(Sheet1!DG29="",0,Sheet1!DG29)</f>
        <v>0</v>
      </c>
      <c r="AO13" s="136">
        <f>IF(Sheet1!DH29="",0,Sheet1!DH29)</f>
        <v>0</v>
      </c>
      <c r="AP13" s="136">
        <f>IF(Sheet1!DI29="",0,Sheet1!DI29)</f>
        <v>0</v>
      </c>
      <c r="AQ13" s="136">
        <f>IF(Sheet1!DJ29="",0,Sheet1!DJ29)</f>
        <v>0</v>
      </c>
      <c r="AR13" s="136">
        <f>IF(Sheet1!DK29="",0,Sheet1!DK29)</f>
        <v>0</v>
      </c>
      <c r="AS13" s="136">
        <f>IF(Sheet1!DL29="",0,Sheet1!DL29)</f>
        <v>0</v>
      </c>
      <c r="AT13" s="136">
        <f>IF(Sheet1!DM29="",0,Sheet1!DM29)</f>
        <v>0</v>
      </c>
      <c r="AU13" s="136">
        <f>IF(Sheet1!DN29="",0,Sheet1!DN29)</f>
        <v>0</v>
      </c>
      <c r="AV13" s="136">
        <f>IF(Sheet1!DO29="",0,Sheet1!DO29)</f>
        <v>0</v>
      </c>
      <c r="AW13">
        <f t="shared" si="1"/>
        <v>0</v>
      </c>
    </row>
    <row r="14" spans="1:49">
      <c r="A14" s="136" t="str">
        <f>Sheet1!B18</f>
        <v/>
      </c>
      <c r="B14" s="136" t="str">
        <f>IF(Sheet1!E18="","",Sheet1!E18)</f>
        <v/>
      </c>
      <c r="C14" s="136" t="str">
        <f>IF(Sheet1!P18="","",Sheet1!P18-Sheet1!FT30)</f>
        <v/>
      </c>
      <c r="D14" s="136" t="str">
        <f>IF(Sheet1!Q18="","",Sheet1!Q18)</f>
        <v/>
      </c>
      <c r="E14" s="136" t="str">
        <f>IF(Sheet1!R18="","",Sheet1!R18)</f>
        <v/>
      </c>
      <c r="F14" s="136" t="str">
        <f>IF(Sheet1!S18="","",Sheet1!S18)</f>
        <v/>
      </c>
      <c r="G14" s="136" t="str">
        <f>IF(Sheet1!T18="","",Sheet1!T18)</f>
        <v/>
      </c>
      <c r="H14" s="136" t="str">
        <f>IF(Sheet1!U18="","",Sheet1!U18)</f>
        <v/>
      </c>
      <c r="I14" s="136" t="str">
        <f>IF(Sheet1!V18="","",Sheet1!V18)</f>
        <v/>
      </c>
      <c r="J14" s="136" t="str">
        <f>IF(Sheet1!W18="","",Sheet1!W18)</f>
        <v/>
      </c>
      <c r="K14" s="136" t="str">
        <f>IF(Sheet1!X18="","",Sheet1!X18)</f>
        <v/>
      </c>
      <c r="L14" s="136" t="str">
        <f>IF(Sheet1!Y18="","",Sheet1!Y18)</f>
        <v/>
      </c>
      <c r="M14" s="136" t="str">
        <f>IF(Sheet1!Z18="","",Sheet1!Z18)</f>
        <v/>
      </c>
      <c r="N14" s="136" t="str">
        <f>IF(Sheet1!AA18="","",Sheet1!AA18)</f>
        <v/>
      </c>
      <c r="O14" s="136" t="e">
        <f t="shared" si="0"/>
        <v>#VALUE!</v>
      </c>
      <c r="P14" s="136">
        <f>IF(Sheet1!BR31="","",Sheet1!BR31)</f>
        <v>0</v>
      </c>
      <c r="Q14" s="136">
        <f>IF(B14="",0,IF(ISNUMBER(SEARCH("Yes",Sheet1!BD30)),75,100))</f>
        <v>0</v>
      </c>
      <c r="R14" s="136" t="str">
        <f>IF(Sheet1!AE18="","",Sheet1!AE18)</f>
        <v/>
      </c>
      <c r="S14" s="136" t="str">
        <f>IF(Sheet1!AU18="","",Sheet1!AU18)</f>
        <v/>
      </c>
      <c r="T14" s="136" t="str">
        <f>IF(Sheet1!J18="","",Sheet1!J18)</f>
        <v/>
      </c>
      <c r="U14" s="136" t="str">
        <f>IF(Sheet1!K18="","",Sheet1!K18)</f>
        <v/>
      </c>
      <c r="V14" s="136" t="str">
        <f>IF(Sheet1!L18="","",Sheet1!L18)</f>
        <v/>
      </c>
      <c r="W14" s="136" t="str">
        <f>IF(Sheet1!M18="","",Sheet1!M18)</f>
        <v/>
      </c>
      <c r="X14" s="136" t="str">
        <f>IF(Sheet1!N18="","",Sheet1!N18)</f>
        <v/>
      </c>
      <c r="Y14" s="136" t="str">
        <f>IF(Sheet1!O18="","",Sheet1!O18)</f>
        <v/>
      </c>
      <c r="Z14" s="136" t="str">
        <f>IF(Sheet1!G18="","",Sheet1!G18)</f>
        <v/>
      </c>
      <c r="AA14" s="136" t="str">
        <f>IF(Sheet1!F18="","",Sheet1!F18)</f>
        <v/>
      </c>
      <c r="AB14" s="136" t="str">
        <f>IF(Sheet1!E18="","",Sheet1!AP18)</f>
        <v/>
      </c>
      <c r="AC14" s="136">
        <f>IF(Sheet1!CV31="",0,Sheet1!CV31)</f>
        <v>0</v>
      </c>
      <c r="AD14" s="136">
        <f>IF(Sheet1!CW31="",0,Sheet1!CW31)</f>
        <v>0</v>
      </c>
      <c r="AE14" s="136">
        <f>IF(Sheet1!CX31="",0,Sheet1!CX31)</f>
        <v>0</v>
      </c>
      <c r="AF14" s="136">
        <f>IF(Sheet1!CY31="",0,Sheet1!CY31)</f>
        <v>0</v>
      </c>
      <c r="AG14" s="136">
        <f>IF(Sheet1!CZ31="",0,Sheet1!CZ31)</f>
        <v>0</v>
      </c>
      <c r="AH14" s="136">
        <f>IF(Sheet1!DA31="",0,Sheet1!DA31)</f>
        <v>0</v>
      </c>
      <c r="AI14" s="136">
        <f>IF(Sheet1!DB31="",0,Sheet1!DB31)</f>
        <v>0</v>
      </c>
      <c r="AJ14" s="136">
        <f>IF(Sheet1!DC31="",0,Sheet1!DC31)</f>
        <v>0</v>
      </c>
      <c r="AK14" s="136">
        <f>IF(Sheet1!DD31="",0,Sheet1!DD31)</f>
        <v>0</v>
      </c>
      <c r="AL14" s="136">
        <f>IF(Sheet1!DE31="",0,Sheet1!DE31)</f>
        <v>0</v>
      </c>
      <c r="AM14" s="136">
        <f>IF(Sheet1!DF31="",0,Sheet1!DF31)</f>
        <v>0</v>
      </c>
      <c r="AN14" s="136">
        <f>IF(Sheet1!DG31="",0,Sheet1!DG31)</f>
        <v>0</v>
      </c>
      <c r="AO14" s="136">
        <f>IF(Sheet1!DH31="",0,Sheet1!DH31)</f>
        <v>0</v>
      </c>
      <c r="AP14" s="136">
        <f>IF(Sheet1!DI31="",0,Sheet1!DI31)</f>
        <v>0</v>
      </c>
      <c r="AQ14" s="136">
        <f>IF(Sheet1!DJ31="",0,Sheet1!DJ31)</f>
        <v>0</v>
      </c>
      <c r="AR14" s="136">
        <f>IF(Sheet1!DK31="",0,Sheet1!DK31)</f>
        <v>0</v>
      </c>
      <c r="AS14" s="136">
        <f>IF(Sheet1!DL31="",0,Sheet1!DL31)</f>
        <v>0</v>
      </c>
      <c r="AT14" s="136">
        <f>IF(Sheet1!DM31="",0,Sheet1!DM31)</f>
        <v>0</v>
      </c>
      <c r="AU14" s="136">
        <f>IF(Sheet1!DN31="",0,Sheet1!DN31)</f>
        <v>0</v>
      </c>
      <c r="AV14" s="136">
        <f>IF(Sheet1!DO31="",0,Sheet1!DO31)</f>
        <v>0</v>
      </c>
      <c r="AW14">
        <f t="shared" si="1"/>
        <v>0</v>
      </c>
    </row>
    <row r="15" spans="1:49">
      <c r="A15" s="136" t="str">
        <f>Sheet1!B19</f>
        <v/>
      </c>
      <c r="B15" s="136" t="str">
        <f>IF(Sheet1!E19="","",Sheet1!E19)</f>
        <v/>
      </c>
      <c r="C15" s="136" t="str">
        <f>IF(Sheet1!P19="","",Sheet1!P19-Sheet1!FT32)</f>
        <v/>
      </c>
      <c r="D15" s="136" t="str">
        <f>IF(Sheet1!Q19="","",Sheet1!Q19)</f>
        <v/>
      </c>
      <c r="E15" s="136" t="str">
        <f>IF(Sheet1!R19="","",Sheet1!R19)</f>
        <v/>
      </c>
      <c r="F15" s="136" t="str">
        <f>IF(Sheet1!S19="","",Sheet1!S19)</f>
        <v/>
      </c>
      <c r="G15" s="136" t="str">
        <f>IF(Sheet1!T19="","",Sheet1!T19)</f>
        <v/>
      </c>
      <c r="H15" s="136" t="str">
        <f>IF(Sheet1!U19="","",Sheet1!U19)</f>
        <v/>
      </c>
      <c r="I15" s="136" t="str">
        <f>IF(Sheet1!V19="","",Sheet1!V19)</f>
        <v/>
      </c>
      <c r="J15" s="136" t="str">
        <f>IF(Sheet1!W19="","",Sheet1!W19)</f>
        <v/>
      </c>
      <c r="K15" s="136" t="str">
        <f>IF(Sheet1!X19="","",Sheet1!X19)</f>
        <v/>
      </c>
      <c r="L15" s="136" t="str">
        <f>IF(Sheet1!Y19="","",Sheet1!Y19)</f>
        <v/>
      </c>
      <c r="M15" s="136" t="str">
        <f>IF(Sheet1!Z19="","",Sheet1!Z19)</f>
        <v/>
      </c>
      <c r="N15" s="136" t="str">
        <f>IF(Sheet1!AA19="","",Sheet1!AA19)</f>
        <v/>
      </c>
      <c r="O15" s="136" t="e">
        <f t="shared" si="0"/>
        <v>#VALUE!</v>
      </c>
      <c r="P15" s="136">
        <f>IF(Sheet1!BR33="","",Sheet1!BR33)</f>
        <v>0</v>
      </c>
      <c r="Q15" s="136">
        <f>IF(B15="",0,IF(ISNUMBER(SEARCH("Yes",Sheet1!BD32)),75,100))</f>
        <v>0</v>
      </c>
      <c r="R15" s="136" t="str">
        <f>IF(Sheet1!AE19="","",Sheet1!AE19)</f>
        <v/>
      </c>
      <c r="S15" s="136" t="str">
        <f>IF(Sheet1!AU19="","",Sheet1!AU19)</f>
        <v/>
      </c>
      <c r="T15" s="136" t="str">
        <f>IF(Sheet1!J19="","",Sheet1!J19)</f>
        <v/>
      </c>
      <c r="U15" s="136" t="str">
        <f>IF(Sheet1!K19="","",Sheet1!K19)</f>
        <v/>
      </c>
      <c r="V15" s="136" t="str">
        <f>IF(Sheet1!L19="","",Sheet1!L19)</f>
        <v/>
      </c>
      <c r="W15" s="136" t="str">
        <f>IF(Sheet1!M19="","",Sheet1!M19)</f>
        <v/>
      </c>
      <c r="X15" s="136" t="str">
        <f>IF(Sheet1!N19="","",Sheet1!N19)</f>
        <v/>
      </c>
      <c r="Y15" s="136" t="str">
        <f>IF(Sheet1!O19="","",Sheet1!O19)</f>
        <v/>
      </c>
      <c r="Z15" s="136" t="str">
        <f>IF(Sheet1!G19="","",Sheet1!G19)</f>
        <v/>
      </c>
      <c r="AA15" s="136" t="str">
        <f>IF(Sheet1!F19="","",Sheet1!F19)</f>
        <v/>
      </c>
      <c r="AB15" s="136" t="str">
        <f>IF(Sheet1!E19="","",Sheet1!AP19)</f>
        <v/>
      </c>
      <c r="AC15" s="136">
        <f>IF(Sheet1!CV33="",0,Sheet1!CV33)</f>
        <v>0</v>
      </c>
      <c r="AD15" s="136">
        <f>IF(Sheet1!CW33="",0,Sheet1!CW33)</f>
        <v>0</v>
      </c>
      <c r="AE15" s="136">
        <f>IF(Sheet1!CX33="",0,Sheet1!CX33)</f>
        <v>0</v>
      </c>
      <c r="AF15" s="136">
        <f>IF(Sheet1!CY33="",0,Sheet1!CY33)</f>
        <v>0</v>
      </c>
      <c r="AG15" s="136">
        <f>IF(Sheet1!CZ33="",0,Sheet1!CZ33)</f>
        <v>0</v>
      </c>
      <c r="AH15" s="136">
        <f>IF(Sheet1!DA33="",0,Sheet1!DA33)</f>
        <v>0</v>
      </c>
      <c r="AI15" s="136">
        <f>IF(Sheet1!DB33="",0,Sheet1!DB33)</f>
        <v>0</v>
      </c>
      <c r="AJ15" s="136">
        <f>IF(Sheet1!DC33="",0,Sheet1!DC33)</f>
        <v>0</v>
      </c>
      <c r="AK15" s="136">
        <f>IF(Sheet1!DD33="",0,Sheet1!DD33)</f>
        <v>0</v>
      </c>
      <c r="AL15" s="136">
        <f>IF(Sheet1!DE33="",0,Sheet1!DE33)</f>
        <v>0</v>
      </c>
      <c r="AM15" s="136">
        <f>IF(Sheet1!DF33="",0,Sheet1!DF33)</f>
        <v>0</v>
      </c>
      <c r="AN15" s="136">
        <f>IF(Sheet1!DG33="",0,Sheet1!DG33)</f>
        <v>0</v>
      </c>
      <c r="AO15" s="136">
        <f>IF(Sheet1!DH33="",0,Sheet1!DH33)</f>
        <v>0</v>
      </c>
      <c r="AP15" s="136">
        <f>IF(Sheet1!DI33="",0,Sheet1!DI33)</f>
        <v>0</v>
      </c>
      <c r="AQ15" s="136">
        <f>IF(Sheet1!DJ33="",0,Sheet1!DJ33)</f>
        <v>0</v>
      </c>
      <c r="AR15" s="136">
        <f>IF(Sheet1!DK33="",0,Sheet1!DK33)</f>
        <v>0</v>
      </c>
      <c r="AS15" s="136">
        <f>IF(Sheet1!DL33="",0,Sheet1!DL33)</f>
        <v>0</v>
      </c>
      <c r="AT15" s="136">
        <f>IF(Sheet1!DM33="",0,Sheet1!DM33)</f>
        <v>0</v>
      </c>
      <c r="AU15" s="136">
        <f>IF(Sheet1!DN33="",0,Sheet1!DN33)</f>
        <v>0</v>
      </c>
      <c r="AV15" s="136">
        <f>IF(Sheet1!DO33="",0,Sheet1!DO33)</f>
        <v>0</v>
      </c>
      <c r="AW15">
        <f t="shared" si="1"/>
        <v>0</v>
      </c>
    </row>
    <row r="16" spans="1:49">
      <c r="A16" s="136" t="str">
        <f>Sheet1!B20</f>
        <v/>
      </c>
      <c r="B16" s="136" t="str">
        <f>IF(Sheet1!E20="","",Sheet1!E20)</f>
        <v/>
      </c>
      <c r="C16" s="136" t="str">
        <f>IF(Sheet1!P20="","",Sheet1!P20-Sheet1!FT34)</f>
        <v/>
      </c>
      <c r="D16" s="136" t="str">
        <f>IF(Sheet1!Q20="","",Sheet1!Q20)</f>
        <v/>
      </c>
      <c r="E16" s="136" t="str">
        <f>IF(Sheet1!R20="","",Sheet1!R20)</f>
        <v/>
      </c>
      <c r="F16" s="136" t="str">
        <f>IF(Sheet1!S20="","",Sheet1!S20)</f>
        <v/>
      </c>
      <c r="G16" s="136" t="str">
        <f>IF(Sheet1!T20="","",Sheet1!T20)</f>
        <v/>
      </c>
      <c r="H16" s="136" t="str">
        <f>IF(Sheet1!U20="","",Sheet1!U20)</f>
        <v/>
      </c>
      <c r="I16" s="136" t="str">
        <f>IF(Sheet1!V20="","",Sheet1!V20)</f>
        <v/>
      </c>
      <c r="J16" s="136" t="str">
        <f>IF(Sheet1!W20="","",Sheet1!W20)</f>
        <v/>
      </c>
      <c r="K16" s="136" t="str">
        <f>IF(Sheet1!X20="","",Sheet1!X20)</f>
        <v/>
      </c>
      <c r="L16" s="136" t="str">
        <f>IF(Sheet1!Y20="","",Sheet1!Y20)</f>
        <v/>
      </c>
      <c r="M16" s="136" t="str">
        <f>IF(Sheet1!Z20="","",Sheet1!Z20)</f>
        <v/>
      </c>
      <c r="N16" s="136" t="str">
        <f>IF(Sheet1!AA20="","",Sheet1!AA20)</f>
        <v/>
      </c>
      <c r="O16" s="136" t="e">
        <f t="shared" si="0"/>
        <v>#VALUE!</v>
      </c>
      <c r="P16" s="136">
        <f>IF(Sheet1!BR35="","",Sheet1!BR35)</f>
        <v>0</v>
      </c>
      <c r="Q16" s="136">
        <f>IF(B16="",0,IF(ISNUMBER(SEARCH("Yes",Sheet1!BD34)),75,100))</f>
        <v>0</v>
      </c>
      <c r="R16" s="136" t="str">
        <f>IF(Sheet1!AE20="","",Sheet1!AE20)</f>
        <v/>
      </c>
      <c r="S16" s="136" t="str">
        <f>IF(Sheet1!AU20="","",Sheet1!AU20)</f>
        <v/>
      </c>
      <c r="T16" s="136" t="str">
        <f>IF(Sheet1!J20="","",Sheet1!J20)</f>
        <v/>
      </c>
      <c r="U16" s="136" t="str">
        <f>IF(Sheet1!K20="","",Sheet1!K20)</f>
        <v/>
      </c>
      <c r="V16" s="136" t="str">
        <f>IF(Sheet1!L20="","",Sheet1!L20)</f>
        <v/>
      </c>
      <c r="W16" s="136" t="str">
        <f>IF(Sheet1!M20="","",Sheet1!M20)</f>
        <v/>
      </c>
      <c r="X16" s="136" t="str">
        <f>IF(Sheet1!N20="","",Sheet1!N20)</f>
        <v/>
      </c>
      <c r="Y16" s="136" t="str">
        <f>IF(Sheet1!O20="","",Sheet1!O20)</f>
        <v/>
      </c>
      <c r="Z16" s="136" t="str">
        <f>IF(Sheet1!G20="","",Sheet1!G20)</f>
        <v/>
      </c>
      <c r="AA16" s="136" t="str">
        <f>IF(Sheet1!F20="","",Sheet1!F20)</f>
        <v/>
      </c>
      <c r="AB16" s="136" t="str">
        <f>IF(Sheet1!E20="","",Sheet1!AP20)</f>
        <v/>
      </c>
      <c r="AC16" s="136">
        <f>IF(Sheet1!CV35="",0,Sheet1!CV35)</f>
        <v>0</v>
      </c>
      <c r="AD16" s="136">
        <f>IF(Sheet1!CW35="",0,Sheet1!CW35)</f>
        <v>0</v>
      </c>
      <c r="AE16" s="136">
        <f>IF(Sheet1!CX35="",0,Sheet1!CX35)</f>
        <v>0</v>
      </c>
      <c r="AF16" s="136">
        <f>IF(Sheet1!CY35="",0,Sheet1!CY35)</f>
        <v>0</v>
      </c>
      <c r="AG16" s="136">
        <f>IF(Sheet1!CZ35="",0,Sheet1!CZ35)</f>
        <v>0</v>
      </c>
      <c r="AH16" s="136">
        <f>IF(Sheet1!DA35="",0,Sheet1!DA35)</f>
        <v>0</v>
      </c>
      <c r="AI16" s="136">
        <f>IF(Sheet1!DB35="",0,Sheet1!DB35)</f>
        <v>0</v>
      </c>
      <c r="AJ16" s="136">
        <f>IF(Sheet1!DC35="",0,Sheet1!DC35)</f>
        <v>0</v>
      </c>
      <c r="AK16" s="136">
        <f>IF(Sheet1!DD35="",0,Sheet1!DD35)</f>
        <v>0</v>
      </c>
      <c r="AL16" s="136">
        <f>IF(Sheet1!DE35="",0,Sheet1!DE35)</f>
        <v>0</v>
      </c>
      <c r="AM16" s="136">
        <f>IF(Sheet1!DF35="",0,Sheet1!DF35)</f>
        <v>0</v>
      </c>
      <c r="AN16" s="136">
        <f>IF(Sheet1!DG35="",0,Sheet1!DG35)</f>
        <v>0</v>
      </c>
      <c r="AO16" s="136">
        <f>IF(Sheet1!DH35="",0,Sheet1!DH35)</f>
        <v>0</v>
      </c>
      <c r="AP16" s="136">
        <f>IF(Sheet1!DI35="",0,Sheet1!DI35)</f>
        <v>0</v>
      </c>
      <c r="AQ16" s="136">
        <f>IF(Sheet1!DJ35="",0,Sheet1!DJ35)</f>
        <v>0</v>
      </c>
      <c r="AR16" s="136">
        <f>IF(Sheet1!DK35="",0,Sheet1!DK35)</f>
        <v>0</v>
      </c>
      <c r="AS16" s="136">
        <f>IF(Sheet1!DL35="",0,Sheet1!DL35)</f>
        <v>0</v>
      </c>
      <c r="AT16" s="136">
        <f>IF(Sheet1!DM35="",0,Sheet1!DM35)</f>
        <v>0</v>
      </c>
      <c r="AU16" s="136">
        <f>IF(Sheet1!DN35="",0,Sheet1!DN35)</f>
        <v>0</v>
      </c>
      <c r="AV16" s="136">
        <f>IF(Sheet1!DO35="",0,Sheet1!DO35)</f>
        <v>0</v>
      </c>
      <c r="AW16">
        <f t="shared" si="1"/>
        <v>0</v>
      </c>
    </row>
    <row r="17" spans="1:49">
      <c r="A17" s="136" t="str">
        <f>Sheet1!B21</f>
        <v/>
      </c>
      <c r="B17" s="136" t="str">
        <f>IF(Sheet1!E21="","",Sheet1!E21)</f>
        <v/>
      </c>
      <c r="C17" s="136" t="str">
        <f>IF(Sheet1!P21="","",Sheet1!P21-Sheet1!FT36)</f>
        <v/>
      </c>
      <c r="D17" s="136" t="str">
        <f>IF(Sheet1!Q21="","",Sheet1!Q21)</f>
        <v/>
      </c>
      <c r="E17" s="136" t="str">
        <f>IF(Sheet1!R21="","",Sheet1!R21)</f>
        <v/>
      </c>
      <c r="F17" s="136" t="str">
        <f>IF(Sheet1!S21="","",Sheet1!S21)</f>
        <v/>
      </c>
      <c r="G17" s="136" t="str">
        <f>IF(Sheet1!T21="","",Sheet1!T21)</f>
        <v/>
      </c>
      <c r="H17" s="136" t="str">
        <f>IF(Sheet1!U21="","",Sheet1!U21)</f>
        <v/>
      </c>
      <c r="I17" s="136" t="str">
        <f>IF(Sheet1!V21="","",Sheet1!V21)</f>
        <v/>
      </c>
      <c r="J17" s="136" t="str">
        <f>IF(Sheet1!W21="","",Sheet1!W21)</f>
        <v/>
      </c>
      <c r="K17" s="136" t="str">
        <f>IF(Sheet1!X21="","",Sheet1!X21)</f>
        <v/>
      </c>
      <c r="L17" s="136" t="str">
        <f>IF(Sheet1!Y21="","",Sheet1!Y21)</f>
        <v/>
      </c>
      <c r="M17" s="136" t="str">
        <f>IF(Sheet1!Z21="","",Sheet1!Z21)</f>
        <v/>
      </c>
      <c r="N17" s="136" t="str">
        <f>IF(Sheet1!AA21="","",Sheet1!AA21)</f>
        <v/>
      </c>
      <c r="O17" s="136" t="e">
        <f t="shared" si="0"/>
        <v>#VALUE!</v>
      </c>
      <c r="P17" s="136">
        <f>IF(Sheet1!BR37="","",Sheet1!BR37)</f>
        <v>0</v>
      </c>
      <c r="Q17" s="136">
        <f>IF(B17="",0,IF(ISNUMBER(SEARCH("Yes",Sheet1!BD36)),75,100))</f>
        <v>0</v>
      </c>
      <c r="R17" s="136" t="str">
        <f>IF(Sheet1!AE21="","",Sheet1!AE21)</f>
        <v/>
      </c>
      <c r="S17" s="136" t="str">
        <f>IF(Sheet1!AU21="","",Sheet1!AU21)</f>
        <v/>
      </c>
      <c r="T17" s="136" t="str">
        <f>IF(Sheet1!J21="","",Sheet1!J21)</f>
        <v/>
      </c>
      <c r="U17" s="136" t="str">
        <f>IF(Sheet1!K21="","",Sheet1!K21)</f>
        <v/>
      </c>
      <c r="V17" s="136" t="str">
        <f>IF(Sheet1!L21="","",Sheet1!L21)</f>
        <v/>
      </c>
      <c r="W17" s="136" t="str">
        <f>IF(Sheet1!M21="","",Sheet1!M21)</f>
        <v/>
      </c>
      <c r="X17" s="136" t="str">
        <f>IF(Sheet1!N21="","",Sheet1!N21)</f>
        <v/>
      </c>
      <c r="Y17" s="136" t="str">
        <f>IF(Sheet1!O21="","",Sheet1!O21)</f>
        <v/>
      </c>
      <c r="Z17" s="136" t="str">
        <f>IF(Sheet1!G21="","",Sheet1!G21)</f>
        <v/>
      </c>
      <c r="AA17" s="136" t="str">
        <f>IF(Sheet1!F21="","",Sheet1!F21)</f>
        <v/>
      </c>
      <c r="AB17" s="136" t="str">
        <f>IF(Sheet1!E21="","",Sheet1!AP21)</f>
        <v/>
      </c>
      <c r="AC17" s="136">
        <f>IF(Sheet1!CV37="",0,Sheet1!CV37)</f>
        <v>0</v>
      </c>
      <c r="AD17" s="136">
        <f>IF(Sheet1!CW37="",0,Sheet1!CW37)</f>
        <v>0</v>
      </c>
      <c r="AE17" s="136">
        <f>IF(Sheet1!CX37="",0,Sheet1!CX37)</f>
        <v>0</v>
      </c>
      <c r="AF17" s="136">
        <f>IF(Sheet1!CY37="",0,Sheet1!CY37)</f>
        <v>0</v>
      </c>
      <c r="AG17" s="136">
        <f>IF(Sheet1!CZ37="",0,Sheet1!CZ37)</f>
        <v>0</v>
      </c>
      <c r="AH17" s="136">
        <f>IF(Sheet1!DA37="",0,Sheet1!DA37)</f>
        <v>0</v>
      </c>
      <c r="AI17" s="136">
        <f>IF(Sheet1!DB37="",0,Sheet1!DB37)</f>
        <v>0</v>
      </c>
      <c r="AJ17" s="136">
        <f>IF(Sheet1!DC37="",0,Sheet1!DC37)</f>
        <v>0</v>
      </c>
      <c r="AK17" s="136">
        <f>IF(Sheet1!DD37="",0,Sheet1!DD37)</f>
        <v>0</v>
      </c>
      <c r="AL17" s="136">
        <f>IF(Sheet1!DE37="",0,Sheet1!DE37)</f>
        <v>0</v>
      </c>
      <c r="AM17" s="136">
        <f>IF(Sheet1!DF37="",0,Sheet1!DF37)</f>
        <v>0</v>
      </c>
      <c r="AN17" s="136">
        <f>IF(Sheet1!DG37="",0,Sheet1!DG37)</f>
        <v>0</v>
      </c>
      <c r="AO17" s="136">
        <f>IF(Sheet1!DH37="",0,Sheet1!DH37)</f>
        <v>0</v>
      </c>
      <c r="AP17" s="136">
        <f>IF(Sheet1!DI37="",0,Sheet1!DI37)</f>
        <v>0</v>
      </c>
      <c r="AQ17" s="136">
        <f>IF(Sheet1!DJ37="",0,Sheet1!DJ37)</f>
        <v>0</v>
      </c>
      <c r="AR17" s="136">
        <f>IF(Sheet1!DK37="",0,Sheet1!DK37)</f>
        <v>0</v>
      </c>
      <c r="AS17" s="136">
        <f>IF(Sheet1!DL37="",0,Sheet1!DL37)</f>
        <v>0</v>
      </c>
      <c r="AT17" s="136">
        <f>IF(Sheet1!DM37="",0,Sheet1!DM37)</f>
        <v>0</v>
      </c>
      <c r="AU17" s="136">
        <f>IF(Sheet1!DN37="",0,Sheet1!DN37)</f>
        <v>0</v>
      </c>
      <c r="AV17" s="136">
        <f>IF(Sheet1!DO37="",0,Sheet1!DO37)</f>
        <v>0</v>
      </c>
      <c r="AW17">
        <f t="shared" si="1"/>
        <v>0</v>
      </c>
    </row>
    <row r="18" spans="1:49">
      <c r="A18" s="136" t="str">
        <f>Sheet1!B22</f>
        <v/>
      </c>
      <c r="B18" s="136" t="str">
        <f>IF(Sheet1!E22="","",Sheet1!E22)</f>
        <v/>
      </c>
      <c r="C18" s="136" t="str">
        <f>IF(Sheet1!P22="","",Sheet1!P22-Sheet1!FT38)</f>
        <v/>
      </c>
      <c r="D18" s="136" t="str">
        <f>IF(Sheet1!Q22="","",Sheet1!Q22)</f>
        <v/>
      </c>
      <c r="E18" s="136" t="str">
        <f>IF(Sheet1!R22="","",Sheet1!R22)</f>
        <v/>
      </c>
      <c r="F18" s="136" t="str">
        <f>IF(Sheet1!S22="","",Sheet1!S22)</f>
        <v/>
      </c>
      <c r="G18" s="136" t="str">
        <f>IF(Sheet1!T22="","",Sheet1!T22)</f>
        <v/>
      </c>
      <c r="H18" s="136" t="str">
        <f>IF(Sheet1!U22="","",Sheet1!U22)</f>
        <v/>
      </c>
      <c r="I18" s="136" t="str">
        <f>IF(Sheet1!V22="","",Sheet1!V22)</f>
        <v/>
      </c>
      <c r="J18" s="136" t="str">
        <f>IF(Sheet1!W22="","",Sheet1!W22)</f>
        <v/>
      </c>
      <c r="K18" s="136" t="str">
        <f>IF(Sheet1!X22="","",Sheet1!X22)</f>
        <v/>
      </c>
      <c r="L18" s="136" t="str">
        <f>IF(Sheet1!Y22="","",Sheet1!Y22)</f>
        <v/>
      </c>
      <c r="M18" s="136" t="str">
        <f>IF(Sheet1!Z22="","",Sheet1!Z22)</f>
        <v/>
      </c>
      <c r="N18" s="136" t="str">
        <f>IF(Sheet1!AA22="","",Sheet1!AA22)</f>
        <v/>
      </c>
      <c r="O18" s="136" t="e">
        <f t="shared" si="0"/>
        <v>#VALUE!</v>
      </c>
      <c r="P18" s="136">
        <f>IF(Sheet1!BR39="","",Sheet1!BR39)</f>
        <v>0</v>
      </c>
      <c r="Q18" s="136">
        <f>IF(B18="",0,IF(ISNUMBER(SEARCH("Yes",Sheet1!BD38)),75,100))</f>
        <v>0</v>
      </c>
      <c r="R18" s="136" t="str">
        <f>IF(Sheet1!AE22="","",Sheet1!AE22)</f>
        <v/>
      </c>
      <c r="S18" s="136" t="str">
        <f>IF(Sheet1!AU22="","",Sheet1!AU22)</f>
        <v/>
      </c>
      <c r="T18" s="136" t="str">
        <f>IF(Sheet1!J22="","",Sheet1!J22)</f>
        <v/>
      </c>
      <c r="U18" s="136" t="str">
        <f>IF(Sheet1!K22="","",Sheet1!K22)</f>
        <v/>
      </c>
      <c r="V18" s="136" t="str">
        <f>IF(Sheet1!L22="","",Sheet1!L22)</f>
        <v/>
      </c>
      <c r="W18" s="136" t="str">
        <f>IF(Sheet1!M22="","",Sheet1!M22)</f>
        <v/>
      </c>
      <c r="X18" s="136" t="str">
        <f>IF(Sheet1!N22="","",Sheet1!N22)</f>
        <v/>
      </c>
      <c r="Y18" s="136" t="str">
        <f>IF(Sheet1!O22="","",Sheet1!O22)</f>
        <v/>
      </c>
      <c r="Z18" s="136" t="str">
        <f>IF(Sheet1!G22="","",Sheet1!G22)</f>
        <v/>
      </c>
      <c r="AA18" s="136" t="str">
        <f>IF(Sheet1!F22="","",Sheet1!F22)</f>
        <v/>
      </c>
      <c r="AB18" s="136" t="str">
        <f>IF(Sheet1!E22="","",Sheet1!AP22)</f>
        <v/>
      </c>
      <c r="AC18" s="136">
        <f>IF(Sheet1!CV39="",0,Sheet1!CV39)</f>
        <v>0</v>
      </c>
      <c r="AD18" s="136">
        <f>IF(Sheet1!CW39="",0,Sheet1!CW39)</f>
        <v>0</v>
      </c>
      <c r="AE18" s="136">
        <f>IF(Sheet1!CX39="",0,Sheet1!CX39)</f>
        <v>0</v>
      </c>
      <c r="AF18" s="136">
        <f>IF(Sheet1!CY39="",0,Sheet1!CY39)</f>
        <v>0</v>
      </c>
      <c r="AG18" s="136">
        <f>IF(Sheet1!CZ39="",0,Sheet1!CZ39)</f>
        <v>0</v>
      </c>
      <c r="AH18" s="136">
        <f>IF(Sheet1!DA39="",0,Sheet1!DA39)</f>
        <v>0</v>
      </c>
      <c r="AI18" s="136">
        <f>IF(Sheet1!DB39="",0,Sheet1!DB39)</f>
        <v>0</v>
      </c>
      <c r="AJ18" s="136">
        <f>IF(Sheet1!DC39="",0,Sheet1!DC39)</f>
        <v>0</v>
      </c>
      <c r="AK18" s="136">
        <f>IF(Sheet1!DD39="",0,Sheet1!DD39)</f>
        <v>0</v>
      </c>
      <c r="AL18" s="136">
        <f>IF(Sheet1!DE39="",0,Sheet1!DE39)</f>
        <v>0</v>
      </c>
      <c r="AM18" s="136">
        <f>IF(Sheet1!DF39="",0,Sheet1!DF39)</f>
        <v>0</v>
      </c>
      <c r="AN18" s="136">
        <f>IF(Sheet1!DG39="",0,Sheet1!DG39)</f>
        <v>0</v>
      </c>
      <c r="AO18" s="136">
        <f>IF(Sheet1!DH39="",0,Sheet1!DH39)</f>
        <v>0</v>
      </c>
      <c r="AP18" s="136">
        <f>IF(Sheet1!DI39="",0,Sheet1!DI39)</f>
        <v>0</v>
      </c>
      <c r="AQ18" s="136">
        <f>IF(Sheet1!DJ39="",0,Sheet1!DJ39)</f>
        <v>0</v>
      </c>
      <c r="AR18" s="136">
        <f>IF(Sheet1!DK39="",0,Sheet1!DK39)</f>
        <v>0</v>
      </c>
      <c r="AS18" s="136">
        <f>IF(Sheet1!DL39="",0,Sheet1!DL39)</f>
        <v>0</v>
      </c>
      <c r="AT18" s="136">
        <f>IF(Sheet1!DM39="",0,Sheet1!DM39)</f>
        <v>0</v>
      </c>
      <c r="AU18" s="136">
        <f>IF(Sheet1!DN39="",0,Sheet1!DN39)</f>
        <v>0</v>
      </c>
      <c r="AV18" s="136">
        <f>IF(Sheet1!DO39="",0,Sheet1!DO39)</f>
        <v>0</v>
      </c>
      <c r="AW18">
        <f t="shared" si="1"/>
        <v>0</v>
      </c>
    </row>
    <row r="19" spans="1:49">
      <c r="A19" s="136" t="str">
        <f>Sheet1!B23</f>
        <v/>
      </c>
      <c r="B19" s="136" t="str">
        <f>IF(Sheet1!E23="","",Sheet1!E23)</f>
        <v/>
      </c>
      <c r="C19" s="136" t="str">
        <f>IF(Sheet1!P23="","",Sheet1!P23-Sheet1!FT40)</f>
        <v/>
      </c>
      <c r="D19" s="136" t="str">
        <f>IF(Sheet1!Q23="","",Sheet1!Q23)</f>
        <v/>
      </c>
      <c r="E19" s="136" t="str">
        <f>IF(Sheet1!R23="","",Sheet1!R23)</f>
        <v/>
      </c>
      <c r="F19" s="136" t="str">
        <f>IF(Sheet1!S23="","",Sheet1!S23)</f>
        <v/>
      </c>
      <c r="G19" s="136" t="str">
        <f>IF(Sheet1!T23="","",Sheet1!T23)</f>
        <v/>
      </c>
      <c r="H19" s="136" t="str">
        <f>IF(Sheet1!U23="","",Sheet1!U23)</f>
        <v/>
      </c>
      <c r="I19" s="136" t="str">
        <f>IF(Sheet1!V23="","",Sheet1!V23)</f>
        <v/>
      </c>
      <c r="J19" s="136" t="str">
        <f>IF(Sheet1!W23="","",Sheet1!W23)</f>
        <v/>
      </c>
      <c r="K19" s="136" t="str">
        <f>IF(Sheet1!X23="","",Sheet1!X23)</f>
        <v/>
      </c>
      <c r="L19" s="136" t="str">
        <f>IF(Sheet1!Y23="","",Sheet1!Y23)</f>
        <v/>
      </c>
      <c r="M19" s="136" t="str">
        <f>IF(Sheet1!Z23="","",Sheet1!Z23)</f>
        <v/>
      </c>
      <c r="N19" s="136" t="str">
        <f>IF(Sheet1!AA23="","",Sheet1!AA23)</f>
        <v/>
      </c>
      <c r="O19" s="136" t="e">
        <f t="shared" si="0"/>
        <v>#VALUE!</v>
      </c>
      <c r="P19" s="136">
        <f>IF(Sheet1!BR41="","",Sheet1!BR41)</f>
        <v>0</v>
      </c>
      <c r="Q19" s="136">
        <f>IF(B19="",0,IF(ISNUMBER(SEARCH("Yes",Sheet1!BD40)),75,100))</f>
        <v>0</v>
      </c>
      <c r="R19" s="136" t="str">
        <f>IF(Sheet1!AE23="","",Sheet1!AE23)</f>
        <v/>
      </c>
      <c r="S19" s="136" t="str">
        <f>IF(Sheet1!AU23="","",Sheet1!AU23)</f>
        <v/>
      </c>
      <c r="T19" s="136" t="str">
        <f>IF(Sheet1!J23="","",Sheet1!J23)</f>
        <v/>
      </c>
      <c r="U19" s="136" t="str">
        <f>IF(Sheet1!K23="","",Sheet1!K23)</f>
        <v/>
      </c>
      <c r="V19" s="136" t="str">
        <f>IF(Sheet1!L23="","",Sheet1!L23)</f>
        <v/>
      </c>
      <c r="W19" s="136" t="str">
        <f>IF(Sheet1!M23="","",Sheet1!M23)</f>
        <v/>
      </c>
      <c r="X19" s="136" t="str">
        <f>IF(Sheet1!N23="","",Sheet1!N23)</f>
        <v/>
      </c>
      <c r="Y19" s="136" t="str">
        <f>IF(Sheet1!O23="","",Sheet1!O23)</f>
        <v/>
      </c>
      <c r="Z19" s="136" t="str">
        <f>IF(Sheet1!G23="","",Sheet1!G23)</f>
        <v/>
      </c>
      <c r="AA19" s="136" t="str">
        <f>IF(Sheet1!F23="","",Sheet1!F23)</f>
        <v/>
      </c>
      <c r="AB19" s="136" t="str">
        <f>IF(Sheet1!E23="","",Sheet1!AP23)</f>
        <v/>
      </c>
      <c r="AC19" s="136">
        <f>IF(Sheet1!CV41="",0,Sheet1!CV41)</f>
        <v>0</v>
      </c>
      <c r="AD19" s="136">
        <f>IF(Sheet1!CW41="",0,Sheet1!CW41)</f>
        <v>0</v>
      </c>
      <c r="AE19" s="136">
        <f>IF(Sheet1!CX41="",0,Sheet1!CX41)</f>
        <v>0</v>
      </c>
      <c r="AF19" s="136">
        <f>IF(Sheet1!CY41="",0,Sheet1!CY41)</f>
        <v>0</v>
      </c>
      <c r="AG19" s="136">
        <f>IF(Sheet1!CZ41="",0,Sheet1!CZ41)</f>
        <v>0</v>
      </c>
      <c r="AH19" s="136">
        <f>IF(Sheet1!DA41="",0,Sheet1!DA41)</f>
        <v>0</v>
      </c>
      <c r="AI19" s="136">
        <f>IF(Sheet1!DB41="",0,Sheet1!DB41)</f>
        <v>0</v>
      </c>
      <c r="AJ19" s="136">
        <f>IF(Sheet1!DC41="",0,Sheet1!DC41)</f>
        <v>0</v>
      </c>
      <c r="AK19" s="136">
        <f>IF(Sheet1!DD41="",0,Sheet1!DD41)</f>
        <v>0</v>
      </c>
      <c r="AL19" s="136">
        <f>IF(Sheet1!DE41="",0,Sheet1!DE41)</f>
        <v>0</v>
      </c>
      <c r="AM19" s="136">
        <f>IF(Sheet1!DF41="",0,Sheet1!DF41)</f>
        <v>0</v>
      </c>
      <c r="AN19" s="136">
        <f>IF(Sheet1!DG41="",0,Sheet1!DG41)</f>
        <v>0</v>
      </c>
      <c r="AO19" s="136">
        <f>IF(Sheet1!DH41="",0,Sheet1!DH41)</f>
        <v>0</v>
      </c>
      <c r="AP19" s="136">
        <f>IF(Sheet1!DI41="",0,Sheet1!DI41)</f>
        <v>0</v>
      </c>
      <c r="AQ19" s="136">
        <f>IF(Sheet1!DJ41="",0,Sheet1!DJ41)</f>
        <v>0</v>
      </c>
      <c r="AR19" s="136">
        <f>IF(Sheet1!DK41="",0,Sheet1!DK41)</f>
        <v>0</v>
      </c>
      <c r="AS19" s="136">
        <f>IF(Sheet1!DL41="",0,Sheet1!DL41)</f>
        <v>0</v>
      </c>
      <c r="AT19" s="136">
        <f>IF(Sheet1!DM41="",0,Sheet1!DM41)</f>
        <v>0</v>
      </c>
      <c r="AU19" s="136">
        <f>IF(Sheet1!DN41="",0,Sheet1!DN41)</f>
        <v>0</v>
      </c>
      <c r="AV19" s="136">
        <f>IF(Sheet1!DO41="",0,Sheet1!DO41)</f>
        <v>0</v>
      </c>
      <c r="AW19">
        <f t="shared" si="1"/>
        <v>0</v>
      </c>
    </row>
    <row r="20" spans="1:49">
      <c r="A20" s="136" t="str">
        <f>Sheet1!B24</f>
        <v/>
      </c>
      <c r="B20" s="136" t="str">
        <f>IF(Sheet1!E24="","",Sheet1!E24)</f>
        <v/>
      </c>
      <c r="C20" s="136" t="str">
        <f>IF(Sheet1!P24="","",Sheet1!P24-Sheet1!FT42)</f>
        <v/>
      </c>
      <c r="D20" s="136" t="str">
        <f>IF(Sheet1!Q24="","",Sheet1!Q24)</f>
        <v/>
      </c>
      <c r="E20" s="136" t="str">
        <f>IF(Sheet1!R24="","",Sheet1!R24)</f>
        <v/>
      </c>
      <c r="F20" s="136" t="str">
        <f>IF(Sheet1!S24="","",Sheet1!S24)</f>
        <v/>
      </c>
      <c r="G20" s="136" t="str">
        <f>IF(Sheet1!T24="","",Sheet1!T24)</f>
        <v/>
      </c>
      <c r="H20" s="136" t="str">
        <f>IF(Sheet1!U24="","",Sheet1!U24)</f>
        <v/>
      </c>
      <c r="I20" s="136" t="str">
        <f>IF(Sheet1!V24="","",Sheet1!V24)</f>
        <v/>
      </c>
      <c r="J20" s="136" t="str">
        <f>IF(Sheet1!W24="","",Sheet1!W24)</f>
        <v/>
      </c>
      <c r="K20" s="136" t="str">
        <f>IF(Sheet1!X24="","",Sheet1!X24)</f>
        <v/>
      </c>
      <c r="L20" s="136" t="str">
        <f>IF(Sheet1!Y24="","",Sheet1!Y24)</f>
        <v/>
      </c>
      <c r="M20" s="136" t="str">
        <f>IF(Sheet1!Z24="","",Sheet1!Z24)</f>
        <v/>
      </c>
      <c r="N20" s="136" t="str">
        <f>IF(Sheet1!AA24="","",Sheet1!AA24)</f>
        <v/>
      </c>
      <c r="O20" s="136" t="e">
        <f t="shared" si="0"/>
        <v>#VALUE!</v>
      </c>
      <c r="P20" s="136">
        <f>IF(Sheet1!BR43="","",Sheet1!BR43)</f>
        <v>0</v>
      </c>
      <c r="Q20" s="136">
        <f>IF(B20="",0,IF(ISNUMBER(SEARCH("Yes",Sheet1!BD42)),75,100))</f>
        <v>0</v>
      </c>
      <c r="R20" s="136" t="str">
        <f>IF(Sheet1!AE24="","",Sheet1!AE24)</f>
        <v/>
      </c>
      <c r="S20" s="136" t="str">
        <f>IF(Sheet1!AU24="","",Sheet1!AU24)</f>
        <v/>
      </c>
      <c r="T20" s="136" t="str">
        <f>IF(Sheet1!J24="","",Sheet1!J24)</f>
        <v/>
      </c>
      <c r="U20" s="136" t="str">
        <f>IF(Sheet1!K24="","",Sheet1!K24)</f>
        <v/>
      </c>
      <c r="V20" s="136" t="str">
        <f>IF(Sheet1!L24="","",Sheet1!L24)</f>
        <v/>
      </c>
      <c r="W20" s="136" t="str">
        <f>IF(Sheet1!M24="","",Sheet1!M24)</f>
        <v/>
      </c>
      <c r="X20" s="136" t="str">
        <f>IF(Sheet1!N24="","",Sheet1!N24)</f>
        <v/>
      </c>
      <c r="Y20" s="136" t="str">
        <f>IF(Sheet1!O24="","",Sheet1!O24)</f>
        <v/>
      </c>
      <c r="Z20" s="136" t="str">
        <f>IF(Sheet1!G24="","",Sheet1!G24)</f>
        <v/>
      </c>
      <c r="AA20" s="136" t="str">
        <f>IF(Sheet1!F24="","",Sheet1!F24)</f>
        <v/>
      </c>
      <c r="AB20" s="136" t="str">
        <f>IF(Sheet1!E24="","",Sheet1!AP24)</f>
        <v/>
      </c>
      <c r="AC20" s="136">
        <f>IF(Sheet1!CV43="",0,Sheet1!CV43)</f>
        <v>0</v>
      </c>
      <c r="AD20" s="136">
        <f>IF(Sheet1!CW43="",0,Sheet1!CW43)</f>
        <v>0</v>
      </c>
      <c r="AE20" s="136">
        <f>IF(Sheet1!CX43="",0,Sheet1!CX43)</f>
        <v>0</v>
      </c>
      <c r="AF20" s="136">
        <f>IF(Sheet1!CY43="",0,Sheet1!CY43)</f>
        <v>0</v>
      </c>
      <c r="AG20" s="136">
        <f>IF(Sheet1!CZ43="",0,Sheet1!CZ43)</f>
        <v>0</v>
      </c>
      <c r="AH20" s="136">
        <f>IF(Sheet1!DA43="",0,Sheet1!DA43)</f>
        <v>0</v>
      </c>
      <c r="AI20" s="136">
        <f>IF(Sheet1!DB43="",0,Sheet1!DB43)</f>
        <v>0</v>
      </c>
      <c r="AJ20" s="136">
        <f>IF(Sheet1!DC43="",0,Sheet1!DC43)</f>
        <v>0</v>
      </c>
      <c r="AK20" s="136">
        <f>IF(Sheet1!DD43="",0,Sheet1!DD43)</f>
        <v>0</v>
      </c>
      <c r="AL20" s="136">
        <f>IF(Sheet1!DE43="",0,Sheet1!DE43)</f>
        <v>0</v>
      </c>
      <c r="AM20" s="136">
        <f>IF(Sheet1!DF43="",0,Sheet1!DF43)</f>
        <v>0</v>
      </c>
      <c r="AN20" s="136">
        <f>IF(Sheet1!DG43="",0,Sheet1!DG43)</f>
        <v>0</v>
      </c>
      <c r="AO20" s="136">
        <f>IF(Sheet1!DH43="",0,Sheet1!DH43)</f>
        <v>0</v>
      </c>
      <c r="AP20" s="136">
        <f>IF(Sheet1!DI43="",0,Sheet1!DI43)</f>
        <v>0</v>
      </c>
      <c r="AQ20" s="136">
        <f>IF(Sheet1!DJ43="",0,Sheet1!DJ43)</f>
        <v>0</v>
      </c>
      <c r="AR20" s="136">
        <f>IF(Sheet1!DK43="",0,Sheet1!DK43)</f>
        <v>0</v>
      </c>
      <c r="AS20" s="136">
        <f>IF(Sheet1!DL43="",0,Sheet1!DL43)</f>
        <v>0</v>
      </c>
      <c r="AT20" s="136">
        <f>IF(Sheet1!DM43="",0,Sheet1!DM43)</f>
        <v>0</v>
      </c>
      <c r="AU20" s="136">
        <f>IF(Sheet1!DN43="",0,Sheet1!DN43)</f>
        <v>0</v>
      </c>
      <c r="AV20" s="136">
        <f>IF(Sheet1!DO43="",0,Sheet1!DO43)</f>
        <v>0</v>
      </c>
      <c r="AW20">
        <f t="shared" si="1"/>
        <v>0</v>
      </c>
    </row>
    <row r="21" spans="1:49">
      <c r="A21" s="136" t="str">
        <f>Sheet1!B25</f>
        <v/>
      </c>
      <c r="B21" s="136" t="str">
        <f>IF(Sheet1!E25="","",Sheet1!E25)</f>
        <v/>
      </c>
      <c r="C21" s="136" t="str">
        <f>IF(Sheet1!P25="","",Sheet1!P25-Sheet1!FT44)</f>
        <v/>
      </c>
      <c r="D21" s="136" t="str">
        <f>IF(Sheet1!Q25="","",Sheet1!Q25)</f>
        <v/>
      </c>
      <c r="E21" s="136" t="str">
        <f>IF(Sheet1!R25="","",Sheet1!R25)</f>
        <v/>
      </c>
      <c r="F21" s="136" t="str">
        <f>IF(Sheet1!S25="","",Sheet1!S25)</f>
        <v/>
      </c>
      <c r="G21" s="136" t="str">
        <f>IF(Sheet1!T25="","",Sheet1!T25)</f>
        <v/>
      </c>
      <c r="H21" s="136" t="str">
        <f>IF(Sheet1!U25="","",Sheet1!U25)</f>
        <v/>
      </c>
      <c r="I21" s="136" t="str">
        <f>IF(Sheet1!V25="","",Sheet1!V25)</f>
        <v/>
      </c>
      <c r="J21" s="136" t="str">
        <f>IF(Sheet1!W25="","",Sheet1!W25)</f>
        <v/>
      </c>
      <c r="K21" s="136" t="str">
        <f>IF(Sheet1!X25="","",Sheet1!X25)</f>
        <v/>
      </c>
      <c r="L21" s="136" t="str">
        <f>IF(Sheet1!Y25="","",Sheet1!Y25)</f>
        <v/>
      </c>
      <c r="M21" s="136" t="str">
        <f>IF(Sheet1!Z25="","",Sheet1!Z25)</f>
        <v/>
      </c>
      <c r="N21" s="136" t="str">
        <f>IF(Sheet1!AA25="","",Sheet1!AA25)</f>
        <v/>
      </c>
      <c r="O21" s="136" t="e">
        <f t="shared" si="0"/>
        <v>#VALUE!</v>
      </c>
      <c r="P21" s="136">
        <f>IF(Sheet1!BR45="","",Sheet1!BR45)</f>
        <v>0</v>
      </c>
      <c r="Q21" s="136">
        <f>IF(B21="",0,IF(ISNUMBER(SEARCH("Yes",Sheet1!BD44)),75,100))</f>
        <v>0</v>
      </c>
      <c r="R21" s="136" t="str">
        <f>IF(Sheet1!AE25="","",Sheet1!AE25)</f>
        <v/>
      </c>
      <c r="S21" s="136" t="str">
        <f>IF(Sheet1!AU25="","",Sheet1!AU25)</f>
        <v/>
      </c>
      <c r="T21" s="136" t="str">
        <f>IF(Sheet1!J25="","",Sheet1!J25)</f>
        <v/>
      </c>
      <c r="U21" s="136" t="str">
        <f>IF(Sheet1!K25="","",Sheet1!K25)</f>
        <v/>
      </c>
      <c r="V21" s="136" t="str">
        <f>IF(Sheet1!L25="","",Sheet1!L25)</f>
        <v/>
      </c>
      <c r="W21" s="136" t="str">
        <f>IF(Sheet1!M25="","",Sheet1!M25)</f>
        <v/>
      </c>
      <c r="X21" s="136" t="str">
        <f>IF(Sheet1!N25="","",Sheet1!N25)</f>
        <v/>
      </c>
      <c r="Y21" s="136" t="str">
        <f>IF(Sheet1!O25="","",Sheet1!O25)</f>
        <v/>
      </c>
      <c r="Z21" s="136" t="str">
        <f>IF(Sheet1!G25="","",Sheet1!G25)</f>
        <v/>
      </c>
      <c r="AA21" s="136" t="str">
        <f>IF(Sheet1!F25="","",Sheet1!F25)</f>
        <v/>
      </c>
      <c r="AB21" s="136" t="str">
        <f>IF(Sheet1!E25="","",Sheet1!AP25)</f>
        <v/>
      </c>
      <c r="AC21" s="136">
        <f>IF(Sheet1!CV45="",0,Sheet1!CV45)</f>
        <v>0</v>
      </c>
      <c r="AD21" s="136">
        <f>IF(Sheet1!CW45="",0,Sheet1!CW45)</f>
        <v>0</v>
      </c>
      <c r="AE21" s="136">
        <f>IF(Sheet1!CX45="",0,Sheet1!CX45)</f>
        <v>0</v>
      </c>
      <c r="AF21" s="136">
        <f>IF(Sheet1!CY45="",0,Sheet1!CY45)</f>
        <v>0</v>
      </c>
      <c r="AG21" s="136">
        <f>IF(Sheet1!CZ45="",0,Sheet1!CZ45)</f>
        <v>0</v>
      </c>
      <c r="AH21" s="136">
        <f>IF(Sheet1!DA45="",0,Sheet1!DA45)</f>
        <v>0</v>
      </c>
      <c r="AI21" s="136">
        <f>IF(Sheet1!DB45="",0,Sheet1!DB45)</f>
        <v>0</v>
      </c>
      <c r="AJ21" s="136">
        <f>IF(Sheet1!DC45="",0,Sheet1!DC45)</f>
        <v>0</v>
      </c>
      <c r="AK21" s="136">
        <f>IF(Sheet1!DD45="",0,Sheet1!DD45)</f>
        <v>0</v>
      </c>
      <c r="AL21" s="136">
        <f>IF(Sheet1!DE45="",0,Sheet1!DE45)</f>
        <v>0</v>
      </c>
      <c r="AM21" s="136">
        <f>IF(Sheet1!DF45="",0,Sheet1!DF45)</f>
        <v>0</v>
      </c>
      <c r="AN21" s="136">
        <f>IF(Sheet1!DG45="",0,Sheet1!DG45)</f>
        <v>0</v>
      </c>
      <c r="AO21" s="136">
        <f>IF(Sheet1!DH45="",0,Sheet1!DH45)</f>
        <v>0</v>
      </c>
      <c r="AP21" s="136">
        <f>IF(Sheet1!DI45="",0,Sheet1!DI45)</f>
        <v>0</v>
      </c>
      <c r="AQ21" s="136">
        <f>IF(Sheet1!DJ45="",0,Sheet1!DJ45)</f>
        <v>0</v>
      </c>
      <c r="AR21" s="136">
        <f>IF(Sheet1!DK45="",0,Sheet1!DK45)</f>
        <v>0</v>
      </c>
      <c r="AS21" s="136">
        <f>IF(Sheet1!DL45="",0,Sheet1!DL45)</f>
        <v>0</v>
      </c>
      <c r="AT21" s="136">
        <f>IF(Sheet1!DM45="",0,Sheet1!DM45)</f>
        <v>0</v>
      </c>
      <c r="AU21" s="136">
        <f>IF(Sheet1!DN45="",0,Sheet1!DN45)</f>
        <v>0</v>
      </c>
      <c r="AV21" s="136">
        <f>IF(Sheet1!DO45="",0,Sheet1!DO45)</f>
        <v>0</v>
      </c>
      <c r="AW21">
        <f t="shared" si="1"/>
        <v>0</v>
      </c>
    </row>
    <row r="22" spans="1:49">
      <c r="A22" s="136" t="str">
        <f>Sheet1!B26</f>
        <v/>
      </c>
      <c r="B22" s="136" t="str">
        <f>IF(Sheet1!E26="","",Sheet1!E26)</f>
        <v/>
      </c>
      <c r="C22" s="136" t="str">
        <f>IF(Sheet1!P26="","",Sheet1!P26-Sheet1!FT46)</f>
        <v/>
      </c>
      <c r="D22" s="136" t="str">
        <f>IF(Sheet1!Q26="","",Sheet1!Q26)</f>
        <v/>
      </c>
      <c r="E22" s="136" t="str">
        <f>IF(Sheet1!R26="","",Sheet1!R26)</f>
        <v/>
      </c>
      <c r="F22" s="136" t="str">
        <f>IF(Sheet1!S26="","",Sheet1!S26)</f>
        <v/>
      </c>
      <c r="G22" s="136" t="str">
        <f>IF(Sheet1!T26="","",Sheet1!T26)</f>
        <v/>
      </c>
      <c r="H22" s="136" t="str">
        <f>IF(Sheet1!U26="","",Sheet1!U26)</f>
        <v/>
      </c>
      <c r="I22" s="136" t="str">
        <f>IF(Sheet1!V26="","",Sheet1!V26)</f>
        <v/>
      </c>
      <c r="J22" s="136" t="str">
        <f>IF(Sheet1!W26="","",Sheet1!W26)</f>
        <v/>
      </c>
      <c r="K22" s="136" t="str">
        <f>IF(Sheet1!X26="","",Sheet1!X26)</f>
        <v/>
      </c>
      <c r="L22" s="136" t="str">
        <f>IF(Sheet1!Y26="","",Sheet1!Y26)</f>
        <v/>
      </c>
      <c r="M22" s="136" t="str">
        <f>IF(Sheet1!Z26="","",Sheet1!Z26)</f>
        <v/>
      </c>
      <c r="N22" s="136" t="str">
        <f>IF(Sheet1!AA26="","",Sheet1!AA26)</f>
        <v/>
      </c>
      <c r="O22" s="136" t="e">
        <f t="shared" si="0"/>
        <v>#VALUE!</v>
      </c>
      <c r="P22" s="136">
        <f>IF(Sheet1!BR47="","",Sheet1!BR47)</f>
        <v>0</v>
      </c>
      <c r="Q22" s="136">
        <f>IF(B22="",0,IF(ISNUMBER(SEARCH("Yes",Sheet1!BD46)),75,100))</f>
        <v>0</v>
      </c>
      <c r="R22" s="136" t="str">
        <f>IF(Sheet1!AE26="","",Sheet1!AE26)</f>
        <v/>
      </c>
      <c r="S22" s="136" t="str">
        <f>IF(Sheet1!AU26="","",Sheet1!AU26)</f>
        <v/>
      </c>
      <c r="T22" s="136" t="str">
        <f>IF(Sheet1!J26="","",Sheet1!J26)</f>
        <v/>
      </c>
      <c r="U22" s="136" t="str">
        <f>IF(Sheet1!K26="","",Sheet1!K26)</f>
        <v/>
      </c>
      <c r="V22" s="136" t="str">
        <f>IF(Sheet1!L26="","",Sheet1!L26)</f>
        <v/>
      </c>
      <c r="W22" s="136" t="str">
        <f>IF(Sheet1!M26="","",Sheet1!M26)</f>
        <v/>
      </c>
      <c r="X22" s="136" t="str">
        <f>IF(Sheet1!N26="","",Sheet1!N26)</f>
        <v/>
      </c>
      <c r="Y22" s="136" t="str">
        <f>IF(Sheet1!O26="","",Sheet1!O26)</f>
        <v/>
      </c>
      <c r="Z22" s="136" t="str">
        <f>IF(Sheet1!G26="","",Sheet1!G26)</f>
        <v/>
      </c>
      <c r="AA22" s="136" t="str">
        <f>IF(Sheet1!F26="","",Sheet1!F26)</f>
        <v/>
      </c>
      <c r="AB22" s="136" t="str">
        <f>IF(Sheet1!E26="","",Sheet1!AP26)</f>
        <v/>
      </c>
      <c r="AC22" s="136">
        <f>IF(Sheet1!CV47="",0,Sheet1!CV47)</f>
        <v>0</v>
      </c>
      <c r="AD22" s="136">
        <f>IF(Sheet1!CW47="",0,Sheet1!CW47)</f>
        <v>0</v>
      </c>
      <c r="AE22" s="136">
        <f>IF(Sheet1!CX47="",0,Sheet1!CX47)</f>
        <v>0</v>
      </c>
      <c r="AF22" s="136">
        <f>IF(Sheet1!CY47="",0,Sheet1!CY47)</f>
        <v>0</v>
      </c>
      <c r="AG22" s="136">
        <f>IF(Sheet1!CZ47="",0,Sheet1!CZ47)</f>
        <v>0</v>
      </c>
      <c r="AH22" s="136">
        <f>IF(Sheet1!DA47="",0,Sheet1!DA47)</f>
        <v>0</v>
      </c>
      <c r="AI22" s="136">
        <f>IF(Sheet1!DB47="",0,Sheet1!DB47)</f>
        <v>0</v>
      </c>
      <c r="AJ22" s="136">
        <f>IF(Sheet1!DC47="",0,Sheet1!DC47)</f>
        <v>0</v>
      </c>
      <c r="AK22" s="136">
        <f>IF(Sheet1!DD47="",0,Sheet1!DD47)</f>
        <v>0</v>
      </c>
      <c r="AL22" s="136">
        <f>IF(Sheet1!DE47="",0,Sheet1!DE47)</f>
        <v>0</v>
      </c>
      <c r="AM22" s="136">
        <f>IF(Sheet1!DF47="",0,Sheet1!DF47)</f>
        <v>0</v>
      </c>
      <c r="AN22" s="136">
        <f>IF(Sheet1!DG47="",0,Sheet1!DG47)</f>
        <v>0</v>
      </c>
      <c r="AO22" s="136">
        <f>IF(Sheet1!DH47="",0,Sheet1!DH47)</f>
        <v>0</v>
      </c>
      <c r="AP22" s="136">
        <f>IF(Sheet1!DI47="",0,Sheet1!DI47)</f>
        <v>0</v>
      </c>
      <c r="AQ22" s="136">
        <f>IF(Sheet1!DJ47="",0,Sheet1!DJ47)</f>
        <v>0</v>
      </c>
      <c r="AR22" s="136">
        <f>IF(Sheet1!DK47="",0,Sheet1!DK47)</f>
        <v>0</v>
      </c>
      <c r="AS22" s="136">
        <f>IF(Sheet1!DL47="",0,Sheet1!DL47)</f>
        <v>0</v>
      </c>
      <c r="AT22" s="136">
        <f>IF(Sheet1!DM47="",0,Sheet1!DM47)</f>
        <v>0</v>
      </c>
      <c r="AU22" s="136">
        <f>IF(Sheet1!DN47="",0,Sheet1!DN47)</f>
        <v>0</v>
      </c>
      <c r="AV22" s="136">
        <f>IF(Sheet1!DO47="",0,Sheet1!DO47)</f>
        <v>0</v>
      </c>
      <c r="AW22">
        <f t="shared" si="1"/>
        <v>0</v>
      </c>
    </row>
    <row r="23" spans="1:49">
      <c r="A23" s="136" t="str">
        <f>Sheet1!B27</f>
        <v/>
      </c>
      <c r="B23" s="136" t="str">
        <f>IF(Sheet1!E27="","",Sheet1!E27)</f>
        <v/>
      </c>
      <c r="C23" s="136" t="str">
        <f>IF(Sheet1!P27="","",Sheet1!P27-Sheet1!FT48)</f>
        <v/>
      </c>
      <c r="D23" s="136" t="str">
        <f>IF(Sheet1!Q27="","",Sheet1!Q27)</f>
        <v/>
      </c>
      <c r="E23" s="136" t="str">
        <f>IF(Sheet1!R27="","",Sheet1!R27)</f>
        <v/>
      </c>
      <c r="F23" s="136" t="str">
        <f>IF(Sheet1!S27="","",Sheet1!S27)</f>
        <v/>
      </c>
      <c r="G23" s="136" t="str">
        <f>IF(Sheet1!T27="","",Sheet1!T27)</f>
        <v/>
      </c>
      <c r="H23" s="136" t="str">
        <f>IF(Sheet1!U27="","",Sheet1!U27)</f>
        <v/>
      </c>
      <c r="I23" s="136" t="str">
        <f>IF(Sheet1!V27="","",Sheet1!V27)</f>
        <v/>
      </c>
      <c r="J23" s="136" t="str">
        <f>IF(Sheet1!W27="","",Sheet1!W27)</f>
        <v/>
      </c>
      <c r="K23" s="136" t="str">
        <f>IF(Sheet1!X27="","",Sheet1!X27)</f>
        <v/>
      </c>
      <c r="L23" s="136" t="str">
        <f>IF(Sheet1!Y27="","",Sheet1!Y27)</f>
        <v/>
      </c>
      <c r="M23" s="136" t="str">
        <f>IF(Sheet1!Z27="","",Sheet1!Z27)</f>
        <v/>
      </c>
      <c r="N23" s="136" t="str">
        <f>IF(Sheet1!AA27="","",Sheet1!AA27)</f>
        <v/>
      </c>
      <c r="O23" s="136" t="e">
        <f t="shared" si="0"/>
        <v>#VALUE!</v>
      </c>
      <c r="P23" s="136">
        <f>IF(Sheet1!BR49="","",Sheet1!BR49)</f>
        <v>0</v>
      </c>
      <c r="Q23" s="136">
        <f>IF(B23="",0,IF(ISNUMBER(SEARCH("Yes",Sheet1!BD48)),75,100))</f>
        <v>0</v>
      </c>
      <c r="R23" s="136" t="str">
        <f>IF(Sheet1!AE27="","",Sheet1!AE27)</f>
        <v/>
      </c>
      <c r="S23" s="136" t="str">
        <f>IF(Sheet1!AU27="","",Sheet1!AU27)</f>
        <v/>
      </c>
      <c r="T23" s="136" t="str">
        <f>IF(Sheet1!J27="","",Sheet1!J27)</f>
        <v/>
      </c>
      <c r="U23" s="136" t="str">
        <f>IF(Sheet1!K27="","",Sheet1!K27)</f>
        <v/>
      </c>
      <c r="V23" s="136" t="str">
        <f>IF(Sheet1!L27="","",Sheet1!L27)</f>
        <v/>
      </c>
      <c r="W23" s="136" t="str">
        <f>IF(Sheet1!M27="","",Sheet1!M27)</f>
        <v/>
      </c>
      <c r="X23" s="136" t="str">
        <f>IF(Sheet1!N27="","",Sheet1!N27)</f>
        <v/>
      </c>
      <c r="Y23" s="136" t="str">
        <f>IF(Sheet1!O27="","",Sheet1!O27)</f>
        <v/>
      </c>
      <c r="Z23" s="136" t="str">
        <f>IF(Sheet1!G27="","",Sheet1!G27)</f>
        <v/>
      </c>
      <c r="AA23" s="136" t="str">
        <f>IF(Sheet1!F27="","",Sheet1!F27)</f>
        <v/>
      </c>
      <c r="AB23" s="136" t="str">
        <f>IF(Sheet1!E27="","",Sheet1!AP27)</f>
        <v/>
      </c>
      <c r="AC23" s="136">
        <f>IF(Sheet1!CV49="",0,Sheet1!CV49)</f>
        <v>0</v>
      </c>
      <c r="AD23" s="136">
        <f>IF(Sheet1!CW49="",0,Sheet1!CW49)</f>
        <v>0</v>
      </c>
      <c r="AE23" s="136">
        <f>IF(Sheet1!CX49="",0,Sheet1!CX49)</f>
        <v>0</v>
      </c>
      <c r="AF23" s="136">
        <f>IF(Sheet1!CY49="",0,Sheet1!CY49)</f>
        <v>0</v>
      </c>
      <c r="AG23" s="136">
        <f>IF(Sheet1!CZ49="",0,Sheet1!CZ49)</f>
        <v>0</v>
      </c>
      <c r="AH23" s="136">
        <f>IF(Sheet1!DA49="",0,Sheet1!DA49)</f>
        <v>0</v>
      </c>
      <c r="AI23" s="136">
        <f>IF(Sheet1!DB49="",0,Sheet1!DB49)</f>
        <v>0</v>
      </c>
      <c r="AJ23" s="136">
        <f>IF(Sheet1!DC49="",0,Sheet1!DC49)</f>
        <v>0</v>
      </c>
      <c r="AK23" s="136">
        <f>IF(Sheet1!DD49="",0,Sheet1!DD49)</f>
        <v>0</v>
      </c>
      <c r="AL23" s="136">
        <f>IF(Sheet1!DE49="",0,Sheet1!DE49)</f>
        <v>0</v>
      </c>
      <c r="AM23" s="136">
        <f>IF(Sheet1!DF49="",0,Sheet1!DF49)</f>
        <v>0</v>
      </c>
      <c r="AN23" s="136">
        <f>IF(Sheet1!DG49="",0,Sheet1!DG49)</f>
        <v>0</v>
      </c>
      <c r="AO23" s="136">
        <f>IF(Sheet1!DH49="",0,Sheet1!DH49)</f>
        <v>0</v>
      </c>
      <c r="AP23" s="136">
        <f>IF(Sheet1!DI49="",0,Sheet1!DI49)</f>
        <v>0</v>
      </c>
      <c r="AQ23" s="136">
        <f>IF(Sheet1!DJ49="",0,Sheet1!DJ49)</f>
        <v>0</v>
      </c>
      <c r="AR23" s="136">
        <f>IF(Sheet1!DK49="",0,Sheet1!DK49)</f>
        <v>0</v>
      </c>
      <c r="AS23" s="136">
        <f>IF(Sheet1!DL49="",0,Sheet1!DL49)</f>
        <v>0</v>
      </c>
      <c r="AT23" s="136">
        <f>IF(Sheet1!DM49="",0,Sheet1!DM49)</f>
        <v>0</v>
      </c>
      <c r="AU23" s="136">
        <f>IF(Sheet1!DN49="",0,Sheet1!DN49)</f>
        <v>0</v>
      </c>
      <c r="AV23" s="136">
        <f>IF(Sheet1!DO49="",0,Sheet1!DO49)</f>
        <v>0</v>
      </c>
      <c r="AW23">
        <f t="shared" si="1"/>
        <v>0</v>
      </c>
    </row>
    <row r="24" spans="1:49">
      <c r="A24" s="136" t="str">
        <f>Sheet1!B28</f>
        <v/>
      </c>
      <c r="B24" s="136" t="str">
        <f>IF(Sheet1!E28="","",Sheet1!E28)</f>
        <v/>
      </c>
      <c r="C24" s="136" t="str">
        <f>IF(Sheet1!P28="","",Sheet1!P28-Sheet1!FT50)</f>
        <v/>
      </c>
      <c r="D24" s="136" t="str">
        <f>IF(Sheet1!Q28="","",Sheet1!Q28)</f>
        <v/>
      </c>
      <c r="E24" s="136" t="str">
        <f>IF(Sheet1!R28="","",Sheet1!R28)</f>
        <v/>
      </c>
      <c r="F24" s="136" t="str">
        <f>IF(Sheet1!S28="","",Sheet1!S28)</f>
        <v/>
      </c>
      <c r="G24" s="136" t="str">
        <f>IF(Sheet1!T28="","",Sheet1!T28)</f>
        <v/>
      </c>
      <c r="H24" s="136" t="str">
        <f>IF(Sheet1!U28="","",Sheet1!U28)</f>
        <v/>
      </c>
      <c r="I24" s="136" t="str">
        <f>IF(Sheet1!V28="","",Sheet1!V28)</f>
        <v/>
      </c>
      <c r="J24" s="136" t="str">
        <f>IF(Sheet1!W28="","",Sheet1!W28)</f>
        <v/>
      </c>
      <c r="K24" s="136" t="str">
        <f>IF(Sheet1!X28="","",Sheet1!X28)</f>
        <v/>
      </c>
      <c r="L24" s="136" t="str">
        <f>IF(Sheet1!Y28="","",Sheet1!Y28)</f>
        <v/>
      </c>
      <c r="M24" s="136" t="str">
        <f>IF(Sheet1!Z28="","",Sheet1!Z28)</f>
        <v/>
      </c>
      <c r="N24" s="136" t="str">
        <f>IF(Sheet1!AA28="","",Sheet1!AA28)</f>
        <v/>
      </c>
      <c r="O24" s="136" t="e">
        <f t="shared" si="0"/>
        <v>#VALUE!</v>
      </c>
      <c r="P24" s="136">
        <f>IF(Sheet1!BR51="","",Sheet1!BR51)</f>
        <v>0</v>
      </c>
      <c r="Q24" s="136">
        <f>IF(B24="",0,IF(ISNUMBER(SEARCH("Yes",Sheet1!BD50)),75,100))</f>
        <v>0</v>
      </c>
      <c r="R24" s="136" t="str">
        <f>IF(Sheet1!AE28="","",Sheet1!AE28)</f>
        <v/>
      </c>
      <c r="S24" s="136" t="str">
        <f>IF(Sheet1!AU28="","",Sheet1!AU28)</f>
        <v/>
      </c>
      <c r="T24" s="136" t="str">
        <f>IF(Sheet1!J28="","",Sheet1!J28)</f>
        <v/>
      </c>
      <c r="U24" s="136" t="str">
        <f>IF(Sheet1!K28="","",Sheet1!K28)</f>
        <v/>
      </c>
      <c r="V24" s="136" t="str">
        <f>IF(Sheet1!L28="","",Sheet1!L28)</f>
        <v/>
      </c>
      <c r="W24" s="136" t="str">
        <f>IF(Sheet1!M28="","",Sheet1!M28)</f>
        <v/>
      </c>
      <c r="X24" s="136" t="str">
        <f>IF(Sheet1!N28="","",Sheet1!N28)</f>
        <v/>
      </c>
      <c r="Y24" s="136" t="str">
        <f>IF(Sheet1!O28="","",Sheet1!O28)</f>
        <v/>
      </c>
      <c r="Z24" s="136" t="str">
        <f>IF(Sheet1!G28="","",Sheet1!G28)</f>
        <v/>
      </c>
      <c r="AA24" s="136" t="str">
        <f>IF(Sheet1!F28="","",Sheet1!F28)</f>
        <v/>
      </c>
      <c r="AB24" s="136" t="str">
        <f>IF(Sheet1!E28="","",Sheet1!AP28)</f>
        <v/>
      </c>
      <c r="AC24" s="136">
        <f>IF(Sheet1!CV51="",0,Sheet1!CV51)</f>
        <v>0</v>
      </c>
      <c r="AD24" s="136">
        <f>IF(Sheet1!CW51="",0,Sheet1!CW51)</f>
        <v>0</v>
      </c>
      <c r="AE24" s="136">
        <f>IF(Sheet1!CX51="",0,Sheet1!CX51)</f>
        <v>0</v>
      </c>
      <c r="AF24" s="136">
        <f>IF(Sheet1!CY51="",0,Sheet1!CY51)</f>
        <v>0</v>
      </c>
      <c r="AG24" s="136">
        <f>IF(Sheet1!CZ51="",0,Sheet1!CZ51)</f>
        <v>0</v>
      </c>
      <c r="AH24" s="136">
        <f>IF(Sheet1!DA51="",0,Sheet1!DA51)</f>
        <v>0</v>
      </c>
      <c r="AI24" s="136">
        <f>IF(Sheet1!DB51="",0,Sheet1!DB51)</f>
        <v>0</v>
      </c>
      <c r="AJ24" s="136">
        <f>IF(Sheet1!DC51="",0,Sheet1!DC51)</f>
        <v>0</v>
      </c>
      <c r="AK24" s="136">
        <f>IF(Sheet1!DD51="",0,Sheet1!DD51)</f>
        <v>0</v>
      </c>
      <c r="AL24" s="136">
        <f>IF(Sheet1!DE51="",0,Sheet1!DE51)</f>
        <v>0</v>
      </c>
      <c r="AM24" s="136">
        <f>IF(Sheet1!DF51="",0,Sheet1!DF51)</f>
        <v>0</v>
      </c>
      <c r="AN24" s="136">
        <f>IF(Sheet1!DG51="",0,Sheet1!DG51)</f>
        <v>0</v>
      </c>
      <c r="AO24" s="136">
        <f>IF(Sheet1!DH51="",0,Sheet1!DH51)</f>
        <v>0</v>
      </c>
      <c r="AP24" s="136">
        <f>IF(Sheet1!DI51="",0,Sheet1!DI51)</f>
        <v>0</v>
      </c>
      <c r="AQ24" s="136">
        <f>IF(Sheet1!DJ51="",0,Sheet1!DJ51)</f>
        <v>0</v>
      </c>
      <c r="AR24" s="136">
        <f>IF(Sheet1!DK51="",0,Sheet1!DK51)</f>
        <v>0</v>
      </c>
      <c r="AS24" s="136">
        <f>IF(Sheet1!DL51="",0,Sheet1!DL51)</f>
        <v>0</v>
      </c>
      <c r="AT24" s="136">
        <f>IF(Sheet1!DM51="",0,Sheet1!DM51)</f>
        <v>0</v>
      </c>
      <c r="AU24" s="136">
        <f>IF(Sheet1!DN51="",0,Sheet1!DN51)</f>
        <v>0</v>
      </c>
      <c r="AV24" s="136">
        <f>IF(Sheet1!DO51="",0,Sheet1!DO51)</f>
        <v>0</v>
      </c>
      <c r="AW24">
        <f t="shared" si="1"/>
        <v>0</v>
      </c>
    </row>
    <row r="25" spans="1:49">
      <c r="A25" s="136" t="str">
        <f>Sheet1!B29</f>
        <v/>
      </c>
      <c r="B25" s="136" t="str">
        <f>IF(Sheet1!E29="","",Sheet1!E29)</f>
        <v/>
      </c>
      <c r="C25" s="136" t="str">
        <f>IF(Sheet1!P29="","",Sheet1!P29-Sheet1!FT52)</f>
        <v/>
      </c>
      <c r="D25" s="136" t="str">
        <f>IF(Sheet1!Q29="","",Sheet1!Q29)</f>
        <v/>
      </c>
      <c r="E25" s="136" t="str">
        <f>IF(Sheet1!R29="","",Sheet1!R29)</f>
        <v/>
      </c>
      <c r="F25" s="136" t="str">
        <f>IF(Sheet1!S29="","",Sheet1!S29)</f>
        <v/>
      </c>
      <c r="G25" s="136" t="str">
        <f>IF(Sheet1!T29="","",Sheet1!T29)</f>
        <v/>
      </c>
      <c r="H25" s="136" t="str">
        <f>IF(Sheet1!U29="","",Sheet1!U29)</f>
        <v/>
      </c>
      <c r="I25" s="136" t="str">
        <f>IF(Sheet1!V29="","",Sheet1!V29)</f>
        <v/>
      </c>
      <c r="J25" s="136" t="str">
        <f>IF(Sheet1!W29="","",Sheet1!W29)</f>
        <v/>
      </c>
      <c r="K25" s="136" t="str">
        <f>IF(Sheet1!X29="","",Sheet1!X29)</f>
        <v/>
      </c>
      <c r="L25" s="136" t="str">
        <f>IF(Sheet1!Y29="","",Sheet1!Y29)</f>
        <v/>
      </c>
      <c r="M25" s="136" t="str">
        <f>IF(Sheet1!Z29="","",Sheet1!Z29)</f>
        <v/>
      </c>
      <c r="N25" s="136" t="str">
        <f>IF(Sheet1!AA29="","",Sheet1!AA29)</f>
        <v/>
      </c>
      <c r="O25" s="136" t="e">
        <f t="shared" si="0"/>
        <v>#VALUE!</v>
      </c>
      <c r="P25" s="136">
        <f>IF(Sheet1!BR53="","",Sheet1!BR53)</f>
        <v>0</v>
      </c>
      <c r="Q25" s="136">
        <f>IF(B25="",0,IF(ISNUMBER(SEARCH("Yes",Sheet1!BD52)),75,100))</f>
        <v>0</v>
      </c>
      <c r="R25" s="136" t="str">
        <f>IF(Sheet1!AE29="","",Sheet1!AE29)</f>
        <v/>
      </c>
      <c r="S25" s="136" t="str">
        <f>IF(Sheet1!AU29="","",Sheet1!AU29)</f>
        <v/>
      </c>
      <c r="T25" s="136" t="str">
        <f>IF(Sheet1!J29="","",Sheet1!J29)</f>
        <v/>
      </c>
      <c r="U25" s="136" t="str">
        <f>IF(Sheet1!K29="","",Sheet1!K29)</f>
        <v/>
      </c>
      <c r="V25" s="136" t="str">
        <f>IF(Sheet1!L29="","",Sheet1!L29)</f>
        <v/>
      </c>
      <c r="W25" s="136" t="str">
        <f>IF(Sheet1!M29="","",Sheet1!M29)</f>
        <v/>
      </c>
      <c r="X25" s="136" t="str">
        <f>IF(Sheet1!N29="","",Sheet1!N29)</f>
        <v/>
      </c>
      <c r="Y25" s="136" t="str">
        <f>IF(Sheet1!O29="","",Sheet1!O29)</f>
        <v/>
      </c>
      <c r="Z25" s="136" t="str">
        <f>IF(Sheet1!G29="","",Sheet1!G29)</f>
        <v/>
      </c>
      <c r="AA25" s="136" t="str">
        <f>IF(Sheet1!F29="","",Sheet1!F29)</f>
        <v/>
      </c>
      <c r="AB25" s="136" t="str">
        <f>IF(Sheet1!E29="","",Sheet1!AP29)</f>
        <v/>
      </c>
      <c r="AC25" s="136">
        <f>IF(Sheet1!CV53="",0,Sheet1!CV53)</f>
        <v>0</v>
      </c>
      <c r="AD25" s="136">
        <f>IF(Sheet1!CW53="",0,Sheet1!CW53)</f>
        <v>0</v>
      </c>
      <c r="AE25" s="136">
        <f>IF(Sheet1!CX53="",0,Sheet1!CX53)</f>
        <v>0</v>
      </c>
      <c r="AF25" s="136">
        <f>IF(Sheet1!CY53="",0,Sheet1!CY53)</f>
        <v>0</v>
      </c>
      <c r="AG25" s="136">
        <f>IF(Sheet1!CZ53="",0,Sheet1!CZ53)</f>
        <v>0</v>
      </c>
      <c r="AH25" s="136">
        <f>IF(Sheet1!DA53="",0,Sheet1!DA53)</f>
        <v>0</v>
      </c>
      <c r="AI25" s="136">
        <f>IF(Sheet1!DB53="",0,Sheet1!DB53)</f>
        <v>0</v>
      </c>
      <c r="AJ25" s="136">
        <f>IF(Sheet1!DC53="",0,Sheet1!DC53)</f>
        <v>0</v>
      </c>
      <c r="AK25" s="136">
        <f>IF(Sheet1!DD53="",0,Sheet1!DD53)</f>
        <v>0</v>
      </c>
      <c r="AL25" s="136">
        <f>IF(Sheet1!DE53="",0,Sheet1!DE53)</f>
        <v>0</v>
      </c>
      <c r="AM25" s="136">
        <f>IF(Sheet1!DF53="",0,Sheet1!DF53)</f>
        <v>0</v>
      </c>
      <c r="AN25" s="136">
        <f>IF(Sheet1!DG53="",0,Sheet1!DG53)</f>
        <v>0</v>
      </c>
      <c r="AO25" s="136">
        <f>IF(Sheet1!DH53="",0,Sheet1!DH53)</f>
        <v>0</v>
      </c>
      <c r="AP25" s="136">
        <f>IF(Sheet1!DI53="",0,Sheet1!DI53)</f>
        <v>0</v>
      </c>
      <c r="AQ25" s="136">
        <f>IF(Sheet1!DJ53="",0,Sheet1!DJ53)</f>
        <v>0</v>
      </c>
      <c r="AR25" s="136">
        <f>IF(Sheet1!DK53="",0,Sheet1!DK53)</f>
        <v>0</v>
      </c>
      <c r="AS25" s="136">
        <f>IF(Sheet1!DL53="",0,Sheet1!DL53)</f>
        <v>0</v>
      </c>
      <c r="AT25" s="136">
        <f>IF(Sheet1!DM53="",0,Sheet1!DM53)</f>
        <v>0</v>
      </c>
      <c r="AU25" s="136">
        <f>IF(Sheet1!DN53="",0,Sheet1!DN53)</f>
        <v>0</v>
      </c>
      <c r="AV25" s="136">
        <f>IF(Sheet1!DO53="",0,Sheet1!DO53)</f>
        <v>0</v>
      </c>
      <c r="AW25">
        <f t="shared" si="1"/>
        <v>0</v>
      </c>
    </row>
    <row r="26" spans="1:49">
      <c r="A26" s="136" t="str">
        <f>Sheet1!B30</f>
        <v/>
      </c>
      <c r="B26" s="136" t="str">
        <f>IF(Sheet1!E30="","",Sheet1!E30)</f>
        <v/>
      </c>
      <c r="C26" s="136" t="str">
        <f>IF(Sheet1!P30="","",Sheet1!P30-Sheet1!FT54)</f>
        <v/>
      </c>
      <c r="D26" s="136" t="str">
        <f>IF(Sheet1!Q30="","",Sheet1!Q30)</f>
        <v/>
      </c>
      <c r="E26" s="136" t="str">
        <f>IF(Sheet1!R30="","",Sheet1!R30)</f>
        <v/>
      </c>
      <c r="F26" s="136" t="str">
        <f>IF(Sheet1!S30="","",Sheet1!S30)</f>
        <v/>
      </c>
      <c r="G26" s="136" t="str">
        <f>IF(Sheet1!T30="","",Sheet1!T30)</f>
        <v/>
      </c>
      <c r="H26" s="136" t="str">
        <f>IF(Sheet1!U30="","",Sheet1!U30)</f>
        <v/>
      </c>
      <c r="I26" s="136" t="str">
        <f>IF(Sheet1!V30="","",Sheet1!V30)</f>
        <v/>
      </c>
      <c r="J26" s="136" t="str">
        <f>IF(Sheet1!W30="","",Sheet1!W30)</f>
        <v/>
      </c>
      <c r="K26" s="136" t="str">
        <f>IF(Sheet1!X30="","",Sheet1!X30)</f>
        <v/>
      </c>
      <c r="L26" s="136" t="str">
        <f>IF(Sheet1!Y30="","",Sheet1!Y30)</f>
        <v/>
      </c>
      <c r="M26" s="136" t="str">
        <f>IF(Sheet1!Z30="","",Sheet1!Z30)</f>
        <v/>
      </c>
      <c r="N26" s="136" t="str">
        <f>IF(Sheet1!AA30="","",Sheet1!AA30)</f>
        <v/>
      </c>
      <c r="O26" s="136" t="e">
        <f t="shared" si="0"/>
        <v>#VALUE!</v>
      </c>
      <c r="P26" s="136">
        <f>IF(Sheet1!BR55="","",Sheet1!BR55)</f>
        <v>0</v>
      </c>
      <c r="Q26" s="136">
        <f>IF(B26="",0,IF(ISNUMBER(SEARCH("Yes",Sheet1!BD54)),75,100))</f>
        <v>0</v>
      </c>
      <c r="R26" s="136" t="str">
        <f>IF(Sheet1!AE30="","",Sheet1!AE30)</f>
        <v/>
      </c>
      <c r="S26" s="136" t="str">
        <f>IF(Sheet1!AU30="","",Sheet1!AU30)</f>
        <v/>
      </c>
      <c r="T26" s="136" t="str">
        <f>IF(Sheet1!J30="","",Sheet1!J30)</f>
        <v/>
      </c>
      <c r="U26" s="136" t="str">
        <f>IF(Sheet1!K30="","",Sheet1!K30)</f>
        <v/>
      </c>
      <c r="V26" s="136" t="str">
        <f>IF(Sheet1!L30="","",Sheet1!L30)</f>
        <v/>
      </c>
      <c r="W26" s="136" t="str">
        <f>IF(Sheet1!M30="","",Sheet1!M30)</f>
        <v/>
      </c>
      <c r="X26" s="136" t="str">
        <f>IF(Sheet1!N30="","",Sheet1!N30)</f>
        <v/>
      </c>
      <c r="Y26" s="136" t="str">
        <f>IF(Sheet1!O30="","",Sheet1!O30)</f>
        <v/>
      </c>
      <c r="Z26" s="136" t="str">
        <f>IF(Sheet1!G30="","",Sheet1!G30)</f>
        <v/>
      </c>
      <c r="AA26" s="136" t="str">
        <f>IF(Sheet1!F30="","",Sheet1!F30)</f>
        <v/>
      </c>
      <c r="AB26" s="136" t="str">
        <f>IF(Sheet1!E30="","",Sheet1!AP30)</f>
        <v/>
      </c>
      <c r="AC26" s="136">
        <f>IF(Sheet1!CV55="",0,Sheet1!CV55)</f>
        <v>0</v>
      </c>
      <c r="AD26" s="136">
        <f>IF(Sheet1!CW55="",0,Sheet1!CW55)</f>
        <v>0</v>
      </c>
      <c r="AE26" s="136">
        <f>IF(Sheet1!CX55="",0,Sheet1!CX55)</f>
        <v>0</v>
      </c>
      <c r="AF26" s="136">
        <f>IF(Sheet1!CY55="",0,Sheet1!CY55)</f>
        <v>0</v>
      </c>
      <c r="AG26" s="136">
        <f>IF(Sheet1!CZ55="",0,Sheet1!CZ55)</f>
        <v>0</v>
      </c>
      <c r="AH26" s="136">
        <f>IF(Sheet1!DA55="",0,Sheet1!DA55)</f>
        <v>0</v>
      </c>
      <c r="AI26" s="136">
        <f>IF(Sheet1!DB55="",0,Sheet1!DB55)</f>
        <v>0</v>
      </c>
      <c r="AJ26" s="136">
        <f>IF(Sheet1!DC55="",0,Sheet1!DC55)</f>
        <v>0</v>
      </c>
      <c r="AK26" s="136">
        <f>IF(Sheet1!DD55="",0,Sheet1!DD55)</f>
        <v>0</v>
      </c>
      <c r="AL26" s="136">
        <f>IF(Sheet1!DE55="",0,Sheet1!DE55)</f>
        <v>0</v>
      </c>
      <c r="AM26" s="136">
        <f>IF(Sheet1!DF55="",0,Sheet1!DF55)</f>
        <v>0</v>
      </c>
      <c r="AN26" s="136">
        <f>IF(Sheet1!DG55="",0,Sheet1!DG55)</f>
        <v>0</v>
      </c>
      <c r="AO26" s="136">
        <f>IF(Sheet1!DH55="",0,Sheet1!DH55)</f>
        <v>0</v>
      </c>
      <c r="AP26" s="136">
        <f>IF(Sheet1!DI55="",0,Sheet1!DI55)</f>
        <v>0</v>
      </c>
      <c r="AQ26" s="136">
        <f>IF(Sheet1!DJ55="",0,Sheet1!DJ55)</f>
        <v>0</v>
      </c>
      <c r="AR26" s="136">
        <f>IF(Sheet1!DK55="",0,Sheet1!DK55)</f>
        <v>0</v>
      </c>
      <c r="AS26" s="136">
        <f>IF(Sheet1!DL55="",0,Sheet1!DL55)</f>
        <v>0</v>
      </c>
      <c r="AT26" s="136">
        <f>IF(Sheet1!DM55="",0,Sheet1!DM55)</f>
        <v>0</v>
      </c>
      <c r="AU26" s="136">
        <f>IF(Sheet1!DN55="",0,Sheet1!DN55)</f>
        <v>0</v>
      </c>
      <c r="AV26" s="136">
        <f>IF(Sheet1!DO55="",0,Sheet1!DO55)</f>
        <v>0</v>
      </c>
      <c r="AW26">
        <f t="shared" si="1"/>
        <v>0</v>
      </c>
    </row>
    <row r="27" spans="1:49">
      <c r="A27" s="136" t="str">
        <f>Sheet1!B31</f>
        <v/>
      </c>
      <c r="B27" s="136" t="str">
        <f>IF(Sheet1!E31="","",Sheet1!E31)</f>
        <v/>
      </c>
      <c r="C27" s="136" t="str">
        <f>IF(Sheet1!P31="","",Sheet1!P31-Sheet1!FT56)</f>
        <v/>
      </c>
      <c r="D27" s="136" t="str">
        <f>IF(Sheet1!Q31="","",Sheet1!Q31)</f>
        <v/>
      </c>
      <c r="E27" s="136" t="str">
        <f>IF(Sheet1!R31="","",Sheet1!R31)</f>
        <v/>
      </c>
      <c r="F27" s="136" t="str">
        <f>IF(Sheet1!S31="","",Sheet1!S31)</f>
        <v/>
      </c>
      <c r="G27" s="136" t="str">
        <f>IF(Sheet1!T31="","",Sheet1!T31)</f>
        <v/>
      </c>
      <c r="H27" s="136" t="str">
        <f>IF(Sheet1!U31="","",Sheet1!U31)</f>
        <v/>
      </c>
      <c r="I27" s="136" t="str">
        <f>IF(Sheet1!V31="","",Sheet1!V31)</f>
        <v/>
      </c>
      <c r="J27" s="136" t="str">
        <f>IF(Sheet1!W31="","",Sheet1!W31)</f>
        <v/>
      </c>
      <c r="K27" s="136" t="str">
        <f>IF(Sheet1!X31="","",Sheet1!X31)</f>
        <v/>
      </c>
      <c r="L27" s="136" t="str">
        <f>IF(Sheet1!Y31="","",Sheet1!Y31)</f>
        <v/>
      </c>
      <c r="M27" s="136" t="str">
        <f>IF(Sheet1!Z31="","",Sheet1!Z31)</f>
        <v/>
      </c>
      <c r="N27" s="136" t="str">
        <f>IF(Sheet1!AA31="","",Sheet1!AA31)</f>
        <v/>
      </c>
      <c r="O27" s="136" t="e">
        <f t="shared" si="0"/>
        <v>#VALUE!</v>
      </c>
      <c r="P27" s="136">
        <f>IF(Sheet1!BR57="","",Sheet1!BR57)</f>
        <v>0</v>
      </c>
      <c r="Q27" s="136">
        <f>IF(B27="",0,IF(ISNUMBER(SEARCH("Yes",Sheet1!BD56)),75,100))</f>
        <v>0</v>
      </c>
      <c r="R27" s="136" t="str">
        <f>IF(Sheet1!AE31="","",Sheet1!AE31)</f>
        <v/>
      </c>
      <c r="S27" s="136" t="str">
        <f>IF(Sheet1!AU31="","",Sheet1!AU31)</f>
        <v/>
      </c>
      <c r="T27" s="136" t="str">
        <f>IF(Sheet1!J31="","",Sheet1!J31)</f>
        <v/>
      </c>
      <c r="U27" s="136" t="str">
        <f>IF(Sheet1!K31="","",Sheet1!K31)</f>
        <v/>
      </c>
      <c r="V27" s="136" t="str">
        <f>IF(Sheet1!L31="","",Sheet1!L31)</f>
        <v/>
      </c>
      <c r="W27" s="136" t="str">
        <f>IF(Sheet1!M31="","",Sheet1!M31)</f>
        <v/>
      </c>
      <c r="X27" s="136" t="str">
        <f>IF(Sheet1!N31="","",Sheet1!N31)</f>
        <v/>
      </c>
      <c r="Y27" s="136" t="str">
        <f>IF(Sheet1!O31="","",Sheet1!O31)</f>
        <v/>
      </c>
      <c r="Z27" s="136" t="str">
        <f>IF(Sheet1!G31="","",Sheet1!G31)</f>
        <v/>
      </c>
      <c r="AA27" s="136" t="str">
        <f>IF(Sheet1!F31="","",Sheet1!F31)</f>
        <v/>
      </c>
      <c r="AB27" s="136" t="str">
        <f>IF(Sheet1!E31="","",Sheet1!AP31)</f>
        <v/>
      </c>
      <c r="AC27" s="136">
        <f>IF(Sheet1!CV57="",0,Sheet1!CV57)</f>
        <v>0</v>
      </c>
      <c r="AD27" s="136">
        <f>IF(Sheet1!CW57="",0,Sheet1!CW57)</f>
        <v>0</v>
      </c>
      <c r="AE27" s="136">
        <f>IF(Sheet1!CX57="",0,Sheet1!CX57)</f>
        <v>0</v>
      </c>
      <c r="AF27" s="136">
        <f>IF(Sheet1!CY57="",0,Sheet1!CY57)</f>
        <v>0</v>
      </c>
      <c r="AG27" s="136">
        <f>IF(Sheet1!CZ57="",0,Sheet1!CZ57)</f>
        <v>0</v>
      </c>
      <c r="AH27" s="136">
        <f>IF(Sheet1!DA57="",0,Sheet1!DA57)</f>
        <v>0</v>
      </c>
      <c r="AI27" s="136">
        <f>IF(Sheet1!DB57="",0,Sheet1!DB57)</f>
        <v>0</v>
      </c>
      <c r="AJ27" s="136">
        <f>IF(Sheet1!DC57="",0,Sheet1!DC57)</f>
        <v>0</v>
      </c>
      <c r="AK27" s="136">
        <f>IF(Sheet1!DD57="",0,Sheet1!DD57)</f>
        <v>0</v>
      </c>
      <c r="AL27" s="136">
        <f>IF(Sheet1!DE57="",0,Sheet1!DE57)</f>
        <v>0</v>
      </c>
      <c r="AM27" s="136">
        <f>IF(Sheet1!DF57="",0,Sheet1!DF57)</f>
        <v>0</v>
      </c>
      <c r="AN27" s="136">
        <f>IF(Sheet1!DG57="",0,Sheet1!DG57)</f>
        <v>0</v>
      </c>
      <c r="AO27" s="136">
        <f>IF(Sheet1!DH57="",0,Sheet1!DH57)</f>
        <v>0</v>
      </c>
      <c r="AP27" s="136">
        <f>IF(Sheet1!DI57="",0,Sheet1!DI57)</f>
        <v>0</v>
      </c>
      <c r="AQ27" s="136">
        <f>IF(Sheet1!DJ57="",0,Sheet1!DJ57)</f>
        <v>0</v>
      </c>
      <c r="AR27" s="136">
        <f>IF(Sheet1!DK57="",0,Sheet1!DK57)</f>
        <v>0</v>
      </c>
      <c r="AS27" s="136">
        <f>IF(Sheet1!DL57="",0,Sheet1!DL57)</f>
        <v>0</v>
      </c>
      <c r="AT27" s="136">
        <f>IF(Sheet1!DM57="",0,Sheet1!DM57)</f>
        <v>0</v>
      </c>
      <c r="AU27" s="136">
        <f>IF(Sheet1!DN57="",0,Sheet1!DN57)</f>
        <v>0</v>
      </c>
      <c r="AV27" s="136">
        <f>IF(Sheet1!DO57="",0,Sheet1!DO57)</f>
        <v>0</v>
      </c>
      <c r="AW27">
        <f t="shared" si="1"/>
        <v>0</v>
      </c>
    </row>
    <row r="28" spans="1:49">
      <c r="A28" s="136" t="str">
        <f>Sheet1!B32</f>
        <v/>
      </c>
      <c r="B28" s="136" t="str">
        <f>IF(Sheet1!E32="","",Sheet1!E32)</f>
        <v/>
      </c>
      <c r="C28" s="136" t="str">
        <f>IF(Sheet1!P32="","",Sheet1!P32-Sheet1!FT58)</f>
        <v/>
      </c>
      <c r="D28" s="136" t="str">
        <f>IF(Sheet1!Q32="","",Sheet1!Q32)</f>
        <v/>
      </c>
      <c r="E28" s="136" t="str">
        <f>IF(Sheet1!R32="","",Sheet1!R32)</f>
        <v/>
      </c>
      <c r="F28" s="136" t="str">
        <f>IF(Sheet1!S32="","",Sheet1!S32)</f>
        <v/>
      </c>
      <c r="G28" s="136" t="str">
        <f>IF(Sheet1!T32="","",Sheet1!T32)</f>
        <v/>
      </c>
      <c r="H28" s="136" t="str">
        <f>IF(Sheet1!U32="","",Sheet1!U32)</f>
        <v/>
      </c>
      <c r="I28" s="136" t="str">
        <f>IF(Sheet1!V32="","",Sheet1!V32)</f>
        <v/>
      </c>
      <c r="J28" s="136" t="str">
        <f>IF(Sheet1!W32="","",Sheet1!W32)</f>
        <v/>
      </c>
      <c r="K28" s="136" t="str">
        <f>IF(Sheet1!X32="","",Sheet1!X32)</f>
        <v/>
      </c>
      <c r="L28" s="136" t="str">
        <f>IF(Sheet1!Y32="","",Sheet1!Y32)</f>
        <v/>
      </c>
      <c r="M28" s="136" t="str">
        <f>IF(Sheet1!Z32="","",Sheet1!Z32)</f>
        <v/>
      </c>
      <c r="N28" s="136" t="str">
        <f>IF(Sheet1!AA32="","",Sheet1!AA32)</f>
        <v/>
      </c>
      <c r="O28" s="136" t="e">
        <f t="shared" si="0"/>
        <v>#VALUE!</v>
      </c>
      <c r="P28" s="136">
        <f>IF(Sheet1!BR59="","",Sheet1!BR59)</f>
        <v>0</v>
      </c>
      <c r="Q28" s="136">
        <f>IF(B28="",0,IF(ISNUMBER(SEARCH("Yes",Sheet1!BD58)),75,100))</f>
        <v>0</v>
      </c>
      <c r="R28" s="136" t="str">
        <f>IF(Sheet1!AE32="","",Sheet1!AE32)</f>
        <v/>
      </c>
      <c r="S28" s="136" t="str">
        <f>IF(Sheet1!AU32="","",Sheet1!AU32)</f>
        <v/>
      </c>
      <c r="T28" s="136" t="str">
        <f>IF(Sheet1!J32="","",Sheet1!J32)</f>
        <v/>
      </c>
      <c r="U28" s="136" t="str">
        <f>IF(Sheet1!K32="","",Sheet1!K32)</f>
        <v/>
      </c>
      <c r="V28" s="136" t="str">
        <f>IF(Sheet1!L32="","",Sheet1!L32)</f>
        <v/>
      </c>
      <c r="W28" s="136" t="str">
        <f>IF(Sheet1!M32="","",Sheet1!M32)</f>
        <v/>
      </c>
      <c r="X28" s="136" t="str">
        <f>IF(Sheet1!N32="","",Sheet1!N32)</f>
        <v/>
      </c>
      <c r="Y28" s="136" t="str">
        <f>IF(Sheet1!O32="","",Sheet1!O32)</f>
        <v/>
      </c>
      <c r="Z28" s="136" t="str">
        <f>IF(Sheet1!G32="","",Sheet1!G32)</f>
        <v/>
      </c>
      <c r="AA28" s="136" t="str">
        <f>IF(Sheet1!F32="","",Sheet1!F32)</f>
        <v/>
      </c>
      <c r="AB28" s="136" t="str">
        <f>IF(Sheet1!E32="","",Sheet1!AP32)</f>
        <v/>
      </c>
      <c r="AC28" s="136">
        <f>IF(Sheet1!CV59="",0,Sheet1!CV59)</f>
        <v>0</v>
      </c>
      <c r="AD28" s="136">
        <f>IF(Sheet1!CW59="",0,Sheet1!CW59)</f>
        <v>0</v>
      </c>
      <c r="AE28" s="136">
        <f>IF(Sheet1!CX59="",0,Sheet1!CX59)</f>
        <v>0</v>
      </c>
      <c r="AF28" s="136">
        <f>IF(Sheet1!CY59="",0,Sheet1!CY59)</f>
        <v>0</v>
      </c>
      <c r="AG28" s="136">
        <f>IF(Sheet1!CZ59="",0,Sheet1!CZ59)</f>
        <v>0</v>
      </c>
      <c r="AH28" s="136">
        <f>IF(Sheet1!DA59="",0,Sheet1!DA59)</f>
        <v>0</v>
      </c>
      <c r="AI28" s="136">
        <f>IF(Sheet1!DB59="",0,Sheet1!DB59)</f>
        <v>0</v>
      </c>
      <c r="AJ28" s="136">
        <f>IF(Sheet1!DC59="",0,Sheet1!DC59)</f>
        <v>0</v>
      </c>
      <c r="AK28" s="136">
        <f>IF(Sheet1!DD59="",0,Sheet1!DD59)</f>
        <v>0</v>
      </c>
      <c r="AL28" s="136">
        <f>IF(Sheet1!DE59="",0,Sheet1!DE59)</f>
        <v>0</v>
      </c>
      <c r="AM28" s="136">
        <f>IF(Sheet1!DF59="",0,Sheet1!DF59)</f>
        <v>0</v>
      </c>
      <c r="AN28" s="136">
        <f>IF(Sheet1!DG59="",0,Sheet1!DG59)</f>
        <v>0</v>
      </c>
      <c r="AO28" s="136">
        <f>IF(Sheet1!DH59="",0,Sheet1!DH59)</f>
        <v>0</v>
      </c>
      <c r="AP28" s="136">
        <f>IF(Sheet1!DI59="",0,Sheet1!DI59)</f>
        <v>0</v>
      </c>
      <c r="AQ28" s="136">
        <f>IF(Sheet1!DJ59="",0,Sheet1!DJ59)</f>
        <v>0</v>
      </c>
      <c r="AR28" s="136">
        <f>IF(Sheet1!DK59="",0,Sheet1!DK59)</f>
        <v>0</v>
      </c>
      <c r="AS28" s="136">
        <f>IF(Sheet1!DL59="",0,Sheet1!DL59)</f>
        <v>0</v>
      </c>
      <c r="AT28" s="136">
        <f>IF(Sheet1!DM59="",0,Sheet1!DM59)</f>
        <v>0</v>
      </c>
      <c r="AU28" s="136">
        <f>IF(Sheet1!DN59="",0,Sheet1!DN59)</f>
        <v>0</v>
      </c>
      <c r="AV28" s="136">
        <f>IF(Sheet1!DO59="",0,Sheet1!DO59)</f>
        <v>0</v>
      </c>
      <c r="AW28">
        <f t="shared" si="1"/>
        <v>0</v>
      </c>
    </row>
    <row r="29" spans="1:49">
      <c r="A29" s="136" t="str">
        <f>Sheet1!B33</f>
        <v/>
      </c>
      <c r="B29" s="136" t="str">
        <f>IF(Sheet1!E33="","",Sheet1!E33)</f>
        <v/>
      </c>
      <c r="C29" s="136" t="str">
        <f>IF(Sheet1!P33="","",Sheet1!P33-Sheet1!FT60)</f>
        <v/>
      </c>
      <c r="D29" s="136" t="str">
        <f>IF(Sheet1!Q33="","",Sheet1!Q33)</f>
        <v/>
      </c>
      <c r="E29" s="136" t="str">
        <f>IF(Sheet1!R33="","",Sheet1!R33)</f>
        <v/>
      </c>
      <c r="F29" s="136" t="str">
        <f>IF(Sheet1!S33="","",Sheet1!S33)</f>
        <v/>
      </c>
      <c r="G29" s="136" t="str">
        <f>IF(Sheet1!T33="","",Sheet1!T33)</f>
        <v/>
      </c>
      <c r="H29" s="136" t="str">
        <f>IF(Sheet1!U33="","",Sheet1!U33)</f>
        <v/>
      </c>
      <c r="I29" s="136" t="str">
        <f>IF(Sheet1!V33="","",Sheet1!V33)</f>
        <v/>
      </c>
      <c r="J29" s="136" t="str">
        <f>IF(Sheet1!W33="","",Sheet1!W33)</f>
        <v/>
      </c>
      <c r="K29" s="136" t="str">
        <f>IF(Sheet1!X33="","",Sheet1!X33)</f>
        <v/>
      </c>
      <c r="L29" s="136" t="str">
        <f>IF(Sheet1!Y33="","",Sheet1!Y33)</f>
        <v/>
      </c>
      <c r="M29" s="136" t="str">
        <f>IF(Sheet1!Z33="","",Sheet1!Z33)</f>
        <v/>
      </c>
      <c r="N29" s="136" t="str">
        <f>IF(Sheet1!AA33="","",Sheet1!AA33)</f>
        <v/>
      </c>
      <c r="O29" s="136" t="e">
        <f t="shared" si="0"/>
        <v>#VALUE!</v>
      </c>
      <c r="P29" s="136">
        <f>IF(Sheet1!BR61="","",Sheet1!BR61)</f>
        <v>0</v>
      </c>
      <c r="Q29" s="136">
        <f>IF(B29="",0,IF(ISNUMBER(SEARCH("Yes",Sheet1!BD60)),75,100))</f>
        <v>0</v>
      </c>
      <c r="R29" s="136" t="str">
        <f>IF(Sheet1!AE33="","",Sheet1!AE33)</f>
        <v/>
      </c>
      <c r="S29" s="136" t="str">
        <f>IF(Sheet1!AU33="","",Sheet1!AU33)</f>
        <v/>
      </c>
      <c r="T29" s="136" t="str">
        <f>IF(Sheet1!J33="","",Sheet1!J33)</f>
        <v/>
      </c>
      <c r="U29" s="136" t="str">
        <f>IF(Sheet1!K33="","",Sheet1!K33)</f>
        <v/>
      </c>
      <c r="V29" s="136" t="str">
        <f>IF(Sheet1!L33="","",Sheet1!L33)</f>
        <v/>
      </c>
      <c r="W29" s="136" t="str">
        <f>IF(Sheet1!M33="","",Sheet1!M33)</f>
        <v/>
      </c>
      <c r="X29" s="136" t="str">
        <f>IF(Sheet1!N33="","",Sheet1!N33)</f>
        <v/>
      </c>
      <c r="Y29" s="136" t="str">
        <f>IF(Sheet1!O33="","",Sheet1!O33)</f>
        <v/>
      </c>
      <c r="Z29" s="136" t="str">
        <f>IF(Sheet1!G33="","",Sheet1!G33)</f>
        <v/>
      </c>
      <c r="AA29" s="136" t="str">
        <f>IF(Sheet1!F33="","",Sheet1!F33)</f>
        <v/>
      </c>
      <c r="AB29" s="136" t="str">
        <f>IF(Sheet1!E33="","",Sheet1!AP33)</f>
        <v/>
      </c>
      <c r="AC29" s="136">
        <f>IF(Sheet1!CV61="",0,Sheet1!CV61)</f>
        <v>0</v>
      </c>
      <c r="AD29" s="136">
        <f>IF(Sheet1!CW61="",0,Sheet1!CW61)</f>
        <v>0</v>
      </c>
      <c r="AE29" s="136">
        <f>IF(Sheet1!CX61="",0,Sheet1!CX61)</f>
        <v>0</v>
      </c>
      <c r="AF29" s="136">
        <f>IF(Sheet1!CY61="",0,Sheet1!CY61)</f>
        <v>0</v>
      </c>
      <c r="AG29" s="136">
        <f>IF(Sheet1!CZ61="",0,Sheet1!CZ61)</f>
        <v>0</v>
      </c>
      <c r="AH29" s="136">
        <f>IF(Sheet1!DA61="",0,Sheet1!DA61)</f>
        <v>0</v>
      </c>
      <c r="AI29" s="136">
        <f>IF(Sheet1!DB61="",0,Sheet1!DB61)</f>
        <v>0</v>
      </c>
      <c r="AJ29" s="136">
        <f>IF(Sheet1!DC61="",0,Sheet1!DC61)</f>
        <v>0</v>
      </c>
      <c r="AK29" s="136">
        <f>IF(Sheet1!DD61="",0,Sheet1!DD61)</f>
        <v>0</v>
      </c>
      <c r="AL29" s="136">
        <f>IF(Sheet1!DE61="",0,Sheet1!DE61)</f>
        <v>0</v>
      </c>
      <c r="AM29" s="136">
        <f>IF(Sheet1!DF61="",0,Sheet1!DF61)</f>
        <v>0</v>
      </c>
      <c r="AN29" s="136">
        <f>IF(Sheet1!DG61="",0,Sheet1!DG61)</f>
        <v>0</v>
      </c>
      <c r="AO29" s="136">
        <f>IF(Sheet1!DH61="",0,Sheet1!DH61)</f>
        <v>0</v>
      </c>
      <c r="AP29" s="136">
        <f>IF(Sheet1!DI61="",0,Sheet1!DI61)</f>
        <v>0</v>
      </c>
      <c r="AQ29" s="136">
        <f>IF(Sheet1!DJ61="",0,Sheet1!DJ61)</f>
        <v>0</v>
      </c>
      <c r="AR29" s="136">
        <f>IF(Sheet1!DK61="",0,Sheet1!DK61)</f>
        <v>0</v>
      </c>
      <c r="AS29" s="136">
        <f>IF(Sheet1!DL61="",0,Sheet1!DL61)</f>
        <v>0</v>
      </c>
      <c r="AT29" s="136">
        <f>IF(Sheet1!DM61="",0,Sheet1!DM61)</f>
        <v>0</v>
      </c>
      <c r="AU29" s="136">
        <f>IF(Sheet1!DN61="",0,Sheet1!DN61)</f>
        <v>0</v>
      </c>
      <c r="AV29" s="136">
        <f>IF(Sheet1!DO61="",0,Sheet1!DO61)</f>
        <v>0</v>
      </c>
      <c r="AW29">
        <f t="shared" si="1"/>
        <v>0</v>
      </c>
    </row>
    <row r="30" spans="1:49">
      <c r="A30" s="136" t="str">
        <f>Sheet1!B34</f>
        <v/>
      </c>
      <c r="B30" s="136" t="str">
        <f>IF(Sheet1!E34="","",Sheet1!E34)</f>
        <v/>
      </c>
      <c r="C30" s="136" t="str">
        <f>IF(Sheet1!P34="","",Sheet1!P34-Sheet1!FT62)</f>
        <v/>
      </c>
      <c r="D30" s="136" t="str">
        <f>IF(Sheet1!Q34="","",Sheet1!Q34)</f>
        <v/>
      </c>
      <c r="E30" s="136" t="str">
        <f>IF(Sheet1!R34="","",Sheet1!R34)</f>
        <v/>
      </c>
      <c r="F30" s="136" t="str">
        <f>IF(Sheet1!S34="","",Sheet1!S34)</f>
        <v/>
      </c>
      <c r="G30" s="136" t="str">
        <f>IF(Sheet1!T34="","",Sheet1!T34)</f>
        <v/>
      </c>
      <c r="H30" s="136" t="str">
        <f>IF(Sheet1!U34="","",Sheet1!U34)</f>
        <v/>
      </c>
      <c r="I30" s="136" t="str">
        <f>IF(Sheet1!V34="","",Sheet1!V34)</f>
        <v/>
      </c>
      <c r="J30" s="136" t="str">
        <f>IF(Sheet1!W34="","",Sheet1!W34)</f>
        <v/>
      </c>
      <c r="K30" s="136" t="str">
        <f>IF(Sheet1!X34="","",Sheet1!X34)</f>
        <v/>
      </c>
      <c r="L30" s="136" t="str">
        <f>IF(Sheet1!Y34="","",Sheet1!Y34)</f>
        <v/>
      </c>
      <c r="M30" s="136" t="str">
        <f>IF(Sheet1!Z34="","",Sheet1!Z34)</f>
        <v/>
      </c>
      <c r="N30" s="136" t="str">
        <f>IF(Sheet1!AA34="","",Sheet1!AA34)</f>
        <v/>
      </c>
      <c r="O30" s="136" t="e">
        <f t="shared" si="0"/>
        <v>#VALUE!</v>
      </c>
      <c r="P30" s="136">
        <f>IF(Sheet1!BR63="","",Sheet1!BR63)</f>
        <v>0</v>
      </c>
      <c r="Q30" s="136">
        <f>IF(B30="",0,IF(ISNUMBER(SEARCH("Yes",Sheet1!BD62)),75,100))</f>
        <v>0</v>
      </c>
      <c r="R30" s="136" t="str">
        <f>IF(Sheet1!AE34="","",Sheet1!AE34)</f>
        <v/>
      </c>
      <c r="S30" s="136" t="str">
        <f>IF(Sheet1!AU34="","",Sheet1!AU34)</f>
        <v/>
      </c>
      <c r="T30" s="136" t="str">
        <f>IF(Sheet1!J34="","",Sheet1!J34)</f>
        <v/>
      </c>
      <c r="U30" s="136" t="str">
        <f>IF(Sheet1!K34="","",Sheet1!K34)</f>
        <v/>
      </c>
      <c r="V30" s="136" t="str">
        <f>IF(Sheet1!L34="","",Sheet1!L34)</f>
        <v/>
      </c>
      <c r="W30" s="136" t="str">
        <f>IF(Sheet1!M34="","",Sheet1!M34)</f>
        <v/>
      </c>
      <c r="X30" s="136" t="str">
        <f>IF(Sheet1!N34="","",Sheet1!N34)</f>
        <v/>
      </c>
      <c r="Y30" s="136" t="str">
        <f>IF(Sheet1!O34="","",Sheet1!O34)</f>
        <v/>
      </c>
      <c r="Z30" s="136" t="str">
        <f>IF(Sheet1!G34="","",Sheet1!G34)</f>
        <v/>
      </c>
      <c r="AA30" s="136" t="str">
        <f>IF(Sheet1!F34="","",Sheet1!F34)</f>
        <v/>
      </c>
      <c r="AB30" s="136" t="str">
        <f>IF(Sheet1!E34="","",Sheet1!AP34)</f>
        <v/>
      </c>
      <c r="AC30" s="136">
        <f>IF(Sheet1!CV63="",0,Sheet1!CV63)</f>
        <v>0</v>
      </c>
      <c r="AD30" s="136">
        <f>IF(Sheet1!CW63="",0,Sheet1!CW63)</f>
        <v>0</v>
      </c>
      <c r="AE30" s="136">
        <f>IF(Sheet1!CX63="",0,Sheet1!CX63)</f>
        <v>0</v>
      </c>
      <c r="AF30" s="136">
        <f>IF(Sheet1!CY63="",0,Sheet1!CY63)</f>
        <v>0</v>
      </c>
      <c r="AG30" s="136">
        <f>IF(Sheet1!CZ63="",0,Sheet1!CZ63)</f>
        <v>0</v>
      </c>
      <c r="AH30" s="136">
        <f>IF(Sheet1!DA63="",0,Sheet1!DA63)</f>
        <v>0</v>
      </c>
      <c r="AI30" s="136">
        <f>IF(Sheet1!DB63="",0,Sheet1!DB63)</f>
        <v>0</v>
      </c>
      <c r="AJ30" s="136">
        <f>IF(Sheet1!DC63="",0,Sheet1!DC63)</f>
        <v>0</v>
      </c>
      <c r="AK30" s="136">
        <f>IF(Sheet1!DD63="",0,Sheet1!DD63)</f>
        <v>0</v>
      </c>
      <c r="AL30" s="136">
        <f>IF(Sheet1!DE63="",0,Sheet1!DE63)</f>
        <v>0</v>
      </c>
      <c r="AM30" s="136">
        <f>IF(Sheet1!DF63="",0,Sheet1!DF63)</f>
        <v>0</v>
      </c>
      <c r="AN30" s="136">
        <f>IF(Sheet1!DG63="",0,Sheet1!DG63)</f>
        <v>0</v>
      </c>
      <c r="AO30" s="136">
        <f>IF(Sheet1!DH63="",0,Sheet1!DH63)</f>
        <v>0</v>
      </c>
      <c r="AP30" s="136">
        <f>IF(Sheet1!DI63="",0,Sheet1!DI63)</f>
        <v>0</v>
      </c>
      <c r="AQ30" s="136">
        <f>IF(Sheet1!DJ63="",0,Sheet1!DJ63)</f>
        <v>0</v>
      </c>
      <c r="AR30" s="136">
        <f>IF(Sheet1!DK63="",0,Sheet1!DK63)</f>
        <v>0</v>
      </c>
      <c r="AS30" s="136">
        <f>IF(Sheet1!DL63="",0,Sheet1!DL63)</f>
        <v>0</v>
      </c>
      <c r="AT30" s="136">
        <f>IF(Sheet1!DM63="",0,Sheet1!DM63)</f>
        <v>0</v>
      </c>
      <c r="AU30" s="136">
        <f>IF(Sheet1!DN63="",0,Sheet1!DN63)</f>
        <v>0</v>
      </c>
      <c r="AV30" s="136">
        <f>IF(Sheet1!DO63="",0,Sheet1!DO63)</f>
        <v>0</v>
      </c>
      <c r="AW30">
        <f t="shared" si="1"/>
        <v>0</v>
      </c>
    </row>
    <row r="31" spans="1:49">
      <c r="A31" s="136" t="str">
        <f>Sheet1!B35</f>
        <v/>
      </c>
      <c r="B31" s="136" t="str">
        <f>IF(Sheet1!E35="","",Sheet1!E35)</f>
        <v/>
      </c>
      <c r="C31" s="136" t="str">
        <f>IF(Sheet1!P35="","",Sheet1!P35-Sheet1!FT64)</f>
        <v/>
      </c>
      <c r="D31" s="136" t="str">
        <f>IF(Sheet1!Q35="","",Sheet1!Q35)</f>
        <v/>
      </c>
      <c r="E31" s="136" t="str">
        <f>IF(Sheet1!R35="","",Sheet1!R35)</f>
        <v/>
      </c>
      <c r="F31" s="136" t="str">
        <f>IF(Sheet1!S35="","",Sheet1!S35)</f>
        <v/>
      </c>
      <c r="G31" s="136" t="str">
        <f>IF(Sheet1!T35="","",Sheet1!T35)</f>
        <v/>
      </c>
      <c r="H31" s="136" t="str">
        <f>IF(Sheet1!U35="","",Sheet1!U35)</f>
        <v/>
      </c>
      <c r="I31" s="136" t="str">
        <f>IF(Sheet1!V35="","",Sheet1!V35)</f>
        <v/>
      </c>
      <c r="J31" s="136" t="str">
        <f>IF(Sheet1!W35="","",Sheet1!W35)</f>
        <v/>
      </c>
      <c r="K31" s="136" t="str">
        <f>IF(Sheet1!X35="","",Sheet1!X35)</f>
        <v/>
      </c>
      <c r="L31" s="136" t="str">
        <f>IF(Sheet1!Y35="","",Sheet1!Y35)</f>
        <v/>
      </c>
      <c r="M31" s="136" t="str">
        <f>IF(Sheet1!Z35="","",Sheet1!Z35)</f>
        <v/>
      </c>
      <c r="N31" s="136" t="str">
        <f>IF(Sheet1!AA35="","",Sheet1!AA35)</f>
        <v/>
      </c>
      <c r="O31" s="136" t="e">
        <f t="shared" si="0"/>
        <v>#VALUE!</v>
      </c>
      <c r="P31" s="136">
        <f>IF(Sheet1!BR65="","",Sheet1!BR65)</f>
        <v>0</v>
      </c>
      <c r="Q31" s="136">
        <f>IF(B31="",0,IF(ISNUMBER(SEARCH("Yes",Sheet1!BD64)),75,100))</f>
        <v>0</v>
      </c>
      <c r="R31" s="136" t="str">
        <f>IF(Sheet1!AE35="","",Sheet1!AE35)</f>
        <v/>
      </c>
      <c r="S31" s="136" t="str">
        <f>IF(Sheet1!AU35="","",Sheet1!AU35)</f>
        <v/>
      </c>
      <c r="T31" s="136" t="str">
        <f>IF(Sheet1!J35="","",Sheet1!J35)</f>
        <v/>
      </c>
      <c r="U31" s="136" t="str">
        <f>IF(Sheet1!K35="","",Sheet1!K35)</f>
        <v/>
      </c>
      <c r="V31" s="136" t="str">
        <f>IF(Sheet1!L35="","",Sheet1!L35)</f>
        <v/>
      </c>
      <c r="W31" s="136" t="str">
        <f>IF(Sheet1!M35="","",Sheet1!M35)</f>
        <v/>
      </c>
      <c r="X31" s="136" t="str">
        <f>IF(Sheet1!N35="","",Sheet1!N35)</f>
        <v/>
      </c>
      <c r="Y31" s="136" t="str">
        <f>IF(Sheet1!O35="","",Sheet1!O35)</f>
        <v/>
      </c>
      <c r="Z31" s="136" t="str">
        <f>IF(Sheet1!G35="","",Sheet1!G35)</f>
        <v/>
      </c>
      <c r="AA31" s="136" t="str">
        <f>IF(Sheet1!F35="","",Sheet1!F35)</f>
        <v/>
      </c>
      <c r="AB31" s="136" t="str">
        <f>IF(Sheet1!E35="","",Sheet1!AP35)</f>
        <v/>
      </c>
      <c r="AC31" s="136">
        <f>IF(Sheet1!CV65="",0,Sheet1!CV65)</f>
        <v>0</v>
      </c>
      <c r="AD31" s="136">
        <f>IF(Sheet1!CW65="",0,Sheet1!CW65)</f>
        <v>0</v>
      </c>
      <c r="AE31" s="136">
        <f>IF(Sheet1!CX65="",0,Sheet1!CX65)</f>
        <v>0</v>
      </c>
      <c r="AF31" s="136">
        <f>IF(Sheet1!CY65="",0,Sheet1!CY65)</f>
        <v>0</v>
      </c>
      <c r="AG31" s="136">
        <f>IF(Sheet1!CZ65="",0,Sheet1!CZ65)</f>
        <v>0</v>
      </c>
      <c r="AH31" s="136">
        <f>IF(Sheet1!DA65="",0,Sheet1!DA65)</f>
        <v>0</v>
      </c>
      <c r="AI31" s="136">
        <f>IF(Sheet1!DB65="",0,Sheet1!DB65)</f>
        <v>0</v>
      </c>
      <c r="AJ31" s="136">
        <f>IF(Sheet1!DC65="",0,Sheet1!DC65)</f>
        <v>0</v>
      </c>
      <c r="AK31" s="136">
        <f>IF(Sheet1!DD65="",0,Sheet1!DD65)</f>
        <v>0</v>
      </c>
      <c r="AL31" s="136">
        <f>IF(Sheet1!DE65="",0,Sheet1!DE65)</f>
        <v>0</v>
      </c>
      <c r="AM31" s="136">
        <f>IF(Sheet1!DF65="",0,Sheet1!DF65)</f>
        <v>0</v>
      </c>
      <c r="AN31" s="136">
        <f>IF(Sheet1!DG65="",0,Sheet1!DG65)</f>
        <v>0</v>
      </c>
      <c r="AO31" s="136">
        <f>IF(Sheet1!DH65="",0,Sheet1!DH65)</f>
        <v>0</v>
      </c>
      <c r="AP31" s="136">
        <f>IF(Sheet1!DI65="",0,Sheet1!DI65)</f>
        <v>0</v>
      </c>
      <c r="AQ31" s="136">
        <f>IF(Sheet1!DJ65="",0,Sheet1!DJ65)</f>
        <v>0</v>
      </c>
      <c r="AR31" s="136">
        <f>IF(Sheet1!DK65="",0,Sheet1!DK65)</f>
        <v>0</v>
      </c>
      <c r="AS31" s="136">
        <f>IF(Sheet1!DL65="",0,Sheet1!DL65)</f>
        <v>0</v>
      </c>
      <c r="AT31" s="136">
        <f>IF(Sheet1!DM65="",0,Sheet1!DM65)</f>
        <v>0</v>
      </c>
      <c r="AU31" s="136">
        <f>IF(Sheet1!DN65="",0,Sheet1!DN65)</f>
        <v>0</v>
      </c>
      <c r="AV31" s="136">
        <f>IF(Sheet1!DO65="",0,Sheet1!DO65)</f>
        <v>0</v>
      </c>
      <c r="AW31">
        <f t="shared" si="1"/>
        <v>0</v>
      </c>
    </row>
    <row r="32" spans="1:49">
      <c r="A32" s="136" t="str">
        <f>Sheet1!B36</f>
        <v/>
      </c>
      <c r="B32" s="136" t="str">
        <f>IF(Sheet1!E36="","",Sheet1!E36)</f>
        <v/>
      </c>
      <c r="C32" s="136" t="str">
        <f>IF(Sheet1!P36="","",Sheet1!P36-Sheet1!FT66)</f>
        <v/>
      </c>
      <c r="D32" s="136" t="str">
        <f>IF(Sheet1!Q36="","",Sheet1!Q36)</f>
        <v/>
      </c>
      <c r="E32" s="136" t="str">
        <f>IF(Sheet1!R36="","",Sheet1!R36)</f>
        <v/>
      </c>
      <c r="F32" s="136" t="str">
        <f>IF(Sheet1!S36="","",Sheet1!S36)</f>
        <v/>
      </c>
      <c r="G32" s="136" t="str">
        <f>IF(Sheet1!T36="","",Sheet1!T36)</f>
        <v/>
      </c>
      <c r="H32" s="136" t="str">
        <f>IF(Sheet1!U36="","",Sheet1!U36)</f>
        <v/>
      </c>
      <c r="I32" s="136" t="str">
        <f>IF(Sheet1!V36="","",Sheet1!V36)</f>
        <v/>
      </c>
      <c r="J32" s="136" t="str">
        <f>IF(Sheet1!W36="","",Sheet1!W36)</f>
        <v/>
      </c>
      <c r="K32" s="136" t="str">
        <f>IF(Sheet1!X36="","",Sheet1!X36)</f>
        <v/>
      </c>
      <c r="L32" s="136" t="str">
        <f>IF(Sheet1!Y36="","",Sheet1!Y36)</f>
        <v/>
      </c>
      <c r="M32" s="136" t="str">
        <f>IF(Sheet1!Z36="","",Sheet1!Z36)</f>
        <v/>
      </c>
      <c r="N32" s="136" t="str">
        <f>IF(Sheet1!AA36="","",Sheet1!AA36)</f>
        <v/>
      </c>
      <c r="O32" s="136" t="e">
        <f t="shared" si="0"/>
        <v>#VALUE!</v>
      </c>
      <c r="P32" s="136">
        <f>IF(Sheet1!BR67="","",Sheet1!BR67)</f>
        <v>0</v>
      </c>
      <c r="Q32" s="136">
        <f>IF(B32="",0,IF(ISNUMBER(SEARCH("Yes",Sheet1!BD66)),75,100))</f>
        <v>0</v>
      </c>
      <c r="R32" s="136" t="str">
        <f>IF(Sheet1!AE36="","",Sheet1!AE36)</f>
        <v/>
      </c>
      <c r="S32" s="136" t="str">
        <f>IF(Sheet1!AU36="","",Sheet1!AU36)</f>
        <v/>
      </c>
      <c r="T32" s="136" t="str">
        <f>IF(Sheet1!J36="","",Sheet1!J36)</f>
        <v/>
      </c>
      <c r="U32" s="136" t="str">
        <f>IF(Sheet1!K36="","",Sheet1!K36)</f>
        <v/>
      </c>
      <c r="V32" s="136" t="str">
        <f>IF(Sheet1!L36="","",Sheet1!L36)</f>
        <v/>
      </c>
      <c r="W32" s="136" t="str">
        <f>IF(Sheet1!M36="","",Sheet1!M36)</f>
        <v/>
      </c>
      <c r="X32" s="136" t="str">
        <f>IF(Sheet1!N36="","",Sheet1!N36)</f>
        <v/>
      </c>
      <c r="Y32" s="136" t="str">
        <f>IF(Sheet1!O36="","",Sheet1!O36)</f>
        <v/>
      </c>
      <c r="Z32" s="136" t="str">
        <f>IF(Sheet1!G36="","",Sheet1!G36)</f>
        <v/>
      </c>
      <c r="AA32" s="136" t="str">
        <f>IF(Sheet1!F36="","",Sheet1!F36)</f>
        <v/>
      </c>
      <c r="AB32" s="136" t="str">
        <f>IF(Sheet1!E36="","",Sheet1!AP36)</f>
        <v/>
      </c>
      <c r="AC32" s="136">
        <f>IF(Sheet1!CV67="",0,Sheet1!CV67)</f>
        <v>0</v>
      </c>
      <c r="AD32" s="136">
        <f>IF(Sheet1!CW67="",0,Sheet1!CW67)</f>
        <v>0</v>
      </c>
      <c r="AE32" s="136">
        <f>IF(Sheet1!CX67="",0,Sheet1!CX67)</f>
        <v>0</v>
      </c>
      <c r="AF32" s="136">
        <f>IF(Sheet1!CY67="",0,Sheet1!CY67)</f>
        <v>0</v>
      </c>
      <c r="AG32" s="136">
        <f>IF(Sheet1!CZ67="",0,Sheet1!CZ67)</f>
        <v>0</v>
      </c>
      <c r="AH32" s="136">
        <f>IF(Sheet1!DA67="",0,Sheet1!DA67)</f>
        <v>0</v>
      </c>
      <c r="AI32" s="136">
        <f>IF(Sheet1!DB67="",0,Sheet1!DB67)</f>
        <v>0</v>
      </c>
      <c r="AJ32" s="136">
        <f>IF(Sheet1!DC67="",0,Sheet1!DC67)</f>
        <v>0</v>
      </c>
      <c r="AK32" s="136">
        <f>IF(Sheet1!DD67="",0,Sheet1!DD67)</f>
        <v>0</v>
      </c>
      <c r="AL32" s="136">
        <f>IF(Sheet1!DE67="",0,Sheet1!DE67)</f>
        <v>0</v>
      </c>
      <c r="AM32" s="136">
        <f>IF(Sheet1!DF67="",0,Sheet1!DF67)</f>
        <v>0</v>
      </c>
      <c r="AN32" s="136">
        <f>IF(Sheet1!DG67="",0,Sheet1!DG67)</f>
        <v>0</v>
      </c>
      <c r="AO32" s="136">
        <f>IF(Sheet1!DH67="",0,Sheet1!DH67)</f>
        <v>0</v>
      </c>
      <c r="AP32" s="136">
        <f>IF(Sheet1!DI67="",0,Sheet1!DI67)</f>
        <v>0</v>
      </c>
      <c r="AQ32" s="136">
        <f>IF(Sheet1!DJ67="",0,Sheet1!DJ67)</f>
        <v>0</v>
      </c>
      <c r="AR32" s="136">
        <f>IF(Sheet1!DK67="",0,Sheet1!DK67)</f>
        <v>0</v>
      </c>
      <c r="AS32" s="136">
        <f>IF(Sheet1!DL67="",0,Sheet1!DL67)</f>
        <v>0</v>
      </c>
      <c r="AT32" s="136">
        <f>IF(Sheet1!DM67="",0,Sheet1!DM67)</f>
        <v>0</v>
      </c>
      <c r="AU32" s="136">
        <f>IF(Sheet1!DN67="",0,Sheet1!DN67)</f>
        <v>0</v>
      </c>
      <c r="AV32" s="136">
        <f>IF(Sheet1!DO67="",0,Sheet1!DO67)</f>
        <v>0</v>
      </c>
      <c r="AW32">
        <f t="shared" si="1"/>
        <v>0</v>
      </c>
    </row>
    <row r="33" spans="1:49">
      <c r="A33" s="136" t="str">
        <f>Sheet1!B37</f>
        <v/>
      </c>
      <c r="B33" s="136" t="str">
        <f>IF(Sheet1!E37="","",Sheet1!E37)</f>
        <v/>
      </c>
      <c r="C33" s="136" t="str">
        <f>IF(Sheet1!P37="","",Sheet1!P37-Sheet1!FT68)</f>
        <v/>
      </c>
      <c r="D33" s="136" t="str">
        <f>IF(Sheet1!Q37="","",Sheet1!Q37)</f>
        <v/>
      </c>
      <c r="E33" s="136" t="str">
        <f>IF(Sheet1!R37="","",Sheet1!R37)</f>
        <v/>
      </c>
      <c r="F33" s="136" t="str">
        <f>IF(Sheet1!S37="","",Sheet1!S37)</f>
        <v/>
      </c>
      <c r="G33" s="136" t="str">
        <f>IF(Sheet1!T37="","",Sheet1!T37)</f>
        <v/>
      </c>
      <c r="H33" s="136" t="str">
        <f>IF(Sheet1!U37="","",Sheet1!U37)</f>
        <v/>
      </c>
      <c r="I33" s="136" t="str">
        <f>IF(Sheet1!V37="","",Sheet1!V37)</f>
        <v/>
      </c>
      <c r="J33" s="136" t="str">
        <f>IF(Sheet1!W37="","",Sheet1!W37)</f>
        <v/>
      </c>
      <c r="K33" s="136" t="str">
        <f>IF(Sheet1!X37="","",Sheet1!X37)</f>
        <v/>
      </c>
      <c r="L33" s="136" t="str">
        <f>IF(Sheet1!Y37="","",Sheet1!Y37)</f>
        <v/>
      </c>
      <c r="M33" s="136" t="str">
        <f>IF(Sheet1!Z37="","",Sheet1!Z37)</f>
        <v/>
      </c>
      <c r="N33" s="136" t="str">
        <f>IF(Sheet1!AA37="","",Sheet1!AA37)</f>
        <v/>
      </c>
      <c r="O33" s="136" t="e">
        <f t="shared" si="0"/>
        <v>#VALUE!</v>
      </c>
      <c r="P33" s="136">
        <f>IF(Sheet1!BR69="","",Sheet1!BR69)</f>
        <v>0</v>
      </c>
      <c r="Q33" s="136">
        <f>IF(B33="",0,IF(ISNUMBER(SEARCH("Yes",Sheet1!BD68)),75,100))</f>
        <v>0</v>
      </c>
      <c r="R33" s="136" t="str">
        <f>IF(Sheet1!AE37="","",Sheet1!AE37)</f>
        <v/>
      </c>
      <c r="S33" s="136" t="str">
        <f>IF(Sheet1!AU37="","",Sheet1!AU37)</f>
        <v/>
      </c>
      <c r="T33" s="136" t="str">
        <f>IF(Sheet1!J37="","",Sheet1!J37)</f>
        <v/>
      </c>
      <c r="U33" s="136" t="str">
        <f>IF(Sheet1!K37="","",Sheet1!K37)</f>
        <v/>
      </c>
      <c r="V33" s="136" t="str">
        <f>IF(Sheet1!L37="","",Sheet1!L37)</f>
        <v/>
      </c>
      <c r="W33" s="136" t="str">
        <f>IF(Sheet1!M37="","",Sheet1!M37)</f>
        <v/>
      </c>
      <c r="X33" s="136" t="str">
        <f>IF(Sheet1!N37="","",Sheet1!N37)</f>
        <v/>
      </c>
      <c r="Y33" s="136" t="str">
        <f>IF(Sheet1!O37="","",Sheet1!O37)</f>
        <v/>
      </c>
      <c r="Z33" s="136" t="str">
        <f>IF(Sheet1!G37="","",Sheet1!G37)</f>
        <v/>
      </c>
      <c r="AA33" s="136" t="str">
        <f>IF(Sheet1!F37="","",Sheet1!F37)</f>
        <v/>
      </c>
      <c r="AB33" s="136" t="str">
        <f>IF(Sheet1!E37="","",Sheet1!AP37)</f>
        <v/>
      </c>
      <c r="AC33" s="136">
        <f>IF(Sheet1!CV69="",0,Sheet1!CV69)</f>
        <v>0</v>
      </c>
      <c r="AD33" s="136">
        <f>IF(Sheet1!CW69="",0,Sheet1!CW69)</f>
        <v>0</v>
      </c>
      <c r="AE33" s="136">
        <f>IF(Sheet1!CX69="",0,Sheet1!CX69)</f>
        <v>0</v>
      </c>
      <c r="AF33" s="136">
        <f>IF(Sheet1!CY69="",0,Sheet1!CY69)</f>
        <v>0</v>
      </c>
      <c r="AG33" s="136">
        <f>IF(Sheet1!CZ69="",0,Sheet1!CZ69)</f>
        <v>0</v>
      </c>
      <c r="AH33" s="136">
        <f>IF(Sheet1!DA69="",0,Sheet1!DA69)</f>
        <v>0</v>
      </c>
      <c r="AI33" s="136">
        <f>IF(Sheet1!DB69="",0,Sheet1!DB69)</f>
        <v>0</v>
      </c>
      <c r="AJ33" s="136">
        <f>IF(Sheet1!DC69="",0,Sheet1!DC69)</f>
        <v>0</v>
      </c>
      <c r="AK33" s="136">
        <f>IF(Sheet1!DD69="",0,Sheet1!DD69)</f>
        <v>0</v>
      </c>
      <c r="AL33" s="136">
        <f>IF(Sheet1!DE69="",0,Sheet1!DE69)</f>
        <v>0</v>
      </c>
      <c r="AM33" s="136">
        <f>IF(Sheet1!DF69="",0,Sheet1!DF69)</f>
        <v>0</v>
      </c>
      <c r="AN33" s="136">
        <f>IF(Sheet1!DG69="",0,Sheet1!DG69)</f>
        <v>0</v>
      </c>
      <c r="AO33" s="136">
        <f>IF(Sheet1!DH69="",0,Sheet1!DH69)</f>
        <v>0</v>
      </c>
      <c r="AP33" s="136">
        <f>IF(Sheet1!DI69="",0,Sheet1!DI69)</f>
        <v>0</v>
      </c>
      <c r="AQ33" s="136">
        <f>IF(Sheet1!DJ69="",0,Sheet1!DJ69)</f>
        <v>0</v>
      </c>
      <c r="AR33" s="136">
        <f>IF(Sheet1!DK69="",0,Sheet1!DK69)</f>
        <v>0</v>
      </c>
      <c r="AS33" s="136">
        <f>IF(Sheet1!DL69="",0,Sheet1!DL69)</f>
        <v>0</v>
      </c>
      <c r="AT33" s="136">
        <f>IF(Sheet1!DM69="",0,Sheet1!DM69)</f>
        <v>0</v>
      </c>
      <c r="AU33" s="136">
        <f>IF(Sheet1!DN69="",0,Sheet1!DN69)</f>
        <v>0</v>
      </c>
      <c r="AV33" s="136">
        <f>IF(Sheet1!DO69="",0,Sheet1!DO69)</f>
        <v>0</v>
      </c>
      <c r="AW33">
        <f t="shared" si="1"/>
        <v>0</v>
      </c>
    </row>
    <row r="34" spans="1:49">
      <c r="A34" s="136" t="str">
        <f>Sheet1!B38</f>
        <v/>
      </c>
      <c r="B34" s="136" t="str">
        <f>IF(Sheet1!E38="","",Sheet1!E38)</f>
        <v/>
      </c>
      <c r="C34" s="136" t="str">
        <f>IF(Sheet1!P38="","",Sheet1!P38-Sheet1!FT70)</f>
        <v/>
      </c>
      <c r="D34" s="136" t="str">
        <f>IF(Sheet1!Q38="","",Sheet1!Q38)</f>
        <v/>
      </c>
      <c r="E34" s="136" t="str">
        <f>IF(Sheet1!R38="","",Sheet1!R38)</f>
        <v/>
      </c>
      <c r="F34" s="136" t="str">
        <f>IF(Sheet1!S38="","",Sheet1!S38)</f>
        <v/>
      </c>
      <c r="G34" s="136" t="str">
        <f>IF(Sheet1!T38="","",Sheet1!T38)</f>
        <v/>
      </c>
      <c r="H34" s="136" t="str">
        <f>IF(Sheet1!U38="","",Sheet1!U38)</f>
        <v/>
      </c>
      <c r="I34" s="136" t="str">
        <f>IF(Sheet1!V38="","",Sheet1!V38)</f>
        <v/>
      </c>
      <c r="J34" s="136" t="str">
        <f>IF(Sheet1!W38="","",Sheet1!W38)</f>
        <v/>
      </c>
      <c r="K34" s="136" t="str">
        <f>IF(Sheet1!X38="","",Sheet1!X38)</f>
        <v/>
      </c>
      <c r="L34" s="136" t="str">
        <f>IF(Sheet1!Y38="","",Sheet1!Y38)</f>
        <v/>
      </c>
      <c r="M34" s="136" t="str">
        <f>IF(Sheet1!Z38="","",Sheet1!Z38)</f>
        <v/>
      </c>
      <c r="N34" s="136" t="str">
        <f>IF(Sheet1!AA38="","",Sheet1!AA38)</f>
        <v/>
      </c>
      <c r="O34" s="136" t="e">
        <f t="shared" si="0"/>
        <v>#VALUE!</v>
      </c>
      <c r="P34" s="136">
        <f>IF(Sheet1!BR71="","",Sheet1!BR71)</f>
        <v>0</v>
      </c>
      <c r="Q34" s="136">
        <f>IF(B34="",0,IF(ISNUMBER(SEARCH("Yes",Sheet1!BD70)),75,100))</f>
        <v>0</v>
      </c>
      <c r="R34" s="136" t="str">
        <f>IF(Sheet1!AE38="","",Sheet1!AE38)</f>
        <v/>
      </c>
      <c r="S34" s="136" t="str">
        <f>IF(Sheet1!AU38="","",Sheet1!AU38)</f>
        <v/>
      </c>
      <c r="T34" s="136" t="str">
        <f>IF(Sheet1!J38="","",Sheet1!J38)</f>
        <v/>
      </c>
      <c r="U34" s="136" t="str">
        <f>IF(Sheet1!K38="","",Sheet1!K38)</f>
        <v/>
      </c>
      <c r="V34" s="136" t="str">
        <f>IF(Sheet1!L38="","",Sheet1!L38)</f>
        <v/>
      </c>
      <c r="W34" s="136" t="str">
        <f>IF(Sheet1!M38="","",Sheet1!M38)</f>
        <v/>
      </c>
      <c r="X34" s="136" t="str">
        <f>IF(Sheet1!N38="","",Sheet1!N38)</f>
        <v/>
      </c>
      <c r="Y34" s="136" t="str">
        <f>IF(Sheet1!O38="","",Sheet1!O38)</f>
        <v/>
      </c>
      <c r="Z34" s="136" t="str">
        <f>IF(Sheet1!G38="","",Sheet1!G38)</f>
        <v/>
      </c>
      <c r="AA34" s="136" t="str">
        <f>IF(Sheet1!F38="","",Sheet1!F38)</f>
        <v/>
      </c>
      <c r="AB34" s="136" t="str">
        <f>IF(Sheet1!E38="","",Sheet1!AP38)</f>
        <v/>
      </c>
      <c r="AC34" s="136">
        <f>IF(Sheet1!CV71="",0,Sheet1!CV71)</f>
        <v>0</v>
      </c>
      <c r="AD34" s="136">
        <f>IF(Sheet1!CW71="",0,Sheet1!CW71)</f>
        <v>0</v>
      </c>
      <c r="AE34" s="136">
        <f>IF(Sheet1!CX71="",0,Sheet1!CX71)</f>
        <v>0</v>
      </c>
      <c r="AF34" s="136">
        <f>IF(Sheet1!CY71="",0,Sheet1!CY71)</f>
        <v>0</v>
      </c>
      <c r="AG34" s="136">
        <f>IF(Sheet1!CZ71="",0,Sheet1!CZ71)</f>
        <v>0</v>
      </c>
      <c r="AH34" s="136">
        <f>IF(Sheet1!DA71="",0,Sheet1!DA71)</f>
        <v>0</v>
      </c>
      <c r="AI34" s="136">
        <f>IF(Sheet1!DB71="",0,Sheet1!DB71)</f>
        <v>0</v>
      </c>
      <c r="AJ34" s="136">
        <f>IF(Sheet1!DC71="",0,Sheet1!DC71)</f>
        <v>0</v>
      </c>
      <c r="AK34" s="136">
        <f>IF(Sheet1!DD71="",0,Sheet1!DD71)</f>
        <v>0</v>
      </c>
      <c r="AL34" s="136">
        <f>IF(Sheet1!DE71="",0,Sheet1!DE71)</f>
        <v>0</v>
      </c>
      <c r="AM34" s="136">
        <f>IF(Sheet1!DF71="",0,Sheet1!DF71)</f>
        <v>0</v>
      </c>
      <c r="AN34" s="136">
        <f>IF(Sheet1!DG71="",0,Sheet1!DG71)</f>
        <v>0</v>
      </c>
      <c r="AO34" s="136">
        <f>IF(Sheet1!DH71="",0,Sheet1!DH71)</f>
        <v>0</v>
      </c>
      <c r="AP34" s="136">
        <f>IF(Sheet1!DI71="",0,Sheet1!DI71)</f>
        <v>0</v>
      </c>
      <c r="AQ34" s="136">
        <f>IF(Sheet1!DJ71="",0,Sheet1!DJ71)</f>
        <v>0</v>
      </c>
      <c r="AR34" s="136">
        <f>IF(Sheet1!DK71="",0,Sheet1!DK71)</f>
        <v>0</v>
      </c>
      <c r="AS34" s="136">
        <f>IF(Sheet1!DL71="",0,Sheet1!DL71)</f>
        <v>0</v>
      </c>
      <c r="AT34" s="136">
        <f>IF(Sheet1!DM71="",0,Sheet1!DM71)</f>
        <v>0</v>
      </c>
      <c r="AU34" s="136">
        <f>IF(Sheet1!DN71="",0,Sheet1!DN71)</f>
        <v>0</v>
      </c>
      <c r="AV34" s="136">
        <f>IF(Sheet1!DO71="",0,Sheet1!DO71)</f>
        <v>0</v>
      </c>
      <c r="AW34">
        <f t="shared" si="1"/>
        <v>0</v>
      </c>
    </row>
    <row r="35" spans="1:49">
      <c r="A35" s="136" t="str">
        <f>Sheet1!B39</f>
        <v/>
      </c>
      <c r="B35" s="136" t="str">
        <f>IF(Sheet1!E39="","",Sheet1!E39)</f>
        <v/>
      </c>
      <c r="C35" s="136" t="str">
        <f>IF(Sheet1!P39="","",Sheet1!P39-Sheet1!FT72)</f>
        <v/>
      </c>
      <c r="D35" s="136" t="str">
        <f>IF(Sheet1!Q39="","",Sheet1!Q39)</f>
        <v/>
      </c>
      <c r="E35" s="136" t="str">
        <f>IF(Sheet1!R39="","",Sheet1!R39)</f>
        <v/>
      </c>
      <c r="F35" s="136" t="str">
        <f>IF(Sheet1!S39="","",Sheet1!S39)</f>
        <v/>
      </c>
      <c r="G35" s="136" t="str">
        <f>IF(Sheet1!T39="","",Sheet1!T39)</f>
        <v/>
      </c>
      <c r="H35" s="136" t="str">
        <f>IF(Sheet1!U39="","",Sheet1!U39)</f>
        <v/>
      </c>
      <c r="I35" s="136" t="str">
        <f>IF(Sheet1!V39="","",Sheet1!V39)</f>
        <v/>
      </c>
      <c r="J35" s="136" t="str">
        <f>IF(Sheet1!W39="","",Sheet1!W39)</f>
        <v/>
      </c>
      <c r="K35" s="136" t="str">
        <f>IF(Sheet1!X39="","",Sheet1!X39)</f>
        <v/>
      </c>
      <c r="L35" s="136" t="str">
        <f>IF(Sheet1!Y39="","",Sheet1!Y39)</f>
        <v/>
      </c>
      <c r="M35" s="136" t="str">
        <f>IF(Sheet1!Z39="","",Sheet1!Z39)</f>
        <v/>
      </c>
      <c r="N35" s="136" t="str">
        <f>IF(Sheet1!AA39="","",Sheet1!AA39)</f>
        <v/>
      </c>
      <c r="O35" s="136" t="e">
        <f t="shared" si="0"/>
        <v>#VALUE!</v>
      </c>
      <c r="P35" s="136">
        <f>IF(Sheet1!BR73="","",Sheet1!BR73)</f>
        <v>0</v>
      </c>
      <c r="Q35" s="136">
        <f>IF(B35="",0,IF(ISNUMBER(SEARCH("Yes",Sheet1!BD72)),75,100))</f>
        <v>0</v>
      </c>
      <c r="R35" s="136" t="str">
        <f>IF(Sheet1!AE39="","",Sheet1!AE39)</f>
        <v/>
      </c>
      <c r="S35" s="136" t="str">
        <f>IF(Sheet1!AU39="","",Sheet1!AU39)</f>
        <v/>
      </c>
      <c r="T35" s="136" t="str">
        <f>IF(Sheet1!J39="","",Sheet1!J39)</f>
        <v/>
      </c>
      <c r="U35" s="136" t="str">
        <f>IF(Sheet1!K39="","",Sheet1!K39)</f>
        <v/>
      </c>
      <c r="V35" s="136" t="str">
        <f>IF(Sheet1!L39="","",Sheet1!L39)</f>
        <v/>
      </c>
      <c r="W35" s="136" t="str">
        <f>IF(Sheet1!M39="","",Sheet1!M39)</f>
        <v/>
      </c>
      <c r="X35" s="136" t="str">
        <f>IF(Sheet1!N39="","",Sheet1!N39)</f>
        <v/>
      </c>
      <c r="Y35" s="136" t="str">
        <f>IF(Sheet1!O39="","",Sheet1!O39)</f>
        <v/>
      </c>
      <c r="Z35" s="136" t="str">
        <f>IF(Sheet1!G39="","",Sheet1!G39)</f>
        <v/>
      </c>
      <c r="AA35" s="136" t="str">
        <f>IF(Sheet1!F39="","",Sheet1!F39)</f>
        <v/>
      </c>
      <c r="AB35" s="136" t="str">
        <f>IF(Sheet1!E39="","",Sheet1!AP39)</f>
        <v/>
      </c>
      <c r="AC35" s="136">
        <f>IF(Sheet1!CV73="",0,Sheet1!CV73)</f>
        <v>0</v>
      </c>
      <c r="AD35" s="136">
        <f>IF(Sheet1!CW73="",0,Sheet1!CW73)</f>
        <v>0</v>
      </c>
      <c r="AE35" s="136">
        <f>IF(Sheet1!CX73="",0,Sheet1!CX73)</f>
        <v>0</v>
      </c>
      <c r="AF35" s="136">
        <f>IF(Sheet1!CY73="",0,Sheet1!CY73)</f>
        <v>0</v>
      </c>
      <c r="AG35" s="136">
        <f>IF(Sheet1!CZ73="",0,Sheet1!CZ73)</f>
        <v>0</v>
      </c>
      <c r="AH35" s="136">
        <f>IF(Sheet1!DA73="",0,Sheet1!DA73)</f>
        <v>0</v>
      </c>
      <c r="AI35" s="136">
        <f>IF(Sheet1!DB73="",0,Sheet1!DB73)</f>
        <v>0</v>
      </c>
      <c r="AJ35" s="136">
        <f>IF(Sheet1!DC73="",0,Sheet1!DC73)</f>
        <v>0</v>
      </c>
      <c r="AK35" s="136">
        <f>IF(Sheet1!DD73="",0,Sheet1!DD73)</f>
        <v>0</v>
      </c>
      <c r="AL35" s="136">
        <f>IF(Sheet1!DE73="",0,Sheet1!DE73)</f>
        <v>0</v>
      </c>
      <c r="AM35" s="136">
        <f>IF(Sheet1!DF73="",0,Sheet1!DF73)</f>
        <v>0</v>
      </c>
      <c r="AN35" s="136">
        <f>IF(Sheet1!DG73="",0,Sheet1!DG73)</f>
        <v>0</v>
      </c>
      <c r="AO35" s="136">
        <f>IF(Sheet1!DH73="",0,Sheet1!DH73)</f>
        <v>0</v>
      </c>
      <c r="AP35" s="136">
        <f>IF(Sheet1!DI73="",0,Sheet1!DI73)</f>
        <v>0</v>
      </c>
      <c r="AQ35" s="136">
        <f>IF(Sheet1!DJ73="",0,Sheet1!DJ73)</f>
        <v>0</v>
      </c>
      <c r="AR35" s="136">
        <f>IF(Sheet1!DK73="",0,Sheet1!DK73)</f>
        <v>0</v>
      </c>
      <c r="AS35" s="136">
        <f>IF(Sheet1!DL73="",0,Sheet1!DL73)</f>
        <v>0</v>
      </c>
      <c r="AT35" s="136">
        <f>IF(Sheet1!DM73="",0,Sheet1!DM73)</f>
        <v>0</v>
      </c>
      <c r="AU35" s="136">
        <f>IF(Sheet1!DN73="",0,Sheet1!DN73)</f>
        <v>0</v>
      </c>
      <c r="AV35" s="136">
        <f>IF(Sheet1!DO73="",0,Sheet1!DO73)</f>
        <v>0</v>
      </c>
      <c r="AW35">
        <f t="shared" si="1"/>
        <v>0</v>
      </c>
    </row>
    <row r="36" spans="1:49">
      <c r="A36" s="136" t="str">
        <f>Sheet1!B40</f>
        <v/>
      </c>
      <c r="B36" s="136" t="str">
        <f>IF(Sheet1!E40="","",Sheet1!E40)</f>
        <v/>
      </c>
      <c r="C36" s="136" t="str">
        <f>IF(Sheet1!P40="","",Sheet1!P40-Sheet1!FT74)</f>
        <v/>
      </c>
      <c r="D36" s="136" t="str">
        <f>IF(Sheet1!Q40="","",Sheet1!Q40)</f>
        <v/>
      </c>
      <c r="E36" s="136" t="str">
        <f>IF(Sheet1!R40="","",Sheet1!R40)</f>
        <v/>
      </c>
      <c r="F36" s="136" t="str">
        <f>IF(Sheet1!S40="","",Sheet1!S40)</f>
        <v/>
      </c>
      <c r="G36" s="136" t="str">
        <f>IF(Sheet1!T40="","",Sheet1!T40)</f>
        <v/>
      </c>
      <c r="H36" s="136" t="str">
        <f>IF(Sheet1!U40="","",Sheet1!U40)</f>
        <v/>
      </c>
      <c r="I36" s="136" t="str">
        <f>IF(Sheet1!V40="","",Sheet1!V40)</f>
        <v/>
      </c>
      <c r="J36" s="136" t="str">
        <f>IF(Sheet1!W40="","",Sheet1!W40)</f>
        <v/>
      </c>
      <c r="K36" s="136" t="str">
        <f>IF(Sheet1!X40="","",Sheet1!X40)</f>
        <v/>
      </c>
      <c r="L36" s="136" t="str">
        <f>IF(Sheet1!Y40="","",Sheet1!Y40)</f>
        <v/>
      </c>
      <c r="M36" s="136" t="str">
        <f>IF(Sheet1!Z40="","",Sheet1!Z40)</f>
        <v/>
      </c>
      <c r="N36" s="136" t="str">
        <f>IF(Sheet1!AA40="","",Sheet1!AA40)</f>
        <v/>
      </c>
      <c r="O36" s="136" t="e">
        <f t="shared" si="0"/>
        <v>#VALUE!</v>
      </c>
      <c r="P36" s="136">
        <f>IF(Sheet1!BR75="","",Sheet1!BR75)</f>
        <v>0</v>
      </c>
      <c r="Q36" s="136">
        <f>IF(B36="",0,IF(ISNUMBER(SEARCH("Yes",Sheet1!BD74)),75,100))</f>
        <v>0</v>
      </c>
      <c r="R36" s="136" t="str">
        <f>IF(Sheet1!AE40="","",Sheet1!AE40)</f>
        <v/>
      </c>
      <c r="S36" s="136" t="str">
        <f>IF(Sheet1!AU40="","",Sheet1!AU40)</f>
        <v/>
      </c>
      <c r="T36" s="136" t="str">
        <f>IF(Sheet1!J40="","",Sheet1!J40)</f>
        <v/>
      </c>
      <c r="U36" s="136" t="str">
        <f>IF(Sheet1!K40="","",Sheet1!K40)</f>
        <v/>
      </c>
      <c r="V36" s="136" t="str">
        <f>IF(Sheet1!L40="","",Sheet1!L40)</f>
        <v/>
      </c>
      <c r="W36" s="136" t="str">
        <f>IF(Sheet1!M40="","",Sheet1!M40)</f>
        <v/>
      </c>
      <c r="X36" s="136" t="str">
        <f>IF(Sheet1!N40="","",Sheet1!N40)</f>
        <v/>
      </c>
      <c r="Y36" s="136" t="str">
        <f>IF(Sheet1!O40="","",Sheet1!O40)</f>
        <v/>
      </c>
      <c r="Z36" s="136" t="str">
        <f>IF(Sheet1!G40="","",Sheet1!G40)</f>
        <v/>
      </c>
      <c r="AA36" s="136" t="str">
        <f>IF(Sheet1!F40="","",Sheet1!F40)</f>
        <v/>
      </c>
      <c r="AB36" s="136" t="str">
        <f>IF(Sheet1!E40="","",Sheet1!AP40)</f>
        <v/>
      </c>
      <c r="AC36" s="136">
        <f>IF(Sheet1!CV75="",0,Sheet1!CV75)</f>
        <v>0</v>
      </c>
      <c r="AD36" s="136">
        <f>IF(Sheet1!CW75="",0,Sheet1!CW75)</f>
        <v>0</v>
      </c>
      <c r="AE36" s="136">
        <f>IF(Sheet1!CX75="",0,Sheet1!CX75)</f>
        <v>0</v>
      </c>
      <c r="AF36" s="136">
        <f>IF(Sheet1!CY75="",0,Sheet1!CY75)</f>
        <v>0</v>
      </c>
      <c r="AG36" s="136">
        <f>IF(Sheet1!CZ75="",0,Sheet1!CZ75)</f>
        <v>0</v>
      </c>
      <c r="AH36" s="136">
        <f>IF(Sheet1!DA75="",0,Sheet1!DA75)</f>
        <v>0</v>
      </c>
      <c r="AI36" s="136">
        <f>IF(Sheet1!DB75="",0,Sheet1!DB75)</f>
        <v>0</v>
      </c>
      <c r="AJ36" s="136">
        <f>IF(Sheet1!DC75="",0,Sheet1!DC75)</f>
        <v>0</v>
      </c>
      <c r="AK36" s="136">
        <f>IF(Sheet1!DD75="",0,Sheet1!DD75)</f>
        <v>0</v>
      </c>
      <c r="AL36" s="136">
        <f>IF(Sheet1!DE75="",0,Sheet1!DE75)</f>
        <v>0</v>
      </c>
      <c r="AM36" s="136">
        <f>IF(Sheet1!DF75="",0,Sheet1!DF75)</f>
        <v>0</v>
      </c>
      <c r="AN36" s="136">
        <f>IF(Sheet1!DG75="",0,Sheet1!DG75)</f>
        <v>0</v>
      </c>
      <c r="AO36" s="136">
        <f>IF(Sheet1!DH75="",0,Sheet1!DH75)</f>
        <v>0</v>
      </c>
      <c r="AP36" s="136">
        <f>IF(Sheet1!DI75="",0,Sheet1!DI75)</f>
        <v>0</v>
      </c>
      <c r="AQ36" s="136">
        <f>IF(Sheet1!DJ75="",0,Sheet1!DJ75)</f>
        <v>0</v>
      </c>
      <c r="AR36" s="136">
        <f>IF(Sheet1!DK75="",0,Sheet1!DK75)</f>
        <v>0</v>
      </c>
      <c r="AS36" s="136">
        <f>IF(Sheet1!DL75="",0,Sheet1!DL75)</f>
        <v>0</v>
      </c>
      <c r="AT36" s="136">
        <f>IF(Sheet1!DM75="",0,Sheet1!DM75)</f>
        <v>0</v>
      </c>
      <c r="AU36" s="136">
        <f>IF(Sheet1!DN75="",0,Sheet1!DN75)</f>
        <v>0</v>
      </c>
      <c r="AV36" s="136">
        <f>IF(Sheet1!DO75="",0,Sheet1!DO75)</f>
        <v>0</v>
      </c>
      <c r="AW36">
        <f t="shared" si="1"/>
        <v>0</v>
      </c>
    </row>
    <row r="37" spans="1:49">
      <c r="A37" s="136" t="str">
        <f>Sheet1!B41</f>
        <v/>
      </c>
      <c r="B37" s="136" t="str">
        <f>IF(Sheet1!E41="","",Sheet1!E41)</f>
        <v/>
      </c>
      <c r="C37" s="136" t="str">
        <f>IF(Sheet1!P41="","",Sheet1!P41-Sheet1!FT76)</f>
        <v/>
      </c>
      <c r="D37" s="136" t="str">
        <f>IF(Sheet1!Q41="","",Sheet1!Q41)</f>
        <v/>
      </c>
      <c r="E37" s="136" t="str">
        <f>IF(Sheet1!R41="","",Sheet1!R41)</f>
        <v/>
      </c>
      <c r="F37" s="136" t="str">
        <f>IF(Sheet1!S41="","",Sheet1!S41)</f>
        <v/>
      </c>
      <c r="G37" s="136" t="str">
        <f>IF(Sheet1!T41="","",Sheet1!T41)</f>
        <v/>
      </c>
      <c r="H37" s="136" t="str">
        <f>IF(Sheet1!U41="","",Sheet1!U41)</f>
        <v/>
      </c>
      <c r="I37" s="136" t="str">
        <f>IF(Sheet1!V41="","",Sheet1!V41)</f>
        <v/>
      </c>
      <c r="J37" s="136" t="str">
        <f>IF(Sheet1!W41="","",Sheet1!W41)</f>
        <v/>
      </c>
      <c r="K37" s="136" t="str">
        <f>IF(Sheet1!X41="","",Sheet1!X41)</f>
        <v/>
      </c>
      <c r="L37" s="136" t="str">
        <f>IF(Sheet1!Y41="","",Sheet1!Y41)</f>
        <v/>
      </c>
      <c r="M37" s="136" t="str">
        <f>IF(Sheet1!Z41="","",Sheet1!Z41)</f>
        <v/>
      </c>
      <c r="N37" s="136" t="str">
        <f>IF(Sheet1!AA41="","",Sheet1!AA41)</f>
        <v/>
      </c>
      <c r="O37" s="136" t="e">
        <f t="shared" si="0"/>
        <v>#VALUE!</v>
      </c>
      <c r="P37" s="136">
        <f>IF(Sheet1!BR77="","",Sheet1!BR77)</f>
        <v>0</v>
      </c>
      <c r="Q37" s="136">
        <f>IF(B37="",0,IF(ISNUMBER(SEARCH("Yes",Sheet1!BD76)),75,100))</f>
        <v>0</v>
      </c>
      <c r="R37" s="136" t="str">
        <f>IF(Sheet1!AE41="","",Sheet1!AE41)</f>
        <v/>
      </c>
      <c r="S37" s="136" t="str">
        <f>IF(Sheet1!AU41="","",Sheet1!AU41)</f>
        <v/>
      </c>
      <c r="T37" s="136" t="str">
        <f>IF(Sheet1!J41="","",Sheet1!J41)</f>
        <v/>
      </c>
      <c r="U37" s="136" t="str">
        <f>IF(Sheet1!K41="","",Sheet1!K41)</f>
        <v/>
      </c>
      <c r="V37" s="136" t="str">
        <f>IF(Sheet1!L41="","",Sheet1!L41)</f>
        <v/>
      </c>
      <c r="W37" s="136" t="str">
        <f>IF(Sheet1!M41="","",Sheet1!M41)</f>
        <v/>
      </c>
      <c r="X37" s="136" t="str">
        <f>IF(Sheet1!N41="","",Sheet1!N41)</f>
        <v/>
      </c>
      <c r="Y37" s="136" t="str">
        <f>IF(Sheet1!O41="","",Sheet1!O41)</f>
        <v/>
      </c>
      <c r="Z37" s="136" t="str">
        <f>IF(Sheet1!G41="","",Sheet1!G41)</f>
        <v/>
      </c>
      <c r="AA37" s="136" t="str">
        <f>IF(Sheet1!F41="","",Sheet1!F41)</f>
        <v/>
      </c>
      <c r="AB37" s="136" t="str">
        <f>IF(Sheet1!E41="","",Sheet1!AP41)</f>
        <v/>
      </c>
      <c r="AC37" s="136">
        <f>IF(Sheet1!CV77="",0,Sheet1!CV77)</f>
        <v>0</v>
      </c>
      <c r="AD37" s="136">
        <f>IF(Sheet1!CW77="",0,Sheet1!CW77)</f>
        <v>0</v>
      </c>
      <c r="AE37" s="136">
        <f>IF(Sheet1!CX77="",0,Sheet1!CX77)</f>
        <v>0</v>
      </c>
      <c r="AF37" s="136">
        <f>IF(Sheet1!CY77="",0,Sheet1!CY77)</f>
        <v>0</v>
      </c>
      <c r="AG37" s="136">
        <f>IF(Sheet1!CZ77="",0,Sheet1!CZ77)</f>
        <v>0</v>
      </c>
      <c r="AH37" s="136">
        <f>IF(Sheet1!DA77="",0,Sheet1!DA77)</f>
        <v>0</v>
      </c>
      <c r="AI37" s="136">
        <f>IF(Sheet1!DB77="",0,Sheet1!DB77)</f>
        <v>0</v>
      </c>
      <c r="AJ37" s="136">
        <f>IF(Sheet1!DC77="",0,Sheet1!DC77)</f>
        <v>0</v>
      </c>
      <c r="AK37" s="136">
        <f>IF(Sheet1!DD77="",0,Sheet1!DD77)</f>
        <v>0</v>
      </c>
      <c r="AL37" s="136">
        <f>IF(Sheet1!DE77="",0,Sheet1!DE77)</f>
        <v>0</v>
      </c>
      <c r="AM37" s="136">
        <f>IF(Sheet1!DF77="",0,Sheet1!DF77)</f>
        <v>0</v>
      </c>
      <c r="AN37" s="136">
        <f>IF(Sheet1!DG77="",0,Sheet1!DG77)</f>
        <v>0</v>
      </c>
      <c r="AO37" s="136">
        <f>IF(Sheet1!DH77="",0,Sheet1!DH77)</f>
        <v>0</v>
      </c>
      <c r="AP37" s="136">
        <f>IF(Sheet1!DI77="",0,Sheet1!DI77)</f>
        <v>0</v>
      </c>
      <c r="AQ37" s="136">
        <f>IF(Sheet1!DJ77="",0,Sheet1!DJ77)</f>
        <v>0</v>
      </c>
      <c r="AR37" s="136">
        <f>IF(Sheet1!DK77="",0,Sheet1!DK77)</f>
        <v>0</v>
      </c>
      <c r="AS37" s="136">
        <f>IF(Sheet1!DL77="",0,Sheet1!DL77)</f>
        <v>0</v>
      </c>
      <c r="AT37" s="136">
        <f>IF(Sheet1!DM77="",0,Sheet1!DM77)</f>
        <v>0</v>
      </c>
      <c r="AU37" s="136">
        <f>IF(Sheet1!DN77="",0,Sheet1!DN77)</f>
        <v>0</v>
      </c>
      <c r="AV37" s="136">
        <f>IF(Sheet1!DO77="",0,Sheet1!DO77)</f>
        <v>0</v>
      </c>
      <c r="AW37">
        <f t="shared" si="1"/>
        <v>0</v>
      </c>
    </row>
    <row r="38" spans="1:49">
      <c r="A38" s="136" t="str">
        <f>Sheet1!B42</f>
        <v/>
      </c>
      <c r="B38" s="136" t="str">
        <f>IF(Sheet1!E42="","",Sheet1!E42)</f>
        <v/>
      </c>
      <c r="C38" s="136" t="str">
        <f>IF(Sheet1!P42="","",Sheet1!P42-Sheet1!FT78)</f>
        <v/>
      </c>
      <c r="D38" s="136" t="str">
        <f>IF(Sheet1!Q42="","",Sheet1!Q42)</f>
        <v/>
      </c>
      <c r="E38" s="136" t="str">
        <f>IF(Sheet1!R42="","",Sheet1!R42)</f>
        <v/>
      </c>
      <c r="F38" s="136" t="str">
        <f>IF(Sheet1!S42="","",Sheet1!S42)</f>
        <v/>
      </c>
      <c r="G38" s="136" t="str">
        <f>IF(Sheet1!T42="","",Sheet1!T42)</f>
        <v/>
      </c>
      <c r="H38" s="136" t="str">
        <f>IF(Sheet1!U42="","",Sheet1!U42)</f>
        <v/>
      </c>
      <c r="I38" s="136" t="str">
        <f>IF(Sheet1!V42="","",Sheet1!V42)</f>
        <v/>
      </c>
      <c r="J38" s="136" t="str">
        <f>IF(Sheet1!W42="","",Sheet1!W42)</f>
        <v/>
      </c>
      <c r="K38" s="136" t="str">
        <f>IF(Sheet1!X42="","",Sheet1!X42)</f>
        <v/>
      </c>
      <c r="L38" s="136" t="str">
        <f>IF(Sheet1!Y42="","",Sheet1!Y42)</f>
        <v/>
      </c>
      <c r="M38" s="136" t="str">
        <f>IF(Sheet1!Z42="","",Sheet1!Z42)</f>
        <v/>
      </c>
      <c r="N38" s="136" t="str">
        <f>IF(Sheet1!AA42="","",Sheet1!AA42)</f>
        <v/>
      </c>
      <c r="O38" s="136" t="e">
        <f t="shared" si="0"/>
        <v>#VALUE!</v>
      </c>
      <c r="P38" s="136">
        <f>IF(Sheet1!BR79="","",Sheet1!BR79)</f>
        <v>0</v>
      </c>
      <c r="Q38" s="136">
        <f>IF(B38="",0,IF(ISNUMBER(SEARCH("Yes",Sheet1!BD78)),75,100))</f>
        <v>0</v>
      </c>
      <c r="R38" s="136" t="str">
        <f>IF(Sheet1!AE42="","",Sheet1!AE42)</f>
        <v/>
      </c>
      <c r="S38" s="136" t="str">
        <f>IF(Sheet1!AU42="","",Sheet1!AU42)</f>
        <v/>
      </c>
      <c r="T38" s="136" t="str">
        <f>IF(Sheet1!J42="","",Sheet1!J42)</f>
        <v/>
      </c>
      <c r="U38" s="136" t="str">
        <f>IF(Sheet1!K42="","",Sheet1!K42)</f>
        <v/>
      </c>
      <c r="V38" s="136" t="str">
        <f>IF(Sheet1!L42="","",Sheet1!L42)</f>
        <v/>
      </c>
      <c r="W38" s="136" t="str">
        <f>IF(Sheet1!M42="","",Sheet1!M42)</f>
        <v/>
      </c>
      <c r="X38" s="136" t="str">
        <f>IF(Sheet1!N42="","",Sheet1!N42)</f>
        <v/>
      </c>
      <c r="Y38" s="136" t="str">
        <f>IF(Sheet1!O42="","",Sheet1!O42)</f>
        <v/>
      </c>
      <c r="Z38" s="136" t="str">
        <f>IF(Sheet1!G42="","",Sheet1!G42)</f>
        <v/>
      </c>
      <c r="AA38" s="136" t="str">
        <f>IF(Sheet1!F42="","",Sheet1!F42)</f>
        <v/>
      </c>
      <c r="AB38" s="136" t="str">
        <f>IF(Sheet1!E42="","",Sheet1!AP42)</f>
        <v/>
      </c>
      <c r="AC38" s="136">
        <f>IF(Sheet1!CV79="",0,Sheet1!CV79)</f>
        <v>0</v>
      </c>
      <c r="AD38" s="136">
        <f>IF(Sheet1!CW79="",0,Sheet1!CW79)</f>
        <v>0</v>
      </c>
      <c r="AE38" s="136">
        <f>IF(Sheet1!CX79="",0,Sheet1!CX79)</f>
        <v>0</v>
      </c>
      <c r="AF38" s="136">
        <f>IF(Sheet1!CY79="",0,Sheet1!CY79)</f>
        <v>0</v>
      </c>
      <c r="AG38" s="136">
        <f>IF(Sheet1!CZ79="",0,Sheet1!CZ79)</f>
        <v>0</v>
      </c>
      <c r="AH38" s="136">
        <f>IF(Sheet1!DA79="",0,Sheet1!DA79)</f>
        <v>0</v>
      </c>
      <c r="AI38" s="136">
        <f>IF(Sheet1!DB79="",0,Sheet1!DB79)</f>
        <v>0</v>
      </c>
      <c r="AJ38" s="136">
        <f>IF(Sheet1!DC79="",0,Sheet1!DC79)</f>
        <v>0</v>
      </c>
      <c r="AK38" s="136">
        <f>IF(Sheet1!DD79="",0,Sheet1!DD79)</f>
        <v>0</v>
      </c>
      <c r="AL38" s="136">
        <f>IF(Sheet1!DE79="",0,Sheet1!DE79)</f>
        <v>0</v>
      </c>
      <c r="AM38" s="136">
        <f>IF(Sheet1!DF79="",0,Sheet1!DF79)</f>
        <v>0</v>
      </c>
      <c r="AN38" s="136">
        <f>IF(Sheet1!DG79="",0,Sheet1!DG79)</f>
        <v>0</v>
      </c>
      <c r="AO38" s="136">
        <f>IF(Sheet1!DH79="",0,Sheet1!DH79)</f>
        <v>0</v>
      </c>
      <c r="AP38" s="136">
        <f>IF(Sheet1!DI79="",0,Sheet1!DI79)</f>
        <v>0</v>
      </c>
      <c r="AQ38" s="136">
        <f>IF(Sheet1!DJ79="",0,Sheet1!DJ79)</f>
        <v>0</v>
      </c>
      <c r="AR38" s="136">
        <f>IF(Sheet1!DK79="",0,Sheet1!DK79)</f>
        <v>0</v>
      </c>
      <c r="AS38" s="136">
        <f>IF(Sheet1!DL79="",0,Sheet1!DL79)</f>
        <v>0</v>
      </c>
      <c r="AT38" s="136">
        <f>IF(Sheet1!DM79="",0,Sheet1!DM79)</f>
        <v>0</v>
      </c>
      <c r="AU38" s="136">
        <f>IF(Sheet1!DN79="",0,Sheet1!DN79)</f>
        <v>0</v>
      </c>
      <c r="AV38" s="136">
        <f>IF(Sheet1!DO79="",0,Sheet1!DO79)</f>
        <v>0</v>
      </c>
      <c r="AW38">
        <f t="shared" si="1"/>
        <v>0</v>
      </c>
    </row>
    <row r="39" spans="1:49">
      <c r="A39" s="136" t="str">
        <f>Sheet1!B43</f>
        <v/>
      </c>
      <c r="B39" s="136" t="str">
        <f>IF(Sheet1!E43="","",Sheet1!E43)</f>
        <v/>
      </c>
      <c r="C39" s="136" t="str">
        <f>IF(Sheet1!P43="","",Sheet1!P43-Sheet1!FT80)</f>
        <v/>
      </c>
      <c r="D39" s="136" t="str">
        <f>IF(Sheet1!Q43="","",Sheet1!Q43)</f>
        <v/>
      </c>
      <c r="E39" s="136" t="str">
        <f>IF(Sheet1!R43="","",Sheet1!R43)</f>
        <v/>
      </c>
      <c r="F39" s="136" t="str">
        <f>IF(Sheet1!S43="","",Sheet1!S43)</f>
        <v/>
      </c>
      <c r="G39" s="136" t="str">
        <f>IF(Sheet1!T43="","",Sheet1!T43)</f>
        <v/>
      </c>
      <c r="H39" s="136" t="str">
        <f>IF(Sheet1!U43="","",Sheet1!U43)</f>
        <v/>
      </c>
      <c r="I39" s="136" t="str">
        <f>IF(Sheet1!V43="","",Sheet1!V43)</f>
        <v/>
      </c>
      <c r="J39" s="136" t="str">
        <f>IF(Sheet1!W43="","",Sheet1!W43)</f>
        <v/>
      </c>
      <c r="K39" s="136" t="str">
        <f>IF(Sheet1!X43="","",Sheet1!X43)</f>
        <v/>
      </c>
      <c r="L39" s="136" t="str">
        <f>IF(Sheet1!Y43="","",Sheet1!Y43)</f>
        <v/>
      </c>
      <c r="M39" s="136" t="str">
        <f>IF(Sheet1!Z43="","",Sheet1!Z43)</f>
        <v/>
      </c>
      <c r="N39" s="136" t="str">
        <f>IF(Sheet1!AA43="","",Sheet1!AA43)</f>
        <v/>
      </c>
      <c r="O39" s="136" t="e">
        <f t="shared" si="0"/>
        <v>#VALUE!</v>
      </c>
      <c r="P39" s="136">
        <f>IF(Sheet1!BR81="","",Sheet1!BR81)</f>
        <v>0</v>
      </c>
      <c r="Q39" s="136">
        <f>IF(B39="",0,IF(ISNUMBER(SEARCH("Yes",Sheet1!BD80)),75,100))</f>
        <v>0</v>
      </c>
      <c r="R39" s="136" t="str">
        <f>IF(Sheet1!AE43="","",Sheet1!AE43)</f>
        <v/>
      </c>
      <c r="S39" s="136" t="str">
        <f>IF(Sheet1!AU43="","",Sheet1!AU43)</f>
        <v/>
      </c>
      <c r="T39" s="136" t="str">
        <f>IF(Sheet1!J43="","",Sheet1!J43)</f>
        <v/>
      </c>
      <c r="U39" s="136" t="str">
        <f>IF(Sheet1!K43="","",Sheet1!K43)</f>
        <v/>
      </c>
      <c r="V39" s="136" t="str">
        <f>IF(Sheet1!L43="","",Sheet1!L43)</f>
        <v/>
      </c>
      <c r="W39" s="136" t="str">
        <f>IF(Sheet1!M43="","",Sheet1!M43)</f>
        <v/>
      </c>
      <c r="X39" s="136" t="str">
        <f>IF(Sheet1!N43="","",Sheet1!N43)</f>
        <v/>
      </c>
      <c r="Y39" s="136" t="str">
        <f>IF(Sheet1!O43="","",Sheet1!O43)</f>
        <v/>
      </c>
      <c r="Z39" s="136" t="str">
        <f>IF(Sheet1!G43="","",Sheet1!G43)</f>
        <v/>
      </c>
      <c r="AA39" s="136" t="str">
        <f>IF(Sheet1!F43="","",Sheet1!F43)</f>
        <v/>
      </c>
      <c r="AB39" s="136" t="str">
        <f>IF(Sheet1!E43="","",Sheet1!AP43)</f>
        <v/>
      </c>
      <c r="AC39" s="136">
        <f>IF(Sheet1!CV81="",0,Sheet1!CV81)</f>
        <v>0</v>
      </c>
      <c r="AD39" s="136">
        <f>IF(Sheet1!CW81="",0,Sheet1!CW81)</f>
        <v>0</v>
      </c>
      <c r="AE39" s="136">
        <f>IF(Sheet1!CX81="",0,Sheet1!CX81)</f>
        <v>0</v>
      </c>
      <c r="AF39" s="136">
        <f>IF(Sheet1!CY81="",0,Sheet1!CY81)</f>
        <v>0</v>
      </c>
      <c r="AG39" s="136">
        <f>IF(Sheet1!CZ81="",0,Sheet1!CZ81)</f>
        <v>0</v>
      </c>
      <c r="AH39" s="136">
        <f>IF(Sheet1!DA81="",0,Sheet1!DA81)</f>
        <v>0</v>
      </c>
      <c r="AI39" s="136">
        <f>IF(Sheet1!DB81="",0,Sheet1!DB81)</f>
        <v>0</v>
      </c>
      <c r="AJ39" s="136">
        <f>IF(Sheet1!DC81="",0,Sheet1!DC81)</f>
        <v>0</v>
      </c>
      <c r="AK39" s="136">
        <f>IF(Sheet1!DD81="",0,Sheet1!DD81)</f>
        <v>0</v>
      </c>
      <c r="AL39" s="136">
        <f>IF(Sheet1!DE81="",0,Sheet1!DE81)</f>
        <v>0</v>
      </c>
      <c r="AM39" s="136">
        <f>IF(Sheet1!DF81="",0,Sheet1!DF81)</f>
        <v>0</v>
      </c>
      <c r="AN39" s="136">
        <f>IF(Sheet1!DG81="",0,Sheet1!DG81)</f>
        <v>0</v>
      </c>
      <c r="AO39" s="136">
        <f>IF(Sheet1!DH81="",0,Sheet1!DH81)</f>
        <v>0</v>
      </c>
      <c r="AP39" s="136">
        <f>IF(Sheet1!DI81="",0,Sheet1!DI81)</f>
        <v>0</v>
      </c>
      <c r="AQ39" s="136">
        <f>IF(Sheet1!DJ81="",0,Sheet1!DJ81)</f>
        <v>0</v>
      </c>
      <c r="AR39" s="136">
        <f>IF(Sheet1!DK81="",0,Sheet1!DK81)</f>
        <v>0</v>
      </c>
      <c r="AS39" s="136">
        <f>IF(Sheet1!DL81="",0,Sheet1!DL81)</f>
        <v>0</v>
      </c>
      <c r="AT39" s="136">
        <f>IF(Sheet1!DM81="",0,Sheet1!DM81)</f>
        <v>0</v>
      </c>
      <c r="AU39" s="136">
        <f>IF(Sheet1!DN81="",0,Sheet1!DN81)</f>
        <v>0</v>
      </c>
      <c r="AV39" s="136">
        <f>IF(Sheet1!DO81="",0,Sheet1!DO81)</f>
        <v>0</v>
      </c>
      <c r="AW39">
        <f t="shared" si="1"/>
        <v>0</v>
      </c>
    </row>
    <row r="40" spans="1:49">
      <c r="A40" s="136" t="str">
        <f>Sheet1!B44</f>
        <v/>
      </c>
      <c r="B40" s="136" t="str">
        <f>IF(Sheet1!E44="","",Sheet1!E44)</f>
        <v/>
      </c>
      <c r="C40" s="136" t="str">
        <f>IF(Sheet1!P44="","",Sheet1!P44-Sheet1!FT82)</f>
        <v/>
      </c>
      <c r="D40" s="136" t="str">
        <f>IF(Sheet1!Q44="","",Sheet1!Q44)</f>
        <v/>
      </c>
      <c r="E40" s="136" t="str">
        <f>IF(Sheet1!R44="","",Sheet1!R44)</f>
        <v/>
      </c>
      <c r="F40" s="136" t="str">
        <f>IF(Sheet1!S44="","",Sheet1!S44)</f>
        <v/>
      </c>
      <c r="G40" s="136" t="str">
        <f>IF(Sheet1!T44="","",Sheet1!T44)</f>
        <v/>
      </c>
      <c r="H40" s="136" t="str">
        <f>IF(Sheet1!U44="","",Sheet1!U44)</f>
        <v/>
      </c>
      <c r="I40" s="136" t="str">
        <f>IF(Sheet1!V44="","",Sheet1!V44)</f>
        <v/>
      </c>
      <c r="J40" s="136" t="str">
        <f>IF(Sheet1!W44="","",Sheet1!W44)</f>
        <v/>
      </c>
      <c r="K40" s="136" t="str">
        <f>IF(Sheet1!X44="","",Sheet1!X44)</f>
        <v/>
      </c>
      <c r="L40" s="136" t="str">
        <f>IF(Sheet1!Y44="","",Sheet1!Y44)</f>
        <v/>
      </c>
      <c r="M40" s="136" t="str">
        <f>IF(Sheet1!Z44="","",Sheet1!Z44)</f>
        <v/>
      </c>
      <c r="N40" s="136" t="str">
        <f>IF(Sheet1!AA44="","",Sheet1!AA44)</f>
        <v/>
      </c>
      <c r="O40" s="136" t="e">
        <f t="shared" si="0"/>
        <v>#VALUE!</v>
      </c>
      <c r="P40" s="136">
        <f>IF(Sheet1!BR83="","",Sheet1!BR83)</f>
        <v>0</v>
      </c>
      <c r="Q40" s="136">
        <f>IF(B40="",0,IF(ISNUMBER(SEARCH("Yes",Sheet1!BD82)),75,100))</f>
        <v>0</v>
      </c>
      <c r="R40" s="136" t="str">
        <f>IF(Sheet1!AE44="","",Sheet1!AE44)</f>
        <v/>
      </c>
      <c r="S40" s="136" t="str">
        <f>IF(Sheet1!AU44="","",Sheet1!AU44)</f>
        <v/>
      </c>
      <c r="T40" s="136" t="str">
        <f>IF(Sheet1!J44="","",Sheet1!J44)</f>
        <v/>
      </c>
      <c r="U40" s="136" t="str">
        <f>IF(Sheet1!K44="","",Sheet1!K44)</f>
        <v/>
      </c>
      <c r="V40" s="136" t="str">
        <f>IF(Sheet1!L44="","",Sheet1!L44)</f>
        <v/>
      </c>
      <c r="W40" s="136" t="str">
        <f>IF(Sheet1!M44="","",Sheet1!M44)</f>
        <v/>
      </c>
      <c r="X40" s="136" t="str">
        <f>IF(Sheet1!N44="","",Sheet1!N44)</f>
        <v/>
      </c>
      <c r="Y40" s="136" t="str">
        <f>IF(Sheet1!O44="","",Sheet1!O44)</f>
        <v/>
      </c>
      <c r="Z40" s="136" t="str">
        <f>IF(Sheet1!G44="","",Sheet1!G44)</f>
        <v/>
      </c>
      <c r="AA40" s="136" t="str">
        <f>IF(Sheet1!F44="","",Sheet1!F44)</f>
        <v/>
      </c>
      <c r="AB40" s="136" t="str">
        <f>IF(Sheet1!E44="","",Sheet1!AP44)</f>
        <v/>
      </c>
      <c r="AC40" s="136">
        <f>IF(Sheet1!CV83="",0,Sheet1!CV83)</f>
        <v>0</v>
      </c>
      <c r="AD40" s="136">
        <f>IF(Sheet1!CW83="",0,Sheet1!CW83)</f>
        <v>0</v>
      </c>
      <c r="AE40" s="136">
        <f>IF(Sheet1!CX83="",0,Sheet1!CX83)</f>
        <v>0</v>
      </c>
      <c r="AF40" s="136">
        <f>IF(Sheet1!CY83="",0,Sheet1!CY83)</f>
        <v>0</v>
      </c>
      <c r="AG40" s="136">
        <f>IF(Sheet1!CZ83="",0,Sheet1!CZ83)</f>
        <v>0</v>
      </c>
      <c r="AH40" s="136">
        <f>IF(Sheet1!DA83="",0,Sheet1!DA83)</f>
        <v>0</v>
      </c>
      <c r="AI40" s="136">
        <f>IF(Sheet1!DB83="",0,Sheet1!DB83)</f>
        <v>0</v>
      </c>
      <c r="AJ40" s="136">
        <f>IF(Sheet1!DC83="",0,Sheet1!DC83)</f>
        <v>0</v>
      </c>
      <c r="AK40" s="136">
        <f>IF(Sheet1!DD83="",0,Sheet1!DD83)</f>
        <v>0</v>
      </c>
      <c r="AL40" s="136">
        <f>IF(Sheet1!DE83="",0,Sheet1!DE83)</f>
        <v>0</v>
      </c>
      <c r="AM40" s="136">
        <f>IF(Sheet1!DF83="",0,Sheet1!DF83)</f>
        <v>0</v>
      </c>
      <c r="AN40" s="136">
        <f>IF(Sheet1!DG83="",0,Sheet1!DG83)</f>
        <v>0</v>
      </c>
      <c r="AO40" s="136">
        <f>IF(Sheet1!DH83="",0,Sheet1!DH83)</f>
        <v>0</v>
      </c>
      <c r="AP40" s="136">
        <f>IF(Sheet1!DI83="",0,Sheet1!DI83)</f>
        <v>0</v>
      </c>
      <c r="AQ40" s="136">
        <f>IF(Sheet1!DJ83="",0,Sheet1!DJ83)</f>
        <v>0</v>
      </c>
      <c r="AR40" s="136">
        <f>IF(Sheet1!DK83="",0,Sheet1!DK83)</f>
        <v>0</v>
      </c>
      <c r="AS40" s="136">
        <f>IF(Sheet1!DL83="",0,Sheet1!DL83)</f>
        <v>0</v>
      </c>
      <c r="AT40" s="136">
        <f>IF(Sheet1!DM83="",0,Sheet1!DM83)</f>
        <v>0</v>
      </c>
      <c r="AU40" s="136">
        <f>IF(Sheet1!DN83="",0,Sheet1!DN83)</f>
        <v>0</v>
      </c>
      <c r="AV40" s="136">
        <f>IF(Sheet1!DO83="",0,Sheet1!DO83)</f>
        <v>0</v>
      </c>
      <c r="AW40">
        <f t="shared" si="1"/>
        <v>0</v>
      </c>
    </row>
    <row r="41" spans="1:49">
      <c r="A41" s="136" t="str">
        <f>Sheet1!B45</f>
        <v/>
      </c>
      <c r="B41" s="136" t="str">
        <f>IF(Sheet1!E45="","",Sheet1!E45)</f>
        <v/>
      </c>
      <c r="C41" s="136" t="str">
        <f>IF(Sheet1!P45="","",Sheet1!P45-Sheet1!FT84)</f>
        <v/>
      </c>
      <c r="D41" s="136" t="str">
        <f>IF(Sheet1!Q45="","",Sheet1!Q45)</f>
        <v/>
      </c>
      <c r="E41" s="136" t="str">
        <f>IF(Sheet1!R45="","",Sheet1!R45)</f>
        <v/>
      </c>
      <c r="F41" s="136" t="str">
        <f>IF(Sheet1!S45="","",Sheet1!S45)</f>
        <v/>
      </c>
      <c r="G41" s="136" t="str">
        <f>IF(Sheet1!T45="","",Sheet1!T45)</f>
        <v/>
      </c>
      <c r="H41" s="136" t="str">
        <f>IF(Sheet1!U45="","",Sheet1!U45)</f>
        <v/>
      </c>
      <c r="I41" s="136" t="str">
        <f>IF(Sheet1!V45="","",Sheet1!V45)</f>
        <v/>
      </c>
      <c r="J41" s="136" t="str">
        <f>IF(Sheet1!W45="","",Sheet1!W45)</f>
        <v/>
      </c>
      <c r="K41" s="136" t="str">
        <f>IF(Sheet1!X45="","",Sheet1!X45)</f>
        <v/>
      </c>
      <c r="L41" s="136" t="str">
        <f>IF(Sheet1!Y45="","",Sheet1!Y45)</f>
        <v/>
      </c>
      <c r="M41" s="136" t="str">
        <f>IF(Sheet1!Z45="","",Sheet1!Z45)</f>
        <v/>
      </c>
      <c r="N41" s="136" t="str">
        <f>IF(Sheet1!AA45="","",Sheet1!AA45)</f>
        <v/>
      </c>
      <c r="O41" s="136" t="e">
        <f t="shared" si="0"/>
        <v>#VALUE!</v>
      </c>
      <c r="P41" s="136">
        <f>IF(Sheet1!BR85="","",Sheet1!BR85)</f>
        <v>0</v>
      </c>
      <c r="Q41" s="136">
        <f>IF(B41="",0,IF(ISNUMBER(SEARCH("Yes",Sheet1!BD84)),75,100))</f>
        <v>0</v>
      </c>
      <c r="R41" s="136" t="str">
        <f>IF(Sheet1!AE45="","",Sheet1!AE45)</f>
        <v/>
      </c>
      <c r="S41" s="136" t="str">
        <f>IF(Sheet1!AU45="","",Sheet1!AU45)</f>
        <v/>
      </c>
      <c r="T41" s="136" t="str">
        <f>IF(Sheet1!J45="","",Sheet1!J45)</f>
        <v/>
      </c>
      <c r="U41" s="136" t="str">
        <f>IF(Sheet1!K45="","",Sheet1!K45)</f>
        <v/>
      </c>
      <c r="V41" s="136" t="str">
        <f>IF(Sheet1!L45="","",Sheet1!L45)</f>
        <v/>
      </c>
      <c r="W41" s="136" t="str">
        <f>IF(Sheet1!M45="","",Sheet1!M45)</f>
        <v/>
      </c>
      <c r="X41" s="136" t="str">
        <f>IF(Sheet1!N45="","",Sheet1!N45)</f>
        <v/>
      </c>
      <c r="Y41" s="136" t="str">
        <f>IF(Sheet1!O45="","",Sheet1!O45)</f>
        <v/>
      </c>
      <c r="Z41" s="136" t="str">
        <f>IF(Sheet1!G45="","",Sheet1!G45)</f>
        <v/>
      </c>
      <c r="AA41" s="136" t="str">
        <f>IF(Sheet1!F45="","",Sheet1!F45)</f>
        <v/>
      </c>
      <c r="AB41" s="136" t="str">
        <f>IF(Sheet1!E45="","",Sheet1!AP45)</f>
        <v/>
      </c>
      <c r="AC41" s="136">
        <f>IF(Sheet1!CV85="",0,Sheet1!CV85)</f>
        <v>0</v>
      </c>
      <c r="AD41" s="136">
        <f>IF(Sheet1!CW85="",0,Sheet1!CW85)</f>
        <v>0</v>
      </c>
      <c r="AE41" s="136">
        <f>IF(Sheet1!CX85="",0,Sheet1!CX85)</f>
        <v>0</v>
      </c>
      <c r="AF41" s="136">
        <f>IF(Sheet1!CY85="",0,Sheet1!CY85)</f>
        <v>0</v>
      </c>
      <c r="AG41" s="136">
        <f>IF(Sheet1!CZ85="",0,Sheet1!CZ85)</f>
        <v>0</v>
      </c>
      <c r="AH41" s="136">
        <f>IF(Sheet1!DA85="",0,Sheet1!DA85)</f>
        <v>0</v>
      </c>
      <c r="AI41" s="136">
        <f>IF(Sheet1!DB85="",0,Sheet1!DB85)</f>
        <v>0</v>
      </c>
      <c r="AJ41" s="136">
        <f>IF(Sheet1!DC85="",0,Sheet1!DC85)</f>
        <v>0</v>
      </c>
      <c r="AK41" s="136">
        <f>IF(Sheet1!DD85="",0,Sheet1!DD85)</f>
        <v>0</v>
      </c>
      <c r="AL41" s="136">
        <f>IF(Sheet1!DE85="",0,Sheet1!DE85)</f>
        <v>0</v>
      </c>
      <c r="AM41" s="136">
        <f>IF(Sheet1!DF85="",0,Sheet1!DF85)</f>
        <v>0</v>
      </c>
      <c r="AN41" s="136">
        <f>IF(Sheet1!DG85="",0,Sheet1!DG85)</f>
        <v>0</v>
      </c>
      <c r="AO41" s="136">
        <f>IF(Sheet1!DH85="",0,Sheet1!DH85)</f>
        <v>0</v>
      </c>
      <c r="AP41" s="136">
        <f>IF(Sheet1!DI85="",0,Sheet1!DI85)</f>
        <v>0</v>
      </c>
      <c r="AQ41" s="136">
        <f>IF(Sheet1!DJ85="",0,Sheet1!DJ85)</f>
        <v>0</v>
      </c>
      <c r="AR41" s="136">
        <f>IF(Sheet1!DK85="",0,Sheet1!DK85)</f>
        <v>0</v>
      </c>
      <c r="AS41" s="136">
        <f>IF(Sheet1!DL85="",0,Sheet1!DL85)</f>
        <v>0</v>
      </c>
      <c r="AT41" s="136">
        <f>IF(Sheet1!DM85="",0,Sheet1!DM85)</f>
        <v>0</v>
      </c>
      <c r="AU41" s="136">
        <f>IF(Sheet1!DN85="",0,Sheet1!DN85)</f>
        <v>0</v>
      </c>
      <c r="AV41" s="136">
        <f>IF(Sheet1!DO85="",0,Sheet1!DO85)</f>
        <v>0</v>
      </c>
      <c r="AW41">
        <f t="shared" si="1"/>
        <v>0</v>
      </c>
    </row>
    <row r="42" spans="1:49">
      <c r="A42" s="136" t="str">
        <f>Sheet1!B46</f>
        <v/>
      </c>
      <c r="B42" s="136" t="str">
        <f>IF(Sheet1!E46="","",Sheet1!E46)</f>
        <v/>
      </c>
      <c r="C42" s="136" t="str">
        <f>IF(Sheet1!P46="","",Sheet1!P46-Sheet1!FT86)</f>
        <v/>
      </c>
      <c r="D42" s="136" t="str">
        <f>IF(Sheet1!Q46="","",Sheet1!Q46)</f>
        <v/>
      </c>
      <c r="E42" s="136" t="str">
        <f>IF(Sheet1!R46="","",Sheet1!R46)</f>
        <v/>
      </c>
      <c r="F42" s="136" t="str">
        <f>IF(Sheet1!S46="","",Sheet1!S46)</f>
        <v/>
      </c>
      <c r="G42" s="136" t="str">
        <f>IF(Sheet1!T46="","",Sheet1!T46)</f>
        <v/>
      </c>
      <c r="H42" s="136" t="str">
        <f>IF(Sheet1!U46="","",Sheet1!U46)</f>
        <v/>
      </c>
      <c r="I42" s="136" t="str">
        <f>IF(Sheet1!V46="","",Sheet1!V46)</f>
        <v/>
      </c>
      <c r="J42" s="136" t="str">
        <f>IF(Sheet1!W46="","",Sheet1!W46)</f>
        <v/>
      </c>
      <c r="K42" s="136" t="str">
        <f>IF(Sheet1!X46="","",Sheet1!X46)</f>
        <v/>
      </c>
      <c r="L42" s="136" t="str">
        <f>IF(Sheet1!Y46="","",Sheet1!Y46)</f>
        <v/>
      </c>
      <c r="M42" s="136" t="str">
        <f>IF(Sheet1!Z46="","",Sheet1!Z46)</f>
        <v/>
      </c>
      <c r="N42" s="136" t="str">
        <f>IF(Sheet1!AA46="","",Sheet1!AA46)</f>
        <v/>
      </c>
      <c r="O42" s="136" t="e">
        <f t="shared" si="0"/>
        <v>#VALUE!</v>
      </c>
      <c r="P42" s="136">
        <f>IF(Sheet1!BR87="","",Sheet1!BR87)</f>
        <v>0</v>
      </c>
      <c r="Q42" s="136">
        <f>IF(B42="",0,IF(ISNUMBER(SEARCH("Yes",Sheet1!BD86)),75,100))</f>
        <v>0</v>
      </c>
      <c r="R42" s="136" t="str">
        <f>IF(Sheet1!AE46="","",Sheet1!AE46)</f>
        <v/>
      </c>
      <c r="S42" s="136" t="str">
        <f>IF(Sheet1!AU46="","",Sheet1!AU46)</f>
        <v/>
      </c>
      <c r="T42" s="136" t="str">
        <f>IF(Sheet1!J46="","",Sheet1!J46)</f>
        <v/>
      </c>
      <c r="U42" s="136" t="str">
        <f>IF(Sheet1!K46="","",Sheet1!K46)</f>
        <v/>
      </c>
      <c r="V42" s="136" t="str">
        <f>IF(Sheet1!L46="","",Sheet1!L46)</f>
        <v/>
      </c>
      <c r="W42" s="136" t="str">
        <f>IF(Sheet1!M46="","",Sheet1!M46)</f>
        <v/>
      </c>
      <c r="X42" s="136" t="str">
        <f>IF(Sheet1!N46="","",Sheet1!N46)</f>
        <v/>
      </c>
      <c r="Y42" s="136" t="str">
        <f>IF(Sheet1!O46="","",Sheet1!O46)</f>
        <v/>
      </c>
      <c r="Z42" s="136" t="str">
        <f>IF(Sheet1!G46="","",Sheet1!G46)</f>
        <v/>
      </c>
      <c r="AA42" s="136" t="str">
        <f>IF(Sheet1!F46="","",Sheet1!F46)</f>
        <v/>
      </c>
      <c r="AB42" s="136" t="str">
        <f>IF(Sheet1!E46="","",Sheet1!AP46)</f>
        <v/>
      </c>
      <c r="AC42" s="136">
        <f>IF(Sheet1!CV87="",0,Sheet1!CV87)</f>
        <v>0</v>
      </c>
      <c r="AD42" s="136">
        <f>IF(Sheet1!CW87="",0,Sheet1!CW87)</f>
        <v>0</v>
      </c>
      <c r="AE42" s="136">
        <f>IF(Sheet1!CX87="",0,Sheet1!CX87)</f>
        <v>0</v>
      </c>
      <c r="AF42" s="136">
        <f>IF(Sheet1!CY87="",0,Sheet1!CY87)</f>
        <v>0</v>
      </c>
      <c r="AG42" s="136">
        <f>IF(Sheet1!CZ87="",0,Sheet1!CZ87)</f>
        <v>0</v>
      </c>
      <c r="AH42" s="136">
        <f>IF(Sheet1!DA87="",0,Sheet1!DA87)</f>
        <v>0</v>
      </c>
      <c r="AI42" s="136">
        <f>IF(Sheet1!DB87="",0,Sheet1!DB87)</f>
        <v>0</v>
      </c>
      <c r="AJ42" s="136">
        <f>IF(Sheet1!DC87="",0,Sheet1!DC87)</f>
        <v>0</v>
      </c>
      <c r="AK42" s="136">
        <f>IF(Sheet1!DD87="",0,Sheet1!DD87)</f>
        <v>0</v>
      </c>
      <c r="AL42" s="136">
        <f>IF(Sheet1!DE87="",0,Sheet1!DE87)</f>
        <v>0</v>
      </c>
      <c r="AM42" s="136">
        <f>IF(Sheet1!DF87="",0,Sheet1!DF87)</f>
        <v>0</v>
      </c>
      <c r="AN42" s="136">
        <f>IF(Sheet1!DG87="",0,Sheet1!DG87)</f>
        <v>0</v>
      </c>
      <c r="AO42" s="136">
        <f>IF(Sheet1!DH87="",0,Sheet1!DH87)</f>
        <v>0</v>
      </c>
      <c r="AP42" s="136">
        <f>IF(Sheet1!DI87="",0,Sheet1!DI87)</f>
        <v>0</v>
      </c>
      <c r="AQ42" s="136">
        <f>IF(Sheet1!DJ87="",0,Sheet1!DJ87)</f>
        <v>0</v>
      </c>
      <c r="AR42" s="136">
        <f>IF(Sheet1!DK87="",0,Sheet1!DK87)</f>
        <v>0</v>
      </c>
      <c r="AS42" s="136">
        <f>IF(Sheet1!DL87="",0,Sheet1!DL87)</f>
        <v>0</v>
      </c>
      <c r="AT42" s="136">
        <f>IF(Sheet1!DM87="",0,Sheet1!DM87)</f>
        <v>0</v>
      </c>
      <c r="AU42" s="136">
        <f>IF(Sheet1!DN87="",0,Sheet1!DN87)</f>
        <v>0</v>
      </c>
      <c r="AV42" s="136">
        <f>IF(Sheet1!DO87="",0,Sheet1!DO87)</f>
        <v>0</v>
      </c>
      <c r="AW42">
        <f t="shared" si="1"/>
        <v>0</v>
      </c>
    </row>
    <row r="43" spans="1:49">
      <c r="A43" s="136" t="str">
        <f>Sheet1!B47</f>
        <v/>
      </c>
      <c r="B43" s="136" t="str">
        <f>IF(Sheet1!E47="","",Sheet1!E47)</f>
        <v/>
      </c>
      <c r="C43" s="136" t="str">
        <f>IF(Sheet1!P47="","",Sheet1!P47-Sheet1!FT88)</f>
        <v/>
      </c>
      <c r="D43" s="136" t="str">
        <f>IF(Sheet1!Q47="","",Sheet1!Q47)</f>
        <v/>
      </c>
      <c r="E43" s="136" t="str">
        <f>IF(Sheet1!R47="","",Sheet1!R47)</f>
        <v/>
      </c>
      <c r="F43" s="136" t="str">
        <f>IF(Sheet1!S47="","",Sheet1!S47)</f>
        <v/>
      </c>
      <c r="G43" s="136" t="str">
        <f>IF(Sheet1!T47="","",Sheet1!T47)</f>
        <v/>
      </c>
      <c r="H43" s="136" t="str">
        <f>IF(Sheet1!U47="","",Sheet1!U47)</f>
        <v/>
      </c>
      <c r="I43" s="136" t="str">
        <f>IF(Sheet1!V47="","",Sheet1!V47)</f>
        <v/>
      </c>
      <c r="J43" s="136" t="str">
        <f>IF(Sheet1!W47="","",Sheet1!W47)</f>
        <v/>
      </c>
      <c r="K43" s="136" t="str">
        <f>IF(Sheet1!X47="","",Sheet1!X47)</f>
        <v/>
      </c>
      <c r="L43" s="136" t="str">
        <f>IF(Sheet1!Y47="","",Sheet1!Y47)</f>
        <v/>
      </c>
      <c r="M43" s="136" t="str">
        <f>IF(Sheet1!Z47="","",Sheet1!Z47)</f>
        <v/>
      </c>
      <c r="N43" s="136" t="str">
        <f>IF(Sheet1!AA47="","",Sheet1!AA47)</f>
        <v/>
      </c>
      <c r="O43" s="136" t="e">
        <f t="shared" si="0"/>
        <v>#VALUE!</v>
      </c>
      <c r="P43" s="136">
        <f>IF(Sheet1!BR89="","",Sheet1!BR89)</f>
        <v>0</v>
      </c>
      <c r="Q43" s="136">
        <f>IF(B43="",0,IF(ISNUMBER(SEARCH("Yes",Sheet1!BD88)),75,100))</f>
        <v>0</v>
      </c>
      <c r="R43" s="136" t="str">
        <f>IF(Sheet1!AE47="","",Sheet1!AE47)</f>
        <v/>
      </c>
      <c r="S43" s="136" t="str">
        <f>IF(Sheet1!AU47="","",Sheet1!AU47)</f>
        <v/>
      </c>
      <c r="T43" s="136" t="str">
        <f>IF(Sheet1!J47="","",Sheet1!J47)</f>
        <v/>
      </c>
      <c r="U43" s="136" t="str">
        <f>IF(Sheet1!K47="","",Sheet1!K47)</f>
        <v/>
      </c>
      <c r="V43" s="136" t="str">
        <f>IF(Sheet1!L47="","",Sheet1!L47)</f>
        <v/>
      </c>
      <c r="W43" s="136" t="str">
        <f>IF(Sheet1!M47="","",Sheet1!M47)</f>
        <v/>
      </c>
      <c r="X43" s="136" t="str">
        <f>IF(Sheet1!N47="","",Sheet1!N47)</f>
        <v/>
      </c>
      <c r="Y43" s="136" t="str">
        <f>IF(Sheet1!O47="","",Sheet1!O47)</f>
        <v/>
      </c>
      <c r="Z43" s="136" t="str">
        <f>IF(Sheet1!G47="","",Sheet1!G47)</f>
        <v/>
      </c>
      <c r="AA43" s="136" t="str">
        <f>IF(Sheet1!F47="","",Sheet1!F47)</f>
        <v/>
      </c>
      <c r="AB43" s="136" t="str">
        <f>IF(Sheet1!E47="","",Sheet1!AP47)</f>
        <v/>
      </c>
      <c r="AC43" s="136">
        <f>IF(Sheet1!CV89="",0,Sheet1!CV89)</f>
        <v>0</v>
      </c>
      <c r="AD43" s="136">
        <f>IF(Sheet1!CW89="",0,Sheet1!CW89)</f>
        <v>0</v>
      </c>
      <c r="AE43" s="136">
        <f>IF(Sheet1!CX89="",0,Sheet1!CX89)</f>
        <v>0</v>
      </c>
      <c r="AF43" s="136">
        <f>IF(Sheet1!CY89="",0,Sheet1!CY89)</f>
        <v>0</v>
      </c>
      <c r="AG43" s="136">
        <f>IF(Sheet1!CZ89="",0,Sheet1!CZ89)</f>
        <v>0</v>
      </c>
      <c r="AH43" s="136">
        <f>IF(Sheet1!DA89="",0,Sheet1!DA89)</f>
        <v>0</v>
      </c>
      <c r="AI43" s="136">
        <f>IF(Sheet1!DB89="",0,Sheet1!DB89)</f>
        <v>0</v>
      </c>
      <c r="AJ43" s="136">
        <f>IF(Sheet1!DC89="",0,Sheet1!DC89)</f>
        <v>0</v>
      </c>
      <c r="AK43" s="136">
        <f>IF(Sheet1!DD89="",0,Sheet1!DD89)</f>
        <v>0</v>
      </c>
      <c r="AL43" s="136">
        <f>IF(Sheet1!DE89="",0,Sheet1!DE89)</f>
        <v>0</v>
      </c>
      <c r="AM43" s="136">
        <f>IF(Sheet1!DF89="",0,Sheet1!DF89)</f>
        <v>0</v>
      </c>
      <c r="AN43" s="136">
        <f>IF(Sheet1!DG89="",0,Sheet1!DG89)</f>
        <v>0</v>
      </c>
      <c r="AO43" s="136">
        <f>IF(Sheet1!DH89="",0,Sheet1!DH89)</f>
        <v>0</v>
      </c>
      <c r="AP43" s="136">
        <f>IF(Sheet1!DI89="",0,Sheet1!DI89)</f>
        <v>0</v>
      </c>
      <c r="AQ43" s="136">
        <f>IF(Sheet1!DJ89="",0,Sheet1!DJ89)</f>
        <v>0</v>
      </c>
      <c r="AR43" s="136">
        <f>IF(Sheet1!DK89="",0,Sheet1!DK89)</f>
        <v>0</v>
      </c>
      <c r="AS43" s="136">
        <f>IF(Sheet1!DL89="",0,Sheet1!DL89)</f>
        <v>0</v>
      </c>
      <c r="AT43" s="136">
        <f>IF(Sheet1!DM89="",0,Sheet1!DM89)</f>
        <v>0</v>
      </c>
      <c r="AU43" s="136">
        <f>IF(Sheet1!DN89="",0,Sheet1!DN89)</f>
        <v>0</v>
      </c>
      <c r="AV43" s="136">
        <f>IF(Sheet1!DO89="",0,Sheet1!DO89)</f>
        <v>0</v>
      </c>
      <c r="AW43">
        <f t="shared" si="1"/>
        <v>0</v>
      </c>
    </row>
    <row r="44" spans="1:49">
      <c r="A44" s="136" t="str">
        <f>Sheet1!B48</f>
        <v/>
      </c>
      <c r="B44" s="136" t="str">
        <f>IF(Sheet1!E48="","",Sheet1!E48)</f>
        <v/>
      </c>
      <c r="C44" s="136" t="str">
        <f>IF(Sheet1!P48="","",Sheet1!P48-Sheet1!FT90)</f>
        <v/>
      </c>
      <c r="D44" s="136" t="str">
        <f>IF(Sheet1!Q48="","",Sheet1!Q48)</f>
        <v/>
      </c>
      <c r="E44" s="136" t="str">
        <f>IF(Sheet1!R48="","",Sheet1!R48)</f>
        <v/>
      </c>
      <c r="F44" s="136" t="str">
        <f>IF(Sheet1!S48="","",Sheet1!S48)</f>
        <v/>
      </c>
      <c r="G44" s="136" t="str">
        <f>IF(Sheet1!T48="","",Sheet1!T48)</f>
        <v/>
      </c>
      <c r="H44" s="136" t="str">
        <f>IF(Sheet1!U48="","",Sheet1!U48)</f>
        <v/>
      </c>
      <c r="I44" s="136" t="str">
        <f>IF(Sheet1!V48="","",Sheet1!V48)</f>
        <v/>
      </c>
      <c r="J44" s="136" t="str">
        <f>IF(Sheet1!W48="","",Sheet1!W48)</f>
        <v/>
      </c>
      <c r="K44" s="136" t="str">
        <f>IF(Sheet1!X48="","",Sheet1!X48)</f>
        <v/>
      </c>
      <c r="L44" s="136" t="str">
        <f>IF(Sheet1!Y48="","",Sheet1!Y48)</f>
        <v/>
      </c>
      <c r="M44" s="136" t="str">
        <f>IF(Sheet1!Z48="","",Sheet1!Z48)</f>
        <v/>
      </c>
      <c r="N44" s="136" t="str">
        <f>IF(Sheet1!AA48="","",Sheet1!AA48)</f>
        <v/>
      </c>
      <c r="O44" s="136" t="e">
        <f t="shared" si="0"/>
        <v>#VALUE!</v>
      </c>
      <c r="P44" s="136">
        <f>IF(Sheet1!BR91="","",Sheet1!BR91)</f>
        <v>0</v>
      </c>
      <c r="Q44" s="136">
        <f>IF(B44="",0,IF(ISNUMBER(SEARCH("Yes",Sheet1!BD90)),75,100))</f>
        <v>0</v>
      </c>
      <c r="R44" s="136" t="str">
        <f>IF(Sheet1!AE48="","",Sheet1!AE48)</f>
        <v/>
      </c>
      <c r="S44" s="136" t="str">
        <f>IF(Sheet1!AU48="","",Sheet1!AU48)</f>
        <v/>
      </c>
      <c r="T44" s="136" t="str">
        <f>IF(Sheet1!J48="","",Sheet1!J48)</f>
        <v/>
      </c>
      <c r="U44" s="136" t="str">
        <f>IF(Sheet1!K48="","",Sheet1!K48)</f>
        <v/>
      </c>
      <c r="V44" s="136" t="str">
        <f>IF(Sheet1!L48="","",Sheet1!L48)</f>
        <v/>
      </c>
      <c r="W44" s="136" t="str">
        <f>IF(Sheet1!M48="","",Sheet1!M48)</f>
        <v/>
      </c>
      <c r="X44" s="136" t="str">
        <f>IF(Sheet1!N48="","",Sheet1!N48)</f>
        <v/>
      </c>
      <c r="Y44" s="136" t="str">
        <f>IF(Sheet1!O48="","",Sheet1!O48)</f>
        <v/>
      </c>
      <c r="Z44" s="136" t="str">
        <f>IF(Sheet1!G48="","",Sheet1!G48)</f>
        <v/>
      </c>
      <c r="AA44" s="136" t="str">
        <f>IF(Sheet1!F48="","",Sheet1!F48)</f>
        <v/>
      </c>
      <c r="AB44" s="136" t="str">
        <f>IF(Sheet1!E48="","",Sheet1!AP48)</f>
        <v/>
      </c>
      <c r="AC44" s="136">
        <f>IF(Sheet1!CV91="",0,Sheet1!CV91)</f>
        <v>0</v>
      </c>
      <c r="AD44" s="136">
        <f>IF(Sheet1!CW91="",0,Sheet1!CW91)</f>
        <v>0</v>
      </c>
      <c r="AE44" s="136">
        <f>IF(Sheet1!CX91="",0,Sheet1!CX91)</f>
        <v>0</v>
      </c>
      <c r="AF44" s="136">
        <f>IF(Sheet1!CY91="",0,Sheet1!CY91)</f>
        <v>0</v>
      </c>
      <c r="AG44" s="136">
        <f>IF(Sheet1!CZ91="",0,Sheet1!CZ91)</f>
        <v>0</v>
      </c>
      <c r="AH44" s="136">
        <f>IF(Sheet1!DA91="",0,Sheet1!DA91)</f>
        <v>0</v>
      </c>
      <c r="AI44" s="136">
        <f>IF(Sheet1!DB91="",0,Sheet1!DB91)</f>
        <v>0</v>
      </c>
      <c r="AJ44" s="136">
        <f>IF(Sheet1!DC91="",0,Sheet1!DC91)</f>
        <v>0</v>
      </c>
      <c r="AK44" s="136">
        <f>IF(Sheet1!DD91="",0,Sheet1!DD91)</f>
        <v>0</v>
      </c>
      <c r="AL44" s="136">
        <f>IF(Sheet1!DE91="",0,Sheet1!DE91)</f>
        <v>0</v>
      </c>
      <c r="AM44" s="136">
        <f>IF(Sheet1!DF91="",0,Sheet1!DF91)</f>
        <v>0</v>
      </c>
      <c r="AN44" s="136">
        <f>IF(Sheet1!DG91="",0,Sheet1!DG91)</f>
        <v>0</v>
      </c>
      <c r="AO44" s="136">
        <f>IF(Sheet1!DH91="",0,Sheet1!DH91)</f>
        <v>0</v>
      </c>
      <c r="AP44" s="136">
        <f>IF(Sheet1!DI91="",0,Sheet1!DI91)</f>
        <v>0</v>
      </c>
      <c r="AQ44" s="136">
        <f>IF(Sheet1!DJ91="",0,Sheet1!DJ91)</f>
        <v>0</v>
      </c>
      <c r="AR44" s="136">
        <f>IF(Sheet1!DK91="",0,Sheet1!DK91)</f>
        <v>0</v>
      </c>
      <c r="AS44" s="136">
        <f>IF(Sheet1!DL91="",0,Sheet1!DL91)</f>
        <v>0</v>
      </c>
      <c r="AT44" s="136">
        <f>IF(Sheet1!DM91="",0,Sheet1!DM91)</f>
        <v>0</v>
      </c>
      <c r="AU44" s="136">
        <f>IF(Sheet1!DN91="",0,Sheet1!DN91)</f>
        <v>0</v>
      </c>
      <c r="AV44" s="136">
        <f>IF(Sheet1!DO91="",0,Sheet1!DO91)</f>
        <v>0</v>
      </c>
      <c r="AW44">
        <f t="shared" si="1"/>
        <v>0</v>
      </c>
    </row>
    <row r="45" spans="1:49">
      <c r="A45" s="136" t="str">
        <f>Sheet1!B49</f>
        <v/>
      </c>
      <c r="B45" s="136" t="str">
        <f>IF(Sheet1!E49="","",Sheet1!E49)</f>
        <v/>
      </c>
      <c r="C45" s="136" t="str">
        <f>IF(Sheet1!P49="","",Sheet1!P49-Sheet1!FT92)</f>
        <v/>
      </c>
      <c r="D45" s="136" t="str">
        <f>IF(Sheet1!Q49="","",Sheet1!Q49)</f>
        <v/>
      </c>
      <c r="E45" s="136" t="str">
        <f>IF(Sheet1!R49="","",Sheet1!R49)</f>
        <v/>
      </c>
      <c r="F45" s="136" t="str">
        <f>IF(Sheet1!S49="","",Sheet1!S49)</f>
        <v/>
      </c>
      <c r="G45" s="136" t="str">
        <f>IF(Sheet1!T49="","",Sheet1!T49)</f>
        <v/>
      </c>
      <c r="H45" s="136" t="str">
        <f>IF(Sheet1!U49="","",Sheet1!U49)</f>
        <v/>
      </c>
      <c r="I45" s="136" t="str">
        <f>IF(Sheet1!V49="","",Sheet1!V49)</f>
        <v/>
      </c>
      <c r="J45" s="136" t="str">
        <f>IF(Sheet1!W49="","",Sheet1!W49)</f>
        <v/>
      </c>
      <c r="K45" s="136" t="str">
        <f>IF(Sheet1!X49="","",Sheet1!X49)</f>
        <v/>
      </c>
      <c r="L45" s="136" t="str">
        <f>IF(Sheet1!Y49="","",Sheet1!Y49)</f>
        <v/>
      </c>
      <c r="M45" s="136" t="str">
        <f>IF(Sheet1!Z49="","",Sheet1!Z49)</f>
        <v/>
      </c>
      <c r="N45" s="136" t="str">
        <f>IF(Sheet1!AA49="","",Sheet1!AA49)</f>
        <v/>
      </c>
      <c r="O45" s="136" t="e">
        <f t="shared" si="0"/>
        <v>#VALUE!</v>
      </c>
      <c r="P45" s="136">
        <f>IF(Sheet1!BR93="","",Sheet1!BR93)</f>
        <v>0</v>
      </c>
      <c r="Q45" s="136">
        <f>IF(B45="",0,IF(ISNUMBER(SEARCH("Yes",Sheet1!BD92)),75,100))</f>
        <v>0</v>
      </c>
      <c r="R45" s="136" t="str">
        <f>IF(Sheet1!AE49="","",Sheet1!AE49)</f>
        <v/>
      </c>
      <c r="S45" s="136" t="str">
        <f>IF(Sheet1!AU49="","",Sheet1!AU49)</f>
        <v/>
      </c>
      <c r="T45" s="136" t="str">
        <f>IF(Sheet1!J49="","",Sheet1!J49)</f>
        <v/>
      </c>
      <c r="U45" s="136" t="str">
        <f>IF(Sheet1!K49="","",Sheet1!K49)</f>
        <v/>
      </c>
      <c r="V45" s="136" t="str">
        <f>IF(Sheet1!L49="","",Sheet1!L49)</f>
        <v/>
      </c>
      <c r="W45" s="136" t="str">
        <f>IF(Sheet1!M49="","",Sheet1!M49)</f>
        <v/>
      </c>
      <c r="X45" s="136" t="str">
        <f>IF(Sheet1!N49="","",Sheet1!N49)</f>
        <v/>
      </c>
      <c r="Y45" s="136" t="str">
        <f>IF(Sheet1!O49="","",Sheet1!O49)</f>
        <v/>
      </c>
      <c r="Z45" s="136" t="str">
        <f>IF(Sheet1!G49="","",Sheet1!G49)</f>
        <v/>
      </c>
      <c r="AA45" s="136" t="str">
        <f>IF(Sheet1!F49="","",Sheet1!F49)</f>
        <v/>
      </c>
      <c r="AB45" s="136" t="str">
        <f>IF(Sheet1!E49="","",Sheet1!AP49)</f>
        <v/>
      </c>
      <c r="AC45" s="136">
        <f>IF(Sheet1!CV93="",0,Sheet1!CV93)</f>
        <v>0</v>
      </c>
      <c r="AD45" s="136">
        <f>IF(Sheet1!CW93="",0,Sheet1!CW93)</f>
        <v>0</v>
      </c>
      <c r="AE45" s="136">
        <f>IF(Sheet1!CX93="",0,Sheet1!CX93)</f>
        <v>0</v>
      </c>
      <c r="AF45" s="136">
        <f>IF(Sheet1!CY93="",0,Sheet1!CY93)</f>
        <v>0</v>
      </c>
      <c r="AG45" s="136">
        <f>IF(Sheet1!CZ93="",0,Sheet1!CZ93)</f>
        <v>0</v>
      </c>
      <c r="AH45" s="136">
        <f>IF(Sheet1!DA93="",0,Sheet1!DA93)</f>
        <v>0</v>
      </c>
      <c r="AI45" s="136">
        <f>IF(Sheet1!DB93="",0,Sheet1!DB93)</f>
        <v>0</v>
      </c>
      <c r="AJ45" s="136">
        <f>IF(Sheet1!DC93="",0,Sheet1!DC93)</f>
        <v>0</v>
      </c>
      <c r="AK45" s="136">
        <f>IF(Sheet1!DD93="",0,Sheet1!DD93)</f>
        <v>0</v>
      </c>
      <c r="AL45" s="136">
        <f>IF(Sheet1!DE93="",0,Sheet1!DE93)</f>
        <v>0</v>
      </c>
      <c r="AM45" s="136">
        <f>IF(Sheet1!DF93="",0,Sheet1!DF93)</f>
        <v>0</v>
      </c>
      <c r="AN45" s="136">
        <f>IF(Sheet1!DG93="",0,Sheet1!DG93)</f>
        <v>0</v>
      </c>
      <c r="AO45" s="136">
        <f>IF(Sheet1!DH93="",0,Sheet1!DH93)</f>
        <v>0</v>
      </c>
      <c r="AP45" s="136">
        <f>IF(Sheet1!DI93="",0,Sheet1!DI93)</f>
        <v>0</v>
      </c>
      <c r="AQ45" s="136">
        <f>IF(Sheet1!DJ93="",0,Sheet1!DJ93)</f>
        <v>0</v>
      </c>
      <c r="AR45" s="136">
        <f>IF(Sheet1!DK93="",0,Sheet1!DK93)</f>
        <v>0</v>
      </c>
      <c r="AS45" s="136">
        <f>IF(Sheet1!DL93="",0,Sheet1!DL93)</f>
        <v>0</v>
      </c>
      <c r="AT45" s="136">
        <f>IF(Sheet1!DM93="",0,Sheet1!DM93)</f>
        <v>0</v>
      </c>
      <c r="AU45" s="136">
        <f>IF(Sheet1!DN93="",0,Sheet1!DN93)</f>
        <v>0</v>
      </c>
      <c r="AV45" s="136">
        <f>IF(Sheet1!DO93="",0,Sheet1!DO93)</f>
        <v>0</v>
      </c>
      <c r="AW45">
        <f t="shared" si="1"/>
        <v>0</v>
      </c>
    </row>
    <row r="46" spans="1:49">
      <c r="A46" s="136" t="str">
        <f>Sheet1!B50</f>
        <v/>
      </c>
      <c r="B46" s="136" t="str">
        <f>IF(Sheet1!E50="","",Sheet1!E50)</f>
        <v/>
      </c>
      <c r="C46" s="136" t="str">
        <f>IF(Sheet1!P50="","",Sheet1!P50-Sheet1!FT94)</f>
        <v/>
      </c>
      <c r="D46" s="136" t="str">
        <f>IF(Sheet1!Q50="","",Sheet1!Q50)</f>
        <v/>
      </c>
      <c r="E46" s="136" t="str">
        <f>IF(Sheet1!R50="","",Sheet1!R50)</f>
        <v/>
      </c>
      <c r="F46" s="136" t="str">
        <f>IF(Sheet1!S50="","",Sheet1!S50)</f>
        <v/>
      </c>
      <c r="G46" s="136" t="str">
        <f>IF(Sheet1!T50="","",Sheet1!T50)</f>
        <v/>
      </c>
      <c r="H46" s="136" t="str">
        <f>IF(Sheet1!U50="","",Sheet1!U50)</f>
        <v/>
      </c>
      <c r="I46" s="136" t="str">
        <f>IF(Sheet1!V50="","",Sheet1!V50)</f>
        <v/>
      </c>
      <c r="J46" s="136" t="str">
        <f>IF(Sheet1!W50="","",Sheet1!W50)</f>
        <v/>
      </c>
      <c r="K46" s="136" t="str">
        <f>IF(Sheet1!X50="","",Sheet1!X50)</f>
        <v/>
      </c>
      <c r="L46" s="136" t="str">
        <f>IF(Sheet1!Y50="","",Sheet1!Y50)</f>
        <v/>
      </c>
      <c r="M46" s="136" t="str">
        <f>IF(Sheet1!Z50="","",Sheet1!Z50)</f>
        <v/>
      </c>
      <c r="N46" s="136" t="str">
        <f>IF(Sheet1!AA50="","",Sheet1!AA50)</f>
        <v/>
      </c>
      <c r="O46" s="136" t="e">
        <f t="shared" si="0"/>
        <v>#VALUE!</v>
      </c>
      <c r="P46" s="136">
        <f>IF(Sheet1!BR95="","",Sheet1!BR95)</f>
        <v>0</v>
      </c>
      <c r="Q46" s="136">
        <f>IF(B46="",0,IF(ISNUMBER(SEARCH("Yes",Sheet1!BD94)),75,100))</f>
        <v>0</v>
      </c>
      <c r="R46" s="136" t="str">
        <f>IF(Sheet1!AE50="","",Sheet1!AE50)</f>
        <v/>
      </c>
      <c r="S46" s="136" t="str">
        <f>IF(Sheet1!AU50="","",Sheet1!AU50)</f>
        <v/>
      </c>
      <c r="T46" s="136" t="str">
        <f>IF(Sheet1!J50="","",Sheet1!J50)</f>
        <v/>
      </c>
      <c r="U46" s="136" t="str">
        <f>IF(Sheet1!K50="","",Sheet1!K50)</f>
        <v/>
      </c>
      <c r="V46" s="136" t="str">
        <f>IF(Sheet1!L50="","",Sheet1!L50)</f>
        <v/>
      </c>
      <c r="W46" s="136" t="str">
        <f>IF(Sheet1!M50="","",Sheet1!M50)</f>
        <v/>
      </c>
      <c r="X46" s="136" t="str">
        <f>IF(Sheet1!N50="","",Sheet1!N50)</f>
        <v/>
      </c>
      <c r="Y46" s="136" t="str">
        <f>IF(Sheet1!O50="","",Sheet1!O50)</f>
        <v/>
      </c>
      <c r="Z46" s="136" t="str">
        <f>IF(Sheet1!G50="","",Sheet1!G50)</f>
        <v/>
      </c>
      <c r="AA46" s="136" t="str">
        <f>IF(Sheet1!F50="","",Sheet1!F50)</f>
        <v/>
      </c>
      <c r="AB46" s="136" t="str">
        <f>IF(Sheet1!E50="","",Sheet1!AP50)</f>
        <v/>
      </c>
      <c r="AC46" s="136">
        <f>IF(Sheet1!CV95="",0,Sheet1!CV95)</f>
        <v>0</v>
      </c>
      <c r="AD46" s="136">
        <f>IF(Sheet1!CW95="",0,Sheet1!CW95)</f>
        <v>0</v>
      </c>
      <c r="AE46" s="136">
        <f>IF(Sheet1!CX95="",0,Sheet1!CX95)</f>
        <v>0</v>
      </c>
      <c r="AF46" s="136">
        <f>IF(Sheet1!CY95="",0,Sheet1!CY95)</f>
        <v>0</v>
      </c>
      <c r="AG46" s="136">
        <f>IF(Sheet1!CZ95="",0,Sheet1!CZ95)</f>
        <v>0</v>
      </c>
      <c r="AH46" s="136">
        <f>IF(Sheet1!DA95="",0,Sheet1!DA95)</f>
        <v>0</v>
      </c>
      <c r="AI46" s="136">
        <f>IF(Sheet1!DB95="",0,Sheet1!DB95)</f>
        <v>0</v>
      </c>
      <c r="AJ46" s="136">
        <f>IF(Sheet1!DC95="",0,Sheet1!DC95)</f>
        <v>0</v>
      </c>
      <c r="AK46" s="136">
        <f>IF(Sheet1!DD95="",0,Sheet1!DD95)</f>
        <v>0</v>
      </c>
      <c r="AL46" s="136">
        <f>IF(Sheet1!DE95="",0,Sheet1!DE95)</f>
        <v>0</v>
      </c>
      <c r="AM46" s="136">
        <f>IF(Sheet1!DF95="",0,Sheet1!DF95)</f>
        <v>0</v>
      </c>
      <c r="AN46" s="136">
        <f>IF(Sheet1!DG95="",0,Sheet1!DG95)</f>
        <v>0</v>
      </c>
      <c r="AO46" s="136">
        <f>IF(Sheet1!DH95="",0,Sheet1!DH95)</f>
        <v>0</v>
      </c>
      <c r="AP46" s="136">
        <f>IF(Sheet1!DI95="",0,Sheet1!DI95)</f>
        <v>0</v>
      </c>
      <c r="AQ46" s="136">
        <f>IF(Sheet1!DJ95="",0,Sheet1!DJ95)</f>
        <v>0</v>
      </c>
      <c r="AR46" s="136">
        <f>IF(Sheet1!DK95="",0,Sheet1!DK95)</f>
        <v>0</v>
      </c>
      <c r="AS46" s="136">
        <f>IF(Sheet1!DL95="",0,Sheet1!DL95)</f>
        <v>0</v>
      </c>
      <c r="AT46" s="136">
        <f>IF(Sheet1!DM95="",0,Sheet1!DM95)</f>
        <v>0</v>
      </c>
      <c r="AU46" s="136">
        <f>IF(Sheet1!DN95="",0,Sheet1!DN95)</f>
        <v>0</v>
      </c>
      <c r="AV46" s="136">
        <f>IF(Sheet1!DO95="",0,Sheet1!DO95)</f>
        <v>0</v>
      </c>
      <c r="AW46">
        <f t="shared" si="1"/>
        <v>0</v>
      </c>
    </row>
    <row r="47" spans="1:49">
      <c r="A47" s="136" t="str">
        <f>Sheet1!B51</f>
        <v/>
      </c>
      <c r="B47" s="136" t="str">
        <f>IF(Sheet1!E51="","",Sheet1!E51)</f>
        <v/>
      </c>
      <c r="C47" s="136" t="str">
        <f>IF(Sheet1!P51="","",Sheet1!P51-Sheet1!FT96)</f>
        <v/>
      </c>
      <c r="D47" s="136" t="str">
        <f>IF(Sheet1!Q51="","",Sheet1!Q51)</f>
        <v/>
      </c>
      <c r="E47" s="136" t="str">
        <f>IF(Sheet1!R51="","",Sheet1!R51)</f>
        <v/>
      </c>
      <c r="F47" s="136" t="str">
        <f>IF(Sheet1!S51="","",Sheet1!S51)</f>
        <v/>
      </c>
      <c r="G47" s="136" t="str">
        <f>IF(Sheet1!T51="","",Sheet1!T51)</f>
        <v/>
      </c>
      <c r="H47" s="136" t="str">
        <f>IF(Sheet1!U51="","",Sheet1!U51)</f>
        <v/>
      </c>
      <c r="I47" s="136" t="str">
        <f>IF(Sheet1!V51="","",Sheet1!V51)</f>
        <v/>
      </c>
      <c r="J47" s="136" t="str">
        <f>IF(Sheet1!W51="","",Sheet1!W51)</f>
        <v/>
      </c>
      <c r="K47" s="136" t="str">
        <f>IF(Sheet1!X51="","",Sheet1!X51)</f>
        <v/>
      </c>
      <c r="L47" s="136" t="str">
        <f>IF(Sheet1!Y51="","",Sheet1!Y51)</f>
        <v/>
      </c>
      <c r="M47" s="136" t="str">
        <f>IF(Sheet1!Z51="","",Sheet1!Z51)</f>
        <v/>
      </c>
      <c r="N47" s="136" t="str">
        <f>IF(Sheet1!AA51="","",Sheet1!AA51)</f>
        <v/>
      </c>
      <c r="O47" s="136" t="e">
        <f t="shared" si="0"/>
        <v>#VALUE!</v>
      </c>
      <c r="P47" s="136">
        <f>IF(Sheet1!BR97="","",Sheet1!BR97)</f>
        <v>0</v>
      </c>
      <c r="Q47" s="136">
        <f>IF(B47="",0,IF(ISNUMBER(SEARCH("Yes",Sheet1!BD96)),75,100))</f>
        <v>0</v>
      </c>
      <c r="R47" s="136" t="str">
        <f>IF(Sheet1!AE51="","",Sheet1!AE51)</f>
        <v/>
      </c>
      <c r="S47" s="136" t="str">
        <f>IF(Sheet1!AU51="","",Sheet1!AU51)</f>
        <v/>
      </c>
      <c r="T47" s="136" t="str">
        <f>IF(Sheet1!J51="","",Sheet1!J51)</f>
        <v/>
      </c>
      <c r="U47" s="136" t="str">
        <f>IF(Sheet1!K51="","",Sheet1!K51)</f>
        <v/>
      </c>
      <c r="V47" s="136" t="str">
        <f>IF(Sheet1!L51="","",Sheet1!L51)</f>
        <v/>
      </c>
      <c r="W47" s="136" t="str">
        <f>IF(Sheet1!M51="","",Sheet1!M51)</f>
        <v/>
      </c>
      <c r="X47" s="136" t="str">
        <f>IF(Sheet1!N51="","",Sheet1!N51)</f>
        <v/>
      </c>
      <c r="Y47" s="136" t="str">
        <f>IF(Sheet1!O51="","",Sheet1!O51)</f>
        <v/>
      </c>
      <c r="Z47" s="136" t="str">
        <f>IF(Sheet1!G51="","",Sheet1!G51)</f>
        <v/>
      </c>
      <c r="AA47" s="136" t="str">
        <f>IF(Sheet1!F51="","",Sheet1!F51)</f>
        <v/>
      </c>
      <c r="AB47" s="136" t="str">
        <f>IF(Sheet1!E51="","",Sheet1!AP51)</f>
        <v/>
      </c>
      <c r="AC47" s="136">
        <f>IF(Sheet1!CV97="",0,Sheet1!CV97)</f>
        <v>0</v>
      </c>
      <c r="AD47" s="136">
        <f>IF(Sheet1!CW97="",0,Sheet1!CW97)</f>
        <v>0</v>
      </c>
      <c r="AE47" s="136">
        <f>IF(Sheet1!CX97="",0,Sheet1!CX97)</f>
        <v>0</v>
      </c>
      <c r="AF47" s="136">
        <f>IF(Sheet1!CY97="",0,Sheet1!CY97)</f>
        <v>0</v>
      </c>
      <c r="AG47" s="136">
        <f>IF(Sheet1!CZ97="",0,Sheet1!CZ97)</f>
        <v>0</v>
      </c>
      <c r="AH47" s="136">
        <f>IF(Sheet1!DA97="",0,Sheet1!DA97)</f>
        <v>0</v>
      </c>
      <c r="AI47" s="136">
        <f>IF(Sheet1!DB97="",0,Sheet1!DB97)</f>
        <v>0</v>
      </c>
      <c r="AJ47" s="136">
        <f>IF(Sheet1!DC97="",0,Sheet1!DC97)</f>
        <v>0</v>
      </c>
      <c r="AK47" s="136">
        <f>IF(Sheet1!DD97="",0,Sheet1!DD97)</f>
        <v>0</v>
      </c>
      <c r="AL47" s="136">
        <f>IF(Sheet1!DE97="",0,Sheet1!DE97)</f>
        <v>0</v>
      </c>
      <c r="AM47" s="136">
        <f>IF(Sheet1!DF97="",0,Sheet1!DF97)</f>
        <v>0</v>
      </c>
      <c r="AN47" s="136">
        <f>IF(Sheet1!DG97="",0,Sheet1!DG97)</f>
        <v>0</v>
      </c>
      <c r="AO47" s="136">
        <f>IF(Sheet1!DH97="",0,Sheet1!DH97)</f>
        <v>0</v>
      </c>
      <c r="AP47" s="136">
        <f>IF(Sheet1!DI97="",0,Sheet1!DI97)</f>
        <v>0</v>
      </c>
      <c r="AQ47" s="136">
        <f>IF(Sheet1!DJ97="",0,Sheet1!DJ97)</f>
        <v>0</v>
      </c>
      <c r="AR47" s="136">
        <f>IF(Sheet1!DK97="",0,Sheet1!DK97)</f>
        <v>0</v>
      </c>
      <c r="AS47" s="136">
        <f>IF(Sheet1!DL97="",0,Sheet1!DL97)</f>
        <v>0</v>
      </c>
      <c r="AT47" s="136">
        <f>IF(Sheet1!DM97="",0,Sheet1!DM97)</f>
        <v>0</v>
      </c>
      <c r="AU47" s="136">
        <f>IF(Sheet1!DN97="",0,Sheet1!DN97)</f>
        <v>0</v>
      </c>
      <c r="AV47" s="136">
        <f>IF(Sheet1!DO97="",0,Sheet1!DO97)</f>
        <v>0</v>
      </c>
      <c r="AW47">
        <f t="shared" si="1"/>
        <v>0</v>
      </c>
    </row>
    <row r="48" spans="1:49">
      <c r="A48" s="136" t="str">
        <f>Sheet1!B52</f>
        <v/>
      </c>
      <c r="B48" s="136" t="str">
        <f>IF(Sheet1!E52="","",Sheet1!E52)</f>
        <v/>
      </c>
      <c r="C48" s="136" t="str">
        <f>IF(Sheet1!P52="","",Sheet1!P52-Sheet1!FT98)</f>
        <v/>
      </c>
      <c r="D48" s="136" t="str">
        <f>IF(Sheet1!Q52="","",Sheet1!Q52)</f>
        <v/>
      </c>
      <c r="E48" s="136" t="str">
        <f>IF(Sheet1!R52="","",Sheet1!R52)</f>
        <v/>
      </c>
      <c r="F48" s="136" t="str">
        <f>IF(Sheet1!S52="","",Sheet1!S52)</f>
        <v/>
      </c>
      <c r="G48" s="136" t="str">
        <f>IF(Sheet1!T52="","",Sheet1!T52)</f>
        <v/>
      </c>
      <c r="H48" s="136" t="str">
        <f>IF(Sheet1!U52="","",Sheet1!U52)</f>
        <v/>
      </c>
      <c r="I48" s="136" t="str">
        <f>IF(Sheet1!V52="","",Sheet1!V52)</f>
        <v/>
      </c>
      <c r="J48" s="136" t="str">
        <f>IF(Sheet1!W52="","",Sheet1!W52)</f>
        <v/>
      </c>
      <c r="K48" s="136" t="str">
        <f>IF(Sheet1!X52="","",Sheet1!X52)</f>
        <v/>
      </c>
      <c r="L48" s="136" t="str">
        <f>IF(Sheet1!Y52="","",Sheet1!Y52)</f>
        <v/>
      </c>
      <c r="M48" s="136" t="str">
        <f>IF(Sheet1!Z52="","",Sheet1!Z52)</f>
        <v/>
      </c>
      <c r="N48" s="136" t="str">
        <f>IF(Sheet1!AA52="","",Sheet1!AA52)</f>
        <v/>
      </c>
      <c r="O48" s="136" t="e">
        <f t="shared" si="0"/>
        <v>#VALUE!</v>
      </c>
      <c r="P48" s="136">
        <f>IF(Sheet1!BR99="","",Sheet1!BR99)</f>
        <v>0</v>
      </c>
      <c r="Q48" s="136">
        <f>IF(B48="",0,IF(ISNUMBER(SEARCH("Yes",Sheet1!BD98)),75,100))</f>
        <v>0</v>
      </c>
      <c r="R48" s="136" t="str">
        <f>IF(Sheet1!AE52="","",Sheet1!AE52)</f>
        <v/>
      </c>
      <c r="S48" s="136" t="str">
        <f>IF(Sheet1!AU52="","",Sheet1!AU52)</f>
        <v/>
      </c>
      <c r="T48" s="136" t="str">
        <f>IF(Sheet1!J52="","",Sheet1!J52)</f>
        <v/>
      </c>
      <c r="U48" s="136" t="str">
        <f>IF(Sheet1!K52="","",Sheet1!K52)</f>
        <v/>
      </c>
      <c r="V48" s="136" t="str">
        <f>IF(Sheet1!L52="","",Sheet1!L52)</f>
        <v/>
      </c>
      <c r="W48" s="136" t="str">
        <f>IF(Sheet1!M52="","",Sheet1!M52)</f>
        <v/>
      </c>
      <c r="X48" s="136" t="str">
        <f>IF(Sheet1!N52="","",Sheet1!N52)</f>
        <v/>
      </c>
      <c r="Y48" s="136" t="str">
        <f>IF(Sheet1!O52="","",Sheet1!O52)</f>
        <v/>
      </c>
      <c r="Z48" s="136" t="str">
        <f>IF(Sheet1!G52="","",Sheet1!G52)</f>
        <v/>
      </c>
      <c r="AA48" s="136" t="str">
        <f>IF(Sheet1!F52="","",Sheet1!F52)</f>
        <v/>
      </c>
      <c r="AB48" s="136" t="str">
        <f>IF(Sheet1!E52="","",Sheet1!AP52)</f>
        <v/>
      </c>
      <c r="AC48" s="136">
        <f>IF(Sheet1!CV99="",0,Sheet1!CV99)</f>
        <v>0</v>
      </c>
      <c r="AD48" s="136">
        <f>IF(Sheet1!CW99="",0,Sheet1!CW99)</f>
        <v>0</v>
      </c>
      <c r="AE48" s="136">
        <f>IF(Sheet1!CX99="",0,Sheet1!CX99)</f>
        <v>0</v>
      </c>
      <c r="AF48" s="136">
        <f>IF(Sheet1!CY99="",0,Sheet1!CY99)</f>
        <v>0</v>
      </c>
      <c r="AG48" s="136">
        <f>IF(Sheet1!CZ99="",0,Sheet1!CZ99)</f>
        <v>0</v>
      </c>
      <c r="AH48" s="136">
        <f>IF(Sheet1!DA99="",0,Sheet1!DA99)</f>
        <v>0</v>
      </c>
      <c r="AI48" s="136">
        <f>IF(Sheet1!DB99="",0,Sheet1!DB99)</f>
        <v>0</v>
      </c>
      <c r="AJ48" s="136">
        <f>IF(Sheet1!DC99="",0,Sheet1!DC99)</f>
        <v>0</v>
      </c>
      <c r="AK48" s="136">
        <f>IF(Sheet1!DD99="",0,Sheet1!DD99)</f>
        <v>0</v>
      </c>
      <c r="AL48" s="136">
        <f>IF(Sheet1!DE99="",0,Sheet1!DE99)</f>
        <v>0</v>
      </c>
      <c r="AM48" s="136">
        <f>IF(Sheet1!DF99="",0,Sheet1!DF99)</f>
        <v>0</v>
      </c>
      <c r="AN48" s="136">
        <f>IF(Sheet1!DG99="",0,Sheet1!DG99)</f>
        <v>0</v>
      </c>
      <c r="AO48" s="136">
        <f>IF(Sheet1!DH99="",0,Sheet1!DH99)</f>
        <v>0</v>
      </c>
      <c r="AP48" s="136">
        <f>IF(Sheet1!DI99="",0,Sheet1!DI99)</f>
        <v>0</v>
      </c>
      <c r="AQ48" s="136">
        <f>IF(Sheet1!DJ99="",0,Sheet1!DJ99)</f>
        <v>0</v>
      </c>
      <c r="AR48" s="136">
        <f>IF(Sheet1!DK99="",0,Sheet1!DK99)</f>
        <v>0</v>
      </c>
      <c r="AS48" s="136">
        <f>IF(Sheet1!DL99="",0,Sheet1!DL99)</f>
        <v>0</v>
      </c>
      <c r="AT48" s="136">
        <f>IF(Sheet1!DM99="",0,Sheet1!DM99)</f>
        <v>0</v>
      </c>
      <c r="AU48" s="136">
        <f>IF(Sheet1!DN99="",0,Sheet1!DN99)</f>
        <v>0</v>
      </c>
      <c r="AV48" s="136">
        <f>IF(Sheet1!DO99="",0,Sheet1!DO99)</f>
        <v>0</v>
      </c>
      <c r="AW48">
        <f t="shared" si="1"/>
        <v>0</v>
      </c>
    </row>
    <row r="49" spans="1:49">
      <c r="A49" s="136" t="str">
        <f>Sheet1!B53</f>
        <v/>
      </c>
      <c r="B49" s="136" t="str">
        <f>IF(Sheet1!E53="","",Sheet1!E53)</f>
        <v/>
      </c>
      <c r="C49" s="136" t="str">
        <f>IF(Sheet1!P53="","",Sheet1!P53-Sheet1!FT100)</f>
        <v/>
      </c>
      <c r="D49" s="136" t="str">
        <f>IF(Sheet1!Q53="","",Sheet1!Q53)</f>
        <v/>
      </c>
      <c r="E49" s="136" t="str">
        <f>IF(Sheet1!R53="","",Sheet1!R53)</f>
        <v/>
      </c>
      <c r="F49" s="136" t="str">
        <f>IF(Sheet1!S53="","",Sheet1!S53)</f>
        <v/>
      </c>
      <c r="G49" s="136" t="str">
        <f>IF(Sheet1!T53="","",Sheet1!T53)</f>
        <v/>
      </c>
      <c r="H49" s="136" t="str">
        <f>IF(Sheet1!U53="","",Sheet1!U53)</f>
        <v/>
      </c>
      <c r="I49" s="136" t="str">
        <f>IF(Sheet1!V53="","",Sheet1!V53)</f>
        <v/>
      </c>
      <c r="J49" s="136" t="str">
        <f>IF(Sheet1!W53="","",Sheet1!W53)</f>
        <v/>
      </c>
      <c r="K49" s="136" t="str">
        <f>IF(Sheet1!X53="","",Sheet1!X53)</f>
        <v/>
      </c>
      <c r="L49" s="136" t="str">
        <f>IF(Sheet1!Y53="","",Sheet1!Y53)</f>
        <v/>
      </c>
      <c r="M49" s="136" t="str">
        <f>IF(Sheet1!Z53="","",Sheet1!Z53)</f>
        <v/>
      </c>
      <c r="N49" s="136" t="str">
        <f>IF(Sheet1!AA53="","",Sheet1!AA53)</f>
        <v/>
      </c>
      <c r="O49" s="136" t="e">
        <f t="shared" si="0"/>
        <v>#VALUE!</v>
      </c>
      <c r="P49" s="136">
        <f>IF(Sheet1!BR101="","",Sheet1!BR101)</f>
        <v>0</v>
      </c>
      <c r="Q49" s="136">
        <f>IF(B49="",0,IF(ISNUMBER(SEARCH("Yes",Sheet1!BD100)),75,100))</f>
        <v>0</v>
      </c>
      <c r="R49" s="136" t="str">
        <f>IF(Sheet1!AE53="","",Sheet1!AE53)</f>
        <v/>
      </c>
      <c r="S49" s="136" t="str">
        <f>IF(Sheet1!AU53="","",Sheet1!AU53)</f>
        <v/>
      </c>
      <c r="T49" s="136" t="str">
        <f>IF(Sheet1!J53="","",Sheet1!J53)</f>
        <v/>
      </c>
      <c r="U49" s="136" t="str">
        <f>IF(Sheet1!K53="","",Sheet1!K53)</f>
        <v/>
      </c>
      <c r="V49" s="136" t="str">
        <f>IF(Sheet1!L53="","",Sheet1!L53)</f>
        <v/>
      </c>
      <c r="W49" s="136" t="str">
        <f>IF(Sheet1!M53="","",Sheet1!M53)</f>
        <v/>
      </c>
      <c r="X49" s="136" t="str">
        <f>IF(Sheet1!N53="","",Sheet1!N53)</f>
        <v/>
      </c>
      <c r="Y49" s="136" t="str">
        <f>IF(Sheet1!O53="","",Sheet1!O53)</f>
        <v/>
      </c>
      <c r="Z49" s="136" t="str">
        <f>IF(Sheet1!G53="","",Sheet1!G53)</f>
        <v/>
      </c>
      <c r="AA49" s="136" t="str">
        <f>IF(Sheet1!F53="","",Sheet1!F53)</f>
        <v/>
      </c>
      <c r="AB49" s="136" t="str">
        <f>IF(Sheet1!E53="","",Sheet1!AP53)</f>
        <v/>
      </c>
      <c r="AC49" s="136">
        <f>IF(Sheet1!CV101="",0,Sheet1!CV101)</f>
        <v>0</v>
      </c>
      <c r="AD49" s="136">
        <f>IF(Sheet1!CW101="",0,Sheet1!CW101)</f>
        <v>0</v>
      </c>
      <c r="AE49" s="136">
        <f>IF(Sheet1!CX101="",0,Sheet1!CX101)</f>
        <v>0</v>
      </c>
      <c r="AF49" s="136">
        <f>IF(Sheet1!CY101="",0,Sheet1!CY101)</f>
        <v>0</v>
      </c>
      <c r="AG49" s="136">
        <f>IF(Sheet1!CZ101="",0,Sheet1!CZ101)</f>
        <v>0</v>
      </c>
      <c r="AH49" s="136">
        <f>IF(Sheet1!DA101="",0,Sheet1!DA101)</f>
        <v>0</v>
      </c>
      <c r="AI49" s="136">
        <f>IF(Sheet1!DB101="",0,Sheet1!DB101)</f>
        <v>0</v>
      </c>
      <c r="AJ49" s="136">
        <f>IF(Sheet1!DC101="",0,Sheet1!DC101)</f>
        <v>0</v>
      </c>
      <c r="AK49" s="136">
        <f>IF(Sheet1!DD101="",0,Sheet1!DD101)</f>
        <v>0</v>
      </c>
      <c r="AL49" s="136">
        <f>IF(Sheet1!DE101="",0,Sheet1!DE101)</f>
        <v>0</v>
      </c>
      <c r="AM49" s="136">
        <f>IF(Sheet1!DF101="",0,Sheet1!DF101)</f>
        <v>0</v>
      </c>
      <c r="AN49" s="136">
        <f>IF(Sheet1!DG101="",0,Sheet1!DG101)</f>
        <v>0</v>
      </c>
      <c r="AO49" s="136">
        <f>IF(Sheet1!DH101="",0,Sheet1!DH101)</f>
        <v>0</v>
      </c>
      <c r="AP49" s="136">
        <f>IF(Sheet1!DI101="",0,Sheet1!DI101)</f>
        <v>0</v>
      </c>
      <c r="AQ49" s="136">
        <f>IF(Sheet1!DJ101="",0,Sheet1!DJ101)</f>
        <v>0</v>
      </c>
      <c r="AR49" s="136">
        <f>IF(Sheet1!DK101="",0,Sheet1!DK101)</f>
        <v>0</v>
      </c>
      <c r="AS49" s="136">
        <f>IF(Sheet1!DL101="",0,Sheet1!DL101)</f>
        <v>0</v>
      </c>
      <c r="AT49" s="136">
        <f>IF(Sheet1!DM101="",0,Sheet1!DM101)</f>
        <v>0</v>
      </c>
      <c r="AU49" s="136">
        <f>IF(Sheet1!DN101="",0,Sheet1!DN101)</f>
        <v>0</v>
      </c>
      <c r="AV49" s="136">
        <f>IF(Sheet1!DO101="",0,Sheet1!DO101)</f>
        <v>0</v>
      </c>
      <c r="AW49">
        <f t="shared" si="1"/>
        <v>0</v>
      </c>
    </row>
    <row r="50" spans="1:49">
      <c r="A50" s="136" t="str">
        <f>Sheet1!B54</f>
        <v/>
      </c>
      <c r="B50" s="136" t="str">
        <f>IF(Sheet1!E54="","",Sheet1!E54)</f>
        <v/>
      </c>
      <c r="C50" s="136" t="str">
        <f>IF(Sheet1!P54="","",Sheet1!P54-Sheet1!FT102)</f>
        <v/>
      </c>
      <c r="D50" s="136" t="str">
        <f>IF(Sheet1!Q54="","",Sheet1!Q54)</f>
        <v/>
      </c>
      <c r="E50" s="136" t="str">
        <f>IF(Sheet1!R54="","",Sheet1!R54)</f>
        <v/>
      </c>
      <c r="F50" s="136" t="str">
        <f>IF(Sheet1!S54="","",Sheet1!S54)</f>
        <v/>
      </c>
      <c r="G50" s="136" t="str">
        <f>IF(Sheet1!T54="","",Sheet1!T54)</f>
        <v/>
      </c>
      <c r="H50" s="136" t="str">
        <f>IF(Sheet1!U54="","",Sheet1!U54)</f>
        <v/>
      </c>
      <c r="I50" s="136" t="str">
        <f>IF(Sheet1!V54="","",Sheet1!V54)</f>
        <v/>
      </c>
      <c r="J50" s="136" t="str">
        <f>IF(Sheet1!W54="","",Sheet1!W54)</f>
        <v/>
      </c>
      <c r="K50" s="136" t="str">
        <f>IF(Sheet1!X54="","",Sheet1!X54)</f>
        <v/>
      </c>
      <c r="L50" s="136" t="str">
        <f>IF(Sheet1!Y54="","",Sheet1!Y54)</f>
        <v/>
      </c>
      <c r="M50" s="136" t="str">
        <f>IF(Sheet1!Z54="","",Sheet1!Z54)</f>
        <v/>
      </c>
      <c r="N50" s="136" t="str">
        <f>IF(Sheet1!AA54="","",Sheet1!AA54)</f>
        <v/>
      </c>
      <c r="O50" s="136" t="e">
        <f t="shared" si="0"/>
        <v>#VALUE!</v>
      </c>
      <c r="P50" s="136">
        <f>IF(Sheet1!BR103="","",Sheet1!BR103)</f>
        <v>0</v>
      </c>
      <c r="Q50" s="136">
        <f>IF(B50="",0,IF(ISNUMBER(SEARCH("Yes",Sheet1!BD102)),75,100))</f>
        <v>0</v>
      </c>
      <c r="R50" s="136" t="str">
        <f>IF(Sheet1!AE54="","",Sheet1!AE54)</f>
        <v/>
      </c>
      <c r="S50" s="136" t="str">
        <f>IF(Sheet1!AU54="","",Sheet1!AU54)</f>
        <v/>
      </c>
      <c r="T50" s="136" t="str">
        <f>IF(Sheet1!J54="","",Sheet1!J54)</f>
        <v/>
      </c>
      <c r="U50" s="136" t="str">
        <f>IF(Sheet1!K54="","",Sheet1!K54)</f>
        <v/>
      </c>
      <c r="V50" s="136" t="str">
        <f>IF(Sheet1!L54="","",Sheet1!L54)</f>
        <v/>
      </c>
      <c r="W50" s="136" t="str">
        <f>IF(Sheet1!M54="","",Sheet1!M54)</f>
        <v/>
      </c>
      <c r="X50" s="136" t="str">
        <f>IF(Sheet1!N54="","",Sheet1!N54)</f>
        <v/>
      </c>
      <c r="Y50" s="136" t="str">
        <f>IF(Sheet1!O54="","",Sheet1!O54)</f>
        <v/>
      </c>
      <c r="Z50" s="136" t="str">
        <f>IF(Sheet1!G54="","",Sheet1!G54)</f>
        <v/>
      </c>
      <c r="AA50" s="136" t="str">
        <f>IF(Sheet1!F54="","",Sheet1!F54)</f>
        <v/>
      </c>
      <c r="AB50" s="136" t="str">
        <f>IF(Sheet1!E54="","",Sheet1!AP54)</f>
        <v/>
      </c>
      <c r="AC50" s="136">
        <f>IF(Sheet1!CV103="",0,Sheet1!CV103)</f>
        <v>0</v>
      </c>
      <c r="AD50" s="136">
        <f>IF(Sheet1!CW103="",0,Sheet1!CW103)</f>
        <v>0</v>
      </c>
      <c r="AE50" s="136">
        <f>IF(Sheet1!CX103="",0,Sheet1!CX103)</f>
        <v>0</v>
      </c>
      <c r="AF50" s="136">
        <f>IF(Sheet1!CY103="",0,Sheet1!CY103)</f>
        <v>0</v>
      </c>
      <c r="AG50" s="136">
        <f>IF(Sheet1!CZ103="",0,Sheet1!CZ103)</f>
        <v>0</v>
      </c>
      <c r="AH50" s="136">
        <f>IF(Sheet1!DA103="",0,Sheet1!DA103)</f>
        <v>0</v>
      </c>
      <c r="AI50" s="136">
        <f>IF(Sheet1!DB103="",0,Sheet1!DB103)</f>
        <v>0</v>
      </c>
      <c r="AJ50" s="136">
        <f>IF(Sheet1!DC103="",0,Sheet1!DC103)</f>
        <v>0</v>
      </c>
      <c r="AK50" s="136">
        <f>IF(Sheet1!DD103="",0,Sheet1!DD103)</f>
        <v>0</v>
      </c>
      <c r="AL50" s="136">
        <f>IF(Sheet1!DE103="",0,Sheet1!DE103)</f>
        <v>0</v>
      </c>
      <c r="AM50" s="136">
        <f>IF(Sheet1!DF103="",0,Sheet1!DF103)</f>
        <v>0</v>
      </c>
      <c r="AN50" s="136">
        <f>IF(Sheet1!DG103="",0,Sheet1!DG103)</f>
        <v>0</v>
      </c>
      <c r="AO50" s="136">
        <f>IF(Sheet1!DH103="",0,Sheet1!DH103)</f>
        <v>0</v>
      </c>
      <c r="AP50" s="136">
        <f>IF(Sheet1!DI103="",0,Sheet1!DI103)</f>
        <v>0</v>
      </c>
      <c r="AQ50" s="136">
        <f>IF(Sheet1!DJ103="",0,Sheet1!DJ103)</f>
        <v>0</v>
      </c>
      <c r="AR50" s="136">
        <f>IF(Sheet1!DK103="",0,Sheet1!DK103)</f>
        <v>0</v>
      </c>
      <c r="AS50" s="136">
        <f>IF(Sheet1!DL103="",0,Sheet1!DL103)</f>
        <v>0</v>
      </c>
      <c r="AT50" s="136">
        <f>IF(Sheet1!DM103="",0,Sheet1!DM103)</f>
        <v>0</v>
      </c>
      <c r="AU50" s="136">
        <f>IF(Sheet1!DN103="",0,Sheet1!DN103)</f>
        <v>0</v>
      </c>
      <c r="AV50" s="136">
        <f>IF(Sheet1!DO103="",0,Sheet1!DO103)</f>
        <v>0</v>
      </c>
      <c r="AW50">
        <f t="shared" si="1"/>
        <v>0</v>
      </c>
    </row>
    <row r="51" spans="1:49">
      <c r="A51" s="136" t="str">
        <f>Sheet1!B55</f>
        <v/>
      </c>
      <c r="B51" s="136" t="str">
        <f>IF(Sheet1!E55="","",Sheet1!E55)</f>
        <v/>
      </c>
      <c r="C51" s="136" t="str">
        <f>IF(Sheet1!P55="","",Sheet1!P55-Sheet1!FT104)</f>
        <v/>
      </c>
      <c r="D51" s="136" t="str">
        <f>IF(Sheet1!Q55="","",Sheet1!Q55)</f>
        <v/>
      </c>
      <c r="E51" s="136" t="str">
        <f>IF(Sheet1!R55="","",Sheet1!R55)</f>
        <v/>
      </c>
      <c r="F51" s="136" t="str">
        <f>IF(Sheet1!S55="","",Sheet1!S55)</f>
        <v/>
      </c>
      <c r="G51" s="136" t="str">
        <f>IF(Sheet1!T55="","",Sheet1!T55)</f>
        <v/>
      </c>
      <c r="H51" s="136" t="str">
        <f>IF(Sheet1!U55="","",Sheet1!U55)</f>
        <v/>
      </c>
      <c r="I51" s="136" t="str">
        <f>IF(Sheet1!V55="","",Sheet1!V55)</f>
        <v/>
      </c>
      <c r="J51" s="136" t="str">
        <f>IF(Sheet1!W55="","",Sheet1!W55)</f>
        <v/>
      </c>
      <c r="K51" s="136" t="str">
        <f>IF(Sheet1!X55="","",Sheet1!X55)</f>
        <v/>
      </c>
      <c r="L51" s="136" t="str">
        <f>IF(Sheet1!Y55="","",Sheet1!Y55)</f>
        <v/>
      </c>
      <c r="M51" s="136" t="str">
        <f>IF(Sheet1!Z55="","",Sheet1!Z55)</f>
        <v/>
      </c>
      <c r="N51" s="136" t="str">
        <f>IF(Sheet1!AA55="","",Sheet1!AA55)</f>
        <v/>
      </c>
      <c r="O51" s="136" t="e">
        <f t="shared" si="0"/>
        <v>#VALUE!</v>
      </c>
      <c r="P51" s="136">
        <f>IF(Sheet1!BR105="","",Sheet1!BR105)</f>
        <v>0</v>
      </c>
      <c r="Q51" s="136">
        <f>IF(B51="",0,IF(ISNUMBER(SEARCH("Yes",Sheet1!BD104)),75,100))</f>
        <v>0</v>
      </c>
      <c r="R51" s="136" t="str">
        <f>IF(Sheet1!AE55="","",Sheet1!AE55)</f>
        <v/>
      </c>
      <c r="S51" s="136" t="str">
        <f>IF(Sheet1!AU55="","",Sheet1!AU55)</f>
        <v/>
      </c>
      <c r="T51" s="136" t="str">
        <f>IF(Sheet1!J55="","",Sheet1!J55)</f>
        <v/>
      </c>
      <c r="U51" s="136" t="str">
        <f>IF(Sheet1!K55="","",Sheet1!K55)</f>
        <v/>
      </c>
      <c r="V51" s="136" t="str">
        <f>IF(Sheet1!L55="","",Sheet1!L55)</f>
        <v/>
      </c>
      <c r="W51" s="136" t="str">
        <f>IF(Sheet1!M55="","",Sheet1!M55)</f>
        <v/>
      </c>
      <c r="X51" s="136" t="str">
        <f>IF(Sheet1!N55="","",Sheet1!N55)</f>
        <v/>
      </c>
      <c r="Y51" s="136" t="str">
        <f>IF(Sheet1!O55="","",Sheet1!O55)</f>
        <v/>
      </c>
      <c r="Z51" s="136" t="str">
        <f>IF(Sheet1!G55="","",Sheet1!G55)</f>
        <v/>
      </c>
      <c r="AA51" s="136" t="str">
        <f>IF(Sheet1!F55="","",Sheet1!F55)</f>
        <v/>
      </c>
      <c r="AB51" s="136" t="str">
        <f>IF(Sheet1!E55="","",Sheet1!AP55)</f>
        <v/>
      </c>
      <c r="AC51" s="136">
        <f>IF(Sheet1!CV105="",0,Sheet1!CV105)</f>
        <v>0</v>
      </c>
      <c r="AD51" s="136">
        <f>IF(Sheet1!CW105="",0,Sheet1!CW105)</f>
        <v>0</v>
      </c>
      <c r="AE51" s="136">
        <f>IF(Sheet1!CX105="",0,Sheet1!CX105)</f>
        <v>0</v>
      </c>
      <c r="AF51" s="136">
        <f>IF(Sheet1!CY105="",0,Sheet1!CY105)</f>
        <v>0</v>
      </c>
      <c r="AG51" s="136">
        <f>IF(Sheet1!CZ105="",0,Sheet1!CZ105)</f>
        <v>0</v>
      </c>
      <c r="AH51" s="136">
        <f>IF(Sheet1!DA105="",0,Sheet1!DA105)</f>
        <v>0</v>
      </c>
      <c r="AI51" s="136">
        <f>IF(Sheet1!DB105="",0,Sheet1!DB105)</f>
        <v>0</v>
      </c>
      <c r="AJ51" s="136">
        <f>IF(Sheet1!DC105="",0,Sheet1!DC105)</f>
        <v>0</v>
      </c>
      <c r="AK51" s="136">
        <f>IF(Sheet1!DD105="",0,Sheet1!DD105)</f>
        <v>0</v>
      </c>
      <c r="AL51" s="136">
        <f>IF(Sheet1!DE105="",0,Sheet1!DE105)</f>
        <v>0</v>
      </c>
      <c r="AM51" s="136">
        <f>IF(Sheet1!DF105="",0,Sheet1!DF105)</f>
        <v>0</v>
      </c>
      <c r="AN51" s="136">
        <f>IF(Sheet1!DG105="",0,Sheet1!DG105)</f>
        <v>0</v>
      </c>
      <c r="AO51" s="136">
        <f>IF(Sheet1!DH105="",0,Sheet1!DH105)</f>
        <v>0</v>
      </c>
      <c r="AP51" s="136">
        <f>IF(Sheet1!DI105="",0,Sheet1!DI105)</f>
        <v>0</v>
      </c>
      <c r="AQ51" s="136">
        <f>IF(Sheet1!DJ105="",0,Sheet1!DJ105)</f>
        <v>0</v>
      </c>
      <c r="AR51" s="136">
        <f>IF(Sheet1!DK105="",0,Sheet1!DK105)</f>
        <v>0</v>
      </c>
      <c r="AS51" s="136">
        <f>IF(Sheet1!DL105="",0,Sheet1!DL105)</f>
        <v>0</v>
      </c>
      <c r="AT51" s="136">
        <f>IF(Sheet1!DM105="",0,Sheet1!DM105)</f>
        <v>0</v>
      </c>
      <c r="AU51" s="136">
        <f>IF(Sheet1!DN105="",0,Sheet1!DN105)</f>
        <v>0</v>
      </c>
      <c r="AV51" s="136">
        <f>IF(Sheet1!DO105="",0,Sheet1!DO105)</f>
        <v>0</v>
      </c>
      <c r="AW51">
        <f t="shared" si="1"/>
        <v>0</v>
      </c>
    </row>
    <row r="52" spans="1:49">
      <c r="A52" s="136" t="str">
        <f>Sheet1!B56</f>
        <v/>
      </c>
      <c r="B52" s="136" t="str">
        <f>IF(Sheet1!E56="","",Sheet1!E56)</f>
        <v/>
      </c>
      <c r="C52" s="136" t="str">
        <f>IF(Sheet1!P56="","",Sheet1!P56-Sheet1!FT106)</f>
        <v/>
      </c>
      <c r="D52" s="136" t="str">
        <f>IF(Sheet1!Q56="","",Sheet1!Q56)</f>
        <v/>
      </c>
      <c r="E52" s="136" t="str">
        <f>IF(Sheet1!R56="","",Sheet1!R56)</f>
        <v/>
      </c>
      <c r="F52" s="136" t="str">
        <f>IF(Sheet1!S56="","",Sheet1!S56)</f>
        <v/>
      </c>
      <c r="G52" s="136" t="str">
        <f>IF(Sheet1!T56="","",Sheet1!T56)</f>
        <v/>
      </c>
      <c r="H52" s="136" t="str">
        <f>IF(Sheet1!U56="","",Sheet1!U56)</f>
        <v/>
      </c>
      <c r="I52" s="136" t="str">
        <f>IF(Sheet1!V56="","",Sheet1!V56)</f>
        <v/>
      </c>
      <c r="J52" s="136" t="str">
        <f>IF(Sheet1!W56="","",Sheet1!W56)</f>
        <v/>
      </c>
      <c r="K52" s="136" t="str">
        <f>IF(Sheet1!X56="","",Sheet1!X56)</f>
        <v/>
      </c>
      <c r="L52" s="136" t="str">
        <f>IF(Sheet1!Y56="","",Sheet1!Y56)</f>
        <v/>
      </c>
      <c r="M52" s="136" t="str">
        <f>IF(Sheet1!Z56="","",Sheet1!Z56)</f>
        <v/>
      </c>
      <c r="N52" s="136" t="str">
        <f>IF(Sheet1!AA56="","",Sheet1!AA56)</f>
        <v/>
      </c>
      <c r="O52" s="136" t="e">
        <f t="shared" si="0"/>
        <v>#VALUE!</v>
      </c>
      <c r="P52" s="136">
        <f>IF(Sheet1!BR107="","",Sheet1!BR107)</f>
        <v>0</v>
      </c>
      <c r="Q52" s="136">
        <f>IF(B52="",0,IF(ISNUMBER(SEARCH("Yes",Sheet1!BD106)),75,100))</f>
        <v>0</v>
      </c>
      <c r="R52" s="136" t="str">
        <f>IF(Sheet1!AE56="","",Sheet1!AE56)</f>
        <v/>
      </c>
      <c r="S52" s="136" t="str">
        <f>IF(Sheet1!AU56="","",Sheet1!AU56)</f>
        <v/>
      </c>
      <c r="T52" s="136" t="str">
        <f>IF(Sheet1!J56="","",Sheet1!J56)</f>
        <v/>
      </c>
      <c r="U52" s="136" t="str">
        <f>IF(Sheet1!K56="","",Sheet1!K56)</f>
        <v/>
      </c>
      <c r="V52" s="136" t="str">
        <f>IF(Sheet1!L56="","",Sheet1!L56)</f>
        <v/>
      </c>
      <c r="W52" s="136" t="str">
        <f>IF(Sheet1!M56="","",Sheet1!M56)</f>
        <v/>
      </c>
      <c r="X52" s="136" t="str">
        <f>IF(Sheet1!N56="","",Sheet1!N56)</f>
        <v/>
      </c>
      <c r="Y52" s="136" t="str">
        <f>IF(Sheet1!O56="","",Sheet1!O56)</f>
        <v/>
      </c>
      <c r="Z52" s="136" t="str">
        <f>IF(Sheet1!G56="","",Sheet1!G56)</f>
        <v/>
      </c>
      <c r="AA52" s="136" t="str">
        <f>IF(Sheet1!F56="","",Sheet1!F56)</f>
        <v/>
      </c>
      <c r="AB52" s="136" t="str">
        <f>IF(Sheet1!E56="","",Sheet1!AP56)</f>
        <v/>
      </c>
      <c r="AC52" s="136">
        <f>IF(Sheet1!CV107="",0,Sheet1!CV107)</f>
        <v>0</v>
      </c>
      <c r="AD52" s="136">
        <f>IF(Sheet1!CW107="",0,Sheet1!CW107)</f>
        <v>0</v>
      </c>
      <c r="AE52" s="136">
        <f>IF(Sheet1!CX107="",0,Sheet1!CX107)</f>
        <v>0</v>
      </c>
      <c r="AF52" s="136">
        <f>IF(Sheet1!CY107="",0,Sheet1!CY107)</f>
        <v>0</v>
      </c>
      <c r="AG52" s="136">
        <f>IF(Sheet1!CZ107="",0,Sheet1!CZ107)</f>
        <v>0</v>
      </c>
      <c r="AH52" s="136">
        <f>IF(Sheet1!DA107="",0,Sheet1!DA107)</f>
        <v>0</v>
      </c>
      <c r="AI52" s="136">
        <f>IF(Sheet1!DB107="",0,Sheet1!DB107)</f>
        <v>0</v>
      </c>
      <c r="AJ52" s="136">
        <f>IF(Sheet1!DC107="",0,Sheet1!DC107)</f>
        <v>0</v>
      </c>
      <c r="AK52" s="136">
        <f>IF(Sheet1!DD107="",0,Sheet1!DD107)</f>
        <v>0</v>
      </c>
      <c r="AL52" s="136">
        <f>IF(Sheet1!DE107="",0,Sheet1!DE107)</f>
        <v>0</v>
      </c>
      <c r="AM52" s="136">
        <f>IF(Sheet1!DF107="",0,Sheet1!DF107)</f>
        <v>0</v>
      </c>
      <c r="AN52" s="136">
        <f>IF(Sheet1!DG107="",0,Sheet1!DG107)</f>
        <v>0</v>
      </c>
      <c r="AO52" s="136">
        <f>IF(Sheet1!DH107="",0,Sheet1!DH107)</f>
        <v>0</v>
      </c>
      <c r="AP52" s="136">
        <f>IF(Sheet1!DI107="",0,Sheet1!DI107)</f>
        <v>0</v>
      </c>
      <c r="AQ52" s="136">
        <f>IF(Sheet1!DJ107="",0,Sheet1!DJ107)</f>
        <v>0</v>
      </c>
      <c r="AR52" s="136">
        <f>IF(Sheet1!DK107="",0,Sheet1!DK107)</f>
        <v>0</v>
      </c>
      <c r="AS52" s="136">
        <f>IF(Sheet1!DL107="",0,Sheet1!DL107)</f>
        <v>0</v>
      </c>
      <c r="AT52" s="136">
        <f>IF(Sheet1!DM107="",0,Sheet1!DM107)</f>
        <v>0</v>
      </c>
      <c r="AU52" s="136">
        <f>IF(Sheet1!DN107="",0,Sheet1!DN107)</f>
        <v>0</v>
      </c>
      <c r="AV52" s="136">
        <f>IF(Sheet1!DO107="",0,Sheet1!DO107)</f>
        <v>0</v>
      </c>
      <c r="AW52">
        <f t="shared" si="1"/>
        <v>0</v>
      </c>
    </row>
    <row r="53" spans="1:49">
      <c r="A53" s="136" t="str">
        <f>Sheet1!B57</f>
        <v/>
      </c>
      <c r="B53" s="136" t="str">
        <f>IF(Sheet1!E57="","",Sheet1!E57)</f>
        <v/>
      </c>
      <c r="C53" s="136" t="str">
        <f>IF(Sheet1!P57="","",Sheet1!P57-Sheet1!FT108)</f>
        <v/>
      </c>
      <c r="D53" s="136" t="str">
        <f>IF(Sheet1!Q57="","",Sheet1!Q57)</f>
        <v/>
      </c>
      <c r="E53" s="136" t="str">
        <f>IF(Sheet1!R57="","",Sheet1!R57)</f>
        <v/>
      </c>
      <c r="F53" s="136" t="str">
        <f>IF(Sheet1!S57="","",Sheet1!S57)</f>
        <v/>
      </c>
      <c r="G53" s="136" t="str">
        <f>IF(Sheet1!T57="","",Sheet1!T57)</f>
        <v/>
      </c>
      <c r="H53" s="136" t="str">
        <f>IF(Sheet1!U57="","",Sheet1!U57)</f>
        <v/>
      </c>
      <c r="I53" s="136" t="str">
        <f>IF(Sheet1!V57="","",Sheet1!V57)</f>
        <v/>
      </c>
      <c r="J53" s="136" t="str">
        <f>IF(Sheet1!W57="","",Sheet1!W57)</f>
        <v/>
      </c>
      <c r="K53" s="136" t="str">
        <f>IF(Sheet1!X57="","",Sheet1!X57)</f>
        <v/>
      </c>
      <c r="L53" s="136" t="str">
        <f>IF(Sheet1!Y57="","",Sheet1!Y57)</f>
        <v/>
      </c>
      <c r="M53" s="136" t="str">
        <f>IF(Sheet1!Z57="","",Sheet1!Z57)</f>
        <v/>
      </c>
      <c r="N53" s="136" t="str">
        <f>IF(Sheet1!AA57="","",Sheet1!AA57)</f>
        <v/>
      </c>
      <c r="O53" s="136" t="e">
        <f t="shared" si="0"/>
        <v>#VALUE!</v>
      </c>
      <c r="P53" s="136">
        <f>IF(Sheet1!BR109="","",Sheet1!BR109)</f>
        <v>0</v>
      </c>
      <c r="Q53" s="136">
        <f>IF(B53="",0,IF(ISNUMBER(SEARCH("Yes",Sheet1!BD108)),75,100))</f>
        <v>0</v>
      </c>
      <c r="R53" s="136" t="str">
        <f>IF(Sheet1!AE57="","",Sheet1!AE57)</f>
        <v/>
      </c>
      <c r="S53" s="136" t="str">
        <f>IF(Sheet1!AU57="","",Sheet1!AU57)</f>
        <v/>
      </c>
      <c r="T53" s="136" t="str">
        <f>IF(Sheet1!J57="","",Sheet1!J57)</f>
        <v/>
      </c>
      <c r="U53" s="136" t="str">
        <f>IF(Sheet1!K57="","",Sheet1!K57)</f>
        <v/>
      </c>
      <c r="V53" s="136" t="str">
        <f>IF(Sheet1!L57="","",Sheet1!L57)</f>
        <v/>
      </c>
      <c r="W53" s="136" t="str">
        <f>IF(Sheet1!M57="","",Sheet1!M57)</f>
        <v/>
      </c>
      <c r="X53" s="136" t="str">
        <f>IF(Sheet1!N57="","",Sheet1!N57)</f>
        <v/>
      </c>
      <c r="Y53" s="136" t="str">
        <f>IF(Sheet1!O57="","",Sheet1!O57)</f>
        <v/>
      </c>
      <c r="Z53" s="136" t="str">
        <f>IF(Sheet1!G57="","",Sheet1!G57)</f>
        <v/>
      </c>
      <c r="AA53" s="136" t="str">
        <f>IF(Sheet1!F57="","",Sheet1!F57)</f>
        <v/>
      </c>
      <c r="AB53" s="136" t="str">
        <f>IF(Sheet1!E57="","",Sheet1!AP57)</f>
        <v/>
      </c>
      <c r="AC53" s="136">
        <f>IF(Sheet1!CV109="",0,Sheet1!CV109)</f>
        <v>0</v>
      </c>
      <c r="AD53" s="136">
        <f>IF(Sheet1!CW109="",0,Sheet1!CW109)</f>
        <v>0</v>
      </c>
      <c r="AE53" s="136">
        <f>IF(Sheet1!CX109="",0,Sheet1!CX109)</f>
        <v>0</v>
      </c>
      <c r="AF53" s="136">
        <f>IF(Sheet1!CY109="",0,Sheet1!CY109)</f>
        <v>0</v>
      </c>
      <c r="AG53" s="136">
        <f>IF(Sheet1!CZ109="",0,Sheet1!CZ109)</f>
        <v>0</v>
      </c>
      <c r="AH53" s="136">
        <f>IF(Sheet1!DA109="",0,Sheet1!DA109)</f>
        <v>0</v>
      </c>
      <c r="AI53" s="136">
        <f>IF(Sheet1!DB109="",0,Sheet1!DB109)</f>
        <v>0</v>
      </c>
      <c r="AJ53" s="136">
        <f>IF(Sheet1!DC109="",0,Sheet1!DC109)</f>
        <v>0</v>
      </c>
      <c r="AK53" s="136">
        <f>IF(Sheet1!DD109="",0,Sheet1!DD109)</f>
        <v>0</v>
      </c>
      <c r="AL53" s="136">
        <f>IF(Sheet1!DE109="",0,Sheet1!DE109)</f>
        <v>0</v>
      </c>
      <c r="AM53" s="136">
        <f>IF(Sheet1!DF109="",0,Sheet1!DF109)</f>
        <v>0</v>
      </c>
      <c r="AN53" s="136">
        <f>IF(Sheet1!DG109="",0,Sheet1!DG109)</f>
        <v>0</v>
      </c>
      <c r="AO53" s="136">
        <f>IF(Sheet1!DH109="",0,Sheet1!DH109)</f>
        <v>0</v>
      </c>
      <c r="AP53" s="136">
        <f>IF(Sheet1!DI109="",0,Sheet1!DI109)</f>
        <v>0</v>
      </c>
      <c r="AQ53" s="136">
        <f>IF(Sheet1!DJ109="",0,Sheet1!DJ109)</f>
        <v>0</v>
      </c>
      <c r="AR53" s="136">
        <f>IF(Sheet1!DK109="",0,Sheet1!DK109)</f>
        <v>0</v>
      </c>
      <c r="AS53" s="136">
        <f>IF(Sheet1!DL109="",0,Sheet1!DL109)</f>
        <v>0</v>
      </c>
      <c r="AT53" s="136">
        <f>IF(Sheet1!DM109="",0,Sheet1!DM109)</f>
        <v>0</v>
      </c>
      <c r="AU53" s="136">
        <f>IF(Sheet1!DN109="",0,Sheet1!DN109)</f>
        <v>0</v>
      </c>
      <c r="AV53" s="136">
        <f>IF(Sheet1!DO109="",0,Sheet1!DO109)</f>
        <v>0</v>
      </c>
      <c r="AW53">
        <f t="shared" si="1"/>
        <v>0</v>
      </c>
    </row>
    <row r="54" spans="1:49">
      <c r="A54" s="136" t="str">
        <f>Sheet1!B58</f>
        <v/>
      </c>
      <c r="B54" s="136" t="str">
        <f>IF(Sheet1!E58="","",Sheet1!E58)</f>
        <v/>
      </c>
      <c r="C54" s="136" t="str">
        <f>IF(Sheet1!P58="","",Sheet1!P58-Sheet1!FT110)</f>
        <v/>
      </c>
      <c r="D54" s="136" t="str">
        <f>IF(Sheet1!Q58="","",Sheet1!Q58)</f>
        <v/>
      </c>
      <c r="E54" s="136" t="str">
        <f>IF(Sheet1!R58="","",Sheet1!R58)</f>
        <v/>
      </c>
      <c r="F54" s="136" t="str">
        <f>IF(Sheet1!S58="","",Sheet1!S58)</f>
        <v/>
      </c>
      <c r="G54" s="136" t="str">
        <f>IF(Sheet1!T58="","",Sheet1!T58)</f>
        <v/>
      </c>
      <c r="H54" s="136" t="str">
        <f>IF(Sheet1!U58="","",Sheet1!U58)</f>
        <v/>
      </c>
      <c r="I54" s="136" t="str">
        <f>IF(Sheet1!V58="","",Sheet1!V58)</f>
        <v/>
      </c>
      <c r="J54" s="136" t="str">
        <f>IF(Sheet1!W58="","",Sheet1!W58)</f>
        <v/>
      </c>
      <c r="K54" s="136" t="str">
        <f>IF(Sheet1!X58="","",Sheet1!X58)</f>
        <v/>
      </c>
      <c r="L54" s="136" t="str">
        <f>IF(Sheet1!Y58="","",Sheet1!Y58)</f>
        <v/>
      </c>
      <c r="M54" s="136" t="str">
        <f>IF(Sheet1!Z58="","",Sheet1!Z58)</f>
        <v/>
      </c>
      <c r="N54" s="136" t="str">
        <f>IF(Sheet1!AA58="","",Sheet1!AA58)</f>
        <v/>
      </c>
      <c r="O54" s="136" t="e">
        <f t="shared" si="0"/>
        <v>#VALUE!</v>
      </c>
      <c r="P54" s="136">
        <f>IF(Sheet1!BR111="","",Sheet1!BR111)</f>
        <v>0</v>
      </c>
      <c r="Q54" s="136">
        <f>IF(B54="",0,IF(ISNUMBER(SEARCH("Yes",Sheet1!BD110)),75,100))</f>
        <v>0</v>
      </c>
      <c r="R54" s="136" t="str">
        <f>IF(Sheet1!AE58="","",Sheet1!AE58)</f>
        <v/>
      </c>
      <c r="S54" s="136" t="str">
        <f>IF(Sheet1!AU58="","",Sheet1!AU58)</f>
        <v/>
      </c>
      <c r="T54" s="136" t="str">
        <f>IF(Sheet1!J58="","",Sheet1!J58)</f>
        <v/>
      </c>
      <c r="U54" s="136" t="str">
        <f>IF(Sheet1!K58="","",Sheet1!K58)</f>
        <v/>
      </c>
      <c r="V54" s="136" t="str">
        <f>IF(Sheet1!L58="","",Sheet1!L58)</f>
        <v/>
      </c>
      <c r="W54" s="136" t="str">
        <f>IF(Sheet1!M58="","",Sheet1!M58)</f>
        <v/>
      </c>
      <c r="X54" s="136" t="str">
        <f>IF(Sheet1!N58="","",Sheet1!N58)</f>
        <v/>
      </c>
      <c r="Y54" s="136" t="str">
        <f>IF(Sheet1!O58="","",Sheet1!O58)</f>
        <v/>
      </c>
      <c r="Z54" s="136" t="str">
        <f>IF(Sheet1!G58="","",Sheet1!G58)</f>
        <v/>
      </c>
      <c r="AA54" s="136" t="str">
        <f>IF(Sheet1!F58="","",Sheet1!F58)</f>
        <v/>
      </c>
      <c r="AB54" s="136" t="str">
        <f>IF(Sheet1!E58="","",Sheet1!AP58)</f>
        <v/>
      </c>
      <c r="AC54" s="136">
        <f>IF(Sheet1!CV111="",0,Sheet1!CV111)</f>
        <v>0</v>
      </c>
      <c r="AD54" s="136">
        <f>IF(Sheet1!CW111="",0,Sheet1!CW111)</f>
        <v>0</v>
      </c>
      <c r="AE54" s="136">
        <f>IF(Sheet1!CX111="",0,Sheet1!CX111)</f>
        <v>0</v>
      </c>
      <c r="AF54" s="136">
        <f>IF(Sheet1!CY111="",0,Sheet1!CY111)</f>
        <v>0</v>
      </c>
      <c r="AG54" s="136">
        <f>IF(Sheet1!CZ111="",0,Sheet1!CZ111)</f>
        <v>0</v>
      </c>
      <c r="AH54" s="136">
        <f>IF(Sheet1!DA111="",0,Sheet1!DA111)</f>
        <v>0</v>
      </c>
      <c r="AI54" s="136">
        <f>IF(Sheet1!DB111="",0,Sheet1!DB111)</f>
        <v>0</v>
      </c>
      <c r="AJ54" s="136">
        <f>IF(Sheet1!DC111="",0,Sheet1!DC111)</f>
        <v>0</v>
      </c>
      <c r="AK54" s="136">
        <f>IF(Sheet1!DD111="",0,Sheet1!DD111)</f>
        <v>0</v>
      </c>
      <c r="AL54" s="136">
        <f>IF(Sheet1!DE111="",0,Sheet1!DE111)</f>
        <v>0</v>
      </c>
      <c r="AM54" s="136">
        <f>IF(Sheet1!DF111="",0,Sheet1!DF111)</f>
        <v>0</v>
      </c>
      <c r="AN54" s="136">
        <f>IF(Sheet1!DG111="",0,Sheet1!DG111)</f>
        <v>0</v>
      </c>
      <c r="AO54" s="136">
        <f>IF(Sheet1!DH111="",0,Sheet1!DH111)</f>
        <v>0</v>
      </c>
      <c r="AP54" s="136">
        <f>IF(Sheet1!DI111="",0,Sheet1!DI111)</f>
        <v>0</v>
      </c>
      <c r="AQ54" s="136">
        <f>IF(Sheet1!DJ111="",0,Sheet1!DJ111)</f>
        <v>0</v>
      </c>
      <c r="AR54" s="136">
        <f>IF(Sheet1!DK111="",0,Sheet1!DK111)</f>
        <v>0</v>
      </c>
      <c r="AS54" s="136">
        <f>IF(Sheet1!DL111="",0,Sheet1!DL111)</f>
        <v>0</v>
      </c>
      <c r="AT54" s="136">
        <f>IF(Sheet1!DM111="",0,Sheet1!DM111)</f>
        <v>0</v>
      </c>
      <c r="AU54" s="136">
        <f>IF(Sheet1!DN111="",0,Sheet1!DN111)</f>
        <v>0</v>
      </c>
      <c r="AV54" s="136">
        <f>IF(Sheet1!DO111="",0,Sheet1!DO111)</f>
        <v>0</v>
      </c>
      <c r="AW54">
        <f t="shared" si="1"/>
        <v>0</v>
      </c>
    </row>
    <row r="55" spans="1:49">
      <c r="A55" s="136" t="str">
        <f>Sheet1!B59</f>
        <v/>
      </c>
      <c r="B55" s="136" t="str">
        <f>IF(Sheet1!E59="","",Sheet1!E59)</f>
        <v/>
      </c>
      <c r="C55" s="136" t="str">
        <f>IF(Sheet1!P59="","",Sheet1!P59--Sheet1!FT112)</f>
        <v/>
      </c>
      <c r="D55" s="136" t="str">
        <f>IF(Sheet1!Q59="","",Sheet1!Q59)</f>
        <v/>
      </c>
      <c r="E55" s="136" t="str">
        <f>IF(Sheet1!R59="","",Sheet1!R59)</f>
        <v/>
      </c>
      <c r="F55" s="136" t="str">
        <f>IF(Sheet1!S59="","",Sheet1!S59)</f>
        <v/>
      </c>
      <c r="G55" s="136" t="str">
        <f>IF(Sheet1!T59="","",Sheet1!T59)</f>
        <v/>
      </c>
      <c r="H55" s="136" t="str">
        <f>IF(Sheet1!U59="","",Sheet1!U59)</f>
        <v/>
      </c>
      <c r="I55" s="136" t="str">
        <f>IF(Sheet1!V59="","",Sheet1!V59)</f>
        <v/>
      </c>
      <c r="J55" s="136" t="str">
        <f>IF(Sheet1!W59="","",Sheet1!W59)</f>
        <v/>
      </c>
      <c r="K55" s="136" t="str">
        <f>IF(Sheet1!X59="","",Sheet1!X59)</f>
        <v/>
      </c>
      <c r="L55" s="136" t="str">
        <f>IF(Sheet1!Y59="","",Sheet1!Y59)</f>
        <v/>
      </c>
      <c r="M55" s="136" t="str">
        <f>IF(Sheet1!Z59="","",Sheet1!Z59)</f>
        <v/>
      </c>
      <c r="N55" s="136" t="str">
        <f>IF(Sheet1!AA59="","",Sheet1!AA59)</f>
        <v/>
      </c>
      <c r="O55" s="136" t="e">
        <f t="shared" si="0"/>
        <v>#VALUE!</v>
      </c>
      <c r="P55" s="136">
        <f>IF(Sheet1!BR113="","",Sheet1!BR113)</f>
        <v>0</v>
      </c>
      <c r="Q55" s="136">
        <f>IF(B55="",0,IF(ISNUMBER(SEARCH("Yes",Sheet1!BD112)),75,100))</f>
        <v>0</v>
      </c>
      <c r="R55" s="136" t="str">
        <f>IF(Sheet1!AE59="","",Sheet1!AE59)</f>
        <v/>
      </c>
      <c r="S55" s="136" t="str">
        <f>IF(Sheet1!AU59="","",Sheet1!AU59)</f>
        <v/>
      </c>
      <c r="T55" s="136" t="str">
        <f>IF(Sheet1!J59="","",Sheet1!J59)</f>
        <v/>
      </c>
      <c r="U55" s="136" t="str">
        <f>IF(Sheet1!K59="","",Sheet1!K59)</f>
        <v/>
      </c>
      <c r="V55" s="136" t="str">
        <f>IF(Sheet1!L59="","",Sheet1!L59)</f>
        <v/>
      </c>
      <c r="W55" s="136" t="str">
        <f>IF(Sheet1!M59="","",Sheet1!M59)</f>
        <v/>
      </c>
      <c r="X55" s="136" t="str">
        <f>IF(Sheet1!N59="","",Sheet1!N59)</f>
        <v/>
      </c>
      <c r="Y55" s="136" t="str">
        <f>IF(Sheet1!O59="","",Sheet1!O59)</f>
        <v/>
      </c>
      <c r="Z55" s="136" t="str">
        <f>IF(Sheet1!G59="","",Sheet1!G59)</f>
        <v/>
      </c>
      <c r="AA55" s="136" t="str">
        <f>IF(Sheet1!F59="","",Sheet1!F59)</f>
        <v/>
      </c>
      <c r="AB55" s="136" t="str">
        <f>IF(Sheet1!E59="","",Sheet1!AP59)</f>
        <v/>
      </c>
      <c r="AC55" s="136">
        <f>IF(Sheet1!CV113="",0,Sheet1!CV113)</f>
        <v>0</v>
      </c>
      <c r="AD55" s="136">
        <f>IF(Sheet1!CW113="",0,Sheet1!CW113)</f>
        <v>0</v>
      </c>
      <c r="AE55" s="136">
        <f>IF(Sheet1!CX113="",0,Sheet1!CX113)</f>
        <v>0</v>
      </c>
      <c r="AF55" s="136">
        <f>IF(Sheet1!CY113="",0,Sheet1!CY113)</f>
        <v>0</v>
      </c>
      <c r="AG55" s="136">
        <f>IF(Sheet1!CZ113="",0,Sheet1!CZ113)</f>
        <v>0</v>
      </c>
      <c r="AH55" s="136">
        <f>IF(Sheet1!DA113="",0,Sheet1!DA113)</f>
        <v>0</v>
      </c>
      <c r="AI55" s="136">
        <f>IF(Sheet1!DB113="",0,Sheet1!DB113)</f>
        <v>0</v>
      </c>
      <c r="AJ55" s="136">
        <f>IF(Sheet1!DC113="",0,Sheet1!DC113)</f>
        <v>0</v>
      </c>
      <c r="AK55" s="136">
        <f>IF(Sheet1!DD113="",0,Sheet1!DD113)</f>
        <v>0</v>
      </c>
      <c r="AL55" s="136">
        <f>IF(Sheet1!DE113="",0,Sheet1!DE113)</f>
        <v>0</v>
      </c>
      <c r="AM55" s="136">
        <f>IF(Sheet1!DF113="",0,Sheet1!DF113)</f>
        <v>0</v>
      </c>
      <c r="AN55" s="136">
        <f>IF(Sheet1!DG113="",0,Sheet1!DG113)</f>
        <v>0</v>
      </c>
      <c r="AO55" s="136">
        <f>IF(Sheet1!DH113="",0,Sheet1!DH113)</f>
        <v>0</v>
      </c>
      <c r="AP55" s="136">
        <f>IF(Sheet1!DI113="",0,Sheet1!DI113)</f>
        <v>0</v>
      </c>
      <c r="AQ55" s="136">
        <f>IF(Sheet1!DJ113="",0,Sheet1!DJ113)</f>
        <v>0</v>
      </c>
      <c r="AR55" s="136">
        <f>IF(Sheet1!DK113="",0,Sheet1!DK113)</f>
        <v>0</v>
      </c>
      <c r="AS55" s="136">
        <f>IF(Sheet1!DL113="",0,Sheet1!DL113)</f>
        <v>0</v>
      </c>
      <c r="AT55" s="136">
        <f>IF(Sheet1!DM113="",0,Sheet1!DM113)</f>
        <v>0</v>
      </c>
      <c r="AU55" s="136">
        <f>IF(Sheet1!DN113="",0,Sheet1!DN113)</f>
        <v>0</v>
      </c>
      <c r="AV55" s="136">
        <f>IF(Sheet1!DO113="",0,Sheet1!DO113)</f>
        <v>0</v>
      </c>
      <c r="AW55">
        <f t="shared" si="1"/>
        <v>0</v>
      </c>
    </row>
    <row r="56" spans="1:49">
      <c r="A56" s="136" t="str">
        <f>Sheet1!B60</f>
        <v/>
      </c>
      <c r="B56" s="136" t="str">
        <f>IF(Sheet1!E60="","",Sheet1!E60)</f>
        <v/>
      </c>
      <c r="C56" s="136" t="str">
        <f>IF(Sheet1!P60="","",Sheet1!P60-Sheet1!FT114)</f>
        <v/>
      </c>
      <c r="D56" s="136" t="str">
        <f>IF(Sheet1!Q60="","",Sheet1!Q60)</f>
        <v/>
      </c>
      <c r="E56" s="136" t="str">
        <f>IF(Sheet1!R60="","",Sheet1!R60)</f>
        <v/>
      </c>
      <c r="F56" s="136" t="str">
        <f>IF(Sheet1!S60="","",Sheet1!S60)</f>
        <v/>
      </c>
      <c r="G56" s="136" t="str">
        <f>IF(Sheet1!T60="","",Sheet1!T60)</f>
        <v/>
      </c>
      <c r="H56" s="136" t="str">
        <f>IF(Sheet1!U60="","",Sheet1!U60)</f>
        <v/>
      </c>
      <c r="I56" s="136" t="str">
        <f>IF(Sheet1!V60="","",Sheet1!V60)</f>
        <v/>
      </c>
      <c r="J56" s="136" t="str">
        <f>IF(Sheet1!W60="","",Sheet1!W60)</f>
        <v/>
      </c>
      <c r="K56" s="136" t="str">
        <f>IF(Sheet1!X60="","",Sheet1!X60)</f>
        <v/>
      </c>
      <c r="L56" s="136" t="str">
        <f>IF(Sheet1!Y60="","",Sheet1!Y60)</f>
        <v/>
      </c>
      <c r="M56" s="136" t="str">
        <f>IF(Sheet1!Z60="","",Sheet1!Z60)</f>
        <v/>
      </c>
      <c r="N56" s="136" t="str">
        <f>IF(Sheet1!AA60="","",Sheet1!AA60)</f>
        <v/>
      </c>
      <c r="O56" s="136" t="e">
        <f t="shared" si="0"/>
        <v>#VALUE!</v>
      </c>
      <c r="P56" s="136">
        <f>IF(Sheet1!BR115="","",Sheet1!BR115)</f>
        <v>0</v>
      </c>
      <c r="Q56" s="136">
        <f>IF(B56="",0,IF(ISNUMBER(SEARCH("Yes",Sheet1!BD114)),75,100))</f>
        <v>0</v>
      </c>
      <c r="R56" s="136" t="str">
        <f>IF(Sheet1!AE60="","",Sheet1!AE60)</f>
        <v/>
      </c>
      <c r="S56" s="136" t="str">
        <f>IF(Sheet1!AU60="","",Sheet1!AU60)</f>
        <v/>
      </c>
      <c r="T56" s="136" t="str">
        <f>IF(Sheet1!J60="","",Sheet1!J60)</f>
        <v/>
      </c>
      <c r="U56" s="136" t="str">
        <f>IF(Sheet1!K60="","",Sheet1!K60)</f>
        <v/>
      </c>
      <c r="V56" s="136" t="str">
        <f>IF(Sheet1!L60="","",Sheet1!L60)</f>
        <v/>
      </c>
      <c r="W56" s="136" t="str">
        <f>IF(Sheet1!M60="","",Sheet1!M60)</f>
        <v/>
      </c>
      <c r="X56" s="136" t="str">
        <f>IF(Sheet1!N60="","",Sheet1!N60)</f>
        <v/>
      </c>
      <c r="Y56" s="136" t="str">
        <f>IF(Sheet1!O60="","",Sheet1!O60)</f>
        <v/>
      </c>
      <c r="Z56" s="136" t="str">
        <f>IF(Sheet1!G60="","",Sheet1!G60)</f>
        <v/>
      </c>
      <c r="AA56" s="136" t="str">
        <f>IF(Sheet1!F60="","",Sheet1!F60)</f>
        <v/>
      </c>
      <c r="AB56" s="136" t="str">
        <f>IF(Sheet1!E60="","",Sheet1!AP60)</f>
        <v/>
      </c>
      <c r="AC56" s="136">
        <f>IF(Sheet1!CV115="",0,Sheet1!CV115)</f>
        <v>0</v>
      </c>
      <c r="AD56" s="136">
        <f>IF(Sheet1!CW115="",0,Sheet1!CW115)</f>
        <v>0</v>
      </c>
      <c r="AE56" s="136">
        <f>IF(Sheet1!CX115="",0,Sheet1!CX115)</f>
        <v>0</v>
      </c>
      <c r="AF56" s="136">
        <f>IF(Sheet1!CY115="",0,Sheet1!CY115)</f>
        <v>0</v>
      </c>
      <c r="AG56" s="136">
        <f>IF(Sheet1!CZ115="",0,Sheet1!CZ115)</f>
        <v>0</v>
      </c>
      <c r="AH56" s="136">
        <f>IF(Sheet1!DA115="",0,Sheet1!DA115)</f>
        <v>0</v>
      </c>
      <c r="AI56" s="136">
        <f>IF(Sheet1!DB115="",0,Sheet1!DB115)</f>
        <v>0</v>
      </c>
      <c r="AJ56" s="136">
        <f>IF(Sheet1!DC115="",0,Sheet1!DC115)</f>
        <v>0</v>
      </c>
      <c r="AK56" s="136">
        <f>IF(Sheet1!DD115="",0,Sheet1!DD115)</f>
        <v>0</v>
      </c>
      <c r="AL56" s="136">
        <f>IF(Sheet1!DE115="",0,Sheet1!DE115)</f>
        <v>0</v>
      </c>
      <c r="AM56" s="136">
        <f>IF(Sheet1!DF115="",0,Sheet1!DF115)</f>
        <v>0</v>
      </c>
      <c r="AN56" s="136">
        <f>IF(Sheet1!DG115="",0,Sheet1!DG115)</f>
        <v>0</v>
      </c>
      <c r="AO56" s="136">
        <f>IF(Sheet1!DH115="",0,Sheet1!DH115)</f>
        <v>0</v>
      </c>
      <c r="AP56" s="136">
        <f>IF(Sheet1!DI115="",0,Sheet1!DI115)</f>
        <v>0</v>
      </c>
      <c r="AQ56" s="136">
        <f>IF(Sheet1!DJ115="",0,Sheet1!DJ115)</f>
        <v>0</v>
      </c>
      <c r="AR56" s="136">
        <f>IF(Sheet1!DK115="",0,Sheet1!DK115)</f>
        <v>0</v>
      </c>
      <c r="AS56" s="136">
        <f>IF(Sheet1!DL115="",0,Sheet1!DL115)</f>
        <v>0</v>
      </c>
      <c r="AT56" s="136">
        <f>IF(Sheet1!DM115="",0,Sheet1!DM115)</f>
        <v>0</v>
      </c>
      <c r="AU56" s="136">
        <f>IF(Sheet1!DN115="",0,Sheet1!DN115)</f>
        <v>0</v>
      </c>
      <c r="AV56" s="136">
        <f>IF(Sheet1!DO115="",0,Sheet1!DO115)</f>
        <v>0</v>
      </c>
      <c r="AW56">
        <f t="shared" si="1"/>
        <v>0</v>
      </c>
    </row>
    <row r="57" spans="1:49">
      <c r="A57" s="136" t="str">
        <f>Sheet1!B61</f>
        <v/>
      </c>
      <c r="B57" s="136" t="str">
        <f>IF(Sheet1!E61="","",Sheet1!E61)</f>
        <v/>
      </c>
      <c r="C57" s="136" t="str">
        <f>IF(Sheet1!P61="","",Sheet1!P61-Sheet1!FT116)</f>
        <v/>
      </c>
      <c r="D57" s="136" t="str">
        <f>IF(Sheet1!Q61="","",Sheet1!Q61)</f>
        <v/>
      </c>
      <c r="E57" s="136" t="str">
        <f>IF(Sheet1!R61="","",Sheet1!R61)</f>
        <v/>
      </c>
      <c r="F57" s="136" t="str">
        <f>IF(Sheet1!S61="","",Sheet1!S61)</f>
        <v/>
      </c>
      <c r="G57" s="136" t="str">
        <f>IF(Sheet1!T61="","",Sheet1!T61)</f>
        <v/>
      </c>
      <c r="H57" s="136" t="str">
        <f>IF(Sheet1!U61="","",Sheet1!U61)</f>
        <v/>
      </c>
      <c r="I57" s="136" t="str">
        <f>IF(Sheet1!V61="","",Sheet1!V61)</f>
        <v/>
      </c>
      <c r="J57" s="136" t="str">
        <f>IF(Sheet1!W61="","",Sheet1!W61)</f>
        <v/>
      </c>
      <c r="K57" s="136" t="str">
        <f>IF(Sheet1!X61="","",Sheet1!X61)</f>
        <v/>
      </c>
      <c r="L57" s="136" t="str">
        <f>IF(Sheet1!Y61="","",Sheet1!Y61)</f>
        <v/>
      </c>
      <c r="M57" s="136" t="str">
        <f>IF(Sheet1!Z61="","",Sheet1!Z61)</f>
        <v/>
      </c>
      <c r="N57" s="136" t="str">
        <f>IF(Sheet1!AA61="","",Sheet1!AA61)</f>
        <v/>
      </c>
      <c r="O57" s="136" t="e">
        <f t="shared" si="0"/>
        <v>#VALUE!</v>
      </c>
      <c r="P57" s="136">
        <f>IF(Sheet1!BR117="","",Sheet1!BR117)</f>
        <v>0</v>
      </c>
      <c r="Q57" s="136">
        <f>IF(B57="",0,IF(ISNUMBER(SEARCH("Yes",Sheet1!BD116)),75,100))</f>
        <v>0</v>
      </c>
      <c r="R57" s="136" t="str">
        <f>IF(Sheet1!AE61="","",Sheet1!AE61)</f>
        <v/>
      </c>
      <c r="S57" s="136" t="str">
        <f>IF(Sheet1!AU61="","",Sheet1!AU61)</f>
        <v/>
      </c>
      <c r="T57" s="136" t="str">
        <f>IF(Sheet1!J61="","",Sheet1!J61)</f>
        <v/>
      </c>
      <c r="U57" s="136" t="str">
        <f>IF(Sheet1!K61="","",Sheet1!K61)</f>
        <v/>
      </c>
      <c r="V57" s="136" t="str">
        <f>IF(Sheet1!L61="","",Sheet1!L61)</f>
        <v/>
      </c>
      <c r="W57" s="136" t="str">
        <f>IF(Sheet1!M61="","",Sheet1!M61)</f>
        <v/>
      </c>
      <c r="X57" s="136" t="str">
        <f>IF(Sheet1!N61="","",Sheet1!N61)</f>
        <v/>
      </c>
      <c r="Y57" s="136" t="str">
        <f>IF(Sheet1!O61="","",Sheet1!O61)</f>
        <v/>
      </c>
      <c r="Z57" s="136" t="str">
        <f>IF(Sheet1!G61="","",Sheet1!G61)</f>
        <v/>
      </c>
      <c r="AA57" s="136" t="str">
        <f>IF(Sheet1!F61="","",Sheet1!F61)</f>
        <v/>
      </c>
      <c r="AB57" s="136" t="str">
        <f>IF(Sheet1!E61="","",Sheet1!AP61)</f>
        <v/>
      </c>
      <c r="AC57" s="136">
        <f>IF(Sheet1!CV117="",0,Sheet1!CV117)</f>
        <v>0</v>
      </c>
      <c r="AD57" s="136">
        <f>IF(Sheet1!CW117="",0,Sheet1!CW117)</f>
        <v>0</v>
      </c>
      <c r="AE57" s="136">
        <f>IF(Sheet1!CX117="",0,Sheet1!CX117)</f>
        <v>0</v>
      </c>
      <c r="AF57" s="136">
        <f>IF(Sheet1!CY117="",0,Sheet1!CY117)</f>
        <v>0</v>
      </c>
      <c r="AG57" s="136">
        <f>IF(Sheet1!CZ117="",0,Sheet1!CZ117)</f>
        <v>0</v>
      </c>
      <c r="AH57" s="136">
        <f>IF(Sheet1!DA117="",0,Sheet1!DA117)</f>
        <v>0</v>
      </c>
      <c r="AI57" s="136">
        <f>IF(Sheet1!DB117="",0,Sheet1!DB117)</f>
        <v>0</v>
      </c>
      <c r="AJ57" s="136">
        <f>IF(Sheet1!DC117="",0,Sheet1!DC117)</f>
        <v>0</v>
      </c>
      <c r="AK57" s="136">
        <f>IF(Sheet1!DD117="",0,Sheet1!DD117)</f>
        <v>0</v>
      </c>
      <c r="AL57" s="136">
        <f>IF(Sheet1!DE117="",0,Sheet1!DE117)</f>
        <v>0</v>
      </c>
      <c r="AM57" s="136">
        <f>IF(Sheet1!DF117="",0,Sheet1!DF117)</f>
        <v>0</v>
      </c>
      <c r="AN57" s="136">
        <f>IF(Sheet1!DG117="",0,Sheet1!DG117)</f>
        <v>0</v>
      </c>
      <c r="AO57" s="136">
        <f>IF(Sheet1!DH117="",0,Sheet1!DH117)</f>
        <v>0</v>
      </c>
      <c r="AP57" s="136">
        <f>IF(Sheet1!DI117="",0,Sheet1!DI117)</f>
        <v>0</v>
      </c>
      <c r="AQ57" s="136">
        <f>IF(Sheet1!DJ117="",0,Sheet1!DJ117)</f>
        <v>0</v>
      </c>
      <c r="AR57" s="136">
        <f>IF(Sheet1!DK117="",0,Sheet1!DK117)</f>
        <v>0</v>
      </c>
      <c r="AS57" s="136">
        <f>IF(Sheet1!DL117="",0,Sheet1!DL117)</f>
        <v>0</v>
      </c>
      <c r="AT57" s="136">
        <f>IF(Sheet1!DM117="",0,Sheet1!DM117)</f>
        <v>0</v>
      </c>
      <c r="AU57" s="136">
        <f>IF(Sheet1!DN117="",0,Sheet1!DN117)</f>
        <v>0</v>
      </c>
      <c r="AV57" s="136">
        <f>IF(Sheet1!DO117="",0,Sheet1!DO117)</f>
        <v>0</v>
      </c>
      <c r="AW57">
        <f t="shared" si="1"/>
        <v>0</v>
      </c>
    </row>
    <row r="58" spans="1:49">
      <c r="A58" s="136" t="str">
        <f>Sheet1!B62</f>
        <v/>
      </c>
      <c r="B58" s="136" t="str">
        <f>IF(Sheet1!E62="","",Sheet1!E62)</f>
        <v/>
      </c>
      <c r="C58" s="136" t="str">
        <f>IF(Sheet1!P62="","",Sheet1!P62-Sheet1!FT118)</f>
        <v/>
      </c>
      <c r="D58" s="136" t="str">
        <f>IF(Sheet1!Q62="","",Sheet1!Q62)</f>
        <v/>
      </c>
      <c r="E58" s="136" t="str">
        <f>IF(Sheet1!R62="","",Sheet1!R62)</f>
        <v/>
      </c>
      <c r="F58" s="136" t="str">
        <f>IF(Sheet1!S62="","",Sheet1!S62)</f>
        <v/>
      </c>
      <c r="G58" s="136" t="str">
        <f>IF(Sheet1!T62="","",Sheet1!T62)</f>
        <v/>
      </c>
      <c r="H58" s="136" t="str">
        <f>IF(Sheet1!U62="","",Sheet1!U62)</f>
        <v/>
      </c>
      <c r="I58" s="136" t="str">
        <f>IF(Sheet1!V62="","",Sheet1!V62)</f>
        <v/>
      </c>
      <c r="J58" s="136" t="str">
        <f>IF(Sheet1!W62="","",Sheet1!W62)</f>
        <v/>
      </c>
      <c r="K58" s="136" t="str">
        <f>IF(Sheet1!X62="","",Sheet1!X62)</f>
        <v/>
      </c>
      <c r="L58" s="136" t="str">
        <f>IF(Sheet1!Y62="","",Sheet1!Y62)</f>
        <v/>
      </c>
      <c r="M58" s="136" t="str">
        <f>IF(Sheet1!Z62="","",Sheet1!Z62)</f>
        <v/>
      </c>
      <c r="N58" s="136" t="str">
        <f>IF(Sheet1!AA62="","",Sheet1!AA62)</f>
        <v/>
      </c>
      <c r="O58" s="136" t="e">
        <f t="shared" si="0"/>
        <v>#VALUE!</v>
      </c>
      <c r="P58" s="136">
        <f>IF(Sheet1!BR119="","",Sheet1!BR119)</f>
        <v>0</v>
      </c>
      <c r="Q58" s="136">
        <f>IF(B58="",0,IF(ISNUMBER(SEARCH("Yes",Sheet1!BD118)),75,100))</f>
        <v>0</v>
      </c>
      <c r="R58" s="136" t="str">
        <f>IF(Sheet1!AE62="","",Sheet1!AE62)</f>
        <v/>
      </c>
      <c r="S58" s="136" t="str">
        <f>IF(Sheet1!AU62="","",Sheet1!AU62)</f>
        <v/>
      </c>
      <c r="T58" s="136" t="str">
        <f>IF(Sheet1!J62="","",Sheet1!J62)</f>
        <v/>
      </c>
      <c r="U58" s="136" t="str">
        <f>IF(Sheet1!K62="","",Sheet1!K62)</f>
        <v/>
      </c>
      <c r="V58" s="136" t="str">
        <f>IF(Sheet1!L62="","",Sheet1!L62)</f>
        <v/>
      </c>
      <c r="W58" s="136" t="str">
        <f>IF(Sheet1!M62="","",Sheet1!M62)</f>
        <v/>
      </c>
      <c r="X58" s="136" t="str">
        <f>IF(Sheet1!N62="","",Sheet1!N62)</f>
        <v/>
      </c>
      <c r="Y58" s="136" t="str">
        <f>IF(Sheet1!O62="","",Sheet1!O62)</f>
        <v/>
      </c>
      <c r="Z58" s="136" t="str">
        <f>IF(Sheet1!G62="","",Sheet1!G62)</f>
        <v/>
      </c>
      <c r="AA58" s="136" t="str">
        <f>IF(Sheet1!F62="","",Sheet1!F62)</f>
        <v/>
      </c>
      <c r="AB58" s="136" t="str">
        <f>IF(Sheet1!E62="","",Sheet1!AP62)</f>
        <v/>
      </c>
      <c r="AC58" s="136">
        <f>IF(Sheet1!CV119="",0,Sheet1!CV119)</f>
        <v>0</v>
      </c>
      <c r="AD58" s="136">
        <f>IF(Sheet1!CW119="",0,Sheet1!CW119)</f>
        <v>0</v>
      </c>
      <c r="AE58" s="136">
        <f>IF(Sheet1!CX119="",0,Sheet1!CX119)</f>
        <v>0</v>
      </c>
      <c r="AF58" s="136">
        <f>IF(Sheet1!CY119="",0,Sheet1!CY119)</f>
        <v>0</v>
      </c>
      <c r="AG58" s="136">
        <f>IF(Sheet1!CZ119="",0,Sheet1!CZ119)</f>
        <v>0</v>
      </c>
      <c r="AH58" s="136">
        <f>IF(Sheet1!DA119="",0,Sheet1!DA119)</f>
        <v>0</v>
      </c>
      <c r="AI58" s="136">
        <f>IF(Sheet1!DB119="",0,Sheet1!DB119)</f>
        <v>0</v>
      </c>
      <c r="AJ58" s="136">
        <f>IF(Sheet1!DC119="",0,Sheet1!DC119)</f>
        <v>0</v>
      </c>
      <c r="AK58" s="136">
        <f>IF(Sheet1!DD119="",0,Sheet1!DD119)</f>
        <v>0</v>
      </c>
      <c r="AL58" s="136">
        <f>IF(Sheet1!DE119="",0,Sheet1!DE119)</f>
        <v>0</v>
      </c>
      <c r="AM58" s="136">
        <f>IF(Sheet1!DF119="",0,Sheet1!DF119)</f>
        <v>0</v>
      </c>
      <c r="AN58" s="136">
        <f>IF(Sheet1!DG119="",0,Sheet1!DG119)</f>
        <v>0</v>
      </c>
      <c r="AO58" s="136">
        <f>IF(Sheet1!DH119="",0,Sheet1!DH119)</f>
        <v>0</v>
      </c>
      <c r="AP58" s="136">
        <f>IF(Sheet1!DI119="",0,Sheet1!DI119)</f>
        <v>0</v>
      </c>
      <c r="AQ58" s="136">
        <f>IF(Sheet1!DJ119="",0,Sheet1!DJ119)</f>
        <v>0</v>
      </c>
      <c r="AR58" s="136">
        <f>IF(Sheet1!DK119="",0,Sheet1!DK119)</f>
        <v>0</v>
      </c>
      <c r="AS58" s="136">
        <f>IF(Sheet1!DL119="",0,Sheet1!DL119)</f>
        <v>0</v>
      </c>
      <c r="AT58" s="136">
        <f>IF(Sheet1!DM119="",0,Sheet1!DM119)</f>
        <v>0</v>
      </c>
      <c r="AU58" s="136">
        <f>IF(Sheet1!DN119="",0,Sheet1!DN119)</f>
        <v>0</v>
      </c>
      <c r="AV58" s="136">
        <f>IF(Sheet1!DO119="",0,Sheet1!DO119)</f>
        <v>0</v>
      </c>
      <c r="AW58">
        <f t="shared" si="1"/>
        <v>0</v>
      </c>
    </row>
    <row r="59" spans="1:49">
      <c r="A59" s="136" t="str">
        <f>Sheet1!B63</f>
        <v/>
      </c>
      <c r="B59" s="136" t="str">
        <f>IF(Sheet1!E63="","",Sheet1!E63)</f>
        <v/>
      </c>
      <c r="C59" s="136" t="str">
        <f>IF(Sheet1!P63="","",Sheet1!P63-Sheet1!FT120)</f>
        <v/>
      </c>
      <c r="D59" s="136" t="str">
        <f>IF(Sheet1!Q63="","",Sheet1!Q63)</f>
        <v/>
      </c>
      <c r="E59" s="136" t="str">
        <f>IF(Sheet1!R63="","",Sheet1!R63)</f>
        <v/>
      </c>
      <c r="F59" s="136" t="str">
        <f>IF(Sheet1!S63="","",Sheet1!S63)</f>
        <v/>
      </c>
      <c r="G59" s="136" t="str">
        <f>IF(Sheet1!T63="","",Sheet1!T63)</f>
        <v/>
      </c>
      <c r="H59" s="136" t="str">
        <f>IF(Sheet1!U63="","",Sheet1!U63)</f>
        <v/>
      </c>
      <c r="I59" s="136" t="str">
        <f>IF(Sheet1!V63="","",Sheet1!V63)</f>
        <v/>
      </c>
      <c r="J59" s="136" t="str">
        <f>IF(Sheet1!W63="","",Sheet1!W63)</f>
        <v/>
      </c>
      <c r="K59" s="136" t="str">
        <f>IF(Sheet1!X63="","",Sheet1!X63)</f>
        <v/>
      </c>
      <c r="L59" s="136" t="str">
        <f>IF(Sheet1!Y63="","",Sheet1!Y63)</f>
        <v/>
      </c>
      <c r="M59" s="136" t="str">
        <f>IF(Sheet1!Z63="","",Sheet1!Z63)</f>
        <v/>
      </c>
      <c r="N59" s="136" t="str">
        <f>IF(Sheet1!AA63="","",Sheet1!AA63)</f>
        <v/>
      </c>
      <c r="O59" s="136" t="e">
        <f t="shared" si="0"/>
        <v>#VALUE!</v>
      </c>
      <c r="P59" s="136">
        <f>IF(Sheet1!BR121="","",Sheet1!BR121)</f>
        <v>0</v>
      </c>
      <c r="Q59" s="136">
        <f>IF(B59="",0,IF(ISNUMBER(SEARCH("Yes",Sheet1!BD120)),75,100))</f>
        <v>0</v>
      </c>
      <c r="R59" s="136" t="str">
        <f>IF(Sheet1!AE63="","",Sheet1!AE63)</f>
        <v/>
      </c>
      <c r="S59" s="136" t="str">
        <f>IF(Sheet1!AU63="","",Sheet1!AU63)</f>
        <v/>
      </c>
      <c r="T59" s="136" t="str">
        <f>IF(Sheet1!J63="","",Sheet1!J63)</f>
        <v/>
      </c>
      <c r="U59" s="136" t="str">
        <f>IF(Sheet1!K63="","",Sheet1!K63)</f>
        <v/>
      </c>
      <c r="V59" s="136" t="str">
        <f>IF(Sheet1!L63="","",Sheet1!L63)</f>
        <v/>
      </c>
      <c r="W59" s="136" t="str">
        <f>IF(Sheet1!M63="","",Sheet1!M63)</f>
        <v/>
      </c>
      <c r="X59" s="136" t="str">
        <f>IF(Sheet1!N63="","",Sheet1!N63)</f>
        <v/>
      </c>
      <c r="Y59" s="136" t="str">
        <f>IF(Sheet1!O63="","",Sheet1!O63)</f>
        <v/>
      </c>
      <c r="Z59" s="136" t="str">
        <f>IF(Sheet1!G63="","",Sheet1!G63)</f>
        <v/>
      </c>
      <c r="AA59" s="136" t="str">
        <f>IF(Sheet1!F63="","",Sheet1!F63)</f>
        <v/>
      </c>
      <c r="AB59" s="136" t="str">
        <f>IF(Sheet1!E63="","",Sheet1!AP63)</f>
        <v/>
      </c>
      <c r="AC59" s="136">
        <f>IF(Sheet1!CV121="",0,Sheet1!CV121)</f>
        <v>0</v>
      </c>
      <c r="AD59" s="136">
        <f>IF(Sheet1!CW121="",0,Sheet1!CW121)</f>
        <v>0</v>
      </c>
      <c r="AE59" s="136">
        <f>IF(Sheet1!CX121="",0,Sheet1!CX121)</f>
        <v>0</v>
      </c>
      <c r="AF59" s="136">
        <f>IF(Sheet1!CY121="",0,Sheet1!CY121)</f>
        <v>0</v>
      </c>
      <c r="AG59" s="136">
        <f>IF(Sheet1!CZ121="",0,Sheet1!CZ121)</f>
        <v>0</v>
      </c>
      <c r="AH59" s="136">
        <f>IF(Sheet1!DA121="",0,Sheet1!DA121)</f>
        <v>0</v>
      </c>
      <c r="AI59" s="136">
        <f>IF(Sheet1!DB121="",0,Sheet1!DB121)</f>
        <v>0</v>
      </c>
      <c r="AJ59" s="136">
        <f>IF(Sheet1!DC121="",0,Sheet1!DC121)</f>
        <v>0</v>
      </c>
      <c r="AK59" s="136">
        <f>IF(Sheet1!DD121="",0,Sheet1!DD121)</f>
        <v>0</v>
      </c>
      <c r="AL59" s="136">
        <f>IF(Sheet1!DE121="",0,Sheet1!DE121)</f>
        <v>0</v>
      </c>
      <c r="AM59" s="136">
        <f>IF(Sheet1!DF121="",0,Sheet1!DF121)</f>
        <v>0</v>
      </c>
      <c r="AN59" s="136">
        <f>IF(Sheet1!DG121="",0,Sheet1!DG121)</f>
        <v>0</v>
      </c>
      <c r="AO59" s="136">
        <f>IF(Sheet1!DH121="",0,Sheet1!DH121)</f>
        <v>0</v>
      </c>
      <c r="AP59" s="136">
        <f>IF(Sheet1!DI121="",0,Sheet1!DI121)</f>
        <v>0</v>
      </c>
      <c r="AQ59" s="136">
        <f>IF(Sheet1!DJ121="",0,Sheet1!DJ121)</f>
        <v>0</v>
      </c>
      <c r="AR59" s="136">
        <f>IF(Sheet1!DK121="",0,Sheet1!DK121)</f>
        <v>0</v>
      </c>
      <c r="AS59" s="136">
        <f>IF(Sheet1!DL121="",0,Sheet1!DL121)</f>
        <v>0</v>
      </c>
      <c r="AT59" s="136">
        <f>IF(Sheet1!DM121="",0,Sheet1!DM121)</f>
        <v>0</v>
      </c>
      <c r="AU59" s="136">
        <f>IF(Sheet1!DN121="",0,Sheet1!DN121)</f>
        <v>0</v>
      </c>
      <c r="AV59" s="136">
        <f>IF(Sheet1!DO121="",0,Sheet1!DO121)</f>
        <v>0</v>
      </c>
      <c r="AW59">
        <f t="shared" si="1"/>
        <v>0</v>
      </c>
    </row>
    <row r="60" spans="1:49">
      <c r="A60" s="136" t="str">
        <f>Sheet1!B64</f>
        <v/>
      </c>
      <c r="B60" s="136" t="str">
        <f>IF(Sheet1!E64="","",Sheet1!E64)</f>
        <v/>
      </c>
      <c r="C60" s="136" t="str">
        <f>IF(Sheet1!P64="","",Sheet1!P64-Sheet1!FT122)</f>
        <v/>
      </c>
      <c r="D60" s="136" t="str">
        <f>IF(Sheet1!Q64="","",Sheet1!Q64)</f>
        <v/>
      </c>
      <c r="E60" s="136" t="str">
        <f>IF(Sheet1!R64="","",Sheet1!R64)</f>
        <v/>
      </c>
      <c r="F60" s="136" t="str">
        <f>IF(Sheet1!S64="","",Sheet1!S64)</f>
        <v/>
      </c>
      <c r="G60" s="136" t="str">
        <f>IF(Sheet1!T64="","",Sheet1!T64)</f>
        <v/>
      </c>
      <c r="H60" s="136" t="str">
        <f>IF(Sheet1!U64="","",Sheet1!U64)</f>
        <v/>
      </c>
      <c r="I60" s="136" t="str">
        <f>IF(Sheet1!V64="","",Sheet1!V64)</f>
        <v/>
      </c>
      <c r="J60" s="136" t="str">
        <f>IF(Sheet1!W64="","",Sheet1!W64)</f>
        <v/>
      </c>
      <c r="K60" s="136" t="str">
        <f>IF(Sheet1!X64="","",Sheet1!X64)</f>
        <v/>
      </c>
      <c r="L60" s="136" t="str">
        <f>IF(Sheet1!Y64="","",Sheet1!Y64)</f>
        <v/>
      </c>
      <c r="M60" s="136" t="str">
        <f>IF(Sheet1!Z64="","",Sheet1!Z64)</f>
        <v/>
      </c>
      <c r="N60" s="136" t="str">
        <f>IF(Sheet1!AA64="","",Sheet1!AA64)</f>
        <v/>
      </c>
      <c r="O60" s="136" t="e">
        <f t="shared" si="0"/>
        <v>#VALUE!</v>
      </c>
      <c r="P60" s="136">
        <f>IF(Sheet1!BR123="","",Sheet1!BR123)</f>
        <v>0</v>
      </c>
      <c r="Q60" s="136">
        <f>IF(B60="",0,IF(ISNUMBER(SEARCH("Yes",Sheet1!BD122)),75,100))</f>
        <v>0</v>
      </c>
      <c r="R60" s="136" t="str">
        <f>IF(Sheet1!AE64="","",Sheet1!AE64)</f>
        <v/>
      </c>
      <c r="S60" s="136" t="str">
        <f>IF(Sheet1!AU64="","",Sheet1!AU64)</f>
        <v/>
      </c>
      <c r="T60" s="136" t="str">
        <f>IF(Sheet1!J64="","",Sheet1!J64)</f>
        <v/>
      </c>
      <c r="U60" s="136" t="str">
        <f>IF(Sheet1!K64="","",Sheet1!K64)</f>
        <v/>
      </c>
      <c r="V60" s="136" t="str">
        <f>IF(Sheet1!L64="","",Sheet1!L64)</f>
        <v/>
      </c>
      <c r="W60" s="136" t="str">
        <f>IF(Sheet1!M64="","",Sheet1!M64)</f>
        <v/>
      </c>
      <c r="X60" s="136" t="str">
        <f>IF(Sheet1!N64="","",Sheet1!N64)</f>
        <v/>
      </c>
      <c r="Y60" s="136" t="str">
        <f>IF(Sheet1!O64="","",Sheet1!O64)</f>
        <v/>
      </c>
      <c r="Z60" s="136" t="str">
        <f>IF(Sheet1!G64="","",Sheet1!G64)</f>
        <v/>
      </c>
      <c r="AA60" s="136" t="str">
        <f>IF(Sheet1!F64="","",Sheet1!F64)</f>
        <v/>
      </c>
      <c r="AB60" s="136" t="str">
        <f>IF(Sheet1!E64="","",Sheet1!AP64)</f>
        <v/>
      </c>
      <c r="AC60" s="136">
        <f>IF(Sheet1!CV123="",0,Sheet1!CV123)</f>
        <v>0</v>
      </c>
      <c r="AD60" s="136">
        <f>IF(Sheet1!CW123="",0,Sheet1!CW123)</f>
        <v>0</v>
      </c>
      <c r="AE60" s="136">
        <f>IF(Sheet1!CX123="",0,Sheet1!CX123)</f>
        <v>0</v>
      </c>
      <c r="AF60" s="136">
        <f>IF(Sheet1!CY123="",0,Sheet1!CY123)</f>
        <v>0</v>
      </c>
      <c r="AG60" s="136">
        <f>IF(Sheet1!CZ123="",0,Sheet1!CZ123)</f>
        <v>0</v>
      </c>
      <c r="AH60" s="136">
        <f>IF(Sheet1!DA123="",0,Sheet1!DA123)</f>
        <v>0</v>
      </c>
      <c r="AI60" s="136">
        <f>IF(Sheet1!DB123="",0,Sheet1!DB123)</f>
        <v>0</v>
      </c>
      <c r="AJ60" s="136">
        <f>IF(Sheet1!DC123="",0,Sheet1!DC123)</f>
        <v>0</v>
      </c>
      <c r="AK60" s="136">
        <f>IF(Sheet1!DD123="",0,Sheet1!DD123)</f>
        <v>0</v>
      </c>
      <c r="AL60" s="136">
        <f>IF(Sheet1!DE123="",0,Sheet1!DE123)</f>
        <v>0</v>
      </c>
      <c r="AM60" s="136">
        <f>IF(Sheet1!DF123="",0,Sheet1!DF123)</f>
        <v>0</v>
      </c>
      <c r="AN60" s="136">
        <f>IF(Sheet1!DG123="",0,Sheet1!DG123)</f>
        <v>0</v>
      </c>
      <c r="AO60" s="136">
        <f>IF(Sheet1!DH123="",0,Sheet1!DH123)</f>
        <v>0</v>
      </c>
      <c r="AP60" s="136">
        <f>IF(Sheet1!DI123="",0,Sheet1!DI123)</f>
        <v>0</v>
      </c>
      <c r="AQ60" s="136">
        <f>IF(Sheet1!DJ123="",0,Sheet1!DJ123)</f>
        <v>0</v>
      </c>
      <c r="AR60" s="136">
        <f>IF(Sheet1!DK123="",0,Sheet1!DK123)</f>
        <v>0</v>
      </c>
      <c r="AS60" s="136">
        <f>IF(Sheet1!DL123="",0,Sheet1!DL123)</f>
        <v>0</v>
      </c>
      <c r="AT60" s="136">
        <f>IF(Sheet1!DM123="",0,Sheet1!DM123)</f>
        <v>0</v>
      </c>
      <c r="AU60" s="136">
        <f>IF(Sheet1!DN123="",0,Sheet1!DN123)</f>
        <v>0</v>
      </c>
      <c r="AV60" s="136">
        <f>IF(Sheet1!DO123="",0,Sheet1!DO123)</f>
        <v>0</v>
      </c>
      <c r="AW60">
        <f t="shared" si="1"/>
        <v>0</v>
      </c>
    </row>
    <row r="61" spans="1:49">
      <c r="A61" s="136" t="str">
        <f>Sheet1!B65</f>
        <v/>
      </c>
      <c r="B61" s="136" t="str">
        <f>IF(Sheet1!E65="","",Sheet1!E65)</f>
        <v/>
      </c>
      <c r="C61" s="136" t="str">
        <f>IF(Sheet1!P65="","",Sheet1!P65-Sheet1!FT124)</f>
        <v/>
      </c>
      <c r="D61" s="136" t="str">
        <f>IF(Sheet1!Q65="","",Sheet1!Q65)</f>
        <v/>
      </c>
      <c r="E61" s="136" t="str">
        <f>IF(Sheet1!R65="","",Sheet1!R65)</f>
        <v/>
      </c>
      <c r="F61" s="136" t="str">
        <f>IF(Sheet1!S65="","",Sheet1!S65)</f>
        <v/>
      </c>
      <c r="G61" s="136" t="str">
        <f>IF(Sheet1!T65="","",Sheet1!T65)</f>
        <v/>
      </c>
      <c r="H61" s="136" t="str">
        <f>IF(Sheet1!U65="","",Sheet1!U65)</f>
        <v/>
      </c>
      <c r="I61" s="136" t="str">
        <f>IF(Sheet1!V65="","",Sheet1!V65)</f>
        <v/>
      </c>
      <c r="J61" s="136" t="str">
        <f>IF(Sheet1!W65="","",Sheet1!W65)</f>
        <v/>
      </c>
      <c r="K61" s="136" t="str">
        <f>IF(Sheet1!X65="","",Sheet1!X65)</f>
        <v/>
      </c>
      <c r="L61" s="136" t="str">
        <f>IF(Sheet1!Y65="","",Sheet1!Y65)</f>
        <v/>
      </c>
      <c r="M61" s="136" t="str">
        <f>IF(Sheet1!Z65="","",Sheet1!Z65)</f>
        <v/>
      </c>
      <c r="N61" s="136" t="str">
        <f>IF(Sheet1!AA65="","",Sheet1!AA65)</f>
        <v/>
      </c>
      <c r="O61" s="136" t="e">
        <f t="shared" si="0"/>
        <v>#VALUE!</v>
      </c>
      <c r="P61" s="136">
        <f>IF(Sheet1!BR125="","",Sheet1!BR125)</f>
        <v>0</v>
      </c>
      <c r="Q61" s="136">
        <f>IF(B61="",0,IF(ISNUMBER(SEARCH("Yes",Sheet1!BD124)),75,100))</f>
        <v>0</v>
      </c>
      <c r="R61" s="136" t="str">
        <f>IF(Sheet1!AE65="","",Sheet1!AE65)</f>
        <v/>
      </c>
      <c r="S61" s="136" t="str">
        <f>IF(Sheet1!AU65="","",Sheet1!AU65)</f>
        <v/>
      </c>
      <c r="T61" s="136" t="str">
        <f>IF(Sheet1!J65="","",Sheet1!J65)</f>
        <v/>
      </c>
      <c r="U61" s="136" t="str">
        <f>IF(Sheet1!K65="","",Sheet1!K65)</f>
        <v/>
      </c>
      <c r="V61" s="136" t="str">
        <f>IF(Sheet1!L65="","",Sheet1!L65)</f>
        <v/>
      </c>
      <c r="W61" s="136" t="str">
        <f>IF(Sheet1!M65="","",Sheet1!M65)</f>
        <v/>
      </c>
      <c r="X61" s="136" t="str">
        <f>IF(Sheet1!N65="","",Sheet1!N65)</f>
        <v/>
      </c>
      <c r="Y61" s="136" t="str">
        <f>IF(Sheet1!O65="","",Sheet1!O65)</f>
        <v/>
      </c>
      <c r="Z61" s="136" t="str">
        <f>IF(Sheet1!G65="","",Sheet1!G65)</f>
        <v/>
      </c>
      <c r="AA61" s="136" t="str">
        <f>IF(Sheet1!F65="","",Sheet1!F65)</f>
        <v/>
      </c>
      <c r="AB61" s="136" t="str">
        <f>IF(Sheet1!E65="","",Sheet1!AP65)</f>
        <v/>
      </c>
      <c r="AC61" s="136">
        <f>IF(Sheet1!CV125="",0,Sheet1!CV125)</f>
        <v>0</v>
      </c>
      <c r="AD61" s="136">
        <f>IF(Sheet1!CW125="",0,Sheet1!CW125)</f>
        <v>0</v>
      </c>
      <c r="AE61" s="136">
        <f>IF(Sheet1!CX125="",0,Sheet1!CX125)</f>
        <v>0</v>
      </c>
      <c r="AF61" s="136">
        <f>IF(Sheet1!CY125="",0,Sheet1!CY125)</f>
        <v>0</v>
      </c>
      <c r="AG61" s="136">
        <f>IF(Sheet1!CZ125="",0,Sheet1!CZ125)</f>
        <v>0</v>
      </c>
      <c r="AH61" s="136">
        <f>IF(Sheet1!DA125="",0,Sheet1!DA125)</f>
        <v>0</v>
      </c>
      <c r="AI61" s="136">
        <f>IF(Sheet1!DB125="",0,Sheet1!DB125)</f>
        <v>0</v>
      </c>
      <c r="AJ61" s="136">
        <f>IF(Sheet1!DC125="",0,Sheet1!DC125)</f>
        <v>0</v>
      </c>
      <c r="AK61" s="136">
        <f>IF(Sheet1!DD125="",0,Sheet1!DD125)</f>
        <v>0</v>
      </c>
      <c r="AL61" s="136">
        <f>IF(Sheet1!DE125="",0,Sheet1!DE125)</f>
        <v>0</v>
      </c>
      <c r="AM61" s="136">
        <f>IF(Sheet1!DF125="",0,Sheet1!DF125)</f>
        <v>0</v>
      </c>
      <c r="AN61" s="136">
        <f>IF(Sheet1!DG125="",0,Sheet1!DG125)</f>
        <v>0</v>
      </c>
      <c r="AO61" s="136">
        <f>IF(Sheet1!DH125="",0,Sheet1!DH125)</f>
        <v>0</v>
      </c>
      <c r="AP61" s="136">
        <f>IF(Sheet1!DI125="",0,Sheet1!DI125)</f>
        <v>0</v>
      </c>
      <c r="AQ61" s="136">
        <f>IF(Sheet1!DJ125="",0,Sheet1!DJ125)</f>
        <v>0</v>
      </c>
      <c r="AR61" s="136">
        <f>IF(Sheet1!DK125="",0,Sheet1!DK125)</f>
        <v>0</v>
      </c>
      <c r="AS61" s="136">
        <f>IF(Sheet1!DL125="",0,Sheet1!DL125)</f>
        <v>0</v>
      </c>
      <c r="AT61" s="136">
        <f>IF(Sheet1!DM125="",0,Sheet1!DM125)</f>
        <v>0</v>
      </c>
      <c r="AU61" s="136">
        <f>IF(Sheet1!DN125="",0,Sheet1!DN125)</f>
        <v>0</v>
      </c>
      <c r="AV61" s="136">
        <f>IF(Sheet1!DO125="",0,Sheet1!DO125)</f>
        <v>0</v>
      </c>
      <c r="AW61">
        <f t="shared" si="1"/>
        <v>0</v>
      </c>
    </row>
    <row r="62" spans="1:49">
      <c r="A62" s="174" t="str">
        <f>Sheet1!B66</f>
        <v/>
      </c>
      <c r="B62" s="174" t="str">
        <f>IF(Sheet1!E66="","",Sheet1!E66)</f>
        <v/>
      </c>
      <c r="C62" s="174" t="str">
        <f>IF(Sheet1!P66="","",Sheet1!P66-Sheet1!FT126)</f>
        <v/>
      </c>
      <c r="D62" s="174" t="str">
        <f>IF(Sheet1!Q66="","",Sheet1!Q66)</f>
        <v/>
      </c>
      <c r="E62" s="174" t="str">
        <f>IF(Sheet1!R66="","",Sheet1!R66)</f>
        <v/>
      </c>
      <c r="F62" s="174" t="str">
        <f>IF(Sheet1!S66="","",Sheet1!S66)</f>
        <v/>
      </c>
      <c r="G62" s="174" t="str">
        <f>IF(Sheet1!T66="","",Sheet1!T66)</f>
        <v/>
      </c>
      <c r="H62" s="174" t="str">
        <f>IF(Sheet1!U66="","",Sheet1!U66)</f>
        <v/>
      </c>
      <c r="I62" s="174" t="str">
        <f>IF(Sheet1!V66="","",Sheet1!V66)</f>
        <v/>
      </c>
      <c r="J62" s="174" t="str">
        <f>IF(Sheet1!W66="","",Sheet1!W66)</f>
        <v/>
      </c>
      <c r="K62" s="174" t="str">
        <f>IF(Sheet1!X66="","",Sheet1!X66)</f>
        <v/>
      </c>
      <c r="L62" s="174" t="str">
        <f>IF(Sheet1!Y66="","",Sheet1!Y66)</f>
        <v/>
      </c>
      <c r="M62" s="174" t="str">
        <f>IF(Sheet1!Z66="","",Sheet1!Z66)</f>
        <v/>
      </c>
      <c r="N62" s="174" t="str">
        <f>IF(Sheet1!AA66="","",Sheet1!AA66)</f>
        <v/>
      </c>
      <c r="O62" s="136" t="e">
        <f t="shared" si="0"/>
        <v>#VALUE!</v>
      </c>
      <c r="P62" s="174"/>
      <c r="Q62" s="136">
        <f>IF(B62="",0,IF(ISNUMBER(SEARCH("Yes",Sheet1!BD126)),75,100))</f>
        <v>0</v>
      </c>
      <c r="R62" s="174" t="str">
        <f>IF(Sheet1!AE66="","",Sheet1!AE66)</f>
        <v/>
      </c>
      <c r="S62" s="174" t="str">
        <f>IF(Sheet1!AU66="","",Sheet1!AU66)</f>
        <v/>
      </c>
      <c r="T62" t="str">
        <f>IF(Sheet1!J66="","",Sheet1!J66)</f>
        <v/>
      </c>
      <c r="U62" t="str">
        <f>IF(Sheet1!K66="","",Sheet1!K66)</f>
        <v/>
      </c>
      <c r="V62" t="str">
        <f>IF(Sheet1!L66="","",Sheet1!L66)</f>
        <v/>
      </c>
      <c r="W62" t="str">
        <f>IF(Sheet1!M66="","",Sheet1!M66)</f>
        <v/>
      </c>
      <c r="X62" t="str">
        <f>IF(Sheet1!N66="","",Sheet1!N66)</f>
        <v/>
      </c>
      <c r="Y62" t="str">
        <f>IF(Sheet1!O66="","",Sheet1!O66)</f>
        <v/>
      </c>
      <c r="Z62" t="str">
        <f>IF(Sheet1!G66="","",Sheet1!G66)</f>
        <v/>
      </c>
      <c r="AA62" t="str">
        <f>IF(Sheet1!F66="","",Sheet1!F66)</f>
        <v/>
      </c>
      <c r="AB62" t="str">
        <f>IF(Sheet1!E66="","",Sheet1!AP66)</f>
        <v/>
      </c>
      <c r="AC62" s="174"/>
      <c r="AW62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1"/>
  <sheetViews>
    <sheetView topLeftCell="E1" workbookViewId="0">
      <selection activeCell="Q2" sqref="Q2"/>
    </sheetView>
  </sheetViews>
  <sheetFormatPr defaultColWidth="10.85546875" defaultRowHeight="15"/>
  <sheetData>
    <row r="1" spans="1:28">
      <c r="A1" s="135" t="s">
        <v>126</v>
      </c>
      <c r="B1" s="135" t="s">
        <v>127</v>
      </c>
      <c r="C1" s="135" t="s">
        <v>128</v>
      </c>
      <c r="D1" s="135" t="s">
        <v>49</v>
      </c>
      <c r="E1" s="135" t="s">
        <v>129</v>
      </c>
      <c r="F1" s="135" t="s">
        <v>130</v>
      </c>
      <c r="G1" s="135" t="s">
        <v>131</v>
      </c>
      <c r="H1" s="135" t="s">
        <v>132</v>
      </c>
      <c r="I1" s="135" t="s">
        <v>133</v>
      </c>
      <c r="J1" s="135" t="s">
        <v>134</v>
      </c>
      <c r="K1" s="135" t="s">
        <v>135</v>
      </c>
      <c r="L1" s="135" t="s">
        <v>136</v>
      </c>
      <c r="M1" s="135" t="s">
        <v>137</v>
      </c>
      <c r="N1" s="135" t="s">
        <v>138</v>
      </c>
      <c r="O1" s="135" t="s">
        <v>139</v>
      </c>
      <c r="P1" s="135" t="s">
        <v>140</v>
      </c>
      <c r="Q1" s="135" t="s">
        <v>141</v>
      </c>
      <c r="R1" s="135" t="s">
        <v>58</v>
      </c>
      <c r="S1" s="135" t="s">
        <v>142</v>
      </c>
      <c r="T1" s="143" t="s">
        <v>143</v>
      </c>
      <c r="U1" s="143" t="s">
        <v>144</v>
      </c>
      <c r="V1" s="143" t="s">
        <v>145</v>
      </c>
      <c r="W1" s="143" t="s">
        <v>146</v>
      </c>
      <c r="X1" s="143" t="s">
        <v>147</v>
      </c>
      <c r="Y1" s="143" t="s">
        <v>148</v>
      </c>
      <c r="Z1" s="143" t="s">
        <v>149</v>
      </c>
      <c r="AA1" s="143" t="s">
        <v>150</v>
      </c>
      <c r="AB1" s="143" t="s">
        <v>153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6"/>
  <sheetViews>
    <sheetView workbookViewId="0"/>
  </sheetViews>
  <sheetFormatPr defaultRowHeight="15"/>
  <cols>
    <col min="1" max="1" width="19.42578125" customWidth="1"/>
    <col min="2" max="2" width="39" customWidth="1"/>
    <col min="3" max="3" width="13.5703125" customWidth="1"/>
    <col min="6" max="6" width="16.85546875" customWidth="1"/>
    <col min="7" max="7" width="20.5703125" customWidth="1"/>
    <col min="8" max="8" width="18" customWidth="1"/>
    <col min="9" max="9" width="18.85546875" customWidth="1"/>
    <col min="11" max="11" width="12.5703125" bestFit="1" customWidth="1"/>
    <col min="12" max="12" width="12.28515625" bestFit="1" customWidth="1"/>
    <col min="13" max="13" width="14.7109375" customWidth="1"/>
    <col min="14" max="14" width="14.140625" customWidth="1"/>
    <col min="15" max="16" width="10.5703125" bestFit="1" customWidth="1"/>
    <col min="19" max="19" width="17.28515625" bestFit="1" customWidth="1"/>
    <col min="22" max="22" width="10.42578125" customWidth="1"/>
    <col min="23" max="23" width="9.42578125" customWidth="1"/>
    <col min="24" max="24" width="8.85546875" customWidth="1"/>
    <col min="25" max="25" width="9.140625" customWidth="1"/>
    <col min="28" max="28" width="10.28515625" bestFit="1" customWidth="1"/>
    <col min="29" max="29" width="17.42578125" customWidth="1"/>
    <col min="30" max="30" width="14.5703125" customWidth="1"/>
    <col min="31" max="31" width="11.140625" customWidth="1"/>
    <col min="34" max="34" width="24" bestFit="1" customWidth="1"/>
  </cols>
  <sheetData>
    <row r="1" spans="1:40" s="169" customFormat="1">
      <c r="A1" s="169" t="s">
        <v>154</v>
      </c>
      <c r="B1" s="169" t="s">
        <v>155</v>
      </c>
      <c r="C1" s="169" t="s">
        <v>156</v>
      </c>
      <c r="D1" s="169" t="s">
        <v>157</v>
      </c>
      <c r="E1" s="169" t="s">
        <v>158</v>
      </c>
      <c r="F1" s="169" t="s">
        <v>159</v>
      </c>
      <c r="G1" s="169" t="s">
        <v>160</v>
      </c>
      <c r="H1" s="169" t="s">
        <v>161</v>
      </c>
      <c r="I1" s="169" t="s">
        <v>162</v>
      </c>
      <c r="J1" s="169" t="s">
        <v>163</v>
      </c>
      <c r="K1" s="169" t="s">
        <v>164</v>
      </c>
      <c r="L1" s="169" t="s">
        <v>165</v>
      </c>
      <c r="M1" s="169" t="s">
        <v>166</v>
      </c>
      <c r="N1" s="169" t="s">
        <v>167</v>
      </c>
      <c r="O1" s="169" t="s">
        <v>168</v>
      </c>
      <c r="P1" s="169" t="s">
        <v>169</v>
      </c>
      <c r="Q1" s="169" t="s">
        <v>170</v>
      </c>
      <c r="R1" s="169" t="s">
        <v>171</v>
      </c>
      <c r="S1" s="169" t="s">
        <v>172</v>
      </c>
      <c r="T1" s="169" t="s">
        <v>173</v>
      </c>
      <c r="U1" s="169" t="s">
        <v>174</v>
      </c>
      <c r="V1" s="169" t="s">
        <v>175</v>
      </c>
      <c r="W1" s="169" t="s">
        <v>176</v>
      </c>
      <c r="X1" s="169" t="s">
        <v>177</v>
      </c>
      <c r="Y1" s="169" t="s">
        <v>178</v>
      </c>
      <c r="Z1" s="169" t="s">
        <v>179</v>
      </c>
      <c r="AA1" s="169" t="s">
        <v>180</v>
      </c>
      <c r="AB1" s="169" t="s">
        <v>181</v>
      </c>
      <c r="AC1" s="169" t="s">
        <v>182</v>
      </c>
      <c r="AD1" s="169" t="s">
        <v>183</v>
      </c>
      <c r="AE1" s="169" t="s">
        <v>184</v>
      </c>
      <c r="AF1" s="169" t="s">
        <v>185</v>
      </c>
      <c r="AG1" s="169" t="s">
        <v>186</v>
      </c>
      <c r="AH1" s="169" t="s">
        <v>187</v>
      </c>
      <c r="AI1" s="169" t="s">
        <v>188</v>
      </c>
      <c r="AJ1" s="169" t="s">
        <v>244</v>
      </c>
      <c r="AK1" s="169" t="s">
        <v>245</v>
      </c>
      <c r="AL1" s="169" t="s">
        <v>246</v>
      </c>
      <c r="AM1" s="169" t="s">
        <v>247</v>
      </c>
      <c r="AN1" s="169" t="s">
        <v>248</v>
      </c>
    </row>
    <row r="2" spans="1:40">
      <c r="C2" t="str">
        <f>UPPER(TRIM(Sheet1!BT2))</f>
        <v/>
      </c>
      <c r="D2" s="170" t="str">
        <f>TRIM(Sheet1!Z3)</f>
        <v/>
      </c>
      <c r="E2">
        <f>Sheet1!BX2</f>
        <v>6</v>
      </c>
      <c r="K2">
        <f>IF(Sheet1!CB21="",0,Sheet1!CB21)</f>
        <v>0</v>
      </c>
      <c r="U2" t="str">
        <f>IF(TRIM(Sheet1!CB7)="","",TRIM(UPPER(Sheet1!CB7)))</f>
        <v/>
      </c>
    </row>
    <row r="3" spans="1:40">
      <c r="A3" s="170" t="str">
        <f>IF(UPPER(TRIM(Sheet1!E6))="","",UPPER(TRIM(Sheet1!E6)))</f>
        <v/>
      </c>
      <c r="B3" t="str">
        <f>IF(OR(Sheet1!AX6="",Sheet1!AX6="--xx"),"",Sheet1!AX6)</f>
        <v/>
      </c>
      <c r="C3" t="str">
        <f>UPPER(TRIM(Sheet1!BT2))</f>
        <v/>
      </c>
      <c r="D3" s="170" t="str">
        <f>TRIM(Sheet1!Z3)</f>
        <v/>
      </c>
      <c r="E3">
        <f>Sheet1!BX2</f>
        <v>6</v>
      </c>
      <c r="F3" s="170">
        <f>IF(Sheet1!BD7="",0,Sheet1!BD7)</f>
        <v>0</v>
      </c>
      <c r="G3" s="170" t="str">
        <f>IF(Sheet1!BO6="","",LOWER(TRIM(Sheet1!BO6)))</f>
        <v/>
      </c>
      <c r="H3" t="e">
        <f t="shared" ref="H3:H63" si="0">IF((AN3-AM3)*1440&lt;0,(((AN3-AM3)*1440)+1440),((AN3-AM3)*1440))</f>
        <v>#VALUE!</v>
      </c>
      <c r="I3" t="str">
        <f>TEXT(AK3,"hh:mm")</f>
        <v/>
      </c>
      <c r="J3" t="str">
        <f>TEXT(AL3,"hh:mm")</f>
        <v>00:00</v>
      </c>
      <c r="K3" s="170">
        <f>IF(Sheet1!BK7="",0,Sheet1!BK7)</f>
        <v>0</v>
      </c>
      <c r="L3">
        <f>IF(Sheet1!CB17="",0,ROUND(Sheet1!CB17,0))</f>
        <v>0</v>
      </c>
      <c r="M3" t="str">
        <f>TEXT(AM3,"hh:mm")</f>
        <v>23:00</v>
      </c>
      <c r="N3" t="str">
        <f>TEXT(AN3,"hh:mm")</f>
        <v/>
      </c>
      <c r="O3" s="170">
        <f>IF(Sheet1!BI6="",0,Sheet1!BI6)</f>
        <v>0</v>
      </c>
      <c r="P3">
        <f>IF(Sheet1!BI7="",0,Sheet1!BI7)</f>
        <v>0</v>
      </c>
      <c r="Q3" s="170">
        <f>IF(Sheet1!BJ6="",0,Sheet1!BJ6)</f>
        <v>0</v>
      </c>
      <c r="R3" s="170">
        <f>IF(Sheet1!BJ7="",0,Sheet1!BJ7)</f>
        <v>0</v>
      </c>
      <c r="S3" s="170">
        <f>IF(Sheet1!BK6="",0,ROUND(Sheet1!BK6,0))</f>
        <v>0</v>
      </c>
      <c r="T3" s="170">
        <f>IF(Sheet1!BY6="",0,Sheet1!BY6)</f>
        <v>0</v>
      </c>
      <c r="U3" s="170">
        <f>IF(U2="",IF(Sheet1!AY6="",0,Sheet1!AY6),IF(Sheet1!AY6="",1,(Sheet1!AY6)+1))</f>
        <v>0</v>
      </c>
      <c r="V3" s="170">
        <f>IF(OR(Sheet1!AZ6=0,TRIM(Sheet1!AZ6)=""),0,1)</f>
        <v>0</v>
      </c>
      <c r="W3" s="170">
        <f>IF(OR(Sheet1!BA6=0,TRIM(Sheet1!BA6)=""),0,1)</f>
        <v>0</v>
      </c>
      <c r="X3" s="170">
        <f>IF(OR(Sheet1!BB6=0,TRIM(Sheet1!BB6)=""),0,1)</f>
        <v>0</v>
      </c>
      <c r="Y3" s="170">
        <f>IF(OR(Sheet1!BC6=0,TRIM(Sheet1!BC6)=""),0,1)</f>
        <v>0</v>
      </c>
      <c r="Z3">
        <f>V3+W3+X3+Y3</f>
        <v>0</v>
      </c>
      <c r="AA3" t="str">
        <f>IF(Z3=0,"NO","YES")</f>
        <v>NO</v>
      </c>
      <c r="AB3" s="170">
        <f>Sheet1!BN129</f>
        <v>0</v>
      </c>
      <c r="AC3" t="str">
        <f>IF(OR(Sheet1!F6="",Sheet1!F6=0),"",Sheet1!F6)</f>
        <v/>
      </c>
      <c r="AD3" t="str">
        <f>IF(OR(Sheet1!G6="",Sheet1!G6=0),"",Sheet1!G6)</f>
        <v/>
      </c>
      <c r="AE3" t="str">
        <f>IF(A3="","",CONCATENATE(A3,"-",D3))</f>
        <v/>
      </c>
      <c r="AF3" s="170">
        <f>IF(Sheet1!BM6="",0,Sheet1!BM6)</f>
        <v>0</v>
      </c>
      <c r="AG3" t="e">
        <f t="shared" ref="AG3:AG63" si="1">(IF((AL3-AK3)*1440&lt;0,(((AL3-AK3)*1440)+1440),((AL3-AK3)*1440)))-(T3)</f>
        <v>#VALUE!</v>
      </c>
      <c r="AH3" t="str">
        <f>IF(Sheet1!CB19="","",LOWER(TRIM(Sheet1!CB19)))</f>
        <v/>
      </c>
      <c r="AI3" t="str">
        <f>IF(Sheet1!BD6="","",UPPER(TRIM(Sheet1!BD6)))</f>
        <v/>
      </c>
      <c r="AJ3" t="str">
        <f>IF(A3="","",IF(COUNTIF(A$3:A$63,A3)&gt;1,"YES",""))</f>
        <v/>
      </c>
      <c r="AK3" s="171" t="str">
        <f>IF(Sheet1!BG6="","",Sheet1!BG6)</f>
        <v/>
      </c>
      <c r="AL3" s="172">
        <f>Sheet1!BG7</f>
        <v>0</v>
      </c>
      <c r="AM3" s="172" t="str">
        <f>Sheet1!BF6</f>
        <v>23:00</v>
      </c>
      <c r="AN3" s="172" t="str">
        <f>Sheet1!BF7</f>
        <v/>
      </c>
    </row>
    <row r="4" spans="1:40">
      <c r="A4" s="170" t="str">
        <f>IF(UPPER(TRIM(Sheet1!E7))="","",UPPER(TRIM(Sheet1!E7)))</f>
        <v/>
      </c>
      <c r="B4" t="str">
        <f>IF(OR(Sheet1!AX8="",Sheet1!AX8="--xx"),"",Sheet1!AX8)</f>
        <v/>
      </c>
      <c r="C4" s="170" t="str">
        <f>UPPER(TRIM(Sheet1!BT2))</f>
        <v/>
      </c>
      <c r="D4" s="170" t="str">
        <f>TRIM(Sheet1!Z3)</f>
        <v/>
      </c>
      <c r="E4" s="170">
        <f>Sheet1!BX2</f>
        <v>6</v>
      </c>
      <c r="F4" s="170">
        <f>IF(Sheet1!BD9="",0,Sheet1!BD9)</f>
        <v>0</v>
      </c>
      <c r="G4" s="170" t="str">
        <f>IF(Sheet1!BO8="","",LOWER(TRIM(Sheet1!BO8)))</f>
        <v/>
      </c>
      <c r="H4" t="e">
        <f t="shared" si="0"/>
        <v>#VALUE!</v>
      </c>
      <c r="I4" t="str">
        <f t="shared" ref="I4:J63" si="2">TEXT(AK4,"hh:mm")</f>
        <v/>
      </c>
      <c r="J4" t="str">
        <f t="shared" si="2"/>
        <v>00:00</v>
      </c>
      <c r="K4" s="170">
        <f>IF(Sheet1!BK9="",0,Sheet1!BK9)</f>
        <v>0</v>
      </c>
      <c r="M4" t="str">
        <f t="shared" ref="M4:N63" si="3">TEXT(AM4,"hh:mm")</f>
        <v/>
      </c>
      <c r="N4" t="str">
        <f t="shared" si="3"/>
        <v/>
      </c>
      <c r="O4" s="170">
        <f>IF(Sheet1!BI8="",0,Sheet1!BI8)</f>
        <v>0</v>
      </c>
      <c r="P4" s="170">
        <f>IF(Sheet1!BI9="",0,Sheet1!BI9)</f>
        <v>0</v>
      </c>
      <c r="Q4" s="170">
        <f>IF(Sheet1!BJ8="",0,Sheet1!BJ8)</f>
        <v>0</v>
      </c>
      <c r="R4" s="170">
        <f>IF(Sheet1!BJ9="",0,Sheet1!BJ9)</f>
        <v>0</v>
      </c>
      <c r="S4" s="170">
        <f>IF(Sheet1!BK8="",0,ROUND(Sheet1!BK8,0))</f>
        <v>0</v>
      </c>
      <c r="T4" s="170">
        <f>IF(Sheet1!BY8="",0,Sheet1!BY8)</f>
        <v>0</v>
      </c>
      <c r="U4" s="170">
        <f>IF(Sheet1!AY8="",0,Sheet1!AY8)</f>
        <v>0</v>
      </c>
      <c r="V4" s="170">
        <f>IF(OR(Sheet1!AZ8=0,TRIM(Sheet1!AZ8)=""),0,1)</f>
        <v>0</v>
      </c>
      <c r="W4" s="170">
        <f>IF(OR(Sheet1!BA8=0,TRIM(Sheet1!BA8)=""),0,1)</f>
        <v>0</v>
      </c>
      <c r="X4" s="170">
        <f>IF(OR(Sheet1!BB8=0,TRIM(Sheet1!BB8)=""),0,1)</f>
        <v>0</v>
      </c>
      <c r="Y4" s="170">
        <f>IF(OR(Sheet1!BC8=0,TRIM(Sheet1!BC8)=""),0,1)</f>
        <v>0</v>
      </c>
      <c r="Z4">
        <f t="shared" ref="Z4:Z63" si="4">V4+W4+X4+Y4</f>
        <v>0</v>
      </c>
      <c r="AA4" t="str">
        <f t="shared" ref="AA4:AA63" si="5">IF(Z4=0,"NO","YES")</f>
        <v>NO</v>
      </c>
      <c r="AB4" s="170">
        <f>Sheet1!BN129</f>
        <v>0</v>
      </c>
      <c r="AC4" t="str">
        <f>IF(OR(Sheet1!F7="",Sheet1!F7=0),"",Sheet1!F7)</f>
        <v/>
      </c>
      <c r="AD4" t="str">
        <f>IF(OR(Sheet1!G7="",Sheet1!G7=0),"",Sheet1!G7)</f>
        <v/>
      </c>
      <c r="AE4" t="str">
        <f t="shared" ref="AE4:AE63" si="6">IF(A4="","",CONCATENATE(A4,"-",D4))</f>
        <v/>
      </c>
      <c r="AF4" s="170">
        <f>IF(Sheet1!BM8="",0,Sheet1!BM8)</f>
        <v>0</v>
      </c>
      <c r="AG4" t="e">
        <f t="shared" si="1"/>
        <v>#VALUE!</v>
      </c>
      <c r="AI4" s="170" t="str">
        <f>IF(Sheet1!BD8="","",UPPER(TRIM(Sheet1!BD8)))</f>
        <v/>
      </c>
      <c r="AJ4" t="str">
        <f t="shared" ref="AJ4:AJ63" si="7">IF(A4="","",IF(COUNTIF(A$3:A$63,A4)&gt;1,"YES",""))</f>
        <v/>
      </c>
      <c r="AK4" s="171" t="str">
        <f>IF(Sheet1!BG8="","",Sheet1!BG8)</f>
        <v/>
      </c>
      <c r="AL4" s="172">
        <f>Sheet1!BG9</f>
        <v>0</v>
      </c>
      <c r="AM4" s="172" t="str">
        <f>Sheet1!BF8</f>
        <v/>
      </c>
      <c r="AN4" s="172" t="str">
        <f>Sheet1!BF9</f>
        <v/>
      </c>
    </row>
    <row r="5" spans="1:40">
      <c r="A5" s="170" t="str">
        <f>IF(UPPER(TRIM(Sheet1!E8))="","",UPPER(TRIM(Sheet1!E8)))</f>
        <v/>
      </c>
      <c r="B5" t="str">
        <f>IF(OR(Sheet1!AX10="",Sheet1!AX10="--xx"),"",Sheet1!AX10)</f>
        <v/>
      </c>
      <c r="C5" s="170" t="str">
        <f>UPPER(TRIM(Sheet1!BT2))</f>
        <v/>
      </c>
      <c r="D5" s="170" t="str">
        <f>TRIM(Sheet1!Z3)</f>
        <v/>
      </c>
      <c r="E5" s="170">
        <f>Sheet1!BX2</f>
        <v>6</v>
      </c>
      <c r="F5" s="170">
        <f>IF(Sheet1!BD11="",0,Sheet1!BD11)</f>
        <v>0</v>
      </c>
      <c r="G5" s="170" t="str">
        <f>IF(Sheet1!BO10="","",LOWER(TRIM(Sheet1!BO10)))</f>
        <v/>
      </c>
      <c r="H5" t="e">
        <f t="shared" si="0"/>
        <v>#VALUE!</v>
      </c>
      <c r="I5" t="str">
        <f t="shared" si="2"/>
        <v/>
      </c>
      <c r="J5" t="str">
        <f t="shared" si="2"/>
        <v>00:00</v>
      </c>
      <c r="K5" s="170">
        <f>IF(Sheet1!BK11="",0,Sheet1!BK11)</f>
        <v>0</v>
      </c>
      <c r="M5" t="str">
        <f t="shared" si="3"/>
        <v/>
      </c>
      <c r="N5" t="str">
        <f t="shared" si="3"/>
        <v/>
      </c>
      <c r="O5" s="170">
        <f>IF(Sheet1!BI10="",0,Sheet1!BI10)</f>
        <v>0</v>
      </c>
      <c r="P5" s="170">
        <f>IF(Sheet1!BI11="",0,Sheet1!BI11)</f>
        <v>0</v>
      </c>
      <c r="Q5" s="170">
        <f>IF(Sheet1!BJ10="",0,Sheet1!BJ10)</f>
        <v>0</v>
      </c>
      <c r="R5" s="170">
        <f>IF(Sheet1!BJ11="",0,Sheet1!BJ11)</f>
        <v>0</v>
      </c>
      <c r="S5" s="170">
        <f>IF(Sheet1!BK10="",0,ROUND(Sheet1!BK10,0))</f>
        <v>0</v>
      </c>
      <c r="T5" s="170">
        <f>IF(Sheet1!BY10="",0,Sheet1!BY10)</f>
        <v>0</v>
      </c>
      <c r="U5" s="170">
        <f>IF(Sheet1!AY10="",0,Sheet1!AY10)</f>
        <v>0</v>
      </c>
      <c r="V5" s="170">
        <f>IF(OR(Sheet1!AZ10=0,TRIM(Sheet1!AZ10)=""),0,1)</f>
        <v>0</v>
      </c>
      <c r="W5" s="170">
        <f>IF(OR(Sheet1!BA10=0,TRIM(Sheet1!BA10)=""),0,1)</f>
        <v>0</v>
      </c>
      <c r="X5" s="170">
        <f>IF(OR(Sheet1!BB10=0,TRIM(Sheet1!BB10)=""),0,1)</f>
        <v>0</v>
      </c>
      <c r="Y5" s="170">
        <f>IF(OR(Sheet1!BC10=0,TRIM(Sheet1!BC10)=""),0,1)</f>
        <v>0</v>
      </c>
      <c r="Z5">
        <f t="shared" si="4"/>
        <v>0</v>
      </c>
      <c r="AA5" t="str">
        <f t="shared" si="5"/>
        <v>NO</v>
      </c>
      <c r="AB5" s="170">
        <f>Sheet1!BN129</f>
        <v>0</v>
      </c>
      <c r="AC5" t="str">
        <f>IF(OR(Sheet1!F8="",Sheet1!F8=0),"",Sheet1!F8)</f>
        <v/>
      </c>
      <c r="AD5" t="str">
        <f>IF(OR(Sheet1!G8="",Sheet1!G8=0),"",Sheet1!G8)</f>
        <v/>
      </c>
      <c r="AE5" t="str">
        <f t="shared" si="6"/>
        <v/>
      </c>
      <c r="AF5" s="170">
        <f>IF(Sheet1!BM10="",0,Sheet1!BM10)</f>
        <v>0</v>
      </c>
      <c r="AG5" t="e">
        <f t="shared" si="1"/>
        <v>#VALUE!</v>
      </c>
      <c r="AI5" s="170" t="str">
        <f>IF(Sheet1!BD10="","",UPPER(TRIM(Sheet1!BD10)))</f>
        <v/>
      </c>
      <c r="AJ5" t="str">
        <f t="shared" si="7"/>
        <v/>
      </c>
      <c r="AK5" s="172" t="str">
        <f>IF(Sheet1!BG10="","",Sheet1!BG10)</f>
        <v/>
      </c>
      <c r="AL5" s="172">
        <f>Sheet1!BG11</f>
        <v>0</v>
      </c>
      <c r="AM5" s="172" t="str">
        <f>Sheet1!BF10</f>
        <v/>
      </c>
      <c r="AN5" s="172" t="str">
        <f>Sheet1!BF11</f>
        <v/>
      </c>
    </row>
    <row r="6" spans="1:40">
      <c r="A6" s="170" t="str">
        <f>IF(UPPER(TRIM(Sheet1!E9))="","",UPPER(TRIM(Sheet1!E9)))</f>
        <v/>
      </c>
      <c r="B6" t="str">
        <f>IF(OR(Sheet1!AX12="",Sheet1!AX12="--xx"),"",Sheet1!AX12)</f>
        <v/>
      </c>
      <c r="C6" s="170" t="str">
        <f>UPPER(TRIM(Sheet1!BT2))</f>
        <v/>
      </c>
      <c r="D6" s="170" t="str">
        <f>TRIM(Sheet1!Z3)</f>
        <v/>
      </c>
      <c r="E6" s="170">
        <f>Sheet1!BX2</f>
        <v>6</v>
      </c>
      <c r="F6" s="170">
        <f>IF(Sheet1!BD13="",0,Sheet1!BD13)</f>
        <v>0</v>
      </c>
      <c r="G6" s="170" t="str">
        <f>IF(Sheet1!BO12="","",LOWER(TRIM(Sheet1!BO12)))</f>
        <v/>
      </c>
      <c r="H6" t="e">
        <f t="shared" si="0"/>
        <v>#VALUE!</v>
      </c>
      <c r="I6" t="str">
        <f t="shared" si="2"/>
        <v/>
      </c>
      <c r="J6" t="str">
        <f t="shared" si="2"/>
        <v>00:00</v>
      </c>
      <c r="K6" s="170">
        <f>IF(Sheet1!BK13="",0,Sheet1!BK13)</f>
        <v>0</v>
      </c>
      <c r="M6" t="str">
        <f t="shared" si="3"/>
        <v/>
      </c>
      <c r="N6" t="str">
        <f t="shared" si="3"/>
        <v/>
      </c>
      <c r="O6" s="170">
        <f>IF(Sheet1!BI12="",0,Sheet1!BI12)</f>
        <v>0</v>
      </c>
      <c r="P6" s="170">
        <f>IF(Sheet1!BI13="",0,Sheet1!BI13)</f>
        <v>0</v>
      </c>
      <c r="Q6" s="170">
        <f>IF(Sheet1!BJ12="",0,Sheet1!BJ12)</f>
        <v>0</v>
      </c>
      <c r="R6" s="170">
        <f>IF(Sheet1!BJ13="",0,Sheet1!BJ13)</f>
        <v>0</v>
      </c>
      <c r="S6" s="170">
        <f>IF(Sheet1!BK12="",0,ROUND(Sheet1!BK12,0))</f>
        <v>0</v>
      </c>
      <c r="T6" s="170">
        <f>IF(Sheet1!BY12="",0,Sheet1!BY12)</f>
        <v>0</v>
      </c>
      <c r="U6" s="170">
        <f>IF(Sheet1!AY12="",0,Sheet1!AY12)</f>
        <v>0</v>
      </c>
      <c r="V6" s="170">
        <f>IF(OR(Sheet1!AZ12=0,TRIM(Sheet1!AZ12)=""),0,1)</f>
        <v>0</v>
      </c>
      <c r="W6" s="170">
        <f>IF(OR(Sheet1!BA12=0,TRIM(Sheet1!BA12)=""),0,1)</f>
        <v>0</v>
      </c>
      <c r="X6" s="170">
        <f>IF(OR(Sheet1!BB12=0,TRIM(Sheet1!BB12)=""),0,1)</f>
        <v>0</v>
      </c>
      <c r="Y6" s="170">
        <f>IF(OR(Sheet1!BC12=0,TRIM(Sheet1!BC12)=""),0,1)</f>
        <v>0</v>
      </c>
      <c r="Z6">
        <f t="shared" si="4"/>
        <v>0</v>
      </c>
      <c r="AA6" t="str">
        <f t="shared" si="5"/>
        <v>NO</v>
      </c>
      <c r="AB6" s="170">
        <f>Sheet1!BN129</f>
        <v>0</v>
      </c>
      <c r="AC6" t="str">
        <f>IF(OR(Sheet1!F9="",Sheet1!F9=0),"",Sheet1!F9)</f>
        <v/>
      </c>
      <c r="AD6" t="str">
        <f>IF(OR(Sheet1!G9="",Sheet1!G9=0),"",Sheet1!G9)</f>
        <v/>
      </c>
      <c r="AE6" t="str">
        <f t="shared" si="6"/>
        <v/>
      </c>
      <c r="AF6" s="170">
        <f>IF(Sheet1!BM12="",0,Sheet1!BM12)</f>
        <v>0</v>
      </c>
      <c r="AG6" t="e">
        <f t="shared" si="1"/>
        <v>#VALUE!</v>
      </c>
      <c r="AI6" s="170" t="str">
        <f>IF(Sheet1!BD12="","",UPPER(TRIM(Sheet1!BD12)))</f>
        <v/>
      </c>
      <c r="AJ6" t="str">
        <f t="shared" si="7"/>
        <v/>
      </c>
      <c r="AK6" s="172" t="str">
        <f>IF(Sheet1!BG12="","",Sheet1!BG12)</f>
        <v/>
      </c>
      <c r="AL6" s="172">
        <f>Sheet1!BG13</f>
        <v>0</v>
      </c>
      <c r="AM6" s="172" t="str">
        <f>Sheet1!BF12</f>
        <v/>
      </c>
      <c r="AN6" s="172" t="str">
        <f>Sheet1!BF13</f>
        <v/>
      </c>
    </row>
    <row r="7" spans="1:40">
      <c r="A7" s="170" t="str">
        <f>IF(UPPER(TRIM(Sheet1!E10))="","",UPPER(TRIM(Sheet1!E10)))</f>
        <v/>
      </c>
      <c r="B7" t="str">
        <f>IF(OR(Sheet1!AX14="",Sheet1!AX14="--xx"),"",Sheet1!AX14)</f>
        <v/>
      </c>
      <c r="C7" s="170" t="str">
        <f>UPPER(TRIM(Sheet1!BT2))</f>
        <v/>
      </c>
      <c r="D7" s="170" t="str">
        <f>TRIM(Sheet1!Z3)</f>
        <v/>
      </c>
      <c r="E7" s="170">
        <f>Sheet1!BX2</f>
        <v>6</v>
      </c>
      <c r="F7" s="170">
        <f>IF(Sheet1!BD15="",0,Sheet1!BD15)</f>
        <v>0</v>
      </c>
      <c r="G7" s="170" t="str">
        <f>IF(Sheet1!BO14="","",LOWER(TRIM(Sheet1!BO14)))</f>
        <v/>
      </c>
      <c r="H7" t="e">
        <f t="shared" si="0"/>
        <v>#VALUE!</v>
      </c>
      <c r="I7" t="str">
        <f t="shared" si="2"/>
        <v/>
      </c>
      <c r="J7" t="str">
        <f t="shared" si="2"/>
        <v>00:00</v>
      </c>
      <c r="K7" s="170">
        <f>IF(Sheet1!BK15="",0,Sheet1!BK15)</f>
        <v>0</v>
      </c>
      <c r="M7" t="str">
        <f t="shared" si="3"/>
        <v/>
      </c>
      <c r="N7" t="str">
        <f t="shared" si="3"/>
        <v/>
      </c>
      <c r="O7" s="170">
        <f>IF(Sheet1!BI14="",0,Sheet1!BI14)</f>
        <v>0</v>
      </c>
      <c r="P7" s="170">
        <f>IF(Sheet1!BI15="",0,Sheet1!BI15)</f>
        <v>0</v>
      </c>
      <c r="Q7" s="170">
        <f>IF(Sheet1!BJ14="",0,Sheet1!BJ14)</f>
        <v>0</v>
      </c>
      <c r="R7" s="170">
        <f>IF(Sheet1!BJ15="",0,Sheet1!BJ15)</f>
        <v>0</v>
      </c>
      <c r="S7" s="170">
        <f>IF(Sheet1!BK14="",0,ROUND(Sheet1!BK14,0))</f>
        <v>0</v>
      </c>
      <c r="T7" s="170">
        <f>IF(Sheet1!BY14="",0,Sheet1!BY14)</f>
        <v>0</v>
      </c>
      <c r="U7" s="170">
        <f>IF(Sheet1!AY14="",0,Sheet1!AY14)</f>
        <v>0</v>
      </c>
      <c r="V7" s="170">
        <f>IF(OR(Sheet1!AZ14=0,TRIM(Sheet1!AZ14)=""),0,1)</f>
        <v>0</v>
      </c>
      <c r="W7" s="170">
        <f>IF(OR(Sheet1!BA14=0,TRIM(Sheet1!BA14)=""),0,1)</f>
        <v>0</v>
      </c>
      <c r="X7" s="170">
        <f>IF(OR(Sheet1!BB14=0,TRIM(Sheet1!BB14)=""),0,1)</f>
        <v>0</v>
      </c>
      <c r="Y7" s="170">
        <f>IF(OR(Sheet1!BC14=0,TRIM(Sheet1!BC14)=""),0,1)</f>
        <v>0</v>
      </c>
      <c r="Z7">
        <f t="shared" si="4"/>
        <v>0</v>
      </c>
      <c r="AA7" t="str">
        <f t="shared" si="5"/>
        <v>NO</v>
      </c>
      <c r="AB7" s="170">
        <f>Sheet1!BN129</f>
        <v>0</v>
      </c>
      <c r="AC7" t="str">
        <f>IF(OR(Sheet1!F10="",Sheet1!F10=0),"",Sheet1!F10)</f>
        <v/>
      </c>
      <c r="AD7" t="str">
        <f>IF(OR(Sheet1!G10="",Sheet1!G10=0),"",Sheet1!G10)</f>
        <v/>
      </c>
      <c r="AE7" t="str">
        <f t="shared" si="6"/>
        <v/>
      </c>
      <c r="AF7" s="170">
        <f>IF(Sheet1!BM14="",0,Sheet1!BM14)</f>
        <v>0</v>
      </c>
      <c r="AG7" t="e">
        <f t="shared" si="1"/>
        <v>#VALUE!</v>
      </c>
      <c r="AI7" s="170" t="str">
        <f>IF(Sheet1!BD14="","",UPPER(TRIM(Sheet1!BD14)))</f>
        <v/>
      </c>
      <c r="AJ7" t="str">
        <f t="shared" si="7"/>
        <v/>
      </c>
      <c r="AK7" s="172" t="str">
        <f>IF(Sheet1!BG14="","",Sheet1!BG14)</f>
        <v/>
      </c>
      <c r="AL7" s="172">
        <f>Sheet1!BG15</f>
        <v>0</v>
      </c>
      <c r="AM7" s="172" t="str">
        <f>Sheet1!BF14</f>
        <v/>
      </c>
      <c r="AN7" s="172" t="str">
        <f>Sheet1!BF15</f>
        <v/>
      </c>
    </row>
    <row r="8" spans="1:40">
      <c r="A8" s="170" t="str">
        <f>IF(UPPER(TRIM(Sheet1!E11))="","",UPPER(TRIM(Sheet1!E11)))</f>
        <v/>
      </c>
      <c r="B8" t="str">
        <f>IF(OR(Sheet1!AX16="",Sheet1!AX16="--xx"),"",Sheet1!AX16)</f>
        <v/>
      </c>
      <c r="C8" s="170" t="str">
        <f>UPPER(TRIM(Sheet1!BT2))</f>
        <v/>
      </c>
      <c r="D8" s="170" t="str">
        <f>TRIM(Sheet1!Z3)</f>
        <v/>
      </c>
      <c r="E8" s="170">
        <f>Sheet1!BX2</f>
        <v>6</v>
      </c>
      <c r="F8" s="170">
        <f>IF(Sheet1!BD17="",0,Sheet1!BD17)</f>
        <v>0</v>
      </c>
      <c r="G8" s="170" t="str">
        <f>IF(Sheet1!BO16="","",LOWER(TRIM(Sheet1!BO16)))</f>
        <v/>
      </c>
      <c r="H8" t="e">
        <f t="shared" si="0"/>
        <v>#VALUE!</v>
      </c>
      <c r="I8" t="str">
        <f t="shared" si="2"/>
        <v/>
      </c>
      <c r="J8" t="str">
        <f t="shared" si="2"/>
        <v>00:00</v>
      </c>
      <c r="K8" s="170">
        <f>IF(Sheet1!BK17="",0,Sheet1!BK17)</f>
        <v>0</v>
      </c>
      <c r="M8" t="str">
        <f t="shared" si="3"/>
        <v/>
      </c>
      <c r="N8" t="str">
        <f t="shared" si="3"/>
        <v/>
      </c>
      <c r="O8" s="170">
        <f>IF(Sheet1!BI16="",0,Sheet1!BI16)</f>
        <v>0</v>
      </c>
      <c r="P8" s="170">
        <f>IF(Sheet1!BI17="",0,Sheet1!BI17)</f>
        <v>0</v>
      </c>
      <c r="Q8" s="170">
        <f>IF(Sheet1!BJ16="",0,Sheet1!BJ16)</f>
        <v>0</v>
      </c>
      <c r="R8" s="170">
        <f>IF(Sheet1!BJ17="",0,Sheet1!BJ17)</f>
        <v>0</v>
      </c>
      <c r="S8" s="170">
        <f>IF(Sheet1!BK16="",0,ROUND(Sheet1!BK16,0))</f>
        <v>0</v>
      </c>
      <c r="T8" s="170">
        <f>IF(Sheet1!BY16="",0,Sheet1!BY16)</f>
        <v>0</v>
      </c>
      <c r="U8" s="170">
        <f>IF(Sheet1!AY16="",0,Sheet1!AY16)</f>
        <v>0</v>
      </c>
      <c r="V8" s="170">
        <f>IF(OR(Sheet1!AZ16=0,TRIM(Sheet1!AZ16)=""),0,1)</f>
        <v>0</v>
      </c>
      <c r="W8" s="170">
        <f>IF(OR(Sheet1!BA16=0,TRIM(Sheet1!BA16)=""),0,1)</f>
        <v>0</v>
      </c>
      <c r="X8" s="170">
        <f>IF(OR(Sheet1!BB16=0,TRIM(Sheet1!BB16)=""),0,1)</f>
        <v>0</v>
      </c>
      <c r="Y8" s="170">
        <f>IF(OR(Sheet1!BC16=0,TRIM(Sheet1!BC16)=""),0,1)</f>
        <v>0</v>
      </c>
      <c r="Z8">
        <f t="shared" si="4"/>
        <v>0</v>
      </c>
      <c r="AA8" t="str">
        <f t="shared" si="5"/>
        <v>NO</v>
      </c>
      <c r="AB8" s="170">
        <f>Sheet1!BN129</f>
        <v>0</v>
      </c>
      <c r="AC8" t="str">
        <f>IF(OR(Sheet1!F11="",Sheet1!F11=0),"",Sheet1!F11)</f>
        <v/>
      </c>
      <c r="AD8" t="str">
        <f>IF(OR(Sheet1!G11="",Sheet1!G11=0),"",Sheet1!G11)</f>
        <v/>
      </c>
      <c r="AE8" t="str">
        <f t="shared" si="6"/>
        <v/>
      </c>
      <c r="AF8" s="170">
        <f>IF(Sheet1!BM16="",0,Sheet1!BM16)</f>
        <v>0</v>
      </c>
      <c r="AG8" t="e">
        <f t="shared" si="1"/>
        <v>#VALUE!</v>
      </c>
      <c r="AI8" s="170" t="str">
        <f>IF(Sheet1!BD16="","",UPPER(TRIM(Sheet1!BD16)))</f>
        <v/>
      </c>
      <c r="AJ8" t="str">
        <f t="shared" si="7"/>
        <v/>
      </c>
      <c r="AK8" s="172" t="str">
        <f>IF(Sheet1!BG16="","",Sheet1!BG16)</f>
        <v/>
      </c>
      <c r="AL8" s="172">
        <f>Sheet1!BG17</f>
        <v>0</v>
      </c>
      <c r="AM8" s="172" t="str">
        <f>Sheet1!BF16</f>
        <v/>
      </c>
      <c r="AN8" s="172" t="str">
        <f>Sheet1!BF17</f>
        <v/>
      </c>
    </row>
    <row r="9" spans="1:40">
      <c r="A9" s="170" t="str">
        <f>IF(UPPER(TRIM(Sheet1!E12))="","",UPPER(TRIM(Sheet1!E12)))</f>
        <v/>
      </c>
      <c r="B9" t="str">
        <f>IF(OR(Sheet1!AX18="",Sheet1!AX18="--xx"),"",Sheet1!AX18)</f>
        <v/>
      </c>
      <c r="C9" s="170" t="str">
        <f>UPPER(TRIM(Sheet1!BT2))</f>
        <v/>
      </c>
      <c r="D9" s="170" t="str">
        <f>TRIM(Sheet1!Z3)</f>
        <v/>
      </c>
      <c r="E9" s="170">
        <f>Sheet1!BX2</f>
        <v>6</v>
      </c>
      <c r="F9" s="170">
        <f>IF(Sheet1!BD19="",0,Sheet1!BD19)</f>
        <v>0</v>
      </c>
      <c r="G9" s="170" t="str">
        <f>IF(Sheet1!BO18="","",LOWER(TRIM(Sheet1!BO18)))</f>
        <v/>
      </c>
      <c r="H9" t="e">
        <f t="shared" si="0"/>
        <v>#VALUE!</v>
      </c>
      <c r="I9" t="str">
        <f t="shared" si="2"/>
        <v/>
      </c>
      <c r="J9" t="str">
        <f t="shared" si="2"/>
        <v>00:00</v>
      </c>
      <c r="K9" s="170">
        <f>IF(Sheet1!BK19="",0,Sheet1!BK19)</f>
        <v>0</v>
      </c>
      <c r="M9" t="str">
        <f t="shared" si="3"/>
        <v/>
      </c>
      <c r="N9" t="str">
        <f t="shared" si="3"/>
        <v/>
      </c>
      <c r="O9" s="170">
        <f>IF(Sheet1!BI18="",0,Sheet1!BI18)</f>
        <v>0</v>
      </c>
      <c r="P9" s="170">
        <f>IF(Sheet1!BI19="",0,Sheet1!BI19)</f>
        <v>0</v>
      </c>
      <c r="Q9" s="170">
        <f>IF(Sheet1!BJ18="",0,Sheet1!BJ18)</f>
        <v>0</v>
      </c>
      <c r="R9" s="170">
        <f>IF(Sheet1!BJ19="",0,Sheet1!BJ19)</f>
        <v>0</v>
      </c>
      <c r="S9" s="170">
        <f>IF(Sheet1!BK18="",0,ROUND(Sheet1!BK18,0))</f>
        <v>0</v>
      </c>
      <c r="T9" s="170">
        <f>IF(Sheet1!BY18="",0,Sheet1!BY18)</f>
        <v>0</v>
      </c>
      <c r="U9" s="170">
        <f>IF(Sheet1!AY18="",0,Sheet1!AY18)</f>
        <v>0</v>
      </c>
      <c r="V9" s="170">
        <f>IF(OR(Sheet1!AZ18=0,TRIM(Sheet1!AZ18)=""),0,1)</f>
        <v>0</v>
      </c>
      <c r="W9" s="170">
        <f>IF(OR(Sheet1!BA18=0,TRIM(Sheet1!BA18)=""),0,1)</f>
        <v>0</v>
      </c>
      <c r="X9" s="170">
        <f>IF(OR(Sheet1!BB18=0,TRIM(Sheet1!BB18)=""),0,1)</f>
        <v>0</v>
      </c>
      <c r="Y9" s="170">
        <f>IF(OR(Sheet1!BC18=0,TRIM(Sheet1!BC18)=""),0,1)</f>
        <v>0</v>
      </c>
      <c r="Z9">
        <f t="shared" si="4"/>
        <v>0</v>
      </c>
      <c r="AA9" t="str">
        <f t="shared" si="5"/>
        <v>NO</v>
      </c>
      <c r="AB9" s="170">
        <f>Sheet1!BN129</f>
        <v>0</v>
      </c>
      <c r="AC9" t="str">
        <f>IF(OR(Sheet1!F12="",Sheet1!F12=0),"",Sheet1!F12)</f>
        <v/>
      </c>
      <c r="AD9" t="str">
        <f>IF(OR(Sheet1!G12="",Sheet1!G12=0),"",Sheet1!G12)</f>
        <v/>
      </c>
      <c r="AE9" t="str">
        <f t="shared" si="6"/>
        <v/>
      </c>
      <c r="AF9" s="170">
        <f>IF(Sheet1!BM18="",0,Sheet1!BM18)</f>
        <v>0</v>
      </c>
      <c r="AG9" t="e">
        <f t="shared" si="1"/>
        <v>#VALUE!</v>
      </c>
      <c r="AI9" s="170" t="str">
        <f>IF(Sheet1!BD18="","",UPPER(TRIM(Sheet1!BD18)))</f>
        <v/>
      </c>
      <c r="AJ9" t="str">
        <f t="shared" si="7"/>
        <v/>
      </c>
      <c r="AK9" s="172" t="str">
        <f>IF(Sheet1!BG18="","",Sheet1!BG18)</f>
        <v/>
      </c>
      <c r="AL9" s="172">
        <f>Sheet1!BG19</f>
        <v>0</v>
      </c>
      <c r="AM9" s="172" t="str">
        <f>Sheet1!BF18</f>
        <v/>
      </c>
      <c r="AN9" s="172" t="str">
        <f>Sheet1!BF19</f>
        <v/>
      </c>
    </row>
    <row r="10" spans="1:40">
      <c r="A10" s="170" t="str">
        <f>IF(UPPER(TRIM(Sheet1!E13))="","",UPPER(TRIM(Sheet1!E13)))</f>
        <v/>
      </c>
      <c r="B10" t="str">
        <f>IF(OR(Sheet1!AX20="",Sheet1!AX20="--xx"),"",Sheet1!AX20)</f>
        <v/>
      </c>
      <c r="C10" s="170" t="str">
        <f>UPPER(TRIM(Sheet1!BT2))</f>
        <v/>
      </c>
      <c r="D10" s="170" t="str">
        <f>TRIM(Sheet1!Z3)</f>
        <v/>
      </c>
      <c r="E10" s="170">
        <f>Sheet1!BX2</f>
        <v>6</v>
      </c>
      <c r="F10" s="170">
        <f>IF(Sheet1!BD21="",0,Sheet1!BD21)</f>
        <v>0</v>
      </c>
      <c r="G10" s="170" t="str">
        <f>IF(Sheet1!BO20="","",LOWER(TRIM(Sheet1!BO20)))</f>
        <v/>
      </c>
      <c r="H10" t="e">
        <f t="shared" si="0"/>
        <v>#VALUE!</v>
      </c>
      <c r="I10" t="str">
        <f t="shared" si="2"/>
        <v/>
      </c>
      <c r="J10" t="str">
        <f t="shared" si="2"/>
        <v>00:00</v>
      </c>
      <c r="K10" s="170">
        <f>IF(Sheet1!BK21="",0,Sheet1!BK21)</f>
        <v>0</v>
      </c>
      <c r="M10" t="str">
        <f t="shared" si="3"/>
        <v/>
      </c>
      <c r="N10" t="str">
        <f t="shared" si="3"/>
        <v/>
      </c>
      <c r="O10" s="170">
        <f>IF(Sheet1!BI20="",0,Sheet1!BI20)</f>
        <v>0</v>
      </c>
      <c r="P10" s="170">
        <f>IF(Sheet1!BI21="",0,Sheet1!BI21)</f>
        <v>0</v>
      </c>
      <c r="Q10" s="170">
        <f>IF(Sheet1!BJ20="",0,Sheet1!BJ20)</f>
        <v>0</v>
      </c>
      <c r="R10" s="170">
        <f>IF(Sheet1!BJ21="",0,Sheet1!BJ21)</f>
        <v>0</v>
      </c>
      <c r="S10" s="170">
        <f>IF(Sheet1!BK20="",0,ROUND(Sheet1!BK20,0))</f>
        <v>0</v>
      </c>
      <c r="T10" s="170">
        <f>IF(Sheet1!BY20="",0,Sheet1!BY20)</f>
        <v>0</v>
      </c>
      <c r="U10" s="170">
        <f>IF(Sheet1!AY20="",0,Sheet1!AY20)</f>
        <v>0</v>
      </c>
      <c r="V10" s="170">
        <f>IF(OR(Sheet1!AZ20=0,TRIM(Sheet1!AZ20)=""),0,1)</f>
        <v>0</v>
      </c>
      <c r="W10" s="170">
        <f>IF(OR(Sheet1!BA20=0,TRIM(Sheet1!BA20)=""),0,1)</f>
        <v>0</v>
      </c>
      <c r="X10" s="170">
        <f>IF(OR(Sheet1!BB20=0,TRIM(Sheet1!BB20)=""),0,1)</f>
        <v>0</v>
      </c>
      <c r="Y10" s="170">
        <f>IF(OR(Sheet1!BC20=0,TRIM(Sheet1!BC20)=""),0,1)</f>
        <v>0</v>
      </c>
      <c r="Z10">
        <f t="shared" si="4"/>
        <v>0</v>
      </c>
      <c r="AA10" t="str">
        <f t="shared" si="5"/>
        <v>NO</v>
      </c>
      <c r="AB10" s="170">
        <f>Sheet1!BN129</f>
        <v>0</v>
      </c>
      <c r="AC10" t="str">
        <f>IF(OR(Sheet1!F13="",Sheet1!F13=0),"",Sheet1!F13)</f>
        <v/>
      </c>
      <c r="AD10" t="str">
        <f>IF(OR(Sheet1!G13="",Sheet1!G13=0),"",Sheet1!G13)</f>
        <v/>
      </c>
      <c r="AE10" t="str">
        <f t="shared" si="6"/>
        <v/>
      </c>
      <c r="AF10" s="170">
        <f>IF(Sheet1!BM20="",0,Sheet1!BM20)</f>
        <v>0</v>
      </c>
      <c r="AG10" t="e">
        <f t="shared" si="1"/>
        <v>#VALUE!</v>
      </c>
      <c r="AI10" s="170" t="str">
        <f>IF(Sheet1!BD20="","",UPPER(TRIM(Sheet1!BD20)))</f>
        <v/>
      </c>
      <c r="AJ10" t="str">
        <f t="shared" si="7"/>
        <v/>
      </c>
      <c r="AK10" s="172" t="str">
        <f>IF(Sheet1!BG20="","",Sheet1!BG20)</f>
        <v/>
      </c>
      <c r="AL10" s="172">
        <f>Sheet1!BG21</f>
        <v>0</v>
      </c>
      <c r="AM10" s="172" t="str">
        <f>Sheet1!BF20</f>
        <v/>
      </c>
      <c r="AN10" s="172" t="str">
        <f>Sheet1!BF21</f>
        <v/>
      </c>
    </row>
    <row r="11" spans="1:40">
      <c r="A11" s="170" t="str">
        <f>IF(UPPER(TRIM(Sheet1!E14))="","",UPPER(TRIM(Sheet1!E14)))</f>
        <v/>
      </c>
      <c r="B11" t="str">
        <f>IF(OR(Sheet1!AX22="",Sheet1!AX22="--xx"),"",Sheet1!AX22)</f>
        <v/>
      </c>
      <c r="C11" s="170" t="str">
        <f>UPPER(TRIM(Sheet1!BT2))</f>
        <v/>
      </c>
      <c r="D11" s="170" t="str">
        <f>TRIM(Sheet1!Z3)</f>
        <v/>
      </c>
      <c r="E11" s="170">
        <f>Sheet1!BX2</f>
        <v>6</v>
      </c>
      <c r="F11" s="170">
        <f>IF(Sheet1!BD23="",0,Sheet1!BD23)</f>
        <v>0</v>
      </c>
      <c r="G11" s="170" t="str">
        <f>IF(Sheet1!BO22="","",LOWER(TRIM(Sheet1!BO22)))</f>
        <v/>
      </c>
      <c r="H11" t="e">
        <f t="shared" si="0"/>
        <v>#VALUE!</v>
      </c>
      <c r="I11" t="str">
        <f t="shared" si="2"/>
        <v/>
      </c>
      <c r="J11" t="str">
        <f t="shared" si="2"/>
        <v>00:00</v>
      </c>
      <c r="K11" s="170">
        <f>IF(Sheet1!BK23="",0,Sheet1!BK23)</f>
        <v>0</v>
      </c>
      <c r="M11" t="str">
        <f t="shared" si="3"/>
        <v/>
      </c>
      <c r="N11" t="str">
        <f t="shared" si="3"/>
        <v/>
      </c>
      <c r="O11" s="170">
        <f>IF(Sheet1!BI22="",0,Sheet1!BI22)</f>
        <v>0</v>
      </c>
      <c r="P11" s="170">
        <f>IF(Sheet1!BI23="",0,Sheet1!BI23)</f>
        <v>0</v>
      </c>
      <c r="Q11" s="170">
        <f>IF(Sheet1!BJ22="",0,Sheet1!BJ22)</f>
        <v>0</v>
      </c>
      <c r="R11" s="170">
        <f>IF(Sheet1!BJ23="",0,Sheet1!BJ23)</f>
        <v>0</v>
      </c>
      <c r="S11" s="170">
        <f>IF(Sheet1!BK22="",0,ROUND(Sheet1!BK22,0))</f>
        <v>0</v>
      </c>
      <c r="T11" s="170">
        <f>IF(Sheet1!BY22="",0,Sheet1!BY22)</f>
        <v>0</v>
      </c>
      <c r="U11" s="170">
        <f>IF(Sheet1!AY22="",0,Sheet1!AY22)</f>
        <v>0</v>
      </c>
      <c r="V11" s="170">
        <f>IF(OR(Sheet1!AZ22=0,TRIM(Sheet1!AZ22)=""),0,1)</f>
        <v>0</v>
      </c>
      <c r="W11" s="170">
        <f>IF(OR(Sheet1!BA22=0,TRIM(Sheet1!BA22)=""),0,1)</f>
        <v>0</v>
      </c>
      <c r="X11" s="170">
        <f>IF(OR(Sheet1!BB22=0,TRIM(Sheet1!BB22)=""),0,1)</f>
        <v>0</v>
      </c>
      <c r="Y11" s="170">
        <f>IF(OR(Sheet1!BC22=0,TRIM(Sheet1!BC22)=""),0,1)</f>
        <v>0</v>
      </c>
      <c r="Z11">
        <f t="shared" si="4"/>
        <v>0</v>
      </c>
      <c r="AA11" t="str">
        <f t="shared" si="5"/>
        <v>NO</v>
      </c>
      <c r="AB11" s="170">
        <f>Sheet1!BN129</f>
        <v>0</v>
      </c>
      <c r="AC11" t="str">
        <f>IF(OR(Sheet1!F14="",Sheet1!F14=0),"",Sheet1!F14)</f>
        <v/>
      </c>
      <c r="AD11" t="str">
        <f>IF(OR(Sheet1!G14="",Sheet1!G14=0),"",Sheet1!G14)</f>
        <v/>
      </c>
      <c r="AE11" t="str">
        <f t="shared" si="6"/>
        <v/>
      </c>
      <c r="AF11" s="170">
        <f>IF(Sheet1!BM22="",0,Sheet1!BM22)</f>
        <v>0</v>
      </c>
      <c r="AG11" t="e">
        <f t="shared" si="1"/>
        <v>#VALUE!</v>
      </c>
      <c r="AI11" s="170" t="str">
        <f>IF(Sheet1!BD22="","",UPPER(TRIM(Sheet1!BD22)))</f>
        <v/>
      </c>
      <c r="AJ11" t="str">
        <f t="shared" si="7"/>
        <v/>
      </c>
      <c r="AK11" s="172" t="str">
        <f>IF(Sheet1!BG22="","",Sheet1!BG22)</f>
        <v/>
      </c>
      <c r="AL11" s="172">
        <f>Sheet1!BG23</f>
        <v>0</v>
      </c>
      <c r="AM11" s="172" t="str">
        <f>Sheet1!BF22</f>
        <v/>
      </c>
      <c r="AN11" s="172" t="str">
        <f>Sheet1!BF23</f>
        <v/>
      </c>
    </row>
    <row r="12" spans="1:40">
      <c r="A12" s="170" t="str">
        <f>IF(UPPER(TRIM(Sheet1!E15))="","",UPPER(TRIM(Sheet1!E15)))</f>
        <v/>
      </c>
      <c r="B12" t="str">
        <f>IF(OR(Sheet1!AX24="",Sheet1!AX24="--xx"),"",Sheet1!AX24)</f>
        <v/>
      </c>
      <c r="C12" s="170" t="str">
        <f>UPPER(TRIM(Sheet1!BT2))</f>
        <v/>
      </c>
      <c r="D12" s="170" t="str">
        <f>TRIM(Sheet1!Z3)</f>
        <v/>
      </c>
      <c r="E12" s="170">
        <f>Sheet1!BX2</f>
        <v>6</v>
      </c>
      <c r="F12" s="170">
        <f>IF(Sheet1!BD25="",0,Sheet1!BD25)</f>
        <v>0</v>
      </c>
      <c r="G12" s="170" t="str">
        <f>IF(Sheet1!BO24="","",LOWER(TRIM(Sheet1!BO24)))</f>
        <v/>
      </c>
      <c r="H12" t="e">
        <f t="shared" si="0"/>
        <v>#VALUE!</v>
      </c>
      <c r="I12" t="str">
        <f t="shared" si="2"/>
        <v/>
      </c>
      <c r="J12" t="str">
        <f t="shared" si="2"/>
        <v>00:00</v>
      </c>
      <c r="K12" s="170">
        <f>IF(Sheet1!BK25="",0,Sheet1!BK25)</f>
        <v>0</v>
      </c>
      <c r="M12" t="str">
        <f t="shared" si="3"/>
        <v/>
      </c>
      <c r="N12" t="str">
        <f t="shared" si="3"/>
        <v/>
      </c>
      <c r="O12" s="170">
        <f>IF(Sheet1!BI24="",0,Sheet1!BI24)</f>
        <v>0</v>
      </c>
      <c r="P12" s="170">
        <f>IF(Sheet1!BI25="",0,Sheet1!BI25)</f>
        <v>0</v>
      </c>
      <c r="Q12" s="170">
        <f>IF(Sheet1!BJ24="",0,Sheet1!BJ24)</f>
        <v>0</v>
      </c>
      <c r="R12" s="170">
        <f>IF(Sheet1!BJ25="",0,Sheet1!BJ25)</f>
        <v>0</v>
      </c>
      <c r="S12" s="170">
        <f>IF(Sheet1!BK24="",0,ROUND(Sheet1!BK24,0))</f>
        <v>0</v>
      </c>
      <c r="T12" s="170">
        <f>IF(Sheet1!BY24="",0,Sheet1!BY24)</f>
        <v>0</v>
      </c>
      <c r="U12" s="170">
        <f>IF(Sheet1!AY24="",0,Sheet1!AY24)</f>
        <v>0</v>
      </c>
      <c r="V12" s="170">
        <f>IF(OR(Sheet1!AZ24=0,TRIM(Sheet1!AZ24)=""),0,1)</f>
        <v>0</v>
      </c>
      <c r="W12" s="170">
        <f>IF(OR(Sheet1!BA24=0,TRIM(Sheet1!BA24)=""),0,1)</f>
        <v>0</v>
      </c>
      <c r="X12" s="170">
        <f>IF(OR(Sheet1!BB24=0,TRIM(Sheet1!BB24)=""),0,1)</f>
        <v>0</v>
      </c>
      <c r="Y12" s="170">
        <f>IF(OR(Sheet1!BC24=0,TRIM(Sheet1!BC24)=""),0,1)</f>
        <v>0</v>
      </c>
      <c r="Z12">
        <f t="shared" si="4"/>
        <v>0</v>
      </c>
      <c r="AA12" t="str">
        <f t="shared" si="5"/>
        <v>NO</v>
      </c>
      <c r="AB12" s="170">
        <f>Sheet1!BN129</f>
        <v>0</v>
      </c>
      <c r="AC12" t="str">
        <f>IF(OR(Sheet1!F15="",Sheet1!F15=0),"",Sheet1!F15)</f>
        <v/>
      </c>
      <c r="AD12" t="str">
        <f>IF(OR(Sheet1!G15="",Sheet1!G15=0),"",Sheet1!G15)</f>
        <v/>
      </c>
      <c r="AE12" t="str">
        <f t="shared" si="6"/>
        <v/>
      </c>
      <c r="AF12" s="170">
        <f>IF(Sheet1!BM24="",0,Sheet1!BM24)</f>
        <v>0</v>
      </c>
      <c r="AG12" t="e">
        <f t="shared" si="1"/>
        <v>#VALUE!</v>
      </c>
      <c r="AI12" s="170" t="str">
        <f>IF(Sheet1!BD24="","",UPPER(TRIM(Sheet1!BD24)))</f>
        <v/>
      </c>
      <c r="AJ12" t="str">
        <f t="shared" si="7"/>
        <v/>
      </c>
      <c r="AK12" s="172" t="str">
        <f>IF(Sheet1!BG24="","",Sheet1!BG24)</f>
        <v/>
      </c>
      <c r="AL12" s="172">
        <f>Sheet1!BG25</f>
        <v>0</v>
      </c>
      <c r="AM12" s="172" t="str">
        <f>Sheet1!BF24</f>
        <v/>
      </c>
      <c r="AN12" s="172" t="str">
        <f>Sheet1!BF25</f>
        <v/>
      </c>
    </row>
    <row r="13" spans="1:40">
      <c r="A13" s="170" t="str">
        <f>IF(UPPER(TRIM(Sheet1!E16))="","",UPPER(TRIM(Sheet1!E16)))</f>
        <v/>
      </c>
      <c r="B13" t="str">
        <f>IF(OR(Sheet1!AX26="",Sheet1!AX26="--xx"),"",Sheet1!AX26)</f>
        <v/>
      </c>
      <c r="C13" s="170" t="str">
        <f>UPPER(TRIM(Sheet1!BT2))</f>
        <v/>
      </c>
      <c r="D13" s="170" t="str">
        <f>TRIM(Sheet1!Z3)</f>
        <v/>
      </c>
      <c r="E13" s="170">
        <f>Sheet1!BX2</f>
        <v>6</v>
      </c>
      <c r="F13" s="170">
        <f>IF(Sheet1!BD27="",0,Sheet1!BD27)</f>
        <v>0</v>
      </c>
      <c r="G13" s="170" t="str">
        <f>IF(Sheet1!BO26="","",LOWER(TRIM(Sheet1!BO26)))</f>
        <v/>
      </c>
      <c r="H13" t="e">
        <f t="shared" si="0"/>
        <v>#VALUE!</v>
      </c>
      <c r="I13" t="str">
        <f t="shared" si="2"/>
        <v/>
      </c>
      <c r="J13" t="str">
        <f t="shared" si="2"/>
        <v>00:00</v>
      </c>
      <c r="K13" s="170">
        <f>IF(Sheet1!BK27="",0,Sheet1!BK27)</f>
        <v>0</v>
      </c>
      <c r="M13" t="str">
        <f t="shared" si="3"/>
        <v/>
      </c>
      <c r="N13" t="str">
        <f t="shared" si="3"/>
        <v/>
      </c>
      <c r="O13" s="170">
        <f>IF(Sheet1!BI26="",0,Sheet1!BI26)</f>
        <v>0</v>
      </c>
      <c r="P13" s="170">
        <f>IF(Sheet1!BI27="",0,Sheet1!BI27)</f>
        <v>0</v>
      </c>
      <c r="Q13" s="170">
        <f>IF(Sheet1!BJ26="",0,Sheet1!BJ26)</f>
        <v>0</v>
      </c>
      <c r="R13" s="170">
        <f>IF(Sheet1!BJ27="",0,Sheet1!BJ27)</f>
        <v>0</v>
      </c>
      <c r="S13" s="170">
        <f>IF(Sheet1!BK26="",0,ROUND(Sheet1!BK26,0))</f>
        <v>0</v>
      </c>
      <c r="T13" s="170">
        <f>IF(Sheet1!BY26="",0,Sheet1!BY26)</f>
        <v>0</v>
      </c>
      <c r="U13" s="170">
        <f>IF(Sheet1!AY26="",0,Sheet1!AY26)</f>
        <v>0</v>
      </c>
      <c r="V13" s="170">
        <f>IF(OR(Sheet1!AZ26=0,TRIM(Sheet1!AZ26)=""),0,1)</f>
        <v>0</v>
      </c>
      <c r="W13" s="170">
        <f>IF(OR(Sheet1!BA26=0,TRIM(Sheet1!BA26)=""),0,1)</f>
        <v>0</v>
      </c>
      <c r="X13" s="170">
        <f>IF(OR(Sheet1!BB26=0,TRIM(Sheet1!BB26)=""),0,1)</f>
        <v>0</v>
      </c>
      <c r="Y13" s="170">
        <f>IF(OR(Sheet1!BC26=0,TRIM(Sheet1!BC26)=""),0,1)</f>
        <v>0</v>
      </c>
      <c r="Z13">
        <f t="shared" si="4"/>
        <v>0</v>
      </c>
      <c r="AA13" t="str">
        <f t="shared" si="5"/>
        <v>NO</v>
      </c>
      <c r="AB13" s="170">
        <f>Sheet1!BN129</f>
        <v>0</v>
      </c>
      <c r="AC13" t="str">
        <f>IF(OR(Sheet1!F16="",Sheet1!F16=0),"",Sheet1!F16)</f>
        <v/>
      </c>
      <c r="AD13" t="str">
        <f>IF(OR(Sheet1!G16="",Sheet1!G16=0),"",Sheet1!G16)</f>
        <v/>
      </c>
      <c r="AE13" t="str">
        <f t="shared" si="6"/>
        <v/>
      </c>
      <c r="AF13" s="170">
        <f>IF(Sheet1!BM26="",0,Sheet1!BM26)</f>
        <v>0</v>
      </c>
      <c r="AG13" t="e">
        <f t="shared" si="1"/>
        <v>#VALUE!</v>
      </c>
      <c r="AI13" s="170" t="str">
        <f>IF(Sheet1!BD26="","",UPPER(TRIM(Sheet1!BD26)))</f>
        <v/>
      </c>
      <c r="AJ13" t="str">
        <f t="shared" si="7"/>
        <v/>
      </c>
      <c r="AK13" s="172" t="str">
        <f>IF(Sheet1!BG26="","",Sheet1!BG26)</f>
        <v/>
      </c>
      <c r="AL13" s="172">
        <f>Sheet1!BG27</f>
        <v>0</v>
      </c>
      <c r="AM13" s="172" t="str">
        <f>Sheet1!BF26</f>
        <v/>
      </c>
      <c r="AN13" s="172" t="str">
        <f>Sheet1!BF27</f>
        <v/>
      </c>
    </row>
    <row r="14" spans="1:40">
      <c r="A14" s="170" t="str">
        <f>IF(UPPER(TRIM(Sheet1!E17))="","",UPPER(TRIM(Sheet1!E17)))</f>
        <v/>
      </c>
      <c r="B14" t="str">
        <f>IF(OR(Sheet1!AX28="",Sheet1!AX28="--xx"),"",Sheet1!AX28)</f>
        <v/>
      </c>
      <c r="C14" s="170" t="str">
        <f>UPPER(TRIM(Sheet1!BT2))</f>
        <v/>
      </c>
      <c r="D14" s="170" t="str">
        <f>TRIM(Sheet1!Z3)</f>
        <v/>
      </c>
      <c r="E14" s="170">
        <f>Sheet1!BX2</f>
        <v>6</v>
      </c>
      <c r="F14" s="170">
        <f>IF(Sheet1!BD29="",0,Sheet1!BD29)</f>
        <v>0</v>
      </c>
      <c r="G14" s="170" t="str">
        <f>IF(Sheet1!BO28="","",LOWER(TRIM(Sheet1!BO28)))</f>
        <v/>
      </c>
      <c r="H14" t="e">
        <f t="shared" si="0"/>
        <v>#VALUE!</v>
      </c>
      <c r="I14" t="str">
        <f t="shared" si="2"/>
        <v/>
      </c>
      <c r="J14" t="str">
        <f t="shared" si="2"/>
        <v>00:00</v>
      </c>
      <c r="K14" s="170">
        <f>IF(Sheet1!BK29="",0,Sheet1!BK29)</f>
        <v>0</v>
      </c>
      <c r="M14" t="str">
        <f t="shared" si="3"/>
        <v/>
      </c>
      <c r="N14" t="str">
        <f t="shared" si="3"/>
        <v/>
      </c>
      <c r="O14" s="170">
        <f>IF(Sheet1!BI28="",0,Sheet1!BI28)</f>
        <v>0</v>
      </c>
      <c r="P14" s="170">
        <f>IF(Sheet1!BI29="",0,Sheet1!BI29)</f>
        <v>0</v>
      </c>
      <c r="Q14" s="170">
        <f>IF(Sheet1!BJ28="",0,Sheet1!BJ28)</f>
        <v>0</v>
      </c>
      <c r="R14" s="170">
        <f>IF(Sheet1!BJ29="",0,Sheet1!BJ29)</f>
        <v>0</v>
      </c>
      <c r="S14" s="170">
        <f>IF(Sheet1!BK28="",0,ROUND(Sheet1!BK28,0))</f>
        <v>0</v>
      </c>
      <c r="T14" s="170">
        <f>IF(Sheet1!BY28="",0,Sheet1!BY28)</f>
        <v>0</v>
      </c>
      <c r="U14" s="170">
        <f>IF(Sheet1!AY28="",0,Sheet1!AY28)</f>
        <v>0</v>
      </c>
      <c r="V14" s="170">
        <f>IF(OR(Sheet1!AZ28=0,TRIM(Sheet1!AZ28)=""),0,1)</f>
        <v>0</v>
      </c>
      <c r="W14" s="170">
        <f>IF(OR(Sheet1!BA28=0,TRIM(Sheet1!BA28)=""),0,1)</f>
        <v>0</v>
      </c>
      <c r="X14" s="170">
        <f>IF(OR(Sheet1!BB28=0,TRIM(Sheet1!BB28)=""),0,1)</f>
        <v>0</v>
      </c>
      <c r="Y14" s="170">
        <f>IF(OR(Sheet1!BC28=0,TRIM(Sheet1!BC28)=""),0,1)</f>
        <v>0</v>
      </c>
      <c r="Z14">
        <f t="shared" si="4"/>
        <v>0</v>
      </c>
      <c r="AA14" t="str">
        <f t="shared" si="5"/>
        <v>NO</v>
      </c>
      <c r="AB14" s="170">
        <f>Sheet1!BN129</f>
        <v>0</v>
      </c>
      <c r="AC14" t="str">
        <f>IF(OR(Sheet1!F17="",Sheet1!F17=0),"",Sheet1!F17)</f>
        <v/>
      </c>
      <c r="AD14" t="str">
        <f>IF(OR(Sheet1!G17="",Sheet1!G17=0),"",Sheet1!G17)</f>
        <v/>
      </c>
      <c r="AE14" t="str">
        <f t="shared" si="6"/>
        <v/>
      </c>
      <c r="AF14" s="170">
        <f>IF(Sheet1!BM28="",0,Sheet1!BM28)</f>
        <v>0</v>
      </c>
      <c r="AG14" t="e">
        <f t="shared" si="1"/>
        <v>#VALUE!</v>
      </c>
      <c r="AI14" s="170" t="str">
        <f>IF(Sheet1!BD28="","",UPPER(TRIM(Sheet1!BD28)))</f>
        <v/>
      </c>
      <c r="AJ14" t="str">
        <f t="shared" si="7"/>
        <v/>
      </c>
      <c r="AK14" s="172" t="str">
        <f>IF(Sheet1!BG28="","",Sheet1!BG28)</f>
        <v/>
      </c>
      <c r="AL14" s="172">
        <f>Sheet1!BG29</f>
        <v>0</v>
      </c>
      <c r="AM14" s="172" t="str">
        <f>Sheet1!BF28</f>
        <v/>
      </c>
      <c r="AN14" s="172" t="str">
        <f>Sheet1!BF29</f>
        <v/>
      </c>
    </row>
    <row r="15" spans="1:40">
      <c r="A15" s="170" t="str">
        <f>IF(UPPER(TRIM(Sheet1!E18))="","",UPPER(TRIM(Sheet1!E18)))</f>
        <v/>
      </c>
      <c r="B15" t="str">
        <f>IF(OR(Sheet1!AX30="",Sheet1!AX30="--xx"),"",Sheet1!AX30)</f>
        <v/>
      </c>
      <c r="C15" s="170" t="str">
        <f>UPPER(TRIM(Sheet1!BT2))</f>
        <v/>
      </c>
      <c r="D15" s="170" t="str">
        <f>TRIM(Sheet1!Z3)</f>
        <v/>
      </c>
      <c r="E15" s="170">
        <f>Sheet1!BX2</f>
        <v>6</v>
      </c>
      <c r="F15" s="170">
        <f>IF(Sheet1!BD31="",0,Sheet1!BD31)</f>
        <v>0</v>
      </c>
      <c r="G15" s="170" t="str">
        <f>IF(Sheet1!BO30="","",LOWER(TRIM(Sheet1!BO30)))</f>
        <v/>
      </c>
      <c r="H15" t="e">
        <f t="shared" si="0"/>
        <v>#VALUE!</v>
      </c>
      <c r="I15" t="str">
        <f t="shared" si="2"/>
        <v/>
      </c>
      <c r="J15" t="str">
        <f t="shared" si="2"/>
        <v>00:00</v>
      </c>
      <c r="K15" s="170">
        <f>IF(Sheet1!BK31="",0,Sheet1!BK31)</f>
        <v>0</v>
      </c>
      <c r="M15" t="str">
        <f t="shared" si="3"/>
        <v/>
      </c>
      <c r="N15" t="str">
        <f t="shared" si="3"/>
        <v/>
      </c>
      <c r="O15" s="170">
        <f>IF(Sheet1!BI30="",0,Sheet1!BI30)</f>
        <v>0</v>
      </c>
      <c r="P15" s="170">
        <f>IF(Sheet1!BI31="",0,Sheet1!BI31)</f>
        <v>0</v>
      </c>
      <c r="Q15" s="170">
        <f>IF(Sheet1!BJ30="",0,Sheet1!BJ30)</f>
        <v>0</v>
      </c>
      <c r="R15" s="170">
        <f>IF(Sheet1!BJ31="",0,Sheet1!BJ31)</f>
        <v>0</v>
      </c>
      <c r="S15" s="170">
        <f>IF(Sheet1!BK30="",0,ROUND(Sheet1!BK30,0))</f>
        <v>0</v>
      </c>
      <c r="T15" s="170">
        <f>IF(Sheet1!BY30="",0,Sheet1!BY30)</f>
        <v>0</v>
      </c>
      <c r="U15" s="170">
        <f>IF(Sheet1!AY30="",0,Sheet1!AY30)</f>
        <v>0</v>
      </c>
      <c r="V15" s="170">
        <f>IF(OR(Sheet1!AZ30=0,TRIM(Sheet1!AZ30)=""),0,1)</f>
        <v>0</v>
      </c>
      <c r="W15" s="170">
        <f>IF(OR(Sheet1!BA30=0,TRIM(Sheet1!BA30)=""),0,1)</f>
        <v>0</v>
      </c>
      <c r="X15" s="170">
        <f>IF(OR(Sheet1!BB30=0,TRIM(Sheet1!BB30)=""),0,1)</f>
        <v>0</v>
      </c>
      <c r="Y15" s="170">
        <f>IF(OR(Sheet1!BC30=0,TRIM(Sheet1!BC30)=""),0,1)</f>
        <v>0</v>
      </c>
      <c r="Z15">
        <f t="shared" si="4"/>
        <v>0</v>
      </c>
      <c r="AA15" t="str">
        <f t="shared" si="5"/>
        <v>NO</v>
      </c>
      <c r="AB15" s="170">
        <f>Sheet1!BN129</f>
        <v>0</v>
      </c>
      <c r="AC15" t="str">
        <f>IF(OR(Sheet1!F18="",Sheet1!F18=0),"",Sheet1!F18)</f>
        <v/>
      </c>
      <c r="AD15" t="str">
        <f>IF(OR(Sheet1!G18="",Sheet1!G18=0),"",Sheet1!G18)</f>
        <v/>
      </c>
      <c r="AE15" t="str">
        <f t="shared" si="6"/>
        <v/>
      </c>
      <c r="AF15" s="170">
        <f>IF(Sheet1!BM30="",0,Sheet1!BM30)</f>
        <v>0</v>
      </c>
      <c r="AG15" t="e">
        <f t="shared" si="1"/>
        <v>#VALUE!</v>
      </c>
      <c r="AI15" s="170" t="str">
        <f>IF(Sheet1!BD30="","",UPPER(TRIM(Sheet1!BD30)))</f>
        <v/>
      </c>
      <c r="AJ15" t="str">
        <f t="shared" si="7"/>
        <v/>
      </c>
      <c r="AK15" s="172" t="str">
        <f>IF(Sheet1!BG30="","",Sheet1!BG30)</f>
        <v/>
      </c>
      <c r="AL15" s="172">
        <f>Sheet1!BG31</f>
        <v>0</v>
      </c>
      <c r="AM15" s="172" t="str">
        <f>Sheet1!BF30</f>
        <v/>
      </c>
      <c r="AN15" s="172" t="str">
        <f>Sheet1!BF31</f>
        <v/>
      </c>
    </row>
    <row r="16" spans="1:40">
      <c r="A16" s="170" t="str">
        <f>IF(UPPER(TRIM(Sheet1!E19))="","",UPPER(TRIM(Sheet1!E19)))</f>
        <v/>
      </c>
      <c r="B16" t="str">
        <f>IF(OR(Sheet1!AX32="",Sheet1!AX32="--xx"),"",Sheet1!AX32)</f>
        <v/>
      </c>
      <c r="C16" s="170" t="str">
        <f>UPPER(TRIM(Sheet1!BT2))</f>
        <v/>
      </c>
      <c r="D16" s="170" t="str">
        <f>TRIM(Sheet1!Z3)</f>
        <v/>
      </c>
      <c r="E16" s="170">
        <f>Sheet1!BX2</f>
        <v>6</v>
      </c>
      <c r="F16" s="170">
        <f>IF(Sheet1!BD33="",0,Sheet1!BD33)</f>
        <v>0</v>
      </c>
      <c r="G16" s="170" t="str">
        <f>IF(Sheet1!BO32="","",LOWER(TRIM(Sheet1!BO32)))</f>
        <v/>
      </c>
      <c r="H16" t="e">
        <f t="shared" si="0"/>
        <v>#VALUE!</v>
      </c>
      <c r="I16" t="str">
        <f t="shared" si="2"/>
        <v/>
      </c>
      <c r="J16" t="str">
        <f t="shared" si="2"/>
        <v>00:00</v>
      </c>
      <c r="K16" s="170">
        <f>IF(Sheet1!BK33="",0,Sheet1!BK33)</f>
        <v>0</v>
      </c>
      <c r="M16" t="str">
        <f t="shared" si="3"/>
        <v/>
      </c>
      <c r="N16" t="str">
        <f t="shared" si="3"/>
        <v/>
      </c>
      <c r="O16" s="170">
        <f>IF(Sheet1!BI32="",0,Sheet1!BI32)</f>
        <v>0</v>
      </c>
      <c r="P16" s="170">
        <f>IF(Sheet1!BI33="",0,Sheet1!BI33)</f>
        <v>0</v>
      </c>
      <c r="Q16" s="170">
        <f>IF(Sheet1!BJ32="",0,Sheet1!BJ32)</f>
        <v>0</v>
      </c>
      <c r="R16" s="170">
        <f>IF(Sheet1!BJ33="",0,Sheet1!BJ33)</f>
        <v>0</v>
      </c>
      <c r="S16" s="170">
        <f>IF(Sheet1!BK32="",0,ROUND(Sheet1!BK32,0))</f>
        <v>0</v>
      </c>
      <c r="T16" s="170">
        <f>IF(Sheet1!BY32="",0,Sheet1!BY32)</f>
        <v>0</v>
      </c>
      <c r="U16" s="170">
        <f>IF(Sheet1!AY32="",0,Sheet1!AY32)</f>
        <v>0</v>
      </c>
      <c r="V16" s="170">
        <f>IF(OR(Sheet1!AZ32=0,TRIM(Sheet1!AZ32)=""),0,1)</f>
        <v>0</v>
      </c>
      <c r="W16" s="170">
        <f>IF(OR(Sheet1!BA32=0,TRIM(Sheet1!BA32)=""),0,1)</f>
        <v>0</v>
      </c>
      <c r="X16" s="170">
        <f>IF(OR(Sheet1!BB32=0,TRIM(Sheet1!BB32)=""),0,1)</f>
        <v>0</v>
      </c>
      <c r="Y16" s="170">
        <f>IF(OR(Sheet1!BC32=0,TRIM(Sheet1!BC32)=""),0,1)</f>
        <v>0</v>
      </c>
      <c r="Z16">
        <f t="shared" si="4"/>
        <v>0</v>
      </c>
      <c r="AA16" t="str">
        <f t="shared" si="5"/>
        <v>NO</v>
      </c>
      <c r="AB16" s="170">
        <f>Sheet1!BN129</f>
        <v>0</v>
      </c>
      <c r="AC16" t="str">
        <f>IF(OR(Sheet1!F19="",Sheet1!F19=0),"",Sheet1!F19)</f>
        <v/>
      </c>
      <c r="AD16" t="str">
        <f>IF(OR(Sheet1!G19="",Sheet1!G19=0),"",Sheet1!G19)</f>
        <v/>
      </c>
      <c r="AE16" t="str">
        <f t="shared" si="6"/>
        <v/>
      </c>
      <c r="AF16" s="170">
        <f>IF(Sheet1!BM32="",0,Sheet1!BM32)</f>
        <v>0</v>
      </c>
      <c r="AG16" t="e">
        <f t="shared" si="1"/>
        <v>#VALUE!</v>
      </c>
      <c r="AI16" s="170" t="str">
        <f>IF(Sheet1!BD32="","",UPPER(TRIM(Sheet1!BD32)))</f>
        <v/>
      </c>
      <c r="AJ16" t="str">
        <f t="shared" si="7"/>
        <v/>
      </c>
      <c r="AK16" s="172" t="str">
        <f>IF(Sheet1!BG32="","",Sheet1!BG32)</f>
        <v/>
      </c>
      <c r="AL16" s="172">
        <f>Sheet1!BG33</f>
        <v>0</v>
      </c>
      <c r="AM16" s="172" t="str">
        <f>Sheet1!BF32</f>
        <v/>
      </c>
      <c r="AN16" s="172" t="str">
        <f>Sheet1!BF33</f>
        <v/>
      </c>
    </row>
    <row r="17" spans="1:40">
      <c r="A17" s="170" t="str">
        <f>IF(UPPER(TRIM(Sheet1!E20))="","",UPPER(TRIM(Sheet1!E20)))</f>
        <v/>
      </c>
      <c r="B17" t="str">
        <f>IF(OR(Sheet1!AX34="",Sheet1!AX34="--xx"),"",Sheet1!AX34)</f>
        <v/>
      </c>
      <c r="C17" s="170" t="str">
        <f>UPPER(TRIM(Sheet1!BT2))</f>
        <v/>
      </c>
      <c r="D17" s="170" t="str">
        <f>TRIM(Sheet1!Z3)</f>
        <v/>
      </c>
      <c r="E17" s="170">
        <f>Sheet1!BX2</f>
        <v>6</v>
      </c>
      <c r="F17" s="170">
        <f>IF(Sheet1!BD35="",0,Sheet1!BD35)</f>
        <v>0</v>
      </c>
      <c r="G17" s="170" t="str">
        <f>IF(Sheet1!BO34="","",LOWER(TRIM(Sheet1!BO34)))</f>
        <v/>
      </c>
      <c r="H17" t="e">
        <f t="shared" si="0"/>
        <v>#VALUE!</v>
      </c>
      <c r="I17" t="str">
        <f t="shared" si="2"/>
        <v/>
      </c>
      <c r="J17" t="str">
        <f t="shared" si="2"/>
        <v>00:00</v>
      </c>
      <c r="K17" s="170">
        <f>IF(Sheet1!BK35="",0,Sheet1!BK35)</f>
        <v>0</v>
      </c>
      <c r="M17" t="str">
        <f t="shared" si="3"/>
        <v/>
      </c>
      <c r="N17" t="str">
        <f t="shared" si="3"/>
        <v/>
      </c>
      <c r="O17" s="170">
        <f>IF(Sheet1!BI34="",0,Sheet1!BI34)</f>
        <v>0</v>
      </c>
      <c r="P17" s="170">
        <f>IF(Sheet1!BI35="",0,Sheet1!BI35)</f>
        <v>0</v>
      </c>
      <c r="Q17" s="170">
        <f>IF(Sheet1!BJ34="",0,Sheet1!BJ34)</f>
        <v>0</v>
      </c>
      <c r="R17" s="170">
        <f>IF(Sheet1!BJ35="",0,Sheet1!BJ35)</f>
        <v>0</v>
      </c>
      <c r="S17" s="170">
        <f>IF(Sheet1!BK34="",0,ROUND(Sheet1!BK34,0))</f>
        <v>0</v>
      </c>
      <c r="T17" s="170">
        <f>IF(Sheet1!BY34="",0,Sheet1!BY34)</f>
        <v>0</v>
      </c>
      <c r="U17" s="170">
        <f>IF(Sheet1!AY34="",0,Sheet1!AY34)</f>
        <v>0</v>
      </c>
      <c r="V17" s="170">
        <f>IF(OR(Sheet1!AZ34=0,TRIM(Sheet1!AZ34)=""),0,1)</f>
        <v>0</v>
      </c>
      <c r="W17" s="170">
        <f>IF(OR(Sheet1!BA34=0,TRIM(Sheet1!BA34)=""),0,1)</f>
        <v>0</v>
      </c>
      <c r="X17" s="170">
        <f>IF(OR(Sheet1!BB34=0,TRIM(Sheet1!BB34)=""),0,1)</f>
        <v>0</v>
      </c>
      <c r="Y17" s="170">
        <f>IF(OR(Sheet1!BC34=0,TRIM(Sheet1!BC34)=""),0,1)</f>
        <v>0</v>
      </c>
      <c r="Z17">
        <f t="shared" si="4"/>
        <v>0</v>
      </c>
      <c r="AA17" t="str">
        <f t="shared" si="5"/>
        <v>NO</v>
      </c>
      <c r="AB17" s="170">
        <f>Sheet1!BN129</f>
        <v>0</v>
      </c>
      <c r="AC17" t="str">
        <f>IF(OR(Sheet1!F20="",Sheet1!F20=0),"",Sheet1!F20)</f>
        <v/>
      </c>
      <c r="AD17" t="str">
        <f>IF(OR(Sheet1!G20="",Sheet1!G20=0),"",Sheet1!G20)</f>
        <v/>
      </c>
      <c r="AE17" t="str">
        <f t="shared" si="6"/>
        <v/>
      </c>
      <c r="AF17" s="170">
        <f>IF(Sheet1!BM34="",0,Sheet1!BM34)</f>
        <v>0</v>
      </c>
      <c r="AG17" t="e">
        <f t="shared" si="1"/>
        <v>#VALUE!</v>
      </c>
      <c r="AI17" s="170" t="str">
        <f>IF(Sheet1!BD34="","",UPPER(TRIM(Sheet1!BD34)))</f>
        <v/>
      </c>
      <c r="AJ17" t="str">
        <f t="shared" si="7"/>
        <v/>
      </c>
      <c r="AK17" s="172" t="str">
        <f>IF(Sheet1!BG34="","",Sheet1!BG34)</f>
        <v/>
      </c>
      <c r="AL17" s="172">
        <f>Sheet1!BG35</f>
        <v>0</v>
      </c>
      <c r="AM17" s="172" t="str">
        <f>Sheet1!BF34</f>
        <v/>
      </c>
      <c r="AN17" s="172" t="str">
        <f>Sheet1!BF35</f>
        <v/>
      </c>
    </row>
    <row r="18" spans="1:40">
      <c r="A18" s="170" t="str">
        <f>IF(UPPER(TRIM(Sheet1!E21))="","",UPPER(TRIM(Sheet1!E21)))</f>
        <v/>
      </c>
      <c r="B18" t="str">
        <f>IF(OR(Sheet1!AX36="",Sheet1!AX36="--xx"),"",Sheet1!AX36)</f>
        <v/>
      </c>
      <c r="C18" s="170" t="str">
        <f>UPPER(TRIM(Sheet1!BT2))</f>
        <v/>
      </c>
      <c r="D18" s="170" t="str">
        <f>TRIM(Sheet1!Z3)</f>
        <v/>
      </c>
      <c r="E18" s="170">
        <f>Sheet1!BX2</f>
        <v>6</v>
      </c>
      <c r="F18" s="170">
        <f>IF(Sheet1!BD37="",0,Sheet1!BD37)</f>
        <v>0</v>
      </c>
      <c r="G18" s="170" t="str">
        <f>IF(Sheet1!BO36="","",LOWER(TRIM(Sheet1!BO36)))</f>
        <v/>
      </c>
      <c r="H18" t="e">
        <f t="shared" si="0"/>
        <v>#VALUE!</v>
      </c>
      <c r="I18" t="str">
        <f t="shared" si="2"/>
        <v/>
      </c>
      <c r="J18" t="str">
        <f t="shared" si="2"/>
        <v>00:00</v>
      </c>
      <c r="K18" s="170">
        <f>IF(Sheet1!BK37="",0,Sheet1!BK37)</f>
        <v>0</v>
      </c>
      <c r="M18" t="str">
        <f t="shared" si="3"/>
        <v/>
      </c>
      <c r="N18" t="str">
        <f t="shared" si="3"/>
        <v/>
      </c>
      <c r="O18" s="170">
        <f>IF(Sheet1!BI36="",0,Sheet1!BI36)</f>
        <v>0</v>
      </c>
      <c r="P18" s="170">
        <f>IF(Sheet1!BI37="",0,Sheet1!BI37)</f>
        <v>0</v>
      </c>
      <c r="Q18" s="170">
        <f>IF(Sheet1!BJ36="",0,Sheet1!BJ36)</f>
        <v>0</v>
      </c>
      <c r="R18" s="170">
        <f>IF(Sheet1!BJ37="",0,Sheet1!BJ37)</f>
        <v>0</v>
      </c>
      <c r="S18" s="170">
        <f>IF(Sheet1!BK36="",0,ROUND(Sheet1!BK36,0))</f>
        <v>0</v>
      </c>
      <c r="T18" s="170">
        <f>IF(Sheet1!BY36="",0,Sheet1!BY36)</f>
        <v>0</v>
      </c>
      <c r="U18" s="170">
        <f>IF(Sheet1!AY36="",0,Sheet1!AY36)</f>
        <v>0</v>
      </c>
      <c r="V18" s="170">
        <f>IF(OR(Sheet1!AZ36=0,TRIM(Sheet1!AZ36)=""),0,1)</f>
        <v>0</v>
      </c>
      <c r="W18" s="170">
        <f>IF(OR(Sheet1!BA36=0,TRIM(Sheet1!BA36)=""),0,1)</f>
        <v>0</v>
      </c>
      <c r="X18" s="170">
        <f>IF(OR(Sheet1!BB36=0,TRIM(Sheet1!BB36)=""),0,1)</f>
        <v>0</v>
      </c>
      <c r="Y18" s="170">
        <f>IF(OR(Sheet1!BC36=0,TRIM(Sheet1!BC36)=""),0,1)</f>
        <v>0</v>
      </c>
      <c r="Z18">
        <f t="shared" si="4"/>
        <v>0</v>
      </c>
      <c r="AA18" t="str">
        <f t="shared" si="5"/>
        <v>NO</v>
      </c>
      <c r="AB18" s="170">
        <f>Sheet1!BN129</f>
        <v>0</v>
      </c>
      <c r="AC18" t="str">
        <f>IF(OR(Sheet1!F21="",Sheet1!F21=0),"",Sheet1!F21)</f>
        <v/>
      </c>
      <c r="AD18" t="str">
        <f>IF(OR(Sheet1!G21="",Sheet1!G21=0),"",Sheet1!G21)</f>
        <v/>
      </c>
      <c r="AE18" t="str">
        <f t="shared" si="6"/>
        <v/>
      </c>
      <c r="AF18" s="170">
        <f>IF(Sheet1!BM36="",0,Sheet1!BM36)</f>
        <v>0</v>
      </c>
      <c r="AG18" t="e">
        <f t="shared" si="1"/>
        <v>#VALUE!</v>
      </c>
      <c r="AI18" s="170" t="str">
        <f>IF(Sheet1!BD36="","",UPPER(TRIM(Sheet1!BD36)))</f>
        <v/>
      </c>
      <c r="AJ18" t="str">
        <f t="shared" si="7"/>
        <v/>
      </c>
      <c r="AK18" s="172" t="str">
        <f>IF(Sheet1!BG36="","",Sheet1!BG36)</f>
        <v/>
      </c>
      <c r="AL18" s="172">
        <f>Sheet1!BG37</f>
        <v>0</v>
      </c>
      <c r="AM18" s="172" t="str">
        <f>Sheet1!BF36</f>
        <v/>
      </c>
      <c r="AN18" s="172" t="str">
        <f>Sheet1!BF37</f>
        <v/>
      </c>
    </row>
    <row r="19" spans="1:40">
      <c r="A19" s="170" t="str">
        <f>IF(UPPER(TRIM(Sheet1!E22))="","",UPPER(TRIM(Sheet1!E22)))</f>
        <v/>
      </c>
      <c r="B19" t="str">
        <f>IF(OR(Sheet1!AX38="",Sheet1!AX38="--xx"),"",Sheet1!AX38)</f>
        <v/>
      </c>
      <c r="C19" s="170" t="str">
        <f>UPPER(TRIM(Sheet1!BT2))</f>
        <v/>
      </c>
      <c r="D19" s="170" t="str">
        <f>TRIM(Sheet1!Z3)</f>
        <v/>
      </c>
      <c r="E19" s="170">
        <f>Sheet1!BX2</f>
        <v>6</v>
      </c>
      <c r="F19" s="170">
        <f>IF(Sheet1!BD39="",0,Sheet1!BD39)</f>
        <v>0</v>
      </c>
      <c r="G19" s="170" t="str">
        <f>IF(Sheet1!BO38="","",LOWER(TRIM(Sheet1!BO38)))</f>
        <v/>
      </c>
      <c r="H19" t="e">
        <f t="shared" si="0"/>
        <v>#VALUE!</v>
      </c>
      <c r="I19" t="str">
        <f t="shared" si="2"/>
        <v/>
      </c>
      <c r="J19" t="str">
        <f t="shared" si="2"/>
        <v>00:00</v>
      </c>
      <c r="K19" s="170">
        <f>IF(Sheet1!BK39="",0,Sheet1!BK39)</f>
        <v>0</v>
      </c>
      <c r="M19" t="str">
        <f t="shared" si="3"/>
        <v/>
      </c>
      <c r="N19" t="str">
        <f t="shared" si="3"/>
        <v/>
      </c>
      <c r="O19" s="170">
        <f>IF(Sheet1!BI38="",0,Sheet1!BI38)</f>
        <v>0</v>
      </c>
      <c r="P19" s="170">
        <f>IF(Sheet1!BI39="",0,Sheet1!BI39)</f>
        <v>0</v>
      </c>
      <c r="Q19" s="170">
        <f>IF(Sheet1!BJ38="",0,Sheet1!BJ38)</f>
        <v>0</v>
      </c>
      <c r="R19" s="170">
        <f>IF(Sheet1!BJ39="",0,Sheet1!BJ39)</f>
        <v>0</v>
      </c>
      <c r="S19" s="170">
        <f>IF(Sheet1!BK38="",0,ROUND(Sheet1!BK38,0))</f>
        <v>0</v>
      </c>
      <c r="T19" s="170">
        <f>IF(Sheet1!BY38="",0,Sheet1!BY38)</f>
        <v>0</v>
      </c>
      <c r="U19" s="170">
        <f>IF(Sheet1!AY38="",0,Sheet1!AY38)</f>
        <v>0</v>
      </c>
      <c r="V19" s="170">
        <f>IF(OR(Sheet1!AZ38=0,TRIM(Sheet1!AZ38)=""),0,1)</f>
        <v>0</v>
      </c>
      <c r="W19" s="170">
        <f>IF(OR(Sheet1!BA38=0,TRIM(Sheet1!BA38)=""),0,1)</f>
        <v>0</v>
      </c>
      <c r="X19" s="170">
        <f>IF(OR(Sheet1!BB38=0,TRIM(Sheet1!BB38)=""),0,1)</f>
        <v>0</v>
      </c>
      <c r="Y19" s="170">
        <f>IF(OR(Sheet1!BC38=0,TRIM(Sheet1!BC38)=""),0,1)</f>
        <v>0</v>
      </c>
      <c r="Z19">
        <f t="shared" si="4"/>
        <v>0</v>
      </c>
      <c r="AA19" t="str">
        <f t="shared" si="5"/>
        <v>NO</v>
      </c>
      <c r="AB19" s="170">
        <f>Sheet1!BN129</f>
        <v>0</v>
      </c>
      <c r="AC19" t="str">
        <f>IF(OR(Sheet1!F22="",Sheet1!F22=0),"",Sheet1!F22)</f>
        <v/>
      </c>
      <c r="AD19" t="str">
        <f>IF(OR(Sheet1!G22="",Sheet1!G22=0),"",Sheet1!G22)</f>
        <v/>
      </c>
      <c r="AE19" t="str">
        <f t="shared" si="6"/>
        <v/>
      </c>
      <c r="AF19" s="170">
        <f>IF(Sheet1!BM38="",0,Sheet1!BM38)</f>
        <v>0</v>
      </c>
      <c r="AG19" t="e">
        <f t="shared" si="1"/>
        <v>#VALUE!</v>
      </c>
      <c r="AI19" s="170" t="str">
        <f>IF(Sheet1!BD38="","",UPPER(TRIM(Sheet1!BD38)))</f>
        <v/>
      </c>
      <c r="AJ19" t="str">
        <f t="shared" si="7"/>
        <v/>
      </c>
      <c r="AK19" s="172" t="str">
        <f>IF(Sheet1!BG38="","",Sheet1!BG38)</f>
        <v/>
      </c>
      <c r="AL19" s="172">
        <f>Sheet1!BG39</f>
        <v>0</v>
      </c>
      <c r="AM19" s="172" t="str">
        <f>Sheet1!BF38</f>
        <v/>
      </c>
      <c r="AN19" s="172" t="str">
        <f>Sheet1!BF39</f>
        <v/>
      </c>
    </row>
    <row r="20" spans="1:40">
      <c r="A20" s="170" t="str">
        <f>IF(UPPER(TRIM(Sheet1!E23))="","",UPPER(TRIM(Sheet1!E23)))</f>
        <v/>
      </c>
      <c r="B20" t="str">
        <f>IF(OR(Sheet1!AX40="",Sheet1!AX40="--xx"),"",Sheet1!AX40)</f>
        <v/>
      </c>
      <c r="C20" s="170" t="str">
        <f>UPPER(TRIM(Sheet1!BT2))</f>
        <v/>
      </c>
      <c r="D20" s="170" t="str">
        <f>TRIM(Sheet1!Z3)</f>
        <v/>
      </c>
      <c r="E20" s="170">
        <f>Sheet1!BX2</f>
        <v>6</v>
      </c>
      <c r="F20" s="170">
        <f>IF(Sheet1!BD41="",0,Sheet1!BD41)</f>
        <v>0</v>
      </c>
      <c r="G20" s="170" t="str">
        <f>IF(Sheet1!BO40="","",LOWER(TRIM(Sheet1!BO40)))</f>
        <v/>
      </c>
      <c r="H20" t="e">
        <f t="shared" si="0"/>
        <v>#VALUE!</v>
      </c>
      <c r="I20" t="str">
        <f t="shared" si="2"/>
        <v/>
      </c>
      <c r="J20" t="str">
        <f t="shared" si="2"/>
        <v>00:00</v>
      </c>
      <c r="K20" s="170">
        <f>IF(Sheet1!BK41="",0,Sheet1!BK41)</f>
        <v>0</v>
      </c>
      <c r="M20" t="str">
        <f t="shared" si="3"/>
        <v/>
      </c>
      <c r="N20" t="str">
        <f t="shared" si="3"/>
        <v/>
      </c>
      <c r="O20" s="170">
        <f>IF(Sheet1!BI40="",0,Sheet1!BI40)</f>
        <v>0</v>
      </c>
      <c r="P20" s="170">
        <f>IF(Sheet1!BI41="",0,Sheet1!BI41)</f>
        <v>0</v>
      </c>
      <c r="Q20" s="170">
        <f>IF(Sheet1!BJ40="",0,Sheet1!BJ40)</f>
        <v>0</v>
      </c>
      <c r="R20" s="170">
        <f>IF(Sheet1!BJ41="",0,Sheet1!BJ41)</f>
        <v>0</v>
      </c>
      <c r="S20" s="170">
        <f>IF(Sheet1!BK40="",0,ROUND(Sheet1!BK40,0))</f>
        <v>0</v>
      </c>
      <c r="T20" s="170">
        <f>IF(Sheet1!BY40="",0,Sheet1!BY40)</f>
        <v>0</v>
      </c>
      <c r="U20" s="170">
        <f>IF(Sheet1!AY40="",0,Sheet1!AY40)</f>
        <v>0</v>
      </c>
      <c r="V20" s="170">
        <f>IF(OR(Sheet1!AZ40=0,TRIM(Sheet1!AZ40)=""),0,1)</f>
        <v>0</v>
      </c>
      <c r="W20" s="170">
        <f>IF(OR(Sheet1!BA40=0,TRIM(Sheet1!BA40)=""),0,1)</f>
        <v>0</v>
      </c>
      <c r="X20" s="170">
        <f>IF(OR(Sheet1!BB40=0,TRIM(Sheet1!BB40)=""),0,1)</f>
        <v>0</v>
      </c>
      <c r="Y20" s="170">
        <f>IF(OR(Sheet1!BC40=0,TRIM(Sheet1!BC40)=""),0,1)</f>
        <v>0</v>
      </c>
      <c r="Z20">
        <f t="shared" si="4"/>
        <v>0</v>
      </c>
      <c r="AA20" t="str">
        <f t="shared" si="5"/>
        <v>NO</v>
      </c>
      <c r="AB20" s="170">
        <f>Sheet1!BN129</f>
        <v>0</v>
      </c>
      <c r="AC20" t="str">
        <f>IF(OR(Sheet1!F23="",Sheet1!F23=0),"",Sheet1!F23)</f>
        <v/>
      </c>
      <c r="AD20" t="str">
        <f>IF(OR(Sheet1!G23="",Sheet1!G23=0),"",Sheet1!G23)</f>
        <v/>
      </c>
      <c r="AE20" t="str">
        <f t="shared" si="6"/>
        <v/>
      </c>
      <c r="AF20" s="170">
        <f>IF(Sheet1!BM40="",0,Sheet1!BM40)</f>
        <v>0</v>
      </c>
      <c r="AG20" t="e">
        <f t="shared" si="1"/>
        <v>#VALUE!</v>
      </c>
      <c r="AI20" s="170" t="str">
        <f>IF(Sheet1!BD40="","",UPPER(TRIM(Sheet1!BD40)))</f>
        <v/>
      </c>
      <c r="AJ20" t="str">
        <f t="shared" si="7"/>
        <v/>
      </c>
      <c r="AK20" s="172" t="str">
        <f>IF(Sheet1!BG40="","",Sheet1!BG40)</f>
        <v/>
      </c>
      <c r="AL20" s="172">
        <f>Sheet1!BG41</f>
        <v>0</v>
      </c>
      <c r="AM20" s="172" t="str">
        <f>Sheet1!BF40</f>
        <v/>
      </c>
      <c r="AN20" s="172" t="str">
        <f>Sheet1!BF41</f>
        <v/>
      </c>
    </row>
    <row r="21" spans="1:40">
      <c r="A21" s="170" t="str">
        <f>IF(UPPER(TRIM(Sheet1!E24))="","",UPPER(TRIM(Sheet1!E24)))</f>
        <v/>
      </c>
      <c r="B21" t="str">
        <f>IF(OR(Sheet1!AX42="",Sheet1!AX42="--xx"),"",Sheet1!AX42)</f>
        <v/>
      </c>
      <c r="C21" s="170" t="str">
        <f>UPPER(TRIM(Sheet1!BT2))</f>
        <v/>
      </c>
      <c r="D21" s="170" t="str">
        <f>TRIM(Sheet1!Z3)</f>
        <v/>
      </c>
      <c r="E21" s="170">
        <f>Sheet1!BX2</f>
        <v>6</v>
      </c>
      <c r="F21" s="170">
        <f>IF(Sheet1!BD43="",0,Sheet1!BD43)</f>
        <v>0</v>
      </c>
      <c r="G21" s="170" t="str">
        <f>IF(Sheet1!BO42="","",LOWER(TRIM(Sheet1!BO42)))</f>
        <v/>
      </c>
      <c r="H21" t="e">
        <f t="shared" si="0"/>
        <v>#VALUE!</v>
      </c>
      <c r="I21" t="str">
        <f t="shared" si="2"/>
        <v/>
      </c>
      <c r="J21" t="str">
        <f t="shared" si="2"/>
        <v>00:00</v>
      </c>
      <c r="K21" s="170">
        <f>IF(Sheet1!BK43="",0,Sheet1!BK43)</f>
        <v>0</v>
      </c>
      <c r="M21" t="str">
        <f t="shared" si="3"/>
        <v/>
      </c>
      <c r="N21" t="str">
        <f t="shared" si="3"/>
        <v/>
      </c>
      <c r="O21" s="170">
        <f>IF(Sheet1!BI42="",0,Sheet1!BI42)</f>
        <v>0</v>
      </c>
      <c r="P21" s="170">
        <f>IF(Sheet1!BI43="",0,Sheet1!BI43)</f>
        <v>0</v>
      </c>
      <c r="Q21" s="170">
        <f>IF(Sheet1!BJ42="",0,Sheet1!BJ42)</f>
        <v>0</v>
      </c>
      <c r="R21" s="170">
        <f>IF(Sheet1!BJ43="",0,Sheet1!BJ43)</f>
        <v>0</v>
      </c>
      <c r="S21" s="170">
        <f>IF(Sheet1!BK42="",0,ROUND(Sheet1!BK42,0))</f>
        <v>0</v>
      </c>
      <c r="T21" s="170">
        <f>IF(Sheet1!BY42="",0,Sheet1!BY42)</f>
        <v>0</v>
      </c>
      <c r="U21" s="170">
        <f>IF(Sheet1!AY42="",0,Sheet1!AY42)</f>
        <v>0</v>
      </c>
      <c r="V21" s="170">
        <f>IF(OR(Sheet1!AZ42=0,TRIM(Sheet1!AZ42)=""),0,1)</f>
        <v>0</v>
      </c>
      <c r="W21" s="170">
        <f>IF(OR(Sheet1!BA42=0,TRIM(Sheet1!BA42)=""),0,1)</f>
        <v>0</v>
      </c>
      <c r="X21" s="170">
        <f>IF(OR(Sheet1!BB42=0,TRIM(Sheet1!BB42)=""),0,1)</f>
        <v>0</v>
      </c>
      <c r="Y21" s="170">
        <f>IF(OR(Sheet1!BC42=0,TRIM(Sheet1!BC42)=""),0,1)</f>
        <v>0</v>
      </c>
      <c r="Z21">
        <f t="shared" si="4"/>
        <v>0</v>
      </c>
      <c r="AA21" t="str">
        <f t="shared" si="5"/>
        <v>NO</v>
      </c>
      <c r="AB21" s="170">
        <f>Sheet1!BN129</f>
        <v>0</v>
      </c>
      <c r="AC21" t="str">
        <f>IF(OR(Sheet1!F24="",Sheet1!F24=0),"",Sheet1!F24)</f>
        <v/>
      </c>
      <c r="AD21" t="str">
        <f>IF(OR(Sheet1!G24="",Sheet1!G24=0),"",Sheet1!G24)</f>
        <v/>
      </c>
      <c r="AE21" t="str">
        <f t="shared" si="6"/>
        <v/>
      </c>
      <c r="AF21" s="170">
        <f>IF(Sheet1!BM42="",0,Sheet1!BM42)</f>
        <v>0</v>
      </c>
      <c r="AG21" t="e">
        <f t="shared" si="1"/>
        <v>#VALUE!</v>
      </c>
      <c r="AI21" s="170" t="str">
        <f>IF(Sheet1!BD42="","",UPPER(TRIM(Sheet1!BD42)))</f>
        <v/>
      </c>
      <c r="AJ21" t="str">
        <f t="shared" si="7"/>
        <v/>
      </c>
      <c r="AK21" s="172" t="str">
        <f>IF(Sheet1!BG42="","",Sheet1!BG42)</f>
        <v/>
      </c>
      <c r="AL21" s="172">
        <f>Sheet1!BG43</f>
        <v>0</v>
      </c>
      <c r="AM21" s="172" t="str">
        <f>Sheet1!BF42</f>
        <v/>
      </c>
      <c r="AN21" s="172" t="str">
        <f>Sheet1!BF43</f>
        <v/>
      </c>
    </row>
    <row r="22" spans="1:40">
      <c r="A22" s="170" t="str">
        <f>IF(UPPER(TRIM(Sheet1!E25))="","",UPPER(TRIM(Sheet1!E25)))</f>
        <v/>
      </c>
      <c r="B22" t="str">
        <f>IF(OR(Sheet1!AX44="",Sheet1!AX44="--xx"),"",Sheet1!AX44)</f>
        <v/>
      </c>
      <c r="C22" s="170" t="str">
        <f>UPPER(TRIM(Sheet1!BT2))</f>
        <v/>
      </c>
      <c r="D22" s="170" t="str">
        <f>TRIM(Sheet1!Z3)</f>
        <v/>
      </c>
      <c r="E22" s="170">
        <f>Sheet1!BX2</f>
        <v>6</v>
      </c>
      <c r="F22" s="170">
        <f>IF(Sheet1!BD45="",0,Sheet1!BD45)</f>
        <v>0</v>
      </c>
      <c r="G22" s="170" t="str">
        <f>IF(Sheet1!BO44="","",LOWER(TRIM(Sheet1!BO44)))</f>
        <v/>
      </c>
      <c r="H22" t="e">
        <f t="shared" si="0"/>
        <v>#VALUE!</v>
      </c>
      <c r="I22" t="str">
        <f t="shared" si="2"/>
        <v/>
      </c>
      <c r="J22" t="str">
        <f t="shared" si="2"/>
        <v>00:00</v>
      </c>
      <c r="K22" s="170">
        <f>IF(Sheet1!BK45="",0,Sheet1!BK45)</f>
        <v>0</v>
      </c>
      <c r="M22" t="str">
        <f t="shared" si="3"/>
        <v/>
      </c>
      <c r="N22" t="str">
        <f t="shared" si="3"/>
        <v/>
      </c>
      <c r="O22" s="170">
        <f>IF(Sheet1!BI44="",0,Sheet1!BI44)</f>
        <v>0</v>
      </c>
      <c r="P22" s="170">
        <f>IF(Sheet1!BI45="",0,Sheet1!BI45)</f>
        <v>0</v>
      </c>
      <c r="Q22" s="170">
        <f>IF(Sheet1!BJ44="",0,Sheet1!BJ44)</f>
        <v>0</v>
      </c>
      <c r="R22" s="170">
        <f>IF(Sheet1!BJ45="",0,Sheet1!BJ45)</f>
        <v>0</v>
      </c>
      <c r="S22" s="170">
        <f>IF(Sheet1!BK44="",0,ROUND(Sheet1!BK44,0))</f>
        <v>0</v>
      </c>
      <c r="T22" s="170">
        <f>IF(Sheet1!BY44="",0,Sheet1!BY44)</f>
        <v>0</v>
      </c>
      <c r="U22" s="170">
        <f>IF(Sheet1!AY44="",0,Sheet1!AY44)</f>
        <v>0</v>
      </c>
      <c r="V22" s="170">
        <f>IF(OR(Sheet1!AZ44=0,TRIM(Sheet1!AZ44)=""),0,1)</f>
        <v>0</v>
      </c>
      <c r="W22" s="170">
        <f>IF(OR(Sheet1!BA44=0,TRIM(Sheet1!BA44)=""),0,1)</f>
        <v>0</v>
      </c>
      <c r="X22" s="170">
        <f>IF(OR(Sheet1!BB44=0,TRIM(Sheet1!BB44)=""),0,1)</f>
        <v>0</v>
      </c>
      <c r="Y22" s="170">
        <f>IF(OR(Sheet1!BC44=0,TRIM(Sheet1!BC44)=""),0,1)</f>
        <v>0</v>
      </c>
      <c r="Z22">
        <f t="shared" si="4"/>
        <v>0</v>
      </c>
      <c r="AA22" t="str">
        <f t="shared" si="5"/>
        <v>NO</v>
      </c>
      <c r="AB22" s="170">
        <f>Sheet1!BN129</f>
        <v>0</v>
      </c>
      <c r="AC22" t="str">
        <f>IF(OR(Sheet1!F25="",Sheet1!F25=0),"",Sheet1!F25)</f>
        <v/>
      </c>
      <c r="AD22" t="str">
        <f>IF(OR(Sheet1!G25="",Sheet1!G25=0),"",Sheet1!G25)</f>
        <v/>
      </c>
      <c r="AE22" t="str">
        <f t="shared" si="6"/>
        <v/>
      </c>
      <c r="AF22" s="170">
        <f>IF(Sheet1!BM44="",0,Sheet1!BM44)</f>
        <v>0</v>
      </c>
      <c r="AG22" t="e">
        <f t="shared" si="1"/>
        <v>#VALUE!</v>
      </c>
      <c r="AI22" s="170" t="str">
        <f>IF(Sheet1!BD44="","",UPPER(TRIM(Sheet1!BD44)))</f>
        <v/>
      </c>
      <c r="AJ22" t="str">
        <f t="shared" si="7"/>
        <v/>
      </c>
      <c r="AK22" s="172" t="str">
        <f>IF(Sheet1!BG44="","",Sheet1!BG44)</f>
        <v/>
      </c>
      <c r="AL22" s="172">
        <f>Sheet1!BG45</f>
        <v>0</v>
      </c>
      <c r="AM22" s="172" t="str">
        <f>Sheet1!BF44</f>
        <v/>
      </c>
      <c r="AN22" s="172" t="str">
        <f>Sheet1!BF45</f>
        <v/>
      </c>
    </row>
    <row r="23" spans="1:40">
      <c r="A23" s="170" t="str">
        <f>IF(UPPER(TRIM(Sheet1!E26))="","",UPPER(TRIM(Sheet1!E26)))</f>
        <v/>
      </c>
      <c r="B23" t="str">
        <f>IF(OR(Sheet1!AX46="",Sheet1!AX46="--xx"),"",Sheet1!AX46)</f>
        <v/>
      </c>
      <c r="C23" s="170" t="str">
        <f>UPPER(TRIM(Sheet1!BT2))</f>
        <v/>
      </c>
      <c r="D23" s="170" t="str">
        <f>TRIM(Sheet1!Z3)</f>
        <v/>
      </c>
      <c r="E23" s="170">
        <f>Sheet1!BX2</f>
        <v>6</v>
      </c>
      <c r="F23" s="170">
        <f>IF(Sheet1!BD47="",0,Sheet1!BD47)</f>
        <v>0</v>
      </c>
      <c r="G23" s="170" t="str">
        <f>IF(Sheet1!BO46="","",LOWER(TRIM(Sheet1!BO46)))</f>
        <v/>
      </c>
      <c r="H23" t="e">
        <f t="shared" si="0"/>
        <v>#VALUE!</v>
      </c>
      <c r="I23" t="str">
        <f t="shared" si="2"/>
        <v/>
      </c>
      <c r="J23" t="str">
        <f t="shared" si="2"/>
        <v>00:00</v>
      </c>
      <c r="K23" s="170">
        <f>IF(Sheet1!BK47="",0,Sheet1!BK47)</f>
        <v>0</v>
      </c>
      <c r="M23" t="str">
        <f t="shared" si="3"/>
        <v/>
      </c>
      <c r="N23" t="str">
        <f t="shared" si="3"/>
        <v/>
      </c>
      <c r="O23" s="170">
        <f>IF(Sheet1!BI46="",0,Sheet1!BI46)</f>
        <v>0</v>
      </c>
      <c r="P23" s="170">
        <f>IF(Sheet1!BI47="",0,Sheet1!BI47)</f>
        <v>0</v>
      </c>
      <c r="Q23" s="170">
        <f>IF(Sheet1!BJ46="",0,Sheet1!BJ46)</f>
        <v>0</v>
      </c>
      <c r="R23" s="170">
        <f>IF(Sheet1!BJ47="",0,Sheet1!BJ47)</f>
        <v>0</v>
      </c>
      <c r="S23" s="170">
        <f>IF(Sheet1!BK46="",0,ROUND(Sheet1!BK46,0))</f>
        <v>0</v>
      </c>
      <c r="T23" s="170">
        <f>IF(Sheet1!BY46="",0,Sheet1!BY46)</f>
        <v>0</v>
      </c>
      <c r="U23" s="170">
        <f>IF(Sheet1!AY46="",0,Sheet1!AY46)</f>
        <v>0</v>
      </c>
      <c r="V23" s="170">
        <f>IF(OR(Sheet1!AZ46=0,TRIM(Sheet1!AZ46)=""),0,1)</f>
        <v>0</v>
      </c>
      <c r="W23" s="170">
        <f>IF(OR(Sheet1!BA46=0,TRIM(Sheet1!BA46)=""),0,1)</f>
        <v>0</v>
      </c>
      <c r="X23" s="170">
        <f>IF(OR(Sheet1!BB46=0,TRIM(Sheet1!BB46)=""),0,1)</f>
        <v>0</v>
      </c>
      <c r="Y23" s="170">
        <f>IF(OR(Sheet1!BC46=0,TRIM(Sheet1!BC46)=""),0,1)</f>
        <v>0</v>
      </c>
      <c r="Z23">
        <f t="shared" si="4"/>
        <v>0</v>
      </c>
      <c r="AA23" t="str">
        <f t="shared" si="5"/>
        <v>NO</v>
      </c>
      <c r="AB23" s="170">
        <f>Sheet1!BN129</f>
        <v>0</v>
      </c>
      <c r="AC23" t="str">
        <f>IF(OR(Sheet1!F26="",Sheet1!F26=0),"",Sheet1!F26)</f>
        <v/>
      </c>
      <c r="AD23" t="str">
        <f>IF(OR(Sheet1!G26="",Sheet1!G26=0),"",Sheet1!G26)</f>
        <v/>
      </c>
      <c r="AE23" t="str">
        <f t="shared" si="6"/>
        <v/>
      </c>
      <c r="AF23" s="170">
        <f>IF(Sheet1!BM46="",0,Sheet1!BM46)</f>
        <v>0</v>
      </c>
      <c r="AG23" t="e">
        <f t="shared" si="1"/>
        <v>#VALUE!</v>
      </c>
      <c r="AI23" s="170" t="str">
        <f>IF(Sheet1!BD46="","",UPPER(TRIM(Sheet1!BD46)))</f>
        <v/>
      </c>
      <c r="AJ23" t="str">
        <f t="shared" si="7"/>
        <v/>
      </c>
      <c r="AK23" s="172" t="str">
        <f>IF(Sheet1!BG46="","",Sheet1!BG46)</f>
        <v/>
      </c>
      <c r="AL23" s="172">
        <f>Sheet1!BG47</f>
        <v>0</v>
      </c>
      <c r="AM23" s="172" t="str">
        <f>Sheet1!BF46</f>
        <v/>
      </c>
      <c r="AN23" s="172" t="str">
        <f>Sheet1!BF47</f>
        <v/>
      </c>
    </row>
    <row r="24" spans="1:40">
      <c r="A24" s="170" t="str">
        <f>IF(UPPER(TRIM(Sheet1!E27))="","",UPPER(TRIM(Sheet1!E27)))</f>
        <v/>
      </c>
      <c r="B24" t="str">
        <f>IF(OR(Sheet1!AX48="",Sheet1!AX48="--xx"),"",Sheet1!AX48)</f>
        <v/>
      </c>
      <c r="C24" s="170" t="str">
        <f>UPPER(TRIM(Sheet1!BT2))</f>
        <v/>
      </c>
      <c r="D24" s="170" t="str">
        <f>TRIM(Sheet1!Z3)</f>
        <v/>
      </c>
      <c r="E24" s="170">
        <f>Sheet1!BX2</f>
        <v>6</v>
      </c>
      <c r="F24" s="170">
        <f>IF(Sheet1!BD49="",0,Sheet1!BD49)</f>
        <v>0</v>
      </c>
      <c r="G24" s="170" t="str">
        <f>IF(Sheet1!BO48="","",LOWER(TRIM(Sheet1!BO48)))</f>
        <v/>
      </c>
      <c r="H24" t="e">
        <f t="shared" si="0"/>
        <v>#VALUE!</v>
      </c>
      <c r="I24" t="str">
        <f t="shared" si="2"/>
        <v/>
      </c>
      <c r="J24" t="str">
        <f t="shared" si="2"/>
        <v>00:00</v>
      </c>
      <c r="K24" s="170">
        <f>IF(Sheet1!BK49="",0,Sheet1!BK49)</f>
        <v>0</v>
      </c>
      <c r="M24" t="str">
        <f t="shared" si="3"/>
        <v/>
      </c>
      <c r="N24" t="str">
        <f t="shared" si="3"/>
        <v/>
      </c>
      <c r="O24" s="170">
        <f>IF(Sheet1!BI48="",0,Sheet1!BI48)</f>
        <v>0</v>
      </c>
      <c r="P24" s="170">
        <f>IF(Sheet1!BI49="",0,Sheet1!BI49)</f>
        <v>0</v>
      </c>
      <c r="Q24" s="170">
        <f>IF(Sheet1!BJ48="",0,Sheet1!BJ48)</f>
        <v>0</v>
      </c>
      <c r="R24" s="170">
        <f>IF(Sheet1!BJ49="",0,Sheet1!BJ49)</f>
        <v>0</v>
      </c>
      <c r="S24" s="170">
        <f>IF(Sheet1!BK48="",0,ROUND(Sheet1!BK48,0))</f>
        <v>0</v>
      </c>
      <c r="T24" s="170">
        <f>IF(Sheet1!BY48="",0,Sheet1!BY48)</f>
        <v>0</v>
      </c>
      <c r="U24" s="170">
        <f>IF(Sheet1!AY48="",0,Sheet1!AY48)</f>
        <v>0</v>
      </c>
      <c r="V24" s="170">
        <f>IF(OR(Sheet1!AZ48=0,TRIM(Sheet1!AZ48)=""),0,1)</f>
        <v>0</v>
      </c>
      <c r="W24" s="170">
        <f>IF(OR(Sheet1!BA48=0,TRIM(Sheet1!BA48)=""),0,1)</f>
        <v>0</v>
      </c>
      <c r="X24" s="170">
        <f>IF(OR(Sheet1!BB48=0,TRIM(Sheet1!BB48)=""),0,1)</f>
        <v>0</v>
      </c>
      <c r="Y24" s="170">
        <f>IF(OR(Sheet1!BC48=0,TRIM(Sheet1!BC48)=""),0,1)</f>
        <v>0</v>
      </c>
      <c r="Z24">
        <f t="shared" si="4"/>
        <v>0</v>
      </c>
      <c r="AA24" t="str">
        <f t="shared" si="5"/>
        <v>NO</v>
      </c>
      <c r="AB24" s="170">
        <f>Sheet1!BN129</f>
        <v>0</v>
      </c>
      <c r="AC24" t="str">
        <f>IF(OR(Sheet1!F27="",Sheet1!F27=0),"",Sheet1!F27)</f>
        <v/>
      </c>
      <c r="AD24" t="str">
        <f>IF(OR(Sheet1!G27="",Sheet1!G27=0),"",Sheet1!G27)</f>
        <v/>
      </c>
      <c r="AE24" t="str">
        <f t="shared" si="6"/>
        <v/>
      </c>
      <c r="AF24" s="170">
        <f>IF(Sheet1!BM48="",0,Sheet1!BM48)</f>
        <v>0</v>
      </c>
      <c r="AG24" t="e">
        <f t="shared" si="1"/>
        <v>#VALUE!</v>
      </c>
      <c r="AI24" s="170" t="str">
        <f>IF(Sheet1!BD48="","",UPPER(TRIM(Sheet1!BD48)))</f>
        <v/>
      </c>
      <c r="AJ24" t="str">
        <f t="shared" si="7"/>
        <v/>
      </c>
      <c r="AK24" s="172" t="str">
        <f>IF(Sheet1!BG48="","",Sheet1!BG48)</f>
        <v/>
      </c>
      <c r="AL24" s="172">
        <f>Sheet1!BG49</f>
        <v>0</v>
      </c>
      <c r="AM24" s="172" t="str">
        <f>Sheet1!BF48</f>
        <v/>
      </c>
      <c r="AN24" s="172" t="str">
        <f>Sheet1!BF49</f>
        <v/>
      </c>
    </row>
    <row r="25" spans="1:40">
      <c r="A25" s="170" t="str">
        <f>IF(UPPER(TRIM(Sheet1!E28))="","",UPPER(TRIM(Sheet1!E28)))</f>
        <v/>
      </c>
      <c r="B25" t="str">
        <f>IF(OR(Sheet1!AX50="",Sheet1!AX50="--xx"),"",Sheet1!AX50)</f>
        <v/>
      </c>
      <c r="C25" s="170" t="str">
        <f>UPPER(TRIM(Sheet1!BT2))</f>
        <v/>
      </c>
      <c r="D25" s="170" t="str">
        <f>TRIM(Sheet1!Z3)</f>
        <v/>
      </c>
      <c r="E25" s="170">
        <f>Sheet1!BX2</f>
        <v>6</v>
      </c>
      <c r="F25" s="170">
        <f>IF(Sheet1!BD51="",0,Sheet1!BD51)</f>
        <v>0</v>
      </c>
      <c r="G25" s="170" t="str">
        <f>IF(Sheet1!BO50="","",LOWER(TRIM(Sheet1!BO50)))</f>
        <v/>
      </c>
      <c r="H25" t="e">
        <f t="shared" si="0"/>
        <v>#VALUE!</v>
      </c>
      <c r="I25" t="str">
        <f t="shared" si="2"/>
        <v/>
      </c>
      <c r="J25" t="str">
        <f t="shared" si="2"/>
        <v>00:00</v>
      </c>
      <c r="K25" s="170">
        <f>IF(Sheet1!BK51="",0,Sheet1!BK51)</f>
        <v>0</v>
      </c>
      <c r="M25" t="str">
        <f t="shared" si="3"/>
        <v/>
      </c>
      <c r="N25" t="str">
        <f t="shared" si="3"/>
        <v/>
      </c>
      <c r="O25" s="170">
        <f>IF(Sheet1!BI50="",0,Sheet1!BI50)</f>
        <v>0</v>
      </c>
      <c r="P25" s="170">
        <f>IF(Sheet1!BI51="",0,Sheet1!BI51)</f>
        <v>0</v>
      </c>
      <c r="Q25" s="170">
        <f>IF(Sheet1!BJ50="",0,Sheet1!BJ50)</f>
        <v>0</v>
      </c>
      <c r="R25" s="170">
        <f>IF(Sheet1!BJ51="",0,Sheet1!BJ51)</f>
        <v>0</v>
      </c>
      <c r="S25" s="170">
        <f>IF(Sheet1!BK50="",0,ROUND(Sheet1!BK50,0))</f>
        <v>0</v>
      </c>
      <c r="T25" s="170">
        <f>IF(Sheet1!BY50="",0,Sheet1!BY50)</f>
        <v>0</v>
      </c>
      <c r="U25" s="170">
        <f>IF(Sheet1!AY50="",0,Sheet1!AY50)</f>
        <v>0</v>
      </c>
      <c r="V25" s="170">
        <f>IF(OR(Sheet1!AZ50=0,TRIM(Sheet1!AZ50)=""),0,1)</f>
        <v>0</v>
      </c>
      <c r="W25" s="170">
        <f>IF(OR(Sheet1!BA50=0,TRIM(Sheet1!BA50)=""),0,1)</f>
        <v>0</v>
      </c>
      <c r="X25" s="170">
        <f>IF(OR(Sheet1!BB50=0,TRIM(Sheet1!BB50)=""),0,1)</f>
        <v>0</v>
      </c>
      <c r="Y25" s="170">
        <f>IF(OR(Sheet1!BC50=0,TRIM(Sheet1!BC50)=""),0,1)</f>
        <v>0</v>
      </c>
      <c r="Z25">
        <f t="shared" si="4"/>
        <v>0</v>
      </c>
      <c r="AA25" t="str">
        <f t="shared" si="5"/>
        <v>NO</v>
      </c>
      <c r="AB25" s="170">
        <f>Sheet1!BN129</f>
        <v>0</v>
      </c>
      <c r="AC25" t="str">
        <f>IF(OR(Sheet1!F28="",Sheet1!F28=0),"",Sheet1!F28)</f>
        <v/>
      </c>
      <c r="AD25" t="str">
        <f>IF(OR(Sheet1!G28="",Sheet1!G28=0),"",Sheet1!G28)</f>
        <v/>
      </c>
      <c r="AE25" t="str">
        <f t="shared" si="6"/>
        <v/>
      </c>
      <c r="AF25" s="170">
        <f>IF(Sheet1!BM50="",0,Sheet1!BM50)</f>
        <v>0</v>
      </c>
      <c r="AG25" t="e">
        <f t="shared" si="1"/>
        <v>#VALUE!</v>
      </c>
      <c r="AI25" s="170" t="str">
        <f>IF(Sheet1!BD50="","",UPPER(TRIM(Sheet1!BD50)))</f>
        <v/>
      </c>
      <c r="AJ25" t="str">
        <f t="shared" si="7"/>
        <v/>
      </c>
      <c r="AK25" s="172" t="str">
        <f>IF(Sheet1!BG50="","",Sheet1!BG50)</f>
        <v/>
      </c>
      <c r="AL25" s="172">
        <f>Sheet1!BG51</f>
        <v>0</v>
      </c>
      <c r="AM25" s="172" t="str">
        <f>Sheet1!BF50</f>
        <v/>
      </c>
      <c r="AN25" s="172" t="str">
        <f>Sheet1!BF51</f>
        <v/>
      </c>
    </row>
    <row r="26" spans="1:40">
      <c r="A26" s="170" t="str">
        <f>IF(UPPER(TRIM(Sheet1!E29))="","",UPPER(TRIM(Sheet1!E29)))</f>
        <v/>
      </c>
      <c r="B26" t="str">
        <f>IF(OR(Sheet1!AX52="",Sheet1!AX52="--xx"),"",Sheet1!AX52)</f>
        <v/>
      </c>
      <c r="C26" s="170" t="str">
        <f>UPPER(TRIM(Sheet1!BT2))</f>
        <v/>
      </c>
      <c r="D26" s="170" t="str">
        <f>TRIM(Sheet1!Z3)</f>
        <v/>
      </c>
      <c r="E26" s="170">
        <f>Sheet1!BX2</f>
        <v>6</v>
      </c>
      <c r="F26" s="170">
        <f>IF(Sheet1!BD53="",0,Sheet1!BD53)</f>
        <v>0</v>
      </c>
      <c r="G26" s="170" t="str">
        <f>IF(Sheet1!BO52="","",LOWER(TRIM(Sheet1!BO52)))</f>
        <v/>
      </c>
      <c r="H26" t="e">
        <f t="shared" si="0"/>
        <v>#VALUE!</v>
      </c>
      <c r="I26" t="str">
        <f t="shared" si="2"/>
        <v/>
      </c>
      <c r="J26" t="str">
        <f t="shared" si="2"/>
        <v>00:00</v>
      </c>
      <c r="K26" s="170">
        <f>IF(Sheet1!BK53="",0,Sheet1!BK53)</f>
        <v>0</v>
      </c>
      <c r="M26" t="str">
        <f t="shared" si="3"/>
        <v/>
      </c>
      <c r="N26" t="str">
        <f t="shared" si="3"/>
        <v/>
      </c>
      <c r="O26" s="170">
        <f>IF(Sheet1!BI52="",0,Sheet1!BI52)</f>
        <v>0</v>
      </c>
      <c r="P26" s="170">
        <f>IF(Sheet1!BI53="",0,Sheet1!BI53)</f>
        <v>0</v>
      </c>
      <c r="Q26" s="170">
        <f>IF(Sheet1!BJ52="",0,Sheet1!BJ52)</f>
        <v>0</v>
      </c>
      <c r="R26" s="170">
        <f>IF(Sheet1!BJ53="",0,Sheet1!BJ53)</f>
        <v>0</v>
      </c>
      <c r="S26" s="170">
        <f>IF(Sheet1!BK52="",0,ROUND(Sheet1!BK52,0))</f>
        <v>0</v>
      </c>
      <c r="T26" s="170">
        <f>IF(Sheet1!BY52="",0,Sheet1!BY52)</f>
        <v>0</v>
      </c>
      <c r="U26" s="170">
        <f>IF(Sheet1!AY52="",0,Sheet1!AY52)</f>
        <v>0</v>
      </c>
      <c r="V26" s="170">
        <f>IF(OR(Sheet1!AZ52=0,TRIM(Sheet1!AZ52)=""),0,1)</f>
        <v>0</v>
      </c>
      <c r="W26" s="170">
        <f>IF(OR(Sheet1!BA52=0,TRIM(Sheet1!BA52)=""),0,1)</f>
        <v>0</v>
      </c>
      <c r="X26" s="170">
        <f>IF(OR(Sheet1!BB52=0,TRIM(Sheet1!BB52)=""),0,1)</f>
        <v>0</v>
      </c>
      <c r="Y26" s="170">
        <f>IF(OR(Sheet1!BC52=0,TRIM(Sheet1!BC52)=""),0,1)</f>
        <v>0</v>
      </c>
      <c r="Z26">
        <f t="shared" si="4"/>
        <v>0</v>
      </c>
      <c r="AA26" t="str">
        <f t="shared" si="5"/>
        <v>NO</v>
      </c>
      <c r="AB26" s="170">
        <f>Sheet1!BN129</f>
        <v>0</v>
      </c>
      <c r="AC26" t="str">
        <f>IF(OR(Sheet1!F29="",Sheet1!F29=0),"",Sheet1!F29)</f>
        <v/>
      </c>
      <c r="AD26" t="str">
        <f>IF(OR(Sheet1!G29="",Sheet1!G29=0),"",Sheet1!G29)</f>
        <v/>
      </c>
      <c r="AE26" t="str">
        <f t="shared" si="6"/>
        <v/>
      </c>
      <c r="AF26" s="170">
        <f>IF(Sheet1!BM52="",0,Sheet1!BM52)</f>
        <v>0</v>
      </c>
      <c r="AG26" t="e">
        <f t="shared" si="1"/>
        <v>#VALUE!</v>
      </c>
      <c r="AI26" s="170" t="str">
        <f>IF(Sheet1!BD52="","",UPPER(TRIM(Sheet1!BD52)))</f>
        <v/>
      </c>
      <c r="AJ26" t="str">
        <f t="shared" si="7"/>
        <v/>
      </c>
      <c r="AK26" s="172" t="str">
        <f>IF(Sheet1!BG52="","",Sheet1!BG52)</f>
        <v/>
      </c>
      <c r="AL26" s="172">
        <f>Sheet1!BG53</f>
        <v>0</v>
      </c>
      <c r="AM26" s="172" t="str">
        <f>Sheet1!BF52</f>
        <v/>
      </c>
      <c r="AN26" s="172" t="str">
        <f>Sheet1!BF53</f>
        <v/>
      </c>
    </row>
    <row r="27" spans="1:40">
      <c r="A27" s="170" t="str">
        <f>IF(UPPER(TRIM(Sheet1!E30))="","",UPPER(TRIM(Sheet1!E30)))</f>
        <v/>
      </c>
      <c r="B27" t="str">
        <f>IF(OR(Sheet1!AX54="",Sheet1!AX54="--xx"),"",Sheet1!AX54)</f>
        <v/>
      </c>
      <c r="C27" s="170" t="str">
        <f>UPPER(TRIM(Sheet1!BT2))</f>
        <v/>
      </c>
      <c r="D27" s="170" t="str">
        <f>TRIM(Sheet1!Z3)</f>
        <v/>
      </c>
      <c r="E27" s="170">
        <f>Sheet1!BX2</f>
        <v>6</v>
      </c>
      <c r="F27" s="170">
        <f>IF(Sheet1!BD55="",0,Sheet1!BD55)</f>
        <v>0</v>
      </c>
      <c r="G27" s="170" t="str">
        <f>IF(Sheet1!BO54="","",LOWER(TRIM(Sheet1!BO54)))</f>
        <v/>
      </c>
      <c r="H27" t="e">
        <f t="shared" si="0"/>
        <v>#VALUE!</v>
      </c>
      <c r="I27" t="str">
        <f t="shared" si="2"/>
        <v/>
      </c>
      <c r="J27" t="str">
        <f t="shared" si="2"/>
        <v>00:00</v>
      </c>
      <c r="K27" s="170">
        <f>IF(Sheet1!BK55="",0,Sheet1!BK55)</f>
        <v>0</v>
      </c>
      <c r="M27" t="str">
        <f t="shared" si="3"/>
        <v/>
      </c>
      <c r="N27" t="str">
        <f t="shared" si="3"/>
        <v/>
      </c>
      <c r="O27" s="170">
        <f>IF(Sheet1!BI54="",0,Sheet1!BI54)</f>
        <v>0</v>
      </c>
      <c r="P27" s="170">
        <f>IF(Sheet1!BI55="",0,Sheet1!BI55)</f>
        <v>0</v>
      </c>
      <c r="Q27" s="170">
        <f>IF(Sheet1!BJ54="",0,Sheet1!BJ54)</f>
        <v>0</v>
      </c>
      <c r="R27" s="170">
        <f>IF(Sheet1!BJ55="",0,Sheet1!BJ55)</f>
        <v>0</v>
      </c>
      <c r="S27" s="170">
        <f>IF(Sheet1!BK54="",0,ROUND(Sheet1!BK54,0))</f>
        <v>0</v>
      </c>
      <c r="T27" s="170">
        <f>IF(Sheet1!BY54="",0,Sheet1!BY54)</f>
        <v>0</v>
      </c>
      <c r="U27" s="170">
        <f>IF(Sheet1!AY54="",0,Sheet1!AY54)</f>
        <v>0</v>
      </c>
      <c r="V27" s="170">
        <f>IF(OR(Sheet1!AZ54=0,TRIM(Sheet1!AZ54)=""),0,1)</f>
        <v>0</v>
      </c>
      <c r="W27" s="170">
        <f>IF(OR(Sheet1!BA54=0,TRIM(Sheet1!BA54)=""),0,1)</f>
        <v>0</v>
      </c>
      <c r="X27" s="170">
        <f>IF(OR(Sheet1!BB54=0,TRIM(Sheet1!BB54)=""),0,1)</f>
        <v>0</v>
      </c>
      <c r="Y27" s="170">
        <f>IF(OR(Sheet1!BC54=0,TRIM(Sheet1!BC54)=""),0,1)</f>
        <v>0</v>
      </c>
      <c r="Z27">
        <f t="shared" si="4"/>
        <v>0</v>
      </c>
      <c r="AA27" t="str">
        <f t="shared" si="5"/>
        <v>NO</v>
      </c>
      <c r="AB27" s="170">
        <f>Sheet1!BN129</f>
        <v>0</v>
      </c>
      <c r="AC27" t="str">
        <f>IF(OR(Sheet1!F30="",Sheet1!F30=0),"",Sheet1!F30)</f>
        <v/>
      </c>
      <c r="AD27" t="str">
        <f>IF(OR(Sheet1!G30="",Sheet1!G30=0),"",Sheet1!G30)</f>
        <v/>
      </c>
      <c r="AE27" t="str">
        <f t="shared" si="6"/>
        <v/>
      </c>
      <c r="AF27" s="170">
        <f>IF(Sheet1!BM54="",0,Sheet1!BM54)</f>
        <v>0</v>
      </c>
      <c r="AG27" t="e">
        <f t="shared" si="1"/>
        <v>#VALUE!</v>
      </c>
      <c r="AI27" s="170" t="str">
        <f>IF(Sheet1!BD54="","",UPPER(TRIM(Sheet1!BD54)))</f>
        <v/>
      </c>
      <c r="AJ27" t="str">
        <f t="shared" si="7"/>
        <v/>
      </c>
      <c r="AK27" s="172" t="str">
        <f>IF(Sheet1!BG54="","",Sheet1!BG54)</f>
        <v/>
      </c>
      <c r="AL27" s="172">
        <f>Sheet1!BG55</f>
        <v>0</v>
      </c>
      <c r="AM27" s="172" t="str">
        <f>Sheet1!BF54</f>
        <v/>
      </c>
      <c r="AN27" s="172" t="str">
        <f>Sheet1!BF55</f>
        <v/>
      </c>
    </row>
    <row r="28" spans="1:40">
      <c r="A28" s="170" t="str">
        <f>IF(UPPER(TRIM(Sheet1!E31))="","",UPPER(TRIM(Sheet1!E31)))</f>
        <v/>
      </c>
      <c r="B28" t="str">
        <f>IF(OR(Sheet1!AX56="",Sheet1!AX56="--xx"),"",Sheet1!AX56)</f>
        <v/>
      </c>
      <c r="C28" s="170" t="str">
        <f>UPPER(TRIM(Sheet1!BT2))</f>
        <v/>
      </c>
      <c r="D28" s="170" t="str">
        <f>TRIM(Sheet1!Z3)</f>
        <v/>
      </c>
      <c r="E28" s="170">
        <f>Sheet1!BX2</f>
        <v>6</v>
      </c>
      <c r="F28" s="170">
        <f>IF(Sheet1!BD57="",0,Sheet1!BD57)</f>
        <v>0</v>
      </c>
      <c r="G28" s="170" t="str">
        <f>IF(Sheet1!BO56="","",LOWER(TRIM(Sheet1!BO56)))</f>
        <v/>
      </c>
      <c r="H28" t="e">
        <f t="shared" si="0"/>
        <v>#VALUE!</v>
      </c>
      <c r="I28" t="str">
        <f t="shared" si="2"/>
        <v/>
      </c>
      <c r="J28" t="str">
        <f t="shared" si="2"/>
        <v>00:00</v>
      </c>
      <c r="K28" s="170">
        <f>IF(Sheet1!BK57="",0,Sheet1!BK57)</f>
        <v>0</v>
      </c>
      <c r="M28" t="str">
        <f t="shared" si="3"/>
        <v/>
      </c>
      <c r="N28" t="str">
        <f t="shared" si="3"/>
        <v/>
      </c>
      <c r="O28" s="170">
        <f>IF(Sheet1!BI56="",0,Sheet1!BI56)</f>
        <v>0</v>
      </c>
      <c r="P28" s="170">
        <f>IF(Sheet1!BI57="",0,Sheet1!BI57)</f>
        <v>0</v>
      </c>
      <c r="Q28" s="170">
        <f>IF(Sheet1!BJ56="",0,Sheet1!BJ56)</f>
        <v>0</v>
      </c>
      <c r="R28" s="170">
        <f>IF(Sheet1!BJ57="",0,Sheet1!BJ57)</f>
        <v>0</v>
      </c>
      <c r="S28" s="170">
        <f>IF(Sheet1!BK56="",0,ROUND(Sheet1!BK56,0))</f>
        <v>0</v>
      </c>
      <c r="T28" s="170">
        <f>IF(Sheet1!BY56="",0,Sheet1!BY56)</f>
        <v>0</v>
      </c>
      <c r="U28" s="170">
        <f>IF(Sheet1!AY56="",0,Sheet1!AY56)</f>
        <v>0</v>
      </c>
      <c r="V28" s="170">
        <f>IF(OR(Sheet1!AZ56=0,TRIM(Sheet1!AZ56)=""),0,1)</f>
        <v>0</v>
      </c>
      <c r="W28" s="170">
        <f>IF(OR(Sheet1!BA56=0,TRIM(Sheet1!BA56)=""),0,1)</f>
        <v>0</v>
      </c>
      <c r="X28" s="170">
        <f>IF(OR(Sheet1!BB56=0,TRIM(Sheet1!BB56)=""),0,1)</f>
        <v>0</v>
      </c>
      <c r="Y28" s="170">
        <f>IF(OR(Sheet1!BC56=0,TRIM(Sheet1!BC56)=""),0,1)</f>
        <v>0</v>
      </c>
      <c r="Z28">
        <f t="shared" si="4"/>
        <v>0</v>
      </c>
      <c r="AA28" t="str">
        <f t="shared" si="5"/>
        <v>NO</v>
      </c>
      <c r="AB28" s="170">
        <f>Sheet1!BN129</f>
        <v>0</v>
      </c>
      <c r="AC28" t="str">
        <f>IF(OR(Sheet1!F31="",Sheet1!F31=0),"",Sheet1!F31)</f>
        <v/>
      </c>
      <c r="AD28" t="str">
        <f>IF(OR(Sheet1!G31="",Sheet1!G31=0),"",Sheet1!G31)</f>
        <v/>
      </c>
      <c r="AE28" t="str">
        <f t="shared" si="6"/>
        <v/>
      </c>
      <c r="AF28" s="170">
        <f>IF(Sheet1!BM56="",0,Sheet1!BM56)</f>
        <v>0</v>
      </c>
      <c r="AG28" t="e">
        <f t="shared" si="1"/>
        <v>#VALUE!</v>
      </c>
      <c r="AI28" s="170" t="str">
        <f>IF(Sheet1!BD56="","",UPPER(TRIM(Sheet1!BD56)))</f>
        <v/>
      </c>
      <c r="AJ28" t="str">
        <f t="shared" si="7"/>
        <v/>
      </c>
      <c r="AK28" s="172" t="str">
        <f>IF(Sheet1!BG56="","",Sheet1!BG56)</f>
        <v/>
      </c>
      <c r="AL28" s="172">
        <f>Sheet1!BG57</f>
        <v>0</v>
      </c>
      <c r="AM28" s="172" t="str">
        <f>Sheet1!BF56</f>
        <v/>
      </c>
      <c r="AN28" s="172" t="str">
        <f>Sheet1!BF57</f>
        <v/>
      </c>
    </row>
    <row r="29" spans="1:40">
      <c r="A29" s="170" t="str">
        <f>IF(UPPER(TRIM(Sheet1!E32))="","",UPPER(TRIM(Sheet1!E32)))</f>
        <v/>
      </c>
      <c r="B29" t="str">
        <f>IF(OR(Sheet1!AX58="",Sheet1!AX58="--xx"),"",Sheet1!AX58)</f>
        <v/>
      </c>
      <c r="C29" s="170" t="str">
        <f>UPPER(TRIM(Sheet1!BT2))</f>
        <v/>
      </c>
      <c r="D29" s="170" t="str">
        <f>TRIM(Sheet1!Z3)</f>
        <v/>
      </c>
      <c r="E29" s="170">
        <f>Sheet1!BX2</f>
        <v>6</v>
      </c>
      <c r="F29" s="170">
        <f>IF(Sheet1!BD59="",0,Sheet1!BD59)</f>
        <v>0</v>
      </c>
      <c r="G29" s="170" t="str">
        <f>IF(Sheet1!BO58="","",LOWER(TRIM(Sheet1!BO58)))</f>
        <v/>
      </c>
      <c r="H29" t="e">
        <f t="shared" si="0"/>
        <v>#VALUE!</v>
      </c>
      <c r="I29" t="str">
        <f t="shared" si="2"/>
        <v/>
      </c>
      <c r="J29" t="str">
        <f t="shared" si="2"/>
        <v>00:00</v>
      </c>
      <c r="K29" s="170">
        <f>IF(Sheet1!BK59="",0,Sheet1!BK59)</f>
        <v>0</v>
      </c>
      <c r="M29" t="str">
        <f t="shared" si="3"/>
        <v/>
      </c>
      <c r="N29" t="str">
        <f t="shared" si="3"/>
        <v/>
      </c>
      <c r="O29" s="170">
        <f>IF(Sheet1!BI58="",0,Sheet1!BI58)</f>
        <v>0</v>
      </c>
      <c r="P29" s="170">
        <f>IF(Sheet1!BI59="",0,Sheet1!BI59)</f>
        <v>0</v>
      </c>
      <c r="Q29" s="170">
        <f>IF(Sheet1!BJ58="",0,Sheet1!BJ58)</f>
        <v>0</v>
      </c>
      <c r="R29" s="170">
        <f>IF(Sheet1!BJ59="",0,Sheet1!BJ59)</f>
        <v>0</v>
      </c>
      <c r="S29" s="170">
        <f>IF(Sheet1!BK58="",0,ROUND(Sheet1!BK58,0))</f>
        <v>0</v>
      </c>
      <c r="T29" s="170">
        <f>IF(Sheet1!BY58="",0,Sheet1!BY58)</f>
        <v>0</v>
      </c>
      <c r="U29" s="170">
        <f>IF(Sheet1!AY58="",0,Sheet1!AY58)</f>
        <v>0</v>
      </c>
      <c r="V29" s="170">
        <f>IF(OR(Sheet1!AZ58=0,TRIM(Sheet1!AZ58)=""),0,1)</f>
        <v>0</v>
      </c>
      <c r="W29" s="170">
        <f>IF(OR(Sheet1!BA58=0,TRIM(Sheet1!BA58)=""),0,1)</f>
        <v>0</v>
      </c>
      <c r="X29" s="170">
        <f>IF(OR(Sheet1!BB58=0,TRIM(Sheet1!BB58)=""),0,1)</f>
        <v>0</v>
      </c>
      <c r="Y29" s="170">
        <f>IF(OR(Sheet1!BC58=0,TRIM(Sheet1!BC58)=""),0,1)</f>
        <v>0</v>
      </c>
      <c r="Z29">
        <f t="shared" si="4"/>
        <v>0</v>
      </c>
      <c r="AA29" t="str">
        <f t="shared" si="5"/>
        <v>NO</v>
      </c>
      <c r="AB29" s="170">
        <f>Sheet1!BN129</f>
        <v>0</v>
      </c>
      <c r="AC29" t="str">
        <f>IF(OR(Sheet1!F32="",Sheet1!F32=0),"",Sheet1!F32)</f>
        <v/>
      </c>
      <c r="AD29" t="str">
        <f>IF(OR(Sheet1!G32="",Sheet1!G32=0),"",Sheet1!G32)</f>
        <v/>
      </c>
      <c r="AE29" t="str">
        <f t="shared" si="6"/>
        <v/>
      </c>
      <c r="AF29" s="170">
        <f>IF(Sheet1!BM58="",0,Sheet1!BM58)</f>
        <v>0</v>
      </c>
      <c r="AG29" t="e">
        <f t="shared" si="1"/>
        <v>#VALUE!</v>
      </c>
      <c r="AI29" s="170" t="str">
        <f>IF(Sheet1!BD58="","",UPPER(TRIM(Sheet1!BD58)))</f>
        <v/>
      </c>
      <c r="AJ29" t="str">
        <f t="shared" si="7"/>
        <v/>
      </c>
      <c r="AK29" s="172" t="str">
        <f>IF(Sheet1!BG58="","",Sheet1!BG58)</f>
        <v/>
      </c>
      <c r="AL29" s="172">
        <f>Sheet1!BG59</f>
        <v>0</v>
      </c>
      <c r="AM29" s="172" t="str">
        <f>Sheet1!BF58</f>
        <v/>
      </c>
      <c r="AN29" s="172" t="str">
        <f>Sheet1!BF59</f>
        <v/>
      </c>
    </row>
    <row r="30" spans="1:40">
      <c r="A30" s="170" t="str">
        <f>IF(UPPER(TRIM(Sheet1!E33))="","",UPPER(TRIM(Sheet1!E33)))</f>
        <v/>
      </c>
      <c r="B30" t="str">
        <f>IF(OR(Sheet1!AX60="",Sheet1!AX60="--xx"),"",Sheet1!AX60)</f>
        <v/>
      </c>
      <c r="C30" s="170" t="str">
        <f>UPPER(TRIM(Sheet1!BT2))</f>
        <v/>
      </c>
      <c r="D30" s="170" t="str">
        <f>TRIM(Sheet1!Z3)</f>
        <v/>
      </c>
      <c r="E30" s="170">
        <f>Sheet1!BX2</f>
        <v>6</v>
      </c>
      <c r="F30" s="170">
        <f>IF(Sheet1!BD61="",0,Sheet1!BD61)</f>
        <v>0</v>
      </c>
      <c r="G30" s="170" t="str">
        <f>IF(Sheet1!BO60="","",LOWER(TRIM(Sheet1!BO60)))</f>
        <v/>
      </c>
      <c r="H30" t="e">
        <f t="shared" si="0"/>
        <v>#VALUE!</v>
      </c>
      <c r="I30" t="str">
        <f t="shared" si="2"/>
        <v/>
      </c>
      <c r="J30" t="str">
        <f t="shared" si="2"/>
        <v>00:00</v>
      </c>
      <c r="K30" s="170">
        <f>IF(Sheet1!BK61="",0,Sheet1!BK61)</f>
        <v>0</v>
      </c>
      <c r="M30" t="str">
        <f t="shared" si="3"/>
        <v/>
      </c>
      <c r="N30" t="str">
        <f t="shared" si="3"/>
        <v/>
      </c>
      <c r="O30" s="170">
        <f>IF(Sheet1!BI60="",0,Sheet1!BI60)</f>
        <v>0</v>
      </c>
      <c r="P30" s="170">
        <f>IF(Sheet1!BI61="",0,Sheet1!BI61)</f>
        <v>0</v>
      </c>
      <c r="Q30" s="170">
        <f>IF(Sheet1!BJ60="",0,Sheet1!BJ60)</f>
        <v>0</v>
      </c>
      <c r="R30" s="170">
        <f>IF(Sheet1!BJ61="",0,Sheet1!BJ61)</f>
        <v>0</v>
      </c>
      <c r="S30" s="170">
        <f>IF(Sheet1!BK60="",0,ROUND(Sheet1!BK60,0))</f>
        <v>0</v>
      </c>
      <c r="T30" s="170">
        <f>IF(Sheet1!BY60="",0,Sheet1!BY60)</f>
        <v>0</v>
      </c>
      <c r="U30" s="170">
        <f>IF(Sheet1!AY60="",0,Sheet1!AY60)</f>
        <v>0</v>
      </c>
      <c r="V30" s="170">
        <f>IF(OR(Sheet1!AZ60=0,TRIM(Sheet1!AZ60)=""),0,1)</f>
        <v>0</v>
      </c>
      <c r="W30" s="170">
        <f>IF(OR(Sheet1!BA60=0,TRIM(Sheet1!BA60)=""),0,1)</f>
        <v>0</v>
      </c>
      <c r="X30" s="170">
        <f>IF(OR(Sheet1!BB60=0,TRIM(Sheet1!BB60)=""),0,1)</f>
        <v>0</v>
      </c>
      <c r="Y30" s="170">
        <f>IF(OR(Sheet1!BC60=0,TRIM(Sheet1!BC60)=""),0,1)</f>
        <v>0</v>
      </c>
      <c r="Z30">
        <f t="shared" si="4"/>
        <v>0</v>
      </c>
      <c r="AA30" t="str">
        <f t="shared" si="5"/>
        <v>NO</v>
      </c>
      <c r="AB30" s="170">
        <f>Sheet1!BN129</f>
        <v>0</v>
      </c>
      <c r="AC30" t="str">
        <f>IF(OR(Sheet1!F33="",Sheet1!F33=0),"",Sheet1!F33)</f>
        <v/>
      </c>
      <c r="AD30" t="str">
        <f>IF(OR(Sheet1!G33="",Sheet1!G33=0),"",Sheet1!G33)</f>
        <v/>
      </c>
      <c r="AE30" t="str">
        <f t="shared" si="6"/>
        <v/>
      </c>
      <c r="AF30" s="170">
        <f>IF(Sheet1!BM60="",0,Sheet1!BM60)</f>
        <v>0</v>
      </c>
      <c r="AG30" t="e">
        <f t="shared" si="1"/>
        <v>#VALUE!</v>
      </c>
      <c r="AI30" s="170" t="str">
        <f>IF(Sheet1!BD60="","",UPPER(TRIM(Sheet1!BD60)))</f>
        <v/>
      </c>
      <c r="AJ30" t="str">
        <f t="shared" si="7"/>
        <v/>
      </c>
      <c r="AK30" s="172" t="str">
        <f>IF(Sheet1!BG60="","",Sheet1!BG60)</f>
        <v/>
      </c>
      <c r="AL30" s="172">
        <f>Sheet1!BG61</f>
        <v>0</v>
      </c>
      <c r="AM30" s="172" t="str">
        <f>Sheet1!BF60</f>
        <v/>
      </c>
      <c r="AN30" s="172" t="str">
        <f>Sheet1!BF61</f>
        <v/>
      </c>
    </row>
    <row r="31" spans="1:40">
      <c r="A31" s="170" t="str">
        <f>IF(UPPER(TRIM(Sheet1!E34))="","",UPPER(TRIM(Sheet1!E34)))</f>
        <v/>
      </c>
      <c r="B31" t="str">
        <f>IF(OR(Sheet1!AX62="",Sheet1!AX62="--xx"),"",Sheet1!AX62)</f>
        <v/>
      </c>
      <c r="C31" s="170" t="str">
        <f>UPPER(TRIM(Sheet1!BT2))</f>
        <v/>
      </c>
      <c r="D31" s="170" t="str">
        <f>TRIM(Sheet1!Z3)</f>
        <v/>
      </c>
      <c r="E31" s="170">
        <f>Sheet1!BX2</f>
        <v>6</v>
      </c>
      <c r="F31">
        <f>IF(Sheet1!BD63="",0,Sheet1!BD63)</f>
        <v>0</v>
      </c>
      <c r="G31" s="170" t="str">
        <f>IF(Sheet1!BO62="","",LOWER(TRIM(Sheet1!BO62)))</f>
        <v/>
      </c>
      <c r="H31" t="e">
        <f t="shared" si="0"/>
        <v>#VALUE!</v>
      </c>
      <c r="I31" t="str">
        <f t="shared" si="2"/>
        <v/>
      </c>
      <c r="J31" t="str">
        <f t="shared" si="2"/>
        <v>00:00</v>
      </c>
      <c r="K31" s="170">
        <f>IF(Sheet1!BK63="",0,Sheet1!BK63)</f>
        <v>0</v>
      </c>
      <c r="M31" t="str">
        <f t="shared" si="3"/>
        <v/>
      </c>
      <c r="N31" t="str">
        <f t="shared" si="3"/>
        <v/>
      </c>
      <c r="O31" s="170">
        <f>IF(Sheet1!BI62="",0,Sheet1!BI62)</f>
        <v>0</v>
      </c>
      <c r="P31" s="170">
        <f>IF(Sheet1!BI63="",0,Sheet1!BI63)</f>
        <v>0</v>
      </c>
      <c r="Q31" s="170">
        <f>IF(Sheet1!BJ62="",0,Sheet1!BJ62)</f>
        <v>0</v>
      </c>
      <c r="R31" s="170">
        <f>IF(Sheet1!BJ63="",0,Sheet1!BJ63)</f>
        <v>0</v>
      </c>
      <c r="S31" s="170">
        <f>IF(Sheet1!BK62="",0,ROUND(Sheet1!BK62,0))</f>
        <v>0</v>
      </c>
      <c r="T31" s="170">
        <f>IF(Sheet1!BY62="",0,Sheet1!BY62)</f>
        <v>0</v>
      </c>
      <c r="U31" s="170">
        <f>IF(Sheet1!AY62="",0,Sheet1!AY62)</f>
        <v>0</v>
      </c>
      <c r="V31" s="170">
        <f>IF(OR(Sheet1!AZ62=0,TRIM(Sheet1!AZ62)=""),0,1)</f>
        <v>0</v>
      </c>
      <c r="W31" s="170">
        <f>IF(OR(Sheet1!BA62=0,TRIM(Sheet1!BA62)=""),0,1)</f>
        <v>0</v>
      </c>
      <c r="X31" s="170">
        <f>IF(OR(Sheet1!BB62=0,TRIM(Sheet1!BB62)=""),0,1)</f>
        <v>0</v>
      </c>
      <c r="Y31" s="170">
        <f>IF(OR(Sheet1!BC62=0,TRIM(Sheet1!BC62)=""),0,1)</f>
        <v>0</v>
      </c>
      <c r="Z31">
        <f t="shared" si="4"/>
        <v>0</v>
      </c>
      <c r="AA31" t="str">
        <f t="shared" si="5"/>
        <v>NO</v>
      </c>
      <c r="AB31" s="170">
        <f>Sheet1!BN129</f>
        <v>0</v>
      </c>
      <c r="AC31" t="str">
        <f>IF(OR(Sheet1!F34="",Sheet1!F34=0),"",Sheet1!F34)</f>
        <v/>
      </c>
      <c r="AD31" t="str">
        <f>IF(OR(Sheet1!G34="",Sheet1!G34=0),"",Sheet1!G34)</f>
        <v/>
      </c>
      <c r="AE31" t="str">
        <f t="shared" si="6"/>
        <v/>
      </c>
      <c r="AF31" s="170">
        <f>IF(Sheet1!BM62="",0,Sheet1!BM62)</f>
        <v>0</v>
      </c>
      <c r="AG31" t="e">
        <f t="shared" si="1"/>
        <v>#VALUE!</v>
      </c>
      <c r="AI31" s="170" t="str">
        <f>IF(Sheet1!BD62="","",UPPER(TRIM(Sheet1!BD62)))</f>
        <v/>
      </c>
      <c r="AJ31" t="str">
        <f t="shared" si="7"/>
        <v/>
      </c>
      <c r="AK31" s="172" t="str">
        <f>IF(Sheet1!BG62="","",Sheet1!BG62)</f>
        <v/>
      </c>
      <c r="AL31" s="172">
        <f>Sheet1!BG63</f>
        <v>0</v>
      </c>
      <c r="AM31" s="172" t="str">
        <f>Sheet1!BF62</f>
        <v/>
      </c>
      <c r="AN31" s="172" t="str">
        <f>Sheet1!BF63</f>
        <v/>
      </c>
    </row>
    <row r="32" spans="1:40">
      <c r="A32" s="170" t="str">
        <f>IF(UPPER(TRIM(Sheet1!E35))="","",UPPER(TRIM(Sheet1!E35)))</f>
        <v/>
      </c>
      <c r="B32" t="str">
        <f>IF(OR(Sheet1!AX64="",Sheet1!AX64="--xx"),"",Sheet1!AX64)</f>
        <v/>
      </c>
      <c r="C32" s="170" t="str">
        <f>UPPER(TRIM(Sheet1!BT2))</f>
        <v/>
      </c>
      <c r="D32" s="170" t="str">
        <f>TRIM(Sheet1!Z3)</f>
        <v/>
      </c>
      <c r="E32" s="170">
        <f>Sheet1!BX2</f>
        <v>6</v>
      </c>
      <c r="F32">
        <f>IF(Sheet1!BD65="",0,Sheet1!BD65)</f>
        <v>0</v>
      </c>
      <c r="G32" s="170" t="str">
        <f>IF(Sheet1!BO64="","",LOWER(TRIM(Sheet1!BO64)))</f>
        <v/>
      </c>
      <c r="H32" t="e">
        <f t="shared" si="0"/>
        <v>#VALUE!</v>
      </c>
      <c r="I32" t="str">
        <f t="shared" si="2"/>
        <v/>
      </c>
      <c r="J32" t="str">
        <f t="shared" si="2"/>
        <v>00:00</v>
      </c>
      <c r="K32" s="170">
        <f>IF(Sheet1!BK65="",0,Sheet1!BK65)</f>
        <v>0</v>
      </c>
      <c r="M32" t="str">
        <f t="shared" si="3"/>
        <v/>
      </c>
      <c r="N32" t="str">
        <f t="shared" si="3"/>
        <v/>
      </c>
      <c r="O32" s="170">
        <f>IF(Sheet1!BI64="",0,Sheet1!BI64)</f>
        <v>0</v>
      </c>
      <c r="P32" s="170">
        <f>IF(Sheet1!BI65="",0,Sheet1!BI65)</f>
        <v>0</v>
      </c>
      <c r="Q32" s="170">
        <f>IF(Sheet1!BJ64="",0,Sheet1!BJ64)</f>
        <v>0</v>
      </c>
      <c r="R32" s="170">
        <f>IF(Sheet1!BJ65="",0,Sheet1!BJ65)</f>
        <v>0</v>
      </c>
      <c r="S32" s="170">
        <f>IF(Sheet1!BK64="",0,ROUND(Sheet1!BK64,0))</f>
        <v>0</v>
      </c>
      <c r="T32" s="170">
        <f>IF(Sheet1!BY64="",0,Sheet1!BY64)</f>
        <v>0</v>
      </c>
      <c r="U32" s="170">
        <f>IF(Sheet1!AY64="",0,Sheet1!AY64)</f>
        <v>0</v>
      </c>
      <c r="V32" s="170">
        <f>IF(OR(Sheet1!AZ64=0,TRIM(Sheet1!AZ64)=""),0,1)</f>
        <v>0</v>
      </c>
      <c r="W32" s="170">
        <f>IF(OR(Sheet1!BA64=0,TRIM(Sheet1!BA64)=""),0,1)</f>
        <v>0</v>
      </c>
      <c r="X32" s="170">
        <f>IF(OR(Sheet1!BB64=0,TRIM(Sheet1!BB64)=""),0,1)</f>
        <v>0</v>
      </c>
      <c r="Y32" s="170">
        <f>IF(OR(Sheet1!BC64=0,TRIM(Sheet1!BC64)=""),0,1)</f>
        <v>0</v>
      </c>
      <c r="Z32">
        <f t="shared" si="4"/>
        <v>0</v>
      </c>
      <c r="AA32" t="str">
        <f t="shared" si="5"/>
        <v>NO</v>
      </c>
      <c r="AB32" s="170">
        <f>Sheet1!BN129</f>
        <v>0</v>
      </c>
      <c r="AC32" t="str">
        <f>IF(OR(Sheet1!F35="",Sheet1!F35=0),"",Sheet1!F35)</f>
        <v/>
      </c>
      <c r="AD32" t="str">
        <f>IF(OR(Sheet1!G35="",Sheet1!G35=0),"",Sheet1!G35)</f>
        <v/>
      </c>
      <c r="AE32" t="str">
        <f t="shared" si="6"/>
        <v/>
      </c>
      <c r="AF32" s="170">
        <f>IF(Sheet1!BM64="",0,Sheet1!BM64)</f>
        <v>0</v>
      </c>
      <c r="AG32" t="e">
        <f t="shared" si="1"/>
        <v>#VALUE!</v>
      </c>
      <c r="AI32" s="170" t="str">
        <f>IF(Sheet1!BD64="","",UPPER(TRIM(Sheet1!BD64)))</f>
        <v/>
      </c>
      <c r="AJ32" t="str">
        <f t="shared" si="7"/>
        <v/>
      </c>
      <c r="AK32" s="172" t="str">
        <f>IF(Sheet1!BG64="","",Sheet1!BG64)</f>
        <v/>
      </c>
      <c r="AL32" s="172">
        <f>Sheet1!BG65</f>
        <v>0</v>
      </c>
      <c r="AM32" s="172" t="str">
        <f>Sheet1!BF64</f>
        <v/>
      </c>
      <c r="AN32" s="172" t="str">
        <f>Sheet1!BF65</f>
        <v/>
      </c>
    </row>
    <row r="33" spans="1:40">
      <c r="A33" s="170" t="str">
        <f>IF(UPPER(TRIM(Sheet1!E36))="","",UPPER(TRIM(Sheet1!E36)))</f>
        <v/>
      </c>
      <c r="B33" t="str">
        <f>IF(OR(Sheet1!AX66="",Sheet1!AX66="--xx"),"",Sheet1!AX66)</f>
        <v/>
      </c>
      <c r="C33" s="170" t="str">
        <f>UPPER(TRIM(Sheet1!BT2))</f>
        <v/>
      </c>
      <c r="D33" s="170" t="str">
        <f>TRIM(Sheet1!Z3)</f>
        <v/>
      </c>
      <c r="E33" s="170">
        <f>Sheet1!BX2</f>
        <v>6</v>
      </c>
      <c r="F33">
        <f>IF(Sheet1!BD67="",0,Sheet1!BD67)</f>
        <v>0</v>
      </c>
      <c r="G33" s="170" t="str">
        <f>IF(Sheet1!BO66="","",LOWER(TRIM(Sheet1!BO66)))</f>
        <v/>
      </c>
      <c r="H33" t="e">
        <f t="shared" si="0"/>
        <v>#VALUE!</v>
      </c>
      <c r="I33" t="str">
        <f t="shared" si="2"/>
        <v/>
      </c>
      <c r="J33" t="str">
        <f t="shared" si="2"/>
        <v>00:00</v>
      </c>
      <c r="K33" s="170">
        <f>IF(Sheet1!BK67="",0,Sheet1!BK67)</f>
        <v>0</v>
      </c>
      <c r="M33" t="str">
        <f t="shared" si="3"/>
        <v/>
      </c>
      <c r="N33" t="str">
        <f t="shared" si="3"/>
        <v/>
      </c>
      <c r="O33" s="170">
        <f>IF(Sheet1!BI66="",0,Sheet1!BI66)</f>
        <v>0</v>
      </c>
      <c r="P33" s="170">
        <f>IF(Sheet1!BI67="",0,Sheet1!BI67)</f>
        <v>0</v>
      </c>
      <c r="Q33" s="170">
        <f>IF(Sheet1!BJ66="",0,Sheet1!BJ66)</f>
        <v>0</v>
      </c>
      <c r="R33" s="170">
        <f>IF(Sheet1!BJ67="",0,Sheet1!BJ67)</f>
        <v>0</v>
      </c>
      <c r="S33" s="170">
        <f>IF(Sheet1!BK66="",0,ROUND(Sheet1!BK66,0))</f>
        <v>0</v>
      </c>
      <c r="T33" s="170">
        <f>IF(Sheet1!BY66="",0,Sheet1!BY66)</f>
        <v>0</v>
      </c>
      <c r="U33" s="170">
        <f>IF(Sheet1!AY66="",0,Sheet1!AY66)</f>
        <v>0</v>
      </c>
      <c r="V33" s="170">
        <f>IF(OR(Sheet1!AZ66=0,TRIM(Sheet1!AZ66)=""),0,1)</f>
        <v>0</v>
      </c>
      <c r="W33" s="170">
        <f>IF(OR(Sheet1!BA66=0,TRIM(Sheet1!BA66)=""),0,1)</f>
        <v>0</v>
      </c>
      <c r="X33" s="170">
        <f>IF(OR(Sheet1!BB66=0,TRIM(Sheet1!BB66)=""),0,1)</f>
        <v>0</v>
      </c>
      <c r="Y33" s="170">
        <f>IF(OR(Sheet1!BC66=0,TRIM(Sheet1!BC66)=""),0,1)</f>
        <v>0</v>
      </c>
      <c r="Z33">
        <f t="shared" si="4"/>
        <v>0</v>
      </c>
      <c r="AA33" t="str">
        <f t="shared" si="5"/>
        <v>NO</v>
      </c>
      <c r="AB33" s="170">
        <f>Sheet1!BN129</f>
        <v>0</v>
      </c>
      <c r="AC33" t="str">
        <f>IF(OR(Sheet1!F36="",Sheet1!F36=0),"",Sheet1!F36)</f>
        <v/>
      </c>
      <c r="AD33" t="str">
        <f>IF(OR(Sheet1!G36="",Sheet1!G36=0),"",Sheet1!G36)</f>
        <v/>
      </c>
      <c r="AE33" t="str">
        <f t="shared" si="6"/>
        <v/>
      </c>
      <c r="AF33" s="170">
        <f>IF(Sheet1!BM66="",0,Sheet1!BM66)</f>
        <v>0</v>
      </c>
      <c r="AG33" t="e">
        <f t="shared" si="1"/>
        <v>#VALUE!</v>
      </c>
      <c r="AI33" s="170" t="str">
        <f>IF(Sheet1!BD66="","",UPPER(TRIM(Sheet1!BD66)))</f>
        <v/>
      </c>
      <c r="AJ33" t="str">
        <f t="shared" si="7"/>
        <v/>
      </c>
      <c r="AK33" s="172" t="str">
        <f>IF(Sheet1!BG66="","",Sheet1!BG66)</f>
        <v/>
      </c>
      <c r="AL33" s="172">
        <f>Sheet1!BG67</f>
        <v>0</v>
      </c>
      <c r="AM33" s="172" t="str">
        <f>Sheet1!BF66</f>
        <v/>
      </c>
      <c r="AN33" s="172" t="str">
        <f>Sheet1!BF67</f>
        <v/>
      </c>
    </row>
    <row r="34" spans="1:40">
      <c r="A34" s="170" t="str">
        <f>IF(UPPER(TRIM(Sheet1!E37))="","",UPPER(TRIM(Sheet1!E37)))</f>
        <v/>
      </c>
      <c r="B34" t="str">
        <f>IF(OR(Sheet1!AX68="",Sheet1!AX68="--xx"),"",Sheet1!AX68)</f>
        <v/>
      </c>
      <c r="C34" s="170" t="str">
        <f>UPPER(TRIM(Sheet1!BT2))</f>
        <v/>
      </c>
      <c r="D34" s="170" t="str">
        <f>TRIM(Sheet1!Z3)</f>
        <v/>
      </c>
      <c r="E34" s="170">
        <f>Sheet1!BX2</f>
        <v>6</v>
      </c>
      <c r="F34">
        <f>IF(Sheet1!BD69="",0,Sheet1!BD69)</f>
        <v>0</v>
      </c>
      <c r="G34" s="170" t="str">
        <f>IF(Sheet1!BO68="","",LOWER(TRIM(Sheet1!BO68)))</f>
        <v/>
      </c>
      <c r="H34" t="e">
        <f t="shared" si="0"/>
        <v>#VALUE!</v>
      </c>
      <c r="I34" t="str">
        <f t="shared" si="2"/>
        <v/>
      </c>
      <c r="J34" t="str">
        <f t="shared" si="2"/>
        <v>00:00</v>
      </c>
      <c r="K34" s="170">
        <f>IF(Sheet1!BK69="",0,Sheet1!BK69)</f>
        <v>0</v>
      </c>
      <c r="M34" t="str">
        <f t="shared" si="3"/>
        <v/>
      </c>
      <c r="N34" t="str">
        <f t="shared" si="3"/>
        <v/>
      </c>
      <c r="O34" s="170">
        <f>IF(Sheet1!BI68="",0,Sheet1!BI68)</f>
        <v>0</v>
      </c>
      <c r="P34" s="170">
        <f>IF(Sheet1!BI69="",0,Sheet1!BI69)</f>
        <v>0</v>
      </c>
      <c r="Q34" s="170">
        <f>IF(Sheet1!BJ68="",0,Sheet1!BJ68)</f>
        <v>0</v>
      </c>
      <c r="R34" s="170">
        <f>IF(Sheet1!BJ69="",0,Sheet1!BJ69)</f>
        <v>0</v>
      </c>
      <c r="S34" s="170">
        <f>IF(Sheet1!BK68="",0,ROUND(Sheet1!BK68,0))</f>
        <v>0</v>
      </c>
      <c r="T34" s="170">
        <f>IF(Sheet1!BY68="",0,Sheet1!BY68)</f>
        <v>0</v>
      </c>
      <c r="U34" s="170">
        <f>IF(Sheet1!AY68="",0,Sheet1!AY68)</f>
        <v>0</v>
      </c>
      <c r="V34" s="170">
        <f>IF(OR(Sheet1!AZ68=0,TRIM(Sheet1!AZ68)=""),0,1)</f>
        <v>0</v>
      </c>
      <c r="W34" s="170">
        <f>IF(OR(Sheet1!BA68=0,TRIM(Sheet1!BA68)=""),0,1)</f>
        <v>0</v>
      </c>
      <c r="X34" s="170">
        <f>IF(OR(Sheet1!BB68=0,TRIM(Sheet1!BB68)=""),0,1)</f>
        <v>0</v>
      </c>
      <c r="Y34" s="170">
        <f>IF(OR(Sheet1!BC68=0,TRIM(Sheet1!BC68)=""),0,1)</f>
        <v>0</v>
      </c>
      <c r="Z34">
        <f t="shared" si="4"/>
        <v>0</v>
      </c>
      <c r="AA34" t="str">
        <f t="shared" si="5"/>
        <v>NO</v>
      </c>
      <c r="AB34" s="170">
        <f>Sheet1!BN129</f>
        <v>0</v>
      </c>
      <c r="AC34" t="str">
        <f>IF(OR(Sheet1!F37="",Sheet1!F37=0),"",Sheet1!F37)</f>
        <v/>
      </c>
      <c r="AD34" t="str">
        <f>IF(OR(Sheet1!G37="",Sheet1!G37=0),"",Sheet1!G37)</f>
        <v/>
      </c>
      <c r="AE34" t="str">
        <f t="shared" si="6"/>
        <v/>
      </c>
      <c r="AF34" s="170">
        <f>IF(Sheet1!BM68="",0,Sheet1!BM68)</f>
        <v>0</v>
      </c>
      <c r="AG34" t="e">
        <f t="shared" si="1"/>
        <v>#VALUE!</v>
      </c>
      <c r="AI34" s="170" t="str">
        <f>IF(Sheet1!BD68="","",UPPER(TRIM(Sheet1!BD68)))</f>
        <v/>
      </c>
      <c r="AJ34" t="str">
        <f t="shared" si="7"/>
        <v/>
      </c>
      <c r="AK34" s="172" t="str">
        <f>IF(Sheet1!BG68="","",Sheet1!BG68)</f>
        <v/>
      </c>
      <c r="AL34" s="172">
        <f>Sheet1!BG69</f>
        <v>0</v>
      </c>
      <c r="AM34" s="172" t="str">
        <f>Sheet1!BF68</f>
        <v/>
      </c>
      <c r="AN34" s="172" t="str">
        <f>Sheet1!BF69</f>
        <v/>
      </c>
    </row>
    <row r="35" spans="1:40">
      <c r="A35" s="170" t="str">
        <f>IF(UPPER(TRIM(Sheet1!E38))="","",UPPER(TRIM(Sheet1!E38)))</f>
        <v/>
      </c>
      <c r="B35" t="str">
        <f>IF(OR(Sheet1!AX70="",Sheet1!AX70="--xx"),"",Sheet1!AX70)</f>
        <v/>
      </c>
      <c r="C35" s="170" t="str">
        <f>UPPER(TRIM(Sheet1!BT2))</f>
        <v/>
      </c>
      <c r="D35" s="170" t="str">
        <f>TRIM(Sheet1!Z3)</f>
        <v/>
      </c>
      <c r="E35" s="170">
        <f>Sheet1!BX2</f>
        <v>6</v>
      </c>
      <c r="F35">
        <f>IF(Sheet1!BD71="",0,Sheet1!BD71)</f>
        <v>0</v>
      </c>
      <c r="G35" s="170" t="str">
        <f>IF(Sheet1!BO70="","",LOWER(TRIM(Sheet1!BO70)))</f>
        <v/>
      </c>
      <c r="H35" t="e">
        <f t="shared" si="0"/>
        <v>#VALUE!</v>
      </c>
      <c r="I35" t="str">
        <f t="shared" si="2"/>
        <v/>
      </c>
      <c r="J35" t="str">
        <f t="shared" si="2"/>
        <v>00:00</v>
      </c>
      <c r="K35" s="170">
        <f>IF(Sheet1!BK71="",0,Sheet1!BK71)</f>
        <v>0</v>
      </c>
      <c r="M35" t="str">
        <f t="shared" si="3"/>
        <v/>
      </c>
      <c r="N35" t="str">
        <f t="shared" si="3"/>
        <v/>
      </c>
      <c r="O35" s="170">
        <f>IF(Sheet1!BI70="",0,Sheet1!BI70)</f>
        <v>0</v>
      </c>
      <c r="P35" s="170">
        <f>IF(Sheet1!BI71="",0,Sheet1!BI71)</f>
        <v>0</v>
      </c>
      <c r="Q35" s="170">
        <f>IF(Sheet1!BJ70="",0,Sheet1!BJ70)</f>
        <v>0</v>
      </c>
      <c r="R35" s="170">
        <f>IF(Sheet1!BJ71="",0,Sheet1!BJ71)</f>
        <v>0</v>
      </c>
      <c r="S35" s="170">
        <f>IF(Sheet1!BK70="",0,ROUND(Sheet1!BK70,0))</f>
        <v>0</v>
      </c>
      <c r="T35" s="170">
        <f>IF(Sheet1!BY70="",0,Sheet1!BY70)</f>
        <v>0</v>
      </c>
      <c r="U35" s="170">
        <f>IF(Sheet1!AY70="",0,Sheet1!AY70)</f>
        <v>0</v>
      </c>
      <c r="V35" s="170">
        <f>IF(OR(Sheet1!AZ70=0,TRIM(Sheet1!AZ70)=""),0,1)</f>
        <v>0</v>
      </c>
      <c r="W35" s="170">
        <f>IF(OR(Sheet1!BA70=0,TRIM(Sheet1!BA70)=""),0,1)</f>
        <v>0</v>
      </c>
      <c r="X35" s="170">
        <f>IF(OR(Sheet1!BB70=0,TRIM(Sheet1!BB70)=""),0,1)</f>
        <v>0</v>
      </c>
      <c r="Y35" s="170">
        <f>IF(OR(Sheet1!BC70=0,TRIM(Sheet1!BC70)=""),0,1)</f>
        <v>0</v>
      </c>
      <c r="Z35">
        <f t="shared" si="4"/>
        <v>0</v>
      </c>
      <c r="AA35" t="str">
        <f t="shared" si="5"/>
        <v>NO</v>
      </c>
      <c r="AB35" s="170">
        <f>Sheet1!BN129</f>
        <v>0</v>
      </c>
      <c r="AC35" t="str">
        <f>IF(OR(Sheet1!F38="",Sheet1!F38=0),"",Sheet1!F38)</f>
        <v/>
      </c>
      <c r="AD35" t="str">
        <f>IF(OR(Sheet1!G38="",Sheet1!G38=0),"",Sheet1!G38)</f>
        <v/>
      </c>
      <c r="AE35" t="str">
        <f t="shared" si="6"/>
        <v/>
      </c>
      <c r="AF35" s="170">
        <f>IF(Sheet1!BM70="",0,Sheet1!BM70)</f>
        <v>0</v>
      </c>
      <c r="AG35" t="e">
        <f t="shared" si="1"/>
        <v>#VALUE!</v>
      </c>
      <c r="AI35" s="170" t="str">
        <f>IF(Sheet1!BD70="","",UPPER(TRIM(Sheet1!BD70)))</f>
        <v/>
      </c>
      <c r="AJ35" t="str">
        <f t="shared" si="7"/>
        <v/>
      </c>
      <c r="AK35" s="172" t="str">
        <f>IF(Sheet1!BG70="","",Sheet1!BG70)</f>
        <v/>
      </c>
      <c r="AL35" s="172">
        <f>Sheet1!BG71</f>
        <v>0</v>
      </c>
      <c r="AM35" s="172" t="str">
        <f>Sheet1!BF70</f>
        <v/>
      </c>
      <c r="AN35" s="172" t="str">
        <f>Sheet1!BF71</f>
        <v/>
      </c>
    </row>
    <row r="36" spans="1:40">
      <c r="A36" s="170" t="str">
        <f>IF(UPPER(TRIM(Sheet1!E39))="","",UPPER(TRIM(Sheet1!E39)))</f>
        <v/>
      </c>
      <c r="B36" t="str">
        <f>IF(OR(Sheet1!AX72="",Sheet1!AX72="--xx"),"",Sheet1!AX72)</f>
        <v/>
      </c>
      <c r="C36" s="170" t="str">
        <f>UPPER(TRIM(Sheet1!BT2))</f>
        <v/>
      </c>
      <c r="D36" s="170" t="str">
        <f>TRIM(Sheet1!Z3)</f>
        <v/>
      </c>
      <c r="E36" s="170">
        <f>Sheet1!BX2</f>
        <v>6</v>
      </c>
      <c r="F36">
        <f>IF(Sheet1!BD73="",0,Sheet1!BD73)</f>
        <v>0</v>
      </c>
      <c r="G36" s="170" t="str">
        <f>IF(Sheet1!BO72="","",LOWER(TRIM(Sheet1!BO72)))</f>
        <v/>
      </c>
      <c r="H36" t="e">
        <f t="shared" si="0"/>
        <v>#VALUE!</v>
      </c>
      <c r="I36" t="str">
        <f t="shared" si="2"/>
        <v/>
      </c>
      <c r="J36" t="str">
        <f t="shared" si="2"/>
        <v>00:00</v>
      </c>
      <c r="K36" s="170">
        <f>IF(Sheet1!BK73="",0,Sheet1!BK73)</f>
        <v>0</v>
      </c>
      <c r="M36" t="str">
        <f t="shared" si="3"/>
        <v/>
      </c>
      <c r="N36" t="str">
        <f t="shared" si="3"/>
        <v/>
      </c>
      <c r="O36" s="170">
        <f>IF(Sheet1!BI72="",0,Sheet1!BI72)</f>
        <v>0</v>
      </c>
      <c r="P36" s="170">
        <f>IF(Sheet1!BI73="",0,Sheet1!BI73)</f>
        <v>0</v>
      </c>
      <c r="Q36" s="170">
        <f>IF(Sheet1!BJ72="",0,Sheet1!BJ72)</f>
        <v>0</v>
      </c>
      <c r="R36" s="170">
        <f>IF(Sheet1!BJ73="",0,Sheet1!BJ73)</f>
        <v>0</v>
      </c>
      <c r="S36" s="170">
        <f>IF(Sheet1!BK72="",0,ROUND(Sheet1!BK72,0))</f>
        <v>0</v>
      </c>
      <c r="T36" s="170">
        <f>IF(Sheet1!BY72="",0,Sheet1!BY72)</f>
        <v>0</v>
      </c>
      <c r="U36" s="170">
        <f>IF(Sheet1!AY72="",0,Sheet1!AY72)</f>
        <v>0</v>
      </c>
      <c r="V36" s="170">
        <f>IF(OR(Sheet1!AZ72=0,TRIM(Sheet1!AZ72)=""),0,1)</f>
        <v>0</v>
      </c>
      <c r="W36" s="170">
        <f>IF(OR(Sheet1!BA72=0,TRIM(Sheet1!BA72)=""),0,1)</f>
        <v>0</v>
      </c>
      <c r="X36" s="170">
        <f>IF(OR(Sheet1!BB72=0,TRIM(Sheet1!BB72)=""),0,1)</f>
        <v>0</v>
      </c>
      <c r="Y36" s="170">
        <f>IF(OR(Sheet1!BC72=0,TRIM(Sheet1!BC72)=""),0,1)</f>
        <v>0</v>
      </c>
      <c r="Z36">
        <f t="shared" si="4"/>
        <v>0</v>
      </c>
      <c r="AA36" t="str">
        <f t="shared" si="5"/>
        <v>NO</v>
      </c>
      <c r="AB36" s="170">
        <f>Sheet1!BN129</f>
        <v>0</v>
      </c>
      <c r="AC36" t="str">
        <f>IF(OR(Sheet1!F39="",Sheet1!F39=0),"",Sheet1!F39)</f>
        <v/>
      </c>
      <c r="AD36" t="str">
        <f>IF(OR(Sheet1!G39="",Sheet1!G39=0),"",Sheet1!G39)</f>
        <v/>
      </c>
      <c r="AE36" t="str">
        <f t="shared" si="6"/>
        <v/>
      </c>
      <c r="AF36" s="170">
        <f>IF(Sheet1!BM72="",0,Sheet1!BM72)</f>
        <v>0</v>
      </c>
      <c r="AG36" t="e">
        <f t="shared" si="1"/>
        <v>#VALUE!</v>
      </c>
      <c r="AI36" s="170" t="str">
        <f>IF(Sheet1!BD72="","",UPPER(TRIM(Sheet1!BD72)))</f>
        <v/>
      </c>
      <c r="AJ36" t="str">
        <f t="shared" si="7"/>
        <v/>
      </c>
      <c r="AK36" s="172" t="str">
        <f>IF(Sheet1!BG72="","",Sheet1!BG72)</f>
        <v/>
      </c>
      <c r="AL36" s="172">
        <f>Sheet1!BG73</f>
        <v>0</v>
      </c>
      <c r="AM36" s="172" t="str">
        <f>Sheet1!BF72</f>
        <v/>
      </c>
      <c r="AN36" s="172" t="str">
        <f>Sheet1!BF73</f>
        <v/>
      </c>
    </row>
    <row r="37" spans="1:40">
      <c r="A37" s="170" t="str">
        <f>IF(UPPER(TRIM(Sheet1!E40))="","",UPPER(TRIM(Sheet1!E40)))</f>
        <v/>
      </c>
      <c r="B37" t="str">
        <f>IF(OR(Sheet1!AX74="",Sheet1!AX74="--xx"),"",Sheet1!AX74)</f>
        <v/>
      </c>
      <c r="C37" s="170" t="str">
        <f>UPPER(TRIM(Sheet1!BT2))</f>
        <v/>
      </c>
      <c r="D37" s="170" t="str">
        <f>TRIM(Sheet1!Z3)</f>
        <v/>
      </c>
      <c r="E37" s="170">
        <f>Sheet1!BX2</f>
        <v>6</v>
      </c>
      <c r="F37">
        <f>IF(Sheet1!BD75="",0,Sheet1!BD75)</f>
        <v>0</v>
      </c>
      <c r="G37" s="170" t="str">
        <f>IF(Sheet1!BO74="","",LOWER(TRIM(Sheet1!BO74)))</f>
        <v/>
      </c>
      <c r="H37" t="e">
        <f t="shared" si="0"/>
        <v>#VALUE!</v>
      </c>
      <c r="I37" t="str">
        <f t="shared" si="2"/>
        <v/>
      </c>
      <c r="J37" t="str">
        <f t="shared" si="2"/>
        <v>00:00</v>
      </c>
      <c r="K37" s="170">
        <f>IF(Sheet1!BK75="",0,Sheet1!BK75)</f>
        <v>0</v>
      </c>
      <c r="M37" t="str">
        <f t="shared" si="3"/>
        <v/>
      </c>
      <c r="N37" t="str">
        <f t="shared" si="3"/>
        <v/>
      </c>
      <c r="O37" s="170">
        <f>IF(Sheet1!BI74="",0,Sheet1!BI74)</f>
        <v>0</v>
      </c>
      <c r="P37" s="170">
        <f>IF(Sheet1!BI75="",0,Sheet1!BI75)</f>
        <v>0</v>
      </c>
      <c r="Q37" s="170">
        <f>IF(Sheet1!BJ74="",0,Sheet1!BJ74)</f>
        <v>0</v>
      </c>
      <c r="R37" s="170">
        <f>IF(Sheet1!BJ75="",0,Sheet1!BJ75)</f>
        <v>0</v>
      </c>
      <c r="S37" s="170">
        <f>IF(Sheet1!BK74="",0,ROUND(Sheet1!BK74,0))</f>
        <v>0</v>
      </c>
      <c r="T37" s="170">
        <f>IF(Sheet1!BY74="",0,Sheet1!BY74)</f>
        <v>0</v>
      </c>
      <c r="U37" s="170">
        <f>IF(Sheet1!AY74="",0,Sheet1!AY74)</f>
        <v>0</v>
      </c>
      <c r="V37" s="170">
        <f>IF(OR(Sheet1!AZ74=0,TRIM(Sheet1!AZ74)=""),0,1)</f>
        <v>0</v>
      </c>
      <c r="W37" s="170">
        <f>IF(OR(Sheet1!BA74=0,TRIM(Sheet1!BA74)=""),0,1)</f>
        <v>0</v>
      </c>
      <c r="X37" s="170">
        <f>IF(OR(Sheet1!BB74=0,TRIM(Sheet1!BB74)=""),0,1)</f>
        <v>0</v>
      </c>
      <c r="Y37" s="170">
        <f>IF(OR(Sheet1!BC74=0,TRIM(Sheet1!BC74)=""),0,1)</f>
        <v>0</v>
      </c>
      <c r="Z37">
        <f t="shared" si="4"/>
        <v>0</v>
      </c>
      <c r="AA37" t="str">
        <f t="shared" si="5"/>
        <v>NO</v>
      </c>
      <c r="AB37" s="170">
        <f>Sheet1!BN129</f>
        <v>0</v>
      </c>
      <c r="AC37" t="str">
        <f>IF(OR(Sheet1!F40="",Sheet1!F40=0),"",Sheet1!F40)</f>
        <v/>
      </c>
      <c r="AD37" t="str">
        <f>IF(OR(Sheet1!G40="",Sheet1!G40=0),"",Sheet1!G40)</f>
        <v/>
      </c>
      <c r="AE37" t="str">
        <f t="shared" si="6"/>
        <v/>
      </c>
      <c r="AF37" s="170">
        <f>IF(Sheet1!BM74="",0,Sheet1!BM74)</f>
        <v>0</v>
      </c>
      <c r="AG37" t="e">
        <f t="shared" si="1"/>
        <v>#VALUE!</v>
      </c>
      <c r="AI37" s="170" t="str">
        <f>IF(Sheet1!BD74="","",UPPER(TRIM(Sheet1!BD74)))</f>
        <v/>
      </c>
      <c r="AJ37" t="str">
        <f t="shared" si="7"/>
        <v/>
      </c>
      <c r="AK37" s="172" t="str">
        <f>IF(Sheet1!BG74="","",Sheet1!BG74)</f>
        <v/>
      </c>
      <c r="AL37" s="172">
        <f>Sheet1!BG75</f>
        <v>0</v>
      </c>
      <c r="AM37" s="172" t="str">
        <f>Sheet1!BF74</f>
        <v/>
      </c>
      <c r="AN37" s="172" t="str">
        <f>Sheet1!BF75</f>
        <v/>
      </c>
    </row>
    <row r="38" spans="1:40">
      <c r="A38" s="170" t="str">
        <f>IF(UPPER(TRIM(Sheet1!E41))="","",UPPER(TRIM(Sheet1!E41)))</f>
        <v/>
      </c>
      <c r="B38" t="str">
        <f>IF(OR(Sheet1!AX76="",Sheet1!AX76="--xx"),"",Sheet1!AX76)</f>
        <v/>
      </c>
      <c r="C38" s="170" t="str">
        <f>UPPER(TRIM(Sheet1!BT2))</f>
        <v/>
      </c>
      <c r="D38" s="170" t="str">
        <f>TRIM(Sheet1!Z3)</f>
        <v/>
      </c>
      <c r="E38" s="170">
        <f>Sheet1!BX2</f>
        <v>6</v>
      </c>
      <c r="F38">
        <f>IF(Sheet1!BD77="",0,Sheet1!BD77)</f>
        <v>0</v>
      </c>
      <c r="G38" s="170" t="str">
        <f>IF(Sheet1!BO76="","",LOWER(TRIM(Sheet1!BO76)))</f>
        <v/>
      </c>
      <c r="H38" t="e">
        <f t="shared" si="0"/>
        <v>#VALUE!</v>
      </c>
      <c r="I38" t="str">
        <f t="shared" si="2"/>
        <v/>
      </c>
      <c r="J38" t="str">
        <f t="shared" si="2"/>
        <v>00:00</v>
      </c>
      <c r="K38" s="170">
        <f>IF(Sheet1!BK77="",0,Sheet1!BK77)</f>
        <v>0</v>
      </c>
      <c r="M38" t="str">
        <f t="shared" si="3"/>
        <v/>
      </c>
      <c r="N38" t="str">
        <f t="shared" si="3"/>
        <v/>
      </c>
      <c r="O38" s="170">
        <f>IF(Sheet1!BI76="",0,Sheet1!BI76)</f>
        <v>0</v>
      </c>
      <c r="P38" s="170">
        <f>IF(Sheet1!BI77="",0,Sheet1!BI77)</f>
        <v>0</v>
      </c>
      <c r="Q38" s="170">
        <f>IF(Sheet1!BJ76="",0,Sheet1!BJ76)</f>
        <v>0</v>
      </c>
      <c r="R38" s="170">
        <f>IF(Sheet1!BJ77="",0,Sheet1!BJ77)</f>
        <v>0</v>
      </c>
      <c r="S38" s="170">
        <f>IF(Sheet1!BK76="",0,ROUND(Sheet1!BK76,0))</f>
        <v>0</v>
      </c>
      <c r="T38" s="170">
        <f>IF(Sheet1!BY76="",0,Sheet1!BY76)</f>
        <v>0</v>
      </c>
      <c r="U38" s="170">
        <f>IF(Sheet1!AY76="",0,Sheet1!AY76)</f>
        <v>0</v>
      </c>
      <c r="V38" s="170">
        <f>IF(OR(Sheet1!AZ76=0,TRIM(Sheet1!AZ76)=""),0,1)</f>
        <v>0</v>
      </c>
      <c r="W38" s="170">
        <f>IF(OR(Sheet1!BA76=0,TRIM(Sheet1!BA76)=""),0,1)</f>
        <v>0</v>
      </c>
      <c r="X38" s="170">
        <f>IF(OR(Sheet1!BB76=0,TRIM(Sheet1!BB76)=""),0,1)</f>
        <v>0</v>
      </c>
      <c r="Y38" s="170">
        <f>IF(OR(Sheet1!BC76=0,TRIM(Sheet1!BC76)=""),0,1)</f>
        <v>0</v>
      </c>
      <c r="Z38">
        <f t="shared" si="4"/>
        <v>0</v>
      </c>
      <c r="AA38" t="str">
        <f t="shared" si="5"/>
        <v>NO</v>
      </c>
      <c r="AB38" s="170">
        <f>Sheet1!BN129</f>
        <v>0</v>
      </c>
      <c r="AC38" t="str">
        <f>IF(OR(Sheet1!F41="",Sheet1!F41=0),"",Sheet1!F41)</f>
        <v/>
      </c>
      <c r="AD38" t="str">
        <f>IF(OR(Sheet1!G41="",Sheet1!G41=0),"",Sheet1!G41)</f>
        <v/>
      </c>
      <c r="AE38" t="str">
        <f t="shared" si="6"/>
        <v/>
      </c>
      <c r="AF38" s="170">
        <f>IF(Sheet1!BM76="",0,Sheet1!BM76)</f>
        <v>0</v>
      </c>
      <c r="AG38" t="e">
        <f t="shared" si="1"/>
        <v>#VALUE!</v>
      </c>
      <c r="AI38" s="170" t="str">
        <f>IF(Sheet1!BD76="","",UPPER(TRIM(Sheet1!BD76)))</f>
        <v/>
      </c>
      <c r="AJ38" t="str">
        <f t="shared" si="7"/>
        <v/>
      </c>
      <c r="AK38" s="172" t="str">
        <f>IF(Sheet1!BG76="","",Sheet1!BG76)</f>
        <v/>
      </c>
      <c r="AL38" s="172">
        <f>Sheet1!BG77</f>
        <v>0</v>
      </c>
      <c r="AM38" s="172" t="str">
        <f>Sheet1!BF76</f>
        <v/>
      </c>
      <c r="AN38" s="172" t="str">
        <f>Sheet1!BF77</f>
        <v/>
      </c>
    </row>
    <row r="39" spans="1:40">
      <c r="A39" s="170" t="str">
        <f>IF(UPPER(TRIM(Sheet1!E42))="","",UPPER(TRIM(Sheet1!E42)))</f>
        <v/>
      </c>
      <c r="B39" t="str">
        <f>IF(OR(Sheet1!AX78="",Sheet1!AX78="--xx"),"",Sheet1!AX78)</f>
        <v/>
      </c>
      <c r="C39" s="170" t="str">
        <f>UPPER(TRIM(Sheet1!BT2))</f>
        <v/>
      </c>
      <c r="D39" s="170" t="str">
        <f>TRIM(Sheet1!Z3)</f>
        <v/>
      </c>
      <c r="E39" s="170">
        <f>Sheet1!BX2</f>
        <v>6</v>
      </c>
      <c r="F39">
        <f>IF(Sheet1!BD79="",0,Sheet1!BD79)</f>
        <v>0</v>
      </c>
      <c r="G39" s="170" t="str">
        <f>IF(Sheet1!BO78="","",LOWER(TRIM(Sheet1!BO78)))</f>
        <v/>
      </c>
      <c r="H39" t="e">
        <f t="shared" si="0"/>
        <v>#VALUE!</v>
      </c>
      <c r="I39" t="str">
        <f t="shared" si="2"/>
        <v/>
      </c>
      <c r="J39" t="str">
        <f t="shared" si="2"/>
        <v>00:00</v>
      </c>
      <c r="K39" s="170">
        <f>IF(Sheet1!BK79="",0,Sheet1!BK79)</f>
        <v>0</v>
      </c>
      <c r="M39" t="str">
        <f t="shared" si="3"/>
        <v/>
      </c>
      <c r="N39" t="str">
        <f t="shared" si="3"/>
        <v/>
      </c>
      <c r="O39" s="170">
        <f>IF(Sheet1!BI78="",0,Sheet1!BI78)</f>
        <v>0</v>
      </c>
      <c r="P39" s="170">
        <f>IF(Sheet1!BI79="",0,Sheet1!BI79)</f>
        <v>0</v>
      </c>
      <c r="Q39" s="170">
        <f>IF(Sheet1!BJ78="",0,Sheet1!BJ78)</f>
        <v>0</v>
      </c>
      <c r="R39" s="170">
        <f>IF(Sheet1!BJ79="",0,Sheet1!BJ79)</f>
        <v>0</v>
      </c>
      <c r="S39" s="170">
        <f>IF(Sheet1!BK78="",0,ROUND(Sheet1!BK78,0))</f>
        <v>0</v>
      </c>
      <c r="T39" s="170">
        <f>IF(Sheet1!BY78="",0,Sheet1!BY78)</f>
        <v>0</v>
      </c>
      <c r="U39" s="170">
        <f>IF(Sheet1!AY78="",0,Sheet1!AY78)</f>
        <v>0</v>
      </c>
      <c r="V39" s="170">
        <f>IF(OR(Sheet1!AZ78=0,TRIM(Sheet1!AZ78)=""),0,1)</f>
        <v>0</v>
      </c>
      <c r="W39" s="170">
        <f>IF(OR(Sheet1!BA78=0,TRIM(Sheet1!BA78)=""),0,1)</f>
        <v>0</v>
      </c>
      <c r="X39" s="170">
        <f>IF(OR(Sheet1!BB78=0,TRIM(Sheet1!BB78)=""),0,1)</f>
        <v>0</v>
      </c>
      <c r="Y39" s="170">
        <f>IF(OR(Sheet1!BC78=0,TRIM(Sheet1!BC78)=""),0,1)</f>
        <v>0</v>
      </c>
      <c r="Z39">
        <f t="shared" si="4"/>
        <v>0</v>
      </c>
      <c r="AA39" t="str">
        <f t="shared" si="5"/>
        <v>NO</v>
      </c>
      <c r="AB39" s="170">
        <f>Sheet1!BN129</f>
        <v>0</v>
      </c>
      <c r="AC39" t="str">
        <f>IF(OR(Sheet1!F42="",Sheet1!F42=0),"",Sheet1!F42)</f>
        <v/>
      </c>
      <c r="AD39" t="str">
        <f>IF(OR(Sheet1!G42="",Sheet1!G42=0),"",Sheet1!G42)</f>
        <v/>
      </c>
      <c r="AE39" t="str">
        <f t="shared" si="6"/>
        <v/>
      </c>
      <c r="AF39" s="170">
        <f>IF(Sheet1!BM78="",0,Sheet1!BM78)</f>
        <v>0</v>
      </c>
      <c r="AG39" t="e">
        <f t="shared" si="1"/>
        <v>#VALUE!</v>
      </c>
      <c r="AI39" s="170" t="str">
        <f>IF(Sheet1!BD78="","",UPPER(TRIM(Sheet1!BD78)))</f>
        <v/>
      </c>
      <c r="AJ39" t="str">
        <f t="shared" si="7"/>
        <v/>
      </c>
      <c r="AK39" s="172" t="str">
        <f>IF(Sheet1!BG78="","",Sheet1!BG78)</f>
        <v/>
      </c>
      <c r="AL39" s="172">
        <f>Sheet1!BG79</f>
        <v>0</v>
      </c>
      <c r="AM39" s="172" t="str">
        <f>Sheet1!BF78</f>
        <v/>
      </c>
      <c r="AN39" s="172" t="str">
        <f>Sheet1!BF79</f>
        <v/>
      </c>
    </row>
    <row r="40" spans="1:40">
      <c r="A40" s="170" t="str">
        <f>IF(UPPER(TRIM(Sheet1!E43))="","",UPPER(TRIM(Sheet1!E43)))</f>
        <v/>
      </c>
      <c r="B40" t="str">
        <f>IF(OR(Sheet1!AX80="",Sheet1!AX80="--xx"),"",Sheet1!AX80)</f>
        <v/>
      </c>
      <c r="C40" s="170" t="str">
        <f>UPPER(TRIM(Sheet1!BT2))</f>
        <v/>
      </c>
      <c r="D40" s="170" t="str">
        <f>TRIM(Sheet1!Z3)</f>
        <v/>
      </c>
      <c r="E40" s="170">
        <f>Sheet1!BX2</f>
        <v>6</v>
      </c>
      <c r="F40">
        <f>IF(Sheet1!BD81="",0,Sheet1!BD81)</f>
        <v>0</v>
      </c>
      <c r="G40" s="170" t="str">
        <f>IF(Sheet1!BO80="","",LOWER(TRIM(Sheet1!BO80)))</f>
        <v/>
      </c>
      <c r="H40" t="e">
        <f t="shared" si="0"/>
        <v>#VALUE!</v>
      </c>
      <c r="I40" t="str">
        <f t="shared" si="2"/>
        <v/>
      </c>
      <c r="J40" t="str">
        <f t="shared" si="2"/>
        <v>00:00</v>
      </c>
      <c r="K40" s="170">
        <f>IF(Sheet1!BK81="",0,Sheet1!BK81)</f>
        <v>0</v>
      </c>
      <c r="M40" t="str">
        <f t="shared" si="3"/>
        <v/>
      </c>
      <c r="N40" t="str">
        <f t="shared" si="3"/>
        <v/>
      </c>
      <c r="O40" s="170">
        <f>IF(Sheet1!BI80="",0,Sheet1!BI80)</f>
        <v>0</v>
      </c>
      <c r="P40" s="170">
        <f>IF(Sheet1!BI81="",0,Sheet1!BI81)</f>
        <v>0</v>
      </c>
      <c r="Q40" s="170">
        <f>IF(Sheet1!BJ80="",0,Sheet1!BJ80)</f>
        <v>0</v>
      </c>
      <c r="R40" s="170">
        <f>IF(Sheet1!BJ81="",0,Sheet1!BJ81)</f>
        <v>0</v>
      </c>
      <c r="S40" s="170">
        <f>IF(Sheet1!BK80="",0,ROUND(Sheet1!BK80,0))</f>
        <v>0</v>
      </c>
      <c r="T40" s="170">
        <f>IF(Sheet1!BY80="",0,Sheet1!BY80)</f>
        <v>0</v>
      </c>
      <c r="U40" s="170">
        <f>IF(Sheet1!AY80="",0,Sheet1!AY80)</f>
        <v>0</v>
      </c>
      <c r="V40" s="170">
        <f>IF(OR(Sheet1!AZ80=0,TRIM(Sheet1!AZ80)=""),0,1)</f>
        <v>0</v>
      </c>
      <c r="W40" s="170">
        <f>IF(OR(Sheet1!BA80=0,TRIM(Sheet1!BA80)=""),0,1)</f>
        <v>0</v>
      </c>
      <c r="X40" s="170">
        <f>IF(OR(Sheet1!BB80=0,TRIM(Sheet1!BB80)=""),0,1)</f>
        <v>0</v>
      </c>
      <c r="Y40" s="170">
        <f>IF(OR(Sheet1!BC80=0,TRIM(Sheet1!BC80)=""),0,1)</f>
        <v>0</v>
      </c>
      <c r="Z40">
        <f t="shared" si="4"/>
        <v>0</v>
      </c>
      <c r="AA40" t="str">
        <f t="shared" si="5"/>
        <v>NO</v>
      </c>
      <c r="AB40" s="170">
        <f>Sheet1!BN129</f>
        <v>0</v>
      </c>
      <c r="AC40" t="str">
        <f>IF(OR(Sheet1!F43="",Sheet1!F43=0),"",Sheet1!F43)</f>
        <v/>
      </c>
      <c r="AD40" t="str">
        <f>IF(OR(Sheet1!G43="",Sheet1!G43=0),"",Sheet1!G43)</f>
        <v/>
      </c>
      <c r="AE40" t="str">
        <f t="shared" si="6"/>
        <v/>
      </c>
      <c r="AF40" s="170">
        <f>IF(Sheet1!BM80="",0,Sheet1!BM80)</f>
        <v>0</v>
      </c>
      <c r="AG40" t="e">
        <f t="shared" si="1"/>
        <v>#VALUE!</v>
      </c>
      <c r="AI40" s="170" t="str">
        <f>IF(Sheet1!BD80="","",UPPER(TRIM(Sheet1!BD80)))</f>
        <v/>
      </c>
      <c r="AJ40" t="str">
        <f t="shared" si="7"/>
        <v/>
      </c>
      <c r="AK40" s="172" t="str">
        <f>IF(Sheet1!BG80="","",Sheet1!BG80)</f>
        <v/>
      </c>
      <c r="AL40" s="172">
        <f>Sheet1!BG81</f>
        <v>0</v>
      </c>
      <c r="AM40" s="172" t="str">
        <f>Sheet1!BF80</f>
        <v/>
      </c>
      <c r="AN40" s="172" t="str">
        <f>Sheet1!BF81</f>
        <v/>
      </c>
    </row>
    <row r="41" spans="1:40">
      <c r="A41" s="170" t="str">
        <f>IF(UPPER(TRIM(Sheet1!E44))="","",UPPER(TRIM(Sheet1!E44)))</f>
        <v/>
      </c>
      <c r="B41" t="str">
        <f>IF(OR(Sheet1!AX82="",Sheet1!AX82="--xx"),"",Sheet1!AX82)</f>
        <v/>
      </c>
      <c r="C41" s="170" t="str">
        <f>UPPER(TRIM(Sheet1!BT2))</f>
        <v/>
      </c>
      <c r="D41" s="170" t="str">
        <f>TRIM(Sheet1!Z3)</f>
        <v/>
      </c>
      <c r="E41" s="170">
        <f>Sheet1!BX2</f>
        <v>6</v>
      </c>
      <c r="F41">
        <f>IF(Sheet1!BD83="",0,Sheet1!BD83)</f>
        <v>0</v>
      </c>
      <c r="G41" s="170" t="str">
        <f>IF(Sheet1!BO82="","",LOWER(TRIM(Sheet1!BO82)))</f>
        <v/>
      </c>
      <c r="H41" t="e">
        <f t="shared" si="0"/>
        <v>#VALUE!</v>
      </c>
      <c r="I41" t="str">
        <f t="shared" si="2"/>
        <v/>
      </c>
      <c r="J41" t="str">
        <f t="shared" si="2"/>
        <v>00:00</v>
      </c>
      <c r="K41" s="170">
        <f>IF(Sheet1!BK83="",0,Sheet1!BK83)</f>
        <v>0</v>
      </c>
      <c r="M41" t="str">
        <f t="shared" si="3"/>
        <v/>
      </c>
      <c r="N41" t="str">
        <f t="shared" si="3"/>
        <v/>
      </c>
      <c r="O41" s="170">
        <f>IF(Sheet1!BI82="",0,Sheet1!BI82)</f>
        <v>0</v>
      </c>
      <c r="P41" s="170">
        <f>IF(Sheet1!BI83="",0,Sheet1!BI83)</f>
        <v>0</v>
      </c>
      <c r="Q41" s="170">
        <f>IF(Sheet1!BJ82="",0,Sheet1!BJ82)</f>
        <v>0</v>
      </c>
      <c r="R41" s="170">
        <f>IF(Sheet1!BJ83="",0,Sheet1!BJ83)</f>
        <v>0</v>
      </c>
      <c r="S41" s="170">
        <f>IF(Sheet1!BK82="",0,ROUND(Sheet1!BK82,0))</f>
        <v>0</v>
      </c>
      <c r="T41" s="170">
        <f>IF(Sheet1!BY82="",0,Sheet1!BY82)</f>
        <v>0</v>
      </c>
      <c r="U41" s="170">
        <f>IF(Sheet1!AY82="",0,Sheet1!AY82)</f>
        <v>0</v>
      </c>
      <c r="V41" s="170">
        <f>IF(OR(Sheet1!AZ82=0,TRIM(Sheet1!AZ82)=""),0,1)</f>
        <v>0</v>
      </c>
      <c r="W41" s="170">
        <f>IF(OR(Sheet1!BA82=0,TRIM(Sheet1!BA82)=""),0,1)</f>
        <v>0</v>
      </c>
      <c r="X41" s="170">
        <f>IF(OR(Sheet1!BB82=0,TRIM(Sheet1!BB82)=""),0,1)</f>
        <v>0</v>
      </c>
      <c r="Y41" s="170">
        <f>IF(OR(Sheet1!BC82=0,TRIM(Sheet1!BC82)=""),0,1)</f>
        <v>0</v>
      </c>
      <c r="Z41">
        <f t="shared" si="4"/>
        <v>0</v>
      </c>
      <c r="AA41" t="str">
        <f t="shared" si="5"/>
        <v>NO</v>
      </c>
      <c r="AB41" s="170">
        <f>Sheet1!BN129</f>
        <v>0</v>
      </c>
      <c r="AC41" t="str">
        <f>IF(OR(Sheet1!F44="",Sheet1!F44=0),"",Sheet1!F44)</f>
        <v/>
      </c>
      <c r="AD41" t="str">
        <f>IF(OR(Sheet1!G44="",Sheet1!G44=0),"",Sheet1!G44)</f>
        <v/>
      </c>
      <c r="AE41" t="str">
        <f t="shared" si="6"/>
        <v/>
      </c>
      <c r="AF41" s="170">
        <f>IF(Sheet1!BM82="",0,Sheet1!BM82)</f>
        <v>0</v>
      </c>
      <c r="AG41" t="e">
        <f t="shared" si="1"/>
        <v>#VALUE!</v>
      </c>
      <c r="AI41" s="170" t="str">
        <f>IF(Sheet1!BD82="","",UPPER(TRIM(Sheet1!BD82)))</f>
        <v/>
      </c>
      <c r="AJ41" t="str">
        <f t="shared" si="7"/>
        <v/>
      </c>
      <c r="AK41" s="172" t="str">
        <f>IF(Sheet1!BG82="","",Sheet1!BG82)</f>
        <v/>
      </c>
      <c r="AL41" s="172">
        <f>Sheet1!BG83</f>
        <v>0</v>
      </c>
      <c r="AM41" s="172" t="str">
        <f>Sheet1!BF82</f>
        <v/>
      </c>
      <c r="AN41" s="172" t="str">
        <f>Sheet1!BF83</f>
        <v/>
      </c>
    </row>
    <row r="42" spans="1:40">
      <c r="A42" s="170" t="str">
        <f>IF(UPPER(TRIM(Sheet1!E45))="","",UPPER(TRIM(Sheet1!E45)))</f>
        <v/>
      </c>
      <c r="B42" t="str">
        <f>IF(OR(Sheet1!AX84="",Sheet1!AX84="--xx"),"",Sheet1!AX84)</f>
        <v/>
      </c>
      <c r="C42" s="170" t="str">
        <f>UPPER(TRIM(Sheet1!BT2))</f>
        <v/>
      </c>
      <c r="D42" s="170" t="str">
        <f>TRIM(Sheet1!Z3)</f>
        <v/>
      </c>
      <c r="E42" s="170">
        <f>Sheet1!BX2</f>
        <v>6</v>
      </c>
      <c r="F42">
        <f>IF(Sheet1!BD85="",0,Sheet1!BD85)</f>
        <v>0</v>
      </c>
      <c r="G42" s="170" t="str">
        <f>IF(Sheet1!BO84="","",LOWER(TRIM(Sheet1!BO84)))</f>
        <v/>
      </c>
      <c r="H42" t="e">
        <f t="shared" si="0"/>
        <v>#VALUE!</v>
      </c>
      <c r="I42" t="str">
        <f t="shared" si="2"/>
        <v/>
      </c>
      <c r="J42" t="str">
        <f t="shared" si="2"/>
        <v>00:00</v>
      </c>
      <c r="K42" s="170">
        <f>IF(Sheet1!BK85="",0,Sheet1!BK85)</f>
        <v>0</v>
      </c>
      <c r="M42" t="str">
        <f t="shared" si="3"/>
        <v/>
      </c>
      <c r="N42" t="str">
        <f t="shared" si="3"/>
        <v/>
      </c>
      <c r="O42" s="170">
        <f>IF(Sheet1!BI84="",0,Sheet1!BI84)</f>
        <v>0</v>
      </c>
      <c r="P42" s="170">
        <f>IF(Sheet1!BI85="",0,Sheet1!BI85)</f>
        <v>0</v>
      </c>
      <c r="Q42" s="170">
        <f>IF(Sheet1!BJ84="",0,Sheet1!BJ84)</f>
        <v>0</v>
      </c>
      <c r="R42" s="170">
        <f>IF(Sheet1!BJ85="",0,Sheet1!BJ85)</f>
        <v>0</v>
      </c>
      <c r="S42" s="170">
        <f>IF(Sheet1!BK84="",0,ROUND(Sheet1!BK84,0))</f>
        <v>0</v>
      </c>
      <c r="T42" s="170">
        <f>IF(Sheet1!BY84="",0,Sheet1!BY84)</f>
        <v>0</v>
      </c>
      <c r="U42" s="170">
        <f>IF(Sheet1!AY84="",0,Sheet1!AY84)</f>
        <v>0</v>
      </c>
      <c r="V42" s="170">
        <f>IF(OR(Sheet1!AZ84=0,TRIM(Sheet1!AZ84)=""),0,1)</f>
        <v>0</v>
      </c>
      <c r="W42" s="170">
        <f>IF(OR(Sheet1!BA84=0,TRIM(Sheet1!BA84)=""),0,1)</f>
        <v>0</v>
      </c>
      <c r="X42" s="170">
        <f>IF(OR(Sheet1!BB84=0,TRIM(Sheet1!BB84)=""),0,1)</f>
        <v>0</v>
      </c>
      <c r="Y42" s="170">
        <f>IF(OR(Sheet1!BC84=0,TRIM(Sheet1!BC84)=""),0,1)</f>
        <v>0</v>
      </c>
      <c r="Z42">
        <f t="shared" si="4"/>
        <v>0</v>
      </c>
      <c r="AA42" t="str">
        <f t="shared" si="5"/>
        <v>NO</v>
      </c>
      <c r="AB42" s="170">
        <f>Sheet1!BN129</f>
        <v>0</v>
      </c>
      <c r="AC42" t="str">
        <f>IF(OR(Sheet1!F45="",Sheet1!F45=0),"",Sheet1!F45)</f>
        <v/>
      </c>
      <c r="AD42" t="str">
        <f>IF(OR(Sheet1!G45="",Sheet1!G45=0),"",Sheet1!G45)</f>
        <v/>
      </c>
      <c r="AE42" t="str">
        <f t="shared" si="6"/>
        <v/>
      </c>
      <c r="AF42" s="170">
        <f>IF(Sheet1!BM84="",0,Sheet1!BM84)</f>
        <v>0</v>
      </c>
      <c r="AG42" t="e">
        <f t="shared" si="1"/>
        <v>#VALUE!</v>
      </c>
      <c r="AI42" s="170" t="str">
        <f>IF(Sheet1!BD84="","",UPPER(TRIM(Sheet1!BD84)))</f>
        <v/>
      </c>
      <c r="AJ42" t="str">
        <f t="shared" si="7"/>
        <v/>
      </c>
      <c r="AK42" s="172" t="str">
        <f>IF(Sheet1!BG84="","",Sheet1!BG84)</f>
        <v/>
      </c>
      <c r="AL42" s="172">
        <f>Sheet1!BG85</f>
        <v>0</v>
      </c>
      <c r="AM42" s="172" t="str">
        <f>Sheet1!BF84</f>
        <v/>
      </c>
      <c r="AN42" s="172" t="str">
        <f>Sheet1!BF85</f>
        <v/>
      </c>
    </row>
    <row r="43" spans="1:40">
      <c r="A43" s="170" t="str">
        <f>IF(UPPER(TRIM(Sheet1!E46))="","",UPPER(TRIM(Sheet1!E46)))</f>
        <v/>
      </c>
      <c r="B43" t="str">
        <f>IF(OR(Sheet1!AX86="",Sheet1!AX86="--xx"),"",Sheet1!AX86)</f>
        <v/>
      </c>
      <c r="C43" s="170" t="str">
        <f>UPPER(TRIM(Sheet1!BT2))</f>
        <v/>
      </c>
      <c r="D43" s="170" t="str">
        <f>TRIM(Sheet1!Z3)</f>
        <v/>
      </c>
      <c r="E43" s="170">
        <f>Sheet1!BX2</f>
        <v>6</v>
      </c>
      <c r="F43">
        <f>IF(Sheet1!BD87="",0,Sheet1!BD87)</f>
        <v>0</v>
      </c>
      <c r="G43" s="170" t="str">
        <f>IF(Sheet1!BO86="","",LOWER(TRIM(Sheet1!BO86)))</f>
        <v/>
      </c>
      <c r="H43" t="e">
        <f t="shared" si="0"/>
        <v>#VALUE!</v>
      </c>
      <c r="I43" t="str">
        <f t="shared" si="2"/>
        <v/>
      </c>
      <c r="J43" t="str">
        <f t="shared" si="2"/>
        <v>00:00</v>
      </c>
      <c r="K43" s="170">
        <f>IF(Sheet1!BK87="",0,Sheet1!BK87)</f>
        <v>0</v>
      </c>
      <c r="M43" t="str">
        <f t="shared" si="3"/>
        <v/>
      </c>
      <c r="N43" t="str">
        <f t="shared" si="3"/>
        <v/>
      </c>
      <c r="O43" s="170">
        <f>IF(Sheet1!BI86="",0,Sheet1!BI86)</f>
        <v>0</v>
      </c>
      <c r="P43" s="170">
        <f>IF(Sheet1!BI87="",0,Sheet1!BI87)</f>
        <v>0</v>
      </c>
      <c r="Q43" s="170">
        <f>IF(Sheet1!BJ86="",0,Sheet1!BJ86)</f>
        <v>0</v>
      </c>
      <c r="R43" s="170">
        <f>IF(Sheet1!BJ87="",0,Sheet1!BJ87)</f>
        <v>0</v>
      </c>
      <c r="S43" s="170">
        <f>IF(Sheet1!BK86="",0,ROUND(Sheet1!BK86,0))</f>
        <v>0</v>
      </c>
      <c r="T43" s="170">
        <f>IF(Sheet1!BY86="",0,Sheet1!BY86)</f>
        <v>0</v>
      </c>
      <c r="U43" s="170">
        <f>IF(Sheet1!AY86="",0,Sheet1!AY86)</f>
        <v>0</v>
      </c>
      <c r="V43" s="170">
        <f>IF(OR(Sheet1!AZ86=0,TRIM(Sheet1!AZ86)=""),0,1)</f>
        <v>0</v>
      </c>
      <c r="W43" s="170">
        <f>IF(OR(Sheet1!BA86=0,TRIM(Sheet1!BA86)=""),0,1)</f>
        <v>0</v>
      </c>
      <c r="X43" s="170">
        <f>IF(OR(Sheet1!BB86=0,TRIM(Sheet1!BB86)=""),0,1)</f>
        <v>0</v>
      </c>
      <c r="Y43" s="170">
        <f>IF(OR(Sheet1!BC86=0,TRIM(Sheet1!BC86)=""),0,1)</f>
        <v>0</v>
      </c>
      <c r="Z43">
        <f t="shared" si="4"/>
        <v>0</v>
      </c>
      <c r="AA43" t="str">
        <f t="shared" si="5"/>
        <v>NO</v>
      </c>
      <c r="AB43" s="170">
        <f>Sheet1!BN129</f>
        <v>0</v>
      </c>
      <c r="AC43" t="str">
        <f>IF(OR(Sheet1!F46="",Sheet1!F46=0),"",Sheet1!F46)</f>
        <v/>
      </c>
      <c r="AD43" t="str">
        <f>IF(OR(Sheet1!G46="",Sheet1!G46=0),"",Sheet1!G46)</f>
        <v/>
      </c>
      <c r="AE43" t="str">
        <f t="shared" si="6"/>
        <v/>
      </c>
      <c r="AF43" s="170">
        <f>IF(Sheet1!BM86="",0,Sheet1!BM86)</f>
        <v>0</v>
      </c>
      <c r="AG43" t="e">
        <f t="shared" si="1"/>
        <v>#VALUE!</v>
      </c>
      <c r="AI43" s="170" t="str">
        <f>IF(Sheet1!BD86="","",UPPER(TRIM(Sheet1!BD86)))</f>
        <v/>
      </c>
      <c r="AJ43" t="str">
        <f t="shared" si="7"/>
        <v/>
      </c>
      <c r="AK43" s="172" t="str">
        <f>IF(Sheet1!BG86="","",Sheet1!BG86)</f>
        <v/>
      </c>
      <c r="AL43" s="172">
        <f>Sheet1!BG87</f>
        <v>0</v>
      </c>
      <c r="AM43" s="172" t="str">
        <f>Sheet1!BF86</f>
        <v/>
      </c>
      <c r="AN43" s="172" t="str">
        <f>Sheet1!BF87</f>
        <v/>
      </c>
    </row>
    <row r="44" spans="1:40">
      <c r="A44" s="170" t="str">
        <f>IF(UPPER(TRIM(Sheet1!E47))="","",UPPER(TRIM(Sheet1!E47)))</f>
        <v/>
      </c>
      <c r="B44" t="str">
        <f>IF(OR(Sheet1!AX88="",Sheet1!AX88="--xx"),"",Sheet1!AX88)</f>
        <v/>
      </c>
      <c r="C44" s="170" t="str">
        <f>UPPER(TRIM(Sheet1!BT2))</f>
        <v/>
      </c>
      <c r="D44" s="170" t="str">
        <f>TRIM(Sheet1!Z3)</f>
        <v/>
      </c>
      <c r="E44" s="170">
        <f>Sheet1!BX2</f>
        <v>6</v>
      </c>
      <c r="F44">
        <f>IF(Sheet1!BD89="",0,Sheet1!BD89)</f>
        <v>0</v>
      </c>
      <c r="G44" s="170" t="str">
        <f>IF(Sheet1!BO88="","",LOWER(TRIM(Sheet1!BO88)))</f>
        <v/>
      </c>
      <c r="H44" t="e">
        <f t="shared" si="0"/>
        <v>#VALUE!</v>
      </c>
      <c r="I44" t="str">
        <f t="shared" si="2"/>
        <v/>
      </c>
      <c r="J44" t="str">
        <f t="shared" si="2"/>
        <v>00:00</v>
      </c>
      <c r="K44" s="170">
        <f>IF(Sheet1!BK89="",0,Sheet1!BK89)</f>
        <v>0</v>
      </c>
      <c r="M44" t="str">
        <f t="shared" si="3"/>
        <v/>
      </c>
      <c r="N44" t="str">
        <f t="shared" si="3"/>
        <v/>
      </c>
      <c r="O44" s="170">
        <f>IF(Sheet1!BI88="",0,Sheet1!BI88)</f>
        <v>0</v>
      </c>
      <c r="P44" s="170">
        <f>IF(Sheet1!BI89="",0,Sheet1!BI89)</f>
        <v>0</v>
      </c>
      <c r="Q44" s="170">
        <f>IF(Sheet1!BJ88="",0,Sheet1!BJ88)</f>
        <v>0</v>
      </c>
      <c r="R44" s="170">
        <f>IF(Sheet1!BJ89="",0,Sheet1!BJ89)</f>
        <v>0</v>
      </c>
      <c r="S44" s="170">
        <f>IF(Sheet1!BK88="",0,ROUND(Sheet1!BK88,0))</f>
        <v>0</v>
      </c>
      <c r="T44" s="170">
        <f>IF(Sheet1!BY88="",0,Sheet1!BY88)</f>
        <v>0</v>
      </c>
      <c r="U44" s="170">
        <f>IF(Sheet1!AY88="",0,Sheet1!AY88)</f>
        <v>0</v>
      </c>
      <c r="V44" s="170">
        <f>IF(OR(Sheet1!AZ88=0,TRIM(Sheet1!AZ88)=""),0,1)</f>
        <v>0</v>
      </c>
      <c r="W44" s="170">
        <f>IF(OR(Sheet1!BA88=0,TRIM(Sheet1!BA88)=""),0,1)</f>
        <v>0</v>
      </c>
      <c r="X44" s="170">
        <f>IF(OR(Sheet1!BB88=0,TRIM(Sheet1!BB88)=""),0,1)</f>
        <v>0</v>
      </c>
      <c r="Y44" s="170">
        <f>IF(OR(Sheet1!BC88=0,TRIM(Sheet1!BC88)=""),0,1)</f>
        <v>0</v>
      </c>
      <c r="Z44">
        <f t="shared" si="4"/>
        <v>0</v>
      </c>
      <c r="AA44" t="str">
        <f t="shared" si="5"/>
        <v>NO</v>
      </c>
      <c r="AB44" s="170">
        <f>Sheet1!BN129</f>
        <v>0</v>
      </c>
      <c r="AC44" t="str">
        <f>IF(OR(Sheet1!F47="",Sheet1!F47=0),"",Sheet1!F47)</f>
        <v/>
      </c>
      <c r="AD44" t="str">
        <f>IF(OR(Sheet1!G47="",Sheet1!G47=0),"",Sheet1!G47)</f>
        <v/>
      </c>
      <c r="AE44" t="str">
        <f t="shared" si="6"/>
        <v/>
      </c>
      <c r="AF44" s="170">
        <f>IF(Sheet1!BM88="",0,Sheet1!BM88)</f>
        <v>0</v>
      </c>
      <c r="AG44" t="e">
        <f t="shared" si="1"/>
        <v>#VALUE!</v>
      </c>
      <c r="AI44" s="170" t="str">
        <f>IF(Sheet1!BD88="","",UPPER(TRIM(Sheet1!BD88)))</f>
        <v/>
      </c>
      <c r="AJ44" t="str">
        <f t="shared" si="7"/>
        <v/>
      </c>
      <c r="AK44" s="172" t="str">
        <f>IF(Sheet1!BG88="","",Sheet1!BG88)</f>
        <v/>
      </c>
      <c r="AL44" s="172">
        <f>Sheet1!BG89</f>
        <v>0</v>
      </c>
      <c r="AM44" s="172" t="str">
        <f>Sheet1!BF88</f>
        <v/>
      </c>
      <c r="AN44" s="172" t="str">
        <f>Sheet1!BF89</f>
        <v/>
      </c>
    </row>
    <row r="45" spans="1:40">
      <c r="A45" s="170" t="str">
        <f>IF(UPPER(TRIM(Sheet1!E48))="","",UPPER(TRIM(Sheet1!E48)))</f>
        <v/>
      </c>
      <c r="B45" t="str">
        <f>IF(OR(Sheet1!AX90="",Sheet1!AX90="--xx"),"",Sheet1!AX90)</f>
        <v/>
      </c>
      <c r="C45" s="170" t="str">
        <f>UPPER(TRIM(Sheet1!BT2))</f>
        <v/>
      </c>
      <c r="D45" s="170" t="str">
        <f>TRIM(Sheet1!Z3)</f>
        <v/>
      </c>
      <c r="E45" s="170">
        <f>Sheet1!BX2</f>
        <v>6</v>
      </c>
      <c r="F45">
        <f>IF(Sheet1!BD91="",0,Sheet1!BD91)</f>
        <v>0</v>
      </c>
      <c r="G45" s="170" t="str">
        <f>IF(Sheet1!BO90="","",LOWER(TRIM(Sheet1!BO90)))</f>
        <v/>
      </c>
      <c r="H45" t="e">
        <f t="shared" si="0"/>
        <v>#VALUE!</v>
      </c>
      <c r="I45" t="str">
        <f t="shared" si="2"/>
        <v/>
      </c>
      <c r="J45" t="str">
        <f t="shared" si="2"/>
        <v>00:00</v>
      </c>
      <c r="K45" s="170">
        <f>IF(Sheet1!BK91="",0,Sheet1!BK91)</f>
        <v>0</v>
      </c>
      <c r="M45" t="str">
        <f t="shared" si="3"/>
        <v/>
      </c>
      <c r="N45" t="str">
        <f t="shared" si="3"/>
        <v/>
      </c>
      <c r="O45" s="170">
        <f>IF(Sheet1!BI90="",0,Sheet1!BI90)</f>
        <v>0</v>
      </c>
      <c r="P45" s="170">
        <f>IF(Sheet1!BI91="",0,Sheet1!BI91)</f>
        <v>0</v>
      </c>
      <c r="Q45" s="170">
        <f>IF(Sheet1!BJ90="",0,Sheet1!BJ90)</f>
        <v>0</v>
      </c>
      <c r="R45" s="170">
        <f>IF(Sheet1!BJ91="",0,Sheet1!BJ91)</f>
        <v>0</v>
      </c>
      <c r="S45" s="170">
        <f>IF(Sheet1!BK90="",0,ROUND(Sheet1!BK90,0))</f>
        <v>0</v>
      </c>
      <c r="T45" s="170">
        <f>IF(Sheet1!BY90="",0,Sheet1!BY90)</f>
        <v>0</v>
      </c>
      <c r="U45" s="170">
        <f>IF(Sheet1!AY90="",0,Sheet1!AY90)</f>
        <v>0</v>
      </c>
      <c r="V45" s="170">
        <f>IF(OR(Sheet1!AZ90=0,TRIM(Sheet1!AZ90)=""),0,1)</f>
        <v>0</v>
      </c>
      <c r="W45" s="170">
        <f>IF(OR(Sheet1!BA90=0,TRIM(Sheet1!BA90)=""),0,1)</f>
        <v>0</v>
      </c>
      <c r="X45" s="170">
        <f>IF(OR(Sheet1!BB90=0,TRIM(Sheet1!BB90)=""),0,1)</f>
        <v>0</v>
      </c>
      <c r="Y45" s="170">
        <f>IF(OR(Sheet1!BC90=0,TRIM(Sheet1!BC90)=""),0,1)</f>
        <v>0</v>
      </c>
      <c r="Z45">
        <f t="shared" si="4"/>
        <v>0</v>
      </c>
      <c r="AA45" t="str">
        <f t="shared" si="5"/>
        <v>NO</v>
      </c>
      <c r="AB45" s="170">
        <f>Sheet1!BN129</f>
        <v>0</v>
      </c>
      <c r="AC45" t="str">
        <f>IF(OR(Sheet1!F48="",Sheet1!F48=0),"",Sheet1!F48)</f>
        <v/>
      </c>
      <c r="AD45" t="str">
        <f>IF(OR(Sheet1!G48="",Sheet1!G48=0),"",Sheet1!G48)</f>
        <v/>
      </c>
      <c r="AE45" t="str">
        <f t="shared" si="6"/>
        <v/>
      </c>
      <c r="AF45" s="170">
        <f>IF(Sheet1!BM90="",0,Sheet1!BM90)</f>
        <v>0</v>
      </c>
      <c r="AG45" t="e">
        <f t="shared" si="1"/>
        <v>#VALUE!</v>
      </c>
      <c r="AI45" s="170" t="str">
        <f>IF(Sheet1!BD90="","",UPPER(TRIM(Sheet1!BD90)))</f>
        <v/>
      </c>
      <c r="AJ45" t="str">
        <f t="shared" si="7"/>
        <v/>
      </c>
      <c r="AK45" s="172" t="str">
        <f>IF(Sheet1!BG90="","",Sheet1!BG90)</f>
        <v/>
      </c>
      <c r="AL45" s="172">
        <f>Sheet1!BG91</f>
        <v>0</v>
      </c>
      <c r="AM45" s="172" t="str">
        <f>Sheet1!BF90</f>
        <v/>
      </c>
      <c r="AN45" s="172" t="str">
        <f>Sheet1!BF91</f>
        <v/>
      </c>
    </row>
    <row r="46" spans="1:40">
      <c r="A46" s="170" t="str">
        <f>IF(UPPER(TRIM(Sheet1!E49))="","",UPPER(TRIM(Sheet1!E49)))</f>
        <v/>
      </c>
      <c r="B46" t="str">
        <f>IF(OR(Sheet1!AX92="",Sheet1!AX92="--xx"),"",Sheet1!AX92)</f>
        <v/>
      </c>
      <c r="C46" s="170" t="str">
        <f>UPPER(TRIM(Sheet1!BT2))</f>
        <v/>
      </c>
      <c r="D46" s="170" t="str">
        <f>TRIM(Sheet1!Z3)</f>
        <v/>
      </c>
      <c r="E46" s="170">
        <f>Sheet1!BX2</f>
        <v>6</v>
      </c>
      <c r="F46">
        <f>IF(Sheet1!BD93="",0,Sheet1!BD93)</f>
        <v>0</v>
      </c>
      <c r="G46" s="170" t="str">
        <f>IF(Sheet1!BO92="","",LOWER(TRIM(Sheet1!BO92)))</f>
        <v/>
      </c>
      <c r="H46" t="e">
        <f t="shared" si="0"/>
        <v>#VALUE!</v>
      </c>
      <c r="I46" t="str">
        <f t="shared" si="2"/>
        <v/>
      </c>
      <c r="J46" t="str">
        <f t="shared" si="2"/>
        <v>00:00</v>
      </c>
      <c r="K46" s="170">
        <f>IF(Sheet1!BK93="",0,Sheet1!BK93)</f>
        <v>0</v>
      </c>
      <c r="M46" t="str">
        <f t="shared" si="3"/>
        <v/>
      </c>
      <c r="N46" t="str">
        <f t="shared" si="3"/>
        <v/>
      </c>
      <c r="O46" s="170">
        <f>IF(Sheet1!BI92="",0,Sheet1!BI92)</f>
        <v>0</v>
      </c>
      <c r="P46" s="170">
        <f>IF(Sheet1!BI93="",0,Sheet1!BI93)</f>
        <v>0</v>
      </c>
      <c r="Q46" s="170">
        <f>IF(Sheet1!BJ92="",0,Sheet1!BJ92)</f>
        <v>0</v>
      </c>
      <c r="R46" s="170">
        <f>IF(Sheet1!BJ93="",0,Sheet1!BJ93)</f>
        <v>0</v>
      </c>
      <c r="S46" s="170">
        <f>IF(Sheet1!BK92="",0,ROUND(Sheet1!BK92,0))</f>
        <v>0</v>
      </c>
      <c r="T46" s="170">
        <f>IF(Sheet1!BY92="",0,Sheet1!BY92)</f>
        <v>0</v>
      </c>
      <c r="U46" s="170">
        <f>IF(Sheet1!AY92="",0,Sheet1!AY92)</f>
        <v>0</v>
      </c>
      <c r="V46" s="170">
        <f>IF(OR(Sheet1!AZ92=0,TRIM(Sheet1!AZ92)=""),0,1)</f>
        <v>0</v>
      </c>
      <c r="W46" s="170">
        <f>IF(OR(Sheet1!BA92=0,TRIM(Sheet1!BA92)=""),0,1)</f>
        <v>0</v>
      </c>
      <c r="X46" s="170">
        <f>IF(OR(Sheet1!BB92=0,TRIM(Sheet1!BB92)=""),0,1)</f>
        <v>0</v>
      </c>
      <c r="Y46" s="170">
        <f>IF(OR(Sheet1!BC92=0,TRIM(Sheet1!BC92)=""),0,1)</f>
        <v>0</v>
      </c>
      <c r="Z46">
        <f t="shared" si="4"/>
        <v>0</v>
      </c>
      <c r="AA46" t="str">
        <f t="shared" si="5"/>
        <v>NO</v>
      </c>
      <c r="AB46" s="170">
        <f>Sheet1!BN129</f>
        <v>0</v>
      </c>
      <c r="AC46" t="str">
        <f>IF(OR(Sheet1!F49="",Sheet1!F49=0),"",Sheet1!F49)</f>
        <v/>
      </c>
      <c r="AD46" t="str">
        <f>IF(OR(Sheet1!G49="",Sheet1!G49=0),"",Sheet1!G49)</f>
        <v/>
      </c>
      <c r="AE46" t="str">
        <f t="shared" si="6"/>
        <v/>
      </c>
      <c r="AF46" s="170">
        <f>IF(Sheet1!BM92="",0,Sheet1!BM92)</f>
        <v>0</v>
      </c>
      <c r="AG46" t="e">
        <f t="shared" si="1"/>
        <v>#VALUE!</v>
      </c>
      <c r="AI46" s="170" t="str">
        <f>IF(Sheet1!BD92="","",UPPER(TRIM(Sheet1!BD92)))</f>
        <v/>
      </c>
      <c r="AJ46" t="str">
        <f t="shared" si="7"/>
        <v/>
      </c>
      <c r="AK46" s="172" t="str">
        <f>IF(Sheet1!BG92="","",Sheet1!BG92)</f>
        <v/>
      </c>
      <c r="AL46" s="172">
        <f>Sheet1!BG93</f>
        <v>0</v>
      </c>
      <c r="AM46" s="172" t="str">
        <f>Sheet1!BF92</f>
        <v/>
      </c>
      <c r="AN46" s="172" t="str">
        <f>Sheet1!BF93</f>
        <v/>
      </c>
    </row>
    <row r="47" spans="1:40">
      <c r="A47" s="170" t="str">
        <f>IF(UPPER(TRIM(Sheet1!E50))="","",UPPER(TRIM(Sheet1!E50)))</f>
        <v/>
      </c>
      <c r="B47" t="str">
        <f>IF(OR(Sheet1!AX94="",Sheet1!AX94="--xx"),"",Sheet1!AX94)</f>
        <v/>
      </c>
      <c r="C47" s="170" t="str">
        <f>UPPER(TRIM(Sheet1!BT2))</f>
        <v/>
      </c>
      <c r="D47" s="170" t="str">
        <f>TRIM(Sheet1!Z3)</f>
        <v/>
      </c>
      <c r="E47" s="170">
        <f>Sheet1!BX2</f>
        <v>6</v>
      </c>
      <c r="F47" s="170">
        <f>IF(Sheet1!BD95="",0,Sheet1!BD95)</f>
        <v>0</v>
      </c>
      <c r="G47" s="170" t="str">
        <f>IF(Sheet1!BO94="","",LOWER(TRIM(Sheet1!BO94)))</f>
        <v/>
      </c>
      <c r="H47" t="e">
        <f t="shared" si="0"/>
        <v>#VALUE!</v>
      </c>
      <c r="I47" t="str">
        <f t="shared" si="2"/>
        <v/>
      </c>
      <c r="J47" t="str">
        <f t="shared" si="2"/>
        <v>00:00</v>
      </c>
      <c r="K47" s="170">
        <f>IF(Sheet1!BK95="",0,Sheet1!BK95)</f>
        <v>0</v>
      </c>
      <c r="M47" t="str">
        <f t="shared" si="3"/>
        <v/>
      </c>
      <c r="N47" t="str">
        <f t="shared" si="3"/>
        <v/>
      </c>
      <c r="O47" s="170">
        <f>IF(Sheet1!BI94="",0,Sheet1!BI94)</f>
        <v>0</v>
      </c>
      <c r="P47" s="170">
        <f>IF(Sheet1!BI95="",0,Sheet1!BI95)</f>
        <v>0</v>
      </c>
      <c r="Q47" s="170">
        <f>IF(Sheet1!BJ94="",0,Sheet1!BJ94)</f>
        <v>0</v>
      </c>
      <c r="R47" s="170">
        <f>IF(Sheet1!BJ95="",0,Sheet1!BJ95)</f>
        <v>0</v>
      </c>
      <c r="S47" s="170">
        <f>IF(Sheet1!BK94="",0,ROUND(Sheet1!BK94,0))</f>
        <v>0</v>
      </c>
      <c r="T47" s="170">
        <f>IF(Sheet1!BY94="",0,Sheet1!BY94)</f>
        <v>0</v>
      </c>
      <c r="U47" s="170">
        <f>IF(Sheet1!AY94="",0,Sheet1!AY94)</f>
        <v>0</v>
      </c>
      <c r="V47" s="170">
        <f>IF(OR(Sheet1!AZ94=0,TRIM(Sheet1!AZ94)=""),0,1)</f>
        <v>0</v>
      </c>
      <c r="W47" s="170">
        <f>IF(OR(Sheet1!BA94=0,TRIM(Sheet1!BA94)=""),0,1)</f>
        <v>0</v>
      </c>
      <c r="X47" s="170">
        <f>IF(OR(Sheet1!BB94=0,TRIM(Sheet1!BB94)=""),0,1)</f>
        <v>0</v>
      </c>
      <c r="Y47" s="170">
        <f>IF(OR(Sheet1!BC94=0,TRIM(Sheet1!BC94)=""),0,1)</f>
        <v>0</v>
      </c>
      <c r="Z47">
        <f t="shared" si="4"/>
        <v>0</v>
      </c>
      <c r="AA47" t="str">
        <f t="shared" si="5"/>
        <v>NO</v>
      </c>
      <c r="AB47" s="170">
        <f>Sheet1!BN129</f>
        <v>0</v>
      </c>
      <c r="AC47" t="str">
        <f>IF(OR(Sheet1!F50="",Sheet1!F50=0),"",Sheet1!F50)</f>
        <v/>
      </c>
      <c r="AD47" t="str">
        <f>IF(OR(Sheet1!G50="",Sheet1!G50=0),"",Sheet1!G50)</f>
        <v/>
      </c>
      <c r="AE47" t="str">
        <f t="shared" si="6"/>
        <v/>
      </c>
      <c r="AF47" s="170">
        <f>IF(Sheet1!BM94="",0,Sheet1!BM94)</f>
        <v>0</v>
      </c>
      <c r="AG47" t="e">
        <f t="shared" si="1"/>
        <v>#VALUE!</v>
      </c>
      <c r="AI47" s="170" t="str">
        <f>IF(Sheet1!BD94="","",UPPER(TRIM(Sheet1!BD94)))</f>
        <v/>
      </c>
      <c r="AJ47" t="str">
        <f t="shared" si="7"/>
        <v/>
      </c>
      <c r="AK47" s="172" t="str">
        <f>IF(Sheet1!BG94="","",Sheet1!BG94)</f>
        <v/>
      </c>
      <c r="AL47" s="172">
        <f>Sheet1!BG95</f>
        <v>0</v>
      </c>
      <c r="AM47" s="172" t="str">
        <f>Sheet1!BF94</f>
        <v/>
      </c>
      <c r="AN47" s="172" t="str">
        <f>Sheet1!BF95</f>
        <v/>
      </c>
    </row>
    <row r="48" spans="1:40">
      <c r="A48" s="170" t="str">
        <f>IF(UPPER(TRIM(Sheet1!E51))="","",UPPER(TRIM(Sheet1!E51)))</f>
        <v/>
      </c>
      <c r="B48" t="str">
        <f>IF(OR(Sheet1!AX96="",Sheet1!AX96="--xx"),"",Sheet1!AX96)</f>
        <v/>
      </c>
      <c r="C48" s="170" t="str">
        <f>UPPER(TRIM(Sheet1!BT2))</f>
        <v/>
      </c>
      <c r="D48" s="170" t="str">
        <f>TRIM(Sheet1!Z3)</f>
        <v/>
      </c>
      <c r="E48" s="170">
        <f>Sheet1!BX2</f>
        <v>6</v>
      </c>
      <c r="F48" s="170">
        <f>IF(Sheet1!BD97="",0,Sheet1!BD97)</f>
        <v>0</v>
      </c>
      <c r="G48" s="170" t="str">
        <f>IF(Sheet1!BO96="","",LOWER(TRIM(Sheet1!BO96)))</f>
        <v/>
      </c>
      <c r="H48" t="e">
        <f t="shared" si="0"/>
        <v>#VALUE!</v>
      </c>
      <c r="I48" t="str">
        <f t="shared" si="2"/>
        <v/>
      </c>
      <c r="J48" t="str">
        <f t="shared" si="2"/>
        <v>00:00</v>
      </c>
      <c r="K48" s="170">
        <f>IF(Sheet1!BK97="",0,Sheet1!BK97)</f>
        <v>0</v>
      </c>
      <c r="M48" t="str">
        <f t="shared" si="3"/>
        <v/>
      </c>
      <c r="N48" t="str">
        <f t="shared" si="3"/>
        <v/>
      </c>
      <c r="O48" s="170">
        <f>IF(Sheet1!BI96="",0,Sheet1!BI96)</f>
        <v>0</v>
      </c>
      <c r="P48" s="170">
        <f>IF(Sheet1!BI97="",0,Sheet1!BI97)</f>
        <v>0</v>
      </c>
      <c r="Q48" s="170">
        <f>IF(Sheet1!BJ96="",0,Sheet1!BJ96)</f>
        <v>0</v>
      </c>
      <c r="R48" s="170">
        <f>IF(Sheet1!BJ97="",0,Sheet1!BJ97)</f>
        <v>0</v>
      </c>
      <c r="S48" s="170">
        <f>IF(Sheet1!BK96="",0,ROUND(Sheet1!BK96,0))</f>
        <v>0</v>
      </c>
      <c r="T48" s="170">
        <f>IF(Sheet1!BY96="",0,Sheet1!BY96)</f>
        <v>0</v>
      </c>
      <c r="U48" s="170">
        <f>IF(Sheet1!AY96="",0,Sheet1!AY96)</f>
        <v>0</v>
      </c>
      <c r="V48" s="170">
        <f>IF(OR(Sheet1!AZ96=0,TRIM(Sheet1!AZ96)=""),0,1)</f>
        <v>0</v>
      </c>
      <c r="W48" s="170">
        <f>IF(OR(Sheet1!BA96=0,TRIM(Sheet1!BA96)=""),0,1)</f>
        <v>0</v>
      </c>
      <c r="X48" s="170">
        <f>IF(OR(Sheet1!BB96=0,TRIM(Sheet1!BB96)=""),0,1)</f>
        <v>0</v>
      </c>
      <c r="Y48" s="170">
        <f>IF(OR(Sheet1!BC96=0,TRIM(Sheet1!BC96)=""),0,1)</f>
        <v>0</v>
      </c>
      <c r="Z48">
        <f t="shared" si="4"/>
        <v>0</v>
      </c>
      <c r="AA48" t="str">
        <f t="shared" si="5"/>
        <v>NO</v>
      </c>
      <c r="AB48" s="170">
        <f>Sheet1!BN129</f>
        <v>0</v>
      </c>
      <c r="AC48" t="str">
        <f>IF(OR(Sheet1!F51="",Sheet1!F51=0),"",Sheet1!F51)</f>
        <v/>
      </c>
      <c r="AD48" t="str">
        <f>IF(OR(Sheet1!G51="",Sheet1!G51=0),"",Sheet1!G51)</f>
        <v/>
      </c>
      <c r="AE48" t="str">
        <f t="shared" si="6"/>
        <v/>
      </c>
      <c r="AF48" s="170">
        <f>IF(Sheet1!BM96="",0,Sheet1!BM96)</f>
        <v>0</v>
      </c>
      <c r="AG48" t="e">
        <f t="shared" si="1"/>
        <v>#VALUE!</v>
      </c>
      <c r="AI48" s="170" t="str">
        <f>IF(Sheet1!BD96="","",UPPER(TRIM(Sheet1!BD96)))</f>
        <v/>
      </c>
      <c r="AJ48" t="str">
        <f t="shared" si="7"/>
        <v/>
      </c>
      <c r="AK48" s="172" t="str">
        <f>IF(Sheet1!BG96="","",Sheet1!BG96)</f>
        <v/>
      </c>
      <c r="AL48" s="172">
        <f>Sheet1!BG97</f>
        <v>0</v>
      </c>
      <c r="AM48" s="172" t="str">
        <f>Sheet1!BF96</f>
        <v/>
      </c>
      <c r="AN48" s="172" t="str">
        <f>Sheet1!BF97</f>
        <v/>
      </c>
    </row>
    <row r="49" spans="1:40">
      <c r="A49" s="170" t="str">
        <f>IF(UPPER(TRIM(Sheet1!E52))="","",UPPER(TRIM(Sheet1!E52)))</f>
        <v/>
      </c>
      <c r="B49" t="str">
        <f>IF(OR(Sheet1!AX98="",Sheet1!AX98="--xx"),"",Sheet1!AX98)</f>
        <v/>
      </c>
      <c r="C49" s="170" t="str">
        <f>UPPER(TRIM(Sheet1!BT2))</f>
        <v/>
      </c>
      <c r="D49" s="170" t="str">
        <f>TRIM(Sheet1!Z3)</f>
        <v/>
      </c>
      <c r="E49" s="170">
        <f>Sheet1!BX2</f>
        <v>6</v>
      </c>
      <c r="F49" s="170">
        <f>IF(Sheet1!BD99="",0,Sheet1!BD99)</f>
        <v>0</v>
      </c>
      <c r="G49" s="170" t="str">
        <f>IF(Sheet1!BO98="","",LOWER(TRIM(Sheet1!BO98)))</f>
        <v/>
      </c>
      <c r="H49" t="e">
        <f t="shared" si="0"/>
        <v>#VALUE!</v>
      </c>
      <c r="I49" t="str">
        <f t="shared" si="2"/>
        <v/>
      </c>
      <c r="J49" t="str">
        <f t="shared" si="2"/>
        <v>00:00</v>
      </c>
      <c r="K49" s="170">
        <f>IF(Sheet1!BK99="",0,Sheet1!BK99)</f>
        <v>0</v>
      </c>
      <c r="M49" t="str">
        <f t="shared" si="3"/>
        <v/>
      </c>
      <c r="N49" t="str">
        <f t="shared" si="3"/>
        <v/>
      </c>
      <c r="O49" s="170">
        <f>IF(Sheet1!BI98="",0,Sheet1!BI98)</f>
        <v>0</v>
      </c>
      <c r="P49" s="170">
        <f>IF(Sheet1!BI99="",0,Sheet1!BI99)</f>
        <v>0</v>
      </c>
      <c r="Q49" s="170">
        <f>IF(Sheet1!BJ98="",0,Sheet1!BJ98)</f>
        <v>0</v>
      </c>
      <c r="R49" s="170">
        <f>IF(Sheet1!BJ99="",0,Sheet1!BJ99)</f>
        <v>0</v>
      </c>
      <c r="S49" s="170">
        <f>IF(Sheet1!BK98="",0,ROUND(Sheet1!BK98,0))</f>
        <v>0</v>
      </c>
      <c r="T49" s="170">
        <f>IF(Sheet1!BY98="",0,Sheet1!BY98)</f>
        <v>0</v>
      </c>
      <c r="U49" s="170">
        <f>IF(Sheet1!AY98="",0,Sheet1!AY98)</f>
        <v>0</v>
      </c>
      <c r="V49" s="170">
        <f>IF(OR(Sheet1!AZ98=0,TRIM(Sheet1!AZ98)=""),0,1)</f>
        <v>0</v>
      </c>
      <c r="W49" s="170">
        <f>IF(OR(Sheet1!BA98=0,TRIM(Sheet1!BA98)=""),0,1)</f>
        <v>0</v>
      </c>
      <c r="X49" s="170">
        <f>IF(OR(Sheet1!BB98=0,TRIM(Sheet1!BB98)=""),0,1)</f>
        <v>0</v>
      </c>
      <c r="Y49" s="170">
        <f>IF(OR(Sheet1!BC98=0,TRIM(Sheet1!BC98)=""),0,1)</f>
        <v>0</v>
      </c>
      <c r="Z49">
        <f t="shared" si="4"/>
        <v>0</v>
      </c>
      <c r="AA49" t="str">
        <f t="shared" si="5"/>
        <v>NO</v>
      </c>
      <c r="AB49" s="170">
        <f>Sheet1!BN129</f>
        <v>0</v>
      </c>
      <c r="AC49" t="str">
        <f>IF(OR(Sheet1!F52="",Sheet1!F52=0),"",Sheet1!F52)</f>
        <v/>
      </c>
      <c r="AD49" t="str">
        <f>IF(OR(Sheet1!G52="",Sheet1!G52=0),"",Sheet1!G52)</f>
        <v/>
      </c>
      <c r="AE49" t="str">
        <f t="shared" si="6"/>
        <v/>
      </c>
      <c r="AF49" s="170">
        <f>IF(Sheet1!BM98="",0,Sheet1!BM98)</f>
        <v>0</v>
      </c>
      <c r="AG49" t="e">
        <f t="shared" si="1"/>
        <v>#VALUE!</v>
      </c>
      <c r="AI49" s="170" t="str">
        <f>IF(Sheet1!BD98="","",UPPER(TRIM(Sheet1!BD98)))</f>
        <v/>
      </c>
      <c r="AJ49" t="str">
        <f t="shared" si="7"/>
        <v/>
      </c>
      <c r="AK49" s="172" t="str">
        <f>IF(Sheet1!BG98="","",Sheet1!BG98)</f>
        <v/>
      </c>
      <c r="AL49" s="172">
        <f>Sheet1!BG99</f>
        <v>0</v>
      </c>
      <c r="AM49" s="172" t="str">
        <f>Sheet1!BF98</f>
        <v/>
      </c>
      <c r="AN49" s="172" t="str">
        <f>Sheet1!BF99</f>
        <v/>
      </c>
    </row>
    <row r="50" spans="1:40">
      <c r="A50" s="170" t="str">
        <f>IF(UPPER(TRIM(Sheet1!E53))="","",UPPER(TRIM(Sheet1!E53)))</f>
        <v/>
      </c>
      <c r="B50" t="str">
        <f>IF(OR(Sheet1!AX100="",Sheet1!AX100="--xx"),"",Sheet1!AX100)</f>
        <v/>
      </c>
      <c r="C50" s="170" t="str">
        <f>UPPER(TRIM(Sheet1!BT2))</f>
        <v/>
      </c>
      <c r="D50" s="170" t="str">
        <f>TRIM(Sheet1!Z3)</f>
        <v/>
      </c>
      <c r="E50" s="170">
        <f>Sheet1!BX2</f>
        <v>6</v>
      </c>
      <c r="F50" s="170">
        <f>IF(Sheet1!BD101="",0,Sheet1!BD101)</f>
        <v>0</v>
      </c>
      <c r="G50" s="170" t="str">
        <f>IF(Sheet1!BO100="","",LOWER(TRIM(Sheet1!BO100)))</f>
        <v/>
      </c>
      <c r="H50" t="e">
        <f t="shared" si="0"/>
        <v>#VALUE!</v>
      </c>
      <c r="I50" t="str">
        <f t="shared" si="2"/>
        <v/>
      </c>
      <c r="J50" t="str">
        <f t="shared" si="2"/>
        <v>00:00</v>
      </c>
      <c r="K50" s="170">
        <f>IF(Sheet1!BK101="",0,Sheet1!BK101)</f>
        <v>0</v>
      </c>
      <c r="M50" t="str">
        <f t="shared" si="3"/>
        <v/>
      </c>
      <c r="N50" t="str">
        <f t="shared" si="3"/>
        <v/>
      </c>
      <c r="O50" s="170">
        <f>IF(Sheet1!BI100="",0,Sheet1!BI100)</f>
        <v>0</v>
      </c>
      <c r="P50" s="170">
        <f>IF(Sheet1!BI101="",0,Sheet1!BI101)</f>
        <v>0</v>
      </c>
      <c r="Q50" s="170">
        <f>IF(Sheet1!BJ100="",0,Sheet1!BJ100)</f>
        <v>0</v>
      </c>
      <c r="R50" s="170">
        <f>IF(Sheet1!BJ101="",0,Sheet1!BJ101)</f>
        <v>0</v>
      </c>
      <c r="S50" s="170">
        <f>IF(Sheet1!BK100="",0,ROUND(Sheet1!BK100,0))</f>
        <v>0</v>
      </c>
      <c r="T50" s="170">
        <f>IF(Sheet1!BY100="",0,Sheet1!BY100)</f>
        <v>0</v>
      </c>
      <c r="U50" s="170">
        <f>IF(Sheet1!AY100="",0,Sheet1!AY100)</f>
        <v>0</v>
      </c>
      <c r="V50" s="170">
        <f>IF(OR(Sheet1!AZ100=0,TRIM(Sheet1!AZ100)=""),0,1)</f>
        <v>0</v>
      </c>
      <c r="W50" s="170">
        <f>IF(OR(Sheet1!BA100=0,TRIM(Sheet1!BA100)=""),0,1)</f>
        <v>0</v>
      </c>
      <c r="X50" s="170">
        <f>IF(OR(Sheet1!BB100=0,TRIM(Sheet1!BB100)=""),0,1)</f>
        <v>0</v>
      </c>
      <c r="Y50" s="170">
        <f>IF(OR(Sheet1!BC100=0,TRIM(Sheet1!BC100)=""),0,1)</f>
        <v>0</v>
      </c>
      <c r="Z50">
        <f t="shared" si="4"/>
        <v>0</v>
      </c>
      <c r="AA50" t="str">
        <f t="shared" si="5"/>
        <v>NO</v>
      </c>
      <c r="AB50" s="170">
        <f>Sheet1!BN129</f>
        <v>0</v>
      </c>
      <c r="AC50" t="str">
        <f>IF(OR(Sheet1!F53="",Sheet1!F53=0),"",Sheet1!F53)</f>
        <v/>
      </c>
      <c r="AD50" t="str">
        <f>IF(OR(Sheet1!G53="",Sheet1!G53=0),"",Sheet1!G53)</f>
        <v/>
      </c>
      <c r="AE50" t="str">
        <f t="shared" si="6"/>
        <v/>
      </c>
      <c r="AF50" s="170">
        <f>IF(Sheet1!BM100="",0,Sheet1!BM100)</f>
        <v>0</v>
      </c>
      <c r="AG50" t="e">
        <f t="shared" si="1"/>
        <v>#VALUE!</v>
      </c>
      <c r="AI50" s="170" t="str">
        <f>IF(Sheet1!BD100="","",UPPER(TRIM(Sheet1!BD100)))</f>
        <v/>
      </c>
      <c r="AJ50" t="str">
        <f t="shared" si="7"/>
        <v/>
      </c>
      <c r="AK50" s="172" t="str">
        <f>IF(Sheet1!BG100="","",Sheet1!BG100)</f>
        <v/>
      </c>
      <c r="AL50" s="172">
        <f>Sheet1!BG101</f>
        <v>0</v>
      </c>
      <c r="AM50" s="172" t="str">
        <f>Sheet1!BF100</f>
        <v/>
      </c>
      <c r="AN50" s="172" t="str">
        <f>Sheet1!BF101</f>
        <v/>
      </c>
    </row>
    <row r="51" spans="1:40">
      <c r="A51" s="170" t="str">
        <f>IF(UPPER(TRIM(Sheet1!E54))="","",UPPER(TRIM(Sheet1!E54)))</f>
        <v/>
      </c>
      <c r="B51" t="str">
        <f>IF(OR(Sheet1!AX102="",Sheet1!AX102="--xx"),"",Sheet1!AX102)</f>
        <v/>
      </c>
      <c r="C51" s="170" t="str">
        <f>UPPER(TRIM(Sheet1!BT2))</f>
        <v/>
      </c>
      <c r="D51" s="170" t="str">
        <f>TRIM(Sheet1!Z3)</f>
        <v/>
      </c>
      <c r="E51" s="170">
        <f>Sheet1!BX2</f>
        <v>6</v>
      </c>
      <c r="F51" s="170">
        <f>IF(Sheet1!BD103="",0,Sheet1!BD103)</f>
        <v>0</v>
      </c>
      <c r="G51" s="170" t="str">
        <f>IF(Sheet1!BO102="","",LOWER(TRIM(Sheet1!BO102)))</f>
        <v/>
      </c>
      <c r="H51" t="e">
        <f t="shared" si="0"/>
        <v>#VALUE!</v>
      </c>
      <c r="I51" t="str">
        <f t="shared" si="2"/>
        <v/>
      </c>
      <c r="J51" t="str">
        <f t="shared" si="2"/>
        <v>00:00</v>
      </c>
      <c r="K51" s="170">
        <f>IF(Sheet1!BK103="",0,Sheet1!BK103)</f>
        <v>0</v>
      </c>
      <c r="M51" t="str">
        <f t="shared" si="3"/>
        <v/>
      </c>
      <c r="N51" t="str">
        <f t="shared" si="3"/>
        <v/>
      </c>
      <c r="O51" s="170">
        <f>IF(Sheet1!BI102="",0,Sheet1!BI102)</f>
        <v>0</v>
      </c>
      <c r="P51" s="170">
        <f>IF(Sheet1!BI103="",0,Sheet1!BI103)</f>
        <v>0</v>
      </c>
      <c r="Q51" s="170">
        <f>IF(Sheet1!BJ102="",0,Sheet1!BJ102)</f>
        <v>0</v>
      </c>
      <c r="R51" s="170">
        <f>IF(Sheet1!BJ103="",0,Sheet1!BJ103)</f>
        <v>0</v>
      </c>
      <c r="S51" s="170">
        <f>IF(Sheet1!BK102="",0,ROUND(Sheet1!BK102,0))</f>
        <v>0</v>
      </c>
      <c r="T51" s="170">
        <f>IF(Sheet1!BY102="",0,Sheet1!BY102)</f>
        <v>0</v>
      </c>
      <c r="U51" s="170">
        <f>IF(Sheet1!AY102="",0,Sheet1!AY102)</f>
        <v>0</v>
      </c>
      <c r="V51" s="170">
        <f>IF(OR(Sheet1!AZ102=0,TRIM(Sheet1!AZ102)=""),0,1)</f>
        <v>0</v>
      </c>
      <c r="W51" s="170">
        <f>IF(OR(Sheet1!BA102=0,TRIM(Sheet1!BA102)=""),0,1)</f>
        <v>0</v>
      </c>
      <c r="X51" s="170">
        <f>IF(OR(Sheet1!BB102=0,TRIM(Sheet1!BB102)=""),0,1)</f>
        <v>0</v>
      </c>
      <c r="Y51" s="170">
        <f>IF(OR(Sheet1!BC102=0,TRIM(Sheet1!BC102)=""),0,1)</f>
        <v>0</v>
      </c>
      <c r="Z51">
        <f t="shared" si="4"/>
        <v>0</v>
      </c>
      <c r="AA51" t="str">
        <f t="shared" si="5"/>
        <v>NO</v>
      </c>
      <c r="AB51" s="170">
        <f>Sheet1!BN129</f>
        <v>0</v>
      </c>
      <c r="AC51" t="str">
        <f>IF(OR(Sheet1!F54="",Sheet1!F54=0),"",Sheet1!F54)</f>
        <v/>
      </c>
      <c r="AD51" t="str">
        <f>IF(OR(Sheet1!G54="",Sheet1!G54=0),"",Sheet1!G54)</f>
        <v/>
      </c>
      <c r="AE51" t="str">
        <f t="shared" si="6"/>
        <v/>
      </c>
      <c r="AF51" s="170">
        <f>IF(Sheet1!BM102="",0,Sheet1!BM102)</f>
        <v>0</v>
      </c>
      <c r="AG51" t="e">
        <f t="shared" si="1"/>
        <v>#VALUE!</v>
      </c>
      <c r="AI51" s="170" t="str">
        <f>IF(Sheet1!BD102="","",UPPER(TRIM(Sheet1!BD102)))</f>
        <v/>
      </c>
      <c r="AJ51" t="str">
        <f t="shared" si="7"/>
        <v/>
      </c>
      <c r="AK51" s="172" t="str">
        <f>IF(Sheet1!BG102="","",Sheet1!BG102)</f>
        <v/>
      </c>
      <c r="AL51" s="172">
        <f>Sheet1!BG103</f>
        <v>0</v>
      </c>
      <c r="AM51" s="172" t="str">
        <f>Sheet1!BF102</f>
        <v/>
      </c>
      <c r="AN51" s="172" t="str">
        <f>Sheet1!BF103</f>
        <v/>
      </c>
    </row>
    <row r="52" spans="1:40">
      <c r="A52" s="170" t="str">
        <f>IF(UPPER(TRIM(Sheet1!E55))="","",UPPER(TRIM(Sheet1!E55)))</f>
        <v/>
      </c>
      <c r="B52" t="str">
        <f>IF(OR(Sheet1!AX104="",Sheet1!AX104="--xx"),"",Sheet1!AX104)</f>
        <v/>
      </c>
      <c r="C52" s="170" t="str">
        <f>UPPER(TRIM(Sheet1!BT2))</f>
        <v/>
      </c>
      <c r="D52" s="170" t="str">
        <f>TRIM(Sheet1!Z3)</f>
        <v/>
      </c>
      <c r="E52" s="170">
        <f>Sheet1!BX2</f>
        <v>6</v>
      </c>
      <c r="F52" s="170">
        <f>IF(Sheet1!BD105="",0,Sheet1!BD105)</f>
        <v>0</v>
      </c>
      <c r="G52" s="170" t="str">
        <f>IF(Sheet1!BO104="","",LOWER(TRIM(Sheet1!BO104)))</f>
        <v/>
      </c>
      <c r="H52" t="e">
        <f t="shared" si="0"/>
        <v>#VALUE!</v>
      </c>
      <c r="I52" t="str">
        <f t="shared" si="2"/>
        <v/>
      </c>
      <c r="J52" t="str">
        <f t="shared" si="2"/>
        <v>00:00</v>
      </c>
      <c r="K52" s="170">
        <f>IF(Sheet1!BK105="",0,Sheet1!BK105)</f>
        <v>0</v>
      </c>
      <c r="M52" t="str">
        <f t="shared" si="3"/>
        <v/>
      </c>
      <c r="N52" t="str">
        <f t="shared" si="3"/>
        <v/>
      </c>
      <c r="O52" s="170">
        <f>IF(Sheet1!BI104="",0,Sheet1!BI104)</f>
        <v>0</v>
      </c>
      <c r="P52" s="170">
        <f>IF(Sheet1!BI105="",0,Sheet1!BI105)</f>
        <v>0</v>
      </c>
      <c r="Q52" s="170">
        <f>IF(Sheet1!BJ104="",0,Sheet1!BJ104)</f>
        <v>0</v>
      </c>
      <c r="R52" s="170">
        <f>IF(Sheet1!BJ105="",0,Sheet1!BJ105)</f>
        <v>0</v>
      </c>
      <c r="S52" s="170">
        <f>IF(Sheet1!BK104="",0,ROUND(Sheet1!BK104,0))</f>
        <v>0</v>
      </c>
      <c r="T52" s="170">
        <f>IF(Sheet1!BY104="",0,Sheet1!BY104)</f>
        <v>0</v>
      </c>
      <c r="U52" s="170">
        <f>IF(Sheet1!AY104="",0,Sheet1!AY104)</f>
        <v>0</v>
      </c>
      <c r="V52" s="170">
        <f>IF(OR(Sheet1!AZ104=0,TRIM(Sheet1!AZ104)=""),0,1)</f>
        <v>0</v>
      </c>
      <c r="W52" s="170">
        <f>IF(OR(Sheet1!BA104=0,TRIM(Sheet1!BA104)=""),0,1)</f>
        <v>0</v>
      </c>
      <c r="X52" s="170">
        <f>IF(OR(Sheet1!BB104=0,TRIM(Sheet1!BB104)=""),0,1)</f>
        <v>0</v>
      </c>
      <c r="Y52" s="170">
        <f>IF(OR(Sheet1!BC104=0,TRIM(Sheet1!BC104)=""),0,1)</f>
        <v>0</v>
      </c>
      <c r="Z52">
        <f t="shared" si="4"/>
        <v>0</v>
      </c>
      <c r="AA52" t="str">
        <f t="shared" si="5"/>
        <v>NO</v>
      </c>
      <c r="AB52" s="170">
        <f>Sheet1!BN129</f>
        <v>0</v>
      </c>
      <c r="AC52" t="str">
        <f>IF(OR(Sheet1!F55="",Sheet1!F55=0),"",Sheet1!F55)</f>
        <v/>
      </c>
      <c r="AD52" t="str">
        <f>IF(OR(Sheet1!G55="",Sheet1!G55=0),"",Sheet1!G55)</f>
        <v/>
      </c>
      <c r="AE52" t="str">
        <f t="shared" si="6"/>
        <v/>
      </c>
      <c r="AF52" s="170">
        <f>IF(Sheet1!BM104="",0,Sheet1!BM104)</f>
        <v>0</v>
      </c>
      <c r="AG52" t="e">
        <f t="shared" si="1"/>
        <v>#VALUE!</v>
      </c>
      <c r="AI52" s="170" t="str">
        <f>IF(Sheet1!BD104="","",UPPER(TRIM(Sheet1!BD104)))</f>
        <v/>
      </c>
      <c r="AJ52" t="str">
        <f t="shared" si="7"/>
        <v/>
      </c>
      <c r="AK52" s="172" t="str">
        <f>IF(Sheet1!BG104="","",Sheet1!BG104)</f>
        <v/>
      </c>
      <c r="AL52" s="172">
        <f>Sheet1!BG105</f>
        <v>0</v>
      </c>
      <c r="AM52" s="172" t="str">
        <f>Sheet1!BF104</f>
        <v/>
      </c>
      <c r="AN52" s="172" t="str">
        <f>Sheet1!BF105</f>
        <v/>
      </c>
    </row>
    <row r="53" spans="1:40">
      <c r="A53" s="170" t="str">
        <f>IF(UPPER(TRIM(Sheet1!E56))="","",UPPER(TRIM(Sheet1!E56)))</f>
        <v/>
      </c>
      <c r="B53" t="str">
        <f>IF(OR(Sheet1!AX106="",Sheet1!AX106="--xx"),"",Sheet1!AX106)</f>
        <v/>
      </c>
      <c r="C53" s="170" t="str">
        <f>UPPER(TRIM(Sheet1!BT2))</f>
        <v/>
      </c>
      <c r="D53" s="170" t="str">
        <f>TRIM(Sheet1!Z3)</f>
        <v/>
      </c>
      <c r="E53" s="170">
        <f>Sheet1!BX2</f>
        <v>6</v>
      </c>
      <c r="F53" s="170">
        <f>IF(Sheet1!BD107="",0,Sheet1!BD107)</f>
        <v>0</v>
      </c>
      <c r="G53" s="170" t="str">
        <f>IF(Sheet1!BO106="","",LOWER(TRIM(Sheet1!BO106)))</f>
        <v/>
      </c>
      <c r="H53" t="e">
        <f t="shared" si="0"/>
        <v>#VALUE!</v>
      </c>
      <c r="I53" t="str">
        <f t="shared" si="2"/>
        <v/>
      </c>
      <c r="J53" t="str">
        <f t="shared" si="2"/>
        <v>00:00</v>
      </c>
      <c r="K53" s="170">
        <f>IF(Sheet1!BK107="",0,Sheet1!BK107)</f>
        <v>0</v>
      </c>
      <c r="M53" t="str">
        <f t="shared" si="3"/>
        <v/>
      </c>
      <c r="N53" t="str">
        <f t="shared" si="3"/>
        <v/>
      </c>
      <c r="O53" s="170">
        <f>IF(Sheet1!BI106="",0,Sheet1!BI106)</f>
        <v>0</v>
      </c>
      <c r="P53" s="170">
        <f>IF(Sheet1!BI107="",0,Sheet1!BI107)</f>
        <v>0</v>
      </c>
      <c r="Q53" s="170">
        <f>IF(Sheet1!BJ106="",0,Sheet1!BJ106)</f>
        <v>0</v>
      </c>
      <c r="R53" s="170">
        <f>IF(Sheet1!BJ107="",0,Sheet1!BJ107)</f>
        <v>0</v>
      </c>
      <c r="S53" s="170">
        <f>IF(Sheet1!BK106="",0,ROUND(Sheet1!BK106,0))</f>
        <v>0</v>
      </c>
      <c r="T53" s="170">
        <f>IF(Sheet1!BY106="",0,Sheet1!BY106)</f>
        <v>0</v>
      </c>
      <c r="U53" s="170">
        <f>IF(Sheet1!AY106="",0,Sheet1!AY106)</f>
        <v>0</v>
      </c>
      <c r="V53" s="170">
        <f>IF(OR(Sheet1!AZ106=0,TRIM(Sheet1!AZ106)=""),0,1)</f>
        <v>0</v>
      </c>
      <c r="W53" s="170">
        <f>IF(OR(Sheet1!BA106=0,TRIM(Sheet1!BA106)=""),0,1)</f>
        <v>0</v>
      </c>
      <c r="X53" s="170">
        <f>IF(OR(Sheet1!BB106=0,TRIM(Sheet1!BB106)=""),0,1)</f>
        <v>0</v>
      </c>
      <c r="Y53" s="170">
        <f>IF(OR(Sheet1!BC106=0,TRIM(Sheet1!BC106)=""),0,1)</f>
        <v>0</v>
      </c>
      <c r="Z53">
        <f t="shared" si="4"/>
        <v>0</v>
      </c>
      <c r="AA53" t="str">
        <f t="shared" si="5"/>
        <v>NO</v>
      </c>
      <c r="AB53" s="170">
        <f>Sheet1!BN129</f>
        <v>0</v>
      </c>
      <c r="AC53" t="str">
        <f>IF(OR(Sheet1!F56="",Sheet1!F56=0),"",Sheet1!F56)</f>
        <v/>
      </c>
      <c r="AD53" t="str">
        <f>IF(OR(Sheet1!G56="",Sheet1!G56=0),"",Sheet1!G56)</f>
        <v/>
      </c>
      <c r="AE53" t="str">
        <f t="shared" si="6"/>
        <v/>
      </c>
      <c r="AF53" s="170">
        <f>IF(Sheet1!BM106="",0,Sheet1!BM106)</f>
        <v>0</v>
      </c>
      <c r="AG53" t="e">
        <f t="shared" si="1"/>
        <v>#VALUE!</v>
      </c>
      <c r="AI53" s="170" t="str">
        <f>IF(Sheet1!BD106="","",UPPER(TRIM(Sheet1!BD106)))</f>
        <v/>
      </c>
      <c r="AJ53" t="str">
        <f t="shared" si="7"/>
        <v/>
      </c>
      <c r="AK53" s="172" t="str">
        <f>IF(Sheet1!BG106="","",Sheet1!BG106)</f>
        <v/>
      </c>
      <c r="AL53" s="172">
        <f>Sheet1!BG107</f>
        <v>0</v>
      </c>
      <c r="AM53" s="172" t="str">
        <f>Sheet1!BF106</f>
        <v/>
      </c>
      <c r="AN53" s="172" t="str">
        <f>Sheet1!BF107</f>
        <v/>
      </c>
    </row>
    <row r="54" spans="1:40">
      <c r="A54" s="170" t="str">
        <f>IF(UPPER(TRIM(Sheet1!E57))="","",UPPER(TRIM(Sheet1!E57)))</f>
        <v/>
      </c>
      <c r="B54" t="str">
        <f>IF(OR(Sheet1!AX108="",Sheet1!AX108="--xx"),"",Sheet1!AX108)</f>
        <v/>
      </c>
      <c r="C54" s="170" t="str">
        <f>UPPER(TRIM(Sheet1!BT2))</f>
        <v/>
      </c>
      <c r="D54" s="170" t="str">
        <f>TRIM(Sheet1!Z3)</f>
        <v/>
      </c>
      <c r="E54" s="170">
        <f>Sheet1!BX2</f>
        <v>6</v>
      </c>
      <c r="F54" s="170">
        <f>IF(Sheet1!BD109="",0,Sheet1!BD109)</f>
        <v>0</v>
      </c>
      <c r="G54" s="170" t="str">
        <f>IF(Sheet1!BO108="","",LOWER(TRIM(Sheet1!BO108)))</f>
        <v/>
      </c>
      <c r="H54" t="e">
        <f t="shared" si="0"/>
        <v>#VALUE!</v>
      </c>
      <c r="I54" t="str">
        <f t="shared" si="2"/>
        <v/>
      </c>
      <c r="J54" t="str">
        <f t="shared" si="2"/>
        <v>00:00</v>
      </c>
      <c r="K54" s="170">
        <f>IF(Sheet1!BK109="",0,Sheet1!BK109)</f>
        <v>0</v>
      </c>
      <c r="M54" t="str">
        <f t="shared" si="3"/>
        <v/>
      </c>
      <c r="N54" t="str">
        <f t="shared" si="3"/>
        <v/>
      </c>
      <c r="O54" s="170">
        <f>IF(Sheet1!BI108="",0,Sheet1!BI108)</f>
        <v>0</v>
      </c>
      <c r="P54" s="170">
        <f>IF(Sheet1!BI109="",0,Sheet1!BI109)</f>
        <v>0</v>
      </c>
      <c r="Q54" s="170">
        <f>IF(Sheet1!BJ108="",0,Sheet1!BJ108)</f>
        <v>0</v>
      </c>
      <c r="R54" s="170">
        <f>IF(Sheet1!BJ109="",0,Sheet1!BJ109)</f>
        <v>0</v>
      </c>
      <c r="S54" s="170">
        <f>IF(Sheet1!BK108="",0,ROUND(Sheet1!BK108,0))</f>
        <v>0</v>
      </c>
      <c r="T54" s="170">
        <f>IF(Sheet1!BY108="",0,Sheet1!BY108)</f>
        <v>0</v>
      </c>
      <c r="U54" s="170">
        <f>IF(Sheet1!AY108="",0,Sheet1!AY108)</f>
        <v>0</v>
      </c>
      <c r="V54" s="170">
        <f>IF(OR(Sheet1!AZ108=0,TRIM(Sheet1!AZ108)=""),0,1)</f>
        <v>0</v>
      </c>
      <c r="W54" s="170">
        <f>IF(OR(Sheet1!BA108=0,TRIM(Sheet1!BA108)=""),0,1)</f>
        <v>0</v>
      </c>
      <c r="X54" s="170">
        <f>IF(OR(Sheet1!BB108=0,TRIM(Sheet1!BB108)=""),0,1)</f>
        <v>0</v>
      </c>
      <c r="Y54" s="170">
        <f>IF(OR(Sheet1!BC108=0,TRIM(Sheet1!BC108)=""),0,1)</f>
        <v>0</v>
      </c>
      <c r="Z54">
        <f t="shared" si="4"/>
        <v>0</v>
      </c>
      <c r="AA54" t="str">
        <f t="shared" si="5"/>
        <v>NO</v>
      </c>
      <c r="AB54" s="170">
        <f>Sheet1!BN129</f>
        <v>0</v>
      </c>
      <c r="AC54" t="str">
        <f>IF(OR(Sheet1!F57="",Sheet1!F57=0),"",Sheet1!F57)</f>
        <v/>
      </c>
      <c r="AD54" t="str">
        <f>IF(OR(Sheet1!G57="",Sheet1!G57=0),"",Sheet1!G57)</f>
        <v/>
      </c>
      <c r="AE54" t="str">
        <f t="shared" si="6"/>
        <v/>
      </c>
      <c r="AF54" s="170">
        <f>IF(Sheet1!BM108="",0,Sheet1!BM108)</f>
        <v>0</v>
      </c>
      <c r="AG54" t="e">
        <f t="shared" si="1"/>
        <v>#VALUE!</v>
      </c>
      <c r="AI54" s="170" t="str">
        <f>IF(Sheet1!BD108="","",UPPER(TRIM(Sheet1!BD108)))</f>
        <v/>
      </c>
      <c r="AJ54" t="str">
        <f t="shared" si="7"/>
        <v/>
      </c>
      <c r="AK54" s="172" t="str">
        <f>IF(Sheet1!BG108="","",Sheet1!BG108)</f>
        <v/>
      </c>
      <c r="AL54" s="172">
        <f>Sheet1!BG109</f>
        <v>0</v>
      </c>
      <c r="AM54" s="172" t="str">
        <f>Sheet1!BF108</f>
        <v/>
      </c>
      <c r="AN54" s="172" t="str">
        <f>Sheet1!BF109</f>
        <v/>
      </c>
    </row>
    <row r="55" spans="1:40">
      <c r="A55" s="170" t="str">
        <f>IF(UPPER(TRIM(Sheet1!E58))="","",UPPER(TRIM(Sheet1!E58)))</f>
        <v/>
      </c>
      <c r="B55" t="str">
        <f>IF(OR(Sheet1!AX110="",Sheet1!AX110="--xx"),"",Sheet1!AX110)</f>
        <v/>
      </c>
      <c r="C55" s="170" t="str">
        <f>UPPER(TRIM(Sheet1!BT2))</f>
        <v/>
      </c>
      <c r="D55" s="170" t="str">
        <f>TRIM(Sheet1!Z3)</f>
        <v/>
      </c>
      <c r="E55" s="170">
        <f>Sheet1!BX2</f>
        <v>6</v>
      </c>
      <c r="F55" s="170">
        <f>IF(Sheet1!BD111="",0,Sheet1!BD111)</f>
        <v>0</v>
      </c>
      <c r="G55" s="170" t="str">
        <f>IF(Sheet1!BO110="","",LOWER(TRIM(Sheet1!BO110)))</f>
        <v/>
      </c>
      <c r="H55" t="e">
        <f t="shared" si="0"/>
        <v>#VALUE!</v>
      </c>
      <c r="I55" t="str">
        <f t="shared" si="2"/>
        <v/>
      </c>
      <c r="J55" t="str">
        <f t="shared" si="2"/>
        <v>00:00</v>
      </c>
      <c r="K55" s="170">
        <f>IF(Sheet1!BK111="",0,Sheet1!BK111)</f>
        <v>0</v>
      </c>
      <c r="M55" t="str">
        <f t="shared" si="3"/>
        <v/>
      </c>
      <c r="N55" t="str">
        <f t="shared" si="3"/>
        <v/>
      </c>
      <c r="O55" s="170">
        <f>IF(Sheet1!BI110="",0,Sheet1!BI110)</f>
        <v>0</v>
      </c>
      <c r="P55" s="170">
        <f>IF(Sheet1!BI111="",0,Sheet1!BI111)</f>
        <v>0</v>
      </c>
      <c r="Q55" s="170">
        <f>IF(Sheet1!BJ110="",0,Sheet1!BJ110)</f>
        <v>0</v>
      </c>
      <c r="R55" s="170">
        <f>IF(Sheet1!BJ111="",0,Sheet1!BJ111)</f>
        <v>0</v>
      </c>
      <c r="S55" s="170">
        <f>IF(Sheet1!BK110="",0,ROUND(Sheet1!BK110,0))</f>
        <v>0</v>
      </c>
      <c r="T55" s="170">
        <f>IF(Sheet1!BY110="",0,Sheet1!BY110)</f>
        <v>0</v>
      </c>
      <c r="U55" s="170">
        <f>IF(Sheet1!AY110="",0,Sheet1!AY110)</f>
        <v>0</v>
      </c>
      <c r="V55" s="170">
        <f>IF(OR(Sheet1!AZ110=0,TRIM(Sheet1!AZ110)=""),0,1)</f>
        <v>0</v>
      </c>
      <c r="W55" s="170">
        <f>IF(OR(Sheet1!BA110=0,TRIM(Sheet1!BA110)=""),0,1)</f>
        <v>0</v>
      </c>
      <c r="X55" s="170">
        <f>IF(OR(Sheet1!BB110=0,TRIM(Sheet1!BB110)=""),0,1)</f>
        <v>0</v>
      </c>
      <c r="Y55" s="170">
        <f>IF(OR(Sheet1!BC110=0,TRIM(Sheet1!BC110)=""),0,1)</f>
        <v>0</v>
      </c>
      <c r="Z55">
        <f t="shared" si="4"/>
        <v>0</v>
      </c>
      <c r="AA55" t="str">
        <f t="shared" si="5"/>
        <v>NO</v>
      </c>
      <c r="AB55" s="170">
        <f>Sheet1!BN129</f>
        <v>0</v>
      </c>
      <c r="AC55" t="str">
        <f>IF(OR(Sheet1!F58="",Sheet1!F58=0),"",Sheet1!F58)</f>
        <v/>
      </c>
      <c r="AD55" t="str">
        <f>IF(OR(Sheet1!G58="",Sheet1!G58=0),"",Sheet1!G58)</f>
        <v/>
      </c>
      <c r="AE55" t="str">
        <f t="shared" si="6"/>
        <v/>
      </c>
      <c r="AF55" s="170">
        <f>IF(Sheet1!BM110="",0,Sheet1!BM110)</f>
        <v>0</v>
      </c>
      <c r="AG55" t="e">
        <f t="shared" si="1"/>
        <v>#VALUE!</v>
      </c>
      <c r="AI55" s="170" t="str">
        <f>IF(Sheet1!BD110="","",UPPER(TRIM(Sheet1!BD110)))</f>
        <v/>
      </c>
      <c r="AJ55" t="str">
        <f t="shared" si="7"/>
        <v/>
      </c>
      <c r="AK55" s="172" t="str">
        <f>IF(Sheet1!BG110="","",Sheet1!BG110)</f>
        <v/>
      </c>
      <c r="AL55" s="172">
        <f>Sheet1!BG111</f>
        <v>0</v>
      </c>
      <c r="AM55" s="172" t="str">
        <f>Sheet1!BF110</f>
        <v/>
      </c>
      <c r="AN55" s="172" t="str">
        <f>Sheet1!BF111</f>
        <v/>
      </c>
    </row>
    <row r="56" spans="1:40">
      <c r="A56" s="170" t="str">
        <f>IF(UPPER(TRIM(Sheet1!E59))="","",UPPER(TRIM(Sheet1!E59)))</f>
        <v/>
      </c>
      <c r="B56" t="str">
        <f>IF(OR(Sheet1!AX112="",Sheet1!AX112="--xx"),"",Sheet1!AX112)</f>
        <v/>
      </c>
      <c r="C56" s="170" t="str">
        <f>UPPER(TRIM(Sheet1!BT2))</f>
        <v/>
      </c>
      <c r="D56" s="170" t="str">
        <f>TRIM(Sheet1!Z3)</f>
        <v/>
      </c>
      <c r="E56" s="170">
        <f>Sheet1!BX2</f>
        <v>6</v>
      </c>
      <c r="F56" s="170">
        <f>IF(Sheet1!BD113="",0,Sheet1!BD113)</f>
        <v>0</v>
      </c>
      <c r="G56" s="170" t="str">
        <f>IF(Sheet1!BO112="","",LOWER(TRIM(Sheet1!BO112)))</f>
        <v/>
      </c>
      <c r="H56" t="e">
        <f t="shared" si="0"/>
        <v>#VALUE!</v>
      </c>
      <c r="I56" t="str">
        <f t="shared" si="2"/>
        <v/>
      </c>
      <c r="J56" t="str">
        <f t="shared" si="2"/>
        <v>00:00</v>
      </c>
      <c r="K56" s="170">
        <f>IF(Sheet1!BK113="",0,Sheet1!BK113)</f>
        <v>0</v>
      </c>
      <c r="M56" t="str">
        <f t="shared" si="3"/>
        <v/>
      </c>
      <c r="N56" t="str">
        <f t="shared" si="3"/>
        <v/>
      </c>
      <c r="O56" s="170">
        <f>IF(Sheet1!BI112="",0,Sheet1!BI112)</f>
        <v>0</v>
      </c>
      <c r="P56" s="170">
        <f>IF(Sheet1!BI113="",0,Sheet1!BI113)</f>
        <v>0</v>
      </c>
      <c r="Q56" s="170">
        <f>IF(Sheet1!BJ112="",0,Sheet1!BJ112)</f>
        <v>0</v>
      </c>
      <c r="R56" s="170">
        <f>IF(Sheet1!BJ113="",0,Sheet1!BJ113)</f>
        <v>0</v>
      </c>
      <c r="S56" s="170">
        <f>IF(Sheet1!BK112="",0,ROUND(Sheet1!BK112,0))</f>
        <v>0</v>
      </c>
      <c r="T56" s="170">
        <f>IF(Sheet1!BY112="",0,Sheet1!BY112)</f>
        <v>0</v>
      </c>
      <c r="U56" s="170">
        <f>IF(Sheet1!AY112="",0,Sheet1!AY112)</f>
        <v>0</v>
      </c>
      <c r="V56" s="170">
        <f>IF(OR(Sheet1!AZ112=0,TRIM(Sheet1!AZ112)=""),0,1)</f>
        <v>0</v>
      </c>
      <c r="W56" s="170">
        <f>IF(OR(Sheet1!BA112=0,TRIM(Sheet1!BA112)=""),0,1)</f>
        <v>0</v>
      </c>
      <c r="X56" s="170">
        <f>IF(OR(Sheet1!BB112=0,TRIM(Sheet1!BB112)=""),0,1)</f>
        <v>0</v>
      </c>
      <c r="Y56" s="170">
        <f>IF(OR(Sheet1!BC112=0,TRIM(Sheet1!BC112)=""),0,1)</f>
        <v>0</v>
      </c>
      <c r="Z56">
        <f t="shared" si="4"/>
        <v>0</v>
      </c>
      <c r="AA56" t="str">
        <f t="shared" si="5"/>
        <v>NO</v>
      </c>
      <c r="AB56" s="170">
        <f>Sheet1!BN129</f>
        <v>0</v>
      </c>
      <c r="AC56" t="str">
        <f>IF(OR(Sheet1!F59="",Sheet1!F59=0),"",Sheet1!F59)</f>
        <v/>
      </c>
      <c r="AD56" t="str">
        <f>IF(OR(Sheet1!G59="",Sheet1!G59=0),"",Sheet1!G59)</f>
        <v/>
      </c>
      <c r="AE56" t="str">
        <f t="shared" si="6"/>
        <v/>
      </c>
      <c r="AF56" s="170">
        <f>IF(Sheet1!BM112="",0,Sheet1!BM112)</f>
        <v>0</v>
      </c>
      <c r="AG56" t="e">
        <f t="shared" si="1"/>
        <v>#VALUE!</v>
      </c>
      <c r="AI56" s="170" t="str">
        <f>IF(Sheet1!BD112="","",UPPER(TRIM(Sheet1!BD112)))</f>
        <v/>
      </c>
      <c r="AJ56" t="str">
        <f t="shared" si="7"/>
        <v/>
      </c>
      <c r="AK56" s="172" t="str">
        <f>IF(Sheet1!BG112="","",Sheet1!BG112)</f>
        <v/>
      </c>
      <c r="AL56" s="172">
        <f>Sheet1!BG113</f>
        <v>0</v>
      </c>
      <c r="AM56" s="172" t="str">
        <f>Sheet1!BF112</f>
        <v/>
      </c>
      <c r="AN56" s="172" t="str">
        <f>Sheet1!BF113</f>
        <v/>
      </c>
    </row>
    <row r="57" spans="1:40">
      <c r="A57" s="170" t="str">
        <f>IF(UPPER(TRIM(Sheet1!E60))="","",UPPER(TRIM(Sheet1!E60)))</f>
        <v/>
      </c>
      <c r="B57" t="str">
        <f>IF(OR(Sheet1!AX114="",Sheet1!AX114="--xx"),"",Sheet1!AX114)</f>
        <v/>
      </c>
      <c r="C57" s="170" t="str">
        <f>UPPER(TRIM(Sheet1!BT2))</f>
        <v/>
      </c>
      <c r="D57" s="170" t="str">
        <f>TRIM(Sheet1!Z3)</f>
        <v/>
      </c>
      <c r="E57" s="170">
        <f>Sheet1!BX2</f>
        <v>6</v>
      </c>
      <c r="F57" s="170">
        <f>IF(Sheet1!BD115="",0,Sheet1!BD115)</f>
        <v>0</v>
      </c>
      <c r="G57" s="170" t="str">
        <f>IF(Sheet1!BO114="","",LOWER(TRIM(Sheet1!BO114)))</f>
        <v/>
      </c>
      <c r="H57" t="e">
        <f t="shared" si="0"/>
        <v>#VALUE!</v>
      </c>
      <c r="I57" t="str">
        <f t="shared" si="2"/>
        <v/>
      </c>
      <c r="J57" t="str">
        <f t="shared" si="2"/>
        <v>00:00</v>
      </c>
      <c r="K57" s="170">
        <f>IF(Sheet1!BK115="",0,Sheet1!BK115)</f>
        <v>0</v>
      </c>
      <c r="M57" t="str">
        <f t="shared" si="3"/>
        <v/>
      </c>
      <c r="N57" t="str">
        <f t="shared" si="3"/>
        <v/>
      </c>
      <c r="O57" s="170">
        <f>IF(Sheet1!BI114="",0,Sheet1!BI114)</f>
        <v>0</v>
      </c>
      <c r="P57" s="170">
        <f>IF(Sheet1!BI115="",0,Sheet1!BI115)</f>
        <v>0</v>
      </c>
      <c r="Q57" s="170">
        <f>IF(Sheet1!BJ114="",0,Sheet1!BJ114)</f>
        <v>0</v>
      </c>
      <c r="R57" s="170">
        <f>IF(Sheet1!BJ115="",0,Sheet1!BJ115)</f>
        <v>0</v>
      </c>
      <c r="S57" s="170">
        <f>IF(Sheet1!BK114="",0,ROUND(Sheet1!BK114,0))</f>
        <v>0</v>
      </c>
      <c r="T57" s="170">
        <f>IF(Sheet1!BY114="",0,Sheet1!BY114)</f>
        <v>0</v>
      </c>
      <c r="U57" s="170">
        <f>IF(Sheet1!AY114="",0,Sheet1!AY114)</f>
        <v>0</v>
      </c>
      <c r="V57" s="170">
        <f>IF(OR(Sheet1!AZ114=0,TRIM(Sheet1!AZ114)=""),0,1)</f>
        <v>0</v>
      </c>
      <c r="W57" s="170">
        <f>IF(OR(Sheet1!BA114=0,TRIM(Sheet1!BA114)=""),0,1)</f>
        <v>0</v>
      </c>
      <c r="X57" s="170">
        <f>IF(OR(Sheet1!BB114=0,TRIM(Sheet1!BB114)=""),0,1)</f>
        <v>0</v>
      </c>
      <c r="Y57" s="170">
        <f>IF(OR(Sheet1!BC114=0,TRIM(Sheet1!BC114)=""),0,1)</f>
        <v>0</v>
      </c>
      <c r="Z57">
        <f t="shared" si="4"/>
        <v>0</v>
      </c>
      <c r="AA57" t="str">
        <f t="shared" si="5"/>
        <v>NO</v>
      </c>
      <c r="AB57" s="170">
        <f>Sheet1!BN129</f>
        <v>0</v>
      </c>
      <c r="AC57" t="str">
        <f>IF(OR(Sheet1!F60="",Sheet1!F60=0),"",Sheet1!F60)</f>
        <v/>
      </c>
      <c r="AD57" t="str">
        <f>IF(OR(Sheet1!G60="",Sheet1!G60=0),"",Sheet1!G60)</f>
        <v/>
      </c>
      <c r="AE57" t="str">
        <f t="shared" si="6"/>
        <v/>
      </c>
      <c r="AF57" s="170">
        <f>IF(Sheet1!BM114="",0,Sheet1!BM114)</f>
        <v>0</v>
      </c>
      <c r="AG57" t="e">
        <f t="shared" si="1"/>
        <v>#VALUE!</v>
      </c>
      <c r="AI57" s="170" t="str">
        <f>IF(Sheet1!BD114="","",UPPER(TRIM(Sheet1!BD114)))</f>
        <v/>
      </c>
      <c r="AJ57" t="str">
        <f t="shared" si="7"/>
        <v/>
      </c>
      <c r="AK57" s="172" t="str">
        <f>IF(Sheet1!BG114="","",Sheet1!BG114)</f>
        <v/>
      </c>
      <c r="AL57" s="172">
        <f>Sheet1!BG115</f>
        <v>0</v>
      </c>
      <c r="AM57" s="172" t="str">
        <f>Sheet1!BF114</f>
        <v/>
      </c>
      <c r="AN57" s="172" t="str">
        <f>Sheet1!BF115</f>
        <v/>
      </c>
    </row>
    <row r="58" spans="1:40">
      <c r="A58" s="170" t="str">
        <f>IF(UPPER(TRIM(Sheet1!E61))="","",UPPER(TRIM(Sheet1!E61)))</f>
        <v/>
      </c>
      <c r="B58" t="str">
        <f>IF(OR(Sheet1!AX116="",Sheet1!AX116="--xx"),"",Sheet1!AX116)</f>
        <v/>
      </c>
      <c r="C58" s="170" t="str">
        <f>UPPER(TRIM(Sheet1!BT2))</f>
        <v/>
      </c>
      <c r="D58" s="170" t="str">
        <f>TRIM(Sheet1!Z3)</f>
        <v/>
      </c>
      <c r="E58" s="170">
        <f>Sheet1!BX2</f>
        <v>6</v>
      </c>
      <c r="F58" s="170">
        <f>IF(Sheet1!BD117="",0,Sheet1!BD117)</f>
        <v>0</v>
      </c>
      <c r="G58" s="170" t="str">
        <f>IF(Sheet1!BO116="","",LOWER(TRIM(Sheet1!BO116)))</f>
        <v/>
      </c>
      <c r="H58" t="e">
        <f t="shared" si="0"/>
        <v>#VALUE!</v>
      </c>
      <c r="I58" t="str">
        <f t="shared" si="2"/>
        <v/>
      </c>
      <c r="J58" t="str">
        <f t="shared" si="2"/>
        <v>00:00</v>
      </c>
      <c r="K58" s="170">
        <f>IF(Sheet1!BK117="",0,Sheet1!BK117)</f>
        <v>0</v>
      </c>
      <c r="M58" t="str">
        <f t="shared" si="3"/>
        <v/>
      </c>
      <c r="N58" t="str">
        <f t="shared" si="3"/>
        <v/>
      </c>
      <c r="O58" s="170">
        <f>IF(Sheet1!BI116="",0,Sheet1!BI116)</f>
        <v>0</v>
      </c>
      <c r="P58" s="170">
        <f>IF(Sheet1!BI117="",0,Sheet1!BI117)</f>
        <v>0</v>
      </c>
      <c r="Q58" s="170">
        <f>IF(Sheet1!BJ116="",0,Sheet1!BJ116)</f>
        <v>0</v>
      </c>
      <c r="R58" s="170">
        <f>IF(Sheet1!BJ117="",0,Sheet1!BJ117)</f>
        <v>0</v>
      </c>
      <c r="S58" s="170">
        <f>IF(Sheet1!BK116="",0,ROUND(Sheet1!BK116,0))</f>
        <v>0</v>
      </c>
      <c r="T58" s="170">
        <f>IF(Sheet1!BY116="",0,Sheet1!BY116)</f>
        <v>0</v>
      </c>
      <c r="U58" s="170">
        <f>IF(Sheet1!AY116="",0,Sheet1!AY116)</f>
        <v>0</v>
      </c>
      <c r="V58" s="170">
        <f>IF(OR(Sheet1!AZ116=0,TRIM(Sheet1!AZ116)=""),0,1)</f>
        <v>0</v>
      </c>
      <c r="W58" s="170">
        <f>IF(OR(Sheet1!BA116=0,TRIM(Sheet1!BA116)=""),0,1)</f>
        <v>0</v>
      </c>
      <c r="X58" s="170">
        <f>IF(OR(Sheet1!BB116=0,TRIM(Sheet1!BB116)=""),0,1)</f>
        <v>0</v>
      </c>
      <c r="Y58" s="170">
        <f>IF(OR(Sheet1!BC116=0,TRIM(Sheet1!BC116)=""),0,1)</f>
        <v>0</v>
      </c>
      <c r="Z58">
        <f t="shared" si="4"/>
        <v>0</v>
      </c>
      <c r="AA58" t="str">
        <f t="shared" si="5"/>
        <v>NO</v>
      </c>
      <c r="AB58" s="170">
        <f>Sheet1!BN129</f>
        <v>0</v>
      </c>
      <c r="AC58" t="str">
        <f>IF(OR(Sheet1!F61="",Sheet1!F61=0),"",Sheet1!F61)</f>
        <v/>
      </c>
      <c r="AD58" t="str">
        <f>IF(OR(Sheet1!G61="",Sheet1!G61=0),"",Sheet1!G61)</f>
        <v/>
      </c>
      <c r="AE58" t="str">
        <f t="shared" si="6"/>
        <v/>
      </c>
      <c r="AF58" s="170">
        <f>IF(Sheet1!BM116="",0,Sheet1!BM116)</f>
        <v>0</v>
      </c>
      <c r="AG58" t="e">
        <f t="shared" si="1"/>
        <v>#VALUE!</v>
      </c>
      <c r="AI58" s="170" t="str">
        <f>IF(Sheet1!BD116="","",UPPER(TRIM(Sheet1!BD116)))</f>
        <v/>
      </c>
      <c r="AJ58" t="str">
        <f t="shared" si="7"/>
        <v/>
      </c>
      <c r="AK58" s="172" t="str">
        <f>IF(Sheet1!BG116="","",Sheet1!BG116)</f>
        <v/>
      </c>
      <c r="AL58" s="172">
        <f>Sheet1!BG117</f>
        <v>0</v>
      </c>
      <c r="AM58" s="172" t="str">
        <f>Sheet1!BF116</f>
        <v/>
      </c>
      <c r="AN58" s="172" t="str">
        <f>Sheet1!BF117</f>
        <v/>
      </c>
    </row>
    <row r="59" spans="1:40">
      <c r="A59" s="170" t="str">
        <f>IF(UPPER(TRIM(Sheet1!E62))="","",UPPER(TRIM(Sheet1!E62)))</f>
        <v/>
      </c>
      <c r="B59" t="str">
        <f>IF(OR(Sheet1!AX118="",Sheet1!AX118="--xx"),"",Sheet1!AX118)</f>
        <v/>
      </c>
      <c r="C59" s="170" t="str">
        <f>UPPER(TRIM(Sheet1!BT2))</f>
        <v/>
      </c>
      <c r="D59" s="170" t="str">
        <f>TRIM(Sheet1!Z3)</f>
        <v/>
      </c>
      <c r="E59" s="170">
        <f>Sheet1!BX2</f>
        <v>6</v>
      </c>
      <c r="F59" s="170">
        <f>IF(Sheet1!BD119="",0,Sheet1!BD119)</f>
        <v>0</v>
      </c>
      <c r="G59" s="170" t="str">
        <f>IF(Sheet1!BO118="","",LOWER(TRIM(Sheet1!BO118)))</f>
        <v/>
      </c>
      <c r="H59" t="e">
        <f t="shared" si="0"/>
        <v>#VALUE!</v>
      </c>
      <c r="I59" t="str">
        <f t="shared" si="2"/>
        <v/>
      </c>
      <c r="J59" t="str">
        <f t="shared" si="2"/>
        <v>00:00</v>
      </c>
      <c r="K59" s="170">
        <f>IF(Sheet1!BK119="",0,Sheet1!BK119)</f>
        <v>0</v>
      </c>
      <c r="M59" t="str">
        <f t="shared" si="3"/>
        <v/>
      </c>
      <c r="N59" t="str">
        <f t="shared" si="3"/>
        <v/>
      </c>
      <c r="O59" s="170">
        <f>IF(Sheet1!BI118="",0,Sheet1!BI118)</f>
        <v>0</v>
      </c>
      <c r="P59" s="170">
        <f>IF(Sheet1!BI119="",0,Sheet1!BI119)</f>
        <v>0</v>
      </c>
      <c r="Q59" s="170">
        <f>IF(Sheet1!BJ118="",0,Sheet1!BJ118)</f>
        <v>0</v>
      </c>
      <c r="R59" s="170">
        <f>IF(Sheet1!BJ119="",0,Sheet1!BJ119)</f>
        <v>0</v>
      </c>
      <c r="S59" s="170">
        <f>IF(Sheet1!BK118="",0,ROUND(Sheet1!BK118,0))</f>
        <v>0</v>
      </c>
      <c r="T59" s="170">
        <f>IF(Sheet1!BY118="",0,Sheet1!BY118)</f>
        <v>0</v>
      </c>
      <c r="U59" s="170">
        <f>IF(Sheet1!AY118="",0,Sheet1!AY118)</f>
        <v>0</v>
      </c>
      <c r="V59" s="170">
        <f>IF(OR(Sheet1!AZ118=0,TRIM(Sheet1!AZ118)=""),0,1)</f>
        <v>0</v>
      </c>
      <c r="W59" s="170">
        <f>IF(OR(Sheet1!BA118=0,TRIM(Sheet1!BA118)=""),0,1)</f>
        <v>0</v>
      </c>
      <c r="X59" s="170">
        <f>IF(OR(Sheet1!BB118=0,TRIM(Sheet1!BB118)=""),0,1)</f>
        <v>0</v>
      </c>
      <c r="Y59" s="170">
        <f>IF(OR(Sheet1!BC118=0,TRIM(Sheet1!BC118)=""),0,1)</f>
        <v>0</v>
      </c>
      <c r="Z59">
        <f t="shared" si="4"/>
        <v>0</v>
      </c>
      <c r="AA59" t="str">
        <f t="shared" si="5"/>
        <v>NO</v>
      </c>
      <c r="AB59" s="170">
        <f>Sheet1!BN129</f>
        <v>0</v>
      </c>
      <c r="AC59" t="str">
        <f>IF(OR(Sheet1!F62="",Sheet1!F62=0),"",Sheet1!F62)</f>
        <v/>
      </c>
      <c r="AD59" t="str">
        <f>IF(OR(Sheet1!G62="",Sheet1!G62=0),"",Sheet1!G62)</f>
        <v/>
      </c>
      <c r="AE59" t="str">
        <f t="shared" si="6"/>
        <v/>
      </c>
      <c r="AF59" s="170">
        <f>IF(Sheet1!BM118="",0,Sheet1!BM118)</f>
        <v>0</v>
      </c>
      <c r="AG59" t="e">
        <f t="shared" si="1"/>
        <v>#VALUE!</v>
      </c>
      <c r="AI59" s="170" t="str">
        <f>IF(Sheet1!BD118="","",UPPER(TRIM(Sheet1!BD118)))</f>
        <v/>
      </c>
      <c r="AJ59" t="str">
        <f t="shared" si="7"/>
        <v/>
      </c>
      <c r="AK59" s="172" t="str">
        <f>IF(Sheet1!BG118="","",Sheet1!BG118)</f>
        <v/>
      </c>
      <c r="AL59" s="172">
        <f>Sheet1!BG119</f>
        <v>0</v>
      </c>
      <c r="AM59" s="172" t="str">
        <f>Sheet1!BF118</f>
        <v/>
      </c>
      <c r="AN59" s="172" t="str">
        <f>Sheet1!BF119</f>
        <v/>
      </c>
    </row>
    <row r="60" spans="1:40">
      <c r="A60" s="170" t="str">
        <f>IF(UPPER(TRIM(Sheet1!E63))="","",UPPER(TRIM(Sheet1!E63)))</f>
        <v/>
      </c>
      <c r="B60" t="str">
        <f>IF(OR(Sheet1!AX120="",Sheet1!AX120="--xx"),"",Sheet1!AX120)</f>
        <v/>
      </c>
      <c r="C60" s="170" t="str">
        <f>UPPER(TRIM(Sheet1!BT2))</f>
        <v/>
      </c>
      <c r="D60" s="170" t="str">
        <f>TRIM(Sheet1!Z3)</f>
        <v/>
      </c>
      <c r="E60" s="170">
        <f>Sheet1!BX2</f>
        <v>6</v>
      </c>
      <c r="F60" s="170">
        <f>IF(Sheet1!BD121="",0,Sheet1!BD121)</f>
        <v>0</v>
      </c>
      <c r="G60" s="170" t="str">
        <f>IF(Sheet1!BO120="","",LOWER(TRIM(Sheet1!BO120)))</f>
        <v/>
      </c>
      <c r="H60" t="e">
        <f t="shared" si="0"/>
        <v>#VALUE!</v>
      </c>
      <c r="I60" t="str">
        <f t="shared" si="2"/>
        <v/>
      </c>
      <c r="J60" t="str">
        <f t="shared" si="2"/>
        <v>00:00</v>
      </c>
      <c r="K60" s="170">
        <f>IF(Sheet1!BK121="",0,Sheet1!BK121)</f>
        <v>0</v>
      </c>
      <c r="M60" t="str">
        <f t="shared" si="3"/>
        <v/>
      </c>
      <c r="N60" t="str">
        <f t="shared" si="3"/>
        <v/>
      </c>
      <c r="O60" s="170">
        <f>IF(Sheet1!BI120="",0,Sheet1!BI120)</f>
        <v>0</v>
      </c>
      <c r="P60" s="170">
        <f>IF(Sheet1!BI121="",0,Sheet1!BI121)</f>
        <v>0</v>
      </c>
      <c r="Q60" s="170">
        <f>IF(Sheet1!BJ120="",0,Sheet1!BJ120)</f>
        <v>0</v>
      </c>
      <c r="R60" s="170">
        <f>IF(Sheet1!BJ121="",0,Sheet1!BJ121)</f>
        <v>0</v>
      </c>
      <c r="S60" s="170">
        <f>IF(Sheet1!BK120="",0,ROUND(Sheet1!BK120,0))</f>
        <v>0</v>
      </c>
      <c r="T60" s="170">
        <f>IF(Sheet1!BY120="",0,Sheet1!BY120)</f>
        <v>0</v>
      </c>
      <c r="U60" s="170">
        <f>IF(Sheet1!AY120="",0,Sheet1!AY120)</f>
        <v>0</v>
      </c>
      <c r="V60" s="170">
        <f>IF(OR(Sheet1!AZ120=0,TRIM(Sheet1!AZ120)=""),0,1)</f>
        <v>0</v>
      </c>
      <c r="W60" s="170">
        <f>IF(OR(Sheet1!BA120=0,TRIM(Sheet1!BA120)=""),0,1)</f>
        <v>0</v>
      </c>
      <c r="X60" s="170">
        <f>IF(OR(Sheet1!BB120=0,TRIM(Sheet1!BB120)=""),0,1)</f>
        <v>0</v>
      </c>
      <c r="Y60" s="170">
        <f>IF(OR(Sheet1!BC120=0,TRIM(Sheet1!BC120)=""),0,1)</f>
        <v>0</v>
      </c>
      <c r="Z60">
        <f t="shared" si="4"/>
        <v>0</v>
      </c>
      <c r="AA60" t="str">
        <f t="shared" si="5"/>
        <v>NO</v>
      </c>
      <c r="AB60" s="170">
        <f>Sheet1!BN129</f>
        <v>0</v>
      </c>
      <c r="AC60" t="str">
        <f>IF(OR(Sheet1!F63="",Sheet1!F63=0),"",Sheet1!F63)</f>
        <v/>
      </c>
      <c r="AD60" t="str">
        <f>IF(OR(Sheet1!G63="",Sheet1!G63=0),"",Sheet1!G63)</f>
        <v/>
      </c>
      <c r="AE60" t="str">
        <f t="shared" si="6"/>
        <v/>
      </c>
      <c r="AF60" s="170">
        <f>IF(Sheet1!BM120="",0,Sheet1!BM120)</f>
        <v>0</v>
      </c>
      <c r="AG60" t="e">
        <f t="shared" si="1"/>
        <v>#VALUE!</v>
      </c>
      <c r="AI60" s="170" t="str">
        <f>IF(Sheet1!BD120="","",UPPER(TRIM(Sheet1!BD120)))</f>
        <v/>
      </c>
      <c r="AJ60" t="str">
        <f t="shared" si="7"/>
        <v/>
      </c>
      <c r="AK60" s="172" t="str">
        <f>IF(Sheet1!BG120="","",Sheet1!BG120)</f>
        <v/>
      </c>
      <c r="AL60" s="172">
        <f>Sheet1!BG121</f>
        <v>0</v>
      </c>
      <c r="AM60" s="172" t="str">
        <f>Sheet1!BF120</f>
        <v/>
      </c>
      <c r="AN60" s="172" t="str">
        <f>Sheet1!BF121</f>
        <v/>
      </c>
    </row>
    <row r="61" spans="1:40">
      <c r="A61" s="170" t="str">
        <f>IF(UPPER(TRIM(Sheet1!E64))="","",UPPER(TRIM(Sheet1!E64)))</f>
        <v/>
      </c>
      <c r="B61" t="str">
        <f>IF(OR(Sheet1!AX122="",Sheet1!AX122="--xx"),"",Sheet1!AX122)</f>
        <v/>
      </c>
      <c r="C61" s="170" t="str">
        <f>UPPER(TRIM(Sheet1!BT2))</f>
        <v/>
      </c>
      <c r="D61" s="170" t="str">
        <f>TRIM(Sheet1!Z3)</f>
        <v/>
      </c>
      <c r="E61" s="170">
        <f>Sheet1!BX2</f>
        <v>6</v>
      </c>
      <c r="F61" s="170">
        <f>IF(Sheet1!BD123="",0,Sheet1!BD123)</f>
        <v>0</v>
      </c>
      <c r="G61" s="170" t="str">
        <f>IF(Sheet1!BO122="","",LOWER(TRIM(Sheet1!BO122)))</f>
        <v/>
      </c>
      <c r="H61" t="e">
        <f t="shared" si="0"/>
        <v>#VALUE!</v>
      </c>
      <c r="I61" t="str">
        <f t="shared" si="2"/>
        <v/>
      </c>
      <c r="J61" t="str">
        <f t="shared" si="2"/>
        <v>00:00</v>
      </c>
      <c r="K61" s="170">
        <f>IF(Sheet1!BK123="",0,Sheet1!BK123)</f>
        <v>0</v>
      </c>
      <c r="M61" t="str">
        <f t="shared" si="3"/>
        <v/>
      </c>
      <c r="N61" t="str">
        <f t="shared" si="3"/>
        <v/>
      </c>
      <c r="O61" s="170">
        <f>IF(Sheet1!BI122="",0,Sheet1!BI122)</f>
        <v>0</v>
      </c>
      <c r="P61" s="170">
        <f>IF(Sheet1!BI123="",0,Sheet1!BI123)</f>
        <v>0</v>
      </c>
      <c r="Q61" s="170">
        <f>IF(Sheet1!BJ122="",0,Sheet1!BJ122)</f>
        <v>0</v>
      </c>
      <c r="R61" s="170">
        <f>IF(Sheet1!BJ123="",0,Sheet1!BJ123)</f>
        <v>0</v>
      </c>
      <c r="S61" s="170">
        <f>IF(Sheet1!BK122="",0,ROUND(Sheet1!BK122,0))</f>
        <v>0</v>
      </c>
      <c r="T61" s="170">
        <f>IF(Sheet1!BY122="",0,Sheet1!BY122)</f>
        <v>0</v>
      </c>
      <c r="U61" s="170">
        <f>IF(Sheet1!AY122="",0,Sheet1!AY122)</f>
        <v>0</v>
      </c>
      <c r="V61" s="170">
        <f>IF(OR(Sheet1!AZ122=0,TRIM(Sheet1!AZ122)=""),0,1)</f>
        <v>0</v>
      </c>
      <c r="W61" s="170">
        <f>IF(OR(Sheet1!BA122=0,TRIM(Sheet1!BA122)=""),0,1)</f>
        <v>0</v>
      </c>
      <c r="X61" s="170">
        <f>IF(OR(Sheet1!BB122=0,TRIM(Sheet1!BB122)=""),0,1)</f>
        <v>0</v>
      </c>
      <c r="Y61" s="170">
        <f>IF(OR(Sheet1!BC122=0,TRIM(Sheet1!BC122)=""),0,1)</f>
        <v>0</v>
      </c>
      <c r="Z61">
        <f t="shared" si="4"/>
        <v>0</v>
      </c>
      <c r="AA61" t="str">
        <f t="shared" si="5"/>
        <v>NO</v>
      </c>
      <c r="AB61" s="170">
        <f>Sheet1!BN129</f>
        <v>0</v>
      </c>
      <c r="AC61" t="str">
        <f>IF(OR(Sheet1!F64="",Sheet1!F64=0),"",Sheet1!F64)</f>
        <v/>
      </c>
      <c r="AD61" t="str">
        <f>IF(OR(Sheet1!G64="",Sheet1!G64=0),"",Sheet1!G64)</f>
        <v/>
      </c>
      <c r="AE61" t="str">
        <f t="shared" si="6"/>
        <v/>
      </c>
      <c r="AF61" s="170">
        <f>IF(Sheet1!BM122="",0,Sheet1!BM122)</f>
        <v>0</v>
      </c>
      <c r="AG61" t="e">
        <f t="shared" si="1"/>
        <v>#VALUE!</v>
      </c>
      <c r="AI61" s="170" t="str">
        <f>IF(Sheet1!BD122="","",UPPER(TRIM(Sheet1!BD122)))</f>
        <v/>
      </c>
      <c r="AJ61" t="str">
        <f t="shared" si="7"/>
        <v/>
      </c>
      <c r="AK61" s="172" t="str">
        <f>IF(Sheet1!BG122="","",Sheet1!BG122)</f>
        <v/>
      </c>
      <c r="AL61" s="172">
        <f>Sheet1!BG123</f>
        <v>0</v>
      </c>
      <c r="AM61" s="172" t="str">
        <f>Sheet1!BF122</f>
        <v/>
      </c>
      <c r="AN61" s="172" t="str">
        <f>Sheet1!BF123</f>
        <v/>
      </c>
    </row>
    <row r="62" spans="1:40">
      <c r="A62" s="170" t="str">
        <f>IF(UPPER(TRIM(Sheet1!E65))="","",UPPER(TRIM(Sheet1!E65)))</f>
        <v/>
      </c>
      <c r="B62" t="str">
        <f>IF(OR(Sheet1!AX124="",Sheet1!AX124="--xx"),"",Sheet1!AX124)</f>
        <v/>
      </c>
      <c r="C62" s="170" t="str">
        <f>UPPER(TRIM(Sheet1!BT2))</f>
        <v/>
      </c>
      <c r="D62" s="170" t="str">
        <f>TRIM(Sheet1!Z3)</f>
        <v/>
      </c>
      <c r="E62" s="170">
        <f>Sheet1!BX2</f>
        <v>6</v>
      </c>
      <c r="F62" s="170">
        <f>IF(Sheet1!BD125="",0,Sheet1!BD125)</f>
        <v>0</v>
      </c>
      <c r="G62" s="170" t="str">
        <f>IF(Sheet1!BO124="","",LOWER(TRIM(Sheet1!BO124)))</f>
        <v/>
      </c>
      <c r="H62" t="e">
        <f t="shared" si="0"/>
        <v>#VALUE!</v>
      </c>
      <c r="I62" t="str">
        <f t="shared" si="2"/>
        <v/>
      </c>
      <c r="J62" t="str">
        <f t="shared" si="2"/>
        <v>00:00</v>
      </c>
      <c r="K62" s="170">
        <f>IF(Sheet1!BK125="",0,Sheet1!BK125)</f>
        <v>0</v>
      </c>
      <c r="M62" t="str">
        <f t="shared" si="3"/>
        <v/>
      </c>
      <c r="N62" t="str">
        <f t="shared" si="3"/>
        <v/>
      </c>
      <c r="O62" s="170">
        <f>IF(Sheet1!BI124="",0,Sheet1!BI124)</f>
        <v>0</v>
      </c>
      <c r="P62" s="170">
        <f>IF(Sheet1!BI125="",0,Sheet1!BI125)</f>
        <v>0</v>
      </c>
      <c r="Q62" s="170">
        <f>IF(Sheet1!BJ124="",0,Sheet1!BJ124)</f>
        <v>0</v>
      </c>
      <c r="R62" s="170">
        <f>IF(Sheet1!BJ125="",0,Sheet1!BJ125)</f>
        <v>0</v>
      </c>
      <c r="S62" s="170">
        <f>IF(Sheet1!BK124="",0,ROUND(Sheet1!BK124,0))</f>
        <v>0</v>
      </c>
      <c r="T62" s="170">
        <f>IF(Sheet1!BY124="",0,Sheet1!BY124)</f>
        <v>0</v>
      </c>
      <c r="U62" s="170">
        <f>IF(Sheet1!AY124="",0,Sheet1!AY124)</f>
        <v>0</v>
      </c>
      <c r="V62" s="170">
        <f>IF(OR(Sheet1!AZ124=0,TRIM(Sheet1!AZ124)=""),0,1)</f>
        <v>0</v>
      </c>
      <c r="W62" s="170">
        <f>IF(OR(Sheet1!BA124=0,TRIM(Sheet1!BA124)=""),0,1)</f>
        <v>0</v>
      </c>
      <c r="X62" s="170">
        <f>IF(OR(Sheet1!BB124=0,TRIM(Sheet1!BB124)=""),0,1)</f>
        <v>0</v>
      </c>
      <c r="Y62" s="170">
        <f>IF(OR(Sheet1!BC124=0,TRIM(Sheet1!BC124)=""),0,1)</f>
        <v>0</v>
      </c>
      <c r="Z62">
        <f t="shared" si="4"/>
        <v>0</v>
      </c>
      <c r="AA62" t="str">
        <f t="shared" si="5"/>
        <v>NO</v>
      </c>
      <c r="AB62" s="170">
        <f>Sheet1!BN129</f>
        <v>0</v>
      </c>
      <c r="AC62" t="str">
        <f>IF(OR(Sheet1!F65="",Sheet1!F65=0),"",Sheet1!F65)</f>
        <v/>
      </c>
      <c r="AD62" t="str">
        <f>IF(OR(Sheet1!G65="",Sheet1!G65=0),"",Sheet1!G65)</f>
        <v/>
      </c>
      <c r="AE62" t="str">
        <f t="shared" si="6"/>
        <v/>
      </c>
      <c r="AF62" s="170">
        <f>IF(Sheet1!BM124="",0,Sheet1!BM124)</f>
        <v>0</v>
      </c>
      <c r="AG62" t="e">
        <f t="shared" si="1"/>
        <v>#VALUE!</v>
      </c>
      <c r="AI62" s="170" t="str">
        <f>IF(Sheet1!BD124="","",UPPER(TRIM(Sheet1!BD124)))</f>
        <v/>
      </c>
      <c r="AJ62" t="str">
        <f t="shared" si="7"/>
        <v/>
      </c>
      <c r="AK62" s="172" t="str">
        <f>IF(Sheet1!BG124="","",Sheet1!BG124)</f>
        <v/>
      </c>
      <c r="AL62" s="172">
        <f>Sheet1!BG125</f>
        <v>0</v>
      </c>
      <c r="AM62" s="172" t="str">
        <f>Sheet1!BF124</f>
        <v/>
      </c>
      <c r="AN62" s="172" t="str">
        <f>Sheet1!BF125</f>
        <v/>
      </c>
    </row>
    <row r="63" spans="1:40">
      <c r="A63" s="170" t="str">
        <f>IF(UPPER(TRIM(Sheet1!E66))="","",UPPER(TRIM(Sheet1!E66)))</f>
        <v/>
      </c>
      <c r="B63" t="str">
        <f>IF(OR(Sheet1!AX126="",Sheet1!AX126="--xx"),"",Sheet1!AX126)</f>
        <v/>
      </c>
      <c r="C63" s="170" t="str">
        <f>UPPER(TRIM(Sheet1!BT2))</f>
        <v/>
      </c>
      <c r="D63" s="170" t="str">
        <f>TRIM(Sheet1!Z3)</f>
        <v/>
      </c>
      <c r="E63" s="170">
        <f>Sheet1!BX2</f>
        <v>6</v>
      </c>
      <c r="F63" s="170">
        <f>IF(Sheet1!BD127="",0,Sheet1!BD127)</f>
        <v>0</v>
      </c>
      <c r="G63" s="170" t="str">
        <f>IF(Sheet1!BO126="","",LOWER(TRIM(Sheet1!BO126)))</f>
        <v/>
      </c>
      <c r="H63" t="e">
        <f t="shared" si="0"/>
        <v>#VALUE!</v>
      </c>
      <c r="I63" t="str">
        <f t="shared" si="2"/>
        <v/>
      </c>
      <c r="J63" t="str">
        <f t="shared" si="2"/>
        <v>00:00</v>
      </c>
      <c r="K63" s="170">
        <f>IF(Sheet1!BK127="",0,Sheet1!BK127)</f>
        <v>0</v>
      </c>
      <c r="M63" t="str">
        <f t="shared" si="3"/>
        <v/>
      </c>
      <c r="N63" t="str">
        <f t="shared" si="3"/>
        <v/>
      </c>
      <c r="O63" s="170">
        <f>IF(Sheet1!BI126="",0,Sheet1!BI126)</f>
        <v>0</v>
      </c>
      <c r="P63" s="170">
        <f>IF(Sheet1!BI127="",0,Sheet1!BI127)</f>
        <v>0</v>
      </c>
      <c r="Q63" s="170">
        <f>IF(Sheet1!BJ126="",0,Sheet1!BJ126)</f>
        <v>0</v>
      </c>
      <c r="R63" s="170">
        <f>IF(Sheet1!BJ127="",0,Sheet1!BJ127)</f>
        <v>0</v>
      </c>
      <c r="S63" s="170">
        <f>IF(Sheet1!BK126="",0,ROUND(Sheet1!BK126,0))</f>
        <v>0</v>
      </c>
      <c r="T63" s="170">
        <f>IF(Sheet1!BY126="",0,Sheet1!BY126)</f>
        <v>0</v>
      </c>
      <c r="U63" s="170">
        <f>IF(Sheet1!AY126="",0,Sheet1!AY126)</f>
        <v>0</v>
      </c>
      <c r="V63" s="170">
        <f>IF(OR(Sheet1!AZ126=0,TRIM(Sheet1!AZ126)=""),0,1)</f>
        <v>0</v>
      </c>
      <c r="W63" s="170">
        <f>IF(OR(Sheet1!BA126=0,TRIM(Sheet1!BA126)=""),0,1)</f>
        <v>0</v>
      </c>
      <c r="X63" s="170">
        <f>IF(OR(Sheet1!BB126=0,TRIM(Sheet1!BB126)=""),0,1)</f>
        <v>0</v>
      </c>
      <c r="Y63" s="170">
        <f>IF(OR(Sheet1!BC126=0,TRIM(Sheet1!BC126)=""),0,1)</f>
        <v>0</v>
      </c>
      <c r="Z63">
        <f t="shared" si="4"/>
        <v>0</v>
      </c>
      <c r="AA63" t="str">
        <f t="shared" si="5"/>
        <v>NO</v>
      </c>
      <c r="AB63" s="170">
        <f>Sheet1!BN129</f>
        <v>0</v>
      </c>
      <c r="AC63" t="str">
        <f>IF(OR(Sheet1!F66="",Sheet1!F66=0),"",Sheet1!F66)</f>
        <v/>
      </c>
      <c r="AD63" t="str">
        <f>IF(OR(Sheet1!G66="",Sheet1!G66=0),"",Sheet1!G66)</f>
        <v/>
      </c>
      <c r="AE63" t="str">
        <f t="shared" si="6"/>
        <v/>
      </c>
      <c r="AF63" s="170">
        <f>IF(Sheet1!BM126="",0,Sheet1!BM126)</f>
        <v>0</v>
      </c>
      <c r="AG63" t="e">
        <f t="shared" si="1"/>
        <v>#VALUE!</v>
      </c>
      <c r="AI63" s="170" t="str">
        <f>IF(Sheet1!BD126="","",UPPER(TRIM(Sheet1!BD126)))</f>
        <v/>
      </c>
      <c r="AJ63" t="str">
        <f t="shared" si="7"/>
        <v/>
      </c>
      <c r="AK63" s="172" t="str">
        <f>IF(Sheet1!BG126="","",Sheet1!BG126)</f>
        <v/>
      </c>
      <c r="AL63" s="172">
        <f>Sheet1!BG127</f>
        <v>0</v>
      </c>
      <c r="AM63" s="172" t="str">
        <f>Sheet1!BF126</f>
        <v/>
      </c>
      <c r="AN63" s="172" t="str">
        <f>Sheet1!BF127</f>
        <v/>
      </c>
    </row>
    <row r="73" spans="6:6">
      <c r="F73" s="170"/>
    </row>
    <row r="74" spans="6:6">
      <c r="F74" s="170"/>
    </row>
    <row r="75" spans="6:6">
      <c r="F75" s="170"/>
    </row>
    <row r="76" spans="6:6">
      <c r="F76" s="170"/>
    </row>
    <row r="77" spans="6:6">
      <c r="F77" s="170"/>
    </row>
    <row r="78" spans="6:6">
      <c r="F78" s="170"/>
    </row>
    <row r="79" spans="6:6">
      <c r="F79" s="170"/>
    </row>
    <row r="80" spans="6:6">
      <c r="F80" s="170"/>
    </row>
    <row r="81" spans="6:6">
      <c r="F81" s="170"/>
    </row>
    <row r="82" spans="6:6">
      <c r="F82" s="170"/>
    </row>
    <row r="83" spans="6:6">
      <c r="F83" s="170"/>
    </row>
    <row r="84" spans="6:6">
      <c r="F84" s="170"/>
    </row>
    <row r="85" spans="6:6">
      <c r="F85" s="170"/>
    </row>
    <row r="86" spans="6:6">
      <c r="F86" s="170"/>
    </row>
    <row r="87" spans="6:6">
      <c r="F87" s="170"/>
    </row>
    <row r="88" spans="6:6">
      <c r="F88" s="170"/>
    </row>
    <row r="89" spans="6:6">
      <c r="F89" s="170"/>
    </row>
    <row r="90" spans="6:6">
      <c r="F90" s="170"/>
    </row>
    <row r="91" spans="6:6">
      <c r="F91" s="170"/>
    </row>
    <row r="92" spans="6:6">
      <c r="F92" s="170"/>
    </row>
    <row r="93" spans="6:6">
      <c r="F93" s="170"/>
    </row>
    <row r="94" spans="6:6">
      <c r="F94" s="170"/>
    </row>
    <row r="95" spans="6:6">
      <c r="F95" s="170"/>
    </row>
    <row r="96" spans="6:6">
      <c r="F96" s="170"/>
    </row>
    <row r="97" spans="6:6">
      <c r="F97" s="170"/>
    </row>
    <row r="98" spans="6:6">
      <c r="F98" s="170"/>
    </row>
    <row r="99" spans="6:6">
      <c r="F99" s="170"/>
    </row>
    <row r="100" spans="6:6">
      <c r="F100" s="170"/>
    </row>
    <row r="101" spans="6:6">
      <c r="F101" s="170"/>
    </row>
    <row r="102" spans="6:6">
      <c r="F102" s="170"/>
    </row>
    <row r="103" spans="6:6">
      <c r="F103" s="170"/>
    </row>
    <row r="104" spans="6:6">
      <c r="F104" s="170"/>
    </row>
    <row r="105" spans="6:6">
      <c r="F105" s="170"/>
    </row>
    <row r="106" spans="6:6">
      <c r="F106" s="170"/>
    </row>
  </sheetData>
  <sheetProtection algorithmName="SHA-512" hashValue="6fpi81rVHx2L6stfPEHVpjsEN/e1cVNv5Buf2JmXFGgwx0JgThEKp5/F/kXiKZShsIlzNOkTsse46UkAAR2AHg==" saltValue="hWqCsYzTsPz37EFg9/Kjxg==" spinCount="100000"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X44"/>
  <sheetViews>
    <sheetView view="pageBreakPreview" zoomScaleNormal="100" zoomScaleSheetLayoutView="100" workbookViewId="0">
      <selection activeCell="I5" sqref="I5"/>
    </sheetView>
  </sheetViews>
  <sheetFormatPr defaultRowHeight="15"/>
  <cols>
    <col min="1" max="1" width="1.85546875" style="255" customWidth="1"/>
    <col min="2" max="2" width="4.7109375" style="255" customWidth="1"/>
    <col min="3" max="3" width="8.7109375" style="255" customWidth="1"/>
    <col min="4" max="4" width="12.28515625" style="255" customWidth="1"/>
    <col min="5" max="5" width="6.42578125" style="255" customWidth="1"/>
    <col min="6" max="6" width="7.7109375" style="255" customWidth="1"/>
    <col min="7" max="7" width="6.5703125" style="255" customWidth="1"/>
    <col min="8" max="8" width="7" style="255" customWidth="1"/>
    <col min="9" max="9" width="7.42578125" style="255" customWidth="1"/>
    <col min="10" max="10" width="21" style="255" customWidth="1"/>
    <col min="11" max="11" width="7.7109375" style="255" customWidth="1"/>
    <col min="12" max="15" width="9.140625" style="255"/>
    <col min="16" max="16" width="10.85546875" style="255" customWidth="1"/>
    <col min="17" max="17" width="13.5703125" style="255" customWidth="1"/>
    <col min="18" max="18" width="9.140625" style="255"/>
    <col min="19" max="19" width="12.42578125" style="255" customWidth="1"/>
    <col min="20" max="22" width="11.28515625" style="255" customWidth="1"/>
    <col min="23" max="23" width="18.5703125" style="255" customWidth="1"/>
    <col min="24" max="24" width="11" style="255" customWidth="1"/>
    <col min="25" max="16384" width="9.140625" style="255"/>
  </cols>
  <sheetData>
    <row r="1" spans="2:24" ht="15.75" thickBot="1"/>
    <row r="2" spans="2:24" ht="27" customHeight="1" thickBot="1">
      <c r="B2" s="438" t="s">
        <v>217</v>
      </c>
      <c r="C2" s="439"/>
      <c r="D2" s="439"/>
      <c r="E2" s="439"/>
      <c r="F2" s="440"/>
      <c r="G2" s="441" t="s">
        <v>218</v>
      </c>
      <c r="H2" s="442"/>
      <c r="I2" s="442"/>
      <c r="J2" s="442"/>
      <c r="K2" s="442"/>
      <c r="L2" s="442"/>
      <c r="M2" s="442"/>
      <c r="N2" s="442"/>
      <c r="O2" s="442"/>
      <c r="P2" s="442"/>
      <c r="Q2" s="442"/>
      <c r="R2" s="442"/>
      <c r="S2" s="442"/>
      <c r="T2" s="442"/>
      <c r="U2" s="442"/>
      <c r="V2" s="442"/>
      <c r="W2" s="442"/>
      <c r="X2" s="443"/>
    </row>
    <row r="3" spans="2:24" ht="24.75" customHeight="1">
      <c r="B3" s="444" t="s">
        <v>219</v>
      </c>
      <c r="C3" s="446" t="s">
        <v>44</v>
      </c>
      <c r="D3" s="446" t="s">
        <v>220</v>
      </c>
      <c r="E3" s="448" t="s">
        <v>221</v>
      </c>
      <c r="F3" s="449"/>
      <c r="G3" s="450"/>
      <c r="H3" s="446" t="s">
        <v>222</v>
      </c>
      <c r="I3" s="446" t="s">
        <v>223</v>
      </c>
      <c r="J3" s="446" t="s">
        <v>224</v>
      </c>
      <c r="K3" s="446" t="s">
        <v>225</v>
      </c>
      <c r="L3" s="446" t="s">
        <v>226</v>
      </c>
      <c r="M3" s="451" t="s">
        <v>227</v>
      </c>
      <c r="N3" s="451"/>
      <c r="O3" s="451"/>
      <c r="P3" s="451" t="s">
        <v>228</v>
      </c>
      <c r="Q3" s="451" t="s">
        <v>229</v>
      </c>
      <c r="R3" s="451" t="s">
        <v>230</v>
      </c>
      <c r="S3" s="451" t="s">
        <v>231</v>
      </c>
      <c r="T3" s="451" t="s">
        <v>232</v>
      </c>
      <c r="U3" s="448" t="s">
        <v>233</v>
      </c>
      <c r="V3" s="450"/>
      <c r="W3" s="451" t="s">
        <v>234</v>
      </c>
      <c r="X3" s="453" t="s">
        <v>235</v>
      </c>
    </row>
    <row r="4" spans="2:24" ht="26.25" customHeight="1" thickBot="1">
      <c r="B4" s="445"/>
      <c r="C4" s="447"/>
      <c r="D4" s="447"/>
      <c r="E4" s="256" t="s">
        <v>236</v>
      </c>
      <c r="F4" s="256" t="s">
        <v>237</v>
      </c>
      <c r="G4" s="256" t="s">
        <v>238</v>
      </c>
      <c r="H4" s="447"/>
      <c r="I4" s="447"/>
      <c r="J4" s="447"/>
      <c r="K4" s="447"/>
      <c r="L4" s="447"/>
      <c r="M4" s="256" t="s">
        <v>239</v>
      </c>
      <c r="N4" s="256" t="s">
        <v>240</v>
      </c>
      <c r="O4" s="256" t="s">
        <v>241</v>
      </c>
      <c r="P4" s="452"/>
      <c r="Q4" s="452"/>
      <c r="R4" s="452"/>
      <c r="S4" s="452"/>
      <c r="T4" s="452"/>
      <c r="U4" s="256" t="s">
        <v>242</v>
      </c>
      <c r="V4" s="256" t="s">
        <v>243</v>
      </c>
      <c r="W4" s="452"/>
      <c r="X4" s="454"/>
    </row>
    <row r="5" spans="2:24" ht="39.950000000000003" customHeight="1">
      <c r="B5" s="257">
        <v>1</v>
      </c>
      <c r="C5" s="258">
        <f>Sheet1!J6</f>
        <v>0</v>
      </c>
      <c r="D5" s="258">
        <f>Sheet1!K6</f>
        <v>0</v>
      </c>
      <c r="E5" s="259">
        <f>Sheet1!L6</f>
        <v>0</v>
      </c>
      <c r="F5" s="258">
        <f>Sheet1!M6</f>
        <v>0</v>
      </c>
      <c r="G5" s="258">
        <f>Sheet1!N6</f>
        <v>0</v>
      </c>
      <c r="H5" s="258">
        <f>Sheet1!AB6</f>
        <v>0</v>
      </c>
      <c r="I5" s="259" t="str">
        <f>Sheet1!AP6</f>
        <v/>
      </c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60"/>
    </row>
    <row r="6" spans="2:24" ht="39.950000000000003" customHeight="1">
      <c r="B6" s="261">
        <f>B5+1</f>
        <v>2</v>
      </c>
      <c r="C6" s="262">
        <f>Sheet1!J7</f>
        <v>0</v>
      </c>
      <c r="D6" s="262">
        <f>Sheet1!K7</f>
        <v>0</v>
      </c>
      <c r="E6" s="263">
        <f>Sheet1!L7</f>
        <v>0</v>
      </c>
      <c r="F6" s="262">
        <f>Sheet1!M7</f>
        <v>0</v>
      </c>
      <c r="G6" s="262">
        <f>Sheet1!N7</f>
        <v>0</v>
      </c>
      <c r="H6" s="262">
        <f>Sheet1!AB7</f>
        <v>0</v>
      </c>
      <c r="I6" s="263" t="str">
        <f>Sheet1!AP7</f>
        <v/>
      </c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4"/>
    </row>
    <row r="7" spans="2:24" ht="39.950000000000003" customHeight="1">
      <c r="B7" s="261">
        <f t="shared" ref="B7:B44" si="0">B6+1</f>
        <v>3</v>
      </c>
      <c r="C7" s="262">
        <f>Sheet1!J8</f>
        <v>0</v>
      </c>
      <c r="D7" s="262">
        <f>Sheet1!K8</f>
        <v>0</v>
      </c>
      <c r="E7" s="263">
        <f>Sheet1!L8</f>
        <v>0</v>
      </c>
      <c r="F7" s="262">
        <f>Sheet1!M8</f>
        <v>0</v>
      </c>
      <c r="G7" s="262">
        <f>Sheet1!N8</f>
        <v>0</v>
      </c>
      <c r="H7" s="262">
        <f>Sheet1!AB8</f>
        <v>0</v>
      </c>
      <c r="I7" s="263" t="str">
        <f>Sheet1!AP8</f>
        <v/>
      </c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262"/>
      <c r="W7" s="262"/>
      <c r="X7" s="264"/>
    </row>
    <row r="8" spans="2:24" ht="39.950000000000003" customHeight="1">
      <c r="B8" s="261">
        <f t="shared" si="0"/>
        <v>4</v>
      </c>
      <c r="C8" s="262">
        <f>Sheet1!J9</f>
        <v>0</v>
      </c>
      <c r="D8" s="262">
        <f>Sheet1!K9</f>
        <v>0</v>
      </c>
      <c r="E8" s="263">
        <f>Sheet1!L9</f>
        <v>0</v>
      </c>
      <c r="F8" s="262">
        <f>Sheet1!M9</f>
        <v>0</v>
      </c>
      <c r="G8" s="262">
        <f>Sheet1!N9</f>
        <v>0</v>
      </c>
      <c r="H8" s="262">
        <f>Sheet1!AB9</f>
        <v>0</v>
      </c>
      <c r="I8" s="263" t="str">
        <f>Sheet1!AP9</f>
        <v/>
      </c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2"/>
      <c r="V8" s="262"/>
      <c r="W8" s="262"/>
      <c r="X8" s="264"/>
    </row>
    <row r="9" spans="2:24" ht="39.950000000000003" customHeight="1">
      <c r="B9" s="261">
        <f t="shared" si="0"/>
        <v>5</v>
      </c>
      <c r="C9" s="262">
        <f>Sheet1!J10</f>
        <v>0</v>
      </c>
      <c r="D9" s="262">
        <f>Sheet1!K10</f>
        <v>0</v>
      </c>
      <c r="E9" s="263">
        <f>Sheet1!L10</f>
        <v>0</v>
      </c>
      <c r="F9" s="262">
        <f>Sheet1!M10</f>
        <v>0</v>
      </c>
      <c r="G9" s="262">
        <f>Sheet1!N10</f>
        <v>0</v>
      </c>
      <c r="H9" s="262">
        <f>Sheet1!AB10</f>
        <v>0</v>
      </c>
      <c r="I9" s="263" t="str">
        <f>Sheet1!AP10</f>
        <v/>
      </c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2"/>
      <c r="V9" s="262"/>
      <c r="W9" s="262"/>
      <c r="X9" s="264"/>
    </row>
    <row r="10" spans="2:24" ht="39.950000000000003" customHeight="1">
      <c r="B10" s="261">
        <f t="shared" si="0"/>
        <v>6</v>
      </c>
      <c r="C10" s="262">
        <f>Sheet1!J11</f>
        <v>0</v>
      </c>
      <c r="D10" s="262">
        <f>Sheet1!K11</f>
        <v>0</v>
      </c>
      <c r="E10" s="263">
        <f>Sheet1!L11</f>
        <v>0</v>
      </c>
      <c r="F10" s="262">
        <f>Sheet1!M11</f>
        <v>0</v>
      </c>
      <c r="G10" s="262">
        <f>Sheet1!N11</f>
        <v>0</v>
      </c>
      <c r="H10" s="262">
        <f>Sheet1!AB11</f>
        <v>0</v>
      </c>
      <c r="I10" s="263" t="str">
        <f>Sheet1!AP11</f>
        <v/>
      </c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4"/>
    </row>
    <row r="11" spans="2:24" ht="39.950000000000003" customHeight="1">
      <c r="B11" s="261">
        <f t="shared" si="0"/>
        <v>7</v>
      </c>
      <c r="C11" s="262">
        <f>Sheet1!J12</f>
        <v>0</v>
      </c>
      <c r="D11" s="262">
        <f>Sheet1!K12</f>
        <v>0</v>
      </c>
      <c r="E11" s="263">
        <f>Sheet1!L12</f>
        <v>0</v>
      </c>
      <c r="F11" s="262">
        <f>Sheet1!M12</f>
        <v>0</v>
      </c>
      <c r="G11" s="262">
        <f>Sheet1!N12</f>
        <v>0</v>
      </c>
      <c r="H11" s="262">
        <f>Sheet1!AB12</f>
        <v>0</v>
      </c>
      <c r="I11" s="263" t="str">
        <f>Sheet1!AP12</f>
        <v/>
      </c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62"/>
      <c r="W11" s="262"/>
      <c r="X11" s="264"/>
    </row>
    <row r="12" spans="2:24" ht="39.950000000000003" customHeight="1">
      <c r="B12" s="261">
        <f t="shared" si="0"/>
        <v>8</v>
      </c>
      <c r="C12" s="262">
        <f>Sheet1!J13</f>
        <v>0</v>
      </c>
      <c r="D12" s="262">
        <f>Sheet1!K13</f>
        <v>0</v>
      </c>
      <c r="E12" s="263">
        <f>Sheet1!L13</f>
        <v>0</v>
      </c>
      <c r="F12" s="262">
        <f>Sheet1!M13</f>
        <v>0</v>
      </c>
      <c r="G12" s="262">
        <f>Sheet1!N13</f>
        <v>0</v>
      </c>
      <c r="H12" s="262">
        <f>Sheet1!AB13</f>
        <v>0</v>
      </c>
      <c r="I12" s="263" t="str">
        <f>Sheet1!AP13</f>
        <v/>
      </c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4"/>
    </row>
    <row r="13" spans="2:24" ht="39.950000000000003" customHeight="1">
      <c r="B13" s="261">
        <f t="shared" si="0"/>
        <v>9</v>
      </c>
      <c r="C13" s="262">
        <f>Sheet1!J14</f>
        <v>0</v>
      </c>
      <c r="D13" s="262">
        <f>Sheet1!K14</f>
        <v>0</v>
      </c>
      <c r="E13" s="263">
        <f>Sheet1!L14</f>
        <v>0</v>
      </c>
      <c r="F13" s="262">
        <f>Sheet1!M14</f>
        <v>0</v>
      </c>
      <c r="G13" s="262">
        <f>Sheet1!N14</f>
        <v>0</v>
      </c>
      <c r="H13" s="262">
        <f>Sheet1!AB14</f>
        <v>0</v>
      </c>
      <c r="I13" s="263" t="str">
        <f>Sheet1!AP14</f>
        <v/>
      </c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4"/>
    </row>
    <row r="14" spans="2:24" ht="39.950000000000003" customHeight="1">
      <c r="B14" s="261">
        <f t="shared" si="0"/>
        <v>10</v>
      </c>
      <c r="C14" s="262">
        <f>Sheet1!J15</f>
        <v>0</v>
      </c>
      <c r="D14" s="262">
        <f>Sheet1!K15</f>
        <v>0</v>
      </c>
      <c r="E14" s="263">
        <f>Sheet1!L15</f>
        <v>0</v>
      </c>
      <c r="F14" s="262">
        <f>Sheet1!M15</f>
        <v>0</v>
      </c>
      <c r="G14" s="262">
        <f>Sheet1!N15</f>
        <v>0</v>
      </c>
      <c r="H14" s="262">
        <f>Sheet1!AB15</f>
        <v>0</v>
      </c>
      <c r="I14" s="263" t="str">
        <f>Sheet1!AP15</f>
        <v/>
      </c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4"/>
    </row>
    <row r="15" spans="2:24" ht="39.950000000000003" customHeight="1">
      <c r="B15" s="261">
        <f t="shared" si="0"/>
        <v>11</v>
      </c>
      <c r="C15" s="262">
        <f>Sheet1!J16</f>
        <v>0</v>
      </c>
      <c r="D15" s="262">
        <f>Sheet1!K16</f>
        <v>0</v>
      </c>
      <c r="E15" s="263">
        <f>Sheet1!L16</f>
        <v>0</v>
      </c>
      <c r="F15" s="262">
        <f>Sheet1!M16</f>
        <v>0</v>
      </c>
      <c r="G15" s="262">
        <f>Sheet1!N16</f>
        <v>0</v>
      </c>
      <c r="H15" s="262">
        <f>Sheet1!AB16</f>
        <v>0</v>
      </c>
      <c r="I15" s="263" t="str">
        <f>Sheet1!AP16</f>
        <v/>
      </c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4"/>
    </row>
    <row r="16" spans="2:24" ht="39.950000000000003" customHeight="1">
      <c r="B16" s="261">
        <f t="shared" si="0"/>
        <v>12</v>
      </c>
      <c r="C16" s="262">
        <f>Sheet1!J17</f>
        <v>0</v>
      </c>
      <c r="D16" s="262">
        <f>Sheet1!K17</f>
        <v>0</v>
      </c>
      <c r="E16" s="263">
        <f>Sheet1!L17</f>
        <v>0</v>
      </c>
      <c r="F16" s="262">
        <f>Sheet1!M17</f>
        <v>0</v>
      </c>
      <c r="G16" s="262">
        <f>Sheet1!N17</f>
        <v>0</v>
      </c>
      <c r="H16" s="262">
        <f>Sheet1!AB17</f>
        <v>0</v>
      </c>
      <c r="I16" s="263" t="str">
        <f>Sheet1!AP17</f>
        <v/>
      </c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4"/>
    </row>
    <row r="17" spans="2:24" ht="39.950000000000003" customHeight="1">
      <c r="B17" s="261">
        <f t="shared" si="0"/>
        <v>13</v>
      </c>
      <c r="C17" s="262">
        <f>Sheet1!J18</f>
        <v>0</v>
      </c>
      <c r="D17" s="262">
        <f>Sheet1!K18</f>
        <v>0</v>
      </c>
      <c r="E17" s="263">
        <f>Sheet1!L18</f>
        <v>0</v>
      </c>
      <c r="F17" s="262">
        <f>Sheet1!M18</f>
        <v>0</v>
      </c>
      <c r="G17" s="262">
        <f>Sheet1!N18</f>
        <v>0</v>
      </c>
      <c r="H17" s="262">
        <f>Sheet1!AB18</f>
        <v>0</v>
      </c>
      <c r="I17" s="263" t="str">
        <f>Sheet1!AP18</f>
        <v/>
      </c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4"/>
    </row>
    <row r="18" spans="2:24" ht="39.950000000000003" customHeight="1">
      <c r="B18" s="261">
        <f t="shared" si="0"/>
        <v>14</v>
      </c>
      <c r="C18" s="262">
        <f>Sheet1!J19</f>
        <v>0</v>
      </c>
      <c r="D18" s="262">
        <f>Sheet1!K19</f>
        <v>0</v>
      </c>
      <c r="E18" s="263">
        <f>Sheet1!L19</f>
        <v>0</v>
      </c>
      <c r="F18" s="262">
        <f>Sheet1!M19</f>
        <v>0</v>
      </c>
      <c r="G18" s="262">
        <f>Sheet1!N19</f>
        <v>0</v>
      </c>
      <c r="H18" s="262">
        <f>Sheet1!AB19</f>
        <v>0</v>
      </c>
      <c r="I18" s="263" t="str">
        <f>Sheet1!AP19</f>
        <v/>
      </c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4"/>
    </row>
    <row r="19" spans="2:24" ht="39.950000000000003" customHeight="1">
      <c r="B19" s="261">
        <f t="shared" si="0"/>
        <v>15</v>
      </c>
      <c r="C19" s="262">
        <f>Sheet1!J20</f>
        <v>0</v>
      </c>
      <c r="D19" s="262">
        <f>Sheet1!K20</f>
        <v>0</v>
      </c>
      <c r="E19" s="263">
        <f>Sheet1!L20</f>
        <v>0</v>
      </c>
      <c r="F19" s="262">
        <f>Sheet1!M20</f>
        <v>0</v>
      </c>
      <c r="G19" s="262">
        <f>Sheet1!N20</f>
        <v>0</v>
      </c>
      <c r="H19" s="262">
        <f>Sheet1!AB20</f>
        <v>0</v>
      </c>
      <c r="I19" s="263" t="str">
        <f>Sheet1!AP20</f>
        <v/>
      </c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4"/>
    </row>
    <row r="20" spans="2:24" ht="39.950000000000003" customHeight="1">
      <c r="B20" s="261">
        <f t="shared" si="0"/>
        <v>16</v>
      </c>
      <c r="C20" s="262">
        <f>Sheet1!J21</f>
        <v>0</v>
      </c>
      <c r="D20" s="262">
        <f>Sheet1!K21</f>
        <v>0</v>
      </c>
      <c r="E20" s="263">
        <f>Sheet1!L21</f>
        <v>0</v>
      </c>
      <c r="F20" s="262">
        <f>Sheet1!M21</f>
        <v>0</v>
      </c>
      <c r="G20" s="262">
        <f>Sheet1!N21</f>
        <v>0</v>
      </c>
      <c r="H20" s="262">
        <f>Sheet1!AB21</f>
        <v>0</v>
      </c>
      <c r="I20" s="263" t="str">
        <f>Sheet1!AP21</f>
        <v/>
      </c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4"/>
    </row>
    <row r="21" spans="2:24" ht="39.950000000000003" customHeight="1">
      <c r="B21" s="261">
        <f t="shared" si="0"/>
        <v>17</v>
      </c>
      <c r="C21" s="262">
        <f>Sheet1!J22</f>
        <v>0</v>
      </c>
      <c r="D21" s="262">
        <f>Sheet1!K22</f>
        <v>0</v>
      </c>
      <c r="E21" s="263">
        <f>Sheet1!L22</f>
        <v>0</v>
      </c>
      <c r="F21" s="262">
        <f>Sheet1!M22</f>
        <v>0</v>
      </c>
      <c r="G21" s="262">
        <f>Sheet1!N22</f>
        <v>0</v>
      </c>
      <c r="H21" s="262">
        <f>Sheet1!AB22</f>
        <v>0</v>
      </c>
      <c r="I21" s="263" t="str">
        <f>Sheet1!AP22</f>
        <v/>
      </c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4"/>
    </row>
    <row r="22" spans="2:24" ht="39.950000000000003" customHeight="1">
      <c r="B22" s="261">
        <f t="shared" si="0"/>
        <v>18</v>
      </c>
      <c r="C22" s="262">
        <f>Sheet1!J23</f>
        <v>0</v>
      </c>
      <c r="D22" s="262">
        <f>Sheet1!K23</f>
        <v>0</v>
      </c>
      <c r="E22" s="263">
        <f>Sheet1!L23</f>
        <v>0</v>
      </c>
      <c r="F22" s="262">
        <f>Sheet1!M23</f>
        <v>0</v>
      </c>
      <c r="G22" s="262">
        <f>Sheet1!N23</f>
        <v>0</v>
      </c>
      <c r="H22" s="262">
        <f>Sheet1!AB23</f>
        <v>0</v>
      </c>
      <c r="I22" s="263" t="str">
        <f>Sheet1!AP23</f>
        <v/>
      </c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4"/>
    </row>
    <row r="23" spans="2:24" ht="39.950000000000003" customHeight="1">
      <c r="B23" s="261">
        <f t="shared" si="0"/>
        <v>19</v>
      </c>
      <c r="C23" s="262">
        <f>Sheet1!J24</f>
        <v>0</v>
      </c>
      <c r="D23" s="262">
        <f>Sheet1!K24</f>
        <v>0</v>
      </c>
      <c r="E23" s="263">
        <f>Sheet1!L24</f>
        <v>0</v>
      </c>
      <c r="F23" s="262">
        <f>Sheet1!M24</f>
        <v>0</v>
      </c>
      <c r="G23" s="262">
        <f>Sheet1!N24</f>
        <v>0</v>
      </c>
      <c r="H23" s="262">
        <f>Sheet1!AB24</f>
        <v>0</v>
      </c>
      <c r="I23" s="263" t="str">
        <f>Sheet1!AP24</f>
        <v/>
      </c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4"/>
    </row>
    <row r="24" spans="2:24" ht="39.950000000000003" customHeight="1">
      <c r="B24" s="261">
        <f t="shared" si="0"/>
        <v>20</v>
      </c>
      <c r="C24" s="262">
        <f>Sheet1!J25</f>
        <v>0</v>
      </c>
      <c r="D24" s="262">
        <f>Sheet1!K25</f>
        <v>0</v>
      </c>
      <c r="E24" s="263">
        <f>Sheet1!L25</f>
        <v>0</v>
      </c>
      <c r="F24" s="262">
        <f>Sheet1!M25</f>
        <v>0</v>
      </c>
      <c r="G24" s="262">
        <f>Sheet1!N25</f>
        <v>0</v>
      </c>
      <c r="H24" s="262">
        <f>Sheet1!AB25</f>
        <v>0</v>
      </c>
      <c r="I24" s="263" t="str">
        <f>Sheet1!AP25</f>
        <v/>
      </c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4"/>
    </row>
    <row r="25" spans="2:24" ht="39.950000000000003" customHeight="1">
      <c r="B25" s="261">
        <f t="shared" si="0"/>
        <v>21</v>
      </c>
      <c r="C25" s="262">
        <f>Sheet1!J26</f>
        <v>0</v>
      </c>
      <c r="D25" s="262">
        <f>Sheet1!K26</f>
        <v>0</v>
      </c>
      <c r="E25" s="263">
        <f>Sheet1!L26</f>
        <v>0</v>
      </c>
      <c r="F25" s="262">
        <f>Sheet1!M26</f>
        <v>0</v>
      </c>
      <c r="G25" s="262">
        <f>Sheet1!N26</f>
        <v>0</v>
      </c>
      <c r="H25" s="262">
        <f>Sheet1!AB26</f>
        <v>0</v>
      </c>
      <c r="I25" s="263" t="str">
        <f>Sheet1!AP26</f>
        <v/>
      </c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4"/>
    </row>
    <row r="26" spans="2:24" ht="39.950000000000003" customHeight="1">
      <c r="B26" s="261">
        <f t="shared" si="0"/>
        <v>22</v>
      </c>
      <c r="C26" s="262">
        <f>Sheet1!J27</f>
        <v>0</v>
      </c>
      <c r="D26" s="262">
        <f>Sheet1!K27</f>
        <v>0</v>
      </c>
      <c r="E26" s="263">
        <f>Sheet1!L27</f>
        <v>0</v>
      </c>
      <c r="F26" s="262">
        <f>Sheet1!M27</f>
        <v>0</v>
      </c>
      <c r="G26" s="262">
        <f>Sheet1!N27</f>
        <v>0</v>
      </c>
      <c r="H26" s="262">
        <f>Sheet1!AB27</f>
        <v>0</v>
      </c>
      <c r="I26" s="263" t="str">
        <f>Sheet1!AP27</f>
        <v/>
      </c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4"/>
    </row>
    <row r="27" spans="2:24" ht="39.950000000000003" customHeight="1">
      <c r="B27" s="261">
        <f t="shared" si="0"/>
        <v>23</v>
      </c>
      <c r="C27" s="262">
        <f>Sheet1!J28</f>
        <v>0</v>
      </c>
      <c r="D27" s="262">
        <f>Sheet1!K28</f>
        <v>0</v>
      </c>
      <c r="E27" s="263">
        <f>Sheet1!L28</f>
        <v>0</v>
      </c>
      <c r="F27" s="262">
        <f>Sheet1!M28</f>
        <v>0</v>
      </c>
      <c r="G27" s="262">
        <f>Sheet1!N28</f>
        <v>0</v>
      </c>
      <c r="H27" s="262">
        <f>Sheet1!AB28</f>
        <v>0</v>
      </c>
      <c r="I27" s="263" t="str">
        <f>Sheet1!AP28</f>
        <v/>
      </c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4"/>
    </row>
    <row r="28" spans="2:24" ht="39.950000000000003" customHeight="1">
      <c r="B28" s="261">
        <f t="shared" si="0"/>
        <v>24</v>
      </c>
      <c r="C28" s="262">
        <f>Sheet1!J29</f>
        <v>0</v>
      </c>
      <c r="D28" s="262">
        <f>Sheet1!K29</f>
        <v>0</v>
      </c>
      <c r="E28" s="263">
        <f>Sheet1!L29</f>
        <v>0</v>
      </c>
      <c r="F28" s="262">
        <f>Sheet1!M29</f>
        <v>0</v>
      </c>
      <c r="G28" s="262">
        <f>Sheet1!N29</f>
        <v>0</v>
      </c>
      <c r="H28" s="262">
        <f>Sheet1!AB29</f>
        <v>0</v>
      </c>
      <c r="I28" s="263" t="str">
        <f>Sheet1!AP29</f>
        <v/>
      </c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4"/>
    </row>
    <row r="29" spans="2:24" ht="39.950000000000003" customHeight="1">
      <c r="B29" s="261">
        <f t="shared" si="0"/>
        <v>25</v>
      </c>
      <c r="C29" s="262">
        <f>Sheet1!J30</f>
        <v>0</v>
      </c>
      <c r="D29" s="262">
        <f>Sheet1!K30</f>
        <v>0</v>
      </c>
      <c r="E29" s="263">
        <f>Sheet1!L30</f>
        <v>0</v>
      </c>
      <c r="F29" s="262">
        <f>Sheet1!M30</f>
        <v>0</v>
      </c>
      <c r="G29" s="262">
        <f>Sheet1!N30</f>
        <v>0</v>
      </c>
      <c r="H29" s="262">
        <f>Sheet1!AB30</f>
        <v>0</v>
      </c>
      <c r="I29" s="263" t="str">
        <f>Sheet1!AP30</f>
        <v/>
      </c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4"/>
    </row>
    <row r="30" spans="2:24" ht="39.950000000000003" customHeight="1">
      <c r="B30" s="261">
        <f t="shared" si="0"/>
        <v>26</v>
      </c>
      <c r="C30" s="262">
        <f>Sheet1!J31</f>
        <v>0</v>
      </c>
      <c r="D30" s="262">
        <f>Sheet1!K31</f>
        <v>0</v>
      </c>
      <c r="E30" s="263">
        <f>Sheet1!L31</f>
        <v>0</v>
      </c>
      <c r="F30" s="262">
        <f>Sheet1!M31</f>
        <v>0</v>
      </c>
      <c r="G30" s="262">
        <f>Sheet1!N31</f>
        <v>0</v>
      </c>
      <c r="H30" s="262">
        <f>Sheet1!AB31</f>
        <v>0</v>
      </c>
      <c r="I30" s="263" t="str">
        <f>Sheet1!AP31</f>
        <v/>
      </c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4"/>
    </row>
    <row r="31" spans="2:24" ht="39.950000000000003" customHeight="1">
      <c r="B31" s="261">
        <f t="shared" si="0"/>
        <v>27</v>
      </c>
      <c r="C31" s="262">
        <f>Sheet1!J32</f>
        <v>0</v>
      </c>
      <c r="D31" s="262">
        <f>Sheet1!K32</f>
        <v>0</v>
      </c>
      <c r="E31" s="263">
        <f>Sheet1!L32</f>
        <v>0</v>
      </c>
      <c r="F31" s="262">
        <f>Sheet1!M32</f>
        <v>0</v>
      </c>
      <c r="G31" s="262">
        <f>Sheet1!N32</f>
        <v>0</v>
      </c>
      <c r="H31" s="262">
        <f>Sheet1!AB32</f>
        <v>0</v>
      </c>
      <c r="I31" s="263" t="str">
        <f>Sheet1!AP32</f>
        <v/>
      </c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4"/>
    </row>
    <row r="32" spans="2:24" ht="39.950000000000003" customHeight="1">
      <c r="B32" s="261">
        <f t="shared" si="0"/>
        <v>28</v>
      </c>
      <c r="C32" s="262">
        <f>Sheet1!J33</f>
        <v>0</v>
      </c>
      <c r="D32" s="262">
        <f>Sheet1!K33</f>
        <v>0</v>
      </c>
      <c r="E32" s="263">
        <f>Sheet1!L33</f>
        <v>0</v>
      </c>
      <c r="F32" s="262">
        <f>Sheet1!M33</f>
        <v>0</v>
      </c>
      <c r="G32" s="262">
        <f>Sheet1!N33</f>
        <v>0</v>
      </c>
      <c r="H32" s="262">
        <f>Sheet1!AB33</f>
        <v>0</v>
      </c>
      <c r="I32" s="263" t="str">
        <f>Sheet1!AP33</f>
        <v/>
      </c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4"/>
    </row>
    <row r="33" spans="2:24" ht="39.950000000000003" customHeight="1">
      <c r="B33" s="261">
        <f t="shared" si="0"/>
        <v>29</v>
      </c>
      <c r="C33" s="262">
        <f>Sheet1!J34</f>
        <v>0</v>
      </c>
      <c r="D33" s="262">
        <f>Sheet1!K34</f>
        <v>0</v>
      </c>
      <c r="E33" s="263">
        <f>Sheet1!L34</f>
        <v>0</v>
      </c>
      <c r="F33" s="262">
        <f>Sheet1!M34</f>
        <v>0</v>
      </c>
      <c r="G33" s="262">
        <f>Sheet1!N34</f>
        <v>0</v>
      </c>
      <c r="H33" s="262">
        <f>Sheet1!AB34</f>
        <v>0</v>
      </c>
      <c r="I33" s="263" t="str">
        <f>Sheet1!AP34</f>
        <v/>
      </c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4"/>
    </row>
    <row r="34" spans="2:24" ht="39.950000000000003" customHeight="1">
      <c r="B34" s="261">
        <f t="shared" si="0"/>
        <v>30</v>
      </c>
      <c r="C34" s="262">
        <f>Sheet1!J35</f>
        <v>0</v>
      </c>
      <c r="D34" s="262">
        <f>Sheet1!K35</f>
        <v>0</v>
      </c>
      <c r="E34" s="263">
        <f>Sheet1!L35</f>
        <v>0</v>
      </c>
      <c r="F34" s="262">
        <f>Sheet1!M35</f>
        <v>0</v>
      </c>
      <c r="G34" s="262">
        <f>Sheet1!N35</f>
        <v>0</v>
      </c>
      <c r="H34" s="262">
        <f>Sheet1!AB35</f>
        <v>0</v>
      </c>
      <c r="I34" s="263" t="str">
        <f>Sheet1!AP35</f>
        <v/>
      </c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4"/>
    </row>
    <row r="35" spans="2:24" ht="39.950000000000003" customHeight="1">
      <c r="B35" s="261">
        <f t="shared" si="0"/>
        <v>31</v>
      </c>
      <c r="C35" s="262">
        <f>Sheet1!J36</f>
        <v>0</v>
      </c>
      <c r="D35" s="262">
        <f>Sheet1!K36</f>
        <v>0</v>
      </c>
      <c r="E35" s="263">
        <f>Sheet1!L36</f>
        <v>0</v>
      </c>
      <c r="F35" s="262">
        <f>Sheet1!M36</f>
        <v>0</v>
      </c>
      <c r="G35" s="262">
        <f>Sheet1!N36</f>
        <v>0</v>
      </c>
      <c r="H35" s="262">
        <f>Sheet1!AB36</f>
        <v>0</v>
      </c>
      <c r="I35" s="263" t="str">
        <f>Sheet1!AP36</f>
        <v/>
      </c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4"/>
    </row>
    <row r="36" spans="2:24" ht="39.950000000000003" customHeight="1">
      <c r="B36" s="261">
        <f t="shared" si="0"/>
        <v>32</v>
      </c>
      <c r="C36" s="262">
        <f>Sheet1!J37</f>
        <v>0</v>
      </c>
      <c r="D36" s="262">
        <f>Sheet1!K37</f>
        <v>0</v>
      </c>
      <c r="E36" s="263">
        <f>Sheet1!L37</f>
        <v>0</v>
      </c>
      <c r="F36" s="262">
        <f>Sheet1!M37</f>
        <v>0</v>
      </c>
      <c r="G36" s="262">
        <f>Sheet1!N37</f>
        <v>0</v>
      </c>
      <c r="H36" s="262">
        <f>Sheet1!AB37</f>
        <v>0</v>
      </c>
      <c r="I36" s="263" t="str">
        <f>Sheet1!AP37</f>
        <v/>
      </c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4"/>
    </row>
    <row r="37" spans="2:24" ht="39.950000000000003" customHeight="1">
      <c r="B37" s="261">
        <f t="shared" si="0"/>
        <v>33</v>
      </c>
      <c r="C37" s="262">
        <f>Sheet1!J38</f>
        <v>0</v>
      </c>
      <c r="D37" s="262">
        <f>Sheet1!K38</f>
        <v>0</v>
      </c>
      <c r="E37" s="263">
        <f>Sheet1!L38</f>
        <v>0</v>
      </c>
      <c r="F37" s="262">
        <f>Sheet1!M38</f>
        <v>0</v>
      </c>
      <c r="G37" s="262">
        <f>Sheet1!N38</f>
        <v>0</v>
      </c>
      <c r="H37" s="262">
        <f>Sheet1!AB38</f>
        <v>0</v>
      </c>
      <c r="I37" s="263" t="str">
        <f>Sheet1!AP38</f>
        <v/>
      </c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4"/>
    </row>
    <row r="38" spans="2:24" ht="39.950000000000003" customHeight="1">
      <c r="B38" s="261">
        <f t="shared" si="0"/>
        <v>34</v>
      </c>
      <c r="C38" s="262">
        <f>Sheet1!J39</f>
        <v>0</v>
      </c>
      <c r="D38" s="262">
        <f>Sheet1!K39</f>
        <v>0</v>
      </c>
      <c r="E38" s="263">
        <f>Sheet1!L39</f>
        <v>0</v>
      </c>
      <c r="F38" s="262">
        <f>Sheet1!M39</f>
        <v>0</v>
      </c>
      <c r="G38" s="262">
        <f>Sheet1!N39</f>
        <v>0</v>
      </c>
      <c r="H38" s="262">
        <f>Sheet1!AB39</f>
        <v>0</v>
      </c>
      <c r="I38" s="263" t="str">
        <f>Sheet1!AP39</f>
        <v/>
      </c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4"/>
    </row>
    <row r="39" spans="2:24" ht="39.950000000000003" customHeight="1">
      <c r="B39" s="261">
        <f t="shared" si="0"/>
        <v>35</v>
      </c>
      <c r="C39" s="262">
        <f>Sheet1!J40</f>
        <v>0</v>
      </c>
      <c r="D39" s="262">
        <f>Sheet1!K40</f>
        <v>0</v>
      </c>
      <c r="E39" s="263">
        <f>Sheet1!L40</f>
        <v>0</v>
      </c>
      <c r="F39" s="262">
        <f>Sheet1!M40</f>
        <v>0</v>
      </c>
      <c r="G39" s="262">
        <f>Sheet1!N40</f>
        <v>0</v>
      </c>
      <c r="H39" s="262">
        <f>Sheet1!AB40</f>
        <v>0</v>
      </c>
      <c r="I39" s="263" t="str">
        <f>Sheet1!AP40</f>
        <v/>
      </c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4"/>
    </row>
    <row r="40" spans="2:24" ht="39.950000000000003" customHeight="1">
      <c r="B40" s="261">
        <f t="shared" si="0"/>
        <v>36</v>
      </c>
      <c r="C40" s="262">
        <f>Sheet1!J41</f>
        <v>0</v>
      </c>
      <c r="D40" s="262">
        <f>Sheet1!K41</f>
        <v>0</v>
      </c>
      <c r="E40" s="263">
        <f>Sheet1!L41</f>
        <v>0</v>
      </c>
      <c r="F40" s="262">
        <f>Sheet1!M41</f>
        <v>0</v>
      </c>
      <c r="G40" s="262">
        <f>Sheet1!N41</f>
        <v>0</v>
      </c>
      <c r="H40" s="262">
        <f>Sheet1!AB41</f>
        <v>0</v>
      </c>
      <c r="I40" s="263" t="str">
        <f>Sheet1!AP41</f>
        <v/>
      </c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4"/>
    </row>
    <row r="41" spans="2:24" ht="39.950000000000003" customHeight="1">
      <c r="B41" s="261">
        <f t="shared" si="0"/>
        <v>37</v>
      </c>
      <c r="C41" s="262">
        <f>Sheet1!J42</f>
        <v>0</v>
      </c>
      <c r="D41" s="262">
        <f>Sheet1!K42</f>
        <v>0</v>
      </c>
      <c r="E41" s="263">
        <f>Sheet1!L42</f>
        <v>0</v>
      </c>
      <c r="F41" s="262">
        <f>Sheet1!M42</f>
        <v>0</v>
      </c>
      <c r="G41" s="262">
        <f>Sheet1!N42</f>
        <v>0</v>
      </c>
      <c r="H41" s="262">
        <f>Sheet1!AB42</f>
        <v>0</v>
      </c>
      <c r="I41" s="263" t="str">
        <f>Sheet1!AP42</f>
        <v/>
      </c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4"/>
    </row>
    <row r="42" spans="2:24" ht="39.950000000000003" customHeight="1">
      <c r="B42" s="261">
        <f t="shared" si="0"/>
        <v>38</v>
      </c>
      <c r="C42" s="262">
        <f>Sheet1!J43</f>
        <v>0</v>
      </c>
      <c r="D42" s="262">
        <f>Sheet1!K43</f>
        <v>0</v>
      </c>
      <c r="E42" s="263">
        <f>Sheet1!L43</f>
        <v>0</v>
      </c>
      <c r="F42" s="262">
        <f>Sheet1!M43</f>
        <v>0</v>
      </c>
      <c r="G42" s="262">
        <f>Sheet1!N43</f>
        <v>0</v>
      </c>
      <c r="H42" s="262">
        <f>Sheet1!AB43</f>
        <v>0</v>
      </c>
      <c r="I42" s="263" t="str">
        <f>Sheet1!AP43</f>
        <v/>
      </c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4"/>
    </row>
    <row r="43" spans="2:24" ht="39.950000000000003" customHeight="1">
      <c r="B43" s="261">
        <f t="shared" si="0"/>
        <v>39</v>
      </c>
      <c r="C43" s="262">
        <f>Sheet1!J44</f>
        <v>0</v>
      </c>
      <c r="D43" s="262">
        <f>Sheet1!K44</f>
        <v>0</v>
      </c>
      <c r="E43" s="263">
        <f>Sheet1!L44</f>
        <v>0</v>
      </c>
      <c r="F43" s="262">
        <f>Sheet1!M44</f>
        <v>0</v>
      </c>
      <c r="G43" s="262">
        <f>Sheet1!N44</f>
        <v>0</v>
      </c>
      <c r="H43" s="262">
        <f>Sheet1!AB44</f>
        <v>0</v>
      </c>
      <c r="I43" s="263" t="str">
        <f>Sheet1!AP44</f>
        <v/>
      </c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4"/>
    </row>
    <row r="44" spans="2:24" ht="39.950000000000003" customHeight="1" thickBot="1">
      <c r="B44" s="265">
        <f t="shared" si="0"/>
        <v>40</v>
      </c>
      <c r="C44" s="262">
        <f>Sheet1!J45</f>
        <v>0</v>
      </c>
      <c r="D44" s="262">
        <f>Sheet1!K45</f>
        <v>0</v>
      </c>
      <c r="E44" s="263">
        <f>Sheet1!L45</f>
        <v>0</v>
      </c>
      <c r="F44" s="262">
        <f>Sheet1!M45</f>
        <v>0</v>
      </c>
      <c r="G44" s="262">
        <f>Sheet1!N45</f>
        <v>0</v>
      </c>
      <c r="H44" s="262">
        <f>Sheet1!AB45</f>
        <v>0</v>
      </c>
      <c r="I44" s="263" t="str">
        <f>Sheet1!AP45</f>
        <v/>
      </c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7"/>
    </row>
  </sheetData>
  <sheetProtection algorithmName="SHA-512" hashValue="weNkIwdN0DpWyD5edHFF7HL3AmIJn+zVsa13n7OgiVM65NWwy80cGejNW1x9GzH0xa6YgB6NbdUjxxWwlci4RA==" saltValue="VdvnNcgma3rP1ZEXFjLssg==" spinCount="100000" sheet="1" objects="1" scenarios="1"/>
  <mergeCells count="20">
    <mergeCell ref="P3:P4"/>
    <mergeCell ref="Q3:Q4"/>
    <mergeCell ref="R3:R4"/>
    <mergeCell ref="S3:S4"/>
    <mergeCell ref="B2:F2"/>
    <mergeCell ref="G2:X2"/>
    <mergeCell ref="B3:B4"/>
    <mergeCell ref="C3:C4"/>
    <mergeCell ref="D3:D4"/>
    <mergeCell ref="E3:G3"/>
    <mergeCell ref="H3:H4"/>
    <mergeCell ref="I3:I4"/>
    <mergeCell ref="J3:J4"/>
    <mergeCell ref="K3:K4"/>
    <mergeCell ref="T3:T4"/>
    <mergeCell ref="U3:V3"/>
    <mergeCell ref="W3:W4"/>
    <mergeCell ref="X3:X4"/>
    <mergeCell ref="L3:L4"/>
    <mergeCell ref="M3:O3"/>
  </mergeCells>
  <pageMargins left="0.7" right="0.7" top="0.75" bottom="0.75" header="0.3" footer="0.3"/>
  <pageSetup paperSize="8" scale="81" orientation="landscape" r:id="rId1"/>
  <rowBreaks count="1" manualBreakCount="1">
    <brk id="24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16" sqref="K1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bgr</vt:lpstr>
      <vt:lpstr>Pending</vt:lpstr>
      <vt:lpstr>PendingDetails</vt:lpstr>
      <vt:lpstr>Consolidated</vt:lpstr>
      <vt:lpstr>Weight Monitoring</vt:lpstr>
      <vt:lpstr>partials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RPA-PC1</cp:lastModifiedBy>
  <dcterms:created xsi:type="dcterms:W3CDTF">2020-04-23T07:48:26Z</dcterms:created>
  <dcterms:modified xsi:type="dcterms:W3CDTF">2022-03-14T09:41:09Z</dcterms:modified>
</cp:coreProperties>
</file>