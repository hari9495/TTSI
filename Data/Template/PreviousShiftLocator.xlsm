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"/>
    </mc:Choice>
  </mc:AlternateContent>
  <bookViews>
    <workbookView xWindow="0" yWindow="0" windowWidth="16815" windowHeight="7650" tabRatio="826"/>
  </bookViews>
  <sheets>
    <sheet name="Sheet1" sheetId="8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4" i="8" l="1"/>
  <c r="K103" i="8"/>
  <c r="K102" i="8" l="1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3" i="8" l="1"/>
  <c r="K84" i="8"/>
  <c r="K85" i="8"/>
  <c r="K86" i="8"/>
  <c r="K87" i="8"/>
  <c r="K88" i="8"/>
  <c r="K23" i="8" l="1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K37" i="8"/>
  <c r="K38" i="8"/>
  <c r="K39" i="8"/>
  <c r="K40" i="8"/>
  <c r="K41" i="8"/>
  <c r="K42" i="8"/>
  <c r="K43" i="8"/>
  <c r="K44" i="8"/>
  <c r="K45" i="8"/>
  <c r="K46" i="8"/>
  <c r="K47" i="8"/>
  <c r="K48" i="8"/>
  <c r="K49" i="8"/>
  <c r="K50" i="8"/>
  <c r="K51" i="8"/>
  <c r="K52" i="8"/>
  <c r="K53" i="8"/>
  <c r="K54" i="8"/>
  <c r="K55" i="8"/>
  <c r="K56" i="8"/>
  <c r="K57" i="8"/>
  <c r="K58" i="8"/>
  <c r="K59" i="8"/>
  <c r="K60" i="8"/>
  <c r="K61" i="8"/>
  <c r="K62" i="8"/>
  <c r="K63" i="8"/>
  <c r="K64" i="8"/>
  <c r="K65" i="8"/>
  <c r="K66" i="8"/>
  <c r="K67" i="8"/>
  <c r="K68" i="8"/>
  <c r="K69" i="8"/>
  <c r="K70" i="8"/>
  <c r="K71" i="8"/>
  <c r="K72" i="8"/>
  <c r="K73" i="8"/>
  <c r="K74" i="8"/>
  <c r="K75" i="8"/>
  <c r="K76" i="8"/>
  <c r="K77" i="8"/>
  <c r="K78" i="8"/>
  <c r="K79" i="8"/>
  <c r="K80" i="8"/>
  <c r="K81" i="8"/>
  <c r="K82" i="8"/>
  <c r="K4" i="8" l="1"/>
  <c r="K5" i="8"/>
  <c r="K6" i="8"/>
  <c r="K7" i="8"/>
  <c r="K8" i="8"/>
  <c r="K9" i="8"/>
  <c r="K10" i="8"/>
  <c r="K11" i="8"/>
  <c r="K12" i="8"/>
  <c r="K13" i="8"/>
  <c r="K14" i="8"/>
  <c r="K15" i="8"/>
  <c r="K16" i="8"/>
  <c r="K17" i="8"/>
  <c r="K18" i="8"/>
  <c r="K19" i="8"/>
  <c r="K20" i="8"/>
  <c r="K21" i="8"/>
  <c r="K22" i="8"/>
  <c r="K3" i="8"/>
  <c r="D2" i="8"/>
  <c r="E2" i="8" s="1"/>
  <c r="C2" i="8" l="1"/>
  <c r="F2" i="8"/>
  <c r="D3" i="8" s="1"/>
  <c r="M3" i="8" s="1"/>
  <c r="E3" i="8" l="1"/>
  <c r="C3" i="8"/>
  <c r="J3" i="8"/>
  <c r="G3" i="8"/>
  <c r="F3" i="8" l="1"/>
  <c r="D4" i="8" s="1"/>
  <c r="M4" i="8" s="1"/>
  <c r="L3" i="8" l="1"/>
  <c r="I3" i="8" s="1"/>
  <c r="J4" i="8"/>
  <c r="E4" i="8"/>
  <c r="C4" i="8"/>
  <c r="G4" i="8"/>
  <c r="F4" i="8"/>
  <c r="D5" i="8" s="1"/>
  <c r="M5" i="8" s="1"/>
  <c r="L4" i="8" l="1"/>
  <c r="I4" i="8" s="1"/>
  <c r="J5" i="8"/>
  <c r="E5" i="8"/>
  <c r="G5" i="8" s="1"/>
  <c r="C5" i="8"/>
  <c r="F5" i="8"/>
  <c r="D6" i="8" s="1"/>
  <c r="M6" i="8" s="1"/>
  <c r="J6" i="8" l="1"/>
  <c r="E6" i="8"/>
  <c r="C6" i="8"/>
  <c r="L5" i="8"/>
  <c r="I5" i="8" s="1"/>
  <c r="F6" i="8"/>
  <c r="D7" i="8" s="1"/>
  <c r="M7" i="8" s="1"/>
  <c r="L6" i="8" l="1"/>
  <c r="I6" i="8" s="1"/>
  <c r="J7" i="8"/>
  <c r="E7" i="8"/>
  <c r="C7" i="8"/>
  <c r="F7" i="8"/>
  <c r="D8" i="8" s="1"/>
  <c r="M8" i="8" s="1"/>
  <c r="E8" i="8" l="1"/>
  <c r="J8" i="8"/>
  <c r="C8" i="8"/>
  <c r="L7" i="8"/>
  <c r="I7" i="8" s="1"/>
  <c r="F8" i="8"/>
  <c r="F9" i="8" s="1"/>
  <c r="F10" i="8" s="1"/>
  <c r="F11" i="8" s="1"/>
  <c r="F12" i="8" s="1"/>
  <c r="F13" i="8" s="1"/>
  <c r="F14" i="8" s="1"/>
  <c r="L8" i="8" l="1"/>
  <c r="I8" i="8" s="1"/>
  <c r="D9" i="8"/>
  <c r="M9" i="8" s="1"/>
  <c r="F15" i="8"/>
  <c r="F16" i="8" s="1"/>
  <c r="F17" i="8" s="1"/>
  <c r="F18" i="8" s="1"/>
  <c r="F19" i="8" s="1"/>
  <c r="F20" i="8" s="1"/>
  <c r="C9" i="8" l="1"/>
  <c r="J9" i="8"/>
  <c r="E9" i="8"/>
  <c r="D10" i="8"/>
  <c r="M10" i="8" s="1"/>
  <c r="F21" i="8"/>
  <c r="L9" i="8" l="1"/>
  <c r="I9" i="8" s="1"/>
  <c r="C10" i="8"/>
  <c r="E10" i="8"/>
  <c r="J10" i="8"/>
  <c r="D11" i="8"/>
  <c r="M11" i="8" s="1"/>
  <c r="F22" i="8"/>
  <c r="L10" i="8" l="1"/>
  <c r="I10" i="8" s="1"/>
  <c r="E11" i="8"/>
  <c r="C11" i="8"/>
  <c r="J11" i="8"/>
  <c r="D12" i="8"/>
  <c r="M12" i="8" s="1"/>
  <c r="F23" i="8"/>
  <c r="J12" i="8" l="1"/>
  <c r="E12" i="8"/>
  <c r="C12" i="8"/>
  <c r="L11" i="8"/>
  <c r="I11" i="8" s="1"/>
  <c r="D13" i="8"/>
  <c r="M13" i="8" s="1"/>
  <c r="F24" i="8"/>
  <c r="J13" i="8" l="1"/>
  <c r="E13" i="8"/>
  <c r="C13" i="8"/>
  <c r="L12" i="8"/>
  <c r="I12" i="8" s="1"/>
  <c r="D14" i="8"/>
  <c r="M14" i="8" s="1"/>
  <c r="F25" i="8"/>
  <c r="J14" i="8" l="1"/>
  <c r="E14" i="8"/>
  <c r="C14" i="8"/>
  <c r="L13" i="8"/>
  <c r="I13" i="8" s="1"/>
  <c r="D15" i="8"/>
  <c r="M15" i="8" s="1"/>
  <c r="F26" i="8"/>
  <c r="J15" i="8" l="1"/>
  <c r="E15" i="8"/>
  <c r="C15" i="8"/>
  <c r="L14" i="8"/>
  <c r="I14" i="8" s="1"/>
  <c r="D16" i="8"/>
  <c r="M16" i="8" s="1"/>
  <c r="F27" i="8"/>
  <c r="L15" i="8" l="1"/>
  <c r="I15" i="8" s="1"/>
  <c r="J16" i="8"/>
  <c r="E16" i="8"/>
  <c r="C16" i="8"/>
  <c r="D17" i="8"/>
  <c r="M17" i="8" s="1"/>
  <c r="F28" i="8"/>
  <c r="L16" i="8" l="1"/>
  <c r="I16" i="8" s="1"/>
  <c r="C17" i="8"/>
  <c r="J17" i="8"/>
  <c r="E17" i="8"/>
  <c r="D18" i="8"/>
  <c r="M18" i="8" s="1"/>
  <c r="F29" i="8"/>
  <c r="L17" i="8" l="1"/>
  <c r="I17" i="8" s="1"/>
  <c r="C18" i="8"/>
  <c r="E18" i="8"/>
  <c r="J18" i="8"/>
  <c r="D19" i="8"/>
  <c r="M19" i="8" s="1"/>
  <c r="F30" i="8"/>
  <c r="L18" i="8" l="1"/>
  <c r="I18" i="8" s="1"/>
  <c r="E19" i="8"/>
  <c r="C19" i="8"/>
  <c r="J19" i="8"/>
  <c r="D20" i="8"/>
  <c r="M20" i="8" s="1"/>
  <c r="F31" i="8"/>
  <c r="J20" i="8" l="1"/>
  <c r="E20" i="8"/>
  <c r="C20" i="8"/>
  <c r="L19" i="8"/>
  <c r="I19" i="8" s="1"/>
  <c r="D21" i="8"/>
  <c r="M21" i="8" s="1"/>
  <c r="F32" i="8"/>
  <c r="L20" i="8" l="1"/>
  <c r="I20" i="8" s="1"/>
  <c r="J21" i="8"/>
  <c r="E21" i="8"/>
  <c r="C21" i="8"/>
  <c r="D22" i="8"/>
  <c r="M22" i="8" s="1"/>
  <c r="F33" i="8"/>
  <c r="J22" i="8" l="1"/>
  <c r="E22" i="8"/>
  <c r="C22" i="8"/>
  <c r="L21" i="8"/>
  <c r="I21" i="8" s="1"/>
  <c r="D23" i="8"/>
  <c r="F34" i="8"/>
  <c r="J23" i="8" l="1"/>
  <c r="M23" i="8"/>
  <c r="L22" i="8"/>
  <c r="I22" i="8" s="1"/>
  <c r="E23" i="8"/>
  <c r="C23" i="8"/>
  <c r="D24" i="8"/>
  <c r="F35" i="8"/>
  <c r="L23" i="8" l="1"/>
  <c r="I23" i="8" s="1"/>
  <c r="J24" i="8"/>
  <c r="M24" i="8"/>
  <c r="C24" i="8"/>
  <c r="E24" i="8"/>
  <c r="D25" i="8"/>
  <c r="F36" i="8"/>
  <c r="L24" i="8" l="1"/>
  <c r="I24" i="8" s="1"/>
  <c r="M25" i="8"/>
  <c r="J25" i="8"/>
  <c r="C25" i="8"/>
  <c r="E25" i="8"/>
  <c r="D26" i="8"/>
  <c r="F37" i="8"/>
  <c r="L25" i="8" l="1"/>
  <c r="I25" i="8" s="1"/>
  <c r="M26" i="8"/>
  <c r="J26" i="8"/>
  <c r="C26" i="8"/>
  <c r="E26" i="8"/>
  <c r="D27" i="8"/>
  <c r="F38" i="8"/>
  <c r="L26" i="8" l="1"/>
  <c r="I26" i="8" s="1"/>
  <c r="M27" i="8"/>
  <c r="J27" i="8"/>
  <c r="E27" i="8"/>
  <c r="C27" i="8"/>
  <c r="D28" i="8"/>
  <c r="F39" i="8"/>
  <c r="L27" i="8" l="1"/>
  <c r="I27" i="8" s="1"/>
  <c r="M28" i="8"/>
  <c r="J28" i="8"/>
  <c r="E28" i="8"/>
  <c r="C28" i="8"/>
  <c r="D29" i="8"/>
  <c r="F40" i="8"/>
  <c r="L28" i="8" l="1"/>
  <c r="I28" i="8" s="1"/>
  <c r="J29" i="8"/>
  <c r="M29" i="8"/>
  <c r="E29" i="8"/>
  <c r="C29" i="8"/>
  <c r="D30" i="8"/>
  <c r="F41" i="8"/>
  <c r="L29" i="8" l="1"/>
  <c r="I29" i="8" s="1"/>
  <c r="J30" i="8"/>
  <c r="M30" i="8"/>
  <c r="E30" i="8"/>
  <c r="C30" i="8"/>
  <c r="D31" i="8"/>
  <c r="F42" i="8"/>
  <c r="L30" i="8" l="1"/>
  <c r="I30" i="8" s="1"/>
  <c r="J31" i="8"/>
  <c r="M31" i="8"/>
  <c r="E31" i="8"/>
  <c r="C31" i="8"/>
  <c r="D32" i="8"/>
  <c r="F43" i="8"/>
  <c r="F44" i="8" s="1"/>
  <c r="F45" i="8" s="1"/>
  <c r="F46" i="8" s="1"/>
  <c r="F47" i="8" s="1"/>
  <c r="F48" i="8" s="1"/>
  <c r="F49" i="8" s="1"/>
  <c r="F50" i="8" s="1"/>
  <c r="F51" i="8" s="1"/>
  <c r="F52" i="8" s="1"/>
  <c r="F53" i="8" s="1"/>
  <c r="F54" i="8" s="1"/>
  <c r="F55" i="8" s="1"/>
  <c r="F56" i="8" s="1"/>
  <c r="F57" i="8" s="1"/>
  <c r="F58" i="8" s="1"/>
  <c r="F59" i="8" s="1"/>
  <c r="F60" i="8" s="1"/>
  <c r="F61" i="8" s="1"/>
  <c r="F62" i="8" s="1"/>
  <c r="F63" i="8" s="1"/>
  <c r="F64" i="8" s="1"/>
  <c r="F65" i="8" s="1"/>
  <c r="F66" i="8" s="1"/>
  <c r="F67" i="8" s="1"/>
  <c r="F68" i="8" s="1"/>
  <c r="F69" i="8" s="1"/>
  <c r="F70" i="8" s="1"/>
  <c r="F71" i="8" s="1"/>
  <c r="F72" i="8" s="1"/>
  <c r="F73" i="8" s="1"/>
  <c r="F74" i="8" s="1"/>
  <c r="F75" i="8" s="1"/>
  <c r="F76" i="8" s="1"/>
  <c r="F77" i="8" s="1"/>
  <c r="L31" i="8" l="1"/>
  <c r="I31" i="8" s="1"/>
  <c r="J32" i="8"/>
  <c r="M32" i="8"/>
  <c r="F78" i="8"/>
  <c r="E32" i="8"/>
  <c r="C32" i="8"/>
  <c r="D33" i="8"/>
  <c r="L32" i="8" l="1"/>
  <c r="I32" i="8" s="1"/>
  <c r="J33" i="8"/>
  <c r="M33" i="8"/>
  <c r="F79" i="8"/>
  <c r="C33" i="8"/>
  <c r="E33" i="8"/>
  <c r="D34" i="8"/>
  <c r="L33" i="8" l="1"/>
  <c r="I33" i="8" s="1"/>
  <c r="J34" i="8"/>
  <c r="M34" i="8"/>
  <c r="F80" i="8"/>
  <c r="C34" i="8"/>
  <c r="E34" i="8"/>
  <c r="D35" i="8"/>
  <c r="L34" i="8" l="1"/>
  <c r="I34" i="8" s="1"/>
  <c r="M35" i="8"/>
  <c r="J35" i="8"/>
  <c r="F81" i="8"/>
  <c r="E35" i="8"/>
  <c r="C35" i="8"/>
  <c r="D36" i="8"/>
  <c r="L35" i="8" l="1"/>
  <c r="I35" i="8" s="1"/>
  <c r="J36" i="8"/>
  <c r="M36" i="8"/>
  <c r="F82" i="8"/>
  <c r="F83" i="8" s="1"/>
  <c r="F84" i="8" s="1"/>
  <c r="F85" i="8" s="1"/>
  <c r="F86" i="8" s="1"/>
  <c r="F87" i="8" s="1"/>
  <c r="F88" i="8" s="1"/>
  <c r="F89" i="8" s="1"/>
  <c r="F90" i="8" s="1"/>
  <c r="F91" i="8" s="1"/>
  <c r="F92" i="8" s="1"/>
  <c r="F93" i="8" s="1"/>
  <c r="F94" i="8" s="1"/>
  <c r="F95" i="8" s="1"/>
  <c r="F96" i="8" s="1"/>
  <c r="F97" i="8" s="1"/>
  <c r="F98" i="8" s="1"/>
  <c r="F99" i="8" s="1"/>
  <c r="F100" i="8" s="1"/>
  <c r="F101" i="8" s="1"/>
  <c r="F102" i="8" s="1"/>
  <c r="F103" i="8" s="1"/>
  <c r="F104" i="8" s="1"/>
  <c r="E36" i="8"/>
  <c r="C36" i="8"/>
  <c r="D37" i="8"/>
  <c r="L36" i="8" l="1"/>
  <c r="I36" i="8" s="1"/>
  <c r="J37" i="8"/>
  <c r="M37" i="8"/>
  <c r="E37" i="8"/>
  <c r="C37" i="8"/>
  <c r="D38" i="8"/>
  <c r="L37" i="8" l="1"/>
  <c r="I37" i="8" s="1"/>
  <c r="M38" i="8"/>
  <c r="J38" i="8"/>
  <c r="E38" i="8"/>
  <c r="C38" i="8"/>
  <c r="D39" i="8"/>
  <c r="L38" i="8" l="1"/>
  <c r="I38" i="8" s="1"/>
  <c r="M39" i="8"/>
  <c r="J39" i="8"/>
  <c r="E39" i="8"/>
  <c r="C39" i="8"/>
  <c r="D40" i="8"/>
  <c r="L39" i="8" l="1"/>
  <c r="I39" i="8" s="1"/>
  <c r="M40" i="8"/>
  <c r="J40" i="8"/>
  <c r="C40" i="8"/>
  <c r="E40" i="8"/>
  <c r="D41" i="8"/>
  <c r="L40" i="8" l="1"/>
  <c r="I40" i="8" s="1"/>
  <c r="M41" i="8"/>
  <c r="J41" i="8"/>
  <c r="C41" i="8"/>
  <c r="E41" i="8"/>
  <c r="D42" i="8"/>
  <c r="J42" i="8" l="1"/>
  <c r="M42" i="8"/>
  <c r="L41" i="8"/>
  <c r="I41" i="8" s="1"/>
  <c r="C42" i="8"/>
  <c r="E42" i="8"/>
  <c r="D43" i="8"/>
  <c r="L42" i="8" l="1"/>
  <c r="I42" i="8" s="1"/>
  <c r="D44" i="8"/>
  <c r="E44" i="8" s="1"/>
  <c r="M43" i="8"/>
  <c r="J43" i="8"/>
  <c r="E43" i="8"/>
  <c r="C43" i="8"/>
  <c r="G6" i="8"/>
  <c r="G7" i="8" s="1"/>
  <c r="G8" i="8" s="1"/>
  <c r="G9" i="8" s="1"/>
  <c r="G10" i="8" s="1"/>
  <c r="G11" i="8" s="1"/>
  <c r="G12" i="8" s="1"/>
  <c r="G13" i="8" s="1"/>
  <c r="G14" i="8" s="1"/>
  <c r="G15" i="8" s="1"/>
  <c r="G16" i="8" s="1"/>
  <c r="G17" i="8" s="1"/>
  <c r="G18" i="8" s="1"/>
  <c r="G19" i="8" s="1"/>
  <c r="G20" i="8" s="1"/>
  <c r="G21" i="8" s="1"/>
  <c r="G22" i="8" s="1"/>
  <c r="G23" i="8" s="1"/>
  <c r="G24" i="8" s="1"/>
  <c r="G25" i="8" s="1"/>
  <c r="G26" i="8" s="1"/>
  <c r="G27" i="8" s="1"/>
  <c r="G28" i="8" s="1"/>
  <c r="G29" i="8" s="1"/>
  <c r="G30" i="8" s="1"/>
  <c r="G31" i="8" s="1"/>
  <c r="G32" i="8" s="1"/>
  <c r="G33" i="8" s="1"/>
  <c r="G34" i="8" s="1"/>
  <c r="G35" i="8" s="1"/>
  <c r="G36" i="8" s="1"/>
  <c r="G37" i="8" s="1"/>
  <c r="G38" i="8" s="1"/>
  <c r="G39" i="8" s="1"/>
  <c r="G40" i="8" s="1"/>
  <c r="G41" i="8" s="1"/>
  <c r="G42" i="8" s="1"/>
  <c r="L43" i="8" l="1"/>
  <c r="I43" i="8" s="1"/>
  <c r="D45" i="8"/>
  <c r="C45" i="8" s="1"/>
  <c r="C44" i="8"/>
  <c r="L44" i="8" s="1"/>
  <c r="J44" i="8"/>
  <c r="M44" i="8"/>
  <c r="G43" i="8"/>
  <c r="G44" i="8" s="1"/>
  <c r="D46" i="8" l="1"/>
  <c r="M46" i="8" s="1"/>
  <c r="M45" i="8"/>
  <c r="J45" i="8"/>
  <c r="E45" i="8"/>
  <c r="L45" i="8" s="1"/>
  <c r="I44" i="8"/>
  <c r="E46" i="8" l="1"/>
  <c r="C46" i="8"/>
  <c r="D47" i="8"/>
  <c r="C47" i="8" s="1"/>
  <c r="J46" i="8"/>
  <c r="G45" i="8"/>
  <c r="I45" i="8"/>
  <c r="D48" i="8" l="1"/>
  <c r="J48" i="8" s="1"/>
  <c r="M47" i="8"/>
  <c r="J47" i="8"/>
  <c r="E47" i="8"/>
  <c r="G46" i="8"/>
  <c r="L46" i="8"/>
  <c r="I46" i="8" s="1"/>
  <c r="D49" i="8" l="1"/>
  <c r="J49" i="8" s="1"/>
  <c r="C48" i="8"/>
  <c r="E48" i="8"/>
  <c r="G47" i="8"/>
  <c r="M48" i="8"/>
  <c r="L47" i="8"/>
  <c r="I47" i="8" s="1"/>
  <c r="D50" i="8" l="1"/>
  <c r="M50" i="8" s="1"/>
  <c r="E49" i="8"/>
  <c r="C49" i="8"/>
  <c r="L48" i="8"/>
  <c r="I48" i="8" s="1"/>
  <c r="M49" i="8"/>
  <c r="G48" i="8"/>
  <c r="C50" i="8" l="1"/>
  <c r="E50" i="8"/>
  <c r="D51" i="8"/>
  <c r="J51" i="8" s="1"/>
  <c r="J50" i="8"/>
  <c r="G49" i="8"/>
  <c r="L49" i="8"/>
  <c r="I49" i="8" s="1"/>
  <c r="L50" i="8" l="1"/>
  <c r="I50" i="8" s="1"/>
  <c r="D52" i="8"/>
  <c r="M52" i="8" s="1"/>
  <c r="C51" i="8"/>
  <c r="E51" i="8"/>
  <c r="M51" i="8"/>
  <c r="G50" i="8"/>
  <c r="C52" i="8" l="1"/>
  <c r="E52" i="8"/>
  <c r="D53" i="8"/>
  <c r="M53" i="8" s="1"/>
  <c r="J52" i="8"/>
  <c r="L51" i="8"/>
  <c r="I51" i="8" s="1"/>
  <c r="G51" i="8"/>
  <c r="E53" i="8" l="1"/>
  <c r="L52" i="8"/>
  <c r="I52" i="8" s="1"/>
  <c r="J53" i="8"/>
  <c r="G52" i="8"/>
  <c r="C53" i="8"/>
  <c r="D54" i="8"/>
  <c r="M54" i="8" s="1"/>
  <c r="L53" i="8" l="1"/>
  <c r="I53" i="8" s="1"/>
  <c r="G53" i="8"/>
  <c r="E54" i="8"/>
  <c r="J54" i="8"/>
  <c r="D55" i="8"/>
  <c r="D56" i="8" s="1"/>
  <c r="C54" i="8"/>
  <c r="G54" i="8" l="1"/>
  <c r="E55" i="8"/>
  <c r="J55" i="8"/>
  <c r="M55" i="8"/>
  <c r="C55" i="8"/>
  <c r="L54" i="8"/>
  <c r="I54" i="8" s="1"/>
  <c r="J56" i="8"/>
  <c r="M56" i="8"/>
  <c r="E56" i="8"/>
  <c r="C56" i="8"/>
  <c r="D57" i="8"/>
  <c r="G55" i="8" l="1"/>
  <c r="G56" i="8" s="1"/>
  <c r="L55" i="8"/>
  <c r="I55" i="8" s="1"/>
  <c r="L56" i="8"/>
  <c r="I56" i="8" s="1"/>
  <c r="J57" i="8"/>
  <c r="M57" i="8"/>
  <c r="D58" i="8"/>
  <c r="E57" i="8"/>
  <c r="C57" i="8"/>
  <c r="M58" i="8" l="1"/>
  <c r="J58" i="8"/>
  <c r="G57" i="8"/>
  <c r="L57" i="8"/>
  <c r="I57" i="8" s="1"/>
  <c r="D59" i="8"/>
  <c r="C58" i="8"/>
  <c r="E58" i="8"/>
  <c r="L58" i="8" l="1"/>
  <c r="I58" i="8" s="1"/>
  <c r="J59" i="8"/>
  <c r="M59" i="8"/>
  <c r="G58" i="8"/>
  <c r="E59" i="8"/>
  <c r="C59" i="8"/>
  <c r="D60" i="8"/>
  <c r="J60" i="8" l="1"/>
  <c r="M60" i="8"/>
  <c r="G59" i="8"/>
  <c r="L59" i="8"/>
  <c r="I59" i="8" s="1"/>
  <c r="C60" i="8"/>
  <c r="E60" i="8"/>
  <c r="D61" i="8"/>
  <c r="G60" i="8" l="1"/>
  <c r="L60" i="8"/>
  <c r="I60" i="8" s="1"/>
  <c r="J61" i="8"/>
  <c r="M61" i="8"/>
  <c r="D62" i="8"/>
  <c r="C61" i="8"/>
  <c r="E61" i="8"/>
  <c r="J62" i="8" l="1"/>
  <c r="M62" i="8"/>
  <c r="G61" i="8"/>
  <c r="L61" i="8"/>
  <c r="I61" i="8" s="1"/>
  <c r="D63" i="8"/>
  <c r="E62" i="8"/>
  <c r="C62" i="8"/>
  <c r="G62" i="8" l="1"/>
  <c r="L62" i="8"/>
  <c r="I62" i="8" s="1"/>
  <c r="J63" i="8"/>
  <c r="M63" i="8"/>
  <c r="D64" i="8"/>
  <c r="E63" i="8"/>
  <c r="C63" i="8"/>
  <c r="L63" i="8" l="1"/>
  <c r="I63" i="8" s="1"/>
  <c r="J64" i="8"/>
  <c r="M64" i="8"/>
  <c r="G63" i="8"/>
  <c r="E64" i="8"/>
  <c r="C64" i="8"/>
  <c r="D65" i="8"/>
  <c r="L64" i="8" l="1"/>
  <c r="I64" i="8" s="1"/>
  <c r="J65" i="8"/>
  <c r="M65" i="8"/>
  <c r="C65" i="8"/>
  <c r="E65" i="8"/>
  <c r="D66" i="8"/>
  <c r="G64" i="8"/>
  <c r="J66" i="8" l="1"/>
  <c r="M66" i="8"/>
  <c r="G65" i="8"/>
  <c r="L65" i="8"/>
  <c r="I65" i="8" s="1"/>
  <c r="D67" i="8"/>
  <c r="C66" i="8"/>
  <c r="E66" i="8"/>
  <c r="L66" i="8" l="1"/>
  <c r="I66" i="8" s="1"/>
  <c r="M67" i="8"/>
  <c r="J67" i="8"/>
  <c r="G66" i="8"/>
  <c r="E67" i="8"/>
  <c r="C67" i="8"/>
  <c r="D68" i="8"/>
  <c r="G67" i="8" l="1"/>
  <c r="L67" i="8"/>
  <c r="I67" i="8" s="1"/>
  <c r="J68" i="8"/>
  <c r="M68" i="8"/>
  <c r="C68" i="8"/>
  <c r="E68" i="8"/>
  <c r="D69" i="8"/>
  <c r="L68" i="8" l="1"/>
  <c r="I68" i="8" s="1"/>
  <c r="J69" i="8"/>
  <c r="M69" i="8"/>
  <c r="G68" i="8"/>
  <c r="D70" i="8"/>
  <c r="C69" i="8"/>
  <c r="E69" i="8"/>
  <c r="L69" i="8" l="1"/>
  <c r="I69" i="8" s="1"/>
  <c r="J70" i="8"/>
  <c r="M70" i="8"/>
  <c r="D71" i="8"/>
  <c r="C70" i="8"/>
  <c r="E70" i="8"/>
  <c r="G69" i="8"/>
  <c r="G70" i="8" l="1"/>
  <c r="L70" i="8"/>
  <c r="I70" i="8" s="1"/>
  <c r="J71" i="8"/>
  <c r="M71" i="8"/>
  <c r="E71" i="8"/>
  <c r="C71" i="8"/>
  <c r="D72" i="8"/>
  <c r="J72" i="8" l="1"/>
  <c r="M72" i="8"/>
  <c r="G71" i="8"/>
  <c r="L71" i="8"/>
  <c r="I71" i="8" s="1"/>
  <c r="E72" i="8"/>
  <c r="C72" i="8"/>
  <c r="D73" i="8"/>
  <c r="M73" i="8" l="1"/>
  <c r="J73" i="8"/>
  <c r="G72" i="8"/>
  <c r="L72" i="8"/>
  <c r="I72" i="8" s="1"/>
  <c r="C73" i="8"/>
  <c r="E73" i="8"/>
  <c r="D74" i="8"/>
  <c r="L73" i="8" l="1"/>
  <c r="I73" i="8" s="1"/>
  <c r="M74" i="8"/>
  <c r="J74" i="8"/>
  <c r="G73" i="8"/>
  <c r="D75" i="8"/>
  <c r="C74" i="8"/>
  <c r="E74" i="8"/>
  <c r="G74" i="8" l="1"/>
  <c r="L74" i="8"/>
  <c r="I74" i="8" s="1"/>
  <c r="M75" i="8"/>
  <c r="J75" i="8"/>
  <c r="E75" i="8"/>
  <c r="C75" i="8"/>
  <c r="D76" i="8"/>
  <c r="J76" i="8" l="1"/>
  <c r="M76" i="8"/>
  <c r="G75" i="8"/>
  <c r="L75" i="8"/>
  <c r="I75" i="8" s="1"/>
  <c r="C76" i="8"/>
  <c r="D77" i="8"/>
  <c r="E76" i="8"/>
  <c r="G76" i="8" l="1"/>
  <c r="L76" i="8"/>
  <c r="I76" i="8" s="1"/>
  <c r="M77" i="8"/>
  <c r="J77" i="8"/>
  <c r="C77" i="8"/>
  <c r="E77" i="8"/>
  <c r="D78" i="8"/>
  <c r="L77" i="8" l="1"/>
  <c r="I77" i="8" s="1"/>
  <c r="M78" i="8"/>
  <c r="J78" i="8"/>
  <c r="G77" i="8"/>
  <c r="D79" i="8"/>
  <c r="C78" i="8"/>
  <c r="E78" i="8"/>
  <c r="L78" i="8" l="1"/>
  <c r="I78" i="8" s="1"/>
  <c r="M79" i="8"/>
  <c r="J79" i="8"/>
  <c r="G78" i="8"/>
  <c r="C79" i="8"/>
  <c r="E79" i="8"/>
  <c r="D80" i="8"/>
  <c r="J80" i="8" l="1"/>
  <c r="M80" i="8"/>
  <c r="G79" i="8"/>
  <c r="L79" i="8"/>
  <c r="I79" i="8" s="1"/>
  <c r="E80" i="8"/>
  <c r="C80" i="8"/>
  <c r="D81" i="8"/>
  <c r="L80" i="8" l="1"/>
  <c r="I80" i="8" s="1"/>
  <c r="M81" i="8"/>
  <c r="J81" i="8"/>
  <c r="G80" i="8"/>
  <c r="E81" i="8"/>
  <c r="C81" i="8"/>
  <c r="D82" i="8"/>
  <c r="D83" i="8" s="1"/>
  <c r="E83" i="8" l="1"/>
  <c r="C83" i="8"/>
  <c r="M83" i="8"/>
  <c r="D84" i="8"/>
  <c r="J83" i="8"/>
  <c r="G81" i="8"/>
  <c r="L81" i="8"/>
  <c r="I81" i="8" s="1"/>
  <c r="J82" i="8"/>
  <c r="M82" i="8"/>
  <c r="E82" i="8"/>
  <c r="C82" i="8"/>
  <c r="L83" i="8" l="1"/>
  <c r="I83" i="8" s="1"/>
  <c r="C84" i="8"/>
  <c r="M84" i="8"/>
  <c r="J84" i="8"/>
  <c r="E84" i="8"/>
  <c r="D85" i="8"/>
  <c r="G82" i="8"/>
  <c r="G83" i="8" s="1"/>
  <c r="L82" i="8"/>
  <c r="I82" i="8" s="1"/>
  <c r="G84" i="8" l="1"/>
  <c r="L84" i="8"/>
  <c r="I84" i="8" s="1"/>
  <c r="J85" i="8"/>
  <c r="C85" i="8"/>
  <c r="M85" i="8"/>
  <c r="E85" i="8"/>
  <c r="D86" i="8"/>
  <c r="J86" i="8" l="1"/>
  <c r="M86" i="8"/>
  <c r="E86" i="8"/>
  <c r="C86" i="8"/>
  <c r="D87" i="8"/>
  <c r="L85" i="8"/>
  <c r="I85" i="8" s="1"/>
  <c r="G85" i="8"/>
  <c r="G86" i="8" l="1"/>
  <c r="E87" i="8"/>
  <c r="C87" i="8"/>
  <c r="M87" i="8"/>
  <c r="J87" i="8"/>
  <c r="D88" i="8"/>
  <c r="D89" i="8" s="1"/>
  <c r="L86" i="8"/>
  <c r="I86" i="8" s="1"/>
  <c r="M89" i="8" l="1"/>
  <c r="J89" i="8"/>
  <c r="D90" i="8"/>
  <c r="C89" i="8"/>
  <c r="E89" i="8"/>
  <c r="G87" i="8"/>
  <c r="C88" i="8"/>
  <c r="M88" i="8"/>
  <c r="E88" i="8"/>
  <c r="J88" i="8"/>
  <c r="L87" i="8"/>
  <c r="I87" i="8" s="1"/>
  <c r="L89" i="8" l="1"/>
  <c r="I89" i="8" s="1"/>
  <c r="M90" i="8"/>
  <c r="J90" i="8"/>
  <c r="C90" i="8"/>
  <c r="D91" i="8"/>
  <c r="E90" i="8"/>
  <c r="L88" i="8"/>
  <c r="I88" i="8" s="1"/>
  <c r="A5" i="8" s="1"/>
  <c r="G88" i="8"/>
  <c r="G89" i="8" s="1"/>
  <c r="L90" i="8" l="1"/>
  <c r="I90" i="8" s="1"/>
  <c r="G90" i="8"/>
  <c r="M91" i="8"/>
  <c r="J91" i="8"/>
  <c r="D92" i="8"/>
  <c r="C91" i="8"/>
  <c r="E91" i="8"/>
  <c r="M92" i="8" l="1"/>
  <c r="D93" i="8"/>
  <c r="C92" i="8"/>
  <c r="J92" i="8"/>
  <c r="E92" i="8"/>
  <c r="L91" i="8"/>
  <c r="I91" i="8" s="1"/>
  <c r="G91" i="8"/>
  <c r="G92" i="8" l="1"/>
  <c r="L92" i="8"/>
  <c r="I92" i="8" s="1"/>
  <c r="M93" i="8"/>
  <c r="D94" i="8"/>
  <c r="C93" i="8"/>
  <c r="J93" i="8"/>
  <c r="E93" i="8"/>
  <c r="G93" i="8" l="1"/>
  <c r="M94" i="8"/>
  <c r="C94" i="8"/>
  <c r="D95" i="8"/>
  <c r="J94" i="8"/>
  <c r="E94" i="8"/>
  <c r="L93" i="8"/>
  <c r="I93" i="8" s="1"/>
  <c r="G94" i="8" l="1"/>
  <c r="L94" i="8"/>
  <c r="I94" i="8" s="1"/>
  <c r="J95" i="8"/>
  <c r="D96" i="8"/>
  <c r="E95" i="8"/>
  <c r="M95" i="8"/>
  <c r="C95" i="8"/>
  <c r="L95" i="8" l="1"/>
  <c r="I95" i="8" s="1"/>
  <c r="M96" i="8"/>
  <c r="D97" i="8"/>
  <c r="E96" i="8"/>
  <c r="C96" i="8"/>
  <c r="J96" i="8"/>
  <c r="G95" i="8"/>
  <c r="L96" i="8" l="1"/>
  <c r="I96" i="8" s="1"/>
  <c r="M97" i="8"/>
  <c r="J97" i="8"/>
  <c r="C97" i="8"/>
  <c r="D98" i="8"/>
  <c r="E97" i="8"/>
  <c r="G96" i="8"/>
  <c r="J98" i="8" l="1"/>
  <c r="D99" i="8"/>
  <c r="E98" i="8"/>
  <c r="M98" i="8"/>
  <c r="C98" i="8"/>
  <c r="L97" i="8"/>
  <c r="I97" i="8" s="1"/>
  <c r="G97" i="8"/>
  <c r="G98" i="8" l="1"/>
  <c r="L98" i="8"/>
  <c r="I98" i="8" s="1"/>
  <c r="M99" i="8"/>
  <c r="C99" i="8"/>
  <c r="D100" i="8"/>
  <c r="J99" i="8"/>
  <c r="E99" i="8"/>
  <c r="M100" i="8" l="1"/>
  <c r="C100" i="8"/>
  <c r="D101" i="8"/>
  <c r="J100" i="8"/>
  <c r="E100" i="8"/>
  <c r="L99" i="8"/>
  <c r="I99" i="8" s="1"/>
  <c r="G99" i="8"/>
  <c r="G100" i="8" l="1"/>
  <c r="L100" i="8"/>
  <c r="I100" i="8" s="1"/>
  <c r="M101" i="8"/>
  <c r="J101" i="8"/>
  <c r="D102" i="8"/>
  <c r="D103" i="8" s="1"/>
  <c r="C101" i="8"/>
  <c r="E101" i="8"/>
  <c r="G101" i="8" l="1"/>
  <c r="E103" i="8"/>
  <c r="D104" i="8"/>
  <c r="M103" i="8"/>
  <c r="C103" i="8"/>
  <c r="J103" i="8"/>
  <c r="M102" i="8"/>
  <c r="J102" i="8"/>
  <c r="C102" i="8"/>
  <c r="E102" i="8"/>
  <c r="L101" i="8"/>
  <c r="I101" i="8" s="1"/>
  <c r="L102" i="8" l="1"/>
  <c r="I102" i="8" s="1"/>
  <c r="M104" i="8"/>
  <c r="J104" i="8"/>
  <c r="C104" i="8"/>
  <c r="E104" i="8"/>
  <c r="L103" i="8"/>
  <c r="I103" i="8" s="1"/>
  <c r="G102" i="8"/>
  <c r="G103" i="8" s="1"/>
  <c r="G104" i="8" l="1"/>
  <c r="L104" i="8"/>
  <c r="I104" i="8" s="1"/>
</calcChain>
</file>

<file path=xl/sharedStrings.xml><?xml version="1.0" encoding="utf-8"?>
<sst xmlns="http://schemas.openxmlformats.org/spreadsheetml/2006/main" count="6" uniqueCount="5">
  <si>
    <t>Date</t>
  </si>
  <si>
    <t xml:space="preserve">Shift </t>
  </si>
  <si>
    <t>Month</t>
  </si>
  <si>
    <t>SHIFT</t>
  </si>
  <si>
    <t>BL2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</si>
</sst>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4"/>
  <sheetViews>
    <sheetView tabSelected="1" topLeftCell="A88" workbookViewId="0">
      <selection activeCell="A104" sqref="A104:XFD104"/>
    </sheetView>
  </sheetViews>
  <sheetFormatPr defaultRowHeight="15" x14ac:dyDescent="0.25"/>
  <cols>
    <col min="1" max="1" width="62.28515625" customWidth="1"/>
    <col min="2" max="2" width="53.42578125" customWidth="1"/>
    <col min="3" max="3" width="9.140625" style="2"/>
    <col min="4" max="4" width="10.42578125" style="2" bestFit="1" customWidth="1"/>
    <col min="5" max="6" width="9.140625" style="2"/>
    <col min="9" max="9" width="50" bestFit="1" customWidth="1"/>
  </cols>
  <sheetData>
    <row r="1" spans="1:13" x14ac:dyDescent="0.25">
      <c r="A1" t="s">
        <v>0</v>
      </c>
      <c r="B1" s="4">
        <v>44691</v>
      </c>
      <c r="C1" s="2" t="s">
        <v>2</v>
      </c>
      <c r="E1" s="2" t="s">
        <v>0</v>
      </c>
      <c r="F1" s="2" t="s">
        <v>1</v>
      </c>
      <c r="I1">
        <v>1</v>
      </c>
    </row>
    <row r="2" spans="1:13" x14ac:dyDescent="0.25">
      <c r="A2" t="s">
        <v>4</v>
      </c>
      <c r="C2" s="3" t="str">
        <f>TEXT(D2,"mmmm")</f>
        <v>May</v>
      </c>
      <c r="D2" s="1">
        <f>B1</f>
        <v>44691</v>
      </c>
      <c r="E2" s="2" t="str">
        <f>TEXT(D2,"DD")</f>
        <v>10</v>
      </c>
      <c r="F2" s="2">
        <f>B3</f>
        <v>1</v>
      </c>
    </row>
    <row r="3" spans="1:13" x14ac:dyDescent="0.25">
      <c r="A3" t="s">
        <v>3</v>
      </c>
      <c r="B3">
        <v>1</v>
      </c>
      <c r="C3" s="3" t="str">
        <f t="shared" ref="C3:C43" si="0">TEXT(D3,"mmmm")</f>
        <v>May</v>
      </c>
      <c r="D3" s="1">
        <f>IF(F2=1,D2-1,IF(OR(F2=3,F2=2),D2))</f>
        <v>44690</v>
      </c>
      <c r="E3" s="2" t="str">
        <f t="shared" ref="E3:E43" si="1">TEXT(D3,"DD")</f>
        <v>09</v>
      </c>
      <c r="F3" s="2">
        <f>IF(F2=1,3,IF(F2=2,1,IF(F2=3,2)))</f>
        <v>3</v>
      </c>
      <c r="G3">
        <f>IF(D2=D3,$I$1+1,1)</f>
        <v>1</v>
      </c>
      <c r="I3" t="str">
        <f>M3&amp;"*"&amp;J3&amp;"*"&amp;K3&amp;"*"&amp;L3</f>
        <v>2022*05 May*BL2*BL2 Time Plan 09-May Shift-3</v>
      </c>
      <c r="J3" t="str">
        <f>TEXT(D3,"MM MMMM")</f>
        <v>05 May</v>
      </c>
      <c r="K3" t="str">
        <f>$A$2</f>
        <v>BL2</v>
      </c>
      <c r="L3" t="str">
        <f>CONCATENATE($A$2," ","Time Plan ",E3&amp;"-"&amp;C3&amp;" Shift-"&amp;F3)</f>
        <v>BL2 Time Plan 09-May Shift-3</v>
      </c>
      <c r="M3" t="str">
        <f>TEXT(D3,"YYYY")</f>
        <v>2022</v>
      </c>
    </row>
    <row r="4" spans="1:13" x14ac:dyDescent="0.25">
      <c r="B4" s="5"/>
      <c r="C4" s="3" t="str">
        <f t="shared" si="0"/>
        <v>May</v>
      </c>
      <c r="D4" s="1">
        <f t="shared" ref="D4:D43" si="2">IF(F3=1,D3-1,IF(OR(F3=3,F3=2),D3))</f>
        <v>44690</v>
      </c>
      <c r="E4" s="2" t="str">
        <f t="shared" si="1"/>
        <v>09</v>
      </c>
      <c r="F4" s="2">
        <f t="shared" ref="F4:F7" si="3">IF(F3=1,3,IF(F3=2,1,IF(F3=3,2)))</f>
        <v>2</v>
      </c>
      <c r="G4">
        <f>IF(D3=D4,G3,G3+1)</f>
        <v>1</v>
      </c>
      <c r="I4" t="str">
        <f t="shared" ref="I4:I22" si="4">M4&amp;"*"&amp;J4&amp;"*"&amp;K4&amp;"*"&amp;L4</f>
        <v>2022*05 May*BL2*BL2 Time Plan 09-May Shift-2</v>
      </c>
      <c r="J4" t="str">
        <f t="shared" ref="J4:J22" si="5">TEXT(D4,"MM MMMM")</f>
        <v>05 May</v>
      </c>
      <c r="K4" t="str">
        <f t="shared" ref="K4:K67" si="6">$A$2</f>
        <v>BL2</v>
      </c>
      <c r="L4" t="str">
        <f t="shared" ref="L4:L22" si="7">CONCATENATE($A$2," ","Time Plan ",E4&amp;"-"&amp;C4&amp;" Shift-"&amp;F4)</f>
        <v>BL2 Time Plan 09-May Shift-2</v>
      </c>
      <c r="M4" t="str">
        <f t="shared" ref="M4:M22" si="8">TEXT(D4,"YYYY")</f>
        <v>2022</v>
      </c>
    </row>
    <row r="5" spans="1:13" x14ac:dyDescent="0.25">
      <c r="A5" t="str">
        <f>CONCATENATE(I3,"/",I4,"/",I5,"/",I6,"/",I7,"/",I8,"/",I9,"/",I10,"/",I11,"/",I12,"/",I13,"/",I14,"/",I15,"/",I16,"/",I17,"/",I18,"/",I19,"/",I20,"/",I21,"/",I22,"/",I23,"/",I24,"/",I25,"/",I26,"/",I27,"/",I28,"/",I29,"/",I30,"/",I31,"/",I32,"/",I33,"/",I34,"/",I35,"/",I36,"/",I37,"/",I38,"/",I39,"/",I40,"/",I41,"/",I42,"/",I43,"/",I44,"/",I45,"/",I46,"/",I47,"/",I48,"/",I49,"/",I50,"/",I51,"/",I52,"/",I53,"/",I54,"/",I55,"/",I56,"/",I57,"/",I58,"/",I59,"/",I60,"/",I61,"/",I62,"/",I63,"/",I64,"/",I65,"/",I66,"/",I67,"/",I68,"/",I69,"/",I70,"/",I71,"/",I72,"/",I73,"/",I74,"/",I75,"/",I76,"/",I77,"/",I78,"/",I79,"/",I80,"/",I81,"/",I82,"/",I83,"/",I84,"/",I85,"/",I86,"/",I87,"/",I88)</f>
        <v>2022*05 May*BL2*BL2 Time Plan 09-May Shift-3/2022*05 May*BL2*BL2 Time Plan 09-May Shift-2/2022*05 May*BL2*BL2 Time Plan 09-May Shift-1/2022*05 May*BL2*BL2 Time Plan 08-May Shift-3/2022*05 May*BL2*BL2 Time Plan 08-May Shift-2/2022*05 May*BL2*BL2 Time Plan 08-May Shift-1/2022*05 May*BL2*BL2 Time Plan 07-May Shift-3/2022*05 May*BL2*BL2 Time Plan 07-May Shift-2/2022*05 May*BL2*BL2 Time Plan 07-May Shift-1/2022*05 May*BL2*BL2 Time Plan 06-May Shift-3/2022*05 May*BL2*BL2 Time Plan 06-May Shift-2/2022*05 May*BL2*BL2 Time Plan 06-May Shift-1/2022*05 May*BL2*BL2 Time Plan 05-May Shift-3/2022*05 May*BL2*BL2 Time Plan 05-May Shift-2/2022*05 May*BL2*BL2 Time Plan 05-May Shift-1/2022*05 May*BL2*BL2 Time Plan 04-May Shift-3/2022*05 May*BL2*BL2 Time Plan 04-May Shift-2/2022*05 May*BL2*BL2 Time Plan 04-May Shift-1/2022*05 May*BL2*BL2 Time Plan 03-May Shift-3/2022*05 May*BL2*BL2 Time Plan 03-May Shift-2/2022*05 May*BL2*BL2 Time Plan 03-May Shift-1/2022*05 May*BL2*BL2 Time Plan 02-May Shift-3/2022*05 May*BL2*BL2 Time Plan 02-May Shift-2/2022*05 May*BL2*BL2 Time Plan 02-May Shift-1/2022*05 May*BL2*BL2 Time Plan 01-May Shift-3/2022*05 May*BL2*BL2 Time Plan 01-May Shift-2/2022*05 May*BL2*BL2 Time Plan 01-May Shift-1/2022*04 April*BL2*BL2 Time Plan 30-April Shift-3/2022*04 April*BL2*BL2 Time Plan 30-April Shift-2/2022*04 April*BL2*BL2 Time Plan 30-April Shift-1/2022*04 April*BL2*BL2 Time Plan 29-April Shift-3/2022*04 April*BL2*BL2 Time Plan 29-April Shift-2/2022*04 April*BL2*BL2 Time Plan 29-April Shift-1/2022*04 April*BL2*BL2 Time Plan 28-April Shift-3/2022*04 April*BL2*BL2 Time Plan 28-April Shift-2/2022*04 April*BL2*BL2 Time Plan 28-April Shift-1/2022*04 April*BL2*BL2 Time Plan 27-April Shift-3/2022*04 April*BL2*BL2 Time Plan 27-April Shift-2/2022*04 April*BL2*BL2 Time Plan 27-April Shift-1/2022*04 April*BL2*BL2 Time Plan 26-April Shift-3/2022*04 April*BL2*BL2 Time Plan 26-April Shift-2/2022*04 April*BL2*BL2 Time Plan 26-April Shift-1/2022*04 April*BL2*BL2 Time Plan 25-April Shift-3/2022*04 April*BL2*BL2 Time Plan 25-April Shift-2/2022*04 April*BL2*BL2 Time Plan 25-April Shift-1/2022*04 April*BL2*BL2 Time Plan 24-April Shift-3/2022*04 April*BL2*BL2 Time Plan 24-April Shift-2/2022*04 April*BL2*BL2 Time Plan 24-April Shift-1/2022*04 April*BL2*BL2 Time Plan 23-April Shift-3/2022*04 April*BL2*BL2 Time Plan 23-April Shift-2/2022*04 April*BL2*BL2 Time Plan 23-April Shift-1/2022*04 April*BL2*BL2 Time Plan 22-April Shift-3/2022*04 April*BL2*BL2 Time Plan 22-April Shift-2/2022*04 April*BL2*BL2 Time Plan 22-April Shift-1/2022*04 April*BL2*BL2 Time Plan 21-April Shift-3/2022*04 April*BL2*BL2 Time Plan 21-April Shift-2/2022*04 April*BL2*BL2 Time Plan 21-April Shift-1/2022*04 April*BL2*BL2 Time Plan 20-April Shift-3/2022*04 April*BL2*BL2 Time Plan 20-April Shift-2/2022*04 April*BL2*BL2 Time Plan 20-April Shift-1/2022*04 April*BL2*BL2 Time Plan 19-April Shift-3/2022*04 April*BL2*BL2 Time Plan 19-April Shift-2/2022*04 April*BL2*BL2 Time Plan 19-April Shift-1/2022*04 April*BL2*BL2 Time Plan 18-April Shift-3/2022*04 April*BL2*BL2 Time Plan 18-April Shift-2/2022*04 April*BL2*BL2 Time Plan 18-April Shift-1/2022*04 April*BL2*BL2 Time Plan 17-April Shift-3/2022*04 April*BL2*BL2 Time Plan 17-April Shift-2/2022*04 April*BL2*BL2 Time Plan 17-April Shift-1/2022*04 April*BL2*BL2 Time Plan 16-April Shift-3/2022*04 April*BL2*BL2 Time Plan 16-April Shift-2/2022*04 April*BL2*BL2 Time Plan 16-April Shift-1/2022*04 April*BL2*BL2 Time Plan 15-April Shift-3/2022*04 April*BL2*BL2 Time Plan 15-April Shift-2/2022*04 April*BL2*BL2 Time Plan 15-April Shift-1/2022*04 April*BL2*BL2 Time Plan 14-April Shift-3/2022*04 April*BL2*BL2 Time Plan 14-April Shift-2/2022*04 April*BL2*BL2 Time Plan 14-April Shift-1/2022*04 April*BL2*BL2 Time Plan 13-April Shift-3/2022*04 April*BL2*BL2 Time Plan 13-April Shift-2/2022*04 April*BL2*BL2 Time Plan 13-April Shift-1/2022*04 April*BL2*BL2 Time Plan 12-April Shift-3/2022*04 April*BL2*BL2 Time Plan 12-April Shift-2/2022*04 April*BL2*BL2 Time Plan 12-April Shift-1/2022*04 April*BL2*BL2 Time Plan 11-April Shift-3/2022*04 April*BL2*BL2 Time Plan 11-April Shift-2</v>
      </c>
      <c r="C5" s="3" t="str">
        <f t="shared" si="0"/>
        <v>May</v>
      </c>
      <c r="D5" s="1">
        <f t="shared" si="2"/>
        <v>44690</v>
      </c>
      <c r="E5" s="2" t="str">
        <f t="shared" si="1"/>
        <v>09</v>
      </c>
      <c r="F5" s="2">
        <f t="shared" si="3"/>
        <v>1</v>
      </c>
      <c r="G5">
        <f t="shared" ref="G5:G43" si="9">IF(E4=E5,G4+1,G4)</f>
        <v>2</v>
      </c>
      <c r="I5" t="str">
        <f t="shared" si="4"/>
        <v>2022*05 May*BL2*BL2 Time Plan 09-May Shift-1</v>
      </c>
      <c r="J5" t="str">
        <f t="shared" si="5"/>
        <v>05 May</v>
      </c>
      <c r="K5" t="str">
        <f t="shared" si="6"/>
        <v>BL2</v>
      </c>
      <c r="L5" t="str">
        <f t="shared" si="7"/>
        <v>BL2 Time Plan 09-May Shift-1</v>
      </c>
      <c r="M5" t="str">
        <f t="shared" si="8"/>
        <v>2022</v>
      </c>
    </row>
    <row r="6" spans="1:13" x14ac:dyDescent="0.25">
      <c r="C6" s="3" t="str">
        <f t="shared" si="0"/>
        <v>May</v>
      </c>
      <c r="D6" s="1">
        <f t="shared" si="2"/>
        <v>44689</v>
      </c>
      <c r="E6" s="2" t="str">
        <f t="shared" si="1"/>
        <v>08</v>
      </c>
      <c r="F6" s="2">
        <f>IF(F5=1,3,IF(F5=2,1,IF(F5=3,2)))</f>
        <v>3</v>
      </c>
      <c r="G6">
        <f t="shared" si="9"/>
        <v>2</v>
      </c>
      <c r="I6" t="str">
        <f t="shared" si="4"/>
        <v>2022*05 May*BL2*BL2 Time Plan 08-May Shift-3</v>
      </c>
      <c r="J6" t="str">
        <f t="shared" si="5"/>
        <v>05 May</v>
      </c>
      <c r="K6" t="str">
        <f t="shared" si="6"/>
        <v>BL2</v>
      </c>
      <c r="L6" t="str">
        <f t="shared" si="7"/>
        <v>BL2 Time Plan 08-May Shift-3</v>
      </c>
      <c r="M6" t="str">
        <f t="shared" si="8"/>
        <v>2022</v>
      </c>
    </row>
    <row r="7" spans="1:13" x14ac:dyDescent="0.25">
      <c r="C7" s="3" t="str">
        <f t="shared" si="0"/>
        <v>May</v>
      </c>
      <c r="D7" s="1">
        <f t="shared" si="2"/>
        <v>44689</v>
      </c>
      <c r="E7" s="2" t="str">
        <f t="shared" si="1"/>
        <v>08</v>
      </c>
      <c r="F7" s="2">
        <f t="shared" si="3"/>
        <v>2</v>
      </c>
      <c r="G7">
        <f t="shared" si="9"/>
        <v>3</v>
      </c>
      <c r="I7" t="str">
        <f t="shared" si="4"/>
        <v>2022*05 May*BL2*BL2 Time Plan 08-May Shift-2</v>
      </c>
      <c r="J7" t="str">
        <f t="shared" si="5"/>
        <v>05 May</v>
      </c>
      <c r="K7" t="str">
        <f t="shared" si="6"/>
        <v>BL2</v>
      </c>
      <c r="L7" t="str">
        <f t="shared" si="7"/>
        <v>BL2 Time Plan 08-May Shift-2</v>
      </c>
      <c r="M7" t="str">
        <f t="shared" si="8"/>
        <v>2022</v>
      </c>
    </row>
    <row r="8" spans="1:13" x14ac:dyDescent="0.25">
      <c r="C8" s="3" t="str">
        <f t="shared" si="0"/>
        <v>May</v>
      </c>
      <c r="D8" s="1">
        <f t="shared" si="2"/>
        <v>44689</v>
      </c>
      <c r="E8" s="2" t="str">
        <f t="shared" si="1"/>
        <v>08</v>
      </c>
      <c r="F8" s="2">
        <f>IF(F7=1,3,IF(F7=2,1,IF(F7=3,2)))</f>
        <v>1</v>
      </c>
      <c r="G8">
        <f t="shared" si="9"/>
        <v>4</v>
      </c>
      <c r="I8" t="str">
        <f t="shared" si="4"/>
        <v>2022*05 May*BL2*BL2 Time Plan 08-May Shift-1</v>
      </c>
      <c r="J8" t="str">
        <f t="shared" si="5"/>
        <v>05 May</v>
      </c>
      <c r="K8" t="str">
        <f t="shared" si="6"/>
        <v>BL2</v>
      </c>
      <c r="L8" t="str">
        <f t="shared" si="7"/>
        <v>BL2 Time Plan 08-May Shift-1</v>
      </c>
      <c r="M8" t="str">
        <f t="shared" si="8"/>
        <v>2022</v>
      </c>
    </row>
    <row r="9" spans="1:13" x14ac:dyDescent="0.25">
      <c r="C9" s="3" t="str">
        <f t="shared" si="0"/>
        <v>May</v>
      </c>
      <c r="D9" s="1">
        <f t="shared" si="2"/>
        <v>44688</v>
      </c>
      <c r="E9" s="2" t="str">
        <f t="shared" si="1"/>
        <v>07</v>
      </c>
      <c r="F9" s="2">
        <f t="shared" ref="F9:F15" si="10">IF(F8=1,3,IF(F8=2,1,IF(F8=3,2)))</f>
        <v>3</v>
      </c>
      <c r="G9">
        <f t="shared" si="9"/>
        <v>4</v>
      </c>
      <c r="I9" t="str">
        <f t="shared" si="4"/>
        <v>2022*05 May*BL2*BL2 Time Plan 07-May Shift-3</v>
      </c>
      <c r="J9" t="str">
        <f t="shared" si="5"/>
        <v>05 May</v>
      </c>
      <c r="K9" t="str">
        <f t="shared" si="6"/>
        <v>BL2</v>
      </c>
      <c r="L9" t="str">
        <f t="shared" si="7"/>
        <v>BL2 Time Plan 07-May Shift-3</v>
      </c>
      <c r="M9" t="str">
        <f t="shared" si="8"/>
        <v>2022</v>
      </c>
    </row>
    <row r="10" spans="1:13" x14ac:dyDescent="0.25">
      <c r="C10" s="3" t="str">
        <f t="shared" si="0"/>
        <v>May</v>
      </c>
      <c r="D10" s="1">
        <f t="shared" si="2"/>
        <v>44688</v>
      </c>
      <c r="E10" s="2" t="str">
        <f t="shared" si="1"/>
        <v>07</v>
      </c>
      <c r="F10" s="2">
        <f t="shared" si="10"/>
        <v>2</v>
      </c>
      <c r="G10">
        <f t="shared" si="9"/>
        <v>5</v>
      </c>
      <c r="I10" t="str">
        <f t="shared" si="4"/>
        <v>2022*05 May*BL2*BL2 Time Plan 07-May Shift-2</v>
      </c>
      <c r="J10" t="str">
        <f t="shared" si="5"/>
        <v>05 May</v>
      </c>
      <c r="K10" t="str">
        <f t="shared" si="6"/>
        <v>BL2</v>
      </c>
      <c r="L10" t="str">
        <f t="shared" si="7"/>
        <v>BL2 Time Plan 07-May Shift-2</v>
      </c>
      <c r="M10" t="str">
        <f t="shared" si="8"/>
        <v>2022</v>
      </c>
    </row>
    <row r="11" spans="1:13" x14ac:dyDescent="0.25">
      <c r="C11" s="3" t="str">
        <f t="shared" si="0"/>
        <v>May</v>
      </c>
      <c r="D11" s="1">
        <f t="shared" si="2"/>
        <v>44688</v>
      </c>
      <c r="E11" s="2" t="str">
        <f t="shared" si="1"/>
        <v>07</v>
      </c>
      <c r="F11" s="2">
        <f t="shared" si="10"/>
        <v>1</v>
      </c>
      <c r="G11">
        <f t="shared" si="9"/>
        <v>6</v>
      </c>
      <c r="I11" t="str">
        <f t="shared" si="4"/>
        <v>2022*05 May*BL2*BL2 Time Plan 07-May Shift-1</v>
      </c>
      <c r="J11" t="str">
        <f t="shared" si="5"/>
        <v>05 May</v>
      </c>
      <c r="K11" t="str">
        <f t="shared" si="6"/>
        <v>BL2</v>
      </c>
      <c r="L11" t="str">
        <f t="shared" si="7"/>
        <v>BL2 Time Plan 07-May Shift-1</v>
      </c>
      <c r="M11" t="str">
        <f t="shared" si="8"/>
        <v>2022</v>
      </c>
    </row>
    <row r="12" spans="1:13" x14ac:dyDescent="0.25">
      <c r="C12" s="3" t="str">
        <f t="shared" si="0"/>
        <v>May</v>
      </c>
      <c r="D12" s="1">
        <f t="shared" si="2"/>
        <v>44687</v>
      </c>
      <c r="E12" s="2" t="str">
        <f t="shared" si="1"/>
        <v>06</v>
      </c>
      <c r="F12" s="2">
        <f t="shared" si="10"/>
        <v>3</v>
      </c>
      <c r="G12">
        <f t="shared" si="9"/>
        <v>6</v>
      </c>
      <c r="I12" t="str">
        <f t="shared" si="4"/>
        <v>2022*05 May*BL2*BL2 Time Plan 06-May Shift-3</v>
      </c>
      <c r="J12" t="str">
        <f t="shared" si="5"/>
        <v>05 May</v>
      </c>
      <c r="K12" t="str">
        <f t="shared" si="6"/>
        <v>BL2</v>
      </c>
      <c r="L12" t="str">
        <f t="shared" si="7"/>
        <v>BL2 Time Plan 06-May Shift-3</v>
      </c>
      <c r="M12" t="str">
        <f t="shared" si="8"/>
        <v>2022</v>
      </c>
    </row>
    <row r="13" spans="1:13" x14ac:dyDescent="0.25">
      <c r="C13" s="3" t="str">
        <f t="shared" si="0"/>
        <v>May</v>
      </c>
      <c r="D13" s="1">
        <f t="shared" si="2"/>
        <v>44687</v>
      </c>
      <c r="E13" s="2" t="str">
        <f t="shared" si="1"/>
        <v>06</v>
      </c>
      <c r="F13" s="2">
        <f t="shared" si="10"/>
        <v>2</v>
      </c>
      <c r="G13">
        <f t="shared" si="9"/>
        <v>7</v>
      </c>
      <c r="I13" t="str">
        <f t="shared" si="4"/>
        <v>2022*05 May*BL2*BL2 Time Plan 06-May Shift-2</v>
      </c>
      <c r="J13" t="str">
        <f t="shared" si="5"/>
        <v>05 May</v>
      </c>
      <c r="K13" t="str">
        <f t="shared" si="6"/>
        <v>BL2</v>
      </c>
      <c r="L13" t="str">
        <f t="shared" si="7"/>
        <v>BL2 Time Plan 06-May Shift-2</v>
      </c>
      <c r="M13" t="str">
        <f t="shared" si="8"/>
        <v>2022</v>
      </c>
    </row>
    <row r="14" spans="1:13" x14ac:dyDescent="0.25">
      <c r="C14" s="3" t="str">
        <f t="shared" si="0"/>
        <v>May</v>
      </c>
      <c r="D14" s="1">
        <f t="shared" si="2"/>
        <v>44687</v>
      </c>
      <c r="E14" s="2" t="str">
        <f t="shared" si="1"/>
        <v>06</v>
      </c>
      <c r="F14" s="2">
        <f t="shared" si="10"/>
        <v>1</v>
      </c>
      <c r="G14">
        <f t="shared" si="9"/>
        <v>8</v>
      </c>
      <c r="I14" t="str">
        <f t="shared" si="4"/>
        <v>2022*05 May*BL2*BL2 Time Plan 06-May Shift-1</v>
      </c>
      <c r="J14" t="str">
        <f t="shared" si="5"/>
        <v>05 May</v>
      </c>
      <c r="K14" t="str">
        <f t="shared" si="6"/>
        <v>BL2</v>
      </c>
      <c r="L14" t="str">
        <f t="shared" si="7"/>
        <v>BL2 Time Plan 06-May Shift-1</v>
      </c>
      <c r="M14" t="str">
        <f t="shared" si="8"/>
        <v>2022</v>
      </c>
    </row>
    <row r="15" spans="1:13" x14ac:dyDescent="0.25">
      <c r="C15" s="3" t="str">
        <f t="shared" si="0"/>
        <v>May</v>
      </c>
      <c r="D15" s="1">
        <f t="shared" si="2"/>
        <v>44686</v>
      </c>
      <c r="E15" s="2" t="str">
        <f t="shared" si="1"/>
        <v>05</v>
      </c>
      <c r="F15" s="2">
        <f t="shared" si="10"/>
        <v>3</v>
      </c>
      <c r="G15">
        <f t="shared" si="9"/>
        <v>8</v>
      </c>
      <c r="I15" t="str">
        <f t="shared" si="4"/>
        <v>2022*05 May*BL2*BL2 Time Plan 05-May Shift-3</v>
      </c>
      <c r="J15" t="str">
        <f t="shared" si="5"/>
        <v>05 May</v>
      </c>
      <c r="K15" t="str">
        <f t="shared" si="6"/>
        <v>BL2</v>
      </c>
      <c r="L15" t="str">
        <f t="shared" si="7"/>
        <v>BL2 Time Plan 05-May Shift-3</v>
      </c>
      <c r="M15" t="str">
        <f t="shared" si="8"/>
        <v>2022</v>
      </c>
    </row>
    <row r="16" spans="1:13" x14ac:dyDescent="0.25">
      <c r="C16" s="3" t="str">
        <f t="shared" si="0"/>
        <v>May</v>
      </c>
      <c r="D16" s="1">
        <f t="shared" si="2"/>
        <v>44686</v>
      </c>
      <c r="E16" s="2" t="str">
        <f t="shared" si="1"/>
        <v>05</v>
      </c>
      <c r="F16" s="2">
        <f>IF(F15=1,3,IF(F15=2,1,IF(F15=3,2)))</f>
        <v>2</v>
      </c>
      <c r="G16">
        <f t="shared" si="9"/>
        <v>9</v>
      </c>
      <c r="I16" t="str">
        <f t="shared" si="4"/>
        <v>2022*05 May*BL2*BL2 Time Plan 05-May Shift-2</v>
      </c>
      <c r="J16" t="str">
        <f t="shared" si="5"/>
        <v>05 May</v>
      </c>
      <c r="K16" t="str">
        <f t="shared" si="6"/>
        <v>BL2</v>
      </c>
      <c r="L16" t="str">
        <f t="shared" si="7"/>
        <v>BL2 Time Plan 05-May Shift-2</v>
      </c>
      <c r="M16" t="str">
        <f t="shared" si="8"/>
        <v>2022</v>
      </c>
    </row>
    <row r="17" spans="3:13" x14ac:dyDescent="0.25">
      <c r="C17" s="3" t="str">
        <f t="shared" si="0"/>
        <v>May</v>
      </c>
      <c r="D17" s="1">
        <f t="shared" si="2"/>
        <v>44686</v>
      </c>
      <c r="E17" s="2" t="str">
        <f t="shared" si="1"/>
        <v>05</v>
      </c>
      <c r="F17" s="2">
        <f t="shared" ref="F17" si="11">IF(F16=1,3,IF(F16=2,1,IF(F16=3,2)))</f>
        <v>1</v>
      </c>
      <c r="G17">
        <f t="shared" si="9"/>
        <v>10</v>
      </c>
      <c r="I17" t="str">
        <f t="shared" si="4"/>
        <v>2022*05 May*BL2*BL2 Time Plan 05-May Shift-1</v>
      </c>
      <c r="J17" t="str">
        <f t="shared" si="5"/>
        <v>05 May</v>
      </c>
      <c r="K17" t="str">
        <f t="shared" si="6"/>
        <v>BL2</v>
      </c>
      <c r="L17" t="str">
        <f t="shared" si="7"/>
        <v>BL2 Time Plan 05-May Shift-1</v>
      </c>
      <c r="M17" t="str">
        <f t="shared" si="8"/>
        <v>2022</v>
      </c>
    </row>
    <row r="18" spans="3:13" x14ac:dyDescent="0.25">
      <c r="C18" s="3" t="str">
        <f t="shared" si="0"/>
        <v>May</v>
      </c>
      <c r="D18" s="1">
        <f t="shared" si="2"/>
        <v>44685</v>
      </c>
      <c r="E18" s="2" t="str">
        <f t="shared" si="1"/>
        <v>04</v>
      </c>
      <c r="F18" s="2">
        <f t="shared" ref="F18:F81" si="12">IF(F17=1,3,IF(F17=2,1,IF(F17=3,2)))</f>
        <v>3</v>
      </c>
      <c r="G18">
        <f t="shared" si="9"/>
        <v>10</v>
      </c>
      <c r="I18" t="str">
        <f t="shared" si="4"/>
        <v>2022*05 May*BL2*BL2 Time Plan 04-May Shift-3</v>
      </c>
      <c r="J18" t="str">
        <f t="shared" si="5"/>
        <v>05 May</v>
      </c>
      <c r="K18" t="str">
        <f t="shared" si="6"/>
        <v>BL2</v>
      </c>
      <c r="L18" t="str">
        <f t="shared" si="7"/>
        <v>BL2 Time Plan 04-May Shift-3</v>
      </c>
      <c r="M18" t="str">
        <f t="shared" si="8"/>
        <v>2022</v>
      </c>
    </row>
    <row r="19" spans="3:13" x14ac:dyDescent="0.25">
      <c r="C19" s="3" t="str">
        <f t="shared" si="0"/>
        <v>May</v>
      </c>
      <c r="D19" s="1">
        <f t="shared" si="2"/>
        <v>44685</v>
      </c>
      <c r="E19" s="2" t="str">
        <f t="shared" si="1"/>
        <v>04</v>
      </c>
      <c r="F19" s="2">
        <f t="shared" si="12"/>
        <v>2</v>
      </c>
      <c r="G19">
        <f t="shared" si="9"/>
        <v>11</v>
      </c>
      <c r="I19" t="str">
        <f t="shared" si="4"/>
        <v>2022*05 May*BL2*BL2 Time Plan 04-May Shift-2</v>
      </c>
      <c r="J19" t="str">
        <f t="shared" si="5"/>
        <v>05 May</v>
      </c>
      <c r="K19" t="str">
        <f t="shared" si="6"/>
        <v>BL2</v>
      </c>
      <c r="L19" t="str">
        <f t="shared" si="7"/>
        <v>BL2 Time Plan 04-May Shift-2</v>
      </c>
      <c r="M19" t="str">
        <f t="shared" si="8"/>
        <v>2022</v>
      </c>
    </row>
    <row r="20" spans="3:13" x14ac:dyDescent="0.25">
      <c r="C20" s="3" t="str">
        <f t="shared" si="0"/>
        <v>May</v>
      </c>
      <c r="D20" s="1">
        <f t="shared" si="2"/>
        <v>44685</v>
      </c>
      <c r="E20" s="2" t="str">
        <f t="shared" si="1"/>
        <v>04</v>
      </c>
      <c r="F20" s="2">
        <f t="shared" si="12"/>
        <v>1</v>
      </c>
      <c r="G20">
        <f t="shared" si="9"/>
        <v>12</v>
      </c>
      <c r="I20" t="str">
        <f t="shared" si="4"/>
        <v>2022*05 May*BL2*BL2 Time Plan 04-May Shift-1</v>
      </c>
      <c r="J20" t="str">
        <f t="shared" si="5"/>
        <v>05 May</v>
      </c>
      <c r="K20" t="str">
        <f t="shared" si="6"/>
        <v>BL2</v>
      </c>
      <c r="L20" t="str">
        <f t="shared" si="7"/>
        <v>BL2 Time Plan 04-May Shift-1</v>
      </c>
      <c r="M20" t="str">
        <f t="shared" si="8"/>
        <v>2022</v>
      </c>
    </row>
    <row r="21" spans="3:13" x14ac:dyDescent="0.25">
      <c r="C21" s="3" t="str">
        <f t="shared" si="0"/>
        <v>May</v>
      </c>
      <c r="D21" s="1">
        <f t="shared" si="2"/>
        <v>44684</v>
      </c>
      <c r="E21" s="2" t="str">
        <f t="shared" si="1"/>
        <v>03</v>
      </c>
      <c r="F21" s="2">
        <f t="shared" si="12"/>
        <v>3</v>
      </c>
      <c r="G21">
        <f t="shared" si="9"/>
        <v>12</v>
      </c>
      <c r="I21" t="str">
        <f t="shared" si="4"/>
        <v>2022*05 May*BL2*BL2 Time Plan 03-May Shift-3</v>
      </c>
      <c r="J21" t="str">
        <f t="shared" si="5"/>
        <v>05 May</v>
      </c>
      <c r="K21" t="str">
        <f t="shared" si="6"/>
        <v>BL2</v>
      </c>
      <c r="L21" t="str">
        <f t="shared" si="7"/>
        <v>BL2 Time Plan 03-May Shift-3</v>
      </c>
      <c r="M21" t="str">
        <f t="shared" si="8"/>
        <v>2022</v>
      </c>
    </row>
    <row r="22" spans="3:13" x14ac:dyDescent="0.25">
      <c r="C22" s="3" t="str">
        <f t="shared" si="0"/>
        <v>May</v>
      </c>
      <c r="D22" s="1">
        <f t="shared" si="2"/>
        <v>44684</v>
      </c>
      <c r="E22" s="2" t="str">
        <f t="shared" si="1"/>
        <v>03</v>
      </c>
      <c r="F22" s="2">
        <f t="shared" si="12"/>
        <v>2</v>
      </c>
      <c r="G22">
        <f t="shared" si="9"/>
        <v>13</v>
      </c>
      <c r="I22" t="str">
        <f t="shared" si="4"/>
        <v>2022*05 May*BL2*BL2 Time Plan 03-May Shift-2</v>
      </c>
      <c r="J22" t="str">
        <f t="shared" si="5"/>
        <v>05 May</v>
      </c>
      <c r="K22" t="str">
        <f t="shared" si="6"/>
        <v>BL2</v>
      </c>
      <c r="L22" t="str">
        <f t="shared" si="7"/>
        <v>BL2 Time Plan 03-May Shift-2</v>
      </c>
      <c r="M22" t="str">
        <f t="shared" si="8"/>
        <v>2022</v>
      </c>
    </row>
    <row r="23" spans="3:13" x14ac:dyDescent="0.25">
      <c r="C23" s="3" t="str">
        <f t="shared" si="0"/>
        <v>May</v>
      </c>
      <c r="D23" s="1">
        <f t="shared" si="2"/>
        <v>44684</v>
      </c>
      <c r="E23" s="2" t="str">
        <f t="shared" si="1"/>
        <v>03</v>
      </c>
      <c r="F23" s="2">
        <f t="shared" si="12"/>
        <v>1</v>
      </c>
      <c r="G23">
        <f t="shared" si="9"/>
        <v>14</v>
      </c>
      <c r="I23" t="str">
        <f t="shared" ref="I23:I82" si="13">M23&amp;"*"&amp;J23&amp;"*"&amp;K23&amp;"*"&amp;L23</f>
        <v>2022*05 May*BL2*BL2 Time Plan 03-May Shift-1</v>
      </c>
      <c r="J23" t="str">
        <f t="shared" ref="J23:J82" si="14">TEXT(D23,"MM MMMM")</f>
        <v>05 May</v>
      </c>
      <c r="K23" t="str">
        <f t="shared" si="6"/>
        <v>BL2</v>
      </c>
      <c r="L23" t="str">
        <f t="shared" ref="L23:L82" si="15">CONCATENATE($A$2," ","Time Plan ",E23&amp;"-"&amp;C23&amp;" Shift-"&amp;F23)</f>
        <v>BL2 Time Plan 03-May Shift-1</v>
      </c>
      <c r="M23" t="str">
        <f t="shared" ref="M23:M82" si="16">TEXT(D23,"YYYY")</f>
        <v>2022</v>
      </c>
    </row>
    <row r="24" spans="3:13" x14ac:dyDescent="0.25">
      <c r="C24" s="3" t="str">
        <f t="shared" si="0"/>
        <v>May</v>
      </c>
      <c r="D24" s="1">
        <f t="shared" si="2"/>
        <v>44683</v>
      </c>
      <c r="E24" s="2" t="str">
        <f t="shared" si="1"/>
        <v>02</v>
      </c>
      <c r="F24" s="2">
        <f t="shared" si="12"/>
        <v>3</v>
      </c>
      <c r="G24">
        <f t="shared" si="9"/>
        <v>14</v>
      </c>
      <c r="I24" t="str">
        <f t="shared" si="13"/>
        <v>2022*05 May*BL2*BL2 Time Plan 02-May Shift-3</v>
      </c>
      <c r="J24" t="str">
        <f t="shared" si="14"/>
        <v>05 May</v>
      </c>
      <c r="K24" t="str">
        <f t="shared" si="6"/>
        <v>BL2</v>
      </c>
      <c r="L24" t="str">
        <f t="shared" si="15"/>
        <v>BL2 Time Plan 02-May Shift-3</v>
      </c>
      <c r="M24" t="str">
        <f t="shared" si="16"/>
        <v>2022</v>
      </c>
    </row>
    <row r="25" spans="3:13" x14ac:dyDescent="0.25">
      <c r="C25" s="3" t="str">
        <f t="shared" si="0"/>
        <v>May</v>
      </c>
      <c r="D25" s="1">
        <f t="shared" si="2"/>
        <v>44683</v>
      </c>
      <c r="E25" s="2" t="str">
        <f t="shared" si="1"/>
        <v>02</v>
      </c>
      <c r="F25" s="2">
        <f t="shared" si="12"/>
        <v>2</v>
      </c>
      <c r="G25">
        <f t="shared" si="9"/>
        <v>15</v>
      </c>
      <c r="I25" t="str">
        <f t="shared" si="13"/>
        <v>2022*05 May*BL2*BL2 Time Plan 02-May Shift-2</v>
      </c>
      <c r="J25" t="str">
        <f t="shared" si="14"/>
        <v>05 May</v>
      </c>
      <c r="K25" t="str">
        <f t="shared" si="6"/>
        <v>BL2</v>
      </c>
      <c r="L25" t="str">
        <f t="shared" si="15"/>
        <v>BL2 Time Plan 02-May Shift-2</v>
      </c>
      <c r="M25" t="str">
        <f t="shared" si="16"/>
        <v>2022</v>
      </c>
    </row>
    <row r="26" spans="3:13" x14ac:dyDescent="0.25">
      <c r="C26" s="3" t="str">
        <f t="shared" si="0"/>
        <v>May</v>
      </c>
      <c r="D26" s="1">
        <f t="shared" si="2"/>
        <v>44683</v>
      </c>
      <c r="E26" s="2" t="str">
        <f t="shared" si="1"/>
        <v>02</v>
      </c>
      <c r="F26" s="2">
        <f t="shared" si="12"/>
        <v>1</v>
      </c>
      <c r="G26">
        <f t="shared" si="9"/>
        <v>16</v>
      </c>
      <c r="I26" t="str">
        <f t="shared" si="13"/>
        <v>2022*05 May*BL2*BL2 Time Plan 02-May Shift-1</v>
      </c>
      <c r="J26" t="str">
        <f t="shared" si="14"/>
        <v>05 May</v>
      </c>
      <c r="K26" t="str">
        <f t="shared" si="6"/>
        <v>BL2</v>
      </c>
      <c r="L26" t="str">
        <f t="shared" si="15"/>
        <v>BL2 Time Plan 02-May Shift-1</v>
      </c>
      <c r="M26" t="str">
        <f t="shared" si="16"/>
        <v>2022</v>
      </c>
    </row>
    <row r="27" spans="3:13" x14ac:dyDescent="0.25">
      <c r="C27" s="3" t="str">
        <f t="shared" si="0"/>
        <v>May</v>
      </c>
      <c r="D27" s="1">
        <f t="shared" si="2"/>
        <v>44682</v>
      </c>
      <c r="E27" s="2" t="str">
        <f t="shared" si="1"/>
        <v>01</v>
      </c>
      <c r="F27" s="2">
        <f t="shared" si="12"/>
        <v>3</v>
      </c>
      <c r="G27">
        <f t="shared" si="9"/>
        <v>16</v>
      </c>
      <c r="I27" t="str">
        <f t="shared" si="13"/>
        <v>2022*05 May*BL2*BL2 Time Plan 01-May Shift-3</v>
      </c>
      <c r="J27" t="str">
        <f t="shared" si="14"/>
        <v>05 May</v>
      </c>
      <c r="K27" t="str">
        <f t="shared" si="6"/>
        <v>BL2</v>
      </c>
      <c r="L27" t="str">
        <f t="shared" si="15"/>
        <v>BL2 Time Plan 01-May Shift-3</v>
      </c>
      <c r="M27" t="str">
        <f t="shared" si="16"/>
        <v>2022</v>
      </c>
    </row>
    <row r="28" spans="3:13" x14ac:dyDescent="0.25">
      <c r="C28" s="3" t="str">
        <f t="shared" si="0"/>
        <v>May</v>
      </c>
      <c r="D28" s="1">
        <f t="shared" si="2"/>
        <v>44682</v>
      </c>
      <c r="E28" s="2" t="str">
        <f t="shared" si="1"/>
        <v>01</v>
      </c>
      <c r="F28" s="2">
        <f t="shared" si="12"/>
        <v>2</v>
      </c>
      <c r="G28">
        <f t="shared" si="9"/>
        <v>17</v>
      </c>
      <c r="I28" t="str">
        <f t="shared" si="13"/>
        <v>2022*05 May*BL2*BL2 Time Plan 01-May Shift-2</v>
      </c>
      <c r="J28" t="str">
        <f t="shared" si="14"/>
        <v>05 May</v>
      </c>
      <c r="K28" t="str">
        <f t="shared" si="6"/>
        <v>BL2</v>
      </c>
      <c r="L28" t="str">
        <f t="shared" si="15"/>
        <v>BL2 Time Plan 01-May Shift-2</v>
      </c>
      <c r="M28" t="str">
        <f t="shared" si="16"/>
        <v>2022</v>
      </c>
    </row>
    <row r="29" spans="3:13" x14ac:dyDescent="0.25">
      <c r="C29" s="3" t="str">
        <f t="shared" si="0"/>
        <v>May</v>
      </c>
      <c r="D29" s="1">
        <f t="shared" si="2"/>
        <v>44682</v>
      </c>
      <c r="E29" s="2" t="str">
        <f t="shared" si="1"/>
        <v>01</v>
      </c>
      <c r="F29" s="2">
        <f t="shared" si="12"/>
        <v>1</v>
      </c>
      <c r="G29">
        <f t="shared" si="9"/>
        <v>18</v>
      </c>
      <c r="I29" t="str">
        <f t="shared" si="13"/>
        <v>2022*05 May*BL2*BL2 Time Plan 01-May Shift-1</v>
      </c>
      <c r="J29" t="str">
        <f t="shared" si="14"/>
        <v>05 May</v>
      </c>
      <c r="K29" t="str">
        <f t="shared" si="6"/>
        <v>BL2</v>
      </c>
      <c r="L29" t="str">
        <f t="shared" si="15"/>
        <v>BL2 Time Plan 01-May Shift-1</v>
      </c>
      <c r="M29" t="str">
        <f t="shared" si="16"/>
        <v>2022</v>
      </c>
    </row>
    <row r="30" spans="3:13" x14ac:dyDescent="0.25">
      <c r="C30" s="3" t="str">
        <f t="shared" si="0"/>
        <v>April</v>
      </c>
      <c r="D30" s="1">
        <f t="shared" si="2"/>
        <v>44681</v>
      </c>
      <c r="E30" s="2" t="str">
        <f t="shared" si="1"/>
        <v>30</v>
      </c>
      <c r="F30" s="2">
        <f t="shared" si="12"/>
        <v>3</v>
      </c>
      <c r="G30">
        <f t="shared" si="9"/>
        <v>18</v>
      </c>
      <c r="I30" t="str">
        <f t="shared" si="13"/>
        <v>2022*04 April*BL2*BL2 Time Plan 30-April Shift-3</v>
      </c>
      <c r="J30" t="str">
        <f t="shared" si="14"/>
        <v>04 April</v>
      </c>
      <c r="K30" t="str">
        <f t="shared" si="6"/>
        <v>BL2</v>
      </c>
      <c r="L30" t="str">
        <f t="shared" si="15"/>
        <v>BL2 Time Plan 30-April Shift-3</v>
      </c>
      <c r="M30" t="str">
        <f t="shared" si="16"/>
        <v>2022</v>
      </c>
    </row>
    <row r="31" spans="3:13" x14ac:dyDescent="0.25">
      <c r="C31" s="3" t="str">
        <f t="shared" si="0"/>
        <v>April</v>
      </c>
      <c r="D31" s="1">
        <f t="shared" si="2"/>
        <v>44681</v>
      </c>
      <c r="E31" s="2" t="str">
        <f t="shared" si="1"/>
        <v>30</v>
      </c>
      <c r="F31" s="2">
        <f t="shared" si="12"/>
        <v>2</v>
      </c>
      <c r="G31">
        <f t="shared" si="9"/>
        <v>19</v>
      </c>
      <c r="I31" t="str">
        <f t="shared" si="13"/>
        <v>2022*04 April*BL2*BL2 Time Plan 30-April Shift-2</v>
      </c>
      <c r="J31" t="str">
        <f t="shared" si="14"/>
        <v>04 April</v>
      </c>
      <c r="K31" t="str">
        <f t="shared" si="6"/>
        <v>BL2</v>
      </c>
      <c r="L31" t="str">
        <f t="shared" si="15"/>
        <v>BL2 Time Plan 30-April Shift-2</v>
      </c>
      <c r="M31" t="str">
        <f t="shared" si="16"/>
        <v>2022</v>
      </c>
    </row>
    <row r="32" spans="3:13" x14ac:dyDescent="0.25">
      <c r="C32" s="3" t="str">
        <f t="shared" si="0"/>
        <v>April</v>
      </c>
      <c r="D32" s="1">
        <f t="shared" si="2"/>
        <v>44681</v>
      </c>
      <c r="E32" s="2" t="str">
        <f t="shared" si="1"/>
        <v>30</v>
      </c>
      <c r="F32" s="2">
        <f t="shared" si="12"/>
        <v>1</v>
      </c>
      <c r="G32">
        <f t="shared" si="9"/>
        <v>20</v>
      </c>
      <c r="I32" t="str">
        <f t="shared" si="13"/>
        <v>2022*04 April*BL2*BL2 Time Plan 30-April Shift-1</v>
      </c>
      <c r="J32" t="str">
        <f t="shared" si="14"/>
        <v>04 April</v>
      </c>
      <c r="K32" t="str">
        <f t="shared" si="6"/>
        <v>BL2</v>
      </c>
      <c r="L32" t="str">
        <f t="shared" si="15"/>
        <v>BL2 Time Plan 30-April Shift-1</v>
      </c>
      <c r="M32" t="str">
        <f t="shared" si="16"/>
        <v>2022</v>
      </c>
    </row>
    <row r="33" spans="3:13" x14ac:dyDescent="0.25">
      <c r="C33" s="3" t="str">
        <f t="shared" si="0"/>
        <v>April</v>
      </c>
      <c r="D33" s="1">
        <f t="shared" si="2"/>
        <v>44680</v>
      </c>
      <c r="E33" s="2" t="str">
        <f t="shared" si="1"/>
        <v>29</v>
      </c>
      <c r="F33" s="2">
        <f t="shared" si="12"/>
        <v>3</v>
      </c>
      <c r="G33">
        <f t="shared" si="9"/>
        <v>20</v>
      </c>
      <c r="I33" t="str">
        <f t="shared" si="13"/>
        <v>2022*04 April*BL2*BL2 Time Plan 29-April Shift-3</v>
      </c>
      <c r="J33" t="str">
        <f t="shared" si="14"/>
        <v>04 April</v>
      </c>
      <c r="K33" t="str">
        <f t="shared" si="6"/>
        <v>BL2</v>
      </c>
      <c r="L33" t="str">
        <f t="shared" si="15"/>
        <v>BL2 Time Plan 29-April Shift-3</v>
      </c>
      <c r="M33" t="str">
        <f t="shared" si="16"/>
        <v>2022</v>
      </c>
    </row>
    <row r="34" spans="3:13" x14ac:dyDescent="0.25">
      <c r="C34" s="3" t="str">
        <f t="shared" si="0"/>
        <v>April</v>
      </c>
      <c r="D34" s="1">
        <f t="shared" si="2"/>
        <v>44680</v>
      </c>
      <c r="E34" s="2" t="str">
        <f t="shared" si="1"/>
        <v>29</v>
      </c>
      <c r="F34" s="2">
        <f t="shared" si="12"/>
        <v>2</v>
      </c>
      <c r="G34">
        <f t="shared" si="9"/>
        <v>21</v>
      </c>
      <c r="I34" t="str">
        <f t="shared" si="13"/>
        <v>2022*04 April*BL2*BL2 Time Plan 29-April Shift-2</v>
      </c>
      <c r="J34" t="str">
        <f t="shared" si="14"/>
        <v>04 April</v>
      </c>
      <c r="K34" t="str">
        <f t="shared" si="6"/>
        <v>BL2</v>
      </c>
      <c r="L34" t="str">
        <f t="shared" si="15"/>
        <v>BL2 Time Plan 29-April Shift-2</v>
      </c>
      <c r="M34" t="str">
        <f t="shared" si="16"/>
        <v>2022</v>
      </c>
    </row>
    <row r="35" spans="3:13" x14ac:dyDescent="0.25">
      <c r="C35" s="3" t="str">
        <f t="shared" si="0"/>
        <v>April</v>
      </c>
      <c r="D35" s="1">
        <f t="shared" si="2"/>
        <v>44680</v>
      </c>
      <c r="E35" s="2" t="str">
        <f t="shared" si="1"/>
        <v>29</v>
      </c>
      <c r="F35" s="2">
        <f t="shared" si="12"/>
        <v>1</v>
      </c>
      <c r="G35">
        <f t="shared" si="9"/>
        <v>22</v>
      </c>
      <c r="I35" t="str">
        <f t="shared" si="13"/>
        <v>2022*04 April*BL2*BL2 Time Plan 29-April Shift-1</v>
      </c>
      <c r="J35" t="str">
        <f t="shared" si="14"/>
        <v>04 April</v>
      </c>
      <c r="K35" t="str">
        <f t="shared" si="6"/>
        <v>BL2</v>
      </c>
      <c r="L35" t="str">
        <f t="shared" si="15"/>
        <v>BL2 Time Plan 29-April Shift-1</v>
      </c>
      <c r="M35" t="str">
        <f t="shared" si="16"/>
        <v>2022</v>
      </c>
    </row>
    <row r="36" spans="3:13" x14ac:dyDescent="0.25">
      <c r="C36" s="3" t="str">
        <f t="shared" si="0"/>
        <v>April</v>
      </c>
      <c r="D36" s="1">
        <f t="shared" si="2"/>
        <v>44679</v>
      </c>
      <c r="E36" s="2" t="str">
        <f t="shared" si="1"/>
        <v>28</v>
      </c>
      <c r="F36" s="2">
        <f t="shared" si="12"/>
        <v>3</v>
      </c>
      <c r="G36">
        <f t="shared" si="9"/>
        <v>22</v>
      </c>
      <c r="I36" t="str">
        <f t="shared" si="13"/>
        <v>2022*04 April*BL2*BL2 Time Plan 28-April Shift-3</v>
      </c>
      <c r="J36" t="str">
        <f t="shared" si="14"/>
        <v>04 April</v>
      </c>
      <c r="K36" t="str">
        <f t="shared" si="6"/>
        <v>BL2</v>
      </c>
      <c r="L36" t="str">
        <f t="shared" si="15"/>
        <v>BL2 Time Plan 28-April Shift-3</v>
      </c>
      <c r="M36" t="str">
        <f t="shared" si="16"/>
        <v>2022</v>
      </c>
    </row>
    <row r="37" spans="3:13" x14ac:dyDescent="0.25">
      <c r="C37" s="3" t="str">
        <f t="shared" si="0"/>
        <v>April</v>
      </c>
      <c r="D37" s="1">
        <f t="shared" si="2"/>
        <v>44679</v>
      </c>
      <c r="E37" s="2" t="str">
        <f t="shared" si="1"/>
        <v>28</v>
      </c>
      <c r="F37" s="2">
        <f t="shared" si="12"/>
        <v>2</v>
      </c>
      <c r="G37">
        <f t="shared" si="9"/>
        <v>23</v>
      </c>
      <c r="I37" t="str">
        <f t="shared" si="13"/>
        <v>2022*04 April*BL2*BL2 Time Plan 28-April Shift-2</v>
      </c>
      <c r="J37" t="str">
        <f t="shared" si="14"/>
        <v>04 April</v>
      </c>
      <c r="K37" t="str">
        <f t="shared" si="6"/>
        <v>BL2</v>
      </c>
      <c r="L37" t="str">
        <f t="shared" si="15"/>
        <v>BL2 Time Plan 28-April Shift-2</v>
      </c>
      <c r="M37" t="str">
        <f t="shared" si="16"/>
        <v>2022</v>
      </c>
    </row>
    <row r="38" spans="3:13" x14ac:dyDescent="0.25">
      <c r="C38" s="3" t="str">
        <f t="shared" si="0"/>
        <v>April</v>
      </c>
      <c r="D38" s="1">
        <f t="shared" si="2"/>
        <v>44679</v>
      </c>
      <c r="E38" s="2" t="str">
        <f t="shared" si="1"/>
        <v>28</v>
      </c>
      <c r="F38" s="2">
        <f t="shared" si="12"/>
        <v>1</v>
      </c>
      <c r="G38">
        <f t="shared" si="9"/>
        <v>24</v>
      </c>
      <c r="I38" t="str">
        <f t="shared" si="13"/>
        <v>2022*04 April*BL2*BL2 Time Plan 28-April Shift-1</v>
      </c>
      <c r="J38" t="str">
        <f t="shared" si="14"/>
        <v>04 April</v>
      </c>
      <c r="K38" t="str">
        <f t="shared" si="6"/>
        <v>BL2</v>
      </c>
      <c r="L38" t="str">
        <f t="shared" si="15"/>
        <v>BL2 Time Plan 28-April Shift-1</v>
      </c>
      <c r="M38" t="str">
        <f t="shared" si="16"/>
        <v>2022</v>
      </c>
    </row>
    <row r="39" spans="3:13" x14ac:dyDescent="0.25">
      <c r="C39" s="3" t="str">
        <f t="shared" si="0"/>
        <v>April</v>
      </c>
      <c r="D39" s="1">
        <f t="shared" si="2"/>
        <v>44678</v>
      </c>
      <c r="E39" s="2" t="str">
        <f t="shared" si="1"/>
        <v>27</v>
      </c>
      <c r="F39" s="2">
        <f t="shared" si="12"/>
        <v>3</v>
      </c>
      <c r="G39">
        <f t="shared" si="9"/>
        <v>24</v>
      </c>
      <c r="I39" t="str">
        <f t="shared" si="13"/>
        <v>2022*04 April*BL2*BL2 Time Plan 27-April Shift-3</v>
      </c>
      <c r="J39" t="str">
        <f t="shared" si="14"/>
        <v>04 April</v>
      </c>
      <c r="K39" t="str">
        <f t="shared" si="6"/>
        <v>BL2</v>
      </c>
      <c r="L39" t="str">
        <f t="shared" si="15"/>
        <v>BL2 Time Plan 27-April Shift-3</v>
      </c>
      <c r="M39" t="str">
        <f t="shared" si="16"/>
        <v>2022</v>
      </c>
    </row>
    <row r="40" spans="3:13" x14ac:dyDescent="0.25">
      <c r="C40" s="3" t="str">
        <f t="shared" si="0"/>
        <v>April</v>
      </c>
      <c r="D40" s="1">
        <f t="shared" si="2"/>
        <v>44678</v>
      </c>
      <c r="E40" s="2" t="str">
        <f t="shared" si="1"/>
        <v>27</v>
      </c>
      <c r="F40" s="2">
        <f t="shared" si="12"/>
        <v>2</v>
      </c>
      <c r="G40">
        <f t="shared" si="9"/>
        <v>25</v>
      </c>
      <c r="I40" t="str">
        <f t="shared" si="13"/>
        <v>2022*04 April*BL2*BL2 Time Plan 27-April Shift-2</v>
      </c>
      <c r="J40" t="str">
        <f t="shared" si="14"/>
        <v>04 April</v>
      </c>
      <c r="K40" t="str">
        <f t="shared" si="6"/>
        <v>BL2</v>
      </c>
      <c r="L40" t="str">
        <f t="shared" si="15"/>
        <v>BL2 Time Plan 27-April Shift-2</v>
      </c>
      <c r="M40" t="str">
        <f t="shared" si="16"/>
        <v>2022</v>
      </c>
    </row>
    <row r="41" spans="3:13" x14ac:dyDescent="0.25">
      <c r="C41" s="3" t="str">
        <f t="shared" si="0"/>
        <v>April</v>
      </c>
      <c r="D41" s="1">
        <f t="shared" si="2"/>
        <v>44678</v>
      </c>
      <c r="E41" s="2" t="str">
        <f t="shared" si="1"/>
        <v>27</v>
      </c>
      <c r="F41" s="2">
        <f t="shared" si="12"/>
        <v>1</v>
      </c>
      <c r="G41">
        <f t="shared" si="9"/>
        <v>26</v>
      </c>
      <c r="I41" t="str">
        <f t="shared" si="13"/>
        <v>2022*04 April*BL2*BL2 Time Plan 27-April Shift-1</v>
      </c>
      <c r="J41" t="str">
        <f t="shared" si="14"/>
        <v>04 April</v>
      </c>
      <c r="K41" t="str">
        <f t="shared" si="6"/>
        <v>BL2</v>
      </c>
      <c r="L41" t="str">
        <f t="shared" si="15"/>
        <v>BL2 Time Plan 27-April Shift-1</v>
      </c>
      <c r="M41" t="str">
        <f t="shared" si="16"/>
        <v>2022</v>
      </c>
    </row>
    <row r="42" spans="3:13" x14ac:dyDescent="0.25">
      <c r="C42" s="3" t="str">
        <f t="shared" si="0"/>
        <v>April</v>
      </c>
      <c r="D42" s="1">
        <f t="shared" si="2"/>
        <v>44677</v>
      </c>
      <c r="E42" s="2" t="str">
        <f t="shared" si="1"/>
        <v>26</v>
      </c>
      <c r="F42" s="2">
        <f t="shared" si="12"/>
        <v>3</v>
      </c>
      <c r="G42">
        <f t="shared" si="9"/>
        <v>26</v>
      </c>
      <c r="I42" t="str">
        <f t="shared" si="13"/>
        <v>2022*04 April*BL2*BL2 Time Plan 26-April Shift-3</v>
      </c>
      <c r="J42" t="str">
        <f t="shared" si="14"/>
        <v>04 April</v>
      </c>
      <c r="K42" t="str">
        <f t="shared" si="6"/>
        <v>BL2</v>
      </c>
      <c r="L42" t="str">
        <f t="shared" si="15"/>
        <v>BL2 Time Plan 26-April Shift-3</v>
      </c>
      <c r="M42" t="str">
        <f t="shared" si="16"/>
        <v>2022</v>
      </c>
    </row>
    <row r="43" spans="3:13" x14ac:dyDescent="0.25">
      <c r="C43" s="3" t="str">
        <f t="shared" si="0"/>
        <v>April</v>
      </c>
      <c r="D43" s="1">
        <f t="shared" si="2"/>
        <v>44677</v>
      </c>
      <c r="E43" s="2" t="str">
        <f t="shared" si="1"/>
        <v>26</v>
      </c>
      <c r="F43" s="2">
        <f t="shared" si="12"/>
        <v>2</v>
      </c>
      <c r="G43">
        <f t="shared" si="9"/>
        <v>27</v>
      </c>
      <c r="I43" t="str">
        <f t="shared" si="13"/>
        <v>2022*04 April*BL2*BL2 Time Plan 26-April Shift-2</v>
      </c>
      <c r="J43" t="str">
        <f t="shared" si="14"/>
        <v>04 April</v>
      </c>
      <c r="K43" t="str">
        <f t="shared" si="6"/>
        <v>BL2</v>
      </c>
      <c r="L43" t="str">
        <f t="shared" si="15"/>
        <v>BL2 Time Plan 26-April Shift-2</v>
      </c>
      <c r="M43" t="str">
        <f t="shared" si="16"/>
        <v>2022</v>
      </c>
    </row>
    <row r="44" spans="3:13" x14ac:dyDescent="0.25">
      <c r="C44" s="3" t="str">
        <f t="shared" ref="C44:C82" si="17">TEXT(D44,"mmmm")</f>
        <v>April</v>
      </c>
      <c r="D44" s="1">
        <f t="shared" ref="D44:D82" si="18">IF(F43=1,D43-1,IF(OR(F43=3,F43=2),D43))</f>
        <v>44677</v>
      </c>
      <c r="E44" s="2" t="str">
        <f t="shared" ref="E44:E82" si="19">TEXT(D44,"DD")</f>
        <v>26</v>
      </c>
      <c r="F44" s="2">
        <f t="shared" si="12"/>
        <v>1</v>
      </c>
      <c r="G44">
        <f t="shared" ref="G44:G82" si="20">IF(E43=E44,G43+1,G43)</f>
        <v>28</v>
      </c>
      <c r="I44" t="str">
        <f t="shared" si="13"/>
        <v>2022*04 April*BL2*BL2 Time Plan 26-April Shift-1</v>
      </c>
      <c r="J44" t="str">
        <f t="shared" si="14"/>
        <v>04 April</v>
      </c>
      <c r="K44" t="str">
        <f t="shared" si="6"/>
        <v>BL2</v>
      </c>
      <c r="L44" t="str">
        <f t="shared" si="15"/>
        <v>BL2 Time Plan 26-April Shift-1</v>
      </c>
      <c r="M44" t="str">
        <f t="shared" si="16"/>
        <v>2022</v>
      </c>
    </row>
    <row r="45" spans="3:13" x14ac:dyDescent="0.25">
      <c r="C45" s="3" t="str">
        <f t="shared" si="17"/>
        <v>April</v>
      </c>
      <c r="D45" s="1">
        <f t="shared" si="18"/>
        <v>44676</v>
      </c>
      <c r="E45" s="2" t="str">
        <f t="shared" si="19"/>
        <v>25</v>
      </c>
      <c r="F45" s="2">
        <f t="shared" si="12"/>
        <v>3</v>
      </c>
      <c r="G45">
        <f t="shared" si="20"/>
        <v>28</v>
      </c>
      <c r="I45" t="str">
        <f t="shared" si="13"/>
        <v>2022*04 April*BL2*BL2 Time Plan 25-April Shift-3</v>
      </c>
      <c r="J45" t="str">
        <f t="shared" si="14"/>
        <v>04 April</v>
      </c>
      <c r="K45" t="str">
        <f t="shared" si="6"/>
        <v>BL2</v>
      </c>
      <c r="L45" t="str">
        <f t="shared" si="15"/>
        <v>BL2 Time Plan 25-April Shift-3</v>
      </c>
      <c r="M45" t="str">
        <f t="shared" si="16"/>
        <v>2022</v>
      </c>
    </row>
    <row r="46" spans="3:13" x14ac:dyDescent="0.25">
      <c r="C46" s="3" t="str">
        <f t="shared" si="17"/>
        <v>April</v>
      </c>
      <c r="D46" s="1">
        <f t="shared" si="18"/>
        <v>44676</v>
      </c>
      <c r="E46" s="2" t="str">
        <f t="shared" si="19"/>
        <v>25</v>
      </c>
      <c r="F46" s="2">
        <f t="shared" si="12"/>
        <v>2</v>
      </c>
      <c r="G46">
        <f t="shared" si="20"/>
        <v>29</v>
      </c>
      <c r="I46" t="str">
        <f t="shared" si="13"/>
        <v>2022*04 April*BL2*BL2 Time Plan 25-April Shift-2</v>
      </c>
      <c r="J46" t="str">
        <f t="shared" si="14"/>
        <v>04 April</v>
      </c>
      <c r="K46" t="str">
        <f t="shared" si="6"/>
        <v>BL2</v>
      </c>
      <c r="L46" t="str">
        <f t="shared" si="15"/>
        <v>BL2 Time Plan 25-April Shift-2</v>
      </c>
      <c r="M46" t="str">
        <f t="shared" si="16"/>
        <v>2022</v>
      </c>
    </row>
    <row r="47" spans="3:13" x14ac:dyDescent="0.25">
      <c r="C47" s="3" t="str">
        <f t="shared" si="17"/>
        <v>April</v>
      </c>
      <c r="D47" s="1">
        <f t="shared" si="18"/>
        <v>44676</v>
      </c>
      <c r="E47" s="2" t="str">
        <f t="shared" si="19"/>
        <v>25</v>
      </c>
      <c r="F47" s="2">
        <f t="shared" si="12"/>
        <v>1</v>
      </c>
      <c r="G47">
        <f t="shared" si="20"/>
        <v>30</v>
      </c>
      <c r="I47" t="str">
        <f t="shared" si="13"/>
        <v>2022*04 April*BL2*BL2 Time Plan 25-April Shift-1</v>
      </c>
      <c r="J47" t="str">
        <f t="shared" si="14"/>
        <v>04 April</v>
      </c>
      <c r="K47" t="str">
        <f t="shared" si="6"/>
        <v>BL2</v>
      </c>
      <c r="L47" t="str">
        <f t="shared" si="15"/>
        <v>BL2 Time Plan 25-April Shift-1</v>
      </c>
      <c r="M47" t="str">
        <f t="shared" si="16"/>
        <v>2022</v>
      </c>
    </row>
    <row r="48" spans="3:13" x14ac:dyDescent="0.25">
      <c r="C48" s="3" t="str">
        <f t="shared" si="17"/>
        <v>April</v>
      </c>
      <c r="D48" s="1">
        <f t="shared" si="18"/>
        <v>44675</v>
      </c>
      <c r="E48" s="2" t="str">
        <f t="shared" si="19"/>
        <v>24</v>
      </c>
      <c r="F48" s="2">
        <f t="shared" si="12"/>
        <v>3</v>
      </c>
      <c r="G48">
        <f t="shared" si="20"/>
        <v>30</v>
      </c>
      <c r="I48" t="str">
        <f t="shared" si="13"/>
        <v>2022*04 April*BL2*BL2 Time Plan 24-April Shift-3</v>
      </c>
      <c r="J48" t="str">
        <f t="shared" si="14"/>
        <v>04 April</v>
      </c>
      <c r="K48" t="str">
        <f t="shared" si="6"/>
        <v>BL2</v>
      </c>
      <c r="L48" t="str">
        <f t="shared" si="15"/>
        <v>BL2 Time Plan 24-April Shift-3</v>
      </c>
      <c r="M48" t="str">
        <f t="shared" si="16"/>
        <v>2022</v>
      </c>
    </row>
    <row r="49" spans="3:13" x14ac:dyDescent="0.25">
      <c r="C49" s="3" t="str">
        <f t="shared" si="17"/>
        <v>April</v>
      </c>
      <c r="D49" s="1">
        <f t="shared" si="18"/>
        <v>44675</v>
      </c>
      <c r="E49" s="2" t="str">
        <f t="shared" si="19"/>
        <v>24</v>
      </c>
      <c r="F49" s="2">
        <f t="shared" si="12"/>
        <v>2</v>
      </c>
      <c r="G49">
        <f t="shared" si="20"/>
        <v>31</v>
      </c>
      <c r="I49" t="str">
        <f t="shared" si="13"/>
        <v>2022*04 April*BL2*BL2 Time Plan 24-April Shift-2</v>
      </c>
      <c r="J49" t="str">
        <f t="shared" si="14"/>
        <v>04 April</v>
      </c>
      <c r="K49" t="str">
        <f t="shared" si="6"/>
        <v>BL2</v>
      </c>
      <c r="L49" t="str">
        <f t="shared" si="15"/>
        <v>BL2 Time Plan 24-April Shift-2</v>
      </c>
      <c r="M49" t="str">
        <f t="shared" si="16"/>
        <v>2022</v>
      </c>
    </row>
    <row r="50" spans="3:13" x14ac:dyDescent="0.25">
      <c r="C50" s="3" t="str">
        <f t="shared" si="17"/>
        <v>April</v>
      </c>
      <c r="D50" s="1">
        <f t="shared" si="18"/>
        <v>44675</v>
      </c>
      <c r="E50" s="2" t="str">
        <f t="shared" si="19"/>
        <v>24</v>
      </c>
      <c r="F50" s="2">
        <f t="shared" si="12"/>
        <v>1</v>
      </c>
      <c r="G50">
        <f t="shared" si="20"/>
        <v>32</v>
      </c>
      <c r="I50" t="str">
        <f t="shared" si="13"/>
        <v>2022*04 April*BL2*BL2 Time Plan 24-April Shift-1</v>
      </c>
      <c r="J50" t="str">
        <f t="shared" si="14"/>
        <v>04 April</v>
      </c>
      <c r="K50" t="str">
        <f t="shared" si="6"/>
        <v>BL2</v>
      </c>
      <c r="L50" t="str">
        <f t="shared" si="15"/>
        <v>BL2 Time Plan 24-April Shift-1</v>
      </c>
      <c r="M50" t="str">
        <f t="shared" si="16"/>
        <v>2022</v>
      </c>
    </row>
    <row r="51" spans="3:13" x14ac:dyDescent="0.25">
      <c r="C51" s="3" t="str">
        <f t="shared" si="17"/>
        <v>April</v>
      </c>
      <c r="D51" s="1">
        <f t="shared" si="18"/>
        <v>44674</v>
      </c>
      <c r="E51" s="2" t="str">
        <f t="shared" si="19"/>
        <v>23</v>
      </c>
      <c r="F51" s="2">
        <f t="shared" si="12"/>
        <v>3</v>
      </c>
      <c r="G51">
        <f t="shared" si="20"/>
        <v>32</v>
      </c>
      <c r="I51" t="str">
        <f t="shared" si="13"/>
        <v>2022*04 April*BL2*BL2 Time Plan 23-April Shift-3</v>
      </c>
      <c r="J51" t="str">
        <f t="shared" si="14"/>
        <v>04 April</v>
      </c>
      <c r="K51" t="str">
        <f t="shared" si="6"/>
        <v>BL2</v>
      </c>
      <c r="L51" t="str">
        <f t="shared" si="15"/>
        <v>BL2 Time Plan 23-April Shift-3</v>
      </c>
      <c r="M51" t="str">
        <f t="shared" si="16"/>
        <v>2022</v>
      </c>
    </row>
    <row r="52" spans="3:13" x14ac:dyDescent="0.25">
      <c r="C52" s="3" t="str">
        <f t="shared" si="17"/>
        <v>April</v>
      </c>
      <c r="D52" s="1">
        <f t="shared" si="18"/>
        <v>44674</v>
      </c>
      <c r="E52" s="2" t="str">
        <f t="shared" si="19"/>
        <v>23</v>
      </c>
      <c r="F52" s="2">
        <f t="shared" si="12"/>
        <v>2</v>
      </c>
      <c r="G52">
        <f t="shared" si="20"/>
        <v>33</v>
      </c>
      <c r="I52" t="str">
        <f t="shared" si="13"/>
        <v>2022*04 April*BL2*BL2 Time Plan 23-April Shift-2</v>
      </c>
      <c r="J52" t="str">
        <f t="shared" si="14"/>
        <v>04 April</v>
      </c>
      <c r="K52" t="str">
        <f t="shared" si="6"/>
        <v>BL2</v>
      </c>
      <c r="L52" t="str">
        <f t="shared" si="15"/>
        <v>BL2 Time Plan 23-April Shift-2</v>
      </c>
      <c r="M52" t="str">
        <f t="shared" si="16"/>
        <v>2022</v>
      </c>
    </row>
    <row r="53" spans="3:13" x14ac:dyDescent="0.25">
      <c r="C53" s="3" t="str">
        <f t="shared" si="17"/>
        <v>April</v>
      </c>
      <c r="D53" s="1">
        <f t="shared" si="18"/>
        <v>44674</v>
      </c>
      <c r="E53" s="2" t="str">
        <f t="shared" si="19"/>
        <v>23</v>
      </c>
      <c r="F53" s="2">
        <f t="shared" si="12"/>
        <v>1</v>
      </c>
      <c r="G53">
        <f t="shared" si="20"/>
        <v>34</v>
      </c>
      <c r="I53" t="str">
        <f t="shared" si="13"/>
        <v>2022*04 April*BL2*BL2 Time Plan 23-April Shift-1</v>
      </c>
      <c r="J53" t="str">
        <f t="shared" si="14"/>
        <v>04 April</v>
      </c>
      <c r="K53" t="str">
        <f t="shared" si="6"/>
        <v>BL2</v>
      </c>
      <c r="L53" t="str">
        <f t="shared" si="15"/>
        <v>BL2 Time Plan 23-April Shift-1</v>
      </c>
      <c r="M53" t="str">
        <f t="shared" si="16"/>
        <v>2022</v>
      </c>
    </row>
    <row r="54" spans="3:13" x14ac:dyDescent="0.25">
      <c r="C54" s="3" t="str">
        <f t="shared" si="17"/>
        <v>April</v>
      </c>
      <c r="D54" s="1">
        <f t="shared" si="18"/>
        <v>44673</v>
      </c>
      <c r="E54" s="2" t="str">
        <f t="shared" si="19"/>
        <v>22</v>
      </c>
      <c r="F54" s="2">
        <f t="shared" si="12"/>
        <v>3</v>
      </c>
      <c r="G54">
        <f t="shared" si="20"/>
        <v>34</v>
      </c>
      <c r="I54" t="str">
        <f t="shared" si="13"/>
        <v>2022*04 April*BL2*BL2 Time Plan 22-April Shift-3</v>
      </c>
      <c r="J54" t="str">
        <f t="shared" si="14"/>
        <v>04 April</v>
      </c>
      <c r="K54" t="str">
        <f t="shared" si="6"/>
        <v>BL2</v>
      </c>
      <c r="L54" t="str">
        <f t="shared" si="15"/>
        <v>BL2 Time Plan 22-April Shift-3</v>
      </c>
      <c r="M54" t="str">
        <f t="shared" si="16"/>
        <v>2022</v>
      </c>
    </row>
    <row r="55" spans="3:13" x14ac:dyDescent="0.25">
      <c r="C55" s="3" t="str">
        <f t="shared" si="17"/>
        <v>April</v>
      </c>
      <c r="D55" s="1">
        <f t="shared" si="18"/>
        <v>44673</v>
      </c>
      <c r="E55" s="2" t="str">
        <f t="shared" si="19"/>
        <v>22</v>
      </c>
      <c r="F55" s="2">
        <f t="shared" si="12"/>
        <v>2</v>
      </c>
      <c r="G55">
        <f t="shared" si="20"/>
        <v>35</v>
      </c>
      <c r="I55" t="str">
        <f t="shared" si="13"/>
        <v>2022*04 April*BL2*BL2 Time Plan 22-April Shift-2</v>
      </c>
      <c r="J55" t="str">
        <f t="shared" si="14"/>
        <v>04 April</v>
      </c>
      <c r="K55" t="str">
        <f t="shared" si="6"/>
        <v>BL2</v>
      </c>
      <c r="L55" t="str">
        <f t="shared" si="15"/>
        <v>BL2 Time Plan 22-April Shift-2</v>
      </c>
      <c r="M55" t="str">
        <f t="shared" si="16"/>
        <v>2022</v>
      </c>
    </row>
    <row r="56" spans="3:13" x14ac:dyDescent="0.25">
      <c r="C56" s="3" t="str">
        <f t="shared" si="17"/>
        <v>April</v>
      </c>
      <c r="D56" s="1">
        <f t="shared" si="18"/>
        <v>44673</v>
      </c>
      <c r="E56" s="2" t="str">
        <f t="shared" si="19"/>
        <v>22</v>
      </c>
      <c r="F56" s="2">
        <f t="shared" si="12"/>
        <v>1</v>
      </c>
      <c r="G56">
        <f t="shared" si="20"/>
        <v>36</v>
      </c>
      <c r="I56" t="str">
        <f t="shared" si="13"/>
        <v>2022*04 April*BL2*BL2 Time Plan 22-April Shift-1</v>
      </c>
      <c r="J56" t="str">
        <f t="shared" si="14"/>
        <v>04 April</v>
      </c>
      <c r="K56" t="str">
        <f t="shared" si="6"/>
        <v>BL2</v>
      </c>
      <c r="L56" t="str">
        <f t="shared" si="15"/>
        <v>BL2 Time Plan 22-April Shift-1</v>
      </c>
      <c r="M56" t="str">
        <f t="shared" si="16"/>
        <v>2022</v>
      </c>
    </row>
    <row r="57" spans="3:13" x14ac:dyDescent="0.25">
      <c r="C57" s="3" t="str">
        <f t="shared" si="17"/>
        <v>April</v>
      </c>
      <c r="D57" s="1">
        <f t="shared" si="18"/>
        <v>44672</v>
      </c>
      <c r="E57" s="2" t="str">
        <f t="shared" si="19"/>
        <v>21</v>
      </c>
      <c r="F57" s="2">
        <f t="shared" si="12"/>
        <v>3</v>
      </c>
      <c r="G57">
        <f t="shared" si="20"/>
        <v>36</v>
      </c>
      <c r="I57" t="str">
        <f t="shared" si="13"/>
        <v>2022*04 April*BL2*BL2 Time Plan 21-April Shift-3</v>
      </c>
      <c r="J57" t="str">
        <f t="shared" si="14"/>
        <v>04 April</v>
      </c>
      <c r="K57" t="str">
        <f t="shared" si="6"/>
        <v>BL2</v>
      </c>
      <c r="L57" t="str">
        <f t="shared" si="15"/>
        <v>BL2 Time Plan 21-April Shift-3</v>
      </c>
      <c r="M57" t="str">
        <f t="shared" si="16"/>
        <v>2022</v>
      </c>
    </row>
    <row r="58" spans="3:13" x14ac:dyDescent="0.25">
      <c r="C58" s="3" t="str">
        <f t="shared" si="17"/>
        <v>April</v>
      </c>
      <c r="D58" s="1">
        <f t="shared" si="18"/>
        <v>44672</v>
      </c>
      <c r="E58" s="2" t="str">
        <f t="shared" si="19"/>
        <v>21</v>
      </c>
      <c r="F58" s="2">
        <f t="shared" si="12"/>
        <v>2</v>
      </c>
      <c r="G58">
        <f t="shared" si="20"/>
        <v>37</v>
      </c>
      <c r="I58" t="str">
        <f t="shared" si="13"/>
        <v>2022*04 April*BL2*BL2 Time Plan 21-April Shift-2</v>
      </c>
      <c r="J58" t="str">
        <f t="shared" si="14"/>
        <v>04 April</v>
      </c>
      <c r="K58" t="str">
        <f t="shared" si="6"/>
        <v>BL2</v>
      </c>
      <c r="L58" t="str">
        <f t="shared" si="15"/>
        <v>BL2 Time Plan 21-April Shift-2</v>
      </c>
      <c r="M58" t="str">
        <f t="shared" si="16"/>
        <v>2022</v>
      </c>
    </row>
    <row r="59" spans="3:13" x14ac:dyDescent="0.25">
      <c r="C59" s="3" t="str">
        <f t="shared" si="17"/>
        <v>April</v>
      </c>
      <c r="D59" s="1">
        <f t="shared" si="18"/>
        <v>44672</v>
      </c>
      <c r="E59" s="2" t="str">
        <f t="shared" si="19"/>
        <v>21</v>
      </c>
      <c r="F59" s="2">
        <f t="shared" si="12"/>
        <v>1</v>
      </c>
      <c r="G59">
        <f t="shared" si="20"/>
        <v>38</v>
      </c>
      <c r="I59" t="str">
        <f t="shared" si="13"/>
        <v>2022*04 April*BL2*BL2 Time Plan 21-April Shift-1</v>
      </c>
      <c r="J59" t="str">
        <f t="shared" si="14"/>
        <v>04 April</v>
      </c>
      <c r="K59" t="str">
        <f t="shared" si="6"/>
        <v>BL2</v>
      </c>
      <c r="L59" t="str">
        <f t="shared" si="15"/>
        <v>BL2 Time Plan 21-April Shift-1</v>
      </c>
      <c r="M59" t="str">
        <f t="shared" si="16"/>
        <v>2022</v>
      </c>
    </row>
    <row r="60" spans="3:13" x14ac:dyDescent="0.25">
      <c r="C60" s="3" t="str">
        <f t="shared" si="17"/>
        <v>April</v>
      </c>
      <c r="D60" s="1">
        <f t="shared" si="18"/>
        <v>44671</v>
      </c>
      <c r="E60" s="2" t="str">
        <f t="shared" si="19"/>
        <v>20</v>
      </c>
      <c r="F60" s="2">
        <f t="shared" si="12"/>
        <v>3</v>
      </c>
      <c r="G60">
        <f t="shared" si="20"/>
        <v>38</v>
      </c>
      <c r="I60" t="str">
        <f t="shared" si="13"/>
        <v>2022*04 April*BL2*BL2 Time Plan 20-April Shift-3</v>
      </c>
      <c r="J60" t="str">
        <f t="shared" si="14"/>
        <v>04 April</v>
      </c>
      <c r="K60" t="str">
        <f t="shared" si="6"/>
        <v>BL2</v>
      </c>
      <c r="L60" t="str">
        <f t="shared" si="15"/>
        <v>BL2 Time Plan 20-April Shift-3</v>
      </c>
      <c r="M60" t="str">
        <f t="shared" si="16"/>
        <v>2022</v>
      </c>
    </row>
    <row r="61" spans="3:13" x14ac:dyDescent="0.25">
      <c r="C61" s="3" t="str">
        <f t="shared" si="17"/>
        <v>April</v>
      </c>
      <c r="D61" s="1">
        <f t="shared" si="18"/>
        <v>44671</v>
      </c>
      <c r="E61" s="2" t="str">
        <f t="shared" si="19"/>
        <v>20</v>
      </c>
      <c r="F61" s="2">
        <f t="shared" si="12"/>
        <v>2</v>
      </c>
      <c r="G61">
        <f t="shared" si="20"/>
        <v>39</v>
      </c>
      <c r="I61" t="str">
        <f t="shared" si="13"/>
        <v>2022*04 April*BL2*BL2 Time Plan 20-April Shift-2</v>
      </c>
      <c r="J61" t="str">
        <f t="shared" si="14"/>
        <v>04 April</v>
      </c>
      <c r="K61" t="str">
        <f t="shared" si="6"/>
        <v>BL2</v>
      </c>
      <c r="L61" t="str">
        <f t="shared" si="15"/>
        <v>BL2 Time Plan 20-April Shift-2</v>
      </c>
      <c r="M61" t="str">
        <f t="shared" si="16"/>
        <v>2022</v>
      </c>
    </row>
    <row r="62" spans="3:13" x14ac:dyDescent="0.25">
      <c r="C62" s="3" t="str">
        <f t="shared" si="17"/>
        <v>April</v>
      </c>
      <c r="D62" s="1">
        <f t="shared" si="18"/>
        <v>44671</v>
      </c>
      <c r="E62" s="2" t="str">
        <f t="shared" si="19"/>
        <v>20</v>
      </c>
      <c r="F62" s="2">
        <f t="shared" si="12"/>
        <v>1</v>
      </c>
      <c r="G62">
        <f t="shared" si="20"/>
        <v>40</v>
      </c>
      <c r="I62" t="str">
        <f t="shared" si="13"/>
        <v>2022*04 April*BL2*BL2 Time Plan 20-April Shift-1</v>
      </c>
      <c r="J62" t="str">
        <f t="shared" si="14"/>
        <v>04 April</v>
      </c>
      <c r="K62" t="str">
        <f t="shared" si="6"/>
        <v>BL2</v>
      </c>
      <c r="L62" t="str">
        <f t="shared" si="15"/>
        <v>BL2 Time Plan 20-April Shift-1</v>
      </c>
      <c r="M62" t="str">
        <f t="shared" si="16"/>
        <v>2022</v>
      </c>
    </row>
    <row r="63" spans="3:13" x14ac:dyDescent="0.25">
      <c r="C63" s="3" t="str">
        <f t="shared" si="17"/>
        <v>April</v>
      </c>
      <c r="D63" s="1">
        <f t="shared" si="18"/>
        <v>44670</v>
      </c>
      <c r="E63" s="2" t="str">
        <f t="shared" si="19"/>
        <v>19</v>
      </c>
      <c r="F63" s="2">
        <f t="shared" si="12"/>
        <v>3</v>
      </c>
      <c r="G63">
        <f t="shared" si="20"/>
        <v>40</v>
      </c>
      <c r="I63" t="str">
        <f t="shared" si="13"/>
        <v>2022*04 April*BL2*BL2 Time Plan 19-April Shift-3</v>
      </c>
      <c r="J63" t="str">
        <f t="shared" si="14"/>
        <v>04 April</v>
      </c>
      <c r="K63" t="str">
        <f t="shared" si="6"/>
        <v>BL2</v>
      </c>
      <c r="L63" t="str">
        <f t="shared" si="15"/>
        <v>BL2 Time Plan 19-April Shift-3</v>
      </c>
      <c r="M63" t="str">
        <f t="shared" si="16"/>
        <v>2022</v>
      </c>
    </row>
    <row r="64" spans="3:13" x14ac:dyDescent="0.25">
      <c r="C64" s="3" t="str">
        <f t="shared" si="17"/>
        <v>April</v>
      </c>
      <c r="D64" s="1">
        <f t="shared" si="18"/>
        <v>44670</v>
      </c>
      <c r="E64" s="2" t="str">
        <f t="shared" si="19"/>
        <v>19</v>
      </c>
      <c r="F64" s="2">
        <f t="shared" si="12"/>
        <v>2</v>
      </c>
      <c r="G64">
        <f t="shared" si="20"/>
        <v>41</v>
      </c>
      <c r="I64" t="str">
        <f t="shared" si="13"/>
        <v>2022*04 April*BL2*BL2 Time Plan 19-April Shift-2</v>
      </c>
      <c r="J64" t="str">
        <f t="shared" si="14"/>
        <v>04 April</v>
      </c>
      <c r="K64" t="str">
        <f t="shared" si="6"/>
        <v>BL2</v>
      </c>
      <c r="L64" t="str">
        <f t="shared" si="15"/>
        <v>BL2 Time Plan 19-April Shift-2</v>
      </c>
      <c r="M64" t="str">
        <f t="shared" si="16"/>
        <v>2022</v>
      </c>
    </row>
    <row r="65" spans="3:13" x14ac:dyDescent="0.25">
      <c r="C65" s="3" t="str">
        <f t="shared" si="17"/>
        <v>April</v>
      </c>
      <c r="D65" s="1">
        <f t="shared" si="18"/>
        <v>44670</v>
      </c>
      <c r="E65" s="2" t="str">
        <f t="shared" si="19"/>
        <v>19</v>
      </c>
      <c r="F65" s="2">
        <f t="shared" si="12"/>
        <v>1</v>
      </c>
      <c r="G65">
        <f t="shared" si="20"/>
        <v>42</v>
      </c>
      <c r="I65" t="str">
        <f t="shared" si="13"/>
        <v>2022*04 April*BL2*BL2 Time Plan 19-April Shift-1</v>
      </c>
      <c r="J65" t="str">
        <f t="shared" si="14"/>
        <v>04 April</v>
      </c>
      <c r="K65" t="str">
        <f t="shared" si="6"/>
        <v>BL2</v>
      </c>
      <c r="L65" t="str">
        <f t="shared" si="15"/>
        <v>BL2 Time Plan 19-April Shift-1</v>
      </c>
      <c r="M65" t="str">
        <f t="shared" si="16"/>
        <v>2022</v>
      </c>
    </row>
    <row r="66" spans="3:13" x14ac:dyDescent="0.25">
      <c r="C66" s="3" t="str">
        <f t="shared" si="17"/>
        <v>April</v>
      </c>
      <c r="D66" s="1">
        <f t="shared" si="18"/>
        <v>44669</v>
      </c>
      <c r="E66" s="2" t="str">
        <f t="shared" si="19"/>
        <v>18</v>
      </c>
      <c r="F66" s="2">
        <f t="shared" si="12"/>
        <v>3</v>
      </c>
      <c r="G66">
        <f t="shared" si="20"/>
        <v>42</v>
      </c>
      <c r="I66" t="str">
        <f t="shared" si="13"/>
        <v>2022*04 April*BL2*BL2 Time Plan 18-April Shift-3</v>
      </c>
      <c r="J66" t="str">
        <f t="shared" si="14"/>
        <v>04 April</v>
      </c>
      <c r="K66" t="str">
        <f t="shared" si="6"/>
        <v>BL2</v>
      </c>
      <c r="L66" t="str">
        <f t="shared" si="15"/>
        <v>BL2 Time Plan 18-April Shift-3</v>
      </c>
      <c r="M66" t="str">
        <f t="shared" si="16"/>
        <v>2022</v>
      </c>
    </row>
    <row r="67" spans="3:13" x14ac:dyDescent="0.25">
      <c r="C67" s="3" t="str">
        <f t="shared" si="17"/>
        <v>April</v>
      </c>
      <c r="D67" s="1">
        <f t="shared" si="18"/>
        <v>44669</v>
      </c>
      <c r="E67" s="2" t="str">
        <f t="shared" si="19"/>
        <v>18</v>
      </c>
      <c r="F67" s="2">
        <f t="shared" si="12"/>
        <v>2</v>
      </c>
      <c r="G67">
        <f t="shared" si="20"/>
        <v>43</v>
      </c>
      <c r="I67" t="str">
        <f t="shared" si="13"/>
        <v>2022*04 April*BL2*BL2 Time Plan 18-April Shift-2</v>
      </c>
      <c r="J67" t="str">
        <f t="shared" si="14"/>
        <v>04 April</v>
      </c>
      <c r="K67" t="str">
        <f t="shared" si="6"/>
        <v>BL2</v>
      </c>
      <c r="L67" t="str">
        <f t="shared" si="15"/>
        <v>BL2 Time Plan 18-April Shift-2</v>
      </c>
      <c r="M67" t="str">
        <f t="shared" si="16"/>
        <v>2022</v>
      </c>
    </row>
    <row r="68" spans="3:13" x14ac:dyDescent="0.25">
      <c r="C68" s="3" t="str">
        <f t="shared" si="17"/>
        <v>April</v>
      </c>
      <c r="D68" s="1">
        <f t="shared" si="18"/>
        <v>44669</v>
      </c>
      <c r="E68" s="2" t="str">
        <f t="shared" si="19"/>
        <v>18</v>
      </c>
      <c r="F68" s="2">
        <f t="shared" si="12"/>
        <v>1</v>
      </c>
      <c r="G68">
        <f t="shared" si="20"/>
        <v>44</v>
      </c>
      <c r="I68" t="str">
        <f t="shared" si="13"/>
        <v>2022*04 April*BL2*BL2 Time Plan 18-April Shift-1</v>
      </c>
      <c r="J68" t="str">
        <f t="shared" si="14"/>
        <v>04 April</v>
      </c>
      <c r="K68" t="str">
        <f t="shared" ref="K68:K104" si="21">$A$2</f>
        <v>BL2</v>
      </c>
      <c r="L68" t="str">
        <f t="shared" si="15"/>
        <v>BL2 Time Plan 18-April Shift-1</v>
      </c>
      <c r="M68" t="str">
        <f t="shared" si="16"/>
        <v>2022</v>
      </c>
    </row>
    <row r="69" spans="3:13" x14ac:dyDescent="0.25">
      <c r="C69" s="3" t="str">
        <f t="shared" si="17"/>
        <v>April</v>
      </c>
      <c r="D69" s="1">
        <f t="shared" si="18"/>
        <v>44668</v>
      </c>
      <c r="E69" s="2" t="str">
        <f t="shared" si="19"/>
        <v>17</v>
      </c>
      <c r="F69" s="2">
        <f t="shared" si="12"/>
        <v>3</v>
      </c>
      <c r="G69">
        <f t="shared" si="20"/>
        <v>44</v>
      </c>
      <c r="I69" t="str">
        <f t="shared" si="13"/>
        <v>2022*04 April*BL2*BL2 Time Plan 17-April Shift-3</v>
      </c>
      <c r="J69" t="str">
        <f t="shared" si="14"/>
        <v>04 April</v>
      </c>
      <c r="K69" t="str">
        <f t="shared" si="21"/>
        <v>BL2</v>
      </c>
      <c r="L69" t="str">
        <f t="shared" si="15"/>
        <v>BL2 Time Plan 17-April Shift-3</v>
      </c>
      <c r="M69" t="str">
        <f t="shared" si="16"/>
        <v>2022</v>
      </c>
    </row>
    <row r="70" spans="3:13" x14ac:dyDescent="0.25">
      <c r="C70" s="3" t="str">
        <f t="shared" si="17"/>
        <v>April</v>
      </c>
      <c r="D70" s="1">
        <f t="shared" si="18"/>
        <v>44668</v>
      </c>
      <c r="E70" s="2" t="str">
        <f t="shared" si="19"/>
        <v>17</v>
      </c>
      <c r="F70" s="2">
        <f t="shared" si="12"/>
        <v>2</v>
      </c>
      <c r="G70">
        <f t="shared" si="20"/>
        <v>45</v>
      </c>
      <c r="I70" t="str">
        <f t="shared" si="13"/>
        <v>2022*04 April*BL2*BL2 Time Plan 17-April Shift-2</v>
      </c>
      <c r="J70" t="str">
        <f t="shared" si="14"/>
        <v>04 April</v>
      </c>
      <c r="K70" t="str">
        <f t="shared" si="21"/>
        <v>BL2</v>
      </c>
      <c r="L70" t="str">
        <f t="shared" si="15"/>
        <v>BL2 Time Plan 17-April Shift-2</v>
      </c>
      <c r="M70" t="str">
        <f t="shared" si="16"/>
        <v>2022</v>
      </c>
    </row>
    <row r="71" spans="3:13" x14ac:dyDescent="0.25">
      <c r="C71" s="3" t="str">
        <f t="shared" si="17"/>
        <v>April</v>
      </c>
      <c r="D71" s="1">
        <f t="shared" si="18"/>
        <v>44668</v>
      </c>
      <c r="E71" s="2" t="str">
        <f t="shared" si="19"/>
        <v>17</v>
      </c>
      <c r="F71" s="2">
        <f t="shared" si="12"/>
        <v>1</v>
      </c>
      <c r="G71">
        <f t="shared" si="20"/>
        <v>46</v>
      </c>
      <c r="I71" t="str">
        <f t="shared" si="13"/>
        <v>2022*04 April*BL2*BL2 Time Plan 17-April Shift-1</v>
      </c>
      <c r="J71" t="str">
        <f t="shared" si="14"/>
        <v>04 April</v>
      </c>
      <c r="K71" t="str">
        <f t="shared" si="21"/>
        <v>BL2</v>
      </c>
      <c r="L71" t="str">
        <f t="shared" si="15"/>
        <v>BL2 Time Plan 17-April Shift-1</v>
      </c>
      <c r="M71" t="str">
        <f t="shared" si="16"/>
        <v>2022</v>
      </c>
    </row>
    <row r="72" spans="3:13" x14ac:dyDescent="0.25">
      <c r="C72" s="3" t="str">
        <f t="shared" si="17"/>
        <v>April</v>
      </c>
      <c r="D72" s="1">
        <f t="shared" si="18"/>
        <v>44667</v>
      </c>
      <c r="E72" s="2" t="str">
        <f t="shared" si="19"/>
        <v>16</v>
      </c>
      <c r="F72" s="2">
        <f t="shared" si="12"/>
        <v>3</v>
      </c>
      <c r="G72">
        <f t="shared" si="20"/>
        <v>46</v>
      </c>
      <c r="I72" t="str">
        <f t="shared" si="13"/>
        <v>2022*04 April*BL2*BL2 Time Plan 16-April Shift-3</v>
      </c>
      <c r="J72" t="str">
        <f t="shared" si="14"/>
        <v>04 April</v>
      </c>
      <c r="K72" t="str">
        <f t="shared" si="21"/>
        <v>BL2</v>
      </c>
      <c r="L72" t="str">
        <f t="shared" si="15"/>
        <v>BL2 Time Plan 16-April Shift-3</v>
      </c>
      <c r="M72" t="str">
        <f t="shared" si="16"/>
        <v>2022</v>
      </c>
    </row>
    <row r="73" spans="3:13" x14ac:dyDescent="0.25">
      <c r="C73" s="3" t="str">
        <f t="shared" si="17"/>
        <v>April</v>
      </c>
      <c r="D73" s="1">
        <f t="shared" si="18"/>
        <v>44667</v>
      </c>
      <c r="E73" s="2" t="str">
        <f t="shared" si="19"/>
        <v>16</v>
      </c>
      <c r="F73" s="2">
        <f t="shared" si="12"/>
        <v>2</v>
      </c>
      <c r="G73">
        <f t="shared" si="20"/>
        <v>47</v>
      </c>
      <c r="I73" t="str">
        <f t="shared" si="13"/>
        <v>2022*04 April*BL2*BL2 Time Plan 16-April Shift-2</v>
      </c>
      <c r="J73" t="str">
        <f t="shared" si="14"/>
        <v>04 April</v>
      </c>
      <c r="K73" t="str">
        <f t="shared" si="21"/>
        <v>BL2</v>
      </c>
      <c r="L73" t="str">
        <f t="shared" si="15"/>
        <v>BL2 Time Plan 16-April Shift-2</v>
      </c>
      <c r="M73" t="str">
        <f t="shared" si="16"/>
        <v>2022</v>
      </c>
    </row>
    <row r="74" spans="3:13" x14ac:dyDescent="0.25">
      <c r="C74" s="3" t="str">
        <f t="shared" si="17"/>
        <v>April</v>
      </c>
      <c r="D74" s="1">
        <f t="shared" si="18"/>
        <v>44667</v>
      </c>
      <c r="E74" s="2" t="str">
        <f t="shared" si="19"/>
        <v>16</v>
      </c>
      <c r="F74" s="2">
        <f t="shared" si="12"/>
        <v>1</v>
      </c>
      <c r="G74">
        <f t="shared" si="20"/>
        <v>48</v>
      </c>
      <c r="I74" t="str">
        <f t="shared" si="13"/>
        <v>2022*04 April*BL2*BL2 Time Plan 16-April Shift-1</v>
      </c>
      <c r="J74" t="str">
        <f t="shared" si="14"/>
        <v>04 April</v>
      </c>
      <c r="K74" t="str">
        <f t="shared" si="21"/>
        <v>BL2</v>
      </c>
      <c r="L74" t="str">
        <f t="shared" si="15"/>
        <v>BL2 Time Plan 16-April Shift-1</v>
      </c>
      <c r="M74" t="str">
        <f t="shared" si="16"/>
        <v>2022</v>
      </c>
    </row>
    <row r="75" spans="3:13" x14ac:dyDescent="0.25">
      <c r="C75" s="3" t="str">
        <f t="shared" si="17"/>
        <v>April</v>
      </c>
      <c r="D75" s="1">
        <f t="shared" si="18"/>
        <v>44666</v>
      </c>
      <c r="E75" s="2" t="str">
        <f t="shared" si="19"/>
        <v>15</v>
      </c>
      <c r="F75" s="2">
        <f t="shared" si="12"/>
        <v>3</v>
      </c>
      <c r="G75">
        <f t="shared" si="20"/>
        <v>48</v>
      </c>
      <c r="I75" t="str">
        <f t="shared" si="13"/>
        <v>2022*04 April*BL2*BL2 Time Plan 15-April Shift-3</v>
      </c>
      <c r="J75" t="str">
        <f t="shared" si="14"/>
        <v>04 April</v>
      </c>
      <c r="K75" t="str">
        <f t="shared" si="21"/>
        <v>BL2</v>
      </c>
      <c r="L75" t="str">
        <f t="shared" si="15"/>
        <v>BL2 Time Plan 15-April Shift-3</v>
      </c>
      <c r="M75" t="str">
        <f t="shared" si="16"/>
        <v>2022</v>
      </c>
    </row>
    <row r="76" spans="3:13" x14ac:dyDescent="0.25">
      <c r="C76" s="3" t="str">
        <f t="shared" si="17"/>
        <v>April</v>
      </c>
      <c r="D76" s="1">
        <f t="shared" si="18"/>
        <v>44666</v>
      </c>
      <c r="E76" s="2" t="str">
        <f t="shared" si="19"/>
        <v>15</v>
      </c>
      <c r="F76" s="2">
        <f t="shared" si="12"/>
        <v>2</v>
      </c>
      <c r="G76">
        <f t="shared" si="20"/>
        <v>49</v>
      </c>
      <c r="I76" t="str">
        <f t="shared" si="13"/>
        <v>2022*04 April*BL2*BL2 Time Plan 15-April Shift-2</v>
      </c>
      <c r="J76" t="str">
        <f t="shared" si="14"/>
        <v>04 April</v>
      </c>
      <c r="K76" t="str">
        <f t="shared" si="21"/>
        <v>BL2</v>
      </c>
      <c r="L76" t="str">
        <f t="shared" si="15"/>
        <v>BL2 Time Plan 15-April Shift-2</v>
      </c>
      <c r="M76" t="str">
        <f t="shared" si="16"/>
        <v>2022</v>
      </c>
    </row>
    <row r="77" spans="3:13" x14ac:dyDescent="0.25">
      <c r="C77" s="3" t="str">
        <f t="shared" si="17"/>
        <v>April</v>
      </c>
      <c r="D77" s="1">
        <f t="shared" si="18"/>
        <v>44666</v>
      </c>
      <c r="E77" s="2" t="str">
        <f t="shared" si="19"/>
        <v>15</v>
      </c>
      <c r="F77" s="2">
        <f t="shared" si="12"/>
        <v>1</v>
      </c>
      <c r="G77">
        <f t="shared" si="20"/>
        <v>50</v>
      </c>
      <c r="I77" t="str">
        <f t="shared" si="13"/>
        <v>2022*04 April*BL2*BL2 Time Plan 15-April Shift-1</v>
      </c>
      <c r="J77" t="str">
        <f t="shared" si="14"/>
        <v>04 April</v>
      </c>
      <c r="K77" t="str">
        <f t="shared" si="21"/>
        <v>BL2</v>
      </c>
      <c r="L77" t="str">
        <f t="shared" si="15"/>
        <v>BL2 Time Plan 15-April Shift-1</v>
      </c>
      <c r="M77" t="str">
        <f t="shared" si="16"/>
        <v>2022</v>
      </c>
    </row>
    <row r="78" spans="3:13" x14ac:dyDescent="0.25">
      <c r="C78" s="3" t="str">
        <f t="shared" si="17"/>
        <v>April</v>
      </c>
      <c r="D78" s="1">
        <f t="shared" si="18"/>
        <v>44665</v>
      </c>
      <c r="E78" s="2" t="str">
        <f t="shared" si="19"/>
        <v>14</v>
      </c>
      <c r="F78" s="2">
        <f t="shared" si="12"/>
        <v>3</v>
      </c>
      <c r="G78">
        <f t="shared" si="20"/>
        <v>50</v>
      </c>
      <c r="I78" t="str">
        <f t="shared" si="13"/>
        <v>2022*04 April*BL2*BL2 Time Plan 14-April Shift-3</v>
      </c>
      <c r="J78" t="str">
        <f t="shared" si="14"/>
        <v>04 April</v>
      </c>
      <c r="K78" t="str">
        <f t="shared" si="21"/>
        <v>BL2</v>
      </c>
      <c r="L78" t="str">
        <f t="shared" si="15"/>
        <v>BL2 Time Plan 14-April Shift-3</v>
      </c>
      <c r="M78" t="str">
        <f t="shared" si="16"/>
        <v>2022</v>
      </c>
    </row>
    <row r="79" spans="3:13" x14ac:dyDescent="0.25">
      <c r="C79" s="3" t="str">
        <f t="shared" si="17"/>
        <v>April</v>
      </c>
      <c r="D79" s="1">
        <f t="shared" si="18"/>
        <v>44665</v>
      </c>
      <c r="E79" s="2" t="str">
        <f t="shared" si="19"/>
        <v>14</v>
      </c>
      <c r="F79" s="2">
        <f t="shared" si="12"/>
        <v>2</v>
      </c>
      <c r="G79">
        <f t="shared" si="20"/>
        <v>51</v>
      </c>
      <c r="I79" t="str">
        <f t="shared" si="13"/>
        <v>2022*04 April*BL2*BL2 Time Plan 14-April Shift-2</v>
      </c>
      <c r="J79" t="str">
        <f t="shared" si="14"/>
        <v>04 April</v>
      </c>
      <c r="K79" t="str">
        <f t="shared" si="21"/>
        <v>BL2</v>
      </c>
      <c r="L79" t="str">
        <f t="shared" si="15"/>
        <v>BL2 Time Plan 14-April Shift-2</v>
      </c>
      <c r="M79" t="str">
        <f t="shared" si="16"/>
        <v>2022</v>
      </c>
    </row>
    <row r="80" spans="3:13" x14ac:dyDescent="0.25">
      <c r="C80" s="3" t="str">
        <f t="shared" si="17"/>
        <v>April</v>
      </c>
      <c r="D80" s="1">
        <f t="shared" si="18"/>
        <v>44665</v>
      </c>
      <c r="E80" s="2" t="str">
        <f t="shared" si="19"/>
        <v>14</v>
      </c>
      <c r="F80" s="2">
        <f t="shared" si="12"/>
        <v>1</v>
      </c>
      <c r="G80">
        <f t="shared" si="20"/>
        <v>52</v>
      </c>
      <c r="I80" t="str">
        <f t="shared" si="13"/>
        <v>2022*04 April*BL2*BL2 Time Plan 14-April Shift-1</v>
      </c>
      <c r="J80" t="str">
        <f t="shared" si="14"/>
        <v>04 April</v>
      </c>
      <c r="K80" t="str">
        <f t="shared" si="21"/>
        <v>BL2</v>
      </c>
      <c r="L80" t="str">
        <f t="shared" si="15"/>
        <v>BL2 Time Plan 14-April Shift-1</v>
      </c>
      <c r="M80" t="str">
        <f t="shared" si="16"/>
        <v>2022</v>
      </c>
    </row>
    <row r="81" spans="3:13" x14ac:dyDescent="0.25">
      <c r="C81" s="3" t="str">
        <f t="shared" si="17"/>
        <v>April</v>
      </c>
      <c r="D81" s="1">
        <f t="shared" si="18"/>
        <v>44664</v>
      </c>
      <c r="E81" s="2" t="str">
        <f t="shared" si="19"/>
        <v>13</v>
      </c>
      <c r="F81" s="2">
        <f t="shared" si="12"/>
        <v>3</v>
      </c>
      <c r="G81">
        <f t="shared" si="20"/>
        <v>52</v>
      </c>
      <c r="I81" t="str">
        <f t="shared" si="13"/>
        <v>2022*04 April*BL2*BL2 Time Plan 13-April Shift-3</v>
      </c>
      <c r="J81" t="str">
        <f t="shared" si="14"/>
        <v>04 April</v>
      </c>
      <c r="K81" t="str">
        <f t="shared" si="21"/>
        <v>BL2</v>
      </c>
      <c r="L81" t="str">
        <f t="shared" si="15"/>
        <v>BL2 Time Plan 13-April Shift-3</v>
      </c>
      <c r="M81" t="str">
        <f t="shared" si="16"/>
        <v>2022</v>
      </c>
    </row>
    <row r="82" spans="3:13" x14ac:dyDescent="0.25">
      <c r="C82" s="3" t="str">
        <f t="shared" si="17"/>
        <v>April</v>
      </c>
      <c r="D82" s="1">
        <f t="shared" si="18"/>
        <v>44664</v>
      </c>
      <c r="E82" s="2" t="str">
        <f t="shared" si="19"/>
        <v>13</v>
      </c>
      <c r="F82" s="2">
        <f t="shared" ref="F82:F104" si="22">IF(F81=1,3,IF(F81=2,1,IF(F81=3,2)))</f>
        <v>2</v>
      </c>
      <c r="G82">
        <f t="shared" si="20"/>
        <v>53</v>
      </c>
      <c r="I82" t="str">
        <f t="shared" si="13"/>
        <v>2022*04 April*BL2*BL2 Time Plan 13-April Shift-2</v>
      </c>
      <c r="J82" t="str">
        <f t="shared" si="14"/>
        <v>04 April</v>
      </c>
      <c r="K82" t="str">
        <f t="shared" si="21"/>
        <v>BL2</v>
      </c>
      <c r="L82" t="str">
        <f t="shared" si="15"/>
        <v>BL2 Time Plan 13-April Shift-2</v>
      </c>
      <c r="M82" t="str">
        <f t="shared" si="16"/>
        <v>2022</v>
      </c>
    </row>
    <row r="83" spans="3:13" x14ac:dyDescent="0.25">
      <c r="C83" s="3" t="str">
        <f t="shared" ref="C83:C88" si="23">TEXT(D83,"mmmm")</f>
        <v>April</v>
      </c>
      <c r="D83" s="1">
        <f t="shared" ref="D83:D88" si="24">IF(F82=1,D82-1,IF(OR(F82=3,F82=2),D82))</f>
        <v>44664</v>
      </c>
      <c r="E83" s="2" t="str">
        <f t="shared" ref="E83:E88" si="25">TEXT(D83,"DD")</f>
        <v>13</v>
      </c>
      <c r="F83" s="2">
        <f t="shared" si="22"/>
        <v>1</v>
      </c>
      <c r="G83">
        <f t="shared" ref="G83:G88" si="26">IF(E82=E83,G82+1,G82)</f>
        <v>54</v>
      </c>
      <c r="I83" t="str">
        <f t="shared" ref="I83:I88" si="27">M83&amp;"*"&amp;J83&amp;"*"&amp;K83&amp;"*"&amp;L83</f>
        <v>2022*04 April*BL2*BL2 Time Plan 13-April Shift-1</v>
      </c>
      <c r="J83" t="str">
        <f t="shared" ref="J83:J88" si="28">TEXT(D83,"MM MMMM")</f>
        <v>04 April</v>
      </c>
      <c r="K83" t="str">
        <f t="shared" si="21"/>
        <v>BL2</v>
      </c>
      <c r="L83" t="str">
        <f t="shared" ref="L83:L88" si="29">CONCATENATE($A$2," ","Time Plan ",E83&amp;"-"&amp;C83&amp;" Shift-"&amp;F83)</f>
        <v>BL2 Time Plan 13-April Shift-1</v>
      </c>
      <c r="M83" t="str">
        <f t="shared" ref="M83:M88" si="30">TEXT(D83,"YYYY")</f>
        <v>2022</v>
      </c>
    </row>
    <row r="84" spans="3:13" x14ac:dyDescent="0.25">
      <c r="C84" s="3" t="str">
        <f t="shared" si="23"/>
        <v>April</v>
      </c>
      <c r="D84" s="1">
        <f t="shared" si="24"/>
        <v>44663</v>
      </c>
      <c r="E84" s="2" t="str">
        <f t="shared" si="25"/>
        <v>12</v>
      </c>
      <c r="F84" s="2">
        <f t="shared" si="22"/>
        <v>3</v>
      </c>
      <c r="G84">
        <f t="shared" si="26"/>
        <v>54</v>
      </c>
      <c r="I84" t="str">
        <f t="shared" si="27"/>
        <v>2022*04 April*BL2*BL2 Time Plan 12-April Shift-3</v>
      </c>
      <c r="J84" t="str">
        <f t="shared" si="28"/>
        <v>04 April</v>
      </c>
      <c r="K84" t="str">
        <f t="shared" si="21"/>
        <v>BL2</v>
      </c>
      <c r="L84" t="str">
        <f t="shared" si="29"/>
        <v>BL2 Time Plan 12-April Shift-3</v>
      </c>
      <c r="M84" t="str">
        <f t="shared" si="30"/>
        <v>2022</v>
      </c>
    </row>
    <row r="85" spans="3:13" x14ac:dyDescent="0.25">
      <c r="C85" s="3" t="str">
        <f t="shared" si="23"/>
        <v>April</v>
      </c>
      <c r="D85" s="1">
        <f t="shared" si="24"/>
        <v>44663</v>
      </c>
      <c r="E85" s="2" t="str">
        <f t="shared" si="25"/>
        <v>12</v>
      </c>
      <c r="F85" s="2">
        <f t="shared" si="22"/>
        <v>2</v>
      </c>
      <c r="G85">
        <f t="shared" si="26"/>
        <v>55</v>
      </c>
      <c r="I85" t="str">
        <f t="shared" si="27"/>
        <v>2022*04 April*BL2*BL2 Time Plan 12-April Shift-2</v>
      </c>
      <c r="J85" t="str">
        <f t="shared" si="28"/>
        <v>04 April</v>
      </c>
      <c r="K85" t="str">
        <f t="shared" si="21"/>
        <v>BL2</v>
      </c>
      <c r="L85" t="str">
        <f t="shared" si="29"/>
        <v>BL2 Time Plan 12-April Shift-2</v>
      </c>
      <c r="M85" t="str">
        <f t="shared" si="30"/>
        <v>2022</v>
      </c>
    </row>
    <row r="86" spans="3:13" x14ac:dyDescent="0.25">
      <c r="C86" s="3" t="str">
        <f t="shared" si="23"/>
        <v>April</v>
      </c>
      <c r="D86" s="1">
        <f t="shared" si="24"/>
        <v>44663</v>
      </c>
      <c r="E86" s="2" t="str">
        <f t="shared" si="25"/>
        <v>12</v>
      </c>
      <c r="F86" s="2">
        <f t="shared" si="22"/>
        <v>1</v>
      </c>
      <c r="G86">
        <f t="shared" si="26"/>
        <v>56</v>
      </c>
      <c r="I86" t="str">
        <f t="shared" si="27"/>
        <v>2022*04 April*BL2*BL2 Time Plan 12-April Shift-1</v>
      </c>
      <c r="J86" t="str">
        <f t="shared" si="28"/>
        <v>04 April</v>
      </c>
      <c r="K86" t="str">
        <f t="shared" si="21"/>
        <v>BL2</v>
      </c>
      <c r="L86" t="str">
        <f t="shared" si="29"/>
        <v>BL2 Time Plan 12-April Shift-1</v>
      </c>
      <c r="M86" t="str">
        <f t="shared" si="30"/>
        <v>2022</v>
      </c>
    </row>
    <row r="87" spans="3:13" x14ac:dyDescent="0.25">
      <c r="C87" s="3" t="str">
        <f t="shared" si="23"/>
        <v>April</v>
      </c>
      <c r="D87" s="1">
        <f t="shared" si="24"/>
        <v>44662</v>
      </c>
      <c r="E87" s="2" t="str">
        <f t="shared" si="25"/>
        <v>11</v>
      </c>
      <c r="F87" s="2">
        <f t="shared" si="22"/>
        <v>3</v>
      </c>
      <c r="G87">
        <f t="shared" si="26"/>
        <v>56</v>
      </c>
      <c r="I87" t="str">
        <f t="shared" si="27"/>
        <v>2022*04 April*BL2*BL2 Time Plan 11-April Shift-3</v>
      </c>
      <c r="J87" t="str">
        <f t="shared" si="28"/>
        <v>04 April</v>
      </c>
      <c r="K87" t="str">
        <f t="shared" si="21"/>
        <v>BL2</v>
      </c>
      <c r="L87" t="str">
        <f t="shared" si="29"/>
        <v>BL2 Time Plan 11-April Shift-3</v>
      </c>
      <c r="M87" t="str">
        <f t="shared" si="30"/>
        <v>2022</v>
      </c>
    </row>
    <row r="88" spans="3:13" x14ac:dyDescent="0.25">
      <c r="C88" s="3" t="str">
        <f t="shared" si="23"/>
        <v>April</v>
      </c>
      <c r="D88" s="1">
        <f t="shared" si="24"/>
        <v>44662</v>
      </c>
      <c r="E88" s="2" t="str">
        <f t="shared" si="25"/>
        <v>11</v>
      </c>
      <c r="F88" s="2">
        <f t="shared" si="22"/>
        <v>2</v>
      </c>
      <c r="G88">
        <f t="shared" si="26"/>
        <v>57</v>
      </c>
      <c r="I88" t="str">
        <f t="shared" si="27"/>
        <v>2022*04 April*BL2*BL2 Time Plan 11-April Shift-2</v>
      </c>
      <c r="J88" t="str">
        <f t="shared" si="28"/>
        <v>04 April</v>
      </c>
      <c r="K88" t="str">
        <f t="shared" si="21"/>
        <v>BL2</v>
      </c>
      <c r="L88" t="str">
        <f t="shared" si="29"/>
        <v>BL2 Time Plan 11-April Shift-2</v>
      </c>
      <c r="M88" t="str">
        <f t="shared" si="30"/>
        <v>2022</v>
      </c>
    </row>
    <row r="89" spans="3:13" x14ac:dyDescent="0.25">
      <c r="C89" s="3" t="str">
        <f t="shared" ref="C89:C102" si="31">TEXT(D89,"mmmm")</f>
        <v>April</v>
      </c>
      <c r="D89" s="1">
        <f t="shared" ref="D89:D102" si="32">IF(F88=1,D88-1,IF(OR(F88=3,F88=2),D88))</f>
        <v>44662</v>
      </c>
      <c r="E89" s="2" t="str">
        <f t="shared" ref="E89:E102" si="33">TEXT(D89,"DD")</f>
        <v>11</v>
      </c>
      <c r="F89" s="2">
        <f t="shared" si="22"/>
        <v>1</v>
      </c>
      <c r="G89">
        <f t="shared" ref="G89:G102" si="34">IF(E88=E89,G88+1,G88)</f>
        <v>58</v>
      </c>
      <c r="I89" t="str">
        <f t="shared" ref="I89:I102" si="35">M89&amp;"*"&amp;J89&amp;"*"&amp;K89&amp;"*"&amp;L89</f>
        <v>2022*04 April*BL2*BL2 Time Plan 11-April Shift-1</v>
      </c>
      <c r="J89" t="str">
        <f t="shared" ref="J89:J102" si="36">TEXT(D89,"MM MMMM")</f>
        <v>04 April</v>
      </c>
      <c r="K89" t="str">
        <f t="shared" si="21"/>
        <v>BL2</v>
      </c>
      <c r="L89" t="str">
        <f t="shared" ref="L89:L102" si="37">CONCATENATE($A$2," ","Time Plan ",E89&amp;"-"&amp;C89&amp;" Shift-"&amp;F89)</f>
        <v>BL2 Time Plan 11-April Shift-1</v>
      </c>
      <c r="M89" t="str">
        <f t="shared" ref="M89:M102" si="38">TEXT(D89,"YYYY")</f>
        <v>2022</v>
      </c>
    </row>
    <row r="90" spans="3:13" x14ac:dyDescent="0.25">
      <c r="C90" s="3" t="str">
        <f t="shared" si="31"/>
        <v>April</v>
      </c>
      <c r="D90" s="1">
        <f t="shared" si="32"/>
        <v>44661</v>
      </c>
      <c r="E90" s="2" t="str">
        <f t="shared" si="33"/>
        <v>10</v>
      </c>
      <c r="F90" s="2">
        <f t="shared" si="22"/>
        <v>3</v>
      </c>
      <c r="G90">
        <f t="shared" si="34"/>
        <v>58</v>
      </c>
      <c r="I90" t="str">
        <f t="shared" si="35"/>
        <v>2022*04 April*BL2*BL2 Time Plan 10-April Shift-3</v>
      </c>
      <c r="J90" t="str">
        <f t="shared" si="36"/>
        <v>04 April</v>
      </c>
      <c r="K90" t="str">
        <f t="shared" si="21"/>
        <v>BL2</v>
      </c>
      <c r="L90" t="str">
        <f t="shared" si="37"/>
        <v>BL2 Time Plan 10-April Shift-3</v>
      </c>
      <c r="M90" t="str">
        <f t="shared" si="38"/>
        <v>2022</v>
      </c>
    </row>
    <row r="91" spans="3:13" x14ac:dyDescent="0.25">
      <c r="C91" s="3" t="str">
        <f t="shared" si="31"/>
        <v>April</v>
      </c>
      <c r="D91" s="1">
        <f t="shared" si="32"/>
        <v>44661</v>
      </c>
      <c r="E91" s="2" t="str">
        <f t="shared" si="33"/>
        <v>10</v>
      </c>
      <c r="F91" s="2">
        <f t="shared" si="22"/>
        <v>2</v>
      </c>
      <c r="G91">
        <f t="shared" si="34"/>
        <v>59</v>
      </c>
      <c r="I91" t="str">
        <f t="shared" si="35"/>
        <v>2022*04 April*BL2*BL2 Time Plan 10-April Shift-2</v>
      </c>
      <c r="J91" t="str">
        <f t="shared" si="36"/>
        <v>04 April</v>
      </c>
      <c r="K91" t="str">
        <f t="shared" si="21"/>
        <v>BL2</v>
      </c>
      <c r="L91" t="str">
        <f t="shared" si="37"/>
        <v>BL2 Time Plan 10-April Shift-2</v>
      </c>
      <c r="M91" t="str">
        <f t="shared" si="38"/>
        <v>2022</v>
      </c>
    </row>
    <row r="92" spans="3:13" x14ac:dyDescent="0.25">
      <c r="C92" s="3" t="str">
        <f t="shared" si="31"/>
        <v>April</v>
      </c>
      <c r="D92" s="1">
        <f t="shared" si="32"/>
        <v>44661</v>
      </c>
      <c r="E92" s="2" t="str">
        <f t="shared" si="33"/>
        <v>10</v>
      </c>
      <c r="F92" s="2">
        <f t="shared" si="22"/>
        <v>1</v>
      </c>
      <c r="G92">
        <f t="shared" si="34"/>
        <v>60</v>
      </c>
      <c r="I92" t="str">
        <f t="shared" si="35"/>
        <v>2022*04 April*BL2*BL2 Time Plan 10-April Shift-1</v>
      </c>
      <c r="J92" t="str">
        <f t="shared" si="36"/>
        <v>04 April</v>
      </c>
      <c r="K92" t="str">
        <f t="shared" si="21"/>
        <v>BL2</v>
      </c>
      <c r="L92" t="str">
        <f t="shared" si="37"/>
        <v>BL2 Time Plan 10-April Shift-1</v>
      </c>
      <c r="M92" t="str">
        <f t="shared" si="38"/>
        <v>2022</v>
      </c>
    </row>
    <row r="93" spans="3:13" x14ac:dyDescent="0.25">
      <c r="C93" s="3" t="str">
        <f t="shared" si="31"/>
        <v>April</v>
      </c>
      <c r="D93" s="1">
        <f t="shared" si="32"/>
        <v>44660</v>
      </c>
      <c r="E93" s="2" t="str">
        <f t="shared" si="33"/>
        <v>09</v>
      </c>
      <c r="F93" s="2">
        <f t="shared" si="22"/>
        <v>3</v>
      </c>
      <c r="G93">
        <f t="shared" si="34"/>
        <v>60</v>
      </c>
      <c r="I93" t="str">
        <f t="shared" si="35"/>
        <v>2022*04 April*BL2*BL2 Time Plan 09-April Shift-3</v>
      </c>
      <c r="J93" t="str">
        <f t="shared" si="36"/>
        <v>04 April</v>
      </c>
      <c r="K93" t="str">
        <f t="shared" si="21"/>
        <v>BL2</v>
      </c>
      <c r="L93" t="str">
        <f t="shared" si="37"/>
        <v>BL2 Time Plan 09-April Shift-3</v>
      </c>
      <c r="M93" t="str">
        <f t="shared" si="38"/>
        <v>2022</v>
      </c>
    </row>
    <row r="94" spans="3:13" x14ac:dyDescent="0.25">
      <c r="C94" s="3" t="str">
        <f t="shared" si="31"/>
        <v>April</v>
      </c>
      <c r="D94" s="1">
        <f t="shared" si="32"/>
        <v>44660</v>
      </c>
      <c r="E94" s="2" t="str">
        <f t="shared" si="33"/>
        <v>09</v>
      </c>
      <c r="F94" s="2">
        <f t="shared" si="22"/>
        <v>2</v>
      </c>
      <c r="G94">
        <f t="shared" si="34"/>
        <v>61</v>
      </c>
      <c r="I94" t="str">
        <f t="shared" si="35"/>
        <v>2022*04 April*BL2*BL2 Time Plan 09-April Shift-2</v>
      </c>
      <c r="J94" t="str">
        <f t="shared" si="36"/>
        <v>04 April</v>
      </c>
      <c r="K94" t="str">
        <f t="shared" si="21"/>
        <v>BL2</v>
      </c>
      <c r="L94" t="str">
        <f t="shared" si="37"/>
        <v>BL2 Time Plan 09-April Shift-2</v>
      </c>
      <c r="M94" t="str">
        <f t="shared" si="38"/>
        <v>2022</v>
      </c>
    </row>
    <row r="95" spans="3:13" x14ac:dyDescent="0.25">
      <c r="C95" s="3" t="str">
        <f t="shared" si="31"/>
        <v>April</v>
      </c>
      <c r="D95" s="1">
        <f t="shared" si="32"/>
        <v>44660</v>
      </c>
      <c r="E95" s="2" t="str">
        <f t="shared" si="33"/>
        <v>09</v>
      </c>
      <c r="F95" s="2">
        <f t="shared" si="22"/>
        <v>1</v>
      </c>
      <c r="G95">
        <f t="shared" si="34"/>
        <v>62</v>
      </c>
      <c r="I95" t="str">
        <f t="shared" si="35"/>
        <v>2022*04 April*BL2*BL2 Time Plan 09-April Shift-1</v>
      </c>
      <c r="J95" t="str">
        <f t="shared" si="36"/>
        <v>04 April</v>
      </c>
      <c r="K95" t="str">
        <f t="shared" si="21"/>
        <v>BL2</v>
      </c>
      <c r="L95" t="str">
        <f t="shared" si="37"/>
        <v>BL2 Time Plan 09-April Shift-1</v>
      </c>
      <c r="M95" t="str">
        <f t="shared" si="38"/>
        <v>2022</v>
      </c>
    </row>
    <row r="96" spans="3:13" x14ac:dyDescent="0.25">
      <c r="C96" s="3" t="str">
        <f t="shared" si="31"/>
        <v>April</v>
      </c>
      <c r="D96" s="1">
        <f t="shared" si="32"/>
        <v>44659</v>
      </c>
      <c r="E96" s="2" t="str">
        <f t="shared" si="33"/>
        <v>08</v>
      </c>
      <c r="F96" s="2">
        <f t="shared" si="22"/>
        <v>3</v>
      </c>
      <c r="G96">
        <f t="shared" si="34"/>
        <v>62</v>
      </c>
      <c r="I96" t="str">
        <f t="shared" si="35"/>
        <v>2022*04 April*BL2*BL2 Time Plan 08-April Shift-3</v>
      </c>
      <c r="J96" t="str">
        <f t="shared" si="36"/>
        <v>04 April</v>
      </c>
      <c r="K96" t="str">
        <f t="shared" si="21"/>
        <v>BL2</v>
      </c>
      <c r="L96" t="str">
        <f t="shared" si="37"/>
        <v>BL2 Time Plan 08-April Shift-3</v>
      </c>
      <c r="M96" t="str">
        <f t="shared" si="38"/>
        <v>2022</v>
      </c>
    </row>
    <row r="97" spans="3:13" x14ac:dyDescent="0.25">
      <c r="C97" s="3" t="str">
        <f t="shared" si="31"/>
        <v>April</v>
      </c>
      <c r="D97" s="1">
        <f t="shared" si="32"/>
        <v>44659</v>
      </c>
      <c r="E97" s="2" t="str">
        <f t="shared" si="33"/>
        <v>08</v>
      </c>
      <c r="F97" s="2">
        <f t="shared" si="22"/>
        <v>2</v>
      </c>
      <c r="G97">
        <f t="shared" si="34"/>
        <v>63</v>
      </c>
      <c r="I97" t="str">
        <f t="shared" si="35"/>
        <v>2022*04 April*BL2*BL2 Time Plan 08-April Shift-2</v>
      </c>
      <c r="J97" t="str">
        <f t="shared" si="36"/>
        <v>04 April</v>
      </c>
      <c r="K97" t="str">
        <f t="shared" si="21"/>
        <v>BL2</v>
      </c>
      <c r="L97" t="str">
        <f t="shared" si="37"/>
        <v>BL2 Time Plan 08-April Shift-2</v>
      </c>
      <c r="M97" t="str">
        <f t="shared" si="38"/>
        <v>2022</v>
      </c>
    </row>
    <row r="98" spans="3:13" x14ac:dyDescent="0.25">
      <c r="C98" s="3" t="str">
        <f t="shared" si="31"/>
        <v>April</v>
      </c>
      <c r="D98" s="1">
        <f t="shared" si="32"/>
        <v>44659</v>
      </c>
      <c r="E98" s="2" t="str">
        <f t="shared" si="33"/>
        <v>08</v>
      </c>
      <c r="F98" s="2">
        <f t="shared" si="22"/>
        <v>1</v>
      </c>
      <c r="G98">
        <f t="shared" si="34"/>
        <v>64</v>
      </c>
      <c r="I98" t="str">
        <f t="shared" si="35"/>
        <v>2022*04 April*BL2*BL2 Time Plan 08-April Shift-1</v>
      </c>
      <c r="J98" t="str">
        <f t="shared" si="36"/>
        <v>04 April</v>
      </c>
      <c r="K98" t="str">
        <f t="shared" si="21"/>
        <v>BL2</v>
      </c>
      <c r="L98" t="str">
        <f t="shared" si="37"/>
        <v>BL2 Time Plan 08-April Shift-1</v>
      </c>
      <c r="M98" t="str">
        <f t="shared" si="38"/>
        <v>2022</v>
      </c>
    </row>
    <row r="99" spans="3:13" x14ac:dyDescent="0.25">
      <c r="C99" s="3" t="str">
        <f t="shared" si="31"/>
        <v>April</v>
      </c>
      <c r="D99" s="1">
        <f t="shared" si="32"/>
        <v>44658</v>
      </c>
      <c r="E99" s="2" t="str">
        <f t="shared" si="33"/>
        <v>07</v>
      </c>
      <c r="F99" s="2">
        <f t="shared" si="22"/>
        <v>3</v>
      </c>
      <c r="G99">
        <f t="shared" si="34"/>
        <v>64</v>
      </c>
      <c r="I99" t="str">
        <f t="shared" si="35"/>
        <v>2022*04 April*BL2*BL2 Time Plan 07-April Shift-3</v>
      </c>
      <c r="J99" t="str">
        <f t="shared" si="36"/>
        <v>04 April</v>
      </c>
      <c r="K99" t="str">
        <f t="shared" si="21"/>
        <v>BL2</v>
      </c>
      <c r="L99" t="str">
        <f t="shared" si="37"/>
        <v>BL2 Time Plan 07-April Shift-3</v>
      </c>
      <c r="M99" t="str">
        <f t="shared" si="38"/>
        <v>2022</v>
      </c>
    </row>
    <row r="100" spans="3:13" x14ac:dyDescent="0.25">
      <c r="C100" s="3" t="str">
        <f t="shared" si="31"/>
        <v>April</v>
      </c>
      <c r="D100" s="1">
        <f t="shared" si="32"/>
        <v>44658</v>
      </c>
      <c r="E100" s="2" t="str">
        <f t="shared" si="33"/>
        <v>07</v>
      </c>
      <c r="F100" s="2">
        <f t="shared" si="22"/>
        <v>2</v>
      </c>
      <c r="G100">
        <f t="shared" si="34"/>
        <v>65</v>
      </c>
      <c r="I100" t="str">
        <f t="shared" si="35"/>
        <v>2022*04 April*BL2*BL2 Time Plan 07-April Shift-2</v>
      </c>
      <c r="J100" t="str">
        <f t="shared" si="36"/>
        <v>04 April</v>
      </c>
      <c r="K100" t="str">
        <f t="shared" si="21"/>
        <v>BL2</v>
      </c>
      <c r="L100" t="str">
        <f t="shared" si="37"/>
        <v>BL2 Time Plan 07-April Shift-2</v>
      </c>
      <c r="M100" t="str">
        <f t="shared" si="38"/>
        <v>2022</v>
      </c>
    </row>
    <row r="101" spans="3:13" x14ac:dyDescent="0.25">
      <c r="C101" s="3" t="str">
        <f t="shared" si="31"/>
        <v>April</v>
      </c>
      <c r="D101" s="1">
        <f t="shared" si="32"/>
        <v>44658</v>
      </c>
      <c r="E101" s="2" t="str">
        <f t="shared" si="33"/>
        <v>07</v>
      </c>
      <c r="F101" s="2">
        <f t="shared" si="22"/>
        <v>1</v>
      </c>
      <c r="G101">
        <f t="shared" si="34"/>
        <v>66</v>
      </c>
      <c r="I101" t="str">
        <f t="shared" si="35"/>
        <v>2022*04 April*BL2*BL2 Time Plan 07-April Shift-1</v>
      </c>
      <c r="J101" t="str">
        <f t="shared" si="36"/>
        <v>04 April</v>
      </c>
      <c r="K101" t="str">
        <f t="shared" si="21"/>
        <v>BL2</v>
      </c>
      <c r="L101" t="str">
        <f t="shared" si="37"/>
        <v>BL2 Time Plan 07-April Shift-1</v>
      </c>
      <c r="M101" t="str">
        <f t="shared" si="38"/>
        <v>2022</v>
      </c>
    </row>
    <row r="102" spans="3:13" x14ac:dyDescent="0.25">
      <c r="C102" s="3" t="str">
        <f t="shared" si="31"/>
        <v>April</v>
      </c>
      <c r="D102" s="1">
        <f t="shared" si="32"/>
        <v>44657</v>
      </c>
      <c r="E102" s="2" t="str">
        <f t="shared" si="33"/>
        <v>06</v>
      </c>
      <c r="F102" s="2">
        <f t="shared" si="22"/>
        <v>3</v>
      </c>
      <c r="G102">
        <f t="shared" si="34"/>
        <v>66</v>
      </c>
      <c r="I102" t="str">
        <f t="shared" si="35"/>
        <v>2022*04 April*BL2*BL2 Time Plan 06-April Shift-3</v>
      </c>
      <c r="J102" t="str">
        <f t="shared" si="36"/>
        <v>04 April</v>
      </c>
      <c r="K102" t="str">
        <f t="shared" si="21"/>
        <v>BL2</v>
      </c>
      <c r="L102" t="str">
        <f t="shared" si="37"/>
        <v>BL2 Time Plan 06-April Shift-3</v>
      </c>
      <c r="M102" t="str">
        <f t="shared" si="38"/>
        <v>2022</v>
      </c>
    </row>
    <row r="103" spans="3:13" x14ac:dyDescent="0.25">
      <c r="C103" s="3" t="str">
        <f t="shared" ref="C103:C104" si="39">TEXT(D103,"mmmm")</f>
        <v>April</v>
      </c>
      <c r="D103" s="1">
        <f t="shared" ref="D103:D104" si="40">IF(F102=1,D102-1,IF(OR(F102=3,F102=2),D102))</f>
        <v>44657</v>
      </c>
      <c r="E103" s="2" t="str">
        <f t="shared" ref="E103:E104" si="41">TEXT(D103,"DD")</f>
        <v>06</v>
      </c>
      <c r="F103" s="2">
        <f t="shared" si="22"/>
        <v>2</v>
      </c>
      <c r="G103">
        <f t="shared" ref="G103:G104" si="42">IF(E102=E103,G102+1,G102)</f>
        <v>67</v>
      </c>
      <c r="I103" t="str">
        <f t="shared" ref="I103:I104" si="43">M103&amp;"*"&amp;J103&amp;"*"&amp;K103&amp;"*"&amp;L103</f>
        <v>2022*04 April*BL2*BL2 Time Plan 06-April Shift-2</v>
      </c>
      <c r="J103" t="str">
        <f t="shared" ref="J103:J104" si="44">TEXT(D103,"MM MMMM")</f>
        <v>04 April</v>
      </c>
      <c r="K103" t="str">
        <f t="shared" si="21"/>
        <v>BL2</v>
      </c>
      <c r="L103" t="str">
        <f t="shared" ref="L103:L104" si="45">CONCATENATE($A$2," ","Time Plan ",E103&amp;"-"&amp;C103&amp;" Shift-"&amp;F103)</f>
        <v>BL2 Time Plan 06-April Shift-2</v>
      </c>
      <c r="M103" t="str">
        <f t="shared" ref="M103:M104" si="46">TEXT(D103,"YYYY")</f>
        <v>2022</v>
      </c>
    </row>
    <row r="104" spans="3:13" x14ac:dyDescent="0.25">
      <c r="C104" s="3" t="str">
        <f t="shared" si="39"/>
        <v>April</v>
      </c>
      <c r="D104" s="1">
        <f t="shared" si="40"/>
        <v>44657</v>
      </c>
      <c r="E104" s="2" t="str">
        <f t="shared" si="41"/>
        <v>06</v>
      </c>
      <c r="F104" s="2">
        <f t="shared" si="22"/>
        <v>1</v>
      </c>
      <c r="G104">
        <f t="shared" si="42"/>
        <v>68</v>
      </c>
      <c r="I104" t="str">
        <f t="shared" si="43"/>
        <v>2022*04 April*BL2*BL2 Time Plan 06-April Shift-1</v>
      </c>
      <c r="J104" t="str">
        <f t="shared" si="44"/>
        <v>04 April</v>
      </c>
      <c r="K104" t="str">
        <f t="shared" si="21"/>
        <v>BL2</v>
      </c>
      <c r="L104" t="str">
        <f t="shared" si="45"/>
        <v>BL2 Time Plan 06-April Shift-1</v>
      </c>
      <c r="M104" t="str">
        <f t="shared" si="46"/>
        <v>2022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Yogish</dc:creator>
  <cp:lastModifiedBy>RPA PC2</cp:lastModifiedBy>
  <dcterms:created xsi:type="dcterms:W3CDTF">2020-09-01T00:06:04Z</dcterms:created>
  <dcterms:modified xsi:type="dcterms:W3CDTF">2022-05-10T00:35:42Z</dcterms:modified>
</cp:coreProperties>
</file>