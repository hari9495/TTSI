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192.168.1.25\Steel_Operation\RPA\Time Plan Preperation\Data\Template\BL\"/>
    </mc:Choice>
  </mc:AlternateContent>
  <bookViews>
    <workbookView xWindow="-120" yWindow="-120" windowWidth="20730" windowHeight="11160"/>
  </bookViews>
  <sheets>
    <sheet name="Sheet1" sheetId="2" r:id="rId1"/>
  </sheets>
  <definedNames>
    <definedName name="COMMON1">Sheet1!$H$3:$H$52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G3" i="2" l="1"/>
  <c r="BF3" i="2" l="1"/>
  <c r="BE3" i="2"/>
  <c r="BD3" i="2"/>
  <c r="BC3" i="2"/>
  <c r="BB3" i="2"/>
  <c r="BA3" i="2"/>
  <c r="AP3" i="2" l="1"/>
  <c r="AQ3" i="2"/>
  <c r="AR3" i="2"/>
  <c r="AS3" i="2"/>
  <c r="AT3" i="2"/>
  <c r="AU3" i="2"/>
  <c r="AV3" i="2"/>
  <c r="AW3" i="2"/>
  <c r="AX3" i="2"/>
  <c r="AY3" i="2"/>
  <c r="AZ3" i="2"/>
  <c r="AO3" i="2"/>
  <c r="C5" i="2" l="1"/>
  <c r="AD3" i="2" l="1"/>
  <c r="AA3" i="2"/>
  <c r="AB3" i="2"/>
  <c r="C7" i="2" l="1"/>
  <c r="B7" i="2"/>
  <c r="C6" i="2"/>
  <c r="B6" i="2"/>
  <c r="B5" i="2"/>
  <c r="C4" i="2"/>
  <c r="B4" i="2"/>
  <c r="C3" i="2"/>
  <c r="B3" i="2"/>
  <c r="E2" i="2" l="1"/>
  <c r="I2" i="2"/>
  <c r="H8" i="2"/>
  <c r="H256" i="2"/>
  <c r="H255" i="2"/>
  <c r="H254" i="2"/>
  <c r="H253" i="2"/>
  <c r="H252" i="2"/>
  <c r="H251" i="2"/>
  <c r="H250" i="2"/>
  <c r="H249" i="2"/>
  <c r="H248" i="2"/>
  <c r="H247" i="2"/>
  <c r="H246" i="2"/>
  <c r="H245" i="2"/>
  <c r="H244" i="2"/>
  <c r="H243" i="2"/>
  <c r="H242" i="2"/>
  <c r="H241" i="2"/>
  <c r="H240" i="2"/>
  <c r="H239" i="2"/>
  <c r="H238" i="2"/>
  <c r="H237" i="2"/>
  <c r="H236" i="2"/>
  <c r="H235" i="2"/>
  <c r="H234" i="2"/>
  <c r="H233" i="2"/>
  <c r="H232" i="2"/>
  <c r="H231" i="2"/>
  <c r="H230" i="2"/>
  <c r="H229" i="2"/>
  <c r="H228" i="2"/>
  <c r="H227" i="2"/>
  <c r="H226" i="2"/>
  <c r="H225" i="2"/>
  <c r="H224" i="2"/>
  <c r="H223" i="2"/>
  <c r="H222" i="2"/>
  <c r="H221" i="2"/>
  <c r="H220" i="2"/>
  <c r="H219" i="2"/>
  <c r="H218" i="2"/>
  <c r="H217" i="2"/>
  <c r="H216" i="2"/>
  <c r="H215" i="2"/>
  <c r="H214" i="2"/>
  <c r="H213" i="2"/>
  <c r="H212" i="2"/>
  <c r="H211" i="2"/>
  <c r="H210" i="2"/>
  <c r="H209" i="2"/>
  <c r="H208" i="2"/>
  <c r="H207" i="2"/>
  <c r="H205" i="2"/>
  <c r="H204" i="2"/>
  <c r="H203" i="2"/>
  <c r="H202" i="2"/>
  <c r="H201" i="2"/>
  <c r="H200" i="2"/>
  <c r="H199" i="2"/>
  <c r="H198" i="2"/>
  <c r="H197" i="2"/>
  <c r="H196" i="2"/>
  <c r="H195" i="2"/>
  <c r="H194" i="2"/>
  <c r="H193" i="2"/>
  <c r="H192" i="2"/>
  <c r="H191" i="2"/>
  <c r="H190" i="2"/>
  <c r="H189" i="2"/>
  <c r="H188" i="2"/>
  <c r="H187" i="2"/>
  <c r="H186" i="2"/>
  <c r="H185" i="2"/>
  <c r="H184" i="2"/>
  <c r="H183" i="2"/>
  <c r="H182" i="2"/>
  <c r="H181" i="2"/>
  <c r="H180" i="2"/>
  <c r="H179" i="2"/>
  <c r="H178" i="2"/>
  <c r="H177" i="2"/>
  <c r="H176" i="2"/>
  <c r="H175" i="2"/>
  <c r="H174" i="2"/>
  <c r="H173" i="2"/>
  <c r="H172" i="2"/>
  <c r="H171" i="2"/>
  <c r="H170" i="2"/>
  <c r="H169" i="2"/>
  <c r="H168" i="2"/>
  <c r="H167" i="2"/>
  <c r="H166" i="2"/>
  <c r="H165" i="2"/>
  <c r="H164" i="2"/>
  <c r="H163" i="2"/>
  <c r="H162" i="2"/>
  <c r="H161" i="2"/>
  <c r="H160" i="2"/>
  <c r="H159" i="2"/>
  <c r="H158" i="2"/>
  <c r="H157" i="2"/>
  <c r="H156" i="2"/>
  <c r="H154" i="2"/>
  <c r="I154" i="2" s="1"/>
  <c r="J154" i="2" s="1"/>
  <c r="K154" i="2" s="1"/>
  <c r="H153" i="2"/>
  <c r="I153" i="2" s="1"/>
  <c r="J153" i="2" s="1"/>
  <c r="K153" i="2" s="1"/>
  <c r="H152" i="2"/>
  <c r="I152" i="2" s="1"/>
  <c r="J152" i="2" s="1"/>
  <c r="K152" i="2" s="1"/>
  <c r="H151" i="2"/>
  <c r="I151" i="2" s="1"/>
  <c r="J151" i="2" s="1"/>
  <c r="K151" i="2" s="1"/>
  <c r="H150" i="2"/>
  <c r="I150" i="2" s="1"/>
  <c r="J150" i="2" s="1"/>
  <c r="K150" i="2" s="1"/>
  <c r="H149" i="2"/>
  <c r="I149" i="2" s="1"/>
  <c r="J149" i="2" s="1"/>
  <c r="K149" i="2" s="1"/>
  <c r="H148" i="2"/>
  <c r="I148" i="2" s="1"/>
  <c r="J148" i="2" s="1"/>
  <c r="K148" i="2" s="1"/>
  <c r="H147" i="2"/>
  <c r="I147" i="2" s="1"/>
  <c r="J147" i="2" s="1"/>
  <c r="K147" i="2" s="1"/>
  <c r="H146" i="2"/>
  <c r="I146" i="2" s="1"/>
  <c r="J146" i="2" s="1"/>
  <c r="K146" i="2" s="1"/>
  <c r="H145" i="2"/>
  <c r="I145" i="2" s="1"/>
  <c r="J145" i="2" s="1"/>
  <c r="K145" i="2" s="1"/>
  <c r="H144" i="2"/>
  <c r="I144" i="2" s="1"/>
  <c r="J144" i="2" s="1"/>
  <c r="K144" i="2" s="1"/>
  <c r="H143" i="2"/>
  <c r="I143" i="2" s="1"/>
  <c r="J143" i="2" s="1"/>
  <c r="K143" i="2" s="1"/>
  <c r="H142" i="2"/>
  <c r="I142" i="2" s="1"/>
  <c r="J142" i="2" s="1"/>
  <c r="K142" i="2" s="1"/>
  <c r="H141" i="2"/>
  <c r="I141" i="2" s="1"/>
  <c r="J141" i="2" s="1"/>
  <c r="K141" i="2" s="1"/>
  <c r="H140" i="2"/>
  <c r="I140" i="2" s="1"/>
  <c r="J140" i="2" s="1"/>
  <c r="K140" i="2" s="1"/>
  <c r="H139" i="2"/>
  <c r="I139" i="2" s="1"/>
  <c r="J139" i="2" s="1"/>
  <c r="K139" i="2" s="1"/>
  <c r="H138" i="2"/>
  <c r="I138" i="2" s="1"/>
  <c r="J138" i="2" s="1"/>
  <c r="K138" i="2" s="1"/>
  <c r="H137" i="2"/>
  <c r="I137" i="2" s="1"/>
  <c r="J137" i="2" s="1"/>
  <c r="K137" i="2" s="1"/>
  <c r="H136" i="2"/>
  <c r="I136" i="2" s="1"/>
  <c r="J136" i="2" s="1"/>
  <c r="K136" i="2" s="1"/>
  <c r="H135" i="2"/>
  <c r="I135" i="2" s="1"/>
  <c r="J135" i="2" s="1"/>
  <c r="K135" i="2" s="1"/>
  <c r="H134" i="2"/>
  <c r="I134" i="2" s="1"/>
  <c r="J134" i="2" s="1"/>
  <c r="K134" i="2" s="1"/>
  <c r="H133" i="2"/>
  <c r="I133" i="2" s="1"/>
  <c r="J133" i="2" s="1"/>
  <c r="K133" i="2" s="1"/>
  <c r="H132" i="2"/>
  <c r="I132" i="2" s="1"/>
  <c r="J132" i="2" s="1"/>
  <c r="K132" i="2" s="1"/>
  <c r="H131" i="2"/>
  <c r="I131" i="2" s="1"/>
  <c r="J131" i="2" s="1"/>
  <c r="K131" i="2" s="1"/>
  <c r="H130" i="2"/>
  <c r="I130" i="2" s="1"/>
  <c r="J130" i="2" s="1"/>
  <c r="K130" i="2" s="1"/>
  <c r="H129" i="2"/>
  <c r="I129" i="2" s="1"/>
  <c r="J129" i="2" s="1"/>
  <c r="K129" i="2" s="1"/>
  <c r="H128" i="2"/>
  <c r="I128" i="2" s="1"/>
  <c r="J128" i="2" s="1"/>
  <c r="K128" i="2" s="1"/>
  <c r="H127" i="2"/>
  <c r="I127" i="2" s="1"/>
  <c r="J127" i="2" s="1"/>
  <c r="K127" i="2" s="1"/>
  <c r="H126" i="2"/>
  <c r="I126" i="2" s="1"/>
  <c r="J126" i="2" s="1"/>
  <c r="K126" i="2" s="1"/>
  <c r="H125" i="2"/>
  <c r="I125" i="2" s="1"/>
  <c r="J125" i="2" s="1"/>
  <c r="K125" i="2" s="1"/>
  <c r="H124" i="2"/>
  <c r="I124" i="2" s="1"/>
  <c r="J124" i="2" s="1"/>
  <c r="K124" i="2" s="1"/>
  <c r="H123" i="2"/>
  <c r="I123" i="2" s="1"/>
  <c r="J123" i="2" s="1"/>
  <c r="K123" i="2" s="1"/>
  <c r="H122" i="2"/>
  <c r="I122" i="2" s="1"/>
  <c r="J122" i="2" s="1"/>
  <c r="K122" i="2" s="1"/>
  <c r="H121" i="2"/>
  <c r="I121" i="2" s="1"/>
  <c r="J121" i="2" s="1"/>
  <c r="K121" i="2" s="1"/>
  <c r="H120" i="2"/>
  <c r="I120" i="2" s="1"/>
  <c r="J120" i="2" s="1"/>
  <c r="K120" i="2" s="1"/>
  <c r="H119" i="2"/>
  <c r="I119" i="2" s="1"/>
  <c r="J119" i="2" s="1"/>
  <c r="K119" i="2" s="1"/>
  <c r="H118" i="2"/>
  <c r="I118" i="2" s="1"/>
  <c r="J118" i="2" s="1"/>
  <c r="K118" i="2" s="1"/>
  <c r="H117" i="2"/>
  <c r="I117" i="2" s="1"/>
  <c r="J117" i="2" s="1"/>
  <c r="K117" i="2" s="1"/>
  <c r="H116" i="2"/>
  <c r="I116" i="2" s="1"/>
  <c r="J116" i="2" s="1"/>
  <c r="K116" i="2" s="1"/>
  <c r="H115" i="2"/>
  <c r="I115" i="2" s="1"/>
  <c r="J115" i="2" s="1"/>
  <c r="K115" i="2" s="1"/>
  <c r="H114" i="2"/>
  <c r="I114" i="2" s="1"/>
  <c r="J114" i="2" s="1"/>
  <c r="K114" i="2" s="1"/>
  <c r="H113" i="2"/>
  <c r="I113" i="2" s="1"/>
  <c r="J113" i="2" s="1"/>
  <c r="K113" i="2" s="1"/>
  <c r="H112" i="2"/>
  <c r="I112" i="2" s="1"/>
  <c r="J112" i="2" s="1"/>
  <c r="K112" i="2" s="1"/>
  <c r="H111" i="2"/>
  <c r="H110" i="2"/>
  <c r="H109" i="2"/>
  <c r="H108" i="2"/>
  <c r="H107" i="2"/>
  <c r="H106" i="2"/>
  <c r="H105" i="2"/>
  <c r="H103" i="2"/>
  <c r="I103" i="2" s="1"/>
  <c r="J103" i="2" s="1"/>
  <c r="K103" i="2" s="1"/>
  <c r="H102" i="2"/>
  <c r="I102" i="2" s="1"/>
  <c r="J102" i="2" s="1"/>
  <c r="K102" i="2" s="1"/>
  <c r="H101" i="2"/>
  <c r="I101" i="2" s="1"/>
  <c r="J101" i="2" s="1"/>
  <c r="K101" i="2" s="1"/>
  <c r="H100" i="2"/>
  <c r="I100" i="2" s="1"/>
  <c r="J100" i="2" s="1"/>
  <c r="K100" i="2" s="1"/>
  <c r="H99" i="2"/>
  <c r="I99" i="2" s="1"/>
  <c r="J99" i="2" s="1"/>
  <c r="K99" i="2" s="1"/>
  <c r="H98" i="2"/>
  <c r="I98" i="2" s="1"/>
  <c r="J98" i="2" s="1"/>
  <c r="K98" i="2" s="1"/>
  <c r="H97" i="2"/>
  <c r="I97" i="2" s="1"/>
  <c r="J97" i="2" s="1"/>
  <c r="K97" i="2" s="1"/>
  <c r="H96" i="2"/>
  <c r="I96" i="2" s="1"/>
  <c r="J96" i="2" s="1"/>
  <c r="K96" i="2" s="1"/>
  <c r="H95" i="2"/>
  <c r="I95" i="2" s="1"/>
  <c r="J95" i="2" s="1"/>
  <c r="K95" i="2" s="1"/>
  <c r="H94" i="2"/>
  <c r="I94" i="2" s="1"/>
  <c r="J94" i="2" s="1"/>
  <c r="K94" i="2" s="1"/>
  <c r="H93" i="2"/>
  <c r="I93" i="2" s="1"/>
  <c r="J93" i="2" s="1"/>
  <c r="K93" i="2" s="1"/>
  <c r="H92" i="2"/>
  <c r="I92" i="2" s="1"/>
  <c r="J92" i="2" s="1"/>
  <c r="K92" i="2" s="1"/>
  <c r="H91" i="2"/>
  <c r="I91" i="2" s="1"/>
  <c r="J91" i="2" s="1"/>
  <c r="K91" i="2" s="1"/>
  <c r="H90" i="2"/>
  <c r="I90" i="2" s="1"/>
  <c r="J90" i="2" s="1"/>
  <c r="K90" i="2" s="1"/>
  <c r="H89" i="2"/>
  <c r="I89" i="2" s="1"/>
  <c r="J89" i="2" s="1"/>
  <c r="K89" i="2" s="1"/>
  <c r="H88" i="2"/>
  <c r="I88" i="2" s="1"/>
  <c r="J88" i="2" s="1"/>
  <c r="K88" i="2" s="1"/>
  <c r="H87" i="2"/>
  <c r="I87" i="2" s="1"/>
  <c r="J87" i="2" s="1"/>
  <c r="K87" i="2" s="1"/>
  <c r="H86" i="2"/>
  <c r="I86" i="2" s="1"/>
  <c r="J86" i="2" s="1"/>
  <c r="K86" i="2" s="1"/>
  <c r="H85" i="2"/>
  <c r="I85" i="2" s="1"/>
  <c r="J85" i="2" s="1"/>
  <c r="K85" i="2" s="1"/>
  <c r="H84" i="2"/>
  <c r="I84" i="2" s="1"/>
  <c r="J84" i="2" s="1"/>
  <c r="K84" i="2" s="1"/>
  <c r="H83" i="2"/>
  <c r="I83" i="2" s="1"/>
  <c r="J83" i="2" s="1"/>
  <c r="K83" i="2" s="1"/>
  <c r="H82" i="2"/>
  <c r="I82" i="2" s="1"/>
  <c r="J82" i="2" s="1"/>
  <c r="K82" i="2" s="1"/>
  <c r="H81" i="2"/>
  <c r="I81" i="2" s="1"/>
  <c r="J81" i="2" s="1"/>
  <c r="K81" i="2" s="1"/>
  <c r="H80" i="2"/>
  <c r="I80" i="2" s="1"/>
  <c r="J80" i="2" s="1"/>
  <c r="K80" i="2" s="1"/>
  <c r="H79" i="2"/>
  <c r="I79" i="2" s="1"/>
  <c r="J79" i="2" s="1"/>
  <c r="K79" i="2" s="1"/>
  <c r="H78" i="2"/>
  <c r="I78" i="2" s="1"/>
  <c r="J78" i="2" s="1"/>
  <c r="K78" i="2" s="1"/>
  <c r="H77" i="2"/>
  <c r="I77" i="2" s="1"/>
  <c r="J77" i="2" s="1"/>
  <c r="K77" i="2" s="1"/>
  <c r="H76" i="2"/>
  <c r="I76" i="2" s="1"/>
  <c r="J76" i="2" s="1"/>
  <c r="K76" i="2" s="1"/>
  <c r="H75" i="2"/>
  <c r="I75" i="2" s="1"/>
  <c r="J75" i="2" s="1"/>
  <c r="K75" i="2" s="1"/>
  <c r="H74" i="2"/>
  <c r="I74" i="2" s="1"/>
  <c r="J74" i="2" s="1"/>
  <c r="K74" i="2" s="1"/>
  <c r="H73" i="2"/>
  <c r="I73" i="2" s="1"/>
  <c r="J73" i="2" s="1"/>
  <c r="K73" i="2" s="1"/>
  <c r="H72" i="2"/>
  <c r="I72" i="2" s="1"/>
  <c r="J72" i="2" s="1"/>
  <c r="K72" i="2" s="1"/>
  <c r="H71" i="2"/>
  <c r="I71" i="2" s="1"/>
  <c r="J71" i="2" s="1"/>
  <c r="K71" i="2" s="1"/>
  <c r="H70" i="2"/>
  <c r="I70" i="2" s="1"/>
  <c r="J70" i="2" s="1"/>
  <c r="K70" i="2" s="1"/>
  <c r="H69" i="2"/>
  <c r="I69" i="2" s="1"/>
  <c r="J69" i="2" s="1"/>
  <c r="K69" i="2" s="1"/>
  <c r="H68" i="2"/>
  <c r="I68" i="2" s="1"/>
  <c r="J68" i="2" s="1"/>
  <c r="K68" i="2" s="1"/>
  <c r="H67" i="2"/>
  <c r="I67" i="2" s="1"/>
  <c r="J67" i="2" s="1"/>
  <c r="K67" i="2" s="1"/>
  <c r="H66" i="2"/>
  <c r="I66" i="2" s="1"/>
  <c r="J66" i="2" s="1"/>
  <c r="K66" i="2" s="1"/>
  <c r="H65" i="2"/>
  <c r="I65" i="2" s="1"/>
  <c r="J65" i="2" s="1"/>
  <c r="K65" i="2" s="1"/>
  <c r="H64" i="2"/>
  <c r="I64" i="2" s="1"/>
  <c r="J64" i="2" s="1"/>
  <c r="K64" i="2" s="1"/>
  <c r="H63" i="2"/>
  <c r="I63" i="2" s="1"/>
  <c r="J63" i="2" s="1"/>
  <c r="K63" i="2" s="1"/>
  <c r="H62" i="2"/>
  <c r="I62" i="2" s="1"/>
  <c r="J62" i="2" s="1"/>
  <c r="K62" i="2" s="1"/>
  <c r="H61" i="2"/>
  <c r="I61" i="2" s="1"/>
  <c r="J61" i="2" s="1"/>
  <c r="K61" i="2" s="1"/>
  <c r="H60" i="2"/>
  <c r="H59" i="2"/>
  <c r="H58" i="2"/>
  <c r="H57" i="2"/>
  <c r="H56" i="2"/>
  <c r="H55" i="2"/>
  <c r="H54" i="2"/>
  <c r="H52" i="2"/>
  <c r="I52" i="2" s="1"/>
  <c r="J52" i="2" s="1"/>
  <c r="K52" i="2" s="1"/>
  <c r="H51" i="2"/>
  <c r="I51" i="2" s="1"/>
  <c r="J51" i="2" s="1"/>
  <c r="K51" i="2" s="1"/>
  <c r="H50" i="2"/>
  <c r="I50" i="2" s="1"/>
  <c r="J50" i="2" s="1"/>
  <c r="K50" i="2" s="1"/>
  <c r="H49" i="2"/>
  <c r="I49" i="2" s="1"/>
  <c r="J49" i="2" s="1"/>
  <c r="K49" i="2" s="1"/>
  <c r="H48" i="2"/>
  <c r="I48" i="2" s="1"/>
  <c r="J48" i="2" s="1"/>
  <c r="K48" i="2" s="1"/>
  <c r="H47" i="2"/>
  <c r="I47" i="2" s="1"/>
  <c r="J47" i="2" s="1"/>
  <c r="K47" i="2" s="1"/>
  <c r="H46" i="2"/>
  <c r="I46" i="2" s="1"/>
  <c r="J46" i="2" s="1"/>
  <c r="K46" i="2" s="1"/>
  <c r="H45" i="2"/>
  <c r="I45" i="2" s="1"/>
  <c r="J45" i="2" s="1"/>
  <c r="K45" i="2" s="1"/>
  <c r="H44" i="2"/>
  <c r="I44" i="2" s="1"/>
  <c r="J44" i="2" s="1"/>
  <c r="K44" i="2" s="1"/>
  <c r="H43" i="2"/>
  <c r="I43" i="2" s="1"/>
  <c r="J43" i="2" s="1"/>
  <c r="K43" i="2" s="1"/>
  <c r="H42" i="2"/>
  <c r="I42" i="2" s="1"/>
  <c r="J42" i="2" s="1"/>
  <c r="K42" i="2" s="1"/>
  <c r="H41" i="2"/>
  <c r="I41" i="2" s="1"/>
  <c r="J41" i="2" s="1"/>
  <c r="K41" i="2" s="1"/>
  <c r="H40" i="2"/>
  <c r="I40" i="2" s="1"/>
  <c r="J40" i="2" s="1"/>
  <c r="K40" i="2" s="1"/>
  <c r="H39" i="2"/>
  <c r="I39" i="2" s="1"/>
  <c r="J39" i="2" s="1"/>
  <c r="K39" i="2" s="1"/>
  <c r="H38" i="2"/>
  <c r="I38" i="2" s="1"/>
  <c r="J38" i="2" s="1"/>
  <c r="K38" i="2" s="1"/>
  <c r="H37" i="2"/>
  <c r="I37" i="2" s="1"/>
  <c r="J37" i="2" s="1"/>
  <c r="K37" i="2" s="1"/>
  <c r="H36" i="2"/>
  <c r="I36" i="2" s="1"/>
  <c r="J36" i="2" s="1"/>
  <c r="K36" i="2" s="1"/>
  <c r="H35" i="2"/>
  <c r="I35" i="2" s="1"/>
  <c r="J35" i="2" s="1"/>
  <c r="K35" i="2" s="1"/>
  <c r="H34" i="2"/>
  <c r="I34" i="2" s="1"/>
  <c r="J34" i="2" s="1"/>
  <c r="K34" i="2" s="1"/>
  <c r="H33" i="2"/>
  <c r="I33" i="2" s="1"/>
  <c r="J33" i="2" s="1"/>
  <c r="K33" i="2" s="1"/>
  <c r="H32" i="2"/>
  <c r="I32" i="2" s="1"/>
  <c r="J32" i="2" s="1"/>
  <c r="K32" i="2" s="1"/>
  <c r="H31" i="2"/>
  <c r="I31" i="2" s="1"/>
  <c r="J31" i="2" s="1"/>
  <c r="K31" i="2" s="1"/>
  <c r="H30" i="2"/>
  <c r="I30" i="2" s="1"/>
  <c r="J30" i="2" s="1"/>
  <c r="K30" i="2" s="1"/>
  <c r="H29" i="2"/>
  <c r="I29" i="2" s="1"/>
  <c r="J29" i="2" s="1"/>
  <c r="K29" i="2" s="1"/>
  <c r="H28" i="2"/>
  <c r="I28" i="2" s="1"/>
  <c r="J28" i="2" s="1"/>
  <c r="K28" i="2" s="1"/>
  <c r="H27" i="2"/>
  <c r="I27" i="2" s="1"/>
  <c r="J27" i="2" s="1"/>
  <c r="K27" i="2" s="1"/>
  <c r="H26" i="2"/>
  <c r="I26" i="2" s="1"/>
  <c r="J26" i="2" s="1"/>
  <c r="K26" i="2" s="1"/>
  <c r="H25" i="2"/>
  <c r="I25" i="2" s="1"/>
  <c r="J25" i="2" s="1"/>
  <c r="K25" i="2" s="1"/>
  <c r="H24" i="2"/>
  <c r="I24" i="2" s="1"/>
  <c r="J24" i="2" s="1"/>
  <c r="K24" i="2" s="1"/>
  <c r="H23" i="2"/>
  <c r="I23" i="2" s="1"/>
  <c r="J23" i="2" s="1"/>
  <c r="K23" i="2" s="1"/>
  <c r="H22" i="2"/>
  <c r="I22" i="2" s="1"/>
  <c r="J22" i="2" s="1"/>
  <c r="K22" i="2" s="1"/>
  <c r="H21" i="2"/>
  <c r="I21" i="2" s="1"/>
  <c r="J21" i="2" s="1"/>
  <c r="K21" i="2" s="1"/>
  <c r="H20" i="2"/>
  <c r="I20" i="2" s="1"/>
  <c r="J20" i="2" s="1"/>
  <c r="K20" i="2" s="1"/>
  <c r="H19" i="2"/>
  <c r="I19" i="2" s="1"/>
  <c r="J19" i="2" s="1"/>
  <c r="K19" i="2" s="1"/>
  <c r="H18" i="2"/>
  <c r="I18" i="2" s="1"/>
  <c r="J18" i="2" s="1"/>
  <c r="K18" i="2" s="1"/>
  <c r="H17" i="2"/>
  <c r="I17" i="2" s="1"/>
  <c r="J17" i="2" s="1"/>
  <c r="K17" i="2" s="1"/>
  <c r="H16" i="2"/>
  <c r="I16" i="2" s="1"/>
  <c r="J16" i="2" s="1"/>
  <c r="K16" i="2" s="1"/>
  <c r="H15" i="2"/>
  <c r="I15" i="2" s="1"/>
  <c r="J15" i="2" s="1"/>
  <c r="K15" i="2" s="1"/>
  <c r="H14" i="2"/>
  <c r="I14" i="2" s="1"/>
  <c r="J14" i="2" s="1"/>
  <c r="K14" i="2" s="1"/>
  <c r="H13" i="2"/>
  <c r="I13" i="2" s="1"/>
  <c r="J13" i="2" s="1"/>
  <c r="K13" i="2" s="1"/>
  <c r="H12" i="2"/>
  <c r="I12" i="2" s="1"/>
  <c r="J12" i="2" s="1"/>
  <c r="K12" i="2" s="1"/>
  <c r="H11" i="2"/>
  <c r="I11" i="2" s="1"/>
  <c r="J11" i="2" s="1"/>
  <c r="K11" i="2" s="1"/>
  <c r="H10" i="2"/>
  <c r="I10" i="2" s="1"/>
  <c r="J10" i="2" s="1"/>
  <c r="K10" i="2" s="1"/>
  <c r="H9" i="2"/>
  <c r="H7" i="2"/>
  <c r="H6" i="2"/>
  <c r="H5" i="2"/>
  <c r="H4" i="2"/>
  <c r="H3" i="2"/>
  <c r="I3" i="2" l="1"/>
  <c r="I4" i="2" s="1"/>
  <c r="J3" i="2" l="1"/>
  <c r="K3" i="2" s="1"/>
  <c r="I5" i="2"/>
  <c r="I6" i="2" s="1"/>
  <c r="I7" i="2" s="1"/>
  <c r="I8" i="2" s="1"/>
  <c r="I9" i="2" l="1"/>
  <c r="I53" i="2" s="1"/>
  <c r="J4" i="2"/>
  <c r="K4" i="2" s="1"/>
  <c r="J5" i="2" l="1"/>
  <c r="J6" i="2" s="1"/>
  <c r="I54" i="2"/>
  <c r="K5" i="2" l="1"/>
  <c r="I55" i="2"/>
  <c r="I56" i="2" s="1"/>
  <c r="J7" i="2"/>
  <c r="J8" i="2" s="1"/>
  <c r="K6" i="2"/>
  <c r="I57" i="2" l="1"/>
  <c r="K8" i="2"/>
  <c r="J9" i="2"/>
  <c r="K9" i="2" s="1"/>
  <c r="K7" i="2"/>
  <c r="N3" i="2" l="1" a="1"/>
  <c r="N3" i="2" s="1"/>
  <c r="N4" i="2" s="1" a="1"/>
  <c r="N4" i="2" s="1"/>
  <c r="I58" i="2"/>
  <c r="J53" i="2"/>
  <c r="R3" i="2" l="1"/>
  <c r="I59" i="2"/>
  <c r="I60" i="2" l="1"/>
  <c r="I104" i="2" s="1"/>
  <c r="I105" i="2" l="1"/>
  <c r="I106" i="2" s="1"/>
  <c r="I107" i="2" s="1"/>
  <c r="R4" i="2"/>
  <c r="I108" i="2" l="1"/>
  <c r="N6" i="2"/>
  <c r="N7" i="2" s="1"/>
  <c r="O3" i="2"/>
  <c r="S3" i="2" s="1"/>
  <c r="I109" i="2" l="1"/>
  <c r="O4" i="2"/>
  <c r="S4" i="2" s="1"/>
  <c r="N8" i="2"/>
  <c r="J54" i="2"/>
  <c r="I110" i="2" l="1"/>
  <c r="J55" i="2"/>
  <c r="K54" i="2"/>
  <c r="I111" i="2" l="1"/>
  <c r="K55" i="2"/>
  <c r="J56" i="2"/>
  <c r="I155" i="2" l="1"/>
  <c r="K56" i="2"/>
  <c r="J57" i="2"/>
  <c r="I156" i="2" l="1"/>
  <c r="K57" i="2"/>
  <c r="J58" i="2"/>
  <c r="I157" i="2" l="1"/>
  <c r="K58" i="2"/>
  <c r="J59" i="2"/>
  <c r="I158" i="2" l="1"/>
  <c r="K59" i="2"/>
  <c r="J60" i="2"/>
  <c r="K60" i="2" s="1"/>
  <c r="J104" i="2" l="1"/>
  <c r="J105" i="2" s="1"/>
  <c r="I159" i="2"/>
  <c r="N54" i="2" a="1"/>
  <c r="N54" i="2" s="1"/>
  <c r="R5" i="2" s="1"/>
  <c r="I160" i="2" l="1"/>
  <c r="O54" i="2"/>
  <c r="S5" i="2" s="1"/>
  <c r="N55" i="2" a="1"/>
  <c r="N55" i="2" s="1"/>
  <c r="J106" i="2"/>
  <c r="J107" i="2" s="1"/>
  <c r="K105" i="2"/>
  <c r="I161" i="2" l="1"/>
  <c r="O55" i="2"/>
  <c r="S6" i="2" s="1"/>
  <c r="R6" i="2"/>
  <c r="K107" i="2"/>
  <c r="J108" i="2"/>
  <c r="K106" i="2"/>
  <c r="AG3" i="2" l="1"/>
  <c r="I162" i="2"/>
  <c r="K108" i="2"/>
  <c r="J109" i="2"/>
  <c r="I163" i="2" l="1"/>
  <c r="K109" i="2"/>
  <c r="J110" i="2"/>
  <c r="I164" i="2" l="1"/>
  <c r="K110" i="2"/>
  <c r="J111" i="2"/>
  <c r="I165" i="2" l="1"/>
  <c r="K111" i="2"/>
  <c r="N105" i="2" s="1" a="1"/>
  <c r="N105" i="2" s="1"/>
  <c r="J155" i="2"/>
  <c r="I166" i="2" l="1"/>
  <c r="R7" i="2"/>
  <c r="N106" i="2" a="1"/>
  <c r="N106" i="2" s="1"/>
  <c r="O106" i="2" s="1"/>
  <c r="S8" i="2" s="1"/>
  <c r="O105" i="2"/>
  <c r="S7" i="2" s="1"/>
  <c r="J156" i="2"/>
  <c r="I167" i="2" l="1"/>
  <c r="R8" i="2"/>
  <c r="X5" i="2" s="1"/>
  <c r="AI3" i="2" s="1"/>
  <c r="K156" i="2"/>
  <c r="J157" i="2"/>
  <c r="Y3" i="2" l="1"/>
  <c r="X3" i="2"/>
  <c r="AH3" i="2"/>
  <c r="I168" i="2"/>
  <c r="Y5" i="2"/>
  <c r="AJ3" i="2" s="1"/>
  <c r="K157" i="2"/>
  <c r="J158" i="2"/>
  <c r="I169" i="2" l="1"/>
  <c r="K158" i="2"/>
  <c r="J159" i="2"/>
  <c r="I170" i="2" l="1"/>
  <c r="K159" i="2"/>
  <c r="J160" i="2"/>
  <c r="I171" i="2" l="1"/>
  <c r="K160" i="2"/>
  <c r="J161" i="2"/>
  <c r="I172" i="2" l="1"/>
  <c r="K161" i="2"/>
  <c r="J162" i="2"/>
  <c r="I173" i="2" l="1"/>
  <c r="K162" i="2"/>
  <c r="J163" i="2"/>
  <c r="K163" i="2" l="1"/>
  <c r="J164" i="2"/>
  <c r="I174" i="2"/>
  <c r="I175" i="2" l="1"/>
  <c r="K164" i="2"/>
  <c r="J165" i="2"/>
  <c r="K165" i="2" l="1"/>
  <c r="J166" i="2"/>
  <c r="I176" i="2"/>
  <c r="K166" i="2" l="1"/>
  <c r="J167" i="2"/>
  <c r="I177" i="2"/>
  <c r="I178" i="2" l="1"/>
  <c r="K167" i="2"/>
  <c r="J168" i="2"/>
  <c r="K168" i="2" l="1"/>
  <c r="J169" i="2"/>
  <c r="I179" i="2"/>
  <c r="I180" i="2" l="1"/>
  <c r="K169" i="2"/>
  <c r="J170" i="2"/>
  <c r="I181" i="2" l="1"/>
  <c r="K170" i="2"/>
  <c r="J171" i="2"/>
  <c r="I182" i="2" l="1"/>
  <c r="K171" i="2"/>
  <c r="J172" i="2"/>
  <c r="K172" i="2" l="1"/>
  <c r="J173" i="2"/>
  <c r="I183" i="2"/>
  <c r="K173" i="2" l="1"/>
  <c r="J174" i="2"/>
  <c r="I184" i="2"/>
  <c r="I185" i="2" l="1"/>
  <c r="K174" i="2"/>
  <c r="J175" i="2"/>
  <c r="K175" i="2" l="1"/>
  <c r="J176" i="2"/>
  <c r="I186" i="2"/>
  <c r="K176" i="2" l="1"/>
  <c r="J177" i="2"/>
  <c r="I187" i="2"/>
  <c r="I188" i="2" l="1"/>
  <c r="K177" i="2"/>
  <c r="J178" i="2"/>
  <c r="I189" i="2" l="1"/>
  <c r="K178" i="2"/>
  <c r="J179" i="2"/>
  <c r="K179" i="2" l="1"/>
  <c r="J180" i="2"/>
  <c r="I190" i="2"/>
  <c r="I191" i="2" l="1"/>
  <c r="K180" i="2"/>
  <c r="J181" i="2"/>
  <c r="K181" i="2" l="1"/>
  <c r="J182" i="2"/>
  <c r="I192" i="2"/>
  <c r="I193" i="2" l="1"/>
  <c r="K182" i="2"/>
  <c r="J183" i="2"/>
  <c r="K183" i="2" l="1"/>
  <c r="J184" i="2"/>
  <c r="I194" i="2"/>
  <c r="I195" i="2" l="1"/>
  <c r="K184" i="2"/>
  <c r="J185" i="2"/>
  <c r="K185" i="2" l="1"/>
  <c r="J186" i="2"/>
  <c r="I196" i="2"/>
  <c r="I197" i="2" l="1"/>
  <c r="K186" i="2"/>
  <c r="J187" i="2"/>
  <c r="K187" i="2" l="1"/>
  <c r="J188" i="2"/>
  <c r="I198" i="2"/>
  <c r="I199" i="2" l="1"/>
  <c r="K188" i="2"/>
  <c r="J189" i="2"/>
  <c r="K189" i="2" l="1"/>
  <c r="J190" i="2"/>
  <c r="I200" i="2"/>
  <c r="I201" i="2" l="1"/>
  <c r="K190" i="2"/>
  <c r="J191" i="2"/>
  <c r="I202" i="2" l="1"/>
  <c r="K191" i="2"/>
  <c r="J192" i="2"/>
  <c r="I203" i="2" l="1"/>
  <c r="K192" i="2"/>
  <c r="J193" i="2"/>
  <c r="I204" i="2" l="1"/>
  <c r="K193" i="2"/>
  <c r="J194" i="2"/>
  <c r="I205" i="2" l="1"/>
  <c r="K194" i="2"/>
  <c r="J195" i="2"/>
  <c r="K195" i="2" l="1"/>
  <c r="J196" i="2"/>
  <c r="I206" i="2"/>
  <c r="I207" i="2" s="1"/>
  <c r="I208" i="2" s="1"/>
  <c r="I209" i="2" l="1"/>
  <c r="K196" i="2"/>
  <c r="J197" i="2"/>
  <c r="K197" i="2" l="1"/>
  <c r="J198" i="2"/>
  <c r="I210" i="2"/>
  <c r="I211" i="2" l="1"/>
  <c r="K198" i="2"/>
  <c r="J199" i="2"/>
  <c r="K199" i="2" l="1"/>
  <c r="J200" i="2"/>
  <c r="I212" i="2"/>
  <c r="I213" i="2" l="1"/>
  <c r="I214" i="2" s="1"/>
  <c r="K200" i="2"/>
  <c r="J201" i="2"/>
  <c r="I215" i="2" l="1"/>
  <c r="K201" i="2"/>
  <c r="J202" i="2"/>
  <c r="I216" i="2" l="1"/>
  <c r="K202" i="2"/>
  <c r="J203" i="2"/>
  <c r="I217" i="2" l="1"/>
  <c r="K203" i="2"/>
  <c r="J204" i="2"/>
  <c r="I218" i="2" l="1"/>
  <c r="K204" i="2"/>
  <c r="J205" i="2"/>
  <c r="I219" i="2" l="1"/>
  <c r="K205" i="2"/>
  <c r="J206" i="2"/>
  <c r="J207" i="2" s="1"/>
  <c r="I220" i="2" l="1"/>
  <c r="N156" i="2" a="1"/>
  <c r="N156" i="2" s="1"/>
  <c r="K207" i="2"/>
  <c r="J208" i="2"/>
  <c r="I221" i="2" l="1"/>
  <c r="R9" i="2"/>
  <c r="N157" i="2" a="1"/>
  <c r="N157" i="2" s="1"/>
  <c r="O156" i="2"/>
  <c r="S9" i="2" s="1"/>
  <c r="K208" i="2"/>
  <c r="J209" i="2"/>
  <c r="I222" i="2" l="1"/>
  <c r="O157" i="2"/>
  <c r="S10" i="2" s="1"/>
  <c r="R10" i="2"/>
  <c r="K209" i="2"/>
  <c r="J210" i="2"/>
  <c r="I223" i="2" l="1"/>
  <c r="K210" i="2"/>
  <c r="J211" i="2"/>
  <c r="I224" i="2" l="1"/>
  <c r="K211" i="2"/>
  <c r="J212" i="2"/>
  <c r="I225" i="2" l="1"/>
  <c r="K212" i="2"/>
  <c r="J213" i="2"/>
  <c r="K213" i="2" l="1"/>
  <c r="J214" i="2"/>
  <c r="I226" i="2"/>
  <c r="I227" i="2" l="1"/>
  <c r="K214" i="2"/>
  <c r="J215" i="2"/>
  <c r="AF3" i="2"/>
  <c r="AE3" i="2"/>
  <c r="K215" i="2" l="1"/>
  <c r="J216" i="2"/>
  <c r="I228" i="2"/>
  <c r="K216" i="2" l="1"/>
  <c r="J217" i="2"/>
  <c r="I229" i="2"/>
  <c r="I230" i="2" l="1"/>
  <c r="K217" i="2"/>
  <c r="J218" i="2"/>
  <c r="K218" i="2" l="1"/>
  <c r="J219" i="2"/>
  <c r="I231" i="2"/>
  <c r="I232" i="2" l="1"/>
  <c r="K219" i="2"/>
  <c r="J220" i="2"/>
  <c r="K220" i="2" l="1"/>
  <c r="J221" i="2"/>
  <c r="I233" i="2"/>
  <c r="I234" i="2" l="1"/>
  <c r="K221" i="2"/>
  <c r="J222" i="2"/>
  <c r="K222" i="2" l="1"/>
  <c r="J223" i="2"/>
  <c r="I235" i="2"/>
  <c r="I236" i="2" l="1"/>
  <c r="K223" i="2"/>
  <c r="J224" i="2"/>
  <c r="K224" i="2" l="1"/>
  <c r="J225" i="2"/>
  <c r="I237" i="2"/>
  <c r="I238" i="2" l="1"/>
  <c r="K225" i="2"/>
  <c r="J226" i="2"/>
  <c r="K226" i="2" l="1"/>
  <c r="J227" i="2"/>
  <c r="I239" i="2"/>
  <c r="I240" i="2" l="1"/>
  <c r="K227" i="2"/>
  <c r="J228" i="2"/>
  <c r="K228" i="2" l="1"/>
  <c r="J229" i="2"/>
  <c r="I241" i="2"/>
  <c r="I242" i="2" l="1"/>
  <c r="K229" i="2"/>
  <c r="J230" i="2"/>
  <c r="I243" i="2" l="1"/>
  <c r="K230" i="2"/>
  <c r="J231" i="2"/>
  <c r="K231" i="2" l="1"/>
  <c r="J232" i="2"/>
  <c r="I244" i="2"/>
  <c r="I245" i="2" l="1"/>
  <c r="K232" i="2"/>
  <c r="J233" i="2"/>
  <c r="I246" i="2" l="1"/>
  <c r="K233" i="2"/>
  <c r="J234" i="2"/>
  <c r="K234" i="2" l="1"/>
  <c r="J235" i="2"/>
  <c r="I247" i="2"/>
  <c r="I248" i="2" l="1"/>
  <c r="K235" i="2"/>
  <c r="J236" i="2"/>
  <c r="K236" i="2" l="1"/>
  <c r="J237" i="2"/>
  <c r="I249" i="2"/>
  <c r="K237" i="2" l="1"/>
  <c r="J238" i="2"/>
  <c r="I250" i="2"/>
  <c r="K238" i="2" l="1"/>
  <c r="J239" i="2"/>
  <c r="I251" i="2"/>
  <c r="K239" i="2" l="1"/>
  <c r="J240" i="2"/>
  <c r="I252" i="2"/>
  <c r="I253" i="2" l="1"/>
  <c r="K240" i="2"/>
  <c r="J241" i="2"/>
  <c r="K241" i="2" l="1"/>
  <c r="J242" i="2"/>
  <c r="I254" i="2"/>
  <c r="I255" i="2" l="1"/>
  <c r="K242" i="2"/>
  <c r="J243" i="2"/>
  <c r="K243" i="2" l="1"/>
  <c r="J244" i="2"/>
  <c r="I256" i="2"/>
  <c r="K244" i="2" l="1"/>
  <c r="J245" i="2"/>
  <c r="K245" i="2" l="1"/>
  <c r="J246" i="2"/>
  <c r="K246" i="2" l="1"/>
  <c r="J247" i="2"/>
  <c r="K247" i="2" l="1"/>
  <c r="J248" i="2"/>
  <c r="K248" i="2" l="1"/>
  <c r="J249" i="2"/>
  <c r="K249" i="2" l="1"/>
  <c r="J250" i="2"/>
  <c r="K250" i="2" l="1"/>
  <c r="J251" i="2"/>
  <c r="K251" i="2" l="1"/>
  <c r="J252" i="2"/>
  <c r="K252" i="2" l="1"/>
  <c r="J253" i="2"/>
  <c r="K253" i="2" l="1"/>
  <c r="J254" i="2"/>
  <c r="K254" i="2" l="1"/>
  <c r="J255" i="2"/>
  <c r="K255" i="2" l="1"/>
  <c r="J256" i="2"/>
  <c r="K256" i="2" s="1"/>
  <c r="N207" i="2" l="1" a="1"/>
  <c r="N207" i="2" s="1"/>
  <c r="R11" i="2" s="1"/>
  <c r="N208" i="2" l="1" a="1"/>
  <c r="N208" i="2" s="1"/>
  <c r="R12" i="2" s="1"/>
  <c r="O207" i="2"/>
  <c r="S11" i="2" s="1"/>
  <c r="Y7" i="2" l="1"/>
  <c r="AN3" i="2" s="1"/>
  <c r="X6" i="2"/>
  <c r="AK3" i="2" s="1"/>
  <c r="Y6" i="2"/>
  <c r="AL3" i="2" s="1"/>
  <c r="X7" i="2"/>
  <c r="AM3" i="2" s="1"/>
  <c r="O208" i="2"/>
  <c r="S12" i="2" s="1"/>
</calcChain>
</file>

<file path=xl/sharedStrings.xml><?xml version="1.0" encoding="utf-8"?>
<sst xmlns="http://schemas.openxmlformats.org/spreadsheetml/2006/main" count="62" uniqueCount="46">
  <si>
    <t>TOTAL</t>
  </si>
  <si>
    <t>UNIQUE</t>
  </si>
  <si>
    <t>C1</t>
  </si>
  <si>
    <t>C2</t>
  </si>
  <si>
    <t>STD</t>
  </si>
  <si>
    <t>P1</t>
  </si>
  <si>
    <t>P2</t>
  </si>
  <si>
    <t>INPUT</t>
  </si>
  <si>
    <t>OUTPUT</t>
  </si>
  <si>
    <t>ACTUAL</t>
  </si>
  <si>
    <t>CALCULATION</t>
  </si>
  <si>
    <t>PLAN</t>
  </si>
  <si>
    <t>NoOfCoil</t>
  </si>
  <si>
    <t>Rewind</t>
  </si>
  <si>
    <t>SlNo</t>
  </si>
  <si>
    <t>UnitNumber</t>
  </si>
  <si>
    <t>C1Qty</t>
  </si>
  <si>
    <t>C1Lots</t>
  </si>
  <si>
    <t>C2Qty</t>
  </si>
  <si>
    <t>C2Lots</t>
  </si>
  <si>
    <t>Std-Qty</t>
  </si>
  <si>
    <t>StdLots</t>
  </si>
  <si>
    <t>P1Qty</t>
  </si>
  <si>
    <t>P1Lots</t>
  </si>
  <si>
    <t>P2Qty</t>
  </si>
  <si>
    <t>P2Lots</t>
  </si>
  <si>
    <t>PlanCuts</t>
  </si>
  <si>
    <t>ActualCuts</t>
  </si>
  <si>
    <t>PerVariance</t>
  </si>
  <si>
    <t>SPM</t>
  </si>
  <si>
    <t>StrokesPerPart</t>
  </si>
  <si>
    <t>INNOUT</t>
  </si>
  <si>
    <t>BOTHSIDE</t>
  </si>
  <si>
    <t>SMALLPILLERPART</t>
  </si>
  <si>
    <t>SHAPE</t>
  </si>
  <si>
    <t>CUSTName</t>
  </si>
  <si>
    <t>MILL</t>
  </si>
  <si>
    <t>SPEC</t>
  </si>
  <si>
    <t>THICK</t>
  </si>
  <si>
    <t>WIDTH</t>
  </si>
  <si>
    <t>LENGTH1</t>
  </si>
  <si>
    <t>LENGTH2</t>
  </si>
  <si>
    <t>MODEL</t>
  </si>
  <si>
    <t>PARTNO</t>
  </si>
  <si>
    <t>BLANKWT</t>
  </si>
  <si>
    <t>ActualQtySplit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</si>
</sst>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sz val="12"/>
      <color rgb="FF0B5394"/>
      <name val="Arial"/>
      <family val="2"/>
    </font>
    <font>
      <b/>
      <sz val="11"/>
      <color rgb="FFFF0000"/>
      <name val="Calibri"/>
      <family val="2"/>
      <scheme val="minor"/>
    </font>
    <font>
      <b/>
      <sz val="14"/>
      <color rgb="FFFF0000"/>
      <name val="Courier New"/>
      <family val="3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sz val="12"/>
      <color rgb="FF0A0101"/>
      <name val="Calibri"/>
      <family val="2"/>
      <scheme val="minor"/>
    </font>
    <font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00FFFF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9.9978637043366805E-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3" fillId="0" borderId="0">
      <alignment vertical="center"/>
    </xf>
    <xf numFmtId="0" fontId="12" fillId="0" borderId="0"/>
  </cellStyleXfs>
  <cellXfs count="27">
    <xf numFmtId="0" fontId="0" fillId="0" borderId="0" xfId="0"/>
    <xf numFmtId="0" fontId="2" fillId="0" borderId="0" xfId="0" applyFont="1" applyAlignment="1"/>
    <xf numFmtId="0" fontId="0" fillId="0" borderId="0" xfId="0" applyAlignment="1"/>
    <xf numFmtId="0" fontId="2" fillId="2" borderId="1" xfId="1" applyFont="1" applyFill="1" applyBorder="1" applyAlignment="1" applyProtection="1">
      <alignment horizontal="center" vertical="center"/>
      <protection hidden="1"/>
    </xf>
    <xf numFmtId="0" fontId="4" fillId="0" borderId="0" xfId="0" applyFont="1"/>
    <xf numFmtId="0" fontId="5" fillId="0" borderId="0" xfId="0" applyFont="1"/>
    <xf numFmtId="0" fontId="6" fillId="0" borderId="0" xfId="0" applyFont="1" applyAlignment="1">
      <alignment vertical="center"/>
    </xf>
    <xf numFmtId="0" fontId="1" fillId="0" borderId="0" xfId="0" applyFont="1"/>
    <xf numFmtId="0" fontId="7" fillId="0" borderId="0" xfId="0" applyFont="1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8" fillId="0" borderId="0" xfId="0" applyFont="1" applyFill="1" applyAlignment="1">
      <alignment horizontal="center"/>
    </xf>
    <xf numFmtId="0" fontId="0" fillId="0" borderId="0" xfId="0" applyFont="1"/>
    <xf numFmtId="0" fontId="10" fillId="0" borderId="2" xfId="0" applyFont="1" applyBorder="1" applyAlignment="1">
      <alignment horizontal="center" vertical="center"/>
    </xf>
    <xf numFmtId="0" fontId="0" fillId="5" borderId="1" xfId="0" applyFill="1" applyBorder="1"/>
    <xf numFmtId="1" fontId="11" fillId="5" borderId="1" xfId="0" applyNumberFormat="1" applyFont="1" applyFill="1" applyBorder="1"/>
    <xf numFmtId="0" fontId="2" fillId="5" borderId="1" xfId="0" applyFont="1" applyFill="1" applyBorder="1"/>
    <xf numFmtId="0" fontId="5" fillId="0" borderId="2" xfId="1" applyFont="1" applyFill="1" applyBorder="1" applyAlignment="1" applyProtection="1">
      <alignment horizontal="center" vertical="center"/>
      <protection hidden="1"/>
    </xf>
    <xf numFmtId="0" fontId="0" fillId="0" borderId="1" xfId="0" applyBorder="1"/>
    <xf numFmtId="0" fontId="8" fillId="3" borderId="0" xfId="0" applyFont="1" applyFill="1" applyAlignment="1">
      <alignment horizontal="center"/>
    </xf>
    <xf numFmtId="0" fontId="5" fillId="4" borderId="0" xfId="0" applyFont="1" applyFill="1" applyAlignment="1">
      <alignment horizontal="center"/>
    </xf>
    <xf numFmtId="0" fontId="9" fillId="0" borderId="1" xfId="0" applyFont="1" applyBorder="1" applyAlignment="1">
      <alignment horizontal="center" vertical="center"/>
    </xf>
    <xf numFmtId="0" fontId="0" fillId="6" borderId="1" xfId="0" applyFill="1" applyBorder="1"/>
    <xf numFmtId="0" fontId="0" fillId="6" borderId="3" xfId="0" applyFill="1" applyBorder="1"/>
    <xf numFmtId="0" fontId="0" fillId="6" borderId="3" xfId="0" applyFill="1" applyBorder="1" applyAlignment="1">
      <alignment vertical="center"/>
    </xf>
  </cellXfs>
  <cellStyles count="3">
    <cellStyle name="Normal" xfId="0" builtinId="0"/>
    <cellStyle name="Normal 2" xfId="1"/>
    <cellStyle name="Normal 2 2" xfId="2"/>
  </cellStyles>
  <dxfs count="2"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H256"/>
  <sheetViews>
    <sheetView showGridLines="0" tabSelected="1" topLeftCell="U1" zoomScale="71" workbookViewId="0">
      <selection activeCell="AA1" sqref="AA1:BH1"/>
    </sheetView>
  </sheetViews>
  <sheetFormatPr defaultRowHeight="15"/>
  <cols>
    <col min="5" max="5" width="12" bestFit="1" customWidth="1"/>
    <col min="6" max="6" width="10.5703125" customWidth="1"/>
    <col min="7" max="10" width="9.140625" hidden="1" customWidth="1"/>
    <col min="11" max="11" width="10.28515625" hidden="1" customWidth="1"/>
    <col min="12" max="13" width="9.140625" hidden="1" customWidth="1"/>
    <col min="14" max="14" width="10.7109375" style="5" hidden="1" customWidth="1"/>
    <col min="15" max="15" width="9.140625" style="7" hidden="1" customWidth="1"/>
    <col min="16" max="16" width="9.140625" customWidth="1"/>
    <col min="17" max="17" width="9.42578125" style="9" customWidth="1"/>
    <col min="18" max="21" width="9.42578125" customWidth="1"/>
    <col min="59" max="59" width="11.140625" bestFit="1" customWidth="1"/>
    <col min="60" max="60" width="14.5703125" bestFit="1" customWidth="1"/>
  </cols>
  <sheetData>
    <row r="1" spans="1:60" ht="24" customHeight="1" thickBot="1">
      <c r="A1" s="21" t="s">
        <v>7</v>
      </c>
      <c r="B1" s="21"/>
      <c r="C1" s="21"/>
      <c r="E1" s="11" t="s">
        <v>11</v>
      </c>
      <c r="F1" s="11" t="s">
        <v>9</v>
      </c>
      <c r="Q1" s="21" t="s">
        <v>10</v>
      </c>
      <c r="R1" s="21"/>
      <c r="S1" s="21"/>
      <c r="T1" s="13"/>
      <c r="U1" s="13"/>
      <c r="W1" s="21" t="s">
        <v>8</v>
      </c>
      <c r="X1" s="21"/>
      <c r="Y1" s="21"/>
      <c r="AA1" s="24" t="s">
        <v>14</v>
      </c>
      <c r="AB1" s="24" t="s">
        <v>15</v>
      </c>
      <c r="AC1" s="24" t="s">
        <v>12</v>
      </c>
      <c r="AD1" s="24" t="s">
        <v>13</v>
      </c>
      <c r="AE1" s="24" t="s">
        <v>16</v>
      </c>
      <c r="AF1" s="24" t="s">
        <v>17</v>
      </c>
      <c r="AG1" s="24" t="s">
        <v>18</v>
      </c>
      <c r="AH1" s="24" t="s">
        <v>19</v>
      </c>
      <c r="AI1" s="24" t="s">
        <v>20</v>
      </c>
      <c r="AJ1" s="24" t="s">
        <v>21</v>
      </c>
      <c r="AK1" s="24" t="s">
        <v>22</v>
      </c>
      <c r="AL1" s="24" t="s">
        <v>23</v>
      </c>
      <c r="AM1" s="24" t="s">
        <v>24</v>
      </c>
      <c r="AN1" s="24" t="s">
        <v>25</v>
      </c>
      <c r="AO1" s="24" t="s">
        <v>26</v>
      </c>
      <c r="AP1" s="24" t="s">
        <v>27</v>
      </c>
      <c r="AQ1" s="25" t="s">
        <v>28</v>
      </c>
      <c r="AR1" s="24" t="s">
        <v>29</v>
      </c>
      <c r="AS1" s="24" t="s">
        <v>30</v>
      </c>
      <c r="AT1" s="24" t="s">
        <v>31</v>
      </c>
      <c r="AU1" s="24" t="s">
        <v>32</v>
      </c>
      <c r="AV1" s="24" t="s">
        <v>33</v>
      </c>
      <c r="AW1" s="24" t="s">
        <v>34</v>
      </c>
      <c r="AX1" s="24" t="s">
        <v>35</v>
      </c>
      <c r="AY1" s="25" t="s">
        <v>36</v>
      </c>
      <c r="AZ1" s="25" t="s">
        <v>37</v>
      </c>
      <c r="BA1" s="25" t="s">
        <v>38</v>
      </c>
      <c r="BB1" s="25" t="s">
        <v>39</v>
      </c>
      <c r="BC1" s="25" t="s">
        <v>40</v>
      </c>
      <c r="BD1" s="25" t="s">
        <v>41</v>
      </c>
      <c r="BE1" s="25" t="s">
        <v>42</v>
      </c>
      <c r="BF1" s="25" t="s">
        <v>43</v>
      </c>
      <c r="BG1" s="25" t="s">
        <v>44</v>
      </c>
      <c r="BH1" s="26" t="s">
        <v>45</v>
      </c>
    </row>
    <row r="2" spans="1:60" ht="21.75" thickBot="1">
      <c r="E2" s="15">
        <f>SUMPRODUCT(B3:B7,C3:C7)</f>
        <v>0</v>
      </c>
      <c r="F2" s="19">
        <v>167</v>
      </c>
      <c r="G2" t="s">
        <v>0</v>
      </c>
      <c r="I2" s="8">
        <f>F2</f>
        <v>167</v>
      </c>
      <c r="J2">
        <v>0</v>
      </c>
      <c r="N2" s="5" t="s">
        <v>1</v>
      </c>
      <c r="AE2" s="21" t="s">
        <v>8</v>
      </c>
      <c r="AF2" s="21"/>
      <c r="AG2" s="21"/>
    </row>
    <row r="3" spans="1:60" ht="18" customHeight="1">
      <c r="A3" s="11" t="s">
        <v>2</v>
      </c>
      <c r="B3" s="3">
        <f>AE6</f>
        <v>0</v>
      </c>
      <c r="C3" s="3">
        <f>AF6</f>
        <v>0</v>
      </c>
      <c r="E3" s="4"/>
      <c r="G3" s="1">
        <v>1</v>
      </c>
      <c r="H3" s="1" t="str">
        <f>IF($C$3&gt;=G3,$B$3,"")</f>
        <v/>
      </c>
      <c r="I3">
        <f>IF(H3&lt;&gt;"",I2-H3,I2)</f>
        <v>167</v>
      </c>
      <c r="J3">
        <f>IF(I3&lt;0,J2+1,IF(I3="",0,J2))</f>
        <v>0</v>
      </c>
      <c r="K3" t="str">
        <f>IF(J3=1,-I3,IF(J3&gt;1,H3,IF((J3=0),"COMPLETE")))</f>
        <v>COMPLETE</v>
      </c>
      <c r="N3" s="6">
        <f t="array" ref="N3">IFERROR(INDEX($K$3:$K$52, MATCH(0,IF(ISTEXT($K$3:$K$52),1,COUNTIF($N$2:N2, $K$3:$K$52)), 0)),0)</f>
        <v>0</v>
      </c>
      <c r="O3" s="7">
        <f>COUNTIF($K$3:$K$52,N3)</f>
        <v>0</v>
      </c>
      <c r="Q3" s="23" t="s">
        <v>2</v>
      </c>
      <c r="R3" s="10">
        <f>N3</f>
        <v>0</v>
      </c>
      <c r="S3" s="10">
        <f>O3</f>
        <v>0</v>
      </c>
      <c r="T3" s="12"/>
      <c r="U3" s="12"/>
      <c r="W3" s="11" t="s">
        <v>2</v>
      </c>
      <c r="X3" s="3">
        <f>IF(AND(R7&gt;0,R8&gt;0),R7,IF(OR(R3&gt;0,R4&gt;0,R5&gt;0,R6&gt;0),ROUNDUP((R3*S3+R4*S4+R5*S5+R6*S6)/(S3+S4+S5+S6),0),IF(AND(R7&gt;0,R8=0,R7&lt;&gt;B5),R7,0)))</f>
        <v>0</v>
      </c>
      <c r="Y3" s="3">
        <f>IF(AND(R7&gt;0,R8&gt;0),S7,IF(OR(R3&gt;0,R4&gt;0,R5&gt;0,R6&gt;0),(S3+S4+S5+S6),IF(AND(R7&gt;0,R8=0,R7&lt;&gt;B5),S7,0)))</f>
        <v>0</v>
      </c>
      <c r="AA3" s="16">
        <f>AA6</f>
        <v>0</v>
      </c>
      <c r="AB3" s="16">
        <f>AB6</f>
        <v>0</v>
      </c>
      <c r="AC3" s="16"/>
      <c r="AD3" s="16" t="str">
        <f>IF($AD$6="R","R","")</f>
        <v/>
      </c>
      <c r="AE3" s="17">
        <f>X3</f>
        <v>0</v>
      </c>
      <c r="AF3" s="17">
        <f>Y3</f>
        <v>0</v>
      </c>
      <c r="AG3" s="18">
        <f>X4</f>
        <v>0</v>
      </c>
      <c r="AH3" s="18">
        <f>Y4</f>
        <v>0</v>
      </c>
      <c r="AI3" s="18">
        <f>X5</f>
        <v>0</v>
      </c>
      <c r="AJ3" s="18">
        <f>Y5</f>
        <v>0</v>
      </c>
      <c r="AK3" s="18">
        <f>X6</f>
        <v>0</v>
      </c>
      <c r="AL3" s="18">
        <f>Y6</f>
        <v>0</v>
      </c>
      <c r="AM3" s="18">
        <f>X7</f>
        <v>0</v>
      </c>
      <c r="AN3" s="18">
        <f>Y7</f>
        <v>0</v>
      </c>
      <c r="AO3" s="14" t="str">
        <f>CONCATENATE(AO6:AO6)</f>
        <v/>
      </c>
      <c r="AP3" s="14" t="str">
        <f t="shared" ref="AP3:BG3" si="0">CONCATENATE(AP6:AP6)</f>
        <v/>
      </c>
      <c r="AQ3" s="14" t="str">
        <f t="shared" si="0"/>
        <v/>
      </c>
      <c r="AR3" s="14" t="str">
        <f t="shared" si="0"/>
        <v/>
      </c>
      <c r="AS3" s="14" t="str">
        <f t="shared" si="0"/>
        <v/>
      </c>
      <c r="AT3" s="14" t="str">
        <f t="shared" si="0"/>
        <v/>
      </c>
      <c r="AU3" s="14" t="str">
        <f t="shared" si="0"/>
        <v/>
      </c>
      <c r="AV3" s="14" t="str">
        <f t="shared" si="0"/>
        <v/>
      </c>
      <c r="AW3" s="14" t="str">
        <f t="shared" si="0"/>
        <v/>
      </c>
      <c r="AX3" s="14" t="str">
        <f t="shared" si="0"/>
        <v/>
      </c>
      <c r="AY3" s="14" t="str">
        <f t="shared" si="0"/>
        <v/>
      </c>
      <c r="AZ3" s="14" t="str">
        <f t="shared" si="0"/>
        <v/>
      </c>
      <c r="BA3" s="14" t="str">
        <f t="shared" si="0"/>
        <v/>
      </c>
      <c r="BB3" s="14" t="str">
        <f t="shared" si="0"/>
        <v/>
      </c>
      <c r="BC3" s="14" t="str">
        <f t="shared" si="0"/>
        <v/>
      </c>
      <c r="BD3" s="14" t="str">
        <f t="shared" si="0"/>
        <v/>
      </c>
      <c r="BE3" s="14" t="str">
        <f t="shared" si="0"/>
        <v/>
      </c>
      <c r="BF3" s="14" t="str">
        <f t="shared" si="0"/>
        <v/>
      </c>
      <c r="BG3" s="14" t="str">
        <f t="shared" si="0"/>
        <v/>
      </c>
    </row>
    <row r="4" spans="1:60" ht="18" customHeight="1">
      <c r="A4" s="11" t="s">
        <v>3</v>
      </c>
      <c r="B4" s="3">
        <f>AG6</f>
        <v>0</v>
      </c>
      <c r="C4" s="3">
        <f>AH6</f>
        <v>0</v>
      </c>
      <c r="E4" s="4"/>
      <c r="G4" s="1">
        <v>2</v>
      </c>
      <c r="H4" s="1" t="str">
        <f t="shared" ref="H4:H52" si="1">IF($C$3&gt;=G4,$B$3,"")</f>
        <v/>
      </c>
      <c r="I4" t="str">
        <f t="shared" ref="I4:I52" si="2">IF(H4&lt;&gt;"",I3-H4,"")</f>
        <v/>
      </c>
      <c r="J4">
        <f t="shared" ref="J4:J52" si="3">IF(I4&lt;0,J3+1,IF(I4="",0,J3))</f>
        <v>0</v>
      </c>
      <c r="K4" t="str">
        <f t="shared" ref="K4:K52" si="4">IF(J4=1,-I4,IF(J4&gt;1,H4,IF((J4=0),"COMPLETE")))</f>
        <v>COMPLETE</v>
      </c>
      <c r="N4" s="6">
        <f t="array" ref="N4">IFERROR(INDEX($K$3:$K$52, MATCH(0,IF(ISTEXT($K$3:$K$52),1,COUNTIF($N$2:N3, $K$3:$K$52)), 0)),0)</f>
        <v>0</v>
      </c>
      <c r="O4" s="7">
        <f t="shared" ref="O4" si="5">COUNTIF($K$3:$K$52,N4)</f>
        <v>0</v>
      </c>
      <c r="Q4" s="23"/>
      <c r="R4" s="10">
        <f>N4</f>
        <v>0</v>
      </c>
      <c r="S4" s="10">
        <f>O4</f>
        <v>0</v>
      </c>
      <c r="T4" s="12"/>
      <c r="U4" s="12"/>
      <c r="W4" s="11" t="s">
        <v>3</v>
      </c>
      <c r="X4" s="3">
        <v>0</v>
      </c>
      <c r="Y4" s="3">
        <v>0</v>
      </c>
    </row>
    <row r="5" spans="1:60" ht="18" customHeight="1">
      <c r="A5" s="11" t="s">
        <v>4</v>
      </c>
      <c r="B5" s="3">
        <f>AI6</f>
        <v>0</v>
      </c>
      <c r="C5" s="3">
        <f>AJ6</f>
        <v>0</v>
      </c>
      <c r="E5" s="4"/>
      <c r="G5" s="1">
        <v>3</v>
      </c>
      <c r="H5" s="1" t="str">
        <f t="shared" si="1"/>
        <v/>
      </c>
      <c r="I5" t="str">
        <f t="shared" si="2"/>
        <v/>
      </c>
      <c r="J5">
        <f t="shared" si="3"/>
        <v>0</v>
      </c>
      <c r="K5" t="str">
        <f t="shared" si="4"/>
        <v>COMPLETE</v>
      </c>
      <c r="N5" s="6"/>
      <c r="Q5" s="23" t="s">
        <v>3</v>
      </c>
      <c r="R5" s="10">
        <f>N54</f>
        <v>0</v>
      </c>
      <c r="S5" s="10">
        <f>O54</f>
        <v>0</v>
      </c>
      <c r="T5" s="12"/>
      <c r="U5" s="12"/>
      <c r="W5" s="11" t="s">
        <v>4</v>
      </c>
      <c r="X5" s="3">
        <f>IF(R7=B5,R7,IF(R8=B5,R8,0))</f>
        <v>0</v>
      </c>
      <c r="Y5" s="3">
        <f>IF(R7=B5,S7,IF(R8=B5,S8,0))</f>
        <v>0</v>
      </c>
      <c r="AE5" s="22" t="s">
        <v>7</v>
      </c>
      <c r="AF5" s="22"/>
      <c r="AG5" s="22"/>
    </row>
    <row r="6" spans="1:60" ht="18" customHeight="1">
      <c r="A6" s="11" t="s">
        <v>5</v>
      </c>
      <c r="B6" s="3">
        <f>AK6</f>
        <v>0</v>
      </c>
      <c r="C6" s="3">
        <f>AL6</f>
        <v>0</v>
      </c>
      <c r="E6" s="4"/>
      <c r="G6" s="1">
        <v>4</v>
      </c>
      <c r="H6" s="1" t="str">
        <f t="shared" si="1"/>
        <v/>
      </c>
      <c r="I6" t="str">
        <f t="shared" si="2"/>
        <v/>
      </c>
      <c r="J6">
        <f t="shared" si="3"/>
        <v>0</v>
      </c>
      <c r="K6" t="str">
        <f t="shared" si="4"/>
        <v>COMPLETE</v>
      </c>
      <c r="N6" s="6" t="str">
        <f>IFERROR(INDEX($K$3:$K$52, MATCH(0,IF(ISERROR($K$3:$K$52),1,COUNTIF($N$2:N5, $K$3:$K$52)), 0)),"")</f>
        <v/>
      </c>
      <c r="Q6" s="23"/>
      <c r="R6" s="10">
        <f>N55</f>
        <v>0</v>
      </c>
      <c r="S6" s="10">
        <f>O55</f>
        <v>0</v>
      </c>
      <c r="T6" s="12"/>
      <c r="U6" s="12"/>
      <c r="W6" s="11" t="s">
        <v>5</v>
      </c>
      <c r="X6" s="3">
        <f>IF(AND(R9&gt;0,R10=0,R11&gt;0,R12=0),R9,IF(OR(R9&lt;&gt;0,R10&lt;&gt;0,R11&lt;&gt;0,R12&lt;&gt;0),ROUNDUP(((R9*S9+R10*S10+R11*S11+R12*S12)/(S11+S12+S9+S10)),0),0))</f>
        <v>0</v>
      </c>
      <c r="Y6" s="3">
        <f>IF(AND(R9&gt;0,R10=0,R11&gt;0,R12=0),S9,IF(OR(R9&lt;&gt;0,R10&lt;&gt;0,R11&lt;&gt;0,R12&lt;&gt;0),(S11+S12+S9+S10),0))</f>
        <v>0</v>
      </c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</row>
    <row r="7" spans="1:60" ht="18" customHeight="1">
      <c r="A7" s="11" t="s">
        <v>6</v>
      </c>
      <c r="B7" s="3">
        <f>AM6</f>
        <v>0</v>
      </c>
      <c r="C7" s="3">
        <f>AN6</f>
        <v>0</v>
      </c>
      <c r="E7" s="4"/>
      <c r="G7" s="1">
        <v>5</v>
      </c>
      <c r="H7" s="1" t="str">
        <f t="shared" si="1"/>
        <v/>
      </c>
      <c r="I7" t="str">
        <f t="shared" si="2"/>
        <v/>
      </c>
      <c r="J7">
        <f t="shared" si="3"/>
        <v>0</v>
      </c>
      <c r="K7" t="str">
        <f t="shared" si="4"/>
        <v>COMPLETE</v>
      </c>
      <c r="N7" s="6" t="str">
        <f>IFERROR(INDEX($K$3:$K$52, MATCH(0,COUNTIF($N$2:N6, $K$3:$K$52), 0)),"")</f>
        <v/>
      </c>
      <c r="Q7" s="23" t="s">
        <v>4</v>
      </c>
      <c r="R7" s="10">
        <f>N105</f>
        <v>0</v>
      </c>
      <c r="S7" s="10">
        <f>O105</f>
        <v>0</v>
      </c>
      <c r="T7" s="12"/>
      <c r="U7" s="12"/>
      <c r="W7" s="11" t="s">
        <v>6</v>
      </c>
      <c r="X7" s="3">
        <f>IF(AND(R9&gt;0,R10=0,R11&gt;0,R12=0),R11,0)</f>
        <v>0</v>
      </c>
      <c r="Y7" s="3">
        <f>IF(AND(R9&gt;0,R10=0,R11&gt;0,R12=0),S11,0)</f>
        <v>0</v>
      </c>
    </row>
    <row r="8" spans="1:60" ht="18" customHeight="1">
      <c r="G8" s="2">
        <v>6</v>
      </c>
      <c r="H8" s="2" t="str">
        <f t="shared" si="1"/>
        <v/>
      </c>
      <c r="I8" t="str">
        <f t="shared" si="2"/>
        <v/>
      </c>
      <c r="J8">
        <f t="shared" si="3"/>
        <v>0</v>
      </c>
      <c r="K8" t="str">
        <f t="shared" si="4"/>
        <v>COMPLETE</v>
      </c>
      <c r="N8" s="6" t="str">
        <f>IFERROR(INDEX($K$3:$K$52, MATCH(0,COUNTIF($N$2:N7, $K$3:$K$52), 0)),"")</f>
        <v/>
      </c>
      <c r="Q8" s="23"/>
      <c r="R8" s="10">
        <f>N106</f>
        <v>0</v>
      </c>
      <c r="S8" s="10">
        <f>O106</f>
        <v>0</v>
      </c>
      <c r="T8" s="12"/>
      <c r="U8" s="12"/>
    </row>
    <row r="9" spans="1:60" ht="18" customHeight="1">
      <c r="G9" s="2">
        <v>7</v>
      </c>
      <c r="H9" s="2" t="str">
        <f t="shared" si="1"/>
        <v/>
      </c>
      <c r="I9" t="str">
        <f t="shared" si="2"/>
        <v/>
      </c>
      <c r="J9">
        <f t="shared" si="3"/>
        <v>0</v>
      </c>
      <c r="K9" t="str">
        <f t="shared" si="4"/>
        <v>COMPLETE</v>
      </c>
      <c r="Q9" s="23" t="s">
        <v>5</v>
      </c>
      <c r="R9" s="10">
        <f>N156</f>
        <v>0</v>
      </c>
      <c r="S9" s="10">
        <f>O156</f>
        <v>0</v>
      </c>
      <c r="T9" s="12"/>
      <c r="U9" s="12"/>
    </row>
    <row r="10" spans="1:60" ht="18" customHeight="1">
      <c r="G10" s="2">
        <v>8</v>
      </c>
      <c r="H10" s="2" t="str">
        <f t="shared" si="1"/>
        <v/>
      </c>
      <c r="I10" t="str">
        <f t="shared" si="2"/>
        <v/>
      </c>
      <c r="J10">
        <f t="shared" si="3"/>
        <v>0</v>
      </c>
      <c r="K10" t="str">
        <f t="shared" si="4"/>
        <v>COMPLETE</v>
      </c>
      <c r="Q10" s="23"/>
      <c r="R10" s="10">
        <f>N157</f>
        <v>0</v>
      </c>
      <c r="S10" s="10">
        <f>O157</f>
        <v>0</v>
      </c>
      <c r="T10" s="12"/>
      <c r="U10" s="12"/>
    </row>
    <row r="11" spans="1:60" ht="18" customHeight="1">
      <c r="G11" s="2">
        <v>9</v>
      </c>
      <c r="H11" s="2" t="str">
        <f t="shared" si="1"/>
        <v/>
      </c>
      <c r="I11" t="str">
        <f t="shared" si="2"/>
        <v/>
      </c>
      <c r="J11">
        <f t="shared" si="3"/>
        <v>0</v>
      </c>
      <c r="K11" t="str">
        <f t="shared" si="4"/>
        <v>COMPLETE</v>
      </c>
      <c r="Q11" s="23" t="s">
        <v>6</v>
      </c>
      <c r="R11" s="10">
        <f>N207</f>
        <v>0</v>
      </c>
      <c r="S11" s="10">
        <f>O207</f>
        <v>0</v>
      </c>
      <c r="T11" s="12"/>
      <c r="U11" s="12"/>
    </row>
    <row r="12" spans="1:60" ht="18" customHeight="1">
      <c r="G12" s="2">
        <v>10</v>
      </c>
      <c r="H12" s="2" t="str">
        <f t="shared" si="1"/>
        <v/>
      </c>
      <c r="I12" t="str">
        <f t="shared" si="2"/>
        <v/>
      </c>
      <c r="J12">
        <f t="shared" si="3"/>
        <v>0</v>
      </c>
      <c r="K12" t="str">
        <f t="shared" si="4"/>
        <v>COMPLETE</v>
      </c>
      <c r="Q12" s="23"/>
      <c r="R12" s="10">
        <f>N208</f>
        <v>0</v>
      </c>
      <c r="S12" s="10">
        <f>O208</f>
        <v>0</v>
      </c>
      <c r="T12" s="12"/>
      <c r="U12" s="12"/>
    </row>
    <row r="13" spans="1:60">
      <c r="G13" s="2">
        <v>11</v>
      </c>
      <c r="H13" s="2" t="str">
        <f t="shared" si="1"/>
        <v/>
      </c>
      <c r="I13" t="str">
        <f t="shared" si="2"/>
        <v/>
      </c>
      <c r="J13">
        <f t="shared" si="3"/>
        <v>0</v>
      </c>
      <c r="K13" t="str">
        <f t="shared" si="4"/>
        <v>COMPLETE</v>
      </c>
    </row>
    <row r="14" spans="1:60">
      <c r="G14" s="2">
        <v>12</v>
      </c>
      <c r="H14" s="2" t="str">
        <f t="shared" si="1"/>
        <v/>
      </c>
      <c r="I14" t="str">
        <f t="shared" si="2"/>
        <v/>
      </c>
      <c r="J14">
        <f t="shared" si="3"/>
        <v>0</v>
      </c>
      <c r="K14" t="str">
        <f t="shared" si="4"/>
        <v>COMPLETE</v>
      </c>
    </row>
    <row r="15" spans="1:60">
      <c r="G15" s="2">
        <v>13</v>
      </c>
      <c r="H15" s="2" t="str">
        <f t="shared" si="1"/>
        <v/>
      </c>
      <c r="I15" t="str">
        <f t="shared" si="2"/>
        <v/>
      </c>
      <c r="J15">
        <f t="shared" si="3"/>
        <v>0</v>
      </c>
      <c r="K15" t="str">
        <f t="shared" si="4"/>
        <v>COMPLETE</v>
      </c>
    </row>
    <row r="16" spans="1:60">
      <c r="G16" s="2">
        <v>14</v>
      </c>
      <c r="H16" s="2" t="str">
        <f t="shared" si="1"/>
        <v/>
      </c>
      <c r="I16" t="str">
        <f t="shared" si="2"/>
        <v/>
      </c>
      <c r="J16">
        <f t="shared" si="3"/>
        <v>0</v>
      </c>
      <c r="K16" t="str">
        <f t="shared" si="4"/>
        <v>COMPLETE</v>
      </c>
    </row>
    <row r="17" spans="7:11">
      <c r="G17" s="2">
        <v>15</v>
      </c>
      <c r="H17" s="2" t="str">
        <f t="shared" si="1"/>
        <v/>
      </c>
      <c r="I17" t="str">
        <f t="shared" si="2"/>
        <v/>
      </c>
      <c r="J17">
        <f t="shared" si="3"/>
        <v>0</v>
      </c>
      <c r="K17" t="str">
        <f t="shared" si="4"/>
        <v>COMPLETE</v>
      </c>
    </row>
    <row r="18" spans="7:11">
      <c r="G18" s="2">
        <v>16</v>
      </c>
      <c r="H18" s="2" t="str">
        <f t="shared" si="1"/>
        <v/>
      </c>
      <c r="I18" t="str">
        <f t="shared" si="2"/>
        <v/>
      </c>
      <c r="J18">
        <f t="shared" si="3"/>
        <v>0</v>
      </c>
      <c r="K18" t="str">
        <f t="shared" si="4"/>
        <v>COMPLETE</v>
      </c>
    </row>
    <row r="19" spans="7:11">
      <c r="G19" s="2">
        <v>17</v>
      </c>
      <c r="H19" s="2" t="str">
        <f t="shared" si="1"/>
        <v/>
      </c>
      <c r="I19" t="str">
        <f t="shared" si="2"/>
        <v/>
      </c>
      <c r="J19">
        <f t="shared" si="3"/>
        <v>0</v>
      </c>
      <c r="K19" t="str">
        <f t="shared" si="4"/>
        <v>COMPLETE</v>
      </c>
    </row>
    <row r="20" spans="7:11">
      <c r="G20" s="2">
        <v>18</v>
      </c>
      <c r="H20" s="2" t="str">
        <f t="shared" si="1"/>
        <v/>
      </c>
      <c r="I20" t="str">
        <f t="shared" si="2"/>
        <v/>
      </c>
      <c r="J20">
        <f t="shared" si="3"/>
        <v>0</v>
      </c>
      <c r="K20" t="str">
        <f t="shared" si="4"/>
        <v>COMPLETE</v>
      </c>
    </row>
    <row r="21" spans="7:11">
      <c r="G21" s="2">
        <v>19</v>
      </c>
      <c r="H21" s="2" t="str">
        <f t="shared" si="1"/>
        <v/>
      </c>
      <c r="I21" t="str">
        <f t="shared" si="2"/>
        <v/>
      </c>
      <c r="J21">
        <f t="shared" si="3"/>
        <v>0</v>
      </c>
      <c r="K21" t="str">
        <f t="shared" si="4"/>
        <v>COMPLETE</v>
      </c>
    </row>
    <row r="22" spans="7:11">
      <c r="G22" s="2">
        <v>20</v>
      </c>
      <c r="H22" s="2" t="str">
        <f t="shared" si="1"/>
        <v/>
      </c>
      <c r="I22" t="str">
        <f t="shared" si="2"/>
        <v/>
      </c>
      <c r="J22">
        <f t="shared" si="3"/>
        <v>0</v>
      </c>
      <c r="K22" t="str">
        <f t="shared" si="4"/>
        <v>COMPLETE</v>
      </c>
    </row>
    <row r="23" spans="7:11">
      <c r="G23" s="2">
        <v>21</v>
      </c>
      <c r="H23" s="2" t="str">
        <f t="shared" si="1"/>
        <v/>
      </c>
      <c r="I23" t="str">
        <f t="shared" si="2"/>
        <v/>
      </c>
      <c r="J23">
        <f t="shared" si="3"/>
        <v>0</v>
      </c>
      <c r="K23" t="str">
        <f t="shared" si="4"/>
        <v>COMPLETE</v>
      </c>
    </row>
    <row r="24" spans="7:11">
      <c r="G24" s="2">
        <v>22</v>
      </c>
      <c r="H24" s="2" t="str">
        <f t="shared" si="1"/>
        <v/>
      </c>
      <c r="I24" t="str">
        <f t="shared" si="2"/>
        <v/>
      </c>
      <c r="J24">
        <f t="shared" si="3"/>
        <v>0</v>
      </c>
      <c r="K24" t="str">
        <f t="shared" si="4"/>
        <v>COMPLETE</v>
      </c>
    </row>
    <row r="25" spans="7:11">
      <c r="G25" s="2">
        <v>23</v>
      </c>
      <c r="H25" s="2" t="str">
        <f t="shared" si="1"/>
        <v/>
      </c>
      <c r="I25" t="str">
        <f t="shared" si="2"/>
        <v/>
      </c>
      <c r="J25">
        <f t="shared" si="3"/>
        <v>0</v>
      </c>
      <c r="K25" t="str">
        <f t="shared" si="4"/>
        <v>COMPLETE</v>
      </c>
    </row>
    <row r="26" spans="7:11">
      <c r="G26" s="2">
        <v>24</v>
      </c>
      <c r="H26" s="2" t="str">
        <f t="shared" si="1"/>
        <v/>
      </c>
      <c r="I26" t="str">
        <f t="shared" si="2"/>
        <v/>
      </c>
      <c r="J26">
        <f t="shared" si="3"/>
        <v>0</v>
      </c>
      <c r="K26" t="str">
        <f t="shared" si="4"/>
        <v>COMPLETE</v>
      </c>
    </row>
    <row r="27" spans="7:11">
      <c r="G27" s="2">
        <v>25</v>
      </c>
      <c r="H27" s="2" t="str">
        <f t="shared" si="1"/>
        <v/>
      </c>
      <c r="I27" t="str">
        <f t="shared" si="2"/>
        <v/>
      </c>
      <c r="J27">
        <f t="shared" si="3"/>
        <v>0</v>
      </c>
      <c r="K27" t="str">
        <f t="shared" si="4"/>
        <v>COMPLETE</v>
      </c>
    </row>
    <row r="28" spans="7:11">
      <c r="G28" s="2">
        <v>26</v>
      </c>
      <c r="H28" s="2" t="str">
        <f t="shared" si="1"/>
        <v/>
      </c>
      <c r="I28" t="str">
        <f t="shared" si="2"/>
        <v/>
      </c>
      <c r="J28">
        <f t="shared" si="3"/>
        <v>0</v>
      </c>
      <c r="K28" t="str">
        <f t="shared" si="4"/>
        <v>COMPLETE</v>
      </c>
    </row>
    <row r="29" spans="7:11">
      <c r="G29" s="2">
        <v>27</v>
      </c>
      <c r="H29" s="2" t="str">
        <f t="shared" si="1"/>
        <v/>
      </c>
      <c r="I29" t="str">
        <f t="shared" si="2"/>
        <v/>
      </c>
      <c r="J29">
        <f t="shared" si="3"/>
        <v>0</v>
      </c>
      <c r="K29" t="str">
        <f t="shared" si="4"/>
        <v>COMPLETE</v>
      </c>
    </row>
    <row r="30" spans="7:11">
      <c r="G30" s="2">
        <v>28</v>
      </c>
      <c r="H30" s="2" t="str">
        <f t="shared" si="1"/>
        <v/>
      </c>
      <c r="I30" t="str">
        <f t="shared" si="2"/>
        <v/>
      </c>
      <c r="J30">
        <f t="shared" si="3"/>
        <v>0</v>
      </c>
      <c r="K30" t="str">
        <f t="shared" si="4"/>
        <v>COMPLETE</v>
      </c>
    </row>
    <row r="31" spans="7:11">
      <c r="G31" s="2">
        <v>29</v>
      </c>
      <c r="H31" s="2" t="str">
        <f t="shared" si="1"/>
        <v/>
      </c>
      <c r="I31" t="str">
        <f t="shared" si="2"/>
        <v/>
      </c>
      <c r="J31">
        <f t="shared" si="3"/>
        <v>0</v>
      </c>
      <c r="K31" t="str">
        <f t="shared" si="4"/>
        <v>COMPLETE</v>
      </c>
    </row>
    <row r="32" spans="7:11">
      <c r="G32" s="2">
        <v>30</v>
      </c>
      <c r="H32" s="2" t="str">
        <f t="shared" si="1"/>
        <v/>
      </c>
      <c r="I32" t="str">
        <f t="shared" si="2"/>
        <v/>
      </c>
      <c r="J32">
        <f t="shared" si="3"/>
        <v>0</v>
      </c>
      <c r="K32" t="str">
        <f t="shared" si="4"/>
        <v>COMPLETE</v>
      </c>
    </row>
    <row r="33" spans="7:11">
      <c r="G33" s="2">
        <v>31</v>
      </c>
      <c r="H33" s="2" t="str">
        <f t="shared" si="1"/>
        <v/>
      </c>
      <c r="I33" t="str">
        <f t="shared" si="2"/>
        <v/>
      </c>
      <c r="J33">
        <f t="shared" si="3"/>
        <v>0</v>
      </c>
      <c r="K33" t="str">
        <f t="shared" si="4"/>
        <v>COMPLETE</v>
      </c>
    </row>
    <row r="34" spans="7:11">
      <c r="G34" s="2">
        <v>32</v>
      </c>
      <c r="H34" s="2" t="str">
        <f t="shared" si="1"/>
        <v/>
      </c>
      <c r="I34" t="str">
        <f t="shared" si="2"/>
        <v/>
      </c>
      <c r="J34">
        <f t="shared" si="3"/>
        <v>0</v>
      </c>
      <c r="K34" t="str">
        <f t="shared" si="4"/>
        <v>COMPLETE</v>
      </c>
    </row>
    <row r="35" spans="7:11">
      <c r="G35" s="2">
        <v>33</v>
      </c>
      <c r="H35" s="2" t="str">
        <f t="shared" si="1"/>
        <v/>
      </c>
      <c r="I35" t="str">
        <f t="shared" si="2"/>
        <v/>
      </c>
      <c r="J35">
        <f t="shared" si="3"/>
        <v>0</v>
      </c>
      <c r="K35" t="str">
        <f t="shared" si="4"/>
        <v>COMPLETE</v>
      </c>
    </row>
    <row r="36" spans="7:11">
      <c r="G36" s="2">
        <v>34</v>
      </c>
      <c r="H36" s="2" t="str">
        <f t="shared" si="1"/>
        <v/>
      </c>
      <c r="I36" t="str">
        <f t="shared" si="2"/>
        <v/>
      </c>
      <c r="J36">
        <f t="shared" si="3"/>
        <v>0</v>
      </c>
      <c r="K36" t="str">
        <f t="shared" si="4"/>
        <v>COMPLETE</v>
      </c>
    </row>
    <row r="37" spans="7:11">
      <c r="G37" s="2">
        <v>35</v>
      </c>
      <c r="H37" s="2" t="str">
        <f t="shared" si="1"/>
        <v/>
      </c>
      <c r="I37" t="str">
        <f t="shared" si="2"/>
        <v/>
      </c>
      <c r="J37">
        <f t="shared" si="3"/>
        <v>0</v>
      </c>
      <c r="K37" t="str">
        <f t="shared" si="4"/>
        <v>COMPLETE</v>
      </c>
    </row>
    <row r="38" spans="7:11">
      <c r="G38" s="2">
        <v>36</v>
      </c>
      <c r="H38" s="2" t="str">
        <f t="shared" si="1"/>
        <v/>
      </c>
      <c r="I38" t="str">
        <f t="shared" si="2"/>
        <v/>
      </c>
      <c r="J38">
        <f t="shared" si="3"/>
        <v>0</v>
      </c>
      <c r="K38" t="str">
        <f t="shared" si="4"/>
        <v>COMPLETE</v>
      </c>
    </row>
    <row r="39" spans="7:11">
      <c r="G39" s="2">
        <v>37</v>
      </c>
      <c r="H39" s="2" t="str">
        <f t="shared" si="1"/>
        <v/>
      </c>
      <c r="I39" t="str">
        <f t="shared" si="2"/>
        <v/>
      </c>
      <c r="J39">
        <f t="shared" si="3"/>
        <v>0</v>
      </c>
      <c r="K39" t="str">
        <f t="shared" si="4"/>
        <v>COMPLETE</v>
      </c>
    </row>
    <row r="40" spans="7:11">
      <c r="G40" s="2">
        <v>38</v>
      </c>
      <c r="H40" s="2" t="str">
        <f t="shared" si="1"/>
        <v/>
      </c>
      <c r="I40" t="str">
        <f t="shared" si="2"/>
        <v/>
      </c>
      <c r="J40">
        <f t="shared" si="3"/>
        <v>0</v>
      </c>
      <c r="K40" t="str">
        <f t="shared" si="4"/>
        <v>COMPLETE</v>
      </c>
    </row>
    <row r="41" spans="7:11">
      <c r="G41" s="2">
        <v>39</v>
      </c>
      <c r="H41" s="2" t="str">
        <f t="shared" si="1"/>
        <v/>
      </c>
      <c r="I41" t="str">
        <f t="shared" si="2"/>
        <v/>
      </c>
      <c r="J41">
        <f t="shared" si="3"/>
        <v>0</v>
      </c>
      <c r="K41" t="str">
        <f t="shared" si="4"/>
        <v>COMPLETE</v>
      </c>
    </row>
    <row r="42" spans="7:11">
      <c r="G42" s="2">
        <v>40</v>
      </c>
      <c r="H42" s="2" t="str">
        <f t="shared" si="1"/>
        <v/>
      </c>
      <c r="I42" t="str">
        <f t="shared" si="2"/>
        <v/>
      </c>
      <c r="J42">
        <f t="shared" si="3"/>
        <v>0</v>
      </c>
      <c r="K42" t="str">
        <f t="shared" si="4"/>
        <v>COMPLETE</v>
      </c>
    </row>
    <row r="43" spans="7:11">
      <c r="G43" s="2">
        <v>41</v>
      </c>
      <c r="H43" s="2" t="str">
        <f t="shared" si="1"/>
        <v/>
      </c>
      <c r="I43" t="str">
        <f t="shared" si="2"/>
        <v/>
      </c>
      <c r="J43">
        <f t="shared" si="3"/>
        <v>0</v>
      </c>
      <c r="K43" t="str">
        <f t="shared" si="4"/>
        <v>COMPLETE</v>
      </c>
    </row>
    <row r="44" spans="7:11">
      <c r="G44" s="2">
        <v>42</v>
      </c>
      <c r="H44" s="2" t="str">
        <f t="shared" si="1"/>
        <v/>
      </c>
      <c r="I44" t="str">
        <f t="shared" si="2"/>
        <v/>
      </c>
      <c r="J44">
        <f t="shared" si="3"/>
        <v>0</v>
      </c>
      <c r="K44" t="str">
        <f t="shared" si="4"/>
        <v>COMPLETE</v>
      </c>
    </row>
    <row r="45" spans="7:11">
      <c r="G45" s="2">
        <v>43</v>
      </c>
      <c r="H45" s="2" t="str">
        <f t="shared" si="1"/>
        <v/>
      </c>
      <c r="I45" t="str">
        <f t="shared" si="2"/>
        <v/>
      </c>
      <c r="J45">
        <f t="shared" si="3"/>
        <v>0</v>
      </c>
      <c r="K45" t="str">
        <f t="shared" si="4"/>
        <v>COMPLETE</v>
      </c>
    </row>
    <row r="46" spans="7:11">
      <c r="G46" s="2">
        <v>44</v>
      </c>
      <c r="H46" s="2" t="str">
        <f t="shared" si="1"/>
        <v/>
      </c>
      <c r="I46" t="str">
        <f t="shared" si="2"/>
        <v/>
      </c>
      <c r="J46">
        <f t="shared" si="3"/>
        <v>0</v>
      </c>
      <c r="K46" t="str">
        <f t="shared" si="4"/>
        <v>COMPLETE</v>
      </c>
    </row>
    <row r="47" spans="7:11">
      <c r="G47" s="2">
        <v>45</v>
      </c>
      <c r="H47" s="2" t="str">
        <f t="shared" si="1"/>
        <v/>
      </c>
      <c r="I47" t="str">
        <f t="shared" si="2"/>
        <v/>
      </c>
      <c r="J47">
        <f t="shared" si="3"/>
        <v>0</v>
      </c>
      <c r="K47" t="str">
        <f t="shared" si="4"/>
        <v>COMPLETE</v>
      </c>
    </row>
    <row r="48" spans="7:11">
      <c r="G48" s="2">
        <v>46</v>
      </c>
      <c r="H48" s="2" t="str">
        <f t="shared" si="1"/>
        <v/>
      </c>
      <c r="I48" t="str">
        <f t="shared" si="2"/>
        <v/>
      </c>
      <c r="J48">
        <f t="shared" si="3"/>
        <v>0</v>
      </c>
      <c r="K48" t="str">
        <f t="shared" si="4"/>
        <v>COMPLETE</v>
      </c>
    </row>
    <row r="49" spans="7:15">
      <c r="G49" s="2">
        <v>47</v>
      </c>
      <c r="H49" s="2" t="str">
        <f t="shared" si="1"/>
        <v/>
      </c>
      <c r="I49" t="str">
        <f t="shared" si="2"/>
        <v/>
      </c>
      <c r="J49">
        <f t="shared" si="3"/>
        <v>0</v>
      </c>
      <c r="K49" t="str">
        <f t="shared" si="4"/>
        <v>COMPLETE</v>
      </c>
    </row>
    <row r="50" spans="7:15">
      <c r="G50" s="2">
        <v>48</v>
      </c>
      <c r="H50" s="2" t="str">
        <f t="shared" si="1"/>
        <v/>
      </c>
      <c r="I50" t="str">
        <f t="shared" si="2"/>
        <v/>
      </c>
      <c r="J50">
        <f t="shared" si="3"/>
        <v>0</v>
      </c>
      <c r="K50" t="str">
        <f t="shared" si="4"/>
        <v>COMPLETE</v>
      </c>
    </row>
    <row r="51" spans="7:15">
      <c r="G51" s="2">
        <v>49</v>
      </c>
      <c r="H51" s="2" t="str">
        <f t="shared" si="1"/>
        <v/>
      </c>
      <c r="I51" t="str">
        <f t="shared" si="2"/>
        <v/>
      </c>
      <c r="J51">
        <f t="shared" si="3"/>
        <v>0</v>
      </c>
      <c r="K51" t="str">
        <f t="shared" si="4"/>
        <v>COMPLETE</v>
      </c>
    </row>
    <row r="52" spans="7:15">
      <c r="G52" s="2">
        <v>50</v>
      </c>
      <c r="H52" s="2" t="str">
        <f t="shared" si="1"/>
        <v/>
      </c>
      <c r="I52" t="str">
        <f t="shared" si="2"/>
        <v/>
      </c>
      <c r="J52">
        <f t="shared" si="3"/>
        <v>0</v>
      </c>
      <c r="K52" t="str">
        <f t="shared" si="4"/>
        <v>COMPLETE</v>
      </c>
    </row>
    <row r="53" spans="7:15">
      <c r="G53" s="2"/>
      <c r="H53" s="2"/>
      <c r="I53">
        <f>MIN(I2:I52)</f>
        <v>167</v>
      </c>
      <c r="J53">
        <f>MAX(J2:J52)</f>
        <v>0</v>
      </c>
      <c r="N53" s="5" t="s">
        <v>1</v>
      </c>
    </row>
    <row r="54" spans="7:15" ht="19.5">
      <c r="G54" s="1">
        <v>1</v>
      </c>
      <c r="H54" s="1" t="str">
        <f>IF($C$4&gt;=G54,$B$4,"")</f>
        <v/>
      </c>
      <c r="I54">
        <f>IF(H54&lt;&gt;"",I53-H54,I53)</f>
        <v>167</v>
      </c>
      <c r="J54">
        <f>IF(I54&lt;0,J53+1,IF(I54="",0,J53))</f>
        <v>0</v>
      </c>
      <c r="K54" t="str">
        <f>IF(J54=1,-I54,IF(J54&gt;1,H54,IF((J54=0),"COMPLETE")))</f>
        <v>COMPLETE</v>
      </c>
      <c r="N54" s="6">
        <f t="array" ref="N54">IFERROR(INDEX($K$54:$K$103, MATCH(0,IF(ISTEXT($K$54:$K$103),1,COUNTIF($N$53:N53, $K$54:$K$103)), 0)),0)</f>
        <v>0</v>
      </c>
      <c r="O54" s="7">
        <f>COUNTIF($K$54:$K$103,N54)</f>
        <v>0</v>
      </c>
    </row>
    <row r="55" spans="7:15" ht="19.5">
      <c r="G55" s="2">
        <v>2</v>
      </c>
      <c r="H55" s="2" t="str">
        <f t="shared" ref="H55:H103" si="6">IF($C$4&gt;=G55,$B$4,"")</f>
        <v/>
      </c>
      <c r="I55" t="str">
        <f t="shared" ref="I55:I103" si="7">IF(H55&lt;&gt;"",I54-H55,"")</f>
        <v/>
      </c>
      <c r="J55">
        <f t="shared" ref="J55:J103" si="8">IF(I55&lt;0,J54+1,IF(I55="",0,J54))</f>
        <v>0</v>
      </c>
      <c r="K55" t="str">
        <f t="shared" ref="K55:K103" si="9">IF(J55=1,-I55,IF(J55&gt;1,H55,IF((J55=0),"COMPLETE")))</f>
        <v>COMPLETE</v>
      </c>
      <c r="N55" s="6">
        <f t="array" ref="N55">IFERROR(INDEX($K$54:$K$103, MATCH(0,IF(ISTEXT($K$54:$K$103),1,COUNTIF($N$53:N54, $K$54:$K$103)), 0)),0)</f>
        <v>0</v>
      </c>
      <c r="O55" s="7">
        <f>COUNTIF($K$54:$K$103,N55)</f>
        <v>0</v>
      </c>
    </row>
    <row r="56" spans="7:15">
      <c r="G56" s="2">
        <v>3</v>
      </c>
      <c r="H56" s="2" t="str">
        <f t="shared" si="6"/>
        <v/>
      </c>
      <c r="I56" t="str">
        <f t="shared" si="7"/>
        <v/>
      </c>
      <c r="J56">
        <f t="shared" si="8"/>
        <v>0</v>
      </c>
      <c r="K56" t="str">
        <f t="shared" si="9"/>
        <v>COMPLETE</v>
      </c>
    </row>
    <row r="57" spans="7:15">
      <c r="G57" s="2">
        <v>4</v>
      </c>
      <c r="H57" s="2" t="str">
        <f t="shared" si="6"/>
        <v/>
      </c>
      <c r="I57" t="str">
        <f t="shared" si="7"/>
        <v/>
      </c>
      <c r="J57">
        <f t="shared" si="8"/>
        <v>0</v>
      </c>
      <c r="K57" t="str">
        <f t="shared" si="9"/>
        <v>COMPLETE</v>
      </c>
    </row>
    <row r="58" spans="7:15">
      <c r="G58" s="2">
        <v>5</v>
      </c>
      <c r="H58" s="2" t="str">
        <f t="shared" si="6"/>
        <v/>
      </c>
      <c r="I58" t="str">
        <f t="shared" si="7"/>
        <v/>
      </c>
      <c r="J58">
        <f t="shared" si="8"/>
        <v>0</v>
      </c>
      <c r="K58" t="str">
        <f t="shared" si="9"/>
        <v>COMPLETE</v>
      </c>
    </row>
    <row r="59" spans="7:15">
      <c r="G59" s="2">
        <v>6</v>
      </c>
      <c r="H59" s="2" t="str">
        <f t="shared" si="6"/>
        <v/>
      </c>
      <c r="I59" t="str">
        <f t="shared" si="7"/>
        <v/>
      </c>
      <c r="J59">
        <f t="shared" si="8"/>
        <v>0</v>
      </c>
      <c r="K59" t="str">
        <f t="shared" si="9"/>
        <v>COMPLETE</v>
      </c>
    </row>
    <row r="60" spans="7:15">
      <c r="G60" s="2">
        <v>7</v>
      </c>
      <c r="H60" s="2" t="str">
        <f t="shared" si="6"/>
        <v/>
      </c>
      <c r="I60" t="str">
        <f t="shared" si="7"/>
        <v/>
      </c>
      <c r="J60">
        <f t="shared" si="8"/>
        <v>0</v>
      </c>
      <c r="K60" t="str">
        <f t="shared" si="9"/>
        <v>COMPLETE</v>
      </c>
    </row>
    <row r="61" spans="7:15">
      <c r="G61" s="2">
        <v>8</v>
      </c>
      <c r="H61" s="2" t="str">
        <f t="shared" si="6"/>
        <v/>
      </c>
      <c r="I61" t="str">
        <f t="shared" si="7"/>
        <v/>
      </c>
      <c r="J61">
        <f t="shared" si="8"/>
        <v>0</v>
      </c>
      <c r="K61" t="str">
        <f t="shared" si="9"/>
        <v>COMPLETE</v>
      </c>
    </row>
    <row r="62" spans="7:15">
      <c r="G62" s="2">
        <v>9</v>
      </c>
      <c r="H62" s="2" t="str">
        <f t="shared" si="6"/>
        <v/>
      </c>
      <c r="I62" t="str">
        <f t="shared" si="7"/>
        <v/>
      </c>
      <c r="J62">
        <f t="shared" si="8"/>
        <v>0</v>
      </c>
      <c r="K62" t="str">
        <f t="shared" si="9"/>
        <v>COMPLETE</v>
      </c>
    </row>
    <row r="63" spans="7:15">
      <c r="G63" s="2">
        <v>10</v>
      </c>
      <c r="H63" s="2" t="str">
        <f t="shared" si="6"/>
        <v/>
      </c>
      <c r="I63" t="str">
        <f t="shared" si="7"/>
        <v/>
      </c>
      <c r="J63">
        <f t="shared" si="8"/>
        <v>0</v>
      </c>
      <c r="K63" t="str">
        <f t="shared" si="9"/>
        <v>COMPLETE</v>
      </c>
    </row>
    <row r="64" spans="7:15">
      <c r="G64" s="2">
        <v>11</v>
      </c>
      <c r="H64" s="2" t="str">
        <f t="shared" si="6"/>
        <v/>
      </c>
      <c r="I64" t="str">
        <f t="shared" si="7"/>
        <v/>
      </c>
      <c r="J64">
        <f t="shared" si="8"/>
        <v>0</v>
      </c>
      <c r="K64" t="str">
        <f t="shared" si="9"/>
        <v>COMPLETE</v>
      </c>
    </row>
    <row r="65" spans="7:11">
      <c r="G65" s="2">
        <v>12</v>
      </c>
      <c r="H65" s="2" t="str">
        <f t="shared" si="6"/>
        <v/>
      </c>
      <c r="I65" t="str">
        <f t="shared" si="7"/>
        <v/>
      </c>
      <c r="J65">
        <f t="shared" si="8"/>
        <v>0</v>
      </c>
      <c r="K65" t="str">
        <f t="shared" si="9"/>
        <v>COMPLETE</v>
      </c>
    </row>
    <row r="66" spans="7:11">
      <c r="G66" s="2">
        <v>13</v>
      </c>
      <c r="H66" s="2" t="str">
        <f t="shared" si="6"/>
        <v/>
      </c>
      <c r="I66" t="str">
        <f t="shared" si="7"/>
        <v/>
      </c>
      <c r="J66">
        <f t="shared" si="8"/>
        <v>0</v>
      </c>
      <c r="K66" t="str">
        <f t="shared" si="9"/>
        <v>COMPLETE</v>
      </c>
    </row>
    <row r="67" spans="7:11">
      <c r="G67" s="2">
        <v>14</v>
      </c>
      <c r="H67" s="2" t="str">
        <f t="shared" si="6"/>
        <v/>
      </c>
      <c r="I67" t="str">
        <f t="shared" si="7"/>
        <v/>
      </c>
      <c r="J67">
        <f t="shared" si="8"/>
        <v>0</v>
      </c>
      <c r="K67" t="str">
        <f t="shared" si="9"/>
        <v>COMPLETE</v>
      </c>
    </row>
    <row r="68" spans="7:11">
      <c r="G68" s="2">
        <v>15</v>
      </c>
      <c r="H68" s="2" t="str">
        <f t="shared" si="6"/>
        <v/>
      </c>
      <c r="I68" t="str">
        <f t="shared" si="7"/>
        <v/>
      </c>
      <c r="J68">
        <f t="shared" si="8"/>
        <v>0</v>
      </c>
      <c r="K68" t="str">
        <f t="shared" si="9"/>
        <v>COMPLETE</v>
      </c>
    </row>
    <row r="69" spans="7:11">
      <c r="G69" s="2">
        <v>16</v>
      </c>
      <c r="H69" s="2" t="str">
        <f t="shared" si="6"/>
        <v/>
      </c>
      <c r="I69" t="str">
        <f t="shared" si="7"/>
        <v/>
      </c>
      <c r="J69">
        <f t="shared" si="8"/>
        <v>0</v>
      </c>
      <c r="K69" t="str">
        <f t="shared" si="9"/>
        <v>COMPLETE</v>
      </c>
    </row>
    <row r="70" spans="7:11">
      <c r="G70" s="2">
        <v>17</v>
      </c>
      <c r="H70" s="2" t="str">
        <f t="shared" si="6"/>
        <v/>
      </c>
      <c r="I70" t="str">
        <f t="shared" si="7"/>
        <v/>
      </c>
      <c r="J70">
        <f t="shared" si="8"/>
        <v>0</v>
      </c>
      <c r="K70" t="str">
        <f t="shared" si="9"/>
        <v>COMPLETE</v>
      </c>
    </row>
    <row r="71" spans="7:11">
      <c r="G71" s="2">
        <v>18</v>
      </c>
      <c r="H71" s="2" t="str">
        <f t="shared" si="6"/>
        <v/>
      </c>
      <c r="I71" t="str">
        <f t="shared" si="7"/>
        <v/>
      </c>
      <c r="J71">
        <f t="shared" si="8"/>
        <v>0</v>
      </c>
      <c r="K71" t="str">
        <f t="shared" si="9"/>
        <v>COMPLETE</v>
      </c>
    </row>
    <row r="72" spans="7:11">
      <c r="G72" s="2">
        <v>19</v>
      </c>
      <c r="H72" s="2" t="str">
        <f t="shared" si="6"/>
        <v/>
      </c>
      <c r="I72" t="str">
        <f t="shared" si="7"/>
        <v/>
      </c>
      <c r="J72">
        <f t="shared" si="8"/>
        <v>0</v>
      </c>
      <c r="K72" t="str">
        <f t="shared" si="9"/>
        <v>COMPLETE</v>
      </c>
    </row>
    <row r="73" spans="7:11">
      <c r="G73" s="2">
        <v>20</v>
      </c>
      <c r="H73" s="2" t="str">
        <f t="shared" si="6"/>
        <v/>
      </c>
      <c r="I73" t="str">
        <f t="shared" si="7"/>
        <v/>
      </c>
      <c r="J73">
        <f t="shared" si="8"/>
        <v>0</v>
      </c>
      <c r="K73" t="str">
        <f t="shared" si="9"/>
        <v>COMPLETE</v>
      </c>
    </row>
    <row r="74" spans="7:11">
      <c r="G74" s="2">
        <v>21</v>
      </c>
      <c r="H74" s="2" t="str">
        <f t="shared" si="6"/>
        <v/>
      </c>
      <c r="I74" t="str">
        <f t="shared" si="7"/>
        <v/>
      </c>
      <c r="J74">
        <f t="shared" si="8"/>
        <v>0</v>
      </c>
      <c r="K74" t="str">
        <f t="shared" si="9"/>
        <v>COMPLETE</v>
      </c>
    </row>
    <row r="75" spans="7:11">
      <c r="G75" s="2">
        <v>22</v>
      </c>
      <c r="H75" s="2" t="str">
        <f t="shared" si="6"/>
        <v/>
      </c>
      <c r="I75" t="str">
        <f t="shared" si="7"/>
        <v/>
      </c>
      <c r="J75">
        <f t="shared" si="8"/>
        <v>0</v>
      </c>
      <c r="K75" t="str">
        <f t="shared" si="9"/>
        <v>COMPLETE</v>
      </c>
    </row>
    <row r="76" spans="7:11">
      <c r="G76" s="2">
        <v>23</v>
      </c>
      <c r="H76" s="2" t="str">
        <f t="shared" si="6"/>
        <v/>
      </c>
      <c r="I76" t="str">
        <f t="shared" si="7"/>
        <v/>
      </c>
      <c r="J76">
        <f t="shared" si="8"/>
        <v>0</v>
      </c>
      <c r="K76" t="str">
        <f t="shared" si="9"/>
        <v>COMPLETE</v>
      </c>
    </row>
    <row r="77" spans="7:11">
      <c r="G77" s="2">
        <v>24</v>
      </c>
      <c r="H77" s="2" t="str">
        <f t="shared" si="6"/>
        <v/>
      </c>
      <c r="I77" t="str">
        <f t="shared" si="7"/>
        <v/>
      </c>
      <c r="J77">
        <f t="shared" si="8"/>
        <v>0</v>
      </c>
      <c r="K77" t="str">
        <f t="shared" si="9"/>
        <v>COMPLETE</v>
      </c>
    </row>
    <row r="78" spans="7:11">
      <c r="G78" s="2">
        <v>25</v>
      </c>
      <c r="H78" s="2" t="str">
        <f t="shared" si="6"/>
        <v/>
      </c>
      <c r="I78" t="str">
        <f t="shared" si="7"/>
        <v/>
      </c>
      <c r="J78">
        <f t="shared" si="8"/>
        <v>0</v>
      </c>
      <c r="K78" t="str">
        <f t="shared" si="9"/>
        <v>COMPLETE</v>
      </c>
    </row>
    <row r="79" spans="7:11">
      <c r="G79" s="2">
        <v>26</v>
      </c>
      <c r="H79" s="2" t="str">
        <f t="shared" si="6"/>
        <v/>
      </c>
      <c r="I79" t="str">
        <f t="shared" si="7"/>
        <v/>
      </c>
      <c r="J79">
        <f t="shared" si="8"/>
        <v>0</v>
      </c>
      <c r="K79" t="str">
        <f t="shared" si="9"/>
        <v>COMPLETE</v>
      </c>
    </row>
    <row r="80" spans="7:11">
      <c r="G80" s="2">
        <v>27</v>
      </c>
      <c r="H80" s="2" t="str">
        <f t="shared" si="6"/>
        <v/>
      </c>
      <c r="I80" t="str">
        <f t="shared" si="7"/>
        <v/>
      </c>
      <c r="J80">
        <f t="shared" si="8"/>
        <v>0</v>
      </c>
      <c r="K80" t="str">
        <f t="shared" si="9"/>
        <v>COMPLETE</v>
      </c>
    </row>
    <row r="81" spans="7:11">
      <c r="G81" s="2">
        <v>28</v>
      </c>
      <c r="H81" s="2" t="str">
        <f t="shared" si="6"/>
        <v/>
      </c>
      <c r="I81" t="str">
        <f t="shared" si="7"/>
        <v/>
      </c>
      <c r="J81">
        <f t="shared" si="8"/>
        <v>0</v>
      </c>
      <c r="K81" t="str">
        <f t="shared" si="9"/>
        <v>COMPLETE</v>
      </c>
    </row>
    <row r="82" spans="7:11">
      <c r="G82" s="2">
        <v>29</v>
      </c>
      <c r="H82" s="2" t="str">
        <f t="shared" si="6"/>
        <v/>
      </c>
      <c r="I82" t="str">
        <f t="shared" si="7"/>
        <v/>
      </c>
      <c r="J82">
        <f t="shared" si="8"/>
        <v>0</v>
      </c>
      <c r="K82" t="str">
        <f t="shared" si="9"/>
        <v>COMPLETE</v>
      </c>
    </row>
    <row r="83" spans="7:11">
      <c r="G83" s="2">
        <v>30</v>
      </c>
      <c r="H83" s="2" t="str">
        <f t="shared" si="6"/>
        <v/>
      </c>
      <c r="I83" t="str">
        <f t="shared" si="7"/>
        <v/>
      </c>
      <c r="J83">
        <f t="shared" si="8"/>
        <v>0</v>
      </c>
      <c r="K83" t="str">
        <f t="shared" si="9"/>
        <v>COMPLETE</v>
      </c>
    </row>
    <row r="84" spans="7:11">
      <c r="G84" s="2">
        <v>31</v>
      </c>
      <c r="H84" s="2" t="str">
        <f t="shared" si="6"/>
        <v/>
      </c>
      <c r="I84" t="str">
        <f t="shared" si="7"/>
        <v/>
      </c>
      <c r="J84">
        <f t="shared" si="8"/>
        <v>0</v>
      </c>
      <c r="K84" t="str">
        <f t="shared" si="9"/>
        <v>COMPLETE</v>
      </c>
    </row>
    <row r="85" spans="7:11">
      <c r="G85" s="2">
        <v>32</v>
      </c>
      <c r="H85" s="2" t="str">
        <f t="shared" si="6"/>
        <v/>
      </c>
      <c r="I85" t="str">
        <f t="shared" si="7"/>
        <v/>
      </c>
      <c r="J85">
        <f t="shared" si="8"/>
        <v>0</v>
      </c>
      <c r="K85" t="str">
        <f t="shared" si="9"/>
        <v>COMPLETE</v>
      </c>
    </row>
    <row r="86" spans="7:11">
      <c r="G86" s="2">
        <v>33</v>
      </c>
      <c r="H86" s="2" t="str">
        <f t="shared" si="6"/>
        <v/>
      </c>
      <c r="I86" t="str">
        <f t="shared" si="7"/>
        <v/>
      </c>
      <c r="J86">
        <f t="shared" si="8"/>
        <v>0</v>
      </c>
      <c r="K86" t="str">
        <f t="shared" si="9"/>
        <v>COMPLETE</v>
      </c>
    </row>
    <row r="87" spans="7:11">
      <c r="G87" s="2">
        <v>34</v>
      </c>
      <c r="H87" s="2" t="str">
        <f t="shared" si="6"/>
        <v/>
      </c>
      <c r="I87" t="str">
        <f t="shared" si="7"/>
        <v/>
      </c>
      <c r="J87">
        <f t="shared" si="8"/>
        <v>0</v>
      </c>
      <c r="K87" t="str">
        <f t="shared" si="9"/>
        <v>COMPLETE</v>
      </c>
    </row>
    <row r="88" spans="7:11">
      <c r="G88" s="2">
        <v>35</v>
      </c>
      <c r="H88" s="2" t="str">
        <f t="shared" si="6"/>
        <v/>
      </c>
      <c r="I88" t="str">
        <f t="shared" si="7"/>
        <v/>
      </c>
      <c r="J88">
        <f t="shared" si="8"/>
        <v>0</v>
      </c>
      <c r="K88" t="str">
        <f t="shared" si="9"/>
        <v>COMPLETE</v>
      </c>
    </row>
    <row r="89" spans="7:11">
      <c r="G89" s="2">
        <v>36</v>
      </c>
      <c r="H89" s="2" t="str">
        <f t="shared" si="6"/>
        <v/>
      </c>
      <c r="I89" t="str">
        <f t="shared" si="7"/>
        <v/>
      </c>
      <c r="J89">
        <f t="shared" si="8"/>
        <v>0</v>
      </c>
      <c r="K89" t="str">
        <f t="shared" si="9"/>
        <v>COMPLETE</v>
      </c>
    </row>
    <row r="90" spans="7:11">
      <c r="G90" s="2">
        <v>37</v>
      </c>
      <c r="H90" s="2" t="str">
        <f t="shared" si="6"/>
        <v/>
      </c>
      <c r="I90" t="str">
        <f t="shared" si="7"/>
        <v/>
      </c>
      <c r="J90">
        <f t="shared" si="8"/>
        <v>0</v>
      </c>
      <c r="K90" t="str">
        <f t="shared" si="9"/>
        <v>COMPLETE</v>
      </c>
    </row>
    <row r="91" spans="7:11">
      <c r="G91" s="2">
        <v>38</v>
      </c>
      <c r="H91" s="2" t="str">
        <f t="shared" si="6"/>
        <v/>
      </c>
      <c r="I91" t="str">
        <f t="shared" si="7"/>
        <v/>
      </c>
      <c r="J91">
        <f t="shared" si="8"/>
        <v>0</v>
      </c>
      <c r="K91" t="str">
        <f t="shared" si="9"/>
        <v>COMPLETE</v>
      </c>
    </row>
    <row r="92" spans="7:11">
      <c r="G92" s="2">
        <v>39</v>
      </c>
      <c r="H92" s="2" t="str">
        <f t="shared" si="6"/>
        <v/>
      </c>
      <c r="I92" t="str">
        <f t="shared" si="7"/>
        <v/>
      </c>
      <c r="J92">
        <f t="shared" si="8"/>
        <v>0</v>
      </c>
      <c r="K92" t="str">
        <f t="shared" si="9"/>
        <v>COMPLETE</v>
      </c>
    </row>
    <row r="93" spans="7:11">
      <c r="G93" s="2">
        <v>40</v>
      </c>
      <c r="H93" s="2" t="str">
        <f t="shared" si="6"/>
        <v/>
      </c>
      <c r="I93" t="str">
        <f t="shared" si="7"/>
        <v/>
      </c>
      <c r="J93">
        <f t="shared" si="8"/>
        <v>0</v>
      </c>
      <c r="K93" t="str">
        <f t="shared" si="9"/>
        <v>COMPLETE</v>
      </c>
    </row>
    <row r="94" spans="7:11">
      <c r="G94" s="2">
        <v>41</v>
      </c>
      <c r="H94" s="2" t="str">
        <f t="shared" si="6"/>
        <v/>
      </c>
      <c r="I94" t="str">
        <f t="shared" si="7"/>
        <v/>
      </c>
      <c r="J94">
        <f t="shared" si="8"/>
        <v>0</v>
      </c>
      <c r="K94" t="str">
        <f t="shared" si="9"/>
        <v>COMPLETE</v>
      </c>
    </row>
    <row r="95" spans="7:11">
      <c r="G95" s="2">
        <v>42</v>
      </c>
      <c r="H95" s="2" t="str">
        <f t="shared" si="6"/>
        <v/>
      </c>
      <c r="I95" t="str">
        <f t="shared" si="7"/>
        <v/>
      </c>
      <c r="J95">
        <f t="shared" si="8"/>
        <v>0</v>
      </c>
      <c r="K95" t="str">
        <f t="shared" si="9"/>
        <v>COMPLETE</v>
      </c>
    </row>
    <row r="96" spans="7:11">
      <c r="G96" s="2">
        <v>43</v>
      </c>
      <c r="H96" s="2" t="str">
        <f t="shared" si="6"/>
        <v/>
      </c>
      <c r="I96" t="str">
        <f t="shared" si="7"/>
        <v/>
      </c>
      <c r="J96">
        <f t="shared" si="8"/>
        <v>0</v>
      </c>
      <c r="K96" t="str">
        <f t="shared" si="9"/>
        <v>COMPLETE</v>
      </c>
    </row>
    <row r="97" spans="7:15">
      <c r="G97" s="2">
        <v>44</v>
      </c>
      <c r="H97" s="2" t="str">
        <f t="shared" si="6"/>
        <v/>
      </c>
      <c r="I97" t="str">
        <f t="shared" si="7"/>
        <v/>
      </c>
      <c r="J97">
        <f t="shared" si="8"/>
        <v>0</v>
      </c>
      <c r="K97" t="str">
        <f t="shared" si="9"/>
        <v>COMPLETE</v>
      </c>
    </row>
    <row r="98" spans="7:15">
      <c r="G98" s="2">
        <v>45</v>
      </c>
      <c r="H98" s="2" t="str">
        <f t="shared" si="6"/>
        <v/>
      </c>
      <c r="I98" t="str">
        <f t="shared" si="7"/>
        <v/>
      </c>
      <c r="J98">
        <f t="shared" si="8"/>
        <v>0</v>
      </c>
      <c r="K98" t="str">
        <f t="shared" si="9"/>
        <v>COMPLETE</v>
      </c>
    </row>
    <row r="99" spans="7:15">
      <c r="G99" s="2">
        <v>46</v>
      </c>
      <c r="H99" s="2" t="str">
        <f t="shared" si="6"/>
        <v/>
      </c>
      <c r="I99" t="str">
        <f t="shared" si="7"/>
        <v/>
      </c>
      <c r="J99">
        <f t="shared" si="8"/>
        <v>0</v>
      </c>
      <c r="K99" t="str">
        <f t="shared" si="9"/>
        <v>COMPLETE</v>
      </c>
    </row>
    <row r="100" spans="7:15">
      <c r="G100" s="2">
        <v>47</v>
      </c>
      <c r="H100" s="2" t="str">
        <f t="shared" si="6"/>
        <v/>
      </c>
      <c r="I100" t="str">
        <f t="shared" si="7"/>
        <v/>
      </c>
      <c r="J100">
        <f t="shared" si="8"/>
        <v>0</v>
      </c>
      <c r="K100" t="str">
        <f t="shared" si="9"/>
        <v>COMPLETE</v>
      </c>
    </row>
    <row r="101" spans="7:15">
      <c r="G101" s="2">
        <v>48</v>
      </c>
      <c r="H101" s="2" t="str">
        <f t="shared" si="6"/>
        <v/>
      </c>
      <c r="I101" t="str">
        <f t="shared" si="7"/>
        <v/>
      </c>
      <c r="J101">
        <f t="shared" si="8"/>
        <v>0</v>
      </c>
      <c r="K101" t="str">
        <f t="shared" si="9"/>
        <v>COMPLETE</v>
      </c>
    </row>
    <row r="102" spans="7:15">
      <c r="G102" s="2">
        <v>49</v>
      </c>
      <c r="H102" s="2" t="str">
        <f t="shared" si="6"/>
        <v/>
      </c>
      <c r="I102" t="str">
        <f t="shared" si="7"/>
        <v/>
      </c>
      <c r="J102">
        <f t="shared" si="8"/>
        <v>0</v>
      </c>
      <c r="K102" t="str">
        <f t="shared" si="9"/>
        <v>COMPLETE</v>
      </c>
    </row>
    <row r="103" spans="7:15">
      <c r="G103" s="2">
        <v>50</v>
      </c>
      <c r="H103" s="2" t="str">
        <f t="shared" si="6"/>
        <v/>
      </c>
      <c r="I103" t="str">
        <f t="shared" si="7"/>
        <v/>
      </c>
      <c r="J103">
        <f t="shared" si="8"/>
        <v>0</v>
      </c>
      <c r="K103" t="str">
        <f t="shared" si="9"/>
        <v>COMPLETE</v>
      </c>
    </row>
    <row r="104" spans="7:15">
      <c r="G104" s="2"/>
      <c r="H104" s="2"/>
      <c r="I104">
        <f>MIN(I53:I103)</f>
        <v>167</v>
      </c>
      <c r="J104">
        <f>MAX(J53:J103)</f>
        <v>0</v>
      </c>
      <c r="N104" s="5" t="s">
        <v>1</v>
      </c>
    </row>
    <row r="105" spans="7:15" ht="19.5">
      <c r="G105" s="1">
        <v>1</v>
      </c>
      <c r="H105" s="1" t="str">
        <f>IF($C$5&gt;=G105,$B$5,"")</f>
        <v/>
      </c>
      <c r="I105">
        <f>IF(H105&lt;&gt;"",I104-H105,I104)</f>
        <v>167</v>
      </c>
      <c r="J105">
        <f>IF(I105&lt;0,J104+1,IF(I105="",0,J104))</f>
        <v>0</v>
      </c>
      <c r="K105" t="str">
        <f>IF(J105=1,-I105,IF(J105&gt;1,H105,IF((J105=0),"COMPLETE")))</f>
        <v>COMPLETE</v>
      </c>
      <c r="N105" s="6">
        <f t="array" ref="N105">IFERROR(INDEX($K$105:$K$154, MATCH(0,IF(ISTEXT($K$105:$K$154),1,COUNTIF($N$104:N104, $K$105:$K$154)), 0)),0)</f>
        <v>0</v>
      </c>
      <c r="O105" s="7">
        <f>COUNTIF($K$105:$K$154,N105)</f>
        <v>0</v>
      </c>
    </row>
    <row r="106" spans="7:15" ht="19.5">
      <c r="G106" s="1">
        <v>2</v>
      </c>
      <c r="H106" s="1" t="str">
        <f t="shared" ref="H106:H154" si="10">IF($C$5&gt;=G106,$B$5,"")</f>
        <v/>
      </c>
      <c r="I106" t="str">
        <f t="shared" ref="I106:I154" si="11">IF(H106&lt;&gt;"",I105-H106,"")</f>
        <v/>
      </c>
      <c r="J106">
        <f t="shared" ref="J106:J154" si="12">IF(I106&lt;0,J105+1,IF(I106="",0,J105))</f>
        <v>0</v>
      </c>
      <c r="K106" t="str">
        <f t="shared" ref="K106:K154" si="13">IF(J106=1,-I106,IF(J106&gt;1,H106,IF((J106=0),"COMPLETE")))</f>
        <v>COMPLETE</v>
      </c>
      <c r="N106" s="6">
        <f t="array" ref="N106">IFERROR(INDEX($K$105:$K$154, MATCH(0,IF(ISTEXT($K$105:$K$154),1,COUNTIF($N$104:N105, $K$105:$K$154)), 0)),0)</f>
        <v>0</v>
      </c>
      <c r="O106" s="7">
        <f>COUNTIF($K$105:$K$154,N106)</f>
        <v>0</v>
      </c>
    </row>
    <row r="107" spans="7:15">
      <c r="G107" s="2">
        <v>3</v>
      </c>
      <c r="H107" s="2" t="str">
        <f t="shared" si="10"/>
        <v/>
      </c>
      <c r="I107" t="str">
        <f t="shared" si="11"/>
        <v/>
      </c>
      <c r="J107">
        <f t="shared" si="12"/>
        <v>0</v>
      </c>
      <c r="K107" t="str">
        <f t="shared" si="13"/>
        <v>COMPLETE</v>
      </c>
    </row>
    <row r="108" spans="7:15">
      <c r="G108" s="2">
        <v>4</v>
      </c>
      <c r="H108" s="2" t="str">
        <f t="shared" si="10"/>
        <v/>
      </c>
      <c r="I108" t="str">
        <f t="shared" si="11"/>
        <v/>
      </c>
      <c r="J108">
        <f t="shared" si="12"/>
        <v>0</v>
      </c>
      <c r="K108" t="str">
        <f t="shared" si="13"/>
        <v>COMPLETE</v>
      </c>
    </row>
    <row r="109" spans="7:15">
      <c r="G109" s="2">
        <v>5</v>
      </c>
      <c r="H109" s="2" t="str">
        <f t="shared" si="10"/>
        <v/>
      </c>
      <c r="I109" t="str">
        <f t="shared" si="11"/>
        <v/>
      </c>
      <c r="J109">
        <f t="shared" si="12"/>
        <v>0</v>
      </c>
      <c r="K109" t="str">
        <f t="shared" si="13"/>
        <v>COMPLETE</v>
      </c>
    </row>
    <row r="110" spans="7:15">
      <c r="G110" s="2">
        <v>6</v>
      </c>
      <c r="H110" s="2" t="str">
        <f t="shared" si="10"/>
        <v/>
      </c>
      <c r="I110" t="str">
        <f t="shared" si="11"/>
        <v/>
      </c>
      <c r="J110">
        <f t="shared" si="12"/>
        <v>0</v>
      </c>
      <c r="K110" t="str">
        <f t="shared" si="13"/>
        <v>COMPLETE</v>
      </c>
    </row>
    <row r="111" spans="7:15">
      <c r="G111" s="2">
        <v>7</v>
      </c>
      <c r="H111" s="2" t="str">
        <f t="shared" si="10"/>
        <v/>
      </c>
      <c r="I111" t="str">
        <f t="shared" si="11"/>
        <v/>
      </c>
      <c r="J111">
        <f t="shared" si="12"/>
        <v>0</v>
      </c>
      <c r="K111" t="str">
        <f t="shared" si="13"/>
        <v>COMPLETE</v>
      </c>
    </row>
    <row r="112" spans="7:15">
      <c r="G112" s="2">
        <v>8</v>
      </c>
      <c r="H112" s="2" t="str">
        <f t="shared" si="10"/>
        <v/>
      </c>
      <c r="I112" t="str">
        <f t="shared" si="11"/>
        <v/>
      </c>
      <c r="J112">
        <f t="shared" si="12"/>
        <v>0</v>
      </c>
      <c r="K112" t="str">
        <f t="shared" si="13"/>
        <v>COMPLETE</v>
      </c>
    </row>
    <row r="113" spans="7:11">
      <c r="G113" s="2">
        <v>9</v>
      </c>
      <c r="H113" s="2" t="str">
        <f t="shared" si="10"/>
        <v/>
      </c>
      <c r="I113" t="str">
        <f t="shared" si="11"/>
        <v/>
      </c>
      <c r="J113">
        <f t="shared" si="12"/>
        <v>0</v>
      </c>
      <c r="K113" t="str">
        <f t="shared" si="13"/>
        <v>COMPLETE</v>
      </c>
    </row>
    <row r="114" spans="7:11">
      <c r="G114" s="2">
        <v>10</v>
      </c>
      <c r="H114" s="2" t="str">
        <f t="shared" si="10"/>
        <v/>
      </c>
      <c r="I114" t="str">
        <f t="shared" si="11"/>
        <v/>
      </c>
      <c r="J114">
        <f t="shared" si="12"/>
        <v>0</v>
      </c>
      <c r="K114" t="str">
        <f t="shared" si="13"/>
        <v>COMPLETE</v>
      </c>
    </row>
    <row r="115" spans="7:11">
      <c r="G115" s="2">
        <v>11</v>
      </c>
      <c r="H115" s="2" t="str">
        <f t="shared" si="10"/>
        <v/>
      </c>
      <c r="I115" t="str">
        <f t="shared" si="11"/>
        <v/>
      </c>
      <c r="J115">
        <f t="shared" si="12"/>
        <v>0</v>
      </c>
      <c r="K115" t="str">
        <f t="shared" si="13"/>
        <v>COMPLETE</v>
      </c>
    </row>
    <row r="116" spans="7:11">
      <c r="G116" s="2">
        <v>12</v>
      </c>
      <c r="H116" s="2" t="str">
        <f t="shared" si="10"/>
        <v/>
      </c>
      <c r="I116" t="str">
        <f t="shared" si="11"/>
        <v/>
      </c>
      <c r="J116">
        <f t="shared" si="12"/>
        <v>0</v>
      </c>
      <c r="K116" t="str">
        <f t="shared" si="13"/>
        <v>COMPLETE</v>
      </c>
    </row>
    <row r="117" spans="7:11">
      <c r="G117" s="2">
        <v>13</v>
      </c>
      <c r="H117" s="2" t="str">
        <f t="shared" si="10"/>
        <v/>
      </c>
      <c r="I117" t="str">
        <f t="shared" si="11"/>
        <v/>
      </c>
      <c r="J117">
        <f t="shared" si="12"/>
        <v>0</v>
      </c>
      <c r="K117" t="str">
        <f t="shared" si="13"/>
        <v>COMPLETE</v>
      </c>
    </row>
    <row r="118" spans="7:11">
      <c r="G118" s="2">
        <v>14</v>
      </c>
      <c r="H118" s="2" t="str">
        <f t="shared" si="10"/>
        <v/>
      </c>
      <c r="I118" t="str">
        <f t="shared" si="11"/>
        <v/>
      </c>
      <c r="J118">
        <f t="shared" si="12"/>
        <v>0</v>
      </c>
      <c r="K118" t="str">
        <f t="shared" si="13"/>
        <v>COMPLETE</v>
      </c>
    </row>
    <row r="119" spans="7:11">
      <c r="G119" s="2">
        <v>15</v>
      </c>
      <c r="H119" s="2" t="str">
        <f t="shared" si="10"/>
        <v/>
      </c>
      <c r="I119" t="str">
        <f t="shared" si="11"/>
        <v/>
      </c>
      <c r="J119">
        <f t="shared" si="12"/>
        <v>0</v>
      </c>
      <c r="K119" t="str">
        <f t="shared" si="13"/>
        <v>COMPLETE</v>
      </c>
    </row>
    <row r="120" spans="7:11">
      <c r="G120" s="2">
        <v>16</v>
      </c>
      <c r="H120" s="2" t="str">
        <f t="shared" si="10"/>
        <v/>
      </c>
      <c r="I120" t="str">
        <f t="shared" si="11"/>
        <v/>
      </c>
      <c r="J120">
        <f t="shared" si="12"/>
        <v>0</v>
      </c>
      <c r="K120" t="str">
        <f t="shared" si="13"/>
        <v>COMPLETE</v>
      </c>
    </row>
    <row r="121" spans="7:11">
      <c r="G121" s="2">
        <v>17</v>
      </c>
      <c r="H121" s="2" t="str">
        <f t="shared" si="10"/>
        <v/>
      </c>
      <c r="I121" t="str">
        <f t="shared" si="11"/>
        <v/>
      </c>
      <c r="J121">
        <f t="shared" si="12"/>
        <v>0</v>
      </c>
      <c r="K121" t="str">
        <f t="shared" si="13"/>
        <v>COMPLETE</v>
      </c>
    </row>
    <row r="122" spans="7:11">
      <c r="G122" s="2">
        <v>18</v>
      </c>
      <c r="H122" s="2" t="str">
        <f t="shared" si="10"/>
        <v/>
      </c>
      <c r="I122" t="str">
        <f t="shared" si="11"/>
        <v/>
      </c>
      <c r="J122">
        <f t="shared" si="12"/>
        <v>0</v>
      </c>
      <c r="K122" t="str">
        <f t="shared" si="13"/>
        <v>COMPLETE</v>
      </c>
    </row>
    <row r="123" spans="7:11">
      <c r="G123" s="2">
        <v>19</v>
      </c>
      <c r="H123" s="2" t="str">
        <f t="shared" si="10"/>
        <v/>
      </c>
      <c r="I123" t="str">
        <f t="shared" si="11"/>
        <v/>
      </c>
      <c r="J123">
        <f t="shared" si="12"/>
        <v>0</v>
      </c>
      <c r="K123" t="str">
        <f t="shared" si="13"/>
        <v>COMPLETE</v>
      </c>
    </row>
    <row r="124" spans="7:11">
      <c r="G124" s="2">
        <v>20</v>
      </c>
      <c r="H124" s="2" t="str">
        <f t="shared" si="10"/>
        <v/>
      </c>
      <c r="I124" t="str">
        <f t="shared" si="11"/>
        <v/>
      </c>
      <c r="J124">
        <f t="shared" si="12"/>
        <v>0</v>
      </c>
      <c r="K124" t="str">
        <f t="shared" si="13"/>
        <v>COMPLETE</v>
      </c>
    </row>
    <row r="125" spans="7:11">
      <c r="G125" s="2">
        <v>21</v>
      </c>
      <c r="H125" s="2" t="str">
        <f t="shared" si="10"/>
        <v/>
      </c>
      <c r="I125" t="str">
        <f t="shared" si="11"/>
        <v/>
      </c>
      <c r="J125">
        <f t="shared" si="12"/>
        <v>0</v>
      </c>
      <c r="K125" t="str">
        <f t="shared" si="13"/>
        <v>COMPLETE</v>
      </c>
    </row>
    <row r="126" spans="7:11">
      <c r="G126" s="2">
        <v>22</v>
      </c>
      <c r="H126" s="2" t="str">
        <f t="shared" si="10"/>
        <v/>
      </c>
      <c r="I126" t="str">
        <f t="shared" si="11"/>
        <v/>
      </c>
      <c r="J126">
        <f t="shared" si="12"/>
        <v>0</v>
      </c>
      <c r="K126" t="str">
        <f t="shared" si="13"/>
        <v>COMPLETE</v>
      </c>
    </row>
    <row r="127" spans="7:11">
      <c r="G127" s="2">
        <v>23</v>
      </c>
      <c r="H127" s="2" t="str">
        <f t="shared" si="10"/>
        <v/>
      </c>
      <c r="I127" t="str">
        <f t="shared" si="11"/>
        <v/>
      </c>
      <c r="J127">
        <f t="shared" si="12"/>
        <v>0</v>
      </c>
      <c r="K127" t="str">
        <f t="shared" si="13"/>
        <v>COMPLETE</v>
      </c>
    </row>
    <row r="128" spans="7:11">
      <c r="G128" s="2">
        <v>24</v>
      </c>
      <c r="H128" s="2" t="str">
        <f t="shared" si="10"/>
        <v/>
      </c>
      <c r="I128" t="str">
        <f t="shared" si="11"/>
        <v/>
      </c>
      <c r="J128">
        <f t="shared" si="12"/>
        <v>0</v>
      </c>
      <c r="K128" t="str">
        <f t="shared" si="13"/>
        <v>COMPLETE</v>
      </c>
    </row>
    <row r="129" spans="7:11">
      <c r="G129" s="2">
        <v>25</v>
      </c>
      <c r="H129" s="2" t="str">
        <f t="shared" si="10"/>
        <v/>
      </c>
      <c r="I129" t="str">
        <f t="shared" si="11"/>
        <v/>
      </c>
      <c r="J129">
        <f t="shared" si="12"/>
        <v>0</v>
      </c>
      <c r="K129" t="str">
        <f t="shared" si="13"/>
        <v>COMPLETE</v>
      </c>
    </row>
    <row r="130" spans="7:11">
      <c r="G130" s="2">
        <v>26</v>
      </c>
      <c r="H130" s="2" t="str">
        <f t="shared" si="10"/>
        <v/>
      </c>
      <c r="I130" t="str">
        <f t="shared" si="11"/>
        <v/>
      </c>
      <c r="J130">
        <f t="shared" si="12"/>
        <v>0</v>
      </c>
      <c r="K130" t="str">
        <f t="shared" si="13"/>
        <v>COMPLETE</v>
      </c>
    </row>
    <row r="131" spans="7:11">
      <c r="G131" s="2">
        <v>27</v>
      </c>
      <c r="H131" s="2" t="str">
        <f t="shared" si="10"/>
        <v/>
      </c>
      <c r="I131" t="str">
        <f t="shared" si="11"/>
        <v/>
      </c>
      <c r="J131">
        <f t="shared" si="12"/>
        <v>0</v>
      </c>
      <c r="K131" t="str">
        <f t="shared" si="13"/>
        <v>COMPLETE</v>
      </c>
    </row>
    <row r="132" spans="7:11">
      <c r="G132" s="2">
        <v>28</v>
      </c>
      <c r="H132" s="2" t="str">
        <f t="shared" si="10"/>
        <v/>
      </c>
      <c r="I132" t="str">
        <f t="shared" si="11"/>
        <v/>
      </c>
      <c r="J132">
        <f t="shared" si="12"/>
        <v>0</v>
      </c>
      <c r="K132" t="str">
        <f t="shared" si="13"/>
        <v>COMPLETE</v>
      </c>
    </row>
    <row r="133" spans="7:11">
      <c r="G133" s="2">
        <v>29</v>
      </c>
      <c r="H133" s="2" t="str">
        <f t="shared" si="10"/>
        <v/>
      </c>
      <c r="I133" t="str">
        <f t="shared" si="11"/>
        <v/>
      </c>
      <c r="J133">
        <f t="shared" si="12"/>
        <v>0</v>
      </c>
      <c r="K133" t="str">
        <f t="shared" si="13"/>
        <v>COMPLETE</v>
      </c>
    </row>
    <row r="134" spans="7:11">
      <c r="G134" s="2">
        <v>30</v>
      </c>
      <c r="H134" s="2" t="str">
        <f t="shared" si="10"/>
        <v/>
      </c>
      <c r="I134" t="str">
        <f t="shared" si="11"/>
        <v/>
      </c>
      <c r="J134">
        <f t="shared" si="12"/>
        <v>0</v>
      </c>
      <c r="K134" t="str">
        <f t="shared" si="13"/>
        <v>COMPLETE</v>
      </c>
    </row>
    <row r="135" spans="7:11">
      <c r="G135" s="2">
        <v>31</v>
      </c>
      <c r="H135" s="2" t="str">
        <f t="shared" si="10"/>
        <v/>
      </c>
      <c r="I135" t="str">
        <f t="shared" si="11"/>
        <v/>
      </c>
      <c r="J135">
        <f t="shared" si="12"/>
        <v>0</v>
      </c>
      <c r="K135" t="str">
        <f t="shared" si="13"/>
        <v>COMPLETE</v>
      </c>
    </row>
    <row r="136" spans="7:11">
      <c r="G136" s="2">
        <v>32</v>
      </c>
      <c r="H136" s="2" t="str">
        <f t="shared" si="10"/>
        <v/>
      </c>
      <c r="I136" t="str">
        <f t="shared" si="11"/>
        <v/>
      </c>
      <c r="J136">
        <f t="shared" si="12"/>
        <v>0</v>
      </c>
      <c r="K136" t="str">
        <f t="shared" si="13"/>
        <v>COMPLETE</v>
      </c>
    </row>
    <row r="137" spans="7:11">
      <c r="G137" s="2">
        <v>33</v>
      </c>
      <c r="H137" s="2" t="str">
        <f t="shared" si="10"/>
        <v/>
      </c>
      <c r="I137" t="str">
        <f t="shared" si="11"/>
        <v/>
      </c>
      <c r="J137">
        <f t="shared" si="12"/>
        <v>0</v>
      </c>
      <c r="K137" t="str">
        <f t="shared" si="13"/>
        <v>COMPLETE</v>
      </c>
    </row>
    <row r="138" spans="7:11">
      <c r="G138" s="2">
        <v>34</v>
      </c>
      <c r="H138" s="2" t="str">
        <f t="shared" si="10"/>
        <v/>
      </c>
      <c r="I138" t="str">
        <f t="shared" si="11"/>
        <v/>
      </c>
      <c r="J138">
        <f t="shared" si="12"/>
        <v>0</v>
      </c>
      <c r="K138" t="str">
        <f t="shared" si="13"/>
        <v>COMPLETE</v>
      </c>
    </row>
    <row r="139" spans="7:11">
      <c r="G139" s="2">
        <v>35</v>
      </c>
      <c r="H139" s="2" t="str">
        <f t="shared" si="10"/>
        <v/>
      </c>
      <c r="I139" t="str">
        <f t="shared" si="11"/>
        <v/>
      </c>
      <c r="J139">
        <f t="shared" si="12"/>
        <v>0</v>
      </c>
      <c r="K139" t="str">
        <f t="shared" si="13"/>
        <v>COMPLETE</v>
      </c>
    </row>
    <row r="140" spans="7:11">
      <c r="G140" s="2">
        <v>36</v>
      </c>
      <c r="H140" s="2" t="str">
        <f t="shared" si="10"/>
        <v/>
      </c>
      <c r="I140" t="str">
        <f t="shared" si="11"/>
        <v/>
      </c>
      <c r="J140">
        <f t="shared" si="12"/>
        <v>0</v>
      </c>
      <c r="K140" t="str">
        <f t="shared" si="13"/>
        <v>COMPLETE</v>
      </c>
    </row>
    <row r="141" spans="7:11">
      <c r="G141" s="2">
        <v>37</v>
      </c>
      <c r="H141" s="2" t="str">
        <f t="shared" si="10"/>
        <v/>
      </c>
      <c r="I141" t="str">
        <f t="shared" si="11"/>
        <v/>
      </c>
      <c r="J141">
        <f t="shared" si="12"/>
        <v>0</v>
      </c>
      <c r="K141" t="str">
        <f t="shared" si="13"/>
        <v>COMPLETE</v>
      </c>
    </row>
    <row r="142" spans="7:11">
      <c r="G142" s="2">
        <v>38</v>
      </c>
      <c r="H142" s="2" t="str">
        <f t="shared" si="10"/>
        <v/>
      </c>
      <c r="I142" t="str">
        <f t="shared" si="11"/>
        <v/>
      </c>
      <c r="J142">
        <f t="shared" si="12"/>
        <v>0</v>
      </c>
      <c r="K142" t="str">
        <f t="shared" si="13"/>
        <v>COMPLETE</v>
      </c>
    </row>
    <row r="143" spans="7:11">
      <c r="G143" s="2">
        <v>39</v>
      </c>
      <c r="H143" s="2" t="str">
        <f t="shared" si="10"/>
        <v/>
      </c>
      <c r="I143" t="str">
        <f t="shared" si="11"/>
        <v/>
      </c>
      <c r="J143">
        <f t="shared" si="12"/>
        <v>0</v>
      </c>
      <c r="K143" t="str">
        <f t="shared" si="13"/>
        <v>COMPLETE</v>
      </c>
    </row>
    <row r="144" spans="7:11">
      <c r="G144" s="2">
        <v>40</v>
      </c>
      <c r="H144" s="2" t="str">
        <f t="shared" si="10"/>
        <v/>
      </c>
      <c r="I144" t="str">
        <f t="shared" si="11"/>
        <v/>
      </c>
      <c r="J144">
        <f t="shared" si="12"/>
        <v>0</v>
      </c>
      <c r="K144" t="str">
        <f t="shared" si="13"/>
        <v>COMPLETE</v>
      </c>
    </row>
    <row r="145" spans="7:15">
      <c r="G145" s="2">
        <v>41</v>
      </c>
      <c r="H145" s="2" t="str">
        <f t="shared" si="10"/>
        <v/>
      </c>
      <c r="I145" t="str">
        <f t="shared" si="11"/>
        <v/>
      </c>
      <c r="J145">
        <f t="shared" si="12"/>
        <v>0</v>
      </c>
      <c r="K145" t="str">
        <f t="shared" si="13"/>
        <v>COMPLETE</v>
      </c>
    </row>
    <row r="146" spans="7:15">
      <c r="G146" s="2">
        <v>42</v>
      </c>
      <c r="H146" s="2" t="str">
        <f t="shared" si="10"/>
        <v/>
      </c>
      <c r="I146" t="str">
        <f t="shared" si="11"/>
        <v/>
      </c>
      <c r="J146">
        <f t="shared" si="12"/>
        <v>0</v>
      </c>
      <c r="K146" t="str">
        <f t="shared" si="13"/>
        <v>COMPLETE</v>
      </c>
    </row>
    <row r="147" spans="7:15">
      <c r="G147" s="2">
        <v>43</v>
      </c>
      <c r="H147" s="2" t="str">
        <f t="shared" si="10"/>
        <v/>
      </c>
      <c r="I147" t="str">
        <f t="shared" si="11"/>
        <v/>
      </c>
      <c r="J147">
        <f t="shared" si="12"/>
        <v>0</v>
      </c>
      <c r="K147" t="str">
        <f t="shared" si="13"/>
        <v>COMPLETE</v>
      </c>
    </row>
    <row r="148" spans="7:15">
      <c r="G148" s="2">
        <v>44</v>
      </c>
      <c r="H148" s="2" t="str">
        <f t="shared" si="10"/>
        <v/>
      </c>
      <c r="I148" t="str">
        <f t="shared" si="11"/>
        <v/>
      </c>
      <c r="J148">
        <f t="shared" si="12"/>
        <v>0</v>
      </c>
      <c r="K148" t="str">
        <f t="shared" si="13"/>
        <v>COMPLETE</v>
      </c>
    </row>
    <row r="149" spans="7:15">
      <c r="G149" s="2">
        <v>45</v>
      </c>
      <c r="H149" s="2" t="str">
        <f t="shared" si="10"/>
        <v/>
      </c>
      <c r="I149" t="str">
        <f t="shared" si="11"/>
        <v/>
      </c>
      <c r="J149">
        <f t="shared" si="12"/>
        <v>0</v>
      </c>
      <c r="K149" t="str">
        <f t="shared" si="13"/>
        <v>COMPLETE</v>
      </c>
    </row>
    <row r="150" spans="7:15">
      <c r="G150" s="2">
        <v>46</v>
      </c>
      <c r="H150" s="2" t="str">
        <f t="shared" si="10"/>
        <v/>
      </c>
      <c r="I150" t="str">
        <f t="shared" si="11"/>
        <v/>
      </c>
      <c r="J150">
        <f t="shared" si="12"/>
        <v>0</v>
      </c>
      <c r="K150" t="str">
        <f t="shared" si="13"/>
        <v>COMPLETE</v>
      </c>
    </row>
    <row r="151" spans="7:15">
      <c r="G151" s="2">
        <v>47</v>
      </c>
      <c r="H151" s="2" t="str">
        <f t="shared" si="10"/>
        <v/>
      </c>
      <c r="I151" t="str">
        <f t="shared" si="11"/>
        <v/>
      </c>
      <c r="J151">
        <f t="shared" si="12"/>
        <v>0</v>
      </c>
      <c r="K151" t="str">
        <f t="shared" si="13"/>
        <v>COMPLETE</v>
      </c>
    </row>
    <row r="152" spans="7:15">
      <c r="G152" s="2">
        <v>48</v>
      </c>
      <c r="H152" s="2" t="str">
        <f t="shared" si="10"/>
        <v/>
      </c>
      <c r="I152" t="str">
        <f t="shared" si="11"/>
        <v/>
      </c>
      <c r="J152">
        <f t="shared" si="12"/>
        <v>0</v>
      </c>
      <c r="K152" t="str">
        <f t="shared" si="13"/>
        <v>COMPLETE</v>
      </c>
    </row>
    <row r="153" spans="7:15">
      <c r="G153" s="2">
        <v>49</v>
      </c>
      <c r="H153" s="2" t="str">
        <f t="shared" si="10"/>
        <v/>
      </c>
      <c r="I153" t="str">
        <f t="shared" si="11"/>
        <v/>
      </c>
      <c r="J153">
        <f t="shared" si="12"/>
        <v>0</v>
      </c>
      <c r="K153" t="str">
        <f t="shared" si="13"/>
        <v>COMPLETE</v>
      </c>
    </row>
    <row r="154" spans="7:15">
      <c r="G154" s="2">
        <v>50</v>
      </c>
      <c r="H154" s="2" t="str">
        <f t="shared" si="10"/>
        <v/>
      </c>
      <c r="I154" t="str">
        <f t="shared" si="11"/>
        <v/>
      </c>
      <c r="J154">
        <f t="shared" si="12"/>
        <v>0</v>
      </c>
      <c r="K154" t="str">
        <f t="shared" si="13"/>
        <v>COMPLETE</v>
      </c>
    </row>
    <row r="155" spans="7:15">
      <c r="G155" s="2"/>
      <c r="H155" s="2"/>
      <c r="I155">
        <f>MIN(I104:I154)</f>
        <v>167</v>
      </c>
      <c r="J155">
        <f>MAX(J104:J154)</f>
        <v>0</v>
      </c>
      <c r="N155" s="5" t="s">
        <v>1</v>
      </c>
    </row>
    <row r="156" spans="7:15" ht="19.5">
      <c r="G156" s="1">
        <v>1</v>
      </c>
      <c r="H156" s="1" t="str">
        <f>IF($C$6&gt;=G156,$B$6,"")</f>
        <v/>
      </c>
      <c r="I156">
        <f>IF(H156&lt;&gt;"",I155-H156,I155)</f>
        <v>167</v>
      </c>
      <c r="J156">
        <f>IF(I156&lt;0,J155+1,IF(I156="",0,J155))</f>
        <v>0</v>
      </c>
      <c r="K156" t="str">
        <f>IF(J156=1,-I156,IF(J156&gt;1,H156,IF((J156=0),"COMPLETE")))</f>
        <v>COMPLETE</v>
      </c>
      <c r="N156" s="6">
        <f t="array" ref="N156">IFERROR(INDEX($K$156:$K$205, MATCH(0,IF(ISTEXT($K$156:$K$205),1,COUNTIF($N$155:N155, $K$156:$K$205)), 0)),0)</f>
        <v>0</v>
      </c>
      <c r="O156" s="7">
        <f>COUNTIF($K$156:$K$205,N156)</f>
        <v>0</v>
      </c>
    </row>
    <row r="157" spans="7:15" ht="19.5">
      <c r="G157" s="2">
        <v>2</v>
      </c>
      <c r="H157" s="2" t="str">
        <f t="shared" ref="H157:H205" si="14">IF($C$6&gt;=G157,$B$6,"")</f>
        <v/>
      </c>
      <c r="I157" t="str">
        <f t="shared" ref="I157:I205" si="15">IF(H157&lt;&gt;"",I156-H157,"")</f>
        <v/>
      </c>
      <c r="J157">
        <f t="shared" ref="J157:J205" si="16">IF(I157&lt;0,J156+1,IF(I157="",0,J156))</f>
        <v>0</v>
      </c>
      <c r="K157" t="str">
        <f t="shared" ref="K157:K205" si="17">IF(J157=1,-I157,IF(J157&gt;1,H157,IF((J157=0),"COMPLETE")))</f>
        <v>COMPLETE</v>
      </c>
      <c r="N157" s="6">
        <f t="array" ref="N157">IFERROR(INDEX($K$156:$K$205, MATCH(0,IF(ISTEXT($K$156:$K$205),1,COUNTIF($N$155:N156, $K$156:$K$205)), 0)),0)</f>
        <v>0</v>
      </c>
      <c r="O157" s="7">
        <f>COUNTIF($K$156:$K$205,N157)</f>
        <v>0</v>
      </c>
    </row>
    <row r="158" spans="7:15">
      <c r="G158" s="2">
        <v>3</v>
      </c>
      <c r="H158" s="2" t="str">
        <f t="shared" si="14"/>
        <v/>
      </c>
      <c r="I158" t="str">
        <f t="shared" si="15"/>
        <v/>
      </c>
      <c r="J158">
        <f t="shared" si="16"/>
        <v>0</v>
      </c>
      <c r="K158" t="str">
        <f t="shared" si="17"/>
        <v>COMPLETE</v>
      </c>
    </row>
    <row r="159" spans="7:15">
      <c r="G159" s="2">
        <v>4</v>
      </c>
      <c r="H159" s="2" t="str">
        <f t="shared" si="14"/>
        <v/>
      </c>
      <c r="I159" t="str">
        <f t="shared" si="15"/>
        <v/>
      </c>
      <c r="J159">
        <f t="shared" si="16"/>
        <v>0</v>
      </c>
      <c r="K159" t="str">
        <f t="shared" si="17"/>
        <v>COMPLETE</v>
      </c>
    </row>
    <row r="160" spans="7:15">
      <c r="G160" s="2">
        <v>5</v>
      </c>
      <c r="H160" s="2" t="str">
        <f t="shared" si="14"/>
        <v/>
      </c>
      <c r="I160" t="str">
        <f t="shared" si="15"/>
        <v/>
      </c>
      <c r="J160">
        <f t="shared" si="16"/>
        <v>0</v>
      </c>
      <c r="K160" t="str">
        <f t="shared" si="17"/>
        <v>COMPLETE</v>
      </c>
    </row>
    <row r="161" spans="7:11">
      <c r="G161" s="2">
        <v>6</v>
      </c>
      <c r="H161" s="2" t="str">
        <f t="shared" si="14"/>
        <v/>
      </c>
      <c r="I161" t="str">
        <f t="shared" si="15"/>
        <v/>
      </c>
      <c r="J161">
        <f t="shared" si="16"/>
        <v>0</v>
      </c>
      <c r="K161" t="str">
        <f t="shared" si="17"/>
        <v>COMPLETE</v>
      </c>
    </row>
    <row r="162" spans="7:11">
      <c r="G162" s="2">
        <v>7</v>
      </c>
      <c r="H162" s="2" t="str">
        <f t="shared" si="14"/>
        <v/>
      </c>
      <c r="I162" t="str">
        <f t="shared" si="15"/>
        <v/>
      </c>
      <c r="J162">
        <f t="shared" si="16"/>
        <v>0</v>
      </c>
      <c r="K162" t="str">
        <f t="shared" si="17"/>
        <v>COMPLETE</v>
      </c>
    </row>
    <row r="163" spans="7:11">
      <c r="G163" s="2">
        <v>8</v>
      </c>
      <c r="H163" s="2" t="str">
        <f t="shared" si="14"/>
        <v/>
      </c>
      <c r="I163" t="str">
        <f t="shared" si="15"/>
        <v/>
      </c>
      <c r="J163">
        <f t="shared" si="16"/>
        <v>0</v>
      </c>
      <c r="K163" t="str">
        <f t="shared" si="17"/>
        <v>COMPLETE</v>
      </c>
    </row>
    <row r="164" spans="7:11">
      <c r="G164" s="2">
        <v>9</v>
      </c>
      <c r="H164" s="2" t="str">
        <f t="shared" si="14"/>
        <v/>
      </c>
      <c r="I164" t="str">
        <f t="shared" si="15"/>
        <v/>
      </c>
      <c r="J164">
        <f t="shared" si="16"/>
        <v>0</v>
      </c>
      <c r="K164" t="str">
        <f t="shared" si="17"/>
        <v>COMPLETE</v>
      </c>
    </row>
    <row r="165" spans="7:11">
      <c r="G165" s="2">
        <v>10</v>
      </c>
      <c r="H165" s="2" t="str">
        <f t="shared" si="14"/>
        <v/>
      </c>
      <c r="I165" t="str">
        <f t="shared" si="15"/>
        <v/>
      </c>
      <c r="J165">
        <f t="shared" si="16"/>
        <v>0</v>
      </c>
      <c r="K165" t="str">
        <f t="shared" si="17"/>
        <v>COMPLETE</v>
      </c>
    </row>
    <row r="166" spans="7:11">
      <c r="G166" s="2">
        <v>11</v>
      </c>
      <c r="H166" s="2" t="str">
        <f t="shared" si="14"/>
        <v/>
      </c>
      <c r="I166" t="str">
        <f t="shared" si="15"/>
        <v/>
      </c>
      <c r="J166">
        <f t="shared" si="16"/>
        <v>0</v>
      </c>
      <c r="K166" t="str">
        <f t="shared" si="17"/>
        <v>COMPLETE</v>
      </c>
    </row>
    <row r="167" spans="7:11">
      <c r="G167" s="2">
        <v>12</v>
      </c>
      <c r="H167" s="2" t="str">
        <f t="shared" si="14"/>
        <v/>
      </c>
      <c r="I167" t="str">
        <f t="shared" si="15"/>
        <v/>
      </c>
      <c r="J167">
        <f t="shared" si="16"/>
        <v>0</v>
      </c>
      <c r="K167" t="str">
        <f t="shared" si="17"/>
        <v>COMPLETE</v>
      </c>
    </row>
    <row r="168" spans="7:11">
      <c r="G168" s="2">
        <v>13</v>
      </c>
      <c r="H168" s="2" t="str">
        <f t="shared" si="14"/>
        <v/>
      </c>
      <c r="I168" t="str">
        <f t="shared" si="15"/>
        <v/>
      </c>
      <c r="J168">
        <f t="shared" si="16"/>
        <v>0</v>
      </c>
      <c r="K168" t="str">
        <f t="shared" si="17"/>
        <v>COMPLETE</v>
      </c>
    </row>
    <row r="169" spans="7:11">
      <c r="G169" s="2">
        <v>14</v>
      </c>
      <c r="H169" s="2" t="str">
        <f t="shared" si="14"/>
        <v/>
      </c>
      <c r="I169" t="str">
        <f t="shared" si="15"/>
        <v/>
      </c>
      <c r="J169">
        <f t="shared" si="16"/>
        <v>0</v>
      </c>
      <c r="K169" t="str">
        <f t="shared" si="17"/>
        <v>COMPLETE</v>
      </c>
    </row>
    <row r="170" spans="7:11">
      <c r="G170" s="2">
        <v>15</v>
      </c>
      <c r="H170" s="2" t="str">
        <f t="shared" si="14"/>
        <v/>
      </c>
      <c r="I170" t="str">
        <f t="shared" si="15"/>
        <v/>
      </c>
      <c r="J170">
        <f t="shared" si="16"/>
        <v>0</v>
      </c>
      <c r="K170" t="str">
        <f t="shared" si="17"/>
        <v>COMPLETE</v>
      </c>
    </row>
    <row r="171" spans="7:11">
      <c r="G171" s="2">
        <v>16</v>
      </c>
      <c r="H171" s="2" t="str">
        <f t="shared" si="14"/>
        <v/>
      </c>
      <c r="I171" t="str">
        <f t="shared" si="15"/>
        <v/>
      </c>
      <c r="J171">
        <f t="shared" si="16"/>
        <v>0</v>
      </c>
      <c r="K171" t="str">
        <f t="shared" si="17"/>
        <v>COMPLETE</v>
      </c>
    </row>
    <row r="172" spans="7:11">
      <c r="G172" s="2">
        <v>17</v>
      </c>
      <c r="H172" s="2" t="str">
        <f t="shared" si="14"/>
        <v/>
      </c>
      <c r="I172" t="str">
        <f t="shared" si="15"/>
        <v/>
      </c>
      <c r="J172">
        <f t="shared" si="16"/>
        <v>0</v>
      </c>
      <c r="K172" t="str">
        <f t="shared" si="17"/>
        <v>COMPLETE</v>
      </c>
    </row>
    <row r="173" spans="7:11">
      <c r="G173" s="2">
        <v>18</v>
      </c>
      <c r="H173" s="2" t="str">
        <f t="shared" si="14"/>
        <v/>
      </c>
      <c r="I173" t="str">
        <f t="shared" si="15"/>
        <v/>
      </c>
      <c r="J173">
        <f t="shared" si="16"/>
        <v>0</v>
      </c>
      <c r="K173" t="str">
        <f t="shared" si="17"/>
        <v>COMPLETE</v>
      </c>
    </row>
    <row r="174" spans="7:11">
      <c r="G174" s="2">
        <v>19</v>
      </c>
      <c r="H174" s="2" t="str">
        <f t="shared" si="14"/>
        <v/>
      </c>
      <c r="I174" t="str">
        <f t="shared" si="15"/>
        <v/>
      </c>
      <c r="J174">
        <f t="shared" si="16"/>
        <v>0</v>
      </c>
      <c r="K174" t="str">
        <f t="shared" si="17"/>
        <v>COMPLETE</v>
      </c>
    </row>
    <row r="175" spans="7:11">
      <c r="G175" s="2">
        <v>20</v>
      </c>
      <c r="H175" s="2" t="str">
        <f t="shared" si="14"/>
        <v/>
      </c>
      <c r="I175" t="str">
        <f t="shared" si="15"/>
        <v/>
      </c>
      <c r="J175">
        <f t="shared" si="16"/>
        <v>0</v>
      </c>
      <c r="K175" t="str">
        <f t="shared" si="17"/>
        <v>COMPLETE</v>
      </c>
    </row>
    <row r="176" spans="7:11">
      <c r="G176" s="2">
        <v>21</v>
      </c>
      <c r="H176" s="2" t="str">
        <f t="shared" si="14"/>
        <v/>
      </c>
      <c r="I176" t="str">
        <f t="shared" si="15"/>
        <v/>
      </c>
      <c r="J176">
        <f t="shared" si="16"/>
        <v>0</v>
      </c>
      <c r="K176" t="str">
        <f t="shared" si="17"/>
        <v>COMPLETE</v>
      </c>
    </row>
    <row r="177" spans="7:11">
      <c r="G177" s="2">
        <v>22</v>
      </c>
      <c r="H177" s="2" t="str">
        <f t="shared" si="14"/>
        <v/>
      </c>
      <c r="I177" t="str">
        <f t="shared" si="15"/>
        <v/>
      </c>
      <c r="J177">
        <f t="shared" si="16"/>
        <v>0</v>
      </c>
      <c r="K177" t="str">
        <f t="shared" si="17"/>
        <v>COMPLETE</v>
      </c>
    </row>
    <row r="178" spans="7:11">
      <c r="G178" s="2">
        <v>23</v>
      </c>
      <c r="H178" s="2" t="str">
        <f t="shared" si="14"/>
        <v/>
      </c>
      <c r="I178" t="str">
        <f t="shared" si="15"/>
        <v/>
      </c>
      <c r="J178">
        <f t="shared" si="16"/>
        <v>0</v>
      </c>
      <c r="K178" t="str">
        <f t="shared" si="17"/>
        <v>COMPLETE</v>
      </c>
    </row>
    <row r="179" spans="7:11">
      <c r="G179" s="2">
        <v>24</v>
      </c>
      <c r="H179" s="2" t="str">
        <f t="shared" si="14"/>
        <v/>
      </c>
      <c r="I179" t="str">
        <f t="shared" si="15"/>
        <v/>
      </c>
      <c r="J179">
        <f t="shared" si="16"/>
        <v>0</v>
      </c>
      <c r="K179" t="str">
        <f t="shared" si="17"/>
        <v>COMPLETE</v>
      </c>
    </row>
    <row r="180" spans="7:11">
      <c r="G180" s="2">
        <v>25</v>
      </c>
      <c r="H180" s="2" t="str">
        <f t="shared" si="14"/>
        <v/>
      </c>
      <c r="I180" t="str">
        <f t="shared" si="15"/>
        <v/>
      </c>
      <c r="J180">
        <f t="shared" si="16"/>
        <v>0</v>
      </c>
      <c r="K180" t="str">
        <f t="shared" si="17"/>
        <v>COMPLETE</v>
      </c>
    </row>
    <row r="181" spans="7:11">
      <c r="G181" s="2">
        <v>26</v>
      </c>
      <c r="H181" s="2" t="str">
        <f t="shared" si="14"/>
        <v/>
      </c>
      <c r="I181" t="str">
        <f t="shared" si="15"/>
        <v/>
      </c>
      <c r="J181">
        <f t="shared" si="16"/>
        <v>0</v>
      </c>
      <c r="K181" t="str">
        <f t="shared" si="17"/>
        <v>COMPLETE</v>
      </c>
    </row>
    <row r="182" spans="7:11">
      <c r="G182" s="2">
        <v>27</v>
      </c>
      <c r="H182" s="2" t="str">
        <f t="shared" si="14"/>
        <v/>
      </c>
      <c r="I182" t="str">
        <f t="shared" si="15"/>
        <v/>
      </c>
      <c r="J182">
        <f t="shared" si="16"/>
        <v>0</v>
      </c>
      <c r="K182" t="str">
        <f t="shared" si="17"/>
        <v>COMPLETE</v>
      </c>
    </row>
    <row r="183" spans="7:11">
      <c r="G183" s="2">
        <v>28</v>
      </c>
      <c r="H183" s="2" t="str">
        <f t="shared" si="14"/>
        <v/>
      </c>
      <c r="I183" t="str">
        <f t="shared" si="15"/>
        <v/>
      </c>
      <c r="J183">
        <f t="shared" si="16"/>
        <v>0</v>
      </c>
      <c r="K183" t="str">
        <f t="shared" si="17"/>
        <v>COMPLETE</v>
      </c>
    </row>
    <row r="184" spans="7:11">
      <c r="G184" s="2">
        <v>29</v>
      </c>
      <c r="H184" s="2" t="str">
        <f t="shared" si="14"/>
        <v/>
      </c>
      <c r="I184" t="str">
        <f t="shared" si="15"/>
        <v/>
      </c>
      <c r="J184">
        <f t="shared" si="16"/>
        <v>0</v>
      </c>
      <c r="K184" t="str">
        <f t="shared" si="17"/>
        <v>COMPLETE</v>
      </c>
    </row>
    <row r="185" spans="7:11">
      <c r="G185" s="2">
        <v>30</v>
      </c>
      <c r="H185" s="2" t="str">
        <f t="shared" si="14"/>
        <v/>
      </c>
      <c r="I185" t="str">
        <f t="shared" si="15"/>
        <v/>
      </c>
      <c r="J185">
        <f t="shared" si="16"/>
        <v>0</v>
      </c>
      <c r="K185" t="str">
        <f t="shared" si="17"/>
        <v>COMPLETE</v>
      </c>
    </row>
    <row r="186" spans="7:11">
      <c r="G186" s="2">
        <v>31</v>
      </c>
      <c r="H186" s="2" t="str">
        <f t="shared" si="14"/>
        <v/>
      </c>
      <c r="I186" t="str">
        <f t="shared" si="15"/>
        <v/>
      </c>
      <c r="J186">
        <f t="shared" si="16"/>
        <v>0</v>
      </c>
      <c r="K186" t="str">
        <f t="shared" si="17"/>
        <v>COMPLETE</v>
      </c>
    </row>
    <row r="187" spans="7:11">
      <c r="G187" s="2">
        <v>32</v>
      </c>
      <c r="H187" s="2" t="str">
        <f t="shared" si="14"/>
        <v/>
      </c>
      <c r="I187" t="str">
        <f t="shared" si="15"/>
        <v/>
      </c>
      <c r="J187">
        <f t="shared" si="16"/>
        <v>0</v>
      </c>
      <c r="K187" t="str">
        <f t="shared" si="17"/>
        <v>COMPLETE</v>
      </c>
    </row>
    <row r="188" spans="7:11">
      <c r="G188" s="2">
        <v>33</v>
      </c>
      <c r="H188" s="2" t="str">
        <f t="shared" si="14"/>
        <v/>
      </c>
      <c r="I188" t="str">
        <f t="shared" si="15"/>
        <v/>
      </c>
      <c r="J188">
        <f t="shared" si="16"/>
        <v>0</v>
      </c>
      <c r="K188" t="str">
        <f t="shared" si="17"/>
        <v>COMPLETE</v>
      </c>
    </row>
    <row r="189" spans="7:11">
      <c r="G189" s="2">
        <v>34</v>
      </c>
      <c r="H189" s="2" t="str">
        <f t="shared" si="14"/>
        <v/>
      </c>
      <c r="I189" t="str">
        <f t="shared" si="15"/>
        <v/>
      </c>
      <c r="J189">
        <f t="shared" si="16"/>
        <v>0</v>
      </c>
      <c r="K189" t="str">
        <f t="shared" si="17"/>
        <v>COMPLETE</v>
      </c>
    </row>
    <row r="190" spans="7:11">
      <c r="G190" s="2">
        <v>35</v>
      </c>
      <c r="H190" s="2" t="str">
        <f t="shared" si="14"/>
        <v/>
      </c>
      <c r="I190" t="str">
        <f t="shared" si="15"/>
        <v/>
      </c>
      <c r="J190">
        <f t="shared" si="16"/>
        <v>0</v>
      </c>
      <c r="K190" t="str">
        <f t="shared" si="17"/>
        <v>COMPLETE</v>
      </c>
    </row>
    <row r="191" spans="7:11">
      <c r="G191" s="2">
        <v>36</v>
      </c>
      <c r="H191" s="2" t="str">
        <f t="shared" si="14"/>
        <v/>
      </c>
      <c r="I191" t="str">
        <f t="shared" si="15"/>
        <v/>
      </c>
      <c r="J191">
        <f t="shared" si="16"/>
        <v>0</v>
      </c>
      <c r="K191" t="str">
        <f t="shared" si="17"/>
        <v>COMPLETE</v>
      </c>
    </row>
    <row r="192" spans="7:11">
      <c r="G192" s="2">
        <v>37</v>
      </c>
      <c r="H192" s="2" t="str">
        <f t="shared" si="14"/>
        <v/>
      </c>
      <c r="I192" t="str">
        <f t="shared" si="15"/>
        <v/>
      </c>
      <c r="J192">
        <f t="shared" si="16"/>
        <v>0</v>
      </c>
      <c r="K192" t="str">
        <f t="shared" si="17"/>
        <v>COMPLETE</v>
      </c>
    </row>
    <row r="193" spans="7:15">
      <c r="G193" s="2">
        <v>38</v>
      </c>
      <c r="H193" s="2" t="str">
        <f t="shared" si="14"/>
        <v/>
      </c>
      <c r="I193" t="str">
        <f t="shared" si="15"/>
        <v/>
      </c>
      <c r="J193">
        <f t="shared" si="16"/>
        <v>0</v>
      </c>
      <c r="K193" t="str">
        <f t="shared" si="17"/>
        <v>COMPLETE</v>
      </c>
    </row>
    <row r="194" spans="7:15">
      <c r="G194" s="2">
        <v>39</v>
      </c>
      <c r="H194" s="2" t="str">
        <f t="shared" si="14"/>
        <v/>
      </c>
      <c r="I194" t="str">
        <f t="shared" si="15"/>
        <v/>
      </c>
      <c r="J194">
        <f t="shared" si="16"/>
        <v>0</v>
      </c>
      <c r="K194" t="str">
        <f t="shared" si="17"/>
        <v>COMPLETE</v>
      </c>
    </row>
    <row r="195" spans="7:15">
      <c r="G195" s="2">
        <v>40</v>
      </c>
      <c r="H195" s="2" t="str">
        <f t="shared" si="14"/>
        <v/>
      </c>
      <c r="I195" t="str">
        <f t="shared" si="15"/>
        <v/>
      </c>
      <c r="J195">
        <f t="shared" si="16"/>
        <v>0</v>
      </c>
      <c r="K195" t="str">
        <f t="shared" si="17"/>
        <v>COMPLETE</v>
      </c>
    </row>
    <row r="196" spans="7:15">
      <c r="G196" s="2">
        <v>41</v>
      </c>
      <c r="H196" s="2" t="str">
        <f t="shared" si="14"/>
        <v/>
      </c>
      <c r="I196" t="str">
        <f t="shared" si="15"/>
        <v/>
      </c>
      <c r="J196">
        <f t="shared" si="16"/>
        <v>0</v>
      </c>
      <c r="K196" t="str">
        <f t="shared" si="17"/>
        <v>COMPLETE</v>
      </c>
    </row>
    <row r="197" spans="7:15">
      <c r="G197" s="2">
        <v>42</v>
      </c>
      <c r="H197" s="2" t="str">
        <f t="shared" si="14"/>
        <v/>
      </c>
      <c r="I197" t="str">
        <f t="shared" si="15"/>
        <v/>
      </c>
      <c r="J197">
        <f t="shared" si="16"/>
        <v>0</v>
      </c>
      <c r="K197" t="str">
        <f t="shared" si="17"/>
        <v>COMPLETE</v>
      </c>
    </row>
    <row r="198" spans="7:15">
      <c r="G198" s="2">
        <v>43</v>
      </c>
      <c r="H198" s="2" t="str">
        <f t="shared" si="14"/>
        <v/>
      </c>
      <c r="I198" t="str">
        <f t="shared" si="15"/>
        <v/>
      </c>
      <c r="J198">
        <f t="shared" si="16"/>
        <v>0</v>
      </c>
      <c r="K198" t="str">
        <f t="shared" si="17"/>
        <v>COMPLETE</v>
      </c>
    </row>
    <row r="199" spans="7:15">
      <c r="G199" s="2">
        <v>44</v>
      </c>
      <c r="H199" s="2" t="str">
        <f t="shared" si="14"/>
        <v/>
      </c>
      <c r="I199" t="str">
        <f t="shared" si="15"/>
        <v/>
      </c>
      <c r="J199">
        <f t="shared" si="16"/>
        <v>0</v>
      </c>
      <c r="K199" t="str">
        <f t="shared" si="17"/>
        <v>COMPLETE</v>
      </c>
    </row>
    <row r="200" spans="7:15">
      <c r="G200" s="2">
        <v>45</v>
      </c>
      <c r="H200" s="2" t="str">
        <f t="shared" si="14"/>
        <v/>
      </c>
      <c r="I200" t="str">
        <f t="shared" si="15"/>
        <v/>
      </c>
      <c r="J200">
        <f t="shared" si="16"/>
        <v>0</v>
      </c>
      <c r="K200" t="str">
        <f t="shared" si="17"/>
        <v>COMPLETE</v>
      </c>
    </row>
    <row r="201" spans="7:15">
      <c r="G201" s="2">
        <v>46</v>
      </c>
      <c r="H201" s="2" t="str">
        <f t="shared" si="14"/>
        <v/>
      </c>
      <c r="I201" t="str">
        <f t="shared" si="15"/>
        <v/>
      </c>
      <c r="J201">
        <f t="shared" si="16"/>
        <v>0</v>
      </c>
      <c r="K201" t="str">
        <f t="shared" si="17"/>
        <v>COMPLETE</v>
      </c>
    </row>
    <row r="202" spans="7:15">
      <c r="G202" s="2">
        <v>47</v>
      </c>
      <c r="H202" s="2" t="str">
        <f t="shared" si="14"/>
        <v/>
      </c>
      <c r="I202" t="str">
        <f t="shared" si="15"/>
        <v/>
      </c>
      <c r="J202">
        <f t="shared" si="16"/>
        <v>0</v>
      </c>
      <c r="K202" t="str">
        <f t="shared" si="17"/>
        <v>COMPLETE</v>
      </c>
    </row>
    <row r="203" spans="7:15">
      <c r="G203" s="2">
        <v>48</v>
      </c>
      <c r="H203" s="2" t="str">
        <f t="shared" si="14"/>
        <v/>
      </c>
      <c r="I203" t="str">
        <f t="shared" si="15"/>
        <v/>
      </c>
      <c r="J203">
        <f t="shared" si="16"/>
        <v>0</v>
      </c>
      <c r="K203" t="str">
        <f t="shared" si="17"/>
        <v>COMPLETE</v>
      </c>
    </row>
    <row r="204" spans="7:15">
      <c r="G204" s="2">
        <v>49</v>
      </c>
      <c r="H204" s="2" t="str">
        <f t="shared" si="14"/>
        <v/>
      </c>
      <c r="I204" t="str">
        <f t="shared" si="15"/>
        <v/>
      </c>
      <c r="J204">
        <f t="shared" si="16"/>
        <v>0</v>
      </c>
      <c r="K204" t="str">
        <f t="shared" si="17"/>
        <v>COMPLETE</v>
      </c>
    </row>
    <row r="205" spans="7:15">
      <c r="G205" s="2">
        <v>50</v>
      </c>
      <c r="H205" s="2" t="str">
        <f t="shared" si="14"/>
        <v/>
      </c>
      <c r="I205" t="str">
        <f t="shared" si="15"/>
        <v/>
      </c>
      <c r="J205">
        <f t="shared" si="16"/>
        <v>0</v>
      </c>
      <c r="K205" t="str">
        <f t="shared" si="17"/>
        <v>COMPLETE</v>
      </c>
    </row>
    <row r="206" spans="7:15">
      <c r="G206" s="2"/>
      <c r="H206" s="2"/>
      <c r="I206">
        <f>MIN(I155:I205)</f>
        <v>167</v>
      </c>
      <c r="J206">
        <f>MAX(J155:J205)</f>
        <v>0</v>
      </c>
      <c r="N206" s="5" t="s">
        <v>1</v>
      </c>
    </row>
    <row r="207" spans="7:15" ht="19.5">
      <c r="G207" s="1">
        <v>1</v>
      </c>
      <c r="H207" s="1" t="str">
        <f>IF($C$7&gt;=G207,$B$7,"")</f>
        <v/>
      </c>
      <c r="I207">
        <f>IF(H207&lt;&gt;"",I206-H207,I206)</f>
        <v>167</v>
      </c>
      <c r="J207">
        <f>IF(I207&lt;0,J206+1,IF(I207="",0,J206))</f>
        <v>0</v>
      </c>
      <c r="K207" t="str">
        <f>IF(J207=1,-I207,IF(J207&gt;1,H207,IF((J207=0),"COMPLETE")))</f>
        <v>COMPLETE</v>
      </c>
      <c r="N207" s="6">
        <f t="array" ref="N207">IFERROR(INDEX($K$207:$K$256, MATCH(0,IF(ISTEXT($K$207:$K$256),1,COUNTIF($N$206:N206, $K$207:$K$256)), 0)),0)</f>
        <v>0</v>
      </c>
      <c r="O207" s="7">
        <f>COUNTIF($K$207:$K$256,N207)</f>
        <v>0</v>
      </c>
    </row>
    <row r="208" spans="7:15" ht="19.5">
      <c r="G208" s="1">
        <v>2</v>
      </c>
      <c r="H208" s="1" t="str">
        <f t="shared" ref="H208:H256" si="18">IF($C$7&gt;=G208,$B$7,"")</f>
        <v/>
      </c>
      <c r="I208" t="str">
        <f t="shared" ref="I208:I256" si="19">IF(H208&lt;&gt;"",I207-H208,"")</f>
        <v/>
      </c>
      <c r="J208">
        <f t="shared" ref="J208:J256" si="20">IF(I208&lt;0,J207+1,IF(I208="",0,J207))</f>
        <v>0</v>
      </c>
      <c r="K208" t="str">
        <f t="shared" ref="K208:K256" si="21">IF(J208=1,-I208,IF(J208&gt;1,H208,IF((J208=0),"COMPLETE")))</f>
        <v>COMPLETE</v>
      </c>
      <c r="N208" s="6">
        <f t="array" ref="N208">IFERROR(INDEX($K$207:$K$256, MATCH(0,IF(ISTEXT($K$207:$K$256),1,COUNTIF($N$206:N207, $K$207:$K$256)), 0)),0)</f>
        <v>0</v>
      </c>
      <c r="O208" s="7">
        <f>COUNTIF($K$207:$K$256,N208)</f>
        <v>0</v>
      </c>
    </row>
    <row r="209" spans="7:11">
      <c r="G209" s="2">
        <v>3</v>
      </c>
      <c r="H209" s="2" t="str">
        <f t="shared" si="18"/>
        <v/>
      </c>
      <c r="I209" t="str">
        <f t="shared" si="19"/>
        <v/>
      </c>
      <c r="J209">
        <f t="shared" si="20"/>
        <v>0</v>
      </c>
      <c r="K209" t="str">
        <f t="shared" si="21"/>
        <v>COMPLETE</v>
      </c>
    </row>
    <row r="210" spans="7:11">
      <c r="G210" s="2">
        <v>4</v>
      </c>
      <c r="H210" s="2" t="str">
        <f t="shared" si="18"/>
        <v/>
      </c>
      <c r="I210" t="str">
        <f t="shared" si="19"/>
        <v/>
      </c>
      <c r="J210">
        <f t="shared" si="20"/>
        <v>0</v>
      </c>
      <c r="K210" t="str">
        <f t="shared" si="21"/>
        <v>COMPLETE</v>
      </c>
    </row>
    <row r="211" spans="7:11">
      <c r="G211" s="2">
        <v>5</v>
      </c>
      <c r="H211" s="2" t="str">
        <f t="shared" si="18"/>
        <v/>
      </c>
      <c r="I211" t="str">
        <f t="shared" si="19"/>
        <v/>
      </c>
      <c r="J211">
        <f t="shared" si="20"/>
        <v>0</v>
      </c>
      <c r="K211" t="str">
        <f t="shared" si="21"/>
        <v>COMPLETE</v>
      </c>
    </row>
    <row r="212" spans="7:11">
      <c r="G212" s="2">
        <v>6</v>
      </c>
      <c r="H212" s="2" t="str">
        <f t="shared" si="18"/>
        <v/>
      </c>
      <c r="I212" t="str">
        <f t="shared" si="19"/>
        <v/>
      </c>
      <c r="J212">
        <f t="shared" si="20"/>
        <v>0</v>
      </c>
      <c r="K212" t="str">
        <f t="shared" si="21"/>
        <v>COMPLETE</v>
      </c>
    </row>
    <row r="213" spans="7:11">
      <c r="G213" s="2">
        <v>7</v>
      </c>
      <c r="H213" s="2" t="str">
        <f t="shared" si="18"/>
        <v/>
      </c>
      <c r="I213" t="str">
        <f t="shared" si="19"/>
        <v/>
      </c>
      <c r="J213">
        <f t="shared" si="20"/>
        <v>0</v>
      </c>
      <c r="K213" t="str">
        <f t="shared" si="21"/>
        <v>COMPLETE</v>
      </c>
    </row>
    <row r="214" spans="7:11">
      <c r="G214" s="2">
        <v>8</v>
      </c>
      <c r="H214" s="2" t="str">
        <f t="shared" si="18"/>
        <v/>
      </c>
      <c r="I214" t="str">
        <f t="shared" si="19"/>
        <v/>
      </c>
      <c r="J214">
        <f t="shared" si="20"/>
        <v>0</v>
      </c>
      <c r="K214" t="str">
        <f t="shared" si="21"/>
        <v>COMPLETE</v>
      </c>
    </row>
    <row r="215" spans="7:11">
      <c r="G215" s="2">
        <v>9</v>
      </c>
      <c r="H215" s="2" t="str">
        <f t="shared" si="18"/>
        <v/>
      </c>
      <c r="I215" t="str">
        <f t="shared" si="19"/>
        <v/>
      </c>
      <c r="J215">
        <f t="shared" si="20"/>
        <v>0</v>
      </c>
      <c r="K215" t="str">
        <f t="shared" si="21"/>
        <v>COMPLETE</v>
      </c>
    </row>
    <row r="216" spans="7:11">
      <c r="G216" s="2">
        <v>10</v>
      </c>
      <c r="H216" s="2" t="str">
        <f t="shared" si="18"/>
        <v/>
      </c>
      <c r="I216" t="str">
        <f t="shared" si="19"/>
        <v/>
      </c>
      <c r="J216">
        <f t="shared" si="20"/>
        <v>0</v>
      </c>
      <c r="K216" t="str">
        <f t="shared" si="21"/>
        <v>COMPLETE</v>
      </c>
    </row>
    <row r="217" spans="7:11">
      <c r="G217" s="2">
        <v>11</v>
      </c>
      <c r="H217" s="2" t="str">
        <f t="shared" si="18"/>
        <v/>
      </c>
      <c r="I217" t="str">
        <f t="shared" si="19"/>
        <v/>
      </c>
      <c r="J217">
        <f t="shared" si="20"/>
        <v>0</v>
      </c>
      <c r="K217" t="str">
        <f t="shared" si="21"/>
        <v>COMPLETE</v>
      </c>
    </row>
    <row r="218" spans="7:11">
      <c r="G218" s="2">
        <v>12</v>
      </c>
      <c r="H218" s="2" t="str">
        <f t="shared" si="18"/>
        <v/>
      </c>
      <c r="I218" t="str">
        <f t="shared" si="19"/>
        <v/>
      </c>
      <c r="J218">
        <f t="shared" si="20"/>
        <v>0</v>
      </c>
      <c r="K218" t="str">
        <f t="shared" si="21"/>
        <v>COMPLETE</v>
      </c>
    </row>
    <row r="219" spans="7:11">
      <c r="G219" s="2">
        <v>13</v>
      </c>
      <c r="H219" s="2" t="str">
        <f t="shared" si="18"/>
        <v/>
      </c>
      <c r="I219" t="str">
        <f t="shared" si="19"/>
        <v/>
      </c>
      <c r="J219">
        <f t="shared" si="20"/>
        <v>0</v>
      </c>
      <c r="K219" t="str">
        <f t="shared" si="21"/>
        <v>COMPLETE</v>
      </c>
    </row>
    <row r="220" spans="7:11">
      <c r="G220" s="2">
        <v>14</v>
      </c>
      <c r="H220" s="2" t="str">
        <f t="shared" si="18"/>
        <v/>
      </c>
      <c r="I220" t="str">
        <f t="shared" si="19"/>
        <v/>
      </c>
      <c r="J220">
        <f t="shared" si="20"/>
        <v>0</v>
      </c>
      <c r="K220" t="str">
        <f t="shared" si="21"/>
        <v>COMPLETE</v>
      </c>
    </row>
    <row r="221" spans="7:11">
      <c r="G221" s="2">
        <v>15</v>
      </c>
      <c r="H221" s="2" t="str">
        <f t="shared" si="18"/>
        <v/>
      </c>
      <c r="I221" t="str">
        <f t="shared" si="19"/>
        <v/>
      </c>
      <c r="J221">
        <f t="shared" si="20"/>
        <v>0</v>
      </c>
      <c r="K221" t="str">
        <f t="shared" si="21"/>
        <v>COMPLETE</v>
      </c>
    </row>
    <row r="222" spans="7:11">
      <c r="G222" s="2">
        <v>16</v>
      </c>
      <c r="H222" s="2" t="str">
        <f t="shared" si="18"/>
        <v/>
      </c>
      <c r="I222" t="str">
        <f t="shared" si="19"/>
        <v/>
      </c>
      <c r="J222">
        <f t="shared" si="20"/>
        <v>0</v>
      </c>
      <c r="K222" t="str">
        <f t="shared" si="21"/>
        <v>COMPLETE</v>
      </c>
    </row>
    <row r="223" spans="7:11">
      <c r="G223" s="2">
        <v>17</v>
      </c>
      <c r="H223" s="2" t="str">
        <f t="shared" si="18"/>
        <v/>
      </c>
      <c r="I223" t="str">
        <f t="shared" si="19"/>
        <v/>
      </c>
      <c r="J223">
        <f t="shared" si="20"/>
        <v>0</v>
      </c>
      <c r="K223" t="str">
        <f t="shared" si="21"/>
        <v>COMPLETE</v>
      </c>
    </row>
    <row r="224" spans="7:11">
      <c r="G224" s="2">
        <v>18</v>
      </c>
      <c r="H224" s="2" t="str">
        <f t="shared" si="18"/>
        <v/>
      </c>
      <c r="I224" t="str">
        <f t="shared" si="19"/>
        <v/>
      </c>
      <c r="J224">
        <f t="shared" si="20"/>
        <v>0</v>
      </c>
      <c r="K224" t="str">
        <f t="shared" si="21"/>
        <v>COMPLETE</v>
      </c>
    </row>
    <row r="225" spans="7:11">
      <c r="G225" s="2">
        <v>19</v>
      </c>
      <c r="H225" s="2" t="str">
        <f t="shared" si="18"/>
        <v/>
      </c>
      <c r="I225" t="str">
        <f t="shared" si="19"/>
        <v/>
      </c>
      <c r="J225">
        <f t="shared" si="20"/>
        <v>0</v>
      </c>
      <c r="K225" t="str">
        <f t="shared" si="21"/>
        <v>COMPLETE</v>
      </c>
    </row>
    <row r="226" spans="7:11">
      <c r="G226" s="2">
        <v>20</v>
      </c>
      <c r="H226" s="2" t="str">
        <f t="shared" si="18"/>
        <v/>
      </c>
      <c r="I226" t="str">
        <f t="shared" si="19"/>
        <v/>
      </c>
      <c r="J226">
        <f t="shared" si="20"/>
        <v>0</v>
      </c>
      <c r="K226" t="str">
        <f t="shared" si="21"/>
        <v>COMPLETE</v>
      </c>
    </row>
    <row r="227" spans="7:11">
      <c r="G227" s="2">
        <v>21</v>
      </c>
      <c r="H227" s="2" t="str">
        <f t="shared" si="18"/>
        <v/>
      </c>
      <c r="I227" t="str">
        <f t="shared" si="19"/>
        <v/>
      </c>
      <c r="J227">
        <f t="shared" si="20"/>
        <v>0</v>
      </c>
      <c r="K227" t="str">
        <f t="shared" si="21"/>
        <v>COMPLETE</v>
      </c>
    </row>
    <row r="228" spans="7:11">
      <c r="G228" s="2">
        <v>22</v>
      </c>
      <c r="H228" s="2" t="str">
        <f t="shared" si="18"/>
        <v/>
      </c>
      <c r="I228" t="str">
        <f t="shared" si="19"/>
        <v/>
      </c>
      <c r="J228">
        <f t="shared" si="20"/>
        <v>0</v>
      </c>
      <c r="K228" t="str">
        <f t="shared" si="21"/>
        <v>COMPLETE</v>
      </c>
    </row>
    <row r="229" spans="7:11">
      <c r="G229" s="2">
        <v>23</v>
      </c>
      <c r="H229" s="2" t="str">
        <f t="shared" si="18"/>
        <v/>
      </c>
      <c r="I229" t="str">
        <f t="shared" si="19"/>
        <v/>
      </c>
      <c r="J229">
        <f t="shared" si="20"/>
        <v>0</v>
      </c>
      <c r="K229" t="str">
        <f t="shared" si="21"/>
        <v>COMPLETE</v>
      </c>
    </row>
    <row r="230" spans="7:11">
      <c r="G230" s="2">
        <v>24</v>
      </c>
      <c r="H230" s="2" t="str">
        <f t="shared" si="18"/>
        <v/>
      </c>
      <c r="I230" t="str">
        <f t="shared" si="19"/>
        <v/>
      </c>
      <c r="J230">
        <f t="shared" si="20"/>
        <v>0</v>
      </c>
      <c r="K230" t="str">
        <f t="shared" si="21"/>
        <v>COMPLETE</v>
      </c>
    </row>
    <row r="231" spans="7:11">
      <c r="G231" s="2">
        <v>25</v>
      </c>
      <c r="H231" s="2" t="str">
        <f t="shared" si="18"/>
        <v/>
      </c>
      <c r="I231" t="str">
        <f t="shared" si="19"/>
        <v/>
      </c>
      <c r="J231">
        <f t="shared" si="20"/>
        <v>0</v>
      </c>
      <c r="K231" t="str">
        <f t="shared" si="21"/>
        <v>COMPLETE</v>
      </c>
    </row>
    <row r="232" spans="7:11">
      <c r="G232" s="2">
        <v>26</v>
      </c>
      <c r="H232" s="2" t="str">
        <f t="shared" si="18"/>
        <v/>
      </c>
      <c r="I232" t="str">
        <f t="shared" si="19"/>
        <v/>
      </c>
      <c r="J232">
        <f t="shared" si="20"/>
        <v>0</v>
      </c>
      <c r="K232" t="str">
        <f t="shared" si="21"/>
        <v>COMPLETE</v>
      </c>
    </row>
    <row r="233" spans="7:11">
      <c r="G233" s="2">
        <v>27</v>
      </c>
      <c r="H233" s="2" t="str">
        <f t="shared" si="18"/>
        <v/>
      </c>
      <c r="I233" t="str">
        <f t="shared" si="19"/>
        <v/>
      </c>
      <c r="J233">
        <f t="shared" si="20"/>
        <v>0</v>
      </c>
      <c r="K233" t="str">
        <f t="shared" si="21"/>
        <v>COMPLETE</v>
      </c>
    </row>
    <row r="234" spans="7:11">
      <c r="G234" s="2">
        <v>28</v>
      </c>
      <c r="H234" s="2" t="str">
        <f t="shared" si="18"/>
        <v/>
      </c>
      <c r="I234" t="str">
        <f t="shared" si="19"/>
        <v/>
      </c>
      <c r="J234">
        <f t="shared" si="20"/>
        <v>0</v>
      </c>
      <c r="K234" t="str">
        <f t="shared" si="21"/>
        <v>COMPLETE</v>
      </c>
    </row>
    <row r="235" spans="7:11">
      <c r="G235" s="2">
        <v>29</v>
      </c>
      <c r="H235" s="2" t="str">
        <f t="shared" si="18"/>
        <v/>
      </c>
      <c r="I235" t="str">
        <f t="shared" si="19"/>
        <v/>
      </c>
      <c r="J235">
        <f t="shared" si="20"/>
        <v>0</v>
      </c>
      <c r="K235" t="str">
        <f t="shared" si="21"/>
        <v>COMPLETE</v>
      </c>
    </row>
    <row r="236" spans="7:11">
      <c r="G236" s="2">
        <v>30</v>
      </c>
      <c r="H236" s="2" t="str">
        <f t="shared" si="18"/>
        <v/>
      </c>
      <c r="I236" t="str">
        <f t="shared" si="19"/>
        <v/>
      </c>
      <c r="J236">
        <f t="shared" si="20"/>
        <v>0</v>
      </c>
      <c r="K236" t="str">
        <f t="shared" si="21"/>
        <v>COMPLETE</v>
      </c>
    </row>
    <row r="237" spans="7:11">
      <c r="G237" s="2">
        <v>31</v>
      </c>
      <c r="H237" s="2" t="str">
        <f t="shared" si="18"/>
        <v/>
      </c>
      <c r="I237" t="str">
        <f t="shared" si="19"/>
        <v/>
      </c>
      <c r="J237">
        <f t="shared" si="20"/>
        <v>0</v>
      </c>
      <c r="K237" t="str">
        <f t="shared" si="21"/>
        <v>COMPLETE</v>
      </c>
    </row>
    <row r="238" spans="7:11">
      <c r="G238" s="2">
        <v>32</v>
      </c>
      <c r="H238" s="2" t="str">
        <f t="shared" si="18"/>
        <v/>
      </c>
      <c r="I238" t="str">
        <f t="shared" si="19"/>
        <v/>
      </c>
      <c r="J238">
        <f t="shared" si="20"/>
        <v>0</v>
      </c>
      <c r="K238" t="str">
        <f t="shared" si="21"/>
        <v>COMPLETE</v>
      </c>
    </row>
    <row r="239" spans="7:11">
      <c r="G239" s="2">
        <v>33</v>
      </c>
      <c r="H239" s="2" t="str">
        <f t="shared" si="18"/>
        <v/>
      </c>
      <c r="I239" t="str">
        <f t="shared" si="19"/>
        <v/>
      </c>
      <c r="J239">
        <f t="shared" si="20"/>
        <v>0</v>
      </c>
      <c r="K239" t="str">
        <f t="shared" si="21"/>
        <v>COMPLETE</v>
      </c>
    </row>
    <row r="240" spans="7:11">
      <c r="G240" s="2">
        <v>34</v>
      </c>
      <c r="H240" s="2" t="str">
        <f t="shared" si="18"/>
        <v/>
      </c>
      <c r="I240" t="str">
        <f t="shared" si="19"/>
        <v/>
      </c>
      <c r="J240">
        <f t="shared" si="20"/>
        <v>0</v>
      </c>
      <c r="K240" t="str">
        <f t="shared" si="21"/>
        <v>COMPLETE</v>
      </c>
    </row>
    <row r="241" spans="7:11">
      <c r="G241" s="2">
        <v>35</v>
      </c>
      <c r="H241" s="2" t="str">
        <f t="shared" si="18"/>
        <v/>
      </c>
      <c r="I241" t="str">
        <f t="shared" si="19"/>
        <v/>
      </c>
      <c r="J241">
        <f t="shared" si="20"/>
        <v>0</v>
      </c>
      <c r="K241" t="str">
        <f t="shared" si="21"/>
        <v>COMPLETE</v>
      </c>
    </row>
    <row r="242" spans="7:11">
      <c r="G242" s="2">
        <v>36</v>
      </c>
      <c r="H242" s="2" t="str">
        <f t="shared" si="18"/>
        <v/>
      </c>
      <c r="I242" t="str">
        <f t="shared" si="19"/>
        <v/>
      </c>
      <c r="J242">
        <f t="shared" si="20"/>
        <v>0</v>
      </c>
      <c r="K242" t="str">
        <f t="shared" si="21"/>
        <v>COMPLETE</v>
      </c>
    </row>
    <row r="243" spans="7:11">
      <c r="G243" s="2">
        <v>37</v>
      </c>
      <c r="H243" s="2" t="str">
        <f t="shared" si="18"/>
        <v/>
      </c>
      <c r="I243" t="str">
        <f t="shared" si="19"/>
        <v/>
      </c>
      <c r="J243">
        <f t="shared" si="20"/>
        <v>0</v>
      </c>
      <c r="K243" t="str">
        <f t="shared" si="21"/>
        <v>COMPLETE</v>
      </c>
    </row>
    <row r="244" spans="7:11">
      <c r="G244" s="2">
        <v>38</v>
      </c>
      <c r="H244" s="2" t="str">
        <f t="shared" si="18"/>
        <v/>
      </c>
      <c r="I244" t="str">
        <f t="shared" si="19"/>
        <v/>
      </c>
      <c r="J244">
        <f t="shared" si="20"/>
        <v>0</v>
      </c>
      <c r="K244" t="str">
        <f t="shared" si="21"/>
        <v>COMPLETE</v>
      </c>
    </row>
    <row r="245" spans="7:11">
      <c r="G245" s="2">
        <v>39</v>
      </c>
      <c r="H245" s="2" t="str">
        <f t="shared" si="18"/>
        <v/>
      </c>
      <c r="I245" t="str">
        <f t="shared" si="19"/>
        <v/>
      </c>
      <c r="J245">
        <f t="shared" si="20"/>
        <v>0</v>
      </c>
      <c r="K245" t="str">
        <f t="shared" si="21"/>
        <v>COMPLETE</v>
      </c>
    </row>
    <row r="246" spans="7:11">
      <c r="G246" s="2">
        <v>40</v>
      </c>
      <c r="H246" s="2" t="str">
        <f t="shared" si="18"/>
        <v/>
      </c>
      <c r="I246" t="str">
        <f t="shared" si="19"/>
        <v/>
      </c>
      <c r="J246">
        <f t="shared" si="20"/>
        <v>0</v>
      </c>
      <c r="K246" t="str">
        <f t="shared" si="21"/>
        <v>COMPLETE</v>
      </c>
    </row>
    <row r="247" spans="7:11">
      <c r="G247" s="2">
        <v>41</v>
      </c>
      <c r="H247" s="2" t="str">
        <f t="shared" si="18"/>
        <v/>
      </c>
      <c r="I247" t="str">
        <f t="shared" si="19"/>
        <v/>
      </c>
      <c r="J247">
        <f t="shared" si="20"/>
        <v>0</v>
      </c>
      <c r="K247" t="str">
        <f t="shared" si="21"/>
        <v>COMPLETE</v>
      </c>
    </row>
    <row r="248" spans="7:11">
      <c r="G248" s="2">
        <v>42</v>
      </c>
      <c r="H248" s="2" t="str">
        <f t="shared" si="18"/>
        <v/>
      </c>
      <c r="I248" t="str">
        <f t="shared" si="19"/>
        <v/>
      </c>
      <c r="J248">
        <f t="shared" si="20"/>
        <v>0</v>
      </c>
      <c r="K248" t="str">
        <f t="shared" si="21"/>
        <v>COMPLETE</v>
      </c>
    </row>
    <row r="249" spans="7:11">
      <c r="G249" s="2">
        <v>43</v>
      </c>
      <c r="H249" s="2" t="str">
        <f t="shared" si="18"/>
        <v/>
      </c>
      <c r="I249" t="str">
        <f t="shared" si="19"/>
        <v/>
      </c>
      <c r="J249">
        <f t="shared" si="20"/>
        <v>0</v>
      </c>
      <c r="K249" t="str">
        <f t="shared" si="21"/>
        <v>COMPLETE</v>
      </c>
    </row>
    <row r="250" spans="7:11">
      <c r="G250" s="2">
        <v>44</v>
      </c>
      <c r="H250" s="2" t="str">
        <f t="shared" si="18"/>
        <v/>
      </c>
      <c r="I250" t="str">
        <f t="shared" si="19"/>
        <v/>
      </c>
      <c r="J250">
        <f t="shared" si="20"/>
        <v>0</v>
      </c>
      <c r="K250" t="str">
        <f t="shared" si="21"/>
        <v>COMPLETE</v>
      </c>
    </row>
    <row r="251" spans="7:11">
      <c r="G251" s="2">
        <v>45</v>
      </c>
      <c r="H251" s="2" t="str">
        <f t="shared" si="18"/>
        <v/>
      </c>
      <c r="I251" t="str">
        <f t="shared" si="19"/>
        <v/>
      </c>
      <c r="J251">
        <f t="shared" si="20"/>
        <v>0</v>
      </c>
      <c r="K251" t="str">
        <f t="shared" si="21"/>
        <v>COMPLETE</v>
      </c>
    </row>
    <row r="252" spans="7:11">
      <c r="G252" s="2">
        <v>46</v>
      </c>
      <c r="H252" s="2" t="str">
        <f t="shared" si="18"/>
        <v/>
      </c>
      <c r="I252" t="str">
        <f t="shared" si="19"/>
        <v/>
      </c>
      <c r="J252">
        <f t="shared" si="20"/>
        <v>0</v>
      </c>
      <c r="K252" t="str">
        <f t="shared" si="21"/>
        <v>COMPLETE</v>
      </c>
    </row>
    <row r="253" spans="7:11">
      <c r="G253" s="2">
        <v>47</v>
      </c>
      <c r="H253" s="2" t="str">
        <f t="shared" si="18"/>
        <v/>
      </c>
      <c r="I253" t="str">
        <f t="shared" si="19"/>
        <v/>
      </c>
      <c r="J253">
        <f t="shared" si="20"/>
        <v>0</v>
      </c>
      <c r="K253" t="str">
        <f t="shared" si="21"/>
        <v>COMPLETE</v>
      </c>
    </row>
    <row r="254" spans="7:11">
      <c r="G254" s="2">
        <v>48</v>
      </c>
      <c r="H254" s="2" t="str">
        <f t="shared" si="18"/>
        <v/>
      </c>
      <c r="I254" t="str">
        <f t="shared" si="19"/>
        <v/>
      </c>
      <c r="J254">
        <f t="shared" si="20"/>
        <v>0</v>
      </c>
      <c r="K254" t="str">
        <f t="shared" si="21"/>
        <v>COMPLETE</v>
      </c>
    </row>
    <row r="255" spans="7:11">
      <c r="G255" s="2">
        <v>49</v>
      </c>
      <c r="H255" s="2" t="str">
        <f t="shared" si="18"/>
        <v/>
      </c>
      <c r="I255" t="str">
        <f t="shared" si="19"/>
        <v/>
      </c>
      <c r="J255">
        <f t="shared" si="20"/>
        <v>0</v>
      </c>
      <c r="K255" t="str">
        <f t="shared" si="21"/>
        <v>COMPLETE</v>
      </c>
    </row>
    <row r="256" spans="7:11">
      <c r="G256" s="2">
        <v>50</v>
      </c>
      <c r="H256" s="2" t="str">
        <f t="shared" si="18"/>
        <v/>
      </c>
      <c r="I256" t="str">
        <f t="shared" si="19"/>
        <v/>
      </c>
      <c r="J256">
        <f t="shared" si="20"/>
        <v>0</v>
      </c>
      <c r="K256" t="str">
        <f t="shared" si="21"/>
        <v>COMPLETE</v>
      </c>
    </row>
  </sheetData>
  <mergeCells count="10">
    <mergeCell ref="A1:C1"/>
    <mergeCell ref="W1:Y1"/>
    <mergeCell ref="Q1:S1"/>
    <mergeCell ref="Q3:Q4"/>
    <mergeCell ref="Q5:Q6"/>
    <mergeCell ref="AE2:AG2"/>
    <mergeCell ref="AE5:AG5"/>
    <mergeCell ref="Q7:Q8"/>
    <mergeCell ref="Q9:Q10"/>
    <mergeCell ref="Q11:Q12"/>
  </mergeCells>
  <conditionalFormatting sqref="J1:J1048576">
    <cfRule type="cellIs" dxfId="1" priority="2" operator="equal">
      <formula>0</formula>
    </cfRule>
  </conditionalFormatting>
  <conditionalFormatting sqref="K1:K1048576">
    <cfRule type="containsText" dxfId="0" priority="1" operator="containsText" text="COMPLETE">
      <formula>NOT(ISERROR(SEARCH("COMPLETE",K1)))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COMMON1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Issac Paul</dc:creator>
  <cp:lastModifiedBy>Issac Paul</cp:lastModifiedBy>
  <dcterms:created xsi:type="dcterms:W3CDTF">2020-03-31T10:08:27Z</dcterms:created>
  <dcterms:modified xsi:type="dcterms:W3CDTF">2020-08-11T19:27:28Z</dcterms:modified>
</cp:coreProperties>
</file>