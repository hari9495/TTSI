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BL\"/>
    </mc:Choice>
  </mc:AlternateContent>
  <bookViews>
    <workbookView xWindow="0" yWindow="0" windowWidth="20490" windowHeight="8910"/>
  </bookViews>
  <sheets>
    <sheet name="Sheet1" sheetId="1" r:id="rId1"/>
    <sheet name="bgr" sheetId="3" state="hidden" r:id="rId2"/>
    <sheet name="PendingDetails" sheetId="6" r:id="rId3"/>
    <sheet name="Pending" sheetId="2" r:id="rId4"/>
    <sheet name="Consolidated" sheetId="9" r:id="rId5"/>
  </sheets>
  <definedNames>
    <definedName name="_xlnm.Print_Area" localSheetId="0">Sheet1!$B$2:$AT$25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U18" i="9" l="1"/>
  <c r="AT18" i="9"/>
  <c r="AS18" i="9"/>
  <c r="AR18" i="9"/>
  <c r="AP18" i="9"/>
  <c r="AN18" i="9"/>
  <c r="AK18" i="9"/>
  <c r="AI18" i="9"/>
  <c r="AH18" i="9"/>
  <c r="AG18" i="9"/>
  <c r="AD18" i="9"/>
  <c r="AC18" i="9"/>
  <c r="AE18" i="9" s="1"/>
  <c r="AA18" i="9"/>
  <c r="Z18" i="9"/>
  <c r="Y18" i="9"/>
  <c r="X18" i="9"/>
  <c r="W18" i="9"/>
  <c r="V18" i="9"/>
  <c r="T18" i="9"/>
  <c r="S18" i="9"/>
  <c r="R18" i="9"/>
  <c r="Q18" i="9"/>
  <c r="P18" i="9"/>
  <c r="O18" i="9"/>
  <c r="K18" i="9"/>
  <c r="G18" i="9"/>
  <c r="F18" i="9"/>
  <c r="E18" i="9"/>
  <c r="D18" i="9"/>
  <c r="C18" i="9"/>
  <c r="B18" i="9"/>
  <c r="A18" i="9"/>
  <c r="AU17" i="9"/>
  <c r="AT17" i="9"/>
  <c r="M17" i="9" s="1"/>
  <c r="AS17" i="9"/>
  <c r="J17" i="9" s="1"/>
  <c r="AL17" i="9" s="1"/>
  <c r="AR17" i="9"/>
  <c r="AN17" i="9"/>
  <c r="AK17" i="9"/>
  <c r="AI17" i="9"/>
  <c r="AH17" i="9"/>
  <c r="AG17" i="9"/>
  <c r="AD17" i="9"/>
  <c r="AC17" i="9"/>
  <c r="AA17" i="9"/>
  <c r="Z17" i="9"/>
  <c r="Y17" i="9"/>
  <c r="AB17" i="9" s="1"/>
  <c r="AF17" i="9" s="1"/>
  <c r="X17" i="9"/>
  <c r="W17" i="9"/>
  <c r="V17" i="9"/>
  <c r="T17" i="9"/>
  <c r="S17" i="9"/>
  <c r="R17" i="9"/>
  <c r="Q17" i="9"/>
  <c r="P17" i="9"/>
  <c r="O17" i="9"/>
  <c r="K17" i="9"/>
  <c r="G17" i="9"/>
  <c r="F17" i="9"/>
  <c r="E17" i="9"/>
  <c r="D17" i="9"/>
  <c r="C17" i="9"/>
  <c r="B17" i="9"/>
  <c r="A17" i="9"/>
  <c r="AP17" i="9" s="1"/>
  <c r="AU16" i="9"/>
  <c r="AT16" i="9"/>
  <c r="AS16" i="9"/>
  <c r="AR16" i="9"/>
  <c r="AP16" i="9"/>
  <c r="AN16" i="9"/>
  <c r="AK16" i="9"/>
  <c r="AI16" i="9"/>
  <c r="AH16" i="9"/>
  <c r="AG16" i="9"/>
  <c r="AD16" i="9"/>
  <c r="AE16" i="9" s="1"/>
  <c r="AC16" i="9"/>
  <c r="AA16" i="9"/>
  <c r="Z16" i="9"/>
  <c r="Y16" i="9"/>
  <c r="X16" i="9"/>
  <c r="W16" i="9"/>
  <c r="V16" i="9"/>
  <c r="AB16" i="9" s="1"/>
  <c r="AF16" i="9" s="1"/>
  <c r="T16" i="9"/>
  <c r="S16" i="9"/>
  <c r="R16" i="9"/>
  <c r="Q16" i="9"/>
  <c r="P16" i="9"/>
  <c r="O16" i="9"/>
  <c r="K16" i="9"/>
  <c r="G16" i="9"/>
  <c r="F16" i="9"/>
  <c r="E16" i="9"/>
  <c r="D16" i="9"/>
  <c r="C16" i="9"/>
  <c r="B16" i="9"/>
  <c r="A16" i="9"/>
  <c r="AU15" i="9"/>
  <c r="AT15" i="9"/>
  <c r="AS15" i="9"/>
  <c r="AR15" i="9"/>
  <c r="AN15" i="9"/>
  <c r="AK15" i="9"/>
  <c r="AI15" i="9"/>
  <c r="AH15" i="9"/>
  <c r="AG15" i="9"/>
  <c r="AD15" i="9"/>
  <c r="AC15" i="9"/>
  <c r="AA15" i="9"/>
  <c r="Z15" i="9"/>
  <c r="Y15" i="9"/>
  <c r="AB15" i="9" s="1"/>
  <c r="AF15" i="9" s="1"/>
  <c r="X15" i="9"/>
  <c r="W15" i="9"/>
  <c r="V15" i="9"/>
  <c r="T15" i="9"/>
  <c r="S15" i="9"/>
  <c r="R15" i="9"/>
  <c r="Q15" i="9"/>
  <c r="P15" i="9"/>
  <c r="O15" i="9"/>
  <c r="K15" i="9"/>
  <c r="G15" i="9"/>
  <c r="F15" i="9"/>
  <c r="E15" i="9"/>
  <c r="D15" i="9"/>
  <c r="C15" i="9"/>
  <c r="B15" i="9"/>
  <c r="A15" i="9"/>
  <c r="AP15" i="9" s="1"/>
  <c r="AU14" i="9"/>
  <c r="AT14" i="9"/>
  <c r="AS14" i="9"/>
  <c r="AR14" i="9"/>
  <c r="AP14" i="9"/>
  <c r="AN14" i="9"/>
  <c r="AK14" i="9"/>
  <c r="AI14" i="9"/>
  <c r="AH14" i="9"/>
  <c r="AG14" i="9"/>
  <c r="AD14" i="9"/>
  <c r="AE14" i="9" s="1"/>
  <c r="AC14" i="9"/>
  <c r="AA14" i="9"/>
  <c r="Z14" i="9"/>
  <c r="Y14" i="9"/>
  <c r="X14" i="9"/>
  <c r="W14" i="9"/>
  <c r="V14" i="9"/>
  <c r="AB14" i="9" s="1"/>
  <c r="AF14" i="9" s="1"/>
  <c r="T14" i="9"/>
  <c r="S14" i="9"/>
  <c r="R14" i="9"/>
  <c r="Q14" i="9"/>
  <c r="P14" i="9"/>
  <c r="O14" i="9"/>
  <c r="K14" i="9"/>
  <c r="G14" i="9"/>
  <c r="F14" i="9"/>
  <c r="E14" i="9"/>
  <c r="D14" i="9"/>
  <c r="C14" i="9"/>
  <c r="B14" i="9"/>
  <c r="A14" i="9"/>
  <c r="AU13" i="9"/>
  <c r="AT13" i="9"/>
  <c r="M13" i="9" s="1"/>
  <c r="AS13" i="9"/>
  <c r="J13" i="9" s="1"/>
  <c r="AL13" i="9" s="1"/>
  <c r="AR13" i="9"/>
  <c r="AN13" i="9"/>
  <c r="AK13" i="9"/>
  <c r="AI13" i="9"/>
  <c r="AH13" i="9"/>
  <c r="AG13" i="9"/>
  <c r="AD13" i="9"/>
  <c r="AC13" i="9"/>
  <c r="AA13" i="9"/>
  <c r="Z13" i="9"/>
  <c r="Y13" i="9"/>
  <c r="AB13" i="9" s="1"/>
  <c r="AF13" i="9" s="1"/>
  <c r="X13" i="9"/>
  <c r="W13" i="9"/>
  <c r="V13" i="9"/>
  <c r="T13" i="9"/>
  <c r="S13" i="9"/>
  <c r="R13" i="9"/>
  <c r="Q13" i="9"/>
  <c r="P13" i="9"/>
  <c r="O13" i="9"/>
  <c r="K13" i="9"/>
  <c r="G13" i="9"/>
  <c r="F13" i="9"/>
  <c r="E13" i="9"/>
  <c r="D13" i="9"/>
  <c r="C13" i="9"/>
  <c r="B13" i="9"/>
  <c r="A13" i="9"/>
  <c r="AP13" i="9" s="1"/>
  <c r="AU12" i="9"/>
  <c r="AT12" i="9"/>
  <c r="AS12" i="9"/>
  <c r="AR12" i="9"/>
  <c r="AP12" i="9"/>
  <c r="AN12" i="9"/>
  <c r="AK12" i="9"/>
  <c r="AI12" i="9"/>
  <c r="AH12" i="9"/>
  <c r="AG12" i="9"/>
  <c r="AD12" i="9"/>
  <c r="AC12" i="9"/>
  <c r="AA12" i="9"/>
  <c r="Z12" i="9"/>
  <c r="Y12" i="9"/>
  <c r="X12" i="9"/>
  <c r="W12" i="9"/>
  <c r="V12" i="9"/>
  <c r="AB12" i="9" s="1"/>
  <c r="AF12" i="9" s="1"/>
  <c r="T12" i="9"/>
  <c r="S12" i="9"/>
  <c r="R12" i="9"/>
  <c r="Q12" i="9"/>
  <c r="P12" i="9"/>
  <c r="O12" i="9"/>
  <c r="K12" i="9"/>
  <c r="G12" i="9"/>
  <c r="F12" i="9"/>
  <c r="E12" i="9"/>
  <c r="D12" i="9"/>
  <c r="C12" i="9"/>
  <c r="B12" i="9"/>
  <c r="A12" i="9"/>
  <c r="AU11" i="9"/>
  <c r="AT11" i="9"/>
  <c r="M11" i="9" s="1"/>
  <c r="AS11" i="9"/>
  <c r="J11" i="9" s="1"/>
  <c r="AL11" i="9" s="1"/>
  <c r="AR11" i="9"/>
  <c r="AN11" i="9"/>
  <c r="AK11" i="9"/>
  <c r="AI11" i="9"/>
  <c r="AH11" i="9"/>
  <c r="AG11" i="9"/>
  <c r="AD11" i="9"/>
  <c r="AC11" i="9"/>
  <c r="AA11" i="9"/>
  <c r="Z11" i="9"/>
  <c r="Y11" i="9"/>
  <c r="AB11" i="9" s="1"/>
  <c r="AF11" i="9" s="1"/>
  <c r="X11" i="9"/>
  <c r="W11" i="9"/>
  <c r="V11" i="9"/>
  <c r="T11" i="9"/>
  <c r="S11" i="9"/>
  <c r="R11" i="9"/>
  <c r="Q11" i="9"/>
  <c r="P11" i="9"/>
  <c r="O11" i="9"/>
  <c r="K11" i="9"/>
  <c r="G11" i="9"/>
  <c r="F11" i="9"/>
  <c r="E11" i="9"/>
  <c r="D11" i="9"/>
  <c r="C11" i="9"/>
  <c r="B11" i="9"/>
  <c r="A11" i="9"/>
  <c r="AP11" i="9" s="1"/>
  <c r="AU10" i="9"/>
  <c r="AT10" i="9"/>
  <c r="AS10" i="9"/>
  <c r="AR10" i="9"/>
  <c r="AP10" i="9"/>
  <c r="AN10" i="9"/>
  <c r="AK10" i="9"/>
  <c r="AI10" i="9"/>
  <c r="AH10" i="9"/>
  <c r="AG10" i="9"/>
  <c r="AD10" i="9"/>
  <c r="AE10" i="9" s="1"/>
  <c r="AC10" i="9"/>
  <c r="AA10" i="9"/>
  <c r="Z10" i="9"/>
  <c r="Y10" i="9"/>
  <c r="X10" i="9"/>
  <c r="W10" i="9"/>
  <c r="V10" i="9"/>
  <c r="AB10" i="9" s="1"/>
  <c r="AF10" i="9" s="1"/>
  <c r="T10" i="9"/>
  <c r="S10" i="9"/>
  <c r="R10" i="9"/>
  <c r="Q10" i="9"/>
  <c r="P10" i="9"/>
  <c r="O10" i="9"/>
  <c r="K10" i="9"/>
  <c r="G10" i="9"/>
  <c r="F10" i="9"/>
  <c r="E10" i="9"/>
  <c r="D10" i="9"/>
  <c r="C10" i="9"/>
  <c r="B10" i="9"/>
  <c r="A10" i="9"/>
  <c r="AU9" i="9"/>
  <c r="AT9" i="9"/>
  <c r="M9" i="9" s="1"/>
  <c r="AS9" i="9"/>
  <c r="J9" i="9" s="1"/>
  <c r="AL9" i="9" s="1"/>
  <c r="AR9" i="9"/>
  <c r="AN9" i="9"/>
  <c r="AK9" i="9"/>
  <c r="AI9" i="9"/>
  <c r="AH9" i="9"/>
  <c r="AG9" i="9"/>
  <c r="AD9" i="9"/>
  <c r="AC9" i="9"/>
  <c r="AA9" i="9"/>
  <c r="Z9" i="9"/>
  <c r="Y9" i="9"/>
  <c r="AB9" i="9" s="1"/>
  <c r="AF9" i="9" s="1"/>
  <c r="X9" i="9"/>
  <c r="W9" i="9"/>
  <c r="V9" i="9"/>
  <c r="T9" i="9"/>
  <c r="S9" i="9"/>
  <c r="R9" i="9"/>
  <c r="Q9" i="9"/>
  <c r="P9" i="9"/>
  <c r="O9" i="9"/>
  <c r="K9" i="9"/>
  <c r="G9" i="9"/>
  <c r="F9" i="9"/>
  <c r="E9" i="9"/>
  <c r="D9" i="9"/>
  <c r="C9" i="9"/>
  <c r="B9" i="9"/>
  <c r="A9" i="9"/>
  <c r="AJ9" i="9" s="1"/>
  <c r="AU8" i="9"/>
  <c r="AT8" i="9"/>
  <c r="AS8" i="9"/>
  <c r="AR8" i="9"/>
  <c r="AP8" i="9"/>
  <c r="AN8" i="9"/>
  <c r="AK8" i="9"/>
  <c r="AI8" i="9"/>
  <c r="AH8" i="9"/>
  <c r="AG8" i="9"/>
  <c r="AD8" i="9"/>
  <c r="AE8" i="9" s="1"/>
  <c r="AC8" i="9"/>
  <c r="AA8" i="9"/>
  <c r="Z8" i="9"/>
  <c r="Y8" i="9"/>
  <c r="X8" i="9"/>
  <c r="W8" i="9"/>
  <c r="V8" i="9"/>
  <c r="AB8" i="9" s="1"/>
  <c r="AF8" i="9" s="1"/>
  <c r="T8" i="9"/>
  <c r="S8" i="9"/>
  <c r="R8" i="9"/>
  <c r="Q8" i="9"/>
  <c r="P8" i="9"/>
  <c r="O8" i="9"/>
  <c r="K8" i="9"/>
  <c r="G8" i="9"/>
  <c r="F8" i="9"/>
  <c r="E8" i="9"/>
  <c r="D8" i="9"/>
  <c r="C8" i="9"/>
  <c r="B8" i="9"/>
  <c r="A8" i="9"/>
  <c r="AU7" i="9"/>
  <c r="AT7" i="9"/>
  <c r="AS7" i="9"/>
  <c r="J7" i="9" s="1"/>
  <c r="AL7" i="9" s="1"/>
  <c r="AR7" i="9"/>
  <c r="AN7" i="9"/>
  <c r="AK7" i="9"/>
  <c r="AI7" i="9"/>
  <c r="AH7" i="9"/>
  <c r="AG7" i="9"/>
  <c r="AD7" i="9"/>
  <c r="AC7" i="9"/>
  <c r="AA7" i="9"/>
  <c r="Z7" i="9"/>
  <c r="Y7" i="9"/>
  <c r="AB7" i="9" s="1"/>
  <c r="AF7" i="9" s="1"/>
  <c r="X7" i="9"/>
  <c r="W7" i="9"/>
  <c r="V7" i="9"/>
  <c r="T7" i="9"/>
  <c r="S7" i="9"/>
  <c r="R7" i="9"/>
  <c r="Q7" i="9"/>
  <c r="P7" i="9"/>
  <c r="O7" i="9"/>
  <c r="K7" i="9"/>
  <c r="G7" i="9"/>
  <c r="F7" i="9"/>
  <c r="E7" i="9"/>
  <c r="D7" i="9"/>
  <c r="C7" i="9"/>
  <c r="B7" i="9"/>
  <c r="A7" i="9"/>
  <c r="AP7" i="9" s="1"/>
  <c r="AU6" i="9"/>
  <c r="AT6" i="9"/>
  <c r="AS6" i="9"/>
  <c r="AR6" i="9"/>
  <c r="AP6" i="9"/>
  <c r="AN6" i="9"/>
  <c r="AK6" i="9"/>
  <c r="AI6" i="9"/>
  <c r="AH6" i="9"/>
  <c r="AG6" i="9"/>
  <c r="AD6" i="9"/>
  <c r="AC6" i="9"/>
  <c r="AE6" i="9" s="1"/>
  <c r="AA6" i="9"/>
  <c r="Z6" i="9"/>
  <c r="Y6" i="9"/>
  <c r="X6" i="9"/>
  <c r="W6" i="9"/>
  <c r="V6" i="9"/>
  <c r="T6" i="9"/>
  <c r="S6" i="9"/>
  <c r="R6" i="9"/>
  <c r="Q6" i="9"/>
  <c r="P6" i="9"/>
  <c r="O6" i="9"/>
  <c r="K6" i="9"/>
  <c r="G6" i="9"/>
  <c r="F6" i="9"/>
  <c r="E6" i="9"/>
  <c r="D6" i="9"/>
  <c r="C6" i="9"/>
  <c r="B6" i="9"/>
  <c r="A6" i="9"/>
  <c r="AU5" i="9"/>
  <c r="AT5" i="9"/>
  <c r="M5" i="9" s="1"/>
  <c r="AS5" i="9"/>
  <c r="J5" i="9" s="1"/>
  <c r="AL5" i="9" s="1"/>
  <c r="AR5" i="9"/>
  <c r="AN5" i="9"/>
  <c r="AK5" i="9"/>
  <c r="AI5" i="9"/>
  <c r="AH5" i="9"/>
  <c r="AG5" i="9"/>
  <c r="AD5" i="9"/>
  <c r="AC5" i="9"/>
  <c r="AA5" i="9"/>
  <c r="Z5" i="9"/>
  <c r="Y5" i="9"/>
  <c r="AB5" i="9" s="1"/>
  <c r="AF5" i="9" s="1"/>
  <c r="X5" i="9"/>
  <c r="W5" i="9"/>
  <c r="V5" i="9"/>
  <c r="T5" i="9"/>
  <c r="S5" i="9"/>
  <c r="R5" i="9"/>
  <c r="Q5" i="9"/>
  <c r="P5" i="9"/>
  <c r="O5" i="9"/>
  <c r="K5" i="9"/>
  <c r="G5" i="9"/>
  <c r="F5" i="9"/>
  <c r="E5" i="9"/>
  <c r="D5" i="9"/>
  <c r="C5" i="9"/>
  <c r="B5" i="9"/>
  <c r="A5" i="9"/>
  <c r="AP5" i="9" s="1"/>
  <c r="AU4" i="9"/>
  <c r="AT4" i="9"/>
  <c r="AS4" i="9"/>
  <c r="AR4" i="9"/>
  <c r="AP4" i="9"/>
  <c r="AN4" i="9"/>
  <c r="AK4" i="9"/>
  <c r="AI4" i="9"/>
  <c r="AH4" i="9"/>
  <c r="AG4" i="9"/>
  <c r="AD4" i="9"/>
  <c r="AE4" i="9" s="1"/>
  <c r="AC4" i="9"/>
  <c r="AA4" i="9"/>
  <c r="Z4" i="9"/>
  <c r="Y4" i="9"/>
  <c r="X4" i="9"/>
  <c r="W4" i="9"/>
  <c r="V4" i="9"/>
  <c r="AB4" i="9" s="1"/>
  <c r="AF4" i="9" s="1"/>
  <c r="T4" i="9"/>
  <c r="S4" i="9"/>
  <c r="R4" i="9"/>
  <c r="Q4" i="9"/>
  <c r="P4" i="9"/>
  <c r="O4" i="9"/>
  <c r="K4" i="9"/>
  <c r="G4" i="9"/>
  <c r="F4" i="9"/>
  <c r="E4" i="9"/>
  <c r="D4" i="9"/>
  <c r="C4" i="9"/>
  <c r="B4" i="9"/>
  <c r="A4" i="9"/>
  <c r="AU3" i="9"/>
  <c r="AT3" i="9"/>
  <c r="AS3" i="9"/>
  <c r="AR3" i="9"/>
  <c r="AN3" i="9"/>
  <c r="AM3" i="9"/>
  <c r="AK3" i="9"/>
  <c r="AI3" i="9"/>
  <c r="AH3" i="9"/>
  <c r="AG3" i="9"/>
  <c r="AD3" i="9"/>
  <c r="AC3" i="9"/>
  <c r="AA3" i="9"/>
  <c r="Z3" i="9"/>
  <c r="AB3" i="9" s="1"/>
  <c r="AF3" i="9" s="1"/>
  <c r="Y3" i="9"/>
  <c r="X3" i="9"/>
  <c r="W3" i="9"/>
  <c r="V3" i="9"/>
  <c r="T3" i="9"/>
  <c r="S3" i="9"/>
  <c r="R3" i="9"/>
  <c r="Q3" i="9"/>
  <c r="P3" i="9"/>
  <c r="O3" i="9"/>
  <c r="L3" i="9"/>
  <c r="K3" i="9"/>
  <c r="G3" i="9"/>
  <c r="F3" i="9"/>
  <c r="E3" i="9"/>
  <c r="D3" i="9"/>
  <c r="C3" i="9"/>
  <c r="B3" i="9"/>
  <c r="A3" i="9"/>
  <c r="AP3" i="9" s="1"/>
  <c r="U2" i="9"/>
  <c r="K2" i="9"/>
  <c r="E2" i="9"/>
  <c r="D2" i="9"/>
  <c r="C2" i="9"/>
  <c r="AB18" i="9"/>
  <c r="AF18" i="9" s="1"/>
  <c r="N18" i="9"/>
  <c r="H18" i="9" s="1"/>
  <c r="M18" i="9"/>
  <c r="J18" i="9"/>
  <c r="AL18" i="9" s="1"/>
  <c r="I18" i="9"/>
  <c r="AO18" i="9"/>
  <c r="AE17" i="9"/>
  <c r="N17" i="9"/>
  <c r="I17" i="9"/>
  <c r="AJ17" i="9"/>
  <c r="J16" i="9"/>
  <c r="N16" i="9"/>
  <c r="M16" i="9"/>
  <c r="I16" i="9"/>
  <c r="AO16" i="9"/>
  <c r="AE15" i="9"/>
  <c r="N15" i="9"/>
  <c r="M15" i="9"/>
  <c r="J15" i="9"/>
  <c r="AL15" i="9" s="1"/>
  <c r="I15" i="9"/>
  <c r="J14" i="9"/>
  <c r="AL14" i="9" s="1"/>
  <c r="N14" i="9"/>
  <c r="H14" i="9" s="1"/>
  <c r="M14" i="9"/>
  <c r="I14" i="9"/>
  <c r="AO14" i="9"/>
  <c r="AE13" i="9"/>
  <c r="N13" i="9"/>
  <c r="I13" i="9"/>
  <c r="J12" i="9"/>
  <c r="AL12" i="9" s="1"/>
  <c r="AE12" i="9"/>
  <c r="N12" i="9"/>
  <c r="M12" i="9"/>
  <c r="I12" i="9"/>
  <c r="AO12" i="9"/>
  <c r="AE11" i="9"/>
  <c r="N11" i="9"/>
  <c r="I11" i="9"/>
  <c r="AJ11" i="9"/>
  <c r="J10" i="9"/>
  <c r="N10" i="9"/>
  <c r="M10" i="9"/>
  <c r="I10" i="9"/>
  <c r="N9" i="9"/>
  <c r="AE9" i="9"/>
  <c r="I9" i="9"/>
  <c r="J8" i="9"/>
  <c r="N8" i="9"/>
  <c r="M8" i="9"/>
  <c r="I8" i="9"/>
  <c r="AO8" i="9"/>
  <c r="AE7" i="9"/>
  <c r="N7" i="9"/>
  <c r="M7" i="9"/>
  <c r="I7" i="9"/>
  <c r="J6" i="9"/>
  <c r="AB6" i="9"/>
  <c r="AF6" i="9" s="1"/>
  <c r="N6" i="9"/>
  <c r="M6" i="9"/>
  <c r="I6" i="9"/>
  <c r="AO6" i="9"/>
  <c r="N5" i="9"/>
  <c r="AO5" i="9"/>
  <c r="AE5" i="9"/>
  <c r="I5" i="9"/>
  <c r="AJ5" i="9"/>
  <c r="J4" i="9"/>
  <c r="I4" i="9"/>
  <c r="N4" i="9"/>
  <c r="M4" i="9"/>
  <c r="N3" i="9"/>
  <c r="I3" i="9"/>
  <c r="AE3" i="9"/>
  <c r="M3" i="9"/>
  <c r="J3" i="9"/>
  <c r="AL3" i="9" s="1"/>
  <c r="AJ3" i="9"/>
  <c r="H13" i="9" l="1"/>
  <c r="AL6" i="9"/>
  <c r="H10" i="9"/>
  <c r="AJ13" i="9"/>
  <c r="H15" i="9"/>
  <c r="H16" i="9"/>
  <c r="H7" i="9"/>
  <c r="AJ7" i="9"/>
  <c r="H4" i="9"/>
  <c r="H5" i="9"/>
  <c r="H8" i="9"/>
  <c r="AL8" i="9"/>
  <c r="H11" i="9"/>
  <c r="H12" i="9"/>
  <c r="AJ15" i="9"/>
  <c r="H17" i="9"/>
  <c r="AP9" i="9"/>
  <c r="H3" i="9"/>
  <c r="H6" i="9"/>
  <c r="H9" i="9"/>
  <c r="AL10" i="9"/>
  <c r="AL16" i="9"/>
  <c r="AO4" i="9"/>
  <c r="AO3" i="9"/>
  <c r="AO10" i="9"/>
  <c r="AQ8" i="9"/>
  <c r="U8" i="9" s="1"/>
  <c r="AQ6" i="9"/>
  <c r="U6" i="9" s="1"/>
  <c r="AL4" i="9"/>
  <c r="AQ10" i="9"/>
  <c r="U10" i="9" s="1"/>
  <c r="AQ5" i="9"/>
  <c r="U5" i="9" s="1"/>
  <c r="AQ12" i="9"/>
  <c r="U12" i="9" s="1"/>
  <c r="AQ17" i="9"/>
  <c r="U17" i="9" s="1"/>
  <c r="AJ4" i="9"/>
  <c r="AJ6" i="9"/>
  <c r="AJ8" i="9"/>
  <c r="AJ10" i="9"/>
  <c r="AJ12" i="9"/>
  <c r="AJ14" i="9"/>
  <c r="AJ16" i="9"/>
  <c r="AJ18" i="9"/>
  <c r="AO7" i="9"/>
  <c r="AO9" i="9"/>
  <c r="AO11" i="9"/>
  <c r="AO13" i="9"/>
  <c r="AO15" i="9"/>
  <c r="AO17" i="9"/>
  <c r="AQ18" i="9"/>
  <c r="U18" i="9" s="1"/>
  <c r="AQ3" i="9"/>
  <c r="U3" i="9" s="1"/>
  <c r="AQ15" i="9" l="1"/>
  <c r="U15" i="9" s="1"/>
  <c r="AQ16" i="9"/>
  <c r="U16" i="9" s="1"/>
  <c r="AQ11" i="9"/>
  <c r="U11" i="9" s="1"/>
  <c r="AQ14" i="9"/>
  <c r="U14" i="9" s="1"/>
  <c r="AQ9" i="9"/>
  <c r="U9" i="9" s="1"/>
  <c r="AQ2" i="9"/>
  <c r="AQ7" i="9"/>
  <c r="U7" i="9" s="1"/>
  <c r="AQ13" i="9"/>
  <c r="U13" i="9" s="1"/>
  <c r="AQ4" i="9"/>
  <c r="U4" i="9" s="1"/>
  <c r="Q17" i="2" l="1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C17" i="2" l="1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E46" i="3" l="1"/>
  <c r="CD46" i="3"/>
  <c r="CC46" i="3"/>
  <c r="CB46" i="3"/>
  <c r="CN46" i="3" s="1"/>
  <c r="BZ46" i="3"/>
  <c r="BY46" i="3"/>
  <c r="BX46" i="3"/>
  <c r="BW46" i="3"/>
  <c r="CM46" i="3" s="1"/>
  <c r="BU46" i="3"/>
  <c r="BT46" i="3"/>
  <c r="BS46" i="3"/>
  <c r="BR46" i="3"/>
  <c r="CL46" i="3" s="1"/>
  <c r="BP46" i="3"/>
  <c r="BQ46" i="3" s="1"/>
  <c r="BO46" i="3"/>
  <c r="BN46" i="3"/>
  <c r="BM46" i="3"/>
  <c r="CK46" i="3" s="1"/>
  <c r="BK46" i="3"/>
  <c r="BJ46" i="3"/>
  <c r="BL46" i="3" s="1"/>
  <c r="BI46" i="3"/>
  <c r="BH46" i="3"/>
  <c r="CJ46" i="3" s="1"/>
  <c r="BF46" i="3"/>
  <c r="BG46" i="3" s="1"/>
  <c r="BE46" i="3"/>
  <c r="BD46" i="3"/>
  <c r="BC46" i="3"/>
  <c r="CI46" i="3" s="1"/>
  <c r="BA46" i="3"/>
  <c r="AZ46" i="3"/>
  <c r="AY46" i="3"/>
  <c r="AX46" i="3"/>
  <c r="CH46" i="3" s="1"/>
  <c r="AV46" i="3"/>
  <c r="AU46" i="3"/>
  <c r="AT46" i="3"/>
  <c r="AS46" i="3"/>
  <c r="CG46" i="3" s="1"/>
  <c r="CE45" i="3"/>
  <c r="CD45" i="3"/>
  <c r="CC45" i="3"/>
  <c r="CB45" i="3"/>
  <c r="CN45" i="3" s="1"/>
  <c r="BZ45" i="3"/>
  <c r="BY45" i="3"/>
  <c r="BX45" i="3"/>
  <c r="BW45" i="3"/>
  <c r="CM45" i="3" s="1"/>
  <c r="BU45" i="3"/>
  <c r="BT45" i="3"/>
  <c r="BS45" i="3"/>
  <c r="BR45" i="3"/>
  <c r="CL45" i="3" s="1"/>
  <c r="BP45" i="3"/>
  <c r="BO45" i="3"/>
  <c r="BQ45" i="3" s="1"/>
  <c r="BN45" i="3"/>
  <c r="BM45" i="3"/>
  <c r="CK45" i="3" s="1"/>
  <c r="BK45" i="3"/>
  <c r="BJ45" i="3"/>
  <c r="BI45" i="3"/>
  <c r="BH45" i="3"/>
  <c r="CJ45" i="3" s="1"/>
  <c r="BF45" i="3"/>
  <c r="BE45" i="3"/>
  <c r="BD45" i="3"/>
  <c r="BC45" i="3"/>
  <c r="CI45" i="3" s="1"/>
  <c r="BA45" i="3"/>
  <c r="AZ45" i="3"/>
  <c r="AY45" i="3"/>
  <c r="AX45" i="3"/>
  <c r="CH45" i="3" s="1"/>
  <c r="AV45" i="3"/>
  <c r="AU45" i="3"/>
  <c r="AT45" i="3"/>
  <c r="AS45" i="3"/>
  <c r="CG45" i="3" s="1"/>
  <c r="CE44" i="3"/>
  <c r="CF44" i="3" s="1"/>
  <c r="CD44" i="3"/>
  <c r="CC44" i="3"/>
  <c r="CB44" i="3"/>
  <c r="CN44" i="3" s="1"/>
  <c r="BZ44" i="3"/>
  <c r="BY44" i="3"/>
  <c r="CA44" i="3" s="1"/>
  <c r="BX44" i="3"/>
  <c r="BW44" i="3"/>
  <c r="CM44" i="3" s="1"/>
  <c r="BU44" i="3"/>
  <c r="BT44" i="3"/>
  <c r="BS44" i="3"/>
  <c r="BR44" i="3"/>
  <c r="CL44" i="3" s="1"/>
  <c r="BP44" i="3"/>
  <c r="BO44" i="3"/>
  <c r="BN44" i="3"/>
  <c r="BM44" i="3"/>
  <c r="CK44" i="3" s="1"/>
  <c r="BK44" i="3"/>
  <c r="BJ44" i="3"/>
  <c r="BI44" i="3"/>
  <c r="BH44" i="3"/>
  <c r="CJ44" i="3" s="1"/>
  <c r="BF44" i="3"/>
  <c r="BE44" i="3"/>
  <c r="BD44" i="3"/>
  <c r="BC44" i="3"/>
  <c r="CI44" i="3" s="1"/>
  <c r="BA44" i="3"/>
  <c r="BB44" i="3" s="1"/>
  <c r="AZ44" i="3"/>
  <c r="AY44" i="3"/>
  <c r="AX44" i="3"/>
  <c r="CH44" i="3" s="1"/>
  <c r="AV44" i="3"/>
  <c r="AU44" i="3"/>
  <c r="AT44" i="3"/>
  <c r="AS44" i="3"/>
  <c r="CG44" i="3" s="1"/>
  <c r="CH43" i="3"/>
  <c r="CE43" i="3"/>
  <c r="CD43" i="3"/>
  <c r="CC43" i="3"/>
  <c r="CB43" i="3"/>
  <c r="CN43" i="3" s="1"/>
  <c r="BZ43" i="3"/>
  <c r="CA43" i="3" s="1"/>
  <c r="BY43" i="3"/>
  <c r="BX43" i="3"/>
  <c r="BW43" i="3"/>
  <c r="CM43" i="3" s="1"/>
  <c r="BU43" i="3"/>
  <c r="BT43" i="3"/>
  <c r="BS43" i="3"/>
  <c r="BR43" i="3"/>
  <c r="CL43" i="3" s="1"/>
  <c r="BP43" i="3"/>
  <c r="BO43" i="3"/>
  <c r="BN43" i="3"/>
  <c r="BM43" i="3"/>
  <c r="CK43" i="3" s="1"/>
  <c r="BK43" i="3"/>
  <c r="BJ43" i="3"/>
  <c r="BI43" i="3"/>
  <c r="BH43" i="3"/>
  <c r="CJ43" i="3" s="1"/>
  <c r="BF43" i="3"/>
  <c r="BE43" i="3"/>
  <c r="BG43" i="3" s="1"/>
  <c r="BD43" i="3"/>
  <c r="BC43" i="3"/>
  <c r="CI43" i="3" s="1"/>
  <c r="BA43" i="3"/>
  <c r="AZ43" i="3"/>
  <c r="AY43" i="3"/>
  <c r="AX43" i="3"/>
  <c r="AV43" i="3"/>
  <c r="AU43" i="3"/>
  <c r="AT43" i="3"/>
  <c r="AS43" i="3"/>
  <c r="CG43" i="3" s="1"/>
  <c r="CE42" i="3"/>
  <c r="CD42" i="3"/>
  <c r="CC42" i="3"/>
  <c r="CB42" i="3"/>
  <c r="CN42" i="3" s="1"/>
  <c r="BZ42" i="3"/>
  <c r="BY42" i="3"/>
  <c r="CA42" i="3" s="1"/>
  <c r="BX42" i="3"/>
  <c r="BW42" i="3"/>
  <c r="CM42" i="3" s="1"/>
  <c r="BU42" i="3"/>
  <c r="BT42" i="3"/>
  <c r="BS42" i="3"/>
  <c r="BR42" i="3"/>
  <c r="CL42" i="3" s="1"/>
  <c r="BP42" i="3"/>
  <c r="BO42" i="3"/>
  <c r="BN42" i="3"/>
  <c r="BM42" i="3"/>
  <c r="CK42" i="3" s="1"/>
  <c r="BK42" i="3"/>
  <c r="BJ42" i="3"/>
  <c r="BI42" i="3"/>
  <c r="BH42" i="3"/>
  <c r="CJ42" i="3" s="1"/>
  <c r="BF42" i="3"/>
  <c r="BE42" i="3"/>
  <c r="BD42" i="3"/>
  <c r="BC42" i="3"/>
  <c r="CI42" i="3" s="1"/>
  <c r="BA42" i="3"/>
  <c r="AZ42" i="3"/>
  <c r="AY42" i="3"/>
  <c r="AX42" i="3"/>
  <c r="CH42" i="3" s="1"/>
  <c r="AV42" i="3"/>
  <c r="AU42" i="3"/>
  <c r="AT42" i="3"/>
  <c r="AS42" i="3"/>
  <c r="CG42" i="3" s="1"/>
  <c r="CE41" i="3"/>
  <c r="CD41" i="3"/>
  <c r="CC41" i="3"/>
  <c r="CB41" i="3"/>
  <c r="CN41" i="3" s="1"/>
  <c r="BZ41" i="3"/>
  <c r="BY41" i="3"/>
  <c r="BX41" i="3"/>
  <c r="BW41" i="3"/>
  <c r="CM41" i="3" s="1"/>
  <c r="BU41" i="3"/>
  <c r="BT41" i="3"/>
  <c r="BS41" i="3"/>
  <c r="BR41" i="3"/>
  <c r="CL41" i="3" s="1"/>
  <c r="BP41" i="3"/>
  <c r="BQ41" i="3" s="1"/>
  <c r="BO41" i="3"/>
  <c r="BN41" i="3"/>
  <c r="BM41" i="3"/>
  <c r="CK41" i="3" s="1"/>
  <c r="BK41" i="3"/>
  <c r="BL41" i="3" s="1"/>
  <c r="BJ41" i="3"/>
  <c r="BI41" i="3"/>
  <c r="BH41" i="3"/>
  <c r="CJ41" i="3" s="1"/>
  <c r="BF41" i="3"/>
  <c r="BE41" i="3"/>
  <c r="BD41" i="3"/>
  <c r="BC41" i="3"/>
  <c r="CI41" i="3" s="1"/>
  <c r="BA41" i="3"/>
  <c r="BB41" i="3" s="1"/>
  <c r="AZ41" i="3"/>
  <c r="AY41" i="3"/>
  <c r="AX41" i="3"/>
  <c r="CH41" i="3" s="1"/>
  <c r="AV41" i="3"/>
  <c r="AU41" i="3"/>
  <c r="AT41" i="3"/>
  <c r="AS41" i="3"/>
  <c r="CG41" i="3" s="1"/>
  <c r="CN40" i="3"/>
  <c r="CE40" i="3"/>
  <c r="CF40" i="3" s="1"/>
  <c r="CD40" i="3"/>
  <c r="CC40" i="3"/>
  <c r="CB40" i="3"/>
  <c r="BZ40" i="3"/>
  <c r="BY40" i="3"/>
  <c r="BX40" i="3"/>
  <c r="BW40" i="3"/>
  <c r="CM40" i="3" s="1"/>
  <c r="BU40" i="3"/>
  <c r="BT40" i="3"/>
  <c r="BS40" i="3"/>
  <c r="BR40" i="3"/>
  <c r="CL40" i="3" s="1"/>
  <c r="BP40" i="3"/>
  <c r="BO40" i="3"/>
  <c r="BN40" i="3"/>
  <c r="BM40" i="3"/>
  <c r="CK40" i="3" s="1"/>
  <c r="BK40" i="3"/>
  <c r="BJ40" i="3"/>
  <c r="BI40" i="3"/>
  <c r="BH40" i="3"/>
  <c r="CJ40" i="3" s="1"/>
  <c r="BF40" i="3"/>
  <c r="BG40" i="3" s="1"/>
  <c r="BE40" i="3"/>
  <c r="BD40" i="3"/>
  <c r="BC40" i="3"/>
  <c r="CI40" i="3" s="1"/>
  <c r="BA40" i="3"/>
  <c r="AZ40" i="3"/>
  <c r="AY40" i="3"/>
  <c r="AX40" i="3"/>
  <c r="CH40" i="3" s="1"/>
  <c r="AV40" i="3"/>
  <c r="AU40" i="3"/>
  <c r="AT40" i="3"/>
  <c r="AS40" i="3"/>
  <c r="CG40" i="3" s="1"/>
  <c r="CE39" i="3"/>
  <c r="CD39" i="3"/>
  <c r="CC39" i="3"/>
  <c r="CB39" i="3"/>
  <c r="CN39" i="3" s="1"/>
  <c r="BZ39" i="3"/>
  <c r="BY39" i="3"/>
  <c r="BX39" i="3"/>
  <c r="BW39" i="3"/>
  <c r="CM39" i="3" s="1"/>
  <c r="BU39" i="3"/>
  <c r="BT39" i="3"/>
  <c r="BS39" i="3"/>
  <c r="BR39" i="3"/>
  <c r="CL39" i="3" s="1"/>
  <c r="BP39" i="3"/>
  <c r="BO39" i="3"/>
  <c r="BN39" i="3"/>
  <c r="BM39" i="3"/>
  <c r="CK39" i="3" s="1"/>
  <c r="BK39" i="3"/>
  <c r="BJ39" i="3"/>
  <c r="BI39" i="3"/>
  <c r="BH39" i="3"/>
  <c r="CJ39" i="3" s="1"/>
  <c r="BF39" i="3"/>
  <c r="BG39" i="3" s="1"/>
  <c r="BE39" i="3"/>
  <c r="BD39" i="3"/>
  <c r="BC39" i="3"/>
  <c r="CI39" i="3" s="1"/>
  <c r="BB39" i="3"/>
  <c r="BA39" i="3"/>
  <c r="AZ39" i="3"/>
  <c r="AY39" i="3"/>
  <c r="AX39" i="3"/>
  <c r="CH39" i="3" s="1"/>
  <c r="AV39" i="3"/>
  <c r="AU39" i="3"/>
  <c r="AT39" i="3"/>
  <c r="AS39" i="3"/>
  <c r="CG39" i="3" s="1"/>
  <c r="CE38" i="3"/>
  <c r="CD38" i="3"/>
  <c r="CC38" i="3"/>
  <c r="CB38" i="3"/>
  <c r="CN38" i="3" s="1"/>
  <c r="BZ38" i="3"/>
  <c r="BY38" i="3"/>
  <c r="BX38" i="3"/>
  <c r="BW38" i="3"/>
  <c r="CM38" i="3" s="1"/>
  <c r="BU38" i="3"/>
  <c r="BT38" i="3"/>
  <c r="BS38" i="3"/>
  <c r="BR38" i="3"/>
  <c r="CL38" i="3" s="1"/>
  <c r="BP38" i="3"/>
  <c r="BO38" i="3"/>
  <c r="BQ38" i="3" s="1"/>
  <c r="BN38" i="3"/>
  <c r="BM38" i="3"/>
  <c r="CK38" i="3" s="1"/>
  <c r="BK38" i="3"/>
  <c r="BJ38" i="3"/>
  <c r="BL38" i="3" s="1"/>
  <c r="BI38" i="3"/>
  <c r="BH38" i="3"/>
  <c r="CJ38" i="3" s="1"/>
  <c r="BF38" i="3"/>
  <c r="BE38" i="3"/>
  <c r="BD38" i="3"/>
  <c r="BC38" i="3"/>
  <c r="CI38" i="3" s="1"/>
  <c r="BA38" i="3"/>
  <c r="AZ38" i="3"/>
  <c r="AY38" i="3"/>
  <c r="AX38" i="3"/>
  <c r="CH38" i="3" s="1"/>
  <c r="AV38" i="3"/>
  <c r="AU38" i="3"/>
  <c r="AT38" i="3"/>
  <c r="AS38" i="3"/>
  <c r="CG38" i="3" s="1"/>
  <c r="CE37" i="3"/>
  <c r="CD37" i="3"/>
  <c r="CC37" i="3"/>
  <c r="CB37" i="3"/>
  <c r="CN37" i="3" s="1"/>
  <c r="BZ37" i="3"/>
  <c r="BY37" i="3"/>
  <c r="CA37" i="3" s="1"/>
  <c r="BX37" i="3"/>
  <c r="BW37" i="3"/>
  <c r="CM37" i="3" s="1"/>
  <c r="BU37" i="3"/>
  <c r="BT37" i="3"/>
  <c r="BV37" i="3" s="1"/>
  <c r="BS37" i="3"/>
  <c r="BR37" i="3"/>
  <c r="CL37" i="3" s="1"/>
  <c r="BP37" i="3"/>
  <c r="BO37" i="3"/>
  <c r="BN37" i="3"/>
  <c r="BM37" i="3"/>
  <c r="CK37" i="3" s="1"/>
  <c r="BK37" i="3"/>
  <c r="BJ37" i="3"/>
  <c r="BI37" i="3"/>
  <c r="BH37" i="3"/>
  <c r="CJ37" i="3" s="1"/>
  <c r="BF37" i="3"/>
  <c r="BE37" i="3"/>
  <c r="BD37" i="3"/>
  <c r="BC37" i="3"/>
  <c r="CI37" i="3" s="1"/>
  <c r="BA37" i="3"/>
  <c r="AZ37" i="3"/>
  <c r="AY37" i="3"/>
  <c r="AX37" i="3"/>
  <c r="CH37" i="3" s="1"/>
  <c r="AV37" i="3"/>
  <c r="AU37" i="3"/>
  <c r="AT37" i="3"/>
  <c r="AS37" i="3"/>
  <c r="CG37" i="3" s="1"/>
  <c r="CN36" i="3"/>
  <c r="CE36" i="3"/>
  <c r="CD36" i="3"/>
  <c r="CF36" i="3" s="1"/>
  <c r="CC36" i="3"/>
  <c r="CB36" i="3"/>
  <c r="BZ36" i="3"/>
  <c r="BY36" i="3"/>
  <c r="BX36" i="3"/>
  <c r="BW36" i="3"/>
  <c r="CM36" i="3" s="1"/>
  <c r="BU36" i="3"/>
  <c r="BT36" i="3"/>
  <c r="BS36" i="3"/>
  <c r="BR36" i="3"/>
  <c r="CL36" i="3" s="1"/>
  <c r="BP36" i="3"/>
  <c r="BO36" i="3"/>
  <c r="BN36" i="3"/>
  <c r="BM36" i="3"/>
  <c r="CK36" i="3" s="1"/>
  <c r="BK36" i="3"/>
  <c r="BJ36" i="3"/>
  <c r="BI36" i="3"/>
  <c r="BH36" i="3"/>
  <c r="CJ36" i="3" s="1"/>
  <c r="BF36" i="3"/>
  <c r="BE36" i="3"/>
  <c r="BD36" i="3"/>
  <c r="BC36" i="3"/>
  <c r="CI36" i="3" s="1"/>
  <c r="BA36" i="3"/>
  <c r="AZ36" i="3"/>
  <c r="AY36" i="3"/>
  <c r="AX36" i="3"/>
  <c r="CH36" i="3" s="1"/>
  <c r="AV36" i="3"/>
  <c r="AU36" i="3"/>
  <c r="AT36" i="3"/>
  <c r="AS36" i="3"/>
  <c r="CG36" i="3" s="1"/>
  <c r="CN35" i="3"/>
  <c r="CH35" i="3"/>
  <c r="CE35" i="3"/>
  <c r="CF35" i="3" s="1"/>
  <c r="CD35" i="3"/>
  <c r="CC35" i="3"/>
  <c r="CB35" i="3"/>
  <c r="BZ35" i="3"/>
  <c r="BY35" i="3"/>
  <c r="BX35" i="3"/>
  <c r="BW35" i="3"/>
  <c r="CM35" i="3" s="1"/>
  <c r="BU35" i="3"/>
  <c r="BT35" i="3"/>
  <c r="BS35" i="3"/>
  <c r="BR35" i="3"/>
  <c r="CL35" i="3" s="1"/>
  <c r="BP35" i="3"/>
  <c r="BO35" i="3"/>
  <c r="BN35" i="3"/>
  <c r="BM35" i="3"/>
  <c r="CK35" i="3" s="1"/>
  <c r="BK35" i="3"/>
  <c r="BL35" i="3" s="1"/>
  <c r="BJ35" i="3"/>
  <c r="BI35" i="3"/>
  <c r="BH35" i="3"/>
  <c r="CJ35" i="3" s="1"/>
  <c r="BF35" i="3"/>
  <c r="BE35" i="3"/>
  <c r="BG35" i="3" s="1"/>
  <c r="BD35" i="3"/>
  <c r="BC35" i="3"/>
  <c r="CI35" i="3" s="1"/>
  <c r="BA35" i="3"/>
  <c r="AZ35" i="3"/>
  <c r="AY35" i="3"/>
  <c r="AX35" i="3"/>
  <c r="AV35" i="3"/>
  <c r="AU35" i="3"/>
  <c r="AT35" i="3"/>
  <c r="AS35" i="3"/>
  <c r="CG35" i="3" s="1"/>
  <c r="CJ34" i="3"/>
  <c r="CE34" i="3"/>
  <c r="CD34" i="3"/>
  <c r="CC34" i="3"/>
  <c r="CB34" i="3"/>
  <c r="CN34" i="3" s="1"/>
  <c r="BZ34" i="3"/>
  <c r="BY34" i="3"/>
  <c r="BX34" i="3"/>
  <c r="BW34" i="3"/>
  <c r="CM34" i="3" s="1"/>
  <c r="BU34" i="3"/>
  <c r="BT34" i="3"/>
  <c r="BS34" i="3"/>
  <c r="BR34" i="3"/>
  <c r="CL34" i="3" s="1"/>
  <c r="BP34" i="3"/>
  <c r="BO34" i="3"/>
  <c r="BQ34" i="3" s="1"/>
  <c r="BN34" i="3"/>
  <c r="BM34" i="3"/>
  <c r="CK34" i="3" s="1"/>
  <c r="BK34" i="3"/>
  <c r="BJ34" i="3"/>
  <c r="BL34" i="3" s="1"/>
  <c r="BI34" i="3"/>
  <c r="BH34" i="3"/>
  <c r="BF34" i="3"/>
  <c r="BE34" i="3"/>
  <c r="BD34" i="3"/>
  <c r="BC34" i="3"/>
  <c r="CI34" i="3" s="1"/>
  <c r="BA34" i="3"/>
  <c r="AZ34" i="3"/>
  <c r="AY34" i="3"/>
  <c r="AX34" i="3"/>
  <c r="CH34" i="3" s="1"/>
  <c r="AV34" i="3"/>
  <c r="AU34" i="3"/>
  <c r="AT34" i="3"/>
  <c r="AS34" i="3"/>
  <c r="CG34" i="3" s="1"/>
  <c r="CJ33" i="3"/>
  <c r="CE33" i="3"/>
  <c r="CD33" i="3"/>
  <c r="CC33" i="3"/>
  <c r="CB33" i="3"/>
  <c r="CN33" i="3" s="1"/>
  <c r="BZ33" i="3"/>
  <c r="BY33" i="3"/>
  <c r="CA33" i="3" s="1"/>
  <c r="BX33" i="3"/>
  <c r="BW33" i="3"/>
  <c r="CM33" i="3" s="1"/>
  <c r="BU33" i="3"/>
  <c r="BT33" i="3"/>
  <c r="BV33" i="3" s="1"/>
  <c r="BS33" i="3"/>
  <c r="BR33" i="3"/>
  <c r="CL33" i="3" s="1"/>
  <c r="BP33" i="3"/>
  <c r="BO33" i="3"/>
  <c r="BN33" i="3"/>
  <c r="BM33" i="3"/>
  <c r="CK33" i="3" s="1"/>
  <c r="BK33" i="3"/>
  <c r="BL33" i="3" s="1"/>
  <c r="BJ33" i="3"/>
  <c r="BI33" i="3"/>
  <c r="BH33" i="3"/>
  <c r="BF33" i="3"/>
  <c r="BE33" i="3"/>
  <c r="BD33" i="3"/>
  <c r="BC33" i="3"/>
  <c r="CI33" i="3" s="1"/>
  <c r="BA33" i="3"/>
  <c r="BB33" i="3" s="1"/>
  <c r="AZ33" i="3"/>
  <c r="AY33" i="3"/>
  <c r="AX33" i="3"/>
  <c r="CH33" i="3" s="1"/>
  <c r="AV33" i="3"/>
  <c r="AU33" i="3"/>
  <c r="AT33" i="3"/>
  <c r="AS33" i="3"/>
  <c r="CG33" i="3" s="1"/>
  <c r="CE32" i="3"/>
  <c r="CD32" i="3"/>
  <c r="CC32" i="3"/>
  <c r="CB32" i="3"/>
  <c r="CN32" i="3" s="1"/>
  <c r="BZ32" i="3"/>
  <c r="BY32" i="3"/>
  <c r="BX32" i="3"/>
  <c r="BW32" i="3"/>
  <c r="CM32" i="3" s="1"/>
  <c r="BU32" i="3"/>
  <c r="BT32" i="3"/>
  <c r="BS32" i="3"/>
  <c r="BR32" i="3"/>
  <c r="CL32" i="3" s="1"/>
  <c r="BP32" i="3"/>
  <c r="BO32" i="3"/>
  <c r="BN32" i="3"/>
  <c r="BM32" i="3"/>
  <c r="CK32" i="3" s="1"/>
  <c r="BK32" i="3"/>
  <c r="BJ32" i="3"/>
  <c r="BI32" i="3"/>
  <c r="BH32" i="3"/>
  <c r="BF32" i="3"/>
  <c r="BE32" i="3"/>
  <c r="BD32" i="3"/>
  <c r="BC32" i="3"/>
  <c r="BA32" i="3"/>
  <c r="AZ32" i="3"/>
  <c r="AY32" i="3"/>
  <c r="AX32" i="3"/>
  <c r="CH32" i="3" s="1"/>
  <c r="AV32" i="3"/>
  <c r="AU32" i="3"/>
  <c r="AT32" i="3"/>
  <c r="AS32" i="3"/>
  <c r="CG32" i="3" s="1"/>
  <c r="CE31" i="3"/>
  <c r="CF31" i="3" s="1"/>
  <c r="CD31" i="3"/>
  <c r="CC31" i="3"/>
  <c r="CB31" i="3"/>
  <c r="CN31" i="3" s="1"/>
  <c r="BZ31" i="3"/>
  <c r="CA31" i="3" s="1"/>
  <c r="BY31" i="3"/>
  <c r="BX31" i="3"/>
  <c r="BW31" i="3"/>
  <c r="CM31" i="3" s="1"/>
  <c r="BU31" i="3"/>
  <c r="BT31" i="3"/>
  <c r="BS31" i="3"/>
  <c r="BR31" i="3"/>
  <c r="CL31" i="3" s="1"/>
  <c r="BP31" i="3"/>
  <c r="BQ31" i="3" s="1"/>
  <c r="BO31" i="3"/>
  <c r="BN31" i="3"/>
  <c r="BM31" i="3"/>
  <c r="CK31" i="3" s="1"/>
  <c r="BK31" i="3"/>
  <c r="BL31" i="3" s="1"/>
  <c r="BJ31" i="3"/>
  <c r="BI31" i="3"/>
  <c r="BH31" i="3"/>
  <c r="CJ31" i="3" s="1"/>
  <c r="BF31" i="3"/>
  <c r="BE31" i="3"/>
  <c r="BD31" i="3"/>
  <c r="BC31" i="3"/>
  <c r="CI31" i="3" s="1"/>
  <c r="BA31" i="3"/>
  <c r="AZ31" i="3"/>
  <c r="AY31" i="3"/>
  <c r="AX31" i="3"/>
  <c r="CH31" i="3" s="1"/>
  <c r="AV31" i="3"/>
  <c r="AU31" i="3"/>
  <c r="AT31" i="3"/>
  <c r="AS31" i="3"/>
  <c r="CG31" i="3" s="1"/>
  <c r="CE30" i="3"/>
  <c r="CD30" i="3"/>
  <c r="CC30" i="3"/>
  <c r="CB30" i="3"/>
  <c r="CN30" i="3" s="1"/>
  <c r="BZ30" i="3"/>
  <c r="BY30" i="3"/>
  <c r="BX30" i="3"/>
  <c r="BW30" i="3"/>
  <c r="CM30" i="3" s="1"/>
  <c r="BU30" i="3"/>
  <c r="BT30" i="3"/>
  <c r="BS30" i="3"/>
  <c r="BR30" i="3"/>
  <c r="CL30" i="3" s="1"/>
  <c r="BP30" i="3"/>
  <c r="BO30" i="3"/>
  <c r="BQ30" i="3" s="1"/>
  <c r="BN30" i="3"/>
  <c r="BM30" i="3"/>
  <c r="CK30" i="3" s="1"/>
  <c r="BK30" i="3"/>
  <c r="BJ30" i="3"/>
  <c r="BI30" i="3"/>
  <c r="BH30" i="3"/>
  <c r="CJ30" i="3" s="1"/>
  <c r="BF30" i="3"/>
  <c r="BE30" i="3"/>
  <c r="BD30" i="3"/>
  <c r="BC30" i="3"/>
  <c r="CI30" i="3" s="1"/>
  <c r="BA30" i="3"/>
  <c r="BB30" i="3" s="1"/>
  <c r="AZ30" i="3"/>
  <c r="AY30" i="3"/>
  <c r="AX30" i="3"/>
  <c r="CH30" i="3" s="1"/>
  <c r="AV30" i="3"/>
  <c r="AW30" i="3" s="1"/>
  <c r="AU30" i="3"/>
  <c r="AT30" i="3"/>
  <c r="AS30" i="3"/>
  <c r="CG30" i="3" s="1"/>
  <c r="CE29" i="3"/>
  <c r="CD29" i="3"/>
  <c r="CC29" i="3"/>
  <c r="CB29" i="3"/>
  <c r="CN29" i="3" s="1"/>
  <c r="BZ29" i="3"/>
  <c r="BY29" i="3"/>
  <c r="BX29" i="3"/>
  <c r="BW29" i="3"/>
  <c r="CM29" i="3" s="1"/>
  <c r="BU29" i="3"/>
  <c r="BT29" i="3"/>
  <c r="BV29" i="3" s="1"/>
  <c r="BS29" i="3"/>
  <c r="BR29" i="3"/>
  <c r="CL29" i="3" s="1"/>
  <c r="BP29" i="3"/>
  <c r="BQ29" i="3" s="1"/>
  <c r="BO29" i="3"/>
  <c r="BN29" i="3"/>
  <c r="BM29" i="3"/>
  <c r="CK29" i="3" s="1"/>
  <c r="BK29" i="3"/>
  <c r="BJ29" i="3"/>
  <c r="BI29" i="3"/>
  <c r="BH29" i="3"/>
  <c r="CJ29" i="3" s="1"/>
  <c r="BF29" i="3"/>
  <c r="BE29" i="3"/>
  <c r="BD29" i="3"/>
  <c r="BC29" i="3"/>
  <c r="CI29" i="3" s="1"/>
  <c r="BA29" i="3"/>
  <c r="AZ29" i="3"/>
  <c r="AY29" i="3"/>
  <c r="AX29" i="3"/>
  <c r="CH29" i="3" s="1"/>
  <c r="AV29" i="3"/>
  <c r="AU29" i="3"/>
  <c r="AT29" i="3"/>
  <c r="AS29" i="3"/>
  <c r="CG29" i="3" s="1"/>
  <c r="CE28" i="3"/>
  <c r="CD28" i="3"/>
  <c r="CF28" i="3" s="1"/>
  <c r="CC28" i="3"/>
  <c r="CB28" i="3"/>
  <c r="CN28" i="3" s="1"/>
  <c r="BZ28" i="3"/>
  <c r="CA28" i="3" s="1"/>
  <c r="BY28" i="3"/>
  <c r="BX28" i="3"/>
  <c r="BW28" i="3"/>
  <c r="CM28" i="3" s="1"/>
  <c r="BU28" i="3"/>
  <c r="BT28" i="3"/>
  <c r="BS28" i="3"/>
  <c r="BR28" i="3"/>
  <c r="CL28" i="3" s="1"/>
  <c r="BP28" i="3"/>
  <c r="BO28" i="3"/>
  <c r="BN28" i="3"/>
  <c r="BM28" i="3"/>
  <c r="CK28" i="3" s="1"/>
  <c r="BK28" i="3"/>
  <c r="BJ28" i="3"/>
  <c r="BI28" i="3"/>
  <c r="BH28" i="3"/>
  <c r="CJ28" i="3" s="1"/>
  <c r="BF28" i="3"/>
  <c r="BE28" i="3"/>
  <c r="BD28" i="3"/>
  <c r="BC28" i="3"/>
  <c r="CI28" i="3" s="1"/>
  <c r="BA28" i="3"/>
  <c r="BB28" i="3" s="1"/>
  <c r="AZ28" i="3"/>
  <c r="AY28" i="3"/>
  <c r="AX28" i="3"/>
  <c r="CH28" i="3" s="1"/>
  <c r="AV28" i="3"/>
  <c r="AU28" i="3"/>
  <c r="AT28" i="3"/>
  <c r="AS28" i="3"/>
  <c r="CG28" i="3" s="1"/>
  <c r="CE27" i="3"/>
  <c r="CD27" i="3"/>
  <c r="CC27" i="3"/>
  <c r="CB27" i="3"/>
  <c r="CN27" i="3" s="1"/>
  <c r="BZ27" i="3"/>
  <c r="BY27" i="3"/>
  <c r="BX27" i="3"/>
  <c r="BW27" i="3"/>
  <c r="CM27" i="3" s="1"/>
  <c r="BU27" i="3"/>
  <c r="BT27" i="3"/>
  <c r="BS27" i="3"/>
  <c r="BR27" i="3"/>
  <c r="CL27" i="3" s="1"/>
  <c r="BP27" i="3"/>
  <c r="BQ27" i="3" s="1"/>
  <c r="BO27" i="3"/>
  <c r="BN27" i="3"/>
  <c r="BM27" i="3"/>
  <c r="CK27" i="3" s="1"/>
  <c r="BK27" i="3"/>
  <c r="BL27" i="3" s="1"/>
  <c r="BJ27" i="3"/>
  <c r="BI27" i="3"/>
  <c r="BH27" i="3"/>
  <c r="CJ27" i="3" s="1"/>
  <c r="BF27" i="3"/>
  <c r="BE27" i="3"/>
  <c r="BD27" i="3"/>
  <c r="BC27" i="3"/>
  <c r="CI27" i="3" s="1"/>
  <c r="BA27" i="3"/>
  <c r="AZ27" i="3"/>
  <c r="AY27" i="3"/>
  <c r="AX27" i="3"/>
  <c r="CH27" i="3" s="1"/>
  <c r="AV27" i="3"/>
  <c r="AU27" i="3"/>
  <c r="AT27" i="3"/>
  <c r="AS27" i="3"/>
  <c r="CG27" i="3" s="1"/>
  <c r="CJ26" i="3"/>
  <c r="CE26" i="3"/>
  <c r="CD26" i="3"/>
  <c r="CC26" i="3"/>
  <c r="CB26" i="3"/>
  <c r="CN26" i="3" s="1"/>
  <c r="BZ26" i="3"/>
  <c r="BY26" i="3"/>
  <c r="BX26" i="3"/>
  <c r="BW26" i="3"/>
  <c r="CM26" i="3" s="1"/>
  <c r="BU26" i="3"/>
  <c r="BT26" i="3"/>
  <c r="BS26" i="3"/>
  <c r="BR26" i="3"/>
  <c r="CL26" i="3" s="1"/>
  <c r="BP26" i="3"/>
  <c r="BO26" i="3"/>
  <c r="BQ26" i="3" s="1"/>
  <c r="BN26" i="3"/>
  <c r="BM26" i="3"/>
  <c r="CK26" i="3" s="1"/>
  <c r="BK26" i="3"/>
  <c r="BJ26" i="3"/>
  <c r="BI26" i="3"/>
  <c r="BH26" i="3"/>
  <c r="BF26" i="3"/>
  <c r="BE26" i="3"/>
  <c r="BD26" i="3"/>
  <c r="BC26" i="3"/>
  <c r="CI26" i="3" s="1"/>
  <c r="BA26" i="3"/>
  <c r="BB26" i="3" s="1"/>
  <c r="AZ26" i="3"/>
  <c r="AY26" i="3"/>
  <c r="AX26" i="3"/>
  <c r="CH26" i="3" s="1"/>
  <c r="AV26" i="3"/>
  <c r="AU26" i="3"/>
  <c r="AT26" i="3"/>
  <c r="AS26" i="3"/>
  <c r="CG26" i="3" s="1"/>
  <c r="CE25" i="3"/>
  <c r="CF25" i="3" s="1"/>
  <c r="CD25" i="3"/>
  <c r="CC25" i="3"/>
  <c r="CB25" i="3"/>
  <c r="CN25" i="3" s="1"/>
  <c r="BZ25" i="3"/>
  <c r="BY25" i="3"/>
  <c r="CA25" i="3" s="1"/>
  <c r="BX25" i="3"/>
  <c r="BW25" i="3"/>
  <c r="CM25" i="3" s="1"/>
  <c r="BU25" i="3"/>
  <c r="BT25" i="3"/>
  <c r="BS25" i="3"/>
  <c r="BR25" i="3"/>
  <c r="CL25" i="3" s="1"/>
  <c r="BP25" i="3"/>
  <c r="BO25" i="3"/>
  <c r="BN25" i="3"/>
  <c r="BM25" i="3"/>
  <c r="CK25" i="3" s="1"/>
  <c r="BK25" i="3"/>
  <c r="BJ25" i="3"/>
  <c r="BI25" i="3"/>
  <c r="BH25" i="3"/>
  <c r="CJ25" i="3" s="1"/>
  <c r="BF25" i="3"/>
  <c r="BE25" i="3"/>
  <c r="BD25" i="3"/>
  <c r="BC25" i="3"/>
  <c r="CI25" i="3" s="1"/>
  <c r="BA25" i="3"/>
  <c r="AZ25" i="3"/>
  <c r="AY25" i="3"/>
  <c r="AX25" i="3"/>
  <c r="CH25" i="3" s="1"/>
  <c r="AV25" i="3"/>
  <c r="AU25" i="3"/>
  <c r="AT25" i="3"/>
  <c r="AS25" i="3"/>
  <c r="CG25" i="3" s="1"/>
  <c r="CN24" i="3"/>
  <c r="CE24" i="3"/>
  <c r="CD24" i="3"/>
  <c r="CF24" i="3" s="1"/>
  <c r="CC24" i="3"/>
  <c r="CB24" i="3"/>
  <c r="BZ24" i="3"/>
  <c r="CA24" i="3" s="1"/>
  <c r="BY24" i="3"/>
  <c r="BX24" i="3"/>
  <c r="BW24" i="3"/>
  <c r="CM24" i="3" s="1"/>
  <c r="BU24" i="3"/>
  <c r="BT24" i="3"/>
  <c r="BS24" i="3"/>
  <c r="BR24" i="3"/>
  <c r="CL24" i="3" s="1"/>
  <c r="BP24" i="3"/>
  <c r="BO24" i="3"/>
  <c r="BN24" i="3"/>
  <c r="BM24" i="3"/>
  <c r="CK24" i="3" s="1"/>
  <c r="BK24" i="3"/>
  <c r="BJ24" i="3"/>
  <c r="BI24" i="3"/>
  <c r="BH24" i="3"/>
  <c r="CJ24" i="3" s="1"/>
  <c r="BF24" i="3"/>
  <c r="BE24" i="3"/>
  <c r="BD24" i="3"/>
  <c r="BC24" i="3"/>
  <c r="CI24" i="3" s="1"/>
  <c r="BA24" i="3"/>
  <c r="BB24" i="3" s="1"/>
  <c r="AZ24" i="3"/>
  <c r="AY24" i="3"/>
  <c r="AX24" i="3"/>
  <c r="CH24" i="3" s="1"/>
  <c r="AV24" i="3"/>
  <c r="AU24" i="3"/>
  <c r="AT24" i="3"/>
  <c r="AS24" i="3"/>
  <c r="CG24" i="3" s="1"/>
  <c r="CE23" i="3"/>
  <c r="CD23" i="3"/>
  <c r="CF23" i="3" s="1"/>
  <c r="CC23" i="3"/>
  <c r="CB23" i="3"/>
  <c r="CN23" i="3" s="1"/>
  <c r="BZ23" i="3"/>
  <c r="BY23" i="3"/>
  <c r="BX23" i="3"/>
  <c r="BW23" i="3"/>
  <c r="CM23" i="3" s="1"/>
  <c r="BU23" i="3"/>
  <c r="BT23" i="3"/>
  <c r="BS23" i="3"/>
  <c r="BR23" i="3"/>
  <c r="CL23" i="3" s="1"/>
  <c r="BP23" i="3"/>
  <c r="BO23" i="3"/>
  <c r="BN23" i="3"/>
  <c r="BM23" i="3"/>
  <c r="CK23" i="3" s="1"/>
  <c r="BK23" i="3"/>
  <c r="BJ23" i="3"/>
  <c r="BI23" i="3"/>
  <c r="BH23" i="3"/>
  <c r="CJ23" i="3" s="1"/>
  <c r="BF23" i="3"/>
  <c r="BE23" i="3"/>
  <c r="BG23" i="3" s="1"/>
  <c r="BD23" i="3"/>
  <c r="BC23" i="3"/>
  <c r="CI23" i="3" s="1"/>
  <c r="BA23" i="3"/>
  <c r="AZ23" i="3"/>
  <c r="AY23" i="3"/>
  <c r="AX23" i="3"/>
  <c r="CH23" i="3" s="1"/>
  <c r="AV23" i="3"/>
  <c r="AU23" i="3"/>
  <c r="AT23" i="3"/>
  <c r="AS23" i="3"/>
  <c r="CG23" i="3" s="1"/>
  <c r="CE22" i="3"/>
  <c r="CD22" i="3"/>
  <c r="CC22" i="3"/>
  <c r="CB22" i="3"/>
  <c r="CN22" i="3" s="1"/>
  <c r="BZ22" i="3"/>
  <c r="BY22" i="3"/>
  <c r="BX22" i="3"/>
  <c r="BW22" i="3"/>
  <c r="CM22" i="3" s="1"/>
  <c r="BU22" i="3"/>
  <c r="BV22" i="3" s="1"/>
  <c r="BT22" i="3"/>
  <c r="BS22" i="3"/>
  <c r="BR22" i="3"/>
  <c r="CL22" i="3" s="1"/>
  <c r="BP22" i="3"/>
  <c r="BO22" i="3"/>
  <c r="BN22" i="3"/>
  <c r="BM22" i="3"/>
  <c r="CK22" i="3" s="1"/>
  <c r="BK22" i="3"/>
  <c r="BJ22" i="3"/>
  <c r="BL22" i="3" s="1"/>
  <c r="BI22" i="3"/>
  <c r="BH22" i="3"/>
  <c r="CJ22" i="3" s="1"/>
  <c r="BF22" i="3"/>
  <c r="BE22" i="3"/>
  <c r="BD22" i="3"/>
  <c r="BC22" i="3"/>
  <c r="CI22" i="3" s="1"/>
  <c r="BA22" i="3"/>
  <c r="AZ22" i="3"/>
  <c r="AY22" i="3"/>
  <c r="AX22" i="3"/>
  <c r="CH22" i="3" s="1"/>
  <c r="AV22" i="3"/>
  <c r="AU22" i="3"/>
  <c r="AT22" i="3"/>
  <c r="AS22" i="3"/>
  <c r="CG22" i="3" s="1"/>
  <c r="CJ21" i="3"/>
  <c r="CE21" i="3"/>
  <c r="CD21" i="3"/>
  <c r="CC21" i="3"/>
  <c r="CB21" i="3"/>
  <c r="CN21" i="3" s="1"/>
  <c r="BZ21" i="3"/>
  <c r="BY21" i="3"/>
  <c r="BX21" i="3"/>
  <c r="BW21" i="3"/>
  <c r="CM21" i="3" s="1"/>
  <c r="BU21" i="3"/>
  <c r="BT21" i="3"/>
  <c r="BS21" i="3"/>
  <c r="BR21" i="3"/>
  <c r="CL21" i="3" s="1"/>
  <c r="BP21" i="3"/>
  <c r="BO21" i="3"/>
  <c r="BQ21" i="3" s="1"/>
  <c r="BN21" i="3"/>
  <c r="BM21" i="3"/>
  <c r="CK21" i="3" s="1"/>
  <c r="BK21" i="3"/>
  <c r="BL21" i="3" s="1"/>
  <c r="BJ21" i="3"/>
  <c r="BI21" i="3"/>
  <c r="BH21" i="3"/>
  <c r="BF21" i="3"/>
  <c r="BE21" i="3"/>
  <c r="BD21" i="3"/>
  <c r="BC21" i="3"/>
  <c r="CI21" i="3" s="1"/>
  <c r="BA21" i="3"/>
  <c r="AZ21" i="3"/>
  <c r="AY21" i="3"/>
  <c r="AX21" i="3"/>
  <c r="CH21" i="3" s="1"/>
  <c r="AV21" i="3"/>
  <c r="AU21" i="3"/>
  <c r="AT21" i="3"/>
  <c r="AS21" i="3"/>
  <c r="CG21" i="3" s="1"/>
  <c r="CE20" i="3"/>
  <c r="CF20" i="3" s="1"/>
  <c r="CD20" i="3"/>
  <c r="CC20" i="3"/>
  <c r="CB20" i="3"/>
  <c r="CN20" i="3" s="1"/>
  <c r="BZ20" i="3"/>
  <c r="BY20" i="3"/>
  <c r="BX20" i="3"/>
  <c r="BW20" i="3"/>
  <c r="CM20" i="3" s="1"/>
  <c r="BU20" i="3"/>
  <c r="BT20" i="3"/>
  <c r="BS20" i="3"/>
  <c r="BR20" i="3"/>
  <c r="CL20" i="3" s="1"/>
  <c r="BP20" i="3"/>
  <c r="BO20" i="3"/>
  <c r="BN20" i="3"/>
  <c r="BM20" i="3"/>
  <c r="CK20" i="3" s="1"/>
  <c r="BK20" i="3"/>
  <c r="BJ20" i="3"/>
  <c r="BI20" i="3"/>
  <c r="BH20" i="3"/>
  <c r="CJ20" i="3" s="1"/>
  <c r="BF20" i="3"/>
  <c r="BE20" i="3"/>
  <c r="BD20" i="3"/>
  <c r="BC20" i="3"/>
  <c r="CI20" i="3" s="1"/>
  <c r="BA20" i="3"/>
  <c r="BB20" i="3" s="1"/>
  <c r="AZ20" i="3"/>
  <c r="AY20" i="3"/>
  <c r="AX20" i="3"/>
  <c r="CH20" i="3" s="1"/>
  <c r="AV20" i="3"/>
  <c r="AU20" i="3"/>
  <c r="AT20" i="3"/>
  <c r="AS20" i="3"/>
  <c r="CG20" i="3" s="1"/>
  <c r="CE19" i="3"/>
  <c r="CD19" i="3"/>
  <c r="CC19" i="3"/>
  <c r="CB19" i="3"/>
  <c r="CN19" i="3" s="1"/>
  <c r="BZ19" i="3"/>
  <c r="BY19" i="3"/>
  <c r="BX19" i="3"/>
  <c r="BW19" i="3"/>
  <c r="CM19" i="3" s="1"/>
  <c r="BU19" i="3"/>
  <c r="BV19" i="3" s="1"/>
  <c r="BT19" i="3"/>
  <c r="BS19" i="3"/>
  <c r="BR19" i="3"/>
  <c r="CL19" i="3" s="1"/>
  <c r="BQ19" i="3"/>
  <c r="BP19" i="3"/>
  <c r="BO19" i="3"/>
  <c r="BN19" i="3"/>
  <c r="BM19" i="3"/>
  <c r="CK19" i="3" s="1"/>
  <c r="BK19" i="3"/>
  <c r="BJ19" i="3"/>
  <c r="BI19" i="3"/>
  <c r="BH19" i="3"/>
  <c r="CJ19" i="3" s="1"/>
  <c r="BF19" i="3"/>
  <c r="BE19" i="3"/>
  <c r="BG19" i="3" s="1"/>
  <c r="BD19" i="3"/>
  <c r="BC19" i="3"/>
  <c r="CI19" i="3" s="1"/>
  <c r="BA19" i="3"/>
  <c r="AZ19" i="3"/>
  <c r="AY19" i="3"/>
  <c r="AX19" i="3"/>
  <c r="CH19" i="3" s="1"/>
  <c r="AV19" i="3"/>
  <c r="AU19" i="3"/>
  <c r="AT19" i="3"/>
  <c r="AS19" i="3"/>
  <c r="CG19" i="3" s="1"/>
  <c r="CE18" i="3"/>
  <c r="CD18" i="3"/>
  <c r="CC18" i="3"/>
  <c r="CB18" i="3"/>
  <c r="CN18" i="3" s="1"/>
  <c r="BZ18" i="3"/>
  <c r="BY18" i="3"/>
  <c r="BX18" i="3"/>
  <c r="BW18" i="3"/>
  <c r="CM18" i="3" s="1"/>
  <c r="BU18" i="3"/>
  <c r="BT18" i="3"/>
  <c r="BS18" i="3"/>
  <c r="BR18" i="3"/>
  <c r="CL18" i="3" s="1"/>
  <c r="BP18" i="3"/>
  <c r="BO18" i="3"/>
  <c r="BN18" i="3"/>
  <c r="BM18" i="3"/>
  <c r="CK18" i="3" s="1"/>
  <c r="BK18" i="3"/>
  <c r="BJ18" i="3"/>
  <c r="BI18" i="3"/>
  <c r="BH18" i="3"/>
  <c r="CJ18" i="3" s="1"/>
  <c r="BF18" i="3"/>
  <c r="BG18" i="3" s="1"/>
  <c r="BE18" i="3"/>
  <c r="BD18" i="3"/>
  <c r="BC18" i="3"/>
  <c r="CI18" i="3" s="1"/>
  <c r="BA18" i="3"/>
  <c r="AZ18" i="3"/>
  <c r="AY18" i="3"/>
  <c r="AX18" i="3"/>
  <c r="CH18" i="3" s="1"/>
  <c r="AV18" i="3"/>
  <c r="AU18" i="3"/>
  <c r="AT18" i="3"/>
  <c r="AS18" i="3"/>
  <c r="CG18" i="3" s="1"/>
  <c r="CE17" i="3"/>
  <c r="CD17" i="3"/>
  <c r="CC17" i="3"/>
  <c r="CB17" i="3"/>
  <c r="CN17" i="3" s="1"/>
  <c r="BZ17" i="3"/>
  <c r="BY17" i="3"/>
  <c r="BX17" i="3"/>
  <c r="BW17" i="3"/>
  <c r="CM17" i="3" s="1"/>
  <c r="BU17" i="3"/>
  <c r="BT17" i="3"/>
  <c r="BS17" i="3"/>
  <c r="BR17" i="3"/>
  <c r="CL17" i="3" s="1"/>
  <c r="BQ17" i="3"/>
  <c r="BP17" i="3"/>
  <c r="BO17" i="3"/>
  <c r="BN17" i="3"/>
  <c r="BM17" i="3"/>
  <c r="CK17" i="3" s="1"/>
  <c r="BK17" i="3"/>
  <c r="BJ17" i="3"/>
  <c r="BI17" i="3"/>
  <c r="BH17" i="3"/>
  <c r="CJ17" i="3" s="1"/>
  <c r="BF17" i="3"/>
  <c r="BE17" i="3"/>
  <c r="BG17" i="3" s="1"/>
  <c r="BD17" i="3"/>
  <c r="BC17" i="3"/>
  <c r="CI17" i="3" s="1"/>
  <c r="BA17" i="3"/>
  <c r="AZ17" i="3"/>
  <c r="AY17" i="3"/>
  <c r="AX17" i="3"/>
  <c r="CH17" i="3" s="1"/>
  <c r="AV17" i="3"/>
  <c r="AU17" i="3"/>
  <c r="AT17" i="3"/>
  <c r="AS17" i="3"/>
  <c r="CG17" i="3" s="1"/>
  <c r="CJ16" i="3"/>
  <c r="CH16" i="3"/>
  <c r="CE16" i="3"/>
  <c r="CF16" i="3" s="1"/>
  <c r="CD16" i="3"/>
  <c r="CC16" i="3"/>
  <c r="CB16" i="3"/>
  <c r="CN16" i="3" s="1"/>
  <c r="BZ16" i="3"/>
  <c r="BY16" i="3"/>
  <c r="CA16" i="3" s="1"/>
  <c r="BX16" i="3"/>
  <c r="BW16" i="3"/>
  <c r="CM16" i="3" s="1"/>
  <c r="BU16" i="3"/>
  <c r="BT16" i="3"/>
  <c r="BS16" i="3"/>
  <c r="BR16" i="3"/>
  <c r="CL16" i="3" s="1"/>
  <c r="BP16" i="3"/>
  <c r="BO16" i="3"/>
  <c r="BQ16" i="3" s="1"/>
  <c r="BN16" i="3"/>
  <c r="BM16" i="3"/>
  <c r="CK16" i="3" s="1"/>
  <c r="BK16" i="3"/>
  <c r="BJ16" i="3"/>
  <c r="BI16" i="3"/>
  <c r="BH16" i="3"/>
  <c r="BF16" i="3"/>
  <c r="BE16" i="3"/>
  <c r="BD16" i="3"/>
  <c r="BC16" i="3"/>
  <c r="CI16" i="3" s="1"/>
  <c r="BA16" i="3"/>
  <c r="AZ16" i="3"/>
  <c r="AY16" i="3"/>
  <c r="AX16" i="3"/>
  <c r="AV16" i="3"/>
  <c r="AU16" i="3"/>
  <c r="AW16" i="3" s="1"/>
  <c r="AT16" i="3"/>
  <c r="AS16" i="3"/>
  <c r="CG16" i="3" s="1"/>
  <c r="CJ15" i="3"/>
  <c r="CE15" i="3"/>
  <c r="CF15" i="3" s="1"/>
  <c r="CD15" i="3"/>
  <c r="CC15" i="3"/>
  <c r="CB15" i="3"/>
  <c r="CN15" i="3" s="1"/>
  <c r="BZ15" i="3"/>
  <c r="BY15" i="3"/>
  <c r="BX15" i="3"/>
  <c r="BW15" i="3"/>
  <c r="CM15" i="3" s="1"/>
  <c r="BU15" i="3"/>
  <c r="BV15" i="3" s="1"/>
  <c r="BT15" i="3"/>
  <c r="BS15" i="3"/>
  <c r="BR15" i="3"/>
  <c r="CL15" i="3" s="1"/>
  <c r="BP15" i="3"/>
  <c r="BQ15" i="3" s="1"/>
  <c r="BO15" i="3"/>
  <c r="BN15" i="3"/>
  <c r="BM15" i="3"/>
  <c r="CK15" i="3" s="1"/>
  <c r="BK15" i="3"/>
  <c r="BJ15" i="3"/>
  <c r="BI15" i="3"/>
  <c r="BH15" i="3"/>
  <c r="BF15" i="3"/>
  <c r="BE15" i="3"/>
  <c r="BD15" i="3"/>
  <c r="BC15" i="3"/>
  <c r="CI15" i="3" s="1"/>
  <c r="BA15" i="3"/>
  <c r="AZ15" i="3"/>
  <c r="AY15" i="3"/>
  <c r="AX15" i="3"/>
  <c r="CH15" i="3" s="1"/>
  <c r="AV15" i="3"/>
  <c r="AW15" i="3" s="1"/>
  <c r="AU15" i="3"/>
  <c r="AT15" i="3"/>
  <c r="AS15" i="3"/>
  <c r="CG15" i="3" s="1"/>
  <c r="CE14" i="3"/>
  <c r="CD14" i="3"/>
  <c r="CC14" i="3"/>
  <c r="CB14" i="3"/>
  <c r="CN14" i="3" s="1"/>
  <c r="BZ14" i="3"/>
  <c r="BY14" i="3"/>
  <c r="CA14" i="3" s="1"/>
  <c r="BX14" i="3"/>
  <c r="BW14" i="3"/>
  <c r="CM14" i="3" s="1"/>
  <c r="BU14" i="3"/>
  <c r="BT14" i="3"/>
  <c r="BS14" i="3"/>
  <c r="BR14" i="3"/>
  <c r="CL14" i="3" s="1"/>
  <c r="BP14" i="3"/>
  <c r="BO14" i="3"/>
  <c r="BQ14" i="3" s="1"/>
  <c r="BN14" i="3"/>
  <c r="BM14" i="3"/>
  <c r="CK14" i="3" s="1"/>
  <c r="BK14" i="3"/>
  <c r="BJ14" i="3"/>
  <c r="BI14" i="3"/>
  <c r="BH14" i="3"/>
  <c r="CJ14" i="3" s="1"/>
  <c r="BF14" i="3"/>
  <c r="BE14" i="3"/>
  <c r="BD14" i="3"/>
  <c r="BC14" i="3"/>
  <c r="CI14" i="3" s="1"/>
  <c r="BA14" i="3"/>
  <c r="AZ14" i="3"/>
  <c r="AY14" i="3"/>
  <c r="AX14" i="3"/>
  <c r="CH14" i="3" s="1"/>
  <c r="AV14" i="3"/>
  <c r="AU14" i="3"/>
  <c r="AT14" i="3"/>
  <c r="AS14" i="3"/>
  <c r="CG14" i="3" s="1"/>
  <c r="CE13" i="3"/>
  <c r="CD13" i="3"/>
  <c r="CC13" i="3"/>
  <c r="CB13" i="3"/>
  <c r="CN13" i="3" s="1"/>
  <c r="BZ13" i="3"/>
  <c r="BY13" i="3"/>
  <c r="BX13" i="3"/>
  <c r="BW13" i="3"/>
  <c r="CM13" i="3" s="1"/>
  <c r="BU13" i="3"/>
  <c r="BT13" i="3"/>
  <c r="BS13" i="3"/>
  <c r="BR13" i="3"/>
  <c r="CL13" i="3" s="1"/>
  <c r="BP13" i="3"/>
  <c r="BQ13" i="3" s="1"/>
  <c r="BO13" i="3"/>
  <c r="BN13" i="3"/>
  <c r="BM13" i="3"/>
  <c r="CK13" i="3" s="1"/>
  <c r="BK13" i="3"/>
  <c r="BJ13" i="3"/>
  <c r="BI13" i="3"/>
  <c r="BH13" i="3"/>
  <c r="CJ13" i="3" s="1"/>
  <c r="BF13" i="3"/>
  <c r="BG13" i="3" s="1"/>
  <c r="BE13" i="3"/>
  <c r="BD13" i="3"/>
  <c r="BC13" i="3"/>
  <c r="CI13" i="3" s="1"/>
  <c r="BA13" i="3"/>
  <c r="AZ13" i="3"/>
  <c r="AY13" i="3"/>
  <c r="AX13" i="3"/>
  <c r="CH13" i="3" s="1"/>
  <c r="AW13" i="3"/>
  <c r="AV13" i="3"/>
  <c r="AU13" i="3"/>
  <c r="AT13" i="3"/>
  <c r="AS13" i="3"/>
  <c r="CG13" i="3" s="1"/>
  <c r="CE12" i="3"/>
  <c r="CD12" i="3"/>
  <c r="CC12" i="3"/>
  <c r="CB12" i="3"/>
  <c r="CN12" i="3" s="1"/>
  <c r="BZ12" i="3"/>
  <c r="BY12" i="3"/>
  <c r="BX12" i="3"/>
  <c r="BW12" i="3"/>
  <c r="CM12" i="3" s="1"/>
  <c r="BU12" i="3"/>
  <c r="BV12" i="3" s="1"/>
  <c r="BT12" i="3"/>
  <c r="BS12" i="3"/>
  <c r="BR12" i="3"/>
  <c r="CL12" i="3" s="1"/>
  <c r="BP12" i="3"/>
  <c r="BO12" i="3"/>
  <c r="BN12" i="3"/>
  <c r="BM12" i="3"/>
  <c r="CK12" i="3" s="1"/>
  <c r="BK12" i="3"/>
  <c r="BL12" i="3" s="1"/>
  <c r="BJ12" i="3"/>
  <c r="BI12" i="3"/>
  <c r="BH12" i="3"/>
  <c r="CJ12" i="3" s="1"/>
  <c r="BF12" i="3"/>
  <c r="BE12" i="3"/>
  <c r="BG12" i="3" s="1"/>
  <c r="BD12" i="3"/>
  <c r="BC12" i="3"/>
  <c r="CI12" i="3" s="1"/>
  <c r="BA12" i="3"/>
  <c r="AZ12" i="3"/>
  <c r="AY12" i="3"/>
  <c r="AX12" i="3"/>
  <c r="CH12" i="3" s="1"/>
  <c r="AV12" i="3"/>
  <c r="AU12" i="3"/>
  <c r="AW12" i="3" s="1"/>
  <c r="AT12" i="3"/>
  <c r="AS12" i="3"/>
  <c r="CG12" i="3" s="1"/>
  <c r="CE11" i="3"/>
  <c r="CD11" i="3"/>
  <c r="CC11" i="3"/>
  <c r="CB11" i="3"/>
  <c r="CN11" i="3" s="1"/>
  <c r="BZ11" i="3"/>
  <c r="CA11" i="3" s="1"/>
  <c r="BY11" i="3"/>
  <c r="BX11" i="3"/>
  <c r="BW11" i="3"/>
  <c r="CM11" i="3" s="1"/>
  <c r="BU11" i="3"/>
  <c r="BV11" i="3" s="1"/>
  <c r="BT11" i="3"/>
  <c r="BS11" i="3"/>
  <c r="BR11" i="3"/>
  <c r="CL11" i="3" s="1"/>
  <c r="BP11" i="3"/>
  <c r="BO11" i="3"/>
  <c r="BQ11" i="3" s="1"/>
  <c r="BN11" i="3"/>
  <c r="BM11" i="3"/>
  <c r="CK11" i="3" s="1"/>
  <c r="BK11" i="3"/>
  <c r="BJ11" i="3"/>
  <c r="BI11" i="3"/>
  <c r="BH11" i="3"/>
  <c r="CJ11" i="3" s="1"/>
  <c r="BF11" i="3"/>
  <c r="BE11" i="3"/>
  <c r="BG11" i="3" s="1"/>
  <c r="BD11" i="3"/>
  <c r="BC11" i="3"/>
  <c r="CI11" i="3" s="1"/>
  <c r="BA11" i="3"/>
  <c r="AZ11" i="3"/>
  <c r="AY11" i="3"/>
  <c r="AX11" i="3"/>
  <c r="CH11" i="3" s="1"/>
  <c r="AV11" i="3"/>
  <c r="AU11" i="3"/>
  <c r="AT11" i="3"/>
  <c r="AS11" i="3"/>
  <c r="CG11" i="3" s="1"/>
  <c r="CE10" i="3"/>
  <c r="CF10" i="3" s="1"/>
  <c r="CD10" i="3"/>
  <c r="CC10" i="3"/>
  <c r="CB10" i="3"/>
  <c r="CN10" i="3" s="1"/>
  <c r="CA10" i="3"/>
  <c r="BZ10" i="3"/>
  <c r="BY10" i="3"/>
  <c r="BX10" i="3"/>
  <c r="BW10" i="3"/>
  <c r="CM10" i="3" s="1"/>
  <c r="BU10" i="3"/>
  <c r="BT10" i="3"/>
  <c r="BS10" i="3"/>
  <c r="BR10" i="3"/>
  <c r="CL10" i="3" s="1"/>
  <c r="BP10" i="3"/>
  <c r="BO10" i="3"/>
  <c r="BQ10" i="3" s="1"/>
  <c r="BN10" i="3"/>
  <c r="BM10" i="3"/>
  <c r="CK10" i="3" s="1"/>
  <c r="BK10" i="3"/>
  <c r="BJ10" i="3"/>
  <c r="BI10" i="3"/>
  <c r="BH10" i="3"/>
  <c r="CJ10" i="3" s="1"/>
  <c r="BF10" i="3"/>
  <c r="BE10" i="3"/>
  <c r="BD10" i="3"/>
  <c r="BC10" i="3"/>
  <c r="CI10" i="3" s="1"/>
  <c r="BA10" i="3"/>
  <c r="AZ10" i="3"/>
  <c r="AY10" i="3"/>
  <c r="AX10" i="3"/>
  <c r="CH10" i="3" s="1"/>
  <c r="AV10" i="3"/>
  <c r="AU10" i="3"/>
  <c r="AT10" i="3"/>
  <c r="AS10" i="3"/>
  <c r="CG10" i="3" s="1"/>
  <c r="CE9" i="3"/>
  <c r="CD9" i="3"/>
  <c r="CC9" i="3"/>
  <c r="CB9" i="3"/>
  <c r="CN9" i="3" s="1"/>
  <c r="BZ9" i="3"/>
  <c r="BY9" i="3"/>
  <c r="BX9" i="3"/>
  <c r="BW9" i="3"/>
  <c r="CM9" i="3" s="1"/>
  <c r="BU9" i="3"/>
  <c r="BT9" i="3"/>
  <c r="BS9" i="3"/>
  <c r="BR9" i="3"/>
  <c r="CL9" i="3" s="1"/>
  <c r="BP9" i="3"/>
  <c r="BQ9" i="3" s="1"/>
  <c r="BO9" i="3"/>
  <c r="BN9" i="3"/>
  <c r="BM9" i="3"/>
  <c r="CK9" i="3" s="1"/>
  <c r="BK9" i="3"/>
  <c r="BJ9" i="3"/>
  <c r="BI9" i="3"/>
  <c r="BH9" i="3"/>
  <c r="CJ9" i="3" s="1"/>
  <c r="BF9" i="3"/>
  <c r="BE9" i="3"/>
  <c r="BD9" i="3"/>
  <c r="BC9" i="3"/>
  <c r="CI9" i="3" s="1"/>
  <c r="BA9" i="3"/>
  <c r="AZ9" i="3"/>
  <c r="AY9" i="3"/>
  <c r="AX9" i="3"/>
  <c r="CH9" i="3" s="1"/>
  <c r="AV9" i="3"/>
  <c r="AW9" i="3" s="1"/>
  <c r="AU9" i="3"/>
  <c r="AT9" i="3"/>
  <c r="AS9" i="3"/>
  <c r="CG9" i="3" s="1"/>
  <c r="CE8" i="3"/>
  <c r="CD8" i="3"/>
  <c r="CC8" i="3"/>
  <c r="CB8" i="3"/>
  <c r="CN8" i="3" s="1"/>
  <c r="BZ8" i="3"/>
  <c r="CA8" i="3" s="1"/>
  <c r="BY8" i="3"/>
  <c r="BX8" i="3"/>
  <c r="BW8" i="3"/>
  <c r="CM8" i="3" s="1"/>
  <c r="BU8" i="3"/>
  <c r="BT8" i="3"/>
  <c r="BS8" i="3"/>
  <c r="BR8" i="3"/>
  <c r="CL8" i="3" s="1"/>
  <c r="BQ8" i="3"/>
  <c r="BP8" i="3"/>
  <c r="BO8" i="3"/>
  <c r="BN8" i="3"/>
  <c r="BM8" i="3"/>
  <c r="CK8" i="3" s="1"/>
  <c r="BK8" i="3"/>
  <c r="BL8" i="3" s="1"/>
  <c r="BJ8" i="3"/>
  <c r="BI8" i="3"/>
  <c r="BH8" i="3"/>
  <c r="CJ8" i="3" s="1"/>
  <c r="BF8" i="3"/>
  <c r="BG8" i="3" s="1"/>
  <c r="BE8" i="3"/>
  <c r="BD8" i="3"/>
  <c r="BC8" i="3"/>
  <c r="CI8" i="3" s="1"/>
  <c r="BA8" i="3"/>
  <c r="AZ8" i="3"/>
  <c r="AY8" i="3"/>
  <c r="AX8" i="3"/>
  <c r="CH8" i="3" s="1"/>
  <c r="AV8" i="3"/>
  <c r="AU8" i="3"/>
  <c r="AT8" i="3"/>
  <c r="AS8" i="3"/>
  <c r="CG8" i="3" s="1"/>
  <c r="CE7" i="3"/>
  <c r="CF7" i="3" s="1"/>
  <c r="CD7" i="3"/>
  <c r="CC7" i="3"/>
  <c r="CB7" i="3"/>
  <c r="CN7" i="3" s="1"/>
  <c r="BZ7" i="3"/>
  <c r="CA7" i="3" s="1"/>
  <c r="BY7" i="3"/>
  <c r="BX7" i="3"/>
  <c r="BW7" i="3"/>
  <c r="CM7" i="3" s="1"/>
  <c r="BU7" i="3"/>
  <c r="BV7" i="3" s="1"/>
  <c r="BT7" i="3"/>
  <c r="BS7" i="3"/>
  <c r="BR7" i="3"/>
  <c r="CL7" i="3" s="1"/>
  <c r="BP7" i="3"/>
  <c r="BO7" i="3"/>
  <c r="BQ7" i="3" s="1"/>
  <c r="BN7" i="3"/>
  <c r="BM7" i="3"/>
  <c r="CK7" i="3" s="1"/>
  <c r="BK7" i="3"/>
  <c r="BJ7" i="3"/>
  <c r="BI7" i="3"/>
  <c r="BH7" i="3"/>
  <c r="CJ7" i="3" s="1"/>
  <c r="BF7" i="3"/>
  <c r="BE7" i="3"/>
  <c r="BG7" i="3" s="1"/>
  <c r="BD7" i="3"/>
  <c r="BC7" i="3"/>
  <c r="CI7" i="3" s="1"/>
  <c r="BA7" i="3"/>
  <c r="AZ7" i="3"/>
  <c r="AY7" i="3"/>
  <c r="AX7" i="3"/>
  <c r="CH7" i="3" s="1"/>
  <c r="AV7" i="3"/>
  <c r="AU7" i="3"/>
  <c r="AT7" i="3"/>
  <c r="AS7" i="3"/>
  <c r="CG7" i="3" s="1"/>
  <c r="CE6" i="3"/>
  <c r="CD6" i="3"/>
  <c r="CC6" i="3"/>
  <c r="CB6" i="3"/>
  <c r="CN6" i="3" s="1"/>
  <c r="BZ6" i="3"/>
  <c r="BY6" i="3"/>
  <c r="CA6" i="3" s="1"/>
  <c r="BX6" i="3"/>
  <c r="BW6" i="3"/>
  <c r="CM6" i="3" s="1"/>
  <c r="BU6" i="3"/>
  <c r="BT6" i="3"/>
  <c r="BS6" i="3"/>
  <c r="BR6" i="3"/>
  <c r="CL6" i="3" s="1"/>
  <c r="BP6" i="3"/>
  <c r="BO6" i="3"/>
  <c r="BQ6" i="3" s="1"/>
  <c r="BN6" i="3"/>
  <c r="BM6" i="3"/>
  <c r="CK6" i="3" s="1"/>
  <c r="BK6" i="3"/>
  <c r="BJ6" i="3"/>
  <c r="BI6" i="3"/>
  <c r="BH6" i="3"/>
  <c r="CJ6" i="3" s="1"/>
  <c r="BF6" i="3"/>
  <c r="BE6" i="3"/>
  <c r="BD6" i="3"/>
  <c r="BC6" i="3"/>
  <c r="CI6" i="3" s="1"/>
  <c r="BA6" i="3"/>
  <c r="AZ6" i="3"/>
  <c r="AY6" i="3"/>
  <c r="AX6" i="3"/>
  <c r="CH6" i="3" s="1"/>
  <c r="AV6" i="3"/>
  <c r="AU6" i="3"/>
  <c r="AW6" i="3" s="1"/>
  <c r="AT6" i="3"/>
  <c r="AS6" i="3"/>
  <c r="CG6" i="3" s="1"/>
  <c r="CN5" i="3"/>
  <c r="CE5" i="3"/>
  <c r="CF5" i="3" s="1"/>
  <c r="CD5" i="3"/>
  <c r="CC5" i="3"/>
  <c r="CB5" i="3"/>
  <c r="BZ5" i="3"/>
  <c r="BY5" i="3"/>
  <c r="BX5" i="3"/>
  <c r="BW5" i="3"/>
  <c r="CM5" i="3" s="1"/>
  <c r="BU5" i="3"/>
  <c r="BV5" i="3" s="1"/>
  <c r="BT5" i="3"/>
  <c r="BS5" i="3"/>
  <c r="BR5" i="3"/>
  <c r="CL5" i="3" s="1"/>
  <c r="BP5" i="3"/>
  <c r="BQ5" i="3" s="1"/>
  <c r="BO5" i="3"/>
  <c r="BN5" i="3"/>
  <c r="BM5" i="3"/>
  <c r="CK5" i="3" s="1"/>
  <c r="BK5" i="3"/>
  <c r="BJ5" i="3"/>
  <c r="BI5" i="3"/>
  <c r="BH5" i="3"/>
  <c r="CJ5" i="3" s="1"/>
  <c r="BF5" i="3"/>
  <c r="BE5" i="3"/>
  <c r="BG5" i="3" s="1"/>
  <c r="BD5" i="3"/>
  <c r="BC5" i="3"/>
  <c r="CI5" i="3" s="1"/>
  <c r="BA5" i="3"/>
  <c r="BB5" i="3" s="1"/>
  <c r="AZ5" i="3"/>
  <c r="AY5" i="3"/>
  <c r="AX5" i="3"/>
  <c r="CH5" i="3" s="1"/>
  <c r="AV5" i="3"/>
  <c r="AU5" i="3"/>
  <c r="AT5" i="3"/>
  <c r="AS5" i="3"/>
  <c r="CG5" i="3" s="1"/>
  <c r="CE4" i="3"/>
  <c r="CF4" i="3" s="1"/>
  <c r="CD4" i="3"/>
  <c r="CC4" i="3"/>
  <c r="CB4" i="3"/>
  <c r="CN4" i="3" s="1"/>
  <c r="BZ4" i="3"/>
  <c r="BY4" i="3"/>
  <c r="CA4" i="3" s="1"/>
  <c r="BX4" i="3"/>
  <c r="BW4" i="3"/>
  <c r="CM4" i="3" s="1"/>
  <c r="BU4" i="3"/>
  <c r="BV4" i="3" s="1"/>
  <c r="BT4" i="3"/>
  <c r="BS4" i="3"/>
  <c r="BR4" i="3"/>
  <c r="CL4" i="3" s="1"/>
  <c r="BP4" i="3"/>
  <c r="BO4" i="3"/>
  <c r="BN4" i="3"/>
  <c r="BM4" i="3"/>
  <c r="CK4" i="3" s="1"/>
  <c r="BK4" i="3"/>
  <c r="BJ4" i="3"/>
  <c r="BI4" i="3"/>
  <c r="BH4" i="3"/>
  <c r="CJ4" i="3" s="1"/>
  <c r="BF4" i="3"/>
  <c r="BE4" i="3"/>
  <c r="BG4" i="3" s="1"/>
  <c r="BD4" i="3"/>
  <c r="BC4" i="3"/>
  <c r="CI4" i="3" s="1"/>
  <c r="BA4" i="3"/>
  <c r="BB4" i="3" s="1"/>
  <c r="AZ4" i="3"/>
  <c r="AY4" i="3"/>
  <c r="AX4" i="3"/>
  <c r="CH4" i="3" s="1"/>
  <c r="AV4" i="3"/>
  <c r="AU4" i="3"/>
  <c r="AW4" i="3" s="1"/>
  <c r="AT4" i="3"/>
  <c r="AS4" i="3"/>
  <c r="CG4" i="3" s="1"/>
  <c r="CE3" i="3"/>
  <c r="CF3" i="3" s="1"/>
  <c r="CD3" i="3"/>
  <c r="CC3" i="3"/>
  <c r="CB3" i="3"/>
  <c r="CN3" i="3" s="1"/>
  <c r="CA3" i="3"/>
  <c r="BZ3" i="3"/>
  <c r="BY3" i="3"/>
  <c r="BX3" i="3"/>
  <c r="BW3" i="3"/>
  <c r="CM3" i="3" s="1"/>
  <c r="BU3" i="3"/>
  <c r="BT3" i="3"/>
  <c r="BS3" i="3"/>
  <c r="BR3" i="3"/>
  <c r="CL3" i="3" s="1"/>
  <c r="BP3" i="3"/>
  <c r="BO3" i="3"/>
  <c r="BN3" i="3"/>
  <c r="BM3" i="3"/>
  <c r="CK3" i="3" s="1"/>
  <c r="BK3" i="3"/>
  <c r="BJ3" i="3"/>
  <c r="BI3" i="3"/>
  <c r="BH3" i="3"/>
  <c r="CJ3" i="3" s="1"/>
  <c r="BF3" i="3"/>
  <c r="BE3" i="3"/>
  <c r="BG3" i="3" s="1"/>
  <c r="BD3" i="3"/>
  <c r="BC3" i="3"/>
  <c r="CI3" i="3" s="1"/>
  <c r="BA3" i="3"/>
  <c r="AZ3" i="3"/>
  <c r="AY3" i="3"/>
  <c r="AX3" i="3"/>
  <c r="CH3" i="3" s="1"/>
  <c r="AV3" i="3"/>
  <c r="AU3" i="3"/>
  <c r="AT3" i="3"/>
  <c r="AS3" i="3"/>
  <c r="CG3" i="3" s="1"/>
  <c r="AW46" i="3" l="1"/>
  <c r="BQ4" i="3"/>
  <c r="BB9" i="3"/>
  <c r="AW11" i="3"/>
  <c r="BV17" i="3"/>
  <c r="AW20" i="3"/>
  <c r="BQ20" i="3"/>
  <c r="BL28" i="3"/>
  <c r="AW38" i="3"/>
  <c r="BG16" i="3"/>
  <c r="BG25" i="3"/>
  <c r="BB29" i="3"/>
  <c r="CF29" i="3"/>
  <c r="BV36" i="3"/>
  <c r="BG41" i="3"/>
  <c r="BL3" i="3"/>
  <c r="BG6" i="3"/>
  <c r="AW7" i="3"/>
  <c r="AW8" i="3"/>
  <c r="BB10" i="3"/>
  <c r="CF14" i="3"/>
  <c r="BL23" i="3"/>
  <c r="CA26" i="3"/>
  <c r="BG27" i="3"/>
  <c r="BV30" i="3"/>
  <c r="AW34" i="3"/>
  <c r="BB37" i="3"/>
  <c r="BL37" i="3"/>
  <c r="CF37" i="3"/>
  <c r="AW39" i="3"/>
  <c r="BL40" i="3"/>
  <c r="BV40" i="3"/>
  <c r="AW42" i="3"/>
  <c r="BQ42" i="3"/>
  <c r="AW43" i="3"/>
  <c r="BQ43" i="3"/>
  <c r="AW5" i="3"/>
  <c r="CF8" i="3"/>
  <c r="CO8" i="3" s="1"/>
  <c r="CF17" i="3"/>
  <c r="BG20" i="3"/>
  <c r="BB22" i="3"/>
  <c r="BV28" i="3"/>
  <c r="CF18" i="3"/>
  <c r="AW25" i="3"/>
  <c r="AW26" i="3"/>
  <c r="BL29" i="3"/>
  <c r="BB36" i="3"/>
  <c r="BG9" i="3"/>
  <c r="CA9" i="3"/>
  <c r="BQ12" i="3"/>
  <c r="CA12" i="3"/>
  <c r="AW17" i="3"/>
  <c r="BV20" i="3"/>
  <c r="BL24" i="3"/>
  <c r="BV24" i="3"/>
  <c r="CA27" i="3"/>
  <c r="CA13" i="3"/>
  <c r="BQ18" i="3"/>
  <c r="CA18" i="3"/>
  <c r="BG22" i="3"/>
  <c r="BL25" i="3"/>
  <c r="CF33" i="3"/>
  <c r="CO33" i="3" s="1"/>
  <c r="BB38" i="3"/>
  <c r="BV38" i="3"/>
  <c r="AW40" i="3"/>
  <c r="AW44" i="3"/>
  <c r="BG44" i="3"/>
  <c r="AW3" i="3"/>
  <c r="BQ3" i="3"/>
  <c r="BL6" i="3"/>
  <c r="BV6" i="3"/>
  <c r="CF6" i="3"/>
  <c r="AW10" i="3"/>
  <c r="BG10" i="3"/>
  <c r="AW14" i="3"/>
  <c r="BG14" i="3"/>
  <c r="BG15" i="3"/>
  <c r="AW19" i="3"/>
  <c r="BV21" i="3"/>
  <c r="CF21" i="3"/>
  <c r="BQ23" i="3"/>
  <c r="CA23" i="3"/>
  <c r="BV26" i="3"/>
  <c r="CF27" i="3"/>
  <c r="BG31" i="3"/>
  <c r="BB34" i="3"/>
  <c r="BV34" i="3"/>
  <c r="BQ40" i="3"/>
  <c r="BB42" i="3"/>
  <c r="BL42" i="3"/>
  <c r="BV42" i="3"/>
  <c r="CF42" i="3"/>
  <c r="BV43" i="3"/>
  <c r="BG45" i="3"/>
  <c r="CA45" i="3"/>
  <c r="BL4" i="3"/>
  <c r="BB6" i="3"/>
  <c r="BL9" i="3"/>
  <c r="CF12" i="3"/>
  <c r="BB14" i="3"/>
  <c r="BB16" i="3"/>
  <c r="BB18" i="3"/>
  <c r="CA20" i="3"/>
  <c r="BQ25" i="3"/>
  <c r="CF26" i="3"/>
  <c r="CF30" i="3"/>
  <c r="CO30" i="3" s="1"/>
  <c r="EI34" i="1" s="1"/>
  <c r="BG34" i="3"/>
  <c r="BV35" i="3"/>
  <c r="BG36" i="3"/>
  <c r="BQ36" i="3"/>
  <c r="BG38" i="3"/>
  <c r="BL44" i="3"/>
  <c r="BV44" i="3"/>
  <c r="BB46" i="3"/>
  <c r="CA5" i="3"/>
  <c r="BB8" i="3"/>
  <c r="BV9" i="3"/>
  <c r="CF9" i="3"/>
  <c r="CO9" i="3" s="1"/>
  <c r="BB11" i="3"/>
  <c r="BL11" i="3"/>
  <c r="BL14" i="3"/>
  <c r="BV14" i="3"/>
  <c r="CA15" i="3"/>
  <c r="BL16" i="3"/>
  <c r="BV16" i="3"/>
  <c r="CA17" i="3"/>
  <c r="BL18" i="3"/>
  <c r="BV18" i="3"/>
  <c r="CA19" i="3"/>
  <c r="BB21" i="3"/>
  <c r="AW22" i="3"/>
  <c r="BQ22" i="3"/>
  <c r="BB23" i="3"/>
  <c r="AW24" i="3"/>
  <c r="BB27" i="3"/>
  <c r="AW28" i="3"/>
  <c r="BB31" i="3"/>
  <c r="CA34" i="3"/>
  <c r="CA36" i="3"/>
  <c r="CA38" i="3"/>
  <c r="CA40" i="3"/>
  <c r="BG42" i="3"/>
  <c r="BB43" i="3"/>
  <c r="BV8" i="3"/>
  <c r="CF11" i="3"/>
  <c r="BB13" i="3"/>
  <c r="AW18" i="3"/>
  <c r="BL20" i="3"/>
  <c r="CA22" i="3"/>
  <c r="BV23" i="3"/>
  <c r="BG24" i="3"/>
  <c r="BQ24" i="3"/>
  <c r="BV25" i="3"/>
  <c r="BG26" i="3"/>
  <c r="BV27" i="3"/>
  <c r="BG28" i="3"/>
  <c r="BQ28" i="3"/>
  <c r="BG30" i="3"/>
  <c r="BV31" i="3"/>
  <c r="AW33" i="3"/>
  <c r="BG33" i="3"/>
  <c r="AW35" i="3"/>
  <c r="AW37" i="3"/>
  <c r="BG37" i="3"/>
  <c r="BV39" i="3"/>
  <c r="CF39" i="3"/>
  <c r="CO39" i="3" s="1"/>
  <c r="CO41" i="3"/>
  <c r="CP41" i="3" s="1"/>
  <c r="BV41" i="3"/>
  <c r="CF41" i="3"/>
  <c r="CF43" i="3"/>
  <c r="CO43" i="3" s="1"/>
  <c r="BB45" i="3"/>
  <c r="CF46" i="3"/>
  <c r="CO46" i="3" s="1"/>
  <c r="BB3" i="3"/>
  <c r="BL13" i="3"/>
  <c r="CA30" i="3"/>
  <c r="BQ33" i="3"/>
  <c r="BQ35" i="3"/>
  <c r="CA35" i="3"/>
  <c r="BL36" i="3"/>
  <c r="BQ37" i="3"/>
  <c r="BQ44" i="3"/>
  <c r="BL45" i="3"/>
  <c r="BV45" i="3"/>
  <c r="BV3" i="3"/>
  <c r="BL5" i="3"/>
  <c r="BB7" i="3"/>
  <c r="BL7" i="3"/>
  <c r="BL10" i="3"/>
  <c r="BV10" i="3"/>
  <c r="BB12" i="3"/>
  <c r="BV13" i="3"/>
  <c r="CF13" i="3"/>
  <c r="BB15" i="3"/>
  <c r="BL15" i="3"/>
  <c r="BB17" i="3"/>
  <c r="BL17" i="3"/>
  <c r="BB19" i="3"/>
  <c r="BL19" i="3"/>
  <c r="AW21" i="3"/>
  <c r="BG21" i="3"/>
  <c r="CF34" i="3"/>
  <c r="CF38" i="3"/>
  <c r="CO38" i="3" s="1"/>
  <c r="AW41" i="3"/>
  <c r="CF45" i="3"/>
  <c r="CF19" i="3"/>
  <c r="CO19" i="3" s="1"/>
  <c r="EI23" i="1" s="1"/>
  <c r="CA21" i="3"/>
  <c r="AW23" i="3"/>
  <c r="BL26" i="3"/>
  <c r="AW27" i="3"/>
  <c r="AW29" i="3"/>
  <c r="BG29" i="3"/>
  <c r="CA29" i="3"/>
  <c r="BL30" i="3"/>
  <c r="AW31" i="3"/>
  <c r="BB35" i="3"/>
  <c r="AW36" i="3"/>
  <c r="BQ39" i="3"/>
  <c r="CA39" i="3"/>
  <c r="CA41" i="3"/>
  <c r="AW45" i="3"/>
  <c r="CA46" i="3"/>
  <c r="CF32" i="3"/>
  <c r="CA32" i="3"/>
  <c r="BV32" i="3"/>
  <c r="BQ32" i="3"/>
  <c r="BL32" i="3"/>
  <c r="CJ32" i="3" s="1"/>
  <c r="BG32" i="3"/>
  <c r="CI32" i="3"/>
  <c r="BB32" i="3"/>
  <c r="AW32" i="3"/>
  <c r="CO4" i="3"/>
  <c r="CO11" i="3"/>
  <c r="EI15" i="1" s="1"/>
  <c r="CO13" i="3"/>
  <c r="EI17" i="1" s="1"/>
  <c r="CO3" i="3"/>
  <c r="EI7" i="1" s="1"/>
  <c r="CO5" i="3"/>
  <c r="CO10" i="3"/>
  <c r="CO15" i="3"/>
  <c r="CO17" i="3"/>
  <c r="EI21" i="1" s="1"/>
  <c r="CO7" i="3"/>
  <c r="EI11" i="1" s="1"/>
  <c r="CO12" i="3"/>
  <c r="EI16" i="1" s="1"/>
  <c r="CO6" i="3"/>
  <c r="CO14" i="3"/>
  <c r="CO16" i="3"/>
  <c r="CO18" i="3"/>
  <c r="EI22" i="1" s="1"/>
  <c r="CO21" i="3"/>
  <c r="EI25" i="1" s="1"/>
  <c r="CO24" i="3"/>
  <c r="EI28" i="1" s="1"/>
  <c r="CO25" i="3"/>
  <c r="EI29" i="1" s="1"/>
  <c r="CO27" i="3"/>
  <c r="EI31" i="1" s="1"/>
  <c r="CO29" i="3"/>
  <c r="CO45" i="3"/>
  <c r="CO20" i="3"/>
  <c r="EI24" i="1" s="1"/>
  <c r="CF22" i="3"/>
  <c r="CO22" i="3" s="1"/>
  <c r="CO23" i="3"/>
  <c r="EI27" i="1" s="1"/>
  <c r="CO31" i="3"/>
  <c r="EI35" i="1" s="1"/>
  <c r="CO40" i="3"/>
  <c r="CO42" i="3"/>
  <c r="CP42" i="3" s="1"/>
  <c r="CO35" i="3"/>
  <c r="CO37" i="3"/>
  <c r="CP37" i="3" s="1"/>
  <c r="CO26" i="3"/>
  <c r="CO28" i="3"/>
  <c r="CO44" i="3"/>
  <c r="BB25" i="3"/>
  <c r="CO34" i="3"/>
  <c r="CP34" i="3" s="1"/>
  <c r="CO36" i="3"/>
  <c r="BL39" i="3"/>
  <c r="BV46" i="3"/>
  <c r="CP46" i="3" s="1"/>
  <c r="BB40" i="3"/>
  <c r="BL43" i="3"/>
  <c r="BT2" i="3"/>
  <c r="CE2" i="3"/>
  <c r="AT2" i="3"/>
  <c r="AU2" i="3"/>
  <c r="AV2" i="3"/>
  <c r="AX2" i="3"/>
  <c r="CH2" i="3" s="1"/>
  <c r="AY2" i="3"/>
  <c r="AZ2" i="3"/>
  <c r="BA2" i="3"/>
  <c r="BC2" i="3"/>
  <c r="CI2" i="3" s="1"/>
  <c r="BD2" i="3"/>
  <c r="BE2" i="3"/>
  <c r="BF2" i="3"/>
  <c r="BH2" i="3"/>
  <c r="BI2" i="3"/>
  <c r="BJ2" i="3"/>
  <c r="BK2" i="3"/>
  <c r="BM2" i="3"/>
  <c r="CK2" i="3" s="1"/>
  <c r="BN2" i="3"/>
  <c r="BO2" i="3"/>
  <c r="BP2" i="3"/>
  <c r="BR2" i="3"/>
  <c r="CL2" i="3" s="1"/>
  <c r="BS2" i="3"/>
  <c r="BU2" i="3"/>
  <c r="BW2" i="3"/>
  <c r="CM2" i="3" s="1"/>
  <c r="BX2" i="3"/>
  <c r="BY2" i="3"/>
  <c r="BZ2" i="3"/>
  <c r="CB2" i="3"/>
  <c r="CC2" i="3"/>
  <c r="CD2" i="3"/>
  <c r="AS2" i="3"/>
  <c r="CP33" i="3" l="1"/>
  <c r="EJ37" i="1" s="1"/>
  <c r="EI37" i="1"/>
  <c r="CP8" i="3"/>
  <c r="EJ12" i="1" s="1"/>
  <c r="EI12" i="1"/>
  <c r="CP29" i="3"/>
  <c r="EJ33" i="1" s="1"/>
  <c r="EI33" i="1"/>
  <c r="CP6" i="3"/>
  <c r="EJ10" i="1" s="1"/>
  <c r="EI10" i="1"/>
  <c r="CP4" i="3"/>
  <c r="EJ8" i="1" s="1"/>
  <c r="EI8" i="1"/>
  <c r="CP28" i="3"/>
  <c r="EJ32" i="1" s="1"/>
  <c r="EI32" i="1"/>
  <c r="CP15" i="3"/>
  <c r="EJ19" i="1" s="1"/>
  <c r="EI19" i="1"/>
  <c r="CP9" i="3"/>
  <c r="EJ13" i="1" s="1"/>
  <c r="EI13" i="1"/>
  <c r="CP26" i="3"/>
  <c r="EJ30" i="1" s="1"/>
  <c r="EI30" i="1"/>
  <c r="CP22" i="3"/>
  <c r="EJ26" i="1" s="1"/>
  <c r="EI26" i="1"/>
  <c r="CP10" i="3"/>
  <c r="EJ14" i="1" s="1"/>
  <c r="EI14" i="1"/>
  <c r="CP16" i="3"/>
  <c r="EJ20" i="1" s="1"/>
  <c r="EI20" i="1"/>
  <c r="CP5" i="3"/>
  <c r="EJ9" i="1" s="1"/>
  <c r="EI9" i="1"/>
  <c r="CP35" i="3"/>
  <c r="CP45" i="3"/>
  <c r="CP14" i="3"/>
  <c r="EJ18" i="1" s="1"/>
  <c r="EI18" i="1"/>
  <c r="CP19" i="3"/>
  <c r="EJ23" i="1" s="1"/>
  <c r="CP27" i="3"/>
  <c r="EJ31" i="1" s="1"/>
  <c r="CP30" i="3"/>
  <c r="EJ34" i="1" s="1"/>
  <c r="CP12" i="3"/>
  <c r="EJ16" i="1" s="1"/>
  <c r="CP3" i="3"/>
  <c r="EJ7" i="1" s="1"/>
  <c r="CP31" i="3"/>
  <c r="EJ35" i="1" s="1"/>
  <c r="CP24" i="3"/>
  <c r="EJ28" i="1" s="1"/>
  <c r="CP13" i="3"/>
  <c r="EJ17" i="1" s="1"/>
  <c r="CP38" i="3"/>
  <c r="CP23" i="3"/>
  <c r="EJ27" i="1" s="1"/>
  <c r="CP21" i="3"/>
  <c r="EJ25" i="1" s="1"/>
  <c r="CP44" i="3"/>
  <c r="CP18" i="3"/>
  <c r="EJ22" i="1" s="1"/>
  <c r="CP7" i="3"/>
  <c r="EJ11" i="1" s="1"/>
  <c r="CP11" i="3"/>
  <c r="EJ15" i="1" s="1"/>
  <c r="CP36" i="3"/>
  <c r="CP20" i="3"/>
  <c r="EJ24" i="1" s="1"/>
  <c r="CP17" i="3"/>
  <c r="EJ21" i="1" s="1"/>
  <c r="CO32" i="3"/>
  <c r="CP25" i="3"/>
  <c r="EJ29" i="1" s="1"/>
  <c r="CP43" i="3"/>
  <c r="CP39" i="3"/>
  <c r="CP40" i="3"/>
  <c r="CA2" i="3"/>
  <c r="BQ2" i="3"/>
  <c r="BB2" i="3"/>
  <c r="CF2" i="3"/>
  <c r="CN2" i="3" s="1"/>
  <c r="BV2" i="3"/>
  <c r="BL2" i="3"/>
  <c r="CJ2" i="3" s="1"/>
  <c r="BG2" i="3"/>
  <c r="AW2" i="3"/>
  <c r="CG2" i="3" s="1"/>
  <c r="CP32" i="3" l="1"/>
  <c r="EJ36" i="1" s="1"/>
  <c r="EI36" i="1"/>
  <c r="CO2" i="3"/>
  <c r="EI6" i="1" s="1"/>
  <c r="CP2" i="3" l="1"/>
  <c r="EJ6" i="1" s="1"/>
  <c r="BN6" i="1" l="1"/>
  <c r="AY7" i="1" l="1"/>
  <c r="AJ6" i="1" l="1"/>
  <c r="AH2" i="2" l="1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AH17" i="2"/>
  <c r="AH16" i="2"/>
  <c r="BB16" i="2" s="1"/>
  <c r="BT35" i="1" s="1"/>
  <c r="AH15" i="2"/>
  <c r="BB15" i="2" s="1"/>
  <c r="BT33" i="1" s="1"/>
  <c r="AH14" i="2"/>
  <c r="BB14" i="2" s="1"/>
  <c r="BT31" i="1" s="1"/>
  <c r="AH13" i="2"/>
  <c r="BB13" i="2" s="1"/>
  <c r="BT29" i="1" s="1"/>
  <c r="AH12" i="2"/>
  <c r="BB12" i="2" s="1"/>
  <c r="BT27" i="1" s="1"/>
  <c r="AH11" i="2"/>
  <c r="BB11" i="2" s="1"/>
  <c r="BT25" i="1" s="1"/>
  <c r="AH10" i="2"/>
  <c r="BB10" i="2" s="1"/>
  <c r="BT23" i="1" s="1"/>
  <c r="AH9" i="2"/>
  <c r="BB9" i="2" s="1"/>
  <c r="BT21" i="1" s="1"/>
  <c r="AH8" i="2"/>
  <c r="BB8" i="2" s="1"/>
  <c r="BT19" i="1" s="1"/>
  <c r="AH7" i="2"/>
  <c r="BB7" i="2" s="1"/>
  <c r="BT17" i="1" s="1"/>
  <c r="AH6" i="2"/>
  <c r="BB6" i="2" s="1"/>
  <c r="BT15" i="1" s="1"/>
  <c r="AH5" i="2"/>
  <c r="BB5" i="2" s="1"/>
  <c r="BT13" i="1" s="1"/>
  <c r="AH4" i="2"/>
  <c r="BB4" i="2" s="1"/>
  <c r="BT11" i="1" s="1"/>
  <c r="AH3" i="2"/>
  <c r="BB3" i="2" s="1"/>
  <c r="BT9" i="1" s="1"/>
  <c r="BU20" i="1" l="1"/>
  <c r="BJ21" i="1"/>
  <c r="BU22" i="1"/>
  <c r="BJ23" i="1"/>
  <c r="BU8" i="1"/>
  <c r="BJ9" i="1"/>
  <c r="BU24" i="1"/>
  <c r="BJ25" i="1"/>
  <c r="BU10" i="1"/>
  <c r="BJ11" i="1"/>
  <c r="BU30" i="1"/>
  <c r="BJ31" i="1"/>
  <c r="BU26" i="1"/>
  <c r="BJ27" i="1"/>
  <c r="BU28" i="1"/>
  <c r="BJ29" i="1"/>
  <c r="BU14" i="1"/>
  <c r="BJ15" i="1"/>
  <c r="BU16" i="1"/>
  <c r="BJ17" i="1"/>
  <c r="BU32" i="1"/>
  <c r="BJ33" i="1"/>
  <c r="BU12" i="1"/>
  <c r="BJ13" i="1"/>
  <c r="BU18" i="1"/>
  <c r="BJ19" i="1"/>
  <c r="BU34" i="1"/>
  <c r="BJ35" i="1"/>
  <c r="BV38" i="1"/>
  <c r="BB17" i="2"/>
  <c r="BT37" i="1" s="1"/>
  <c r="BU36" i="1" s="1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17" i="2" l="1"/>
  <c r="BJ37" i="1"/>
  <c r="AG3" i="2" l="1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2" i="2"/>
  <c r="AD17" i="2" l="1"/>
  <c r="AC17" i="2"/>
  <c r="AB17" i="2"/>
  <c r="AA17" i="2"/>
  <c r="Z17" i="2"/>
  <c r="Y17" i="2"/>
  <c r="AD16" i="2"/>
  <c r="AC16" i="2"/>
  <c r="AB16" i="2"/>
  <c r="AA16" i="2"/>
  <c r="Z16" i="2"/>
  <c r="Y16" i="2"/>
  <c r="AD15" i="2"/>
  <c r="AC15" i="2"/>
  <c r="AB15" i="2"/>
  <c r="AA15" i="2"/>
  <c r="Z15" i="2"/>
  <c r="Y15" i="2"/>
  <c r="AD14" i="2"/>
  <c r="AC14" i="2"/>
  <c r="AB14" i="2"/>
  <c r="AA14" i="2"/>
  <c r="Z14" i="2"/>
  <c r="Y14" i="2"/>
  <c r="AD13" i="2"/>
  <c r="AC13" i="2"/>
  <c r="AB13" i="2"/>
  <c r="AA13" i="2"/>
  <c r="Z13" i="2"/>
  <c r="Y13" i="2"/>
  <c r="AD12" i="2"/>
  <c r="AC12" i="2"/>
  <c r="AB12" i="2"/>
  <c r="AA12" i="2"/>
  <c r="Z12" i="2"/>
  <c r="Y12" i="2"/>
  <c r="AD11" i="2"/>
  <c r="AC11" i="2"/>
  <c r="AB11" i="2"/>
  <c r="AA11" i="2"/>
  <c r="Z11" i="2"/>
  <c r="Y11" i="2"/>
  <c r="AD10" i="2"/>
  <c r="AC10" i="2"/>
  <c r="AB10" i="2"/>
  <c r="AA10" i="2"/>
  <c r="Z10" i="2"/>
  <c r="Y10" i="2"/>
  <c r="AD9" i="2"/>
  <c r="AC9" i="2"/>
  <c r="AB9" i="2"/>
  <c r="AA9" i="2"/>
  <c r="Z9" i="2"/>
  <c r="Y9" i="2"/>
  <c r="AD8" i="2"/>
  <c r="AC8" i="2"/>
  <c r="AB8" i="2"/>
  <c r="AA8" i="2"/>
  <c r="Z8" i="2"/>
  <c r="Y8" i="2"/>
  <c r="AD7" i="2"/>
  <c r="AC7" i="2"/>
  <c r="AB7" i="2"/>
  <c r="AA7" i="2"/>
  <c r="Z7" i="2"/>
  <c r="Y7" i="2"/>
  <c r="AD6" i="2"/>
  <c r="AC6" i="2"/>
  <c r="AB6" i="2"/>
  <c r="AA6" i="2"/>
  <c r="Z6" i="2"/>
  <c r="Y6" i="2"/>
  <c r="AD5" i="2"/>
  <c r="AC5" i="2"/>
  <c r="AB5" i="2"/>
  <c r="AA5" i="2"/>
  <c r="Z5" i="2"/>
  <c r="Y5" i="2"/>
  <c r="AD4" i="2"/>
  <c r="AC4" i="2"/>
  <c r="AB4" i="2"/>
  <c r="AA4" i="2"/>
  <c r="Z4" i="2"/>
  <c r="Y4" i="2"/>
  <c r="AD3" i="2"/>
  <c r="AC3" i="2"/>
  <c r="AB3" i="2"/>
  <c r="AA3" i="2"/>
  <c r="Z3" i="2"/>
  <c r="Y3" i="2"/>
  <c r="AF14" i="2" l="1"/>
  <c r="AF3" i="2"/>
  <c r="AF7" i="2"/>
  <c r="AF11" i="2"/>
  <c r="AF15" i="2"/>
  <c r="AE3" i="2"/>
  <c r="AE7" i="2"/>
  <c r="AE11" i="2"/>
  <c r="AE15" i="2"/>
  <c r="AE6" i="2"/>
  <c r="AF4" i="2"/>
  <c r="AF8" i="2"/>
  <c r="AF12" i="2"/>
  <c r="AF16" i="2"/>
  <c r="AF6" i="2"/>
  <c r="AE10" i="2"/>
  <c r="AE4" i="2"/>
  <c r="AE8" i="2"/>
  <c r="AE12" i="2"/>
  <c r="AE16" i="2"/>
  <c r="AF10" i="2"/>
  <c r="AE14" i="2"/>
  <c r="AF5" i="2"/>
  <c r="AF9" i="2"/>
  <c r="AF13" i="2"/>
  <c r="AF17" i="2"/>
  <c r="AE5" i="2"/>
  <c r="AE9" i="2"/>
  <c r="AE13" i="2"/>
  <c r="AE17" i="2"/>
  <c r="AH7" i="1" l="1"/>
  <c r="R58" i="1" l="1"/>
  <c r="R59" i="1"/>
  <c r="N17" i="2" l="1"/>
  <c r="M17" i="2"/>
  <c r="L17" i="2"/>
  <c r="K17" i="2"/>
  <c r="J17" i="2"/>
  <c r="I17" i="2"/>
  <c r="H17" i="2"/>
  <c r="G17" i="2"/>
  <c r="F17" i="2"/>
  <c r="E17" i="2"/>
  <c r="D17" i="2"/>
  <c r="B17" i="2"/>
  <c r="N16" i="2"/>
  <c r="M16" i="2"/>
  <c r="L16" i="2"/>
  <c r="K16" i="2"/>
  <c r="J16" i="2"/>
  <c r="I16" i="2"/>
  <c r="H16" i="2"/>
  <c r="G16" i="2"/>
  <c r="F16" i="2"/>
  <c r="E16" i="2"/>
  <c r="D16" i="2"/>
  <c r="B16" i="2"/>
  <c r="N15" i="2"/>
  <c r="M15" i="2"/>
  <c r="L15" i="2"/>
  <c r="K15" i="2"/>
  <c r="J15" i="2"/>
  <c r="I15" i="2"/>
  <c r="H15" i="2"/>
  <c r="G15" i="2"/>
  <c r="F15" i="2"/>
  <c r="E15" i="2"/>
  <c r="D15" i="2"/>
  <c r="B15" i="2"/>
  <c r="N14" i="2"/>
  <c r="M14" i="2"/>
  <c r="L14" i="2"/>
  <c r="K14" i="2"/>
  <c r="J14" i="2"/>
  <c r="I14" i="2"/>
  <c r="H14" i="2"/>
  <c r="G14" i="2"/>
  <c r="F14" i="2"/>
  <c r="E14" i="2"/>
  <c r="D14" i="2"/>
  <c r="B14" i="2"/>
  <c r="N13" i="2"/>
  <c r="M13" i="2"/>
  <c r="L13" i="2"/>
  <c r="K13" i="2"/>
  <c r="J13" i="2"/>
  <c r="I13" i="2"/>
  <c r="H13" i="2"/>
  <c r="G13" i="2"/>
  <c r="F13" i="2"/>
  <c r="E13" i="2"/>
  <c r="D13" i="2"/>
  <c r="B13" i="2"/>
  <c r="N12" i="2"/>
  <c r="M12" i="2"/>
  <c r="L12" i="2"/>
  <c r="K12" i="2"/>
  <c r="J12" i="2"/>
  <c r="I12" i="2"/>
  <c r="H12" i="2"/>
  <c r="G12" i="2"/>
  <c r="F12" i="2"/>
  <c r="E12" i="2"/>
  <c r="D12" i="2"/>
  <c r="B12" i="2"/>
  <c r="N11" i="2"/>
  <c r="M11" i="2"/>
  <c r="L11" i="2"/>
  <c r="K11" i="2"/>
  <c r="J11" i="2"/>
  <c r="I11" i="2"/>
  <c r="H11" i="2"/>
  <c r="G11" i="2"/>
  <c r="F11" i="2"/>
  <c r="E11" i="2"/>
  <c r="D11" i="2"/>
  <c r="B11" i="2"/>
  <c r="N10" i="2"/>
  <c r="M10" i="2"/>
  <c r="L10" i="2"/>
  <c r="K10" i="2"/>
  <c r="J10" i="2"/>
  <c r="I10" i="2"/>
  <c r="H10" i="2"/>
  <c r="G10" i="2"/>
  <c r="F10" i="2"/>
  <c r="E10" i="2"/>
  <c r="D10" i="2"/>
  <c r="B10" i="2"/>
  <c r="N9" i="2"/>
  <c r="M9" i="2"/>
  <c r="L9" i="2"/>
  <c r="K9" i="2"/>
  <c r="J9" i="2"/>
  <c r="I9" i="2"/>
  <c r="H9" i="2"/>
  <c r="G9" i="2"/>
  <c r="F9" i="2"/>
  <c r="E9" i="2"/>
  <c r="D9" i="2"/>
  <c r="B9" i="2"/>
  <c r="N8" i="2"/>
  <c r="M8" i="2"/>
  <c r="L8" i="2"/>
  <c r="K8" i="2"/>
  <c r="J8" i="2"/>
  <c r="I8" i="2"/>
  <c r="H8" i="2"/>
  <c r="G8" i="2"/>
  <c r="F8" i="2"/>
  <c r="E8" i="2"/>
  <c r="D8" i="2"/>
  <c r="B8" i="2"/>
  <c r="N7" i="2"/>
  <c r="M7" i="2"/>
  <c r="L7" i="2"/>
  <c r="K7" i="2"/>
  <c r="J7" i="2"/>
  <c r="I7" i="2"/>
  <c r="H7" i="2"/>
  <c r="G7" i="2"/>
  <c r="F7" i="2"/>
  <c r="E7" i="2"/>
  <c r="D7" i="2"/>
  <c r="B7" i="2"/>
  <c r="N6" i="2"/>
  <c r="M6" i="2"/>
  <c r="L6" i="2"/>
  <c r="K6" i="2"/>
  <c r="J6" i="2"/>
  <c r="I6" i="2"/>
  <c r="H6" i="2"/>
  <c r="G6" i="2"/>
  <c r="F6" i="2"/>
  <c r="E6" i="2"/>
  <c r="D6" i="2"/>
  <c r="B6" i="2"/>
  <c r="N5" i="2"/>
  <c r="M5" i="2"/>
  <c r="L5" i="2"/>
  <c r="K5" i="2"/>
  <c r="J5" i="2"/>
  <c r="I5" i="2"/>
  <c r="H5" i="2"/>
  <c r="G5" i="2"/>
  <c r="F5" i="2"/>
  <c r="E5" i="2"/>
  <c r="D5" i="2"/>
  <c r="B5" i="2"/>
  <c r="N4" i="2"/>
  <c r="M4" i="2"/>
  <c r="L4" i="2"/>
  <c r="K4" i="2"/>
  <c r="J4" i="2"/>
  <c r="I4" i="2"/>
  <c r="H4" i="2"/>
  <c r="G4" i="2"/>
  <c r="F4" i="2"/>
  <c r="E4" i="2"/>
  <c r="D4" i="2"/>
  <c r="B4" i="2"/>
  <c r="N3" i="2"/>
  <c r="M3" i="2"/>
  <c r="L3" i="2"/>
  <c r="K3" i="2"/>
  <c r="J3" i="2"/>
  <c r="I3" i="2"/>
  <c r="H3" i="2"/>
  <c r="G3" i="2"/>
  <c r="F3" i="2"/>
  <c r="E3" i="2"/>
  <c r="D3" i="2"/>
  <c r="B3" i="2"/>
  <c r="N2" i="2"/>
  <c r="M2" i="2"/>
  <c r="L2" i="2"/>
  <c r="K2" i="2"/>
  <c r="J2" i="2"/>
  <c r="I2" i="2"/>
  <c r="H2" i="2"/>
  <c r="G2" i="2"/>
  <c r="F2" i="2"/>
  <c r="E2" i="2"/>
  <c r="D2" i="2"/>
  <c r="A2" i="2"/>
  <c r="S59" i="1" l="1"/>
  <c r="O59" i="1"/>
  <c r="N59" i="1"/>
  <c r="Q59" i="1"/>
  <c r="P59" i="1"/>
  <c r="O58" i="1"/>
  <c r="N58" i="1"/>
  <c r="Q58" i="1"/>
  <c r="P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6" i="1"/>
  <c r="R46" i="1"/>
  <c r="S45" i="1"/>
  <c r="R45" i="1"/>
  <c r="S44" i="1"/>
  <c r="R44" i="1"/>
  <c r="S43" i="1"/>
  <c r="R43" i="1"/>
  <c r="S42" i="1"/>
  <c r="R42" i="1"/>
  <c r="BV39" i="1"/>
  <c r="BP39" i="1"/>
  <c r="BK39" i="1"/>
  <c r="BH39" i="1"/>
  <c r="BP38" i="1"/>
  <c r="BH38" i="1"/>
  <c r="BL37" i="1"/>
  <c r="AY37" i="1"/>
  <c r="BN36" i="1"/>
  <c r="C21" i="1" s="1"/>
  <c r="BG36" i="1"/>
  <c r="AY36" i="1"/>
  <c r="BL35" i="1"/>
  <c r="AY35" i="1"/>
  <c r="BN34" i="1"/>
  <c r="BG34" i="1"/>
  <c r="AY34" i="1"/>
  <c r="BL33" i="1"/>
  <c r="AY33" i="1"/>
  <c r="BN32" i="1"/>
  <c r="BG32" i="1"/>
  <c r="AY32" i="1"/>
  <c r="BL31" i="1"/>
  <c r="AY31" i="1"/>
  <c r="BN30" i="1"/>
  <c r="BG30" i="1"/>
  <c r="AY30" i="1"/>
  <c r="BL29" i="1"/>
  <c r="AY29" i="1"/>
  <c r="BN28" i="1"/>
  <c r="BG28" i="1"/>
  <c r="AY28" i="1"/>
  <c r="BL27" i="1"/>
  <c r="AY27" i="1"/>
  <c r="BN26" i="1"/>
  <c r="BG26" i="1"/>
  <c r="AY26" i="1"/>
  <c r="BL25" i="1"/>
  <c r="AY25" i="1"/>
  <c r="AT25" i="1"/>
  <c r="BN24" i="1"/>
  <c r="BG24" i="1"/>
  <c r="AY24" i="1"/>
  <c r="BL23" i="1"/>
  <c r="AY23" i="1"/>
  <c r="BN22" i="1"/>
  <c r="C14" i="1" s="1"/>
  <c r="BG22" i="1"/>
  <c r="AY22" i="1"/>
  <c r="BL21" i="1"/>
  <c r="AY21" i="1"/>
  <c r="S17" i="2"/>
  <c r="AL21" i="1"/>
  <c r="BJ36" i="1" s="1"/>
  <c r="AI21" i="1"/>
  <c r="AD21" i="1"/>
  <c r="AB21" i="1"/>
  <c r="O17" i="2" s="1"/>
  <c r="N57" i="1"/>
  <c r="D21" i="1"/>
  <c r="B21" i="1"/>
  <c r="A17" i="2" s="1"/>
  <c r="BN20" i="1"/>
  <c r="BG20" i="1"/>
  <c r="AY20" i="1"/>
  <c r="AG20" i="1"/>
  <c r="BM34" i="1" s="1"/>
  <c r="AB20" i="1"/>
  <c r="O16" i="2" s="1"/>
  <c r="W16" i="2"/>
  <c r="D20" i="1"/>
  <c r="C20" i="1"/>
  <c r="B20" i="1"/>
  <c r="A16" i="2" s="1"/>
  <c r="BL19" i="1"/>
  <c r="AY19" i="1"/>
  <c r="AB19" i="1"/>
  <c r="O15" i="2" s="1"/>
  <c r="D19" i="1"/>
  <c r="C19" i="1"/>
  <c r="B19" i="1"/>
  <c r="A15" i="2" s="1"/>
  <c r="BN18" i="1"/>
  <c r="BG18" i="1"/>
  <c r="AY18" i="1"/>
  <c r="S14" i="2"/>
  <c r="AB18" i="1"/>
  <c r="O14" i="2" s="1"/>
  <c r="O54" i="1"/>
  <c r="D18" i="1"/>
  <c r="C18" i="1"/>
  <c r="B18" i="1"/>
  <c r="A14" i="2" s="1"/>
  <c r="CE17" i="1"/>
  <c r="BL17" i="1"/>
  <c r="AY17" i="1"/>
  <c r="S13" i="2"/>
  <c r="AB17" i="1"/>
  <c r="O13" i="2" s="1"/>
  <c r="N53" i="1"/>
  <c r="D17" i="1"/>
  <c r="C17" i="1"/>
  <c r="B17" i="1"/>
  <c r="A13" i="2" s="1"/>
  <c r="BN16" i="1"/>
  <c r="BG16" i="1"/>
  <c r="AY16" i="1"/>
  <c r="S12" i="2"/>
  <c r="AB16" i="1"/>
  <c r="O12" i="2" s="1"/>
  <c r="W12" i="2"/>
  <c r="D16" i="1"/>
  <c r="C16" i="1"/>
  <c r="B16" i="1"/>
  <c r="A12" i="2" s="1"/>
  <c r="BL15" i="1"/>
  <c r="AY15" i="1"/>
  <c r="S11" i="2"/>
  <c r="AD15" i="1"/>
  <c r="AB15" i="1"/>
  <c r="D15" i="1"/>
  <c r="C15" i="1"/>
  <c r="B15" i="1"/>
  <c r="A11" i="2" s="1"/>
  <c r="BN14" i="1"/>
  <c r="C10" i="1" s="1"/>
  <c r="BG14" i="1"/>
  <c r="AY14" i="1"/>
  <c r="S10" i="2"/>
  <c r="AB14" i="1"/>
  <c r="D14" i="1"/>
  <c r="BL13" i="1"/>
  <c r="AY13" i="1"/>
  <c r="S9" i="2"/>
  <c r="AB13" i="1"/>
  <c r="O9" i="2" s="1"/>
  <c r="D13" i="1"/>
  <c r="C13" i="1"/>
  <c r="BN12" i="1"/>
  <c r="BG12" i="1"/>
  <c r="AY12" i="1"/>
  <c r="S8" i="2"/>
  <c r="AB12" i="1"/>
  <c r="D12" i="1"/>
  <c r="C12" i="1"/>
  <c r="BL11" i="1"/>
  <c r="AY11" i="1"/>
  <c r="S7" i="2"/>
  <c r="AB11" i="1"/>
  <c r="D11" i="1"/>
  <c r="C11" i="1"/>
  <c r="BN10" i="1"/>
  <c r="C8" i="1" s="1"/>
  <c r="BG10" i="1"/>
  <c r="AY10" i="1"/>
  <c r="S6" i="2"/>
  <c r="AB10" i="1"/>
  <c r="O6" i="2" s="1"/>
  <c r="D10" i="1"/>
  <c r="BL9" i="1"/>
  <c r="AY9" i="1"/>
  <c r="S5" i="2"/>
  <c r="AB9" i="1"/>
  <c r="O5" i="2" s="1"/>
  <c r="AD9" i="1"/>
  <c r="D9" i="1"/>
  <c r="C9" i="1"/>
  <c r="BN8" i="1"/>
  <c r="C7" i="1" s="1"/>
  <c r="BG8" i="1"/>
  <c r="AY8" i="1"/>
  <c r="S4" i="2"/>
  <c r="AB8" i="1"/>
  <c r="O4" i="2" s="1"/>
  <c r="D8" i="1"/>
  <c r="BL7" i="1"/>
  <c r="S3" i="2"/>
  <c r="AB7" i="1"/>
  <c r="D7" i="1"/>
  <c r="B7" i="1"/>
  <c r="BH6" i="1"/>
  <c r="BG6" i="1"/>
  <c r="AY6" i="1"/>
  <c r="S2" i="2"/>
  <c r="BB2" i="2" s="1"/>
  <c r="BT7" i="1" s="1"/>
  <c r="R2" i="2"/>
  <c r="AB6" i="1"/>
  <c r="D6" i="1"/>
  <c r="BT2" i="1"/>
  <c r="BR2" i="1"/>
  <c r="P2" i="2" l="1"/>
  <c r="BU6" i="1"/>
  <c r="BK38" i="1" s="1"/>
  <c r="BT38" i="1" s="1"/>
  <c r="BR38" i="1"/>
  <c r="BJ7" i="1"/>
  <c r="AZ39" i="1"/>
  <c r="BK6" i="1"/>
  <c r="AC16" i="1"/>
  <c r="BT26" i="1" s="1"/>
  <c r="AC17" i="1"/>
  <c r="BT28" i="1" s="1"/>
  <c r="AC10" i="1"/>
  <c r="BT14" i="1" s="1"/>
  <c r="BK12" i="1"/>
  <c r="R5" i="2"/>
  <c r="BK18" i="1"/>
  <c r="R8" i="2"/>
  <c r="BK24" i="1"/>
  <c r="R11" i="2"/>
  <c r="AC18" i="1"/>
  <c r="BT30" i="1" s="1"/>
  <c r="AH18" i="1"/>
  <c r="AI18" i="1" s="1"/>
  <c r="BK36" i="1"/>
  <c r="R17" i="2"/>
  <c r="BK14" i="1"/>
  <c r="R6" i="2"/>
  <c r="BK22" i="1"/>
  <c r="R10" i="2"/>
  <c r="AH15" i="1"/>
  <c r="AI15" i="1" s="1"/>
  <c r="BK26" i="1"/>
  <c r="R12" i="2"/>
  <c r="BK28" i="1"/>
  <c r="R13" i="2"/>
  <c r="AD18" i="1"/>
  <c r="AG19" i="1"/>
  <c r="BM32" i="1" s="1"/>
  <c r="AC20" i="1"/>
  <c r="BT34" i="1" s="1"/>
  <c r="S16" i="2"/>
  <c r="AG21" i="1"/>
  <c r="BM36" i="1" s="1"/>
  <c r="AL16" i="1"/>
  <c r="BJ26" i="1" s="1"/>
  <c r="AG18" i="1"/>
  <c r="BM30" i="1" s="1"/>
  <c r="Q55" i="1"/>
  <c r="V15" i="2"/>
  <c r="BK34" i="1"/>
  <c r="R16" i="2"/>
  <c r="BK20" i="1"/>
  <c r="R9" i="2"/>
  <c r="AD16" i="1"/>
  <c r="BK32" i="1"/>
  <c r="R15" i="2"/>
  <c r="BK8" i="1"/>
  <c r="R3" i="2"/>
  <c r="BK10" i="1"/>
  <c r="R4" i="2"/>
  <c r="BK16" i="1"/>
  <c r="R7" i="2"/>
  <c r="Q51" i="1"/>
  <c r="V11" i="2"/>
  <c r="AL15" i="1"/>
  <c r="BJ24" i="1" s="1"/>
  <c r="AH16" i="1"/>
  <c r="AI16" i="1" s="1"/>
  <c r="BK30" i="1"/>
  <c r="R14" i="2"/>
  <c r="AL18" i="1"/>
  <c r="BJ30" i="1" s="1"/>
  <c r="AC19" i="1"/>
  <c r="BT32" i="1" s="1"/>
  <c r="S15" i="2"/>
  <c r="AC21" i="1"/>
  <c r="BT36" i="1" s="1"/>
  <c r="B8" i="1"/>
  <c r="A3" i="2"/>
  <c r="AX10" i="1"/>
  <c r="AC14" i="1"/>
  <c r="BT22" i="1" s="1"/>
  <c r="O10" i="2"/>
  <c r="AC6" i="1"/>
  <c r="O2" i="2"/>
  <c r="AC7" i="1"/>
  <c r="BT8" i="1" s="1"/>
  <c r="O3" i="2"/>
  <c r="AC12" i="1"/>
  <c r="BT18" i="1" s="1"/>
  <c r="O8" i="2"/>
  <c r="AC11" i="1"/>
  <c r="BT16" i="1" s="1"/>
  <c r="O7" i="2"/>
  <c r="AC15" i="1"/>
  <c r="BT24" i="1" s="1"/>
  <c r="O11" i="2"/>
  <c r="AC8" i="1"/>
  <c r="BT10" i="1" s="1"/>
  <c r="AC9" i="1"/>
  <c r="AG9" i="1" s="1"/>
  <c r="BM12" i="1" s="1"/>
  <c r="AD10" i="1"/>
  <c r="AC13" i="1"/>
  <c r="BT20" i="1" s="1"/>
  <c r="C6" i="1"/>
  <c r="AD7" i="1"/>
  <c r="AD8" i="1"/>
  <c r="N45" i="1"/>
  <c r="T5" i="2"/>
  <c r="W5" i="2"/>
  <c r="O45" i="1"/>
  <c r="P45" i="1"/>
  <c r="P46" i="1"/>
  <c r="AX14" i="1"/>
  <c r="N46" i="1"/>
  <c r="O46" i="1" s="1"/>
  <c r="T6" i="2"/>
  <c r="W6" i="2"/>
  <c r="AD11" i="1"/>
  <c r="AD12" i="1"/>
  <c r="N49" i="1"/>
  <c r="O49" i="1" s="1"/>
  <c r="T9" i="2"/>
  <c r="W9" i="2"/>
  <c r="AX20" i="1"/>
  <c r="P49" i="1"/>
  <c r="AD13" i="1"/>
  <c r="AG10" i="1"/>
  <c r="BM14" i="1" s="1"/>
  <c r="P50" i="1"/>
  <c r="AG14" i="1"/>
  <c r="BM22" i="1" s="1"/>
  <c r="W10" i="2"/>
  <c r="AX22" i="1"/>
  <c r="AD14" i="1"/>
  <c r="T59" i="1"/>
  <c r="P43" i="1"/>
  <c r="W3" i="2"/>
  <c r="W4" i="2"/>
  <c r="P44" i="1"/>
  <c r="O47" i="1"/>
  <c r="P47" i="1"/>
  <c r="N47" i="1"/>
  <c r="T7" i="2"/>
  <c r="AX16" i="1"/>
  <c r="W7" i="2"/>
  <c r="W8" i="2"/>
  <c r="P48" i="1"/>
  <c r="AX18" i="1"/>
  <c r="P42" i="1"/>
  <c r="T2" i="2"/>
  <c r="W2" i="2"/>
  <c r="AG7" i="1"/>
  <c r="BM8" i="1" s="1"/>
  <c r="AG8" i="1"/>
  <c r="BM10" i="1" s="1"/>
  <c r="AX8" i="1"/>
  <c r="AG11" i="1"/>
  <c r="BM16" i="1" s="1"/>
  <c r="AG12" i="1"/>
  <c r="BM18" i="1" s="1"/>
  <c r="AX12" i="1"/>
  <c r="AF15" i="1"/>
  <c r="BL24" i="1" s="1"/>
  <c r="AF16" i="1"/>
  <c r="BL26" i="1" s="1"/>
  <c r="AD17" i="1"/>
  <c r="AH17" i="1"/>
  <c r="AI17" i="1" s="1"/>
  <c r="AL17" i="1"/>
  <c r="BJ28" i="1" s="1"/>
  <c r="W11" i="2"/>
  <c r="T12" i="2"/>
  <c r="N52" i="1"/>
  <c r="P53" i="1"/>
  <c r="O53" i="1"/>
  <c r="W15" i="2"/>
  <c r="T16" i="2"/>
  <c r="N56" i="1"/>
  <c r="P57" i="1"/>
  <c r="O57" i="1"/>
  <c r="AG15" i="1"/>
  <c r="BM24" i="1" s="1"/>
  <c r="AG16" i="1"/>
  <c r="BM26" i="1" s="1"/>
  <c r="AF19" i="1"/>
  <c r="BL32" i="1" s="1"/>
  <c r="AF20" i="1"/>
  <c r="BL34" i="1" s="1"/>
  <c r="AX26" i="1"/>
  <c r="AX30" i="1"/>
  <c r="AX34" i="1"/>
  <c r="T11" i="2"/>
  <c r="N51" i="1"/>
  <c r="P52" i="1"/>
  <c r="O52" i="1"/>
  <c r="W14" i="2"/>
  <c r="T15" i="2"/>
  <c r="N55" i="1"/>
  <c r="P56" i="1"/>
  <c r="O56" i="1"/>
  <c r="AF17" i="1"/>
  <c r="BL28" i="1" s="1"/>
  <c r="AX24" i="1"/>
  <c r="P51" i="1"/>
  <c r="O51" i="1"/>
  <c r="W13" i="2"/>
  <c r="T14" i="2"/>
  <c r="N54" i="1"/>
  <c r="P55" i="1"/>
  <c r="O55" i="1"/>
  <c r="W17" i="2"/>
  <c r="AG17" i="1"/>
  <c r="BM28" i="1" s="1"/>
  <c r="AF18" i="1"/>
  <c r="BL30" i="1" s="1"/>
  <c r="AD19" i="1"/>
  <c r="AH19" i="1"/>
  <c r="AI19" i="1" s="1"/>
  <c r="AL19" i="1"/>
  <c r="BJ32" i="1" s="1"/>
  <c r="AD20" i="1"/>
  <c r="AH20" i="1"/>
  <c r="AI20" i="1" s="1"/>
  <c r="AL20" i="1"/>
  <c r="BJ34" i="1" s="1"/>
  <c r="AF21" i="1"/>
  <c r="BL36" i="1" s="1"/>
  <c r="AX28" i="1"/>
  <c r="AX32" i="1"/>
  <c r="AX36" i="1"/>
  <c r="T13" i="2"/>
  <c r="P54" i="1"/>
  <c r="T17" i="2"/>
  <c r="BT39" i="1" l="1"/>
  <c r="BT6" i="1"/>
  <c r="U12" i="2"/>
  <c r="Q50" i="1"/>
  <c r="V10" i="2"/>
  <c r="U10" i="2"/>
  <c r="Q46" i="1"/>
  <c r="V6" i="2"/>
  <c r="Q45" i="1"/>
  <c r="V5" i="2"/>
  <c r="Q56" i="1"/>
  <c r="V16" i="2"/>
  <c r="T51" i="1"/>
  <c r="U11" i="2"/>
  <c r="U13" i="2"/>
  <c r="U4" i="2"/>
  <c r="U6" i="2"/>
  <c r="U14" i="2"/>
  <c r="U16" i="2"/>
  <c r="Q53" i="1"/>
  <c r="V13" i="2"/>
  <c r="Q42" i="1"/>
  <c r="V2" i="2"/>
  <c r="U2" i="2"/>
  <c r="U8" i="2"/>
  <c r="Q44" i="1"/>
  <c r="V4" i="2"/>
  <c r="U3" i="2"/>
  <c r="N50" i="1"/>
  <c r="O50" i="1" s="1"/>
  <c r="T10" i="2"/>
  <c r="U5" i="2"/>
  <c r="Q57" i="1"/>
  <c r="T57" i="1" s="1"/>
  <c r="V17" i="2"/>
  <c r="N44" i="1"/>
  <c r="O44" i="1" s="1"/>
  <c r="T4" i="2"/>
  <c r="Q49" i="1"/>
  <c r="V9" i="2"/>
  <c r="N48" i="1"/>
  <c r="O48" i="1" s="1"/>
  <c r="T8" i="2"/>
  <c r="U7" i="2"/>
  <c r="N43" i="1"/>
  <c r="O43" i="1" s="1"/>
  <c r="T3" i="2"/>
  <c r="BT12" i="1"/>
  <c r="T55" i="1"/>
  <c r="U15" i="2"/>
  <c r="Q52" i="1"/>
  <c r="V12" i="2"/>
  <c r="U17" i="2"/>
  <c r="Q54" i="1"/>
  <c r="V14" i="2"/>
  <c r="Q48" i="1"/>
  <c r="V8" i="2"/>
  <c r="Q47" i="1"/>
  <c r="V7" i="2"/>
  <c r="Q43" i="1"/>
  <c r="V3" i="2"/>
  <c r="U9" i="2"/>
  <c r="B9" i="1"/>
  <c r="A4" i="2"/>
  <c r="AG13" i="1"/>
  <c r="BM20" i="1" s="1"/>
  <c r="AH8" i="1"/>
  <c r="AH10" i="1"/>
  <c r="AH12" i="1"/>
  <c r="AH11" i="1"/>
  <c r="AH13" i="1"/>
  <c r="AH14" i="1"/>
  <c r="AH9" i="1"/>
  <c r="T45" i="1" l="1"/>
  <c r="AF9" i="1" s="1"/>
  <c r="BL12" i="1" s="1"/>
  <c r="T53" i="1"/>
  <c r="T44" i="1"/>
  <c r="AF8" i="1" s="1"/>
  <c r="T49" i="1"/>
  <c r="AF13" i="1" s="1"/>
  <c r="BL20" i="1" s="1"/>
  <c r="T46" i="1"/>
  <c r="AF10" i="1" s="1"/>
  <c r="BL14" i="1" s="1"/>
  <c r="T52" i="1"/>
  <c r="T47" i="1"/>
  <c r="AF11" i="1" s="1"/>
  <c r="BL16" i="1" s="1"/>
  <c r="T56" i="1"/>
  <c r="T43" i="1"/>
  <c r="AF7" i="1" s="1"/>
  <c r="BL8" i="1" s="1"/>
  <c r="T48" i="1"/>
  <c r="AF12" i="1" s="1"/>
  <c r="BL18" i="1" s="1"/>
  <c r="T50" i="1"/>
  <c r="AF14" i="1" s="1"/>
  <c r="BL22" i="1" s="1"/>
  <c r="T54" i="1"/>
  <c r="BL10" i="1"/>
  <c r="B10" i="1"/>
  <c r="A5" i="2"/>
  <c r="AI13" i="1"/>
  <c r="AL13" i="1"/>
  <c r="BJ20" i="1" s="1"/>
  <c r="AI12" i="1"/>
  <c r="AL12" i="1"/>
  <c r="BJ18" i="1" s="1"/>
  <c r="AI7" i="1"/>
  <c r="AL7" i="1"/>
  <c r="BJ8" i="1" s="1"/>
  <c r="AI11" i="1"/>
  <c r="AL11" i="1"/>
  <c r="BJ16" i="1" s="1"/>
  <c r="AI10" i="1"/>
  <c r="AL10" i="1"/>
  <c r="BJ14" i="1" s="1"/>
  <c r="AI8" i="1"/>
  <c r="AL8" i="1"/>
  <c r="BJ10" i="1" s="1"/>
  <c r="AI9" i="1"/>
  <c r="AL9" i="1"/>
  <c r="BJ12" i="1" s="1"/>
  <c r="AI14" i="1"/>
  <c r="AL14" i="1"/>
  <c r="BJ22" i="1" s="1"/>
  <c r="B11" i="1" l="1"/>
  <c r="A6" i="2"/>
  <c r="B12" i="1" l="1"/>
  <c r="A7" i="2"/>
  <c r="B13" i="1" l="1"/>
  <c r="A8" i="2"/>
  <c r="B14" i="1" l="1"/>
  <c r="A10" i="2" s="1"/>
  <c r="A9" i="2"/>
  <c r="AC2" i="2" l="1"/>
  <c r="Y2" i="2"/>
  <c r="B2" i="2"/>
  <c r="AD2" i="2"/>
  <c r="Z2" i="2"/>
  <c r="AA2" i="2"/>
  <c r="AB2" i="2"/>
  <c r="AE2" i="2" l="1"/>
  <c r="AG6" i="1"/>
  <c r="BM6" i="1" s="1"/>
  <c r="AF2" i="2"/>
  <c r="AH6" i="1"/>
  <c r="AD6" i="1"/>
  <c r="L22" i="1" s="1"/>
  <c r="S58" i="1" s="1"/>
  <c r="T58" i="1" s="1"/>
  <c r="AL6" i="1"/>
  <c r="BJ6" i="1" s="1"/>
  <c r="AF6" i="1"/>
  <c r="BL6" i="1" s="1"/>
  <c r="S22" i="1"/>
  <c r="O42" i="1"/>
  <c r="T42" i="1" s="1"/>
  <c r="AX6" i="1"/>
  <c r="N42" i="1"/>
  <c r="AL22" i="1" l="1"/>
  <c r="AD22" i="1"/>
  <c r="AI6" i="1"/>
  <c r="AK6" i="1" s="1"/>
  <c r="X22" i="1" a="1"/>
  <c r="X22" i="1" s="1"/>
  <c r="AZ38" i="1" l="1"/>
  <c r="AJ3" i="1"/>
  <c r="BR39" i="1" s="1"/>
  <c r="AJ7" i="1"/>
  <c r="BH7" i="1"/>
  <c r="BH8" i="1" l="1"/>
  <c r="AK7" i="1"/>
  <c r="BH9" i="1" l="1"/>
  <c r="AJ8" i="1"/>
  <c r="AK8" i="1" l="1"/>
  <c r="BH10" i="1"/>
  <c r="BH11" i="1" l="1"/>
  <c r="AJ9" i="1"/>
  <c r="AK9" i="1" l="1"/>
  <c r="BH12" i="1"/>
  <c r="BH13" i="1" l="1"/>
  <c r="AJ10" i="1"/>
  <c r="AK10" i="1" l="1"/>
  <c r="BH14" i="1"/>
  <c r="BH15" i="1" l="1"/>
  <c r="AJ11" i="1"/>
  <c r="AK11" i="1" l="1"/>
  <c r="BH16" i="1"/>
  <c r="BH17" i="1" l="1"/>
  <c r="AJ12" i="1"/>
  <c r="BH18" i="1" l="1"/>
  <c r="AK12" i="1"/>
  <c r="BH19" i="1" l="1"/>
  <c r="AJ13" i="1"/>
  <c r="BH20" i="1" l="1"/>
  <c r="AK13" i="1"/>
  <c r="AJ14" i="1" l="1"/>
  <c r="BH21" i="1"/>
  <c r="AK14" i="1" l="1"/>
  <c r="BH22" i="1"/>
  <c r="BH23" i="1" l="1"/>
  <c r="AJ15" i="1"/>
  <c r="AK15" i="1" l="1"/>
  <c r="BH24" i="1"/>
  <c r="AJ16" i="1" l="1"/>
  <c r="BH25" i="1"/>
  <c r="AK16" i="1" l="1"/>
  <c r="BH26" i="1"/>
  <c r="BH27" i="1" l="1"/>
  <c r="AJ17" i="1"/>
  <c r="AK17" i="1" l="1"/>
  <c r="BH28" i="1"/>
  <c r="AJ18" i="1" l="1"/>
  <c r="BH29" i="1"/>
  <c r="BH30" i="1" l="1"/>
  <c r="AK18" i="1"/>
  <c r="AJ19" i="1" l="1"/>
  <c r="BH31" i="1"/>
  <c r="BH32" i="1" l="1"/>
  <c r="AK19" i="1"/>
  <c r="BH33" i="1" l="1"/>
  <c r="AJ20" i="1"/>
  <c r="AK20" i="1" l="1"/>
  <c r="BH34" i="1"/>
  <c r="AJ21" i="1" l="1"/>
  <c r="BH35" i="1"/>
  <c r="BH36" i="1" l="1"/>
  <c r="AK21" i="1"/>
  <c r="BH37" i="1" s="1"/>
</calcChain>
</file>

<file path=xl/sharedStrings.xml><?xml version="1.0" encoding="utf-8"?>
<sst xmlns="http://schemas.openxmlformats.org/spreadsheetml/2006/main" count="462" uniqueCount="237">
  <si>
    <t>TP</t>
  </si>
  <si>
    <t>TTSSI BL-1 PRODUCTION SCHEDULE</t>
  </si>
  <si>
    <t>BL 1 DAILY  PRODUCTION MANAGEMENT BOARD</t>
  </si>
  <si>
    <t>DATE</t>
  </si>
  <si>
    <t>SHIFT :</t>
  </si>
  <si>
    <t>TEAM</t>
  </si>
  <si>
    <t># of TMs</t>
  </si>
  <si>
    <t>PROCESS DATE</t>
  </si>
  <si>
    <t>DAY</t>
  </si>
  <si>
    <t>SHIFT</t>
  </si>
  <si>
    <t>SCHEDULED GSPH</t>
  </si>
  <si>
    <t>Parts Specification Details</t>
  </si>
  <si>
    <t>MC Qty &amp; Rewind Details</t>
  </si>
  <si>
    <t>Scheduled Lot Quantity(Combined, Standard &amp; Partial)
Details</t>
  </si>
  <si>
    <t>Scheduled Quantity &amp; Weight Details</t>
  </si>
  <si>
    <t>Scheduled Time Calculation &amp; GSPH Details</t>
  </si>
  <si>
    <t>SL NO</t>
  </si>
  <si>
    <t xml:space="preserve">PART NO &amp; SIZE </t>
  </si>
  <si>
    <t xml:space="preserve">No of coils </t>
  </si>
  <si>
    <t>MC wt</t>
  </si>
  <si>
    <t>Partial part</t>
  </si>
  <si>
    <t>STD PLAN</t>
  </si>
  <si>
    <t xml:space="preserve">PLAN START TIME </t>
  </si>
  <si>
    <t>ACT.START TIME</t>
  </si>
  <si>
    <t>PLAN GSPH</t>
  </si>
  <si>
    <t xml:space="preserve">PLAN SPM </t>
  </si>
  <si>
    <t>PLAN SETUP TIME</t>
  </si>
  <si>
    <t>PLAN AUTO RUN TIME</t>
  </si>
  <si>
    <t>Total process time</t>
  </si>
  <si>
    <t>Break down time</t>
  </si>
  <si>
    <t>AUTO RUN 
CLOCK TIME
(hh:mm)</t>
  </si>
  <si>
    <t>Plan Cuts</t>
  </si>
  <si>
    <t>Scrap kgs</t>
  </si>
  <si>
    <t>Break time</t>
  </si>
  <si>
    <t>PREVIOUS SHIFT PARTIAL PART SIZE DETAILS</t>
  </si>
  <si>
    <t>Sl No</t>
  </si>
  <si>
    <t>total time process</t>
  </si>
  <si>
    <t>b/d time</t>
  </si>
  <si>
    <t>Unit Number</t>
  </si>
  <si>
    <t>Part Number</t>
  </si>
  <si>
    <t>Model</t>
  </si>
  <si>
    <t/>
  </si>
  <si>
    <t>Mill</t>
  </si>
  <si>
    <t>Spec - Coat</t>
  </si>
  <si>
    <t>Thick</t>
  </si>
  <si>
    <t>Width</t>
  </si>
  <si>
    <t>Length-1</t>
  </si>
  <si>
    <t>Length -2</t>
  </si>
  <si>
    <t>No Of Coil</t>
  </si>
  <si>
    <t>Rewind</t>
  </si>
  <si>
    <t>Com-1 Qty</t>
  </si>
  <si>
    <t>No Of Lots</t>
  </si>
  <si>
    <t>Com-2 Qty</t>
  </si>
  <si>
    <t>Std- Qty</t>
  </si>
  <si>
    <t>Partial-1 Qty</t>
  </si>
  <si>
    <t>Partial-2 Qty</t>
  </si>
  <si>
    <t>Total Pcs</t>
  </si>
  <si>
    <t>Total Strokes</t>
  </si>
  <si>
    <t>Weight in MT</t>
  </si>
  <si>
    <t>SPM</t>
  </si>
  <si>
    <t>Setup Time</t>
  </si>
  <si>
    <t>Process Time (Mins)</t>
  </si>
  <si>
    <t>Total Time  (Mins)</t>
  </si>
  <si>
    <t>total time (hh:mm)</t>
  </si>
  <si>
    <t>Start Time (hh:mm)</t>
  </si>
  <si>
    <t>End Time (hh:mm)</t>
  </si>
  <si>
    <t>GSPH</t>
  </si>
  <si>
    <t>Strokes/Part</t>
  </si>
  <si>
    <t>Wt/
Sheet</t>
  </si>
  <si>
    <t>No of R/W coils</t>
  </si>
  <si>
    <t>R/W wt</t>
  </si>
  <si>
    <t>TIME</t>
  </si>
  <si>
    <t xml:space="preserve">STD ACTUAL </t>
  </si>
  <si>
    <t>PLAN FINISH TIME</t>
  </si>
  <si>
    <t>ACT. FINISH TIME</t>
  </si>
  <si>
    <t xml:space="preserve">ACT. GSPH </t>
  </si>
  <si>
    <t>ACTUAL SPM</t>
  </si>
  <si>
    <t>ACT. SETUP TIME</t>
  </si>
  <si>
    <t>ACTUAL AUTO RUN TIME</t>
  </si>
  <si>
    <t>Actual Cuts</t>
  </si>
  <si>
    <t>Updated by Prod. Dept.</t>
  </si>
  <si>
    <t>SCAMS NO</t>
  </si>
  <si>
    <t>SPM</t>
    <phoneticPr fontId="0"/>
  </si>
  <si>
    <t>SETUP TIME</t>
    <phoneticPr fontId="0"/>
  </si>
  <si>
    <t>PROCESS TIME</t>
    <phoneticPr fontId="0"/>
  </si>
  <si>
    <t>TOTAL TIME</t>
    <phoneticPr fontId="0"/>
  </si>
  <si>
    <t>PARTIAL FG WT</t>
  </si>
  <si>
    <t>R</t>
  </si>
  <si>
    <t>STROKES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</si>
  <si>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</si>
  <si>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</si>
  <si>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</si>
  <si>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</si>
  <si>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TOTAL SCHEDULED FG WEIGHT</t>
  </si>
  <si>
    <t>MT</t>
  </si>
  <si>
    <t>TOTAL STROKES</t>
  </si>
  <si>
    <t>HRS</t>
  </si>
  <si>
    <t>AUTO RUN TIME</t>
  </si>
  <si>
    <t>SETTING TIME</t>
  </si>
  <si>
    <t>TOTAL TIME</t>
  </si>
  <si>
    <t>OPERATION HRS:-</t>
  </si>
  <si>
    <t>LINE PASS 
IN KGS:-</t>
  </si>
  <si>
    <t>TOTAL FG
WT IN KGS:-</t>
  </si>
  <si>
    <t>NO OF W/Os:-</t>
  </si>
  <si>
    <t>NO OF
CUTS:-</t>
  </si>
  <si>
    <t>YIELD:-</t>
  </si>
  <si>
    <t>NO OF CASES:-</t>
  </si>
  <si>
    <t>ACTUAL WORKING HRS:-</t>
  </si>
  <si>
    <t>REWIND 
IN KGS:-</t>
  </si>
  <si>
    <t>TOTAL SCRAP
WT IN KGS:-</t>
  </si>
  <si>
    <t>NO OF 
REWIND COILS:-</t>
  </si>
  <si>
    <t>PLAN GSPH:-</t>
  </si>
  <si>
    <t>ACTUAL GSPH</t>
  </si>
  <si>
    <t>AUTORUN TIME
 IN MINS:-</t>
  </si>
  <si>
    <t>SETTINGS PARAMETERS</t>
  </si>
  <si>
    <t>INN/OUT</t>
  </si>
  <si>
    <t>SIDE BOX REMOVAL TIME</t>
  </si>
  <si>
    <t>BOTH SIDE</t>
  </si>
  <si>
    <t>SMALL PILLER PART</t>
  </si>
  <si>
    <t>SHAPE</t>
  </si>
  <si>
    <t>QC CHECK TIME/COIL</t>
  </si>
  <si>
    <t>TOT QC CHECK TIME/PART</t>
  </si>
  <si>
    <t>TREP PART REMOVAL TIME</t>
  </si>
  <si>
    <t>SMALL CART REMOVAL TIME</t>
  </si>
  <si>
    <t>COIL TOP TIME</t>
  </si>
  <si>
    <t>REWIND TIME</t>
  </si>
  <si>
    <t>SUM</t>
  </si>
  <si>
    <r>
      <t xml:space="preserve">Note :- Black Fonts updated by Planning san
           </t>
    </r>
    <r>
      <rPr>
        <b/>
        <sz val="36"/>
        <color rgb="FFC00000"/>
        <rFont val="Times New Roman"/>
        <family val="1"/>
      </rPr>
      <t xml:space="preserve"> Red Fonts</t>
    </r>
    <r>
      <rPr>
        <b/>
        <sz val="36"/>
        <color theme="1"/>
        <rFont val="Times New Roman"/>
        <family val="1"/>
      </rPr>
      <t xml:space="preserve"> Updated by Production team</t>
    </r>
  </si>
  <si>
    <t>COIIL TOP</t>
    <phoneticPr fontId="0"/>
  </si>
  <si>
    <t>OUTER QC</t>
    <phoneticPr fontId="0"/>
  </si>
  <si>
    <t>INNER QC</t>
    <phoneticPr fontId="0"/>
  </si>
  <si>
    <t>PLET CHANGE</t>
  </si>
  <si>
    <t>SMALL</t>
    <phoneticPr fontId="0"/>
  </si>
  <si>
    <t xml:space="preserve"> </t>
  </si>
  <si>
    <t>R</t>
    <phoneticPr fontId="0"/>
  </si>
  <si>
    <t>SlNo</t>
  </si>
  <si>
    <t>UnitNumber</t>
  </si>
  <si>
    <t>NoOfCoil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</si>
  <si>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</si>
  <si>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</si>
  <si>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</si>
  <si>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</si>
  <si>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</si>
  <si>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</si>
  <si>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</si>
  <si>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</si>
  <si>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</si>
  <si>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</si>
  <si>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</si>
  <si>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</si>
  <si>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</si>
  <si>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Additianl Setup Time</t>
  </si>
  <si>
    <t>Mins</t>
  </si>
  <si>
    <t>StrokesPerPart</t>
  </si>
  <si>
    <t>INNOUT</t>
  </si>
  <si>
    <t>BOTHSIDE</t>
  </si>
  <si>
    <t>SMALLPILLERPART</t>
  </si>
  <si>
    <t>CUSTName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</si>
  <si>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</si>
  <si>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</si>
  <si>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</si>
  <si>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</si>
  <si>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</si>
  <si>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</si>
  <si>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</si>
  <si>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</si>
  <si>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BLANKWT</t>
  </si>
  <si>
    <t>C1</t>
  </si>
  <si>
    <t>C2</t>
  </si>
  <si>
    <t>STD</t>
  </si>
  <si>
    <t>P1</t>
  </si>
  <si>
    <t>P2</t>
  </si>
  <si>
    <t>C1Part</t>
  </si>
  <si>
    <t>C2Part</t>
  </si>
  <si>
    <t>STDPart</t>
  </si>
  <si>
    <t>P1Part</t>
  </si>
  <si>
    <t>P2Part</t>
  </si>
  <si>
    <t>C1ACTQTY</t>
  </si>
  <si>
    <t>C2ACTQTY</t>
  </si>
  <si>
    <t>STDACTQTY</t>
  </si>
  <si>
    <t>P1ACTQTY</t>
  </si>
  <si>
    <t>P2ACTQTY</t>
  </si>
  <si>
    <t>C1PARTQTY</t>
  </si>
  <si>
    <t>C2PARTQTY</t>
  </si>
  <si>
    <t>STDPARTQTY</t>
  </si>
  <si>
    <t>P1PARTQTY</t>
  </si>
  <si>
    <t>P2PARTQTY</t>
  </si>
  <si>
    <t>TQTY</t>
  </si>
  <si>
    <t>Packet Wt</t>
  </si>
  <si>
    <t>Line Stop</t>
  </si>
  <si>
    <t>PanaboardUnitNo</t>
  </si>
  <si>
    <t>PanaboardPartNo</t>
  </si>
  <si>
    <t>Team</t>
  </si>
  <si>
    <t>Shift</t>
  </si>
  <si>
    <t>TMS</t>
  </si>
  <si>
    <t>PartialPartTime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</si>
  <si>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</si>
  <si>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</si>
  <si>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</si>
  <si>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</si>
  <si>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</si>
  <si>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</si>
  <si>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</si>
  <si>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</si>
  <si>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</si>
  <si>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</si>
  <si>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</si>
  <si>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</si>
  <si>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</si>
  <si>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</si>
  <si>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NoOfCoils</t>
  </si>
  <si>
    <t>Coil1</t>
  </si>
  <si>
    <t>Coil2</t>
  </si>
  <si>
    <t>Coil3</t>
  </si>
  <si>
    <t>Coil4</t>
  </si>
  <si>
    <t>Coil5</t>
  </si>
  <si>
    <t>Coil6</t>
  </si>
  <si>
    <t>NoOfProcessedCoils</t>
  </si>
  <si>
    <t>TotalStrokes</t>
  </si>
  <si>
    <t>ActPCS</t>
  </si>
  <si>
    <t>OneStrokeTwoPieces</t>
  </si>
  <si>
    <t>Processed</t>
  </si>
  <si>
    <t>NoOfRewindCoils</t>
  </si>
  <si>
    <t>TPPPartNo</t>
  </si>
  <si>
    <t>TPPModel</t>
  </si>
  <si>
    <t>UnitShift</t>
  </si>
  <si>
    <t>BreakDownTime</t>
  </si>
  <si>
    <t>ActualTime</t>
  </si>
  <si>
    <t>PreviousLineStop</t>
  </si>
  <si>
    <t>PartialPart</t>
  </si>
  <si>
    <t>Repeat</t>
  </si>
  <si>
    <t>LHRHSize</t>
  </si>
  <si>
    <t>LHRH</t>
  </si>
  <si>
    <t>ActualStartT</t>
  </si>
  <si>
    <t>ActualFinishT</t>
  </si>
  <si>
    <t>PlanStartT</t>
  </si>
  <si>
    <t>PlanFinishT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</si>
</sst>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 "/>
    <numFmt numFmtId="165" formatCode="0.0"/>
    <numFmt numFmtId="166" formatCode="0.00_ "/>
  </numFmts>
  <fonts count="5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Times New Roman"/>
      <family val="1"/>
    </font>
    <font>
      <sz val="10"/>
      <name val="Arial"/>
      <family val="2"/>
    </font>
    <font>
      <sz val="26"/>
      <name val="Times New Roman"/>
      <family val="1"/>
    </font>
    <font>
      <b/>
      <sz val="48"/>
      <name val="Times New Roman"/>
      <family val="1"/>
    </font>
    <font>
      <b/>
      <sz val="26"/>
      <name val="Times New Roman"/>
      <family val="1"/>
    </font>
    <font>
      <b/>
      <sz val="36"/>
      <color theme="1"/>
      <name val="Times New Roman"/>
      <family val="1"/>
    </font>
    <font>
      <b/>
      <sz val="26"/>
      <color theme="1"/>
      <name val="Times New Roman"/>
      <family val="1"/>
    </font>
    <font>
      <b/>
      <sz val="28"/>
      <name val="Times New Roman"/>
      <family val="1"/>
    </font>
    <font>
      <b/>
      <sz val="36"/>
      <name val="Times New Roman"/>
      <family val="1"/>
    </font>
    <font>
      <sz val="36"/>
      <name val="Times New Roman"/>
      <family val="1"/>
    </font>
    <font>
      <b/>
      <sz val="24"/>
      <name val="Times New Roman"/>
      <family val="1"/>
    </font>
    <font>
      <b/>
      <sz val="22"/>
      <color theme="1"/>
      <name val="Times New Roman"/>
      <family val="1"/>
    </font>
    <font>
      <b/>
      <sz val="26"/>
      <color rgb="FFFF0000"/>
      <name val="Times New Roman"/>
      <family val="1"/>
    </font>
    <font>
      <b/>
      <sz val="22"/>
      <color rgb="FFFF0000"/>
      <name val="Times New Roman"/>
      <family val="1"/>
    </font>
    <font>
      <b/>
      <sz val="24"/>
      <color theme="1"/>
      <name val="Times New Roman"/>
      <family val="1"/>
    </font>
    <font>
      <b/>
      <sz val="26"/>
      <color rgb="FFC00000"/>
      <name val="Times New Roman"/>
      <family val="1"/>
    </font>
    <font>
      <sz val="36"/>
      <color rgb="FFC00000"/>
      <name val="Times New Roman"/>
      <family val="1"/>
    </font>
    <font>
      <b/>
      <sz val="20"/>
      <color theme="1"/>
      <name val="Times New Roman"/>
      <family val="1"/>
    </font>
    <font>
      <b/>
      <sz val="20"/>
      <color rgb="FFFF0000"/>
      <name val="Times New Roman"/>
      <family val="1"/>
    </font>
    <font>
      <sz val="22"/>
      <color theme="1"/>
      <name val="Times New Roman"/>
      <family val="1"/>
    </font>
    <font>
      <sz val="28"/>
      <color theme="1"/>
      <name val="Times New Roman"/>
      <family val="1"/>
    </font>
    <font>
      <b/>
      <sz val="28"/>
      <color theme="1"/>
      <name val="Times New Roman"/>
      <family val="1"/>
    </font>
    <font>
      <sz val="14"/>
      <name val="Terminal"/>
      <family val="3"/>
      <charset val="255"/>
    </font>
    <font>
      <sz val="20"/>
      <color indexed="8"/>
      <name val="Times New Roman"/>
      <family val="1"/>
    </font>
    <font>
      <sz val="20"/>
      <color theme="1"/>
      <name val="Times New Roman"/>
      <family val="1"/>
    </font>
    <font>
      <b/>
      <sz val="16"/>
      <name val="Times New Roman"/>
      <family val="1"/>
    </font>
    <font>
      <sz val="12"/>
      <color theme="1"/>
      <name val="Times New Roman"/>
      <family val="1"/>
    </font>
    <font>
      <b/>
      <sz val="10"/>
      <name val="Times New Roman"/>
      <family val="1"/>
    </font>
    <font>
      <sz val="16"/>
      <color theme="1"/>
      <name val="Times New Roman"/>
      <family val="1"/>
    </font>
    <font>
      <b/>
      <sz val="4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22"/>
      <name val="Times New Roman"/>
      <family val="1"/>
    </font>
    <font>
      <b/>
      <sz val="11"/>
      <color theme="1"/>
      <name val="Times New Roman"/>
      <family val="1"/>
    </font>
    <font>
      <b/>
      <sz val="36"/>
      <color rgb="FFC00000"/>
      <name val="Times New Roman"/>
      <family val="1"/>
    </font>
    <font>
      <b/>
      <sz val="20"/>
      <name val="Times New Roman"/>
      <family val="1"/>
    </font>
    <font>
      <sz val="16"/>
      <name val="Times New Roman"/>
      <family val="1"/>
    </font>
    <font>
      <sz val="20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0"/>
      <name val="Times New Roman"/>
      <family val="1"/>
    </font>
    <font>
      <sz val="26"/>
      <color theme="0"/>
      <name val="Times New Roman"/>
      <family val="1"/>
    </font>
    <font>
      <sz val="36"/>
      <color theme="0"/>
      <name val="Times New Roman"/>
      <family val="1"/>
    </font>
    <font>
      <b/>
      <sz val="10"/>
      <color theme="0"/>
      <name val="Times New Roman"/>
      <family val="1"/>
    </font>
    <font>
      <b/>
      <sz val="26"/>
      <color theme="0"/>
      <name val="Times New Roman"/>
      <family val="1"/>
    </font>
    <font>
      <b/>
      <sz val="11"/>
      <color theme="0"/>
      <name val="Times New Roman"/>
      <family val="1"/>
    </font>
    <font>
      <sz val="16"/>
      <color theme="0"/>
      <name val="Times New Roman"/>
      <family val="1"/>
    </font>
    <font>
      <sz val="28"/>
      <color theme="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36"/>
      <color rgb="FFFF0000"/>
      <name val="Times New Roman"/>
      <family val="1"/>
    </font>
    <font>
      <b/>
      <sz val="72"/>
      <color theme="1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3" fillId="0" borderId="0"/>
    <xf numFmtId="0" fontId="24" fillId="0" borderId="0"/>
    <xf numFmtId="9" fontId="1" fillId="0" borderId="0" applyFont="0" applyFill="0" applyBorder="0" applyAlignment="0" applyProtection="0"/>
  </cellStyleXfs>
  <cellXfs count="455">
    <xf numFmtId="0" fontId="0" fillId="0" borderId="0" xfId="0"/>
    <xf numFmtId="0" fontId="2" fillId="0" borderId="0" xfId="1" applyFont="1" applyProtection="1">
      <alignment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10" fillId="2" borderId="12" xfId="2" applyFont="1" applyFill="1" applyBorder="1" applyAlignment="1" applyProtection="1">
      <alignment horizontal="center" vertical="center"/>
      <protection locked="0"/>
    </xf>
    <xf numFmtId="0" fontId="11" fillId="2" borderId="12" xfId="2" applyFont="1" applyFill="1" applyBorder="1" applyAlignment="1" applyProtection="1">
      <alignment vertical="center"/>
      <protection locked="0"/>
    </xf>
    <xf numFmtId="0" fontId="13" fillId="5" borderId="7" xfId="1" applyFont="1" applyFill="1" applyBorder="1" applyAlignment="1" applyProtection="1">
      <alignment horizontal="center" vertical="center" wrapText="1"/>
      <protection locked="0"/>
    </xf>
    <xf numFmtId="0" fontId="15" fillId="5" borderId="24" xfId="1" applyFont="1" applyFill="1" applyBorder="1" applyAlignment="1" applyProtection="1">
      <alignment horizontal="center" vertical="center" wrapText="1"/>
      <protection locked="0"/>
    </xf>
    <xf numFmtId="0" fontId="16" fillId="5" borderId="25" xfId="1" applyFont="1" applyFill="1" applyBorder="1" applyAlignment="1" applyProtection="1">
      <alignment horizontal="center" vertical="center" wrapText="1"/>
      <protection locked="0"/>
    </xf>
    <xf numFmtId="0" fontId="13" fillId="5" borderId="25" xfId="1" applyFont="1" applyFill="1" applyBorder="1" applyAlignment="1" applyProtection="1">
      <alignment horizontal="center" vertical="center" wrapText="1"/>
      <protection locked="0"/>
    </xf>
    <xf numFmtId="0" fontId="13" fillId="5" borderId="26" xfId="1" applyFont="1" applyFill="1" applyBorder="1" applyAlignment="1" applyProtection="1">
      <alignment horizontal="center" vertical="center" wrapText="1"/>
      <protection locked="0"/>
    </xf>
    <xf numFmtId="0" fontId="13" fillId="5" borderId="27" xfId="1" applyFont="1" applyFill="1" applyBorder="1" applyAlignment="1" applyProtection="1">
      <alignment horizontal="center" vertical="center" wrapText="1"/>
      <protection locked="0"/>
    </xf>
    <xf numFmtId="0" fontId="13" fillId="5" borderId="21" xfId="1" applyFont="1" applyFill="1" applyBorder="1" applyAlignment="1" applyProtection="1">
      <alignment horizontal="center" vertical="center" wrapText="1"/>
      <protection locked="0"/>
    </xf>
    <xf numFmtId="0" fontId="17" fillId="5" borderId="29" xfId="1" applyFont="1" applyFill="1" applyBorder="1" applyAlignment="1" applyProtection="1">
      <alignment horizontal="center" vertical="center" wrapText="1"/>
      <protection locked="0"/>
    </xf>
    <xf numFmtId="0" fontId="6" fillId="2" borderId="17" xfId="2" applyFont="1" applyFill="1" applyBorder="1" applyAlignment="1" applyProtection="1">
      <alignment horizontal="center" vertical="center" wrapText="1"/>
      <protection locked="0"/>
    </xf>
    <xf numFmtId="0" fontId="6" fillId="2" borderId="12" xfId="2" applyFont="1" applyFill="1" applyBorder="1" applyAlignment="1" applyProtection="1">
      <alignment horizontal="center" vertical="center" wrapText="1"/>
      <protection locked="0"/>
    </xf>
    <xf numFmtId="0" fontId="6" fillId="2" borderId="18" xfId="2" applyFont="1" applyFill="1" applyBorder="1" applyAlignment="1" applyProtection="1">
      <alignment horizontal="center" vertical="center" wrapText="1"/>
      <protection locked="0"/>
    </xf>
    <xf numFmtId="164" fontId="6" fillId="2" borderId="12" xfId="2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vertical="center"/>
      <protection locked="0"/>
    </xf>
    <xf numFmtId="0" fontId="23" fillId="7" borderId="25" xfId="1" applyFont="1" applyFill="1" applyBorder="1" applyAlignment="1" applyProtection="1">
      <alignment horizontal="center" vertical="center"/>
      <protection locked="0"/>
    </xf>
    <xf numFmtId="0" fontId="13" fillId="7" borderId="38" xfId="1" applyFont="1" applyFill="1" applyBorder="1" applyAlignment="1" applyProtection="1">
      <alignment horizontal="center" vertical="center"/>
      <protection locked="0"/>
    </xf>
    <xf numFmtId="0" fontId="16" fillId="7" borderId="39" xfId="1" applyFont="1" applyFill="1" applyBorder="1" applyAlignment="1" applyProtection="1">
      <alignment horizontal="center" vertical="center"/>
      <protection locked="0"/>
    </xf>
    <xf numFmtId="0" fontId="16" fillId="7" borderId="38" xfId="1" applyFont="1" applyFill="1" applyBorder="1" applyAlignment="1" applyProtection="1">
      <alignment horizontal="center" vertical="center"/>
      <protection locked="0"/>
    </xf>
    <xf numFmtId="0" fontId="16" fillId="7" borderId="25" xfId="1" applyFont="1" applyFill="1" applyBorder="1" applyAlignment="1" applyProtection="1">
      <alignment horizontal="center" vertical="center"/>
      <protection locked="0"/>
    </xf>
    <xf numFmtId="20" fontId="27" fillId="0" borderId="25" xfId="2" applyNumberFormat="1" applyFont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horizontal="center" vertical="center"/>
      <protection locked="0"/>
    </xf>
    <xf numFmtId="9" fontId="8" fillId="10" borderId="28" xfId="4" applyFont="1" applyFill="1" applyBorder="1" applyAlignment="1">
      <alignment horizontal="center" vertical="center"/>
    </xf>
    <xf numFmtId="0" fontId="29" fillId="0" borderId="0" xfId="2" applyFont="1" applyAlignment="1" applyProtection="1">
      <alignment vertical="center"/>
      <protection locked="0"/>
    </xf>
    <xf numFmtId="0" fontId="23" fillId="7" borderId="42" xfId="1" applyFont="1" applyFill="1" applyBorder="1" applyAlignment="1" applyProtection="1">
      <alignment horizontal="center" vertical="center"/>
      <protection locked="0"/>
    </xf>
    <xf numFmtId="0" fontId="13" fillId="7" borderId="43" xfId="1" applyFont="1" applyFill="1" applyBorder="1" applyAlignment="1" applyProtection="1">
      <alignment horizontal="center" vertical="center"/>
      <protection locked="0"/>
    </xf>
    <xf numFmtId="0" fontId="16" fillId="7" borderId="44" xfId="1" applyFont="1" applyFill="1" applyBorder="1" applyAlignment="1" applyProtection="1">
      <alignment horizontal="center" vertical="center"/>
      <protection locked="0"/>
    </xf>
    <xf numFmtId="0" fontId="16" fillId="7" borderId="43" xfId="1" applyFont="1" applyFill="1" applyBorder="1" applyAlignment="1" applyProtection="1">
      <alignment horizontal="center" vertical="center"/>
      <protection locked="0"/>
    </xf>
    <xf numFmtId="0" fontId="16" fillId="7" borderId="42" xfId="1" applyFont="1" applyFill="1" applyBorder="1" applyAlignment="1" applyProtection="1">
      <alignment horizontal="center" vertical="center"/>
      <protection locked="0"/>
    </xf>
    <xf numFmtId="0" fontId="27" fillId="7" borderId="5" xfId="2" applyFont="1" applyFill="1" applyBorder="1" applyAlignment="1" applyProtection="1">
      <alignment horizontal="center" vertical="center"/>
      <protection locked="0"/>
    </xf>
    <xf numFmtId="0" fontId="27" fillId="7" borderId="6" xfId="2" applyFont="1" applyFill="1" applyBorder="1" applyAlignment="1" applyProtection="1">
      <alignment horizontal="center" vertical="center"/>
      <protection locked="0"/>
    </xf>
    <xf numFmtId="0" fontId="29" fillId="0" borderId="0" xfId="2" applyFont="1" applyAlignment="1" applyProtection="1">
      <alignment horizontal="center" vertical="center"/>
      <protection locked="0"/>
    </xf>
    <xf numFmtId="0" fontId="6" fillId="0" borderId="42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6" fillId="7" borderId="11" xfId="2" applyFont="1" applyFill="1" applyBorder="1" applyAlignment="1" applyProtection="1">
      <alignment horizontal="center" vertical="center" wrapText="1"/>
      <protection locked="0"/>
    </xf>
    <xf numFmtId="164" fontId="6" fillId="7" borderId="49" xfId="2" applyNumberFormat="1" applyFont="1" applyFill="1" applyBorder="1" applyAlignment="1" applyProtection="1">
      <alignment horizontal="center" vertical="center" wrapText="1"/>
      <protection locked="0"/>
    </xf>
    <xf numFmtId="0" fontId="6" fillId="7" borderId="49" xfId="2" applyFont="1" applyFill="1" applyBorder="1" applyAlignment="1" applyProtection="1">
      <alignment horizontal="center" vertical="center" wrapText="1"/>
      <protection locked="0"/>
    </xf>
    <xf numFmtId="0" fontId="6" fillId="7" borderId="50" xfId="2" applyFont="1" applyFill="1" applyBorder="1" applyAlignment="1" applyProtection="1">
      <alignment horizontal="center" vertical="center" wrapText="1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9" fontId="8" fillId="4" borderId="42" xfId="4" applyFont="1" applyFill="1" applyBorder="1" applyAlignment="1">
      <alignment horizontal="center" vertical="center"/>
    </xf>
    <xf numFmtId="0" fontId="8" fillId="0" borderId="0" xfId="1" applyFo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8" fillId="0" borderId="42" xfId="1" applyFont="1" applyBorder="1" applyAlignment="1" applyProtection="1">
      <alignment horizontal="center" vertical="center"/>
      <protection locked="0"/>
    </xf>
    <xf numFmtId="0" fontId="2" fillId="8" borderId="0" xfId="1" applyFont="1" applyFill="1" applyProtection="1">
      <alignment vertical="center"/>
      <protection locked="0"/>
    </xf>
    <xf numFmtId="9" fontId="8" fillId="10" borderId="42" xfId="4" applyFont="1" applyFill="1" applyBorder="1" applyAlignment="1">
      <alignment horizontal="center" vertical="center"/>
    </xf>
    <xf numFmtId="0" fontId="6" fillId="8" borderId="42" xfId="1" applyFont="1" applyFill="1" applyBorder="1" applyAlignment="1" applyProtection="1">
      <alignment horizontal="center" vertical="center"/>
      <protection locked="0"/>
    </xf>
    <xf numFmtId="0" fontId="2" fillId="12" borderId="0" xfId="1" applyFont="1" applyFill="1" applyProtection="1">
      <alignment vertical="center"/>
      <protection locked="0"/>
    </xf>
    <xf numFmtId="20" fontId="6" fillId="8" borderId="42" xfId="1" applyNumberFormat="1" applyFont="1" applyFill="1" applyBorder="1" applyAlignment="1" applyProtection="1">
      <alignment horizontal="center" vertical="center"/>
      <protection locked="0"/>
    </xf>
    <xf numFmtId="1" fontId="6" fillId="6" borderId="42" xfId="1" applyNumberFormat="1" applyFont="1" applyFill="1" applyBorder="1" applyAlignment="1" applyProtection="1">
      <alignment horizontal="center" vertical="center"/>
      <protection locked="0"/>
    </xf>
    <xf numFmtId="165" fontId="22" fillId="0" borderId="42" xfId="1" applyNumberFormat="1" applyFont="1" applyBorder="1" applyAlignment="1" applyProtection="1">
      <alignment horizontal="center" vertical="center"/>
      <protection locked="0"/>
    </xf>
    <xf numFmtId="165" fontId="22" fillId="0" borderId="30" xfId="1" applyNumberFormat="1" applyFont="1" applyBorder="1" applyAlignment="1" applyProtection="1">
      <alignment horizontal="center" vertical="center"/>
      <protection locked="0"/>
    </xf>
    <xf numFmtId="0" fontId="23" fillId="7" borderId="30" xfId="1" applyFont="1" applyFill="1" applyBorder="1" applyAlignment="1" applyProtection="1">
      <alignment horizontal="center" vertical="center"/>
      <protection locked="0"/>
    </xf>
    <xf numFmtId="0" fontId="13" fillId="7" borderId="51" xfId="1" applyFont="1" applyFill="1" applyBorder="1" applyAlignment="1" applyProtection="1">
      <alignment horizontal="center" vertical="center"/>
      <protection locked="0"/>
    </xf>
    <xf numFmtId="0" fontId="16" fillId="7" borderId="57" xfId="1" applyFont="1" applyFill="1" applyBorder="1" applyAlignment="1" applyProtection="1">
      <alignment horizontal="center" vertical="center"/>
      <protection locked="0"/>
    </xf>
    <xf numFmtId="0" fontId="16" fillId="7" borderId="51" xfId="1" applyFont="1" applyFill="1" applyBorder="1" applyAlignment="1" applyProtection="1">
      <alignment horizontal="center" vertical="center"/>
      <protection locked="0"/>
    </xf>
    <xf numFmtId="0" fontId="16" fillId="7" borderId="30" xfId="1" applyFont="1" applyFill="1" applyBorder="1" applyAlignment="1" applyProtection="1">
      <alignment horizontal="center" vertical="center"/>
      <protection locked="0"/>
    </xf>
    <xf numFmtId="165" fontId="13" fillId="0" borderId="30" xfId="1" applyNumberFormat="1" applyFont="1" applyBorder="1" applyAlignment="1" applyProtection="1">
      <alignment horizontal="center" vertical="center"/>
      <protection locked="0"/>
    </xf>
    <xf numFmtId="165" fontId="23" fillId="0" borderId="50" xfId="1" applyNumberFormat="1" applyFont="1" applyBorder="1" applyAlignment="1" applyProtection="1">
      <alignment horizontal="center" vertical="center"/>
      <protection locked="0"/>
    </xf>
    <xf numFmtId="0" fontId="23" fillId="0" borderId="13" xfId="1" applyFont="1" applyBorder="1" applyProtection="1">
      <alignment vertical="center"/>
      <protection locked="0"/>
    </xf>
    <xf numFmtId="0" fontId="23" fillId="0" borderId="3" xfId="1" applyFont="1" applyBorder="1" applyAlignment="1" applyProtection="1">
      <alignment horizontal="center" vertical="center"/>
      <protection locked="0"/>
    </xf>
    <xf numFmtId="2" fontId="23" fillId="0" borderId="50" xfId="1" applyNumberFormat="1" applyFont="1" applyBorder="1" applyAlignment="1" applyProtection="1">
      <alignment horizontal="center" vertical="center"/>
      <protection locked="0"/>
    </xf>
    <xf numFmtId="2" fontId="33" fillId="0" borderId="3" xfId="1" applyNumberFormat="1" applyFont="1" applyBorder="1" applyAlignment="1" applyProtection="1">
      <alignment horizontal="center" vertical="center"/>
      <protection locked="0"/>
    </xf>
    <xf numFmtId="2" fontId="33" fillId="0" borderId="0" xfId="1" applyNumberFormat="1" applyFont="1" applyAlignment="1" applyProtection="1">
      <alignment horizontal="center" vertical="center"/>
      <protection locked="0"/>
    </xf>
    <xf numFmtId="9" fontId="8" fillId="4" borderId="53" xfId="4" applyFont="1" applyFill="1" applyBorder="1" applyAlignment="1">
      <alignment horizontal="center" vertical="center"/>
    </xf>
    <xf numFmtId="0" fontId="30" fillId="0" borderId="0" xfId="1" applyFont="1" applyAlignment="1" applyProtection="1">
      <alignment horizontal="center" vertical="center"/>
      <protection locked="0"/>
    </xf>
    <xf numFmtId="0" fontId="30" fillId="0" borderId="0" xfId="1" applyFont="1" applyProtection="1">
      <alignment vertical="center"/>
      <protection locked="0"/>
    </xf>
    <xf numFmtId="0" fontId="35" fillId="0" borderId="0" xfId="1" applyFont="1" applyAlignment="1" applyProtection="1">
      <alignment vertical="center" wrapText="1"/>
      <protection locked="0"/>
    </xf>
    <xf numFmtId="0" fontId="35" fillId="0" borderId="0" xfId="1" applyFont="1" applyAlignment="1" applyProtection="1">
      <alignment horizontal="center" vertical="center" wrapText="1"/>
      <protection locked="0"/>
    </xf>
    <xf numFmtId="0" fontId="22" fillId="0" borderId="0" xfId="1" applyFont="1" applyAlignment="1" applyProtection="1">
      <alignment horizontal="center" vertical="center"/>
      <protection locked="0"/>
    </xf>
    <xf numFmtId="0" fontId="22" fillId="0" borderId="0" xfId="1" applyFont="1" applyProtection="1">
      <alignment vertical="center"/>
      <protection locked="0"/>
    </xf>
    <xf numFmtId="0" fontId="40" fillId="0" borderId="0" xfId="1" applyFont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/>
      <protection locked="0"/>
    </xf>
    <xf numFmtId="0" fontId="0" fillId="15" borderId="42" xfId="0" applyFill="1" applyBorder="1"/>
    <xf numFmtId="0" fontId="0" fillId="0" borderId="42" xfId="0" applyBorder="1"/>
    <xf numFmtId="0" fontId="23" fillId="0" borderId="50" xfId="1" applyFont="1" applyBorder="1" applyProtection="1">
      <alignment vertical="center"/>
      <protection locked="0"/>
    </xf>
    <xf numFmtId="0" fontId="0" fillId="15" borderId="46" xfId="0" applyFill="1" applyBorder="1"/>
    <xf numFmtId="0" fontId="0" fillId="0" borderId="0" xfId="0" applyAlignment="1">
      <alignment horizontal="center" vertical="center"/>
    </xf>
    <xf numFmtId="0" fontId="0" fillId="15" borderId="42" xfId="0" applyFill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0" fontId="42" fillId="0" borderId="0" xfId="1" applyFont="1" applyProtection="1">
      <alignment vertical="center"/>
      <protection locked="0"/>
    </xf>
    <xf numFmtId="0" fontId="43" fillId="0" borderId="0" xfId="2" applyFont="1" applyAlignment="1" applyProtection="1">
      <alignment horizontal="center" vertical="center"/>
      <protection locked="0"/>
    </xf>
    <xf numFmtId="0" fontId="44" fillId="0" borderId="0" xfId="2" applyFont="1" applyAlignment="1" applyProtection="1">
      <alignment vertical="center"/>
      <protection locked="0"/>
    </xf>
    <xf numFmtId="0" fontId="45" fillId="0" borderId="0" xfId="2" applyFont="1" applyAlignment="1" applyProtection="1">
      <alignment vertical="center"/>
      <protection locked="0"/>
    </xf>
    <xf numFmtId="0" fontId="46" fillId="0" borderId="0" xfId="2" applyFont="1" applyAlignment="1" applyProtection="1">
      <alignment vertical="center"/>
      <protection locked="0"/>
    </xf>
    <xf numFmtId="0" fontId="42" fillId="8" borderId="0" xfId="1" applyFont="1" applyFill="1" applyProtection="1">
      <alignment vertical="center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48" fillId="0" borderId="0" xfId="1" applyFont="1" applyProtection="1">
      <alignment vertical="center"/>
      <protection locked="0"/>
    </xf>
    <xf numFmtId="0" fontId="49" fillId="0" borderId="0" xfId="1" applyFont="1" applyProtection="1">
      <alignment vertical="center"/>
      <protection locked="0"/>
    </xf>
    <xf numFmtId="0" fontId="2" fillId="0" borderId="0" xfId="1" applyFont="1" applyFill="1" applyProtection="1">
      <alignment vertical="center"/>
      <protection locked="0"/>
    </xf>
    <xf numFmtId="0" fontId="4" fillId="0" borderId="0" xfId="2" applyFont="1" applyFill="1" applyAlignment="1" applyProtection="1">
      <alignment horizontal="center" vertical="center"/>
      <protection locked="0"/>
    </xf>
    <xf numFmtId="0" fontId="11" fillId="0" borderId="0" xfId="2" applyFont="1" applyFill="1" applyAlignment="1" applyProtection="1">
      <alignment vertical="center"/>
      <protection locked="0"/>
    </xf>
    <xf numFmtId="0" fontId="29" fillId="0" borderId="0" xfId="2" applyFont="1" applyFill="1" applyAlignment="1" applyProtection="1">
      <alignment vertical="center"/>
      <protection locked="0"/>
    </xf>
    <xf numFmtId="0" fontId="6" fillId="0" borderId="0" xfId="2" applyFont="1" applyFill="1" applyAlignment="1" applyProtection="1">
      <alignment vertical="center"/>
      <protection locked="0"/>
    </xf>
    <xf numFmtId="0" fontId="35" fillId="0" borderId="0" xfId="1" applyFont="1" applyFill="1" applyAlignment="1" applyProtection="1">
      <alignment vertical="center" wrapText="1"/>
      <protection locked="0"/>
    </xf>
    <xf numFmtId="0" fontId="30" fillId="0" borderId="0" xfId="1" applyFont="1" applyFill="1" applyProtection="1">
      <alignment vertical="center"/>
      <protection locked="0"/>
    </xf>
    <xf numFmtId="0" fontId="22" fillId="0" borderId="0" xfId="1" applyFont="1" applyFill="1" applyProtection="1">
      <alignment vertical="center"/>
      <protection locked="0"/>
    </xf>
    <xf numFmtId="19" fontId="11" fillId="0" borderId="0" xfId="2" applyNumberFormat="1" applyFont="1" applyFill="1" applyAlignment="1" applyProtection="1">
      <alignment vertical="center"/>
      <protection locked="0"/>
    </xf>
    <xf numFmtId="20" fontId="11" fillId="0" borderId="0" xfId="2" applyNumberFormat="1" applyFont="1" applyFill="1" applyAlignment="1" applyProtection="1">
      <alignment vertical="center"/>
      <protection locked="0"/>
    </xf>
    <xf numFmtId="0" fontId="0" fillId="15" borderId="46" xfId="0" applyFill="1" applyBorder="1" applyAlignment="1">
      <alignment horizontal="center" vertical="center"/>
    </xf>
    <xf numFmtId="0" fontId="8" fillId="10" borderId="40" xfId="1" applyFont="1" applyFill="1" applyBorder="1" applyAlignment="1" applyProtection="1">
      <alignment horizontal="center" vertical="center"/>
    </xf>
    <xf numFmtId="0" fontId="23" fillId="4" borderId="52" xfId="1" applyFont="1" applyFill="1" applyBorder="1" applyAlignment="1" applyProtection="1">
      <alignment horizontal="center" vertical="center"/>
    </xf>
    <xf numFmtId="0" fontId="23" fillId="10" borderId="52" xfId="1" applyFont="1" applyFill="1" applyBorder="1" applyAlignment="1" applyProtection="1">
      <alignment horizontal="center" vertical="center"/>
    </xf>
    <xf numFmtId="2" fontId="31" fillId="0" borderId="49" xfId="1" applyNumberFormat="1" applyFont="1" applyBorder="1" applyAlignment="1" applyProtection="1">
      <alignment horizontal="center" vertical="center"/>
      <protection locked="0"/>
    </xf>
    <xf numFmtId="0" fontId="21" fillId="0" borderId="38" xfId="1" applyFont="1" applyBorder="1" applyAlignment="1" applyProtection="1">
      <alignment horizontal="center" vertical="center"/>
      <protection locked="0"/>
    </xf>
    <xf numFmtId="165" fontId="22" fillId="0" borderId="25" xfId="1" applyNumberFormat="1" applyFont="1" applyBorder="1" applyAlignment="1" applyProtection="1">
      <alignment horizontal="center" vertical="center"/>
      <protection locked="0"/>
    </xf>
    <xf numFmtId="2" fontId="25" fillId="8" borderId="25" xfId="3" applyNumberFormat="1" applyFont="1" applyFill="1" applyBorder="1" applyAlignment="1" applyProtection="1">
      <alignment horizontal="center" vertical="center" wrapText="1"/>
      <protection locked="0"/>
    </xf>
    <xf numFmtId="0" fontId="26" fillId="0" borderId="25" xfId="1" applyFont="1" applyBorder="1" applyAlignment="1" applyProtection="1">
      <alignment horizontal="center" vertical="center" wrapText="1"/>
      <protection locked="0"/>
    </xf>
    <xf numFmtId="0" fontId="26" fillId="0" borderId="25" xfId="1" applyFont="1" applyBorder="1" applyAlignment="1" applyProtection="1">
      <alignment horizontal="center" vertical="center"/>
      <protection locked="0"/>
    </xf>
    <xf numFmtId="0" fontId="26" fillId="0" borderId="39" xfId="1" applyFont="1" applyBorder="1" applyAlignment="1" applyProtection="1">
      <alignment horizontal="center" vertical="center"/>
      <protection locked="0"/>
    </xf>
    <xf numFmtId="0" fontId="21" fillId="0" borderId="25" xfId="1" applyFont="1" applyBorder="1" applyAlignment="1" applyProtection="1">
      <alignment horizontal="center" vertical="center"/>
      <protection locked="0"/>
    </xf>
    <xf numFmtId="166" fontId="21" fillId="0" borderId="39" xfId="1" applyNumberFormat="1" applyFont="1" applyBorder="1" applyAlignment="1" applyProtection="1">
      <alignment horizontal="center" vertical="center"/>
      <protection locked="0"/>
    </xf>
    <xf numFmtId="165" fontId="21" fillId="0" borderId="25" xfId="1" applyNumberFormat="1" applyFont="1" applyBorder="1" applyAlignment="1" applyProtection="1">
      <alignment horizontal="center" vertical="center"/>
      <protection locked="0"/>
    </xf>
    <xf numFmtId="165" fontId="13" fillId="0" borderId="25" xfId="1" applyNumberFormat="1" applyFont="1" applyBorder="1" applyAlignment="1" applyProtection="1">
      <alignment horizontal="center" vertical="center"/>
      <protection locked="0"/>
    </xf>
    <xf numFmtId="20" fontId="13" fillId="0" borderId="25" xfId="1" applyNumberFormat="1" applyFont="1" applyBorder="1" applyAlignment="1" applyProtection="1">
      <alignment horizontal="center" vertical="center"/>
      <protection locked="0"/>
    </xf>
    <xf numFmtId="1" fontId="21" fillId="9" borderId="25" xfId="1" applyNumberFormat="1" applyFont="1" applyFill="1" applyBorder="1" applyAlignment="1" applyProtection="1">
      <alignment horizontal="center" vertical="center"/>
      <protection locked="0"/>
    </xf>
    <xf numFmtId="1" fontId="28" fillId="0" borderId="25" xfId="1" applyNumberFormat="1" applyFont="1" applyBorder="1" applyAlignment="1" applyProtection="1">
      <alignment horizontal="center" vertical="center"/>
      <protection locked="0"/>
    </xf>
    <xf numFmtId="2" fontId="26" fillId="0" borderId="39" xfId="1" applyNumberFormat="1" applyFont="1" applyBorder="1" applyAlignment="1" applyProtection="1">
      <alignment horizontal="center" vertical="center"/>
      <protection locked="0"/>
    </xf>
    <xf numFmtId="0" fontId="21" fillId="0" borderId="43" xfId="1" applyFont="1" applyBorder="1" applyAlignment="1" applyProtection="1">
      <alignment horizontal="center" vertical="center"/>
      <protection locked="0"/>
    </xf>
    <xf numFmtId="0" fontId="21" fillId="0" borderId="42" xfId="1" applyFont="1" applyBorder="1" applyAlignment="1" applyProtection="1">
      <alignment horizontal="center" vertical="center"/>
      <protection locked="0"/>
    </xf>
    <xf numFmtId="166" fontId="21" fillId="0" borderId="44" xfId="1" applyNumberFormat="1" applyFont="1" applyBorder="1" applyAlignment="1" applyProtection="1">
      <alignment horizontal="center" vertical="center"/>
      <protection locked="0"/>
    </xf>
    <xf numFmtId="165" fontId="21" fillId="0" borderId="42" xfId="1" applyNumberFormat="1" applyFont="1" applyBorder="1" applyAlignment="1" applyProtection="1">
      <alignment horizontal="center" vertical="center"/>
      <protection locked="0"/>
    </xf>
    <xf numFmtId="165" fontId="13" fillId="0" borderId="42" xfId="1" applyNumberFormat="1" applyFont="1" applyBorder="1" applyAlignment="1" applyProtection="1">
      <alignment horizontal="center" vertical="center"/>
      <protection locked="0"/>
    </xf>
    <xf numFmtId="20" fontId="13" fillId="0" borderId="42" xfId="1" applyNumberFormat="1" applyFont="1" applyBorder="1" applyAlignment="1" applyProtection="1">
      <alignment horizontal="center" vertical="center"/>
      <protection locked="0"/>
    </xf>
    <xf numFmtId="20" fontId="27" fillId="0" borderId="42" xfId="2" applyNumberFormat="1" applyFont="1" applyBorder="1" applyAlignment="1" applyProtection="1">
      <alignment horizontal="center" vertical="center" wrapText="1"/>
      <protection locked="0"/>
    </xf>
    <xf numFmtId="1" fontId="21" fillId="9" borderId="42" xfId="1" applyNumberFormat="1" applyFont="1" applyFill="1" applyBorder="1" applyAlignment="1" applyProtection="1">
      <alignment horizontal="center" vertical="center"/>
      <protection locked="0"/>
    </xf>
    <xf numFmtId="1" fontId="28" fillId="0" borderId="42" xfId="1" applyNumberFormat="1" applyFont="1" applyBorder="1" applyAlignment="1" applyProtection="1">
      <alignment horizontal="center" vertical="center"/>
      <protection locked="0"/>
    </xf>
    <xf numFmtId="0" fontId="26" fillId="0" borderId="42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21" fillId="0" borderId="30" xfId="1" applyFont="1" applyBorder="1" applyAlignment="1" applyProtection="1">
      <alignment horizontal="center" vertical="center"/>
      <protection locked="0"/>
    </xf>
    <xf numFmtId="166" fontId="21" fillId="0" borderId="57" xfId="1" applyNumberFormat="1" applyFont="1" applyBorder="1" applyAlignment="1" applyProtection="1">
      <alignment horizontal="center" vertical="center"/>
      <protection locked="0"/>
    </xf>
    <xf numFmtId="165" fontId="21" fillId="0" borderId="30" xfId="1" applyNumberFormat="1" applyFont="1" applyBorder="1" applyAlignment="1" applyProtection="1">
      <alignment horizontal="center" vertical="center"/>
      <protection locked="0"/>
    </xf>
    <xf numFmtId="20" fontId="13" fillId="0" borderId="30" xfId="1" applyNumberFormat="1" applyFont="1" applyBorder="1" applyAlignment="1" applyProtection="1">
      <alignment horizontal="center" vertical="center"/>
      <protection locked="0"/>
    </xf>
    <xf numFmtId="20" fontId="27" fillId="0" borderId="30" xfId="2" applyNumberFormat="1" applyFont="1" applyBorder="1" applyAlignment="1" applyProtection="1">
      <alignment horizontal="center" vertical="center" wrapText="1"/>
      <protection locked="0"/>
    </xf>
    <xf numFmtId="1" fontId="21" fillId="9" borderId="30" xfId="1" applyNumberFormat="1" applyFont="1" applyFill="1" applyBorder="1" applyAlignment="1" applyProtection="1">
      <alignment horizontal="center" vertical="center"/>
      <protection locked="0"/>
    </xf>
    <xf numFmtId="1" fontId="28" fillId="0" borderId="30" xfId="1" applyNumberFormat="1" applyFont="1" applyBorder="1" applyAlignment="1" applyProtection="1">
      <alignment horizontal="center" vertical="center"/>
      <protection locked="0"/>
    </xf>
    <xf numFmtId="0" fontId="26" fillId="0" borderId="30" xfId="1" applyFont="1" applyBorder="1" applyAlignment="1" applyProtection="1">
      <alignment horizontal="center" vertical="center"/>
      <protection locked="0"/>
    </xf>
    <xf numFmtId="0" fontId="30" fillId="0" borderId="24" xfId="1" applyFont="1" applyBorder="1" applyAlignment="1" applyProtection="1">
      <alignment horizontal="center" vertical="center"/>
      <protection locked="0"/>
    </xf>
    <xf numFmtId="0" fontId="30" fillId="0" borderId="25" xfId="1" applyFont="1" applyBorder="1" applyAlignment="1" applyProtection="1">
      <alignment horizontal="center" vertical="center"/>
      <protection locked="0"/>
    </xf>
    <xf numFmtId="165" fontId="30" fillId="0" borderId="25" xfId="1" applyNumberFormat="1" applyFont="1" applyBorder="1" applyAlignment="1" applyProtection="1">
      <alignment horizontal="center" vertical="center"/>
      <protection locked="0"/>
    </xf>
    <xf numFmtId="165" fontId="30" fillId="0" borderId="39" xfId="1" applyNumberFormat="1" applyFont="1" applyBorder="1" applyAlignment="1" applyProtection="1">
      <alignment horizontal="center" vertical="center"/>
      <protection locked="0"/>
    </xf>
    <xf numFmtId="0" fontId="34" fillId="0" borderId="42" xfId="2" applyFont="1" applyBorder="1" applyAlignment="1" applyProtection="1">
      <alignment horizontal="center" vertical="center" wrapText="1"/>
      <protection locked="0"/>
    </xf>
    <xf numFmtId="0" fontId="13" fillId="0" borderId="42" xfId="1" applyFont="1" applyBorder="1" applyAlignment="1" applyProtection="1">
      <alignment horizontal="center" vertical="center" wrapText="1"/>
      <protection locked="0"/>
    </xf>
    <xf numFmtId="0" fontId="26" fillId="0" borderId="0" xfId="1" applyFont="1" applyAlignment="1" applyProtection="1">
      <alignment horizontal="center" vertical="center"/>
      <protection locked="0"/>
    </xf>
    <xf numFmtId="0" fontId="34" fillId="0" borderId="42" xfId="2" applyFont="1" applyBorder="1" applyAlignment="1" applyProtection="1">
      <alignment horizontal="center" vertical="center"/>
      <protection locked="0"/>
    </xf>
    <xf numFmtId="0" fontId="27" fillId="0" borderId="42" xfId="2" applyFont="1" applyBorder="1" applyAlignment="1" applyProtection="1">
      <alignment horizontal="center" vertical="center"/>
      <protection locked="0"/>
    </xf>
    <xf numFmtId="0" fontId="37" fillId="0" borderId="42" xfId="2" applyFont="1" applyBorder="1" applyAlignment="1" applyProtection="1">
      <alignment horizontal="center" vertical="center"/>
      <protection locked="0"/>
    </xf>
    <xf numFmtId="0" fontId="37" fillId="14" borderId="42" xfId="2" applyFont="1" applyFill="1" applyBorder="1" applyAlignment="1" applyProtection="1">
      <alignment horizontal="center" vertical="center"/>
      <protection locked="0"/>
    </xf>
    <xf numFmtId="0" fontId="37" fillId="14" borderId="42" xfId="2" applyFont="1" applyFill="1" applyBorder="1" applyAlignment="1" applyProtection="1">
      <alignment horizontal="center" vertical="center" wrapText="1"/>
      <protection locked="0"/>
    </xf>
    <xf numFmtId="0" fontId="26" fillId="9" borderId="42" xfId="1" applyFont="1" applyFill="1" applyBorder="1" applyAlignment="1" applyProtection="1">
      <alignment horizontal="center" vertical="center"/>
      <protection locked="0"/>
    </xf>
    <xf numFmtId="0" fontId="13" fillId="0" borderId="42" xfId="1" applyFont="1" applyBorder="1" applyAlignment="1" applyProtection="1">
      <alignment horizontal="center" vertical="center"/>
      <protection locked="0"/>
    </xf>
    <xf numFmtId="0" fontId="38" fillId="0" borderId="42" xfId="2" applyFont="1" applyBorder="1" applyAlignment="1" applyProtection="1">
      <alignment horizontal="center" vertical="center"/>
      <protection locked="0"/>
    </xf>
    <xf numFmtId="0" fontId="39" fillId="0" borderId="42" xfId="2" applyFont="1" applyBorder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2" fontId="23" fillId="11" borderId="47" xfId="1" applyNumberFormat="1" applyFont="1" applyFill="1" applyBorder="1" applyAlignment="1" applyProtection="1">
      <alignment horizontal="center" vertical="center"/>
    </xf>
    <xf numFmtId="0" fontId="13" fillId="6" borderId="38" xfId="1" applyFont="1" applyFill="1" applyBorder="1" applyAlignment="1" applyProtection="1">
      <alignment horizontal="center" vertical="center" wrapText="1"/>
    </xf>
    <xf numFmtId="2" fontId="23" fillId="11" borderId="55" xfId="1" applyNumberFormat="1" applyFont="1" applyFill="1" applyBorder="1" applyAlignment="1" applyProtection="1">
      <alignment horizontal="center" vertical="center" wrapText="1"/>
    </xf>
    <xf numFmtId="0" fontId="13" fillId="6" borderId="36" xfId="1" applyFont="1" applyFill="1" applyBorder="1" applyAlignment="1" applyProtection="1">
      <alignment horizontal="center" vertical="center" wrapText="1"/>
    </xf>
    <xf numFmtId="1" fontId="23" fillId="11" borderId="34" xfId="1" applyNumberFormat="1" applyFont="1" applyFill="1" applyBorder="1" applyAlignment="1" applyProtection="1">
      <alignment horizontal="center" vertical="center" wrapText="1"/>
    </xf>
    <xf numFmtId="3" fontId="23" fillId="11" borderId="34" xfId="1" applyNumberFormat="1" applyFont="1" applyFill="1" applyBorder="1" applyAlignment="1" applyProtection="1">
      <alignment horizontal="center" vertical="center" wrapText="1"/>
    </xf>
    <xf numFmtId="0" fontId="23" fillId="11" borderId="34" xfId="1" applyFont="1" applyFill="1" applyBorder="1" applyAlignment="1" applyProtection="1">
      <alignment horizontal="center" vertical="center" wrapText="1"/>
    </xf>
    <xf numFmtId="0" fontId="13" fillId="0" borderId="36" xfId="1" applyFont="1" applyBorder="1" applyAlignment="1" applyProtection="1">
      <alignment horizontal="center" vertical="center" wrapText="1"/>
    </xf>
    <xf numFmtId="1" fontId="23" fillId="11" borderId="34" xfId="1" quotePrefix="1" applyNumberFormat="1" applyFont="1" applyFill="1" applyBorder="1" applyAlignment="1" applyProtection="1">
      <alignment horizontal="center" vertical="center" wrapText="1"/>
    </xf>
    <xf numFmtId="19" fontId="2" fillId="0" borderId="0" xfId="1" applyNumberFormat="1" applyFont="1" applyFill="1" applyProtection="1">
      <alignment vertical="center"/>
      <protection locked="0"/>
    </xf>
    <xf numFmtId="20" fontId="2" fillId="0" borderId="0" xfId="1" applyNumberFormat="1" applyFont="1" applyFill="1" applyProtection="1">
      <alignment vertical="center"/>
      <protection locked="0"/>
    </xf>
    <xf numFmtId="0" fontId="50" fillId="0" borderId="0" xfId="0" applyFont="1"/>
    <xf numFmtId="0" fontId="51" fillId="0" borderId="0" xfId="0" applyFont="1" applyAlignment="1">
      <alignment vertical="center"/>
    </xf>
    <xf numFmtId="20" fontId="51" fillId="0" borderId="0" xfId="0" applyNumberFormat="1" applyFont="1" applyAlignment="1">
      <alignment vertical="center"/>
    </xf>
    <xf numFmtId="20" fontId="7" fillId="10" borderId="40" xfId="1" applyNumberFormat="1" applyFont="1" applyFill="1" applyBorder="1" applyAlignment="1">
      <alignment horizontal="center" vertical="center"/>
    </xf>
    <xf numFmtId="20" fontId="36" fillId="10" borderId="40" xfId="1" applyNumberFormat="1" applyFont="1" applyFill="1" applyBorder="1" applyAlignment="1" applyProtection="1">
      <alignment horizontal="center" vertical="center"/>
      <protection locked="0"/>
    </xf>
    <xf numFmtId="1" fontId="7" fillId="10" borderId="40" xfId="1" applyNumberFormat="1" applyFont="1" applyFill="1" applyBorder="1" applyAlignment="1" applyProtection="1">
      <alignment horizontal="center" vertical="center"/>
    </xf>
    <xf numFmtId="0" fontId="7" fillId="10" borderId="40" xfId="1" applyFont="1" applyFill="1" applyBorder="1" applyAlignment="1">
      <alignment horizontal="center" vertical="center"/>
    </xf>
    <xf numFmtId="165" fontId="7" fillId="10" borderId="40" xfId="1" applyNumberFormat="1" applyFont="1" applyFill="1" applyBorder="1" applyAlignment="1">
      <alignment horizontal="center" vertical="center"/>
    </xf>
    <xf numFmtId="20" fontId="7" fillId="10" borderId="45" xfId="1" applyNumberFormat="1" applyFont="1" applyFill="1" applyBorder="1" applyAlignment="1">
      <alignment horizontal="center" vertical="center"/>
    </xf>
    <xf numFmtId="20" fontId="36" fillId="10" borderId="45" xfId="1" applyNumberFormat="1" applyFont="1" applyFill="1" applyBorder="1" applyAlignment="1" applyProtection="1">
      <alignment horizontal="center" vertical="center"/>
      <protection locked="0"/>
    </xf>
    <xf numFmtId="1" fontId="36" fillId="10" borderId="45" xfId="1" applyNumberFormat="1" applyFont="1" applyFill="1" applyBorder="1" applyAlignment="1" applyProtection="1">
      <alignment horizontal="center" vertical="center"/>
    </xf>
    <xf numFmtId="0" fontId="36" fillId="10" borderId="45" xfId="1" applyFont="1" applyFill="1" applyBorder="1" applyAlignment="1" applyProtection="1">
      <alignment horizontal="center" vertical="center"/>
      <protection locked="0"/>
    </xf>
    <xf numFmtId="0" fontId="36" fillId="10" borderId="45" xfId="1" quotePrefix="1" applyFont="1" applyFill="1" applyBorder="1" applyAlignment="1">
      <alignment horizontal="center" vertical="center"/>
    </xf>
    <xf numFmtId="165" fontId="36" fillId="10" borderId="45" xfId="1" applyNumberFormat="1" applyFont="1" applyFill="1" applyBorder="1" applyAlignment="1" applyProtection="1">
      <alignment horizontal="center" vertical="center"/>
      <protection locked="0"/>
    </xf>
    <xf numFmtId="20" fontId="7" fillId="4" borderId="52" xfId="1" applyNumberFormat="1" applyFont="1" applyFill="1" applyBorder="1" applyAlignment="1">
      <alignment horizontal="center" vertical="center"/>
    </xf>
    <xf numFmtId="20" fontId="36" fillId="4" borderId="52" xfId="1" applyNumberFormat="1" applyFont="1" applyFill="1" applyBorder="1" applyAlignment="1" applyProtection="1">
      <alignment horizontal="center" vertical="center"/>
      <protection locked="0"/>
    </xf>
    <xf numFmtId="1" fontId="7" fillId="4" borderId="52" xfId="1" applyNumberFormat="1" applyFont="1" applyFill="1" applyBorder="1" applyAlignment="1" applyProtection="1">
      <alignment horizontal="center" vertical="center"/>
    </xf>
    <xf numFmtId="0" fontId="7" fillId="4" borderId="52" xfId="1" applyFont="1" applyFill="1" applyBorder="1" applyAlignment="1">
      <alignment horizontal="center" vertical="center"/>
    </xf>
    <xf numFmtId="165" fontId="7" fillId="4" borderId="52" xfId="1" applyNumberFormat="1" applyFont="1" applyFill="1" applyBorder="1" applyAlignment="1">
      <alignment horizontal="center" vertical="center"/>
    </xf>
    <xf numFmtId="20" fontId="7" fillId="4" borderId="45" xfId="1" applyNumberFormat="1" applyFont="1" applyFill="1" applyBorder="1" applyAlignment="1">
      <alignment horizontal="center" vertical="center"/>
    </xf>
    <xf numFmtId="20" fontId="36" fillId="4" borderId="45" xfId="1" applyNumberFormat="1" applyFont="1" applyFill="1" applyBorder="1" applyAlignment="1" applyProtection="1">
      <alignment horizontal="center" vertical="center"/>
      <protection locked="0"/>
    </xf>
    <xf numFmtId="1" fontId="36" fillId="4" borderId="45" xfId="1" applyNumberFormat="1" applyFont="1" applyFill="1" applyBorder="1" applyAlignment="1" applyProtection="1">
      <alignment horizontal="center" vertical="center"/>
    </xf>
    <xf numFmtId="0" fontId="36" fillId="4" borderId="45" xfId="1" applyFont="1" applyFill="1" applyBorder="1" applyAlignment="1" applyProtection="1">
      <alignment horizontal="center" vertical="center"/>
      <protection locked="0"/>
    </xf>
    <xf numFmtId="0" fontId="36" fillId="4" borderId="45" xfId="1" quotePrefix="1" applyFont="1" applyFill="1" applyBorder="1" applyAlignment="1">
      <alignment horizontal="center" vertical="center"/>
    </xf>
    <xf numFmtId="165" fontId="36" fillId="4" borderId="45" xfId="1" applyNumberFormat="1" applyFont="1" applyFill="1" applyBorder="1" applyAlignment="1" applyProtection="1">
      <alignment horizontal="center" vertical="center"/>
      <protection locked="0"/>
    </xf>
    <xf numFmtId="20" fontId="7" fillId="10" borderId="52" xfId="1" applyNumberFormat="1" applyFont="1" applyFill="1" applyBorder="1" applyAlignment="1">
      <alignment horizontal="center" vertical="center"/>
    </xf>
    <xf numFmtId="20" fontId="36" fillId="10" borderId="52" xfId="1" applyNumberFormat="1" applyFont="1" applyFill="1" applyBorder="1" applyAlignment="1" applyProtection="1">
      <alignment horizontal="center" vertical="center"/>
      <protection locked="0"/>
    </xf>
    <xf numFmtId="1" fontId="7" fillId="10" borderId="52" xfId="1" applyNumberFormat="1" applyFont="1" applyFill="1" applyBorder="1" applyAlignment="1" applyProtection="1">
      <alignment horizontal="center" vertical="center"/>
    </xf>
    <xf numFmtId="0" fontId="7" fillId="10" borderId="52" xfId="1" applyFont="1" applyFill="1" applyBorder="1" applyAlignment="1">
      <alignment horizontal="center" vertical="center"/>
    </xf>
    <xf numFmtId="165" fontId="7" fillId="10" borderId="52" xfId="1" applyNumberFormat="1" applyFont="1" applyFill="1" applyBorder="1" applyAlignment="1">
      <alignment horizontal="center" vertical="center"/>
    </xf>
    <xf numFmtId="20" fontId="7" fillId="10" borderId="59" xfId="1" applyNumberFormat="1" applyFont="1" applyFill="1" applyBorder="1" applyAlignment="1">
      <alignment horizontal="center" vertical="center"/>
    </xf>
    <xf numFmtId="20" fontId="36" fillId="10" borderId="59" xfId="1" applyNumberFormat="1" applyFont="1" applyFill="1" applyBorder="1" applyAlignment="1" applyProtection="1">
      <alignment horizontal="center" vertical="center"/>
      <protection locked="0"/>
    </xf>
    <xf numFmtId="0" fontId="36" fillId="10" borderId="59" xfId="1" applyFont="1" applyFill="1" applyBorder="1" applyAlignment="1" applyProtection="1">
      <alignment horizontal="center" vertical="center"/>
      <protection locked="0"/>
    </xf>
    <xf numFmtId="165" fontId="36" fillId="10" borderId="59" xfId="1" applyNumberFormat="1" applyFont="1" applyFill="1" applyBorder="1" applyAlignment="1" applyProtection="1">
      <alignment horizontal="center" vertical="center"/>
      <protection locked="0"/>
    </xf>
    <xf numFmtId="0" fontId="7" fillId="10" borderId="40" xfId="1" applyFont="1" applyFill="1" applyBorder="1" applyAlignment="1" applyProtection="1">
      <alignment horizontal="center" vertical="center"/>
    </xf>
    <xf numFmtId="0" fontId="7" fillId="10" borderId="9" xfId="1" applyFont="1" applyFill="1" applyBorder="1" applyAlignment="1" applyProtection="1">
      <alignment horizontal="center" vertical="center"/>
      <protection locked="0"/>
    </xf>
    <xf numFmtId="0" fontId="36" fillId="10" borderId="45" xfId="1" applyFont="1" applyFill="1" applyBorder="1" applyAlignment="1" applyProtection="1">
      <alignment horizontal="center" vertical="center"/>
    </xf>
    <xf numFmtId="0" fontId="7" fillId="10" borderId="26" xfId="1" applyFont="1" applyFill="1" applyBorder="1" applyAlignment="1" applyProtection="1">
      <alignment horizontal="center" vertical="center"/>
      <protection locked="0"/>
    </xf>
    <xf numFmtId="0" fontId="7" fillId="4" borderId="52" xfId="1" applyFont="1" applyFill="1" applyBorder="1" applyAlignment="1" applyProtection="1">
      <alignment horizontal="center" vertical="center"/>
    </xf>
    <xf numFmtId="0" fontId="7" fillId="4" borderId="54" xfId="1" applyFont="1" applyFill="1" applyBorder="1" applyAlignment="1" applyProtection="1">
      <alignment horizontal="center" vertical="center"/>
      <protection locked="0"/>
    </xf>
    <xf numFmtId="0" fontId="36" fillId="4" borderId="45" xfId="1" applyFont="1" applyFill="1" applyBorder="1" applyAlignment="1" applyProtection="1">
      <alignment horizontal="center" vertical="center"/>
    </xf>
    <xf numFmtId="0" fontId="7" fillId="4" borderId="26" xfId="1" applyFont="1" applyFill="1" applyBorder="1" applyAlignment="1" applyProtection="1">
      <alignment horizontal="center" vertical="center"/>
      <protection locked="0"/>
    </xf>
    <xf numFmtId="0" fontId="7" fillId="10" borderId="52" xfId="1" applyFont="1" applyFill="1" applyBorder="1" applyAlignment="1" applyProtection="1">
      <alignment horizontal="center" vertical="center"/>
    </xf>
    <xf numFmtId="0" fontId="7" fillId="10" borderId="54" xfId="1" applyFont="1" applyFill="1" applyBorder="1" applyAlignment="1" applyProtection="1">
      <alignment horizontal="center" vertical="center"/>
      <protection locked="0"/>
    </xf>
    <xf numFmtId="0" fontId="36" fillId="10" borderId="59" xfId="1" applyFont="1" applyFill="1" applyBorder="1" applyAlignment="1" applyProtection="1">
      <alignment horizontal="center" vertical="center"/>
    </xf>
    <xf numFmtId="0" fontId="7" fillId="4" borderId="19" xfId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 applyProtection="1">
      <alignment vertical="center" wrapText="1"/>
      <protection locked="0"/>
    </xf>
    <xf numFmtId="0" fontId="30" fillId="0" borderId="0" xfId="1" applyFont="1" applyAlignment="1" applyProtection="1">
      <alignment horizontal="center" vertical="center" wrapText="1"/>
      <protection locked="0"/>
    </xf>
    <xf numFmtId="0" fontId="22" fillId="0" borderId="0" xfId="1" applyFont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 vertical="center" wrapText="1"/>
      <protection locked="0"/>
    </xf>
    <xf numFmtId="0" fontId="40" fillId="0" borderId="0" xfId="1" applyFont="1" applyAlignment="1" applyProtection="1">
      <alignment horizontal="center" vertical="center" wrapText="1"/>
      <protection locked="0"/>
    </xf>
    <xf numFmtId="0" fontId="52" fillId="10" borderId="40" xfId="1" applyFont="1" applyFill="1" applyBorder="1" applyAlignment="1" applyProtection="1">
      <alignment horizontal="center" vertical="center"/>
      <protection locked="0"/>
    </xf>
    <xf numFmtId="0" fontId="52" fillId="11" borderId="40" xfId="1" applyFont="1" applyFill="1" applyBorder="1" applyAlignment="1" applyProtection="1">
      <alignment horizontal="center" vertical="center"/>
      <protection locked="0"/>
    </xf>
    <xf numFmtId="0" fontId="52" fillId="10" borderId="45" xfId="1" applyFont="1" applyFill="1" applyBorder="1" applyAlignment="1" applyProtection="1">
      <alignment horizontal="center" vertical="center"/>
      <protection locked="0"/>
    </xf>
    <xf numFmtId="166" fontId="52" fillId="10" borderId="45" xfId="1" applyNumberFormat="1" applyFont="1" applyFill="1" applyBorder="1" applyAlignment="1" applyProtection="1">
      <alignment horizontal="center" vertical="center"/>
      <protection locked="0"/>
    </xf>
    <xf numFmtId="166" fontId="52" fillId="11" borderId="45" xfId="1" applyNumberFormat="1" applyFont="1" applyFill="1" applyBorder="1" applyAlignment="1" applyProtection="1">
      <alignment horizontal="center" vertical="center"/>
      <protection locked="0"/>
    </xf>
    <xf numFmtId="0" fontId="52" fillId="4" borderId="52" xfId="1" applyFont="1" applyFill="1" applyBorder="1" applyAlignment="1" applyProtection="1">
      <alignment horizontal="center" vertical="center"/>
      <protection locked="0"/>
    </xf>
    <xf numFmtId="0" fontId="52" fillId="11" borderId="53" xfId="1" applyFont="1" applyFill="1" applyBorder="1" applyAlignment="1" applyProtection="1">
      <alignment horizontal="center" vertical="center"/>
      <protection locked="0"/>
    </xf>
    <xf numFmtId="0" fontId="52" fillId="4" borderId="45" xfId="1" applyFont="1" applyFill="1" applyBorder="1" applyAlignment="1" applyProtection="1">
      <alignment horizontal="center" vertical="center"/>
      <protection locked="0"/>
    </xf>
    <xf numFmtId="166" fontId="52" fillId="4" borderId="45" xfId="1" applyNumberFormat="1" applyFont="1" applyFill="1" applyBorder="1" applyAlignment="1" applyProtection="1">
      <alignment horizontal="center" vertical="center"/>
      <protection locked="0"/>
    </xf>
    <xf numFmtId="0" fontId="52" fillId="10" borderId="52" xfId="1" applyFont="1" applyFill="1" applyBorder="1" applyAlignment="1" applyProtection="1">
      <alignment horizontal="center" vertical="center"/>
      <protection locked="0"/>
    </xf>
    <xf numFmtId="0" fontId="52" fillId="10" borderId="59" xfId="1" applyFont="1" applyFill="1" applyBorder="1" applyAlignment="1" applyProtection="1">
      <alignment horizontal="center" vertical="center"/>
      <protection locked="0"/>
    </xf>
    <xf numFmtId="166" fontId="52" fillId="10" borderId="59" xfId="1" applyNumberFormat="1" applyFont="1" applyFill="1" applyBorder="1" applyAlignment="1" applyProtection="1">
      <alignment horizontal="center" vertical="center"/>
      <protection locked="0"/>
    </xf>
    <xf numFmtId="0" fontId="23" fillId="10" borderId="45" xfId="1" applyFont="1" applyFill="1" applyBorder="1" applyAlignment="1" applyProtection="1">
      <alignment horizontal="center" vertical="center"/>
    </xf>
    <xf numFmtId="0" fontId="23" fillId="4" borderId="45" xfId="1" applyFont="1" applyFill="1" applyBorder="1" applyAlignment="1" applyProtection="1">
      <alignment horizontal="center" vertical="center"/>
    </xf>
    <xf numFmtId="0" fontId="6" fillId="6" borderId="42" xfId="1" applyFont="1" applyFill="1" applyBorder="1" applyAlignment="1" applyProtection="1">
      <alignment horizontal="center" vertical="center"/>
    </xf>
    <xf numFmtId="0" fontId="6" fillId="6" borderId="42" xfId="1" applyFont="1" applyFill="1" applyBorder="1" applyAlignment="1" applyProtection="1">
      <alignment horizontal="center" vertical="center" wrapText="1"/>
    </xf>
    <xf numFmtId="0" fontId="6" fillId="8" borderId="42" xfId="1" applyFont="1" applyFill="1" applyBorder="1" applyAlignment="1" applyProtection="1">
      <alignment horizontal="center" vertical="center"/>
    </xf>
    <xf numFmtId="1" fontId="23" fillId="9" borderId="42" xfId="4" applyNumberFormat="1" applyFont="1" applyFill="1" applyBorder="1" applyAlignment="1" applyProtection="1">
      <alignment horizontal="center" vertical="center" wrapText="1"/>
      <protection locked="0"/>
    </xf>
    <xf numFmtId="1" fontId="23" fillId="9" borderId="42" xfId="4" applyNumberFormat="1" applyFont="1" applyFill="1" applyBorder="1" applyAlignment="1" applyProtection="1">
      <alignment horizontal="center" vertical="center"/>
      <protection locked="0"/>
    </xf>
    <xf numFmtId="0" fontId="19" fillId="5" borderId="56" xfId="1" applyFont="1" applyFill="1" applyBorder="1" applyAlignment="1" applyProtection="1">
      <alignment horizontal="center" vertical="center" wrapText="1"/>
      <protection locked="0"/>
    </xf>
    <xf numFmtId="0" fontId="20" fillId="5" borderId="56" xfId="1" applyFont="1" applyFill="1" applyBorder="1" applyAlignment="1" applyProtection="1">
      <alignment horizontal="center" vertical="center" wrapText="1"/>
      <protection locked="0"/>
    </xf>
    <xf numFmtId="0" fontId="16" fillId="16" borderId="30" xfId="1" applyFont="1" applyFill="1" applyBorder="1" applyAlignment="1" applyProtection="1">
      <alignment horizontal="center" vertical="center" wrapText="1"/>
      <protection locked="0"/>
    </xf>
    <xf numFmtId="0" fontId="19" fillId="5" borderId="30" xfId="1" applyFont="1" applyFill="1" applyBorder="1" applyAlignment="1" applyProtection="1">
      <alignment horizontal="center" vertical="center" wrapText="1"/>
      <protection locked="0"/>
    </xf>
    <xf numFmtId="0" fontId="19" fillId="5" borderId="54" xfId="1" applyFont="1" applyFill="1" applyBorder="1" applyAlignment="1" applyProtection="1">
      <alignment horizontal="center" vertical="center" wrapText="1"/>
      <protection locked="0"/>
    </xf>
    <xf numFmtId="0" fontId="19" fillId="5" borderId="51" xfId="1" applyFont="1" applyFill="1" applyBorder="1" applyAlignment="1" applyProtection="1">
      <alignment horizontal="center" vertical="center" wrapText="1"/>
      <protection locked="0"/>
    </xf>
    <xf numFmtId="0" fontId="16" fillId="5" borderId="71" xfId="1" applyFont="1" applyFill="1" applyBorder="1" applyAlignment="1" applyProtection="1">
      <alignment horizontal="center" vertical="center" wrapText="1"/>
      <protection locked="0"/>
    </xf>
    <xf numFmtId="0" fontId="34" fillId="6" borderId="38" xfId="1" applyFont="1" applyFill="1" applyBorder="1" applyAlignment="1" applyProtection="1">
      <alignment horizontal="center" vertical="center" wrapText="1"/>
    </xf>
    <xf numFmtId="1" fontId="9" fillId="11" borderId="26" xfId="1" applyNumberFormat="1" applyFont="1" applyFill="1" applyBorder="1" applyAlignment="1" applyProtection="1">
      <alignment horizontal="center" vertical="center"/>
    </xf>
    <xf numFmtId="2" fontId="23" fillId="11" borderId="26" xfId="1" applyNumberFormat="1" applyFont="1" applyFill="1" applyBorder="1" applyAlignment="1" applyProtection="1">
      <alignment horizontal="center" vertical="center" wrapText="1"/>
    </xf>
    <xf numFmtId="0" fontId="9" fillId="11" borderId="26" xfId="1" applyFont="1" applyFill="1" applyBorder="1" applyAlignment="1" applyProtection="1">
      <alignment horizontal="center" vertical="center"/>
    </xf>
    <xf numFmtId="0" fontId="13" fillId="0" borderId="38" xfId="1" applyFont="1" applyBorder="1" applyAlignment="1" applyProtection="1">
      <alignment horizontal="center" vertical="center" wrapText="1"/>
    </xf>
    <xf numFmtId="0" fontId="23" fillId="11" borderId="26" xfId="1" applyFont="1" applyFill="1" applyBorder="1" applyAlignment="1" applyProtection="1">
      <alignment horizontal="center" vertical="center" wrapText="1"/>
    </xf>
    <xf numFmtId="10" fontId="23" fillId="11" borderId="26" xfId="4" applyNumberFormat="1" applyFont="1" applyFill="1" applyBorder="1" applyAlignment="1" applyProtection="1">
      <alignment horizontal="center" vertical="center"/>
    </xf>
    <xf numFmtId="0" fontId="23" fillId="4" borderId="76" xfId="1" applyFont="1" applyFill="1" applyBorder="1" applyAlignment="1" applyProtection="1">
      <alignment horizontal="center" vertical="center"/>
    </xf>
    <xf numFmtId="0" fontId="52" fillId="4" borderId="76" xfId="1" applyFont="1" applyFill="1" applyBorder="1" applyAlignment="1" applyProtection="1">
      <alignment horizontal="center" vertical="center"/>
      <protection locked="0"/>
    </xf>
    <xf numFmtId="166" fontId="52" fillId="4" borderId="76" xfId="1" applyNumberFormat="1" applyFont="1" applyFill="1" applyBorder="1" applyAlignment="1" applyProtection="1">
      <alignment horizontal="center" vertical="center"/>
      <protection locked="0"/>
    </xf>
    <xf numFmtId="166" fontId="52" fillId="11" borderId="76" xfId="1" applyNumberFormat="1" applyFont="1" applyFill="1" applyBorder="1" applyAlignment="1" applyProtection="1">
      <alignment horizontal="center" vertical="center"/>
      <protection locked="0"/>
    </xf>
    <xf numFmtId="1" fontId="23" fillId="9" borderId="76" xfId="4" applyNumberFormat="1" applyFont="1" applyFill="1" applyBorder="1" applyAlignment="1" applyProtection="1">
      <alignment horizontal="center" vertical="center" wrapText="1"/>
      <protection locked="0"/>
    </xf>
    <xf numFmtId="20" fontId="7" fillId="4" borderId="76" xfId="1" applyNumberFormat="1" applyFont="1" applyFill="1" applyBorder="1" applyAlignment="1">
      <alignment horizontal="center" vertical="center"/>
    </xf>
    <xf numFmtId="20" fontId="36" fillId="4" borderId="76" xfId="1" applyNumberFormat="1" applyFont="1" applyFill="1" applyBorder="1" applyAlignment="1" applyProtection="1">
      <alignment horizontal="center" vertical="center"/>
      <protection locked="0"/>
    </xf>
    <xf numFmtId="1" fontId="36" fillId="4" borderId="76" xfId="1" applyNumberFormat="1" applyFont="1" applyFill="1" applyBorder="1" applyAlignment="1" applyProtection="1">
      <alignment horizontal="center" vertical="center"/>
    </xf>
    <xf numFmtId="0" fontId="36" fillId="4" borderId="76" xfId="1" applyFont="1" applyFill="1" applyBorder="1" applyAlignment="1" applyProtection="1">
      <alignment horizontal="center" vertical="center"/>
      <protection locked="0"/>
    </xf>
    <xf numFmtId="0" fontId="36" fillId="4" borderId="76" xfId="1" quotePrefix="1" applyFont="1" applyFill="1" applyBorder="1" applyAlignment="1">
      <alignment horizontal="center" vertical="center"/>
    </xf>
    <xf numFmtId="165" fontId="36" fillId="4" borderId="76" xfId="1" applyNumberFormat="1" applyFont="1" applyFill="1" applyBorder="1" applyAlignment="1" applyProtection="1">
      <alignment horizontal="center" vertical="center"/>
      <protection locked="0"/>
    </xf>
    <xf numFmtId="0" fontId="36" fillId="4" borderId="76" xfId="1" applyFont="1" applyFill="1" applyBorder="1" applyAlignment="1" applyProtection="1">
      <alignment horizontal="center" vertical="center"/>
    </xf>
    <xf numFmtId="0" fontId="13" fillId="6" borderId="62" xfId="1" applyFont="1" applyFill="1" applyBorder="1" applyAlignment="1" applyProtection="1">
      <alignment horizontal="center" vertical="center" wrapText="1"/>
    </xf>
    <xf numFmtId="0" fontId="13" fillId="6" borderId="63" xfId="1" applyFont="1" applyFill="1" applyBorder="1" applyAlignment="1" applyProtection="1">
      <alignment horizontal="center" vertical="center" wrapText="1"/>
    </xf>
    <xf numFmtId="0" fontId="13" fillId="6" borderId="64" xfId="1" applyFont="1" applyFill="1" applyBorder="1" applyAlignment="1" applyProtection="1">
      <alignment horizontal="center" vertical="center" wrapText="1"/>
    </xf>
    <xf numFmtId="2" fontId="23" fillId="11" borderId="65" xfId="1" applyNumberFormat="1" applyFont="1" applyFill="1" applyBorder="1" applyAlignment="1" applyProtection="1">
      <alignment horizontal="center" vertical="center" wrapText="1"/>
    </xf>
    <xf numFmtId="2" fontId="23" fillId="11" borderId="63" xfId="1" applyNumberFormat="1" applyFont="1" applyFill="1" applyBorder="1" applyAlignment="1" applyProtection="1">
      <alignment horizontal="center" vertical="center" wrapText="1"/>
    </xf>
    <xf numFmtId="2" fontId="23" fillId="11" borderId="66" xfId="1" applyNumberFormat="1" applyFont="1" applyFill="1" applyBorder="1" applyAlignment="1" applyProtection="1">
      <alignment horizontal="center" vertical="center" wrapText="1"/>
    </xf>
    <xf numFmtId="0" fontId="13" fillId="6" borderId="37" xfId="1" applyFont="1" applyFill="1" applyBorder="1" applyAlignment="1" applyProtection="1">
      <alignment horizontal="center" vertical="center" wrapText="1"/>
    </xf>
    <xf numFmtId="0" fontId="13" fillId="6" borderId="33" xfId="1" applyFont="1" applyFill="1" applyBorder="1" applyAlignment="1" applyProtection="1">
      <alignment horizontal="center" vertical="center" wrapText="1"/>
    </xf>
    <xf numFmtId="0" fontId="13" fillId="6" borderId="37" xfId="1" applyFont="1" applyFill="1" applyBorder="1" applyAlignment="1" applyProtection="1">
      <alignment horizontal="center" vertical="center"/>
    </xf>
    <xf numFmtId="0" fontId="13" fillId="6" borderId="35" xfId="1" applyFont="1" applyFill="1" applyBorder="1" applyAlignment="1" applyProtection="1">
      <alignment horizontal="center" vertical="center"/>
    </xf>
    <xf numFmtId="0" fontId="13" fillId="6" borderId="33" xfId="1" applyFont="1" applyFill="1" applyBorder="1" applyAlignment="1" applyProtection="1">
      <alignment horizontal="center" vertical="center"/>
    </xf>
    <xf numFmtId="165" fontId="7" fillId="11" borderId="34" xfId="1" applyNumberFormat="1" applyFont="1" applyFill="1" applyBorder="1" applyAlignment="1" applyProtection="1">
      <alignment horizontal="center" vertical="center" wrapText="1"/>
    </xf>
    <xf numFmtId="165" fontId="7" fillId="11" borderId="35" xfId="1" applyNumberFormat="1" applyFont="1" applyFill="1" applyBorder="1" applyAlignment="1" applyProtection="1">
      <alignment horizontal="center" vertical="center" wrapText="1"/>
    </xf>
    <xf numFmtId="165" fontId="7" fillId="11" borderId="67" xfId="1" applyNumberFormat="1" applyFont="1" applyFill="1" applyBorder="1" applyAlignment="1" applyProtection="1">
      <alignment horizontal="center" vertical="center" wrapText="1"/>
    </xf>
    <xf numFmtId="0" fontId="7" fillId="13" borderId="0" xfId="1" applyFont="1" applyFill="1" applyAlignment="1" applyProtection="1">
      <alignment horizontal="center" vertical="center" wrapText="1"/>
      <protection locked="0"/>
    </xf>
    <xf numFmtId="3" fontId="7" fillId="4" borderId="57" xfId="1" applyNumberFormat="1" applyFont="1" applyFill="1" applyBorder="1" applyAlignment="1" applyProtection="1">
      <alignment horizontal="center" vertical="center"/>
      <protection locked="0"/>
    </xf>
    <xf numFmtId="3" fontId="7" fillId="4" borderId="18" xfId="1" applyNumberFormat="1" applyFont="1" applyFill="1" applyBorder="1" applyAlignment="1" applyProtection="1">
      <alignment horizontal="center" vertical="center"/>
      <protection locked="0"/>
    </xf>
    <xf numFmtId="3" fontId="7" fillId="4" borderId="58" xfId="1" applyNumberFormat="1" applyFont="1" applyFill="1" applyBorder="1" applyAlignment="1" applyProtection="1">
      <alignment horizontal="center" vertical="center"/>
    </xf>
    <xf numFmtId="3" fontId="7" fillId="4" borderId="48" xfId="1" applyNumberFormat="1" applyFont="1" applyFill="1" applyBorder="1" applyAlignment="1" applyProtection="1">
      <alignment horizontal="center" vertical="center"/>
    </xf>
    <xf numFmtId="0" fontId="34" fillId="6" borderId="72" xfId="1" applyFont="1" applyFill="1" applyBorder="1" applyAlignment="1" applyProtection="1">
      <alignment horizontal="center" vertical="center"/>
    </xf>
    <xf numFmtId="0" fontId="34" fillId="6" borderId="47" xfId="1" applyFont="1" applyFill="1" applyBorder="1" applyAlignment="1" applyProtection="1">
      <alignment horizontal="center" vertical="center"/>
    </xf>
    <xf numFmtId="0" fontId="34" fillId="6" borderId="24" xfId="1" applyFont="1" applyFill="1" applyBorder="1" applyAlignment="1" applyProtection="1">
      <alignment horizontal="center" vertical="center"/>
    </xf>
    <xf numFmtId="2" fontId="23" fillId="11" borderId="26" xfId="1" applyNumberFormat="1" applyFont="1" applyFill="1" applyBorder="1" applyAlignment="1" applyProtection="1">
      <alignment horizontal="center" vertical="center"/>
    </xf>
    <xf numFmtId="2" fontId="23" fillId="11" borderId="47" xfId="1" applyNumberFormat="1" applyFont="1" applyFill="1" applyBorder="1" applyAlignment="1" applyProtection="1">
      <alignment horizontal="center" vertical="center"/>
    </xf>
    <xf numFmtId="2" fontId="23" fillId="11" borderId="73" xfId="1" applyNumberFormat="1" applyFont="1" applyFill="1" applyBorder="1" applyAlignment="1" applyProtection="1">
      <alignment horizontal="center" vertical="center"/>
    </xf>
    <xf numFmtId="0" fontId="13" fillId="6" borderId="74" xfId="1" applyFont="1" applyFill="1" applyBorder="1" applyAlignment="1" applyProtection="1">
      <alignment horizontal="center" vertical="center" wrapText="1"/>
    </xf>
    <xf numFmtId="0" fontId="13" fillId="6" borderId="24" xfId="1" applyFont="1" applyFill="1" applyBorder="1" applyAlignment="1" applyProtection="1">
      <alignment horizontal="center" vertical="center" wrapText="1"/>
    </xf>
    <xf numFmtId="0" fontId="34" fillId="6" borderId="74" xfId="1" applyFont="1" applyFill="1" applyBorder="1" applyAlignment="1" applyProtection="1">
      <alignment horizontal="center" vertical="center"/>
    </xf>
    <xf numFmtId="1" fontId="7" fillId="11" borderId="26" xfId="1" applyNumberFormat="1" applyFont="1" applyFill="1" applyBorder="1" applyAlignment="1" applyProtection="1">
      <alignment horizontal="center" vertical="center"/>
    </xf>
    <xf numFmtId="0" fontId="7" fillId="11" borderId="47" xfId="1" applyFont="1" applyFill="1" applyBorder="1" applyAlignment="1" applyProtection="1">
      <alignment horizontal="center" vertical="center"/>
    </xf>
    <xf numFmtId="0" fontId="7" fillId="11" borderId="73" xfId="1" applyFont="1" applyFill="1" applyBorder="1" applyAlignment="1" applyProtection="1">
      <alignment horizontal="center" vertical="center"/>
    </xf>
    <xf numFmtId="0" fontId="16" fillId="4" borderId="54" xfId="1" applyFont="1" applyFill="1" applyBorder="1" applyAlignment="1" applyProtection="1">
      <alignment horizontal="center" vertical="center" wrapText="1"/>
      <protection locked="0"/>
    </xf>
    <xf numFmtId="0" fontId="16" fillId="4" borderId="55" xfId="1" applyFont="1" applyFill="1" applyBorder="1" applyAlignment="1" applyProtection="1">
      <alignment horizontal="center" vertical="center" wrapText="1"/>
      <protection locked="0"/>
    </xf>
    <xf numFmtId="0" fontId="16" fillId="4" borderId="56" xfId="1" applyFont="1" applyFill="1" applyBorder="1" applyAlignment="1" applyProtection="1">
      <alignment horizontal="center" vertical="center" wrapText="1"/>
      <protection locked="0"/>
    </xf>
    <xf numFmtId="0" fontId="16" fillId="4" borderId="19" xfId="1" applyFont="1" applyFill="1" applyBorder="1" applyAlignment="1" applyProtection="1">
      <alignment horizontal="center" vertical="center" wrapText="1"/>
      <protection locked="0"/>
    </xf>
    <xf numFmtId="0" fontId="16" fillId="4" borderId="15" xfId="1" applyFont="1" applyFill="1" applyBorder="1" applyAlignment="1" applyProtection="1">
      <alignment horizontal="center" vertical="center" wrapText="1"/>
      <protection locked="0"/>
    </xf>
    <xf numFmtId="0" fontId="16" fillId="4" borderId="61" xfId="1" applyFont="1" applyFill="1" applyBorder="1" applyAlignment="1" applyProtection="1">
      <alignment horizontal="center" vertical="center" wrapText="1"/>
      <protection locked="0"/>
    </xf>
    <xf numFmtId="2" fontId="7" fillId="10" borderId="30" xfId="1" applyNumberFormat="1" applyFont="1" applyFill="1" applyBorder="1" applyAlignment="1" applyProtection="1">
      <alignment horizontal="center" vertical="center"/>
    </xf>
    <xf numFmtId="2" fontId="7" fillId="10" borderId="12" xfId="1" applyNumberFormat="1" applyFont="1" applyFill="1" applyBorder="1" applyAlignment="1" applyProtection="1">
      <alignment horizontal="center" vertical="center"/>
    </xf>
    <xf numFmtId="0" fontId="7" fillId="4" borderId="30" xfId="1" applyFont="1" applyFill="1" applyBorder="1" applyAlignment="1" applyProtection="1">
      <alignment horizontal="center" vertical="center"/>
      <protection locked="0"/>
    </xf>
    <xf numFmtId="0" fontId="7" fillId="4" borderId="12" xfId="1" applyFont="1" applyFill="1" applyBorder="1" applyAlignment="1" applyProtection="1">
      <alignment horizontal="center" vertical="center"/>
      <protection locked="0"/>
    </xf>
    <xf numFmtId="0" fontId="7" fillId="10" borderId="30" xfId="1" applyFont="1" applyFill="1" applyBorder="1" applyAlignment="1" applyProtection="1">
      <alignment horizontal="center" vertical="center"/>
      <protection locked="0"/>
    </xf>
    <xf numFmtId="0" fontId="7" fillId="10" borderId="25" xfId="1" applyFont="1" applyFill="1" applyBorder="1" applyAlignment="1" applyProtection="1">
      <alignment horizontal="center" vertical="center"/>
      <protection locked="0"/>
    </xf>
    <xf numFmtId="3" fontId="7" fillId="10" borderId="57" xfId="1" applyNumberFormat="1" applyFont="1" applyFill="1" applyBorder="1" applyAlignment="1" applyProtection="1">
      <alignment horizontal="center" vertical="center"/>
      <protection locked="0"/>
    </xf>
    <xf numFmtId="3" fontId="7" fillId="10" borderId="39" xfId="1" applyNumberFormat="1" applyFont="1" applyFill="1" applyBorder="1" applyAlignment="1" applyProtection="1">
      <alignment horizontal="center" vertical="center"/>
      <protection locked="0"/>
    </xf>
    <xf numFmtId="3" fontId="7" fillId="10" borderId="58" xfId="1" applyNumberFormat="1" applyFont="1" applyFill="1" applyBorder="1" applyAlignment="1" applyProtection="1">
      <alignment horizontal="center" vertical="center"/>
    </xf>
    <xf numFmtId="3" fontId="7" fillId="10" borderId="48" xfId="1" applyNumberFormat="1" applyFont="1" applyFill="1" applyBorder="1" applyAlignment="1" applyProtection="1">
      <alignment horizontal="center" vertical="center"/>
    </xf>
    <xf numFmtId="0" fontId="23" fillId="4" borderId="51" xfId="1" applyFont="1" applyFill="1" applyBorder="1" applyAlignment="1" applyProtection="1">
      <alignment horizontal="center" vertical="center"/>
      <protection locked="0"/>
    </xf>
    <xf numFmtId="0" fontId="23" fillId="4" borderId="17" xfId="1" applyFont="1" applyFill="1" applyBorder="1" applyAlignment="1" applyProtection="1">
      <alignment horizontal="center" vertical="center"/>
      <protection locked="0"/>
    </xf>
    <xf numFmtId="0" fontId="23" fillId="4" borderId="30" xfId="1" applyFont="1" applyFill="1" applyBorder="1" applyAlignment="1">
      <alignment horizontal="center" vertical="center" wrapText="1"/>
    </xf>
    <xf numFmtId="0" fontId="23" fillId="4" borderId="12" xfId="1" applyFont="1" applyFill="1" applyBorder="1" applyAlignment="1">
      <alignment horizontal="center" vertical="center" wrapText="1"/>
    </xf>
    <xf numFmtId="165" fontId="7" fillId="4" borderId="46" xfId="1" applyNumberFormat="1" applyFont="1" applyFill="1" applyBorder="1" applyAlignment="1">
      <alignment horizontal="center" vertical="center"/>
    </xf>
    <xf numFmtId="165" fontId="7" fillId="4" borderId="12" xfId="1" applyNumberFormat="1" applyFont="1" applyFill="1" applyBorder="1" applyAlignment="1">
      <alignment horizontal="center" vertical="center"/>
    </xf>
    <xf numFmtId="1" fontId="7" fillId="4" borderId="30" xfId="1" applyNumberFormat="1" applyFont="1" applyFill="1" applyBorder="1" applyAlignment="1" applyProtection="1">
      <alignment horizontal="center" vertical="center"/>
    </xf>
    <xf numFmtId="1" fontId="7" fillId="4" borderId="12" xfId="1" applyNumberFormat="1" applyFont="1" applyFill="1" applyBorder="1" applyAlignment="1" applyProtection="1">
      <alignment horizontal="center" vertical="center"/>
    </xf>
    <xf numFmtId="0" fontId="23" fillId="10" borderId="51" xfId="1" applyFont="1" applyFill="1" applyBorder="1" applyAlignment="1" applyProtection="1">
      <alignment horizontal="center" vertical="center"/>
      <protection locked="0"/>
    </xf>
    <xf numFmtId="0" fontId="23" fillId="10" borderId="38" xfId="1" applyFont="1" applyFill="1" applyBorder="1" applyAlignment="1" applyProtection="1">
      <alignment horizontal="center" vertical="center"/>
      <protection locked="0"/>
    </xf>
    <xf numFmtId="0" fontId="23" fillId="10" borderId="30" xfId="1" applyFont="1" applyFill="1" applyBorder="1" applyAlignment="1">
      <alignment horizontal="center" vertical="center" wrapText="1"/>
    </xf>
    <xf numFmtId="0" fontId="23" fillId="10" borderId="25" xfId="1" applyFont="1" applyFill="1" applyBorder="1" applyAlignment="1">
      <alignment horizontal="center" vertical="center" wrapText="1"/>
    </xf>
    <xf numFmtId="165" fontId="7" fillId="10" borderId="42" xfId="1" applyNumberFormat="1" applyFont="1" applyFill="1" applyBorder="1" applyAlignment="1">
      <alignment horizontal="center" vertical="center"/>
    </xf>
    <xf numFmtId="1" fontId="7" fillId="10" borderId="30" xfId="1" applyNumberFormat="1" applyFont="1" applyFill="1" applyBorder="1" applyAlignment="1" applyProtection="1">
      <alignment horizontal="center" vertical="center"/>
    </xf>
    <xf numFmtId="1" fontId="7" fillId="10" borderId="25" xfId="1" applyNumberFormat="1" applyFont="1" applyFill="1" applyBorder="1" applyAlignment="1" applyProtection="1">
      <alignment horizontal="center" vertical="center"/>
    </xf>
    <xf numFmtId="0" fontId="16" fillId="10" borderId="54" xfId="1" applyFont="1" applyFill="1" applyBorder="1" applyAlignment="1" applyProtection="1">
      <alignment horizontal="center" vertical="center" wrapText="1"/>
      <protection locked="0"/>
    </xf>
    <xf numFmtId="0" fontId="16" fillId="10" borderId="55" xfId="1" applyFont="1" applyFill="1" applyBorder="1" applyAlignment="1" applyProtection="1">
      <alignment horizontal="center" vertical="center" wrapText="1"/>
      <protection locked="0"/>
    </xf>
    <xf numFmtId="0" fontId="16" fillId="10" borderId="56" xfId="1" applyFont="1" applyFill="1" applyBorder="1" applyAlignment="1" applyProtection="1">
      <alignment horizontal="center" vertical="center" wrapText="1"/>
      <protection locked="0"/>
    </xf>
    <xf numFmtId="0" fontId="16" fillId="10" borderId="26" xfId="1" applyFont="1" applyFill="1" applyBorder="1" applyAlignment="1" applyProtection="1">
      <alignment horizontal="center" vertical="center" wrapText="1"/>
      <protection locked="0"/>
    </xf>
    <xf numFmtId="0" fontId="16" fillId="10" borderId="47" xfId="1" applyFont="1" applyFill="1" applyBorder="1" applyAlignment="1" applyProtection="1">
      <alignment horizontal="center" vertical="center" wrapText="1"/>
      <protection locked="0"/>
    </xf>
    <xf numFmtId="0" fontId="16" fillId="10" borderId="24" xfId="1" applyFont="1" applyFill="1" applyBorder="1" applyAlignment="1" applyProtection="1">
      <alignment horizontal="center" vertical="center" wrapText="1"/>
      <protection locked="0"/>
    </xf>
    <xf numFmtId="2" fontId="7" fillId="10" borderId="25" xfId="1" applyNumberFormat="1" applyFont="1" applyFill="1" applyBorder="1" applyAlignment="1" applyProtection="1">
      <alignment horizontal="center" vertical="center"/>
    </xf>
    <xf numFmtId="0" fontId="16" fillId="4" borderId="26" xfId="1" applyFont="1" applyFill="1" applyBorder="1" applyAlignment="1" applyProtection="1">
      <alignment horizontal="center" vertical="center" wrapText="1"/>
      <protection locked="0"/>
    </xf>
    <xf numFmtId="0" fontId="16" fillId="4" borderId="47" xfId="1" applyFont="1" applyFill="1" applyBorder="1" applyAlignment="1" applyProtection="1">
      <alignment horizontal="center" vertical="center" wrapText="1"/>
      <protection locked="0"/>
    </xf>
    <xf numFmtId="0" fontId="16" fillId="4" borderId="24" xfId="1" applyFont="1" applyFill="1" applyBorder="1" applyAlignment="1" applyProtection="1">
      <alignment horizontal="center" vertical="center" wrapText="1"/>
      <protection locked="0"/>
    </xf>
    <xf numFmtId="0" fontId="7" fillId="4" borderId="25" xfId="1" applyFont="1" applyFill="1" applyBorder="1" applyAlignment="1" applyProtection="1">
      <alignment horizontal="center" vertical="center"/>
      <protection locked="0"/>
    </xf>
    <xf numFmtId="0" fontId="23" fillId="4" borderId="38" xfId="1" applyFont="1" applyFill="1" applyBorder="1" applyAlignment="1" applyProtection="1">
      <alignment horizontal="center" vertical="center"/>
      <protection locked="0"/>
    </xf>
    <xf numFmtId="0" fontId="23" fillId="4" borderId="25" xfId="1" applyFont="1" applyFill="1" applyBorder="1" applyAlignment="1">
      <alignment horizontal="center" vertical="center" wrapText="1"/>
    </xf>
    <xf numFmtId="165" fontId="7" fillId="4" borderId="42" xfId="1" applyNumberFormat="1" applyFont="1" applyFill="1" applyBorder="1" applyAlignment="1">
      <alignment horizontal="center" vertical="center"/>
    </xf>
    <xf numFmtId="1" fontId="7" fillId="4" borderId="25" xfId="1" applyNumberFormat="1" applyFont="1" applyFill="1" applyBorder="1" applyAlignment="1" applyProtection="1">
      <alignment horizontal="center" vertical="center"/>
    </xf>
    <xf numFmtId="3" fontId="7" fillId="4" borderId="39" xfId="1" applyNumberFormat="1" applyFont="1" applyFill="1" applyBorder="1" applyAlignment="1" applyProtection="1">
      <alignment horizontal="center" vertical="center"/>
      <protection locked="0"/>
    </xf>
    <xf numFmtId="0" fontId="32" fillId="0" borderId="11" xfId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0" fontId="32" fillId="0" borderId="50" xfId="1" applyFont="1" applyBorder="1" applyAlignment="1" applyProtection="1">
      <alignment horizontal="center" vertical="center"/>
      <protection locked="0"/>
    </xf>
    <xf numFmtId="20" fontId="7" fillId="10" borderId="30" xfId="1" applyNumberFormat="1" applyFont="1" applyFill="1" applyBorder="1" applyAlignment="1" applyProtection="1">
      <alignment horizontal="center" vertical="center"/>
      <protection locked="0"/>
    </xf>
    <xf numFmtId="20" fontId="7" fillId="10" borderId="25" xfId="1" applyNumberFormat="1" applyFont="1" applyFill="1" applyBorder="1" applyAlignment="1" applyProtection="1">
      <alignment horizontal="center" vertical="center"/>
      <protection locked="0"/>
    </xf>
    <xf numFmtId="0" fontId="23" fillId="2" borderId="60" xfId="1" applyFont="1" applyFill="1" applyBorder="1" applyAlignment="1" applyProtection="1">
      <alignment horizontal="center" vertical="center"/>
      <protection locked="0"/>
    </xf>
    <xf numFmtId="0" fontId="23" fillId="2" borderId="49" xfId="1" applyFont="1" applyFill="1" applyBorder="1" applyAlignment="1" applyProtection="1">
      <alignment horizontal="center" vertical="center"/>
      <protection locked="0"/>
    </xf>
    <xf numFmtId="2" fontId="31" fillId="0" borderId="49" xfId="1" applyNumberFormat="1" applyFont="1" applyBorder="1" applyAlignment="1" applyProtection="1">
      <alignment horizontal="center" vertical="center"/>
      <protection locked="0"/>
    </xf>
    <xf numFmtId="0" fontId="7" fillId="2" borderId="60" xfId="1" applyFont="1" applyFill="1" applyBorder="1" applyAlignment="1" applyProtection="1">
      <alignment horizontal="center" vertical="center"/>
      <protection locked="0"/>
    </xf>
    <xf numFmtId="0" fontId="7" fillId="2" borderId="49" xfId="1" applyFont="1" applyFill="1" applyBorder="1" applyAlignment="1" applyProtection="1">
      <alignment horizontal="center" vertical="center"/>
      <protection locked="0"/>
    </xf>
    <xf numFmtId="165" fontId="31" fillId="0" borderId="49" xfId="1" applyNumberFormat="1" applyFont="1" applyBorder="1" applyAlignment="1" applyProtection="1">
      <alignment horizontal="center" vertical="center"/>
      <protection locked="0"/>
    </xf>
    <xf numFmtId="0" fontId="23" fillId="2" borderId="1" xfId="1" applyFont="1" applyFill="1" applyBorder="1" applyAlignment="1" applyProtection="1">
      <alignment horizontal="center" vertical="center"/>
      <protection locked="0"/>
    </xf>
    <xf numFmtId="0" fontId="23" fillId="2" borderId="2" xfId="1" applyFont="1" applyFill="1" applyBorder="1" applyAlignment="1" applyProtection="1">
      <alignment horizontal="center" vertical="center"/>
      <protection locked="0"/>
    </xf>
    <xf numFmtId="0" fontId="23" fillId="2" borderId="11" xfId="1" applyFont="1" applyFill="1" applyBorder="1" applyAlignment="1" applyProtection="1">
      <alignment horizontal="center" vertical="center"/>
      <protection locked="0"/>
    </xf>
    <xf numFmtId="1" fontId="31" fillId="0" borderId="13" xfId="1" applyNumberFormat="1" applyFont="1" applyBorder="1" applyAlignment="1" applyProtection="1">
      <alignment horizontal="center" vertical="center"/>
      <protection locked="0"/>
    </xf>
    <xf numFmtId="1" fontId="31" fillId="0" borderId="3" xfId="1" applyNumberFormat="1" applyFont="1" applyBorder="1" applyAlignment="1" applyProtection="1">
      <alignment horizontal="center" vertical="center"/>
      <protection locked="0"/>
    </xf>
    <xf numFmtId="20" fontId="7" fillId="4" borderId="30" xfId="1" applyNumberFormat="1" applyFont="1" applyFill="1" applyBorder="1" applyAlignment="1" applyProtection="1">
      <alignment horizontal="center" vertical="center"/>
      <protection locked="0"/>
    </xf>
    <xf numFmtId="20" fontId="7" fillId="4" borderId="25" xfId="1" applyNumberFormat="1" applyFont="1" applyFill="1" applyBorder="1" applyAlignment="1" applyProtection="1">
      <alignment horizontal="center" vertical="center"/>
      <protection locked="0"/>
    </xf>
    <xf numFmtId="0" fontId="7" fillId="10" borderId="28" xfId="1" applyFont="1" applyFill="1" applyBorder="1" applyAlignment="1" applyProtection="1">
      <alignment horizontal="center" vertical="center"/>
      <protection locked="0"/>
    </xf>
    <xf numFmtId="3" fontId="7" fillId="10" borderId="8" xfId="1" applyNumberFormat="1" applyFont="1" applyFill="1" applyBorder="1" applyAlignment="1" applyProtection="1">
      <alignment horizontal="center" vertical="center"/>
      <protection locked="0"/>
    </xf>
    <xf numFmtId="3" fontId="7" fillId="10" borderId="10" xfId="1" applyNumberFormat="1" applyFont="1" applyFill="1" applyBorder="1" applyAlignment="1" applyProtection="1">
      <alignment horizontal="center" vertical="center"/>
    </xf>
    <xf numFmtId="20" fontId="7" fillId="10" borderId="28" xfId="1" applyNumberFormat="1" applyFont="1" applyFill="1" applyBorder="1" applyAlignment="1" applyProtection="1">
      <alignment horizontal="center" vertical="center"/>
      <protection locked="0"/>
    </xf>
    <xf numFmtId="0" fontId="16" fillId="10" borderId="9" xfId="1" applyFont="1" applyFill="1" applyBorder="1" applyAlignment="1" applyProtection="1">
      <alignment horizontal="center" vertical="center" wrapText="1"/>
      <protection locked="0"/>
    </xf>
    <xf numFmtId="0" fontId="16" fillId="10" borderId="5" xfId="1" applyFont="1" applyFill="1" applyBorder="1" applyAlignment="1" applyProtection="1">
      <alignment horizontal="center" vertical="center" wrapText="1"/>
      <protection locked="0"/>
    </xf>
    <xf numFmtId="0" fontId="16" fillId="10" borderId="41" xfId="1" applyFont="1" applyFill="1" applyBorder="1" applyAlignment="1" applyProtection="1">
      <alignment horizontal="center" vertical="center" wrapText="1"/>
      <protection locked="0"/>
    </xf>
    <xf numFmtId="2" fontId="7" fillId="10" borderId="75" xfId="1" applyNumberFormat="1" applyFont="1" applyFill="1" applyBorder="1" applyAlignment="1" applyProtection="1">
      <alignment horizontal="center" vertical="center"/>
    </xf>
    <xf numFmtId="0" fontId="7" fillId="10" borderId="42" xfId="1" applyFont="1" applyFill="1" applyBorder="1" applyAlignment="1" applyProtection="1">
      <alignment horizontal="center" vertical="center"/>
    </xf>
    <xf numFmtId="0" fontId="18" fillId="5" borderId="10" xfId="1" applyFont="1" applyFill="1" applyBorder="1" applyAlignment="1" applyProtection="1">
      <alignment horizontal="center" vertical="center" wrapText="1"/>
      <protection locked="0"/>
    </xf>
    <xf numFmtId="0" fontId="18" fillId="5" borderId="68" xfId="1" applyFont="1" applyFill="1" applyBorder="1" applyAlignment="1" applyProtection="1">
      <alignment horizontal="center" vertical="center" wrapText="1"/>
      <protection locked="0"/>
    </xf>
    <xf numFmtId="0" fontId="17" fillId="5" borderId="4" xfId="1" applyFont="1" applyFill="1" applyBorder="1" applyAlignment="1" applyProtection="1">
      <alignment horizontal="center" vertical="center" wrapText="1"/>
      <protection locked="0"/>
    </xf>
    <xf numFmtId="0" fontId="17" fillId="5" borderId="5" xfId="1" applyFont="1" applyFill="1" applyBorder="1" applyAlignment="1" applyProtection="1">
      <alignment horizontal="center" vertical="center" wrapText="1"/>
      <protection locked="0"/>
    </xf>
    <xf numFmtId="0" fontId="17" fillId="5" borderId="6" xfId="1" applyFont="1" applyFill="1" applyBorder="1" applyAlignment="1" applyProtection="1">
      <alignment horizontal="center" vertical="center" wrapText="1"/>
      <protection locked="0"/>
    </xf>
    <xf numFmtId="0" fontId="17" fillId="5" borderId="69" xfId="1" applyFont="1" applyFill="1" applyBorder="1" applyAlignment="1" applyProtection="1">
      <alignment horizontal="center" vertical="center" wrapText="1"/>
      <protection locked="0"/>
    </xf>
    <xf numFmtId="0" fontId="17" fillId="5" borderId="0" xfId="1" applyFont="1" applyFill="1" applyBorder="1" applyAlignment="1" applyProtection="1">
      <alignment horizontal="center" vertical="center" wrapText="1"/>
      <protection locked="0"/>
    </xf>
    <xf numFmtId="0" fontId="17" fillId="5" borderId="70" xfId="1" applyFont="1" applyFill="1" applyBorder="1" applyAlignment="1" applyProtection="1">
      <alignment horizontal="center" vertical="center" wrapText="1"/>
      <protection locked="0"/>
    </xf>
    <xf numFmtId="0" fontId="18" fillId="5" borderId="20" xfId="1" applyFont="1" applyFill="1" applyBorder="1" applyAlignment="1" applyProtection="1">
      <alignment horizontal="center" vertical="center" wrapText="1"/>
      <protection locked="0"/>
    </xf>
    <xf numFmtId="0" fontId="6" fillId="6" borderId="30" xfId="1" applyFont="1" applyFill="1" applyBorder="1" applyAlignment="1" applyProtection="1">
      <alignment horizontal="center" vertical="center" wrapText="1"/>
    </xf>
    <xf numFmtId="0" fontId="6" fillId="6" borderId="25" xfId="1" applyFont="1" applyFill="1" applyBorder="1" applyAlignment="1" applyProtection="1">
      <alignment horizontal="center" vertical="center" wrapText="1"/>
    </xf>
    <xf numFmtId="0" fontId="14" fillId="5" borderId="54" xfId="1" applyFont="1" applyFill="1" applyBorder="1" applyAlignment="1" applyProtection="1">
      <alignment horizontal="center" vertical="center" wrapText="1"/>
      <protection locked="0"/>
    </xf>
    <xf numFmtId="0" fontId="14" fillId="5" borderId="55" xfId="1" applyFont="1" applyFill="1" applyBorder="1" applyAlignment="1" applyProtection="1">
      <alignment horizontal="center" vertical="center" wrapText="1"/>
      <protection locked="0"/>
    </xf>
    <xf numFmtId="0" fontId="14" fillId="5" borderId="56" xfId="1" applyFont="1" applyFill="1" applyBorder="1" applyAlignment="1" applyProtection="1">
      <alignment horizontal="center" vertical="center" wrapText="1"/>
      <protection locked="0"/>
    </xf>
    <xf numFmtId="0" fontId="10" fillId="7" borderId="5" xfId="2" applyFont="1" applyFill="1" applyBorder="1" applyAlignment="1" applyProtection="1">
      <alignment horizontal="center" vertical="center"/>
      <protection locked="0"/>
    </xf>
    <xf numFmtId="0" fontId="10" fillId="7" borderId="6" xfId="2" applyFont="1" applyFill="1" applyBorder="1" applyAlignment="1" applyProtection="1">
      <alignment horizontal="center" vertical="center"/>
      <protection locked="0"/>
    </xf>
    <xf numFmtId="0" fontId="23" fillId="10" borderId="7" xfId="1" applyFont="1" applyFill="1" applyBorder="1" applyAlignment="1" applyProtection="1">
      <alignment horizontal="center" vertical="center"/>
      <protection locked="0"/>
    </xf>
    <xf numFmtId="0" fontId="23" fillId="10" borderId="28" xfId="1" applyFont="1" applyFill="1" applyBorder="1" applyAlignment="1">
      <alignment horizontal="center" vertical="center" wrapText="1"/>
    </xf>
    <xf numFmtId="165" fontId="7" fillId="10" borderId="28" xfId="1" applyNumberFormat="1" applyFont="1" applyFill="1" applyBorder="1" applyAlignment="1">
      <alignment horizontal="center" vertical="center"/>
    </xf>
    <xf numFmtId="165" fontId="7" fillId="10" borderId="46" xfId="1" applyNumberFormat="1" applyFont="1" applyFill="1" applyBorder="1" applyAlignment="1">
      <alignment horizontal="center" vertical="center"/>
    </xf>
    <xf numFmtId="1" fontId="7" fillId="10" borderId="28" xfId="1" applyNumberFormat="1" applyFont="1" applyFill="1" applyBorder="1" applyAlignment="1" applyProtection="1">
      <alignment horizontal="center" vertical="center"/>
    </xf>
    <xf numFmtId="0" fontId="13" fillId="5" borderId="8" xfId="1" applyFont="1" applyFill="1" applyBorder="1" applyAlignment="1" applyProtection="1">
      <alignment horizontal="center" vertical="center"/>
      <protection locked="0"/>
    </xf>
    <xf numFmtId="0" fontId="13" fillId="5" borderId="32" xfId="1" applyFont="1" applyFill="1" applyBorder="1" applyAlignment="1" applyProtection="1">
      <alignment horizontal="center" vertical="center"/>
      <protection locked="0"/>
    </xf>
    <xf numFmtId="0" fontId="14" fillId="5" borderId="21" xfId="1" applyFont="1" applyFill="1" applyBorder="1" applyAlignment="1" applyProtection="1">
      <alignment horizontal="center" vertical="center" wrapText="1"/>
      <protection locked="0"/>
    </xf>
    <xf numFmtId="0" fontId="14" fillId="5" borderId="22" xfId="1" applyFont="1" applyFill="1" applyBorder="1" applyAlignment="1" applyProtection="1">
      <alignment horizontal="center" vertical="center" wrapText="1"/>
      <protection locked="0"/>
    </xf>
    <xf numFmtId="0" fontId="14" fillId="5" borderId="23" xfId="1" applyFont="1" applyFill="1" applyBorder="1" applyAlignment="1" applyProtection="1">
      <alignment horizontal="center" vertical="center" wrapText="1"/>
      <protection locked="0"/>
    </xf>
    <xf numFmtId="0" fontId="13" fillId="5" borderId="28" xfId="1" applyFont="1" applyFill="1" applyBorder="1" applyAlignment="1" applyProtection="1">
      <alignment horizontal="center" vertical="center" wrapText="1"/>
      <protection locked="0"/>
    </xf>
    <xf numFmtId="0" fontId="13" fillId="5" borderId="46" xfId="1" applyFont="1" applyFill="1" applyBorder="1" applyAlignment="1" applyProtection="1">
      <alignment horizontal="center" vertical="center" wrapText="1"/>
      <protection locked="0"/>
    </xf>
    <xf numFmtId="0" fontId="13" fillId="5" borderId="8" xfId="1" applyFont="1" applyFill="1" applyBorder="1" applyAlignment="1" applyProtection="1">
      <alignment horizontal="center" vertical="center" wrapText="1"/>
      <protection locked="0"/>
    </xf>
    <xf numFmtId="0" fontId="13" fillId="5" borderId="32" xfId="1" applyFont="1" applyFill="1" applyBorder="1" applyAlignment="1" applyProtection="1">
      <alignment horizontal="center" vertical="center" wrapText="1"/>
      <protection locked="0"/>
    </xf>
    <xf numFmtId="0" fontId="13" fillId="5" borderId="10" xfId="1" applyFont="1" applyFill="1" applyBorder="1" applyAlignment="1" applyProtection="1">
      <alignment horizontal="center" vertical="center" wrapText="1"/>
      <protection locked="0"/>
    </xf>
    <xf numFmtId="0" fontId="13" fillId="5" borderId="68" xfId="1" applyFont="1" applyFill="1" applyBorder="1" applyAlignment="1" applyProtection="1">
      <alignment horizontal="center" vertical="center" wrapText="1"/>
      <protection locked="0"/>
    </xf>
    <xf numFmtId="0" fontId="8" fillId="5" borderId="4" xfId="1" applyFont="1" applyFill="1" applyBorder="1" applyAlignment="1" applyProtection="1">
      <alignment horizontal="center" vertical="center" wrapText="1"/>
      <protection locked="0"/>
    </xf>
    <xf numFmtId="0" fontId="8" fillId="5" borderId="5" xfId="1" applyFont="1" applyFill="1" applyBorder="1" applyAlignment="1" applyProtection="1">
      <alignment horizontal="center" vertical="center" wrapText="1"/>
      <protection locked="0"/>
    </xf>
    <xf numFmtId="0" fontId="8" fillId="5" borderId="6" xfId="1" applyFont="1" applyFill="1" applyBorder="1" applyAlignment="1" applyProtection="1">
      <alignment horizontal="center" vertical="center" wrapText="1"/>
      <protection locked="0"/>
    </xf>
    <xf numFmtId="0" fontId="8" fillId="5" borderId="69" xfId="1" applyFont="1" applyFill="1" applyBorder="1" applyAlignment="1" applyProtection="1">
      <alignment horizontal="center" vertical="center" wrapText="1"/>
      <protection locked="0"/>
    </xf>
    <xf numFmtId="0" fontId="8" fillId="5" borderId="0" xfId="1" applyFont="1" applyFill="1" applyBorder="1" applyAlignment="1" applyProtection="1">
      <alignment horizontal="center" vertical="center" wrapText="1"/>
      <protection locked="0"/>
    </xf>
    <xf numFmtId="0" fontId="8" fillId="5" borderId="70" xfId="1" applyFont="1" applyFill="1" applyBorder="1" applyAlignment="1" applyProtection="1">
      <alignment horizontal="center" vertical="center" wrapText="1"/>
      <protection locked="0"/>
    </xf>
    <xf numFmtId="0" fontId="7" fillId="4" borderId="10" xfId="1" applyFont="1" applyFill="1" applyBorder="1" applyAlignment="1" applyProtection="1">
      <alignment horizontal="center" vertical="center" wrapText="1"/>
      <protection locked="0"/>
    </xf>
    <xf numFmtId="0" fontId="7" fillId="4" borderId="20" xfId="1" applyFont="1" applyFill="1" applyBorder="1" applyAlignment="1" applyProtection="1">
      <alignment horizontal="center" vertical="center" wrapText="1"/>
      <protection locked="0"/>
    </xf>
    <xf numFmtId="0" fontId="10" fillId="2" borderId="1" xfId="2" applyFont="1" applyFill="1" applyBorder="1" applyAlignment="1" applyProtection="1">
      <alignment horizontal="center" vertical="center" wrapText="1"/>
      <protection locked="0"/>
    </xf>
    <xf numFmtId="0" fontId="10" fillId="2" borderId="2" xfId="2" applyFont="1" applyFill="1" applyBorder="1" applyAlignment="1" applyProtection="1">
      <alignment horizontal="center" vertical="center" wrapText="1"/>
      <protection locked="0"/>
    </xf>
    <xf numFmtId="0" fontId="10" fillId="2" borderId="11" xfId="2" applyFont="1" applyFill="1" applyBorder="1" applyAlignment="1" applyProtection="1">
      <alignment horizontal="center" vertical="center" wrapText="1"/>
      <protection locked="0"/>
    </xf>
    <xf numFmtId="0" fontId="10" fillId="2" borderId="13" xfId="2" applyFont="1" applyFill="1" applyBorder="1" applyAlignment="1" applyProtection="1">
      <alignment horizontal="center" vertical="center"/>
      <protection locked="0"/>
    </xf>
    <xf numFmtId="0" fontId="10" fillId="2" borderId="2" xfId="2" applyFont="1" applyFill="1" applyBorder="1" applyAlignment="1" applyProtection="1">
      <alignment horizontal="center" vertical="center"/>
      <protection locked="0"/>
    </xf>
    <xf numFmtId="0" fontId="10" fillId="2" borderId="11" xfId="2" applyFont="1" applyFill="1" applyBorder="1" applyAlignment="1" applyProtection="1">
      <alignment horizontal="center" vertical="center"/>
      <protection locked="0"/>
    </xf>
    <xf numFmtId="0" fontId="5" fillId="2" borderId="1" xfId="2" applyFont="1" applyFill="1" applyBorder="1" applyAlignment="1" applyProtection="1">
      <alignment horizontal="center" vertical="center"/>
      <protection locked="0"/>
    </xf>
    <xf numFmtId="0" fontId="5" fillId="2" borderId="2" xfId="2" applyFont="1" applyFill="1" applyBorder="1" applyAlignment="1" applyProtection="1">
      <alignment horizontal="center" vertical="center"/>
      <protection locked="0"/>
    </xf>
    <xf numFmtId="0" fontId="5" fillId="2" borderId="3" xfId="2" applyFont="1" applyFill="1" applyBorder="1" applyAlignment="1" applyProtection="1">
      <alignment horizontal="center" vertical="center"/>
      <protection locked="0"/>
    </xf>
    <xf numFmtId="0" fontId="53" fillId="3" borderId="4" xfId="1" applyFont="1" applyFill="1" applyBorder="1" applyAlignment="1" applyProtection="1">
      <alignment horizontal="center" vertical="center"/>
    </xf>
    <xf numFmtId="0" fontId="53" fillId="3" borderId="5" xfId="1" applyFont="1" applyFill="1" applyBorder="1" applyAlignment="1" applyProtection="1">
      <alignment horizontal="center" vertical="center"/>
    </xf>
    <xf numFmtId="0" fontId="53" fillId="3" borderId="6" xfId="1" applyFont="1" applyFill="1" applyBorder="1" applyAlignment="1" applyProtection="1">
      <alignment horizontal="center" vertical="center"/>
    </xf>
    <xf numFmtId="0" fontId="53" fillId="3" borderId="14" xfId="1" applyFont="1" applyFill="1" applyBorder="1" applyAlignment="1" applyProtection="1">
      <alignment horizontal="center" vertical="center"/>
    </xf>
    <xf numFmtId="0" fontId="53" fillId="3" borderId="15" xfId="1" applyFont="1" applyFill="1" applyBorder="1" applyAlignment="1" applyProtection="1">
      <alignment horizontal="center" vertical="center"/>
    </xf>
    <xf numFmtId="0" fontId="53" fillId="3" borderId="16" xfId="1" applyFont="1" applyFill="1" applyBorder="1" applyAlignment="1" applyProtection="1">
      <alignment horizontal="center" vertical="center"/>
    </xf>
    <xf numFmtId="0" fontId="7" fillId="3" borderId="7" xfId="1" applyFont="1" applyFill="1" applyBorder="1" applyAlignment="1" applyProtection="1">
      <alignment horizontal="center" vertical="center" wrapText="1"/>
    </xf>
    <xf numFmtId="0" fontId="7" fillId="3" borderId="17" xfId="1" applyFont="1" applyFill="1" applyBorder="1" applyAlignment="1" applyProtection="1">
      <alignment horizontal="center" vertical="center" wrapText="1"/>
    </xf>
    <xf numFmtId="14" fontId="10" fillId="4" borderId="8" xfId="2" applyNumberFormat="1" applyFont="1" applyFill="1" applyBorder="1" applyAlignment="1" applyProtection="1">
      <alignment horizontal="center" vertical="center" wrapText="1"/>
    </xf>
    <xf numFmtId="14" fontId="10" fillId="4" borderId="18" xfId="2" applyNumberFormat="1" applyFont="1" applyFill="1" applyBorder="1" applyAlignment="1" applyProtection="1">
      <alignment horizontal="center" vertical="center" wrapText="1"/>
    </xf>
    <xf numFmtId="0" fontId="7" fillId="4" borderId="8" xfId="1" applyFont="1" applyFill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1" fontId="5" fillId="2" borderId="13" xfId="2" applyNumberFormat="1" applyFont="1" applyFill="1" applyBorder="1" applyAlignment="1" applyProtection="1">
      <alignment horizontal="center" vertical="center"/>
      <protection locked="0"/>
    </xf>
    <xf numFmtId="1" fontId="5" fillId="2" borderId="2" xfId="2" applyNumberFormat="1" applyFont="1" applyFill="1" applyBorder="1" applyAlignment="1" applyProtection="1">
      <alignment horizontal="center" vertical="center"/>
      <protection locked="0"/>
    </xf>
    <xf numFmtId="1" fontId="5" fillId="2" borderId="3" xfId="2" applyNumberFormat="1" applyFont="1" applyFill="1" applyBorder="1" applyAlignment="1" applyProtection="1">
      <alignment horizontal="center" vertical="center"/>
      <protection locked="0"/>
    </xf>
    <xf numFmtId="0" fontId="9" fillId="2" borderId="1" xfId="2" applyFont="1" applyFill="1" applyBorder="1" applyAlignment="1" applyProtection="1">
      <alignment horizontal="center" vertical="center" wrapText="1"/>
      <protection locked="0"/>
    </xf>
    <xf numFmtId="0" fontId="9" fillId="2" borderId="2" xfId="2" applyFont="1" applyFill="1" applyBorder="1" applyAlignment="1" applyProtection="1">
      <alignment horizontal="center" vertical="center" wrapText="1"/>
      <protection locked="0"/>
    </xf>
    <xf numFmtId="0" fontId="9" fillId="2" borderId="3" xfId="2" applyFont="1" applyFill="1" applyBorder="1" applyAlignment="1" applyProtection="1">
      <alignment horizontal="center" vertical="center" wrapText="1"/>
      <protection locked="0"/>
    </xf>
    <xf numFmtId="0" fontId="12" fillId="2" borderId="1" xfId="2" applyFont="1" applyFill="1" applyBorder="1" applyAlignment="1" applyProtection="1">
      <alignment horizontal="center" vertical="center" wrapText="1"/>
      <protection locked="0"/>
    </xf>
    <xf numFmtId="0" fontId="12" fillId="2" borderId="3" xfId="2" applyFont="1" applyFill="1" applyBorder="1" applyAlignment="1" applyProtection="1">
      <alignment horizontal="center" vertical="center" wrapText="1"/>
      <protection locked="0"/>
    </xf>
    <xf numFmtId="0" fontId="9" fillId="2" borderId="1" xfId="2" applyFont="1" applyFill="1" applyBorder="1" applyAlignment="1" applyProtection="1">
      <alignment horizontal="center" vertical="center"/>
      <protection locked="0"/>
    </xf>
    <xf numFmtId="0" fontId="9" fillId="2" borderId="2" xfId="2" applyFont="1" applyFill="1" applyBorder="1" applyAlignment="1" applyProtection="1">
      <alignment horizontal="center" vertical="center"/>
      <protection locked="0"/>
    </xf>
    <xf numFmtId="0" fontId="9" fillId="2" borderId="3" xfId="2" applyFont="1" applyFill="1" applyBorder="1" applyAlignment="1" applyProtection="1">
      <alignment horizontal="center" vertical="center"/>
      <protection locked="0"/>
    </xf>
    <xf numFmtId="0" fontId="13" fillId="5" borderId="7" xfId="1" applyFont="1" applyFill="1" applyBorder="1" applyAlignment="1" applyProtection="1">
      <alignment horizontal="center" vertical="center" wrapText="1"/>
      <protection locked="0"/>
    </xf>
    <xf numFmtId="0" fontId="13" fillId="5" borderId="31" xfId="1" applyFont="1" applyFill="1" applyBorder="1" applyAlignment="1" applyProtection="1">
      <alignment horizontal="center" vertical="center" wrapText="1"/>
      <protection locked="0"/>
    </xf>
    <xf numFmtId="0" fontId="7" fillId="3" borderId="7" xfId="1" applyFont="1" applyFill="1" applyBorder="1" applyAlignment="1" applyProtection="1">
      <alignment horizontal="center" vertical="center" wrapText="1"/>
      <protection locked="0"/>
    </xf>
    <xf numFmtId="0" fontId="7" fillId="3" borderId="17" xfId="1" applyFont="1" applyFill="1" applyBorder="1" applyAlignment="1" applyProtection="1">
      <alignment horizontal="center" vertical="center" wrapText="1"/>
      <protection locked="0"/>
    </xf>
    <xf numFmtId="0" fontId="7" fillId="4" borderId="9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9" xfId="1" applyFont="1" applyFill="1" applyBorder="1" applyAlignment="1" applyProtection="1">
      <alignment horizontal="center" vertical="center" wrapText="1"/>
      <protection locked="0"/>
    </xf>
    <xf numFmtId="0" fontId="7" fillId="4" borderId="15" xfId="1" applyFont="1" applyFill="1" applyBorder="1" applyAlignment="1" applyProtection="1">
      <alignment horizontal="center" vertical="center" wrapText="1"/>
      <protection locked="0"/>
    </xf>
    <xf numFmtId="0" fontId="7" fillId="3" borderId="4" xfId="1" applyFont="1" applyFill="1" applyBorder="1" applyAlignment="1" applyProtection="1">
      <alignment horizontal="center" vertical="center" wrapText="1"/>
      <protection locked="0"/>
    </xf>
    <xf numFmtId="0" fontId="7" fillId="3" borderId="5" xfId="1" applyFont="1" applyFill="1" applyBorder="1" applyAlignment="1" applyProtection="1">
      <alignment horizontal="center" vertical="center" wrapText="1"/>
      <protection locked="0"/>
    </xf>
    <xf numFmtId="0" fontId="7" fillId="3" borderId="6" xfId="1" applyFont="1" applyFill="1" applyBorder="1" applyAlignment="1" applyProtection="1">
      <alignment horizontal="center" vertical="center" wrapText="1"/>
      <protection locked="0"/>
    </xf>
    <xf numFmtId="0" fontId="7" fillId="3" borderId="14" xfId="1" applyFont="1" applyFill="1" applyBorder="1" applyAlignment="1" applyProtection="1">
      <alignment horizontal="center" vertical="center" wrapText="1"/>
      <protection locked="0"/>
    </xf>
    <xf numFmtId="0" fontId="7" fillId="3" borderId="15" xfId="1" applyFont="1" applyFill="1" applyBorder="1" applyAlignment="1" applyProtection="1">
      <alignment horizontal="center" vertical="center" wrapText="1"/>
      <protection locked="0"/>
    </xf>
    <xf numFmtId="0" fontId="7" fillId="3" borderId="16" xfId="1" applyFont="1" applyFill="1" applyBorder="1" applyAlignment="1" applyProtection="1">
      <alignment horizontal="center" vertical="center" wrapText="1"/>
      <protection locked="0"/>
    </xf>
  </cellXfs>
  <cellStyles count="5">
    <cellStyle name="Normal" xfId="0" builtinId="0"/>
    <cellStyle name="Normal 2" xfId="1"/>
    <cellStyle name="Normal 2 2" xfId="2"/>
    <cellStyle name="Normal_Gentan-I imp. as on Dec'06." xfId="3"/>
    <cellStyle name="Percent 2" xfId="4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GT140"/>
  <sheetViews>
    <sheetView showGridLines="0" tabSelected="1" zoomScale="25" zoomScaleNormal="25" zoomScaleSheetLayoutView="62" workbookViewId="0">
      <selection activeCell="BF6" sqref="BF6"/>
    </sheetView>
  </sheetViews>
  <sheetFormatPr defaultColWidth="9.140625" defaultRowHeight="15"/>
  <cols>
    <col min="1" max="1" width="6.7109375" style="1" customWidth="1"/>
    <col min="2" max="2" width="13.42578125" style="1" customWidth="1"/>
    <col min="3" max="4" width="19" style="1" hidden="1" customWidth="1"/>
    <col min="5" max="5" width="28" style="1" customWidth="1"/>
    <col min="6" max="6" width="30.28515625" style="1" customWidth="1"/>
    <col min="7" max="7" width="21" style="1" customWidth="1"/>
    <col min="8" max="8" width="15.140625" style="1" hidden="1" customWidth="1"/>
    <col min="9" max="9" width="3.5703125" style="1" hidden="1" customWidth="1"/>
    <col min="10" max="10" width="19.42578125" style="1" customWidth="1"/>
    <col min="11" max="11" width="39" style="1" customWidth="1"/>
    <col min="12" max="12" width="19.42578125" style="1" customWidth="1"/>
    <col min="13" max="13" width="18.85546875" style="1" customWidth="1"/>
    <col min="14" max="14" width="22.42578125" style="1" customWidth="1"/>
    <col min="15" max="15" width="25.5703125" style="1" customWidth="1"/>
    <col min="16" max="16" width="16.28515625" style="1" customWidth="1"/>
    <col min="17" max="17" width="18.42578125" style="1" customWidth="1"/>
    <col min="18" max="19" width="18.140625" style="1" customWidth="1"/>
    <col min="20" max="20" width="16.28515625" style="1" customWidth="1"/>
    <col min="21" max="21" width="19.140625" style="1" customWidth="1"/>
    <col min="22" max="22" width="17.42578125" style="1" customWidth="1"/>
    <col min="23" max="23" width="26.42578125" style="1" customWidth="1"/>
    <col min="24" max="24" width="20.5703125" style="1" bestFit="1" customWidth="1"/>
    <col min="25" max="25" width="15.42578125" style="1" bestFit="1" customWidth="1"/>
    <col min="26" max="26" width="22.140625" style="1" customWidth="1"/>
    <col min="27" max="27" width="17.5703125" style="1" customWidth="1"/>
    <col min="28" max="28" width="17.7109375" style="1" customWidth="1"/>
    <col min="29" max="29" width="21.42578125" style="1" customWidth="1"/>
    <col min="30" max="30" width="20.7109375" style="1" customWidth="1"/>
    <col min="31" max="31" width="15" style="1" customWidth="1"/>
    <col min="32" max="32" width="16.85546875" style="1" customWidth="1"/>
    <col min="33" max="33" width="19.140625" style="1" customWidth="1"/>
    <col min="34" max="34" width="21.28515625" style="1" customWidth="1"/>
    <col min="35" max="35" width="21.28515625" style="1" hidden="1" customWidth="1"/>
    <col min="36" max="36" width="21.85546875" style="1" customWidth="1"/>
    <col min="37" max="37" width="21.5703125" style="1" customWidth="1"/>
    <col min="38" max="38" width="18" style="1" customWidth="1"/>
    <col min="39" max="40" width="10.42578125" style="1" hidden="1" customWidth="1"/>
    <col min="41" max="41" width="19.28515625" style="1" customWidth="1"/>
    <col min="42" max="42" width="17" style="1" customWidth="1"/>
    <col min="43" max="46" width="10.42578125" style="1" hidden="1" customWidth="1"/>
    <col min="47" max="48" width="9.140625" style="1"/>
    <col min="49" max="49" width="9.85546875" style="1" customWidth="1"/>
    <col min="50" max="50" width="70.7109375" style="1" customWidth="1"/>
    <col min="51" max="51" width="18.7109375" style="1" customWidth="1"/>
    <col min="52" max="56" width="20.7109375" style="1" customWidth="1"/>
    <col min="57" max="58" width="21.7109375" style="1" customWidth="1"/>
    <col min="59" max="59" width="124.85546875" style="1" customWidth="1"/>
    <col min="60" max="60" width="29.28515625" style="1" customWidth="1"/>
    <col min="61" max="61" width="21.28515625" style="1" customWidth="1"/>
    <col min="62" max="62" width="21.85546875" style="1" customWidth="1"/>
    <col min="63" max="64" width="24.140625" style="1" customWidth="1"/>
    <col min="65" max="65" width="25.28515625" style="1" customWidth="1"/>
    <col min="66" max="66" width="22.28515625" style="1" customWidth="1"/>
    <col min="67" max="67" width="25.28515625" style="1" customWidth="1"/>
    <col min="68" max="68" width="29.28515625" style="1" customWidth="1"/>
    <col min="69" max="69" width="30.7109375" style="214" customWidth="1"/>
    <col min="70" max="70" width="34.42578125" style="214" customWidth="1"/>
    <col min="71" max="71" width="37.5703125" style="214" customWidth="1"/>
    <col min="72" max="72" width="34.7109375" style="1" bestFit="1" customWidth="1"/>
    <col min="73" max="73" width="35.7109375" style="1" customWidth="1"/>
    <col min="74" max="79" width="14.28515625" style="1" customWidth="1"/>
    <col min="80" max="80" width="25.28515625" style="1" customWidth="1"/>
    <col min="81" max="82" width="9.140625" style="1"/>
    <col min="83" max="83" width="71.140625" style="1" customWidth="1"/>
    <col min="84" max="84" width="17.28515625" style="1" customWidth="1"/>
    <col min="85" max="85" width="15.85546875" style="1" customWidth="1"/>
    <col min="86" max="86" width="16.28515625" style="1" customWidth="1"/>
    <col min="87" max="97" width="9.140625" style="1"/>
    <col min="98" max="98" width="10.140625" style="1" customWidth="1"/>
    <col min="99" max="100" width="9.140625" style="1" hidden="1" customWidth="1"/>
    <col min="101" max="125" width="9.140625" style="83" hidden="1" customWidth="1"/>
    <col min="126" max="138" width="9.140625" style="1" hidden="1" customWidth="1"/>
    <col min="139" max="140" width="15" style="1" hidden="1" customWidth="1"/>
    <col min="141" max="141" width="9.140625" style="1" hidden="1" customWidth="1"/>
    <col min="142" max="202" width="9.140625" style="92" hidden="1" customWidth="1"/>
    <col min="203" max="222" width="9.140625" style="92" customWidth="1"/>
    <col min="223" max="16384" width="9.140625" style="92"/>
  </cols>
  <sheetData>
    <row r="1" spans="1:172" ht="21.75" customHeight="1" thickBot="1">
      <c r="BN1" s="1" t="s">
        <v>0</v>
      </c>
    </row>
    <row r="2" spans="1:172" s="93" customFormat="1" ht="64.5" customHeight="1" thickBot="1">
      <c r="A2" s="2"/>
      <c r="B2" s="415" t="s">
        <v>1</v>
      </c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  <c r="AB2" s="416"/>
      <c r="AC2" s="416"/>
      <c r="AD2" s="416"/>
      <c r="AE2" s="416"/>
      <c r="AF2" s="416"/>
      <c r="AG2" s="416"/>
      <c r="AH2" s="416"/>
      <c r="AI2" s="416"/>
      <c r="AJ2" s="416"/>
      <c r="AK2" s="416"/>
      <c r="AL2" s="416"/>
      <c r="AM2" s="416"/>
      <c r="AN2" s="416"/>
      <c r="AO2" s="416"/>
      <c r="AP2" s="417"/>
      <c r="AQ2" s="3"/>
      <c r="AR2" s="3"/>
      <c r="AS2" s="2"/>
      <c r="AT2" s="2"/>
      <c r="AU2" s="2"/>
      <c r="AV2" s="2"/>
      <c r="AW2" s="418" t="s">
        <v>2</v>
      </c>
      <c r="AX2" s="419"/>
      <c r="AY2" s="419"/>
      <c r="AZ2" s="419"/>
      <c r="BA2" s="419"/>
      <c r="BB2" s="419"/>
      <c r="BC2" s="419"/>
      <c r="BD2" s="419"/>
      <c r="BE2" s="419"/>
      <c r="BF2" s="419"/>
      <c r="BG2" s="419"/>
      <c r="BH2" s="419"/>
      <c r="BI2" s="419"/>
      <c r="BJ2" s="419"/>
      <c r="BK2" s="419"/>
      <c r="BL2" s="419"/>
      <c r="BM2" s="419"/>
      <c r="BN2" s="419"/>
      <c r="BO2" s="419"/>
      <c r="BP2" s="420"/>
      <c r="BQ2" s="424" t="s">
        <v>3</v>
      </c>
      <c r="BR2" s="426" t="str">
        <f>CONCATENATE(L3,"-",M3,"-",N3)</f>
        <v>--</v>
      </c>
      <c r="BS2" s="424" t="s">
        <v>4</v>
      </c>
      <c r="BT2" s="428">
        <f>Z3</f>
        <v>0</v>
      </c>
      <c r="BU2" s="443" t="s">
        <v>5</v>
      </c>
      <c r="BV2" s="445"/>
      <c r="BW2" s="446"/>
      <c r="BX2" s="449" t="s">
        <v>6</v>
      </c>
      <c r="BY2" s="450"/>
      <c r="BZ2" s="450"/>
      <c r="CA2" s="451"/>
      <c r="CB2" s="407">
        <v>6</v>
      </c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84"/>
      <c r="CX2" s="84"/>
      <c r="CY2" s="84"/>
      <c r="CZ2" s="84"/>
      <c r="DA2" s="84"/>
      <c r="DB2" s="84"/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</row>
    <row r="3" spans="1:172" s="93" customFormat="1" ht="64.5" customHeight="1" thickBot="1">
      <c r="A3" s="2"/>
      <c r="B3" s="409" t="s">
        <v>7</v>
      </c>
      <c r="C3" s="410"/>
      <c r="D3" s="410"/>
      <c r="E3" s="410"/>
      <c r="F3" s="410"/>
      <c r="G3" s="410"/>
      <c r="H3" s="410"/>
      <c r="I3" s="410"/>
      <c r="J3" s="410"/>
      <c r="K3" s="411"/>
      <c r="L3" s="4"/>
      <c r="M3" s="4"/>
      <c r="N3" s="4"/>
      <c r="O3" s="412" t="s">
        <v>8</v>
      </c>
      <c r="P3" s="413"/>
      <c r="Q3" s="413"/>
      <c r="R3" s="414"/>
      <c r="S3" s="412"/>
      <c r="T3" s="413"/>
      <c r="U3" s="414"/>
      <c r="V3" s="412" t="s">
        <v>9</v>
      </c>
      <c r="W3" s="413"/>
      <c r="X3" s="413"/>
      <c r="Y3" s="414"/>
      <c r="Z3" s="412"/>
      <c r="AA3" s="413"/>
      <c r="AB3" s="414"/>
      <c r="AC3" s="412" t="s">
        <v>10</v>
      </c>
      <c r="AD3" s="413"/>
      <c r="AE3" s="413"/>
      <c r="AF3" s="413"/>
      <c r="AG3" s="413"/>
      <c r="AH3" s="414"/>
      <c r="AI3" s="5"/>
      <c r="AJ3" s="430">
        <f>IFERROR(S22/X22,0)</f>
        <v>0</v>
      </c>
      <c r="AK3" s="431"/>
      <c r="AL3" s="431"/>
      <c r="AM3" s="431"/>
      <c r="AN3" s="431"/>
      <c r="AO3" s="431"/>
      <c r="AP3" s="432"/>
      <c r="AQ3" s="2"/>
      <c r="AR3" s="2"/>
      <c r="AS3" s="2"/>
      <c r="AT3" s="2"/>
      <c r="AU3" s="2"/>
      <c r="AV3" s="2"/>
      <c r="AW3" s="421"/>
      <c r="AX3" s="422"/>
      <c r="AY3" s="422"/>
      <c r="AZ3" s="422"/>
      <c r="BA3" s="422"/>
      <c r="BB3" s="422"/>
      <c r="BC3" s="422"/>
      <c r="BD3" s="422"/>
      <c r="BE3" s="422"/>
      <c r="BF3" s="422"/>
      <c r="BG3" s="422"/>
      <c r="BH3" s="422"/>
      <c r="BI3" s="422"/>
      <c r="BJ3" s="422"/>
      <c r="BK3" s="422"/>
      <c r="BL3" s="422"/>
      <c r="BM3" s="422"/>
      <c r="BN3" s="422"/>
      <c r="BO3" s="422"/>
      <c r="BP3" s="423"/>
      <c r="BQ3" s="425"/>
      <c r="BR3" s="427"/>
      <c r="BS3" s="425"/>
      <c r="BT3" s="429"/>
      <c r="BU3" s="444"/>
      <c r="BV3" s="447"/>
      <c r="BW3" s="448"/>
      <c r="BX3" s="452"/>
      <c r="BY3" s="453"/>
      <c r="BZ3" s="453"/>
      <c r="CA3" s="454"/>
      <c r="CB3" s="408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84"/>
      <c r="CX3" s="84"/>
      <c r="CY3" s="84"/>
      <c r="CZ3" s="84"/>
      <c r="DA3" s="84"/>
      <c r="DB3" s="84"/>
      <c r="DC3" s="84"/>
      <c r="DD3" s="84"/>
      <c r="DE3" s="84"/>
      <c r="DF3" s="84"/>
      <c r="DG3" s="84"/>
      <c r="DH3" s="84"/>
      <c r="DI3" s="84"/>
      <c r="DJ3" s="84"/>
      <c r="DK3" s="84"/>
      <c r="DL3" s="84"/>
      <c r="DM3" s="84"/>
      <c r="DN3" s="84"/>
      <c r="DO3" s="84"/>
      <c r="DP3" s="84"/>
      <c r="DQ3" s="84"/>
      <c r="DR3" s="84"/>
      <c r="DS3" s="84"/>
      <c r="DT3" s="84"/>
      <c r="DU3" s="84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</row>
    <row r="4" spans="1:172" s="93" customFormat="1" ht="82.5" customHeight="1" thickBot="1">
      <c r="A4" s="2"/>
      <c r="B4" s="433" t="s">
        <v>11</v>
      </c>
      <c r="C4" s="434"/>
      <c r="D4" s="434"/>
      <c r="E4" s="434"/>
      <c r="F4" s="434"/>
      <c r="G4" s="434"/>
      <c r="H4" s="434"/>
      <c r="I4" s="434"/>
      <c r="J4" s="434"/>
      <c r="K4" s="434"/>
      <c r="L4" s="434"/>
      <c r="M4" s="434"/>
      <c r="N4" s="434"/>
      <c r="O4" s="435"/>
      <c r="P4" s="436" t="s">
        <v>12</v>
      </c>
      <c r="Q4" s="437"/>
      <c r="R4" s="433" t="s">
        <v>13</v>
      </c>
      <c r="S4" s="434"/>
      <c r="T4" s="434"/>
      <c r="U4" s="434"/>
      <c r="V4" s="434"/>
      <c r="W4" s="434"/>
      <c r="X4" s="434"/>
      <c r="Y4" s="434"/>
      <c r="Z4" s="434"/>
      <c r="AA4" s="435"/>
      <c r="AB4" s="433" t="s">
        <v>14</v>
      </c>
      <c r="AC4" s="434"/>
      <c r="AD4" s="435"/>
      <c r="AE4" s="438" t="s">
        <v>15</v>
      </c>
      <c r="AF4" s="439"/>
      <c r="AG4" s="439"/>
      <c r="AH4" s="439"/>
      <c r="AI4" s="439"/>
      <c r="AJ4" s="439"/>
      <c r="AK4" s="439"/>
      <c r="AL4" s="439"/>
      <c r="AM4" s="439"/>
      <c r="AN4" s="439"/>
      <c r="AO4" s="439"/>
      <c r="AP4" s="440"/>
      <c r="AQ4" s="3"/>
      <c r="AR4" s="2"/>
      <c r="AS4" s="2"/>
      <c r="AT4" s="2"/>
      <c r="AU4" s="2"/>
      <c r="AV4" s="2"/>
      <c r="AW4" s="441" t="s">
        <v>16</v>
      </c>
      <c r="AX4" s="390" t="s">
        <v>17</v>
      </c>
      <c r="AY4" s="6" t="s">
        <v>18</v>
      </c>
      <c r="AZ4" s="392" t="s">
        <v>19</v>
      </c>
      <c r="BA4" s="393"/>
      <c r="BB4" s="393"/>
      <c r="BC4" s="393"/>
      <c r="BD4" s="393"/>
      <c r="BE4" s="394"/>
      <c r="BF4" s="7" t="s">
        <v>20</v>
      </c>
      <c r="BG4" s="8" t="s">
        <v>21</v>
      </c>
      <c r="BH4" s="9" t="s">
        <v>22</v>
      </c>
      <c r="BI4" s="9" t="s">
        <v>23</v>
      </c>
      <c r="BJ4" s="9" t="s">
        <v>24</v>
      </c>
      <c r="BK4" s="10" t="s">
        <v>25</v>
      </c>
      <c r="BL4" s="11" t="s">
        <v>26</v>
      </c>
      <c r="BM4" s="12" t="s">
        <v>27</v>
      </c>
      <c r="BN4" s="395" t="s">
        <v>28</v>
      </c>
      <c r="BO4" s="397" t="s">
        <v>29</v>
      </c>
      <c r="BP4" s="399" t="s">
        <v>30</v>
      </c>
      <c r="BQ4" s="401" t="s">
        <v>189</v>
      </c>
      <c r="BR4" s="402"/>
      <c r="BS4" s="403"/>
      <c r="BT4" s="13" t="s">
        <v>31</v>
      </c>
      <c r="BU4" s="369" t="s">
        <v>188</v>
      </c>
      <c r="BV4" s="371" t="s">
        <v>32</v>
      </c>
      <c r="BW4" s="372"/>
      <c r="BX4" s="372"/>
      <c r="BY4" s="372"/>
      <c r="BZ4" s="372"/>
      <c r="CA4" s="373"/>
      <c r="CB4" s="369" t="s">
        <v>33</v>
      </c>
      <c r="CC4" s="2"/>
      <c r="CD4" s="2"/>
      <c r="CE4" s="378" t="s">
        <v>34</v>
      </c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84"/>
      <c r="CX4" s="84"/>
      <c r="CY4" s="84"/>
      <c r="CZ4" s="84"/>
      <c r="DA4" s="84"/>
      <c r="DB4" s="84"/>
      <c r="DC4" s="84"/>
      <c r="DD4" s="84"/>
      <c r="DE4" s="84"/>
      <c r="DF4" s="84"/>
      <c r="DG4" s="84"/>
      <c r="DH4" s="84"/>
      <c r="DI4" s="84"/>
      <c r="DJ4" s="84"/>
      <c r="DK4" s="84"/>
      <c r="DL4" s="84"/>
      <c r="DM4" s="84"/>
      <c r="DN4" s="84"/>
      <c r="DO4" s="84"/>
      <c r="DP4" s="84"/>
      <c r="DQ4" s="84"/>
      <c r="DR4" s="84"/>
      <c r="DS4" s="84"/>
      <c r="DT4" s="84"/>
      <c r="DU4" s="84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</row>
    <row r="5" spans="1:172" s="93" customFormat="1" ht="113.25" customHeight="1" thickBot="1">
      <c r="A5" s="2"/>
      <c r="B5" s="14" t="s">
        <v>35</v>
      </c>
      <c r="C5" s="15" t="s">
        <v>36</v>
      </c>
      <c r="D5" s="15" t="s">
        <v>37</v>
      </c>
      <c r="E5" s="15" t="s">
        <v>38</v>
      </c>
      <c r="F5" s="15" t="s">
        <v>39</v>
      </c>
      <c r="G5" s="15" t="s">
        <v>40</v>
      </c>
      <c r="H5" s="15" t="s">
        <v>41</v>
      </c>
      <c r="I5" s="15" t="s">
        <v>41</v>
      </c>
      <c r="J5" s="15" t="s">
        <v>42</v>
      </c>
      <c r="K5" s="15" t="s">
        <v>43</v>
      </c>
      <c r="L5" s="15" t="s">
        <v>44</v>
      </c>
      <c r="M5" s="15" t="s">
        <v>45</v>
      </c>
      <c r="N5" s="15" t="s">
        <v>46</v>
      </c>
      <c r="O5" s="16" t="s">
        <v>47</v>
      </c>
      <c r="P5" s="14" t="s">
        <v>48</v>
      </c>
      <c r="Q5" s="16" t="s">
        <v>49</v>
      </c>
      <c r="R5" s="14" t="s">
        <v>50</v>
      </c>
      <c r="S5" s="15" t="s">
        <v>51</v>
      </c>
      <c r="T5" s="15" t="s">
        <v>52</v>
      </c>
      <c r="U5" s="15" t="s">
        <v>51</v>
      </c>
      <c r="V5" s="15" t="s">
        <v>53</v>
      </c>
      <c r="W5" s="15" t="s">
        <v>51</v>
      </c>
      <c r="X5" s="15" t="s">
        <v>54</v>
      </c>
      <c r="Y5" s="15" t="s">
        <v>51</v>
      </c>
      <c r="Z5" s="15" t="s">
        <v>55</v>
      </c>
      <c r="AA5" s="16" t="s">
        <v>51</v>
      </c>
      <c r="AB5" s="14" t="s">
        <v>56</v>
      </c>
      <c r="AC5" s="15" t="s">
        <v>57</v>
      </c>
      <c r="AD5" s="16" t="s">
        <v>58</v>
      </c>
      <c r="AE5" s="14" t="s">
        <v>59</v>
      </c>
      <c r="AF5" s="17" t="s">
        <v>60</v>
      </c>
      <c r="AG5" s="15" t="s">
        <v>61</v>
      </c>
      <c r="AH5" s="15" t="s">
        <v>62</v>
      </c>
      <c r="AI5" s="15" t="s">
        <v>63</v>
      </c>
      <c r="AJ5" s="15" t="s">
        <v>64</v>
      </c>
      <c r="AK5" s="15" t="s">
        <v>65</v>
      </c>
      <c r="AL5" s="15" t="s">
        <v>66</v>
      </c>
      <c r="AM5" s="15" t="s">
        <v>41</v>
      </c>
      <c r="AN5" s="15" t="s">
        <v>41</v>
      </c>
      <c r="AO5" s="15" t="s">
        <v>67</v>
      </c>
      <c r="AP5" s="16" t="s">
        <v>68</v>
      </c>
      <c r="AQ5" s="3"/>
      <c r="AR5" s="2"/>
      <c r="AS5" s="2"/>
      <c r="AT5" s="2"/>
      <c r="AU5" s="2"/>
      <c r="AV5" s="2"/>
      <c r="AW5" s="442"/>
      <c r="AX5" s="391"/>
      <c r="AY5" s="238" t="s">
        <v>69</v>
      </c>
      <c r="AZ5" s="380" t="s">
        <v>70</v>
      </c>
      <c r="BA5" s="381"/>
      <c r="BB5" s="381"/>
      <c r="BC5" s="381"/>
      <c r="BD5" s="381"/>
      <c r="BE5" s="382"/>
      <c r="BF5" s="239" t="s">
        <v>71</v>
      </c>
      <c r="BG5" s="240" t="s">
        <v>72</v>
      </c>
      <c r="BH5" s="241" t="s">
        <v>73</v>
      </c>
      <c r="BI5" s="241" t="s">
        <v>74</v>
      </c>
      <c r="BJ5" s="241" t="s">
        <v>75</v>
      </c>
      <c r="BK5" s="242" t="s">
        <v>76</v>
      </c>
      <c r="BL5" s="243" t="s">
        <v>77</v>
      </c>
      <c r="BM5" s="242" t="s">
        <v>78</v>
      </c>
      <c r="BN5" s="396"/>
      <c r="BO5" s="398"/>
      <c r="BP5" s="400"/>
      <c r="BQ5" s="404"/>
      <c r="BR5" s="405"/>
      <c r="BS5" s="406"/>
      <c r="BT5" s="244" t="s">
        <v>79</v>
      </c>
      <c r="BU5" s="370"/>
      <c r="BV5" s="374"/>
      <c r="BW5" s="375"/>
      <c r="BX5" s="375"/>
      <c r="BY5" s="375"/>
      <c r="BZ5" s="375"/>
      <c r="CA5" s="376"/>
      <c r="CB5" s="377"/>
      <c r="CC5" s="2"/>
      <c r="CD5" s="2"/>
      <c r="CE5" s="379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84"/>
      <c r="CX5" s="84"/>
      <c r="CY5" s="84"/>
      <c r="CZ5" s="84"/>
      <c r="DA5" s="84"/>
      <c r="DB5" s="84"/>
      <c r="DC5" s="84"/>
      <c r="DD5" s="84"/>
      <c r="DE5" s="84"/>
      <c r="DF5" s="84"/>
      <c r="DG5" s="84"/>
      <c r="DH5" s="84"/>
      <c r="DI5" s="84"/>
      <c r="DJ5" s="84"/>
      <c r="DK5" s="84"/>
      <c r="DL5" s="84"/>
      <c r="DM5" s="84"/>
      <c r="DN5" s="84"/>
      <c r="DO5" s="84"/>
      <c r="DP5" s="84"/>
      <c r="DQ5" s="84"/>
      <c r="DR5" s="84"/>
      <c r="DS5" s="84"/>
      <c r="DT5" s="84"/>
      <c r="DU5" s="84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</row>
    <row r="6" spans="1:172" s="94" customFormat="1" ht="85.5" customHeight="1" thickBot="1">
      <c r="A6" s="18"/>
      <c r="B6" s="107">
        <v>1</v>
      </c>
      <c r="C6" s="108" t="str">
        <f>BN6</f>
        <v/>
      </c>
      <c r="D6" s="108">
        <f>BO6</f>
        <v>0</v>
      </c>
      <c r="E6" s="19"/>
      <c r="F6" s="109" t="s">
        <v>41</v>
      </c>
      <c r="G6" s="110" t="s">
        <v>41</v>
      </c>
      <c r="H6" s="111"/>
      <c r="I6" s="111"/>
      <c r="J6" s="111" t="s">
        <v>41</v>
      </c>
      <c r="K6" s="111" t="s">
        <v>41</v>
      </c>
      <c r="L6" s="111" t="s">
        <v>41</v>
      </c>
      <c r="M6" s="111" t="s">
        <v>41</v>
      </c>
      <c r="N6" s="111" t="s">
        <v>41</v>
      </c>
      <c r="O6" s="112" t="s">
        <v>41</v>
      </c>
      <c r="P6" s="20"/>
      <c r="Q6" s="21"/>
      <c r="R6" s="22"/>
      <c r="S6" s="23"/>
      <c r="T6" s="23"/>
      <c r="U6" s="23"/>
      <c r="V6" s="23"/>
      <c r="W6" s="23"/>
      <c r="X6" s="23"/>
      <c r="Y6" s="23"/>
      <c r="Z6" s="23"/>
      <c r="AA6" s="21"/>
      <c r="AB6" s="107">
        <f t="shared" ref="AB6:AB21" si="0">(R6*S6+T6*U6+V6*W6+X6*Y6+Z6*AA6)</f>
        <v>0</v>
      </c>
      <c r="AC6" s="113">
        <f t="shared" ref="AC6:AC21" si="1">AB6*AO6</f>
        <v>0</v>
      </c>
      <c r="AD6" s="114" t="str">
        <f t="shared" ref="AD6:AD21" si="2">IF(F6="","",AB6*AP6/1000)</f>
        <v/>
      </c>
      <c r="AE6" s="107"/>
      <c r="AF6" s="113" t="str">
        <f t="shared" ref="AF6:AF21" si="3">IF(F6="","",T42)</f>
        <v/>
      </c>
      <c r="AG6" s="115" t="str">
        <f t="shared" ref="AG6:AG21" si="4">IF(F6="","",AC6/AE6+2)</f>
        <v/>
      </c>
      <c r="AH6" s="116" t="str">
        <f t="shared" ref="AH6:AH20" si="5">IF(F6="","",AF6+AG6)</f>
        <v/>
      </c>
      <c r="AI6" s="117" t="e">
        <f t="shared" ref="AI6:AI21" si="6">AH6/1440</f>
        <v>#VALUE!</v>
      </c>
      <c r="AJ6" s="24" t="str">
        <f>IF(OR(Z3="1",Z3=1),"05:35",IF(OR(Z3="2",Z3=2),"15:05","23:45"))</f>
        <v>23:45</v>
      </c>
      <c r="AK6" s="24" t="str">
        <f>IFERROR(AI6+AJ6,"")</f>
        <v/>
      </c>
      <c r="AL6" s="118" t="str">
        <f t="shared" ref="AL6:AL21" si="7">IF(F6="","",AC6*60/AH6)</f>
        <v/>
      </c>
      <c r="AM6" s="119"/>
      <c r="AN6" s="119"/>
      <c r="AO6" s="111"/>
      <c r="AP6" s="120" t="s">
        <v>41</v>
      </c>
      <c r="AQ6" s="383" t="s">
        <v>80</v>
      </c>
      <c r="AR6" s="383"/>
      <c r="AS6" s="383"/>
      <c r="AT6" s="384"/>
      <c r="AU6" s="25"/>
      <c r="AV6" s="25"/>
      <c r="AW6" s="385">
        <v>1</v>
      </c>
      <c r="AX6" s="386" t="str">
        <f>CONCATENATE(F6, "-", G6,"-",L6,"x",M6,"x",N6,"x",O6)</f>
        <v>--xxx</v>
      </c>
      <c r="AY6" s="103">
        <f>P6</f>
        <v>0</v>
      </c>
      <c r="AZ6" s="219"/>
      <c r="BA6" s="219"/>
      <c r="BB6" s="219"/>
      <c r="BC6" s="219"/>
      <c r="BD6" s="219"/>
      <c r="BE6" s="219"/>
      <c r="BF6" s="220"/>
      <c r="BG6" s="26" t="str">
        <f>CONCATENATE(R6,"x",S6," - ",T6,"x",U6," - ",V6,"x",W6," - ",X6,"x",Y6," - ",Z6,"x",AA6)</f>
        <v>x - x - x - x - x</v>
      </c>
      <c r="BH6" s="171" t="str">
        <f>AJ6</f>
        <v>23:45</v>
      </c>
      <c r="BI6" s="172"/>
      <c r="BJ6" s="173" t="str">
        <f>AL6</f>
        <v/>
      </c>
      <c r="BK6" s="174">
        <f>AE6</f>
        <v>0</v>
      </c>
      <c r="BL6" s="174" t="str">
        <f>AF6</f>
        <v/>
      </c>
      <c r="BM6" s="175" t="str">
        <f>AG6</f>
        <v/>
      </c>
      <c r="BN6" s="387" t="str">
        <f>IF(BI6="","",(BM7+BL7))</f>
        <v/>
      </c>
      <c r="BO6" s="389"/>
      <c r="BP6" s="363"/>
      <c r="BQ6" s="364"/>
      <c r="BR6" s="365"/>
      <c r="BS6" s="366"/>
      <c r="BT6" s="202">
        <f>AC6</f>
        <v>0</v>
      </c>
      <c r="BU6" s="367">
        <f>IFERROR(BT7*AP6/AO6,0)</f>
        <v>0</v>
      </c>
      <c r="BV6" s="360"/>
      <c r="BW6" s="360"/>
      <c r="BX6" s="360"/>
      <c r="BY6" s="360"/>
      <c r="BZ6" s="203"/>
      <c r="CA6" s="361"/>
      <c r="CB6" s="362"/>
      <c r="CC6" s="18"/>
      <c r="CD6" s="18"/>
      <c r="CE6" s="233" t="s">
        <v>81</v>
      </c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 t="str">
        <f>IFERROR(IF(bgr!CO2=0,"",bgr!CO2),"")</f>
        <v/>
      </c>
      <c r="EJ6" s="18" t="str">
        <f>IFERROR(IF(bgr!CP2=0,"",bgr!CP2),"")</f>
        <v/>
      </c>
      <c r="EK6" s="18"/>
      <c r="EM6" s="100"/>
      <c r="EN6" s="101"/>
      <c r="EQ6" s="101"/>
      <c r="ER6" s="101"/>
      <c r="EU6" s="101"/>
      <c r="EV6" s="101"/>
      <c r="EY6" s="101"/>
      <c r="EZ6" s="101"/>
      <c r="FC6" s="101"/>
      <c r="FD6" s="101"/>
      <c r="FG6" s="101"/>
      <c r="FH6" s="101"/>
      <c r="FK6" s="101"/>
      <c r="FL6" s="101"/>
      <c r="FO6" s="101"/>
      <c r="FP6" s="101"/>
    </row>
    <row r="7" spans="1:172" s="95" customFormat="1" ht="85.5" customHeight="1" thickBot="1">
      <c r="A7" s="27"/>
      <c r="B7" s="121" t="str">
        <f t="shared" ref="B7:B21" si="8">IF(E7="","",B6+1)</f>
        <v/>
      </c>
      <c r="C7" s="53" t="str">
        <f>BN8</f>
        <v/>
      </c>
      <c r="D7" s="53">
        <f>BO8</f>
        <v>0</v>
      </c>
      <c r="E7" s="28"/>
      <c r="F7" s="109" t="s">
        <v>41</v>
      </c>
      <c r="G7" s="110" t="s">
        <v>41</v>
      </c>
      <c r="H7" s="111"/>
      <c r="I7" s="111"/>
      <c r="J7" s="111" t="s">
        <v>41</v>
      </c>
      <c r="K7" s="111" t="s">
        <v>41</v>
      </c>
      <c r="L7" s="111" t="s">
        <v>41</v>
      </c>
      <c r="M7" s="111" t="s">
        <v>41</v>
      </c>
      <c r="N7" s="111" t="s">
        <v>41</v>
      </c>
      <c r="O7" s="112" t="s">
        <v>41</v>
      </c>
      <c r="P7" s="29"/>
      <c r="Q7" s="30"/>
      <c r="R7" s="31"/>
      <c r="S7" s="32"/>
      <c r="T7" s="32"/>
      <c r="U7" s="32"/>
      <c r="V7" s="32"/>
      <c r="W7" s="32"/>
      <c r="X7" s="32"/>
      <c r="Y7" s="32"/>
      <c r="Z7" s="32"/>
      <c r="AA7" s="30"/>
      <c r="AB7" s="121">
        <f t="shared" si="0"/>
        <v>0</v>
      </c>
      <c r="AC7" s="122">
        <f t="shared" si="1"/>
        <v>0</v>
      </c>
      <c r="AD7" s="123" t="str">
        <f t="shared" si="2"/>
        <v/>
      </c>
      <c r="AE7" s="121"/>
      <c r="AF7" s="122" t="str">
        <f t="shared" si="3"/>
        <v/>
      </c>
      <c r="AG7" s="124" t="str">
        <f t="shared" si="4"/>
        <v/>
      </c>
      <c r="AH7" s="125" t="str">
        <f t="shared" si="5"/>
        <v/>
      </c>
      <c r="AI7" s="126" t="e">
        <f t="shared" si="6"/>
        <v>#VALUE!</v>
      </c>
      <c r="AJ7" s="127" t="str">
        <f t="shared" ref="AJ7:AJ21" si="9">AK6</f>
        <v/>
      </c>
      <c r="AK7" s="24" t="str">
        <f t="shared" ref="AK7:AK21" si="10">IFERROR(AI7+AJ7,"")</f>
        <v/>
      </c>
      <c r="AL7" s="128" t="str">
        <f t="shared" si="7"/>
        <v/>
      </c>
      <c r="AM7" s="129"/>
      <c r="AN7" s="129"/>
      <c r="AO7" s="130"/>
      <c r="AP7" s="120" t="s">
        <v>41</v>
      </c>
      <c r="AQ7" s="33"/>
      <c r="AR7" s="33"/>
      <c r="AS7" s="33"/>
      <c r="AT7" s="34"/>
      <c r="AU7" s="35"/>
      <c r="AV7" s="35"/>
      <c r="AW7" s="320"/>
      <c r="AX7" s="322"/>
      <c r="AY7" s="231">
        <f>Q6</f>
        <v>0</v>
      </c>
      <c r="AZ7" s="221"/>
      <c r="BA7" s="221"/>
      <c r="BB7" s="221"/>
      <c r="BC7" s="221"/>
      <c r="BD7" s="221"/>
      <c r="BE7" s="222"/>
      <c r="BF7" s="223"/>
      <c r="BG7" s="236"/>
      <c r="BH7" s="176" t="str">
        <f>AK6</f>
        <v/>
      </c>
      <c r="BI7" s="177"/>
      <c r="BJ7" s="178" t="str">
        <f>IF(BT7=0,"",(((BT7)/((BL7+BM7)/60))))</f>
        <v/>
      </c>
      <c r="BK7" s="179"/>
      <c r="BL7" s="180" t="str">
        <f>IF(BI6="","",MINUTE(BI7-BI6)+(HOUR(BI7-BI6)*60-(BM7+BO6+CB6)))</f>
        <v/>
      </c>
      <c r="BM7" s="181"/>
      <c r="BN7" s="388"/>
      <c r="BO7" s="325"/>
      <c r="BP7" s="346"/>
      <c r="BQ7" s="329"/>
      <c r="BR7" s="330"/>
      <c r="BS7" s="331"/>
      <c r="BT7" s="204">
        <f>Pending!BB2</f>
        <v>0</v>
      </c>
      <c r="BU7" s="368"/>
      <c r="BV7" s="306"/>
      <c r="BW7" s="306"/>
      <c r="BX7" s="306"/>
      <c r="BY7" s="306"/>
      <c r="BZ7" s="205"/>
      <c r="CA7" s="308"/>
      <c r="CB7" s="310"/>
      <c r="CC7" s="27"/>
      <c r="CD7" s="27"/>
      <c r="CE7" s="36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86"/>
      <c r="CX7" s="86"/>
      <c r="CY7" s="86"/>
      <c r="CZ7" s="86"/>
      <c r="DA7" s="86"/>
      <c r="DB7" s="86"/>
      <c r="DC7" s="86"/>
      <c r="DD7" s="86"/>
      <c r="DE7" s="86"/>
      <c r="DF7" s="86"/>
      <c r="DG7" s="86"/>
      <c r="DH7" s="86"/>
      <c r="DI7" s="86"/>
      <c r="DJ7" s="86"/>
      <c r="DK7" s="86"/>
      <c r="DL7" s="86"/>
      <c r="DM7" s="86"/>
      <c r="DN7" s="86"/>
      <c r="DO7" s="86"/>
      <c r="DP7" s="86"/>
      <c r="DQ7" s="86"/>
      <c r="DR7" s="86"/>
      <c r="DS7" s="86"/>
      <c r="DT7" s="86"/>
      <c r="DU7" s="86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18" t="str">
        <f>IFERROR(IF(bgr!CO3=0,"",bgr!CO3),"")</f>
        <v/>
      </c>
      <c r="EJ7" s="18" t="str">
        <f>IFERROR(IF(bgr!CP3=0,"",bgr!CP3),"")</f>
        <v/>
      </c>
      <c r="EK7" s="27"/>
    </row>
    <row r="8" spans="1:172" s="96" customFormat="1" ht="85.5" customHeight="1" thickBot="1">
      <c r="A8" s="37"/>
      <c r="B8" s="121" t="str">
        <f t="shared" si="8"/>
        <v/>
      </c>
      <c r="C8" s="53" t="str">
        <f>BN10</f>
        <v/>
      </c>
      <c r="D8" s="53">
        <f>BO10</f>
        <v>0</v>
      </c>
      <c r="E8" s="28"/>
      <c r="F8" s="109" t="s">
        <v>41</v>
      </c>
      <c r="G8" s="110" t="s">
        <v>41</v>
      </c>
      <c r="H8" s="111"/>
      <c r="I8" s="111"/>
      <c r="J8" s="111" t="s">
        <v>41</v>
      </c>
      <c r="K8" s="111" t="s">
        <v>41</v>
      </c>
      <c r="L8" s="111" t="s">
        <v>41</v>
      </c>
      <c r="M8" s="111" t="s">
        <v>41</v>
      </c>
      <c r="N8" s="111" t="s">
        <v>41</v>
      </c>
      <c r="O8" s="112" t="s">
        <v>41</v>
      </c>
      <c r="P8" s="29"/>
      <c r="Q8" s="30"/>
      <c r="R8" s="31"/>
      <c r="S8" s="32"/>
      <c r="T8" s="32"/>
      <c r="U8" s="32"/>
      <c r="V8" s="32"/>
      <c r="W8" s="32"/>
      <c r="X8" s="32"/>
      <c r="Y8" s="32"/>
      <c r="Z8" s="32"/>
      <c r="AA8" s="30"/>
      <c r="AB8" s="121">
        <f t="shared" si="0"/>
        <v>0</v>
      </c>
      <c r="AC8" s="122">
        <f t="shared" si="1"/>
        <v>0</v>
      </c>
      <c r="AD8" s="123" t="str">
        <f t="shared" si="2"/>
        <v/>
      </c>
      <c r="AE8" s="121"/>
      <c r="AF8" s="122" t="str">
        <f t="shared" si="3"/>
        <v/>
      </c>
      <c r="AG8" s="124" t="str">
        <f t="shared" si="4"/>
        <v/>
      </c>
      <c r="AH8" s="125" t="str">
        <f t="shared" si="5"/>
        <v/>
      </c>
      <c r="AI8" s="126" t="e">
        <f t="shared" si="6"/>
        <v>#VALUE!</v>
      </c>
      <c r="AJ8" s="127" t="str">
        <f t="shared" si="9"/>
        <v/>
      </c>
      <c r="AK8" s="24" t="str">
        <f t="shared" si="10"/>
        <v/>
      </c>
      <c r="AL8" s="128" t="str">
        <f t="shared" si="7"/>
        <v/>
      </c>
      <c r="AM8" s="129"/>
      <c r="AN8" s="129"/>
      <c r="AO8" s="130"/>
      <c r="AP8" s="120" t="s">
        <v>41</v>
      </c>
      <c r="AQ8" s="38" t="s">
        <v>82</v>
      </c>
      <c r="AR8" s="39" t="s">
        <v>83</v>
      </c>
      <c r="AS8" s="40" t="s">
        <v>84</v>
      </c>
      <c r="AT8" s="41" t="s">
        <v>85</v>
      </c>
      <c r="AU8" s="42"/>
      <c r="AV8" s="42"/>
      <c r="AW8" s="311">
        <v>2</v>
      </c>
      <c r="AX8" s="313" t="str">
        <f>CONCATENATE(F7, "-", G7,"-",L7,"x",M7,"x",N7,"x",O7)</f>
        <v>--xxx</v>
      </c>
      <c r="AY8" s="104">
        <f>P7</f>
        <v>0</v>
      </c>
      <c r="AZ8" s="224"/>
      <c r="BA8" s="224"/>
      <c r="BB8" s="224"/>
      <c r="BC8" s="224"/>
      <c r="BD8" s="224"/>
      <c r="BE8" s="224"/>
      <c r="BF8" s="225"/>
      <c r="BG8" s="43" t="str">
        <f>CONCATENATE(R7,"x",S7," - ",T7,"x",U7," - ",V7,"x",W7," - ",X7,"x",Y7," - ",Z7,"x",AA7)</f>
        <v>x - x - x - x - x</v>
      </c>
      <c r="BH8" s="182" t="str">
        <f>AJ7</f>
        <v/>
      </c>
      <c r="BI8" s="183"/>
      <c r="BJ8" s="184" t="str">
        <f>AL7</f>
        <v/>
      </c>
      <c r="BK8" s="185">
        <f>AE7</f>
        <v>0</v>
      </c>
      <c r="BL8" s="185" t="str">
        <f>AF7</f>
        <v/>
      </c>
      <c r="BM8" s="186" t="str">
        <f>AG7</f>
        <v/>
      </c>
      <c r="BN8" s="339" t="str">
        <f>IF(BI8="","",(BM9+BL9))</f>
        <v/>
      </c>
      <c r="BO8" s="317"/>
      <c r="BP8" s="358"/>
      <c r="BQ8" s="295"/>
      <c r="BR8" s="296"/>
      <c r="BS8" s="297"/>
      <c r="BT8" s="206">
        <f>AC7</f>
        <v>0</v>
      </c>
      <c r="BU8" s="301">
        <f>IFERROR(BT9*AP7/AO7,0)</f>
        <v>0</v>
      </c>
      <c r="BV8" s="303"/>
      <c r="BW8" s="303"/>
      <c r="BX8" s="303"/>
      <c r="BY8" s="303"/>
      <c r="BZ8" s="207"/>
      <c r="CA8" s="279"/>
      <c r="CB8" s="281"/>
      <c r="CC8" s="44"/>
      <c r="CD8" s="44"/>
      <c r="CE8" s="233" t="s">
        <v>86</v>
      </c>
      <c r="CF8" s="44"/>
      <c r="CG8" s="44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87"/>
      <c r="CX8" s="87"/>
      <c r="CY8" s="87"/>
      <c r="CZ8" s="87"/>
      <c r="DA8" s="87"/>
      <c r="DB8" s="87"/>
      <c r="DC8" s="87"/>
      <c r="DD8" s="87"/>
      <c r="DE8" s="87"/>
      <c r="DF8" s="87"/>
      <c r="DG8" s="87"/>
      <c r="DH8" s="87"/>
      <c r="DI8" s="87"/>
      <c r="DJ8" s="87"/>
      <c r="DK8" s="87"/>
      <c r="DL8" s="87"/>
      <c r="DM8" s="87"/>
      <c r="DN8" s="87"/>
      <c r="DO8" s="87"/>
      <c r="DP8" s="87"/>
      <c r="DQ8" s="87"/>
      <c r="DR8" s="87"/>
      <c r="DS8" s="87"/>
      <c r="DT8" s="87"/>
      <c r="DU8" s="8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18" t="str">
        <f>IFERROR(IF(bgr!CO4=0,"",bgr!CO4),"")</f>
        <v/>
      </c>
      <c r="EJ8" s="18" t="str">
        <f>IFERROR(IF(bgr!CP4=0,"",bgr!CP4),"")</f>
        <v/>
      </c>
      <c r="EK8" s="37"/>
    </row>
    <row r="9" spans="1:172" ht="85.5" customHeight="1">
      <c r="B9" s="121" t="str">
        <f t="shared" si="8"/>
        <v/>
      </c>
      <c r="C9" s="53" t="str">
        <f>BN12</f>
        <v/>
      </c>
      <c r="D9" s="53">
        <f>BO12</f>
        <v>0</v>
      </c>
      <c r="E9" s="28"/>
      <c r="F9" s="109" t="s">
        <v>41</v>
      </c>
      <c r="G9" s="110" t="s">
        <v>41</v>
      </c>
      <c r="H9" s="111"/>
      <c r="I9" s="111"/>
      <c r="J9" s="111" t="s">
        <v>41</v>
      </c>
      <c r="K9" s="111" t="s">
        <v>41</v>
      </c>
      <c r="L9" s="111" t="s">
        <v>41</v>
      </c>
      <c r="M9" s="111" t="s">
        <v>41</v>
      </c>
      <c r="N9" s="111" t="s">
        <v>41</v>
      </c>
      <c r="O9" s="112" t="s">
        <v>41</v>
      </c>
      <c r="P9" s="29"/>
      <c r="Q9" s="30"/>
      <c r="R9" s="31"/>
      <c r="S9" s="32"/>
      <c r="T9" s="32"/>
      <c r="U9" s="32"/>
      <c r="V9" s="32"/>
      <c r="W9" s="32"/>
      <c r="X9" s="32"/>
      <c r="Y9" s="32"/>
      <c r="Z9" s="32"/>
      <c r="AA9" s="30"/>
      <c r="AB9" s="121">
        <f t="shared" si="0"/>
        <v>0</v>
      </c>
      <c r="AC9" s="122">
        <f t="shared" si="1"/>
        <v>0</v>
      </c>
      <c r="AD9" s="123" t="str">
        <f t="shared" si="2"/>
        <v/>
      </c>
      <c r="AE9" s="121"/>
      <c r="AF9" s="122" t="str">
        <f t="shared" si="3"/>
        <v/>
      </c>
      <c r="AG9" s="124" t="str">
        <f t="shared" si="4"/>
        <v/>
      </c>
      <c r="AH9" s="125" t="str">
        <f t="shared" si="5"/>
        <v/>
      </c>
      <c r="AI9" s="126" t="e">
        <f t="shared" si="6"/>
        <v>#VALUE!</v>
      </c>
      <c r="AJ9" s="127" t="str">
        <f t="shared" si="9"/>
        <v/>
      </c>
      <c r="AK9" s="24" t="str">
        <f t="shared" si="10"/>
        <v/>
      </c>
      <c r="AL9" s="128" t="str">
        <f t="shared" si="7"/>
        <v/>
      </c>
      <c r="AM9" s="129"/>
      <c r="AN9" s="129"/>
      <c r="AO9" s="130"/>
      <c r="AP9" s="120" t="s">
        <v>41</v>
      </c>
      <c r="AQ9" s="140"/>
      <c r="AR9" s="141"/>
      <c r="AS9" s="142"/>
      <c r="AT9" s="143"/>
      <c r="AU9" s="45"/>
      <c r="AV9" s="45"/>
      <c r="AW9" s="337"/>
      <c r="AX9" s="338"/>
      <c r="AY9" s="232">
        <f>Q7</f>
        <v>0</v>
      </c>
      <c r="AZ9" s="226"/>
      <c r="BA9" s="226"/>
      <c r="BB9" s="226"/>
      <c r="BC9" s="226"/>
      <c r="BD9" s="226"/>
      <c r="BE9" s="227"/>
      <c r="BF9" s="223"/>
      <c r="BG9" s="237"/>
      <c r="BH9" s="187" t="str">
        <f>AK7</f>
        <v/>
      </c>
      <c r="BI9" s="188"/>
      <c r="BJ9" s="189" t="str">
        <f>IF(BT9=0,"",(((BT9)/((BL9+BM9)/60))))</f>
        <v/>
      </c>
      <c r="BK9" s="190"/>
      <c r="BL9" s="191" t="str">
        <f>IF(BI8="","",MINUTE(BI9-BI8)+(HOUR(BI9-BI8)*60-(BM9+BO8+CB8)))</f>
        <v/>
      </c>
      <c r="BM9" s="192"/>
      <c r="BN9" s="339"/>
      <c r="BO9" s="340"/>
      <c r="BP9" s="359"/>
      <c r="BQ9" s="333"/>
      <c r="BR9" s="334"/>
      <c r="BS9" s="335"/>
      <c r="BT9" s="208">
        <f>Pending!BB3</f>
        <v>0</v>
      </c>
      <c r="BU9" s="332"/>
      <c r="BV9" s="336"/>
      <c r="BW9" s="336"/>
      <c r="BX9" s="336"/>
      <c r="BY9" s="336"/>
      <c r="BZ9" s="209"/>
      <c r="CA9" s="341"/>
      <c r="CB9" s="282"/>
      <c r="CE9" s="46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47"/>
      <c r="DW9" s="47"/>
      <c r="DX9" s="47"/>
      <c r="DY9" s="47"/>
      <c r="DZ9" s="47"/>
      <c r="EA9" s="47"/>
      <c r="EB9" s="47"/>
      <c r="EC9" s="47"/>
      <c r="ED9" s="47"/>
      <c r="EE9" s="47"/>
      <c r="EF9" s="47"/>
      <c r="EG9" s="47"/>
      <c r="EH9" s="47"/>
      <c r="EI9" s="18" t="str">
        <f>IFERROR(IF(bgr!CO5=0,"",bgr!CO5),"")</f>
        <v/>
      </c>
      <c r="EJ9" s="18" t="str">
        <f>IFERROR(IF(bgr!CP5=0,"",bgr!CP5),"")</f>
        <v/>
      </c>
    </row>
    <row r="10" spans="1:172" ht="85.5" customHeight="1">
      <c r="B10" s="121" t="str">
        <f t="shared" si="8"/>
        <v/>
      </c>
      <c r="C10" s="53" t="str">
        <f>BN14</f>
        <v/>
      </c>
      <c r="D10" s="53">
        <f>BO14</f>
        <v>0</v>
      </c>
      <c r="E10" s="28"/>
      <c r="F10" s="109" t="s">
        <v>41</v>
      </c>
      <c r="G10" s="110" t="s">
        <v>41</v>
      </c>
      <c r="H10" s="111"/>
      <c r="I10" s="111"/>
      <c r="J10" s="111" t="s">
        <v>41</v>
      </c>
      <c r="K10" s="111" t="s">
        <v>41</v>
      </c>
      <c r="L10" s="111" t="s">
        <v>41</v>
      </c>
      <c r="M10" s="111" t="s">
        <v>41</v>
      </c>
      <c r="N10" s="111" t="s">
        <v>41</v>
      </c>
      <c r="O10" s="112" t="s">
        <v>41</v>
      </c>
      <c r="P10" s="29"/>
      <c r="Q10" s="30"/>
      <c r="R10" s="31"/>
      <c r="S10" s="32"/>
      <c r="T10" s="32"/>
      <c r="U10" s="32"/>
      <c r="V10" s="32"/>
      <c r="W10" s="32"/>
      <c r="X10" s="32"/>
      <c r="Y10" s="32"/>
      <c r="Z10" s="32"/>
      <c r="AA10" s="30"/>
      <c r="AB10" s="121">
        <f t="shared" si="0"/>
        <v>0</v>
      </c>
      <c r="AC10" s="122">
        <f t="shared" si="1"/>
        <v>0</v>
      </c>
      <c r="AD10" s="123" t="str">
        <f t="shared" si="2"/>
        <v/>
      </c>
      <c r="AE10" s="121"/>
      <c r="AF10" s="122" t="str">
        <f t="shared" si="3"/>
        <v/>
      </c>
      <c r="AG10" s="124" t="str">
        <f t="shared" si="4"/>
        <v/>
      </c>
      <c r="AH10" s="125" t="str">
        <f t="shared" si="5"/>
        <v/>
      </c>
      <c r="AI10" s="126" t="e">
        <f t="shared" si="6"/>
        <v>#VALUE!</v>
      </c>
      <c r="AJ10" s="127" t="str">
        <f t="shared" si="9"/>
        <v/>
      </c>
      <c r="AK10" s="24" t="str">
        <f t="shared" si="10"/>
        <v/>
      </c>
      <c r="AL10" s="128" t="str">
        <f t="shared" si="7"/>
        <v/>
      </c>
      <c r="AM10" s="129"/>
      <c r="AN10" s="129"/>
      <c r="AO10" s="130"/>
      <c r="AP10" s="120" t="s">
        <v>41</v>
      </c>
      <c r="AQ10" s="140"/>
      <c r="AR10" s="141"/>
      <c r="AS10" s="142"/>
      <c r="AT10" s="143"/>
      <c r="AU10" s="45"/>
      <c r="AV10" s="45"/>
      <c r="AW10" s="319">
        <v>3</v>
      </c>
      <c r="AX10" s="321" t="str">
        <f>CONCATENATE(F8, "-", G8,"-",L8,"x",M8,"x",N8,"x",O8)</f>
        <v>--xxx</v>
      </c>
      <c r="AY10" s="105">
        <f>P8</f>
        <v>0</v>
      </c>
      <c r="AZ10" s="228"/>
      <c r="BA10" s="228"/>
      <c r="BB10" s="228"/>
      <c r="BC10" s="228"/>
      <c r="BD10" s="228"/>
      <c r="BE10" s="228"/>
      <c r="BF10" s="225"/>
      <c r="BG10" s="48" t="str">
        <f>CONCATENATE(R8,"x",S8," - ",T8,"x",U8," - ",V8,"x",W8," - ",X8,"x",Y8," - ",Z8,"x",AA8)</f>
        <v>x - x - x - x - x</v>
      </c>
      <c r="BH10" s="193" t="str">
        <f>AJ8</f>
        <v/>
      </c>
      <c r="BI10" s="194"/>
      <c r="BJ10" s="195" t="str">
        <f>AL8</f>
        <v/>
      </c>
      <c r="BK10" s="196">
        <f>AE8</f>
        <v>0</v>
      </c>
      <c r="BL10" s="196" t="str">
        <f>AF8</f>
        <v/>
      </c>
      <c r="BM10" s="197" t="str">
        <f>AG8</f>
        <v/>
      </c>
      <c r="BN10" s="323" t="str">
        <f>IF(BI10="","",(BM11+BL11))</f>
        <v/>
      </c>
      <c r="BO10" s="324"/>
      <c r="BP10" s="345"/>
      <c r="BQ10" s="326"/>
      <c r="BR10" s="327"/>
      <c r="BS10" s="328"/>
      <c r="BT10" s="210">
        <f>AC8</f>
        <v>0</v>
      </c>
      <c r="BU10" s="301">
        <f>IFERROR(BT11*AP8/AO8,0)</f>
        <v>0</v>
      </c>
      <c r="BV10" s="305"/>
      <c r="BW10" s="305"/>
      <c r="BX10" s="305"/>
      <c r="BY10" s="305"/>
      <c r="BZ10" s="211"/>
      <c r="CA10" s="307"/>
      <c r="CB10" s="309"/>
      <c r="CE10" s="233" t="s">
        <v>88</v>
      </c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88"/>
      <c r="CX10" s="88"/>
      <c r="CY10" s="88"/>
      <c r="CZ10" s="88"/>
      <c r="DA10" s="88"/>
      <c r="DB10" s="88"/>
      <c r="DC10" s="88"/>
      <c r="DD10" s="88"/>
      <c r="DE10" s="88"/>
      <c r="DF10" s="88"/>
      <c r="DG10" s="88"/>
      <c r="DH10" s="88"/>
      <c r="DI10" s="88"/>
      <c r="DJ10" s="88"/>
      <c r="DK10" s="88"/>
      <c r="DL10" s="88"/>
      <c r="DM10" s="88"/>
      <c r="DN10" s="88"/>
      <c r="DO10" s="88"/>
      <c r="DP10" s="88"/>
      <c r="DQ10" s="88"/>
      <c r="DR10" s="88"/>
      <c r="DS10" s="88"/>
      <c r="DT10" s="88"/>
      <c r="DU10" s="88"/>
      <c r="DV10" s="47"/>
      <c r="DW10" s="47"/>
      <c r="DX10" s="47"/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18" t="str">
        <f>IFERROR(IF(bgr!CO6=0,"",bgr!CO6),"")</f>
        <v/>
      </c>
      <c r="EJ10" s="18" t="str">
        <f>IFERROR(IF(bgr!CP6=0,"",bgr!CP6),"")</f>
        <v/>
      </c>
      <c r="EM10" s="166"/>
      <c r="EN10" s="167"/>
    </row>
    <row r="11" spans="1:172" ht="85.5" customHeight="1">
      <c r="B11" s="121" t="str">
        <f t="shared" si="8"/>
        <v/>
      </c>
      <c r="C11" s="53" t="str">
        <f>BN16</f>
        <v/>
      </c>
      <c r="D11" s="53">
        <f>BO16</f>
        <v>0</v>
      </c>
      <c r="E11" s="28"/>
      <c r="F11" s="109" t="s">
        <v>41</v>
      </c>
      <c r="G11" s="110" t="s">
        <v>41</v>
      </c>
      <c r="H11" s="111"/>
      <c r="I11" s="111"/>
      <c r="J11" s="111" t="s">
        <v>41</v>
      </c>
      <c r="K11" s="111" t="s">
        <v>41</v>
      </c>
      <c r="L11" s="111" t="s">
        <v>41</v>
      </c>
      <c r="M11" s="111" t="s">
        <v>41</v>
      </c>
      <c r="N11" s="111" t="s">
        <v>41</v>
      </c>
      <c r="O11" s="112" t="s">
        <v>41</v>
      </c>
      <c r="P11" s="29"/>
      <c r="Q11" s="30"/>
      <c r="R11" s="31"/>
      <c r="S11" s="32"/>
      <c r="T11" s="32"/>
      <c r="U11" s="32"/>
      <c r="V11" s="32"/>
      <c r="W11" s="32"/>
      <c r="X11" s="32"/>
      <c r="Y11" s="32"/>
      <c r="Z11" s="32"/>
      <c r="AA11" s="30"/>
      <c r="AB11" s="121">
        <f t="shared" si="0"/>
        <v>0</v>
      </c>
      <c r="AC11" s="122">
        <f t="shared" si="1"/>
        <v>0</v>
      </c>
      <c r="AD11" s="123" t="str">
        <f t="shared" si="2"/>
        <v/>
      </c>
      <c r="AE11" s="121"/>
      <c r="AF11" s="122" t="str">
        <f t="shared" si="3"/>
        <v/>
      </c>
      <c r="AG11" s="124" t="str">
        <f t="shared" si="4"/>
        <v/>
      </c>
      <c r="AH11" s="125" t="str">
        <f t="shared" si="5"/>
        <v/>
      </c>
      <c r="AI11" s="126" t="e">
        <f t="shared" si="6"/>
        <v>#VALUE!</v>
      </c>
      <c r="AJ11" s="127" t="str">
        <f t="shared" si="9"/>
        <v/>
      </c>
      <c r="AK11" s="24" t="str">
        <f t="shared" si="10"/>
        <v/>
      </c>
      <c r="AL11" s="128" t="str">
        <f t="shared" si="7"/>
        <v/>
      </c>
      <c r="AM11" s="129"/>
      <c r="AN11" s="129"/>
      <c r="AO11" s="130"/>
      <c r="AP11" s="120" t="s">
        <v>41</v>
      </c>
      <c r="AQ11" s="140"/>
      <c r="AR11" s="141"/>
      <c r="AS11" s="142"/>
      <c r="AT11" s="143"/>
      <c r="AU11" s="45"/>
      <c r="AV11" s="45"/>
      <c r="AW11" s="320"/>
      <c r="AX11" s="322"/>
      <c r="AY11" s="231">
        <f>Q8</f>
        <v>0</v>
      </c>
      <c r="AZ11" s="229"/>
      <c r="BA11" s="229"/>
      <c r="BB11" s="229"/>
      <c r="BC11" s="229"/>
      <c r="BD11" s="229"/>
      <c r="BE11" s="230"/>
      <c r="BF11" s="223"/>
      <c r="BG11" s="237"/>
      <c r="BH11" s="198" t="str">
        <f>AK8</f>
        <v/>
      </c>
      <c r="BI11" s="199"/>
      <c r="BJ11" s="178" t="str">
        <f>IF(BT11=0,"",(((BT11)/((BL11+BM11)/60))))</f>
        <v/>
      </c>
      <c r="BK11" s="200"/>
      <c r="BL11" s="180" t="str">
        <f>IF(BI10="","",MINUTE(BI11-BI10)+(HOUR(BI11-BI10)*60-(BM11+BO10+CB10)))</f>
        <v/>
      </c>
      <c r="BM11" s="201"/>
      <c r="BN11" s="323"/>
      <c r="BO11" s="325"/>
      <c r="BP11" s="346"/>
      <c r="BQ11" s="329"/>
      <c r="BR11" s="330"/>
      <c r="BS11" s="331"/>
      <c r="BT11" s="212">
        <f>Pending!BB4</f>
        <v>0</v>
      </c>
      <c r="BU11" s="332"/>
      <c r="BV11" s="306"/>
      <c r="BW11" s="306"/>
      <c r="BX11" s="306"/>
      <c r="BY11" s="306"/>
      <c r="BZ11" s="205"/>
      <c r="CA11" s="308"/>
      <c r="CB11" s="310"/>
      <c r="CE11" s="49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88"/>
      <c r="CX11" s="88"/>
      <c r="CY11" s="88"/>
      <c r="CZ11" s="88"/>
      <c r="DA11" s="88"/>
      <c r="DB11" s="88"/>
      <c r="DC11" s="88"/>
      <c r="DD11" s="88"/>
      <c r="DE11" s="88"/>
      <c r="DF11" s="88"/>
      <c r="DG11" s="88"/>
      <c r="DH11" s="88"/>
      <c r="DI11" s="88"/>
      <c r="DJ11" s="88"/>
      <c r="DK11" s="88"/>
      <c r="DL11" s="88"/>
      <c r="DM11" s="88"/>
      <c r="DN11" s="88"/>
      <c r="DO11" s="88"/>
      <c r="DP11" s="88"/>
      <c r="DQ11" s="88"/>
      <c r="DR11" s="88"/>
      <c r="DS11" s="88"/>
      <c r="DT11" s="88"/>
      <c r="DU11" s="88"/>
      <c r="DV11" s="47"/>
      <c r="DW11" s="47"/>
      <c r="DX11" s="47"/>
      <c r="DY11" s="47"/>
      <c r="DZ11" s="47"/>
      <c r="EA11" s="47"/>
      <c r="EB11" s="47"/>
      <c r="EC11" s="47"/>
      <c r="ED11" s="47"/>
      <c r="EE11" s="47"/>
      <c r="EF11" s="47"/>
      <c r="EG11" s="47"/>
      <c r="EH11" s="47"/>
      <c r="EI11" s="18" t="str">
        <f>IFERROR(IF(bgr!CO7=0,"",bgr!CO7),"")</f>
        <v/>
      </c>
      <c r="EJ11" s="18" t="str">
        <f>IFERROR(IF(bgr!CP7=0,"",bgr!CP7),"")</f>
        <v/>
      </c>
      <c r="EK11" s="50"/>
    </row>
    <row r="12" spans="1:172" ht="85.5" customHeight="1">
      <c r="B12" s="121" t="str">
        <f t="shared" si="8"/>
        <v/>
      </c>
      <c r="C12" s="53" t="str">
        <f>BN18</f>
        <v/>
      </c>
      <c r="D12" s="53">
        <f>BO18</f>
        <v>0</v>
      </c>
      <c r="E12" s="28"/>
      <c r="F12" s="109" t="s">
        <v>41</v>
      </c>
      <c r="G12" s="110" t="s">
        <v>41</v>
      </c>
      <c r="H12" s="111"/>
      <c r="I12" s="111"/>
      <c r="J12" s="111" t="s">
        <v>41</v>
      </c>
      <c r="K12" s="111" t="s">
        <v>41</v>
      </c>
      <c r="L12" s="111" t="s">
        <v>41</v>
      </c>
      <c r="M12" s="111" t="s">
        <v>41</v>
      </c>
      <c r="N12" s="111" t="s">
        <v>41</v>
      </c>
      <c r="O12" s="112" t="s">
        <v>41</v>
      </c>
      <c r="P12" s="29"/>
      <c r="Q12" s="30"/>
      <c r="R12" s="31"/>
      <c r="S12" s="32"/>
      <c r="T12" s="32"/>
      <c r="U12" s="32"/>
      <c r="V12" s="32"/>
      <c r="W12" s="32"/>
      <c r="X12" s="32"/>
      <c r="Y12" s="32"/>
      <c r="Z12" s="32"/>
      <c r="AA12" s="30"/>
      <c r="AB12" s="121">
        <f t="shared" si="0"/>
        <v>0</v>
      </c>
      <c r="AC12" s="122">
        <f t="shared" si="1"/>
        <v>0</v>
      </c>
      <c r="AD12" s="123" t="str">
        <f t="shared" si="2"/>
        <v/>
      </c>
      <c r="AE12" s="121"/>
      <c r="AF12" s="122" t="str">
        <f t="shared" si="3"/>
        <v/>
      </c>
      <c r="AG12" s="124" t="str">
        <f t="shared" si="4"/>
        <v/>
      </c>
      <c r="AH12" s="125" t="str">
        <f t="shared" si="5"/>
        <v/>
      </c>
      <c r="AI12" s="126" t="e">
        <f t="shared" si="6"/>
        <v>#VALUE!</v>
      </c>
      <c r="AJ12" s="127" t="str">
        <f t="shared" si="9"/>
        <v/>
      </c>
      <c r="AK12" s="24" t="str">
        <f t="shared" si="10"/>
        <v/>
      </c>
      <c r="AL12" s="128" t="str">
        <f t="shared" si="7"/>
        <v/>
      </c>
      <c r="AM12" s="129"/>
      <c r="AN12" s="129"/>
      <c r="AO12" s="130"/>
      <c r="AP12" s="120" t="s">
        <v>41</v>
      </c>
      <c r="AQ12" s="140"/>
      <c r="AR12" s="141"/>
      <c r="AS12" s="142"/>
      <c r="AT12" s="143"/>
      <c r="AU12" s="45"/>
      <c r="AV12" s="45"/>
      <c r="AW12" s="311">
        <v>4</v>
      </c>
      <c r="AX12" s="313" t="str">
        <f>CONCATENATE(F9, "-", G9,"-",L9,"x",M9,"x",N9,"x",O9)</f>
        <v>--xxx</v>
      </c>
      <c r="AY12" s="104">
        <f>P9</f>
        <v>0</v>
      </c>
      <c r="AZ12" s="224"/>
      <c r="BA12" s="224"/>
      <c r="BB12" s="224"/>
      <c r="BC12" s="224"/>
      <c r="BD12" s="224"/>
      <c r="BE12" s="224"/>
      <c r="BF12" s="225"/>
      <c r="BG12" s="43" t="str">
        <f>CONCATENATE(R9,"x",S9," - ",T9,"x",U9," - ",V9,"x",W9," - ",X9,"x",Y9," - ",Z9,"x",AA9)</f>
        <v>x - x - x - x - x</v>
      </c>
      <c r="BH12" s="182" t="str">
        <f>AJ9</f>
        <v/>
      </c>
      <c r="BI12" s="183"/>
      <c r="BJ12" s="184" t="str">
        <f>AL9</f>
        <v/>
      </c>
      <c r="BK12" s="185">
        <f>AE9</f>
        <v>0</v>
      </c>
      <c r="BL12" s="185" t="str">
        <f>AF9</f>
        <v/>
      </c>
      <c r="BM12" s="186" t="str">
        <f>AG9</f>
        <v/>
      </c>
      <c r="BN12" s="339" t="str">
        <f>IF(BI12="","",(BM13+BL13))</f>
        <v/>
      </c>
      <c r="BO12" s="317"/>
      <c r="BP12" s="358"/>
      <c r="BQ12" s="295"/>
      <c r="BR12" s="296"/>
      <c r="BS12" s="297"/>
      <c r="BT12" s="206">
        <f>AC9</f>
        <v>0</v>
      </c>
      <c r="BU12" s="301">
        <f>IFERROR(BT13*AP9/AO9,0)</f>
        <v>0</v>
      </c>
      <c r="BV12" s="303"/>
      <c r="BW12" s="303"/>
      <c r="BX12" s="303"/>
      <c r="BY12" s="303"/>
      <c r="BZ12" s="207"/>
      <c r="CA12" s="279"/>
      <c r="CB12" s="281"/>
      <c r="CE12" s="233" t="s">
        <v>89</v>
      </c>
      <c r="EI12" s="18" t="str">
        <f>IFERROR(IF(bgr!CO8=0,"",bgr!CO8),"")</f>
        <v/>
      </c>
      <c r="EJ12" s="18" t="str">
        <f>IFERROR(IF(bgr!CP8=0,"",bgr!CP8),"")</f>
        <v/>
      </c>
    </row>
    <row r="13" spans="1:172" ht="85.5" customHeight="1">
      <c r="B13" s="121" t="str">
        <f t="shared" si="8"/>
        <v/>
      </c>
      <c r="C13" s="53" t="str">
        <f>BN20</f>
        <v/>
      </c>
      <c r="D13" s="53">
        <f>BO20</f>
        <v>0</v>
      </c>
      <c r="E13" s="28"/>
      <c r="F13" s="109" t="s">
        <v>41</v>
      </c>
      <c r="G13" s="110" t="s">
        <v>41</v>
      </c>
      <c r="H13" s="111"/>
      <c r="I13" s="111"/>
      <c r="J13" s="111" t="s">
        <v>41</v>
      </c>
      <c r="K13" s="111" t="s">
        <v>41</v>
      </c>
      <c r="L13" s="111" t="s">
        <v>41</v>
      </c>
      <c r="M13" s="111" t="s">
        <v>41</v>
      </c>
      <c r="N13" s="111" t="s">
        <v>41</v>
      </c>
      <c r="O13" s="112" t="s">
        <v>41</v>
      </c>
      <c r="P13" s="29"/>
      <c r="Q13" s="30"/>
      <c r="R13" s="31"/>
      <c r="S13" s="32"/>
      <c r="T13" s="32"/>
      <c r="U13" s="32"/>
      <c r="V13" s="32"/>
      <c r="W13" s="32"/>
      <c r="X13" s="32"/>
      <c r="Y13" s="32"/>
      <c r="Z13" s="32"/>
      <c r="AA13" s="30"/>
      <c r="AB13" s="121">
        <f t="shared" si="0"/>
        <v>0</v>
      </c>
      <c r="AC13" s="122">
        <f t="shared" si="1"/>
        <v>0</v>
      </c>
      <c r="AD13" s="123" t="str">
        <f t="shared" si="2"/>
        <v/>
      </c>
      <c r="AE13" s="121"/>
      <c r="AF13" s="122" t="str">
        <f t="shared" si="3"/>
        <v/>
      </c>
      <c r="AG13" s="124" t="str">
        <f t="shared" si="4"/>
        <v/>
      </c>
      <c r="AH13" s="125" t="str">
        <f t="shared" si="5"/>
        <v/>
      </c>
      <c r="AI13" s="126" t="e">
        <f t="shared" si="6"/>
        <v>#VALUE!</v>
      </c>
      <c r="AJ13" s="127" t="str">
        <f t="shared" si="9"/>
        <v/>
      </c>
      <c r="AK13" s="24" t="str">
        <f t="shared" si="10"/>
        <v/>
      </c>
      <c r="AL13" s="128" t="str">
        <f t="shared" si="7"/>
        <v/>
      </c>
      <c r="AM13" s="129"/>
      <c r="AN13" s="129"/>
      <c r="AO13" s="130"/>
      <c r="AP13" s="120" t="s">
        <v>41</v>
      </c>
      <c r="AQ13" s="140"/>
      <c r="AR13" s="141"/>
      <c r="AS13" s="142"/>
      <c r="AT13" s="143"/>
      <c r="AU13" s="45"/>
      <c r="AV13" s="45"/>
      <c r="AW13" s="337"/>
      <c r="AX13" s="338"/>
      <c r="AY13" s="232">
        <f>Q9</f>
        <v>0</v>
      </c>
      <c r="AZ13" s="226"/>
      <c r="BA13" s="226"/>
      <c r="BB13" s="226"/>
      <c r="BC13" s="226"/>
      <c r="BD13" s="226"/>
      <c r="BE13" s="227"/>
      <c r="BF13" s="223"/>
      <c r="BG13" s="237"/>
      <c r="BH13" s="187" t="str">
        <f>AK9</f>
        <v/>
      </c>
      <c r="BI13" s="188"/>
      <c r="BJ13" s="189" t="str">
        <f>IF(BT13=0,"",(((BT13)/((BL13+BM13)/60))))</f>
        <v/>
      </c>
      <c r="BK13" s="190"/>
      <c r="BL13" s="191" t="str">
        <f>IF(BI12="","",MINUTE(BI13-BI12)+(HOUR(BI13-BI12)*60-(BM13+BO12+CB12)))</f>
        <v/>
      </c>
      <c r="BM13" s="192"/>
      <c r="BN13" s="339"/>
      <c r="BO13" s="340"/>
      <c r="BP13" s="359"/>
      <c r="BQ13" s="333"/>
      <c r="BR13" s="334"/>
      <c r="BS13" s="335"/>
      <c r="BT13" s="208">
        <f>Pending!BB5</f>
        <v>0</v>
      </c>
      <c r="BU13" s="332"/>
      <c r="BV13" s="336"/>
      <c r="BW13" s="336"/>
      <c r="BX13" s="336"/>
      <c r="BY13" s="336"/>
      <c r="BZ13" s="209"/>
      <c r="CA13" s="341"/>
      <c r="CB13" s="282"/>
      <c r="CE13" s="51"/>
      <c r="EI13" s="18" t="str">
        <f>IFERROR(IF(bgr!CO9=0,"",bgr!CO9),"")</f>
        <v/>
      </c>
      <c r="EJ13" s="18" t="str">
        <f>IFERROR(IF(bgr!CP9=0,"",bgr!CP9),"")</f>
        <v/>
      </c>
    </row>
    <row r="14" spans="1:172" ht="85.5" customHeight="1">
      <c r="B14" s="121" t="str">
        <f t="shared" si="8"/>
        <v/>
      </c>
      <c r="C14" s="53" t="str">
        <f>BN22</f>
        <v/>
      </c>
      <c r="D14" s="53">
        <f>BO22</f>
        <v>0</v>
      </c>
      <c r="E14" s="28"/>
      <c r="F14" s="109" t="s">
        <v>41</v>
      </c>
      <c r="G14" s="110" t="s">
        <v>41</v>
      </c>
      <c r="H14" s="111"/>
      <c r="I14" s="111"/>
      <c r="J14" s="111" t="s">
        <v>41</v>
      </c>
      <c r="K14" s="111" t="s">
        <v>41</v>
      </c>
      <c r="L14" s="111" t="s">
        <v>41</v>
      </c>
      <c r="M14" s="111" t="s">
        <v>41</v>
      </c>
      <c r="N14" s="111" t="s">
        <v>41</v>
      </c>
      <c r="O14" s="112" t="s">
        <v>41</v>
      </c>
      <c r="P14" s="29"/>
      <c r="Q14" s="30"/>
      <c r="R14" s="31"/>
      <c r="S14" s="32"/>
      <c r="T14" s="32"/>
      <c r="U14" s="32"/>
      <c r="V14" s="32"/>
      <c r="W14" s="32"/>
      <c r="X14" s="28"/>
      <c r="Y14" s="32"/>
      <c r="Z14" s="32"/>
      <c r="AA14" s="30"/>
      <c r="AB14" s="121">
        <f t="shared" si="0"/>
        <v>0</v>
      </c>
      <c r="AC14" s="122">
        <f t="shared" si="1"/>
        <v>0</v>
      </c>
      <c r="AD14" s="123" t="str">
        <f t="shared" si="2"/>
        <v/>
      </c>
      <c r="AE14" s="121"/>
      <c r="AF14" s="122" t="str">
        <f t="shared" si="3"/>
        <v/>
      </c>
      <c r="AG14" s="124" t="str">
        <f t="shared" si="4"/>
        <v/>
      </c>
      <c r="AH14" s="125" t="str">
        <f t="shared" si="5"/>
        <v/>
      </c>
      <c r="AI14" s="126" t="e">
        <f t="shared" si="6"/>
        <v>#VALUE!</v>
      </c>
      <c r="AJ14" s="127" t="str">
        <f t="shared" si="9"/>
        <v/>
      </c>
      <c r="AK14" s="24" t="str">
        <f t="shared" si="10"/>
        <v/>
      </c>
      <c r="AL14" s="128" t="str">
        <f t="shared" si="7"/>
        <v/>
      </c>
      <c r="AM14" s="129"/>
      <c r="AN14" s="129"/>
      <c r="AO14" s="130"/>
      <c r="AP14" s="120" t="s">
        <v>41</v>
      </c>
      <c r="AQ14" s="140"/>
      <c r="AR14" s="141"/>
      <c r="AS14" s="142"/>
      <c r="AT14" s="143"/>
      <c r="AU14" s="45"/>
      <c r="AV14" s="45"/>
      <c r="AW14" s="319">
        <v>5</v>
      </c>
      <c r="AX14" s="321" t="str">
        <f>CONCATENATE(F10, "-", G10,"-",L10,"x",M10,"x",N10,"x",O10)</f>
        <v>--xxx</v>
      </c>
      <c r="AY14" s="105">
        <f>P10</f>
        <v>0</v>
      </c>
      <c r="AZ14" s="228"/>
      <c r="BA14" s="228"/>
      <c r="BB14" s="228"/>
      <c r="BC14" s="228"/>
      <c r="BD14" s="228"/>
      <c r="BE14" s="228"/>
      <c r="BF14" s="225"/>
      <c r="BG14" s="48" t="str">
        <f>CONCATENATE(R10,"x",S10," - ",T10,"x",U10," - ",V10,"x",W10," - ",X10,"x",Y10," - ",Z10,"x",AA10)</f>
        <v>x - x - x - x - x</v>
      </c>
      <c r="BH14" s="193" t="str">
        <f>AJ10</f>
        <v/>
      </c>
      <c r="BI14" s="194"/>
      <c r="BJ14" s="195" t="str">
        <f>AL10</f>
        <v/>
      </c>
      <c r="BK14" s="196">
        <f>AE10</f>
        <v>0</v>
      </c>
      <c r="BL14" s="196" t="str">
        <f>AF10</f>
        <v/>
      </c>
      <c r="BM14" s="197" t="str">
        <f>AG10</f>
        <v/>
      </c>
      <c r="BN14" s="323" t="str">
        <f>IF(BI14="","",(BM15+BL15))</f>
        <v/>
      </c>
      <c r="BO14" s="324"/>
      <c r="BP14" s="345"/>
      <c r="BQ14" s="326"/>
      <c r="BR14" s="327"/>
      <c r="BS14" s="328"/>
      <c r="BT14" s="210">
        <f>AC10</f>
        <v>0</v>
      </c>
      <c r="BU14" s="301">
        <f>IFERROR(BT15*AP10/AO10,0)</f>
        <v>0</v>
      </c>
      <c r="BV14" s="305"/>
      <c r="BW14" s="305"/>
      <c r="BX14" s="305"/>
      <c r="BY14" s="305"/>
      <c r="BZ14" s="211"/>
      <c r="CA14" s="307"/>
      <c r="CB14" s="309"/>
      <c r="CE14" s="233" t="s">
        <v>90</v>
      </c>
      <c r="EI14" s="18" t="str">
        <f>IFERROR(IF(bgr!CO10=0,"",bgr!CO10),"")</f>
        <v/>
      </c>
      <c r="EJ14" s="18" t="str">
        <f>IFERROR(IF(bgr!CP10=0,"",bgr!CP10),"")</f>
        <v/>
      </c>
    </row>
    <row r="15" spans="1:172" ht="85.5" customHeight="1">
      <c r="B15" s="121" t="str">
        <f t="shared" si="8"/>
        <v/>
      </c>
      <c r="C15" s="53" t="str">
        <f>BN24</f>
        <v/>
      </c>
      <c r="D15" s="53">
        <f>BO24</f>
        <v>0</v>
      </c>
      <c r="E15" s="28"/>
      <c r="F15" s="109" t="s">
        <v>41</v>
      </c>
      <c r="G15" s="110" t="s">
        <v>41</v>
      </c>
      <c r="H15" s="111"/>
      <c r="I15" s="111"/>
      <c r="J15" s="111" t="s">
        <v>41</v>
      </c>
      <c r="K15" s="111" t="s">
        <v>41</v>
      </c>
      <c r="L15" s="111" t="s">
        <v>41</v>
      </c>
      <c r="M15" s="111" t="s">
        <v>41</v>
      </c>
      <c r="N15" s="111" t="s">
        <v>41</v>
      </c>
      <c r="O15" s="112" t="s">
        <v>41</v>
      </c>
      <c r="P15" s="29"/>
      <c r="Q15" s="30"/>
      <c r="R15" s="31"/>
      <c r="S15" s="32"/>
      <c r="T15" s="32"/>
      <c r="U15" s="32"/>
      <c r="V15" s="32"/>
      <c r="W15" s="32"/>
      <c r="X15" s="32"/>
      <c r="Y15" s="32"/>
      <c r="Z15" s="32"/>
      <c r="AA15" s="30"/>
      <c r="AB15" s="121">
        <f t="shared" si="0"/>
        <v>0</v>
      </c>
      <c r="AC15" s="122">
        <f t="shared" si="1"/>
        <v>0</v>
      </c>
      <c r="AD15" s="123" t="str">
        <f t="shared" si="2"/>
        <v/>
      </c>
      <c r="AE15" s="121"/>
      <c r="AF15" s="122" t="str">
        <f t="shared" si="3"/>
        <v/>
      </c>
      <c r="AG15" s="124" t="str">
        <f t="shared" si="4"/>
        <v/>
      </c>
      <c r="AH15" s="125" t="str">
        <f t="shared" si="5"/>
        <v/>
      </c>
      <c r="AI15" s="126" t="e">
        <f t="shared" si="6"/>
        <v>#VALUE!</v>
      </c>
      <c r="AJ15" s="127" t="str">
        <f t="shared" si="9"/>
        <v/>
      </c>
      <c r="AK15" s="24" t="str">
        <f t="shared" si="10"/>
        <v/>
      </c>
      <c r="AL15" s="128" t="str">
        <f t="shared" si="7"/>
        <v/>
      </c>
      <c r="AM15" s="129"/>
      <c r="AN15" s="129"/>
      <c r="AO15" s="130"/>
      <c r="AP15" s="120" t="s">
        <v>41</v>
      </c>
      <c r="AQ15" s="140"/>
      <c r="AR15" s="141"/>
      <c r="AS15" s="142"/>
      <c r="AT15" s="143"/>
      <c r="AU15" s="45"/>
      <c r="AV15" s="45"/>
      <c r="AW15" s="320"/>
      <c r="AX15" s="322"/>
      <c r="AY15" s="231">
        <f>Q10</f>
        <v>0</v>
      </c>
      <c r="AZ15" s="221"/>
      <c r="BA15" s="221"/>
      <c r="BB15" s="221"/>
      <c r="BC15" s="221"/>
      <c r="BD15" s="221"/>
      <c r="BE15" s="222"/>
      <c r="BF15" s="223"/>
      <c r="BG15" s="237"/>
      <c r="BH15" s="176" t="str">
        <f>AK10</f>
        <v/>
      </c>
      <c r="BI15" s="177"/>
      <c r="BJ15" s="178" t="str">
        <f>IF(BT15=0,"",(((BT15)/((BL15+BM15)/60))))</f>
        <v/>
      </c>
      <c r="BK15" s="179"/>
      <c r="BL15" s="180" t="str">
        <f>IF(BI14="","",MINUTE(BI15-BI14)+(HOUR(BI15-BI14)*60-(BM15+BO14+CB14)))</f>
        <v/>
      </c>
      <c r="BM15" s="181"/>
      <c r="BN15" s="323"/>
      <c r="BO15" s="325"/>
      <c r="BP15" s="346"/>
      <c r="BQ15" s="329"/>
      <c r="BR15" s="330"/>
      <c r="BS15" s="331"/>
      <c r="BT15" s="204">
        <f>Pending!BB6</f>
        <v>0</v>
      </c>
      <c r="BU15" s="332"/>
      <c r="BV15" s="306"/>
      <c r="BW15" s="306"/>
      <c r="BX15" s="306"/>
      <c r="BY15" s="306"/>
      <c r="BZ15" s="205"/>
      <c r="CA15" s="308"/>
      <c r="CB15" s="310"/>
      <c r="CE15" s="51"/>
      <c r="EI15" s="18" t="str">
        <f>IFERROR(IF(bgr!CO11=0,"",bgr!CO11),"")</f>
        <v/>
      </c>
      <c r="EJ15" s="18" t="str">
        <f>IFERROR(IF(bgr!CP11=0,"",bgr!CP11),"")</f>
        <v/>
      </c>
    </row>
    <row r="16" spans="1:172" ht="85.5" customHeight="1">
      <c r="B16" s="121" t="str">
        <f t="shared" si="8"/>
        <v/>
      </c>
      <c r="C16" s="53" t="str">
        <f>BN26</f>
        <v/>
      </c>
      <c r="D16" s="53">
        <f>BO26</f>
        <v>0</v>
      </c>
      <c r="E16" s="28"/>
      <c r="F16" s="109" t="s">
        <v>41</v>
      </c>
      <c r="G16" s="110" t="s">
        <v>41</v>
      </c>
      <c r="H16" s="111"/>
      <c r="I16" s="111"/>
      <c r="J16" s="111" t="s">
        <v>41</v>
      </c>
      <c r="K16" s="111" t="s">
        <v>41</v>
      </c>
      <c r="L16" s="111" t="s">
        <v>41</v>
      </c>
      <c r="M16" s="111" t="s">
        <v>41</v>
      </c>
      <c r="N16" s="111" t="s">
        <v>41</v>
      </c>
      <c r="O16" s="112" t="s">
        <v>41</v>
      </c>
      <c r="P16" s="29"/>
      <c r="Q16" s="30"/>
      <c r="R16" s="31"/>
      <c r="S16" s="32"/>
      <c r="T16" s="32"/>
      <c r="U16" s="32"/>
      <c r="V16" s="32"/>
      <c r="W16" s="32"/>
      <c r="X16" s="32"/>
      <c r="Y16" s="32"/>
      <c r="Z16" s="32"/>
      <c r="AA16" s="30"/>
      <c r="AB16" s="121">
        <f t="shared" si="0"/>
        <v>0</v>
      </c>
      <c r="AC16" s="122">
        <f t="shared" si="1"/>
        <v>0</v>
      </c>
      <c r="AD16" s="123" t="str">
        <f t="shared" si="2"/>
        <v/>
      </c>
      <c r="AE16" s="121"/>
      <c r="AF16" s="122" t="str">
        <f t="shared" si="3"/>
        <v/>
      </c>
      <c r="AG16" s="124" t="str">
        <f t="shared" si="4"/>
        <v/>
      </c>
      <c r="AH16" s="125" t="str">
        <f t="shared" si="5"/>
        <v/>
      </c>
      <c r="AI16" s="126" t="e">
        <f t="shared" si="6"/>
        <v>#VALUE!</v>
      </c>
      <c r="AJ16" s="127" t="str">
        <f t="shared" si="9"/>
        <v/>
      </c>
      <c r="AK16" s="24" t="str">
        <f t="shared" si="10"/>
        <v/>
      </c>
      <c r="AL16" s="128" t="str">
        <f t="shared" si="7"/>
        <v/>
      </c>
      <c r="AM16" s="129"/>
      <c r="AN16" s="129"/>
      <c r="AO16" s="130"/>
      <c r="AP16" s="120" t="s">
        <v>41</v>
      </c>
      <c r="AQ16" s="140"/>
      <c r="AR16" s="141"/>
      <c r="AS16" s="142"/>
      <c r="AT16" s="143"/>
      <c r="AU16" s="45"/>
      <c r="AV16" s="45"/>
      <c r="AW16" s="311">
        <v>6</v>
      </c>
      <c r="AX16" s="313" t="str">
        <f>CONCATENATE(F11, "-", G11,"-",L11,"x",M11,"x",N11,"x",O11)</f>
        <v>--xxx</v>
      </c>
      <c r="AY16" s="104">
        <f>P11</f>
        <v>0</v>
      </c>
      <c r="AZ16" s="224"/>
      <c r="BA16" s="224"/>
      <c r="BB16" s="224"/>
      <c r="BC16" s="224"/>
      <c r="BD16" s="224"/>
      <c r="BE16" s="224"/>
      <c r="BF16" s="225"/>
      <c r="BG16" s="43" t="str">
        <f>CONCATENATE(R11,"x",S11," - ",T11,"x",U11," - ",V11,"x",W11," - ",X11,"x",Y11," - ",Z11,"x",AA11)</f>
        <v>x - x - x - x - x</v>
      </c>
      <c r="BH16" s="182" t="str">
        <f>AJ11</f>
        <v/>
      </c>
      <c r="BI16" s="183"/>
      <c r="BJ16" s="184" t="str">
        <f>AL11</f>
        <v/>
      </c>
      <c r="BK16" s="185">
        <f>AE11</f>
        <v>0</v>
      </c>
      <c r="BL16" s="185" t="str">
        <f>AF11</f>
        <v/>
      </c>
      <c r="BM16" s="186" t="str">
        <f>AG11</f>
        <v/>
      </c>
      <c r="BN16" s="339" t="str">
        <f>IF(BI16="","",(BM17+BL17))</f>
        <v/>
      </c>
      <c r="BO16" s="317"/>
      <c r="BP16" s="358"/>
      <c r="BQ16" s="295"/>
      <c r="BR16" s="296"/>
      <c r="BS16" s="297"/>
      <c r="BT16" s="206">
        <f>AC11</f>
        <v>0</v>
      </c>
      <c r="BU16" s="301">
        <f>IFERROR(BT17*AP11/AO11,0)</f>
        <v>0</v>
      </c>
      <c r="BV16" s="303"/>
      <c r="BW16" s="303"/>
      <c r="BX16" s="303"/>
      <c r="BY16" s="303"/>
      <c r="BZ16" s="207"/>
      <c r="CA16" s="279"/>
      <c r="CB16" s="281"/>
      <c r="CE16" s="233" t="s">
        <v>91</v>
      </c>
      <c r="EI16" s="18" t="str">
        <f>IFERROR(IF(bgr!CO12=0,"",bgr!CO12),"")</f>
        <v/>
      </c>
      <c r="EJ16" s="18" t="str">
        <f>IFERROR(IF(bgr!CP12=0,"",bgr!CP12),"")</f>
        <v/>
      </c>
    </row>
    <row r="17" spans="2:140" ht="85.5" customHeight="1">
      <c r="B17" s="121" t="str">
        <f t="shared" si="8"/>
        <v/>
      </c>
      <c r="C17" s="53" t="str">
        <f>BN28</f>
        <v/>
      </c>
      <c r="D17" s="53">
        <f>BO28</f>
        <v>0</v>
      </c>
      <c r="E17" s="28"/>
      <c r="F17" s="109" t="s">
        <v>41</v>
      </c>
      <c r="G17" s="110" t="s">
        <v>41</v>
      </c>
      <c r="H17" s="111"/>
      <c r="I17" s="111"/>
      <c r="J17" s="111" t="s">
        <v>41</v>
      </c>
      <c r="K17" s="111" t="s">
        <v>41</v>
      </c>
      <c r="L17" s="111" t="s">
        <v>41</v>
      </c>
      <c r="M17" s="111" t="s">
        <v>41</v>
      </c>
      <c r="N17" s="111" t="s">
        <v>41</v>
      </c>
      <c r="O17" s="112" t="s">
        <v>41</v>
      </c>
      <c r="P17" s="29"/>
      <c r="Q17" s="30"/>
      <c r="R17" s="31"/>
      <c r="S17" s="32"/>
      <c r="T17" s="32"/>
      <c r="U17" s="32"/>
      <c r="V17" s="32"/>
      <c r="W17" s="32"/>
      <c r="X17" s="32"/>
      <c r="Y17" s="32"/>
      <c r="Z17" s="32"/>
      <c r="AA17" s="30"/>
      <c r="AB17" s="121">
        <f t="shared" si="0"/>
        <v>0</v>
      </c>
      <c r="AC17" s="122">
        <f t="shared" si="1"/>
        <v>0</v>
      </c>
      <c r="AD17" s="123" t="str">
        <f t="shared" si="2"/>
        <v/>
      </c>
      <c r="AE17" s="121"/>
      <c r="AF17" s="122" t="str">
        <f t="shared" si="3"/>
        <v/>
      </c>
      <c r="AG17" s="124" t="str">
        <f t="shared" si="4"/>
        <v/>
      </c>
      <c r="AH17" s="125" t="str">
        <f t="shared" si="5"/>
        <v/>
      </c>
      <c r="AI17" s="126" t="e">
        <f t="shared" si="6"/>
        <v>#VALUE!</v>
      </c>
      <c r="AJ17" s="127" t="str">
        <f t="shared" si="9"/>
        <v/>
      </c>
      <c r="AK17" s="24" t="str">
        <f t="shared" si="10"/>
        <v/>
      </c>
      <c r="AL17" s="128" t="str">
        <f t="shared" si="7"/>
        <v/>
      </c>
      <c r="AM17" s="129"/>
      <c r="AN17" s="129"/>
      <c r="AO17" s="130"/>
      <c r="AP17" s="120" t="s">
        <v>41</v>
      </c>
      <c r="AQ17" s="140"/>
      <c r="AR17" s="141"/>
      <c r="AS17" s="142"/>
      <c r="AT17" s="143"/>
      <c r="AU17" s="45"/>
      <c r="AV17" s="45"/>
      <c r="AW17" s="337"/>
      <c r="AX17" s="338"/>
      <c r="AY17" s="232">
        <f>Q11</f>
        <v>0</v>
      </c>
      <c r="AZ17" s="226"/>
      <c r="BA17" s="226"/>
      <c r="BB17" s="226"/>
      <c r="BC17" s="226"/>
      <c r="BD17" s="226"/>
      <c r="BE17" s="227"/>
      <c r="BF17" s="223"/>
      <c r="BG17" s="237"/>
      <c r="BH17" s="187" t="str">
        <f>AK11</f>
        <v/>
      </c>
      <c r="BI17" s="188"/>
      <c r="BJ17" s="189" t="str">
        <f>IF(BT17=0,"",(((BT17)/((BL17+BM17)/60))))</f>
        <v/>
      </c>
      <c r="BK17" s="190"/>
      <c r="BL17" s="191" t="str">
        <f>IF(BI16="","",MINUTE(BI17-BI16)+(HOUR(BI17-BI16)*60-(BM17+BO16+CB16)))</f>
        <v/>
      </c>
      <c r="BM17" s="192"/>
      <c r="BN17" s="339"/>
      <c r="BO17" s="340"/>
      <c r="BP17" s="359"/>
      <c r="BQ17" s="333"/>
      <c r="BR17" s="334"/>
      <c r="BS17" s="335"/>
      <c r="BT17" s="208">
        <f>Pending!BB7</f>
        <v>0</v>
      </c>
      <c r="BU17" s="332"/>
      <c r="BV17" s="336"/>
      <c r="BW17" s="336"/>
      <c r="BX17" s="336"/>
      <c r="BY17" s="336"/>
      <c r="BZ17" s="209"/>
      <c r="CA17" s="341"/>
      <c r="CB17" s="282"/>
      <c r="CE17" s="52">
        <f>(CE15-CE13)*1440</f>
        <v>0</v>
      </c>
      <c r="EI17" s="18" t="str">
        <f>IFERROR(IF(bgr!CO13=0,"",bgr!CO13),"")</f>
        <v/>
      </c>
      <c r="EJ17" s="18" t="str">
        <f>IFERROR(IF(bgr!CP13=0,"",bgr!CP13),"")</f>
        <v/>
      </c>
    </row>
    <row r="18" spans="2:140" ht="85.5" customHeight="1">
      <c r="B18" s="121" t="str">
        <f t="shared" si="8"/>
        <v/>
      </c>
      <c r="C18" s="53" t="str">
        <f>BN30</f>
        <v/>
      </c>
      <c r="D18" s="53">
        <f>BO30</f>
        <v>0</v>
      </c>
      <c r="E18" s="28"/>
      <c r="F18" s="109" t="s">
        <v>41</v>
      </c>
      <c r="G18" s="110" t="s">
        <v>41</v>
      </c>
      <c r="H18" s="111"/>
      <c r="I18" s="111"/>
      <c r="J18" s="111" t="s">
        <v>41</v>
      </c>
      <c r="K18" s="111" t="s">
        <v>41</v>
      </c>
      <c r="L18" s="111" t="s">
        <v>41</v>
      </c>
      <c r="M18" s="111" t="s">
        <v>41</v>
      </c>
      <c r="N18" s="111" t="s">
        <v>41</v>
      </c>
      <c r="O18" s="112" t="s">
        <v>41</v>
      </c>
      <c r="P18" s="29"/>
      <c r="Q18" s="30"/>
      <c r="R18" s="31"/>
      <c r="S18" s="32"/>
      <c r="T18" s="32"/>
      <c r="U18" s="32"/>
      <c r="V18" s="32"/>
      <c r="W18" s="32"/>
      <c r="X18" s="32"/>
      <c r="Y18" s="32"/>
      <c r="Z18" s="32"/>
      <c r="AA18" s="30"/>
      <c r="AB18" s="121">
        <f t="shared" si="0"/>
        <v>0</v>
      </c>
      <c r="AC18" s="122">
        <f t="shared" si="1"/>
        <v>0</v>
      </c>
      <c r="AD18" s="123" t="str">
        <f t="shared" si="2"/>
        <v/>
      </c>
      <c r="AE18" s="121"/>
      <c r="AF18" s="122" t="str">
        <f t="shared" si="3"/>
        <v/>
      </c>
      <c r="AG18" s="124" t="str">
        <f t="shared" si="4"/>
        <v/>
      </c>
      <c r="AH18" s="125" t="str">
        <f t="shared" si="5"/>
        <v/>
      </c>
      <c r="AI18" s="126" t="e">
        <f t="shared" si="6"/>
        <v>#VALUE!</v>
      </c>
      <c r="AJ18" s="127" t="str">
        <f t="shared" si="9"/>
        <v/>
      </c>
      <c r="AK18" s="24" t="str">
        <f t="shared" si="10"/>
        <v/>
      </c>
      <c r="AL18" s="128" t="str">
        <f t="shared" si="7"/>
        <v/>
      </c>
      <c r="AM18" s="129"/>
      <c r="AN18" s="129"/>
      <c r="AO18" s="130"/>
      <c r="AP18" s="120" t="s">
        <v>41</v>
      </c>
      <c r="AQ18" s="140"/>
      <c r="AR18" s="141"/>
      <c r="AS18" s="142"/>
      <c r="AT18" s="143"/>
      <c r="AU18" s="45"/>
      <c r="AV18" s="45"/>
      <c r="AW18" s="319">
        <v>7</v>
      </c>
      <c r="AX18" s="321" t="str">
        <f>CONCATENATE(F12, "-", G12,"-",L12,"x",M12,"x",N12,"x",O12)</f>
        <v>--xxx</v>
      </c>
      <c r="AY18" s="105">
        <f>P12</f>
        <v>0</v>
      </c>
      <c r="AZ18" s="228"/>
      <c r="BA18" s="228"/>
      <c r="BB18" s="228"/>
      <c r="BC18" s="228"/>
      <c r="BD18" s="228"/>
      <c r="BE18" s="228"/>
      <c r="BF18" s="225"/>
      <c r="BG18" s="48" t="str">
        <f>CONCATENATE(R12,"x",S12," - ",T12,"x",U12," - ",V12,"x",W12," - ",X12,"x",Y12," - ",Z12,"x",AA12)</f>
        <v>x - x - x - x - x</v>
      </c>
      <c r="BH18" s="193" t="str">
        <f>AJ12</f>
        <v/>
      </c>
      <c r="BI18" s="194"/>
      <c r="BJ18" s="195" t="str">
        <f>AL12</f>
        <v/>
      </c>
      <c r="BK18" s="196">
        <f>AE12</f>
        <v>0</v>
      </c>
      <c r="BL18" s="196" t="str">
        <f>AF12</f>
        <v/>
      </c>
      <c r="BM18" s="197" t="str">
        <f>AG12</f>
        <v/>
      </c>
      <c r="BN18" s="323" t="str">
        <f>IF(BI18="","",(BM19+BL19))</f>
        <v/>
      </c>
      <c r="BO18" s="324"/>
      <c r="BP18" s="345"/>
      <c r="BQ18" s="326"/>
      <c r="BR18" s="327"/>
      <c r="BS18" s="328"/>
      <c r="BT18" s="210">
        <f>AC12</f>
        <v>0</v>
      </c>
      <c r="BU18" s="301">
        <f>IFERROR(BT19*AP12/AO12,0)</f>
        <v>0</v>
      </c>
      <c r="BV18" s="305"/>
      <c r="BW18" s="305"/>
      <c r="BX18" s="305"/>
      <c r="BY18" s="305"/>
      <c r="BZ18" s="211"/>
      <c r="CA18" s="307"/>
      <c r="CB18" s="309"/>
      <c r="CE18" s="234" t="s">
        <v>92</v>
      </c>
      <c r="EI18" s="18" t="str">
        <f>IFERROR(IF(bgr!CO14=0,"",bgr!CO14),"")</f>
        <v/>
      </c>
      <c r="EJ18" s="18" t="str">
        <f>IFERROR(IF(bgr!CP14=0,"",bgr!CP14),"")</f>
        <v/>
      </c>
    </row>
    <row r="19" spans="2:140" ht="85.5" customHeight="1">
      <c r="B19" s="121" t="str">
        <f t="shared" si="8"/>
        <v/>
      </c>
      <c r="C19" s="53" t="str">
        <f>BN32</f>
        <v/>
      </c>
      <c r="D19" s="53">
        <f>BO32</f>
        <v>0</v>
      </c>
      <c r="E19" s="28"/>
      <c r="F19" s="109" t="s">
        <v>41</v>
      </c>
      <c r="G19" s="110" t="s">
        <v>41</v>
      </c>
      <c r="H19" s="111"/>
      <c r="I19" s="111"/>
      <c r="J19" s="111" t="s">
        <v>41</v>
      </c>
      <c r="K19" s="111" t="s">
        <v>41</v>
      </c>
      <c r="L19" s="111" t="s">
        <v>41</v>
      </c>
      <c r="M19" s="111" t="s">
        <v>41</v>
      </c>
      <c r="N19" s="111" t="s">
        <v>41</v>
      </c>
      <c r="O19" s="112" t="s">
        <v>41</v>
      </c>
      <c r="P19" s="29"/>
      <c r="Q19" s="30"/>
      <c r="R19" s="31"/>
      <c r="S19" s="32"/>
      <c r="T19" s="32"/>
      <c r="U19" s="32"/>
      <c r="V19" s="32"/>
      <c r="W19" s="32"/>
      <c r="X19" s="32"/>
      <c r="Y19" s="32"/>
      <c r="Z19" s="32"/>
      <c r="AA19" s="30"/>
      <c r="AB19" s="121">
        <f t="shared" si="0"/>
        <v>0</v>
      </c>
      <c r="AC19" s="122">
        <f t="shared" si="1"/>
        <v>0</v>
      </c>
      <c r="AD19" s="123" t="str">
        <f t="shared" si="2"/>
        <v/>
      </c>
      <c r="AE19" s="121"/>
      <c r="AF19" s="122" t="str">
        <f t="shared" si="3"/>
        <v/>
      </c>
      <c r="AG19" s="124" t="str">
        <f t="shared" si="4"/>
        <v/>
      </c>
      <c r="AH19" s="125" t="str">
        <f t="shared" si="5"/>
        <v/>
      </c>
      <c r="AI19" s="126" t="e">
        <f t="shared" si="6"/>
        <v>#VALUE!</v>
      </c>
      <c r="AJ19" s="127" t="str">
        <f t="shared" si="9"/>
        <v/>
      </c>
      <c r="AK19" s="24" t="str">
        <f t="shared" si="10"/>
        <v/>
      </c>
      <c r="AL19" s="128" t="str">
        <f t="shared" si="7"/>
        <v/>
      </c>
      <c r="AM19" s="129"/>
      <c r="AN19" s="129"/>
      <c r="AO19" s="130"/>
      <c r="AP19" s="120" t="s">
        <v>41</v>
      </c>
      <c r="AQ19" s="140"/>
      <c r="AR19" s="141"/>
      <c r="AS19" s="142"/>
      <c r="AT19" s="143"/>
      <c r="AU19" s="45"/>
      <c r="AV19" s="45"/>
      <c r="AW19" s="320"/>
      <c r="AX19" s="322"/>
      <c r="AY19" s="231">
        <f>Q12</f>
        <v>0</v>
      </c>
      <c r="AZ19" s="221"/>
      <c r="BA19" s="221"/>
      <c r="BB19" s="221"/>
      <c r="BC19" s="221"/>
      <c r="BD19" s="221"/>
      <c r="BE19" s="222"/>
      <c r="BF19" s="223"/>
      <c r="BG19" s="237"/>
      <c r="BH19" s="176" t="str">
        <f>AK12</f>
        <v/>
      </c>
      <c r="BI19" s="177"/>
      <c r="BJ19" s="178" t="str">
        <f>IF(BT19=0,"",(((BT19)/((BL19+BM19)/60))))</f>
        <v/>
      </c>
      <c r="BK19" s="179"/>
      <c r="BL19" s="180" t="str">
        <f>IF(BI18="","",MINUTE(BI19-BI18)+(HOUR(BI19-BI18)*60-(BM19+BO18+CB18)))</f>
        <v/>
      </c>
      <c r="BM19" s="181"/>
      <c r="BN19" s="323"/>
      <c r="BO19" s="325"/>
      <c r="BP19" s="346"/>
      <c r="BQ19" s="329"/>
      <c r="BR19" s="330"/>
      <c r="BS19" s="331"/>
      <c r="BT19" s="204">
        <f>Pending!BB8</f>
        <v>0</v>
      </c>
      <c r="BU19" s="332"/>
      <c r="BV19" s="306"/>
      <c r="BW19" s="306"/>
      <c r="BX19" s="306"/>
      <c r="BY19" s="306"/>
      <c r="BZ19" s="205"/>
      <c r="CA19" s="308"/>
      <c r="CB19" s="310"/>
      <c r="CE19" s="235"/>
      <c r="EI19" s="18" t="str">
        <f>IFERROR(IF(bgr!CO15=0,"",bgr!CO15),"")</f>
        <v/>
      </c>
      <c r="EJ19" s="18" t="str">
        <f>IFERROR(IF(bgr!CP15=0,"",bgr!CP15),"")</f>
        <v/>
      </c>
    </row>
    <row r="20" spans="2:140" ht="85.5" customHeight="1">
      <c r="B20" s="121" t="str">
        <f t="shared" si="8"/>
        <v/>
      </c>
      <c r="C20" s="53" t="str">
        <f>BN34</f>
        <v/>
      </c>
      <c r="D20" s="53">
        <f>BO34</f>
        <v>0</v>
      </c>
      <c r="E20" s="28"/>
      <c r="F20" s="109" t="s">
        <v>41</v>
      </c>
      <c r="G20" s="110" t="s">
        <v>41</v>
      </c>
      <c r="H20" s="111"/>
      <c r="I20" s="111"/>
      <c r="J20" s="111" t="s">
        <v>41</v>
      </c>
      <c r="K20" s="111" t="s">
        <v>41</v>
      </c>
      <c r="L20" s="111" t="s">
        <v>41</v>
      </c>
      <c r="M20" s="111" t="s">
        <v>41</v>
      </c>
      <c r="N20" s="111" t="s">
        <v>41</v>
      </c>
      <c r="O20" s="112" t="s">
        <v>41</v>
      </c>
      <c r="P20" s="29"/>
      <c r="Q20" s="30"/>
      <c r="R20" s="31"/>
      <c r="S20" s="32"/>
      <c r="T20" s="32"/>
      <c r="U20" s="32"/>
      <c r="V20" s="32"/>
      <c r="W20" s="32"/>
      <c r="X20" s="32"/>
      <c r="Y20" s="32"/>
      <c r="Z20" s="32"/>
      <c r="AA20" s="30"/>
      <c r="AB20" s="121">
        <f t="shared" si="0"/>
        <v>0</v>
      </c>
      <c r="AC20" s="122">
        <f t="shared" si="1"/>
        <v>0</v>
      </c>
      <c r="AD20" s="123" t="str">
        <f t="shared" si="2"/>
        <v/>
      </c>
      <c r="AE20" s="121"/>
      <c r="AF20" s="122" t="str">
        <f t="shared" si="3"/>
        <v/>
      </c>
      <c r="AG20" s="124" t="str">
        <f t="shared" si="4"/>
        <v/>
      </c>
      <c r="AH20" s="125" t="str">
        <f t="shared" si="5"/>
        <v/>
      </c>
      <c r="AI20" s="126" t="e">
        <f t="shared" si="6"/>
        <v>#VALUE!</v>
      </c>
      <c r="AJ20" s="127" t="str">
        <f t="shared" si="9"/>
        <v/>
      </c>
      <c r="AK20" s="24" t="str">
        <f t="shared" si="10"/>
        <v/>
      </c>
      <c r="AL20" s="128" t="str">
        <f t="shared" si="7"/>
        <v/>
      </c>
      <c r="AM20" s="129"/>
      <c r="AN20" s="129"/>
      <c r="AO20" s="130"/>
      <c r="AP20" s="120" t="s">
        <v>41</v>
      </c>
      <c r="AQ20" s="140"/>
      <c r="AR20" s="141"/>
      <c r="AS20" s="142"/>
      <c r="AT20" s="143"/>
      <c r="AU20" s="45"/>
      <c r="AV20" s="45"/>
      <c r="AW20" s="311">
        <v>8</v>
      </c>
      <c r="AX20" s="313" t="str">
        <f>CONCATENATE(F13, "-", G13,"-",L13,"x",M13,"x",N13,"x",O13)</f>
        <v>--xxx</v>
      </c>
      <c r="AY20" s="104">
        <f>P13</f>
        <v>0</v>
      </c>
      <c r="AZ20" s="224"/>
      <c r="BA20" s="224"/>
      <c r="BB20" s="224"/>
      <c r="BC20" s="224"/>
      <c r="BD20" s="224"/>
      <c r="BE20" s="224"/>
      <c r="BF20" s="225"/>
      <c r="BG20" s="43" t="str">
        <f>CONCATENATE(R13,"x",S13," - ",T13,"x",U13," - ",V13,"x",W13," - ",X13,"x",Y13," - ",Z13,"x",AA13)</f>
        <v>x - x - x - x - x</v>
      </c>
      <c r="BH20" s="182" t="str">
        <f>AJ13</f>
        <v/>
      </c>
      <c r="BI20" s="183"/>
      <c r="BJ20" s="184" t="str">
        <f>AL13</f>
        <v/>
      </c>
      <c r="BK20" s="185">
        <f>AE13</f>
        <v>0</v>
      </c>
      <c r="BL20" s="185" t="str">
        <f>AF13</f>
        <v/>
      </c>
      <c r="BM20" s="186" t="str">
        <f>AG13</f>
        <v/>
      </c>
      <c r="BN20" s="339" t="str">
        <f>IF(BI20="","",(BM21+BL21))</f>
        <v/>
      </c>
      <c r="BO20" s="317"/>
      <c r="BP20" s="358"/>
      <c r="BQ20" s="295"/>
      <c r="BR20" s="296"/>
      <c r="BS20" s="297"/>
      <c r="BT20" s="206">
        <f>AC13</f>
        <v>0</v>
      </c>
      <c r="BU20" s="301">
        <f>IFERROR(BT21*AP13/AO13,0)</f>
        <v>0</v>
      </c>
      <c r="BV20" s="303"/>
      <c r="BW20" s="303"/>
      <c r="BX20" s="303"/>
      <c r="BY20" s="303"/>
      <c r="BZ20" s="207"/>
      <c r="CA20" s="279"/>
      <c r="CB20" s="281"/>
      <c r="CE20" s="234" t="s">
        <v>97</v>
      </c>
      <c r="EI20" s="18" t="str">
        <f>IFERROR(IF(bgr!CO16=0,"",bgr!CO16),"")</f>
        <v/>
      </c>
      <c r="EJ20" s="18" t="str">
        <f>IFERROR(IF(bgr!CP16=0,"",bgr!CP16),"")</f>
        <v/>
      </c>
    </row>
    <row r="21" spans="2:140" ht="85.5" customHeight="1" thickBot="1">
      <c r="B21" s="131" t="str">
        <f t="shared" si="8"/>
        <v/>
      </c>
      <c r="C21" s="54" t="str">
        <f>BN36</f>
        <v/>
      </c>
      <c r="D21" s="54">
        <f>BO36</f>
        <v>0</v>
      </c>
      <c r="E21" s="55"/>
      <c r="F21" s="109" t="s">
        <v>41</v>
      </c>
      <c r="G21" s="110" t="s">
        <v>41</v>
      </c>
      <c r="H21" s="111"/>
      <c r="I21" s="111"/>
      <c r="J21" s="111" t="s">
        <v>41</v>
      </c>
      <c r="K21" s="111" t="s">
        <v>41</v>
      </c>
      <c r="L21" s="111" t="s">
        <v>41</v>
      </c>
      <c r="M21" s="111" t="s">
        <v>41</v>
      </c>
      <c r="N21" s="111" t="s">
        <v>41</v>
      </c>
      <c r="O21" s="112" t="s">
        <v>41</v>
      </c>
      <c r="P21" s="56"/>
      <c r="Q21" s="57"/>
      <c r="R21" s="58"/>
      <c r="S21" s="59"/>
      <c r="T21" s="59"/>
      <c r="U21" s="59"/>
      <c r="V21" s="59"/>
      <c r="W21" s="59"/>
      <c r="X21" s="59"/>
      <c r="Y21" s="59"/>
      <c r="Z21" s="59"/>
      <c r="AA21" s="57"/>
      <c r="AB21" s="131">
        <f t="shared" si="0"/>
        <v>0</v>
      </c>
      <c r="AC21" s="132">
        <f t="shared" si="1"/>
        <v>0</v>
      </c>
      <c r="AD21" s="133" t="str">
        <f t="shared" si="2"/>
        <v/>
      </c>
      <c r="AE21" s="131"/>
      <c r="AF21" s="132" t="str">
        <f t="shared" si="3"/>
        <v/>
      </c>
      <c r="AG21" s="134" t="str">
        <f t="shared" si="4"/>
        <v/>
      </c>
      <c r="AH21" s="60"/>
      <c r="AI21" s="135">
        <f t="shared" si="6"/>
        <v>0</v>
      </c>
      <c r="AJ21" s="136" t="str">
        <f t="shared" si="9"/>
        <v/>
      </c>
      <c r="AK21" s="24" t="str">
        <f t="shared" si="10"/>
        <v/>
      </c>
      <c r="AL21" s="137" t="str">
        <f t="shared" si="7"/>
        <v/>
      </c>
      <c r="AM21" s="138"/>
      <c r="AN21" s="138"/>
      <c r="AO21" s="139"/>
      <c r="AP21" s="120" t="s">
        <v>41</v>
      </c>
      <c r="AQ21" s="140"/>
      <c r="AR21" s="141"/>
      <c r="AS21" s="142"/>
      <c r="AT21" s="143"/>
      <c r="AU21" s="45"/>
      <c r="AV21" s="45"/>
      <c r="AW21" s="337"/>
      <c r="AX21" s="338"/>
      <c r="AY21" s="232">
        <f>Q13</f>
        <v>0</v>
      </c>
      <c r="AZ21" s="226"/>
      <c r="BA21" s="226"/>
      <c r="BB21" s="226"/>
      <c r="BC21" s="226"/>
      <c r="BD21" s="226"/>
      <c r="BE21" s="227"/>
      <c r="BF21" s="223"/>
      <c r="BG21" s="237"/>
      <c r="BH21" s="187" t="str">
        <f>AK13</f>
        <v/>
      </c>
      <c r="BI21" s="188"/>
      <c r="BJ21" s="189" t="str">
        <f>IF(BT21=0,"",(((BT21)/((BL21+BM21)/60))))</f>
        <v/>
      </c>
      <c r="BK21" s="190"/>
      <c r="BL21" s="191" t="str">
        <f>IF(BI20="","",MINUTE(BI21-BI20)+(HOUR(BI21-BI20)*60-(BM21+BO20+CB20)))</f>
        <v/>
      </c>
      <c r="BM21" s="192"/>
      <c r="BN21" s="339"/>
      <c r="BO21" s="340"/>
      <c r="BP21" s="359"/>
      <c r="BQ21" s="333"/>
      <c r="BR21" s="334"/>
      <c r="BS21" s="335"/>
      <c r="BT21" s="208">
        <f>Pending!BB9</f>
        <v>0</v>
      </c>
      <c r="BU21" s="332"/>
      <c r="BV21" s="336"/>
      <c r="BW21" s="336"/>
      <c r="BX21" s="336"/>
      <c r="BY21" s="336"/>
      <c r="BZ21" s="209"/>
      <c r="CA21" s="341"/>
      <c r="CB21" s="282"/>
      <c r="CE21" s="49"/>
      <c r="EI21" s="18" t="str">
        <f>IFERROR(IF(bgr!CO17=0,"",bgr!CO17),"")</f>
        <v/>
      </c>
      <c r="EJ21" s="18" t="str">
        <f>IFERROR(IF(bgr!CP17=0,"",bgr!CP17),"")</f>
        <v/>
      </c>
    </row>
    <row r="22" spans="2:140" ht="85.5" customHeight="1" thickBot="1">
      <c r="B22" s="350" t="s">
        <v>93</v>
      </c>
      <c r="C22" s="351"/>
      <c r="D22" s="351"/>
      <c r="E22" s="351"/>
      <c r="F22" s="351"/>
      <c r="G22" s="351"/>
      <c r="H22" s="351"/>
      <c r="I22" s="351"/>
      <c r="J22" s="351"/>
      <c r="K22" s="351"/>
      <c r="L22" s="352">
        <f>SUM(AD6:AD21)</f>
        <v>0</v>
      </c>
      <c r="M22" s="352"/>
      <c r="N22" s="61" t="s">
        <v>94</v>
      </c>
      <c r="O22" s="353" t="s">
        <v>95</v>
      </c>
      <c r="P22" s="354"/>
      <c r="Q22" s="354"/>
      <c r="R22" s="355"/>
      <c r="S22" s="356" t="str">
        <f>IF(F6="","",SUM(AC6:AC21))</f>
        <v/>
      </c>
      <c r="T22" s="357"/>
      <c r="U22" s="353" t="s">
        <v>85</v>
      </c>
      <c r="V22" s="354"/>
      <c r="W22" s="354"/>
      <c r="X22" s="106">
        <f t="array" ref="X22">(SUM(IFERROR(AH6:AH21,0),X23)/60)</f>
        <v>0</v>
      </c>
      <c r="Y22" s="62" t="s">
        <v>96</v>
      </c>
      <c r="Z22" s="347" t="s">
        <v>97</v>
      </c>
      <c r="AA22" s="348"/>
      <c r="AB22" s="348"/>
      <c r="AC22" s="348"/>
      <c r="AD22" s="349">
        <f>SUM(AG6:AG21)/60</f>
        <v>0</v>
      </c>
      <c r="AE22" s="349"/>
      <c r="AF22" s="63" t="s">
        <v>96</v>
      </c>
      <c r="AG22" s="347" t="s">
        <v>98</v>
      </c>
      <c r="AH22" s="348"/>
      <c r="AI22" s="348"/>
      <c r="AJ22" s="348"/>
      <c r="AK22" s="348"/>
      <c r="AL22" s="349">
        <f>SUM(AF6:AF21)/60</f>
        <v>0</v>
      </c>
      <c r="AM22" s="349"/>
      <c r="AN22" s="349"/>
      <c r="AO22" s="349"/>
      <c r="AP22" s="64" t="s">
        <v>96</v>
      </c>
      <c r="AQ22" s="140"/>
      <c r="AR22" s="141"/>
      <c r="AS22" s="142"/>
      <c r="AT22" s="143"/>
      <c r="AU22" s="45"/>
      <c r="AV22" s="45"/>
      <c r="AW22" s="319">
        <v>9</v>
      </c>
      <c r="AX22" s="321" t="str">
        <f>CONCATENATE(F14, "-", G14,"-",L14,"x",M14,"x",N14,"x",O14)</f>
        <v>--xxx</v>
      </c>
      <c r="AY22" s="105">
        <f>P14</f>
        <v>0</v>
      </c>
      <c r="AZ22" s="228"/>
      <c r="BA22" s="228"/>
      <c r="BB22" s="228"/>
      <c r="BC22" s="228"/>
      <c r="BD22" s="228"/>
      <c r="BE22" s="228"/>
      <c r="BF22" s="225"/>
      <c r="BG22" s="48" t="str">
        <f>CONCATENATE(R14,"x",S14," - ",T14,"x",U14," - ",V14,"x",W14," - ",X14,"x",Y14," - ",Z14,"x",AA14)</f>
        <v>x - x - x - x - x</v>
      </c>
      <c r="BH22" s="193" t="str">
        <f>AJ14</f>
        <v/>
      </c>
      <c r="BI22" s="194"/>
      <c r="BJ22" s="195" t="str">
        <f>AL14</f>
        <v/>
      </c>
      <c r="BK22" s="196">
        <f>AE14</f>
        <v>0</v>
      </c>
      <c r="BL22" s="196" t="str">
        <f>AF14</f>
        <v/>
      </c>
      <c r="BM22" s="197" t="str">
        <f>AG14</f>
        <v/>
      </c>
      <c r="BN22" s="323" t="str">
        <f>IF(BI22="","",(BM23+BL23))</f>
        <v/>
      </c>
      <c r="BO22" s="324"/>
      <c r="BP22" s="345"/>
      <c r="BQ22" s="326"/>
      <c r="BR22" s="327"/>
      <c r="BS22" s="328"/>
      <c r="BT22" s="210">
        <f>AC14</f>
        <v>0</v>
      </c>
      <c r="BU22" s="301">
        <f>IFERROR(BT23*AP14/AO14,0)</f>
        <v>0</v>
      </c>
      <c r="BV22" s="305"/>
      <c r="BW22" s="305"/>
      <c r="BX22" s="305"/>
      <c r="BY22" s="305"/>
      <c r="BZ22" s="211"/>
      <c r="CA22" s="307"/>
      <c r="CB22" s="309"/>
      <c r="EI22" s="18" t="str">
        <f>IFERROR(IF(bgr!CO18=0,"",bgr!CO18),"")</f>
        <v/>
      </c>
      <c r="EJ22" s="18" t="str">
        <f>IFERROR(IF(bgr!CP18=0,"",bgr!CP18),"")</f>
        <v/>
      </c>
    </row>
    <row r="23" spans="2:140" ht="85.5" customHeight="1" thickBot="1">
      <c r="U23" s="347" t="s">
        <v>151</v>
      </c>
      <c r="V23" s="348"/>
      <c r="W23" s="348"/>
      <c r="X23" s="106">
        <v>0</v>
      </c>
      <c r="Y23" s="78" t="s">
        <v>152</v>
      </c>
      <c r="AQ23" s="140"/>
      <c r="AR23" s="141"/>
      <c r="AS23" s="142"/>
      <c r="AT23" s="143"/>
      <c r="AU23" s="45"/>
      <c r="AV23" s="45"/>
      <c r="AW23" s="320"/>
      <c r="AX23" s="322"/>
      <c r="AY23" s="231">
        <f>Q14</f>
        <v>0</v>
      </c>
      <c r="AZ23" s="221"/>
      <c r="BA23" s="221"/>
      <c r="BB23" s="221"/>
      <c r="BC23" s="221"/>
      <c r="BD23" s="221"/>
      <c r="BE23" s="222"/>
      <c r="BF23" s="223"/>
      <c r="BG23" s="237"/>
      <c r="BH23" s="176" t="str">
        <f>AK14</f>
        <v/>
      </c>
      <c r="BI23" s="177"/>
      <c r="BJ23" s="178" t="str">
        <f>IF(BT23=0,"",(((BT23)/((BL23+BM23)/60))))</f>
        <v/>
      </c>
      <c r="BK23" s="179"/>
      <c r="BL23" s="180" t="str">
        <f>IF(BI22="","",MINUTE(BI23-BI22)+(HOUR(BI23-BI22)*60-(BM23+BO22+CB22)))</f>
        <v/>
      </c>
      <c r="BM23" s="181"/>
      <c r="BN23" s="323"/>
      <c r="BO23" s="325"/>
      <c r="BP23" s="346"/>
      <c r="BQ23" s="329"/>
      <c r="BR23" s="330"/>
      <c r="BS23" s="331"/>
      <c r="BT23" s="204">
        <f>Pending!BB10</f>
        <v>0</v>
      </c>
      <c r="BU23" s="332"/>
      <c r="BV23" s="306"/>
      <c r="BW23" s="306"/>
      <c r="BX23" s="306"/>
      <c r="BY23" s="306"/>
      <c r="BZ23" s="205"/>
      <c r="CA23" s="308"/>
      <c r="CB23" s="310"/>
      <c r="EI23" s="18" t="str">
        <f>IFERROR(IF(bgr!CO19=0,"",bgr!CO19),"")</f>
        <v/>
      </c>
      <c r="EJ23" s="18" t="str">
        <f>IFERROR(IF(bgr!CP19=0,"",bgr!CP19),"")</f>
        <v/>
      </c>
    </row>
    <row r="24" spans="2:140" ht="85.5" customHeight="1" thickBot="1">
      <c r="AQ24" s="140"/>
      <c r="AR24" s="141"/>
      <c r="AS24" s="142"/>
      <c r="AT24" s="143"/>
      <c r="AU24" s="45"/>
      <c r="AV24" s="45"/>
      <c r="AW24" s="311">
        <v>10</v>
      </c>
      <c r="AX24" s="313" t="str">
        <f>CONCATENATE(F15, "-", G15,"-",L15,"x",M15,"x",N15,"x",O15)</f>
        <v>--xxx</v>
      </c>
      <c r="AY24" s="104">
        <f>P15</f>
        <v>0</v>
      </c>
      <c r="AZ24" s="224"/>
      <c r="BA24" s="224"/>
      <c r="BB24" s="224"/>
      <c r="BC24" s="224"/>
      <c r="BD24" s="224"/>
      <c r="BE24" s="224"/>
      <c r="BF24" s="225"/>
      <c r="BG24" s="43" t="str">
        <f>CONCATENATE(R15,"x",S15," - ",T15,"x",U15," - ",V15,"x",W15," - ",X15,"x",Y15," - ",Z15,"x",AA15)</f>
        <v>x - x - x - x - x</v>
      </c>
      <c r="BH24" s="182" t="str">
        <f>AJ15</f>
        <v/>
      </c>
      <c r="BI24" s="183"/>
      <c r="BJ24" s="184" t="str">
        <f>AL15</f>
        <v/>
      </c>
      <c r="BK24" s="185">
        <f>AE15</f>
        <v>0</v>
      </c>
      <c r="BL24" s="185" t="str">
        <f>AF15</f>
        <v/>
      </c>
      <c r="BM24" s="186" t="str">
        <f>AG15</f>
        <v/>
      </c>
      <c r="BN24" s="339" t="str">
        <f>IF(BI24="","",(BM25+BL25))</f>
        <v/>
      </c>
      <c r="BO24" s="317"/>
      <c r="BP24" s="303"/>
      <c r="BQ24" s="295"/>
      <c r="BR24" s="296"/>
      <c r="BS24" s="297"/>
      <c r="BT24" s="206">
        <f>AC15</f>
        <v>0</v>
      </c>
      <c r="BU24" s="301">
        <f>IFERROR(BT25*AP15/AO15,0)</f>
        <v>0</v>
      </c>
      <c r="BV24" s="303"/>
      <c r="BW24" s="303"/>
      <c r="BX24" s="303"/>
      <c r="BY24" s="303"/>
      <c r="BZ24" s="207"/>
      <c r="CA24" s="279"/>
      <c r="CB24" s="281"/>
      <c r="CE24" s="45"/>
      <c r="EI24" s="18" t="str">
        <f>IFERROR(IF(bgr!CO20=0,"",bgr!CO20),"")</f>
        <v/>
      </c>
      <c r="EJ24" s="18" t="str">
        <f>IFERROR(IF(bgr!CP20=0,"",bgr!CP20),"")</f>
        <v/>
      </c>
    </row>
    <row r="25" spans="2:140" ht="85.5" customHeight="1" thickBot="1">
      <c r="AQ25" s="342" t="s">
        <v>99</v>
      </c>
      <c r="AR25" s="343"/>
      <c r="AS25" s="344"/>
      <c r="AT25" s="65">
        <f>SUM(AT9:AT24)/60</f>
        <v>0</v>
      </c>
      <c r="AU25" s="45"/>
      <c r="AV25" s="45"/>
      <c r="AW25" s="337"/>
      <c r="AX25" s="338"/>
      <c r="AY25" s="232">
        <f>Q15</f>
        <v>0</v>
      </c>
      <c r="AZ25" s="226"/>
      <c r="BA25" s="226"/>
      <c r="BB25" s="226"/>
      <c r="BC25" s="226"/>
      <c r="BD25" s="226"/>
      <c r="BE25" s="227"/>
      <c r="BF25" s="223"/>
      <c r="BG25" s="237"/>
      <c r="BH25" s="187" t="str">
        <f>AK15</f>
        <v/>
      </c>
      <c r="BI25" s="188"/>
      <c r="BJ25" s="189" t="str">
        <f>IF(BT25=0,"",(((BT25)/((BL25+BM25)/60))))</f>
        <v/>
      </c>
      <c r="BK25" s="190"/>
      <c r="BL25" s="191" t="str">
        <f>IF(BI24="","",MINUTE(BI25-BI24)+(HOUR(BI25-BI24)*60-(BM25+BO24+CB24)))</f>
        <v/>
      </c>
      <c r="BM25" s="192"/>
      <c r="BN25" s="339"/>
      <c r="BO25" s="340"/>
      <c r="BP25" s="336"/>
      <c r="BQ25" s="333"/>
      <c r="BR25" s="334"/>
      <c r="BS25" s="335"/>
      <c r="BT25" s="208">
        <f>Pending!BB11</f>
        <v>0</v>
      </c>
      <c r="BU25" s="332"/>
      <c r="BV25" s="336"/>
      <c r="BW25" s="336"/>
      <c r="BX25" s="336"/>
      <c r="BY25" s="336"/>
      <c r="BZ25" s="209"/>
      <c r="CA25" s="341"/>
      <c r="CB25" s="282"/>
      <c r="CE25" s="45"/>
      <c r="EI25" s="18" t="str">
        <f>IFERROR(IF(bgr!CO21=0,"",bgr!CO21),"")</f>
        <v/>
      </c>
      <c r="EJ25" s="18" t="str">
        <f>IFERROR(IF(bgr!CP21=0,"",bgr!CP21),"")</f>
        <v/>
      </c>
    </row>
    <row r="26" spans="2:140" ht="85.5" customHeight="1"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I26" s="66"/>
      <c r="AJ26" s="66"/>
      <c r="AK26" s="66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319">
        <v>11</v>
      </c>
      <c r="AX26" s="321" t="str">
        <f>CONCATENATE(F16, "-", G16,"-",L16,"x",M16,"x",N16,"x",O16)</f>
        <v>--xxx</v>
      </c>
      <c r="AY26" s="105">
        <f>P16</f>
        <v>0</v>
      </c>
      <c r="AZ26" s="228"/>
      <c r="BA26" s="228"/>
      <c r="BB26" s="228"/>
      <c r="BC26" s="228"/>
      <c r="BD26" s="228"/>
      <c r="BE26" s="228"/>
      <c r="BF26" s="225"/>
      <c r="BG26" s="48" t="str">
        <f>CONCATENATE(R16,"x",S16," - ",T16,"x",U16," - ",V16,"x",W16," - ",X16,"x",Y16," - ",Z16,"x",AA16)</f>
        <v>x - x - x - x - x</v>
      </c>
      <c r="BH26" s="193" t="str">
        <f>AJ16</f>
        <v/>
      </c>
      <c r="BI26" s="194"/>
      <c r="BJ26" s="195" t="str">
        <f>AL16</f>
        <v/>
      </c>
      <c r="BK26" s="196">
        <f>AE16</f>
        <v>0</v>
      </c>
      <c r="BL26" s="196" t="str">
        <f>AF16</f>
        <v/>
      </c>
      <c r="BM26" s="197" t="str">
        <f>AG16</f>
        <v/>
      </c>
      <c r="BN26" s="323" t="str">
        <f>IF(BI26="","",(BM27+BL27))</f>
        <v/>
      </c>
      <c r="BO26" s="324"/>
      <c r="BP26" s="345"/>
      <c r="BQ26" s="326"/>
      <c r="BR26" s="327"/>
      <c r="BS26" s="328"/>
      <c r="BT26" s="210">
        <f>AC16</f>
        <v>0</v>
      </c>
      <c r="BU26" s="301">
        <f>IFERROR(BT27*AP16/AO16,0)</f>
        <v>0</v>
      </c>
      <c r="BV26" s="305"/>
      <c r="BW26" s="305"/>
      <c r="BX26" s="305"/>
      <c r="BY26" s="305"/>
      <c r="BZ26" s="211"/>
      <c r="CA26" s="307"/>
      <c r="CB26" s="309"/>
      <c r="CE26" s="45"/>
      <c r="EI26" s="18" t="str">
        <f>IFERROR(IF(bgr!CO22=0,"",bgr!CO22),"")</f>
        <v/>
      </c>
      <c r="EJ26" s="18" t="str">
        <f>IFERROR(IF(bgr!CP22=0,"",bgr!CP22),"")</f>
        <v/>
      </c>
    </row>
    <row r="27" spans="2:140" ht="85.5" customHeight="1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I27" s="66"/>
      <c r="AJ27" s="66"/>
      <c r="AK27" s="66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320"/>
      <c r="AX27" s="322"/>
      <c r="AY27" s="231">
        <f>Q16</f>
        <v>0</v>
      </c>
      <c r="AZ27" s="221"/>
      <c r="BA27" s="221"/>
      <c r="BB27" s="221"/>
      <c r="BC27" s="221"/>
      <c r="BD27" s="221"/>
      <c r="BE27" s="222"/>
      <c r="BF27" s="223"/>
      <c r="BG27" s="237"/>
      <c r="BH27" s="176" t="str">
        <f>AK16</f>
        <v/>
      </c>
      <c r="BI27" s="177"/>
      <c r="BJ27" s="178" t="str">
        <f>IF(BT27=0,"",(((BT27)/((BL27+BM27)/60))))</f>
        <v/>
      </c>
      <c r="BK27" s="179"/>
      <c r="BL27" s="180" t="str">
        <f>IF(BI26="","",MINUTE(BI27-BI26)+(HOUR(BI27-BI26)*60-(BM27+BO26+CB26)))</f>
        <v/>
      </c>
      <c r="BM27" s="181"/>
      <c r="BN27" s="323"/>
      <c r="BO27" s="325"/>
      <c r="BP27" s="306"/>
      <c r="BQ27" s="329"/>
      <c r="BR27" s="330"/>
      <c r="BS27" s="331"/>
      <c r="BT27" s="204">
        <f>Pending!BB12</f>
        <v>0</v>
      </c>
      <c r="BU27" s="332"/>
      <c r="BV27" s="306"/>
      <c r="BW27" s="306"/>
      <c r="BX27" s="306"/>
      <c r="BY27" s="306"/>
      <c r="BZ27" s="205"/>
      <c r="CA27" s="308"/>
      <c r="CB27" s="310"/>
      <c r="CE27" s="45"/>
      <c r="EI27" s="18" t="str">
        <f>IFERROR(IF(bgr!CO23=0,"",bgr!CO23),"")</f>
        <v/>
      </c>
      <c r="EJ27" s="18" t="str">
        <f>IFERROR(IF(bgr!CP23=0,"",bgr!CP23),"")</f>
        <v/>
      </c>
    </row>
    <row r="28" spans="2:140" ht="85.5" customHeight="1"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311">
        <v>12</v>
      </c>
      <c r="AX28" s="313" t="str">
        <f>CONCATENATE(F17, "-", G17,"-",L17,"x",M17,"x",N17,"x",O17)</f>
        <v>--xxx</v>
      </c>
      <c r="AY28" s="104">
        <f>P17</f>
        <v>0</v>
      </c>
      <c r="AZ28" s="224"/>
      <c r="BA28" s="224"/>
      <c r="BB28" s="224"/>
      <c r="BC28" s="224"/>
      <c r="BD28" s="224"/>
      <c r="BE28" s="224"/>
      <c r="BF28" s="225"/>
      <c r="BG28" s="43" t="str">
        <f>CONCATENATE(R17,"x",S17," - ",T17,"x",U17," - ",V17,"x",W17," - ",X17,"x",Y17," - ",Z17,"x",AA17)</f>
        <v>x - x - x - x - x</v>
      </c>
      <c r="BH28" s="182" t="str">
        <f>AJ17</f>
        <v/>
      </c>
      <c r="BI28" s="183"/>
      <c r="BJ28" s="184" t="str">
        <f>AL17</f>
        <v/>
      </c>
      <c r="BK28" s="185">
        <f>AE17</f>
        <v>0</v>
      </c>
      <c r="BL28" s="185" t="str">
        <f>AF17</f>
        <v/>
      </c>
      <c r="BM28" s="186" t="str">
        <f>AG17</f>
        <v/>
      </c>
      <c r="BN28" s="339" t="str">
        <f>IF(BI28="","",(BM29+BL29))</f>
        <v/>
      </c>
      <c r="BO28" s="317"/>
      <c r="BP28" s="303"/>
      <c r="BQ28" s="295"/>
      <c r="BR28" s="296"/>
      <c r="BS28" s="297"/>
      <c r="BT28" s="206">
        <f>AC17</f>
        <v>0</v>
      </c>
      <c r="BU28" s="301">
        <f>IFERROR(BT29*AP17/AO17,0)</f>
        <v>0</v>
      </c>
      <c r="BV28" s="303"/>
      <c r="BW28" s="303"/>
      <c r="BX28" s="303"/>
      <c r="BY28" s="303"/>
      <c r="BZ28" s="207"/>
      <c r="CA28" s="279"/>
      <c r="CB28" s="281"/>
      <c r="CE28" s="45"/>
      <c r="EI28" s="18" t="str">
        <f>IFERROR(IF(bgr!CO24=0,"",bgr!CO24),"")</f>
        <v/>
      </c>
      <c r="EJ28" s="18" t="str">
        <f>IFERROR(IF(bgr!CP24=0,"",bgr!CP24),"")</f>
        <v/>
      </c>
    </row>
    <row r="29" spans="2:140" ht="85.5" customHeight="1"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337"/>
      <c r="AX29" s="338"/>
      <c r="AY29" s="232">
        <f>Q17</f>
        <v>0</v>
      </c>
      <c r="AZ29" s="226"/>
      <c r="BA29" s="226"/>
      <c r="BB29" s="226"/>
      <c r="BC29" s="226"/>
      <c r="BD29" s="226"/>
      <c r="BE29" s="227"/>
      <c r="BF29" s="223"/>
      <c r="BG29" s="237"/>
      <c r="BH29" s="187" t="str">
        <f>AK17</f>
        <v/>
      </c>
      <c r="BI29" s="188"/>
      <c r="BJ29" s="189" t="str">
        <f>IF(BT29=0,"",(((BT29)/((BL29+BM29)/60))))</f>
        <v/>
      </c>
      <c r="BK29" s="190"/>
      <c r="BL29" s="191" t="str">
        <f>IF(BI28="","",MINUTE(BI29-BI28)+(HOUR(BI29-BI28)*60-(BM29+BO28+CB28)))</f>
        <v/>
      </c>
      <c r="BM29" s="192"/>
      <c r="BN29" s="339"/>
      <c r="BO29" s="340"/>
      <c r="BP29" s="336"/>
      <c r="BQ29" s="333"/>
      <c r="BR29" s="334"/>
      <c r="BS29" s="335"/>
      <c r="BT29" s="208">
        <f>Pending!BB13</f>
        <v>0</v>
      </c>
      <c r="BU29" s="332"/>
      <c r="BV29" s="336"/>
      <c r="BW29" s="336"/>
      <c r="BX29" s="336"/>
      <c r="BY29" s="336"/>
      <c r="BZ29" s="209"/>
      <c r="CA29" s="341"/>
      <c r="CB29" s="282"/>
      <c r="CE29" s="45"/>
      <c r="EI29" s="18" t="str">
        <f>IFERROR(IF(bgr!CO25=0,"",bgr!CO25),"")</f>
        <v/>
      </c>
      <c r="EJ29" s="18" t="str">
        <f>IFERROR(IF(bgr!CP25=0,"",bgr!CP25),"")</f>
        <v/>
      </c>
    </row>
    <row r="30" spans="2:140" ht="85.5" customHeight="1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319">
        <v>13</v>
      </c>
      <c r="AX30" s="321" t="str">
        <f>CONCATENATE(F18, "-", G18,"-",L18,"x",M18,"x",N18,"x",O18)</f>
        <v>--xxx</v>
      </c>
      <c r="AY30" s="105">
        <f>P18</f>
        <v>0</v>
      </c>
      <c r="AZ30" s="228"/>
      <c r="BA30" s="228"/>
      <c r="BB30" s="228"/>
      <c r="BC30" s="228"/>
      <c r="BD30" s="228"/>
      <c r="BE30" s="228"/>
      <c r="BF30" s="225"/>
      <c r="BG30" s="48" t="str">
        <f>CONCATENATE(R18,"x",S18," - ",T18,"x",U18," - ",V18,"x",W18," - ",X18,"x",Y18," - ",Z18,"x",AA18)</f>
        <v>x - x - x - x - x</v>
      </c>
      <c r="BH30" s="193" t="str">
        <f>AJ18</f>
        <v/>
      </c>
      <c r="BI30" s="194"/>
      <c r="BJ30" s="195" t="str">
        <f>AL18</f>
        <v/>
      </c>
      <c r="BK30" s="196">
        <f>AE18</f>
        <v>0</v>
      </c>
      <c r="BL30" s="196" t="str">
        <f>AF18</f>
        <v/>
      </c>
      <c r="BM30" s="197" t="str">
        <f>AG18</f>
        <v/>
      </c>
      <c r="BN30" s="323" t="str">
        <f>IF(BI30="","",(BM31+BL31))</f>
        <v/>
      </c>
      <c r="BO30" s="324"/>
      <c r="BP30" s="305"/>
      <c r="BQ30" s="326"/>
      <c r="BR30" s="327"/>
      <c r="BS30" s="328"/>
      <c r="BT30" s="210">
        <f>AC18</f>
        <v>0</v>
      </c>
      <c r="BU30" s="301">
        <f>IFERROR(BT31*AP18/AO18,0)</f>
        <v>0</v>
      </c>
      <c r="BV30" s="305"/>
      <c r="BW30" s="305"/>
      <c r="BX30" s="305"/>
      <c r="BY30" s="305"/>
      <c r="BZ30" s="211"/>
      <c r="CA30" s="307"/>
      <c r="CB30" s="309"/>
      <c r="EI30" s="18" t="str">
        <f>IFERROR(IF(bgr!CO26=0,"",bgr!CO26),"")</f>
        <v/>
      </c>
      <c r="EJ30" s="18" t="str">
        <f>IFERROR(IF(bgr!CP26=0,"",bgr!CP26),"")</f>
        <v/>
      </c>
    </row>
    <row r="31" spans="2:140" ht="85.5" customHeight="1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320"/>
      <c r="AX31" s="322"/>
      <c r="AY31" s="231">
        <f>Q18</f>
        <v>0</v>
      </c>
      <c r="AZ31" s="221"/>
      <c r="BA31" s="221"/>
      <c r="BB31" s="221"/>
      <c r="BC31" s="221"/>
      <c r="BD31" s="221"/>
      <c r="BE31" s="222"/>
      <c r="BF31" s="223"/>
      <c r="BG31" s="237"/>
      <c r="BH31" s="176" t="str">
        <f>AK18</f>
        <v/>
      </c>
      <c r="BI31" s="177"/>
      <c r="BJ31" s="178" t="str">
        <f>IF(BT31=0,"",(((BT31)/((BL31+BM31)/60))))</f>
        <v/>
      </c>
      <c r="BK31" s="179"/>
      <c r="BL31" s="180" t="str">
        <f>IF(BI30="","",MINUTE(BI31-BI30)+(HOUR(BI31-BI30)*60-(BM31+BO30+CB30)))</f>
        <v/>
      </c>
      <c r="BM31" s="181"/>
      <c r="BN31" s="323"/>
      <c r="BO31" s="325"/>
      <c r="BP31" s="306"/>
      <c r="BQ31" s="329"/>
      <c r="BR31" s="330"/>
      <c r="BS31" s="331"/>
      <c r="BT31" s="204">
        <f>Pending!BB14</f>
        <v>0</v>
      </c>
      <c r="BU31" s="332"/>
      <c r="BV31" s="306"/>
      <c r="BW31" s="306"/>
      <c r="BX31" s="306"/>
      <c r="BY31" s="306"/>
      <c r="BZ31" s="205"/>
      <c r="CA31" s="308"/>
      <c r="CB31" s="310"/>
      <c r="EI31" s="18" t="str">
        <f>IFERROR(IF(bgr!CO27=0,"",bgr!CO27),"")</f>
        <v/>
      </c>
      <c r="EJ31" s="18" t="str">
        <f>IFERROR(IF(bgr!CP27=0,"",bgr!CP27),"")</f>
        <v/>
      </c>
    </row>
    <row r="32" spans="2:140" ht="85.5" customHeight="1"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311">
        <v>14</v>
      </c>
      <c r="AX32" s="313" t="str">
        <f>CONCATENATE(F19, "-", G19,"-",L19,"x",M19,"x",N19,"x",O19)</f>
        <v>--xxx</v>
      </c>
      <c r="AY32" s="104">
        <f>P19</f>
        <v>0</v>
      </c>
      <c r="AZ32" s="224"/>
      <c r="BA32" s="224"/>
      <c r="BB32" s="224"/>
      <c r="BC32" s="224"/>
      <c r="BD32" s="224"/>
      <c r="BE32" s="224"/>
      <c r="BF32" s="225"/>
      <c r="BG32" s="43" t="str">
        <f>CONCATENATE(R19,"x",S19," - ",T19,"x",U19," - ",V19,"x",W19," - ",X19,"x",Y19," - ",Z19,"x",AA19)</f>
        <v>x - x - x - x - x</v>
      </c>
      <c r="BH32" s="182" t="str">
        <f>AJ19</f>
        <v/>
      </c>
      <c r="BI32" s="183"/>
      <c r="BJ32" s="184" t="str">
        <f>AL19</f>
        <v/>
      </c>
      <c r="BK32" s="185">
        <f>AE19</f>
        <v>0</v>
      </c>
      <c r="BL32" s="185" t="str">
        <f>AF19</f>
        <v/>
      </c>
      <c r="BM32" s="186" t="str">
        <f>AG19</f>
        <v/>
      </c>
      <c r="BN32" s="339" t="str">
        <f>IF(BI32="","",(BM33+BL33))</f>
        <v/>
      </c>
      <c r="BO32" s="317"/>
      <c r="BP32" s="303"/>
      <c r="BQ32" s="295"/>
      <c r="BR32" s="296"/>
      <c r="BS32" s="297"/>
      <c r="BT32" s="206">
        <f>AC19</f>
        <v>0</v>
      </c>
      <c r="BU32" s="301">
        <f>IFERROR(BT33*AP19/AO19,0)</f>
        <v>0</v>
      </c>
      <c r="BV32" s="303"/>
      <c r="BW32" s="303"/>
      <c r="BX32" s="303"/>
      <c r="BY32" s="303"/>
      <c r="BZ32" s="207"/>
      <c r="CA32" s="279"/>
      <c r="CB32" s="281"/>
      <c r="EI32" s="18" t="str">
        <f>IFERROR(IF(bgr!CO28=0,"",bgr!CO28),"")</f>
        <v/>
      </c>
      <c r="EJ32" s="18" t="str">
        <f>IFERROR(IF(bgr!CP28=0,"",bgr!CP28),"")</f>
        <v/>
      </c>
    </row>
    <row r="33" spans="1:156" ht="85.5" customHeight="1"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337"/>
      <c r="AX33" s="338"/>
      <c r="AY33" s="232">
        <f>Q19</f>
        <v>0</v>
      </c>
      <c r="AZ33" s="226"/>
      <c r="BA33" s="226"/>
      <c r="BB33" s="226"/>
      <c r="BC33" s="226"/>
      <c r="BD33" s="226"/>
      <c r="BE33" s="227"/>
      <c r="BF33" s="223"/>
      <c r="BG33" s="237"/>
      <c r="BH33" s="187" t="str">
        <f>AK19</f>
        <v/>
      </c>
      <c r="BI33" s="188"/>
      <c r="BJ33" s="189" t="str">
        <f>IF(BT33=0,"",(((BT33)/((BL33+BM33)/60))))</f>
        <v/>
      </c>
      <c r="BK33" s="190"/>
      <c r="BL33" s="191" t="str">
        <f>IF(BI32="","",MINUTE(BI33-BI32)+(HOUR(BI33-BI32)*60-(BM33+BO32+CB32)))</f>
        <v/>
      </c>
      <c r="BM33" s="192"/>
      <c r="BN33" s="339"/>
      <c r="BO33" s="340"/>
      <c r="BP33" s="336"/>
      <c r="BQ33" s="333"/>
      <c r="BR33" s="334"/>
      <c r="BS33" s="335"/>
      <c r="BT33" s="208">
        <f>Pending!BB15</f>
        <v>0</v>
      </c>
      <c r="BU33" s="332"/>
      <c r="BV33" s="336"/>
      <c r="BW33" s="336"/>
      <c r="BX33" s="336"/>
      <c r="BY33" s="336"/>
      <c r="BZ33" s="209"/>
      <c r="CA33" s="341"/>
      <c r="CB33" s="282"/>
      <c r="EI33" s="18" t="str">
        <f>IFERROR(IF(bgr!CO29=0,"",bgr!CO29),"")</f>
        <v/>
      </c>
      <c r="EJ33" s="18" t="str">
        <f>IFERROR(IF(bgr!CP29=0,"",bgr!CP29),"")</f>
        <v/>
      </c>
    </row>
    <row r="34" spans="1:156" ht="85.5" customHeight="1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319">
        <v>15</v>
      </c>
      <c r="AX34" s="321" t="str">
        <f>CONCATENATE(F20, "-", G20,"-",L20,"x",M20,"x",N20,"x",O20)</f>
        <v>--xxx</v>
      </c>
      <c r="AY34" s="105">
        <f>P20</f>
        <v>0</v>
      </c>
      <c r="AZ34" s="228"/>
      <c r="BA34" s="228"/>
      <c r="BB34" s="228"/>
      <c r="BC34" s="228"/>
      <c r="BD34" s="228"/>
      <c r="BE34" s="228"/>
      <c r="BF34" s="225"/>
      <c r="BG34" s="48" t="str">
        <f>CONCATENATE(R20,"x",S20," - ",T20,"x",U20," - ",V20,"x",W20," - ",X20,"x",Y20," - ",Z20,"x",AA20)</f>
        <v>x - x - x - x - x</v>
      </c>
      <c r="BH34" s="193" t="str">
        <f>AJ20</f>
        <v/>
      </c>
      <c r="BI34" s="194"/>
      <c r="BJ34" s="195" t="str">
        <f>AL20</f>
        <v/>
      </c>
      <c r="BK34" s="196">
        <f>AE20</f>
        <v>0</v>
      </c>
      <c r="BL34" s="196" t="str">
        <f>AF20</f>
        <v/>
      </c>
      <c r="BM34" s="197" t="str">
        <f>AG20</f>
        <v/>
      </c>
      <c r="BN34" s="323" t="str">
        <f>IF(BI34="","",(BM35+BL35))</f>
        <v/>
      </c>
      <c r="BO34" s="324"/>
      <c r="BP34" s="305"/>
      <c r="BQ34" s="326"/>
      <c r="BR34" s="327"/>
      <c r="BS34" s="328"/>
      <c r="BT34" s="210">
        <f>AC20</f>
        <v>0</v>
      </c>
      <c r="BU34" s="301">
        <f>IFERROR(BT35*AP20/AO20,0)</f>
        <v>0</v>
      </c>
      <c r="BV34" s="305"/>
      <c r="BW34" s="305"/>
      <c r="BX34" s="305"/>
      <c r="BY34" s="305"/>
      <c r="BZ34" s="211"/>
      <c r="CA34" s="307"/>
      <c r="CB34" s="309"/>
      <c r="EI34" s="18" t="str">
        <f>IFERROR(IF(bgr!CO30=0,"",bgr!CO30),"")</f>
        <v/>
      </c>
      <c r="EJ34" s="18" t="str">
        <f>IFERROR(IF(bgr!CP30=0,"",bgr!CP30),"")</f>
        <v/>
      </c>
    </row>
    <row r="35" spans="1:156" ht="85.5" customHeight="1"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320"/>
      <c r="AX35" s="322"/>
      <c r="AY35" s="231">
        <f>Q20</f>
        <v>0</v>
      </c>
      <c r="AZ35" s="221"/>
      <c r="BA35" s="221"/>
      <c r="BB35" s="221"/>
      <c r="BC35" s="221"/>
      <c r="BD35" s="221"/>
      <c r="BE35" s="222"/>
      <c r="BF35" s="223"/>
      <c r="BG35" s="237"/>
      <c r="BH35" s="176" t="str">
        <f>AK20</f>
        <v/>
      </c>
      <c r="BI35" s="177"/>
      <c r="BJ35" s="178" t="str">
        <f>IF(BT35=0,"",(((BT35)/((BL35+BM35)/60))))</f>
        <v/>
      </c>
      <c r="BK35" s="179"/>
      <c r="BL35" s="180" t="str">
        <f>IF(BI34="","",MINUTE(BI35-BI34)+(HOUR(BI35-BI34)*60-(BM35+BO34+CB34)))</f>
        <v/>
      </c>
      <c r="BM35" s="181"/>
      <c r="BN35" s="323"/>
      <c r="BO35" s="325"/>
      <c r="BP35" s="306"/>
      <c r="BQ35" s="329"/>
      <c r="BR35" s="330"/>
      <c r="BS35" s="331"/>
      <c r="BT35" s="204">
        <f>Pending!BB16</f>
        <v>0</v>
      </c>
      <c r="BU35" s="332"/>
      <c r="BV35" s="306"/>
      <c r="BW35" s="306"/>
      <c r="BX35" s="306"/>
      <c r="BY35" s="306"/>
      <c r="BZ35" s="205"/>
      <c r="CA35" s="308"/>
      <c r="CB35" s="310"/>
      <c r="EI35" s="18" t="str">
        <f>IFERROR(IF(bgr!CO31=0,"",bgr!CO31),"")</f>
        <v/>
      </c>
      <c r="EJ35" s="18" t="str">
        <f>IFERROR(IF(bgr!CP31=0,"",bgr!CP31),"")</f>
        <v/>
      </c>
    </row>
    <row r="36" spans="1:156" ht="85.5" customHeight="1"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311">
        <v>16</v>
      </c>
      <c r="AX36" s="313" t="str">
        <f>CONCATENATE(F21, "-", G21,"-",L21,"x",M21,"x",N21,"x",O21)</f>
        <v>--xxx</v>
      </c>
      <c r="AY36" s="104">
        <f>P21</f>
        <v>0</v>
      </c>
      <c r="AZ36" s="224"/>
      <c r="BA36" s="224"/>
      <c r="BB36" s="224"/>
      <c r="BC36" s="224"/>
      <c r="BD36" s="224"/>
      <c r="BE36" s="224"/>
      <c r="BF36" s="225"/>
      <c r="BG36" s="67" t="str">
        <f>CONCATENATE(R21,"x",S21," - ",T21,"x",U21," - ",V21,"x",W21," - ",X21,"x",Y21," - ",Z21,"x",AA21)</f>
        <v>x - x - x - x - x</v>
      </c>
      <c r="BH36" s="182" t="str">
        <f>AJ21</f>
        <v/>
      </c>
      <c r="BI36" s="183"/>
      <c r="BJ36" s="184" t="str">
        <f>AL21</f>
        <v/>
      </c>
      <c r="BK36" s="185">
        <f>AE21</f>
        <v>0</v>
      </c>
      <c r="BL36" s="185" t="str">
        <f>AF21</f>
        <v/>
      </c>
      <c r="BM36" s="186" t="str">
        <f>AG21</f>
        <v/>
      </c>
      <c r="BN36" s="315" t="str">
        <f>IF(BI36="","",(BM37+BL37))</f>
        <v/>
      </c>
      <c r="BO36" s="317"/>
      <c r="BP36" s="303"/>
      <c r="BQ36" s="295"/>
      <c r="BR36" s="296"/>
      <c r="BS36" s="297"/>
      <c r="BT36" s="206">
        <f>AC21</f>
        <v>0</v>
      </c>
      <c r="BU36" s="301">
        <f>IFERROR(BT37*AP21/AO21,0)</f>
        <v>0</v>
      </c>
      <c r="BV36" s="303"/>
      <c r="BW36" s="303"/>
      <c r="BX36" s="303"/>
      <c r="BY36" s="303"/>
      <c r="BZ36" s="207"/>
      <c r="CA36" s="279"/>
      <c r="CB36" s="281"/>
      <c r="EI36" s="18" t="str">
        <f>IFERROR(IF(bgr!CO32=0,"",bgr!CO32),"")</f>
        <v/>
      </c>
      <c r="EJ36" s="18" t="str">
        <f>IFERROR(IF(bgr!CP32=0,"",bgr!CP32),"")</f>
        <v/>
      </c>
      <c r="EM36" s="166"/>
      <c r="EN36" s="167"/>
      <c r="EQ36" s="167"/>
      <c r="ER36" s="167"/>
      <c r="EU36" s="167"/>
      <c r="EV36" s="167"/>
      <c r="EY36" s="167"/>
      <c r="EZ36" s="167"/>
    </row>
    <row r="37" spans="1:156" ht="85.5" customHeight="1" thickBot="1"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312"/>
      <c r="AX37" s="314"/>
      <c r="AY37" s="252">
        <f>Q21</f>
        <v>0</v>
      </c>
      <c r="AZ37" s="253"/>
      <c r="BA37" s="253"/>
      <c r="BB37" s="253"/>
      <c r="BC37" s="253"/>
      <c r="BD37" s="253"/>
      <c r="BE37" s="254"/>
      <c r="BF37" s="255"/>
      <c r="BG37" s="256"/>
      <c r="BH37" s="257" t="str">
        <f>AK21</f>
        <v/>
      </c>
      <c r="BI37" s="258"/>
      <c r="BJ37" s="259" t="str">
        <f>IF(BT37=0,"",(((BT37)/((BL37+BM37)/60))))</f>
        <v/>
      </c>
      <c r="BK37" s="260"/>
      <c r="BL37" s="261" t="str">
        <f>IF(BI36="","",MINUTE(BI37-BI36)+(HOUR(BI37-BI36)*60-(BM37+BO36+CB36)))</f>
        <v/>
      </c>
      <c r="BM37" s="262"/>
      <c r="BN37" s="316"/>
      <c r="BO37" s="318"/>
      <c r="BP37" s="304"/>
      <c r="BQ37" s="298"/>
      <c r="BR37" s="299"/>
      <c r="BS37" s="300"/>
      <c r="BT37" s="263">
        <f>Pending!BB17</f>
        <v>0</v>
      </c>
      <c r="BU37" s="302"/>
      <c r="BV37" s="304"/>
      <c r="BW37" s="304"/>
      <c r="BX37" s="304"/>
      <c r="BY37" s="304"/>
      <c r="BZ37" s="213"/>
      <c r="CA37" s="280"/>
      <c r="CB37" s="282"/>
      <c r="EI37" s="18" t="str">
        <f>IFERROR(IF(bgr!CO33=0,"",bgr!CO33),"")</f>
        <v/>
      </c>
      <c r="EJ37" s="18" t="str">
        <f>IFERROR(IF(bgr!CP33=0,"",bgr!CP33),"")</f>
        <v/>
      </c>
    </row>
    <row r="38" spans="1:156" ht="89.25" customHeight="1"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283" t="s">
        <v>100</v>
      </c>
      <c r="AX38" s="284"/>
      <c r="AY38" s="285"/>
      <c r="AZ38" s="286">
        <f>X22</f>
        <v>0</v>
      </c>
      <c r="BA38" s="287"/>
      <c r="BB38" s="287"/>
      <c r="BC38" s="287"/>
      <c r="BD38" s="287"/>
      <c r="BE38" s="288"/>
      <c r="BF38" s="157"/>
      <c r="BG38" s="245" t="s">
        <v>101</v>
      </c>
      <c r="BH38" s="246">
        <f>SUM(AZ6:BF6,AZ8:BF8,AZ10:BF10,AZ12:BF12,AZ14:BF14,AZ16:BF16,AZ18:BF18,AZ20:BF20,AZ22:BF22,AZ24:BF24,AZ26:BF26,AZ28:BF28,AZ30:BF30,AZ32:BF32,AZ34:BF34,AZ36:BF36)</f>
        <v>0</v>
      </c>
      <c r="BI38" s="289" t="s">
        <v>102</v>
      </c>
      <c r="BJ38" s="290"/>
      <c r="BK38" s="247">
        <f>SUM(BU6:BU37)</f>
        <v>0</v>
      </c>
      <c r="BL38" s="291" t="s">
        <v>103</v>
      </c>
      <c r="BM38" s="284"/>
      <c r="BN38" s="284"/>
      <c r="BO38" s="285"/>
      <c r="BP38" s="248">
        <f>COUNT(AZ6:BE6,AZ8:BE8,AZ10:BE10,AZ12:BE12,AZ14:BE14,AZ16:BE16,AZ18:BE18,AZ20:BE20,AZ22:BE22,AZ24:BE24,AZ26:BE26,AZ28:BE28,AZ30:BE30,AZ32:BE32,AZ34:BE34,AZ36:BE36)</f>
        <v>0</v>
      </c>
      <c r="BQ38" s="249" t="s">
        <v>104</v>
      </c>
      <c r="BR38" s="250">
        <f>BT7+BT9+BT11+BT13+BT15+BT17+BT19+BT21+BT23+BT25+BT27+BT29+BT31+BT33+BT35+BT37</f>
        <v>0</v>
      </c>
      <c r="BS38" s="158" t="s">
        <v>105</v>
      </c>
      <c r="BT38" s="251" t="e">
        <f>BK38/(BH38-BH39)</f>
        <v>#DIV/0!</v>
      </c>
      <c r="BU38" s="158" t="s">
        <v>106</v>
      </c>
      <c r="BV38" s="292">
        <f>SUM(Pending!AI2:AI17,Pending!AK2:AK17,Pending!AM2:AM17,Pending!AO2:AO17,Pending!AQ2:AQ17,Pending!AS2:AS17,Pending!AU2:AU17,Pending!AW2:AW17,Pending!AY2:AY17,Pending!BA2:BA17)</f>
        <v>0</v>
      </c>
      <c r="BW38" s="293"/>
      <c r="BX38" s="293"/>
      <c r="BY38" s="293"/>
      <c r="BZ38" s="293"/>
      <c r="CA38" s="294"/>
    </row>
    <row r="39" spans="1:156" ht="88.5" customHeight="1" thickBot="1"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264" t="s">
        <v>107</v>
      </c>
      <c r="AX39" s="265"/>
      <c r="AY39" s="266"/>
      <c r="AZ39" s="267">
        <f>SUM(BN6:BO37)/60</f>
        <v>0</v>
      </c>
      <c r="BA39" s="268"/>
      <c r="BB39" s="268"/>
      <c r="BC39" s="268"/>
      <c r="BD39" s="268"/>
      <c r="BE39" s="269"/>
      <c r="BF39" s="159"/>
      <c r="BG39" s="160" t="s">
        <v>108</v>
      </c>
      <c r="BH39" s="161">
        <f>SUM(AZ7:BE7,AZ9:BE9,AZ11:BE11,AZ13:BE13,AZ15:BE15,AZ17:BE17,AZ19:BE19,AZ21:BE21,AZ23:BE23,AZ25:BE25,AZ27:BE27,AZ29:BE29,AZ31:BE31,AZ33:BE33,AZ35:BE35,AZ37:BE37)</f>
        <v>0</v>
      </c>
      <c r="BI39" s="270" t="s">
        <v>109</v>
      </c>
      <c r="BJ39" s="271"/>
      <c r="BK39" s="162">
        <f>SUM(BV6:CA37)</f>
        <v>0</v>
      </c>
      <c r="BL39" s="272" t="s">
        <v>110</v>
      </c>
      <c r="BM39" s="273"/>
      <c r="BN39" s="273"/>
      <c r="BO39" s="274"/>
      <c r="BP39" s="163">
        <f>COUNT(AZ7:BE7,AZ9:BE9,AZ11:BE11,AZ13:BE13,AZ15:BE15,AZ17:BE17,AZ19:BE19,AZ21:BE21,AZ23:BE23,AZ25:BE25,AZ27:BE27,AZ29:BE29,AZ31:BE31,AZ33:BE33,AZ35:BE35,AZ37:BE37)</f>
        <v>0</v>
      </c>
      <c r="BQ39" s="164" t="s">
        <v>111</v>
      </c>
      <c r="BR39" s="161">
        <f>AJ3</f>
        <v>0</v>
      </c>
      <c r="BS39" s="160" t="s">
        <v>112</v>
      </c>
      <c r="BT39" s="165" t="e">
        <f>BR38/AZ39</f>
        <v>#DIV/0!</v>
      </c>
      <c r="BU39" s="160" t="s">
        <v>113</v>
      </c>
      <c r="BV39" s="275">
        <f>BM7+BM9+BM11+BM13+BM15+BM17+BM19+BM21+BM23+BM25+BM27+BM29++BM31+BM33+BM35+BM37</f>
        <v>0</v>
      </c>
      <c r="BW39" s="276"/>
      <c r="BX39" s="276"/>
      <c r="BY39" s="276"/>
      <c r="BZ39" s="276"/>
      <c r="CA39" s="277"/>
    </row>
    <row r="40" spans="1:156" ht="65.099999999999994" customHeight="1" thickTop="1"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  <c r="BJ40" s="68"/>
      <c r="BK40" s="68"/>
      <c r="BL40" s="68"/>
      <c r="BM40" s="68"/>
      <c r="BN40" s="68"/>
      <c r="BO40" s="68"/>
      <c r="BP40" s="68"/>
      <c r="BQ40" s="215"/>
      <c r="BR40" s="215"/>
      <c r="BS40" s="215"/>
      <c r="BT40" s="45"/>
      <c r="BU40" s="68"/>
      <c r="BV40" s="68"/>
      <c r="BW40" s="68"/>
      <c r="BX40" s="68"/>
      <c r="BY40" s="68"/>
      <c r="BZ40" s="68"/>
      <c r="CA40" s="68"/>
      <c r="CB40" s="69"/>
    </row>
    <row r="41" spans="1:156" s="97" customFormat="1" ht="149.25" customHeight="1">
      <c r="A41" s="70"/>
      <c r="B41" s="144" t="s">
        <v>114</v>
      </c>
      <c r="C41" s="145"/>
      <c r="D41" s="145"/>
      <c r="E41" s="145"/>
      <c r="F41" s="144" t="s">
        <v>16</v>
      </c>
      <c r="G41" s="144" t="s">
        <v>115</v>
      </c>
      <c r="H41" s="144"/>
      <c r="I41" s="144"/>
      <c r="J41" s="144" t="s">
        <v>116</v>
      </c>
      <c r="K41" s="144" t="s">
        <v>117</v>
      </c>
      <c r="L41" s="144" t="s">
        <v>118</v>
      </c>
      <c r="M41" s="144" t="s">
        <v>119</v>
      </c>
      <c r="N41" s="144" t="s">
        <v>120</v>
      </c>
      <c r="O41" s="144" t="s">
        <v>121</v>
      </c>
      <c r="P41" s="144" t="s">
        <v>122</v>
      </c>
      <c r="Q41" s="144" t="s">
        <v>123</v>
      </c>
      <c r="R41" s="144" t="s">
        <v>124</v>
      </c>
      <c r="S41" s="144" t="s">
        <v>125</v>
      </c>
      <c r="T41" s="144" t="s">
        <v>126</v>
      </c>
      <c r="U41" s="144"/>
      <c r="V41" s="70"/>
      <c r="W41" s="70"/>
      <c r="X41" s="70"/>
      <c r="Y41" s="146"/>
      <c r="Z41" s="146"/>
      <c r="AA41" s="146"/>
      <c r="AB41" s="146"/>
      <c r="AC41" s="146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2"/>
      <c r="AX41" s="278" t="s">
        <v>127</v>
      </c>
      <c r="AY41" s="278"/>
      <c r="AZ41" s="278"/>
      <c r="BA41" s="278"/>
      <c r="BB41" s="278"/>
      <c r="BC41" s="278"/>
      <c r="BD41" s="278"/>
      <c r="BE41" s="278"/>
      <c r="BF41" s="278"/>
      <c r="BG41" s="278"/>
      <c r="BH41" s="72"/>
      <c r="BI41" s="72"/>
      <c r="BJ41" s="72"/>
      <c r="BK41" s="72"/>
      <c r="BL41" s="72"/>
      <c r="BM41" s="72"/>
      <c r="BN41" s="72"/>
      <c r="BO41" s="72"/>
      <c r="BP41" s="72"/>
      <c r="BQ41" s="216"/>
      <c r="BR41" s="216"/>
      <c r="BS41" s="216"/>
      <c r="BT41" s="72"/>
      <c r="BU41" s="72"/>
      <c r="BV41" s="72"/>
      <c r="BW41" s="72"/>
      <c r="BX41" s="72"/>
      <c r="BY41" s="72"/>
      <c r="BZ41" s="72"/>
      <c r="CA41" s="72"/>
      <c r="CB41" s="73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Q41" s="70"/>
      <c r="CR41" s="70"/>
      <c r="CS41" s="70"/>
      <c r="CT41" s="70"/>
      <c r="CU41" s="70"/>
      <c r="CV41" s="70"/>
      <c r="CW41" s="89"/>
      <c r="CX41" s="89"/>
      <c r="CY41" s="89"/>
      <c r="CZ41" s="89"/>
      <c r="DA41" s="89"/>
      <c r="DB41" s="89"/>
      <c r="DC41" s="89"/>
      <c r="DD41" s="89"/>
      <c r="DE41" s="89"/>
      <c r="DF41" s="89"/>
      <c r="DG41" s="89"/>
      <c r="DH41" s="89"/>
      <c r="DI41" s="89"/>
      <c r="DJ41" s="89"/>
      <c r="DK41" s="89"/>
      <c r="DL41" s="89"/>
      <c r="DM41" s="89"/>
      <c r="DN41" s="89"/>
      <c r="DO41" s="89"/>
      <c r="DP41" s="89"/>
      <c r="DQ41" s="89"/>
      <c r="DR41" s="89"/>
      <c r="DS41" s="89"/>
      <c r="DT41" s="89"/>
      <c r="DU41" s="89"/>
      <c r="DV41" s="70"/>
      <c r="DW41" s="70"/>
      <c r="DX41" s="70"/>
      <c r="DY41" s="70"/>
      <c r="DZ41" s="70"/>
      <c r="EA41" s="70"/>
      <c r="EB41" s="70"/>
      <c r="EC41" s="70"/>
      <c r="ED41" s="70"/>
      <c r="EE41" s="70"/>
      <c r="EF41" s="70"/>
      <c r="EG41" s="70"/>
      <c r="EH41" s="70"/>
      <c r="EI41" s="70"/>
      <c r="EJ41" s="70"/>
      <c r="EK41" s="70"/>
    </row>
    <row r="42" spans="1:156" s="98" customFormat="1" ht="44.25" customHeight="1">
      <c r="A42" s="69"/>
      <c r="B42" s="147" t="s">
        <v>128</v>
      </c>
      <c r="C42" s="148">
        <v>11</v>
      </c>
      <c r="D42" s="148"/>
      <c r="E42" s="149">
        <v>10</v>
      </c>
      <c r="F42" s="130">
        <v>1</v>
      </c>
      <c r="G42" s="150"/>
      <c r="H42" s="150"/>
      <c r="I42" s="150"/>
      <c r="J42" s="150"/>
      <c r="K42" s="150"/>
      <c r="L42" s="150"/>
      <c r="M42" s="151"/>
      <c r="N42" s="130" t="str">
        <f t="shared" ref="N42:N58" si="11">IF(F6="","",IF(G42="OUT",$E$43,$E$44))</f>
        <v/>
      </c>
      <c r="O42" s="130" t="str">
        <f t="shared" ref="O42:O57" si="12">IF(F6="","",N42*P6)</f>
        <v/>
      </c>
      <c r="P42" s="130" t="str">
        <f>IF(K42="B",$E$45*((S6+U6+W6)/2),"")</f>
        <v/>
      </c>
      <c r="Q42" s="130" t="str">
        <f t="shared" ref="Q42:Q57" si="13">IF(L42="P",(S6+U6+W6+Y6)*$E$46,"")</f>
        <v/>
      </c>
      <c r="R42" s="130" t="str">
        <f t="shared" ref="R42:R59" si="14">IF(P6="","",IF(P6&gt;1,10+6*(P6-1),10))</f>
        <v/>
      </c>
      <c r="S42" s="130" t="str">
        <f t="shared" ref="S42:S57" si="15">IF(J42="S",4,IF(Q6="R",2,""))</f>
        <v/>
      </c>
      <c r="T42" s="152">
        <f t="shared" ref="T42:T59" si="16">SUM(O42:S42)</f>
        <v>0</v>
      </c>
      <c r="U42" s="130"/>
      <c r="V42" s="69"/>
      <c r="W42" s="69"/>
      <c r="X42" s="69"/>
      <c r="Y42" s="146"/>
      <c r="Z42" s="146"/>
      <c r="AA42" s="146"/>
      <c r="AB42" s="146"/>
      <c r="AC42" s="146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45"/>
      <c r="AX42" s="45"/>
      <c r="AY42" s="45"/>
      <c r="AZ42" s="45"/>
      <c r="BA42" s="45"/>
      <c r="BB42" s="45"/>
      <c r="BC42" s="45"/>
      <c r="BD42" s="45"/>
      <c r="BE42" s="45"/>
      <c r="BF42" s="45"/>
      <c r="BG42" s="45"/>
      <c r="BH42" s="45"/>
      <c r="BI42" s="45"/>
      <c r="BJ42" s="45"/>
      <c r="BK42" s="45"/>
      <c r="BL42" s="45"/>
      <c r="BM42" s="45"/>
      <c r="BN42" s="45"/>
      <c r="BO42" s="45"/>
      <c r="BP42" s="45"/>
      <c r="BQ42" s="217"/>
      <c r="BR42" s="217"/>
      <c r="BS42" s="217"/>
      <c r="BT42" s="68"/>
      <c r="BU42" s="45"/>
      <c r="BV42" s="45"/>
      <c r="BW42" s="45"/>
      <c r="BX42" s="45"/>
      <c r="BY42" s="45"/>
      <c r="BZ42" s="45"/>
      <c r="CA42" s="45"/>
      <c r="CB42" s="69"/>
      <c r="CC42" s="69"/>
      <c r="CD42" s="69"/>
      <c r="CE42" s="69"/>
      <c r="CF42" s="69"/>
      <c r="CG42" s="69"/>
      <c r="CH42" s="69"/>
      <c r="CI42" s="69"/>
      <c r="CJ42" s="69"/>
      <c r="CK42" s="69"/>
      <c r="CL42" s="69"/>
      <c r="CM42" s="69"/>
      <c r="CN42" s="69"/>
      <c r="CO42" s="69"/>
      <c r="CP42" s="69"/>
      <c r="CQ42" s="69"/>
      <c r="CR42" s="69"/>
      <c r="CS42" s="69"/>
      <c r="CT42" s="69"/>
      <c r="CU42" s="69"/>
      <c r="CV42" s="69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69"/>
      <c r="DW42" s="69"/>
      <c r="DX42" s="69"/>
      <c r="DY42" s="69"/>
      <c r="DZ42" s="69"/>
      <c r="EA42" s="69"/>
      <c r="EB42" s="69"/>
      <c r="EC42" s="69"/>
      <c r="ED42" s="69"/>
      <c r="EE42" s="69"/>
      <c r="EF42" s="69"/>
      <c r="EG42" s="69"/>
      <c r="EH42" s="69"/>
      <c r="EI42" s="69"/>
      <c r="EJ42" s="69"/>
      <c r="EK42" s="69"/>
    </row>
    <row r="43" spans="1:156" s="99" customFormat="1" ht="44.25" customHeight="1">
      <c r="A43" s="73"/>
      <c r="B43" s="153" t="s">
        <v>129</v>
      </c>
      <c r="C43" s="154">
        <v>10</v>
      </c>
      <c r="D43" s="154"/>
      <c r="E43" s="155">
        <v>6</v>
      </c>
      <c r="F43" s="130">
        <v>2</v>
      </c>
      <c r="G43" s="150"/>
      <c r="H43" s="150"/>
      <c r="I43" s="150"/>
      <c r="J43" s="150"/>
      <c r="K43" s="150"/>
      <c r="L43" s="150"/>
      <c r="M43" s="151"/>
      <c r="N43" s="130" t="str">
        <f t="shared" si="11"/>
        <v/>
      </c>
      <c r="O43" s="130" t="str">
        <f t="shared" si="12"/>
        <v/>
      </c>
      <c r="P43" s="130" t="str">
        <f t="shared" ref="P43:P59" si="17">IF(K43="B",$E$45*((S7+U7+W7)/2),"")</f>
        <v/>
      </c>
      <c r="Q43" s="130" t="str">
        <f t="shared" si="13"/>
        <v/>
      </c>
      <c r="R43" s="130" t="str">
        <f t="shared" si="14"/>
        <v/>
      </c>
      <c r="S43" s="130" t="str">
        <f t="shared" si="15"/>
        <v/>
      </c>
      <c r="T43" s="152">
        <f t="shared" si="16"/>
        <v>0</v>
      </c>
      <c r="U43" s="130"/>
      <c r="V43" s="73"/>
      <c r="W43" s="73"/>
      <c r="X43" s="73"/>
      <c r="Y43" s="146"/>
      <c r="Z43" s="146"/>
      <c r="AA43" s="146"/>
      <c r="AB43" s="146"/>
      <c r="AC43" s="146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45"/>
      <c r="AX43" s="45"/>
      <c r="AY43" s="45"/>
      <c r="AZ43" s="45"/>
      <c r="BA43" s="45"/>
      <c r="BB43" s="45"/>
      <c r="BC43" s="45"/>
      <c r="BD43" s="45"/>
      <c r="BE43" s="45"/>
      <c r="BF43" s="45"/>
      <c r="BG43" s="45"/>
      <c r="BH43" s="45"/>
      <c r="BI43" s="45"/>
      <c r="BJ43" s="45"/>
      <c r="BK43" s="45"/>
      <c r="BL43" s="45"/>
      <c r="BM43" s="45"/>
      <c r="BN43" s="45"/>
      <c r="BO43" s="45"/>
      <c r="BP43" s="45"/>
      <c r="BQ43" s="217"/>
      <c r="BR43" s="217"/>
      <c r="BS43" s="217"/>
      <c r="BT43" s="45"/>
      <c r="BU43" s="45"/>
      <c r="BV43" s="45"/>
      <c r="BW43" s="45"/>
      <c r="BX43" s="45"/>
      <c r="BY43" s="45"/>
      <c r="BZ43" s="45"/>
      <c r="CA43" s="45"/>
      <c r="CB43" s="69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3"/>
      <c r="CV43" s="73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91"/>
      <c r="DQ43" s="91"/>
      <c r="DR43" s="91"/>
      <c r="DS43" s="91"/>
      <c r="DT43" s="91"/>
      <c r="DU43" s="91"/>
      <c r="DV43" s="73"/>
      <c r="DW43" s="73"/>
      <c r="DX43" s="73"/>
      <c r="DY43" s="73"/>
      <c r="DZ43" s="73"/>
      <c r="EA43" s="73"/>
      <c r="EB43" s="73"/>
      <c r="EC43" s="73"/>
      <c r="ED43" s="73"/>
      <c r="EE43" s="73"/>
      <c r="EF43" s="73"/>
      <c r="EG43" s="73"/>
      <c r="EH43" s="73"/>
      <c r="EI43" s="73"/>
      <c r="EJ43" s="73"/>
      <c r="EK43" s="73"/>
    </row>
    <row r="44" spans="1:156" s="98" customFormat="1" ht="44.25" customHeight="1">
      <c r="A44" s="69"/>
      <c r="B44" s="153" t="s">
        <v>130</v>
      </c>
      <c r="C44" s="154">
        <v>7</v>
      </c>
      <c r="D44" s="154"/>
      <c r="E44" s="155">
        <v>5</v>
      </c>
      <c r="F44" s="130">
        <v>3</v>
      </c>
      <c r="G44" s="150"/>
      <c r="H44" s="150"/>
      <c r="I44" s="150"/>
      <c r="J44" s="150"/>
      <c r="K44" s="150"/>
      <c r="L44" s="150"/>
      <c r="M44" s="151"/>
      <c r="N44" s="130" t="str">
        <f t="shared" si="11"/>
        <v/>
      </c>
      <c r="O44" s="130" t="str">
        <f t="shared" si="12"/>
        <v/>
      </c>
      <c r="P44" s="130" t="str">
        <f t="shared" si="17"/>
        <v/>
      </c>
      <c r="Q44" s="130" t="str">
        <f t="shared" si="13"/>
        <v/>
      </c>
      <c r="R44" s="130" t="str">
        <f t="shared" si="14"/>
        <v/>
      </c>
      <c r="S44" s="130" t="str">
        <f t="shared" si="15"/>
        <v/>
      </c>
      <c r="T44" s="152">
        <f t="shared" si="16"/>
        <v>0</v>
      </c>
      <c r="U44" s="130"/>
      <c r="V44" s="69"/>
      <c r="W44" s="69"/>
      <c r="X44" s="69"/>
      <c r="Y44" s="146"/>
      <c r="Z44" s="146"/>
      <c r="AA44" s="146"/>
      <c r="AB44" s="146"/>
      <c r="AC44" s="146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/>
      <c r="BL44" s="45"/>
      <c r="BM44" s="45"/>
      <c r="BN44" s="45"/>
      <c r="BO44" s="45"/>
      <c r="BP44" s="74"/>
      <c r="BQ44" s="218"/>
      <c r="BR44" s="218"/>
      <c r="BS44" s="218"/>
      <c r="BT44" s="74"/>
      <c r="BU44" s="74"/>
      <c r="BV44" s="74"/>
      <c r="BW44" s="74"/>
      <c r="BX44" s="74"/>
      <c r="BY44" s="74"/>
      <c r="BZ44" s="74"/>
      <c r="CA44" s="74"/>
      <c r="CB44" s="69"/>
      <c r="CC44" s="69"/>
      <c r="CD44" s="69"/>
      <c r="CE44" s="69"/>
      <c r="CF44" s="69"/>
      <c r="CG44" s="69"/>
      <c r="CH44" s="69"/>
      <c r="CI44" s="69"/>
      <c r="CJ44" s="69"/>
      <c r="CK44" s="69"/>
      <c r="CL44" s="69"/>
      <c r="CM44" s="69"/>
      <c r="CN44" s="69"/>
      <c r="CO44" s="69"/>
      <c r="CP44" s="69"/>
      <c r="CQ44" s="69"/>
      <c r="CR44" s="69"/>
      <c r="CS44" s="69"/>
      <c r="CT44" s="69"/>
      <c r="CU44" s="69"/>
      <c r="CV44" s="69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69"/>
      <c r="DW44" s="69"/>
      <c r="DX44" s="69"/>
      <c r="DY44" s="69"/>
      <c r="DZ44" s="69"/>
      <c r="EA44" s="69"/>
      <c r="EB44" s="69"/>
      <c r="EC44" s="69"/>
      <c r="ED44" s="69"/>
      <c r="EE44" s="69"/>
      <c r="EF44" s="69"/>
      <c r="EG44" s="69"/>
      <c r="EH44" s="69"/>
      <c r="EI44" s="69"/>
      <c r="EJ44" s="69"/>
      <c r="EK44" s="69"/>
    </row>
    <row r="45" spans="1:156" s="98" customFormat="1" ht="44.25" customHeight="1">
      <c r="A45" s="69"/>
      <c r="B45" s="153" t="s">
        <v>131</v>
      </c>
      <c r="C45" s="154"/>
      <c r="D45" s="154"/>
      <c r="E45" s="155">
        <v>6</v>
      </c>
      <c r="F45" s="130">
        <v>4</v>
      </c>
      <c r="G45" s="150"/>
      <c r="H45" s="150"/>
      <c r="I45" s="150"/>
      <c r="J45" s="150"/>
      <c r="K45" s="150"/>
      <c r="L45" s="150"/>
      <c r="M45" s="151"/>
      <c r="N45" s="130" t="str">
        <f t="shared" si="11"/>
        <v/>
      </c>
      <c r="O45" s="130" t="str">
        <f t="shared" si="12"/>
        <v/>
      </c>
      <c r="P45" s="130" t="str">
        <f t="shared" si="17"/>
        <v/>
      </c>
      <c r="Q45" s="130" t="str">
        <f t="shared" si="13"/>
        <v/>
      </c>
      <c r="R45" s="130" t="str">
        <f t="shared" si="14"/>
        <v/>
      </c>
      <c r="S45" s="130" t="str">
        <f t="shared" si="15"/>
        <v/>
      </c>
      <c r="T45" s="152">
        <f t="shared" si="16"/>
        <v>0</v>
      </c>
      <c r="U45" s="130"/>
      <c r="V45" s="69"/>
      <c r="W45" s="69"/>
      <c r="X45" s="69"/>
      <c r="Y45" s="146"/>
      <c r="Z45" s="146"/>
      <c r="AA45" s="146"/>
      <c r="AB45" s="146"/>
      <c r="AC45" s="146"/>
      <c r="AD45" s="68"/>
      <c r="AE45" s="68"/>
      <c r="AF45" s="68"/>
      <c r="AG45" s="68"/>
      <c r="AH45" s="68"/>
      <c r="AI45" s="68"/>
      <c r="AJ45" s="68"/>
      <c r="AK45" s="68"/>
      <c r="AL45" s="68"/>
      <c r="AM45" s="68"/>
      <c r="AN45" s="68"/>
      <c r="AO45" s="68"/>
      <c r="AP45" s="68"/>
      <c r="AQ45" s="68"/>
      <c r="AR45" s="68"/>
      <c r="AS45" s="68"/>
      <c r="AT45" s="68"/>
      <c r="AU45" s="68"/>
      <c r="AV45" s="68"/>
      <c r="AW45" s="74"/>
      <c r="AX45" s="74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74"/>
      <c r="BN45" s="74"/>
      <c r="BO45" s="74"/>
      <c r="BP45" s="68"/>
      <c r="BQ45" s="215"/>
      <c r="BR45" s="215"/>
      <c r="BS45" s="215"/>
      <c r="BT45" s="74"/>
      <c r="BU45" s="68"/>
      <c r="BV45" s="68"/>
      <c r="BW45" s="68"/>
      <c r="BX45" s="68"/>
      <c r="BY45" s="68"/>
      <c r="BZ45" s="68"/>
      <c r="CA45" s="68"/>
      <c r="CB45" s="69"/>
      <c r="CC45" s="69"/>
      <c r="CD45" s="69"/>
      <c r="CE45" s="69"/>
      <c r="CF45" s="69"/>
      <c r="CG45" s="69"/>
      <c r="CH45" s="69"/>
      <c r="CI45" s="69"/>
      <c r="CJ45" s="69"/>
      <c r="CK45" s="69"/>
      <c r="CL45" s="69"/>
      <c r="CM45" s="69"/>
      <c r="CN45" s="69"/>
      <c r="CO45" s="69"/>
      <c r="CP45" s="69"/>
      <c r="CQ45" s="69"/>
      <c r="CR45" s="69"/>
      <c r="CS45" s="69"/>
      <c r="CT45" s="69"/>
      <c r="CU45" s="69"/>
      <c r="CV45" s="69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69"/>
      <c r="DW45" s="69"/>
      <c r="DX45" s="69"/>
      <c r="DY45" s="69"/>
      <c r="DZ45" s="69"/>
      <c r="EA45" s="69"/>
      <c r="EB45" s="69"/>
      <c r="EC45" s="69"/>
      <c r="ED45" s="69"/>
      <c r="EE45" s="69"/>
      <c r="EF45" s="69"/>
      <c r="EG45" s="69"/>
      <c r="EH45" s="69"/>
      <c r="EI45" s="69"/>
      <c r="EJ45" s="69"/>
      <c r="EK45" s="69"/>
    </row>
    <row r="46" spans="1:156" s="98" customFormat="1" ht="44.25" customHeight="1">
      <c r="A46" s="69"/>
      <c r="B46" s="153" t="s">
        <v>132</v>
      </c>
      <c r="C46" s="154">
        <v>6</v>
      </c>
      <c r="D46" s="154"/>
      <c r="E46" s="155">
        <v>1</v>
      </c>
      <c r="F46" s="130">
        <v>5</v>
      </c>
      <c r="G46" s="150"/>
      <c r="H46" s="150"/>
      <c r="I46" s="150"/>
      <c r="J46" s="150"/>
      <c r="K46" s="150"/>
      <c r="L46" s="150"/>
      <c r="M46" s="151"/>
      <c r="N46" s="130" t="str">
        <f t="shared" si="11"/>
        <v/>
      </c>
      <c r="O46" s="130" t="str">
        <f t="shared" si="12"/>
        <v/>
      </c>
      <c r="P46" s="130" t="str">
        <f t="shared" si="17"/>
        <v/>
      </c>
      <c r="Q46" s="130" t="str">
        <f t="shared" si="13"/>
        <v/>
      </c>
      <c r="R46" s="130" t="str">
        <f t="shared" si="14"/>
        <v/>
      </c>
      <c r="S46" s="130" t="str">
        <f t="shared" si="15"/>
        <v/>
      </c>
      <c r="T46" s="152">
        <f t="shared" si="16"/>
        <v>0</v>
      </c>
      <c r="U46" s="130"/>
      <c r="V46" s="69"/>
      <c r="W46" s="69"/>
      <c r="X46" s="69"/>
      <c r="Y46" s="146"/>
      <c r="Z46" s="146"/>
      <c r="AA46" s="146"/>
      <c r="AB46" s="146"/>
      <c r="AC46" s="146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68"/>
      <c r="AW46" s="68"/>
      <c r="AX46" s="68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5"/>
      <c r="BM46" s="45"/>
      <c r="BN46" s="45"/>
      <c r="BO46" s="45"/>
      <c r="BP46" s="68"/>
      <c r="BQ46" s="215"/>
      <c r="BR46" s="215"/>
      <c r="BS46" s="215"/>
      <c r="BT46" s="45"/>
      <c r="BU46" s="68"/>
      <c r="BV46" s="68"/>
      <c r="BW46" s="68"/>
      <c r="BX46" s="68"/>
      <c r="BY46" s="68"/>
      <c r="BZ46" s="68"/>
      <c r="CA46" s="68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</row>
    <row r="47" spans="1:156" s="98" customFormat="1" ht="44.25" customHeight="1">
      <c r="A47" s="69"/>
      <c r="B47" s="153" t="s">
        <v>87</v>
      </c>
      <c r="C47" s="154">
        <v>1.5</v>
      </c>
      <c r="D47" s="154"/>
      <c r="E47" s="155">
        <v>2</v>
      </c>
      <c r="F47" s="130">
        <v>6</v>
      </c>
      <c r="G47" s="150"/>
      <c r="H47" s="150"/>
      <c r="I47" s="150"/>
      <c r="J47" s="150"/>
      <c r="K47" s="150"/>
      <c r="L47" s="150"/>
      <c r="M47" s="151"/>
      <c r="N47" s="130" t="str">
        <f t="shared" si="11"/>
        <v/>
      </c>
      <c r="O47" s="130" t="str">
        <f t="shared" si="12"/>
        <v/>
      </c>
      <c r="P47" s="130" t="str">
        <f t="shared" si="17"/>
        <v/>
      </c>
      <c r="Q47" s="130" t="str">
        <f t="shared" si="13"/>
        <v/>
      </c>
      <c r="R47" s="130" t="str">
        <f t="shared" si="14"/>
        <v/>
      </c>
      <c r="S47" s="130" t="str">
        <f t="shared" si="15"/>
        <v/>
      </c>
      <c r="T47" s="152">
        <f t="shared" si="16"/>
        <v>0</v>
      </c>
      <c r="U47" s="130"/>
      <c r="V47" s="69"/>
      <c r="W47" s="69"/>
      <c r="X47" s="69"/>
      <c r="Y47" s="146"/>
      <c r="Z47" s="146"/>
      <c r="AA47" s="146"/>
      <c r="AB47" s="146"/>
      <c r="AC47" s="146"/>
      <c r="AD47" s="68" t="s">
        <v>133</v>
      </c>
      <c r="AE47" s="68"/>
      <c r="AF47" s="68"/>
      <c r="AG47" s="68"/>
      <c r="AH47" s="68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45"/>
      <c r="AZ47" s="45"/>
      <c r="BA47" s="45"/>
      <c r="BB47" s="45"/>
      <c r="BC47" s="45"/>
      <c r="BD47" s="45"/>
      <c r="BE47" s="45"/>
      <c r="BF47" s="45"/>
      <c r="BG47" s="45"/>
      <c r="BH47" s="45"/>
      <c r="BI47" s="45"/>
      <c r="BJ47" s="45"/>
      <c r="BK47" s="45"/>
      <c r="BL47" s="45"/>
      <c r="BM47" s="45"/>
      <c r="BN47" s="45"/>
      <c r="BO47" s="45"/>
      <c r="BP47" s="68"/>
      <c r="BQ47" s="215"/>
      <c r="BR47" s="215"/>
      <c r="BS47" s="215"/>
      <c r="BT47" s="45"/>
      <c r="BU47" s="68"/>
      <c r="BV47" s="68"/>
      <c r="BW47" s="68"/>
      <c r="BX47" s="68"/>
      <c r="BY47" s="68"/>
      <c r="BZ47" s="68"/>
      <c r="CA47" s="68"/>
      <c r="CB47" s="69"/>
      <c r="CC47" s="69"/>
      <c r="CD47" s="69"/>
      <c r="CE47" s="69"/>
      <c r="CF47" s="69"/>
      <c r="CG47" s="69"/>
      <c r="CH47" s="69"/>
      <c r="CI47" s="69"/>
      <c r="CJ47" s="69"/>
      <c r="CK47" s="69"/>
      <c r="CL47" s="69"/>
      <c r="CM47" s="69"/>
      <c r="CN47" s="69"/>
      <c r="CO47" s="69"/>
      <c r="CP47" s="69"/>
      <c r="CQ47" s="69"/>
      <c r="CR47" s="69"/>
      <c r="CS47" s="69"/>
      <c r="CT47" s="69"/>
      <c r="CU47" s="69"/>
      <c r="CV47" s="69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69"/>
      <c r="DW47" s="69"/>
      <c r="DX47" s="69"/>
      <c r="DY47" s="69"/>
      <c r="DZ47" s="69"/>
      <c r="EA47" s="69"/>
      <c r="EB47" s="69"/>
      <c r="EC47" s="69"/>
      <c r="ED47" s="69"/>
      <c r="EE47" s="69"/>
      <c r="EF47" s="69"/>
      <c r="EG47" s="69"/>
      <c r="EH47" s="69"/>
      <c r="EI47" s="69"/>
      <c r="EJ47" s="69"/>
      <c r="EK47" s="69"/>
    </row>
    <row r="48" spans="1:156" s="98" customFormat="1" ht="44.25" customHeight="1">
      <c r="A48" s="69"/>
      <c r="B48" s="68"/>
      <c r="C48" s="68"/>
      <c r="D48" s="68"/>
      <c r="E48" s="146"/>
      <c r="F48" s="130">
        <v>7</v>
      </c>
      <c r="G48" s="150"/>
      <c r="H48" s="150"/>
      <c r="I48" s="150"/>
      <c r="J48" s="150"/>
      <c r="K48" s="150"/>
      <c r="L48" s="150"/>
      <c r="M48" s="151"/>
      <c r="N48" s="130" t="str">
        <f t="shared" si="11"/>
        <v/>
      </c>
      <c r="O48" s="130" t="str">
        <f t="shared" si="12"/>
        <v/>
      </c>
      <c r="P48" s="130" t="str">
        <f t="shared" si="17"/>
        <v/>
      </c>
      <c r="Q48" s="130" t="str">
        <f t="shared" si="13"/>
        <v/>
      </c>
      <c r="R48" s="130" t="str">
        <f t="shared" si="14"/>
        <v/>
      </c>
      <c r="S48" s="130" t="str">
        <f t="shared" si="15"/>
        <v/>
      </c>
      <c r="T48" s="152">
        <f t="shared" si="16"/>
        <v>0</v>
      </c>
      <c r="U48" s="130"/>
      <c r="V48" s="69"/>
      <c r="W48" s="69"/>
      <c r="X48" s="69"/>
      <c r="Y48" s="146"/>
      <c r="Z48" s="146"/>
      <c r="AA48" s="146"/>
      <c r="AB48" s="146"/>
      <c r="AC48" s="146"/>
      <c r="AD48" s="68"/>
      <c r="AE48" s="68"/>
      <c r="AF48" s="68"/>
      <c r="AG48" s="68"/>
      <c r="AH48" s="68"/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68"/>
      <c r="AW48" s="68"/>
      <c r="AX48" s="68"/>
      <c r="AY48" s="45"/>
      <c r="AZ48" s="45"/>
      <c r="BA48" s="45"/>
      <c r="BB48" s="45"/>
      <c r="BC48" s="45"/>
      <c r="BD48" s="45"/>
      <c r="BE48" s="45"/>
      <c r="BF48" s="45"/>
      <c r="BG48" s="45"/>
      <c r="BH48" s="45"/>
      <c r="BI48" s="45"/>
      <c r="BJ48" s="45"/>
      <c r="BK48" s="45"/>
      <c r="BL48" s="45"/>
      <c r="BM48" s="45"/>
      <c r="BN48" s="45"/>
      <c r="BO48" s="45"/>
      <c r="BP48" s="68"/>
      <c r="BQ48" s="215"/>
      <c r="BR48" s="215"/>
      <c r="BS48" s="215"/>
      <c r="BT48" s="45"/>
      <c r="BU48" s="68"/>
      <c r="BV48" s="68"/>
      <c r="BW48" s="68"/>
      <c r="BX48" s="68"/>
      <c r="BY48" s="68"/>
      <c r="BZ48" s="68"/>
      <c r="CA48" s="68"/>
      <c r="CB48" s="69"/>
      <c r="CC48" s="69"/>
      <c r="CD48" s="69"/>
      <c r="CE48" s="69"/>
      <c r="CF48" s="69"/>
      <c r="CG48" s="69"/>
      <c r="CH48" s="69"/>
      <c r="CI48" s="69"/>
      <c r="CJ48" s="69"/>
      <c r="CK48" s="69"/>
      <c r="CL48" s="69"/>
      <c r="CM48" s="69"/>
      <c r="CN48" s="69"/>
      <c r="CO48" s="69"/>
      <c r="CP48" s="69"/>
      <c r="CQ48" s="69"/>
      <c r="CR48" s="69"/>
      <c r="CS48" s="69"/>
      <c r="CT48" s="69"/>
      <c r="CU48" s="69"/>
      <c r="CV48" s="69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69"/>
      <c r="DW48" s="69"/>
      <c r="DX48" s="69"/>
      <c r="DY48" s="69"/>
      <c r="DZ48" s="69"/>
      <c r="EA48" s="69"/>
      <c r="EB48" s="69"/>
      <c r="EC48" s="69"/>
      <c r="ED48" s="69"/>
      <c r="EE48" s="69"/>
      <c r="EF48" s="69"/>
      <c r="EG48" s="69"/>
      <c r="EH48" s="69"/>
      <c r="EI48" s="69"/>
      <c r="EJ48" s="69"/>
      <c r="EK48" s="69"/>
    </row>
    <row r="49" spans="1:141" s="98" customFormat="1" ht="44.25" customHeight="1">
      <c r="A49" s="69"/>
      <c r="B49" s="156"/>
      <c r="C49" s="68"/>
      <c r="D49" s="68"/>
      <c r="E49" s="146"/>
      <c r="F49" s="130">
        <v>8</v>
      </c>
      <c r="G49" s="150"/>
      <c r="H49" s="150"/>
      <c r="I49" s="150"/>
      <c r="J49" s="150"/>
      <c r="K49" s="150"/>
      <c r="L49" s="150"/>
      <c r="M49" s="151"/>
      <c r="N49" s="130" t="str">
        <f t="shared" si="11"/>
        <v/>
      </c>
      <c r="O49" s="130" t="str">
        <f t="shared" si="12"/>
        <v/>
      </c>
      <c r="P49" s="130" t="str">
        <f t="shared" si="17"/>
        <v/>
      </c>
      <c r="Q49" s="130" t="str">
        <f t="shared" si="13"/>
        <v/>
      </c>
      <c r="R49" s="130" t="str">
        <f t="shared" si="14"/>
        <v/>
      </c>
      <c r="S49" s="130" t="str">
        <f t="shared" si="15"/>
        <v/>
      </c>
      <c r="T49" s="152">
        <f t="shared" si="16"/>
        <v>0</v>
      </c>
      <c r="U49" s="130"/>
      <c r="V49" s="69"/>
      <c r="W49" s="69"/>
      <c r="X49" s="69"/>
      <c r="Y49" s="146"/>
      <c r="Z49" s="146"/>
      <c r="AA49" s="146"/>
      <c r="AB49" s="146"/>
      <c r="AC49" s="146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68"/>
      <c r="AV49" s="68"/>
      <c r="AW49" s="68"/>
      <c r="AX49" s="68"/>
      <c r="AY49" s="45"/>
      <c r="AZ49" s="45"/>
      <c r="BA49" s="45"/>
      <c r="BB49" s="45"/>
      <c r="BC49" s="45"/>
      <c r="BD49" s="45"/>
      <c r="BE49" s="45"/>
      <c r="BF49" s="45"/>
      <c r="BG49" s="45"/>
      <c r="BH49" s="45"/>
      <c r="BI49" s="45"/>
      <c r="BJ49" s="45"/>
      <c r="BK49" s="45"/>
      <c r="BL49" s="45"/>
      <c r="BM49" s="45"/>
      <c r="BN49" s="45"/>
      <c r="BO49" s="45"/>
      <c r="BP49" s="68"/>
      <c r="BQ49" s="215"/>
      <c r="BR49" s="215"/>
      <c r="BS49" s="215"/>
      <c r="BT49" s="45"/>
      <c r="BU49" s="68"/>
      <c r="BV49" s="68"/>
      <c r="BW49" s="68"/>
      <c r="BX49" s="68"/>
      <c r="BY49" s="68"/>
      <c r="BZ49" s="68"/>
      <c r="CA49" s="68"/>
      <c r="CB49" s="69"/>
      <c r="CC49" s="69"/>
      <c r="CD49" s="69"/>
      <c r="CE49" s="69"/>
      <c r="CF49" s="69"/>
      <c r="CG49" s="69"/>
      <c r="CH49" s="69"/>
      <c r="CI49" s="69"/>
      <c r="CJ49" s="69"/>
      <c r="CK49" s="69"/>
      <c r="CL49" s="69"/>
      <c r="CM49" s="69"/>
      <c r="CN49" s="69"/>
      <c r="CO49" s="69"/>
      <c r="CP49" s="69"/>
      <c r="CQ49" s="69"/>
      <c r="CR49" s="69"/>
      <c r="CS49" s="69"/>
      <c r="CT49" s="69"/>
      <c r="CU49" s="69"/>
      <c r="CV49" s="69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69"/>
      <c r="DW49" s="69"/>
      <c r="DX49" s="69"/>
      <c r="DY49" s="69"/>
      <c r="DZ49" s="69"/>
      <c r="EA49" s="69"/>
      <c r="EB49" s="69"/>
      <c r="EC49" s="69"/>
      <c r="ED49" s="69"/>
      <c r="EE49" s="69"/>
      <c r="EF49" s="69"/>
      <c r="EG49" s="69"/>
      <c r="EH49" s="69"/>
      <c r="EI49" s="69"/>
      <c r="EJ49" s="69"/>
      <c r="EK49" s="69"/>
    </row>
    <row r="50" spans="1:141" s="98" customFormat="1" ht="44.25" customHeight="1">
      <c r="A50" s="69"/>
      <c r="B50" s="68"/>
      <c r="C50" s="68"/>
      <c r="D50" s="68"/>
      <c r="E50" s="146"/>
      <c r="F50" s="130">
        <v>9</v>
      </c>
      <c r="G50" s="150"/>
      <c r="H50" s="150"/>
      <c r="I50" s="150"/>
      <c r="J50" s="150"/>
      <c r="K50" s="150"/>
      <c r="L50" s="150"/>
      <c r="M50" s="151"/>
      <c r="N50" s="130" t="str">
        <f t="shared" si="11"/>
        <v/>
      </c>
      <c r="O50" s="130" t="str">
        <f t="shared" si="12"/>
        <v/>
      </c>
      <c r="P50" s="130" t="str">
        <f t="shared" si="17"/>
        <v/>
      </c>
      <c r="Q50" s="130" t="str">
        <f t="shared" si="13"/>
        <v/>
      </c>
      <c r="R50" s="130" t="str">
        <f t="shared" si="14"/>
        <v/>
      </c>
      <c r="S50" s="130" t="str">
        <f t="shared" si="15"/>
        <v/>
      </c>
      <c r="T50" s="152">
        <f t="shared" si="16"/>
        <v>0</v>
      </c>
      <c r="U50" s="130"/>
      <c r="V50" s="69"/>
      <c r="W50" s="69"/>
      <c r="X50" s="69"/>
      <c r="Y50" s="146"/>
      <c r="Z50" s="146"/>
      <c r="AA50" s="146"/>
      <c r="AB50" s="146"/>
      <c r="AC50" s="146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45"/>
      <c r="AZ50" s="45"/>
      <c r="BA50" s="45"/>
      <c r="BB50" s="45"/>
      <c r="BC50" s="45"/>
      <c r="BD50" s="45"/>
      <c r="BE50" s="45"/>
      <c r="BF50" s="45"/>
      <c r="BG50" s="45"/>
      <c r="BH50" s="45"/>
      <c r="BI50" s="45"/>
      <c r="BJ50" s="45"/>
      <c r="BK50" s="45"/>
      <c r="BL50" s="45"/>
      <c r="BM50" s="45"/>
      <c r="BN50" s="45"/>
      <c r="BO50" s="45"/>
      <c r="BP50" s="68"/>
      <c r="BQ50" s="215"/>
      <c r="BR50" s="215"/>
      <c r="BS50" s="215"/>
      <c r="BT50" s="45"/>
      <c r="BU50" s="68"/>
      <c r="BV50" s="68"/>
      <c r="BW50" s="68"/>
      <c r="BX50" s="68"/>
      <c r="BY50" s="68"/>
      <c r="BZ50" s="68"/>
      <c r="CA50" s="68"/>
      <c r="CB50" s="69"/>
      <c r="CC50" s="69"/>
      <c r="CD50" s="69"/>
      <c r="CE50" s="69"/>
      <c r="CF50" s="69"/>
      <c r="CG50" s="69"/>
      <c r="CH50" s="69"/>
      <c r="CI50" s="69"/>
      <c r="CJ50" s="69"/>
      <c r="CK50" s="69"/>
      <c r="CL50" s="69"/>
      <c r="CM50" s="69"/>
      <c r="CN50" s="69"/>
      <c r="CO50" s="69"/>
      <c r="CP50" s="69"/>
      <c r="CQ50" s="69"/>
      <c r="CR50" s="69"/>
      <c r="CS50" s="69"/>
      <c r="CT50" s="69"/>
      <c r="CU50" s="69"/>
      <c r="CV50" s="69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69"/>
      <c r="DW50" s="69"/>
      <c r="DX50" s="69"/>
      <c r="DY50" s="69"/>
      <c r="DZ50" s="69"/>
      <c r="EA50" s="69"/>
      <c r="EB50" s="69"/>
      <c r="EC50" s="69"/>
      <c r="ED50" s="69"/>
      <c r="EE50" s="69"/>
      <c r="EF50" s="69"/>
      <c r="EG50" s="69"/>
      <c r="EH50" s="69"/>
      <c r="EI50" s="69"/>
      <c r="EJ50" s="69"/>
      <c r="EK50" s="69"/>
    </row>
    <row r="51" spans="1:141" s="98" customFormat="1" ht="44.25" customHeight="1">
      <c r="A51" s="69"/>
      <c r="B51" s="68"/>
      <c r="C51" s="68" t="s">
        <v>134</v>
      </c>
      <c r="D51" s="68"/>
      <c r="E51" s="146"/>
      <c r="F51" s="130">
        <v>10</v>
      </c>
      <c r="G51" s="150"/>
      <c r="H51" s="150"/>
      <c r="I51" s="150"/>
      <c r="J51" s="150"/>
      <c r="K51" s="150"/>
      <c r="L51" s="150"/>
      <c r="M51" s="151"/>
      <c r="N51" s="130" t="str">
        <f t="shared" si="11"/>
        <v/>
      </c>
      <c r="O51" s="130" t="str">
        <f t="shared" si="12"/>
        <v/>
      </c>
      <c r="P51" s="130" t="str">
        <f t="shared" si="17"/>
        <v/>
      </c>
      <c r="Q51" s="130" t="str">
        <f t="shared" si="13"/>
        <v/>
      </c>
      <c r="R51" s="130" t="str">
        <f t="shared" si="14"/>
        <v/>
      </c>
      <c r="S51" s="130" t="str">
        <f t="shared" si="15"/>
        <v/>
      </c>
      <c r="T51" s="152">
        <f t="shared" si="16"/>
        <v>0</v>
      </c>
      <c r="U51" s="130"/>
      <c r="V51" s="69"/>
      <c r="W51" s="69"/>
      <c r="X51" s="69"/>
      <c r="Y51" s="146"/>
      <c r="Z51" s="146"/>
      <c r="AA51" s="146"/>
      <c r="AB51" s="146"/>
      <c r="AC51" s="146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45"/>
      <c r="AZ51" s="45"/>
      <c r="BA51" s="45"/>
      <c r="BB51" s="45"/>
      <c r="BC51" s="45"/>
      <c r="BD51" s="45"/>
      <c r="BE51" s="45"/>
      <c r="BF51" s="45"/>
      <c r="BG51" s="45"/>
      <c r="BH51" s="45"/>
      <c r="BI51" s="45"/>
      <c r="BJ51" s="45"/>
      <c r="BK51" s="45"/>
      <c r="BL51" s="45"/>
      <c r="BM51" s="45"/>
      <c r="BN51" s="45"/>
      <c r="BO51" s="45"/>
      <c r="BP51" s="68"/>
      <c r="BQ51" s="215"/>
      <c r="BR51" s="215"/>
      <c r="BS51" s="215"/>
      <c r="BT51" s="45"/>
      <c r="BU51" s="68"/>
      <c r="BV51" s="68"/>
      <c r="BW51" s="68"/>
      <c r="BX51" s="68"/>
      <c r="BY51" s="68"/>
      <c r="BZ51" s="68"/>
      <c r="CA51" s="68"/>
      <c r="CB51" s="69"/>
      <c r="CC51" s="69"/>
      <c r="CD51" s="69"/>
      <c r="CE51" s="69"/>
      <c r="CF51" s="69"/>
      <c r="CG51" s="69"/>
      <c r="CH51" s="69"/>
      <c r="CI51" s="69"/>
      <c r="CJ51" s="69"/>
      <c r="CK51" s="69"/>
      <c r="CL51" s="69"/>
      <c r="CM51" s="69"/>
      <c r="CN51" s="69"/>
      <c r="CO51" s="69"/>
      <c r="CP51" s="69"/>
      <c r="CQ51" s="69"/>
      <c r="CR51" s="69"/>
      <c r="CS51" s="69"/>
      <c r="CT51" s="69"/>
      <c r="CU51" s="69"/>
      <c r="CV51" s="69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69"/>
      <c r="DW51" s="69"/>
      <c r="DX51" s="69"/>
      <c r="DY51" s="69"/>
      <c r="DZ51" s="69"/>
      <c r="EA51" s="69"/>
      <c r="EB51" s="69"/>
      <c r="EC51" s="69"/>
      <c r="ED51" s="69"/>
      <c r="EE51" s="69"/>
      <c r="EF51" s="69"/>
      <c r="EG51" s="69"/>
      <c r="EH51" s="69"/>
      <c r="EI51" s="69"/>
      <c r="EJ51" s="69"/>
      <c r="EK51" s="69"/>
    </row>
    <row r="52" spans="1:141" s="98" customFormat="1" ht="44.25" customHeight="1">
      <c r="A52" s="69"/>
      <c r="B52" s="68"/>
      <c r="C52" s="68"/>
      <c r="D52" s="68"/>
      <c r="E52" s="146"/>
      <c r="F52" s="130">
        <v>11</v>
      </c>
      <c r="G52" s="150"/>
      <c r="H52" s="150"/>
      <c r="I52" s="150"/>
      <c r="J52" s="150"/>
      <c r="K52" s="150"/>
      <c r="L52" s="150"/>
      <c r="M52" s="151"/>
      <c r="N52" s="130" t="str">
        <f t="shared" si="11"/>
        <v/>
      </c>
      <c r="O52" s="130" t="str">
        <f t="shared" si="12"/>
        <v/>
      </c>
      <c r="P52" s="130" t="str">
        <f t="shared" si="17"/>
        <v/>
      </c>
      <c r="Q52" s="130" t="str">
        <f t="shared" si="13"/>
        <v/>
      </c>
      <c r="R52" s="130" t="str">
        <f t="shared" si="14"/>
        <v/>
      </c>
      <c r="S52" s="130" t="str">
        <f t="shared" si="15"/>
        <v/>
      </c>
      <c r="T52" s="152">
        <f t="shared" si="16"/>
        <v>0</v>
      </c>
      <c r="U52" s="130"/>
      <c r="V52" s="69"/>
      <c r="W52" s="69"/>
      <c r="X52" s="69"/>
      <c r="Y52" s="146"/>
      <c r="Z52" s="146"/>
      <c r="AA52" s="146"/>
      <c r="AB52" s="146"/>
      <c r="AC52" s="146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45"/>
      <c r="AZ52" s="45"/>
      <c r="BA52" s="45"/>
      <c r="BB52" s="45"/>
      <c r="BC52" s="45"/>
      <c r="BD52" s="45"/>
      <c r="BE52" s="45"/>
      <c r="BF52" s="45"/>
      <c r="BG52" s="45"/>
      <c r="BH52" s="45"/>
      <c r="BI52" s="45"/>
      <c r="BJ52" s="45"/>
      <c r="BK52" s="45"/>
      <c r="BL52" s="45"/>
      <c r="BM52" s="45"/>
      <c r="BN52" s="45"/>
      <c r="BO52" s="45"/>
      <c r="BP52" s="68"/>
      <c r="BQ52" s="215"/>
      <c r="BR52" s="215"/>
      <c r="BS52" s="215"/>
      <c r="BT52" s="45"/>
      <c r="BU52" s="68"/>
      <c r="BV52" s="68"/>
      <c r="BW52" s="68"/>
      <c r="BX52" s="68"/>
      <c r="BY52" s="68"/>
      <c r="BZ52" s="68"/>
      <c r="CA52" s="68"/>
      <c r="CB52" s="69"/>
      <c r="CC52" s="69"/>
      <c r="CD52" s="69"/>
      <c r="CE52" s="69"/>
      <c r="CF52" s="69"/>
      <c r="CG52" s="69"/>
      <c r="CH52" s="69"/>
      <c r="CI52" s="69"/>
      <c r="CJ52" s="69"/>
      <c r="CK52" s="69"/>
      <c r="CL52" s="69"/>
      <c r="CM52" s="69"/>
      <c r="CN52" s="69"/>
      <c r="CO52" s="69"/>
      <c r="CP52" s="69"/>
      <c r="CQ52" s="69"/>
      <c r="CR52" s="69"/>
      <c r="CS52" s="69"/>
      <c r="CT52" s="69"/>
      <c r="CU52" s="69"/>
      <c r="CV52" s="69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69"/>
      <c r="DW52" s="69"/>
      <c r="DX52" s="69"/>
      <c r="DY52" s="69"/>
      <c r="DZ52" s="69"/>
      <c r="EA52" s="69"/>
      <c r="EB52" s="69"/>
      <c r="EC52" s="69"/>
      <c r="ED52" s="69"/>
      <c r="EE52" s="69"/>
      <c r="EF52" s="69"/>
      <c r="EG52" s="69"/>
      <c r="EH52" s="69"/>
      <c r="EI52" s="69"/>
      <c r="EJ52" s="69"/>
      <c r="EK52" s="69"/>
    </row>
    <row r="53" spans="1:141" s="98" customFormat="1" ht="44.25" customHeight="1">
      <c r="A53" s="69"/>
      <c r="B53" s="68"/>
      <c r="C53" s="68"/>
      <c r="D53" s="68"/>
      <c r="E53" s="146"/>
      <c r="F53" s="130">
        <v>12</v>
      </c>
      <c r="G53" s="150"/>
      <c r="H53" s="150"/>
      <c r="I53" s="150"/>
      <c r="J53" s="150"/>
      <c r="K53" s="150"/>
      <c r="L53" s="150"/>
      <c r="M53" s="151"/>
      <c r="N53" s="130" t="str">
        <f t="shared" si="11"/>
        <v/>
      </c>
      <c r="O53" s="130" t="str">
        <f t="shared" si="12"/>
        <v/>
      </c>
      <c r="P53" s="130" t="str">
        <f t="shared" si="17"/>
        <v/>
      </c>
      <c r="Q53" s="130" t="str">
        <f t="shared" si="13"/>
        <v/>
      </c>
      <c r="R53" s="130" t="str">
        <f t="shared" si="14"/>
        <v/>
      </c>
      <c r="S53" s="130" t="str">
        <f t="shared" si="15"/>
        <v/>
      </c>
      <c r="T53" s="152">
        <f t="shared" si="16"/>
        <v>0</v>
      </c>
      <c r="U53" s="130"/>
      <c r="V53" s="69"/>
      <c r="W53" s="69"/>
      <c r="X53" s="69"/>
      <c r="Y53" s="146"/>
      <c r="Z53" s="146"/>
      <c r="AA53" s="146"/>
      <c r="AB53" s="146"/>
      <c r="AC53" s="146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45"/>
      <c r="AZ53" s="45"/>
      <c r="BA53" s="45"/>
      <c r="BB53" s="45"/>
      <c r="BC53" s="45"/>
      <c r="BD53" s="45"/>
      <c r="BE53" s="45"/>
      <c r="BF53" s="45"/>
      <c r="BG53" s="45"/>
      <c r="BH53" s="45"/>
      <c r="BI53" s="74"/>
      <c r="BJ53" s="45"/>
      <c r="BK53" s="45"/>
      <c r="BL53" s="45"/>
      <c r="BM53" s="45"/>
      <c r="BN53" s="45"/>
      <c r="BO53" s="45"/>
      <c r="BP53" s="68"/>
      <c r="BQ53" s="215"/>
      <c r="BR53" s="215"/>
      <c r="BS53" s="215"/>
      <c r="BT53" s="45"/>
      <c r="BU53" s="68"/>
      <c r="BV53" s="68"/>
      <c r="BW53" s="68"/>
      <c r="BX53" s="68"/>
      <c r="BY53" s="68"/>
      <c r="BZ53" s="68"/>
      <c r="CA53" s="68"/>
      <c r="CB53" s="1"/>
      <c r="CC53" s="69"/>
      <c r="CD53" s="69"/>
      <c r="CE53" s="69"/>
      <c r="CF53" s="69"/>
      <c r="CG53" s="69"/>
      <c r="CH53" s="69"/>
      <c r="CI53" s="69"/>
      <c r="CJ53" s="69"/>
      <c r="CK53" s="69"/>
      <c r="CL53" s="69"/>
      <c r="CM53" s="69"/>
      <c r="CN53" s="69"/>
      <c r="CO53" s="69"/>
      <c r="CP53" s="69"/>
      <c r="CQ53" s="69"/>
      <c r="CR53" s="69"/>
      <c r="CS53" s="69"/>
      <c r="CT53" s="69"/>
      <c r="CU53" s="69"/>
      <c r="CV53" s="69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69"/>
      <c r="DW53" s="69"/>
      <c r="DX53" s="69"/>
      <c r="DY53" s="69"/>
      <c r="DZ53" s="69"/>
      <c r="EA53" s="69"/>
      <c r="EB53" s="69"/>
      <c r="EC53" s="69"/>
      <c r="ED53" s="69"/>
      <c r="EE53" s="69"/>
      <c r="EF53" s="69"/>
      <c r="EG53" s="69"/>
      <c r="EH53" s="69"/>
      <c r="EI53" s="69"/>
      <c r="EJ53" s="69"/>
      <c r="EK53" s="69"/>
    </row>
    <row r="54" spans="1:141" s="98" customFormat="1" ht="44.25" customHeight="1">
      <c r="A54" s="69"/>
      <c r="B54" s="68"/>
      <c r="C54" s="68"/>
      <c r="D54" s="68"/>
      <c r="E54" s="146"/>
      <c r="F54" s="130">
        <v>13</v>
      </c>
      <c r="G54" s="150"/>
      <c r="H54" s="150"/>
      <c r="I54" s="150"/>
      <c r="J54" s="150"/>
      <c r="K54" s="150"/>
      <c r="L54" s="150"/>
      <c r="M54" s="151"/>
      <c r="N54" s="130" t="str">
        <f t="shared" si="11"/>
        <v/>
      </c>
      <c r="O54" s="130" t="str">
        <f t="shared" si="12"/>
        <v/>
      </c>
      <c r="P54" s="130" t="str">
        <f t="shared" si="17"/>
        <v/>
      </c>
      <c r="Q54" s="130" t="str">
        <f t="shared" si="13"/>
        <v/>
      </c>
      <c r="R54" s="130" t="str">
        <f t="shared" si="14"/>
        <v/>
      </c>
      <c r="S54" s="130" t="str">
        <f t="shared" si="15"/>
        <v/>
      </c>
      <c r="T54" s="152">
        <f t="shared" si="16"/>
        <v>0</v>
      </c>
      <c r="U54" s="130"/>
      <c r="V54" s="69"/>
      <c r="W54" s="69"/>
      <c r="X54" s="69"/>
      <c r="Y54" s="146"/>
      <c r="Z54" s="146"/>
      <c r="AA54" s="146"/>
      <c r="AB54" s="146"/>
      <c r="AC54" s="146"/>
      <c r="AD54" s="68"/>
      <c r="AE54" s="68"/>
      <c r="AF54" s="68"/>
      <c r="AG54" s="68"/>
      <c r="AH54" s="68"/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45"/>
      <c r="AZ54" s="45"/>
      <c r="BA54" s="45"/>
      <c r="BB54" s="45"/>
      <c r="BC54" s="45"/>
      <c r="BD54" s="45"/>
      <c r="BE54" s="45"/>
      <c r="BF54" s="45"/>
      <c r="BG54" s="45"/>
      <c r="BH54" s="45"/>
      <c r="BI54" s="68"/>
      <c r="BJ54" s="45"/>
      <c r="BK54" s="45"/>
      <c r="BL54" s="45"/>
      <c r="BM54" s="45"/>
      <c r="BN54" s="45"/>
      <c r="BO54" s="45"/>
      <c r="BP54" s="68"/>
      <c r="BQ54" s="215"/>
      <c r="BR54" s="215"/>
      <c r="BS54" s="215"/>
      <c r="BT54" s="45"/>
      <c r="BU54" s="68"/>
      <c r="BV54" s="68"/>
      <c r="BW54" s="68"/>
      <c r="BX54" s="68"/>
      <c r="BY54" s="68"/>
      <c r="BZ54" s="68"/>
      <c r="CA54" s="68"/>
      <c r="CB54" s="1"/>
      <c r="CC54" s="69"/>
      <c r="CD54" s="69"/>
      <c r="CE54" s="69"/>
      <c r="CF54" s="69"/>
      <c r="CG54" s="69"/>
      <c r="CH54" s="69"/>
      <c r="CI54" s="69"/>
      <c r="CJ54" s="69"/>
      <c r="CK54" s="69"/>
      <c r="CL54" s="69"/>
      <c r="CM54" s="69"/>
      <c r="CN54" s="69"/>
      <c r="CO54" s="69"/>
      <c r="CP54" s="69"/>
      <c r="CQ54" s="69"/>
      <c r="CR54" s="69"/>
      <c r="CS54" s="69"/>
      <c r="CT54" s="69"/>
      <c r="CU54" s="69"/>
      <c r="CV54" s="69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69"/>
      <c r="DW54" s="69"/>
      <c r="DX54" s="69"/>
      <c r="DY54" s="69"/>
      <c r="DZ54" s="69"/>
      <c r="EA54" s="69"/>
      <c r="EB54" s="69"/>
      <c r="EC54" s="69"/>
      <c r="ED54" s="69"/>
      <c r="EE54" s="69"/>
      <c r="EF54" s="69"/>
      <c r="EG54" s="69"/>
      <c r="EH54" s="69"/>
      <c r="EI54" s="69"/>
      <c r="EJ54" s="69"/>
      <c r="EK54" s="69"/>
    </row>
    <row r="55" spans="1:141" ht="44.25" customHeight="1">
      <c r="B55" s="68"/>
      <c r="C55" s="68"/>
      <c r="D55" s="68"/>
      <c r="E55" s="146"/>
      <c r="F55" s="130">
        <v>14</v>
      </c>
      <c r="G55" s="150"/>
      <c r="H55" s="150"/>
      <c r="I55" s="150"/>
      <c r="J55" s="150"/>
      <c r="K55" s="150"/>
      <c r="L55" s="150"/>
      <c r="M55" s="151"/>
      <c r="N55" s="130" t="str">
        <f t="shared" si="11"/>
        <v/>
      </c>
      <c r="O55" s="130" t="str">
        <f t="shared" si="12"/>
        <v/>
      </c>
      <c r="P55" s="130" t="str">
        <f t="shared" si="17"/>
        <v/>
      </c>
      <c r="Q55" s="130" t="str">
        <f t="shared" si="13"/>
        <v/>
      </c>
      <c r="R55" s="130" t="str">
        <f t="shared" si="14"/>
        <v/>
      </c>
      <c r="S55" s="130" t="str">
        <f t="shared" si="15"/>
        <v/>
      </c>
      <c r="T55" s="152">
        <f t="shared" si="16"/>
        <v>0</v>
      </c>
      <c r="U55" s="130"/>
      <c r="Y55" s="146"/>
      <c r="Z55" s="146"/>
      <c r="AA55" s="146"/>
      <c r="AB55" s="146"/>
      <c r="AC55" s="146"/>
      <c r="AD55" s="75"/>
      <c r="AE55" s="45"/>
      <c r="AF55" s="68"/>
      <c r="AG55" s="68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68"/>
      <c r="AX55" s="68"/>
      <c r="AY55" s="45"/>
      <c r="AZ55" s="45"/>
      <c r="BA55" s="45"/>
      <c r="BB55" s="45"/>
      <c r="BC55" s="45"/>
      <c r="BD55" s="45"/>
      <c r="BE55" s="45"/>
      <c r="BF55" s="45"/>
      <c r="BG55" s="45"/>
      <c r="BH55" s="45"/>
      <c r="BI55" s="68"/>
      <c r="BJ55" s="45"/>
      <c r="BK55" s="45"/>
      <c r="BL55" s="45"/>
      <c r="BM55" s="45"/>
      <c r="BN55" s="45"/>
      <c r="BO55" s="45"/>
      <c r="BP55" s="68"/>
      <c r="BQ55" s="215"/>
      <c r="BR55" s="215"/>
      <c r="BS55" s="215"/>
      <c r="BT55" s="45"/>
      <c r="BU55" s="68"/>
      <c r="BV55" s="68"/>
      <c r="BW55" s="68"/>
      <c r="BX55" s="68"/>
      <c r="BY55" s="68"/>
      <c r="BZ55" s="68"/>
      <c r="CA55" s="68"/>
    </row>
    <row r="56" spans="1:141" ht="44.25" customHeight="1">
      <c r="B56" s="68"/>
      <c r="C56" s="68"/>
      <c r="D56" s="68"/>
      <c r="E56" s="146"/>
      <c r="F56" s="130">
        <v>15</v>
      </c>
      <c r="G56" s="150"/>
      <c r="H56" s="150"/>
      <c r="I56" s="150"/>
      <c r="J56" s="150"/>
      <c r="K56" s="150"/>
      <c r="L56" s="150"/>
      <c r="M56" s="151"/>
      <c r="N56" s="130" t="str">
        <f t="shared" si="11"/>
        <v/>
      </c>
      <c r="O56" s="130" t="str">
        <f t="shared" si="12"/>
        <v/>
      </c>
      <c r="P56" s="130" t="str">
        <f t="shared" si="17"/>
        <v/>
      </c>
      <c r="Q56" s="130" t="str">
        <f t="shared" si="13"/>
        <v/>
      </c>
      <c r="R56" s="130" t="str">
        <f t="shared" si="14"/>
        <v/>
      </c>
      <c r="S56" s="130" t="str">
        <f t="shared" si="15"/>
        <v/>
      </c>
      <c r="T56" s="152">
        <f t="shared" si="16"/>
        <v>0</v>
      </c>
      <c r="U56" s="130"/>
      <c r="Y56" s="146"/>
      <c r="Z56" s="146"/>
      <c r="AA56" s="146"/>
      <c r="AB56" s="146"/>
      <c r="AC56" s="146"/>
      <c r="AD56" s="75"/>
      <c r="AE56" s="45"/>
      <c r="AF56" s="68"/>
      <c r="AG56" s="68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68"/>
      <c r="AX56" s="68"/>
      <c r="AY56" s="45"/>
      <c r="AZ56" s="45"/>
      <c r="BA56" s="45"/>
      <c r="BB56" s="45"/>
      <c r="BC56" s="45"/>
      <c r="BD56" s="45"/>
      <c r="BE56" s="45"/>
      <c r="BF56" s="45"/>
      <c r="BG56" s="45"/>
      <c r="BH56" s="74"/>
      <c r="BI56" s="68"/>
      <c r="BJ56" s="74"/>
      <c r="BK56" s="74"/>
      <c r="BL56" s="74"/>
      <c r="BM56" s="45"/>
      <c r="BN56" s="45"/>
      <c r="BO56" s="45"/>
      <c r="BP56" s="68"/>
      <c r="BQ56" s="215"/>
      <c r="BR56" s="215"/>
      <c r="BS56" s="215"/>
      <c r="BT56" s="45"/>
      <c r="BU56" s="68"/>
      <c r="BV56" s="68"/>
      <c r="BW56" s="68"/>
      <c r="BX56" s="68"/>
      <c r="BY56" s="68"/>
      <c r="BZ56" s="68"/>
      <c r="CA56" s="68"/>
    </row>
    <row r="57" spans="1:141" ht="44.25" customHeight="1">
      <c r="B57" s="68"/>
      <c r="C57" s="68"/>
      <c r="D57" s="68"/>
      <c r="E57" s="146"/>
      <c r="F57" s="130">
        <v>16</v>
      </c>
      <c r="G57" s="150"/>
      <c r="H57" s="150"/>
      <c r="I57" s="150"/>
      <c r="J57" s="150"/>
      <c r="K57" s="150"/>
      <c r="L57" s="150"/>
      <c r="M57" s="151"/>
      <c r="N57" s="130" t="str">
        <f t="shared" si="11"/>
        <v/>
      </c>
      <c r="O57" s="130" t="str">
        <f t="shared" si="12"/>
        <v/>
      </c>
      <c r="P57" s="130" t="str">
        <f t="shared" si="17"/>
        <v/>
      </c>
      <c r="Q57" s="130" t="str">
        <f t="shared" si="13"/>
        <v/>
      </c>
      <c r="R57" s="130" t="str">
        <f t="shared" si="14"/>
        <v/>
      </c>
      <c r="S57" s="130" t="str">
        <f t="shared" si="15"/>
        <v/>
      </c>
      <c r="T57" s="152">
        <f t="shared" si="16"/>
        <v>0</v>
      </c>
      <c r="U57" s="130"/>
      <c r="Y57" s="146"/>
      <c r="Z57" s="146"/>
      <c r="AA57" s="146"/>
      <c r="AB57" s="146"/>
      <c r="AC57" s="146"/>
      <c r="AD57" s="75"/>
      <c r="AE57" s="45"/>
      <c r="AF57" s="68"/>
      <c r="AG57" s="68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68"/>
      <c r="AX57" s="68"/>
      <c r="AY57" s="74"/>
      <c r="AZ57" s="74"/>
      <c r="BA57" s="74"/>
      <c r="BB57" s="74"/>
      <c r="BC57" s="74"/>
      <c r="BD57" s="74"/>
      <c r="BE57" s="74"/>
      <c r="BF57" s="74"/>
      <c r="BG57" s="74"/>
      <c r="BH57" s="68"/>
      <c r="BI57" s="68"/>
      <c r="BJ57" s="68"/>
      <c r="BK57" s="68"/>
      <c r="BL57" s="68"/>
      <c r="BM57" s="74"/>
      <c r="BN57" s="74"/>
      <c r="BO57" s="74"/>
      <c r="BP57" s="68"/>
      <c r="BQ57" s="215"/>
      <c r="BR57" s="215"/>
      <c r="BS57" s="215"/>
      <c r="BT57" s="45"/>
      <c r="BU57" s="68"/>
      <c r="BV57" s="68"/>
      <c r="BW57" s="68"/>
      <c r="BX57" s="68"/>
      <c r="BY57" s="68"/>
      <c r="BZ57" s="68"/>
      <c r="CA57" s="68"/>
    </row>
    <row r="58" spans="1:141" ht="32.25" customHeight="1">
      <c r="B58" s="75"/>
      <c r="C58" s="75"/>
      <c r="D58" s="75"/>
      <c r="E58" s="75"/>
      <c r="F58" s="75"/>
      <c r="G58" s="150"/>
      <c r="H58" s="150"/>
      <c r="I58" s="150"/>
      <c r="J58" s="150"/>
      <c r="K58" s="150"/>
      <c r="L58" s="150"/>
      <c r="M58" s="151"/>
      <c r="N58" s="130" t="str">
        <f t="shared" si="11"/>
        <v/>
      </c>
      <c r="O58" s="130" t="str">
        <f>IF(F22="","",N58*#REF!)</f>
        <v/>
      </c>
      <c r="P58" s="130" t="str">
        <f t="shared" si="17"/>
        <v/>
      </c>
      <c r="Q58" s="130" t="str">
        <f>IF(L58="P",(M22+#REF!+#REF!+Q22)*$E$46,"")</f>
        <v/>
      </c>
      <c r="R58" s="130" t="str">
        <f t="shared" si="14"/>
        <v/>
      </c>
      <c r="S58" s="130" t="str">
        <f>IF(J58="S",4,IF(L22="R",2,""))</f>
        <v/>
      </c>
      <c r="T58" s="152">
        <f t="shared" si="16"/>
        <v>0</v>
      </c>
      <c r="U58" s="130"/>
      <c r="Y58" s="75"/>
      <c r="Z58" s="75"/>
      <c r="AA58" s="75"/>
      <c r="AB58" s="75"/>
      <c r="AC58" s="75"/>
      <c r="AD58" s="75"/>
      <c r="AE58" s="45"/>
      <c r="AF58" s="68"/>
      <c r="AG58" s="68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8"/>
      <c r="BO58" s="68"/>
      <c r="BP58" s="45"/>
      <c r="BQ58" s="217"/>
      <c r="BR58" s="217"/>
      <c r="BS58" s="217"/>
      <c r="BT58" s="74"/>
      <c r="BU58" s="45"/>
      <c r="BV58" s="45"/>
      <c r="BW58" s="45"/>
      <c r="BX58" s="45"/>
      <c r="BY58" s="45"/>
      <c r="BZ58" s="45"/>
      <c r="CA58" s="45"/>
    </row>
    <row r="59" spans="1:141" ht="32.25" customHeight="1">
      <c r="B59" s="75"/>
      <c r="C59" s="75"/>
      <c r="D59" s="75"/>
      <c r="E59" s="75"/>
      <c r="F59" s="75"/>
      <c r="G59" s="150"/>
      <c r="H59" s="150"/>
      <c r="I59" s="150"/>
      <c r="J59" s="150"/>
      <c r="K59" s="150"/>
      <c r="L59" s="150"/>
      <c r="M59" s="151"/>
      <c r="N59" s="130" t="str">
        <f t="shared" ref="N59" si="18">IF(F26="","",IF(G59="OUT",$E$43,$E$44))</f>
        <v/>
      </c>
      <c r="O59" s="130" t="str">
        <f t="shared" ref="O59" si="19">IF(F26="","",N59*P26)</f>
        <v/>
      </c>
      <c r="P59" s="130" t="str">
        <f t="shared" si="17"/>
        <v/>
      </c>
      <c r="Q59" s="130" t="str">
        <f t="shared" ref="Q59" si="20">IF(L59="P",(S26+U26+W26+Y26)*$E$46,"")</f>
        <v/>
      </c>
      <c r="R59" s="130" t="str">
        <f t="shared" si="14"/>
        <v/>
      </c>
      <c r="S59" s="130" t="str">
        <f t="shared" ref="S59" si="21">IF(J59="S",4,IF(Q26="R",2,""))</f>
        <v/>
      </c>
      <c r="T59" s="152">
        <f t="shared" si="16"/>
        <v>0</v>
      </c>
      <c r="U59" s="130"/>
      <c r="Y59" s="75"/>
      <c r="Z59" s="75"/>
      <c r="AA59" s="75"/>
      <c r="AB59" s="75"/>
      <c r="AC59" s="75"/>
      <c r="AD59" s="75"/>
      <c r="AE59" s="45"/>
      <c r="AF59" s="68"/>
      <c r="AG59" s="68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  <c r="BK59" s="68"/>
      <c r="BL59" s="68"/>
      <c r="BM59" s="68"/>
      <c r="BN59" s="68"/>
      <c r="BO59" s="68"/>
      <c r="BP59" s="45"/>
      <c r="BQ59" s="217"/>
      <c r="BR59" s="217"/>
      <c r="BS59" s="217"/>
      <c r="BT59" s="68"/>
      <c r="BU59" s="45"/>
      <c r="BV59" s="45"/>
      <c r="BW59" s="45"/>
      <c r="BX59" s="45"/>
      <c r="BY59" s="45"/>
      <c r="BZ59" s="45"/>
      <c r="CA59" s="45"/>
    </row>
    <row r="60" spans="1:141" ht="32.25" customHeight="1"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45"/>
      <c r="AF60" s="68"/>
      <c r="AG60" s="68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  <c r="BJ60" s="68"/>
      <c r="BK60" s="68"/>
      <c r="BL60" s="68"/>
      <c r="BM60" s="68"/>
      <c r="BN60" s="68"/>
      <c r="BO60" s="68"/>
      <c r="BP60" s="45"/>
      <c r="BQ60" s="217"/>
      <c r="BR60" s="217"/>
      <c r="BS60" s="217"/>
      <c r="BT60" s="68"/>
      <c r="BU60" s="45"/>
      <c r="BV60" s="45"/>
      <c r="BW60" s="45"/>
      <c r="BX60" s="45"/>
      <c r="BY60" s="45"/>
      <c r="BZ60" s="45"/>
      <c r="CA60" s="45"/>
    </row>
    <row r="61" spans="1:141" ht="32.25" customHeight="1"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45"/>
      <c r="AF61" s="68"/>
      <c r="AG61" s="68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  <c r="BJ61" s="68"/>
      <c r="BK61" s="68"/>
      <c r="BL61" s="68"/>
      <c r="BM61" s="68"/>
      <c r="BN61" s="68"/>
      <c r="BO61" s="68"/>
      <c r="BP61" s="45"/>
      <c r="BQ61" s="217"/>
      <c r="BR61" s="217"/>
      <c r="BS61" s="217"/>
      <c r="BT61" s="68"/>
      <c r="BU61" s="45"/>
      <c r="BV61" s="45"/>
      <c r="BW61" s="45"/>
      <c r="BX61" s="45"/>
      <c r="BY61" s="45"/>
      <c r="BZ61" s="45"/>
      <c r="CA61" s="45"/>
    </row>
    <row r="62" spans="1:141" ht="32.25" customHeight="1"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68"/>
      <c r="AG62" s="68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8"/>
      <c r="BO62" s="68"/>
      <c r="BP62" s="45"/>
      <c r="BQ62" s="217"/>
      <c r="BR62" s="217"/>
      <c r="BS62" s="217"/>
      <c r="BT62" s="68"/>
      <c r="BU62" s="45"/>
      <c r="BV62" s="45"/>
      <c r="BW62" s="45"/>
      <c r="BX62" s="45"/>
      <c r="BY62" s="45"/>
      <c r="BZ62" s="45"/>
      <c r="CA62" s="45"/>
    </row>
    <row r="63" spans="1:141" ht="32.25" customHeight="1"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68"/>
      <c r="AG63" s="68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  <c r="BJ63" s="68"/>
      <c r="BK63" s="68"/>
      <c r="BL63" s="68"/>
      <c r="BM63" s="68"/>
      <c r="BN63" s="68"/>
      <c r="BO63" s="68"/>
      <c r="BP63" s="45"/>
      <c r="BQ63" s="217"/>
      <c r="BR63" s="217"/>
      <c r="BS63" s="217"/>
      <c r="BT63" s="68"/>
      <c r="BU63" s="45"/>
      <c r="BV63" s="45"/>
      <c r="BW63" s="45"/>
      <c r="BX63" s="45"/>
      <c r="BY63" s="45"/>
      <c r="BZ63" s="45"/>
      <c r="CA63" s="45"/>
    </row>
    <row r="64" spans="1:141" ht="32.25" customHeight="1"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68"/>
      <c r="AG64" s="68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8"/>
      <c r="BO64" s="68"/>
      <c r="BP64" s="45"/>
      <c r="BQ64" s="217"/>
      <c r="BR64" s="217"/>
      <c r="BS64" s="217"/>
      <c r="BT64" s="68"/>
      <c r="BU64" s="45"/>
      <c r="BV64" s="45"/>
      <c r="BW64" s="45"/>
      <c r="BX64" s="45"/>
      <c r="BY64" s="45"/>
      <c r="BZ64" s="45"/>
      <c r="CA64" s="45"/>
    </row>
    <row r="65" spans="2:79" ht="32.25" customHeight="1"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68"/>
      <c r="AG65" s="68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8"/>
      <c r="BO65" s="68"/>
      <c r="BP65" s="45"/>
      <c r="BQ65" s="217"/>
      <c r="BR65" s="217"/>
      <c r="BS65" s="217"/>
      <c r="BT65" s="68"/>
      <c r="BU65" s="45"/>
      <c r="BV65" s="45"/>
      <c r="BW65" s="45"/>
      <c r="BX65" s="45"/>
      <c r="BY65" s="45"/>
      <c r="BZ65" s="45"/>
      <c r="CA65" s="45"/>
    </row>
    <row r="66" spans="2:79" ht="32.25" customHeight="1"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68"/>
      <c r="AG66" s="68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45"/>
      <c r="BQ66" s="217"/>
      <c r="BR66" s="217"/>
      <c r="BS66" s="217"/>
      <c r="BT66" s="68"/>
      <c r="BU66" s="45"/>
      <c r="BV66" s="45"/>
      <c r="BW66" s="45"/>
      <c r="BX66" s="45"/>
      <c r="BY66" s="45"/>
      <c r="BZ66" s="45"/>
      <c r="CA66" s="45"/>
    </row>
    <row r="67" spans="2:79" ht="32.25" customHeight="1"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68"/>
      <c r="AG67" s="68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45"/>
      <c r="BJ67" s="68"/>
      <c r="BK67" s="68"/>
      <c r="BL67" s="68"/>
      <c r="BM67" s="68"/>
      <c r="BN67" s="68"/>
      <c r="BO67" s="68"/>
      <c r="BP67" s="45"/>
      <c r="BQ67" s="217"/>
      <c r="BR67" s="217"/>
      <c r="BS67" s="217"/>
      <c r="BT67" s="68"/>
      <c r="BU67" s="45"/>
      <c r="BV67" s="45"/>
      <c r="BW67" s="45"/>
      <c r="BX67" s="45"/>
      <c r="BY67" s="45"/>
      <c r="BZ67" s="45"/>
      <c r="CA67" s="45"/>
    </row>
    <row r="68" spans="2:79" ht="32.25" customHeight="1"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68"/>
      <c r="AG68" s="68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45"/>
      <c r="BJ68" s="68"/>
      <c r="BK68" s="68"/>
      <c r="BL68" s="68"/>
      <c r="BM68" s="68"/>
      <c r="BN68" s="68"/>
      <c r="BO68" s="68"/>
      <c r="BP68" s="45"/>
      <c r="BQ68" s="217"/>
      <c r="BR68" s="217"/>
      <c r="BS68" s="217"/>
      <c r="BT68" s="68"/>
      <c r="BU68" s="45"/>
      <c r="BV68" s="45"/>
      <c r="BW68" s="45"/>
      <c r="BX68" s="45"/>
      <c r="BY68" s="45"/>
      <c r="BZ68" s="45"/>
      <c r="CA68" s="45"/>
    </row>
    <row r="69" spans="2:79" ht="32.25" customHeight="1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68"/>
      <c r="AG69" s="68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68"/>
      <c r="AZ69" s="68"/>
      <c r="BA69" s="68"/>
      <c r="BB69" s="68"/>
      <c r="BC69" s="68"/>
      <c r="BD69" s="68"/>
      <c r="BE69" s="68"/>
      <c r="BF69" s="68"/>
      <c r="BG69" s="68"/>
      <c r="BH69" s="68"/>
      <c r="BI69" s="45"/>
      <c r="BJ69" s="68"/>
      <c r="BK69" s="68"/>
      <c r="BL69" s="68"/>
      <c r="BM69" s="68"/>
      <c r="BN69" s="68"/>
      <c r="BO69" s="68"/>
      <c r="BP69" s="45"/>
      <c r="BQ69" s="217"/>
      <c r="BR69" s="217"/>
      <c r="BS69" s="217"/>
      <c r="BT69" s="68"/>
      <c r="BU69" s="45"/>
      <c r="BV69" s="45"/>
      <c r="BW69" s="45"/>
      <c r="BX69" s="45"/>
      <c r="BY69" s="45"/>
      <c r="BZ69" s="45"/>
      <c r="CA69" s="45"/>
    </row>
    <row r="70" spans="2:79" ht="32.25" customHeight="1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68"/>
      <c r="AG70" s="68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68"/>
      <c r="AZ70" s="68"/>
      <c r="BA70" s="68"/>
      <c r="BB70" s="68"/>
      <c r="BC70" s="68"/>
      <c r="BD70" s="68"/>
      <c r="BE70" s="68"/>
      <c r="BF70" s="68"/>
      <c r="BG70" s="68"/>
      <c r="BH70" s="45"/>
      <c r="BI70" s="45"/>
      <c r="BJ70" s="45"/>
      <c r="BK70" s="45"/>
      <c r="BL70" s="45"/>
      <c r="BM70" s="68"/>
      <c r="BN70" s="68"/>
      <c r="BO70" s="68"/>
      <c r="BP70" s="45"/>
      <c r="BQ70" s="217"/>
      <c r="BR70" s="217"/>
      <c r="BS70" s="217"/>
      <c r="BT70" s="68"/>
      <c r="BU70" s="45"/>
      <c r="BV70" s="45"/>
      <c r="BW70" s="45"/>
      <c r="BX70" s="45"/>
      <c r="BY70" s="45"/>
      <c r="BZ70" s="45"/>
      <c r="CA70" s="45"/>
    </row>
    <row r="71" spans="2:79" ht="32.25" customHeight="1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68"/>
      <c r="AG71" s="68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217"/>
      <c r="BR71" s="217"/>
      <c r="BS71" s="217"/>
      <c r="BT71" s="68"/>
      <c r="BU71" s="45"/>
      <c r="BV71" s="45"/>
      <c r="BW71" s="45"/>
      <c r="BX71" s="45"/>
      <c r="BY71" s="45"/>
      <c r="BZ71" s="45"/>
      <c r="CA71" s="45"/>
    </row>
    <row r="72" spans="2:79" ht="32.25" customHeight="1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68"/>
      <c r="AG72" s="68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217"/>
      <c r="BR72" s="217"/>
      <c r="BS72" s="217"/>
      <c r="BT72" s="45"/>
      <c r="BU72" s="45"/>
      <c r="BV72" s="45"/>
      <c r="BW72" s="45"/>
      <c r="BX72" s="45"/>
      <c r="BY72" s="45"/>
      <c r="BZ72" s="45"/>
      <c r="CA72" s="45"/>
    </row>
    <row r="73" spans="2:79" ht="32.25" customHeight="1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68"/>
      <c r="AG73" s="68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  <c r="BE73" s="45"/>
      <c r="BF73" s="45"/>
      <c r="BG73" s="45"/>
      <c r="BH73" s="45"/>
      <c r="BI73" s="45"/>
      <c r="BJ73" s="45"/>
      <c r="BK73" s="45"/>
      <c r="BL73" s="45"/>
      <c r="BM73" s="45"/>
      <c r="BN73" s="45"/>
      <c r="BO73" s="45"/>
      <c r="BP73" s="45"/>
      <c r="BQ73" s="217"/>
      <c r="BR73" s="217"/>
      <c r="BS73" s="217"/>
      <c r="BT73" s="45"/>
      <c r="BU73" s="45"/>
      <c r="BV73" s="45"/>
      <c r="BW73" s="45"/>
      <c r="BX73" s="45"/>
      <c r="BY73" s="45"/>
      <c r="BZ73" s="45"/>
      <c r="CA73" s="45"/>
    </row>
    <row r="74" spans="2:79" ht="32.25" customHeight="1"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68"/>
      <c r="AG74" s="68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  <c r="BA74" s="45"/>
      <c r="BB74" s="45"/>
      <c r="BC74" s="45"/>
      <c r="BD74" s="45"/>
      <c r="BE74" s="45"/>
      <c r="BF74" s="45"/>
      <c r="BG74" s="45"/>
      <c r="BH74" s="45"/>
      <c r="BI74" s="45"/>
      <c r="BJ74" s="45"/>
      <c r="BK74" s="45"/>
      <c r="BL74" s="45"/>
      <c r="BM74" s="45"/>
      <c r="BN74" s="45"/>
      <c r="BO74" s="45"/>
      <c r="BP74" s="45"/>
      <c r="BQ74" s="217"/>
      <c r="BR74" s="217"/>
      <c r="BS74" s="217"/>
      <c r="BT74" s="45"/>
      <c r="BU74" s="45"/>
      <c r="BV74" s="45"/>
      <c r="BW74" s="45"/>
      <c r="BX74" s="45"/>
      <c r="BY74" s="45"/>
      <c r="BZ74" s="45"/>
      <c r="CA74" s="45"/>
    </row>
    <row r="75" spans="2:79" ht="32.25" customHeight="1"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68"/>
      <c r="AG75" s="68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  <c r="BA75" s="45"/>
      <c r="BB75" s="45"/>
      <c r="BC75" s="45"/>
      <c r="BD75" s="45"/>
      <c r="BE75" s="45"/>
      <c r="BF75" s="45"/>
      <c r="BG75" s="45"/>
      <c r="BH75" s="45"/>
      <c r="BI75" s="45"/>
      <c r="BJ75" s="45"/>
      <c r="BK75" s="45"/>
      <c r="BL75" s="45"/>
      <c r="BM75" s="45"/>
      <c r="BN75" s="45"/>
      <c r="BO75" s="45"/>
      <c r="BP75" s="45"/>
      <c r="BQ75" s="217"/>
      <c r="BR75" s="217"/>
      <c r="BS75" s="217"/>
      <c r="BT75" s="45"/>
      <c r="BU75" s="45"/>
      <c r="BV75" s="45"/>
      <c r="BW75" s="45"/>
      <c r="BX75" s="45"/>
      <c r="BY75" s="45"/>
      <c r="BZ75" s="45"/>
      <c r="CA75" s="45"/>
    </row>
    <row r="76" spans="2:79" ht="32.25" customHeight="1"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68"/>
      <c r="AG76" s="68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  <c r="BA76" s="45"/>
      <c r="BB76" s="45"/>
      <c r="BC76" s="45"/>
      <c r="BD76" s="45"/>
      <c r="BE76" s="45"/>
      <c r="BF76" s="45"/>
      <c r="BG76" s="45"/>
      <c r="BH76" s="45"/>
      <c r="BI76" s="45"/>
      <c r="BJ76" s="45"/>
      <c r="BK76" s="45"/>
      <c r="BL76" s="45"/>
      <c r="BM76" s="45"/>
      <c r="BN76" s="45"/>
      <c r="BO76" s="45"/>
      <c r="BP76" s="45"/>
      <c r="BQ76" s="217"/>
      <c r="BR76" s="217"/>
      <c r="BS76" s="217"/>
      <c r="BT76" s="45"/>
      <c r="BU76" s="45"/>
      <c r="BV76" s="45"/>
      <c r="BW76" s="45"/>
      <c r="BX76" s="45"/>
      <c r="BY76" s="45"/>
      <c r="BZ76" s="45"/>
      <c r="CA76" s="45"/>
    </row>
    <row r="77" spans="2:79" ht="32.25" customHeight="1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68"/>
      <c r="AG77" s="68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  <c r="BA77" s="45"/>
      <c r="BB77" s="45"/>
      <c r="BC77" s="45"/>
      <c r="BD77" s="45"/>
      <c r="BE77" s="45"/>
      <c r="BF77" s="45"/>
      <c r="BG77" s="45"/>
      <c r="BH77" s="45"/>
      <c r="BI77" s="45"/>
      <c r="BJ77" s="45"/>
      <c r="BK77" s="45"/>
      <c r="BL77" s="45"/>
      <c r="BM77" s="45"/>
      <c r="BN77" s="45"/>
      <c r="BO77" s="45"/>
      <c r="BP77" s="45"/>
      <c r="BQ77" s="217"/>
      <c r="BR77" s="217"/>
      <c r="BS77" s="217"/>
      <c r="BT77" s="45"/>
      <c r="BU77" s="45"/>
      <c r="BV77" s="45"/>
      <c r="BW77" s="45"/>
      <c r="BX77" s="45"/>
      <c r="BY77" s="45"/>
      <c r="BZ77" s="45"/>
      <c r="CA77" s="45"/>
    </row>
    <row r="78" spans="2:79" ht="32.25" customHeight="1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68"/>
      <c r="AG78" s="68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  <c r="BA78" s="45"/>
      <c r="BB78" s="45"/>
      <c r="BC78" s="45"/>
      <c r="BD78" s="45"/>
      <c r="BE78" s="45"/>
      <c r="BF78" s="45"/>
      <c r="BG78" s="45"/>
      <c r="BH78" s="45"/>
      <c r="BI78" s="45"/>
      <c r="BJ78" s="45"/>
      <c r="BK78" s="45"/>
      <c r="BL78" s="45"/>
      <c r="BM78" s="45"/>
      <c r="BN78" s="45"/>
      <c r="BO78" s="45"/>
      <c r="BP78" s="45"/>
      <c r="BQ78" s="217"/>
      <c r="BR78" s="217"/>
      <c r="BS78" s="217"/>
      <c r="BT78" s="45"/>
      <c r="BU78" s="45"/>
      <c r="BV78" s="45"/>
      <c r="BW78" s="45"/>
      <c r="BX78" s="45"/>
      <c r="BY78" s="45"/>
      <c r="BZ78" s="45"/>
      <c r="CA78" s="45"/>
    </row>
    <row r="79" spans="2:79" ht="32.25" customHeight="1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68"/>
      <c r="AG79" s="68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  <c r="BC79" s="45"/>
      <c r="BD79" s="45"/>
      <c r="BE79" s="45"/>
      <c r="BF79" s="45"/>
      <c r="BG79" s="45"/>
      <c r="BH79" s="45"/>
      <c r="BI79" s="45"/>
      <c r="BJ79" s="45"/>
      <c r="BK79" s="45"/>
      <c r="BL79" s="45"/>
      <c r="BM79" s="45"/>
      <c r="BN79" s="45"/>
      <c r="BO79" s="45"/>
      <c r="BP79" s="45"/>
      <c r="BQ79" s="217"/>
      <c r="BR79" s="217"/>
      <c r="BS79" s="217"/>
      <c r="BT79" s="45"/>
      <c r="BU79" s="45"/>
      <c r="BV79" s="45"/>
      <c r="BW79" s="45"/>
      <c r="BX79" s="45"/>
      <c r="BY79" s="45"/>
      <c r="BZ79" s="45"/>
      <c r="CA79" s="45"/>
    </row>
    <row r="80" spans="2:79" ht="32.25" customHeight="1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68"/>
      <c r="AG80" s="68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  <c r="BA80" s="45"/>
      <c r="BB80" s="45"/>
      <c r="BC80" s="45"/>
      <c r="BD80" s="45"/>
      <c r="BE80" s="45"/>
      <c r="BF80" s="45"/>
      <c r="BG80" s="45"/>
      <c r="BH80" s="45"/>
      <c r="BI80" s="45"/>
      <c r="BJ80" s="45"/>
      <c r="BK80" s="45"/>
      <c r="BL80" s="45"/>
      <c r="BM80" s="45"/>
      <c r="BN80" s="45"/>
      <c r="BO80" s="45"/>
      <c r="BP80" s="45"/>
      <c r="BQ80" s="217"/>
      <c r="BR80" s="217"/>
      <c r="BS80" s="217"/>
      <c r="BT80" s="45"/>
      <c r="BU80" s="45"/>
      <c r="BV80" s="45"/>
      <c r="BW80" s="45"/>
      <c r="BX80" s="45"/>
      <c r="BY80" s="45"/>
      <c r="BZ80" s="45"/>
      <c r="CA80" s="45"/>
    </row>
    <row r="81" spans="2:48" ht="32.25" customHeight="1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68"/>
      <c r="AG81" s="68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</row>
    <row r="82" spans="2:48" ht="32.25" customHeight="1"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68"/>
      <c r="AG82" s="68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</row>
    <row r="83" spans="2:48" ht="32.25" customHeight="1">
      <c r="AF83" s="69"/>
      <c r="AG83" s="69"/>
    </row>
    <row r="84" spans="2:48" ht="32.25" customHeight="1">
      <c r="AF84" s="69"/>
      <c r="AG84" s="69"/>
    </row>
    <row r="85" spans="2:48" ht="32.25" customHeight="1">
      <c r="AF85" s="69"/>
      <c r="AG85" s="69"/>
    </row>
    <row r="86" spans="2:48" ht="32.25" customHeight="1">
      <c r="AF86" s="69"/>
      <c r="AG86" s="69"/>
    </row>
    <row r="87" spans="2:48" ht="32.25" customHeight="1">
      <c r="AF87" s="69"/>
      <c r="AG87" s="69"/>
    </row>
    <row r="88" spans="2:48" ht="32.25" customHeight="1">
      <c r="AF88" s="69"/>
      <c r="AG88" s="69"/>
    </row>
    <row r="89" spans="2:48" ht="32.25" customHeight="1">
      <c r="AF89" s="69"/>
      <c r="AG89" s="69"/>
    </row>
    <row r="90" spans="2:48" ht="32.25" customHeight="1">
      <c r="AF90" s="69"/>
      <c r="AG90" s="69"/>
    </row>
    <row r="91" spans="2:48" ht="32.25" customHeight="1">
      <c r="AF91" s="69"/>
      <c r="AG91" s="69"/>
    </row>
    <row r="92" spans="2:48" ht="32.25" customHeight="1">
      <c r="AF92" s="69"/>
      <c r="AG92" s="69"/>
    </row>
    <row r="93" spans="2:48" ht="32.25" customHeight="1">
      <c r="AF93" s="69"/>
      <c r="AG93" s="69"/>
    </row>
    <row r="94" spans="2:48" ht="32.25" customHeight="1">
      <c r="AF94" s="69"/>
      <c r="AG94" s="69"/>
    </row>
    <row r="95" spans="2:48" ht="32.25" customHeight="1">
      <c r="AF95" s="69"/>
      <c r="AG95" s="69"/>
    </row>
    <row r="96" spans="2:48" ht="32.25" customHeight="1">
      <c r="AF96" s="69"/>
      <c r="AG96" s="69"/>
    </row>
    <row r="97" spans="32:33" ht="32.25" customHeight="1">
      <c r="AF97" s="69"/>
      <c r="AG97" s="69"/>
    </row>
    <row r="98" spans="32:33" ht="32.25" customHeight="1">
      <c r="AF98" s="69"/>
      <c r="AG98" s="69"/>
    </row>
    <row r="99" spans="32:33" ht="32.25" customHeight="1">
      <c r="AF99" s="69"/>
      <c r="AG99" s="69"/>
    </row>
    <row r="100" spans="32:33" ht="32.25" customHeight="1">
      <c r="AF100" s="69"/>
      <c r="AG100" s="69"/>
    </row>
    <row r="101" spans="32:33" ht="32.25" customHeight="1">
      <c r="AF101" s="69"/>
      <c r="AG101" s="69"/>
    </row>
    <row r="102" spans="32:33" ht="32.25" customHeight="1">
      <c r="AF102" s="69"/>
      <c r="AG102" s="69"/>
    </row>
    <row r="103" spans="32:33" ht="32.25" customHeight="1">
      <c r="AF103" s="69"/>
      <c r="AG103" s="69"/>
    </row>
    <row r="104" spans="32:33" ht="32.25" customHeight="1">
      <c r="AF104" s="69"/>
      <c r="AG104" s="69"/>
    </row>
    <row r="105" spans="32:33" ht="32.25" customHeight="1">
      <c r="AF105" s="69"/>
      <c r="AG105" s="69"/>
    </row>
    <row r="106" spans="32:33" ht="32.25" customHeight="1">
      <c r="AF106" s="69"/>
      <c r="AG106" s="69"/>
    </row>
    <row r="107" spans="32:33" ht="32.25" customHeight="1">
      <c r="AF107" s="69"/>
      <c r="AG107" s="69"/>
    </row>
    <row r="108" spans="32:33" ht="32.25" customHeight="1">
      <c r="AF108" s="69"/>
      <c r="AG108" s="69"/>
    </row>
    <row r="109" spans="32:33" ht="32.25" customHeight="1">
      <c r="AF109" s="69"/>
      <c r="AG109" s="69"/>
    </row>
    <row r="110" spans="32:33" ht="32.25" customHeight="1">
      <c r="AF110" s="69"/>
      <c r="AG110" s="69"/>
    </row>
    <row r="111" spans="32:33" ht="32.25" customHeight="1">
      <c r="AF111" s="69"/>
      <c r="AG111" s="69"/>
    </row>
    <row r="112" spans="32:33" ht="32.25" customHeight="1">
      <c r="AF112" s="69"/>
      <c r="AG112" s="69"/>
    </row>
    <row r="113" spans="32:33" ht="32.25" customHeight="1">
      <c r="AF113" s="69"/>
      <c r="AG113" s="69"/>
    </row>
    <row r="114" spans="32:33" ht="32.25" customHeight="1">
      <c r="AF114" s="69"/>
      <c r="AG114" s="69"/>
    </row>
    <row r="115" spans="32:33" ht="32.25" customHeight="1">
      <c r="AF115" s="69"/>
      <c r="AG115" s="69"/>
    </row>
    <row r="116" spans="32:33" ht="32.25" customHeight="1">
      <c r="AF116" s="69"/>
      <c r="AG116" s="69"/>
    </row>
    <row r="117" spans="32:33" ht="32.25" customHeight="1">
      <c r="AF117" s="69"/>
      <c r="AG117" s="69"/>
    </row>
    <row r="118" spans="32:33" ht="32.25" customHeight="1">
      <c r="AF118" s="69"/>
      <c r="AG118" s="69"/>
    </row>
    <row r="119" spans="32:33" ht="32.25" customHeight="1">
      <c r="AF119" s="69"/>
      <c r="AG119" s="69"/>
    </row>
    <row r="120" spans="32:33" ht="32.25" customHeight="1">
      <c r="AF120" s="69"/>
      <c r="AG120" s="69"/>
    </row>
    <row r="121" spans="32:33" ht="32.25" customHeight="1">
      <c r="AF121" s="69"/>
      <c r="AG121" s="69"/>
    </row>
    <row r="122" spans="32:33" ht="32.25" customHeight="1">
      <c r="AF122" s="69"/>
      <c r="AG122" s="69"/>
    </row>
    <row r="123" spans="32:33" ht="32.25" customHeight="1">
      <c r="AF123" s="69"/>
      <c r="AG123" s="69"/>
    </row>
    <row r="124" spans="32:33" ht="32.25" customHeight="1">
      <c r="AF124" s="69"/>
      <c r="AG124" s="69"/>
    </row>
    <row r="125" spans="32:33" ht="32.25" customHeight="1">
      <c r="AF125" s="69"/>
      <c r="AG125" s="69"/>
    </row>
    <row r="126" spans="32:33" ht="32.25" customHeight="1">
      <c r="AF126" s="69"/>
      <c r="AG126" s="69"/>
    </row>
    <row r="127" spans="32:33" ht="32.25" customHeight="1">
      <c r="AF127" s="69"/>
      <c r="AG127" s="69"/>
    </row>
    <row r="128" spans="32:33" ht="32.25" customHeight="1">
      <c r="AF128" s="69"/>
      <c r="AG128" s="69"/>
    </row>
    <row r="129" spans="32:33" ht="32.25" customHeight="1">
      <c r="AF129" s="69"/>
      <c r="AG129" s="69"/>
    </row>
    <row r="130" spans="32:33" ht="32.25" customHeight="1">
      <c r="AF130" s="69"/>
      <c r="AG130" s="69"/>
    </row>
    <row r="131" spans="32:33" ht="32.25" customHeight="1">
      <c r="AF131" s="69"/>
      <c r="AG131" s="69"/>
    </row>
    <row r="132" spans="32:33" ht="32.25" customHeight="1">
      <c r="AF132" s="69"/>
      <c r="AG132" s="69"/>
    </row>
    <row r="133" spans="32:33" ht="32.25" customHeight="1">
      <c r="AF133" s="69"/>
      <c r="AG133" s="69"/>
    </row>
    <row r="134" spans="32:33" ht="32.25" customHeight="1">
      <c r="AF134" s="69"/>
      <c r="AG134" s="69"/>
    </row>
    <row r="135" spans="32:33" ht="32.25" customHeight="1">
      <c r="AF135" s="69"/>
      <c r="AG135" s="69"/>
    </row>
    <row r="136" spans="32:33" ht="32.25" customHeight="1">
      <c r="AF136" s="69"/>
      <c r="AG136" s="69"/>
    </row>
    <row r="137" spans="32:33" ht="32.25" customHeight="1"/>
    <row r="138" spans="32:33" ht="32.25" customHeight="1"/>
    <row r="139" spans="32:33" ht="32.25" customHeight="1"/>
    <row r="140" spans="32:33" ht="32.25" customHeight="1"/>
  </sheetData>
  <sheetProtection algorithmName="SHA-512" hashValue="YDij96gk+3F/eQal68dlQMYhG90Myfx6fhMnRe+K7NqprN0CFejXluCuULT4Uza8290f770wuCiUJsKYHcn2HA==" saltValue="8BHy4e4+ddjGEgEn7TqQHQ==" spinCount="100000" sheet="1" objects="1" scenarios="1"/>
  <dataConsolidate/>
  <mergeCells count="265">
    <mergeCell ref="U23:W23"/>
    <mergeCell ref="CB2:CB3"/>
    <mergeCell ref="B3:K3"/>
    <mergeCell ref="O3:R3"/>
    <mergeCell ref="S3:U3"/>
    <mergeCell ref="V3:Y3"/>
    <mergeCell ref="Z3:AB3"/>
    <mergeCell ref="AC3:AH3"/>
    <mergeCell ref="B2:AP2"/>
    <mergeCell ref="AW2:BP3"/>
    <mergeCell ref="BQ2:BQ3"/>
    <mergeCell ref="BR2:BR3"/>
    <mergeCell ref="BS2:BS3"/>
    <mergeCell ref="BT2:BT3"/>
    <mergeCell ref="AJ3:AP3"/>
    <mergeCell ref="B4:O4"/>
    <mergeCell ref="P4:Q4"/>
    <mergeCell ref="R4:AA4"/>
    <mergeCell ref="AB4:AD4"/>
    <mergeCell ref="AE4:AP4"/>
    <mergeCell ref="AW4:AW5"/>
    <mergeCell ref="BU2:BU3"/>
    <mergeCell ref="BV2:BW3"/>
    <mergeCell ref="BX2:CA3"/>
    <mergeCell ref="BU4:BU5"/>
    <mergeCell ref="BV4:CA5"/>
    <mergeCell ref="CB4:CB5"/>
    <mergeCell ref="CE4:CE5"/>
    <mergeCell ref="AZ5:BE5"/>
    <mergeCell ref="AQ6:AT6"/>
    <mergeCell ref="AW6:AW7"/>
    <mergeCell ref="AX6:AX7"/>
    <mergeCell ref="BN6:BN7"/>
    <mergeCell ref="BO6:BO7"/>
    <mergeCell ref="AX4:AX5"/>
    <mergeCell ref="AZ4:BE4"/>
    <mergeCell ref="BN4:BN5"/>
    <mergeCell ref="BO4:BO5"/>
    <mergeCell ref="BP4:BP5"/>
    <mergeCell ref="BQ4:BS5"/>
    <mergeCell ref="AW8:AW9"/>
    <mergeCell ref="AX8:AX9"/>
    <mergeCell ref="BN8:BN9"/>
    <mergeCell ref="BO8:BO9"/>
    <mergeCell ref="BP8:BP9"/>
    <mergeCell ref="BQ8:BS9"/>
    <mergeCell ref="BU8:BU9"/>
    <mergeCell ref="BP6:BP7"/>
    <mergeCell ref="BQ6:BS7"/>
    <mergeCell ref="BU6:BU7"/>
    <mergeCell ref="BV8:BV9"/>
    <mergeCell ref="BW8:BW9"/>
    <mergeCell ref="BX8:BX9"/>
    <mergeCell ref="BY8:BY9"/>
    <mergeCell ref="CA8:CA9"/>
    <mergeCell ref="CB8:CB9"/>
    <mergeCell ref="BY6:BY7"/>
    <mergeCell ref="CA6:CA7"/>
    <mergeCell ref="CB6:CB7"/>
    <mergeCell ref="BV6:BV7"/>
    <mergeCell ref="BW6:BW7"/>
    <mergeCell ref="BX6:BX7"/>
    <mergeCell ref="CB10:CB11"/>
    <mergeCell ref="AW12:AW13"/>
    <mergeCell ref="AX12:AX13"/>
    <mergeCell ref="BN12:BN13"/>
    <mergeCell ref="BO12:BO13"/>
    <mergeCell ref="BP12:BP13"/>
    <mergeCell ref="BQ12:BS13"/>
    <mergeCell ref="BU12:BU13"/>
    <mergeCell ref="BV12:BV13"/>
    <mergeCell ref="BW12:BW13"/>
    <mergeCell ref="BU10:BU11"/>
    <mergeCell ref="BV10:BV11"/>
    <mergeCell ref="BW10:BW11"/>
    <mergeCell ref="BX10:BX11"/>
    <mergeCell ref="BY10:BY11"/>
    <mergeCell ref="CA10:CA11"/>
    <mergeCell ref="AW10:AW11"/>
    <mergeCell ref="AX10:AX11"/>
    <mergeCell ref="BN10:BN11"/>
    <mergeCell ref="BO10:BO11"/>
    <mergeCell ref="BP10:BP11"/>
    <mergeCell ref="BQ10:BS11"/>
    <mergeCell ref="BX12:BX13"/>
    <mergeCell ref="BY12:BY13"/>
    <mergeCell ref="CA12:CA13"/>
    <mergeCell ref="CB12:CB13"/>
    <mergeCell ref="AW14:AW15"/>
    <mergeCell ref="AX14:AX15"/>
    <mergeCell ref="BN14:BN15"/>
    <mergeCell ref="BO14:BO15"/>
    <mergeCell ref="BP14:BP15"/>
    <mergeCell ref="BQ14:BS15"/>
    <mergeCell ref="CB14:CB15"/>
    <mergeCell ref="BU14:BU15"/>
    <mergeCell ref="BV14:BV15"/>
    <mergeCell ref="BW14:BW15"/>
    <mergeCell ref="BX14:BX15"/>
    <mergeCell ref="BY14:BY15"/>
    <mergeCell ref="CA14:CA15"/>
    <mergeCell ref="BX16:BX17"/>
    <mergeCell ref="BY16:BY17"/>
    <mergeCell ref="CA16:CA17"/>
    <mergeCell ref="CB16:CB17"/>
    <mergeCell ref="AW18:AW19"/>
    <mergeCell ref="AX18:AX19"/>
    <mergeCell ref="BN18:BN19"/>
    <mergeCell ref="BO18:BO19"/>
    <mergeCell ref="BP18:BP19"/>
    <mergeCell ref="BQ18:BS19"/>
    <mergeCell ref="AW16:AW17"/>
    <mergeCell ref="AX16:AX17"/>
    <mergeCell ref="BN16:BN17"/>
    <mergeCell ref="BO16:BO17"/>
    <mergeCell ref="BP16:BP17"/>
    <mergeCell ref="BQ16:BS17"/>
    <mergeCell ref="BU16:BU17"/>
    <mergeCell ref="BV16:BV17"/>
    <mergeCell ref="BW16:BW17"/>
    <mergeCell ref="CB20:CB21"/>
    <mergeCell ref="B22:K22"/>
    <mergeCell ref="L22:M22"/>
    <mergeCell ref="O22:R22"/>
    <mergeCell ref="S22:T22"/>
    <mergeCell ref="U22:W22"/>
    <mergeCell ref="Z22:AC22"/>
    <mergeCell ref="CB18:CB19"/>
    <mergeCell ref="AW20:AW21"/>
    <mergeCell ref="AX20:AX21"/>
    <mergeCell ref="BN20:BN21"/>
    <mergeCell ref="BO20:BO21"/>
    <mergeCell ref="BP20:BP21"/>
    <mergeCell ref="BQ20:BS21"/>
    <mergeCell ref="BU20:BU21"/>
    <mergeCell ref="BV20:BV21"/>
    <mergeCell ref="BW20:BW21"/>
    <mergeCell ref="BU18:BU19"/>
    <mergeCell ref="BV18:BV19"/>
    <mergeCell ref="BW18:BW19"/>
    <mergeCell ref="BX18:BX19"/>
    <mergeCell ref="BY18:BY19"/>
    <mergeCell ref="CA18:CA19"/>
    <mergeCell ref="AD22:AE22"/>
    <mergeCell ref="AG22:AK22"/>
    <mergeCell ref="AL22:AO22"/>
    <mergeCell ref="AW22:AW23"/>
    <mergeCell ref="AX22:AX23"/>
    <mergeCell ref="BN22:BN23"/>
    <mergeCell ref="BX20:BX21"/>
    <mergeCell ref="BY20:BY21"/>
    <mergeCell ref="CA20:CA21"/>
    <mergeCell ref="BX22:BX23"/>
    <mergeCell ref="BY22:BY23"/>
    <mergeCell ref="CA22:CA23"/>
    <mergeCell ref="CB22:CB23"/>
    <mergeCell ref="AW24:AW25"/>
    <mergeCell ref="AX24:AX25"/>
    <mergeCell ref="BN24:BN25"/>
    <mergeCell ref="BO24:BO25"/>
    <mergeCell ref="BP24:BP25"/>
    <mergeCell ref="BQ24:BS25"/>
    <mergeCell ref="BO22:BO23"/>
    <mergeCell ref="BP22:BP23"/>
    <mergeCell ref="BQ22:BS23"/>
    <mergeCell ref="BU22:BU23"/>
    <mergeCell ref="BV22:BV23"/>
    <mergeCell ref="BW22:BW23"/>
    <mergeCell ref="CB24:CB25"/>
    <mergeCell ref="BW24:BW25"/>
    <mergeCell ref="BX24:BX25"/>
    <mergeCell ref="BY24:BY25"/>
    <mergeCell ref="CA24:CA25"/>
    <mergeCell ref="AQ25:AS25"/>
    <mergeCell ref="AW26:AW27"/>
    <mergeCell ref="AX26:AX27"/>
    <mergeCell ref="BN26:BN27"/>
    <mergeCell ref="BO26:BO27"/>
    <mergeCell ref="BP26:BP27"/>
    <mergeCell ref="BQ26:BS27"/>
    <mergeCell ref="BU26:BU27"/>
    <mergeCell ref="BV26:BV27"/>
    <mergeCell ref="BU24:BU25"/>
    <mergeCell ref="BV24:BV25"/>
    <mergeCell ref="CB26:CB27"/>
    <mergeCell ref="AW28:AW29"/>
    <mergeCell ref="AX28:AX29"/>
    <mergeCell ref="BN28:BN29"/>
    <mergeCell ref="BO28:BO29"/>
    <mergeCell ref="BP28:BP29"/>
    <mergeCell ref="CA28:CA29"/>
    <mergeCell ref="CB28:CB29"/>
    <mergeCell ref="BW28:BW29"/>
    <mergeCell ref="BX28:BX29"/>
    <mergeCell ref="BY28:BY29"/>
    <mergeCell ref="BU30:BU31"/>
    <mergeCell ref="BV30:BV31"/>
    <mergeCell ref="BQ28:BS29"/>
    <mergeCell ref="BU28:BU29"/>
    <mergeCell ref="BV28:BV29"/>
    <mergeCell ref="BW26:BW27"/>
    <mergeCell ref="BX26:BX27"/>
    <mergeCell ref="BY26:BY27"/>
    <mergeCell ref="CA26:CA27"/>
    <mergeCell ref="BQ32:BS33"/>
    <mergeCell ref="BU32:BU33"/>
    <mergeCell ref="BV32:BV33"/>
    <mergeCell ref="BW30:BW31"/>
    <mergeCell ref="BX30:BX31"/>
    <mergeCell ref="BY30:BY31"/>
    <mergeCell ref="CA30:CA31"/>
    <mergeCell ref="CB30:CB31"/>
    <mergeCell ref="AW32:AW33"/>
    <mergeCell ref="AX32:AX33"/>
    <mergeCell ref="BN32:BN33"/>
    <mergeCell ref="BO32:BO33"/>
    <mergeCell ref="BP32:BP33"/>
    <mergeCell ref="CA32:CA33"/>
    <mergeCell ref="CB32:CB33"/>
    <mergeCell ref="BW32:BW33"/>
    <mergeCell ref="BX32:BX33"/>
    <mergeCell ref="BY32:BY33"/>
    <mergeCell ref="AW30:AW31"/>
    <mergeCell ref="AX30:AX31"/>
    <mergeCell ref="BN30:BN31"/>
    <mergeCell ref="BO30:BO31"/>
    <mergeCell ref="BP30:BP31"/>
    <mergeCell ref="BQ30:BS31"/>
    <mergeCell ref="BW34:BW35"/>
    <mergeCell ref="BX34:BX35"/>
    <mergeCell ref="BY34:BY35"/>
    <mergeCell ref="CA34:CA35"/>
    <mergeCell ref="CB34:CB35"/>
    <mergeCell ref="AW36:AW37"/>
    <mergeCell ref="AX36:AX37"/>
    <mergeCell ref="BN36:BN37"/>
    <mergeCell ref="BO36:BO37"/>
    <mergeCell ref="BP36:BP37"/>
    <mergeCell ref="AW34:AW35"/>
    <mergeCell ref="AX34:AX35"/>
    <mergeCell ref="BN34:BN35"/>
    <mergeCell ref="BO34:BO35"/>
    <mergeCell ref="BP34:BP35"/>
    <mergeCell ref="BQ34:BS35"/>
    <mergeCell ref="BU34:BU35"/>
    <mergeCell ref="BV34:BV35"/>
    <mergeCell ref="AW39:AY39"/>
    <mergeCell ref="AZ39:BE39"/>
    <mergeCell ref="BI39:BJ39"/>
    <mergeCell ref="BL39:BO39"/>
    <mergeCell ref="BV39:CA39"/>
    <mergeCell ref="AX41:BG41"/>
    <mergeCell ref="CA36:CA37"/>
    <mergeCell ref="CB36:CB37"/>
    <mergeCell ref="AW38:AY38"/>
    <mergeCell ref="AZ38:BE38"/>
    <mergeCell ref="BI38:BJ38"/>
    <mergeCell ref="BL38:BO38"/>
    <mergeCell ref="BV38:CA38"/>
    <mergeCell ref="BQ36:BS37"/>
    <mergeCell ref="BU36:BU37"/>
    <mergeCell ref="BV36:BV37"/>
    <mergeCell ref="BW36:BW37"/>
    <mergeCell ref="BX36:BX37"/>
    <mergeCell ref="BY36:BY37"/>
  </mergeCells>
  <conditionalFormatting sqref="BV2:BW3">
    <cfRule type="containsBlanks" dxfId="1" priority="2">
      <formula>LEN(TRIM(BV2))=0</formula>
    </cfRule>
  </conditionalFormatting>
  <conditionalFormatting sqref="CB2:CB3">
    <cfRule type="containsBlanks" dxfId="0" priority="1">
      <formula>LEN(TRIM(CB2))=0</formula>
    </cfRule>
  </conditionalFormatting>
  <dataValidations count="7">
    <dataValidation type="list" allowBlank="1" showInputMessage="1" showErrorMessage="1" sqref="Q6:Q21">
      <formula1>$B$47</formula1>
    </dataValidation>
    <dataValidation type="list" allowBlank="1" showInputMessage="1" showErrorMessage="1" sqref="B29">
      <formula1>$B$54:$B$57</formula1>
    </dataValidation>
    <dataValidation type="decimal" operator="greaterThanOrEqual" allowBlank="1" showInputMessage="1" showErrorMessage="1" sqref="CB6:CB37 AZ6:BE37 BK6:BO37">
      <formula1>0</formula1>
    </dataValidation>
    <dataValidation type="time" allowBlank="1" showInputMessage="1" showErrorMessage="1" sqref="BH6:BI37">
      <formula1>0</formula1>
      <formula2>0.999988425925926</formula2>
    </dataValidation>
    <dataValidation type="whole" allowBlank="1" showInputMessage="1" showErrorMessage="1" sqref="BF7 BF9 BF11 BF13 BF15 BF17 BF19 BF21 BF23 BF25 BF27 BF29 BF31 BF33 BF35 BF37">
      <formula1>0</formula1>
      <formula2>1500</formula2>
    </dataValidation>
    <dataValidation type="time" allowBlank="1" showInputMessage="1" showErrorMessage="1" sqref="BP6:BP37">
      <formula1>0</formula1>
      <formula2>0.999988425925926</formula2>
    </dataValidation>
    <dataValidation type="whole" allowBlank="1" showInputMessage="1" showErrorMessage="1" sqref="BV6:CA37">
      <formula1>0</formula1>
      <formula2>5000</formula2>
    </dataValidation>
  </dataValidations>
  <pageMargins left="0.25" right="0.25" top="0.75" bottom="0.75" header="0.3" footer="0.3"/>
  <pageSetup paperSize="9" scale="2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P46"/>
  <sheetViews>
    <sheetView topLeftCell="AN1" workbookViewId="0">
      <selection activeCell="AR18" sqref="AR18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8" max="18" width="4.85546875" bestFit="1" customWidth="1"/>
    <col min="19" max="19" width="14.28515625" bestFit="1" customWidth="1"/>
    <col min="20" max="20" width="9" bestFit="1" customWidth="1"/>
    <col min="21" max="21" width="10.140625" bestFit="1" customWidth="1"/>
    <col min="22" max="22" width="18" bestFit="1" customWidth="1"/>
    <col min="23" max="23" width="6.7109375" bestFit="1" customWidth="1"/>
    <col min="24" max="24" width="10.7109375" bestFit="1" customWidth="1"/>
    <col min="46" max="48" width="9.140625" customWidth="1"/>
    <col min="51" max="53" width="9.140625" customWidth="1"/>
    <col min="56" max="58" width="9.140625" customWidth="1"/>
    <col min="61" max="63" width="9.140625" customWidth="1"/>
    <col min="66" max="68" width="9.140625" customWidth="1"/>
    <col min="71" max="73" width="9.140625" customWidth="1"/>
    <col min="76" max="78" width="9.140625" customWidth="1"/>
    <col min="81" max="83" width="9.140625" customWidth="1"/>
  </cols>
  <sheetData>
    <row r="1" spans="1:94">
      <c r="A1" s="76" t="s">
        <v>135</v>
      </c>
      <c r="B1" s="76" t="s">
        <v>136</v>
      </c>
      <c r="C1" s="76" t="s">
        <v>137</v>
      </c>
      <c r="D1" s="76" t="s">
        <v>49</v>
      </c>
      <c r="E1" s="76" t="s">
        <v>138</v>
      </c>
      <c r="F1" s="76" t="s">
        <v>139</v>
      </c>
      <c r="G1" s="76" t="s">
        <v>140</v>
      </c>
      <c r="H1" s="76" t="s">
        <v>141</v>
      </c>
      <c r="I1" s="76" t="s">
        <v>142</v>
      </c>
      <c r="J1" s="76" t="s">
        <v>143</v>
      </c>
      <c r="K1" s="76" t="s">
        <v>144</v>
      </c>
      <c r="L1" s="76" t="s">
        <v>145</v>
      </c>
      <c r="M1" s="76" t="s">
        <v>146</v>
      </c>
      <c r="N1" s="76" t="s">
        <v>147</v>
      </c>
      <c r="O1" s="76" t="s">
        <v>148</v>
      </c>
      <c r="P1" s="76" t="s">
        <v>149</v>
      </c>
      <c r="Q1" s="76" t="s">
        <v>150</v>
      </c>
      <c r="R1" s="76" t="s">
        <v>59</v>
      </c>
      <c r="S1" s="76" t="s">
        <v>153</v>
      </c>
      <c r="T1" s="76" t="s">
        <v>154</v>
      </c>
      <c r="U1" s="76" t="s">
        <v>155</v>
      </c>
      <c r="V1" s="76" t="s">
        <v>156</v>
      </c>
      <c r="W1" s="76" t="s">
        <v>119</v>
      </c>
      <c r="X1" s="76" t="s">
        <v>157</v>
      </c>
      <c r="Y1" s="79" t="s">
        <v>158</v>
      </c>
      <c r="Z1" s="79" t="s">
        <v>159</v>
      </c>
      <c r="AA1" s="79" t="s">
        <v>160</v>
      </c>
      <c r="AB1" s="79" t="s">
        <v>161</v>
      </c>
      <c r="AC1" s="79" t="s">
        <v>162</v>
      </c>
      <c r="AD1" s="79" t="s">
        <v>163</v>
      </c>
      <c r="AE1" s="79" t="s">
        <v>164</v>
      </c>
      <c r="AF1" s="79" t="s">
        <v>165</v>
      </c>
      <c r="AG1" s="79" t="s">
        <v>166</v>
      </c>
    </row>
    <row r="2" spans="1:94">
      <c r="AS2">
        <f>Sheet1!EK6</f>
        <v>0</v>
      </c>
      <c r="AT2">
        <f>Sheet1!EL6</f>
        <v>0</v>
      </c>
      <c r="AU2">
        <f>Sheet1!EM6</f>
        <v>0</v>
      </c>
      <c r="AV2">
        <f>Sheet1!EN6</f>
        <v>0</v>
      </c>
      <c r="AW2">
        <f>(AV2-AU2)*1440</f>
        <v>0</v>
      </c>
      <c r="AX2">
        <f>Sheet1!EO6</f>
        <v>0</v>
      </c>
      <c r="AY2">
        <f>Sheet1!EP6</f>
        <v>0</v>
      </c>
      <c r="AZ2">
        <f>Sheet1!EQ6</f>
        <v>0</v>
      </c>
      <c r="BA2">
        <f>Sheet1!ER6</f>
        <v>0</v>
      </c>
      <c r="BB2">
        <f>(BA2-AZ2)*1440</f>
        <v>0</v>
      </c>
      <c r="BC2">
        <f>Sheet1!ES6</f>
        <v>0</v>
      </c>
      <c r="BD2">
        <f>Sheet1!ET6</f>
        <v>0</v>
      </c>
      <c r="BE2">
        <f>Sheet1!EU6</f>
        <v>0</v>
      </c>
      <c r="BF2">
        <f>Sheet1!EV6</f>
        <v>0</v>
      </c>
      <c r="BG2">
        <f>(BF2-BE2)*1440</f>
        <v>0</v>
      </c>
      <c r="BH2">
        <f>Sheet1!EW6</f>
        <v>0</v>
      </c>
      <c r="BI2">
        <f>Sheet1!EX6</f>
        <v>0</v>
      </c>
      <c r="BJ2">
        <f>Sheet1!EY6</f>
        <v>0</v>
      </c>
      <c r="BK2">
        <f>Sheet1!EZ6</f>
        <v>0</v>
      </c>
      <c r="BL2">
        <f>(BK2-BJ2)*1440</f>
        <v>0</v>
      </c>
      <c r="BM2">
        <f>Sheet1!FA6</f>
        <v>0</v>
      </c>
      <c r="BN2">
        <f>Sheet1!FB6</f>
        <v>0</v>
      </c>
      <c r="BO2">
        <f>Sheet1!FC6</f>
        <v>0</v>
      </c>
      <c r="BP2">
        <f>Sheet1!FD6</f>
        <v>0</v>
      </c>
      <c r="BQ2">
        <f>(BP2-BO2)*1440</f>
        <v>0</v>
      </c>
      <c r="BR2">
        <f>Sheet1!FE6</f>
        <v>0</v>
      </c>
      <c r="BS2">
        <f>Sheet1!FF6</f>
        <v>0</v>
      </c>
      <c r="BT2">
        <f>Sheet1!FG6</f>
        <v>0</v>
      </c>
      <c r="BU2">
        <f>Sheet1!FH6</f>
        <v>0</v>
      </c>
      <c r="BV2">
        <f>(BU2-BT2)*1440</f>
        <v>0</v>
      </c>
      <c r="BW2">
        <f>Sheet1!FI6</f>
        <v>0</v>
      </c>
      <c r="BX2">
        <f>Sheet1!FJ6</f>
        <v>0</v>
      </c>
      <c r="BY2">
        <f>Sheet1!FK6</f>
        <v>0</v>
      </c>
      <c r="BZ2">
        <f>Sheet1!FL6</f>
        <v>0</v>
      </c>
      <c r="CA2">
        <f>(BZ2-BY2)*1440</f>
        <v>0</v>
      </c>
      <c r="CB2">
        <f>Sheet1!FM6</f>
        <v>0</v>
      </c>
      <c r="CC2">
        <f>Sheet1!FN6</f>
        <v>0</v>
      </c>
      <c r="CD2">
        <f>Sheet1!FO6</f>
        <v>0</v>
      </c>
      <c r="CE2">
        <f>Sheet1!FP6</f>
        <v>0</v>
      </c>
      <c r="CF2">
        <f>(CE2-CD2)*1440</f>
        <v>0</v>
      </c>
      <c r="CG2">
        <f>IF(AS2="BT",AW2,0)</f>
        <v>0</v>
      </c>
      <c r="CH2">
        <f>IF(AX2="BT",BB2,0)</f>
        <v>0</v>
      </c>
      <c r="CI2">
        <f>IF(BC2="BT",BG2,0)</f>
        <v>0</v>
      </c>
      <c r="CJ2">
        <f>IF(BH2="BT",BL2,0)</f>
        <v>0</v>
      </c>
      <c r="CK2">
        <f>IF(BM2="BT",BQ2,0)</f>
        <v>0</v>
      </c>
      <c r="CL2">
        <f>IF(BR2="BT",BV2,0)</f>
        <v>0</v>
      </c>
      <c r="CM2">
        <f>IF(BW2="BT",CA2,0)</f>
        <v>0</v>
      </c>
      <c r="CN2">
        <f>IF(CB2="BT",CF2,0)</f>
        <v>0</v>
      </c>
      <c r="CO2">
        <f>SUM(CF2:CN2)</f>
        <v>0</v>
      </c>
      <c r="CP2">
        <f>SUM(AW2,BB2,BG2,BL2,BQ2,BV2,CA2,CF2)-CO2</f>
        <v>0</v>
      </c>
    </row>
    <row r="3" spans="1:94">
      <c r="AS3">
        <f>Sheet1!EK7</f>
        <v>0</v>
      </c>
      <c r="AT3">
        <f>Sheet1!EL7</f>
        <v>0</v>
      </c>
      <c r="AU3">
        <f>Sheet1!EM7</f>
        <v>0</v>
      </c>
      <c r="AV3">
        <f>Sheet1!EN7</f>
        <v>0</v>
      </c>
      <c r="AW3">
        <f t="shared" ref="AW3:AW46" si="0">(AV3-AU3)*1440</f>
        <v>0</v>
      </c>
      <c r="AX3">
        <f>Sheet1!EO7</f>
        <v>0</v>
      </c>
      <c r="AY3">
        <f>Sheet1!EP7</f>
        <v>0</v>
      </c>
      <c r="AZ3">
        <f>Sheet1!EQ7</f>
        <v>0</v>
      </c>
      <c r="BA3">
        <f>Sheet1!ER7</f>
        <v>0</v>
      </c>
      <c r="BB3">
        <f t="shared" ref="BB3:BB46" si="1">(BA3-AZ3)*1440</f>
        <v>0</v>
      </c>
      <c r="BC3">
        <f>Sheet1!ES7</f>
        <v>0</v>
      </c>
      <c r="BD3">
        <f>Sheet1!ET7</f>
        <v>0</v>
      </c>
      <c r="BE3">
        <f>Sheet1!EU7</f>
        <v>0</v>
      </c>
      <c r="BF3">
        <f>Sheet1!EV7</f>
        <v>0</v>
      </c>
      <c r="BG3">
        <f t="shared" ref="BG3:BG46" si="2">(BF3-BE3)*1440</f>
        <v>0</v>
      </c>
      <c r="BH3">
        <f>Sheet1!EW7</f>
        <v>0</v>
      </c>
      <c r="BI3">
        <f>Sheet1!EX7</f>
        <v>0</v>
      </c>
      <c r="BJ3">
        <f>Sheet1!EY7</f>
        <v>0</v>
      </c>
      <c r="BK3">
        <f>Sheet1!EZ7</f>
        <v>0</v>
      </c>
      <c r="BL3">
        <f t="shared" ref="BL3:BL46" si="3">(BK3-BJ3)*1440</f>
        <v>0</v>
      </c>
      <c r="BM3">
        <f>Sheet1!FA7</f>
        <v>0</v>
      </c>
      <c r="BN3">
        <f>Sheet1!FB7</f>
        <v>0</v>
      </c>
      <c r="BO3">
        <f>Sheet1!FC7</f>
        <v>0</v>
      </c>
      <c r="BP3">
        <f>Sheet1!FD7</f>
        <v>0</v>
      </c>
      <c r="BQ3">
        <f t="shared" ref="BQ3:BQ46" si="4">(BP3-BO3)*1440</f>
        <v>0</v>
      </c>
      <c r="BR3">
        <f>Sheet1!FE7</f>
        <v>0</v>
      </c>
      <c r="BS3">
        <f>Sheet1!FF7</f>
        <v>0</v>
      </c>
      <c r="BT3">
        <f>Sheet1!FG7</f>
        <v>0</v>
      </c>
      <c r="BU3">
        <f>Sheet1!FH7</f>
        <v>0</v>
      </c>
      <c r="BV3">
        <f t="shared" ref="BV3:BV46" si="5">(BU3-BT3)*1440</f>
        <v>0</v>
      </c>
      <c r="BW3">
        <f>Sheet1!FI7</f>
        <v>0</v>
      </c>
      <c r="BX3">
        <f>Sheet1!FJ7</f>
        <v>0</v>
      </c>
      <c r="BY3">
        <f>Sheet1!FK7</f>
        <v>0</v>
      </c>
      <c r="BZ3">
        <f>Sheet1!FL7</f>
        <v>0</v>
      </c>
      <c r="CA3">
        <f t="shared" ref="CA3:CA46" si="6">(BZ3-BY3)*1440</f>
        <v>0</v>
      </c>
      <c r="CB3">
        <f>Sheet1!FM7</f>
        <v>0</v>
      </c>
      <c r="CC3">
        <f>Sheet1!FN7</f>
        <v>0</v>
      </c>
      <c r="CD3">
        <f>Sheet1!FO7</f>
        <v>0</v>
      </c>
      <c r="CE3">
        <f>Sheet1!FP7</f>
        <v>0</v>
      </c>
      <c r="CF3">
        <f t="shared" ref="CF3:CF46" si="7">(CE3-CD3)*1440</f>
        <v>0</v>
      </c>
      <c r="CG3">
        <f t="shared" ref="CG3:CG46" si="8">IF(AS3="BT",AW3,0)</f>
        <v>0</v>
      </c>
      <c r="CH3">
        <f t="shared" ref="CH3:CH46" si="9">IF(AX3="BT",BB3,0)</f>
        <v>0</v>
      </c>
      <c r="CI3">
        <f t="shared" ref="CI3:CI46" si="10">IF(BC3="BT",BG3,0)</f>
        <v>0</v>
      </c>
      <c r="CJ3">
        <f t="shared" ref="CJ3:CJ46" si="11">IF(BH3="BT",BL3,0)</f>
        <v>0</v>
      </c>
      <c r="CK3">
        <f t="shared" ref="CK3:CK46" si="12">IF(BM3="BT",BQ3,0)</f>
        <v>0</v>
      </c>
      <c r="CL3">
        <f t="shared" ref="CL3:CL46" si="13">IF(BR3="BT",BV3,0)</f>
        <v>0</v>
      </c>
      <c r="CM3">
        <f t="shared" ref="CM3:CM46" si="14">IF(BW3="BT",CA3,0)</f>
        <v>0</v>
      </c>
      <c r="CN3">
        <f t="shared" ref="CN3:CN46" si="15">IF(CB3="BT",CF3,0)</f>
        <v>0</v>
      </c>
      <c r="CO3">
        <f t="shared" ref="CO3:CO46" si="16">SUM(CF3:CN3)</f>
        <v>0</v>
      </c>
      <c r="CP3">
        <f t="shared" ref="CP3:CP46" si="17">SUM(AW3,BB3,BG3,BL3,BQ3,BV3,CA3,CF3)-CO3</f>
        <v>0</v>
      </c>
    </row>
    <row r="4" spans="1:94">
      <c r="AS4">
        <f>Sheet1!EK8</f>
        <v>0</v>
      </c>
      <c r="AT4">
        <f>Sheet1!EL8</f>
        <v>0</v>
      </c>
      <c r="AU4">
        <f>Sheet1!EM8</f>
        <v>0</v>
      </c>
      <c r="AV4">
        <f>Sheet1!EN8</f>
        <v>0</v>
      </c>
      <c r="AW4">
        <f t="shared" si="0"/>
        <v>0</v>
      </c>
      <c r="AX4">
        <f>Sheet1!EO8</f>
        <v>0</v>
      </c>
      <c r="AY4">
        <f>Sheet1!EP8</f>
        <v>0</v>
      </c>
      <c r="AZ4">
        <f>Sheet1!EQ8</f>
        <v>0</v>
      </c>
      <c r="BA4">
        <f>Sheet1!ER8</f>
        <v>0</v>
      </c>
      <c r="BB4">
        <f t="shared" si="1"/>
        <v>0</v>
      </c>
      <c r="BC4">
        <f>Sheet1!ES8</f>
        <v>0</v>
      </c>
      <c r="BD4">
        <f>Sheet1!ET8</f>
        <v>0</v>
      </c>
      <c r="BE4">
        <f>Sheet1!EU8</f>
        <v>0</v>
      </c>
      <c r="BF4">
        <f>Sheet1!EV8</f>
        <v>0</v>
      </c>
      <c r="BG4">
        <f t="shared" si="2"/>
        <v>0</v>
      </c>
      <c r="BH4">
        <f>Sheet1!EW8</f>
        <v>0</v>
      </c>
      <c r="BI4">
        <f>Sheet1!EX8</f>
        <v>0</v>
      </c>
      <c r="BJ4">
        <f>Sheet1!EY8</f>
        <v>0</v>
      </c>
      <c r="BK4">
        <f>Sheet1!EZ8</f>
        <v>0</v>
      </c>
      <c r="BL4">
        <f t="shared" si="3"/>
        <v>0</v>
      </c>
      <c r="BM4">
        <f>Sheet1!FA8</f>
        <v>0</v>
      </c>
      <c r="BN4">
        <f>Sheet1!FB8</f>
        <v>0</v>
      </c>
      <c r="BO4">
        <f>Sheet1!FC8</f>
        <v>0</v>
      </c>
      <c r="BP4">
        <f>Sheet1!FD8</f>
        <v>0</v>
      </c>
      <c r="BQ4">
        <f t="shared" si="4"/>
        <v>0</v>
      </c>
      <c r="BR4">
        <f>Sheet1!FE8</f>
        <v>0</v>
      </c>
      <c r="BS4">
        <f>Sheet1!FF8</f>
        <v>0</v>
      </c>
      <c r="BT4">
        <f>Sheet1!FG8</f>
        <v>0</v>
      </c>
      <c r="BU4">
        <f>Sheet1!FH8</f>
        <v>0</v>
      </c>
      <c r="BV4">
        <f t="shared" si="5"/>
        <v>0</v>
      </c>
      <c r="BW4">
        <f>Sheet1!FI8</f>
        <v>0</v>
      </c>
      <c r="BX4">
        <f>Sheet1!FJ8</f>
        <v>0</v>
      </c>
      <c r="BY4">
        <f>Sheet1!FK8</f>
        <v>0</v>
      </c>
      <c r="BZ4">
        <f>Sheet1!FL8</f>
        <v>0</v>
      </c>
      <c r="CA4">
        <f t="shared" si="6"/>
        <v>0</v>
      </c>
      <c r="CB4">
        <f>Sheet1!FM8</f>
        <v>0</v>
      </c>
      <c r="CC4">
        <f>Sheet1!FN8</f>
        <v>0</v>
      </c>
      <c r="CD4">
        <f>Sheet1!FO8</f>
        <v>0</v>
      </c>
      <c r="CE4">
        <f>Sheet1!FP8</f>
        <v>0</v>
      </c>
      <c r="CF4">
        <f t="shared" si="7"/>
        <v>0</v>
      </c>
      <c r="CG4">
        <f t="shared" si="8"/>
        <v>0</v>
      </c>
      <c r="CH4">
        <f t="shared" si="9"/>
        <v>0</v>
      </c>
      <c r="CI4">
        <f t="shared" si="10"/>
        <v>0</v>
      </c>
      <c r="CJ4">
        <f t="shared" si="11"/>
        <v>0</v>
      </c>
      <c r="CK4">
        <f t="shared" si="12"/>
        <v>0</v>
      </c>
      <c r="CL4">
        <f t="shared" si="13"/>
        <v>0</v>
      </c>
      <c r="CM4">
        <f t="shared" si="14"/>
        <v>0</v>
      </c>
      <c r="CN4">
        <f t="shared" si="15"/>
        <v>0</v>
      </c>
      <c r="CO4">
        <f t="shared" si="16"/>
        <v>0</v>
      </c>
      <c r="CP4">
        <f t="shared" si="17"/>
        <v>0</v>
      </c>
    </row>
    <row r="5" spans="1:94">
      <c r="AS5">
        <f>Sheet1!EK9</f>
        <v>0</v>
      </c>
      <c r="AT5">
        <f>Sheet1!EL9</f>
        <v>0</v>
      </c>
      <c r="AU5">
        <f>Sheet1!EM9</f>
        <v>0</v>
      </c>
      <c r="AV5">
        <f>Sheet1!EN9</f>
        <v>0</v>
      </c>
      <c r="AW5">
        <f t="shared" si="0"/>
        <v>0</v>
      </c>
      <c r="AX5">
        <f>Sheet1!EO9</f>
        <v>0</v>
      </c>
      <c r="AY5">
        <f>Sheet1!EP9</f>
        <v>0</v>
      </c>
      <c r="AZ5">
        <f>Sheet1!EQ9</f>
        <v>0</v>
      </c>
      <c r="BA5">
        <f>Sheet1!ER9</f>
        <v>0</v>
      </c>
      <c r="BB5">
        <f t="shared" si="1"/>
        <v>0</v>
      </c>
      <c r="BC5">
        <f>Sheet1!ES9</f>
        <v>0</v>
      </c>
      <c r="BD5">
        <f>Sheet1!ET9</f>
        <v>0</v>
      </c>
      <c r="BE5">
        <f>Sheet1!EU9</f>
        <v>0</v>
      </c>
      <c r="BF5">
        <f>Sheet1!EV9</f>
        <v>0</v>
      </c>
      <c r="BG5">
        <f t="shared" si="2"/>
        <v>0</v>
      </c>
      <c r="BH5">
        <f>Sheet1!EW9</f>
        <v>0</v>
      </c>
      <c r="BI5">
        <f>Sheet1!EX9</f>
        <v>0</v>
      </c>
      <c r="BJ5">
        <f>Sheet1!EY9</f>
        <v>0</v>
      </c>
      <c r="BK5">
        <f>Sheet1!EZ9</f>
        <v>0</v>
      </c>
      <c r="BL5">
        <f t="shared" si="3"/>
        <v>0</v>
      </c>
      <c r="BM5">
        <f>Sheet1!FA9</f>
        <v>0</v>
      </c>
      <c r="BN5">
        <f>Sheet1!FB9</f>
        <v>0</v>
      </c>
      <c r="BO5">
        <f>Sheet1!FC9</f>
        <v>0</v>
      </c>
      <c r="BP5">
        <f>Sheet1!FD9</f>
        <v>0</v>
      </c>
      <c r="BQ5">
        <f t="shared" si="4"/>
        <v>0</v>
      </c>
      <c r="BR5">
        <f>Sheet1!FE9</f>
        <v>0</v>
      </c>
      <c r="BS5">
        <f>Sheet1!FF9</f>
        <v>0</v>
      </c>
      <c r="BT5">
        <f>Sheet1!FG9</f>
        <v>0</v>
      </c>
      <c r="BU5">
        <f>Sheet1!FH9</f>
        <v>0</v>
      </c>
      <c r="BV5">
        <f t="shared" si="5"/>
        <v>0</v>
      </c>
      <c r="BW5">
        <f>Sheet1!FI9</f>
        <v>0</v>
      </c>
      <c r="BX5">
        <f>Sheet1!FJ9</f>
        <v>0</v>
      </c>
      <c r="BY5">
        <f>Sheet1!FK9</f>
        <v>0</v>
      </c>
      <c r="BZ5">
        <f>Sheet1!FL9</f>
        <v>0</v>
      </c>
      <c r="CA5">
        <f t="shared" si="6"/>
        <v>0</v>
      </c>
      <c r="CB5">
        <f>Sheet1!FM9</f>
        <v>0</v>
      </c>
      <c r="CC5">
        <f>Sheet1!FN9</f>
        <v>0</v>
      </c>
      <c r="CD5">
        <f>Sheet1!FO9</f>
        <v>0</v>
      </c>
      <c r="CE5">
        <f>Sheet1!FP9</f>
        <v>0</v>
      </c>
      <c r="CF5">
        <f t="shared" si="7"/>
        <v>0</v>
      </c>
      <c r="CG5">
        <f t="shared" si="8"/>
        <v>0</v>
      </c>
      <c r="CH5">
        <f t="shared" si="9"/>
        <v>0</v>
      </c>
      <c r="CI5">
        <f t="shared" si="10"/>
        <v>0</v>
      </c>
      <c r="CJ5">
        <f t="shared" si="11"/>
        <v>0</v>
      </c>
      <c r="CK5">
        <f t="shared" si="12"/>
        <v>0</v>
      </c>
      <c r="CL5">
        <f t="shared" si="13"/>
        <v>0</v>
      </c>
      <c r="CM5">
        <f t="shared" si="14"/>
        <v>0</v>
      </c>
      <c r="CN5">
        <f t="shared" si="15"/>
        <v>0</v>
      </c>
      <c r="CO5">
        <f t="shared" si="16"/>
        <v>0</v>
      </c>
      <c r="CP5">
        <f t="shared" si="17"/>
        <v>0</v>
      </c>
    </row>
    <row r="6" spans="1:94">
      <c r="AS6">
        <f>Sheet1!EK10</f>
        <v>0</v>
      </c>
      <c r="AT6">
        <f>Sheet1!EL10</f>
        <v>0</v>
      </c>
      <c r="AU6">
        <f>Sheet1!EM10</f>
        <v>0</v>
      </c>
      <c r="AV6">
        <f>Sheet1!EN10</f>
        <v>0</v>
      </c>
      <c r="AW6">
        <f t="shared" si="0"/>
        <v>0</v>
      </c>
      <c r="AX6">
        <f>Sheet1!EO10</f>
        <v>0</v>
      </c>
      <c r="AY6">
        <f>Sheet1!EP10</f>
        <v>0</v>
      </c>
      <c r="AZ6">
        <f>Sheet1!EQ10</f>
        <v>0</v>
      </c>
      <c r="BA6">
        <f>Sheet1!ER10</f>
        <v>0</v>
      </c>
      <c r="BB6">
        <f t="shared" si="1"/>
        <v>0</v>
      </c>
      <c r="BC6">
        <f>Sheet1!ES10</f>
        <v>0</v>
      </c>
      <c r="BD6">
        <f>Sheet1!ET10</f>
        <v>0</v>
      </c>
      <c r="BE6">
        <f>Sheet1!EU10</f>
        <v>0</v>
      </c>
      <c r="BF6">
        <f>Sheet1!EV10</f>
        <v>0</v>
      </c>
      <c r="BG6">
        <f t="shared" si="2"/>
        <v>0</v>
      </c>
      <c r="BH6">
        <f>Sheet1!EW10</f>
        <v>0</v>
      </c>
      <c r="BI6">
        <f>Sheet1!EX10</f>
        <v>0</v>
      </c>
      <c r="BJ6">
        <f>Sheet1!EY10</f>
        <v>0</v>
      </c>
      <c r="BK6">
        <f>Sheet1!EZ10</f>
        <v>0</v>
      </c>
      <c r="BL6">
        <f t="shared" si="3"/>
        <v>0</v>
      </c>
      <c r="BM6">
        <f>Sheet1!FA10</f>
        <v>0</v>
      </c>
      <c r="BN6">
        <f>Sheet1!FB10</f>
        <v>0</v>
      </c>
      <c r="BO6">
        <f>Sheet1!FC10</f>
        <v>0</v>
      </c>
      <c r="BP6">
        <f>Sheet1!FD10</f>
        <v>0</v>
      </c>
      <c r="BQ6">
        <f t="shared" si="4"/>
        <v>0</v>
      </c>
      <c r="BR6">
        <f>Sheet1!FE10</f>
        <v>0</v>
      </c>
      <c r="BS6">
        <f>Sheet1!FF10</f>
        <v>0</v>
      </c>
      <c r="BT6">
        <f>Sheet1!FG10</f>
        <v>0</v>
      </c>
      <c r="BU6">
        <f>Sheet1!FH10</f>
        <v>0</v>
      </c>
      <c r="BV6">
        <f t="shared" si="5"/>
        <v>0</v>
      </c>
      <c r="BW6">
        <f>Sheet1!FI10</f>
        <v>0</v>
      </c>
      <c r="BX6">
        <f>Sheet1!FJ10</f>
        <v>0</v>
      </c>
      <c r="BY6">
        <f>Sheet1!FK10</f>
        <v>0</v>
      </c>
      <c r="BZ6">
        <f>Sheet1!FL10</f>
        <v>0</v>
      </c>
      <c r="CA6">
        <f t="shared" si="6"/>
        <v>0</v>
      </c>
      <c r="CB6">
        <f>Sheet1!FM10</f>
        <v>0</v>
      </c>
      <c r="CC6">
        <f>Sheet1!FN10</f>
        <v>0</v>
      </c>
      <c r="CD6">
        <f>Sheet1!FO10</f>
        <v>0</v>
      </c>
      <c r="CE6">
        <f>Sheet1!FP10</f>
        <v>0</v>
      </c>
      <c r="CF6">
        <f t="shared" si="7"/>
        <v>0</v>
      </c>
      <c r="CG6">
        <f t="shared" si="8"/>
        <v>0</v>
      </c>
      <c r="CH6">
        <f t="shared" si="9"/>
        <v>0</v>
      </c>
      <c r="CI6">
        <f t="shared" si="10"/>
        <v>0</v>
      </c>
      <c r="CJ6">
        <f t="shared" si="11"/>
        <v>0</v>
      </c>
      <c r="CK6">
        <f t="shared" si="12"/>
        <v>0</v>
      </c>
      <c r="CL6">
        <f t="shared" si="13"/>
        <v>0</v>
      </c>
      <c r="CM6">
        <f t="shared" si="14"/>
        <v>0</v>
      </c>
      <c r="CN6">
        <f t="shared" si="15"/>
        <v>0</v>
      </c>
      <c r="CO6">
        <f t="shared" si="16"/>
        <v>0</v>
      </c>
      <c r="CP6">
        <f t="shared" si="17"/>
        <v>0</v>
      </c>
    </row>
    <row r="7" spans="1:94">
      <c r="AS7">
        <f>Sheet1!EK11</f>
        <v>0</v>
      </c>
      <c r="AT7">
        <f>Sheet1!EL11</f>
        <v>0</v>
      </c>
      <c r="AU7">
        <f>Sheet1!EM11</f>
        <v>0</v>
      </c>
      <c r="AV7">
        <f>Sheet1!EN11</f>
        <v>0</v>
      </c>
      <c r="AW7">
        <f t="shared" si="0"/>
        <v>0</v>
      </c>
      <c r="AX7">
        <f>Sheet1!EO11</f>
        <v>0</v>
      </c>
      <c r="AY7">
        <f>Sheet1!EP11</f>
        <v>0</v>
      </c>
      <c r="AZ7">
        <f>Sheet1!EQ11</f>
        <v>0</v>
      </c>
      <c r="BA7">
        <f>Sheet1!ER11</f>
        <v>0</v>
      </c>
      <c r="BB7">
        <f t="shared" si="1"/>
        <v>0</v>
      </c>
      <c r="BC7">
        <f>Sheet1!ES11</f>
        <v>0</v>
      </c>
      <c r="BD7">
        <f>Sheet1!ET11</f>
        <v>0</v>
      </c>
      <c r="BE7">
        <f>Sheet1!EU11</f>
        <v>0</v>
      </c>
      <c r="BF7">
        <f>Sheet1!EV11</f>
        <v>0</v>
      </c>
      <c r="BG7">
        <f t="shared" si="2"/>
        <v>0</v>
      </c>
      <c r="BH7">
        <f>Sheet1!EW11</f>
        <v>0</v>
      </c>
      <c r="BI7">
        <f>Sheet1!EX11</f>
        <v>0</v>
      </c>
      <c r="BJ7">
        <f>Sheet1!EY11</f>
        <v>0</v>
      </c>
      <c r="BK7">
        <f>Sheet1!EZ11</f>
        <v>0</v>
      </c>
      <c r="BL7">
        <f t="shared" si="3"/>
        <v>0</v>
      </c>
      <c r="BM7">
        <f>Sheet1!FA11</f>
        <v>0</v>
      </c>
      <c r="BN7">
        <f>Sheet1!FB11</f>
        <v>0</v>
      </c>
      <c r="BO7">
        <f>Sheet1!FC11</f>
        <v>0</v>
      </c>
      <c r="BP7">
        <f>Sheet1!FD11</f>
        <v>0</v>
      </c>
      <c r="BQ7">
        <f t="shared" si="4"/>
        <v>0</v>
      </c>
      <c r="BR7">
        <f>Sheet1!FE11</f>
        <v>0</v>
      </c>
      <c r="BS7">
        <f>Sheet1!FF11</f>
        <v>0</v>
      </c>
      <c r="BT7">
        <f>Sheet1!FG11</f>
        <v>0</v>
      </c>
      <c r="BU7">
        <f>Sheet1!FH11</f>
        <v>0</v>
      </c>
      <c r="BV7">
        <f t="shared" si="5"/>
        <v>0</v>
      </c>
      <c r="BW7">
        <f>Sheet1!FI11</f>
        <v>0</v>
      </c>
      <c r="BX7">
        <f>Sheet1!FJ11</f>
        <v>0</v>
      </c>
      <c r="BY7">
        <f>Sheet1!FK11</f>
        <v>0</v>
      </c>
      <c r="BZ7">
        <f>Sheet1!FL11</f>
        <v>0</v>
      </c>
      <c r="CA7">
        <f t="shared" si="6"/>
        <v>0</v>
      </c>
      <c r="CB7">
        <f>Sheet1!FM11</f>
        <v>0</v>
      </c>
      <c r="CC7">
        <f>Sheet1!FN11</f>
        <v>0</v>
      </c>
      <c r="CD7">
        <f>Sheet1!FO11</f>
        <v>0</v>
      </c>
      <c r="CE7">
        <f>Sheet1!FP11</f>
        <v>0</v>
      </c>
      <c r="CF7">
        <f t="shared" si="7"/>
        <v>0</v>
      </c>
      <c r="CG7">
        <f t="shared" si="8"/>
        <v>0</v>
      </c>
      <c r="CH7">
        <f t="shared" si="9"/>
        <v>0</v>
      </c>
      <c r="CI7">
        <f t="shared" si="10"/>
        <v>0</v>
      </c>
      <c r="CJ7">
        <f t="shared" si="11"/>
        <v>0</v>
      </c>
      <c r="CK7">
        <f t="shared" si="12"/>
        <v>0</v>
      </c>
      <c r="CL7">
        <f t="shared" si="13"/>
        <v>0</v>
      </c>
      <c r="CM7">
        <f t="shared" si="14"/>
        <v>0</v>
      </c>
      <c r="CN7">
        <f t="shared" si="15"/>
        <v>0</v>
      </c>
      <c r="CO7">
        <f t="shared" si="16"/>
        <v>0</v>
      </c>
      <c r="CP7">
        <f t="shared" si="17"/>
        <v>0</v>
      </c>
    </row>
    <row r="8" spans="1:94">
      <c r="AS8">
        <f>Sheet1!EK12</f>
        <v>0</v>
      </c>
      <c r="AT8">
        <f>Sheet1!EL12</f>
        <v>0</v>
      </c>
      <c r="AU8">
        <f>Sheet1!EM12</f>
        <v>0</v>
      </c>
      <c r="AV8">
        <f>Sheet1!EN12</f>
        <v>0</v>
      </c>
      <c r="AW8">
        <f t="shared" si="0"/>
        <v>0</v>
      </c>
      <c r="AX8">
        <f>Sheet1!EO12</f>
        <v>0</v>
      </c>
      <c r="AY8">
        <f>Sheet1!EP12</f>
        <v>0</v>
      </c>
      <c r="AZ8">
        <f>Sheet1!EQ12</f>
        <v>0</v>
      </c>
      <c r="BA8">
        <f>Sheet1!ER12</f>
        <v>0</v>
      </c>
      <c r="BB8">
        <f t="shared" si="1"/>
        <v>0</v>
      </c>
      <c r="BC8">
        <f>Sheet1!ES12</f>
        <v>0</v>
      </c>
      <c r="BD8">
        <f>Sheet1!ET12</f>
        <v>0</v>
      </c>
      <c r="BE8">
        <f>Sheet1!EU12</f>
        <v>0</v>
      </c>
      <c r="BF8">
        <f>Sheet1!EV12</f>
        <v>0</v>
      </c>
      <c r="BG8">
        <f t="shared" si="2"/>
        <v>0</v>
      </c>
      <c r="BH8">
        <f>Sheet1!EW12</f>
        <v>0</v>
      </c>
      <c r="BI8">
        <f>Sheet1!EX12</f>
        <v>0</v>
      </c>
      <c r="BJ8">
        <f>Sheet1!EY12</f>
        <v>0</v>
      </c>
      <c r="BK8">
        <f>Sheet1!EZ12</f>
        <v>0</v>
      </c>
      <c r="BL8">
        <f t="shared" si="3"/>
        <v>0</v>
      </c>
      <c r="BM8">
        <f>Sheet1!FA12</f>
        <v>0</v>
      </c>
      <c r="BN8">
        <f>Sheet1!FB12</f>
        <v>0</v>
      </c>
      <c r="BO8">
        <f>Sheet1!FC12</f>
        <v>0</v>
      </c>
      <c r="BP8">
        <f>Sheet1!FD12</f>
        <v>0</v>
      </c>
      <c r="BQ8">
        <f t="shared" si="4"/>
        <v>0</v>
      </c>
      <c r="BR8">
        <f>Sheet1!FE12</f>
        <v>0</v>
      </c>
      <c r="BS8">
        <f>Sheet1!FF12</f>
        <v>0</v>
      </c>
      <c r="BT8">
        <f>Sheet1!FG12</f>
        <v>0</v>
      </c>
      <c r="BU8">
        <f>Sheet1!FH12</f>
        <v>0</v>
      </c>
      <c r="BV8">
        <f t="shared" si="5"/>
        <v>0</v>
      </c>
      <c r="BW8">
        <f>Sheet1!FI12</f>
        <v>0</v>
      </c>
      <c r="BX8">
        <f>Sheet1!FJ12</f>
        <v>0</v>
      </c>
      <c r="BY8">
        <f>Sheet1!FK12</f>
        <v>0</v>
      </c>
      <c r="BZ8">
        <f>Sheet1!FL12</f>
        <v>0</v>
      </c>
      <c r="CA8">
        <f t="shared" si="6"/>
        <v>0</v>
      </c>
      <c r="CB8">
        <f>Sheet1!FM12</f>
        <v>0</v>
      </c>
      <c r="CC8">
        <f>Sheet1!FN12</f>
        <v>0</v>
      </c>
      <c r="CD8">
        <f>Sheet1!FO12</f>
        <v>0</v>
      </c>
      <c r="CE8">
        <f>Sheet1!FP12</f>
        <v>0</v>
      </c>
      <c r="CF8">
        <f t="shared" si="7"/>
        <v>0</v>
      </c>
      <c r="CG8">
        <f t="shared" si="8"/>
        <v>0</v>
      </c>
      <c r="CH8">
        <f t="shared" si="9"/>
        <v>0</v>
      </c>
      <c r="CI8">
        <f t="shared" si="10"/>
        <v>0</v>
      </c>
      <c r="CJ8">
        <f t="shared" si="11"/>
        <v>0</v>
      </c>
      <c r="CK8">
        <f t="shared" si="12"/>
        <v>0</v>
      </c>
      <c r="CL8">
        <f t="shared" si="13"/>
        <v>0</v>
      </c>
      <c r="CM8">
        <f t="shared" si="14"/>
        <v>0</v>
      </c>
      <c r="CN8">
        <f t="shared" si="15"/>
        <v>0</v>
      </c>
      <c r="CO8">
        <f t="shared" si="16"/>
        <v>0</v>
      </c>
      <c r="CP8">
        <f t="shared" si="17"/>
        <v>0</v>
      </c>
    </row>
    <row r="9" spans="1:94">
      <c r="AS9">
        <f>Sheet1!EK13</f>
        <v>0</v>
      </c>
      <c r="AT9">
        <f>Sheet1!EL13</f>
        <v>0</v>
      </c>
      <c r="AU9">
        <f>Sheet1!EM13</f>
        <v>0</v>
      </c>
      <c r="AV9">
        <f>Sheet1!EN13</f>
        <v>0</v>
      </c>
      <c r="AW9">
        <f t="shared" si="0"/>
        <v>0</v>
      </c>
      <c r="AX9">
        <f>Sheet1!EO13</f>
        <v>0</v>
      </c>
      <c r="AY9">
        <f>Sheet1!EP13</f>
        <v>0</v>
      </c>
      <c r="AZ9">
        <f>Sheet1!EQ13</f>
        <v>0</v>
      </c>
      <c r="BA9">
        <f>Sheet1!ER13</f>
        <v>0</v>
      </c>
      <c r="BB9">
        <f t="shared" si="1"/>
        <v>0</v>
      </c>
      <c r="BC9">
        <f>Sheet1!ES13</f>
        <v>0</v>
      </c>
      <c r="BD9">
        <f>Sheet1!ET13</f>
        <v>0</v>
      </c>
      <c r="BE9">
        <f>Sheet1!EU13</f>
        <v>0</v>
      </c>
      <c r="BF9">
        <f>Sheet1!EV13</f>
        <v>0</v>
      </c>
      <c r="BG9">
        <f t="shared" si="2"/>
        <v>0</v>
      </c>
      <c r="BH9">
        <f>Sheet1!EW13</f>
        <v>0</v>
      </c>
      <c r="BI9">
        <f>Sheet1!EX13</f>
        <v>0</v>
      </c>
      <c r="BJ9">
        <f>Sheet1!EY13</f>
        <v>0</v>
      </c>
      <c r="BK9">
        <f>Sheet1!EZ13</f>
        <v>0</v>
      </c>
      <c r="BL9">
        <f t="shared" si="3"/>
        <v>0</v>
      </c>
      <c r="BM9">
        <f>Sheet1!FA13</f>
        <v>0</v>
      </c>
      <c r="BN9">
        <f>Sheet1!FB13</f>
        <v>0</v>
      </c>
      <c r="BO9">
        <f>Sheet1!FC13</f>
        <v>0</v>
      </c>
      <c r="BP9">
        <f>Sheet1!FD13</f>
        <v>0</v>
      </c>
      <c r="BQ9">
        <f t="shared" si="4"/>
        <v>0</v>
      </c>
      <c r="BR9">
        <f>Sheet1!FE13</f>
        <v>0</v>
      </c>
      <c r="BS9">
        <f>Sheet1!FF13</f>
        <v>0</v>
      </c>
      <c r="BT9">
        <f>Sheet1!FG13</f>
        <v>0</v>
      </c>
      <c r="BU9">
        <f>Sheet1!FH13</f>
        <v>0</v>
      </c>
      <c r="BV9">
        <f t="shared" si="5"/>
        <v>0</v>
      </c>
      <c r="BW9">
        <f>Sheet1!FI13</f>
        <v>0</v>
      </c>
      <c r="BX9">
        <f>Sheet1!FJ13</f>
        <v>0</v>
      </c>
      <c r="BY9">
        <f>Sheet1!FK13</f>
        <v>0</v>
      </c>
      <c r="BZ9">
        <f>Sheet1!FL13</f>
        <v>0</v>
      </c>
      <c r="CA9">
        <f t="shared" si="6"/>
        <v>0</v>
      </c>
      <c r="CB9">
        <f>Sheet1!FM13</f>
        <v>0</v>
      </c>
      <c r="CC9">
        <f>Sheet1!FN13</f>
        <v>0</v>
      </c>
      <c r="CD9">
        <f>Sheet1!FO13</f>
        <v>0</v>
      </c>
      <c r="CE9">
        <f>Sheet1!FP13</f>
        <v>0</v>
      </c>
      <c r="CF9">
        <f t="shared" si="7"/>
        <v>0</v>
      </c>
      <c r="CG9">
        <f t="shared" si="8"/>
        <v>0</v>
      </c>
      <c r="CH9">
        <f t="shared" si="9"/>
        <v>0</v>
      </c>
      <c r="CI9">
        <f t="shared" si="10"/>
        <v>0</v>
      </c>
      <c r="CJ9">
        <f t="shared" si="11"/>
        <v>0</v>
      </c>
      <c r="CK9">
        <f t="shared" si="12"/>
        <v>0</v>
      </c>
      <c r="CL9">
        <f t="shared" si="13"/>
        <v>0</v>
      </c>
      <c r="CM9">
        <f t="shared" si="14"/>
        <v>0</v>
      </c>
      <c r="CN9">
        <f t="shared" si="15"/>
        <v>0</v>
      </c>
      <c r="CO9">
        <f t="shared" si="16"/>
        <v>0</v>
      </c>
      <c r="CP9">
        <f t="shared" si="17"/>
        <v>0</v>
      </c>
    </row>
    <row r="10" spans="1:94">
      <c r="AS10">
        <f>Sheet1!EK14</f>
        <v>0</v>
      </c>
      <c r="AT10">
        <f>Sheet1!EL14</f>
        <v>0</v>
      </c>
      <c r="AU10">
        <f>Sheet1!EM14</f>
        <v>0</v>
      </c>
      <c r="AV10">
        <f>Sheet1!EN14</f>
        <v>0</v>
      </c>
      <c r="AW10">
        <f t="shared" si="0"/>
        <v>0</v>
      </c>
      <c r="AX10">
        <f>Sheet1!EO14</f>
        <v>0</v>
      </c>
      <c r="AY10">
        <f>Sheet1!EP14</f>
        <v>0</v>
      </c>
      <c r="AZ10">
        <f>Sheet1!EQ14</f>
        <v>0</v>
      </c>
      <c r="BA10">
        <f>Sheet1!ER14</f>
        <v>0</v>
      </c>
      <c r="BB10">
        <f t="shared" si="1"/>
        <v>0</v>
      </c>
      <c r="BC10">
        <f>Sheet1!ES14</f>
        <v>0</v>
      </c>
      <c r="BD10">
        <f>Sheet1!ET14</f>
        <v>0</v>
      </c>
      <c r="BE10">
        <f>Sheet1!EU14</f>
        <v>0</v>
      </c>
      <c r="BF10">
        <f>Sheet1!EV14</f>
        <v>0</v>
      </c>
      <c r="BG10">
        <f t="shared" si="2"/>
        <v>0</v>
      </c>
      <c r="BH10">
        <f>Sheet1!EW14</f>
        <v>0</v>
      </c>
      <c r="BI10">
        <f>Sheet1!EX14</f>
        <v>0</v>
      </c>
      <c r="BJ10">
        <f>Sheet1!EY14</f>
        <v>0</v>
      </c>
      <c r="BK10">
        <f>Sheet1!EZ14</f>
        <v>0</v>
      </c>
      <c r="BL10">
        <f t="shared" si="3"/>
        <v>0</v>
      </c>
      <c r="BM10">
        <f>Sheet1!FA14</f>
        <v>0</v>
      </c>
      <c r="BN10">
        <f>Sheet1!FB14</f>
        <v>0</v>
      </c>
      <c r="BO10">
        <f>Sheet1!FC14</f>
        <v>0</v>
      </c>
      <c r="BP10">
        <f>Sheet1!FD14</f>
        <v>0</v>
      </c>
      <c r="BQ10">
        <f t="shared" si="4"/>
        <v>0</v>
      </c>
      <c r="BR10">
        <f>Sheet1!FE14</f>
        <v>0</v>
      </c>
      <c r="BS10">
        <f>Sheet1!FF14</f>
        <v>0</v>
      </c>
      <c r="BT10">
        <f>Sheet1!FG14</f>
        <v>0</v>
      </c>
      <c r="BU10">
        <f>Sheet1!FH14</f>
        <v>0</v>
      </c>
      <c r="BV10">
        <f t="shared" si="5"/>
        <v>0</v>
      </c>
      <c r="BW10">
        <f>Sheet1!FI14</f>
        <v>0</v>
      </c>
      <c r="BX10">
        <f>Sheet1!FJ14</f>
        <v>0</v>
      </c>
      <c r="BY10">
        <f>Sheet1!FK14</f>
        <v>0</v>
      </c>
      <c r="BZ10">
        <f>Sheet1!FL14</f>
        <v>0</v>
      </c>
      <c r="CA10">
        <f t="shared" si="6"/>
        <v>0</v>
      </c>
      <c r="CB10">
        <f>Sheet1!FM14</f>
        <v>0</v>
      </c>
      <c r="CC10">
        <f>Sheet1!FN14</f>
        <v>0</v>
      </c>
      <c r="CD10">
        <f>Sheet1!FO14</f>
        <v>0</v>
      </c>
      <c r="CE10">
        <f>Sheet1!FP14</f>
        <v>0</v>
      </c>
      <c r="CF10">
        <f t="shared" si="7"/>
        <v>0</v>
      </c>
      <c r="CG10">
        <f t="shared" si="8"/>
        <v>0</v>
      </c>
      <c r="CH10">
        <f t="shared" si="9"/>
        <v>0</v>
      </c>
      <c r="CI10">
        <f t="shared" si="10"/>
        <v>0</v>
      </c>
      <c r="CJ10">
        <f t="shared" si="11"/>
        <v>0</v>
      </c>
      <c r="CK10">
        <f t="shared" si="12"/>
        <v>0</v>
      </c>
      <c r="CL10">
        <f t="shared" si="13"/>
        <v>0</v>
      </c>
      <c r="CM10">
        <f t="shared" si="14"/>
        <v>0</v>
      </c>
      <c r="CN10">
        <f t="shared" si="15"/>
        <v>0</v>
      </c>
      <c r="CO10">
        <f t="shared" si="16"/>
        <v>0</v>
      </c>
      <c r="CP10">
        <f t="shared" si="17"/>
        <v>0</v>
      </c>
    </row>
    <row r="11" spans="1:94">
      <c r="AS11">
        <f>Sheet1!EK15</f>
        <v>0</v>
      </c>
      <c r="AT11">
        <f>Sheet1!EL15</f>
        <v>0</v>
      </c>
      <c r="AU11">
        <f>Sheet1!EM15</f>
        <v>0</v>
      </c>
      <c r="AV11">
        <f>Sheet1!EN15</f>
        <v>0</v>
      </c>
      <c r="AW11">
        <f t="shared" si="0"/>
        <v>0</v>
      </c>
      <c r="AX11">
        <f>Sheet1!EO15</f>
        <v>0</v>
      </c>
      <c r="AY11">
        <f>Sheet1!EP15</f>
        <v>0</v>
      </c>
      <c r="AZ11">
        <f>Sheet1!EQ15</f>
        <v>0</v>
      </c>
      <c r="BA11">
        <f>Sheet1!ER15</f>
        <v>0</v>
      </c>
      <c r="BB11">
        <f t="shared" si="1"/>
        <v>0</v>
      </c>
      <c r="BC11">
        <f>Sheet1!ES15</f>
        <v>0</v>
      </c>
      <c r="BD11">
        <f>Sheet1!ET15</f>
        <v>0</v>
      </c>
      <c r="BE11">
        <f>Sheet1!EU15</f>
        <v>0</v>
      </c>
      <c r="BF11">
        <f>Sheet1!EV15</f>
        <v>0</v>
      </c>
      <c r="BG11">
        <f t="shared" si="2"/>
        <v>0</v>
      </c>
      <c r="BH11">
        <f>Sheet1!EW15</f>
        <v>0</v>
      </c>
      <c r="BI11">
        <f>Sheet1!EX15</f>
        <v>0</v>
      </c>
      <c r="BJ11">
        <f>Sheet1!EY15</f>
        <v>0</v>
      </c>
      <c r="BK11">
        <f>Sheet1!EZ15</f>
        <v>0</v>
      </c>
      <c r="BL11">
        <f t="shared" si="3"/>
        <v>0</v>
      </c>
      <c r="BM11">
        <f>Sheet1!FA15</f>
        <v>0</v>
      </c>
      <c r="BN11">
        <f>Sheet1!FB15</f>
        <v>0</v>
      </c>
      <c r="BO11">
        <f>Sheet1!FC15</f>
        <v>0</v>
      </c>
      <c r="BP11">
        <f>Sheet1!FD15</f>
        <v>0</v>
      </c>
      <c r="BQ11">
        <f t="shared" si="4"/>
        <v>0</v>
      </c>
      <c r="BR11">
        <f>Sheet1!FE15</f>
        <v>0</v>
      </c>
      <c r="BS11">
        <f>Sheet1!FF15</f>
        <v>0</v>
      </c>
      <c r="BT11">
        <f>Sheet1!FG15</f>
        <v>0</v>
      </c>
      <c r="BU11">
        <f>Sheet1!FH15</f>
        <v>0</v>
      </c>
      <c r="BV11">
        <f t="shared" si="5"/>
        <v>0</v>
      </c>
      <c r="BW11">
        <f>Sheet1!FI15</f>
        <v>0</v>
      </c>
      <c r="BX11">
        <f>Sheet1!FJ15</f>
        <v>0</v>
      </c>
      <c r="BY11">
        <f>Sheet1!FK15</f>
        <v>0</v>
      </c>
      <c r="BZ11">
        <f>Sheet1!FL15</f>
        <v>0</v>
      </c>
      <c r="CA11">
        <f t="shared" si="6"/>
        <v>0</v>
      </c>
      <c r="CB11">
        <f>Sheet1!FM15</f>
        <v>0</v>
      </c>
      <c r="CC11">
        <f>Sheet1!FN15</f>
        <v>0</v>
      </c>
      <c r="CD11">
        <f>Sheet1!FO15</f>
        <v>0</v>
      </c>
      <c r="CE11">
        <f>Sheet1!FP15</f>
        <v>0</v>
      </c>
      <c r="CF11">
        <f t="shared" si="7"/>
        <v>0</v>
      </c>
      <c r="CG11">
        <f t="shared" si="8"/>
        <v>0</v>
      </c>
      <c r="CH11">
        <f t="shared" si="9"/>
        <v>0</v>
      </c>
      <c r="CI11">
        <f t="shared" si="10"/>
        <v>0</v>
      </c>
      <c r="CJ11">
        <f t="shared" si="11"/>
        <v>0</v>
      </c>
      <c r="CK11">
        <f t="shared" si="12"/>
        <v>0</v>
      </c>
      <c r="CL11">
        <f t="shared" si="13"/>
        <v>0</v>
      </c>
      <c r="CM11">
        <f t="shared" si="14"/>
        <v>0</v>
      </c>
      <c r="CN11">
        <f t="shared" si="15"/>
        <v>0</v>
      </c>
      <c r="CO11">
        <f t="shared" si="16"/>
        <v>0</v>
      </c>
      <c r="CP11">
        <f t="shared" si="17"/>
        <v>0</v>
      </c>
    </row>
    <row r="12" spans="1:94">
      <c r="AS12">
        <f>Sheet1!EK16</f>
        <v>0</v>
      </c>
      <c r="AT12">
        <f>Sheet1!EL16</f>
        <v>0</v>
      </c>
      <c r="AU12">
        <f>Sheet1!EM16</f>
        <v>0</v>
      </c>
      <c r="AV12">
        <f>Sheet1!EN16</f>
        <v>0</v>
      </c>
      <c r="AW12">
        <f t="shared" si="0"/>
        <v>0</v>
      </c>
      <c r="AX12">
        <f>Sheet1!EO16</f>
        <v>0</v>
      </c>
      <c r="AY12">
        <f>Sheet1!EP16</f>
        <v>0</v>
      </c>
      <c r="AZ12">
        <f>Sheet1!EQ16</f>
        <v>0</v>
      </c>
      <c r="BA12">
        <f>Sheet1!ER16</f>
        <v>0</v>
      </c>
      <c r="BB12">
        <f t="shared" si="1"/>
        <v>0</v>
      </c>
      <c r="BC12">
        <f>Sheet1!ES16</f>
        <v>0</v>
      </c>
      <c r="BD12">
        <f>Sheet1!ET16</f>
        <v>0</v>
      </c>
      <c r="BE12">
        <f>Sheet1!EU16</f>
        <v>0</v>
      </c>
      <c r="BF12">
        <f>Sheet1!EV16</f>
        <v>0</v>
      </c>
      <c r="BG12">
        <f t="shared" si="2"/>
        <v>0</v>
      </c>
      <c r="BH12">
        <f>Sheet1!EW16</f>
        <v>0</v>
      </c>
      <c r="BI12">
        <f>Sheet1!EX16</f>
        <v>0</v>
      </c>
      <c r="BJ12">
        <f>Sheet1!EY16</f>
        <v>0</v>
      </c>
      <c r="BK12">
        <f>Sheet1!EZ16</f>
        <v>0</v>
      </c>
      <c r="BL12">
        <f t="shared" si="3"/>
        <v>0</v>
      </c>
      <c r="BM12">
        <f>Sheet1!FA16</f>
        <v>0</v>
      </c>
      <c r="BN12">
        <f>Sheet1!FB16</f>
        <v>0</v>
      </c>
      <c r="BO12">
        <f>Sheet1!FC16</f>
        <v>0</v>
      </c>
      <c r="BP12">
        <f>Sheet1!FD16</f>
        <v>0</v>
      </c>
      <c r="BQ12">
        <f t="shared" si="4"/>
        <v>0</v>
      </c>
      <c r="BR12">
        <f>Sheet1!FE16</f>
        <v>0</v>
      </c>
      <c r="BS12">
        <f>Sheet1!FF16</f>
        <v>0</v>
      </c>
      <c r="BT12">
        <f>Sheet1!FG16</f>
        <v>0</v>
      </c>
      <c r="BU12">
        <f>Sheet1!FH16</f>
        <v>0</v>
      </c>
      <c r="BV12">
        <f t="shared" si="5"/>
        <v>0</v>
      </c>
      <c r="BW12">
        <f>Sheet1!FI16</f>
        <v>0</v>
      </c>
      <c r="BX12">
        <f>Sheet1!FJ16</f>
        <v>0</v>
      </c>
      <c r="BY12">
        <f>Sheet1!FK16</f>
        <v>0</v>
      </c>
      <c r="BZ12">
        <f>Sheet1!FL16</f>
        <v>0</v>
      </c>
      <c r="CA12">
        <f t="shared" si="6"/>
        <v>0</v>
      </c>
      <c r="CB12">
        <f>Sheet1!FM16</f>
        <v>0</v>
      </c>
      <c r="CC12">
        <f>Sheet1!FN16</f>
        <v>0</v>
      </c>
      <c r="CD12">
        <f>Sheet1!FO16</f>
        <v>0</v>
      </c>
      <c r="CE12">
        <f>Sheet1!FP16</f>
        <v>0</v>
      </c>
      <c r="CF12">
        <f t="shared" si="7"/>
        <v>0</v>
      </c>
      <c r="CG12">
        <f t="shared" si="8"/>
        <v>0</v>
      </c>
      <c r="CH12">
        <f t="shared" si="9"/>
        <v>0</v>
      </c>
      <c r="CI12">
        <f t="shared" si="10"/>
        <v>0</v>
      </c>
      <c r="CJ12">
        <f t="shared" si="11"/>
        <v>0</v>
      </c>
      <c r="CK12">
        <f t="shared" si="12"/>
        <v>0</v>
      </c>
      <c r="CL12">
        <f t="shared" si="13"/>
        <v>0</v>
      </c>
      <c r="CM12">
        <f t="shared" si="14"/>
        <v>0</v>
      </c>
      <c r="CN12">
        <f t="shared" si="15"/>
        <v>0</v>
      </c>
      <c r="CO12">
        <f t="shared" si="16"/>
        <v>0</v>
      </c>
      <c r="CP12">
        <f t="shared" si="17"/>
        <v>0</v>
      </c>
    </row>
    <row r="13" spans="1:94">
      <c r="AS13">
        <f>Sheet1!EK17</f>
        <v>0</v>
      </c>
      <c r="AT13">
        <f>Sheet1!EL17</f>
        <v>0</v>
      </c>
      <c r="AU13">
        <f>Sheet1!EM17</f>
        <v>0</v>
      </c>
      <c r="AV13">
        <f>Sheet1!EN17</f>
        <v>0</v>
      </c>
      <c r="AW13">
        <f t="shared" si="0"/>
        <v>0</v>
      </c>
      <c r="AX13">
        <f>Sheet1!EO17</f>
        <v>0</v>
      </c>
      <c r="AY13">
        <f>Sheet1!EP17</f>
        <v>0</v>
      </c>
      <c r="AZ13">
        <f>Sheet1!EQ17</f>
        <v>0</v>
      </c>
      <c r="BA13">
        <f>Sheet1!ER17</f>
        <v>0</v>
      </c>
      <c r="BB13">
        <f t="shared" si="1"/>
        <v>0</v>
      </c>
      <c r="BC13">
        <f>Sheet1!ES17</f>
        <v>0</v>
      </c>
      <c r="BD13">
        <f>Sheet1!ET17</f>
        <v>0</v>
      </c>
      <c r="BE13">
        <f>Sheet1!EU17</f>
        <v>0</v>
      </c>
      <c r="BF13">
        <f>Sheet1!EV17</f>
        <v>0</v>
      </c>
      <c r="BG13">
        <f t="shared" si="2"/>
        <v>0</v>
      </c>
      <c r="BH13">
        <f>Sheet1!EW17</f>
        <v>0</v>
      </c>
      <c r="BI13">
        <f>Sheet1!EX17</f>
        <v>0</v>
      </c>
      <c r="BJ13">
        <f>Sheet1!EY17</f>
        <v>0</v>
      </c>
      <c r="BK13">
        <f>Sheet1!EZ17</f>
        <v>0</v>
      </c>
      <c r="BL13">
        <f t="shared" si="3"/>
        <v>0</v>
      </c>
      <c r="BM13">
        <f>Sheet1!FA17</f>
        <v>0</v>
      </c>
      <c r="BN13">
        <f>Sheet1!FB17</f>
        <v>0</v>
      </c>
      <c r="BO13">
        <f>Sheet1!FC17</f>
        <v>0</v>
      </c>
      <c r="BP13">
        <f>Sheet1!FD17</f>
        <v>0</v>
      </c>
      <c r="BQ13">
        <f t="shared" si="4"/>
        <v>0</v>
      </c>
      <c r="BR13">
        <f>Sheet1!FE17</f>
        <v>0</v>
      </c>
      <c r="BS13">
        <f>Sheet1!FF17</f>
        <v>0</v>
      </c>
      <c r="BT13">
        <f>Sheet1!FG17</f>
        <v>0</v>
      </c>
      <c r="BU13">
        <f>Sheet1!FH17</f>
        <v>0</v>
      </c>
      <c r="BV13">
        <f t="shared" si="5"/>
        <v>0</v>
      </c>
      <c r="BW13">
        <f>Sheet1!FI17</f>
        <v>0</v>
      </c>
      <c r="BX13">
        <f>Sheet1!FJ17</f>
        <v>0</v>
      </c>
      <c r="BY13">
        <f>Sheet1!FK17</f>
        <v>0</v>
      </c>
      <c r="BZ13">
        <f>Sheet1!FL17</f>
        <v>0</v>
      </c>
      <c r="CA13">
        <f t="shared" si="6"/>
        <v>0</v>
      </c>
      <c r="CB13">
        <f>Sheet1!FM17</f>
        <v>0</v>
      </c>
      <c r="CC13">
        <f>Sheet1!FN17</f>
        <v>0</v>
      </c>
      <c r="CD13">
        <f>Sheet1!FO17</f>
        <v>0</v>
      </c>
      <c r="CE13">
        <f>Sheet1!FP17</f>
        <v>0</v>
      </c>
      <c r="CF13">
        <f t="shared" si="7"/>
        <v>0</v>
      </c>
      <c r="CG13">
        <f t="shared" si="8"/>
        <v>0</v>
      </c>
      <c r="CH13">
        <f t="shared" si="9"/>
        <v>0</v>
      </c>
      <c r="CI13">
        <f t="shared" si="10"/>
        <v>0</v>
      </c>
      <c r="CJ13">
        <f t="shared" si="11"/>
        <v>0</v>
      </c>
      <c r="CK13">
        <f t="shared" si="12"/>
        <v>0</v>
      </c>
      <c r="CL13">
        <f t="shared" si="13"/>
        <v>0</v>
      </c>
      <c r="CM13">
        <f t="shared" si="14"/>
        <v>0</v>
      </c>
      <c r="CN13">
        <f t="shared" si="15"/>
        <v>0</v>
      </c>
      <c r="CO13">
        <f t="shared" si="16"/>
        <v>0</v>
      </c>
      <c r="CP13">
        <f t="shared" si="17"/>
        <v>0</v>
      </c>
    </row>
    <row r="14" spans="1:94">
      <c r="AS14">
        <f>Sheet1!EK18</f>
        <v>0</v>
      </c>
      <c r="AT14">
        <f>Sheet1!EL18</f>
        <v>0</v>
      </c>
      <c r="AU14">
        <f>Sheet1!EM18</f>
        <v>0</v>
      </c>
      <c r="AV14">
        <f>Sheet1!EN18</f>
        <v>0</v>
      </c>
      <c r="AW14">
        <f t="shared" si="0"/>
        <v>0</v>
      </c>
      <c r="AX14">
        <f>Sheet1!EO18</f>
        <v>0</v>
      </c>
      <c r="AY14">
        <f>Sheet1!EP18</f>
        <v>0</v>
      </c>
      <c r="AZ14">
        <f>Sheet1!EQ18</f>
        <v>0</v>
      </c>
      <c r="BA14">
        <f>Sheet1!ER18</f>
        <v>0</v>
      </c>
      <c r="BB14">
        <f t="shared" si="1"/>
        <v>0</v>
      </c>
      <c r="BC14">
        <f>Sheet1!ES18</f>
        <v>0</v>
      </c>
      <c r="BD14">
        <f>Sheet1!ET18</f>
        <v>0</v>
      </c>
      <c r="BE14">
        <f>Sheet1!EU18</f>
        <v>0</v>
      </c>
      <c r="BF14">
        <f>Sheet1!EV18</f>
        <v>0</v>
      </c>
      <c r="BG14">
        <f t="shared" si="2"/>
        <v>0</v>
      </c>
      <c r="BH14">
        <f>Sheet1!EW18</f>
        <v>0</v>
      </c>
      <c r="BI14">
        <f>Sheet1!EX18</f>
        <v>0</v>
      </c>
      <c r="BJ14">
        <f>Sheet1!EY18</f>
        <v>0</v>
      </c>
      <c r="BK14">
        <f>Sheet1!EZ18</f>
        <v>0</v>
      </c>
      <c r="BL14">
        <f t="shared" si="3"/>
        <v>0</v>
      </c>
      <c r="BM14">
        <f>Sheet1!FA18</f>
        <v>0</v>
      </c>
      <c r="BN14">
        <f>Sheet1!FB18</f>
        <v>0</v>
      </c>
      <c r="BO14">
        <f>Sheet1!FC18</f>
        <v>0</v>
      </c>
      <c r="BP14">
        <f>Sheet1!FD18</f>
        <v>0</v>
      </c>
      <c r="BQ14">
        <f t="shared" si="4"/>
        <v>0</v>
      </c>
      <c r="BR14">
        <f>Sheet1!FE18</f>
        <v>0</v>
      </c>
      <c r="BS14">
        <f>Sheet1!FF18</f>
        <v>0</v>
      </c>
      <c r="BT14">
        <f>Sheet1!FG18</f>
        <v>0</v>
      </c>
      <c r="BU14">
        <f>Sheet1!FH18</f>
        <v>0</v>
      </c>
      <c r="BV14">
        <f t="shared" si="5"/>
        <v>0</v>
      </c>
      <c r="BW14">
        <f>Sheet1!FI18</f>
        <v>0</v>
      </c>
      <c r="BX14">
        <f>Sheet1!FJ18</f>
        <v>0</v>
      </c>
      <c r="BY14">
        <f>Sheet1!FK18</f>
        <v>0</v>
      </c>
      <c r="BZ14">
        <f>Sheet1!FL18</f>
        <v>0</v>
      </c>
      <c r="CA14">
        <f t="shared" si="6"/>
        <v>0</v>
      </c>
      <c r="CB14">
        <f>Sheet1!FM18</f>
        <v>0</v>
      </c>
      <c r="CC14">
        <f>Sheet1!FN18</f>
        <v>0</v>
      </c>
      <c r="CD14">
        <f>Sheet1!FO18</f>
        <v>0</v>
      </c>
      <c r="CE14">
        <f>Sheet1!FP18</f>
        <v>0</v>
      </c>
      <c r="CF14">
        <f t="shared" si="7"/>
        <v>0</v>
      </c>
      <c r="CG14">
        <f t="shared" si="8"/>
        <v>0</v>
      </c>
      <c r="CH14">
        <f t="shared" si="9"/>
        <v>0</v>
      </c>
      <c r="CI14">
        <f t="shared" si="10"/>
        <v>0</v>
      </c>
      <c r="CJ14">
        <f t="shared" si="11"/>
        <v>0</v>
      </c>
      <c r="CK14">
        <f t="shared" si="12"/>
        <v>0</v>
      </c>
      <c r="CL14">
        <f t="shared" si="13"/>
        <v>0</v>
      </c>
      <c r="CM14">
        <f t="shared" si="14"/>
        <v>0</v>
      </c>
      <c r="CN14">
        <f t="shared" si="15"/>
        <v>0</v>
      </c>
      <c r="CO14">
        <f t="shared" si="16"/>
        <v>0</v>
      </c>
      <c r="CP14">
        <f t="shared" si="17"/>
        <v>0</v>
      </c>
    </row>
    <row r="15" spans="1:94">
      <c r="AS15">
        <f>Sheet1!EK19</f>
        <v>0</v>
      </c>
      <c r="AT15">
        <f>Sheet1!EL19</f>
        <v>0</v>
      </c>
      <c r="AU15">
        <f>Sheet1!EM19</f>
        <v>0</v>
      </c>
      <c r="AV15">
        <f>Sheet1!EN19</f>
        <v>0</v>
      </c>
      <c r="AW15">
        <f t="shared" si="0"/>
        <v>0</v>
      </c>
      <c r="AX15">
        <f>Sheet1!EO19</f>
        <v>0</v>
      </c>
      <c r="AY15">
        <f>Sheet1!EP19</f>
        <v>0</v>
      </c>
      <c r="AZ15">
        <f>Sheet1!EQ19</f>
        <v>0</v>
      </c>
      <c r="BA15">
        <f>Sheet1!ER19</f>
        <v>0</v>
      </c>
      <c r="BB15">
        <f t="shared" si="1"/>
        <v>0</v>
      </c>
      <c r="BC15">
        <f>Sheet1!ES19</f>
        <v>0</v>
      </c>
      <c r="BD15">
        <f>Sheet1!ET19</f>
        <v>0</v>
      </c>
      <c r="BE15">
        <f>Sheet1!EU19</f>
        <v>0</v>
      </c>
      <c r="BF15">
        <f>Sheet1!EV19</f>
        <v>0</v>
      </c>
      <c r="BG15">
        <f t="shared" si="2"/>
        <v>0</v>
      </c>
      <c r="BH15">
        <f>Sheet1!EW19</f>
        <v>0</v>
      </c>
      <c r="BI15">
        <f>Sheet1!EX19</f>
        <v>0</v>
      </c>
      <c r="BJ15">
        <f>Sheet1!EY19</f>
        <v>0</v>
      </c>
      <c r="BK15">
        <f>Sheet1!EZ19</f>
        <v>0</v>
      </c>
      <c r="BL15">
        <f t="shared" si="3"/>
        <v>0</v>
      </c>
      <c r="BM15">
        <f>Sheet1!FA19</f>
        <v>0</v>
      </c>
      <c r="BN15">
        <f>Sheet1!FB19</f>
        <v>0</v>
      </c>
      <c r="BO15">
        <f>Sheet1!FC19</f>
        <v>0</v>
      </c>
      <c r="BP15">
        <f>Sheet1!FD19</f>
        <v>0</v>
      </c>
      <c r="BQ15">
        <f t="shared" si="4"/>
        <v>0</v>
      </c>
      <c r="BR15">
        <f>Sheet1!FE19</f>
        <v>0</v>
      </c>
      <c r="BS15">
        <f>Sheet1!FF19</f>
        <v>0</v>
      </c>
      <c r="BT15">
        <f>Sheet1!FG19</f>
        <v>0</v>
      </c>
      <c r="BU15">
        <f>Sheet1!FH19</f>
        <v>0</v>
      </c>
      <c r="BV15">
        <f t="shared" si="5"/>
        <v>0</v>
      </c>
      <c r="BW15">
        <f>Sheet1!FI19</f>
        <v>0</v>
      </c>
      <c r="BX15">
        <f>Sheet1!FJ19</f>
        <v>0</v>
      </c>
      <c r="BY15">
        <f>Sheet1!FK19</f>
        <v>0</v>
      </c>
      <c r="BZ15">
        <f>Sheet1!FL19</f>
        <v>0</v>
      </c>
      <c r="CA15">
        <f t="shared" si="6"/>
        <v>0</v>
      </c>
      <c r="CB15">
        <f>Sheet1!FM19</f>
        <v>0</v>
      </c>
      <c r="CC15">
        <f>Sheet1!FN19</f>
        <v>0</v>
      </c>
      <c r="CD15">
        <f>Sheet1!FO19</f>
        <v>0</v>
      </c>
      <c r="CE15">
        <f>Sheet1!FP19</f>
        <v>0</v>
      </c>
      <c r="CF15">
        <f t="shared" si="7"/>
        <v>0</v>
      </c>
      <c r="CG15">
        <f t="shared" si="8"/>
        <v>0</v>
      </c>
      <c r="CH15">
        <f t="shared" si="9"/>
        <v>0</v>
      </c>
      <c r="CI15">
        <f t="shared" si="10"/>
        <v>0</v>
      </c>
      <c r="CJ15">
        <f t="shared" si="11"/>
        <v>0</v>
      </c>
      <c r="CK15">
        <f t="shared" si="12"/>
        <v>0</v>
      </c>
      <c r="CL15">
        <f t="shared" si="13"/>
        <v>0</v>
      </c>
      <c r="CM15">
        <f t="shared" si="14"/>
        <v>0</v>
      </c>
      <c r="CN15">
        <f t="shared" si="15"/>
        <v>0</v>
      </c>
      <c r="CO15">
        <f t="shared" si="16"/>
        <v>0</v>
      </c>
      <c r="CP15">
        <f t="shared" si="17"/>
        <v>0</v>
      </c>
    </row>
    <row r="16" spans="1:94">
      <c r="AS16">
        <f>Sheet1!EK20</f>
        <v>0</v>
      </c>
      <c r="AT16">
        <f>Sheet1!EL20</f>
        <v>0</v>
      </c>
      <c r="AU16">
        <f>Sheet1!EM20</f>
        <v>0</v>
      </c>
      <c r="AV16">
        <f>Sheet1!EN20</f>
        <v>0</v>
      </c>
      <c r="AW16">
        <f t="shared" si="0"/>
        <v>0</v>
      </c>
      <c r="AX16">
        <f>Sheet1!EO20</f>
        <v>0</v>
      </c>
      <c r="AY16">
        <f>Sheet1!EP20</f>
        <v>0</v>
      </c>
      <c r="AZ16">
        <f>Sheet1!EQ20</f>
        <v>0</v>
      </c>
      <c r="BA16">
        <f>Sheet1!ER20</f>
        <v>0</v>
      </c>
      <c r="BB16">
        <f t="shared" si="1"/>
        <v>0</v>
      </c>
      <c r="BC16">
        <f>Sheet1!ES20</f>
        <v>0</v>
      </c>
      <c r="BD16">
        <f>Sheet1!ET20</f>
        <v>0</v>
      </c>
      <c r="BE16">
        <f>Sheet1!EU20</f>
        <v>0</v>
      </c>
      <c r="BF16">
        <f>Sheet1!EV20</f>
        <v>0</v>
      </c>
      <c r="BG16">
        <f t="shared" si="2"/>
        <v>0</v>
      </c>
      <c r="BH16">
        <f>Sheet1!EW20</f>
        <v>0</v>
      </c>
      <c r="BI16">
        <f>Sheet1!EX20</f>
        <v>0</v>
      </c>
      <c r="BJ16">
        <f>Sheet1!EY20</f>
        <v>0</v>
      </c>
      <c r="BK16">
        <f>Sheet1!EZ20</f>
        <v>0</v>
      </c>
      <c r="BL16">
        <f t="shared" si="3"/>
        <v>0</v>
      </c>
      <c r="BM16">
        <f>Sheet1!FA20</f>
        <v>0</v>
      </c>
      <c r="BN16">
        <f>Sheet1!FB20</f>
        <v>0</v>
      </c>
      <c r="BO16">
        <f>Sheet1!FC20</f>
        <v>0</v>
      </c>
      <c r="BP16">
        <f>Sheet1!FD20</f>
        <v>0</v>
      </c>
      <c r="BQ16">
        <f t="shared" si="4"/>
        <v>0</v>
      </c>
      <c r="BR16">
        <f>Sheet1!FE20</f>
        <v>0</v>
      </c>
      <c r="BS16">
        <f>Sheet1!FF20</f>
        <v>0</v>
      </c>
      <c r="BT16">
        <f>Sheet1!FG20</f>
        <v>0</v>
      </c>
      <c r="BU16">
        <f>Sheet1!FH20</f>
        <v>0</v>
      </c>
      <c r="BV16">
        <f t="shared" si="5"/>
        <v>0</v>
      </c>
      <c r="BW16">
        <f>Sheet1!FI20</f>
        <v>0</v>
      </c>
      <c r="BX16">
        <f>Sheet1!FJ20</f>
        <v>0</v>
      </c>
      <c r="BY16">
        <f>Sheet1!FK20</f>
        <v>0</v>
      </c>
      <c r="BZ16">
        <f>Sheet1!FL20</f>
        <v>0</v>
      </c>
      <c r="CA16">
        <f t="shared" si="6"/>
        <v>0</v>
      </c>
      <c r="CB16">
        <f>Sheet1!FM20</f>
        <v>0</v>
      </c>
      <c r="CC16">
        <f>Sheet1!FN20</f>
        <v>0</v>
      </c>
      <c r="CD16">
        <f>Sheet1!FO20</f>
        <v>0</v>
      </c>
      <c r="CE16">
        <f>Sheet1!FP20</f>
        <v>0</v>
      </c>
      <c r="CF16">
        <f t="shared" si="7"/>
        <v>0</v>
      </c>
      <c r="CG16">
        <f t="shared" si="8"/>
        <v>0</v>
      </c>
      <c r="CH16">
        <f t="shared" si="9"/>
        <v>0</v>
      </c>
      <c r="CI16">
        <f t="shared" si="10"/>
        <v>0</v>
      </c>
      <c r="CJ16">
        <f t="shared" si="11"/>
        <v>0</v>
      </c>
      <c r="CK16">
        <f t="shared" si="12"/>
        <v>0</v>
      </c>
      <c r="CL16">
        <f t="shared" si="13"/>
        <v>0</v>
      </c>
      <c r="CM16">
        <f t="shared" si="14"/>
        <v>0</v>
      </c>
      <c r="CN16">
        <f t="shared" si="15"/>
        <v>0</v>
      </c>
      <c r="CO16">
        <f t="shared" si="16"/>
        <v>0</v>
      </c>
      <c r="CP16">
        <f t="shared" si="17"/>
        <v>0</v>
      </c>
    </row>
    <row r="17" spans="45:94">
      <c r="AS17">
        <f>Sheet1!EK21</f>
        <v>0</v>
      </c>
      <c r="AT17">
        <f>Sheet1!EL21</f>
        <v>0</v>
      </c>
      <c r="AU17">
        <f>Sheet1!EM21</f>
        <v>0</v>
      </c>
      <c r="AV17">
        <f>Sheet1!EN21</f>
        <v>0</v>
      </c>
      <c r="AW17">
        <f t="shared" si="0"/>
        <v>0</v>
      </c>
      <c r="AX17">
        <f>Sheet1!EO21</f>
        <v>0</v>
      </c>
      <c r="AY17">
        <f>Sheet1!EP21</f>
        <v>0</v>
      </c>
      <c r="AZ17">
        <f>Sheet1!EQ21</f>
        <v>0</v>
      </c>
      <c r="BA17">
        <f>Sheet1!ER21</f>
        <v>0</v>
      </c>
      <c r="BB17">
        <f t="shared" si="1"/>
        <v>0</v>
      </c>
      <c r="BC17">
        <f>Sheet1!ES21</f>
        <v>0</v>
      </c>
      <c r="BD17">
        <f>Sheet1!ET21</f>
        <v>0</v>
      </c>
      <c r="BE17">
        <f>Sheet1!EU21</f>
        <v>0</v>
      </c>
      <c r="BF17">
        <f>Sheet1!EV21</f>
        <v>0</v>
      </c>
      <c r="BG17">
        <f t="shared" si="2"/>
        <v>0</v>
      </c>
      <c r="BH17">
        <f>Sheet1!EW21</f>
        <v>0</v>
      </c>
      <c r="BI17">
        <f>Sheet1!EX21</f>
        <v>0</v>
      </c>
      <c r="BJ17">
        <f>Sheet1!EY21</f>
        <v>0</v>
      </c>
      <c r="BK17">
        <f>Sheet1!EZ21</f>
        <v>0</v>
      </c>
      <c r="BL17">
        <f t="shared" si="3"/>
        <v>0</v>
      </c>
      <c r="BM17">
        <f>Sheet1!FA21</f>
        <v>0</v>
      </c>
      <c r="BN17">
        <f>Sheet1!FB21</f>
        <v>0</v>
      </c>
      <c r="BO17">
        <f>Sheet1!FC21</f>
        <v>0</v>
      </c>
      <c r="BP17">
        <f>Sheet1!FD21</f>
        <v>0</v>
      </c>
      <c r="BQ17">
        <f t="shared" si="4"/>
        <v>0</v>
      </c>
      <c r="BR17">
        <f>Sheet1!FE21</f>
        <v>0</v>
      </c>
      <c r="BS17">
        <f>Sheet1!FF21</f>
        <v>0</v>
      </c>
      <c r="BT17">
        <f>Sheet1!FG21</f>
        <v>0</v>
      </c>
      <c r="BU17">
        <f>Sheet1!FH21</f>
        <v>0</v>
      </c>
      <c r="BV17">
        <f t="shared" si="5"/>
        <v>0</v>
      </c>
      <c r="BW17">
        <f>Sheet1!FI21</f>
        <v>0</v>
      </c>
      <c r="BX17">
        <f>Sheet1!FJ21</f>
        <v>0</v>
      </c>
      <c r="BY17">
        <f>Sheet1!FK21</f>
        <v>0</v>
      </c>
      <c r="BZ17">
        <f>Sheet1!FL21</f>
        <v>0</v>
      </c>
      <c r="CA17">
        <f t="shared" si="6"/>
        <v>0</v>
      </c>
      <c r="CB17">
        <f>Sheet1!FM21</f>
        <v>0</v>
      </c>
      <c r="CC17">
        <f>Sheet1!FN21</f>
        <v>0</v>
      </c>
      <c r="CD17">
        <f>Sheet1!FO21</f>
        <v>0</v>
      </c>
      <c r="CE17">
        <f>Sheet1!FP21</f>
        <v>0</v>
      </c>
      <c r="CF17">
        <f t="shared" si="7"/>
        <v>0</v>
      </c>
      <c r="CG17">
        <f t="shared" si="8"/>
        <v>0</v>
      </c>
      <c r="CH17">
        <f t="shared" si="9"/>
        <v>0</v>
      </c>
      <c r="CI17">
        <f t="shared" si="10"/>
        <v>0</v>
      </c>
      <c r="CJ17">
        <f t="shared" si="11"/>
        <v>0</v>
      </c>
      <c r="CK17">
        <f t="shared" si="12"/>
        <v>0</v>
      </c>
      <c r="CL17">
        <f t="shared" si="13"/>
        <v>0</v>
      </c>
      <c r="CM17">
        <f t="shared" si="14"/>
        <v>0</v>
      </c>
      <c r="CN17">
        <f t="shared" si="15"/>
        <v>0</v>
      </c>
      <c r="CO17">
        <f t="shared" si="16"/>
        <v>0</v>
      </c>
      <c r="CP17">
        <f t="shared" si="17"/>
        <v>0</v>
      </c>
    </row>
    <row r="18" spans="45:94">
      <c r="AS18">
        <f>Sheet1!EK22</f>
        <v>0</v>
      </c>
      <c r="AT18">
        <f>Sheet1!EL22</f>
        <v>0</v>
      </c>
      <c r="AU18">
        <f>Sheet1!EM22</f>
        <v>0</v>
      </c>
      <c r="AV18">
        <f>Sheet1!EN22</f>
        <v>0</v>
      </c>
      <c r="AW18">
        <f t="shared" si="0"/>
        <v>0</v>
      </c>
      <c r="AX18">
        <f>Sheet1!EO22</f>
        <v>0</v>
      </c>
      <c r="AY18">
        <f>Sheet1!EP22</f>
        <v>0</v>
      </c>
      <c r="AZ18">
        <f>Sheet1!EQ22</f>
        <v>0</v>
      </c>
      <c r="BA18">
        <f>Sheet1!ER22</f>
        <v>0</v>
      </c>
      <c r="BB18">
        <f t="shared" si="1"/>
        <v>0</v>
      </c>
      <c r="BC18">
        <f>Sheet1!ES22</f>
        <v>0</v>
      </c>
      <c r="BD18">
        <f>Sheet1!ET22</f>
        <v>0</v>
      </c>
      <c r="BE18">
        <f>Sheet1!EU22</f>
        <v>0</v>
      </c>
      <c r="BF18">
        <f>Sheet1!EV22</f>
        <v>0</v>
      </c>
      <c r="BG18">
        <f t="shared" si="2"/>
        <v>0</v>
      </c>
      <c r="BH18">
        <f>Sheet1!EW22</f>
        <v>0</v>
      </c>
      <c r="BI18">
        <f>Sheet1!EX22</f>
        <v>0</v>
      </c>
      <c r="BJ18">
        <f>Sheet1!EY22</f>
        <v>0</v>
      </c>
      <c r="BK18">
        <f>Sheet1!EZ22</f>
        <v>0</v>
      </c>
      <c r="BL18">
        <f t="shared" si="3"/>
        <v>0</v>
      </c>
      <c r="BM18">
        <f>Sheet1!FA22</f>
        <v>0</v>
      </c>
      <c r="BN18">
        <f>Sheet1!FB22</f>
        <v>0</v>
      </c>
      <c r="BO18">
        <f>Sheet1!FC22</f>
        <v>0</v>
      </c>
      <c r="BP18">
        <f>Sheet1!FD22</f>
        <v>0</v>
      </c>
      <c r="BQ18">
        <f t="shared" si="4"/>
        <v>0</v>
      </c>
      <c r="BR18">
        <f>Sheet1!FE22</f>
        <v>0</v>
      </c>
      <c r="BS18">
        <f>Sheet1!FF22</f>
        <v>0</v>
      </c>
      <c r="BT18">
        <f>Sheet1!FG22</f>
        <v>0</v>
      </c>
      <c r="BU18">
        <f>Sheet1!FH22</f>
        <v>0</v>
      </c>
      <c r="BV18">
        <f t="shared" si="5"/>
        <v>0</v>
      </c>
      <c r="BW18">
        <f>Sheet1!FI22</f>
        <v>0</v>
      </c>
      <c r="BX18">
        <f>Sheet1!FJ22</f>
        <v>0</v>
      </c>
      <c r="BY18">
        <f>Sheet1!FK22</f>
        <v>0</v>
      </c>
      <c r="BZ18">
        <f>Sheet1!FL22</f>
        <v>0</v>
      </c>
      <c r="CA18">
        <f t="shared" si="6"/>
        <v>0</v>
      </c>
      <c r="CB18">
        <f>Sheet1!FM22</f>
        <v>0</v>
      </c>
      <c r="CC18">
        <f>Sheet1!FN22</f>
        <v>0</v>
      </c>
      <c r="CD18">
        <f>Sheet1!FO22</f>
        <v>0</v>
      </c>
      <c r="CE18">
        <f>Sheet1!FP22</f>
        <v>0</v>
      </c>
      <c r="CF18">
        <f t="shared" si="7"/>
        <v>0</v>
      </c>
      <c r="CG18">
        <f t="shared" si="8"/>
        <v>0</v>
      </c>
      <c r="CH18">
        <f t="shared" si="9"/>
        <v>0</v>
      </c>
      <c r="CI18">
        <f t="shared" si="10"/>
        <v>0</v>
      </c>
      <c r="CJ18">
        <f t="shared" si="11"/>
        <v>0</v>
      </c>
      <c r="CK18">
        <f t="shared" si="12"/>
        <v>0</v>
      </c>
      <c r="CL18">
        <f t="shared" si="13"/>
        <v>0</v>
      </c>
      <c r="CM18">
        <f t="shared" si="14"/>
        <v>0</v>
      </c>
      <c r="CN18">
        <f t="shared" si="15"/>
        <v>0</v>
      </c>
      <c r="CO18">
        <f t="shared" si="16"/>
        <v>0</v>
      </c>
      <c r="CP18">
        <f t="shared" si="17"/>
        <v>0</v>
      </c>
    </row>
    <row r="19" spans="45:94">
      <c r="AS19">
        <f>Sheet1!EK23</f>
        <v>0</v>
      </c>
      <c r="AT19">
        <f>Sheet1!EL23</f>
        <v>0</v>
      </c>
      <c r="AU19">
        <f>Sheet1!EM23</f>
        <v>0</v>
      </c>
      <c r="AV19">
        <f>Sheet1!EN23</f>
        <v>0</v>
      </c>
      <c r="AW19">
        <f t="shared" si="0"/>
        <v>0</v>
      </c>
      <c r="AX19">
        <f>Sheet1!EO23</f>
        <v>0</v>
      </c>
      <c r="AY19">
        <f>Sheet1!EP23</f>
        <v>0</v>
      </c>
      <c r="AZ19">
        <f>Sheet1!EQ23</f>
        <v>0</v>
      </c>
      <c r="BA19">
        <f>Sheet1!ER23</f>
        <v>0</v>
      </c>
      <c r="BB19">
        <f t="shared" si="1"/>
        <v>0</v>
      </c>
      <c r="BC19">
        <f>Sheet1!ES23</f>
        <v>0</v>
      </c>
      <c r="BD19">
        <f>Sheet1!ET23</f>
        <v>0</v>
      </c>
      <c r="BE19">
        <f>Sheet1!EU23</f>
        <v>0</v>
      </c>
      <c r="BF19">
        <f>Sheet1!EV23</f>
        <v>0</v>
      </c>
      <c r="BG19">
        <f t="shared" si="2"/>
        <v>0</v>
      </c>
      <c r="BH19">
        <f>Sheet1!EW23</f>
        <v>0</v>
      </c>
      <c r="BI19">
        <f>Sheet1!EX23</f>
        <v>0</v>
      </c>
      <c r="BJ19">
        <f>Sheet1!EY23</f>
        <v>0</v>
      </c>
      <c r="BK19">
        <f>Sheet1!EZ23</f>
        <v>0</v>
      </c>
      <c r="BL19">
        <f t="shared" si="3"/>
        <v>0</v>
      </c>
      <c r="BM19">
        <f>Sheet1!FA23</f>
        <v>0</v>
      </c>
      <c r="BN19">
        <f>Sheet1!FB23</f>
        <v>0</v>
      </c>
      <c r="BO19">
        <f>Sheet1!FC23</f>
        <v>0</v>
      </c>
      <c r="BP19">
        <f>Sheet1!FD23</f>
        <v>0</v>
      </c>
      <c r="BQ19">
        <f t="shared" si="4"/>
        <v>0</v>
      </c>
      <c r="BR19">
        <f>Sheet1!FE23</f>
        <v>0</v>
      </c>
      <c r="BS19">
        <f>Sheet1!FF23</f>
        <v>0</v>
      </c>
      <c r="BT19">
        <f>Sheet1!FG23</f>
        <v>0</v>
      </c>
      <c r="BU19">
        <f>Sheet1!FH23</f>
        <v>0</v>
      </c>
      <c r="BV19">
        <f t="shared" si="5"/>
        <v>0</v>
      </c>
      <c r="BW19">
        <f>Sheet1!FI23</f>
        <v>0</v>
      </c>
      <c r="BX19">
        <f>Sheet1!FJ23</f>
        <v>0</v>
      </c>
      <c r="BY19">
        <f>Sheet1!FK23</f>
        <v>0</v>
      </c>
      <c r="BZ19">
        <f>Sheet1!FL23</f>
        <v>0</v>
      </c>
      <c r="CA19">
        <f t="shared" si="6"/>
        <v>0</v>
      </c>
      <c r="CB19">
        <f>Sheet1!FM23</f>
        <v>0</v>
      </c>
      <c r="CC19">
        <f>Sheet1!FN23</f>
        <v>0</v>
      </c>
      <c r="CD19">
        <f>Sheet1!FO23</f>
        <v>0</v>
      </c>
      <c r="CE19">
        <f>Sheet1!FP23</f>
        <v>0</v>
      </c>
      <c r="CF19">
        <f t="shared" si="7"/>
        <v>0</v>
      </c>
      <c r="CG19">
        <f t="shared" si="8"/>
        <v>0</v>
      </c>
      <c r="CH19">
        <f t="shared" si="9"/>
        <v>0</v>
      </c>
      <c r="CI19">
        <f t="shared" si="10"/>
        <v>0</v>
      </c>
      <c r="CJ19">
        <f t="shared" si="11"/>
        <v>0</v>
      </c>
      <c r="CK19">
        <f t="shared" si="12"/>
        <v>0</v>
      </c>
      <c r="CL19">
        <f t="shared" si="13"/>
        <v>0</v>
      </c>
      <c r="CM19">
        <f t="shared" si="14"/>
        <v>0</v>
      </c>
      <c r="CN19">
        <f t="shared" si="15"/>
        <v>0</v>
      </c>
      <c r="CO19">
        <f t="shared" si="16"/>
        <v>0</v>
      </c>
      <c r="CP19">
        <f t="shared" si="17"/>
        <v>0</v>
      </c>
    </row>
    <row r="20" spans="45:94">
      <c r="AS20">
        <f>Sheet1!EK24</f>
        <v>0</v>
      </c>
      <c r="AT20">
        <f>Sheet1!EL24</f>
        <v>0</v>
      </c>
      <c r="AU20">
        <f>Sheet1!EM24</f>
        <v>0</v>
      </c>
      <c r="AV20">
        <f>Sheet1!EN24</f>
        <v>0</v>
      </c>
      <c r="AW20">
        <f t="shared" si="0"/>
        <v>0</v>
      </c>
      <c r="AX20">
        <f>Sheet1!EO24</f>
        <v>0</v>
      </c>
      <c r="AY20">
        <f>Sheet1!EP24</f>
        <v>0</v>
      </c>
      <c r="AZ20">
        <f>Sheet1!EQ24</f>
        <v>0</v>
      </c>
      <c r="BA20">
        <f>Sheet1!ER24</f>
        <v>0</v>
      </c>
      <c r="BB20">
        <f t="shared" si="1"/>
        <v>0</v>
      </c>
      <c r="BC20">
        <f>Sheet1!ES24</f>
        <v>0</v>
      </c>
      <c r="BD20">
        <f>Sheet1!ET24</f>
        <v>0</v>
      </c>
      <c r="BE20">
        <f>Sheet1!EU24</f>
        <v>0</v>
      </c>
      <c r="BF20">
        <f>Sheet1!EV24</f>
        <v>0</v>
      </c>
      <c r="BG20">
        <f t="shared" si="2"/>
        <v>0</v>
      </c>
      <c r="BH20">
        <f>Sheet1!EW24</f>
        <v>0</v>
      </c>
      <c r="BI20">
        <f>Sheet1!EX24</f>
        <v>0</v>
      </c>
      <c r="BJ20">
        <f>Sheet1!EY24</f>
        <v>0</v>
      </c>
      <c r="BK20">
        <f>Sheet1!EZ24</f>
        <v>0</v>
      </c>
      <c r="BL20">
        <f t="shared" si="3"/>
        <v>0</v>
      </c>
      <c r="BM20">
        <f>Sheet1!FA24</f>
        <v>0</v>
      </c>
      <c r="BN20">
        <f>Sheet1!FB24</f>
        <v>0</v>
      </c>
      <c r="BO20">
        <f>Sheet1!FC24</f>
        <v>0</v>
      </c>
      <c r="BP20">
        <f>Sheet1!FD24</f>
        <v>0</v>
      </c>
      <c r="BQ20">
        <f t="shared" si="4"/>
        <v>0</v>
      </c>
      <c r="BR20">
        <f>Sheet1!FE24</f>
        <v>0</v>
      </c>
      <c r="BS20">
        <f>Sheet1!FF24</f>
        <v>0</v>
      </c>
      <c r="BT20">
        <f>Sheet1!FG24</f>
        <v>0</v>
      </c>
      <c r="BU20">
        <f>Sheet1!FH24</f>
        <v>0</v>
      </c>
      <c r="BV20">
        <f t="shared" si="5"/>
        <v>0</v>
      </c>
      <c r="BW20">
        <f>Sheet1!FI24</f>
        <v>0</v>
      </c>
      <c r="BX20">
        <f>Sheet1!FJ24</f>
        <v>0</v>
      </c>
      <c r="BY20">
        <f>Sheet1!FK24</f>
        <v>0</v>
      </c>
      <c r="BZ20">
        <f>Sheet1!FL24</f>
        <v>0</v>
      </c>
      <c r="CA20">
        <f t="shared" si="6"/>
        <v>0</v>
      </c>
      <c r="CB20">
        <f>Sheet1!FM24</f>
        <v>0</v>
      </c>
      <c r="CC20">
        <f>Sheet1!FN24</f>
        <v>0</v>
      </c>
      <c r="CD20">
        <f>Sheet1!FO24</f>
        <v>0</v>
      </c>
      <c r="CE20">
        <f>Sheet1!FP24</f>
        <v>0</v>
      </c>
      <c r="CF20">
        <f t="shared" si="7"/>
        <v>0</v>
      </c>
      <c r="CG20">
        <f t="shared" si="8"/>
        <v>0</v>
      </c>
      <c r="CH20">
        <f t="shared" si="9"/>
        <v>0</v>
      </c>
      <c r="CI20">
        <f t="shared" si="10"/>
        <v>0</v>
      </c>
      <c r="CJ20">
        <f t="shared" si="11"/>
        <v>0</v>
      </c>
      <c r="CK20">
        <f t="shared" si="12"/>
        <v>0</v>
      </c>
      <c r="CL20">
        <f t="shared" si="13"/>
        <v>0</v>
      </c>
      <c r="CM20">
        <f t="shared" si="14"/>
        <v>0</v>
      </c>
      <c r="CN20">
        <f t="shared" si="15"/>
        <v>0</v>
      </c>
      <c r="CO20">
        <f t="shared" si="16"/>
        <v>0</v>
      </c>
      <c r="CP20">
        <f t="shared" si="17"/>
        <v>0</v>
      </c>
    </row>
    <row r="21" spans="45:94">
      <c r="AS21">
        <f>Sheet1!EK25</f>
        <v>0</v>
      </c>
      <c r="AT21">
        <f>Sheet1!EL25</f>
        <v>0</v>
      </c>
      <c r="AU21">
        <f>Sheet1!EM25</f>
        <v>0</v>
      </c>
      <c r="AV21">
        <f>Sheet1!EN25</f>
        <v>0</v>
      </c>
      <c r="AW21">
        <f t="shared" si="0"/>
        <v>0</v>
      </c>
      <c r="AX21">
        <f>Sheet1!EO25</f>
        <v>0</v>
      </c>
      <c r="AY21">
        <f>Sheet1!EP25</f>
        <v>0</v>
      </c>
      <c r="AZ21">
        <f>Sheet1!EQ25</f>
        <v>0</v>
      </c>
      <c r="BA21">
        <f>Sheet1!ER25</f>
        <v>0</v>
      </c>
      <c r="BB21">
        <f t="shared" si="1"/>
        <v>0</v>
      </c>
      <c r="BC21">
        <f>Sheet1!ES25</f>
        <v>0</v>
      </c>
      <c r="BD21">
        <f>Sheet1!ET25</f>
        <v>0</v>
      </c>
      <c r="BE21">
        <f>Sheet1!EU25</f>
        <v>0</v>
      </c>
      <c r="BF21">
        <f>Sheet1!EV25</f>
        <v>0</v>
      </c>
      <c r="BG21">
        <f t="shared" si="2"/>
        <v>0</v>
      </c>
      <c r="BH21">
        <f>Sheet1!EW25</f>
        <v>0</v>
      </c>
      <c r="BI21">
        <f>Sheet1!EX25</f>
        <v>0</v>
      </c>
      <c r="BJ21">
        <f>Sheet1!EY25</f>
        <v>0</v>
      </c>
      <c r="BK21">
        <f>Sheet1!EZ25</f>
        <v>0</v>
      </c>
      <c r="BL21">
        <f t="shared" si="3"/>
        <v>0</v>
      </c>
      <c r="BM21">
        <f>Sheet1!FA25</f>
        <v>0</v>
      </c>
      <c r="BN21">
        <f>Sheet1!FB25</f>
        <v>0</v>
      </c>
      <c r="BO21">
        <f>Sheet1!FC25</f>
        <v>0</v>
      </c>
      <c r="BP21">
        <f>Sheet1!FD25</f>
        <v>0</v>
      </c>
      <c r="BQ21">
        <f t="shared" si="4"/>
        <v>0</v>
      </c>
      <c r="BR21">
        <f>Sheet1!FE25</f>
        <v>0</v>
      </c>
      <c r="BS21">
        <f>Sheet1!FF25</f>
        <v>0</v>
      </c>
      <c r="BT21">
        <f>Sheet1!FG25</f>
        <v>0</v>
      </c>
      <c r="BU21">
        <f>Sheet1!FH25</f>
        <v>0</v>
      </c>
      <c r="BV21">
        <f t="shared" si="5"/>
        <v>0</v>
      </c>
      <c r="BW21">
        <f>Sheet1!FI25</f>
        <v>0</v>
      </c>
      <c r="BX21">
        <f>Sheet1!FJ25</f>
        <v>0</v>
      </c>
      <c r="BY21">
        <f>Sheet1!FK25</f>
        <v>0</v>
      </c>
      <c r="BZ21">
        <f>Sheet1!FL25</f>
        <v>0</v>
      </c>
      <c r="CA21">
        <f t="shared" si="6"/>
        <v>0</v>
      </c>
      <c r="CB21">
        <f>Sheet1!FM25</f>
        <v>0</v>
      </c>
      <c r="CC21">
        <f>Sheet1!FN25</f>
        <v>0</v>
      </c>
      <c r="CD21">
        <f>Sheet1!FO25</f>
        <v>0</v>
      </c>
      <c r="CE21">
        <f>Sheet1!FP25</f>
        <v>0</v>
      </c>
      <c r="CF21">
        <f t="shared" si="7"/>
        <v>0</v>
      </c>
      <c r="CG21">
        <f t="shared" si="8"/>
        <v>0</v>
      </c>
      <c r="CH21">
        <f t="shared" si="9"/>
        <v>0</v>
      </c>
      <c r="CI21">
        <f t="shared" si="10"/>
        <v>0</v>
      </c>
      <c r="CJ21">
        <f t="shared" si="11"/>
        <v>0</v>
      </c>
      <c r="CK21">
        <f t="shared" si="12"/>
        <v>0</v>
      </c>
      <c r="CL21">
        <f t="shared" si="13"/>
        <v>0</v>
      </c>
      <c r="CM21">
        <f t="shared" si="14"/>
        <v>0</v>
      </c>
      <c r="CN21">
        <f t="shared" si="15"/>
        <v>0</v>
      </c>
      <c r="CO21">
        <f t="shared" si="16"/>
        <v>0</v>
      </c>
      <c r="CP21">
        <f t="shared" si="17"/>
        <v>0</v>
      </c>
    </row>
    <row r="22" spans="45:94">
      <c r="AS22">
        <f>Sheet1!EK26</f>
        <v>0</v>
      </c>
      <c r="AT22">
        <f>Sheet1!EL26</f>
        <v>0</v>
      </c>
      <c r="AU22">
        <f>Sheet1!EM26</f>
        <v>0</v>
      </c>
      <c r="AV22">
        <f>Sheet1!EN26</f>
        <v>0</v>
      </c>
      <c r="AW22">
        <f t="shared" si="0"/>
        <v>0</v>
      </c>
      <c r="AX22">
        <f>Sheet1!EO26</f>
        <v>0</v>
      </c>
      <c r="AY22">
        <f>Sheet1!EP26</f>
        <v>0</v>
      </c>
      <c r="AZ22">
        <f>Sheet1!EQ26</f>
        <v>0</v>
      </c>
      <c r="BA22">
        <f>Sheet1!ER26</f>
        <v>0</v>
      </c>
      <c r="BB22">
        <f t="shared" si="1"/>
        <v>0</v>
      </c>
      <c r="BC22">
        <f>Sheet1!ES26</f>
        <v>0</v>
      </c>
      <c r="BD22">
        <f>Sheet1!ET26</f>
        <v>0</v>
      </c>
      <c r="BE22">
        <f>Sheet1!EU26</f>
        <v>0</v>
      </c>
      <c r="BF22">
        <f>Sheet1!EV26</f>
        <v>0</v>
      </c>
      <c r="BG22">
        <f t="shared" si="2"/>
        <v>0</v>
      </c>
      <c r="BH22">
        <f>Sheet1!EW26</f>
        <v>0</v>
      </c>
      <c r="BI22">
        <f>Sheet1!EX26</f>
        <v>0</v>
      </c>
      <c r="BJ22">
        <f>Sheet1!EY26</f>
        <v>0</v>
      </c>
      <c r="BK22">
        <f>Sheet1!EZ26</f>
        <v>0</v>
      </c>
      <c r="BL22">
        <f t="shared" si="3"/>
        <v>0</v>
      </c>
      <c r="BM22">
        <f>Sheet1!FA26</f>
        <v>0</v>
      </c>
      <c r="BN22">
        <f>Sheet1!FB26</f>
        <v>0</v>
      </c>
      <c r="BO22">
        <f>Sheet1!FC26</f>
        <v>0</v>
      </c>
      <c r="BP22">
        <f>Sheet1!FD26</f>
        <v>0</v>
      </c>
      <c r="BQ22">
        <f t="shared" si="4"/>
        <v>0</v>
      </c>
      <c r="BR22">
        <f>Sheet1!FE26</f>
        <v>0</v>
      </c>
      <c r="BS22">
        <f>Sheet1!FF26</f>
        <v>0</v>
      </c>
      <c r="BT22">
        <f>Sheet1!FG26</f>
        <v>0</v>
      </c>
      <c r="BU22">
        <f>Sheet1!FH26</f>
        <v>0</v>
      </c>
      <c r="BV22">
        <f t="shared" si="5"/>
        <v>0</v>
      </c>
      <c r="BW22">
        <f>Sheet1!FI26</f>
        <v>0</v>
      </c>
      <c r="BX22">
        <f>Sheet1!FJ26</f>
        <v>0</v>
      </c>
      <c r="BY22">
        <f>Sheet1!FK26</f>
        <v>0</v>
      </c>
      <c r="BZ22">
        <f>Sheet1!FL26</f>
        <v>0</v>
      </c>
      <c r="CA22">
        <f t="shared" si="6"/>
        <v>0</v>
      </c>
      <c r="CB22">
        <f>Sheet1!FM26</f>
        <v>0</v>
      </c>
      <c r="CC22">
        <f>Sheet1!FN26</f>
        <v>0</v>
      </c>
      <c r="CD22">
        <f>Sheet1!FO26</f>
        <v>0</v>
      </c>
      <c r="CE22">
        <f>Sheet1!FP26</f>
        <v>0</v>
      </c>
      <c r="CF22">
        <f t="shared" si="7"/>
        <v>0</v>
      </c>
      <c r="CG22">
        <f t="shared" si="8"/>
        <v>0</v>
      </c>
      <c r="CH22">
        <f t="shared" si="9"/>
        <v>0</v>
      </c>
      <c r="CI22">
        <f t="shared" si="10"/>
        <v>0</v>
      </c>
      <c r="CJ22">
        <f t="shared" si="11"/>
        <v>0</v>
      </c>
      <c r="CK22">
        <f t="shared" si="12"/>
        <v>0</v>
      </c>
      <c r="CL22">
        <f t="shared" si="13"/>
        <v>0</v>
      </c>
      <c r="CM22">
        <f t="shared" si="14"/>
        <v>0</v>
      </c>
      <c r="CN22">
        <f t="shared" si="15"/>
        <v>0</v>
      </c>
      <c r="CO22">
        <f t="shared" si="16"/>
        <v>0</v>
      </c>
      <c r="CP22">
        <f t="shared" si="17"/>
        <v>0</v>
      </c>
    </row>
    <row r="23" spans="45:94">
      <c r="AS23">
        <f>Sheet1!EK27</f>
        <v>0</v>
      </c>
      <c r="AT23">
        <f>Sheet1!EL27</f>
        <v>0</v>
      </c>
      <c r="AU23">
        <f>Sheet1!EM27</f>
        <v>0</v>
      </c>
      <c r="AV23">
        <f>Sheet1!EN27</f>
        <v>0</v>
      </c>
      <c r="AW23">
        <f t="shared" si="0"/>
        <v>0</v>
      </c>
      <c r="AX23">
        <f>Sheet1!EO27</f>
        <v>0</v>
      </c>
      <c r="AY23">
        <f>Sheet1!EP27</f>
        <v>0</v>
      </c>
      <c r="AZ23">
        <f>Sheet1!EQ27</f>
        <v>0</v>
      </c>
      <c r="BA23">
        <f>Sheet1!ER27</f>
        <v>0</v>
      </c>
      <c r="BB23">
        <f t="shared" si="1"/>
        <v>0</v>
      </c>
      <c r="BC23">
        <f>Sheet1!ES27</f>
        <v>0</v>
      </c>
      <c r="BD23">
        <f>Sheet1!ET27</f>
        <v>0</v>
      </c>
      <c r="BE23">
        <f>Sheet1!EU27</f>
        <v>0</v>
      </c>
      <c r="BF23">
        <f>Sheet1!EV27</f>
        <v>0</v>
      </c>
      <c r="BG23">
        <f t="shared" si="2"/>
        <v>0</v>
      </c>
      <c r="BH23">
        <f>Sheet1!EW27</f>
        <v>0</v>
      </c>
      <c r="BI23">
        <f>Sheet1!EX27</f>
        <v>0</v>
      </c>
      <c r="BJ23">
        <f>Sheet1!EY27</f>
        <v>0</v>
      </c>
      <c r="BK23">
        <f>Sheet1!EZ27</f>
        <v>0</v>
      </c>
      <c r="BL23">
        <f t="shared" si="3"/>
        <v>0</v>
      </c>
      <c r="BM23">
        <f>Sheet1!FA27</f>
        <v>0</v>
      </c>
      <c r="BN23">
        <f>Sheet1!FB27</f>
        <v>0</v>
      </c>
      <c r="BO23">
        <f>Sheet1!FC27</f>
        <v>0</v>
      </c>
      <c r="BP23">
        <f>Sheet1!FD27</f>
        <v>0</v>
      </c>
      <c r="BQ23">
        <f t="shared" si="4"/>
        <v>0</v>
      </c>
      <c r="BR23">
        <f>Sheet1!FE27</f>
        <v>0</v>
      </c>
      <c r="BS23">
        <f>Sheet1!FF27</f>
        <v>0</v>
      </c>
      <c r="BT23">
        <f>Sheet1!FG27</f>
        <v>0</v>
      </c>
      <c r="BU23">
        <f>Sheet1!FH27</f>
        <v>0</v>
      </c>
      <c r="BV23">
        <f t="shared" si="5"/>
        <v>0</v>
      </c>
      <c r="BW23">
        <f>Sheet1!FI27</f>
        <v>0</v>
      </c>
      <c r="BX23">
        <f>Sheet1!FJ27</f>
        <v>0</v>
      </c>
      <c r="BY23">
        <f>Sheet1!FK27</f>
        <v>0</v>
      </c>
      <c r="BZ23">
        <f>Sheet1!FL27</f>
        <v>0</v>
      </c>
      <c r="CA23">
        <f t="shared" si="6"/>
        <v>0</v>
      </c>
      <c r="CB23">
        <f>Sheet1!FM27</f>
        <v>0</v>
      </c>
      <c r="CC23">
        <f>Sheet1!FN27</f>
        <v>0</v>
      </c>
      <c r="CD23">
        <f>Sheet1!FO27</f>
        <v>0</v>
      </c>
      <c r="CE23">
        <f>Sheet1!FP27</f>
        <v>0</v>
      </c>
      <c r="CF23">
        <f t="shared" si="7"/>
        <v>0</v>
      </c>
      <c r="CG23">
        <f t="shared" si="8"/>
        <v>0</v>
      </c>
      <c r="CH23">
        <f t="shared" si="9"/>
        <v>0</v>
      </c>
      <c r="CI23">
        <f t="shared" si="10"/>
        <v>0</v>
      </c>
      <c r="CJ23">
        <f t="shared" si="11"/>
        <v>0</v>
      </c>
      <c r="CK23">
        <f t="shared" si="12"/>
        <v>0</v>
      </c>
      <c r="CL23">
        <f t="shared" si="13"/>
        <v>0</v>
      </c>
      <c r="CM23">
        <f t="shared" si="14"/>
        <v>0</v>
      </c>
      <c r="CN23">
        <f t="shared" si="15"/>
        <v>0</v>
      </c>
      <c r="CO23">
        <f t="shared" si="16"/>
        <v>0</v>
      </c>
      <c r="CP23">
        <f t="shared" si="17"/>
        <v>0</v>
      </c>
    </row>
    <row r="24" spans="45:94">
      <c r="AS24">
        <f>Sheet1!EK28</f>
        <v>0</v>
      </c>
      <c r="AT24">
        <f>Sheet1!EL28</f>
        <v>0</v>
      </c>
      <c r="AU24">
        <f>Sheet1!EM28</f>
        <v>0</v>
      </c>
      <c r="AV24">
        <f>Sheet1!EN28</f>
        <v>0</v>
      </c>
      <c r="AW24">
        <f t="shared" si="0"/>
        <v>0</v>
      </c>
      <c r="AX24">
        <f>Sheet1!EO28</f>
        <v>0</v>
      </c>
      <c r="AY24">
        <f>Sheet1!EP28</f>
        <v>0</v>
      </c>
      <c r="AZ24">
        <f>Sheet1!EQ28</f>
        <v>0</v>
      </c>
      <c r="BA24">
        <f>Sheet1!ER28</f>
        <v>0</v>
      </c>
      <c r="BB24">
        <f t="shared" si="1"/>
        <v>0</v>
      </c>
      <c r="BC24">
        <f>Sheet1!ES28</f>
        <v>0</v>
      </c>
      <c r="BD24">
        <f>Sheet1!ET28</f>
        <v>0</v>
      </c>
      <c r="BE24">
        <f>Sheet1!EU28</f>
        <v>0</v>
      </c>
      <c r="BF24">
        <f>Sheet1!EV28</f>
        <v>0</v>
      </c>
      <c r="BG24">
        <f t="shared" si="2"/>
        <v>0</v>
      </c>
      <c r="BH24">
        <f>Sheet1!EW28</f>
        <v>0</v>
      </c>
      <c r="BI24">
        <f>Sheet1!EX28</f>
        <v>0</v>
      </c>
      <c r="BJ24">
        <f>Sheet1!EY28</f>
        <v>0</v>
      </c>
      <c r="BK24">
        <f>Sheet1!EZ28</f>
        <v>0</v>
      </c>
      <c r="BL24">
        <f t="shared" si="3"/>
        <v>0</v>
      </c>
      <c r="BM24">
        <f>Sheet1!FA28</f>
        <v>0</v>
      </c>
      <c r="BN24">
        <f>Sheet1!FB28</f>
        <v>0</v>
      </c>
      <c r="BO24">
        <f>Sheet1!FC28</f>
        <v>0</v>
      </c>
      <c r="BP24">
        <f>Sheet1!FD28</f>
        <v>0</v>
      </c>
      <c r="BQ24">
        <f t="shared" si="4"/>
        <v>0</v>
      </c>
      <c r="BR24">
        <f>Sheet1!FE28</f>
        <v>0</v>
      </c>
      <c r="BS24">
        <f>Sheet1!FF28</f>
        <v>0</v>
      </c>
      <c r="BT24">
        <f>Sheet1!FG28</f>
        <v>0</v>
      </c>
      <c r="BU24">
        <f>Sheet1!FH28</f>
        <v>0</v>
      </c>
      <c r="BV24">
        <f t="shared" si="5"/>
        <v>0</v>
      </c>
      <c r="BW24">
        <f>Sheet1!FI28</f>
        <v>0</v>
      </c>
      <c r="BX24">
        <f>Sheet1!FJ28</f>
        <v>0</v>
      </c>
      <c r="BY24">
        <f>Sheet1!FK28</f>
        <v>0</v>
      </c>
      <c r="BZ24">
        <f>Sheet1!FL28</f>
        <v>0</v>
      </c>
      <c r="CA24">
        <f t="shared" si="6"/>
        <v>0</v>
      </c>
      <c r="CB24">
        <f>Sheet1!FM28</f>
        <v>0</v>
      </c>
      <c r="CC24">
        <f>Sheet1!FN28</f>
        <v>0</v>
      </c>
      <c r="CD24">
        <f>Sheet1!FO28</f>
        <v>0</v>
      </c>
      <c r="CE24">
        <f>Sheet1!FP28</f>
        <v>0</v>
      </c>
      <c r="CF24">
        <f t="shared" si="7"/>
        <v>0</v>
      </c>
      <c r="CG24">
        <f t="shared" si="8"/>
        <v>0</v>
      </c>
      <c r="CH24">
        <f t="shared" si="9"/>
        <v>0</v>
      </c>
      <c r="CI24">
        <f t="shared" si="10"/>
        <v>0</v>
      </c>
      <c r="CJ24">
        <f t="shared" si="11"/>
        <v>0</v>
      </c>
      <c r="CK24">
        <f t="shared" si="12"/>
        <v>0</v>
      </c>
      <c r="CL24">
        <f t="shared" si="13"/>
        <v>0</v>
      </c>
      <c r="CM24">
        <f t="shared" si="14"/>
        <v>0</v>
      </c>
      <c r="CN24">
        <f t="shared" si="15"/>
        <v>0</v>
      </c>
      <c r="CO24">
        <f t="shared" si="16"/>
        <v>0</v>
      </c>
      <c r="CP24">
        <f t="shared" si="17"/>
        <v>0</v>
      </c>
    </row>
    <row r="25" spans="45:94">
      <c r="AS25">
        <f>Sheet1!EK29</f>
        <v>0</v>
      </c>
      <c r="AT25">
        <f>Sheet1!EL29</f>
        <v>0</v>
      </c>
      <c r="AU25">
        <f>Sheet1!EM29</f>
        <v>0</v>
      </c>
      <c r="AV25">
        <f>Sheet1!EN29</f>
        <v>0</v>
      </c>
      <c r="AW25">
        <f t="shared" si="0"/>
        <v>0</v>
      </c>
      <c r="AX25">
        <f>Sheet1!EO29</f>
        <v>0</v>
      </c>
      <c r="AY25">
        <f>Sheet1!EP29</f>
        <v>0</v>
      </c>
      <c r="AZ25">
        <f>Sheet1!EQ29</f>
        <v>0</v>
      </c>
      <c r="BA25">
        <f>Sheet1!ER29</f>
        <v>0</v>
      </c>
      <c r="BB25">
        <f t="shared" si="1"/>
        <v>0</v>
      </c>
      <c r="BC25">
        <f>Sheet1!ES29</f>
        <v>0</v>
      </c>
      <c r="BD25">
        <f>Sheet1!ET29</f>
        <v>0</v>
      </c>
      <c r="BE25">
        <f>Sheet1!EU29</f>
        <v>0</v>
      </c>
      <c r="BF25">
        <f>Sheet1!EV29</f>
        <v>0</v>
      </c>
      <c r="BG25">
        <f t="shared" si="2"/>
        <v>0</v>
      </c>
      <c r="BH25">
        <f>Sheet1!EW29</f>
        <v>0</v>
      </c>
      <c r="BI25">
        <f>Sheet1!EX29</f>
        <v>0</v>
      </c>
      <c r="BJ25">
        <f>Sheet1!EY29</f>
        <v>0</v>
      </c>
      <c r="BK25">
        <f>Sheet1!EZ29</f>
        <v>0</v>
      </c>
      <c r="BL25">
        <f t="shared" si="3"/>
        <v>0</v>
      </c>
      <c r="BM25">
        <f>Sheet1!FA29</f>
        <v>0</v>
      </c>
      <c r="BN25">
        <f>Sheet1!FB29</f>
        <v>0</v>
      </c>
      <c r="BO25">
        <f>Sheet1!FC29</f>
        <v>0</v>
      </c>
      <c r="BP25">
        <f>Sheet1!FD29</f>
        <v>0</v>
      </c>
      <c r="BQ25">
        <f t="shared" si="4"/>
        <v>0</v>
      </c>
      <c r="BR25">
        <f>Sheet1!FE29</f>
        <v>0</v>
      </c>
      <c r="BS25">
        <f>Sheet1!FF29</f>
        <v>0</v>
      </c>
      <c r="BT25">
        <f>Sheet1!FG29</f>
        <v>0</v>
      </c>
      <c r="BU25">
        <f>Sheet1!FH29</f>
        <v>0</v>
      </c>
      <c r="BV25">
        <f t="shared" si="5"/>
        <v>0</v>
      </c>
      <c r="BW25">
        <f>Sheet1!FI29</f>
        <v>0</v>
      </c>
      <c r="BX25">
        <f>Sheet1!FJ29</f>
        <v>0</v>
      </c>
      <c r="BY25">
        <f>Sheet1!FK29</f>
        <v>0</v>
      </c>
      <c r="BZ25">
        <f>Sheet1!FL29</f>
        <v>0</v>
      </c>
      <c r="CA25">
        <f t="shared" si="6"/>
        <v>0</v>
      </c>
      <c r="CB25">
        <f>Sheet1!FM29</f>
        <v>0</v>
      </c>
      <c r="CC25">
        <f>Sheet1!FN29</f>
        <v>0</v>
      </c>
      <c r="CD25">
        <f>Sheet1!FO29</f>
        <v>0</v>
      </c>
      <c r="CE25">
        <f>Sheet1!FP29</f>
        <v>0</v>
      </c>
      <c r="CF25">
        <f t="shared" si="7"/>
        <v>0</v>
      </c>
      <c r="CG25">
        <f t="shared" si="8"/>
        <v>0</v>
      </c>
      <c r="CH25">
        <f t="shared" si="9"/>
        <v>0</v>
      </c>
      <c r="CI25">
        <f t="shared" si="10"/>
        <v>0</v>
      </c>
      <c r="CJ25">
        <f t="shared" si="11"/>
        <v>0</v>
      </c>
      <c r="CK25">
        <f t="shared" si="12"/>
        <v>0</v>
      </c>
      <c r="CL25">
        <f t="shared" si="13"/>
        <v>0</v>
      </c>
      <c r="CM25">
        <f t="shared" si="14"/>
        <v>0</v>
      </c>
      <c r="CN25">
        <f t="shared" si="15"/>
        <v>0</v>
      </c>
      <c r="CO25">
        <f t="shared" si="16"/>
        <v>0</v>
      </c>
      <c r="CP25">
        <f t="shared" si="17"/>
        <v>0</v>
      </c>
    </row>
    <row r="26" spans="45:94">
      <c r="AS26">
        <f>Sheet1!EK30</f>
        <v>0</v>
      </c>
      <c r="AT26">
        <f>Sheet1!EL30</f>
        <v>0</v>
      </c>
      <c r="AU26">
        <f>Sheet1!EM30</f>
        <v>0</v>
      </c>
      <c r="AV26">
        <f>Sheet1!EN30</f>
        <v>0</v>
      </c>
      <c r="AW26">
        <f t="shared" si="0"/>
        <v>0</v>
      </c>
      <c r="AX26">
        <f>Sheet1!EO30</f>
        <v>0</v>
      </c>
      <c r="AY26">
        <f>Sheet1!EP30</f>
        <v>0</v>
      </c>
      <c r="AZ26">
        <f>Sheet1!EQ30</f>
        <v>0</v>
      </c>
      <c r="BA26">
        <f>Sheet1!ER30</f>
        <v>0</v>
      </c>
      <c r="BB26">
        <f t="shared" si="1"/>
        <v>0</v>
      </c>
      <c r="BC26">
        <f>Sheet1!ES30</f>
        <v>0</v>
      </c>
      <c r="BD26">
        <f>Sheet1!ET30</f>
        <v>0</v>
      </c>
      <c r="BE26">
        <f>Sheet1!EU30</f>
        <v>0</v>
      </c>
      <c r="BF26">
        <f>Sheet1!EV30</f>
        <v>0</v>
      </c>
      <c r="BG26">
        <f t="shared" si="2"/>
        <v>0</v>
      </c>
      <c r="BH26">
        <f>Sheet1!EW30</f>
        <v>0</v>
      </c>
      <c r="BI26">
        <f>Sheet1!EX30</f>
        <v>0</v>
      </c>
      <c r="BJ26">
        <f>Sheet1!EY30</f>
        <v>0</v>
      </c>
      <c r="BK26">
        <f>Sheet1!EZ30</f>
        <v>0</v>
      </c>
      <c r="BL26">
        <f t="shared" si="3"/>
        <v>0</v>
      </c>
      <c r="BM26">
        <f>Sheet1!FA30</f>
        <v>0</v>
      </c>
      <c r="BN26">
        <f>Sheet1!FB30</f>
        <v>0</v>
      </c>
      <c r="BO26">
        <f>Sheet1!FC30</f>
        <v>0</v>
      </c>
      <c r="BP26">
        <f>Sheet1!FD30</f>
        <v>0</v>
      </c>
      <c r="BQ26">
        <f t="shared" si="4"/>
        <v>0</v>
      </c>
      <c r="BR26">
        <f>Sheet1!FE30</f>
        <v>0</v>
      </c>
      <c r="BS26">
        <f>Sheet1!FF30</f>
        <v>0</v>
      </c>
      <c r="BT26">
        <f>Sheet1!FG30</f>
        <v>0</v>
      </c>
      <c r="BU26">
        <f>Sheet1!FH30</f>
        <v>0</v>
      </c>
      <c r="BV26">
        <f t="shared" si="5"/>
        <v>0</v>
      </c>
      <c r="BW26">
        <f>Sheet1!FI30</f>
        <v>0</v>
      </c>
      <c r="BX26">
        <f>Sheet1!FJ30</f>
        <v>0</v>
      </c>
      <c r="BY26">
        <f>Sheet1!FK30</f>
        <v>0</v>
      </c>
      <c r="BZ26">
        <f>Sheet1!FL30</f>
        <v>0</v>
      </c>
      <c r="CA26">
        <f t="shared" si="6"/>
        <v>0</v>
      </c>
      <c r="CB26">
        <f>Sheet1!FM30</f>
        <v>0</v>
      </c>
      <c r="CC26">
        <f>Sheet1!FN30</f>
        <v>0</v>
      </c>
      <c r="CD26">
        <f>Sheet1!FO30</f>
        <v>0</v>
      </c>
      <c r="CE26">
        <f>Sheet1!FP30</f>
        <v>0</v>
      </c>
      <c r="CF26">
        <f t="shared" si="7"/>
        <v>0</v>
      </c>
      <c r="CG26">
        <f t="shared" si="8"/>
        <v>0</v>
      </c>
      <c r="CH26">
        <f t="shared" si="9"/>
        <v>0</v>
      </c>
      <c r="CI26">
        <f t="shared" si="10"/>
        <v>0</v>
      </c>
      <c r="CJ26">
        <f t="shared" si="11"/>
        <v>0</v>
      </c>
      <c r="CK26">
        <f t="shared" si="12"/>
        <v>0</v>
      </c>
      <c r="CL26">
        <f t="shared" si="13"/>
        <v>0</v>
      </c>
      <c r="CM26">
        <f t="shared" si="14"/>
        <v>0</v>
      </c>
      <c r="CN26">
        <f t="shared" si="15"/>
        <v>0</v>
      </c>
      <c r="CO26">
        <f t="shared" si="16"/>
        <v>0</v>
      </c>
      <c r="CP26">
        <f t="shared" si="17"/>
        <v>0</v>
      </c>
    </row>
    <row r="27" spans="45:94">
      <c r="AS27">
        <f>Sheet1!EK31</f>
        <v>0</v>
      </c>
      <c r="AT27">
        <f>Sheet1!EL31</f>
        <v>0</v>
      </c>
      <c r="AU27">
        <f>Sheet1!EM31</f>
        <v>0</v>
      </c>
      <c r="AV27">
        <f>Sheet1!EN31</f>
        <v>0</v>
      </c>
      <c r="AW27">
        <f t="shared" si="0"/>
        <v>0</v>
      </c>
      <c r="AX27">
        <f>Sheet1!EO31</f>
        <v>0</v>
      </c>
      <c r="AY27">
        <f>Sheet1!EP31</f>
        <v>0</v>
      </c>
      <c r="AZ27">
        <f>Sheet1!EQ31</f>
        <v>0</v>
      </c>
      <c r="BA27">
        <f>Sheet1!ER31</f>
        <v>0</v>
      </c>
      <c r="BB27">
        <f t="shared" si="1"/>
        <v>0</v>
      </c>
      <c r="BC27">
        <f>Sheet1!ES31</f>
        <v>0</v>
      </c>
      <c r="BD27">
        <f>Sheet1!ET31</f>
        <v>0</v>
      </c>
      <c r="BE27">
        <f>Sheet1!EU31</f>
        <v>0</v>
      </c>
      <c r="BF27">
        <f>Sheet1!EV31</f>
        <v>0</v>
      </c>
      <c r="BG27">
        <f t="shared" si="2"/>
        <v>0</v>
      </c>
      <c r="BH27">
        <f>Sheet1!EW31</f>
        <v>0</v>
      </c>
      <c r="BI27">
        <f>Sheet1!EX31</f>
        <v>0</v>
      </c>
      <c r="BJ27">
        <f>Sheet1!EY31</f>
        <v>0</v>
      </c>
      <c r="BK27">
        <f>Sheet1!EZ31</f>
        <v>0</v>
      </c>
      <c r="BL27">
        <f t="shared" si="3"/>
        <v>0</v>
      </c>
      <c r="BM27">
        <f>Sheet1!FA31</f>
        <v>0</v>
      </c>
      <c r="BN27">
        <f>Sheet1!FB31</f>
        <v>0</v>
      </c>
      <c r="BO27">
        <f>Sheet1!FC31</f>
        <v>0</v>
      </c>
      <c r="BP27">
        <f>Sheet1!FD31</f>
        <v>0</v>
      </c>
      <c r="BQ27">
        <f t="shared" si="4"/>
        <v>0</v>
      </c>
      <c r="BR27">
        <f>Sheet1!FE31</f>
        <v>0</v>
      </c>
      <c r="BS27">
        <f>Sheet1!FF31</f>
        <v>0</v>
      </c>
      <c r="BT27">
        <f>Sheet1!FG31</f>
        <v>0</v>
      </c>
      <c r="BU27">
        <f>Sheet1!FH31</f>
        <v>0</v>
      </c>
      <c r="BV27">
        <f t="shared" si="5"/>
        <v>0</v>
      </c>
      <c r="BW27">
        <f>Sheet1!FI31</f>
        <v>0</v>
      </c>
      <c r="BX27">
        <f>Sheet1!FJ31</f>
        <v>0</v>
      </c>
      <c r="BY27">
        <f>Sheet1!FK31</f>
        <v>0</v>
      </c>
      <c r="BZ27">
        <f>Sheet1!FL31</f>
        <v>0</v>
      </c>
      <c r="CA27">
        <f t="shared" si="6"/>
        <v>0</v>
      </c>
      <c r="CB27">
        <f>Sheet1!FM31</f>
        <v>0</v>
      </c>
      <c r="CC27">
        <f>Sheet1!FN31</f>
        <v>0</v>
      </c>
      <c r="CD27">
        <f>Sheet1!FO31</f>
        <v>0</v>
      </c>
      <c r="CE27">
        <f>Sheet1!FP31</f>
        <v>0</v>
      </c>
      <c r="CF27">
        <f t="shared" si="7"/>
        <v>0</v>
      </c>
      <c r="CG27">
        <f t="shared" si="8"/>
        <v>0</v>
      </c>
      <c r="CH27">
        <f t="shared" si="9"/>
        <v>0</v>
      </c>
      <c r="CI27">
        <f t="shared" si="10"/>
        <v>0</v>
      </c>
      <c r="CJ27">
        <f t="shared" si="11"/>
        <v>0</v>
      </c>
      <c r="CK27">
        <f t="shared" si="12"/>
        <v>0</v>
      </c>
      <c r="CL27">
        <f t="shared" si="13"/>
        <v>0</v>
      </c>
      <c r="CM27">
        <f t="shared" si="14"/>
        <v>0</v>
      </c>
      <c r="CN27">
        <f t="shared" si="15"/>
        <v>0</v>
      </c>
      <c r="CO27">
        <f t="shared" si="16"/>
        <v>0</v>
      </c>
      <c r="CP27">
        <f t="shared" si="17"/>
        <v>0</v>
      </c>
    </row>
    <row r="28" spans="45:94">
      <c r="AS28">
        <f>Sheet1!EK32</f>
        <v>0</v>
      </c>
      <c r="AT28">
        <f>Sheet1!EL32</f>
        <v>0</v>
      </c>
      <c r="AU28">
        <f>Sheet1!EM32</f>
        <v>0</v>
      </c>
      <c r="AV28">
        <f>Sheet1!EN32</f>
        <v>0</v>
      </c>
      <c r="AW28">
        <f t="shared" si="0"/>
        <v>0</v>
      </c>
      <c r="AX28">
        <f>Sheet1!EO32</f>
        <v>0</v>
      </c>
      <c r="AY28">
        <f>Sheet1!EP32</f>
        <v>0</v>
      </c>
      <c r="AZ28">
        <f>Sheet1!EQ32</f>
        <v>0</v>
      </c>
      <c r="BA28">
        <f>Sheet1!ER32</f>
        <v>0</v>
      </c>
      <c r="BB28">
        <f t="shared" si="1"/>
        <v>0</v>
      </c>
      <c r="BC28">
        <f>Sheet1!ES32</f>
        <v>0</v>
      </c>
      <c r="BD28">
        <f>Sheet1!ET32</f>
        <v>0</v>
      </c>
      <c r="BE28">
        <f>Sheet1!EU32</f>
        <v>0</v>
      </c>
      <c r="BF28">
        <f>Sheet1!EV32</f>
        <v>0</v>
      </c>
      <c r="BG28">
        <f t="shared" si="2"/>
        <v>0</v>
      </c>
      <c r="BH28">
        <f>Sheet1!EW32</f>
        <v>0</v>
      </c>
      <c r="BI28">
        <f>Sheet1!EX32</f>
        <v>0</v>
      </c>
      <c r="BJ28">
        <f>Sheet1!EY32</f>
        <v>0</v>
      </c>
      <c r="BK28">
        <f>Sheet1!EZ32</f>
        <v>0</v>
      </c>
      <c r="BL28">
        <f t="shared" si="3"/>
        <v>0</v>
      </c>
      <c r="BM28">
        <f>Sheet1!FA32</f>
        <v>0</v>
      </c>
      <c r="BN28">
        <f>Sheet1!FB32</f>
        <v>0</v>
      </c>
      <c r="BO28">
        <f>Sheet1!FC32</f>
        <v>0</v>
      </c>
      <c r="BP28">
        <f>Sheet1!FD32</f>
        <v>0</v>
      </c>
      <c r="BQ28">
        <f t="shared" si="4"/>
        <v>0</v>
      </c>
      <c r="BR28">
        <f>Sheet1!FE32</f>
        <v>0</v>
      </c>
      <c r="BS28">
        <f>Sheet1!FF32</f>
        <v>0</v>
      </c>
      <c r="BT28">
        <f>Sheet1!FG32</f>
        <v>0</v>
      </c>
      <c r="BU28">
        <f>Sheet1!FH32</f>
        <v>0</v>
      </c>
      <c r="BV28">
        <f t="shared" si="5"/>
        <v>0</v>
      </c>
      <c r="BW28">
        <f>Sheet1!FI32</f>
        <v>0</v>
      </c>
      <c r="BX28">
        <f>Sheet1!FJ32</f>
        <v>0</v>
      </c>
      <c r="BY28">
        <f>Sheet1!FK32</f>
        <v>0</v>
      </c>
      <c r="BZ28">
        <f>Sheet1!FL32</f>
        <v>0</v>
      </c>
      <c r="CA28">
        <f t="shared" si="6"/>
        <v>0</v>
      </c>
      <c r="CB28">
        <f>Sheet1!FM32</f>
        <v>0</v>
      </c>
      <c r="CC28">
        <f>Sheet1!FN32</f>
        <v>0</v>
      </c>
      <c r="CD28">
        <f>Sheet1!FO32</f>
        <v>0</v>
      </c>
      <c r="CE28">
        <f>Sheet1!FP32</f>
        <v>0</v>
      </c>
      <c r="CF28">
        <f t="shared" si="7"/>
        <v>0</v>
      </c>
      <c r="CG28">
        <f t="shared" si="8"/>
        <v>0</v>
      </c>
      <c r="CH28">
        <f t="shared" si="9"/>
        <v>0</v>
      </c>
      <c r="CI28">
        <f t="shared" si="10"/>
        <v>0</v>
      </c>
      <c r="CJ28">
        <f t="shared" si="11"/>
        <v>0</v>
      </c>
      <c r="CK28">
        <f t="shared" si="12"/>
        <v>0</v>
      </c>
      <c r="CL28">
        <f t="shared" si="13"/>
        <v>0</v>
      </c>
      <c r="CM28">
        <f t="shared" si="14"/>
        <v>0</v>
      </c>
      <c r="CN28">
        <f t="shared" si="15"/>
        <v>0</v>
      </c>
      <c r="CO28">
        <f t="shared" si="16"/>
        <v>0</v>
      </c>
      <c r="CP28">
        <f t="shared" si="17"/>
        <v>0</v>
      </c>
    </row>
    <row r="29" spans="45:94">
      <c r="AS29">
        <f>Sheet1!EK33</f>
        <v>0</v>
      </c>
      <c r="AT29">
        <f>Sheet1!EL33</f>
        <v>0</v>
      </c>
      <c r="AU29">
        <f>Sheet1!EM33</f>
        <v>0</v>
      </c>
      <c r="AV29">
        <f>Sheet1!EN33</f>
        <v>0</v>
      </c>
      <c r="AW29">
        <f t="shared" si="0"/>
        <v>0</v>
      </c>
      <c r="AX29">
        <f>Sheet1!EO33</f>
        <v>0</v>
      </c>
      <c r="AY29">
        <f>Sheet1!EP33</f>
        <v>0</v>
      </c>
      <c r="AZ29">
        <f>Sheet1!EQ33</f>
        <v>0</v>
      </c>
      <c r="BA29">
        <f>Sheet1!ER33</f>
        <v>0</v>
      </c>
      <c r="BB29">
        <f t="shared" si="1"/>
        <v>0</v>
      </c>
      <c r="BC29">
        <f>Sheet1!ES33</f>
        <v>0</v>
      </c>
      <c r="BD29">
        <f>Sheet1!ET33</f>
        <v>0</v>
      </c>
      <c r="BE29">
        <f>Sheet1!EU33</f>
        <v>0</v>
      </c>
      <c r="BF29">
        <f>Sheet1!EV33</f>
        <v>0</v>
      </c>
      <c r="BG29">
        <f t="shared" si="2"/>
        <v>0</v>
      </c>
      <c r="BH29">
        <f>Sheet1!EW33</f>
        <v>0</v>
      </c>
      <c r="BI29">
        <f>Sheet1!EX33</f>
        <v>0</v>
      </c>
      <c r="BJ29">
        <f>Sheet1!EY33</f>
        <v>0</v>
      </c>
      <c r="BK29">
        <f>Sheet1!EZ33</f>
        <v>0</v>
      </c>
      <c r="BL29">
        <f t="shared" si="3"/>
        <v>0</v>
      </c>
      <c r="BM29">
        <f>Sheet1!FA33</f>
        <v>0</v>
      </c>
      <c r="BN29">
        <f>Sheet1!FB33</f>
        <v>0</v>
      </c>
      <c r="BO29">
        <f>Sheet1!FC33</f>
        <v>0</v>
      </c>
      <c r="BP29">
        <f>Sheet1!FD33</f>
        <v>0</v>
      </c>
      <c r="BQ29">
        <f t="shared" si="4"/>
        <v>0</v>
      </c>
      <c r="BR29">
        <f>Sheet1!FE33</f>
        <v>0</v>
      </c>
      <c r="BS29">
        <f>Sheet1!FF33</f>
        <v>0</v>
      </c>
      <c r="BT29">
        <f>Sheet1!FG33</f>
        <v>0</v>
      </c>
      <c r="BU29">
        <f>Sheet1!FH33</f>
        <v>0</v>
      </c>
      <c r="BV29">
        <f t="shared" si="5"/>
        <v>0</v>
      </c>
      <c r="BW29">
        <f>Sheet1!FI33</f>
        <v>0</v>
      </c>
      <c r="BX29">
        <f>Sheet1!FJ33</f>
        <v>0</v>
      </c>
      <c r="BY29">
        <f>Sheet1!FK33</f>
        <v>0</v>
      </c>
      <c r="BZ29">
        <f>Sheet1!FL33</f>
        <v>0</v>
      </c>
      <c r="CA29">
        <f t="shared" si="6"/>
        <v>0</v>
      </c>
      <c r="CB29">
        <f>Sheet1!FM33</f>
        <v>0</v>
      </c>
      <c r="CC29">
        <f>Sheet1!FN33</f>
        <v>0</v>
      </c>
      <c r="CD29">
        <f>Sheet1!FO33</f>
        <v>0</v>
      </c>
      <c r="CE29">
        <f>Sheet1!FP33</f>
        <v>0</v>
      </c>
      <c r="CF29">
        <f t="shared" si="7"/>
        <v>0</v>
      </c>
      <c r="CG29">
        <f t="shared" si="8"/>
        <v>0</v>
      </c>
      <c r="CH29">
        <f t="shared" si="9"/>
        <v>0</v>
      </c>
      <c r="CI29">
        <f t="shared" si="10"/>
        <v>0</v>
      </c>
      <c r="CJ29">
        <f t="shared" si="11"/>
        <v>0</v>
      </c>
      <c r="CK29">
        <f t="shared" si="12"/>
        <v>0</v>
      </c>
      <c r="CL29">
        <f t="shared" si="13"/>
        <v>0</v>
      </c>
      <c r="CM29">
        <f t="shared" si="14"/>
        <v>0</v>
      </c>
      <c r="CN29">
        <f t="shared" si="15"/>
        <v>0</v>
      </c>
      <c r="CO29">
        <f t="shared" si="16"/>
        <v>0</v>
      </c>
      <c r="CP29">
        <f t="shared" si="17"/>
        <v>0</v>
      </c>
    </row>
    <row r="30" spans="45:94">
      <c r="AS30">
        <f>Sheet1!EK34</f>
        <v>0</v>
      </c>
      <c r="AT30">
        <f>Sheet1!EL34</f>
        <v>0</v>
      </c>
      <c r="AU30">
        <f>Sheet1!EM34</f>
        <v>0</v>
      </c>
      <c r="AV30">
        <f>Sheet1!EN34</f>
        <v>0</v>
      </c>
      <c r="AW30">
        <f t="shared" si="0"/>
        <v>0</v>
      </c>
      <c r="AX30">
        <f>Sheet1!EO34</f>
        <v>0</v>
      </c>
      <c r="AY30">
        <f>Sheet1!EP34</f>
        <v>0</v>
      </c>
      <c r="AZ30">
        <f>Sheet1!EQ34</f>
        <v>0</v>
      </c>
      <c r="BA30">
        <f>Sheet1!ER34</f>
        <v>0</v>
      </c>
      <c r="BB30">
        <f t="shared" si="1"/>
        <v>0</v>
      </c>
      <c r="BC30">
        <f>Sheet1!ES34</f>
        <v>0</v>
      </c>
      <c r="BD30">
        <f>Sheet1!ET34</f>
        <v>0</v>
      </c>
      <c r="BE30">
        <f>Sheet1!EU34</f>
        <v>0</v>
      </c>
      <c r="BF30">
        <f>Sheet1!EV34</f>
        <v>0</v>
      </c>
      <c r="BG30">
        <f t="shared" si="2"/>
        <v>0</v>
      </c>
      <c r="BH30">
        <f>Sheet1!EW34</f>
        <v>0</v>
      </c>
      <c r="BI30">
        <f>Sheet1!EX34</f>
        <v>0</v>
      </c>
      <c r="BJ30">
        <f>Sheet1!EY34</f>
        <v>0</v>
      </c>
      <c r="BK30">
        <f>Sheet1!EZ34</f>
        <v>0</v>
      </c>
      <c r="BL30">
        <f t="shared" si="3"/>
        <v>0</v>
      </c>
      <c r="BM30">
        <f>Sheet1!FA34</f>
        <v>0</v>
      </c>
      <c r="BN30">
        <f>Sheet1!FB34</f>
        <v>0</v>
      </c>
      <c r="BO30">
        <f>Sheet1!FC34</f>
        <v>0</v>
      </c>
      <c r="BP30">
        <f>Sheet1!FD34</f>
        <v>0</v>
      </c>
      <c r="BQ30">
        <f t="shared" si="4"/>
        <v>0</v>
      </c>
      <c r="BR30">
        <f>Sheet1!FE34</f>
        <v>0</v>
      </c>
      <c r="BS30">
        <f>Sheet1!FF34</f>
        <v>0</v>
      </c>
      <c r="BT30">
        <f>Sheet1!FG34</f>
        <v>0</v>
      </c>
      <c r="BU30">
        <f>Sheet1!FH34</f>
        <v>0</v>
      </c>
      <c r="BV30">
        <f t="shared" si="5"/>
        <v>0</v>
      </c>
      <c r="BW30">
        <f>Sheet1!FI34</f>
        <v>0</v>
      </c>
      <c r="BX30">
        <f>Sheet1!FJ34</f>
        <v>0</v>
      </c>
      <c r="BY30">
        <f>Sheet1!FK34</f>
        <v>0</v>
      </c>
      <c r="BZ30">
        <f>Sheet1!FL34</f>
        <v>0</v>
      </c>
      <c r="CA30">
        <f t="shared" si="6"/>
        <v>0</v>
      </c>
      <c r="CB30">
        <f>Sheet1!FM34</f>
        <v>0</v>
      </c>
      <c r="CC30">
        <f>Sheet1!FN34</f>
        <v>0</v>
      </c>
      <c r="CD30">
        <f>Sheet1!FO34</f>
        <v>0</v>
      </c>
      <c r="CE30">
        <f>Sheet1!FP34</f>
        <v>0</v>
      </c>
      <c r="CF30">
        <f t="shared" si="7"/>
        <v>0</v>
      </c>
      <c r="CG30">
        <f t="shared" si="8"/>
        <v>0</v>
      </c>
      <c r="CH30">
        <f t="shared" si="9"/>
        <v>0</v>
      </c>
      <c r="CI30">
        <f t="shared" si="10"/>
        <v>0</v>
      </c>
      <c r="CJ30">
        <f t="shared" si="11"/>
        <v>0</v>
      </c>
      <c r="CK30">
        <f t="shared" si="12"/>
        <v>0</v>
      </c>
      <c r="CL30">
        <f t="shared" si="13"/>
        <v>0</v>
      </c>
      <c r="CM30">
        <f t="shared" si="14"/>
        <v>0</v>
      </c>
      <c r="CN30">
        <f t="shared" si="15"/>
        <v>0</v>
      </c>
      <c r="CO30">
        <f t="shared" si="16"/>
        <v>0</v>
      </c>
      <c r="CP30">
        <f t="shared" si="17"/>
        <v>0</v>
      </c>
    </row>
    <row r="31" spans="45:94">
      <c r="AS31">
        <f>Sheet1!EK35</f>
        <v>0</v>
      </c>
      <c r="AT31">
        <f>Sheet1!EL35</f>
        <v>0</v>
      </c>
      <c r="AU31">
        <f>Sheet1!EM35</f>
        <v>0</v>
      </c>
      <c r="AV31">
        <f>Sheet1!EN35</f>
        <v>0</v>
      </c>
      <c r="AW31">
        <f t="shared" si="0"/>
        <v>0</v>
      </c>
      <c r="AX31">
        <f>Sheet1!EO35</f>
        <v>0</v>
      </c>
      <c r="AY31">
        <f>Sheet1!EP35</f>
        <v>0</v>
      </c>
      <c r="AZ31">
        <f>Sheet1!EQ35</f>
        <v>0</v>
      </c>
      <c r="BA31">
        <f>Sheet1!ER35</f>
        <v>0</v>
      </c>
      <c r="BB31">
        <f t="shared" si="1"/>
        <v>0</v>
      </c>
      <c r="BC31">
        <f>Sheet1!ES35</f>
        <v>0</v>
      </c>
      <c r="BD31">
        <f>Sheet1!ET35</f>
        <v>0</v>
      </c>
      <c r="BE31">
        <f>Sheet1!EU35</f>
        <v>0</v>
      </c>
      <c r="BF31">
        <f>Sheet1!EV35</f>
        <v>0</v>
      </c>
      <c r="BG31">
        <f t="shared" si="2"/>
        <v>0</v>
      </c>
      <c r="BH31">
        <f>Sheet1!EW35</f>
        <v>0</v>
      </c>
      <c r="BI31">
        <f>Sheet1!EX35</f>
        <v>0</v>
      </c>
      <c r="BJ31">
        <f>Sheet1!EY35</f>
        <v>0</v>
      </c>
      <c r="BK31">
        <f>Sheet1!EZ35</f>
        <v>0</v>
      </c>
      <c r="BL31">
        <f t="shared" si="3"/>
        <v>0</v>
      </c>
      <c r="BM31">
        <f>Sheet1!FA35</f>
        <v>0</v>
      </c>
      <c r="BN31">
        <f>Sheet1!FB35</f>
        <v>0</v>
      </c>
      <c r="BO31">
        <f>Sheet1!FC35</f>
        <v>0</v>
      </c>
      <c r="BP31">
        <f>Sheet1!FD35</f>
        <v>0</v>
      </c>
      <c r="BQ31">
        <f t="shared" si="4"/>
        <v>0</v>
      </c>
      <c r="BR31">
        <f>Sheet1!FE35</f>
        <v>0</v>
      </c>
      <c r="BS31">
        <f>Sheet1!FF35</f>
        <v>0</v>
      </c>
      <c r="BT31">
        <f>Sheet1!FG35</f>
        <v>0</v>
      </c>
      <c r="BU31">
        <f>Sheet1!FH35</f>
        <v>0</v>
      </c>
      <c r="BV31">
        <f t="shared" si="5"/>
        <v>0</v>
      </c>
      <c r="BW31">
        <f>Sheet1!FI35</f>
        <v>0</v>
      </c>
      <c r="BX31">
        <f>Sheet1!FJ35</f>
        <v>0</v>
      </c>
      <c r="BY31">
        <f>Sheet1!FK35</f>
        <v>0</v>
      </c>
      <c r="BZ31">
        <f>Sheet1!FL35</f>
        <v>0</v>
      </c>
      <c r="CA31">
        <f t="shared" si="6"/>
        <v>0</v>
      </c>
      <c r="CB31">
        <f>Sheet1!FM35</f>
        <v>0</v>
      </c>
      <c r="CC31">
        <f>Sheet1!FN35</f>
        <v>0</v>
      </c>
      <c r="CD31">
        <f>Sheet1!FO35</f>
        <v>0</v>
      </c>
      <c r="CE31">
        <f>Sheet1!FP35</f>
        <v>0</v>
      </c>
      <c r="CF31">
        <f t="shared" si="7"/>
        <v>0</v>
      </c>
      <c r="CG31">
        <f t="shared" si="8"/>
        <v>0</v>
      </c>
      <c r="CH31">
        <f t="shared" si="9"/>
        <v>0</v>
      </c>
      <c r="CI31">
        <f t="shared" si="10"/>
        <v>0</v>
      </c>
      <c r="CJ31">
        <f t="shared" si="11"/>
        <v>0</v>
      </c>
      <c r="CK31">
        <f t="shared" si="12"/>
        <v>0</v>
      </c>
      <c r="CL31">
        <f t="shared" si="13"/>
        <v>0</v>
      </c>
      <c r="CM31">
        <f t="shared" si="14"/>
        <v>0</v>
      </c>
      <c r="CN31">
        <f t="shared" si="15"/>
        <v>0</v>
      </c>
      <c r="CO31">
        <f t="shared" si="16"/>
        <v>0</v>
      </c>
      <c r="CP31">
        <f t="shared" si="17"/>
        <v>0</v>
      </c>
    </row>
    <row r="32" spans="45:94">
      <c r="AS32">
        <f>Sheet1!EK36</f>
        <v>0</v>
      </c>
      <c r="AT32">
        <f>Sheet1!EL36</f>
        <v>0</v>
      </c>
      <c r="AU32">
        <f>Sheet1!EM36</f>
        <v>0</v>
      </c>
      <c r="AV32">
        <f>Sheet1!EN36</f>
        <v>0</v>
      </c>
      <c r="AW32">
        <f t="shared" si="0"/>
        <v>0</v>
      </c>
      <c r="AX32">
        <f>Sheet1!EO36</f>
        <v>0</v>
      </c>
      <c r="AY32">
        <f>Sheet1!EP36</f>
        <v>0</v>
      </c>
      <c r="AZ32">
        <f>Sheet1!EQ36</f>
        <v>0</v>
      </c>
      <c r="BA32">
        <f>Sheet1!ER36</f>
        <v>0</v>
      </c>
      <c r="BB32">
        <f t="shared" si="1"/>
        <v>0</v>
      </c>
      <c r="BC32">
        <f>Sheet1!ES36</f>
        <v>0</v>
      </c>
      <c r="BD32">
        <f>Sheet1!ET36</f>
        <v>0</v>
      </c>
      <c r="BE32">
        <f>Sheet1!EU36</f>
        <v>0</v>
      </c>
      <c r="BF32">
        <f>Sheet1!EV36</f>
        <v>0</v>
      </c>
      <c r="BG32">
        <f t="shared" si="2"/>
        <v>0</v>
      </c>
      <c r="BH32">
        <f>Sheet1!EW36</f>
        <v>0</v>
      </c>
      <c r="BI32">
        <f>Sheet1!EX36</f>
        <v>0</v>
      </c>
      <c r="BJ32">
        <f>Sheet1!EY36</f>
        <v>0</v>
      </c>
      <c r="BK32">
        <f>Sheet1!EZ36</f>
        <v>0</v>
      </c>
      <c r="BL32">
        <f t="shared" si="3"/>
        <v>0</v>
      </c>
      <c r="BM32">
        <f>Sheet1!FA36</f>
        <v>0</v>
      </c>
      <c r="BN32">
        <f>Sheet1!FB36</f>
        <v>0</v>
      </c>
      <c r="BO32">
        <f>Sheet1!FC36</f>
        <v>0</v>
      </c>
      <c r="BP32">
        <f>Sheet1!FD36</f>
        <v>0</v>
      </c>
      <c r="BQ32">
        <f t="shared" si="4"/>
        <v>0</v>
      </c>
      <c r="BR32">
        <f>Sheet1!FE36</f>
        <v>0</v>
      </c>
      <c r="BS32">
        <f>Sheet1!FF36</f>
        <v>0</v>
      </c>
      <c r="BT32">
        <f>Sheet1!FG36</f>
        <v>0</v>
      </c>
      <c r="BU32">
        <f>Sheet1!FH36</f>
        <v>0</v>
      </c>
      <c r="BV32">
        <f t="shared" si="5"/>
        <v>0</v>
      </c>
      <c r="BW32">
        <f>Sheet1!FI36</f>
        <v>0</v>
      </c>
      <c r="BX32">
        <f>Sheet1!FJ36</f>
        <v>0</v>
      </c>
      <c r="BY32">
        <f>Sheet1!FK36</f>
        <v>0</v>
      </c>
      <c r="BZ32">
        <f>Sheet1!FL36</f>
        <v>0</v>
      </c>
      <c r="CA32">
        <f t="shared" si="6"/>
        <v>0</v>
      </c>
      <c r="CB32">
        <f>Sheet1!FM36</f>
        <v>0</v>
      </c>
      <c r="CC32">
        <f>Sheet1!FN36</f>
        <v>0</v>
      </c>
      <c r="CD32">
        <f>Sheet1!FO36</f>
        <v>0</v>
      </c>
      <c r="CE32">
        <f>Sheet1!FP36</f>
        <v>0</v>
      </c>
      <c r="CF32">
        <f t="shared" si="7"/>
        <v>0</v>
      </c>
      <c r="CG32">
        <f t="shared" si="8"/>
        <v>0</v>
      </c>
      <c r="CH32">
        <f t="shared" si="9"/>
        <v>0</v>
      </c>
      <c r="CI32">
        <f t="shared" si="10"/>
        <v>0</v>
      </c>
      <c r="CJ32">
        <f t="shared" si="11"/>
        <v>0</v>
      </c>
      <c r="CK32">
        <f t="shared" si="12"/>
        <v>0</v>
      </c>
      <c r="CL32">
        <f t="shared" si="13"/>
        <v>0</v>
      </c>
      <c r="CM32">
        <f t="shared" si="14"/>
        <v>0</v>
      </c>
      <c r="CN32">
        <f t="shared" si="15"/>
        <v>0</v>
      </c>
      <c r="CO32">
        <f t="shared" si="16"/>
        <v>0</v>
      </c>
      <c r="CP32">
        <f t="shared" si="17"/>
        <v>0</v>
      </c>
    </row>
    <row r="33" spans="45:94">
      <c r="AS33">
        <f>Sheet1!EK37</f>
        <v>0</v>
      </c>
      <c r="AT33">
        <f>Sheet1!EL37</f>
        <v>0</v>
      </c>
      <c r="AU33">
        <f>Sheet1!EM37</f>
        <v>0</v>
      </c>
      <c r="AV33">
        <f>Sheet1!EN37</f>
        <v>0</v>
      </c>
      <c r="AW33">
        <f t="shared" si="0"/>
        <v>0</v>
      </c>
      <c r="AX33">
        <f>Sheet1!EO37</f>
        <v>0</v>
      </c>
      <c r="AY33">
        <f>Sheet1!EP37</f>
        <v>0</v>
      </c>
      <c r="AZ33">
        <f>Sheet1!EQ37</f>
        <v>0</v>
      </c>
      <c r="BA33">
        <f>Sheet1!ER37</f>
        <v>0</v>
      </c>
      <c r="BB33">
        <f t="shared" si="1"/>
        <v>0</v>
      </c>
      <c r="BC33">
        <f>Sheet1!ES37</f>
        <v>0</v>
      </c>
      <c r="BD33">
        <f>Sheet1!ET37</f>
        <v>0</v>
      </c>
      <c r="BE33">
        <f>Sheet1!EU37</f>
        <v>0</v>
      </c>
      <c r="BF33">
        <f>Sheet1!EV37</f>
        <v>0</v>
      </c>
      <c r="BG33">
        <f t="shared" si="2"/>
        <v>0</v>
      </c>
      <c r="BH33">
        <f>Sheet1!EW37</f>
        <v>0</v>
      </c>
      <c r="BI33">
        <f>Sheet1!EX37</f>
        <v>0</v>
      </c>
      <c r="BJ33">
        <f>Sheet1!EY37</f>
        <v>0</v>
      </c>
      <c r="BK33">
        <f>Sheet1!EZ37</f>
        <v>0</v>
      </c>
      <c r="BL33">
        <f t="shared" si="3"/>
        <v>0</v>
      </c>
      <c r="BM33">
        <f>Sheet1!FA37</f>
        <v>0</v>
      </c>
      <c r="BN33">
        <f>Sheet1!FB37</f>
        <v>0</v>
      </c>
      <c r="BO33">
        <f>Sheet1!FC37</f>
        <v>0</v>
      </c>
      <c r="BP33">
        <f>Sheet1!FD37</f>
        <v>0</v>
      </c>
      <c r="BQ33">
        <f t="shared" si="4"/>
        <v>0</v>
      </c>
      <c r="BR33">
        <f>Sheet1!FE37</f>
        <v>0</v>
      </c>
      <c r="BS33">
        <f>Sheet1!FF37</f>
        <v>0</v>
      </c>
      <c r="BT33">
        <f>Sheet1!FG37</f>
        <v>0</v>
      </c>
      <c r="BU33">
        <f>Sheet1!FH37</f>
        <v>0</v>
      </c>
      <c r="BV33">
        <f t="shared" si="5"/>
        <v>0</v>
      </c>
      <c r="BW33">
        <f>Sheet1!FI37</f>
        <v>0</v>
      </c>
      <c r="BX33">
        <f>Sheet1!FJ37</f>
        <v>0</v>
      </c>
      <c r="BY33">
        <f>Sheet1!FK37</f>
        <v>0</v>
      </c>
      <c r="BZ33">
        <f>Sheet1!FL37</f>
        <v>0</v>
      </c>
      <c r="CA33">
        <f t="shared" si="6"/>
        <v>0</v>
      </c>
      <c r="CB33">
        <f>Sheet1!FM37</f>
        <v>0</v>
      </c>
      <c r="CC33">
        <f>Sheet1!FN37</f>
        <v>0</v>
      </c>
      <c r="CD33">
        <f>Sheet1!FO37</f>
        <v>0</v>
      </c>
      <c r="CE33">
        <f>Sheet1!FP37</f>
        <v>0</v>
      </c>
      <c r="CF33">
        <f t="shared" si="7"/>
        <v>0</v>
      </c>
      <c r="CG33">
        <f t="shared" si="8"/>
        <v>0</v>
      </c>
      <c r="CH33">
        <f t="shared" si="9"/>
        <v>0</v>
      </c>
      <c r="CI33">
        <f t="shared" si="10"/>
        <v>0</v>
      </c>
      <c r="CJ33">
        <f t="shared" si="11"/>
        <v>0</v>
      </c>
      <c r="CK33">
        <f t="shared" si="12"/>
        <v>0</v>
      </c>
      <c r="CL33">
        <f t="shared" si="13"/>
        <v>0</v>
      </c>
      <c r="CM33">
        <f t="shared" si="14"/>
        <v>0</v>
      </c>
      <c r="CN33">
        <f t="shared" si="15"/>
        <v>0</v>
      </c>
      <c r="CO33">
        <f t="shared" si="16"/>
        <v>0</v>
      </c>
      <c r="CP33">
        <f t="shared" si="17"/>
        <v>0</v>
      </c>
    </row>
    <row r="34" spans="45:94">
      <c r="AS34">
        <f>Sheet1!EK38</f>
        <v>0</v>
      </c>
      <c r="AT34">
        <f>Sheet1!EL38</f>
        <v>0</v>
      </c>
      <c r="AU34">
        <f>Sheet1!EM38</f>
        <v>0</v>
      </c>
      <c r="AV34">
        <f>Sheet1!EN38</f>
        <v>0</v>
      </c>
      <c r="AW34">
        <f t="shared" si="0"/>
        <v>0</v>
      </c>
      <c r="AX34">
        <f>Sheet1!EO38</f>
        <v>0</v>
      </c>
      <c r="AY34">
        <f>Sheet1!EP38</f>
        <v>0</v>
      </c>
      <c r="AZ34">
        <f>Sheet1!EQ38</f>
        <v>0</v>
      </c>
      <c r="BA34">
        <f>Sheet1!ER38</f>
        <v>0</v>
      </c>
      <c r="BB34">
        <f t="shared" si="1"/>
        <v>0</v>
      </c>
      <c r="BC34">
        <f>Sheet1!ES38</f>
        <v>0</v>
      </c>
      <c r="BD34">
        <f>Sheet1!ET38</f>
        <v>0</v>
      </c>
      <c r="BE34">
        <f>Sheet1!EU38</f>
        <v>0</v>
      </c>
      <c r="BF34">
        <f>Sheet1!EV38</f>
        <v>0</v>
      </c>
      <c r="BG34">
        <f t="shared" si="2"/>
        <v>0</v>
      </c>
      <c r="BH34">
        <f>Sheet1!EW38</f>
        <v>0</v>
      </c>
      <c r="BI34">
        <f>Sheet1!EX38</f>
        <v>0</v>
      </c>
      <c r="BJ34">
        <f>Sheet1!EY38</f>
        <v>0</v>
      </c>
      <c r="BK34">
        <f>Sheet1!EZ38</f>
        <v>0</v>
      </c>
      <c r="BL34">
        <f t="shared" si="3"/>
        <v>0</v>
      </c>
      <c r="BM34">
        <f>Sheet1!FA38</f>
        <v>0</v>
      </c>
      <c r="BN34">
        <f>Sheet1!FB38</f>
        <v>0</v>
      </c>
      <c r="BO34">
        <f>Sheet1!FC38</f>
        <v>0</v>
      </c>
      <c r="BP34">
        <f>Sheet1!FD38</f>
        <v>0</v>
      </c>
      <c r="BQ34">
        <f t="shared" si="4"/>
        <v>0</v>
      </c>
      <c r="BR34">
        <f>Sheet1!FE38</f>
        <v>0</v>
      </c>
      <c r="BS34">
        <f>Sheet1!FF38</f>
        <v>0</v>
      </c>
      <c r="BT34">
        <f>Sheet1!FG38</f>
        <v>0</v>
      </c>
      <c r="BU34">
        <f>Sheet1!FH38</f>
        <v>0</v>
      </c>
      <c r="BV34">
        <f t="shared" si="5"/>
        <v>0</v>
      </c>
      <c r="BW34">
        <f>Sheet1!FI38</f>
        <v>0</v>
      </c>
      <c r="BX34">
        <f>Sheet1!FJ38</f>
        <v>0</v>
      </c>
      <c r="BY34">
        <f>Sheet1!FK38</f>
        <v>0</v>
      </c>
      <c r="BZ34">
        <f>Sheet1!FL38</f>
        <v>0</v>
      </c>
      <c r="CA34">
        <f t="shared" si="6"/>
        <v>0</v>
      </c>
      <c r="CB34">
        <f>Sheet1!FM38</f>
        <v>0</v>
      </c>
      <c r="CC34">
        <f>Sheet1!FN38</f>
        <v>0</v>
      </c>
      <c r="CD34">
        <f>Sheet1!FO38</f>
        <v>0</v>
      </c>
      <c r="CE34">
        <f>Sheet1!FP38</f>
        <v>0</v>
      </c>
      <c r="CF34">
        <f t="shared" si="7"/>
        <v>0</v>
      </c>
      <c r="CG34">
        <f t="shared" si="8"/>
        <v>0</v>
      </c>
      <c r="CH34">
        <f t="shared" si="9"/>
        <v>0</v>
      </c>
      <c r="CI34">
        <f t="shared" si="10"/>
        <v>0</v>
      </c>
      <c r="CJ34">
        <f t="shared" si="11"/>
        <v>0</v>
      </c>
      <c r="CK34">
        <f t="shared" si="12"/>
        <v>0</v>
      </c>
      <c r="CL34">
        <f t="shared" si="13"/>
        <v>0</v>
      </c>
      <c r="CM34">
        <f t="shared" si="14"/>
        <v>0</v>
      </c>
      <c r="CN34">
        <f t="shared" si="15"/>
        <v>0</v>
      </c>
      <c r="CO34">
        <f t="shared" si="16"/>
        <v>0</v>
      </c>
      <c r="CP34">
        <f t="shared" si="17"/>
        <v>0</v>
      </c>
    </row>
    <row r="35" spans="45:94">
      <c r="AS35">
        <f>Sheet1!EK39</f>
        <v>0</v>
      </c>
      <c r="AT35">
        <f>Sheet1!EL39</f>
        <v>0</v>
      </c>
      <c r="AU35">
        <f>Sheet1!EM39</f>
        <v>0</v>
      </c>
      <c r="AV35">
        <f>Sheet1!EN39</f>
        <v>0</v>
      </c>
      <c r="AW35">
        <f t="shared" si="0"/>
        <v>0</v>
      </c>
      <c r="AX35">
        <f>Sheet1!EO39</f>
        <v>0</v>
      </c>
      <c r="AY35">
        <f>Sheet1!EP39</f>
        <v>0</v>
      </c>
      <c r="AZ35">
        <f>Sheet1!EQ39</f>
        <v>0</v>
      </c>
      <c r="BA35">
        <f>Sheet1!ER39</f>
        <v>0</v>
      </c>
      <c r="BB35">
        <f t="shared" si="1"/>
        <v>0</v>
      </c>
      <c r="BC35">
        <f>Sheet1!ES39</f>
        <v>0</v>
      </c>
      <c r="BD35">
        <f>Sheet1!ET39</f>
        <v>0</v>
      </c>
      <c r="BE35">
        <f>Sheet1!EU39</f>
        <v>0</v>
      </c>
      <c r="BF35">
        <f>Sheet1!EV39</f>
        <v>0</v>
      </c>
      <c r="BG35">
        <f t="shared" si="2"/>
        <v>0</v>
      </c>
      <c r="BH35">
        <f>Sheet1!EW39</f>
        <v>0</v>
      </c>
      <c r="BI35">
        <f>Sheet1!EX39</f>
        <v>0</v>
      </c>
      <c r="BJ35">
        <f>Sheet1!EY39</f>
        <v>0</v>
      </c>
      <c r="BK35">
        <f>Sheet1!EZ39</f>
        <v>0</v>
      </c>
      <c r="BL35">
        <f t="shared" si="3"/>
        <v>0</v>
      </c>
      <c r="BM35">
        <f>Sheet1!FA39</f>
        <v>0</v>
      </c>
      <c r="BN35">
        <f>Sheet1!FB39</f>
        <v>0</v>
      </c>
      <c r="BO35">
        <f>Sheet1!FC39</f>
        <v>0</v>
      </c>
      <c r="BP35">
        <f>Sheet1!FD39</f>
        <v>0</v>
      </c>
      <c r="BQ35">
        <f t="shared" si="4"/>
        <v>0</v>
      </c>
      <c r="BR35">
        <f>Sheet1!FE39</f>
        <v>0</v>
      </c>
      <c r="BS35">
        <f>Sheet1!FF39</f>
        <v>0</v>
      </c>
      <c r="BT35">
        <f>Sheet1!FG39</f>
        <v>0</v>
      </c>
      <c r="BU35">
        <f>Sheet1!FH39</f>
        <v>0</v>
      </c>
      <c r="BV35">
        <f t="shared" si="5"/>
        <v>0</v>
      </c>
      <c r="BW35">
        <f>Sheet1!FI39</f>
        <v>0</v>
      </c>
      <c r="BX35">
        <f>Sheet1!FJ39</f>
        <v>0</v>
      </c>
      <c r="BY35">
        <f>Sheet1!FK39</f>
        <v>0</v>
      </c>
      <c r="BZ35">
        <f>Sheet1!FL39</f>
        <v>0</v>
      </c>
      <c r="CA35">
        <f t="shared" si="6"/>
        <v>0</v>
      </c>
      <c r="CB35">
        <f>Sheet1!FM39</f>
        <v>0</v>
      </c>
      <c r="CC35">
        <f>Sheet1!FN39</f>
        <v>0</v>
      </c>
      <c r="CD35">
        <f>Sheet1!FO39</f>
        <v>0</v>
      </c>
      <c r="CE35">
        <f>Sheet1!FP39</f>
        <v>0</v>
      </c>
      <c r="CF35">
        <f t="shared" si="7"/>
        <v>0</v>
      </c>
      <c r="CG35">
        <f t="shared" si="8"/>
        <v>0</v>
      </c>
      <c r="CH35">
        <f t="shared" si="9"/>
        <v>0</v>
      </c>
      <c r="CI35">
        <f t="shared" si="10"/>
        <v>0</v>
      </c>
      <c r="CJ35">
        <f t="shared" si="11"/>
        <v>0</v>
      </c>
      <c r="CK35">
        <f t="shared" si="12"/>
        <v>0</v>
      </c>
      <c r="CL35">
        <f t="shared" si="13"/>
        <v>0</v>
      </c>
      <c r="CM35">
        <f t="shared" si="14"/>
        <v>0</v>
      </c>
      <c r="CN35">
        <f t="shared" si="15"/>
        <v>0</v>
      </c>
      <c r="CO35">
        <f t="shared" si="16"/>
        <v>0</v>
      </c>
      <c r="CP35">
        <f t="shared" si="17"/>
        <v>0</v>
      </c>
    </row>
    <row r="36" spans="45:94">
      <c r="AS36">
        <f>Sheet1!EK40</f>
        <v>0</v>
      </c>
      <c r="AT36">
        <f>Sheet1!EL40</f>
        <v>0</v>
      </c>
      <c r="AU36">
        <f>Sheet1!EM40</f>
        <v>0</v>
      </c>
      <c r="AV36">
        <f>Sheet1!EN40</f>
        <v>0</v>
      </c>
      <c r="AW36">
        <f t="shared" si="0"/>
        <v>0</v>
      </c>
      <c r="AX36">
        <f>Sheet1!EO40</f>
        <v>0</v>
      </c>
      <c r="AY36">
        <f>Sheet1!EP40</f>
        <v>0</v>
      </c>
      <c r="AZ36">
        <f>Sheet1!EQ40</f>
        <v>0</v>
      </c>
      <c r="BA36">
        <f>Sheet1!ER40</f>
        <v>0</v>
      </c>
      <c r="BB36">
        <f t="shared" si="1"/>
        <v>0</v>
      </c>
      <c r="BC36">
        <f>Sheet1!ES40</f>
        <v>0</v>
      </c>
      <c r="BD36">
        <f>Sheet1!ET40</f>
        <v>0</v>
      </c>
      <c r="BE36">
        <f>Sheet1!EU40</f>
        <v>0</v>
      </c>
      <c r="BF36">
        <f>Sheet1!EV40</f>
        <v>0</v>
      </c>
      <c r="BG36">
        <f t="shared" si="2"/>
        <v>0</v>
      </c>
      <c r="BH36">
        <f>Sheet1!EW40</f>
        <v>0</v>
      </c>
      <c r="BI36">
        <f>Sheet1!EX40</f>
        <v>0</v>
      </c>
      <c r="BJ36">
        <f>Sheet1!EY40</f>
        <v>0</v>
      </c>
      <c r="BK36">
        <f>Sheet1!EZ40</f>
        <v>0</v>
      </c>
      <c r="BL36">
        <f t="shared" si="3"/>
        <v>0</v>
      </c>
      <c r="BM36">
        <f>Sheet1!FA40</f>
        <v>0</v>
      </c>
      <c r="BN36">
        <f>Sheet1!FB40</f>
        <v>0</v>
      </c>
      <c r="BO36">
        <f>Sheet1!FC40</f>
        <v>0</v>
      </c>
      <c r="BP36">
        <f>Sheet1!FD40</f>
        <v>0</v>
      </c>
      <c r="BQ36">
        <f t="shared" si="4"/>
        <v>0</v>
      </c>
      <c r="BR36">
        <f>Sheet1!FE40</f>
        <v>0</v>
      </c>
      <c r="BS36">
        <f>Sheet1!FF40</f>
        <v>0</v>
      </c>
      <c r="BT36">
        <f>Sheet1!FG40</f>
        <v>0</v>
      </c>
      <c r="BU36">
        <f>Sheet1!FH40</f>
        <v>0</v>
      </c>
      <c r="BV36">
        <f t="shared" si="5"/>
        <v>0</v>
      </c>
      <c r="BW36">
        <f>Sheet1!FI40</f>
        <v>0</v>
      </c>
      <c r="BX36">
        <f>Sheet1!FJ40</f>
        <v>0</v>
      </c>
      <c r="BY36">
        <f>Sheet1!FK40</f>
        <v>0</v>
      </c>
      <c r="BZ36">
        <f>Sheet1!FL40</f>
        <v>0</v>
      </c>
      <c r="CA36">
        <f t="shared" si="6"/>
        <v>0</v>
      </c>
      <c r="CB36">
        <f>Sheet1!FM40</f>
        <v>0</v>
      </c>
      <c r="CC36">
        <f>Sheet1!FN40</f>
        <v>0</v>
      </c>
      <c r="CD36">
        <f>Sheet1!FO40</f>
        <v>0</v>
      </c>
      <c r="CE36">
        <f>Sheet1!FP40</f>
        <v>0</v>
      </c>
      <c r="CF36">
        <f t="shared" si="7"/>
        <v>0</v>
      </c>
      <c r="CG36">
        <f t="shared" si="8"/>
        <v>0</v>
      </c>
      <c r="CH36">
        <f t="shared" si="9"/>
        <v>0</v>
      </c>
      <c r="CI36">
        <f t="shared" si="10"/>
        <v>0</v>
      </c>
      <c r="CJ36">
        <f t="shared" si="11"/>
        <v>0</v>
      </c>
      <c r="CK36">
        <f t="shared" si="12"/>
        <v>0</v>
      </c>
      <c r="CL36">
        <f t="shared" si="13"/>
        <v>0</v>
      </c>
      <c r="CM36">
        <f t="shared" si="14"/>
        <v>0</v>
      </c>
      <c r="CN36">
        <f t="shared" si="15"/>
        <v>0</v>
      </c>
      <c r="CO36">
        <f t="shared" si="16"/>
        <v>0</v>
      </c>
      <c r="CP36">
        <f t="shared" si="17"/>
        <v>0</v>
      </c>
    </row>
    <row r="37" spans="45:94">
      <c r="AS37">
        <f>Sheet1!EK41</f>
        <v>0</v>
      </c>
      <c r="AT37">
        <f>Sheet1!EL41</f>
        <v>0</v>
      </c>
      <c r="AU37">
        <f>Sheet1!EM41</f>
        <v>0</v>
      </c>
      <c r="AV37">
        <f>Sheet1!EN41</f>
        <v>0</v>
      </c>
      <c r="AW37">
        <f t="shared" si="0"/>
        <v>0</v>
      </c>
      <c r="AX37">
        <f>Sheet1!EO41</f>
        <v>0</v>
      </c>
      <c r="AY37">
        <f>Sheet1!EP41</f>
        <v>0</v>
      </c>
      <c r="AZ37">
        <f>Sheet1!EQ41</f>
        <v>0</v>
      </c>
      <c r="BA37">
        <f>Sheet1!ER41</f>
        <v>0</v>
      </c>
      <c r="BB37">
        <f t="shared" si="1"/>
        <v>0</v>
      </c>
      <c r="BC37">
        <f>Sheet1!ES41</f>
        <v>0</v>
      </c>
      <c r="BD37">
        <f>Sheet1!ET41</f>
        <v>0</v>
      </c>
      <c r="BE37">
        <f>Sheet1!EU41</f>
        <v>0</v>
      </c>
      <c r="BF37">
        <f>Sheet1!EV41</f>
        <v>0</v>
      </c>
      <c r="BG37">
        <f t="shared" si="2"/>
        <v>0</v>
      </c>
      <c r="BH37">
        <f>Sheet1!EW41</f>
        <v>0</v>
      </c>
      <c r="BI37">
        <f>Sheet1!EX41</f>
        <v>0</v>
      </c>
      <c r="BJ37">
        <f>Sheet1!EY41</f>
        <v>0</v>
      </c>
      <c r="BK37">
        <f>Sheet1!EZ41</f>
        <v>0</v>
      </c>
      <c r="BL37">
        <f t="shared" si="3"/>
        <v>0</v>
      </c>
      <c r="BM37">
        <f>Sheet1!FA41</f>
        <v>0</v>
      </c>
      <c r="BN37">
        <f>Sheet1!FB41</f>
        <v>0</v>
      </c>
      <c r="BO37">
        <f>Sheet1!FC41</f>
        <v>0</v>
      </c>
      <c r="BP37">
        <f>Sheet1!FD41</f>
        <v>0</v>
      </c>
      <c r="BQ37">
        <f t="shared" si="4"/>
        <v>0</v>
      </c>
      <c r="BR37">
        <f>Sheet1!FE41</f>
        <v>0</v>
      </c>
      <c r="BS37">
        <f>Sheet1!FF41</f>
        <v>0</v>
      </c>
      <c r="BT37">
        <f>Sheet1!FG41</f>
        <v>0</v>
      </c>
      <c r="BU37">
        <f>Sheet1!FH41</f>
        <v>0</v>
      </c>
      <c r="BV37">
        <f t="shared" si="5"/>
        <v>0</v>
      </c>
      <c r="BW37">
        <f>Sheet1!FI41</f>
        <v>0</v>
      </c>
      <c r="BX37">
        <f>Sheet1!FJ41</f>
        <v>0</v>
      </c>
      <c r="BY37">
        <f>Sheet1!FK41</f>
        <v>0</v>
      </c>
      <c r="BZ37">
        <f>Sheet1!FL41</f>
        <v>0</v>
      </c>
      <c r="CA37">
        <f t="shared" si="6"/>
        <v>0</v>
      </c>
      <c r="CB37">
        <f>Sheet1!FM41</f>
        <v>0</v>
      </c>
      <c r="CC37">
        <f>Sheet1!FN41</f>
        <v>0</v>
      </c>
      <c r="CD37">
        <f>Sheet1!FO41</f>
        <v>0</v>
      </c>
      <c r="CE37">
        <f>Sheet1!FP41</f>
        <v>0</v>
      </c>
      <c r="CF37">
        <f t="shared" si="7"/>
        <v>0</v>
      </c>
      <c r="CG37">
        <f t="shared" si="8"/>
        <v>0</v>
      </c>
      <c r="CH37">
        <f t="shared" si="9"/>
        <v>0</v>
      </c>
      <c r="CI37">
        <f t="shared" si="10"/>
        <v>0</v>
      </c>
      <c r="CJ37">
        <f t="shared" si="11"/>
        <v>0</v>
      </c>
      <c r="CK37">
        <f t="shared" si="12"/>
        <v>0</v>
      </c>
      <c r="CL37">
        <f t="shared" si="13"/>
        <v>0</v>
      </c>
      <c r="CM37">
        <f t="shared" si="14"/>
        <v>0</v>
      </c>
      <c r="CN37">
        <f t="shared" si="15"/>
        <v>0</v>
      </c>
      <c r="CO37">
        <f t="shared" si="16"/>
        <v>0</v>
      </c>
      <c r="CP37">
        <f t="shared" si="17"/>
        <v>0</v>
      </c>
    </row>
    <row r="38" spans="45:94">
      <c r="AS38">
        <f>Sheet1!EK42</f>
        <v>0</v>
      </c>
      <c r="AT38">
        <f>Sheet1!EL42</f>
        <v>0</v>
      </c>
      <c r="AU38">
        <f>Sheet1!EM42</f>
        <v>0</v>
      </c>
      <c r="AV38">
        <f>Sheet1!EN42</f>
        <v>0</v>
      </c>
      <c r="AW38">
        <f t="shared" si="0"/>
        <v>0</v>
      </c>
      <c r="AX38">
        <f>Sheet1!EO42</f>
        <v>0</v>
      </c>
      <c r="AY38">
        <f>Sheet1!EP42</f>
        <v>0</v>
      </c>
      <c r="AZ38">
        <f>Sheet1!EQ42</f>
        <v>0</v>
      </c>
      <c r="BA38">
        <f>Sheet1!ER42</f>
        <v>0</v>
      </c>
      <c r="BB38">
        <f t="shared" si="1"/>
        <v>0</v>
      </c>
      <c r="BC38">
        <f>Sheet1!ES42</f>
        <v>0</v>
      </c>
      <c r="BD38">
        <f>Sheet1!ET42</f>
        <v>0</v>
      </c>
      <c r="BE38">
        <f>Sheet1!EU42</f>
        <v>0</v>
      </c>
      <c r="BF38">
        <f>Sheet1!EV42</f>
        <v>0</v>
      </c>
      <c r="BG38">
        <f t="shared" si="2"/>
        <v>0</v>
      </c>
      <c r="BH38">
        <f>Sheet1!EW42</f>
        <v>0</v>
      </c>
      <c r="BI38">
        <f>Sheet1!EX42</f>
        <v>0</v>
      </c>
      <c r="BJ38">
        <f>Sheet1!EY42</f>
        <v>0</v>
      </c>
      <c r="BK38">
        <f>Sheet1!EZ42</f>
        <v>0</v>
      </c>
      <c r="BL38">
        <f t="shared" si="3"/>
        <v>0</v>
      </c>
      <c r="BM38">
        <f>Sheet1!FA42</f>
        <v>0</v>
      </c>
      <c r="BN38">
        <f>Sheet1!FB42</f>
        <v>0</v>
      </c>
      <c r="BO38">
        <f>Sheet1!FC42</f>
        <v>0</v>
      </c>
      <c r="BP38">
        <f>Sheet1!FD42</f>
        <v>0</v>
      </c>
      <c r="BQ38">
        <f t="shared" si="4"/>
        <v>0</v>
      </c>
      <c r="BR38">
        <f>Sheet1!FE42</f>
        <v>0</v>
      </c>
      <c r="BS38">
        <f>Sheet1!FF42</f>
        <v>0</v>
      </c>
      <c r="BT38">
        <f>Sheet1!FG42</f>
        <v>0</v>
      </c>
      <c r="BU38">
        <f>Sheet1!FH42</f>
        <v>0</v>
      </c>
      <c r="BV38">
        <f t="shared" si="5"/>
        <v>0</v>
      </c>
      <c r="BW38">
        <f>Sheet1!FI42</f>
        <v>0</v>
      </c>
      <c r="BX38">
        <f>Sheet1!FJ42</f>
        <v>0</v>
      </c>
      <c r="BY38">
        <f>Sheet1!FK42</f>
        <v>0</v>
      </c>
      <c r="BZ38">
        <f>Sheet1!FL42</f>
        <v>0</v>
      </c>
      <c r="CA38">
        <f t="shared" si="6"/>
        <v>0</v>
      </c>
      <c r="CB38">
        <f>Sheet1!FM42</f>
        <v>0</v>
      </c>
      <c r="CC38">
        <f>Sheet1!FN42</f>
        <v>0</v>
      </c>
      <c r="CD38">
        <f>Sheet1!FO42</f>
        <v>0</v>
      </c>
      <c r="CE38">
        <f>Sheet1!FP42</f>
        <v>0</v>
      </c>
      <c r="CF38">
        <f t="shared" si="7"/>
        <v>0</v>
      </c>
      <c r="CG38">
        <f t="shared" si="8"/>
        <v>0</v>
      </c>
      <c r="CH38">
        <f t="shared" si="9"/>
        <v>0</v>
      </c>
      <c r="CI38">
        <f t="shared" si="10"/>
        <v>0</v>
      </c>
      <c r="CJ38">
        <f t="shared" si="11"/>
        <v>0</v>
      </c>
      <c r="CK38">
        <f t="shared" si="12"/>
        <v>0</v>
      </c>
      <c r="CL38">
        <f t="shared" si="13"/>
        <v>0</v>
      </c>
      <c r="CM38">
        <f t="shared" si="14"/>
        <v>0</v>
      </c>
      <c r="CN38">
        <f t="shared" si="15"/>
        <v>0</v>
      </c>
      <c r="CO38">
        <f t="shared" si="16"/>
        <v>0</v>
      </c>
      <c r="CP38">
        <f t="shared" si="17"/>
        <v>0</v>
      </c>
    </row>
    <row r="39" spans="45:94">
      <c r="AS39">
        <f>Sheet1!EK43</f>
        <v>0</v>
      </c>
      <c r="AT39">
        <f>Sheet1!EL43</f>
        <v>0</v>
      </c>
      <c r="AU39">
        <f>Sheet1!EM43</f>
        <v>0</v>
      </c>
      <c r="AV39">
        <f>Sheet1!EN43</f>
        <v>0</v>
      </c>
      <c r="AW39">
        <f t="shared" si="0"/>
        <v>0</v>
      </c>
      <c r="AX39">
        <f>Sheet1!EO43</f>
        <v>0</v>
      </c>
      <c r="AY39">
        <f>Sheet1!EP43</f>
        <v>0</v>
      </c>
      <c r="AZ39">
        <f>Sheet1!EQ43</f>
        <v>0</v>
      </c>
      <c r="BA39">
        <f>Sheet1!ER43</f>
        <v>0</v>
      </c>
      <c r="BB39">
        <f t="shared" si="1"/>
        <v>0</v>
      </c>
      <c r="BC39">
        <f>Sheet1!ES43</f>
        <v>0</v>
      </c>
      <c r="BD39">
        <f>Sheet1!ET43</f>
        <v>0</v>
      </c>
      <c r="BE39">
        <f>Sheet1!EU43</f>
        <v>0</v>
      </c>
      <c r="BF39">
        <f>Sheet1!EV43</f>
        <v>0</v>
      </c>
      <c r="BG39">
        <f t="shared" si="2"/>
        <v>0</v>
      </c>
      <c r="BH39">
        <f>Sheet1!EW43</f>
        <v>0</v>
      </c>
      <c r="BI39">
        <f>Sheet1!EX43</f>
        <v>0</v>
      </c>
      <c r="BJ39">
        <f>Sheet1!EY43</f>
        <v>0</v>
      </c>
      <c r="BK39">
        <f>Sheet1!EZ43</f>
        <v>0</v>
      </c>
      <c r="BL39">
        <f t="shared" si="3"/>
        <v>0</v>
      </c>
      <c r="BM39">
        <f>Sheet1!FA43</f>
        <v>0</v>
      </c>
      <c r="BN39">
        <f>Sheet1!FB43</f>
        <v>0</v>
      </c>
      <c r="BO39">
        <f>Sheet1!FC43</f>
        <v>0</v>
      </c>
      <c r="BP39">
        <f>Sheet1!FD43</f>
        <v>0</v>
      </c>
      <c r="BQ39">
        <f t="shared" si="4"/>
        <v>0</v>
      </c>
      <c r="BR39">
        <f>Sheet1!FE43</f>
        <v>0</v>
      </c>
      <c r="BS39">
        <f>Sheet1!FF43</f>
        <v>0</v>
      </c>
      <c r="BT39">
        <f>Sheet1!FG43</f>
        <v>0</v>
      </c>
      <c r="BU39">
        <f>Sheet1!FH43</f>
        <v>0</v>
      </c>
      <c r="BV39">
        <f t="shared" si="5"/>
        <v>0</v>
      </c>
      <c r="BW39">
        <f>Sheet1!FI43</f>
        <v>0</v>
      </c>
      <c r="BX39">
        <f>Sheet1!FJ43</f>
        <v>0</v>
      </c>
      <c r="BY39">
        <f>Sheet1!FK43</f>
        <v>0</v>
      </c>
      <c r="BZ39">
        <f>Sheet1!FL43</f>
        <v>0</v>
      </c>
      <c r="CA39">
        <f t="shared" si="6"/>
        <v>0</v>
      </c>
      <c r="CB39">
        <f>Sheet1!FM43</f>
        <v>0</v>
      </c>
      <c r="CC39">
        <f>Sheet1!FN43</f>
        <v>0</v>
      </c>
      <c r="CD39">
        <f>Sheet1!FO43</f>
        <v>0</v>
      </c>
      <c r="CE39">
        <f>Sheet1!FP43</f>
        <v>0</v>
      </c>
      <c r="CF39">
        <f t="shared" si="7"/>
        <v>0</v>
      </c>
      <c r="CG39">
        <f t="shared" si="8"/>
        <v>0</v>
      </c>
      <c r="CH39">
        <f t="shared" si="9"/>
        <v>0</v>
      </c>
      <c r="CI39">
        <f t="shared" si="10"/>
        <v>0</v>
      </c>
      <c r="CJ39">
        <f t="shared" si="11"/>
        <v>0</v>
      </c>
      <c r="CK39">
        <f t="shared" si="12"/>
        <v>0</v>
      </c>
      <c r="CL39">
        <f t="shared" si="13"/>
        <v>0</v>
      </c>
      <c r="CM39">
        <f t="shared" si="14"/>
        <v>0</v>
      </c>
      <c r="CN39">
        <f t="shared" si="15"/>
        <v>0</v>
      </c>
      <c r="CO39">
        <f t="shared" si="16"/>
        <v>0</v>
      </c>
      <c r="CP39">
        <f t="shared" si="17"/>
        <v>0</v>
      </c>
    </row>
    <row r="40" spans="45:94">
      <c r="AS40">
        <f>Sheet1!EK44</f>
        <v>0</v>
      </c>
      <c r="AT40">
        <f>Sheet1!EL44</f>
        <v>0</v>
      </c>
      <c r="AU40">
        <f>Sheet1!EM44</f>
        <v>0</v>
      </c>
      <c r="AV40">
        <f>Sheet1!EN44</f>
        <v>0</v>
      </c>
      <c r="AW40">
        <f t="shared" si="0"/>
        <v>0</v>
      </c>
      <c r="AX40">
        <f>Sheet1!EO44</f>
        <v>0</v>
      </c>
      <c r="AY40">
        <f>Sheet1!EP44</f>
        <v>0</v>
      </c>
      <c r="AZ40">
        <f>Sheet1!EQ44</f>
        <v>0</v>
      </c>
      <c r="BA40">
        <f>Sheet1!ER44</f>
        <v>0</v>
      </c>
      <c r="BB40">
        <f t="shared" si="1"/>
        <v>0</v>
      </c>
      <c r="BC40">
        <f>Sheet1!ES44</f>
        <v>0</v>
      </c>
      <c r="BD40">
        <f>Sheet1!ET44</f>
        <v>0</v>
      </c>
      <c r="BE40">
        <f>Sheet1!EU44</f>
        <v>0</v>
      </c>
      <c r="BF40">
        <f>Sheet1!EV44</f>
        <v>0</v>
      </c>
      <c r="BG40">
        <f t="shared" si="2"/>
        <v>0</v>
      </c>
      <c r="BH40">
        <f>Sheet1!EW44</f>
        <v>0</v>
      </c>
      <c r="BI40">
        <f>Sheet1!EX44</f>
        <v>0</v>
      </c>
      <c r="BJ40">
        <f>Sheet1!EY44</f>
        <v>0</v>
      </c>
      <c r="BK40">
        <f>Sheet1!EZ44</f>
        <v>0</v>
      </c>
      <c r="BL40">
        <f t="shared" si="3"/>
        <v>0</v>
      </c>
      <c r="BM40">
        <f>Sheet1!FA44</f>
        <v>0</v>
      </c>
      <c r="BN40">
        <f>Sheet1!FB44</f>
        <v>0</v>
      </c>
      <c r="BO40">
        <f>Sheet1!FC44</f>
        <v>0</v>
      </c>
      <c r="BP40">
        <f>Sheet1!FD44</f>
        <v>0</v>
      </c>
      <c r="BQ40">
        <f t="shared" si="4"/>
        <v>0</v>
      </c>
      <c r="BR40">
        <f>Sheet1!FE44</f>
        <v>0</v>
      </c>
      <c r="BS40">
        <f>Sheet1!FF44</f>
        <v>0</v>
      </c>
      <c r="BT40">
        <f>Sheet1!FG44</f>
        <v>0</v>
      </c>
      <c r="BU40">
        <f>Sheet1!FH44</f>
        <v>0</v>
      </c>
      <c r="BV40">
        <f t="shared" si="5"/>
        <v>0</v>
      </c>
      <c r="BW40">
        <f>Sheet1!FI44</f>
        <v>0</v>
      </c>
      <c r="BX40">
        <f>Sheet1!FJ44</f>
        <v>0</v>
      </c>
      <c r="BY40">
        <f>Sheet1!FK44</f>
        <v>0</v>
      </c>
      <c r="BZ40">
        <f>Sheet1!FL44</f>
        <v>0</v>
      </c>
      <c r="CA40">
        <f t="shared" si="6"/>
        <v>0</v>
      </c>
      <c r="CB40">
        <f>Sheet1!FM44</f>
        <v>0</v>
      </c>
      <c r="CC40">
        <f>Sheet1!FN44</f>
        <v>0</v>
      </c>
      <c r="CD40">
        <f>Sheet1!FO44</f>
        <v>0</v>
      </c>
      <c r="CE40">
        <f>Sheet1!FP44</f>
        <v>0</v>
      </c>
      <c r="CF40">
        <f t="shared" si="7"/>
        <v>0</v>
      </c>
      <c r="CG40">
        <f t="shared" si="8"/>
        <v>0</v>
      </c>
      <c r="CH40">
        <f t="shared" si="9"/>
        <v>0</v>
      </c>
      <c r="CI40">
        <f t="shared" si="10"/>
        <v>0</v>
      </c>
      <c r="CJ40">
        <f t="shared" si="11"/>
        <v>0</v>
      </c>
      <c r="CK40">
        <f t="shared" si="12"/>
        <v>0</v>
      </c>
      <c r="CL40">
        <f t="shared" si="13"/>
        <v>0</v>
      </c>
      <c r="CM40">
        <f t="shared" si="14"/>
        <v>0</v>
      </c>
      <c r="CN40">
        <f t="shared" si="15"/>
        <v>0</v>
      </c>
      <c r="CO40">
        <f t="shared" si="16"/>
        <v>0</v>
      </c>
      <c r="CP40">
        <f t="shared" si="17"/>
        <v>0</v>
      </c>
    </row>
    <row r="41" spans="45:94">
      <c r="AS41">
        <f>Sheet1!EK45</f>
        <v>0</v>
      </c>
      <c r="AT41">
        <f>Sheet1!EL45</f>
        <v>0</v>
      </c>
      <c r="AU41">
        <f>Sheet1!EM45</f>
        <v>0</v>
      </c>
      <c r="AV41">
        <f>Sheet1!EN45</f>
        <v>0</v>
      </c>
      <c r="AW41">
        <f t="shared" si="0"/>
        <v>0</v>
      </c>
      <c r="AX41">
        <f>Sheet1!EO45</f>
        <v>0</v>
      </c>
      <c r="AY41">
        <f>Sheet1!EP45</f>
        <v>0</v>
      </c>
      <c r="AZ41">
        <f>Sheet1!EQ45</f>
        <v>0</v>
      </c>
      <c r="BA41">
        <f>Sheet1!ER45</f>
        <v>0</v>
      </c>
      <c r="BB41">
        <f t="shared" si="1"/>
        <v>0</v>
      </c>
      <c r="BC41">
        <f>Sheet1!ES45</f>
        <v>0</v>
      </c>
      <c r="BD41">
        <f>Sheet1!ET45</f>
        <v>0</v>
      </c>
      <c r="BE41">
        <f>Sheet1!EU45</f>
        <v>0</v>
      </c>
      <c r="BF41">
        <f>Sheet1!EV45</f>
        <v>0</v>
      </c>
      <c r="BG41">
        <f t="shared" si="2"/>
        <v>0</v>
      </c>
      <c r="BH41">
        <f>Sheet1!EW45</f>
        <v>0</v>
      </c>
      <c r="BI41">
        <f>Sheet1!EX45</f>
        <v>0</v>
      </c>
      <c r="BJ41">
        <f>Sheet1!EY45</f>
        <v>0</v>
      </c>
      <c r="BK41">
        <f>Sheet1!EZ45</f>
        <v>0</v>
      </c>
      <c r="BL41">
        <f t="shared" si="3"/>
        <v>0</v>
      </c>
      <c r="BM41">
        <f>Sheet1!FA45</f>
        <v>0</v>
      </c>
      <c r="BN41">
        <f>Sheet1!FB45</f>
        <v>0</v>
      </c>
      <c r="BO41">
        <f>Sheet1!FC45</f>
        <v>0</v>
      </c>
      <c r="BP41">
        <f>Sheet1!FD45</f>
        <v>0</v>
      </c>
      <c r="BQ41">
        <f t="shared" si="4"/>
        <v>0</v>
      </c>
      <c r="BR41">
        <f>Sheet1!FE45</f>
        <v>0</v>
      </c>
      <c r="BS41">
        <f>Sheet1!FF45</f>
        <v>0</v>
      </c>
      <c r="BT41">
        <f>Sheet1!FG45</f>
        <v>0</v>
      </c>
      <c r="BU41">
        <f>Sheet1!FH45</f>
        <v>0</v>
      </c>
      <c r="BV41">
        <f t="shared" si="5"/>
        <v>0</v>
      </c>
      <c r="BW41">
        <f>Sheet1!FI45</f>
        <v>0</v>
      </c>
      <c r="BX41">
        <f>Sheet1!FJ45</f>
        <v>0</v>
      </c>
      <c r="BY41">
        <f>Sheet1!FK45</f>
        <v>0</v>
      </c>
      <c r="BZ41">
        <f>Sheet1!FL45</f>
        <v>0</v>
      </c>
      <c r="CA41">
        <f t="shared" si="6"/>
        <v>0</v>
      </c>
      <c r="CB41">
        <f>Sheet1!FM45</f>
        <v>0</v>
      </c>
      <c r="CC41">
        <f>Sheet1!FN45</f>
        <v>0</v>
      </c>
      <c r="CD41">
        <f>Sheet1!FO45</f>
        <v>0</v>
      </c>
      <c r="CE41">
        <f>Sheet1!FP45</f>
        <v>0</v>
      </c>
      <c r="CF41">
        <f t="shared" si="7"/>
        <v>0</v>
      </c>
      <c r="CG41">
        <f t="shared" si="8"/>
        <v>0</v>
      </c>
      <c r="CH41">
        <f t="shared" si="9"/>
        <v>0</v>
      </c>
      <c r="CI41">
        <f t="shared" si="10"/>
        <v>0</v>
      </c>
      <c r="CJ41">
        <f t="shared" si="11"/>
        <v>0</v>
      </c>
      <c r="CK41">
        <f t="shared" si="12"/>
        <v>0</v>
      </c>
      <c r="CL41">
        <f t="shared" si="13"/>
        <v>0</v>
      </c>
      <c r="CM41">
        <f t="shared" si="14"/>
        <v>0</v>
      </c>
      <c r="CN41">
        <f t="shared" si="15"/>
        <v>0</v>
      </c>
      <c r="CO41">
        <f t="shared" si="16"/>
        <v>0</v>
      </c>
      <c r="CP41">
        <f t="shared" si="17"/>
        <v>0</v>
      </c>
    </row>
    <row r="42" spans="45:94">
      <c r="AS42">
        <f>Sheet1!EK46</f>
        <v>0</v>
      </c>
      <c r="AT42">
        <f>Sheet1!EL46</f>
        <v>0</v>
      </c>
      <c r="AU42">
        <f>Sheet1!EM46</f>
        <v>0</v>
      </c>
      <c r="AV42">
        <f>Sheet1!EN46</f>
        <v>0</v>
      </c>
      <c r="AW42">
        <f t="shared" si="0"/>
        <v>0</v>
      </c>
      <c r="AX42">
        <f>Sheet1!EO46</f>
        <v>0</v>
      </c>
      <c r="AY42">
        <f>Sheet1!EP46</f>
        <v>0</v>
      </c>
      <c r="AZ42">
        <f>Sheet1!EQ46</f>
        <v>0</v>
      </c>
      <c r="BA42">
        <f>Sheet1!ER46</f>
        <v>0</v>
      </c>
      <c r="BB42">
        <f t="shared" si="1"/>
        <v>0</v>
      </c>
      <c r="BC42">
        <f>Sheet1!ES46</f>
        <v>0</v>
      </c>
      <c r="BD42">
        <f>Sheet1!ET46</f>
        <v>0</v>
      </c>
      <c r="BE42">
        <f>Sheet1!EU46</f>
        <v>0</v>
      </c>
      <c r="BF42">
        <f>Sheet1!EV46</f>
        <v>0</v>
      </c>
      <c r="BG42">
        <f t="shared" si="2"/>
        <v>0</v>
      </c>
      <c r="BH42">
        <f>Sheet1!EW46</f>
        <v>0</v>
      </c>
      <c r="BI42">
        <f>Sheet1!EX46</f>
        <v>0</v>
      </c>
      <c r="BJ42">
        <f>Sheet1!EY46</f>
        <v>0</v>
      </c>
      <c r="BK42">
        <f>Sheet1!EZ46</f>
        <v>0</v>
      </c>
      <c r="BL42">
        <f t="shared" si="3"/>
        <v>0</v>
      </c>
      <c r="BM42">
        <f>Sheet1!FA46</f>
        <v>0</v>
      </c>
      <c r="BN42">
        <f>Sheet1!FB46</f>
        <v>0</v>
      </c>
      <c r="BO42">
        <f>Sheet1!FC46</f>
        <v>0</v>
      </c>
      <c r="BP42">
        <f>Sheet1!FD46</f>
        <v>0</v>
      </c>
      <c r="BQ42">
        <f t="shared" si="4"/>
        <v>0</v>
      </c>
      <c r="BR42">
        <f>Sheet1!FE46</f>
        <v>0</v>
      </c>
      <c r="BS42">
        <f>Sheet1!FF46</f>
        <v>0</v>
      </c>
      <c r="BT42">
        <f>Sheet1!FG46</f>
        <v>0</v>
      </c>
      <c r="BU42">
        <f>Sheet1!FH46</f>
        <v>0</v>
      </c>
      <c r="BV42">
        <f t="shared" si="5"/>
        <v>0</v>
      </c>
      <c r="BW42">
        <f>Sheet1!FI46</f>
        <v>0</v>
      </c>
      <c r="BX42">
        <f>Sheet1!FJ46</f>
        <v>0</v>
      </c>
      <c r="BY42">
        <f>Sheet1!FK46</f>
        <v>0</v>
      </c>
      <c r="BZ42">
        <f>Sheet1!FL46</f>
        <v>0</v>
      </c>
      <c r="CA42">
        <f t="shared" si="6"/>
        <v>0</v>
      </c>
      <c r="CB42">
        <f>Sheet1!FM46</f>
        <v>0</v>
      </c>
      <c r="CC42">
        <f>Sheet1!FN46</f>
        <v>0</v>
      </c>
      <c r="CD42">
        <f>Sheet1!FO46</f>
        <v>0</v>
      </c>
      <c r="CE42">
        <f>Sheet1!FP46</f>
        <v>0</v>
      </c>
      <c r="CF42">
        <f t="shared" si="7"/>
        <v>0</v>
      </c>
      <c r="CG42">
        <f t="shared" si="8"/>
        <v>0</v>
      </c>
      <c r="CH42">
        <f t="shared" si="9"/>
        <v>0</v>
      </c>
      <c r="CI42">
        <f t="shared" si="10"/>
        <v>0</v>
      </c>
      <c r="CJ42">
        <f t="shared" si="11"/>
        <v>0</v>
      </c>
      <c r="CK42">
        <f t="shared" si="12"/>
        <v>0</v>
      </c>
      <c r="CL42">
        <f t="shared" si="13"/>
        <v>0</v>
      </c>
      <c r="CM42">
        <f t="shared" si="14"/>
        <v>0</v>
      </c>
      <c r="CN42">
        <f t="shared" si="15"/>
        <v>0</v>
      </c>
      <c r="CO42">
        <f t="shared" si="16"/>
        <v>0</v>
      </c>
      <c r="CP42">
        <f t="shared" si="17"/>
        <v>0</v>
      </c>
    </row>
    <row r="43" spans="45:94">
      <c r="AS43">
        <f>Sheet1!EK47</f>
        <v>0</v>
      </c>
      <c r="AT43">
        <f>Sheet1!EL47</f>
        <v>0</v>
      </c>
      <c r="AU43">
        <f>Sheet1!EM47</f>
        <v>0</v>
      </c>
      <c r="AV43">
        <f>Sheet1!EN47</f>
        <v>0</v>
      </c>
      <c r="AW43">
        <f t="shared" si="0"/>
        <v>0</v>
      </c>
      <c r="AX43">
        <f>Sheet1!EO47</f>
        <v>0</v>
      </c>
      <c r="AY43">
        <f>Sheet1!EP47</f>
        <v>0</v>
      </c>
      <c r="AZ43">
        <f>Sheet1!EQ47</f>
        <v>0</v>
      </c>
      <c r="BA43">
        <f>Sheet1!ER47</f>
        <v>0</v>
      </c>
      <c r="BB43">
        <f t="shared" si="1"/>
        <v>0</v>
      </c>
      <c r="BC43">
        <f>Sheet1!ES47</f>
        <v>0</v>
      </c>
      <c r="BD43">
        <f>Sheet1!ET47</f>
        <v>0</v>
      </c>
      <c r="BE43">
        <f>Sheet1!EU47</f>
        <v>0</v>
      </c>
      <c r="BF43">
        <f>Sheet1!EV47</f>
        <v>0</v>
      </c>
      <c r="BG43">
        <f t="shared" si="2"/>
        <v>0</v>
      </c>
      <c r="BH43">
        <f>Sheet1!EW47</f>
        <v>0</v>
      </c>
      <c r="BI43">
        <f>Sheet1!EX47</f>
        <v>0</v>
      </c>
      <c r="BJ43">
        <f>Sheet1!EY47</f>
        <v>0</v>
      </c>
      <c r="BK43">
        <f>Sheet1!EZ47</f>
        <v>0</v>
      </c>
      <c r="BL43">
        <f t="shared" si="3"/>
        <v>0</v>
      </c>
      <c r="BM43">
        <f>Sheet1!FA47</f>
        <v>0</v>
      </c>
      <c r="BN43">
        <f>Sheet1!FB47</f>
        <v>0</v>
      </c>
      <c r="BO43">
        <f>Sheet1!FC47</f>
        <v>0</v>
      </c>
      <c r="BP43">
        <f>Sheet1!FD47</f>
        <v>0</v>
      </c>
      <c r="BQ43">
        <f t="shared" si="4"/>
        <v>0</v>
      </c>
      <c r="BR43">
        <f>Sheet1!FE47</f>
        <v>0</v>
      </c>
      <c r="BS43">
        <f>Sheet1!FF47</f>
        <v>0</v>
      </c>
      <c r="BT43">
        <f>Sheet1!FG47</f>
        <v>0</v>
      </c>
      <c r="BU43">
        <f>Sheet1!FH47</f>
        <v>0</v>
      </c>
      <c r="BV43">
        <f t="shared" si="5"/>
        <v>0</v>
      </c>
      <c r="BW43">
        <f>Sheet1!FI47</f>
        <v>0</v>
      </c>
      <c r="BX43">
        <f>Sheet1!FJ47</f>
        <v>0</v>
      </c>
      <c r="BY43">
        <f>Sheet1!FK47</f>
        <v>0</v>
      </c>
      <c r="BZ43">
        <f>Sheet1!FL47</f>
        <v>0</v>
      </c>
      <c r="CA43">
        <f t="shared" si="6"/>
        <v>0</v>
      </c>
      <c r="CB43">
        <f>Sheet1!FM47</f>
        <v>0</v>
      </c>
      <c r="CC43">
        <f>Sheet1!FN47</f>
        <v>0</v>
      </c>
      <c r="CD43">
        <f>Sheet1!FO47</f>
        <v>0</v>
      </c>
      <c r="CE43">
        <f>Sheet1!FP47</f>
        <v>0</v>
      </c>
      <c r="CF43">
        <f t="shared" si="7"/>
        <v>0</v>
      </c>
      <c r="CG43">
        <f t="shared" si="8"/>
        <v>0</v>
      </c>
      <c r="CH43">
        <f t="shared" si="9"/>
        <v>0</v>
      </c>
      <c r="CI43">
        <f t="shared" si="10"/>
        <v>0</v>
      </c>
      <c r="CJ43">
        <f t="shared" si="11"/>
        <v>0</v>
      </c>
      <c r="CK43">
        <f t="shared" si="12"/>
        <v>0</v>
      </c>
      <c r="CL43">
        <f t="shared" si="13"/>
        <v>0</v>
      </c>
      <c r="CM43">
        <f t="shared" si="14"/>
        <v>0</v>
      </c>
      <c r="CN43">
        <f t="shared" si="15"/>
        <v>0</v>
      </c>
      <c r="CO43">
        <f t="shared" si="16"/>
        <v>0</v>
      </c>
      <c r="CP43">
        <f t="shared" si="17"/>
        <v>0</v>
      </c>
    </row>
    <row r="44" spans="45:94">
      <c r="AS44">
        <f>Sheet1!EK48</f>
        <v>0</v>
      </c>
      <c r="AT44">
        <f>Sheet1!EL48</f>
        <v>0</v>
      </c>
      <c r="AU44">
        <f>Sheet1!EM48</f>
        <v>0</v>
      </c>
      <c r="AV44">
        <f>Sheet1!EN48</f>
        <v>0</v>
      </c>
      <c r="AW44">
        <f t="shared" si="0"/>
        <v>0</v>
      </c>
      <c r="AX44">
        <f>Sheet1!EO48</f>
        <v>0</v>
      </c>
      <c r="AY44">
        <f>Sheet1!EP48</f>
        <v>0</v>
      </c>
      <c r="AZ44">
        <f>Sheet1!EQ48</f>
        <v>0</v>
      </c>
      <c r="BA44">
        <f>Sheet1!ER48</f>
        <v>0</v>
      </c>
      <c r="BB44">
        <f t="shared" si="1"/>
        <v>0</v>
      </c>
      <c r="BC44">
        <f>Sheet1!ES48</f>
        <v>0</v>
      </c>
      <c r="BD44">
        <f>Sheet1!ET48</f>
        <v>0</v>
      </c>
      <c r="BE44">
        <f>Sheet1!EU48</f>
        <v>0</v>
      </c>
      <c r="BF44">
        <f>Sheet1!EV48</f>
        <v>0</v>
      </c>
      <c r="BG44">
        <f t="shared" si="2"/>
        <v>0</v>
      </c>
      <c r="BH44">
        <f>Sheet1!EW48</f>
        <v>0</v>
      </c>
      <c r="BI44">
        <f>Sheet1!EX48</f>
        <v>0</v>
      </c>
      <c r="BJ44">
        <f>Sheet1!EY48</f>
        <v>0</v>
      </c>
      <c r="BK44">
        <f>Sheet1!EZ48</f>
        <v>0</v>
      </c>
      <c r="BL44">
        <f t="shared" si="3"/>
        <v>0</v>
      </c>
      <c r="BM44">
        <f>Sheet1!FA48</f>
        <v>0</v>
      </c>
      <c r="BN44">
        <f>Sheet1!FB48</f>
        <v>0</v>
      </c>
      <c r="BO44">
        <f>Sheet1!FC48</f>
        <v>0</v>
      </c>
      <c r="BP44">
        <f>Sheet1!FD48</f>
        <v>0</v>
      </c>
      <c r="BQ44">
        <f t="shared" si="4"/>
        <v>0</v>
      </c>
      <c r="BR44">
        <f>Sheet1!FE48</f>
        <v>0</v>
      </c>
      <c r="BS44">
        <f>Sheet1!FF48</f>
        <v>0</v>
      </c>
      <c r="BT44">
        <f>Sheet1!FG48</f>
        <v>0</v>
      </c>
      <c r="BU44">
        <f>Sheet1!FH48</f>
        <v>0</v>
      </c>
      <c r="BV44">
        <f t="shared" si="5"/>
        <v>0</v>
      </c>
      <c r="BW44">
        <f>Sheet1!FI48</f>
        <v>0</v>
      </c>
      <c r="BX44">
        <f>Sheet1!FJ48</f>
        <v>0</v>
      </c>
      <c r="BY44">
        <f>Sheet1!FK48</f>
        <v>0</v>
      </c>
      <c r="BZ44">
        <f>Sheet1!FL48</f>
        <v>0</v>
      </c>
      <c r="CA44">
        <f t="shared" si="6"/>
        <v>0</v>
      </c>
      <c r="CB44">
        <f>Sheet1!FM48</f>
        <v>0</v>
      </c>
      <c r="CC44">
        <f>Sheet1!FN48</f>
        <v>0</v>
      </c>
      <c r="CD44">
        <f>Sheet1!FO48</f>
        <v>0</v>
      </c>
      <c r="CE44">
        <f>Sheet1!FP48</f>
        <v>0</v>
      </c>
      <c r="CF44">
        <f t="shared" si="7"/>
        <v>0</v>
      </c>
      <c r="CG44">
        <f t="shared" si="8"/>
        <v>0</v>
      </c>
      <c r="CH44">
        <f t="shared" si="9"/>
        <v>0</v>
      </c>
      <c r="CI44">
        <f t="shared" si="10"/>
        <v>0</v>
      </c>
      <c r="CJ44">
        <f t="shared" si="11"/>
        <v>0</v>
      </c>
      <c r="CK44">
        <f t="shared" si="12"/>
        <v>0</v>
      </c>
      <c r="CL44">
        <f t="shared" si="13"/>
        <v>0</v>
      </c>
      <c r="CM44">
        <f t="shared" si="14"/>
        <v>0</v>
      </c>
      <c r="CN44">
        <f t="shared" si="15"/>
        <v>0</v>
      </c>
      <c r="CO44">
        <f t="shared" si="16"/>
        <v>0</v>
      </c>
      <c r="CP44">
        <f t="shared" si="17"/>
        <v>0</v>
      </c>
    </row>
    <row r="45" spans="45:94">
      <c r="AS45">
        <f>Sheet1!EK49</f>
        <v>0</v>
      </c>
      <c r="AT45">
        <f>Sheet1!EL49</f>
        <v>0</v>
      </c>
      <c r="AU45">
        <f>Sheet1!EM49</f>
        <v>0</v>
      </c>
      <c r="AV45">
        <f>Sheet1!EN49</f>
        <v>0</v>
      </c>
      <c r="AW45">
        <f t="shared" si="0"/>
        <v>0</v>
      </c>
      <c r="AX45">
        <f>Sheet1!EO49</f>
        <v>0</v>
      </c>
      <c r="AY45">
        <f>Sheet1!EP49</f>
        <v>0</v>
      </c>
      <c r="AZ45">
        <f>Sheet1!EQ49</f>
        <v>0</v>
      </c>
      <c r="BA45">
        <f>Sheet1!ER49</f>
        <v>0</v>
      </c>
      <c r="BB45">
        <f t="shared" si="1"/>
        <v>0</v>
      </c>
      <c r="BC45">
        <f>Sheet1!ES49</f>
        <v>0</v>
      </c>
      <c r="BD45">
        <f>Sheet1!ET49</f>
        <v>0</v>
      </c>
      <c r="BE45">
        <f>Sheet1!EU49</f>
        <v>0</v>
      </c>
      <c r="BF45">
        <f>Sheet1!EV49</f>
        <v>0</v>
      </c>
      <c r="BG45">
        <f t="shared" si="2"/>
        <v>0</v>
      </c>
      <c r="BH45">
        <f>Sheet1!EW49</f>
        <v>0</v>
      </c>
      <c r="BI45">
        <f>Sheet1!EX49</f>
        <v>0</v>
      </c>
      <c r="BJ45">
        <f>Sheet1!EY49</f>
        <v>0</v>
      </c>
      <c r="BK45">
        <f>Sheet1!EZ49</f>
        <v>0</v>
      </c>
      <c r="BL45">
        <f t="shared" si="3"/>
        <v>0</v>
      </c>
      <c r="BM45">
        <f>Sheet1!FA49</f>
        <v>0</v>
      </c>
      <c r="BN45">
        <f>Sheet1!FB49</f>
        <v>0</v>
      </c>
      <c r="BO45">
        <f>Sheet1!FC49</f>
        <v>0</v>
      </c>
      <c r="BP45">
        <f>Sheet1!FD49</f>
        <v>0</v>
      </c>
      <c r="BQ45">
        <f t="shared" si="4"/>
        <v>0</v>
      </c>
      <c r="BR45">
        <f>Sheet1!FE49</f>
        <v>0</v>
      </c>
      <c r="BS45">
        <f>Sheet1!FF49</f>
        <v>0</v>
      </c>
      <c r="BT45">
        <f>Sheet1!FG49</f>
        <v>0</v>
      </c>
      <c r="BU45">
        <f>Sheet1!FH49</f>
        <v>0</v>
      </c>
      <c r="BV45">
        <f t="shared" si="5"/>
        <v>0</v>
      </c>
      <c r="BW45">
        <f>Sheet1!FI49</f>
        <v>0</v>
      </c>
      <c r="BX45">
        <f>Sheet1!FJ49</f>
        <v>0</v>
      </c>
      <c r="BY45">
        <f>Sheet1!FK49</f>
        <v>0</v>
      </c>
      <c r="BZ45">
        <f>Sheet1!FL49</f>
        <v>0</v>
      </c>
      <c r="CA45">
        <f t="shared" si="6"/>
        <v>0</v>
      </c>
      <c r="CB45">
        <f>Sheet1!FM49</f>
        <v>0</v>
      </c>
      <c r="CC45">
        <f>Sheet1!FN49</f>
        <v>0</v>
      </c>
      <c r="CD45">
        <f>Sheet1!FO49</f>
        <v>0</v>
      </c>
      <c r="CE45">
        <f>Sheet1!FP49</f>
        <v>0</v>
      </c>
      <c r="CF45">
        <f t="shared" si="7"/>
        <v>0</v>
      </c>
      <c r="CG45">
        <f t="shared" si="8"/>
        <v>0</v>
      </c>
      <c r="CH45">
        <f t="shared" si="9"/>
        <v>0</v>
      </c>
      <c r="CI45">
        <f t="shared" si="10"/>
        <v>0</v>
      </c>
      <c r="CJ45">
        <f t="shared" si="11"/>
        <v>0</v>
      </c>
      <c r="CK45">
        <f t="shared" si="12"/>
        <v>0</v>
      </c>
      <c r="CL45">
        <f t="shared" si="13"/>
        <v>0</v>
      </c>
      <c r="CM45">
        <f t="shared" si="14"/>
        <v>0</v>
      </c>
      <c r="CN45">
        <f t="shared" si="15"/>
        <v>0</v>
      </c>
      <c r="CO45">
        <f t="shared" si="16"/>
        <v>0</v>
      </c>
      <c r="CP45">
        <f t="shared" si="17"/>
        <v>0</v>
      </c>
    </row>
    <row r="46" spans="45:94">
      <c r="AS46">
        <f>Sheet1!EK50</f>
        <v>0</v>
      </c>
      <c r="AT46">
        <f>Sheet1!EL50</f>
        <v>0</v>
      </c>
      <c r="AU46">
        <f>Sheet1!EM50</f>
        <v>0</v>
      </c>
      <c r="AV46">
        <f>Sheet1!EN50</f>
        <v>0</v>
      </c>
      <c r="AW46">
        <f t="shared" si="0"/>
        <v>0</v>
      </c>
      <c r="AX46">
        <f>Sheet1!EO50</f>
        <v>0</v>
      </c>
      <c r="AY46">
        <f>Sheet1!EP50</f>
        <v>0</v>
      </c>
      <c r="AZ46">
        <f>Sheet1!EQ50</f>
        <v>0</v>
      </c>
      <c r="BA46">
        <f>Sheet1!ER50</f>
        <v>0</v>
      </c>
      <c r="BB46">
        <f t="shared" si="1"/>
        <v>0</v>
      </c>
      <c r="BC46">
        <f>Sheet1!ES50</f>
        <v>0</v>
      </c>
      <c r="BD46">
        <f>Sheet1!ET50</f>
        <v>0</v>
      </c>
      <c r="BE46">
        <f>Sheet1!EU50</f>
        <v>0</v>
      </c>
      <c r="BF46">
        <f>Sheet1!EV50</f>
        <v>0</v>
      </c>
      <c r="BG46">
        <f t="shared" si="2"/>
        <v>0</v>
      </c>
      <c r="BH46">
        <f>Sheet1!EW50</f>
        <v>0</v>
      </c>
      <c r="BI46">
        <f>Sheet1!EX50</f>
        <v>0</v>
      </c>
      <c r="BJ46">
        <f>Sheet1!EY50</f>
        <v>0</v>
      </c>
      <c r="BK46">
        <f>Sheet1!EZ50</f>
        <v>0</v>
      </c>
      <c r="BL46">
        <f t="shared" si="3"/>
        <v>0</v>
      </c>
      <c r="BM46">
        <f>Sheet1!FA50</f>
        <v>0</v>
      </c>
      <c r="BN46">
        <f>Sheet1!FB50</f>
        <v>0</v>
      </c>
      <c r="BO46">
        <f>Sheet1!FC50</f>
        <v>0</v>
      </c>
      <c r="BP46">
        <f>Sheet1!FD50</f>
        <v>0</v>
      </c>
      <c r="BQ46">
        <f t="shared" si="4"/>
        <v>0</v>
      </c>
      <c r="BR46">
        <f>Sheet1!FE50</f>
        <v>0</v>
      </c>
      <c r="BS46">
        <f>Sheet1!FF50</f>
        <v>0</v>
      </c>
      <c r="BT46">
        <f>Sheet1!FG50</f>
        <v>0</v>
      </c>
      <c r="BU46">
        <f>Sheet1!FH50</f>
        <v>0</v>
      </c>
      <c r="BV46">
        <f t="shared" si="5"/>
        <v>0</v>
      </c>
      <c r="BW46">
        <f>Sheet1!FI50</f>
        <v>0</v>
      </c>
      <c r="BX46">
        <f>Sheet1!FJ50</f>
        <v>0</v>
      </c>
      <c r="BY46">
        <f>Sheet1!FK50</f>
        <v>0</v>
      </c>
      <c r="BZ46">
        <f>Sheet1!FL50</f>
        <v>0</v>
      </c>
      <c r="CA46">
        <f t="shared" si="6"/>
        <v>0</v>
      </c>
      <c r="CB46">
        <f>Sheet1!FM50</f>
        <v>0</v>
      </c>
      <c r="CC46">
        <f>Sheet1!FN50</f>
        <v>0</v>
      </c>
      <c r="CD46">
        <f>Sheet1!FO50</f>
        <v>0</v>
      </c>
      <c r="CE46">
        <f>Sheet1!FP50</f>
        <v>0</v>
      </c>
      <c r="CF46">
        <f t="shared" si="7"/>
        <v>0</v>
      </c>
      <c r="CG46">
        <f t="shared" si="8"/>
        <v>0</v>
      </c>
      <c r="CH46">
        <f t="shared" si="9"/>
        <v>0</v>
      </c>
      <c r="CI46">
        <f t="shared" si="10"/>
        <v>0</v>
      </c>
      <c r="CJ46">
        <f t="shared" si="11"/>
        <v>0</v>
      </c>
      <c r="CK46">
        <f t="shared" si="12"/>
        <v>0</v>
      </c>
      <c r="CL46">
        <f t="shared" si="13"/>
        <v>0</v>
      </c>
      <c r="CM46">
        <f t="shared" si="14"/>
        <v>0</v>
      </c>
      <c r="CN46">
        <f t="shared" si="15"/>
        <v>0</v>
      </c>
      <c r="CO46">
        <f t="shared" si="16"/>
        <v>0</v>
      </c>
      <c r="CP46">
        <f t="shared" si="17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"/>
  <sheetViews>
    <sheetView workbookViewId="0">
      <selection activeCell="AS1" sqref="AS1:XFD1048576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8" max="18" width="4.85546875" bestFit="1" customWidth="1"/>
    <col min="19" max="19" width="14.28515625" bestFit="1" customWidth="1"/>
    <col min="20" max="20" width="9" bestFit="1" customWidth="1"/>
    <col min="21" max="21" width="10.140625" bestFit="1" customWidth="1"/>
    <col min="22" max="22" width="18" bestFit="1" customWidth="1"/>
    <col min="23" max="23" width="6.7109375" bestFit="1" customWidth="1"/>
    <col min="24" max="24" width="10.7109375" bestFit="1" customWidth="1"/>
    <col min="46" max="48" width="9.140625" customWidth="1"/>
    <col min="51" max="53" width="9.140625" customWidth="1"/>
    <col min="56" max="58" width="9.140625" customWidth="1"/>
    <col min="61" max="63" width="9.140625" customWidth="1"/>
    <col min="66" max="68" width="9.140625" customWidth="1"/>
    <col min="71" max="73" width="9.140625" customWidth="1"/>
    <col min="76" max="78" width="9.140625" customWidth="1"/>
    <col min="81" max="83" width="9.140625" customWidth="1"/>
  </cols>
  <sheetData>
    <row r="1" spans="1:33">
      <c r="A1" s="76" t="s">
        <v>135</v>
      </c>
      <c r="B1" s="76" t="s">
        <v>136</v>
      </c>
      <c r="C1" s="76" t="s">
        <v>137</v>
      </c>
      <c r="D1" s="76" t="s">
        <v>49</v>
      </c>
      <c r="E1" s="76" t="s">
        <v>138</v>
      </c>
      <c r="F1" s="76" t="s">
        <v>139</v>
      </c>
      <c r="G1" s="76" t="s">
        <v>140</v>
      </c>
      <c r="H1" s="76" t="s">
        <v>141</v>
      </c>
      <c r="I1" s="76" t="s">
        <v>142</v>
      </c>
      <c r="J1" s="76" t="s">
        <v>143</v>
      </c>
      <c r="K1" s="76" t="s">
        <v>144</v>
      </c>
      <c r="L1" s="76" t="s">
        <v>145</v>
      </c>
      <c r="M1" s="76" t="s">
        <v>146</v>
      </c>
      <c r="N1" s="76" t="s">
        <v>147</v>
      </c>
      <c r="O1" s="76" t="s">
        <v>148</v>
      </c>
      <c r="P1" s="76" t="s">
        <v>149</v>
      </c>
      <c r="Q1" s="76" t="s">
        <v>150</v>
      </c>
      <c r="R1" s="76" t="s">
        <v>59</v>
      </c>
      <c r="S1" s="76" t="s">
        <v>153</v>
      </c>
      <c r="T1" s="76" t="s">
        <v>154</v>
      </c>
      <c r="U1" s="76" t="s">
        <v>155</v>
      </c>
      <c r="V1" s="76" t="s">
        <v>156</v>
      </c>
      <c r="W1" s="76" t="s">
        <v>119</v>
      </c>
      <c r="X1" s="76" t="s">
        <v>157</v>
      </c>
      <c r="Y1" s="79" t="s">
        <v>158</v>
      </c>
      <c r="Z1" s="79" t="s">
        <v>159</v>
      </c>
      <c r="AA1" s="79" t="s">
        <v>160</v>
      </c>
      <c r="AB1" s="79" t="s">
        <v>161</v>
      </c>
      <c r="AC1" s="79" t="s">
        <v>162</v>
      </c>
      <c r="AD1" s="79" t="s">
        <v>163</v>
      </c>
      <c r="AE1" s="79" t="s">
        <v>164</v>
      </c>
      <c r="AF1" s="79" t="s">
        <v>165</v>
      </c>
      <c r="AG1" s="79" t="s">
        <v>166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17"/>
  <sheetViews>
    <sheetView workbookViewId="0">
      <selection activeCell="Q17" activeCellId="1" sqref="Q2:Q17 Q17"/>
    </sheetView>
  </sheetViews>
  <sheetFormatPr defaultRowHeight="15"/>
  <cols>
    <col min="1" max="1" width="5.5703125" bestFit="1" customWidth="1"/>
    <col min="2" max="2" width="12.42578125" bestFit="1" customWidth="1"/>
    <col min="3" max="3" width="10" bestFit="1" customWidth="1"/>
    <col min="4" max="4" width="7.7109375" bestFit="1" customWidth="1"/>
    <col min="5" max="5" width="10.28515625" bestFit="1" customWidth="1"/>
    <col min="6" max="6" width="10.140625" bestFit="1" customWidth="1"/>
    <col min="7" max="7" width="10.28515625" bestFit="1" customWidth="1"/>
    <col min="8" max="8" width="10.140625" bestFit="1" customWidth="1"/>
    <col min="9" max="9" width="8.140625" bestFit="1" customWidth="1"/>
    <col min="10" max="10" width="10.140625" bestFit="1" customWidth="1"/>
    <col min="11" max="11" width="12" bestFit="1" customWidth="1"/>
    <col min="12" max="12" width="10.140625" bestFit="1" customWidth="1"/>
    <col min="13" max="13" width="12" bestFit="1" customWidth="1"/>
    <col min="14" max="14" width="10.140625" bestFit="1" customWidth="1"/>
    <col min="16" max="16" width="10.42578125" bestFit="1" customWidth="1"/>
    <col min="17" max="17" width="11.7109375" bestFit="1" customWidth="1"/>
    <col min="18" max="18" width="4.85546875" bestFit="1" customWidth="1"/>
    <col min="19" max="19" width="14.28515625" bestFit="1" customWidth="1"/>
    <col min="21" max="21" width="10.140625" bestFit="1" customWidth="1"/>
    <col min="22" max="22" width="18" bestFit="1" customWidth="1"/>
    <col min="23" max="23" width="6.7109375" bestFit="1" customWidth="1"/>
    <col min="24" max="24" width="10.7109375" bestFit="1" customWidth="1"/>
    <col min="34" max="53" width="11.28515625" style="80" customWidth="1"/>
  </cols>
  <sheetData>
    <row r="1" spans="1:54">
      <c r="A1" s="76" t="s">
        <v>135</v>
      </c>
      <c r="B1" s="76" t="s">
        <v>136</v>
      </c>
      <c r="C1" s="76" t="s">
        <v>137</v>
      </c>
      <c r="D1" s="76" t="s">
        <v>49</v>
      </c>
      <c r="E1" s="76" t="s">
        <v>138</v>
      </c>
      <c r="F1" s="76" t="s">
        <v>139</v>
      </c>
      <c r="G1" s="76" t="s">
        <v>140</v>
      </c>
      <c r="H1" s="76" t="s">
        <v>141</v>
      </c>
      <c r="I1" s="76" t="s">
        <v>142</v>
      </c>
      <c r="J1" s="76" t="s">
        <v>143</v>
      </c>
      <c r="K1" s="76" t="s">
        <v>144</v>
      </c>
      <c r="L1" s="76" t="s">
        <v>145</v>
      </c>
      <c r="M1" s="76" t="s">
        <v>146</v>
      </c>
      <c r="N1" s="76" t="s">
        <v>147</v>
      </c>
      <c r="O1" s="76" t="s">
        <v>148</v>
      </c>
      <c r="P1" s="76" t="s">
        <v>149</v>
      </c>
      <c r="Q1" s="79" t="s">
        <v>150</v>
      </c>
      <c r="R1" s="76" t="s">
        <v>59</v>
      </c>
      <c r="S1" s="76" t="s">
        <v>153</v>
      </c>
      <c r="T1" s="76" t="s">
        <v>154</v>
      </c>
      <c r="U1" s="76" t="s">
        <v>155</v>
      </c>
      <c r="V1" s="76" t="s">
        <v>156</v>
      </c>
      <c r="W1" s="76" t="s">
        <v>119</v>
      </c>
      <c r="X1" s="76" t="s">
        <v>157</v>
      </c>
      <c r="Y1" s="79" t="s">
        <v>158</v>
      </c>
      <c r="Z1" s="79" t="s">
        <v>159</v>
      </c>
      <c r="AA1" s="79" t="s">
        <v>160</v>
      </c>
      <c r="AB1" s="79" t="s">
        <v>161</v>
      </c>
      <c r="AC1" s="79" t="s">
        <v>162</v>
      </c>
      <c r="AD1" s="79" t="s">
        <v>163</v>
      </c>
      <c r="AE1" s="79" t="s">
        <v>164</v>
      </c>
      <c r="AF1" s="79" t="s">
        <v>165</v>
      </c>
      <c r="AG1" s="79" t="s">
        <v>166</v>
      </c>
      <c r="AH1" s="81" t="s">
        <v>167</v>
      </c>
      <c r="AI1" s="81" t="s">
        <v>177</v>
      </c>
      <c r="AJ1" s="81" t="s">
        <v>168</v>
      </c>
      <c r="AK1" s="81" t="s">
        <v>178</v>
      </c>
      <c r="AL1" s="81" t="s">
        <v>169</v>
      </c>
      <c r="AM1" s="81" t="s">
        <v>179</v>
      </c>
      <c r="AN1" s="81" t="s">
        <v>170</v>
      </c>
      <c r="AO1" s="81" t="s">
        <v>180</v>
      </c>
      <c r="AP1" s="81" t="s">
        <v>171</v>
      </c>
      <c r="AQ1" s="81" t="s">
        <v>181</v>
      </c>
      <c r="AR1" s="81" t="s">
        <v>172</v>
      </c>
      <c r="AS1" s="81" t="s">
        <v>182</v>
      </c>
      <c r="AT1" s="81" t="s">
        <v>173</v>
      </c>
      <c r="AU1" s="81" t="s">
        <v>183</v>
      </c>
      <c r="AV1" s="81" t="s">
        <v>174</v>
      </c>
      <c r="AW1" s="81" t="s">
        <v>184</v>
      </c>
      <c r="AX1" s="81" t="s">
        <v>175</v>
      </c>
      <c r="AY1" s="81" t="s">
        <v>185</v>
      </c>
      <c r="AZ1" s="81" t="s">
        <v>176</v>
      </c>
      <c r="BA1" s="81" t="s">
        <v>186</v>
      </c>
      <c r="BB1" s="102" t="s">
        <v>187</v>
      </c>
    </row>
    <row r="2" spans="1:54">
      <c r="A2" s="77">
        <f>Sheet1!B6</f>
        <v>1</v>
      </c>
      <c r="B2" s="77" t="str">
        <f>IF(Sheet1!E6="","",Sheet1!E6)</f>
        <v/>
      </c>
      <c r="C2" s="77" t="str">
        <f>IF(Sheet1!P6="","",Sheet1!P6-Sheet1!FV6)</f>
        <v/>
      </c>
      <c r="D2" s="77" t="str">
        <f>IF(Sheet1!Q6="","",Sheet1!Q6)</f>
        <v/>
      </c>
      <c r="E2" s="77" t="str">
        <f>IF(Sheet1!R6="","",Sheet1!R6)</f>
        <v/>
      </c>
      <c r="F2" s="77" t="str">
        <f>IF(Sheet1!S6="","",Sheet1!S6)</f>
        <v/>
      </c>
      <c r="G2" s="77" t="str">
        <f>IF(Sheet1!T6="","",Sheet1!T6)</f>
        <v/>
      </c>
      <c r="H2" s="77" t="str">
        <f>IF(Sheet1!U6="","",Sheet1!U6)</f>
        <v/>
      </c>
      <c r="I2" s="77" t="str">
        <f>IF(Sheet1!V6="","",Sheet1!V6)</f>
        <v/>
      </c>
      <c r="J2" s="77" t="str">
        <f>IF(Sheet1!W6="","",Sheet1!W6)</f>
        <v/>
      </c>
      <c r="K2" s="77" t="str">
        <f>IF(Sheet1!X6="","",Sheet1!X6)</f>
        <v/>
      </c>
      <c r="L2" s="77" t="str">
        <f>IF(Sheet1!Y6="","",Sheet1!Y6)</f>
        <v/>
      </c>
      <c r="M2" s="77" t="str">
        <f>IF(Sheet1!Z6="","",Sheet1!Z6)</f>
        <v/>
      </c>
      <c r="N2" s="77" t="str">
        <f>IF(Sheet1!AA6="","",Sheet1!AA6)</f>
        <v/>
      </c>
      <c r="O2" s="77" t="str">
        <f>IF(OR(Sheet1!AB6=0,Sheet1!AB6=""),"",Sheet1!AB6)</f>
        <v/>
      </c>
      <c r="P2" s="77" t="e">
        <f>IF(Sheet1!BT7="","",Sheet1!BT7/S2)</f>
        <v>#VALUE!</v>
      </c>
      <c r="Q2" s="77">
        <f>IFERROR(IF(OR(ISBLANK(Sheet1!BF6),P2=0),0,70),0)</f>
        <v>0</v>
      </c>
      <c r="R2" s="77" t="str">
        <f>IF(Sheet1!AE6="","",Sheet1!AE6)</f>
        <v/>
      </c>
      <c r="S2" s="77" t="str">
        <f>IF(Sheet1!AO6="","",Sheet1!AO6)</f>
        <v/>
      </c>
      <c r="T2" s="77" t="str">
        <f>IF(Sheet1!G42="","",Sheet1!G42)</f>
        <v/>
      </c>
      <c r="U2" s="77" t="str">
        <f>IF(Sheet1!K42="","",Sheet1!K42)</f>
        <v/>
      </c>
      <c r="V2" s="77" t="str">
        <f>IF(Sheet1!L42="","",Sheet1!L42)</f>
        <v/>
      </c>
      <c r="W2" s="77" t="str">
        <f>IF(Sheet1!M42="","",Sheet1!M42)</f>
        <v/>
      </c>
      <c r="X2" s="77"/>
      <c r="Y2" s="77" t="str">
        <f>IF(Sheet1!J6="","",Sheet1!J6)</f>
        <v/>
      </c>
      <c r="Z2" s="77" t="str">
        <f>IF(Sheet1!K6="","",Sheet1!K6)</f>
        <v/>
      </c>
      <c r="AA2" s="77" t="str">
        <f>IF(Sheet1!L6="","",Sheet1!L6)</f>
        <v/>
      </c>
      <c r="AB2" s="77" t="str">
        <f>IF(Sheet1!M6="","",Sheet1!M6)</f>
        <v/>
      </c>
      <c r="AC2" s="77" t="str">
        <f>IF(Sheet1!N6="","",Sheet1!N6)</f>
        <v/>
      </c>
      <c r="AD2" s="77" t="str">
        <f>IF(Sheet1!O6="","",Sheet1!O6)</f>
        <v/>
      </c>
      <c r="AE2" s="77" t="str">
        <f>IF(Sheet1!G6="","",Sheet1!G6)</f>
        <v/>
      </c>
      <c r="AF2" s="77" t="str">
        <f>IF(Sheet1!F6="","",Sheet1!F6)</f>
        <v/>
      </c>
      <c r="AG2" s="77" t="str">
        <f>IF(Sheet1!E6="","",Sheet1!AP6)</f>
        <v/>
      </c>
      <c r="AH2" s="82">
        <f>Sheet1!CX7</f>
        <v>0</v>
      </c>
      <c r="AI2" s="82">
        <f>Sheet1!CY7</f>
        <v>0</v>
      </c>
      <c r="AJ2" s="82">
        <f>Sheet1!CZ7</f>
        <v>0</v>
      </c>
      <c r="AK2" s="82">
        <f>Sheet1!DA7</f>
        <v>0</v>
      </c>
      <c r="AL2" s="82">
        <f>Sheet1!DB7</f>
        <v>0</v>
      </c>
      <c r="AM2" s="82">
        <f>Sheet1!DC7</f>
        <v>0</v>
      </c>
      <c r="AN2" s="82">
        <f>Sheet1!DD7</f>
        <v>0</v>
      </c>
      <c r="AO2" s="82">
        <f>Sheet1!DE7</f>
        <v>0</v>
      </c>
      <c r="AP2" s="82">
        <f>Sheet1!DF7</f>
        <v>0</v>
      </c>
      <c r="AQ2" s="82">
        <f>Sheet1!DG7</f>
        <v>0</v>
      </c>
      <c r="AR2" s="82">
        <f>Sheet1!DH7</f>
        <v>0</v>
      </c>
      <c r="AS2" s="82">
        <f>Sheet1!DI7</f>
        <v>0</v>
      </c>
      <c r="AT2" s="82">
        <f>Sheet1!DJ7</f>
        <v>0</v>
      </c>
      <c r="AU2" s="82">
        <f>Sheet1!DK7</f>
        <v>0</v>
      </c>
      <c r="AV2" s="82">
        <f>Sheet1!DL7</f>
        <v>0</v>
      </c>
      <c r="AW2" s="82">
        <f>Sheet1!DM7</f>
        <v>0</v>
      </c>
      <c r="AX2" s="82">
        <f>Sheet1!DN7</f>
        <v>0</v>
      </c>
      <c r="AY2" s="82">
        <f>Sheet1!DO7</f>
        <v>0</v>
      </c>
      <c r="AZ2" s="82">
        <f>Sheet1!DP7</f>
        <v>0</v>
      </c>
      <c r="BA2" s="82">
        <f>Sheet1!DQ7</f>
        <v>0</v>
      </c>
      <c r="BB2">
        <f t="shared" ref="BB2:BB17" si="0">IF((AH2*AI2+AJ2*AK2+AL2*AM2+AN2*AO2+AP2*AQ2+AR2*AS2+AT2*AU2+AV2*AW2+AX2*AY2+AZ2*BA2)=0,0,(AH2*AI2+AJ2*AK2+AL2*AM2+AN2*AO2+AP2*AQ2+AR2*AS2+AT2*AU2+AV2*AW2+AX2*AY2+AZ2*BA2)*S2)</f>
        <v>0</v>
      </c>
    </row>
    <row r="3" spans="1:54">
      <c r="A3" s="77" t="str">
        <f>Sheet1!B7</f>
        <v/>
      </c>
      <c r="B3" s="77" t="str">
        <f>IF(Sheet1!E7="","",Sheet1!E7)</f>
        <v/>
      </c>
      <c r="C3" s="77" t="str">
        <f>IF(Sheet1!P7="","",Sheet1!P7-Sheet1!FV8)</f>
        <v/>
      </c>
      <c r="D3" s="77" t="str">
        <f>IF(Sheet1!Q7="","",Sheet1!Q7)</f>
        <v/>
      </c>
      <c r="E3" s="77" t="str">
        <f>IF(Sheet1!R7="","",Sheet1!R7)</f>
        <v/>
      </c>
      <c r="F3" s="77" t="str">
        <f>IF(Sheet1!S7="","",Sheet1!S7)</f>
        <v/>
      </c>
      <c r="G3" s="77" t="str">
        <f>IF(Sheet1!T7="","",Sheet1!T7)</f>
        <v/>
      </c>
      <c r="H3" s="77" t="str">
        <f>IF(Sheet1!U7="","",Sheet1!U7)</f>
        <v/>
      </c>
      <c r="I3" s="77" t="str">
        <f>IF(Sheet1!V7="","",Sheet1!V7)</f>
        <v/>
      </c>
      <c r="J3" s="77" t="str">
        <f>IF(Sheet1!W7="","",Sheet1!W7)</f>
        <v/>
      </c>
      <c r="K3" s="77" t="str">
        <f>IF(Sheet1!X7="","",Sheet1!X7)</f>
        <v/>
      </c>
      <c r="L3" s="77" t="str">
        <f>IF(Sheet1!Y7="","",Sheet1!Y7)</f>
        <v/>
      </c>
      <c r="M3" s="77" t="str">
        <f>IF(Sheet1!Z7="","",Sheet1!Z7)</f>
        <v/>
      </c>
      <c r="N3" s="77" t="str">
        <f>IF(Sheet1!AA7="","",Sheet1!AA7)</f>
        <v/>
      </c>
      <c r="O3" s="77" t="str">
        <f>IF(OR(Sheet1!AB7=0,Sheet1!AB7=""),"",Sheet1!AB7)</f>
        <v/>
      </c>
      <c r="P3" s="77" t="e">
        <f>IF(Sheet1!BT9="","",Sheet1!BT9/S3)</f>
        <v>#VALUE!</v>
      </c>
      <c r="Q3" s="77">
        <f>IFERROR(IF(OR(ISBLANK(Sheet1!BF8),P3=0),0,70),0)</f>
        <v>0</v>
      </c>
      <c r="R3" s="77" t="str">
        <f>IF(Sheet1!AE7="","",Sheet1!AE7)</f>
        <v/>
      </c>
      <c r="S3" s="77" t="str">
        <f>IF(Sheet1!AO7="","",Sheet1!AO7)</f>
        <v/>
      </c>
      <c r="T3" s="77" t="str">
        <f>IF(Sheet1!G43="","",Sheet1!G43)</f>
        <v/>
      </c>
      <c r="U3" s="77" t="str">
        <f>IF(Sheet1!K43="","",Sheet1!K43)</f>
        <v/>
      </c>
      <c r="V3" s="77" t="str">
        <f>IF(Sheet1!L43="","",Sheet1!L43)</f>
        <v/>
      </c>
      <c r="W3" s="77" t="str">
        <f>IF(Sheet1!M43="","",Sheet1!M43)</f>
        <v/>
      </c>
      <c r="X3" s="77"/>
      <c r="Y3" s="77" t="str">
        <f>IF(Sheet1!J7="","",Sheet1!J7)</f>
        <v/>
      </c>
      <c r="Z3" s="77" t="str">
        <f>IF(Sheet1!K7="","",Sheet1!K7)</f>
        <v/>
      </c>
      <c r="AA3" s="77" t="str">
        <f>IF(Sheet1!L7="","",Sheet1!L7)</f>
        <v/>
      </c>
      <c r="AB3" s="77" t="str">
        <f>IF(Sheet1!M7="","",Sheet1!M7)</f>
        <v/>
      </c>
      <c r="AC3" s="77" t="str">
        <f>IF(Sheet1!N7="","",Sheet1!N7)</f>
        <v/>
      </c>
      <c r="AD3" s="77" t="str">
        <f>IF(Sheet1!O7="","",Sheet1!O7)</f>
        <v/>
      </c>
      <c r="AE3" s="77" t="str">
        <f>IF(Sheet1!G7="","",Sheet1!G7)</f>
        <v/>
      </c>
      <c r="AF3" s="77" t="str">
        <f>IF(Sheet1!F7="","","")</f>
        <v/>
      </c>
      <c r="AG3" s="77" t="str">
        <f>IF(Sheet1!E7="","",Sheet1!AP7)</f>
        <v/>
      </c>
      <c r="AH3" s="82">
        <f>Sheet1!CX9</f>
        <v>0</v>
      </c>
      <c r="AI3" s="82">
        <f>Sheet1!CY9</f>
        <v>0</v>
      </c>
      <c r="AJ3" s="82">
        <f>Sheet1!CZ9</f>
        <v>0</v>
      </c>
      <c r="AK3" s="82">
        <f>Sheet1!DA9</f>
        <v>0</v>
      </c>
      <c r="AL3" s="82">
        <f>Sheet1!DB9</f>
        <v>0</v>
      </c>
      <c r="AM3" s="82">
        <f>Sheet1!DC9</f>
        <v>0</v>
      </c>
      <c r="AN3" s="82">
        <f>Sheet1!DD9</f>
        <v>0</v>
      </c>
      <c r="AO3" s="82">
        <f>Sheet1!DE9</f>
        <v>0</v>
      </c>
      <c r="AP3" s="82">
        <f>Sheet1!DF9</f>
        <v>0</v>
      </c>
      <c r="AQ3" s="82">
        <f>Sheet1!DG9</f>
        <v>0</v>
      </c>
      <c r="AR3" s="82">
        <f>Sheet1!DH9</f>
        <v>0</v>
      </c>
      <c r="AS3" s="82">
        <f>Sheet1!DI9</f>
        <v>0</v>
      </c>
      <c r="AT3" s="82">
        <f>Sheet1!DJ9</f>
        <v>0</v>
      </c>
      <c r="AU3" s="82">
        <f>Sheet1!DK9</f>
        <v>0</v>
      </c>
      <c r="AV3" s="82">
        <f>Sheet1!DL9</f>
        <v>0</v>
      </c>
      <c r="AW3" s="82">
        <f>Sheet1!DM9</f>
        <v>0</v>
      </c>
      <c r="AX3" s="82">
        <f>Sheet1!DN9</f>
        <v>0</v>
      </c>
      <c r="AY3" s="82">
        <f>Sheet1!DO9</f>
        <v>0</v>
      </c>
      <c r="AZ3" s="82">
        <f>Sheet1!DP9</f>
        <v>0</v>
      </c>
      <c r="BA3" s="82">
        <f>Sheet1!DQ9</f>
        <v>0</v>
      </c>
      <c r="BB3">
        <f t="shared" si="0"/>
        <v>0</v>
      </c>
    </row>
    <row r="4" spans="1:54">
      <c r="A4" s="77" t="str">
        <f>Sheet1!B8</f>
        <v/>
      </c>
      <c r="B4" s="77" t="str">
        <f>IF(Sheet1!E8="","",Sheet1!E8)</f>
        <v/>
      </c>
      <c r="C4" s="77" t="str">
        <f>IF(Sheet1!P8="","",Sheet1!P8-Sheet1!FV10)</f>
        <v/>
      </c>
      <c r="D4" s="77" t="str">
        <f>IF(Sheet1!Q8="","",Sheet1!Q8)</f>
        <v/>
      </c>
      <c r="E4" s="77" t="str">
        <f>IF(Sheet1!R8="","",Sheet1!R8)</f>
        <v/>
      </c>
      <c r="F4" s="77" t="str">
        <f>IF(Sheet1!S8="","",Sheet1!S8)</f>
        <v/>
      </c>
      <c r="G4" s="77" t="str">
        <f>IF(Sheet1!T8="","",Sheet1!T8)</f>
        <v/>
      </c>
      <c r="H4" s="77" t="str">
        <f>IF(Sheet1!U8="","",Sheet1!U8)</f>
        <v/>
      </c>
      <c r="I4" s="77" t="str">
        <f>IF(Sheet1!V8="","",Sheet1!V8)</f>
        <v/>
      </c>
      <c r="J4" s="77" t="str">
        <f>IF(Sheet1!W8="","",Sheet1!W8)</f>
        <v/>
      </c>
      <c r="K4" s="77" t="str">
        <f>IF(Sheet1!X8="","",Sheet1!X8)</f>
        <v/>
      </c>
      <c r="L4" s="77" t="str">
        <f>IF(Sheet1!Y8="","",Sheet1!Y8)</f>
        <v/>
      </c>
      <c r="M4" s="77" t="str">
        <f>IF(Sheet1!Z8="","",Sheet1!Z8)</f>
        <v/>
      </c>
      <c r="N4" s="77" t="str">
        <f>IF(Sheet1!AA8="","",Sheet1!AA8)</f>
        <v/>
      </c>
      <c r="O4" s="77" t="str">
        <f>IF(OR(Sheet1!AB8=0,Sheet1!AB8=""),"",Sheet1!AB8)</f>
        <v/>
      </c>
      <c r="P4" s="77" t="e">
        <f>IF(Sheet1!BT11="","",Sheet1!BT11/S4)</f>
        <v>#VALUE!</v>
      </c>
      <c r="Q4" s="77">
        <f>IFERROR(IF(OR(ISBLANK(Sheet1!BF10),P4=0),0,70),0)</f>
        <v>0</v>
      </c>
      <c r="R4" s="77" t="str">
        <f>IF(Sheet1!AE8="","",Sheet1!AE8)</f>
        <v/>
      </c>
      <c r="S4" s="77" t="str">
        <f>IF(Sheet1!AO8="","",Sheet1!AO8)</f>
        <v/>
      </c>
      <c r="T4" s="77" t="str">
        <f>IF(Sheet1!G44="","",Sheet1!G44)</f>
        <v/>
      </c>
      <c r="U4" s="77" t="str">
        <f>IF(Sheet1!K44="","",Sheet1!K44)</f>
        <v/>
      </c>
      <c r="V4" s="77" t="str">
        <f>IF(Sheet1!L44="","",Sheet1!L44)</f>
        <v/>
      </c>
      <c r="W4" s="77" t="str">
        <f>IF(Sheet1!M44="","",Sheet1!M44)</f>
        <v/>
      </c>
      <c r="X4" s="77"/>
      <c r="Y4" s="77" t="str">
        <f>IF(Sheet1!J8="","",Sheet1!J8)</f>
        <v/>
      </c>
      <c r="Z4" s="77" t="str">
        <f>IF(Sheet1!K8="","",Sheet1!K8)</f>
        <v/>
      </c>
      <c r="AA4" s="77" t="str">
        <f>IF(Sheet1!L8="","",Sheet1!L8)</f>
        <v/>
      </c>
      <c r="AB4" s="77" t="str">
        <f>IF(Sheet1!M8="","",Sheet1!M8)</f>
        <v/>
      </c>
      <c r="AC4" s="77" t="str">
        <f>IF(Sheet1!N8="","",Sheet1!N8)</f>
        <v/>
      </c>
      <c r="AD4" s="77" t="str">
        <f>IF(Sheet1!O8="","",Sheet1!O8)</f>
        <v/>
      </c>
      <c r="AE4" s="77" t="str">
        <f>IF(Sheet1!G8="","",Sheet1!G8)</f>
        <v/>
      </c>
      <c r="AF4" s="77" t="str">
        <f>IF(Sheet1!F8="","","")</f>
        <v/>
      </c>
      <c r="AG4" s="77" t="str">
        <f>IF(Sheet1!E8="","",Sheet1!AP8)</f>
        <v/>
      </c>
      <c r="AH4" s="82">
        <f>Sheet1!CX11</f>
        <v>0</v>
      </c>
      <c r="AI4" s="82">
        <f>Sheet1!CY11</f>
        <v>0</v>
      </c>
      <c r="AJ4" s="82">
        <f>Sheet1!CZ11</f>
        <v>0</v>
      </c>
      <c r="AK4" s="82">
        <f>Sheet1!DA11</f>
        <v>0</v>
      </c>
      <c r="AL4" s="82">
        <f>Sheet1!DB11</f>
        <v>0</v>
      </c>
      <c r="AM4" s="82">
        <f>Sheet1!DC11</f>
        <v>0</v>
      </c>
      <c r="AN4" s="82">
        <f>Sheet1!DD11</f>
        <v>0</v>
      </c>
      <c r="AO4" s="82">
        <f>Sheet1!DE11</f>
        <v>0</v>
      </c>
      <c r="AP4" s="82">
        <f>Sheet1!DF11</f>
        <v>0</v>
      </c>
      <c r="AQ4" s="82">
        <f>Sheet1!DG11</f>
        <v>0</v>
      </c>
      <c r="AR4" s="82">
        <f>Sheet1!DH11</f>
        <v>0</v>
      </c>
      <c r="AS4" s="82">
        <f>Sheet1!DI11</f>
        <v>0</v>
      </c>
      <c r="AT4" s="82">
        <f>Sheet1!DJ11</f>
        <v>0</v>
      </c>
      <c r="AU4" s="82">
        <f>Sheet1!DK11</f>
        <v>0</v>
      </c>
      <c r="AV4" s="82">
        <f>Sheet1!DL11</f>
        <v>0</v>
      </c>
      <c r="AW4" s="82">
        <f>Sheet1!DM11</f>
        <v>0</v>
      </c>
      <c r="AX4" s="82">
        <f>Sheet1!DN11</f>
        <v>0</v>
      </c>
      <c r="AY4" s="82">
        <f>Sheet1!DO11</f>
        <v>0</v>
      </c>
      <c r="AZ4" s="82">
        <f>Sheet1!DP11</f>
        <v>0</v>
      </c>
      <c r="BA4" s="82">
        <f>Sheet1!DQ11</f>
        <v>0</v>
      </c>
      <c r="BB4">
        <f t="shared" si="0"/>
        <v>0</v>
      </c>
    </row>
    <row r="5" spans="1:54">
      <c r="A5" s="77" t="str">
        <f>Sheet1!B9</f>
        <v/>
      </c>
      <c r="B5" s="77" t="str">
        <f>IF(Sheet1!E9="","",Sheet1!E9)</f>
        <v/>
      </c>
      <c r="C5" s="77" t="str">
        <f>IF(Sheet1!P9="","",Sheet1!P9-Sheet1!FV12)</f>
        <v/>
      </c>
      <c r="D5" s="77" t="str">
        <f>IF(Sheet1!Q9="","",Sheet1!Q9)</f>
        <v/>
      </c>
      <c r="E5" s="77" t="str">
        <f>IF(Sheet1!R9="","",Sheet1!R9)</f>
        <v/>
      </c>
      <c r="F5" s="77" t="str">
        <f>IF(Sheet1!S9="","",Sheet1!S9)</f>
        <v/>
      </c>
      <c r="G5" s="77" t="str">
        <f>IF(Sheet1!T9="","",Sheet1!T9)</f>
        <v/>
      </c>
      <c r="H5" s="77" t="str">
        <f>IF(Sheet1!U9="","",Sheet1!U9)</f>
        <v/>
      </c>
      <c r="I5" s="77" t="str">
        <f>IF(Sheet1!V9="","",Sheet1!V9)</f>
        <v/>
      </c>
      <c r="J5" s="77" t="str">
        <f>IF(Sheet1!W9="","",Sheet1!W9)</f>
        <v/>
      </c>
      <c r="K5" s="77" t="str">
        <f>IF(Sheet1!X9="","",Sheet1!X9)</f>
        <v/>
      </c>
      <c r="L5" s="77" t="str">
        <f>IF(Sheet1!Y9="","",Sheet1!Y9)</f>
        <v/>
      </c>
      <c r="M5" s="77" t="str">
        <f>IF(Sheet1!Z9="","",Sheet1!Z9)</f>
        <v/>
      </c>
      <c r="N5" s="77" t="str">
        <f>IF(Sheet1!AA9="","",Sheet1!AA9)</f>
        <v/>
      </c>
      <c r="O5" s="77" t="str">
        <f>IF(OR(Sheet1!AB9=0,Sheet1!AB9=""),"",Sheet1!AB9)</f>
        <v/>
      </c>
      <c r="P5" s="77" t="e">
        <f>IF(Sheet1!BT13="","",Sheet1!BT13/S5)</f>
        <v>#VALUE!</v>
      </c>
      <c r="Q5" s="77">
        <f>IFERROR(IF(OR(ISBLANK(Sheet1!BF12),P5=0),0,70),0)</f>
        <v>0</v>
      </c>
      <c r="R5" s="77" t="str">
        <f>IF(Sheet1!AE9="","",Sheet1!AE9)</f>
        <v/>
      </c>
      <c r="S5" s="77" t="str">
        <f>IF(Sheet1!AO9="","",Sheet1!AO9)</f>
        <v/>
      </c>
      <c r="T5" s="77" t="str">
        <f>IF(Sheet1!G45="","",Sheet1!G45)</f>
        <v/>
      </c>
      <c r="U5" s="77" t="str">
        <f>IF(Sheet1!K45="","",Sheet1!K45)</f>
        <v/>
      </c>
      <c r="V5" s="77" t="str">
        <f>IF(Sheet1!L45="","",Sheet1!L45)</f>
        <v/>
      </c>
      <c r="W5" s="77" t="str">
        <f>IF(Sheet1!M45="","",Sheet1!M45)</f>
        <v/>
      </c>
      <c r="X5" s="77"/>
      <c r="Y5" s="77" t="str">
        <f>IF(Sheet1!J9="","",Sheet1!J9)</f>
        <v/>
      </c>
      <c r="Z5" s="77" t="str">
        <f>IF(Sheet1!K9="","",Sheet1!K9)</f>
        <v/>
      </c>
      <c r="AA5" s="77" t="str">
        <f>IF(Sheet1!L9="","",Sheet1!L9)</f>
        <v/>
      </c>
      <c r="AB5" s="77" t="str">
        <f>IF(Sheet1!M9="","",Sheet1!M9)</f>
        <v/>
      </c>
      <c r="AC5" s="77" t="str">
        <f>IF(Sheet1!N9="","",Sheet1!N9)</f>
        <v/>
      </c>
      <c r="AD5" s="77" t="str">
        <f>IF(Sheet1!O9="","",Sheet1!O9)</f>
        <v/>
      </c>
      <c r="AE5" s="77" t="str">
        <f>IF(Sheet1!G9="","",Sheet1!G9)</f>
        <v/>
      </c>
      <c r="AF5" s="77" t="str">
        <f>IF(Sheet1!F9="","","")</f>
        <v/>
      </c>
      <c r="AG5" s="77" t="str">
        <f>IF(Sheet1!E9="","",Sheet1!AP9)</f>
        <v/>
      </c>
      <c r="AH5" s="82">
        <f>Sheet1!CX13</f>
        <v>0</v>
      </c>
      <c r="AI5" s="82">
        <f>Sheet1!CY13</f>
        <v>0</v>
      </c>
      <c r="AJ5" s="82">
        <f>Sheet1!CZ13</f>
        <v>0</v>
      </c>
      <c r="AK5" s="82">
        <f>Sheet1!DA13</f>
        <v>0</v>
      </c>
      <c r="AL5" s="82">
        <f>Sheet1!DB13</f>
        <v>0</v>
      </c>
      <c r="AM5" s="82">
        <f>Sheet1!DC13</f>
        <v>0</v>
      </c>
      <c r="AN5" s="82">
        <f>Sheet1!DD13</f>
        <v>0</v>
      </c>
      <c r="AO5" s="82">
        <f>Sheet1!DE13</f>
        <v>0</v>
      </c>
      <c r="AP5" s="82">
        <f>Sheet1!DF13</f>
        <v>0</v>
      </c>
      <c r="AQ5" s="82">
        <f>Sheet1!DG13</f>
        <v>0</v>
      </c>
      <c r="AR5" s="82">
        <f>Sheet1!DH13</f>
        <v>0</v>
      </c>
      <c r="AS5" s="82">
        <f>Sheet1!DI13</f>
        <v>0</v>
      </c>
      <c r="AT5" s="82">
        <f>Sheet1!DJ13</f>
        <v>0</v>
      </c>
      <c r="AU5" s="82">
        <f>Sheet1!DK13</f>
        <v>0</v>
      </c>
      <c r="AV5" s="82">
        <f>Sheet1!DL13</f>
        <v>0</v>
      </c>
      <c r="AW5" s="82">
        <f>Sheet1!DM13</f>
        <v>0</v>
      </c>
      <c r="AX5" s="82">
        <f>Sheet1!DN13</f>
        <v>0</v>
      </c>
      <c r="AY5" s="82">
        <f>Sheet1!DO13</f>
        <v>0</v>
      </c>
      <c r="AZ5" s="82">
        <f>Sheet1!DP13</f>
        <v>0</v>
      </c>
      <c r="BA5" s="82">
        <f>Sheet1!DQ13</f>
        <v>0</v>
      </c>
      <c r="BB5">
        <f t="shared" si="0"/>
        <v>0</v>
      </c>
    </row>
    <row r="6" spans="1:54">
      <c r="A6" s="77" t="str">
        <f>Sheet1!B10</f>
        <v/>
      </c>
      <c r="B6" s="77" t="str">
        <f>IF(Sheet1!E10="","",Sheet1!E10)</f>
        <v/>
      </c>
      <c r="C6" s="77" t="str">
        <f>IF(Sheet1!P10="","",Sheet1!P10-Sheet1!FV14)</f>
        <v/>
      </c>
      <c r="D6" s="77" t="str">
        <f>IF(Sheet1!Q10="","",Sheet1!Q10)</f>
        <v/>
      </c>
      <c r="E6" s="77" t="str">
        <f>IF(Sheet1!R10="","",Sheet1!R10)</f>
        <v/>
      </c>
      <c r="F6" s="77" t="str">
        <f>IF(Sheet1!S10="","",Sheet1!S10)</f>
        <v/>
      </c>
      <c r="G6" s="77" t="str">
        <f>IF(Sheet1!T10="","",Sheet1!T10)</f>
        <v/>
      </c>
      <c r="H6" s="77" t="str">
        <f>IF(Sheet1!U10="","",Sheet1!U10)</f>
        <v/>
      </c>
      <c r="I6" s="77" t="str">
        <f>IF(Sheet1!V10="","",Sheet1!V10)</f>
        <v/>
      </c>
      <c r="J6" s="77" t="str">
        <f>IF(Sheet1!W10="","",Sheet1!W10)</f>
        <v/>
      </c>
      <c r="K6" s="77" t="str">
        <f>IF(Sheet1!X10="","",Sheet1!X10)</f>
        <v/>
      </c>
      <c r="L6" s="77" t="str">
        <f>IF(Sheet1!Y10="","",Sheet1!Y10)</f>
        <v/>
      </c>
      <c r="M6" s="77" t="str">
        <f>IF(Sheet1!Z10="","",Sheet1!Z10)</f>
        <v/>
      </c>
      <c r="N6" s="77" t="str">
        <f>IF(Sheet1!AA10="","",Sheet1!AA10)</f>
        <v/>
      </c>
      <c r="O6" s="77" t="str">
        <f>IF(OR(Sheet1!AB10=0,Sheet1!AB10=""),"",Sheet1!AB10)</f>
        <v/>
      </c>
      <c r="P6" s="77" t="e">
        <f>IF(Sheet1!BT15="","",Sheet1!BT15/S6)</f>
        <v>#VALUE!</v>
      </c>
      <c r="Q6" s="77">
        <f>IFERROR(IF(OR(ISBLANK(Sheet1!BF14),P6=0),0,70),0)</f>
        <v>0</v>
      </c>
      <c r="R6" s="77" t="str">
        <f>IF(Sheet1!AE10="","",Sheet1!AE10)</f>
        <v/>
      </c>
      <c r="S6" s="77" t="str">
        <f>IF(Sheet1!AO10="","",Sheet1!AO10)</f>
        <v/>
      </c>
      <c r="T6" s="77" t="str">
        <f>IF(Sheet1!G46="","",Sheet1!G46)</f>
        <v/>
      </c>
      <c r="U6" s="77" t="str">
        <f>IF(Sheet1!K46="","",Sheet1!K46)</f>
        <v/>
      </c>
      <c r="V6" s="77" t="str">
        <f>IF(Sheet1!L46="","",Sheet1!L46)</f>
        <v/>
      </c>
      <c r="W6" s="77" t="str">
        <f>IF(Sheet1!M46="","",Sheet1!M46)</f>
        <v/>
      </c>
      <c r="X6" s="77"/>
      <c r="Y6" s="77" t="str">
        <f>IF(Sheet1!J10="","",Sheet1!J10)</f>
        <v/>
      </c>
      <c r="Z6" s="77" t="str">
        <f>IF(Sheet1!K10="","",Sheet1!K10)</f>
        <v/>
      </c>
      <c r="AA6" s="77" t="str">
        <f>IF(Sheet1!L10="","",Sheet1!L10)</f>
        <v/>
      </c>
      <c r="AB6" s="77" t="str">
        <f>IF(Sheet1!M10="","",Sheet1!M10)</f>
        <v/>
      </c>
      <c r="AC6" s="77" t="str">
        <f>IF(Sheet1!N10="","",Sheet1!N10)</f>
        <v/>
      </c>
      <c r="AD6" s="77" t="str">
        <f>IF(Sheet1!O10="","",Sheet1!O10)</f>
        <v/>
      </c>
      <c r="AE6" s="77" t="str">
        <f>IF(Sheet1!G10="","",Sheet1!G10)</f>
        <v/>
      </c>
      <c r="AF6" s="77" t="str">
        <f>IF(Sheet1!F10="","","")</f>
        <v/>
      </c>
      <c r="AG6" s="77" t="str">
        <f>IF(Sheet1!E10="","",Sheet1!AP10)</f>
        <v/>
      </c>
      <c r="AH6" s="82">
        <f>Sheet1!CX15</f>
        <v>0</v>
      </c>
      <c r="AI6" s="82">
        <f>Sheet1!CY15</f>
        <v>0</v>
      </c>
      <c r="AJ6" s="82">
        <f>Sheet1!CZ15</f>
        <v>0</v>
      </c>
      <c r="AK6" s="82">
        <f>Sheet1!DA15</f>
        <v>0</v>
      </c>
      <c r="AL6" s="82">
        <f>Sheet1!DB15</f>
        <v>0</v>
      </c>
      <c r="AM6" s="82">
        <f>Sheet1!DC15</f>
        <v>0</v>
      </c>
      <c r="AN6" s="82">
        <f>Sheet1!DD15</f>
        <v>0</v>
      </c>
      <c r="AO6" s="82">
        <f>Sheet1!DE15</f>
        <v>0</v>
      </c>
      <c r="AP6" s="82">
        <f>Sheet1!DF15</f>
        <v>0</v>
      </c>
      <c r="AQ6" s="82">
        <f>Sheet1!DG15</f>
        <v>0</v>
      </c>
      <c r="AR6" s="82">
        <f>Sheet1!DH15</f>
        <v>0</v>
      </c>
      <c r="AS6" s="82">
        <f>Sheet1!DI15</f>
        <v>0</v>
      </c>
      <c r="AT6" s="82">
        <f>Sheet1!DJ15</f>
        <v>0</v>
      </c>
      <c r="AU6" s="82">
        <f>Sheet1!DK15</f>
        <v>0</v>
      </c>
      <c r="AV6" s="82">
        <f>Sheet1!DL15</f>
        <v>0</v>
      </c>
      <c r="AW6" s="82">
        <f>Sheet1!DM15</f>
        <v>0</v>
      </c>
      <c r="AX6" s="82">
        <f>Sheet1!DN15</f>
        <v>0</v>
      </c>
      <c r="AY6" s="82">
        <f>Sheet1!DO15</f>
        <v>0</v>
      </c>
      <c r="AZ6" s="82">
        <f>Sheet1!DP15</f>
        <v>0</v>
      </c>
      <c r="BA6" s="82">
        <f>Sheet1!DQ15</f>
        <v>0</v>
      </c>
      <c r="BB6">
        <f t="shared" si="0"/>
        <v>0</v>
      </c>
    </row>
    <row r="7" spans="1:54">
      <c r="A7" s="77" t="str">
        <f>Sheet1!B11</f>
        <v/>
      </c>
      <c r="B7" s="77" t="str">
        <f>IF(Sheet1!E11="","",Sheet1!E11)</f>
        <v/>
      </c>
      <c r="C7" s="77" t="str">
        <f>IF(Sheet1!P11="","",Sheet1!P11-Sheet1!FV16)</f>
        <v/>
      </c>
      <c r="D7" s="77" t="str">
        <f>IF(Sheet1!Q11="","",Sheet1!Q11)</f>
        <v/>
      </c>
      <c r="E7" s="77" t="str">
        <f>IF(Sheet1!R11="","",Sheet1!R11)</f>
        <v/>
      </c>
      <c r="F7" s="77" t="str">
        <f>IF(Sheet1!S11="","",Sheet1!S11)</f>
        <v/>
      </c>
      <c r="G7" s="77" t="str">
        <f>IF(Sheet1!T11="","",Sheet1!T11)</f>
        <v/>
      </c>
      <c r="H7" s="77" t="str">
        <f>IF(Sheet1!U11="","",Sheet1!U11)</f>
        <v/>
      </c>
      <c r="I7" s="77" t="str">
        <f>IF(Sheet1!V11="","",Sheet1!V11)</f>
        <v/>
      </c>
      <c r="J7" s="77" t="str">
        <f>IF(Sheet1!W11="","",Sheet1!W11)</f>
        <v/>
      </c>
      <c r="K7" s="77" t="str">
        <f>IF(Sheet1!X11="","",Sheet1!X11)</f>
        <v/>
      </c>
      <c r="L7" s="77" t="str">
        <f>IF(Sheet1!Y11="","",Sheet1!Y11)</f>
        <v/>
      </c>
      <c r="M7" s="77" t="str">
        <f>IF(Sheet1!Z11="","",Sheet1!Z11)</f>
        <v/>
      </c>
      <c r="N7" s="77" t="str">
        <f>IF(Sheet1!AA11="","",Sheet1!AA11)</f>
        <v/>
      </c>
      <c r="O7" s="77" t="str">
        <f>IF(OR(Sheet1!AB11=0,Sheet1!AB11=""),"",Sheet1!AB11)</f>
        <v/>
      </c>
      <c r="P7" s="77" t="e">
        <f>IF(Sheet1!BT17="","",Sheet1!BT17/S7)</f>
        <v>#VALUE!</v>
      </c>
      <c r="Q7" s="77">
        <f>IFERROR(IF(OR(ISBLANK(Sheet1!BF16),P7=0),0,70),0)</f>
        <v>0</v>
      </c>
      <c r="R7" s="77" t="str">
        <f>IF(Sheet1!AE11="","",Sheet1!AE11)</f>
        <v/>
      </c>
      <c r="S7" s="77" t="str">
        <f>IF(Sheet1!AO11="","",Sheet1!AO11)</f>
        <v/>
      </c>
      <c r="T7" s="77" t="str">
        <f>IF(Sheet1!G47="","",Sheet1!G47)</f>
        <v/>
      </c>
      <c r="U7" s="77" t="str">
        <f>IF(Sheet1!K47="","",Sheet1!K47)</f>
        <v/>
      </c>
      <c r="V7" s="77" t="str">
        <f>IF(Sheet1!L47="","",Sheet1!L47)</f>
        <v/>
      </c>
      <c r="W7" s="77" t="str">
        <f>IF(Sheet1!M47="","",Sheet1!M47)</f>
        <v/>
      </c>
      <c r="X7" s="77"/>
      <c r="Y7" s="77" t="str">
        <f>IF(Sheet1!J11="","",Sheet1!J11)</f>
        <v/>
      </c>
      <c r="Z7" s="77" t="str">
        <f>IF(Sheet1!K11="","",Sheet1!K11)</f>
        <v/>
      </c>
      <c r="AA7" s="77" t="str">
        <f>IF(Sheet1!L11="","",Sheet1!L11)</f>
        <v/>
      </c>
      <c r="AB7" s="77" t="str">
        <f>IF(Sheet1!M11="","",Sheet1!M11)</f>
        <v/>
      </c>
      <c r="AC7" s="77" t="str">
        <f>IF(Sheet1!N11="","",Sheet1!N11)</f>
        <v/>
      </c>
      <c r="AD7" s="77" t="str">
        <f>IF(Sheet1!O11="","",Sheet1!O11)</f>
        <v/>
      </c>
      <c r="AE7" s="77" t="str">
        <f>IF(Sheet1!G11="","",Sheet1!G11)</f>
        <v/>
      </c>
      <c r="AF7" s="77" t="str">
        <f>IF(Sheet1!F11="","","")</f>
        <v/>
      </c>
      <c r="AG7" s="77" t="str">
        <f>IF(Sheet1!E11="","",Sheet1!AP11)</f>
        <v/>
      </c>
      <c r="AH7" s="82">
        <f>Sheet1!CX17</f>
        <v>0</v>
      </c>
      <c r="AI7" s="82">
        <f>Sheet1!CY17</f>
        <v>0</v>
      </c>
      <c r="AJ7" s="82">
        <f>Sheet1!CZ17</f>
        <v>0</v>
      </c>
      <c r="AK7" s="82">
        <f>Sheet1!DA17</f>
        <v>0</v>
      </c>
      <c r="AL7" s="82">
        <f>Sheet1!DB17</f>
        <v>0</v>
      </c>
      <c r="AM7" s="82">
        <f>Sheet1!DC17</f>
        <v>0</v>
      </c>
      <c r="AN7" s="82">
        <f>Sheet1!DD17</f>
        <v>0</v>
      </c>
      <c r="AO7" s="82">
        <f>Sheet1!DE17</f>
        <v>0</v>
      </c>
      <c r="AP7" s="82">
        <f>Sheet1!DF17</f>
        <v>0</v>
      </c>
      <c r="AQ7" s="82">
        <f>Sheet1!DG17</f>
        <v>0</v>
      </c>
      <c r="AR7" s="82">
        <f>Sheet1!DH17</f>
        <v>0</v>
      </c>
      <c r="AS7" s="82">
        <f>Sheet1!DI17</f>
        <v>0</v>
      </c>
      <c r="AT7" s="82">
        <f>Sheet1!DJ17</f>
        <v>0</v>
      </c>
      <c r="AU7" s="82">
        <f>Sheet1!DK17</f>
        <v>0</v>
      </c>
      <c r="AV7" s="82">
        <f>Sheet1!DL17</f>
        <v>0</v>
      </c>
      <c r="AW7" s="82">
        <f>Sheet1!DM17</f>
        <v>0</v>
      </c>
      <c r="AX7" s="82">
        <f>Sheet1!DN17</f>
        <v>0</v>
      </c>
      <c r="AY7" s="82">
        <f>Sheet1!DO17</f>
        <v>0</v>
      </c>
      <c r="AZ7" s="82">
        <f>Sheet1!DP17</f>
        <v>0</v>
      </c>
      <c r="BA7" s="82">
        <f>Sheet1!DQ17</f>
        <v>0</v>
      </c>
      <c r="BB7">
        <f t="shared" si="0"/>
        <v>0</v>
      </c>
    </row>
    <row r="8" spans="1:54">
      <c r="A8" s="77" t="str">
        <f>Sheet1!B12</f>
        <v/>
      </c>
      <c r="B8" s="77" t="str">
        <f>IF(Sheet1!E12="","",Sheet1!E12)</f>
        <v/>
      </c>
      <c r="C8" s="77" t="str">
        <f>IF(Sheet1!P12="","",Sheet1!P12-Sheet1!FV18)</f>
        <v/>
      </c>
      <c r="D8" s="77" t="str">
        <f>IF(Sheet1!Q12="","",Sheet1!Q12)</f>
        <v/>
      </c>
      <c r="E8" s="77" t="str">
        <f>IF(Sheet1!R12="","",Sheet1!R12)</f>
        <v/>
      </c>
      <c r="F8" s="77" t="str">
        <f>IF(Sheet1!S12="","",Sheet1!S12)</f>
        <v/>
      </c>
      <c r="G8" s="77" t="str">
        <f>IF(Sheet1!T12="","",Sheet1!T12)</f>
        <v/>
      </c>
      <c r="H8" s="77" t="str">
        <f>IF(Sheet1!U12="","",Sheet1!U12)</f>
        <v/>
      </c>
      <c r="I8" s="77" t="str">
        <f>IF(Sheet1!V12="","",Sheet1!V12)</f>
        <v/>
      </c>
      <c r="J8" s="77" t="str">
        <f>IF(Sheet1!W12="","",Sheet1!W12)</f>
        <v/>
      </c>
      <c r="K8" s="77" t="str">
        <f>IF(Sheet1!X12="","",Sheet1!X12)</f>
        <v/>
      </c>
      <c r="L8" s="77" t="str">
        <f>IF(Sheet1!Y12="","",Sheet1!Y12)</f>
        <v/>
      </c>
      <c r="M8" s="77" t="str">
        <f>IF(Sheet1!Z12="","",Sheet1!Z12)</f>
        <v/>
      </c>
      <c r="N8" s="77" t="str">
        <f>IF(Sheet1!AA12="","",Sheet1!AA12)</f>
        <v/>
      </c>
      <c r="O8" s="77" t="str">
        <f>IF(OR(Sheet1!AB12=0,Sheet1!AB12=""),"",Sheet1!AB12)</f>
        <v/>
      </c>
      <c r="P8" s="77" t="e">
        <f>IF(Sheet1!BT19="","",Sheet1!BT19/S8)</f>
        <v>#VALUE!</v>
      </c>
      <c r="Q8" s="77">
        <f>IFERROR(IF(OR(ISBLANK(Sheet1!BF18),P8=0),0,70),0)</f>
        <v>0</v>
      </c>
      <c r="R8" s="77" t="str">
        <f>IF(Sheet1!AE12="","",Sheet1!AE12)</f>
        <v/>
      </c>
      <c r="S8" s="77" t="str">
        <f>IF(Sheet1!AO12="","",Sheet1!AO12)</f>
        <v/>
      </c>
      <c r="T8" s="77" t="str">
        <f>IF(Sheet1!G48="","",Sheet1!G48)</f>
        <v/>
      </c>
      <c r="U8" s="77" t="str">
        <f>IF(Sheet1!K48="","",Sheet1!K48)</f>
        <v/>
      </c>
      <c r="V8" s="77" t="str">
        <f>IF(Sheet1!L48="","",Sheet1!L48)</f>
        <v/>
      </c>
      <c r="W8" s="77" t="str">
        <f>IF(Sheet1!M48="","",Sheet1!M48)</f>
        <v/>
      </c>
      <c r="X8" s="77"/>
      <c r="Y8" s="77" t="str">
        <f>IF(Sheet1!J12="","",Sheet1!J12)</f>
        <v/>
      </c>
      <c r="Z8" s="77" t="str">
        <f>IF(Sheet1!K12="","",Sheet1!K12)</f>
        <v/>
      </c>
      <c r="AA8" s="77" t="str">
        <f>IF(Sheet1!L12="","",Sheet1!L12)</f>
        <v/>
      </c>
      <c r="AB8" s="77" t="str">
        <f>IF(Sheet1!M12="","",Sheet1!M12)</f>
        <v/>
      </c>
      <c r="AC8" s="77" t="str">
        <f>IF(Sheet1!N12="","",Sheet1!N12)</f>
        <v/>
      </c>
      <c r="AD8" s="77" t="str">
        <f>IF(Sheet1!O12="","",Sheet1!O12)</f>
        <v/>
      </c>
      <c r="AE8" s="77" t="str">
        <f>IF(Sheet1!G12="","",Sheet1!G12)</f>
        <v/>
      </c>
      <c r="AF8" s="77" t="str">
        <f>IF(Sheet1!F12="","","")</f>
        <v/>
      </c>
      <c r="AG8" s="77" t="str">
        <f>IF(Sheet1!E12="","",Sheet1!AP12)</f>
        <v/>
      </c>
      <c r="AH8" s="82">
        <f>Sheet1!CX19</f>
        <v>0</v>
      </c>
      <c r="AI8" s="82">
        <f>Sheet1!CY19</f>
        <v>0</v>
      </c>
      <c r="AJ8" s="82">
        <f>Sheet1!CZ19</f>
        <v>0</v>
      </c>
      <c r="AK8" s="82">
        <f>Sheet1!DA19</f>
        <v>0</v>
      </c>
      <c r="AL8" s="82">
        <f>Sheet1!DB19</f>
        <v>0</v>
      </c>
      <c r="AM8" s="82">
        <f>Sheet1!DC19</f>
        <v>0</v>
      </c>
      <c r="AN8" s="82">
        <f>Sheet1!DD19</f>
        <v>0</v>
      </c>
      <c r="AO8" s="82">
        <f>Sheet1!DE19</f>
        <v>0</v>
      </c>
      <c r="AP8" s="82">
        <f>Sheet1!DF19</f>
        <v>0</v>
      </c>
      <c r="AQ8" s="82">
        <f>Sheet1!DG19</f>
        <v>0</v>
      </c>
      <c r="AR8" s="82">
        <f>Sheet1!DH19</f>
        <v>0</v>
      </c>
      <c r="AS8" s="82">
        <f>Sheet1!DI19</f>
        <v>0</v>
      </c>
      <c r="AT8" s="82">
        <f>Sheet1!DJ19</f>
        <v>0</v>
      </c>
      <c r="AU8" s="82">
        <f>Sheet1!DK19</f>
        <v>0</v>
      </c>
      <c r="AV8" s="82">
        <f>Sheet1!DL19</f>
        <v>0</v>
      </c>
      <c r="AW8" s="82">
        <f>Sheet1!DM19</f>
        <v>0</v>
      </c>
      <c r="AX8" s="82">
        <f>Sheet1!DN19</f>
        <v>0</v>
      </c>
      <c r="AY8" s="82">
        <f>Sheet1!DO19</f>
        <v>0</v>
      </c>
      <c r="AZ8" s="82">
        <f>Sheet1!DP19</f>
        <v>0</v>
      </c>
      <c r="BA8" s="82">
        <f>Sheet1!DQ19</f>
        <v>0</v>
      </c>
      <c r="BB8">
        <f t="shared" si="0"/>
        <v>0</v>
      </c>
    </row>
    <row r="9" spans="1:54">
      <c r="A9" s="77" t="str">
        <f>Sheet1!B13</f>
        <v/>
      </c>
      <c r="B9" s="77" t="str">
        <f>IF(Sheet1!E13="","",Sheet1!E13)</f>
        <v/>
      </c>
      <c r="C9" s="77" t="str">
        <f>IF(Sheet1!P13="","",Sheet1!P13-Sheet1!FV20)</f>
        <v/>
      </c>
      <c r="D9" s="77" t="str">
        <f>IF(Sheet1!Q13="","",Sheet1!Q13)</f>
        <v/>
      </c>
      <c r="E9" s="77" t="str">
        <f>IF(Sheet1!R13="","",Sheet1!R13)</f>
        <v/>
      </c>
      <c r="F9" s="77" t="str">
        <f>IF(Sheet1!S13="","",Sheet1!S13)</f>
        <v/>
      </c>
      <c r="G9" s="77" t="str">
        <f>IF(Sheet1!T13="","",Sheet1!T13)</f>
        <v/>
      </c>
      <c r="H9" s="77" t="str">
        <f>IF(Sheet1!U13="","",Sheet1!U13)</f>
        <v/>
      </c>
      <c r="I9" s="77" t="str">
        <f>IF(Sheet1!V13="","",Sheet1!V13)</f>
        <v/>
      </c>
      <c r="J9" s="77" t="str">
        <f>IF(Sheet1!W13="","",Sheet1!W13)</f>
        <v/>
      </c>
      <c r="K9" s="77" t="str">
        <f>IF(Sheet1!X13="","",Sheet1!X13)</f>
        <v/>
      </c>
      <c r="L9" s="77" t="str">
        <f>IF(Sheet1!Y13="","",Sheet1!Y13)</f>
        <v/>
      </c>
      <c r="M9" s="77" t="str">
        <f>IF(Sheet1!Z13="","",Sheet1!Z13)</f>
        <v/>
      </c>
      <c r="N9" s="77" t="str">
        <f>IF(Sheet1!AA13="","",Sheet1!AA13)</f>
        <v/>
      </c>
      <c r="O9" s="77" t="str">
        <f>IF(OR(Sheet1!AB13=0,Sheet1!AB13=""),"",Sheet1!AB13)</f>
        <v/>
      </c>
      <c r="P9" s="77" t="e">
        <f>IF(Sheet1!BT21="","",Sheet1!BT21/S9)</f>
        <v>#VALUE!</v>
      </c>
      <c r="Q9" s="77">
        <f>IFERROR(IF(OR(ISBLANK(Sheet1!BF20),P9=0),0,70),0)</f>
        <v>0</v>
      </c>
      <c r="R9" s="77" t="str">
        <f>IF(Sheet1!AE13="","",Sheet1!AE13)</f>
        <v/>
      </c>
      <c r="S9" s="77" t="str">
        <f>IF(Sheet1!AO13="","",Sheet1!AO13)</f>
        <v/>
      </c>
      <c r="T9" s="77" t="str">
        <f>IF(Sheet1!G49="","",Sheet1!G49)</f>
        <v/>
      </c>
      <c r="U9" s="77" t="str">
        <f>IF(Sheet1!K49="","",Sheet1!K49)</f>
        <v/>
      </c>
      <c r="V9" s="77" t="str">
        <f>IF(Sheet1!L49="","",Sheet1!L49)</f>
        <v/>
      </c>
      <c r="W9" s="77" t="str">
        <f>IF(Sheet1!M49="","",Sheet1!M49)</f>
        <v/>
      </c>
      <c r="X9" s="77"/>
      <c r="Y9" s="77" t="str">
        <f>IF(Sheet1!J13="","",Sheet1!J13)</f>
        <v/>
      </c>
      <c r="Z9" s="77" t="str">
        <f>IF(Sheet1!K13="","",Sheet1!K13)</f>
        <v/>
      </c>
      <c r="AA9" s="77" t="str">
        <f>IF(Sheet1!L13="","",Sheet1!L13)</f>
        <v/>
      </c>
      <c r="AB9" s="77" t="str">
        <f>IF(Sheet1!M13="","",Sheet1!M13)</f>
        <v/>
      </c>
      <c r="AC9" s="77" t="str">
        <f>IF(Sheet1!N13="","",Sheet1!N13)</f>
        <v/>
      </c>
      <c r="AD9" s="77" t="str">
        <f>IF(Sheet1!O13="","",Sheet1!O13)</f>
        <v/>
      </c>
      <c r="AE9" s="77" t="str">
        <f>IF(Sheet1!G13="","",Sheet1!G13)</f>
        <v/>
      </c>
      <c r="AF9" s="77" t="str">
        <f>IF(Sheet1!F13="","","")</f>
        <v/>
      </c>
      <c r="AG9" s="77" t="str">
        <f>IF(Sheet1!E13="","",Sheet1!AP13)</f>
        <v/>
      </c>
      <c r="AH9" s="82">
        <f>Sheet1!CX21</f>
        <v>0</v>
      </c>
      <c r="AI9" s="82">
        <f>Sheet1!CY21</f>
        <v>0</v>
      </c>
      <c r="AJ9" s="82">
        <f>Sheet1!CZ21</f>
        <v>0</v>
      </c>
      <c r="AK9" s="82">
        <f>Sheet1!DA21</f>
        <v>0</v>
      </c>
      <c r="AL9" s="82">
        <f>Sheet1!DB21</f>
        <v>0</v>
      </c>
      <c r="AM9" s="82">
        <f>Sheet1!DC21</f>
        <v>0</v>
      </c>
      <c r="AN9" s="82">
        <f>Sheet1!DD21</f>
        <v>0</v>
      </c>
      <c r="AO9" s="82">
        <f>Sheet1!DE21</f>
        <v>0</v>
      </c>
      <c r="AP9" s="82">
        <f>Sheet1!DF21</f>
        <v>0</v>
      </c>
      <c r="AQ9" s="82">
        <f>Sheet1!DG21</f>
        <v>0</v>
      </c>
      <c r="AR9" s="82">
        <f>Sheet1!DH21</f>
        <v>0</v>
      </c>
      <c r="AS9" s="82">
        <f>Sheet1!DI21</f>
        <v>0</v>
      </c>
      <c r="AT9" s="82">
        <f>Sheet1!DJ21</f>
        <v>0</v>
      </c>
      <c r="AU9" s="82">
        <f>Sheet1!DK21</f>
        <v>0</v>
      </c>
      <c r="AV9" s="82">
        <f>Sheet1!DL21</f>
        <v>0</v>
      </c>
      <c r="AW9" s="82">
        <f>Sheet1!DM21</f>
        <v>0</v>
      </c>
      <c r="AX9" s="82">
        <f>Sheet1!DN21</f>
        <v>0</v>
      </c>
      <c r="AY9" s="82">
        <f>Sheet1!DO21</f>
        <v>0</v>
      </c>
      <c r="AZ9" s="82">
        <f>Sheet1!DP21</f>
        <v>0</v>
      </c>
      <c r="BA9" s="82">
        <f>Sheet1!DQ21</f>
        <v>0</v>
      </c>
      <c r="BB9">
        <f t="shared" si="0"/>
        <v>0</v>
      </c>
    </row>
    <row r="10" spans="1:54">
      <c r="A10" s="77" t="str">
        <f>Sheet1!B14</f>
        <v/>
      </c>
      <c r="B10" s="77" t="str">
        <f>IF(Sheet1!E14="","",Sheet1!E14)</f>
        <v/>
      </c>
      <c r="C10" s="77" t="str">
        <f>IF(Sheet1!P14="","",Sheet1!P14-Sheet1!FV22)</f>
        <v/>
      </c>
      <c r="D10" s="77" t="str">
        <f>IF(Sheet1!Q14="","",Sheet1!Q14)</f>
        <v/>
      </c>
      <c r="E10" s="77" t="str">
        <f>IF(Sheet1!R14="","",Sheet1!R14)</f>
        <v/>
      </c>
      <c r="F10" s="77" t="str">
        <f>IF(Sheet1!S14="","",Sheet1!S14)</f>
        <v/>
      </c>
      <c r="G10" s="77" t="str">
        <f>IF(Sheet1!T14="","",Sheet1!T14)</f>
        <v/>
      </c>
      <c r="H10" s="77" t="str">
        <f>IF(Sheet1!U14="","",Sheet1!U14)</f>
        <v/>
      </c>
      <c r="I10" s="77" t="str">
        <f>IF(Sheet1!V14="","",Sheet1!V14)</f>
        <v/>
      </c>
      <c r="J10" s="77" t="str">
        <f>IF(Sheet1!W14="","",Sheet1!W14)</f>
        <v/>
      </c>
      <c r="K10" s="77" t="str">
        <f>IF(Sheet1!X14="","",Sheet1!X14)</f>
        <v/>
      </c>
      <c r="L10" s="77" t="str">
        <f>IF(Sheet1!Y14="","",Sheet1!Y14)</f>
        <v/>
      </c>
      <c r="M10" s="77" t="str">
        <f>IF(Sheet1!Z14="","",Sheet1!Z14)</f>
        <v/>
      </c>
      <c r="N10" s="77" t="str">
        <f>IF(Sheet1!AA14="","",Sheet1!AA14)</f>
        <v/>
      </c>
      <c r="O10" s="77" t="str">
        <f>IF(OR(Sheet1!AB14=0,Sheet1!AB14=""),"",Sheet1!AB14)</f>
        <v/>
      </c>
      <c r="P10" s="77" t="e">
        <f>IF(Sheet1!BT23="","",Sheet1!BT23/S10)</f>
        <v>#VALUE!</v>
      </c>
      <c r="Q10" s="77">
        <f>IFERROR(IF(OR(ISBLANK(Sheet1!BF22),P10=0),0,70),0)</f>
        <v>0</v>
      </c>
      <c r="R10" s="77" t="str">
        <f>IF(Sheet1!AE14="","",Sheet1!AE14)</f>
        <v/>
      </c>
      <c r="S10" s="77" t="str">
        <f>IF(Sheet1!AO14="","",Sheet1!AO14)</f>
        <v/>
      </c>
      <c r="T10" s="77" t="str">
        <f>IF(Sheet1!G50="","",Sheet1!G50)</f>
        <v/>
      </c>
      <c r="U10" s="77" t="str">
        <f>IF(Sheet1!K50="","",Sheet1!K50)</f>
        <v/>
      </c>
      <c r="V10" s="77" t="str">
        <f>IF(Sheet1!L50="","",Sheet1!L50)</f>
        <v/>
      </c>
      <c r="W10" s="77" t="str">
        <f>IF(Sheet1!M50="","",Sheet1!M50)</f>
        <v/>
      </c>
      <c r="X10" s="77"/>
      <c r="Y10" s="77" t="str">
        <f>IF(Sheet1!J14="","",Sheet1!J14)</f>
        <v/>
      </c>
      <c r="Z10" s="77" t="str">
        <f>IF(Sheet1!K14="","",Sheet1!K14)</f>
        <v/>
      </c>
      <c r="AA10" s="77" t="str">
        <f>IF(Sheet1!L14="","",Sheet1!L14)</f>
        <v/>
      </c>
      <c r="AB10" s="77" t="str">
        <f>IF(Sheet1!M14="","",Sheet1!M14)</f>
        <v/>
      </c>
      <c r="AC10" s="77" t="str">
        <f>IF(Sheet1!N14="","",Sheet1!N14)</f>
        <v/>
      </c>
      <c r="AD10" s="77" t="str">
        <f>IF(Sheet1!O14="","",Sheet1!O14)</f>
        <v/>
      </c>
      <c r="AE10" s="77" t="str">
        <f>IF(Sheet1!G14="","",Sheet1!G14)</f>
        <v/>
      </c>
      <c r="AF10" s="77" t="str">
        <f>IF(Sheet1!F14="","","")</f>
        <v/>
      </c>
      <c r="AG10" s="77" t="str">
        <f>IF(Sheet1!E14="","",Sheet1!AP14)</f>
        <v/>
      </c>
      <c r="AH10" s="82">
        <f>Sheet1!CX23</f>
        <v>0</v>
      </c>
      <c r="AI10" s="82">
        <f>Sheet1!CY23</f>
        <v>0</v>
      </c>
      <c r="AJ10" s="82">
        <f>Sheet1!CZ23</f>
        <v>0</v>
      </c>
      <c r="AK10" s="82">
        <f>Sheet1!DA23</f>
        <v>0</v>
      </c>
      <c r="AL10" s="82">
        <f>Sheet1!DB23</f>
        <v>0</v>
      </c>
      <c r="AM10" s="82">
        <f>Sheet1!DC23</f>
        <v>0</v>
      </c>
      <c r="AN10" s="82">
        <f>Sheet1!DD23</f>
        <v>0</v>
      </c>
      <c r="AO10" s="82">
        <f>Sheet1!DE23</f>
        <v>0</v>
      </c>
      <c r="AP10" s="82">
        <f>Sheet1!DF23</f>
        <v>0</v>
      </c>
      <c r="AQ10" s="82">
        <f>Sheet1!DG23</f>
        <v>0</v>
      </c>
      <c r="AR10" s="82">
        <f>Sheet1!DH23</f>
        <v>0</v>
      </c>
      <c r="AS10" s="82">
        <f>Sheet1!DI23</f>
        <v>0</v>
      </c>
      <c r="AT10" s="82">
        <f>Sheet1!DJ23</f>
        <v>0</v>
      </c>
      <c r="AU10" s="82">
        <f>Sheet1!DK23</f>
        <v>0</v>
      </c>
      <c r="AV10" s="82">
        <f>Sheet1!DL23</f>
        <v>0</v>
      </c>
      <c r="AW10" s="82">
        <f>Sheet1!DM23</f>
        <v>0</v>
      </c>
      <c r="AX10" s="82">
        <f>Sheet1!DN23</f>
        <v>0</v>
      </c>
      <c r="AY10" s="82">
        <f>Sheet1!DO23</f>
        <v>0</v>
      </c>
      <c r="AZ10" s="82">
        <f>Sheet1!DP23</f>
        <v>0</v>
      </c>
      <c r="BA10" s="82">
        <f>Sheet1!DQ23</f>
        <v>0</v>
      </c>
      <c r="BB10">
        <f t="shared" si="0"/>
        <v>0</v>
      </c>
    </row>
    <row r="11" spans="1:54">
      <c r="A11" s="77" t="str">
        <f>Sheet1!B15</f>
        <v/>
      </c>
      <c r="B11" s="77" t="str">
        <f>IF(Sheet1!E15="","",Sheet1!E15)</f>
        <v/>
      </c>
      <c r="C11" s="77" t="str">
        <f>IF(Sheet1!P15="","",Sheet1!P15-Sheet1!FV24)</f>
        <v/>
      </c>
      <c r="D11" s="77" t="str">
        <f>IF(Sheet1!Q15="","",Sheet1!Q15)</f>
        <v/>
      </c>
      <c r="E11" s="77" t="str">
        <f>IF(Sheet1!R15="","",Sheet1!R15)</f>
        <v/>
      </c>
      <c r="F11" s="77" t="str">
        <f>IF(Sheet1!S15="","",Sheet1!S15)</f>
        <v/>
      </c>
      <c r="G11" s="77" t="str">
        <f>IF(Sheet1!T15="","",Sheet1!T15)</f>
        <v/>
      </c>
      <c r="H11" s="77" t="str">
        <f>IF(Sheet1!U15="","",Sheet1!U15)</f>
        <v/>
      </c>
      <c r="I11" s="77" t="str">
        <f>IF(Sheet1!V15="","",Sheet1!V15)</f>
        <v/>
      </c>
      <c r="J11" s="77" t="str">
        <f>IF(Sheet1!W15="","",Sheet1!W15)</f>
        <v/>
      </c>
      <c r="K11" s="77" t="str">
        <f>IF(Sheet1!X15="","",Sheet1!X15)</f>
        <v/>
      </c>
      <c r="L11" s="77" t="str">
        <f>IF(Sheet1!Y15="","",Sheet1!Y15)</f>
        <v/>
      </c>
      <c r="M11" s="77" t="str">
        <f>IF(Sheet1!Z15="","",Sheet1!Z15)</f>
        <v/>
      </c>
      <c r="N11" s="77" t="str">
        <f>IF(Sheet1!AA15="","",Sheet1!AA15)</f>
        <v/>
      </c>
      <c r="O11" s="77" t="str">
        <f>IF(OR(Sheet1!AB15=0,Sheet1!AB15=""),"",Sheet1!AB15)</f>
        <v/>
      </c>
      <c r="P11" s="77" t="e">
        <f>IF(Sheet1!BT25="","",Sheet1!BT25/S11)</f>
        <v>#VALUE!</v>
      </c>
      <c r="Q11" s="77">
        <f>IFERROR(IF(OR(ISBLANK(Sheet1!BF24),P11=0),0,70),0)</f>
        <v>0</v>
      </c>
      <c r="R11" s="77" t="str">
        <f>IF(Sheet1!AE15="","",Sheet1!AE15)</f>
        <v/>
      </c>
      <c r="S11" s="77" t="str">
        <f>IF(Sheet1!AO15="","",Sheet1!AO15)</f>
        <v/>
      </c>
      <c r="T11" s="77" t="str">
        <f>IF(Sheet1!G51="","",Sheet1!G51)</f>
        <v/>
      </c>
      <c r="U11" s="77" t="str">
        <f>IF(Sheet1!K51="","",Sheet1!K51)</f>
        <v/>
      </c>
      <c r="V11" s="77" t="str">
        <f>IF(Sheet1!L51="","",Sheet1!L51)</f>
        <v/>
      </c>
      <c r="W11" s="77" t="str">
        <f>IF(Sheet1!M51="","",Sheet1!M51)</f>
        <v/>
      </c>
      <c r="X11" s="77"/>
      <c r="Y11" s="77" t="str">
        <f>IF(Sheet1!J15="","",Sheet1!J15)</f>
        <v/>
      </c>
      <c r="Z11" s="77" t="str">
        <f>IF(Sheet1!K15="","",Sheet1!K15)</f>
        <v/>
      </c>
      <c r="AA11" s="77" t="str">
        <f>IF(Sheet1!L15="","",Sheet1!L15)</f>
        <v/>
      </c>
      <c r="AB11" s="77" t="str">
        <f>IF(Sheet1!M15="","",Sheet1!M15)</f>
        <v/>
      </c>
      <c r="AC11" s="77" t="str">
        <f>IF(Sheet1!N15="","",Sheet1!N15)</f>
        <v/>
      </c>
      <c r="AD11" s="77" t="str">
        <f>IF(Sheet1!O15="","",Sheet1!O15)</f>
        <v/>
      </c>
      <c r="AE11" s="77" t="str">
        <f>IF(Sheet1!G15="","",Sheet1!G15)</f>
        <v/>
      </c>
      <c r="AF11" s="77" t="str">
        <f>IF(Sheet1!F15="","","")</f>
        <v/>
      </c>
      <c r="AG11" s="77" t="str">
        <f>IF(Sheet1!E15="","",Sheet1!AP15)</f>
        <v/>
      </c>
      <c r="AH11" s="82">
        <f>Sheet1!CX25</f>
        <v>0</v>
      </c>
      <c r="AI11" s="82">
        <f>Sheet1!CY25</f>
        <v>0</v>
      </c>
      <c r="AJ11" s="82">
        <f>Sheet1!CZ25</f>
        <v>0</v>
      </c>
      <c r="AK11" s="82">
        <f>Sheet1!DA25</f>
        <v>0</v>
      </c>
      <c r="AL11" s="82">
        <f>Sheet1!DB25</f>
        <v>0</v>
      </c>
      <c r="AM11" s="82">
        <f>Sheet1!DC25</f>
        <v>0</v>
      </c>
      <c r="AN11" s="82">
        <f>Sheet1!DD25</f>
        <v>0</v>
      </c>
      <c r="AO11" s="82">
        <f>Sheet1!DE25</f>
        <v>0</v>
      </c>
      <c r="AP11" s="82">
        <f>Sheet1!DF25</f>
        <v>0</v>
      </c>
      <c r="AQ11" s="82">
        <f>Sheet1!DG25</f>
        <v>0</v>
      </c>
      <c r="AR11" s="82">
        <f>Sheet1!DH25</f>
        <v>0</v>
      </c>
      <c r="AS11" s="82">
        <f>Sheet1!DI25</f>
        <v>0</v>
      </c>
      <c r="AT11" s="82">
        <f>Sheet1!DJ25</f>
        <v>0</v>
      </c>
      <c r="AU11" s="82">
        <f>Sheet1!DK25</f>
        <v>0</v>
      </c>
      <c r="AV11" s="82">
        <f>Sheet1!DL25</f>
        <v>0</v>
      </c>
      <c r="AW11" s="82">
        <f>Sheet1!DM25</f>
        <v>0</v>
      </c>
      <c r="AX11" s="82">
        <f>Sheet1!DN25</f>
        <v>0</v>
      </c>
      <c r="AY11" s="82">
        <f>Sheet1!DO25</f>
        <v>0</v>
      </c>
      <c r="AZ11" s="82">
        <f>Sheet1!DP25</f>
        <v>0</v>
      </c>
      <c r="BA11" s="82">
        <f>Sheet1!DQ25</f>
        <v>0</v>
      </c>
      <c r="BB11">
        <f t="shared" si="0"/>
        <v>0</v>
      </c>
    </row>
    <row r="12" spans="1:54">
      <c r="A12" s="77" t="str">
        <f>Sheet1!B16</f>
        <v/>
      </c>
      <c r="B12" s="77" t="str">
        <f>IF(Sheet1!E16="","",Sheet1!E16)</f>
        <v/>
      </c>
      <c r="C12" s="77" t="str">
        <f>IF(Sheet1!P16="","",Sheet1!P16-Sheet1!FV26)</f>
        <v/>
      </c>
      <c r="D12" s="77" t="str">
        <f>IF(Sheet1!Q16="","",Sheet1!Q16)</f>
        <v/>
      </c>
      <c r="E12" s="77" t="str">
        <f>IF(Sheet1!R16="","",Sheet1!R16)</f>
        <v/>
      </c>
      <c r="F12" s="77" t="str">
        <f>IF(Sheet1!S16="","",Sheet1!S16)</f>
        <v/>
      </c>
      <c r="G12" s="77" t="str">
        <f>IF(Sheet1!T16="","",Sheet1!T16)</f>
        <v/>
      </c>
      <c r="H12" s="77" t="str">
        <f>IF(Sheet1!U16="","",Sheet1!U16)</f>
        <v/>
      </c>
      <c r="I12" s="77" t="str">
        <f>IF(Sheet1!V16="","",Sheet1!V16)</f>
        <v/>
      </c>
      <c r="J12" s="77" t="str">
        <f>IF(Sheet1!W16="","",Sheet1!W16)</f>
        <v/>
      </c>
      <c r="K12" s="77" t="str">
        <f>IF(Sheet1!X16="","",Sheet1!X16)</f>
        <v/>
      </c>
      <c r="L12" s="77" t="str">
        <f>IF(Sheet1!Y16="","",Sheet1!Y16)</f>
        <v/>
      </c>
      <c r="M12" s="77" t="str">
        <f>IF(Sheet1!Z16="","",Sheet1!Z16)</f>
        <v/>
      </c>
      <c r="N12" s="77" t="str">
        <f>IF(Sheet1!AA16="","",Sheet1!AA16)</f>
        <v/>
      </c>
      <c r="O12" s="77" t="str">
        <f>IF(OR(Sheet1!AB16=0,Sheet1!AB16=""),"",Sheet1!AB16)</f>
        <v/>
      </c>
      <c r="P12" s="77" t="e">
        <f>IF(Sheet1!BT27="","",Sheet1!BT27/S12)</f>
        <v>#VALUE!</v>
      </c>
      <c r="Q12" s="77">
        <f>IFERROR(IF(OR(ISBLANK(Sheet1!BF26),P12=0),0,70),0)</f>
        <v>0</v>
      </c>
      <c r="R12" s="77" t="str">
        <f>IF(Sheet1!AE16="","",Sheet1!AE16)</f>
        <v/>
      </c>
      <c r="S12" s="77" t="str">
        <f>IF(Sheet1!AO16="","",Sheet1!AO16)</f>
        <v/>
      </c>
      <c r="T12" s="77" t="str">
        <f>IF(Sheet1!G52="","",Sheet1!G52)</f>
        <v/>
      </c>
      <c r="U12" s="77" t="str">
        <f>IF(Sheet1!K52="","",Sheet1!K52)</f>
        <v/>
      </c>
      <c r="V12" s="77" t="str">
        <f>IF(Sheet1!L52="","",Sheet1!L52)</f>
        <v/>
      </c>
      <c r="W12" s="77" t="str">
        <f>IF(Sheet1!M52="","",Sheet1!M52)</f>
        <v/>
      </c>
      <c r="X12" s="77"/>
      <c r="Y12" s="77" t="str">
        <f>IF(Sheet1!J16="","",Sheet1!J16)</f>
        <v/>
      </c>
      <c r="Z12" s="77" t="str">
        <f>IF(Sheet1!K16="","",Sheet1!K16)</f>
        <v/>
      </c>
      <c r="AA12" s="77" t="str">
        <f>IF(Sheet1!L16="","",Sheet1!L16)</f>
        <v/>
      </c>
      <c r="AB12" s="77" t="str">
        <f>IF(Sheet1!M16="","",Sheet1!M16)</f>
        <v/>
      </c>
      <c r="AC12" s="77" t="str">
        <f>IF(Sheet1!N16="","",Sheet1!N16)</f>
        <v/>
      </c>
      <c r="AD12" s="77" t="str">
        <f>IF(Sheet1!O16="","",Sheet1!O16)</f>
        <v/>
      </c>
      <c r="AE12" s="77" t="str">
        <f>IF(Sheet1!G16="","",Sheet1!G16)</f>
        <v/>
      </c>
      <c r="AF12" s="77" t="str">
        <f>IF(Sheet1!F16="","","")</f>
        <v/>
      </c>
      <c r="AG12" s="77" t="str">
        <f>IF(Sheet1!E16="","",Sheet1!AP16)</f>
        <v/>
      </c>
      <c r="AH12" s="82">
        <f>Sheet1!CX27</f>
        <v>0</v>
      </c>
      <c r="AI12" s="82">
        <f>Sheet1!CY27</f>
        <v>0</v>
      </c>
      <c r="AJ12" s="82">
        <f>Sheet1!CZ27</f>
        <v>0</v>
      </c>
      <c r="AK12" s="82">
        <f>Sheet1!DA27</f>
        <v>0</v>
      </c>
      <c r="AL12" s="82">
        <f>Sheet1!DB27</f>
        <v>0</v>
      </c>
      <c r="AM12" s="82">
        <f>Sheet1!DC27</f>
        <v>0</v>
      </c>
      <c r="AN12" s="82">
        <f>Sheet1!DD27</f>
        <v>0</v>
      </c>
      <c r="AO12" s="82">
        <f>Sheet1!DE27</f>
        <v>0</v>
      </c>
      <c r="AP12" s="82">
        <f>Sheet1!DF27</f>
        <v>0</v>
      </c>
      <c r="AQ12" s="82">
        <f>Sheet1!DG27</f>
        <v>0</v>
      </c>
      <c r="AR12" s="82">
        <f>Sheet1!DH27</f>
        <v>0</v>
      </c>
      <c r="AS12" s="82">
        <f>Sheet1!DI27</f>
        <v>0</v>
      </c>
      <c r="AT12" s="82">
        <f>Sheet1!DJ27</f>
        <v>0</v>
      </c>
      <c r="AU12" s="82">
        <f>Sheet1!DK27</f>
        <v>0</v>
      </c>
      <c r="AV12" s="82">
        <f>Sheet1!DL27</f>
        <v>0</v>
      </c>
      <c r="AW12" s="82">
        <f>Sheet1!DM27</f>
        <v>0</v>
      </c>
      <c r="AX12" s="82">
        <f>Sheet1!DN27</f>
        <v>0</v>
      </c>
      <c r="AY12" s="82">
        <f>Sheet1!DO27</f>
        <v>0</v>
      </c>
      <c r="AZ12" s="82">
        <f>Sheet1!DP27</f>
        <v>0</v>
      </c>
      <c r="BA12" s="82">
        <f>Sheet1!DQ27</f>
        <v>0</v>
      </c>
      <c r="BB12">
        <f t="shared" si="0"/>
        <v>0</v>
      </c>
    </row>
    <row r="13" spans="1:54">
      <c r="A13" s="77" t="str">
        <f>Sheet1!B17</f>
        <v/>
      </c>
      <c r="B13" s="77" t="str">
        <f>IF(Sheet1!E17="","",Sheet1!E17)</f>
        <v/>
      </c>
      <c r="C13" s="77" t="str">
        <f>IF(Sheet1!P17="","",Sheet1!P17-Sheet1!FV28)</f>
        <v/>
      </c>
      <c r="D13" s="77" t="str">
        <f>IF(Sheet1!Q17="","",Sheet1!Q17)</f>
        <v/>
      </c>
      <c r="E13" s="77" t="str">
        <f>IF(Sheet1!R17="","",Sheet1!R17)</f>
        <v/>
      </c>
      <c r="F13" s="77" t="str">
        <f>IF(Sheet1!S17="","",Sheet1!S17)</f>
        <v/>
      </c>
      <c r="G13" s="77" t="str">
        <f>IF(Sheet1!T17="","",Sheet1!T17)</f>
        <v/>
      </c>
      <c r="H13" s="77" t="str">
        <f>IF(Sheet1!U17="","",Sheet1!U17)</f>
        <v/>
      </c>
      <c r="I13" s="77" t="str">
        <f>IF(Sheet1!V17="","",Sheet1!V17)</f>
        <v/>
      </c>
      <c r="J13" s="77" t="str">
        <f>IF(Sheet1!W17="","",Sheet1!W17)</f>
        <v/>
      </c>
      <c r="K13" s="77" t="str">
        <f>IF(Sheet1!X17="","",Sheet1!X17)</f>
        <v/>
      </c>
      <c r="L13" s="77" t="str">
        <f>IF(Sheet1!Y17="","",Sheet1!Y17)</f>
        <v/>
      </c>
      <c r="M13" s="77" t="str">
        <f>IF(Sheet1!Z17="","",Sheet1!Z17)</f>
        <v/>
      </c>
      <c r="N13" s="77" t="str">
        <f>IF(Sheet1!AA17="","",Sheet1!AA17)</f>
        <v/>
      </c>
      <c r="O13" s="77" t="str">
        <f>IF(OR(Sheet1!AB17=0,Sheet1!AB17=""),"",Sheet1!AB17)</f>
        <v/>
      </c>
      <c r="P13" s="77" t="e">
        <f>IF(Sheet1!BT29="","",Sheet1!BT29/S13)</f>
        <v>#VALUE!</v>
      </c>
      <c r="Q13" s="77">
        <f>IFERROR(IF(OR(ISBLANK(Sheet1!BF28),P13=0),0,70),0)</f>
        <v>0</v>
      </c>
      <c r="R13" s="77" t="str">
        <f>IF(Sheet1!AE17="","",Sheet1!AE17)</f>
        <v/>
      </c>
      <c r="S13" s="77" t="str">
        <f>IF(Sheet1!AO17="","",Sheet1!AO17)</f>
        <v/>
      </c>
      <c r="T13" s="77" t="str">
        <f>IF(Sheet1!G53="","",Sheet1!G53)</f>
        <v/>
      </c>
      <c r="U13" s="77" t="str">
        <f>IF(Sheet1!K53="","",Sheet1!K53)</f>
        <v/>
      </c>
      <c r="V13" s="77" t="str">
        <f>IF(Sheet1!L53="","",Sheet1!L53)</f>
        <v/>
      </c>
      <c r="W13" s="77" t="str">
        <f>IF(Sheet1!M53="","",Sheet1!M53)</f>
        <v/>
      </c>
      <c r="X13" s="77"/>
      <c r="Y13" s="77" t="str">
        <f>IF(Sheet1!J17="","",Sheet1!J17)</f>
        <v/>
      </c>
      <c r="Z13" s="77" t="str">
        <f>IF(Sheet1!K17="","",Sheet1!K17)</f>
        <v/>
      </c>
      <c r="AA13" s="77" t="str">
        <f>IF(Sheet1!L17="","",Sheet1!L17)</f>
        <v/>
      </c>
      <c r="AB13" s="77" t="str">
        <f>IF(Sheet1!M17="","",Sheet1!M17)</f>
        <v/>
      </c>
      <c r="AC13" s="77" t="str">
        <f>IF(Sheet1!N17="","",Sheet1!N17)</f>
        <v/>
      </c>
      <c r="AD13" s="77" t="str">
        <f>IF(Sheet1!O17="","",Sheet1!O17)</f>
        <v/>
      </c>
      <c r="AE13" s="77" t="str">
        <f>IF(Sheet1!G17="","",Sheet1!G17)</f>
        <v/>
      </c>
      <c r="AF13" s="77" t="str">
        <f>IF(Sheet1!F17="","","")</f>
        <v/>
      </c>
      <c r="AG13" s="77" t="str">
        <f>IF(Sheet1!E17="","",Sheet1!AP17)</f>
        <v/>
      </c>
      <c r="AH13" s="82">
        <f>Sheet1!CX29</f>
        <v>0</v>
      </c>
      <c r="AI13" s="82">
        <f>Sheet1!CY29</f>
        <v>0</v>
      </c>
      <c r="AJ13" s="82">
        <f>Sheet1!CZ29</f>
        <v>0</v>
      </c>
      <c r="AK13" s="82">
        <f>Sheet1!DA29</f>
        <v>0</v>
      </c>
      <c r="AL13" s="82">
        <f>Sheet1!DB29</f>
        <v>0</v>
      </c>
      <c r="AM13" s="82">
        <f>Sheet1!DC29</f>
        <v>0</v>
      </c>
      <c r="AN13" s="82">
        <f>Sheet1!DD29</f>
        <v>0</v>
      </c>
      <c r="AO13" s="82">
        <f>Sheet1!DE29</f>
        <v>0</v>
      </c>
      <c r="AP13" s="82">
        <f>Sheet1!DF29</f>
        <v>0</v>
      </c>
      <c r="AQ13" s="82">
        <f>Sheet1!DG29</f>
        <v>0</v>
      </c>
      <c r="AR13" s="82">
        <f>Sheet1!DH29</f>
        <v>0</v>
      </c>
      <c r="AS13" s="82">
        <f>Sheet1!DI29</f>
        <v>0</v>
      </c>
      <c r="AT13" s="82">
        <f>Sheet1!DJ29</f>
        <v>0</v>
      </c>
      <c r="AU13" s="82">
        <f>Sheet1!DK29</f>
        <v>0</v>
      </c>
      <c r="AV13" s="82">
        <f>Sheet1!DL29</f>
        <v>0</v>
      </c>
      <c r="AW13" s="82">
        <f>Sheet1!DM29</f>
        <v>0</v>
      </c>
      <c r="AX13" s="82">
        <f>Sheet1!DN29</f>
        <v>0</v>
      </c>
      <c r="AY13" s="82">
        <f>Sheet1!DO29</f>
        <v>0</v>
      </c>
      <c r="AZ13" s="82">
        <f>Sheet1!DP29</f>
        <v>0</v>
      </c>
      <c r="BA13" s="82">
        <f>Sheet1!DQ29</f>
        <v>0</v>
      </c>
      <c r="BB13">
        <f t="shared" si="0"/>
        <v>0</v>
      </c>
    </row>
    <row r="14" spans="1:54">
      <c r="A14" s="77" t="str">
        <f>Sheet1!B18</f>
        <v/>
      </c>
      <c r="B14" s="77" t="str">
        <f>IF(Sheet1!E18="","",Sheet1!E18)</f>
        <v/>
      </c>
      <c r="C14" s="77" t="str">
        <f>IF(Sheet1!P18="","",Sheet1!P18-Sheet1!FV30)</f>
        <v/>
      </c>
      <c r="D14" s="77" t="str">
        <f>IF(Sheet1!Q18="","",Sheet1!Q18)</f>
        <v/>
      </c>
      <c r="E14" s="77" t="str">
        <f>IF(Sheet1!R18="","",Sheet1!R18)</f>
        <v/>
      </c>
      <c r="F14" s="77" t="str">
        <f>IF(Sheet1!S18="","",Sheet1!S18)</f>
        <v/>
      </c>
      <c r="G14" s="77" t="str">
        <f>IF(Sheet1!T18="","",Sheet1!T18)</f>
        <v/>
      </c>
      <c r="H14" s="77" t="str">
        <f>IF(Sheet1!U18="","",Sheet1!U18)</f>
        <v/>
      </c>
      <c r="I14" s="77" t="str">
        <f>IF(Sheet1!V18="","",Sheet1!V18)</f>
        <v/>
      </c>
      <c r="J14" s="77" t="str">
        <f>IF(Sheet1!W18="","",Sheet1!W18)</f>
        <v/>
      </c>
      <c r="K14" s="77" t="str">
        <f>IF(Sheet1!X18="","",Sheet1!X18)</f>
        <v/>
      </c>
      <c r="L14" s="77" t="str">
        <f>IF(Sheet1!Y18="","",Sheet1!Y18)</f>
        <v/>
      </c>
      <c r="M14" s="77" t="str">
        <f>IF(Sheet1!Z18="","",Sheet1!Z18)</f>
        <v/>
      </c>
      <c r="N14" s="77" t="str">
        <f>IF(Sheet1!AA18="","",Sheet1!AA18)</f>
        <v/>
      </c>
      <c r="O14" s="77" t="str">
        <f>IF(OR(Sheet1!AB18=0,Sheet1!AB18=""),"",Sheet1!AB18)</f>
        <v/>
      </c>
      <c r="P14" s="77" t="e">
        <f>IF(Sheet1!BT31="","",Sheet1!BT31/S14)</f>
        <v>#VALUE!</v>
      </c>
      <c r="Q14" s="77">
        <f>IFERROR(IF(OR(ISBLANK(Sheet1!BF30),P14=0),0,70),0)</f>
        <v>0</v>
      </c>
      <c r="R14" s="77" t="str">
        <f>IF(Sheet1!AE18="","",Sheet1!AE18)</f>
        <v/>
      </c>
      <c r="S14" s="77" t="str">
        <f>IF(Sheet1!AO18="","",Sheet1!AO18)</f>
        <v/>
      </c>
      <c r="T14" s="77" t="str">
        <f>IF(Sheet1!G54="","",Sheet1!G54)</f>
        <v/>
      </c>
      <c r="U14" s="77" t="str">
        <f>IF(Sheet1!K54="","",Sheet1!K54)</f>
        <v/>
      </c>
      <c r="V14" s="77" t="str">
        <f>IF(Sheet1!L54="","",Sheet1!L54)</f>
        <v/>
      </c>
      <c r="W14" s="77" t="str">
        <f>IF(Sheet1!M54="","",Sheet1!M54)</f>
        <v/>
      </c>
      <c r="X14" s="77"/>
      <c r="Y14" s="77" t="str">
        <f>IF(Sheet1!J18="","",Sheet1!J18)</f>
        <v/>
      </c>
      <c r="Z14" s="77" t="str">
        <f>IF(Sheet1!K18="","",Sheet1!K18)</f>
        <v/>
      </c>
      <c r="AA14" s="77" t="str">
        <f>IF(Sheet1!L18="","",Sheet1!L18)</f>
        <v/>
      </c>
      <c r="AB14" s="77" t="str">
        <f>IF(Sheet1!M18="","",Sheet1!M18)</f>
        <v/>
      </c>
      <c r="AC14" s="77" t="str">
        <f>IF(Sheet1!N18="","",Sheet1!N18)</f>
        <v/>
      </c>
      <c r="AD14" s="77" t="str">
        <f>IF(Sheet1!O18="","",Sheet1!O18)</f>
        <v/>
      </c>
      <c r="AE14" s="77" t="str">
        <f>IF(Sheet1!G18="","",Sheet1!G18)</f>
        <v/>
      </c>
      <c r="AF14" s="77" t="str">
        <f>IF(Sheet1!F18="","","")</f>
        <v/>
      </c>
      <c r="AG14" s="77" t="str">
        <f>IF(Sheet1!E18="","",Sheet1!AP18)</f>
        <v/>
      </c>
      <c r="AH14" s="82">
        <f>Sheet1!CX31</f>
        <v>0</v>
      </c>
      <c r="AI14" s="82">
        <f>Sheet1!CY31</f>
        <v>0</v>
      </c>
      <c r="AJ14" s="82">
        <f>Sheet1!CZ31</f>
        <v>0</v>
      </c>
      <c r="AK14" s="82">
        <f>Sheet1!DA31</f>
        <v>0</v>
      </c>
      <c r="AL14" s="82">
        <f>Sheet1!DB31</f>
        <v>0</v>
      </c>
      <c r="AM14" s="82">
        <f>Sheet1!DC31</f>
        <v>0</v>
      </c>
      <c r="AN14" s="82">
        <f>Sheet1!DD31</f>
        <v>0</v>
      </c>
      <c r="AO14" s="82">
        <f>Sheet1!DE31</f>
        <v>0</v>
      </c>
      <c r="AP14" s="82">
        <f>Sheet1!DF31</f>
        <v>0</v>
      </c>
      <c r="AQ14" s="82">
        <f>Sheet1!DG31</f>
        <v>0</v>
      </c>
      <c r="AR14" s="82">
        <f>Sheet1!DH31</f>
        <v>0</v>
      </c>
      <c r="AS14" s="82">
        <f>Sheet1!DI31</f>
        <v>0</v>
      </c>
      <c r="AT14" s="82">
        <f>Sheet1!DJ31</f>
        <v>0</v>
      </c>
      <c r="AU14" s="82">
        <f>Sheet1!DK31</f>
        <v>0</v>
      </c>
      <c r="AV14" s="82">
        <f>Sheet1!DL31</f>
        <v>0</v>
      </c>
      <c r="AW14" s="82">
        <f>Sheet1!DM31</f>
        <v>0</v>
      </c>
      <c r="AX14" s="82">
        <f>Sheet1!DN31</f>
        <v>0</v>
      </c>
      <c r="AY14" s="82">
        <f>Sheet1!DO31</f>
        <v>0</v>
      </c>
      <c r="AZ14" s="82">
        <f>Sheet1!DP31</f>
        <v>0</v>
      </c>
      <c r="BA14" s="82">
        <f>Sheet1!DQ31</f>
        <v>0</v>
      </c>
      <c r="BB14">
        <f t="shared" si="0"/>
        <v>0</v>
      </c>
    </row>
    <row r="15" spans="1:54">
      <c r="A15" s="77" t="str">
        <f>Sheet1!B19</f>
        <v/>
      </c>
      <c r="B15" s="77" t="str">
        <f>IF(Sheet1!E19="","",Sheet1!E19)</f>
        <v/>
      </c>
      <c r="C15" s="77" t="str">
        <f>IF(Sheet1!P19="","",Sheet1!P19-Sheet1!FV32)</f>
        <v/>
      </c>
      <c r="D15" s="77" t="str">
        <f>IF(Sheet1!Q19="","",Sheet1!Q19)</f>
        <v/>
      </c>
      <c r="E15" s="77" t="str">
        <f>IF(Sheet1!R19="","",Sheet1!R19)</f>
        <v/>
      </c>
      <c r="F15" s="77" t="str">
        <f>IF(Sheet1!S19="","",Sheet1!S19)</f>
        <v/>
      </c>
      <c r="G15" s="77" t="str">
        <f>IF(Sheet1!T19="","",Sheet1!T19)</f>
        <v/>
      </c>
      <c r="H15" s="77" t="str">
        <f>IF(Sheet1!U19="","",Sheet1!U19)</f>
        <v/>
      </c>
      <c r="I15" s="77" t="str">
        <f>IF(Sheet1!V19="","",Sheet1!V19)</f>
        <v/>
      </c>
      <c r="J15" s="77" t="str">
        <f>IF(Sheet1!W19="","",Sheet1!W19)</f>
        <v/>
      </c>
      <c r="K15" s="77" t="str">
        <f>IF(Sheet1!X19="","",Sheet1!X19)</f>
        <v/>
      </c>
      <c r="L15" s="77" t="str">
        <f>IF(Sheet1!Y19="","",Sheet1!Y19)</f>
        <v/>
      </c>
      <c r="M15" s="77" t="str">
        <f>IF(Sheet1!Z19="","",Sheet1!Z19)</f>
        <v/>
      </c>
      <c r="N15" s="77" t="str">
        <f>IF(Sheet1!AA19="","",Sheet1!AA19)</f>
        <v/>
      </c>
      <c r="O15" s="77" t="str">
        <f>IF(OR(Sheet1!AB19=0,Sheet1!AB19=""),"",Sheet1!AB19)</f>
        <v/>
      </c>
      <c r="P15" s="77" t="e">
        <f>IF(Sheet1!BT33="","",Sheet1!BT33/S15)</f>
        <v>#VALUE!</v>
      </c>
      <c r="Q15" s="77">
        <f>IFERROR(IF(OR(ISBLANK(Sheet1!BF32),P15=0),0,70),0)</f>
        <v>0</v>
      </c>
      <c r="R15" s="77" t="str">
        <f>IF(Sheet1!AE19="","",Sheet1!AE19)</f>
        <v/>
      </c>
      <c r="S15" s="77" t="str">
        <f>IF(Sheet1!AO19="","",Sheet1!AO19)</f>
        <v/>
      </c>
      <c r="T15" s="77" t="str">
        <f>IF(Sheet1!G55="","",Sheet1!G55)</f>
        <v/>
      </c>
      <c r="U15" s="77" t="str">
        <f>IF(Sheet1!K55="","",Sheet1!K55)</f>
        <v/>
      </c>
      <c r="V15" s="77" t="str">
        <f>IF(Sheet1!L55="","",Sheet1!L55)</f>
        <v/>
      </c>
      <c r="W15" s="77" t="str">
        <f>IF(Sheet1!M55="","",Sheet1!M55)</f>
        <v/>
      </c>
      <c r="X15" s="77"/>
      <c r="Y15" s="77" t="str">
        <f>IF(Sheet1!J19="","",Sheet1!J19)</f>
        <v/>
      </c>
      <c r="Z15" s="77" t="str">
        <f>IF(Sheet1!K19="","",Sheet1!K19)</f>
        <v/>
      </c>
      <c r="AA15" s="77" t="str">
        <f>IF(Sheet1!L19="","",Sheet1!L19)</f>
        <v/>
      </c>
      <c r="AB15" s="77" t="str">
        <f>IF(Sheet1!M19="","",Sheet1!M19)</f>
        <v/>
      </c>
      <c r="AC15" s="77" t="str">
        <f>IF(Sheet1!N19="","",Sheet1!N19)</f>
        <v/>
      </c>
      <c r="AD15" s="77" t="str">
        <f>IF(Sheet1!O19="","",Sheet1!O19)</f>
        <v/>
      </c>
      <c r="AE15" s="77" t="str">
        <f>IF(Sheet1!G19="","",Sheet1!G19)</f>
        <v/>
      </c>
      <c r="AF15" s="77" t="str">
        <f>IF(Sheet1!F19="","","")</f>
        <v/>
      </c>
      <c r="AG15" s="77" t="str">
        <f>IF(Sheet1!E19="","",Sheet1!AP19)</f>
        <v/>
      </c>
      <c r="AH15" s="82">
        <f>Sheet1!CX33</f>
        <v>0</v>
      </c>
      <c r="AI15" s="82">
        <f>Sheet1!CY33</f>
        <v>0</v>
      </c>
      <c r="AJ15" s="82">
        <f>Sheet1!CZ33</f>
        <v>0</v>
      </c>
      <c r="AK15" s="82">
        <f>Sheet1!DA33</f>
        <v>0</v>
      </c>
      <c r="AL15" s="82">
        <f>Sheet1!DB33</f>
        <v>0</v>
      </c>
      <c r="AM15" s="82">
        <f>Sheet1!DC33</f>
        <v>0</v>
      </c>
      <c r="AN15" s="82">
        <f>Sheet1!DD33</f>
        <v>0</v>
      </c>
      <c r="AO15" s="82">
        <f>Sheet1!DE33</f>
        <v>0</v>
      </c>
      <c r="AP15" s="82">
        <f>Sheet1!DF33</f>
        <v>0</v>
      </c>
      <c r="AQ15" s="82">
        <f>Sheet1!DG33</f>
        <v>0</v>
      </c>
      <c r="AR15" s="82">
        <f>Sheet1!DH33</f>
        <v>0</v>
      </c>
      <c r="AS15" s="82">
        <f>Sheet1!DI33</f>
        <v>0</v>
      </c>
      <c r="AT15" s="82">
        <f>Sheet1!DJ33</f>
        <v>0</v>
      </c>
      <c r="AU15" s="82">
        <f>Sheet1!DK33</f>
        <v>0</v>
      </c>
      <c r="AV15" s="82">
        <f>Sheet1!DL33</f>
        <v>0</v>
      </c>
      <c r="AW15" s="82">
        <f>Sheet1!DM33</f>
        <v>0</v>
      </c>
      <c r="AX15" s="82">
        <f>Sheet1!DN33</f>
        <v>0</v>
      </c>
      <c r="AY15" s="82">
        <f>Sheet1!DO33</f>
        <v>0</v>
      </c>
      <c r="AZ15" s="82">
        <f>Sheet1!DP33</f>
        <v>0</v>
      </c>
      <c r="BA15" s="82">
        <f>Sheet1!DQ33</f>
        <v>0</v>
      </c>
      <c r="BB15">
        <f t="shared" si="0"/>
        <v>0</v>
      </c>
    </row>
    <row r="16" spans="1:54">
      <c r="A16" s="77" t="str">
        <f>Sheet1!B20</f>
        <v/>
      </c>
      <c r="B16" s="77" t="str">
        <f>IF(Sheet1!E20="","",Sheet1!E20)</f>
        <v/>
      </c>
      <c r="C16" s="77" t="str">
        <f>IF(Sheet1!P20="","",Sheet1!P20-Sheet1!FV34)</f>
        <v/>
      </c>
      <c r="D16" s="77" t="str">
        <f>IF(Sheet1!Q20="","",Sheet1!Q20)</f>
        <v/>
      </c>
      <c r="E16" s="77" t="str">
        <f>IF(Sheet1!R20="","",Sheet1!R20)</f>
        <v/>
      </c>
      <c r="F16" s="77" t="str">
        <f>IF(Sheet1!S20="","",Sheet1!S20)</f>
        <v/>
      </c>
      <c r="G16" s="77" t="str">
        <f>IF(Sheet1!T20="","",Sheet1!T20)</f>
        <v/>
      </c>
      <c r="H16" s="77" t="str">
        <f>IF(Sheet1!U20="","",Sheet1!U20)</f>
        <v/>
      </c>
      <c r="I16" s="77" t="str">
        <f>IF(Sheet1!V20="","",Sheet1!V20)</f>
        <v/>
      </c>
      <c r="J16" s="77" t="str">
        <f>IF(Sheet1!W20="","",Sheet1!W20)</f>
        <v/>
      </c>
      <c r="K16" s="77" t="str">
        <f>IF(Sheet1!X20="","",Sheet1!X20)</f>
        <v/>
      </c>
      <c r="L16" s="77" t="str">
        <f>IF(Sheet1!Y20="","",Sheet1!Y20)</f>
        <v/>
      </c>
      <c r="M16" s="77" t="str">
        <f>IF(Sheet1!Z20="","",Sheet1!Z20)</f>
        <v/>
      </c>
      <c r="N16" s="77" t="str">
        <f>IF(Sheet1!AA20="","",Sheet1!AA20)</f>
        <v/>
      </c>
      <c r="O16" s="77" t="str">
        <f>IF(OR(Sheet1!AB20=0,Sheet1!AB20=""),"",Sheet1!AB20)</f>
        <v/>
      </c>
      <c r="P16" s="77" t="e">
        <f>IF(Sheet1!BT35="","",Sheet1!BT35/S16)</f>
        <v>#VALUE!</v>
      </c>
      <c r="Q16" s="77">
        <f>IFERROR(IF(OR(ISBLANK(Sheet1!BF34),P16=0),0,70),0)</f>
        <v>0</v>
      </c>
      <c r="R16" s="77" t="str">
        <f>IF(Sheet1!AE20="","",Sheet1!AE20)</f>
        <v/>
      </c>
      <c r="S16" s="77" t="str">
        <f>IF(Sheet1!AO20="","",Sheet1!AO20)</f>
        <v/>
      </c>
      <c r="T16" s="77" t="str">
        <f>IF(Sheet1!G56="","",Sheet1!G56)</f>
        <v/>
      </c>
      <c r="U16" s="77" t="str">
        <f>IF(Sheet1!K56="","",Sheet1!K56)</f>
        <v/>
      </c>
      <c r="V16" s="77" t="str">
        <f>IF(Sheet1!L56="","",Sheet1!L56)</f>
        <v/>
      </c>
      <c r="W16" s="77" t="str">
        <f>IF(Sheet1!M56="","",Sheet1!M56)</f>
        <v/>
      </c>
      <c r="X16" s="77"/>
      <c r="Y16" s="77" t="str">
        <f>IF(Sheet1!J20="","",Sheet1!J20)</f>
        <v/>
      </c>
      <c r="Z16" s="77" t="str">
        <f>IF(Sheet1!K20="","",Sheet1!K20)</f>
        <v/>
      </c>
      <c r="AA16" s="77" t="str">
        <f>IF(Sheet1!L20="","",Sheet1!L20)</f>
        <v/>
      </c>
      <c r="AB16" s="77" t="str">
        <f>IF(Sheet1!M20="","",Sheet1!M20)</f>
        <v/>
      </c>
      <c r="AC16" s="77" t="str">
        <f>IF(Sheet1!N20="","",Sheet1!N20)</f>
        <v/>
      </c>
      <c r="AD16" s="77" t="str">
        <f>IF(Sheet1!O20="","",Sheet1!O20)</f>
        <v/>
      </c>
      <c r="AE16" s="77" t="str">
        <f>IF(Sheet1!G20="","",Sheet1!G20)</f>
        <v/>
      </c>
      <c r="AF16" s="77" t="str">
        <f>IF(Sheet1!F20="","","")</f>
        <v/>
      </c>
      <c r="AG16" s="77" t="str">
        <f>IF(Sheet1!E20="","",Sheet1!AP20)</f>
        <v/>
      </c>
      <c r="AH16" s="82">
        <f>Sheet1!CX35</f>
        <v>0</v>
      </c>
      <c r="AI16" s="82">
        <f>Sheet1!CY35</f>
        <v>0</v>
      </c>
      <c r="AJ16" s="82">
        <f>Sheet1!CZ35</f>
        <v>0</v>
      </c>
      <c r="AK16" s="82">
        <f>Sheet1!DA35</f>
        <v>0</v>
      </c>
      <c r="AL16" s="82">
        <f>Sheet1!DB35</f>
        <v>0</v>
      </c>
      <c r="AM16" s="82">
        <f>Sheet1!DC35</f>
        <v>0</v>
      </c>
      <c r="AN16" s="82">
        <f>Sheet1!DD35</f>
        <v>0</v>
      </c>
      <c r="AO16" s="82">
        <f>Sheet1!DE35</f>
        <v>0</v>
      </c>
      <c r="AP16" s="82">
        <f>Sheet1!DF35</f>
        <v>0</v>
      </c>
      <c r="AQ16" s="82">
        <f>Sheet1!DG35</f>
        <v>0</v>
      </c>
      <c r="AR16" s="82">
        <f>Sheet1!DH35</f>
        <v>0</v>
      </c>
      <c r="AS16" s="82">
        <f>Sheet1!DI35</f>
        <v>0</v>
      </c>
      <c r="AT16" s="82">
        <f>Sheet1!DJ35</f>
        <v>0</v>
      </c>
      <c r="AU16" s="82">
        <f>Sheet1!DK35</f>
        <v>0</v>
      </c>
      <c r="AV16" s="82">
        <f>Sheet1!DL35</f>
        <v>0</v>
      </c>
      <c r="AW16" s="82">
        <f>Sheet1!DM35</f>
        <v>0</v>
      </c>
      <c r="AX16" s="82">
        <f>Sheet1!DN35</f>
        <v>0</v>
      </c>
      <c r="AY16" s="82">
        <f>Sheet1!DO35</f>
        <v>0</v>
      </c>
      <c r="AZ16" s="82">
        <f>Sheet1!DP35</f>
        <v>0</v>
      </c>
      <c r="BA16" s="82">
        <f>Sheet1!DQ35</f>
        <v>0</v>
      </c>
      <c r="BB16">
        <f t="shared" si="0"/>
        <v>0</v>
      </c>
    </row>
    <row r="17" spans="1:54">
      <c r="A17" s="77" t="str">
        <f>Sheet1!B21</f>
        <v/>
      </c>
      <c r="B17" s="77" t="str">
        <f>IF(Sheet1!E21="","",Sheet1!E21)</f>
        <v/>
      </c>
      <c r="C17" s="77" t="str">
        <f>IF(Sheet1!P21="","",Sheet1!P21-Sheet1!FV36)</f>
        <v/>
      </c>
      <c r="D17" s="77" t="str">
        <f>IF(Sheet1!Q21="","",Sheet1!Q21)</f>
        <v/>
      </c>
      <c r="E17" s="77" t="str">
        <f>IF(Sheet1!R21="","",Sheet1!R21)</f>
        <v/>
      </c>
      <c r="F17" s="77" t="str">
        <f>IF(Sheet1!S21="","",Sheet1!S21)</f>
        <v/>
      </c>
      <c r="G17" s="77" t="str">
        <f>IF(Sheet1!T21="","",Sheet1!T21)</f>
        <v/>
      </c>
      <c r="H17" s="77" t="str">
        <f>IF(Sheet1!U21="","",Sheet1!U21)</f>
        <v/>
      </c>
      <c r="I17" s="77" t="str">
        <f>IF(Sheet1!V21="","",Sheet1!V21)</f>
        <v/>
      </c>
      <c r="J17" s="77" t="str">
        <f>IF(Sheet1!W21="","",Sheet1!W21)</f>
        <v/>
      </c>
      <c r="K17" s="77" t="str">
        <f>IF(Sheet1!X21="","",Sheet1!X21)</f>
        <v/>
      </c>
      <c r="L17" s="77" t="str">
        <f>IF(Sheet1!Y21="","",Sheet1!Y21)</f>
        <v/>
      </c>
      <c r="M17" s="77" t="str">
        <f>IF(Sheet1!Z21="","",Sheet1!Z21)</f>
        <v/>
      </c>
      <c r="N17" s="77" t="str">
        <f>IF(Sheet1!AA21="","",Sheet1!AA21)</f>
        <v/>
      </c>
      <c r="O17" s="77" t="str">
        <f>IF(OR(Sheet1!AB21=0,Sheet1!AB21=""),"",Sheet1!AB21)</f>
        <v/>
      </c>
      <c r="P17" s="77" t="e">
        <f>IF(Sheet1!BT37="","",Sheet1!BT37/S17)</f>
        <v>#VALUE!</v>
      </c>
      <c r="Q17" s="77">
        <f>IFERROR(IF(OR(ISBLANK(Sheet1!BF36),P17=0),0,70),0)</f>
        <v>0</v>
      </c>
      <c r="R17" s="77" t="str">
        <f>IF(Sheet1!AE21="","",Sheet1!AE21)</f>
        <v/>
      </c>
      <c r="S17" s="77" t="str">
        <f>IF(Sheet1!AO21="","",Sheet1!AO21)</f>
        <v/>
      </c>
      <c r="T17" s="77" t="str">
        <f>IF(Sheet1!G57="","",Sheet1!G57)</f>
        <v/>
      </c>
      <c r="U17" s="77" t="str">
        <f>IF(Sheet1!K57="","",Sheet1!K57)</f>
        <v/>
      </c>
      <c r="V17" s="77" t="str">
        <f>IF(Sheet1!L57="","",Sheet1!L57)</f>
        <v/>
      </c>
      <c r="W17" s="77" t="str">
        <f>IF(Sheet1!M57="","",Sheet1!M57)</f>
        <v/>
      </c>
      <c r="X17" s="77"/>
      <c r="Y17" s="77" t="str">
        <f>IF(Sheet1!J21="","",Sheet1!J21)</f>
        <v/>
      </c>
      <c r="Z17" s="77" t="str">
        <f>IF(Sheet1!K21="","",Sheet1!K21)</f>
        <v/>
      </c>
      <c r="AA17" s="77" t="str">
        <f>IF(Sheet1!L21="","",Sheet1!L21)</f>
        <v/>
      </c>
      <c r="AB17" s="77" t="str">
        <f>IF(Sheet1!M21="","",Sheet1!M21)</f>
        <v/>
      </c>
      <c r="AC17" s="77" t="str">
        <f>IF(Sheet1!N21="","",Sheet1!N21)</f>
        <v/>
      </c>
      <c r="AD17" s="77" t="str">
        <f>IF(Sheet1!O21="","",Sheet1!O21)</f>
        <v/>
      </c>
      <c r="AE17" s="77" t="str">
        <f>IF(Sheet1!G21="","",Sheet1!G21)</f>
        <v/>
      </c>
      <c r="AF17" s="77" t="str">
        <f>IF(Sheet1!F21="","","")</f>
        <v/>
      </c>
      <c r="AG17" s="77" t="str">
        <f>IF(Sheet1!E21="","",Sheet1!AP21)</f>
        <v/>
      </c>
      <c r="AH17" s="82">
        <f>Sheet1!CX37</f>
        <v>0</v>
      </c>
      <c r="AI17" s="82">
        <f>Sheet1!CY37</f>
        <v>0</v>
      </c>
      <c r="AJ17" s="82">
        <f>Sheet1!CZ37</f>
        <v>0</v>
      </c>
      <c r="AK17" s="82">
        <f>Sheet1!DA37</f>
        <v>0</v>
      </c>
      <c r="AL17" s="82">
        <f>Sheet1!DB37</f>
        <v>0</v>
      </c>
      <c r="AM17" s="82">
        <f>Sheet1!DC37</f>
        <v>0</v>
      </c>
      <c r="AN17" s="82">
        <f>Sheet1!DD37</f>
        <v>0</v>
      </c>
      <c r="AO17" s="82">
        <f>Sheet1!DE37</f>
        <v>0</v>
      </c>
      <c r="AP17" s="82">
        <f>Sheet1!DF37</f>
        <v>0</v>
      </c>
      <c r="AQ17" s="82">
        <f>Sheet1!DG37</f>
        <v>0</v>
      </c>
      <c r="AR17" s="82">
        <f>Sheet1!DH37</f>
        <v>0</v>
      </c>
      <c r="AS17" s="82">
        <f>Sheet1!DI37</f>
        <v>0</v>
      </c>
      <c r="AT17" s="82">
        <f>Sheet1!DJ37</f>
        <v>0</v>
      </c>
      <c r="AU17" s="82">
        <f>Sheet1!DK37</f>
        <v>0</v>
      </c>
      <c r="AV17" s="82">
        <f>Sheet1!DL37</f>
        <v>0</v>
      </c>
      <c r="AW17" s="82">
        <f>Sheet1!DM37</f>
        <v>0</v>
      </c>
      <c r="AX17" s="82">
        <f>Sheet1!DN37</f>
        <v>0</v>
      </c>
      <c r="AY17" s="82">
        <f>Sheet1!DO37</f>
        <v>0</v>
      </c>
      <c r="AZ17" s="82">
        <f>Sheet1!DP37</f>
        <v>0</v>
      </c>
      <c r="BA17" s="82">
        <f>Sheet1!DQ37</f>
        <v>0</v>
      </c>
      <c r="BB17">
        <f t="shared" si="0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18"/>
  <sheetViews>
    <sheetView workbookViewId="0"/>
  </sheetViews>
  <sheetFormatPr defaultRowHeight="15"/>
  <cols>
    <col min="1" max="1" width="20.28515625" customWidth="1"/>
    <col min="2" max="2" width="26" customWidth="1"/>
    <col min="3" max="3" width="11.5703125" customWidth="1"/>
    <col min="7" max="7" width="22.42578125" customWidth="1"/>
    <col min="11" max="11" width="15.140625" bestFit="1" customWidth="1"/>
    <col min="12" max="12" width="14" bestFit="1" customWidth="1"/>
    <col min="15" max="15" width="16.28515625" customWidth="1"/>
    <col min="17" max="17" width="14.42578125" customWidth="1"/>
    <col min="18" max="18" width="13.5703125" customWidth="1"/>
    <col min="19" max="19" width="11.5703125" customWidth="1"/>
    <col min="20" max="20" width="14.7109375" customWidth="1"/>
    <col min="21" max="21" width="14" customWidth="1"/>
    <col min="22" max="22" width="7" customWidth="1"/>
    <col min="23" max="23" width="7.5703125" customWidth="1"/>
    <col min="24" max="24" width="7.28515625" customWidth="1"/>
    <col min="25" max="25" width="6.7109375" customWidth="1"/>
    <col min="26" max="26" width="8.85546875" customWidth="1"/>
    <col min="27" max="27" width="10.7109375" customWidth="1"/>
    <col min="34" max="34" width="14.140625" customWidth="1"/>
    <col min="36" max="36" width="15" customWidth="1"/>
    <col min="38" max="38" width="11.140625" customWidth="1"/>
    <col min="39" max="39" width="16.7109375" customWidth="1"/>
    <col min="40" max="40" width="11.28515625" customWidth="1"/>
    <col min="42" max="42" width="18" customWidth="1"/>
  </cols>
  <sheetData>
    <row r="1" spans="1:47" s="168" customFormat="1">
      <c r="A1" s="168" t="s">
        <v>190</v>
      </c>
      <c r="B1" s="168" t="s">
        <v>191</v>
      </c>
      <c r="C1" s="168" t="s">
        <v>192</v>
      </c>
      <c r="D1" s="168" t="s">
        <v>193</v>
      </c>
      <c r="E1" s="168" t="s">
        <v>194</v>
      </c>
      <c r="F1" s="168" t="s">
        <v>195</v>
      </c>
      <c r="G1" s="168" t="s">
        <v>196</v>
      </c>
      <c r="H1" s="168" t="s">
        <v>197</v>
      </c>
      <c r="I1" s="168" t="s">
        <v>198</v>
      </c>
      <c r="J1" s="168" t="s">
        <v>199</v>
      </c>
      <c r="K1" s="168" t="s">
        <v>200</v>
      </c>
      <c r="L1" s="168" t="s">
        <v>201</v>
      </c>
      <c r="M1" s="168" t="s">
        <v>202</v>
      </c>
      <c r="N1" s="168" t="s">
        <v>203</v>
      </c>
      <c r="O1" s="168" t="s">
        <v>204</v>
      </c>
      <c r="P1" s="168" t="s">
        <v>205</v>
      </c>
      <c r="Q1" s="168" t="s">
        <v>206</v>
      </c>
      <c r="R1" s="168" t="s">
        <v>207</v>
      </c>
      <c r="S1" s="168" t="s">
        <v>208</v>
      </c>
      <c r="T1" s="168" t="s">
        <v>209</v>
      </c>
      <c r="U1" s="168" t="s">
        <v>210</v>
      </c>
      <c r="V1" s="168" t="s">
        <v>211</v>
      </c>
      <c r="W1" s="168" t="s">
        <v>212</v>
      </c>
      <c r="X1" s="168" t="s">
        <v>213</v>
      </c>
      <c r="Y1" s="168" t="s">
        <v>214</v>
      </c>
      <c r="Z1" s="168" t="s">
        <v>215</v>
      </c>
      <c r="AA1" s="168" t="s">
        <v>216</v>
      </c>
      <c r="AB1" s="168" t="s">
        <v>217</v>
      </c>
      <c r="AC1" s="168" t="s">
        <v>218</v>
      </c>
      <c r="AD1" s="168" t="s">
        <v>219</v>
      </c>
      <c r="AE1" s="168" t="s">
        <v>220</v>
      </c>
      <c r="AF1" s="168" t="s">
        <v>221</v>
      </c>
      <c r="AG1" s="168" t="s">
        <v>222</v>
      </c>
      <c r="AH1" s="168" t="s">
        <v>223</v>
      </c>
      <c r="AI1" s="168" t="s">
        <v>224</v>
      </c>
      <c r="AJ1" s="168" t="s">
        <v>225</v>
      </c>
      <c r="AK1" s="168" t="s">
        <v>226</v>
      </c>
      <c r="AL1" s="168" t="s">
        <v>227</v>
      </c>
      <c r="AM1" s="168" t="s">
        <v>228</v>
      </c>
      <c r="AN1" s="168" t="s">
        <v>229</v>
      </c>
      <c r="AO1" s="168" t="s">
        <v>230</v>
      </c>
      <c r="AP1" s="168" t="s">
        <v>231</v>
      </c>
      <c r="AQ1" s="168" t="s">
        <v>232</v>
      </c>
      <c r="AR1" s="168" t="s">
        <v>233</v>
      </c>
      <c r="AS1" s="168" t="s">
        <v>234</v>
      </c>
      <c r="AT1" s="168" t="s">
        <v>235</v>
      </c>
      <c r="AU1" s="168" t="s">
        <v>236</v>
      </c>
    </row>
    <row r="2" spans="1:47">
      <c r="C2" t="str">
        <f>UPPER(TRIM(Sheet1!BV2))</f>
        <v/>
      </c>
      <c r="D2" s="169" t="str">
        <f>TRIM(Sheet1!Z3)</f>
        <v/>
      </c>
      <c r="E2">
        <f>Sheet1!CB2</f>
        <v>6</v>
      </c>
      <c r="K2">
        <f>IF(Sheet1!CE21="",0,Sheet1!CE21)</f>
        <v>0</v>
      </c>
      <c r="U2" t="str">
        <f>IF(TRIM(Sheet1!CE7)="","",TRIM(UPPER(Sheet1!CE7)))</f>
        <v/>
      </c>
      <c r="AQ2" t="str">
        <f>IF(OR(AND(AP2=AP3,A2&lt;&gt;A3),AND(AP3=AP4,A3&lt;&gt;A4)),"YES","")</f>
        <v/>
      </c>
    </row>
    <row r="3" spans="1:47">
      <c r="A3" s="169" t="str">
        <f>IF(UPPER(TRIM(Sheet1!E6))="","",UPPER(TRIM(Sheet1!E6)))</f>
        <v/>
      </c>
      <c r="B3" s="169" t="str">
        <f>IF(OR(Sheet1!AX6="",Sheet1!AX6="--xxx"),"",Sheet1!AX6)</f>
        <v/>
      </c>
      <c r="C3" s="169" t="str">
        <f>UPPER(TRIM(Sheet1!BV2))</f>
        <v/>
      </c>
      <c r="D3" s="169" t="str">
        <f>TRIM(Sheet1!Z3)</f>
        <v/>
      </c>
      <c r="E3" s="169">
        <f>Sheet1!CB2</f>
        <v>6</v>
      </c>
      <c r="F3" s="169">
        <f>Sheet1!BF7</f>
        <v>0</v>
      </c>
      <c r="G3" s="169" t="str">
        <f>IF(Sheet1!BQ6="","",LOWER(TRIM(Sheet1!BQ6)))</f>
        <v/>
      </c>
      <c r="H3" t="e">
        <f t="shared" ref="H3:H18" si="0">IF((N3-M3)*1440&lt;0,(((N3-M3)*1440)+1440),((N3-M3)*1440))</f>
        <v>#VALUE!</v>
      </c>
      <c r="I3" t="str">
        <f>TEXT(AR3,"hh:mm")</f>
        <v/>
      </c>
      <c r="J3" t="str">
        <f>TEXT(AS3,"hh:mm")</f>
        <v>00:00</v>
      </c>
      <c r="K3">
        <f>IF(Sheet1!BM7="",0,Sheet1!BM7)</f>
        <v>0</v>
      </c>
      <c r="L3">
        <f>IF(Sheet1!CE17="",0,ROUND(Sheet1!CE17,0))</f>
        <v>0</v>
      </c>
      <c r="M3" t="str">
        <f>TEXT(AT3,"hh:mm")</f>
        <v>23:45</v>
      </c>
      <c r="N3" t="str">
        <f>TEXT(AU3,"hh:mm")</f>
        <v/>
      </c>
      <c r="O3" s="169">
        <f>IF(Sheet1!BK6="",0,Sheet1!BK6)</f>
        <v>0</v>
      </c>
      <c r="P3" s="169">
        <f>IF(Sheet1!BK7="",0,Sheet1!BK7)</f>
        <v>0</v>
      </c>
      <c r="Q3" s="169">
        <f>IF(Sheet1!BL6="",0,Sheet1!BL6)</f>
        <v>0</v>
      </c>
      <c r="R3" s="169">
        <f>IF(Sheet1!BL7="",0,Sheet1!BL7)</f>
        <v>0</v>
      </c>
      <c r="S3" s="169">
        <f>IF(Sheet1!BM6="",0,ROUND(Sheet1!BM6,1))</f>
        <v>0</v>
      </c>
      <c r="T3" s="169">
        <f>IF(Sheet1!CB6="",0,Sheet1!CB6)</f>
        <v>0</v>
      </c>
      <c r="U3" s="169">
        <f>IF(U2="",IF(AQ3="YES",IF(TRIM(Sheet1!AU6)="",0,Sheet1!AU6),IF(TRIM(Sheet1!P6)="",0,Sheet1!P6)),IF(AQ3="YES",IF(TRIM(Sheet1!AU6)="",1,(Sheet1!AU6)+1),IF(TRIM(Sheet1!P6)="",1,(Sheet1!P6)+1)))</f>
        <v>0</v>
      </c>
      <c r="V3" s="169">
        <f>IF(OR(Sheet1!AZ6=0,TRIM(Sheet1!AZ6)=""),0,1)</f>
        <v>0</v>
      </c>
      <c r="W3" s="169">
        <f>IF(OR(Sheet1!BA6=0,TRIM(Sheet1!BA6)=""),0,1)</f>
        <v>0</v>
      </c>
      <c r="X3" s="169">
        <f>IF(OR(Sheet1!BB6=0,TRIM(Sheet1!BB6)=""),0,1)</f>
        <v>0</v>
      </c>
      <c r="Y3" s="169">
        <f>IF(OR(Sheet1!BC6=0,TRIM(Sheet1!BC6)=""),0,1)</f>
        <v>0</v>
      </c>
      <c r="Z3" s="169">
        <f>IF(OR(Sheet1!BD6=0,TRIM(Sheet1!BD6)=""),0,1)</f>
        <v>0</v>
      </c>
      <c r="AA3" s="169">
        <f>IF(OR(Sheet1!BE6=0,TRIM(Sheet1!BE6)=""),0,1)</f>
        <v>0</v>
      </c>
      <c r="AB3">
        <f t="shared" ref="AB3:AB18" si="1">V3+W3+X3+Y3+Z3+AA3</f>
        <v>0</v>
      </c>
      <c r="AC3">
        <f>IF(Sheet1!AC6="",0,Sheet1!AC6)</f>
        <v>0</v>
      </c>
      <c r="AD3">
        <f>IF(Sheet1!AB6="",0,Sheet1!AB6)</f>
        <v>0</v>
      </c>
      <c r="AE3" t="str">
        <f t="shared" ref="AE3:AE18" si="2">IF(ISERROR(AD3/AC3),"NO",IF(AD3/AC3=2,"YES","NO"))</f>
        <v>NO</v>
      </c>
      <c r="AF3" t="str">
        <f t="shared" ref="AF3:AF18" si="3">IF(AB3=0,"NO","YES")</f>
        <v>NO</v>
      </c>
      <c r="AG3" s="169">
        <f>Sheet1!BP39</f>
        <v>0</v>
      </c>
      <c r="AH3" t="str">
        <f>IF(OR(Sheet1!F6="",Sheet1!F6=0),"",Sheet1!F6)</f>
        <v/>
      </c>
      <c r="AI3" t="str">
        <f>IF(OR(Sheet1!G6="",Sheet1!G6=0),"",Sheet1!G6)</f>
        <v/>
      </c>
      <c r="AJ3" t="str">
        <f t="shared" ref="AJ3:AJ18" si="4">IF(A3="","",CONCATENATE(A3,"-",D3))</f>
        <v/>
      </c>
      <c r="AK3">
        <f>IF(Sheet1!BO6="",0,Sheet1!BO6)</f>
        <v>0</v>
      </c>
      <c r="AL3" t="e">
        <f t="shared" ref="AL3:AL18" si="5">(IF((J3-I3)*1440&lt;0,(((J3-I3)*1440)+1440),((J3-I3)*1440)))-(T3)</f>
        <v>#VALUE!</v>
      </c>
      <c r="AM3" t="str">
        <f>IF(Sheet1!CE19="","",LOWER(TRIM(Sheet1!CE19)))</f>
        <v/>
      </c>
      <c r="AN3" t="str">
        <f>IF(Sheet1!BF6="","",UPPER(TRIM(Sheet1!BF6)))</f>
        <v/>
      </c>
      <c r="AO3" t="str">
        <f>IF(A3="","",IF(COUNTIF(A$3:A$18,A3)&gt;1,"YES",""))</f>
        <v/>
      </c>
      <c r="AP3" t="str">
        <f>IF(A3="","",CONCATENATE(TRIM(Sheet1!L6),"x",TRIM(Sheet1!M6),"x",TRIM(Sheet1!K6)))</f>
        <v/>
      </c>
      <c r="AQ3" t="str">
        <f>IF(OR(AND(AP2=AP3,A2&lt;&gt;A3),AND(AP3=AP4,A3&lt;&gt;A4)),"YES","")</f>
        <v/>
      </c>
      <c r="AR3" s="170" t="str">
        <f>IF(Sheet1!BI6="","",Sheet1!BI6)</f>
        <v/>
      </c>
      <c r="AS3" s="170">
        <f>Sheet1!BI7</f>
        <v>0</v>
      </c>
      <c r="AT3" s="170" t="str">
        <f>Sheet1!BH6</f>
        <v>23:45</v>
      </c>
      <c r="AU3" s="170" t="str">
        <f>Sheet1!BH7</f>
        <v/>
      </c>
    </row>
    <row r="4" spans="1:47">
      <c r="A4" s="169" t="str">
        <f>IF(UPPER(TRIM(Sheet1!E7))="","",UPPER(TRIM(Sheet1!E7)))</f>
        <v/>
      </c>
      <c r="B4" s="169" t="str">
        <f>IF(OR(Sheet1!AX8="",Sheet1!AX8="--xxx"),"",Sheet1!AX8)</f>
        <v/>
      </c>
      <c r="C4" s="169" t="str">
        <f>UPPER(TRIM(Sheet1!BV2))</f>
        <v/>
      </c>
      <c r="D4" s="169" t="str">
        <f>TRIM(Sheet1!Z3)</f>
        <v/>
      </c>
      <c r="E4" s="169">
        <f>Sheet1!CB2</f>
        <v>6</v>
      </c>
      <c r="F4" s="169">
        <f>Sheet1!BF9</f>
        <v>0</v>
      </c>
      <c r="G4" s="169" t="str">
        <f>IF(Sheet1!BQ8="","",LOWER(TRIM(Sheet1!BQ8)))</f>
        <v/>
      </c>
      <c r="H4" t="e">
        <f t="shared" si="0"/>
        <v>#VALUE!</v>
      </c>
      <c r="I4" t="str">
        <f t="shared" ref="I4:J18" si="6">TEXT(AR4,"hh:mm")</f>
        <v/>
      </c>
      <c r="J4" t="str">
        <f t="shared" si="6"/>
        <v>00:00</v>
      </c>
      <c r="K4" s="169">
        <f>IF(Sheet1!BM9="",0,Sheet1!BM9)</f>
        <v>0</v>
      </c>
      <c r="M4" t="str">
        <f t="shared" ref="M4:N18" si="7">TEXT(AT4,"hh:mm")</f>
        <v/>
      </c>
      <c r="N4" t="str">
        <f t="shared" si="7"/>
        <v/>
      </c>
      <c r="O4" s="169">
        <f>IF(Sheet1!BK8="",0,Sheet1!BK8)</f>
        <v>0</v>
      </c>
      <c r="P4" s="169">
        <f>IF(Sheet1!BK9="",0,Sheet1!BK9)</f>
        <v>0</v>
      </c>
      <c r="Q4" s="169">
        <f>IF(Sheet1!BL8="",0,Sheet1!BL8)</f>
        <v>0</v>
      </c>
      <c r="R4" s="169">
        <f>IF(Sheet1!BL9="",0,Sheet1!BL9)</f>
        <v>0</v>
      </c>
      <c r="S4" s="169">
        <f>IF(Sheet1!BM8="",0,ROUND(Sheet1!BM8,1))</f>
        <v>0</v>
      </c>
      <c r="T4" s="169">
        <f>IF(Sheet1!CB8="",0,Sheet1!CB8)</f>
        <v>0</v>
      </c>
      <c r="U4" s="169">
        <f>IF(AQ4="YES",IF(TRIM(Sheet1!AU7)="",0,Sheet1!AU7),IF(TRIM(Sheet1!P7)="",0,Sheet1!P7))</f>
        <v>0</v>
      </c>
      <c r="V4" s="169">
        <f>IF(OR(Sheet1!AZ8=0,TRIM(Sheet1!AZ8)=""),0,1)</f>
        <v>0</v>
      </c>
      <c r="W4" s="169">
        <f>IF(OR(Sheet1!BA8=0,TRIM(Sheet1!BA8)=""),0,1)</f>
        <v>0</v>
      </c>
      <c r="X4" s="169">
        <f>IF(OR(Sheet1!BB8=0,TRIM(Sheet1!BB8)=""),0,1)</f>
        <v>0</v>
      </c>
      <c r="Y4" s="169">
        <f>IF(OR(Sheet1!BC8=0,TRIM(Sheet1!BC8)=""),0,1)</f>
        <v>0</v>
      </c>
      <c r="Z4" s="169">
        <f>IF(OR(Sheet1!BD8=0,TRIM(Sheet1!BD8)=""),0,1)</f>
        <v>0</v>
      </c>
      <c r="AA4" s="169">
        <f>IF(OR(Sheet1!BE8=0,TRIM(Sheet1!BE8)=""),0,1)</f>
        <v>0</v>
      </c>
      <c r="AB4">
        <f t="shared" si="1"/>
        <v>0</v>
      </c>
      <c r="AC4">
        <f>IF(Sheet1!AC7="",0,Sheet1!AC7)</f>
        <v>0</v>
      </c>
      <c r="AD4">
        <f>IF(Sheet1!AB7="",0,Sheet1!AB7)</f>
        <v>0</v>
      </c>
      <c r="AE4" t="str">
        <f t="shared" si="2"/>
        <v>NO</v>
      </c>
      <c r="AF4" t="str">
        <f t="shared" si="3"/>
        <v>NO</v>
      </c>
      <c r="AG4" s="169">
        <f>Sheet1!BP39</f>
        <v>0</v>
      </c>
      <c r="AH4" t="str">
        <f>IF(OR(Sheet1!F7="",Sheet1!F7=0),"",Sheet1!F7)</f>
        <v/>
      </c>
      <c r="AI4" t="str">
        <f>IF(OR(Sheet1!G7="",Sheet1!G7=0),"",Sheet1!G7)</f>
        <v/>
      </c>
      <c r="AJ4" t="str">
        <f t="shared" si="4"/>
        <v/>
      </c>
      <c r="AK4">
        <f>IF(Sheet1!BO8="",0,Sheet1!BO8)</f>
        <v>0</v>
      </c>
      <c r="AL4" t="e">
        <f t="shared" si="5"/>
        <v>#VALUE!</v>
      </c>
      <c r="AN4" t="str">
        <f>IF(Sheet1!BF8="","",UPPER(TRIM(Sheet1!BF8)))</f>
        <v/>
      </c>
      <c r="AO4" t="str">
        <f t="shared" ref="AO4:AO18" si="8">IF(A4="","",IF(COUNTIF(A$3:A$18,A4)&gt;1,"YES",""))</f>
        <v/>
      </c>
      <c r="AP4" t="str">
        <f>IF(A4="","",CONCATENATE(TRIM(Sheet1!L7),"x",TRIM(Sheet1!M7),"x",TRIM(Sheet1!K7)))</f>
        <v/>
      </c>
      <c r="AQ4" t="str">
        <f t="shared" ref="AQ4:AQ18" si="9">IF(OR(AND(AP3=AP4,A3&lt;&gt;A4),AND(AP4=AP5,A4&lt;&gt;A5)),"YES","")</f>
        <v/>
      </c>
      <c r="AR4" s="170" t="str">
        <f>IF(Sheet1!BI8="","",Sheet1!BI8)</f>
        <v/>
      </c>
      <c r="AS4" s="170">
        <f>Sheet1!BI9</f>
        <v>0</v>
      </c>
      <c r="AT4" s="170" t="str">
        <f>Sheet1!BH8</f>
        <v/>
      </c>
      <c r="AU4" s="170" t="str">
        <f>Sheet1!BH9</f>
        <v/>
      </c>
    </row>
    <row r="5" spans="1:47">
      <c r="A5" s="169" t="str">
        <f>IF(UPPER(TRIM(Sheet1!E8))="","",UPPER(TRIM(Sheet1!E8)))</f>
        <v/>
      </c>
      <c r="B5" s="169" t="str">
        <f>IF(OR(Sheet1!AX10="",Sheet1!AX10="--xxx"),"",Sheet1!AX10)</f>
        <v/>
      </c>
      <c r="C5" s="169" t="str">
        <f>UPPER(TRIM(Sheet1!BV2))</f>
        <v/>
      </c>
      <c r="D5" s="169" t="str">
        <f>TRIM(Sheet1!Z3)</f>
        <v/>
      </c>
      <c r="E5" s="169">
        <f>Sheet1!CB2</f>
        <v>6</v>
      </c>
      <c r="F5" s="169">
        <f>Sheet1!BF11</f>
        <v>0</v>
      </c>
      <c r="G5" s="169" t="str">
        <f>IF(Sheet1!BQ10="","",LOWER(TRIM(Sheet1!BQ10)))</f>
        <v/>
      </c>
      <c r="H5" t="e">
        <f t="shared" si="0"/>
        <v>#VALUE!</v>
      </c>
      <c r="I5" t="str">
        <f t="shared" si="6"/>
        <v/>
      </c>
      <c r="J5" t="str">
        <f t="shared" si="6"/>
        <v>00:00</v>
      </c>
      <c r="K5" s="169">
        <f>IF(Sheet1!BM11="",0,Sheet1!BM11)</f>
        <v>0</v>
      </c>
      <c r="M5" t="str">
        <f t="shared" si="7"/>
        <v/>
      </c>
      <c r="N5" t="str">
        <f t="shared" si="7"/>
        <v/>
      </c>
      <c r="O5" s="169">
        <f>IF(Sheet1!BK10="",0,Sheet1!BK10)</f>
        <v>0</v>
      </c>
      <c r="P5" s="169">
        <f>IF(Sheet1!BK11="",0,Sheet1!BK11)</f>
        <v>0</v>
      </c>
      <c r="Q5" s="169">
        <f>IF(Sheet1!BL10="",0,Sheet1!BL10)</f>
        <v>0</v>
      </c>
      <c r="R5" s="169">
        <f>IF(Sheet1!BL11="",0,Sheet1!BL11)</f>
        <v>0</v>
      </c>
      <c r="S5" s="169">
        <f>IF(Sheet1!BM10="",0,ROUND(Sheet1!BM10,1))</f>
        <v>0</v>
      </c>
      <c r="T5" s="169">
        <f>IF(Sheet1!CB10="",0,Sheet1!CB10)</f>
        <v>0</v>
      </c>
      <c r="U5" s="169">
        <f>IF(AQ5="YES",IF(TRIM(Sheet1!AU8)="",0,Sheet1!AU8),IF(TRIM(Sheet1!P8)="",0,Sheet1!P8))</f>
        <v>0</v>
      </c>
      <c r="V5" s="169">
        <f>IF(OR(Sheet1!AZ10=0,TRIM(Sheet1!AZ10)=""),0,1)</f>
        <v>0</v>
      </c>
      <c r="W5" s="169">
        <f>IF(OR(Sheet1!BA10=0,TRIM(Sheet1!BA10)=""),0,1)</f>
        <v>0</v>
      </c>
      <c r="X5" s="169">
        <f>IF(OR(Sheet1!BB10=0,TRIM(Sheet1!BB10)=""),0,1)</f>
        <v>0</v>
      </c>
      <c r="Y5" s="169">
        <f>IF(OR(Sheet1!BC10=0,TRIM(Sheet1!BC10)=""),0,1)</f>
        <v>0</v>
      </c>
      <c r="Z5" s="169">
        <f>IF(OR(Sheet1!BD10=0,TRIM(Sheet1!BD10)=""),0,1)</f>
        <v>0</v>
      </c>
      <c r="AA5" s="169">
        <f>IF(OR(Sheet1!BE10=0,TRIM(Sheet1!BE10)=""),0,1)</f>
        <v>0</v>
      </c>
      <c r="AB5">
        <f t="shared" si="1"/>
        <v>0</v>
      </c>
      <c r="AC5">
        <f>IF(Sheet1!AC8="",0,Sheet1!AC8)</f>
        <v>0</v>
      </c>
      <c r="AD5">
        <f>IF(Sheet1!AB8="",0,Sheet1!AB8)</f>
        <v>0</v>
      </c>
      <c r="AE5" t="str">
        <f t="shared" si="2"/>
        <v>NO</v>
      </c>
      <c r="AF5" t="str">
        <f t="shared" si="3"/>
        <v>NO</v>
      </c>
      <c r="AG5" s="169">
        <f>Sheet1!BP39</f>
        <v>0</v>
      </c>
      <c r="AH5" t="str">
        <f>IF(OR(Sheet1!F8="",Sheet1!F8=0),"",Sheet1!F8)</f>
        <v/>
      </c>
      <c r="AI5" t="str">
        <f>IF(OR(Sheet1!G8="",Sheet1!G8=0),"",Sheet1!G8)</f>
        <v/>
      </c>
      <c r="AJ5" t="str">
        <f t="shared" si="4"/>
        <v/>
      </c>
      <c r="AK5">
        <f>IF(Sheet1!BO10="",0,Sheet1!BO10)</f>
        <v>0</v>
      </c>
      <c r="AL5" t="e">
        <f t="shared" si="5"/>
        <v>#VALUE!</v>
      </c>
      <c r="AN5" t="str">
        <f>IF(Sheet1!BF10="","",UPPER(TRIM(Sheet1!BF10)))</f>
        <v/>
      </c>
      <c r="AO5" t="str">
        <f t="shared" si="8"/>
        <v/>
      </c>
      <c r="AP5" t="str">
        <f>IF(A5="","",CONCATENATE(TRIM(Sheet1!L8),"x",TRIM(Sheet1!M8),"x",TRIM(Sheet1!K8)))</f>
        <v/>
      </c>
      <c r="AQ5" t="str">
        <f t="shared" si="9"/>
        <v/>
      </c>
      <c r="AR5" s="170" t="str">
        <f>IF(Sheet1!BI10="","",Sheet1!BI10)</f>
        <v/>
      </c>
      <c r="AS5" s="170">
        <f>Sheet1!BI11</f>
        <v>0</v>
      </c>
      <c r="AT5" s="170" t="str">
        <f>Sheet1!BH10</f>
        <v/>
      </c>
      <c r="AU5" s="170" t="str">
        <f>Sheet1!BH11</f>
        <v/>
      </c>
    </row>
    <row r="6" spans="1:47">
      <c r="A6" s="169" t="str">
        <f>IF(UPPER(TRIM(Sheet1!E9))="","",UPPER(TRIM(Sheet1!E9)))</f>
        <v/>
      </c>
      <c r="B6" s="169" t="str">
        <f>IF(OR(Sheet1!AX12="",Sheet1!AX12="--xxx"),"",Sheet1!AX12)</f>
        <v/>
      </c>
      <c r="C6" s="169" t="str">
        <f>UPPER(TRIM(Sheet1!BV2))</f>
        <v/>
      </c>
      <c r="D6" s="169" t="str">
        <f>TRIM(Sheet1!Z3)</f>
        <v/>
      </c>
      <c r="E6" s="169">
        <f>Sheet1!CB2</f>
        <v>6</v>
      </c>
      <c r="F6" s="169">
        <f>Sheet1!BF13</f>
        <v>0</v>
      </c>
      <c r="G6" s="169" t="str">
        <f>IF(Sheet1!BQ12="","",LOWER(TRIM(Sheet1!BQ12)))</f>
        <v/>
      </c>
      <c r="H6" t="e">
        <f t="shared" si="0"/>
        <v>#VALUE!</v>
      </c>
      <c r="I6" t="str">
        <f t="shared" si="6"/>
        <v/>
      </c>
      <c r="J6" t="str">
        <f t="shared" si="6"/>
        <v>00:00</v>
      </c>
      <c r="K6" s="169">
        <f>IF(Sheet1!BM13="",0,Sheet1!BM13)</f>
        <v>0</v>
      </c>
      <c r="M6" t="str">
        <f t="shared" si="7"/>
        <v/>
      </c>
      <c r="N6" t="str">
        <f t="shared" si="7"/>
        <v/>
      </c>
      <c r="O6" s="169">
        <f>IF(Sheet1!BK12="",0,Sheet1!BK12)</f>
        <v>0</v>
      </c>
      <c r="P6" s="169">
        <f>IF(Sheet1!BK13="",0,Sheet1!BK13)</f>
        <v>0</v>
      </c>
      <c r="Q6" s="169">
        <f>IF(Sheet1!BL12="",0,Sheet1!BL12)</f>
        <v>0</v>
      </c>
      <c r="R6" s="169">
        <f>IF(Sheet1!BL13="",0,Sheet1!BL13)</f>
        <v>0</v>
      </c>
      <c r="S6" s="169">
        <f>IF(Sheet1!BM12="",0,ROUND(Sheet1!BM12,1))</f>
        <v>0</v>
      </c>
      <c r="T6" s="169">
        <f>IF(Sheet1!CB12="",0,Sheet1!CB12)</f>
        <v>0</v>
      </c>
      <c r="U6" s="169">
        <f>IF(AQ6="YES",IF(TRIM(Sheet1!AU9)="",0,Sheet1!AU9),IF(TRIM(Sheet1!P9)="",0,Sheet1!P9))</f>
        <v>0</v>
      </c>
      <c r="V6" s="169">
        <f>IF(OR(Sheet1!AZ12=0,TRIM(Sheet1!AZ12)=""),0,1)</f>
        <v>0</v>
      </c>
      <c r="W6" s="169">
        <f>IF(OR(Sheet1!BA12=0,TRIM(Sheet1!BA12)=""),0,1)</f>
        <v>0</v>
      </c>
      <c r="X6" s="169">
        <f>IF(OR(Sheet1!BB12=0,TRIM(Sheet1!BB12)=""),0,1)</f>
        <v>0</v>
      </c>
      <c r="Y6" s="169">
        <f>IF(OR(Sheet1!BC12=0,TRIM(Sheet1!BC12)=""),0,1)</f>
        <v>0</v>
      </c>
      <c r="Z6" s="169">
        <f>IF(OR(Sheet1!BD12=0,TRIM(Sheet1!BD12)=""),0,1)</f>
        <v>0</v>
      </c>
      <c r="AA6" s="169">
        <f>IF(OR(Sheet1!BE12=0,TRIM(Sheet1!BE12)=""),0,1)</f>
        <v>0</v>
      </c>
      <c r="AB6">
        <f t="shared" si="1"/>
        <v>0</v>
      </c>
      <c r="AC6">
        <f>IF(Sheet1!AC9="",0,Sheet1!AC9)</f>
        <v>0</v>
      </c>
      <c r="AD6">
        <f>IF(Sheet1!AB9="",0,Sheet1!AB9)</f>
        <v>0</v>
      </c>
      <c r="AE6" t="str">
        <f t="shared" si="2"/>
        <v>NO</v>
      </c>
      <c r="AF6" t="str">
        <f t="shared" si="3"/>
        <v>NO</v>
      </c>
      <c r="AG6" s="169">
        <f>Sheet1!BP39</f>
        <v>0</v>
      </c>
      <c r="AH6" t="str">
        <f>IF(OR(Sheet1!F9="",Sheet1!F9=0),"",Sheet1!F9)</f>
        <v/>
      </c>
      <c r="AI6" t="str">
        <f>IF(OR(Sheet1!G9="",Sheet1!G9=0),"",Sheet1!G9)</f>
        <v/>
      </c>
      <c r="AJ6" t="str">
        <f t="shared" si="4"/>
        <v/>
      </c>
      <c r="AK6">
        <f>IF(Sheet1!BO12="",0,Sheet1!BO12)</f>
        <v>0</v>
      </c>
      <c r="AL6" t="e">
        <f t="shared" si="5"/>
        <v>#VALUE!</v>
      </c>
      <c r="AN6" t="str">
        <f>IF(Sheet1!BF12="","",UPPER(TRIM(Sheet1!BF12)))</f>
        <v/>
      </c>
      <c r="AO6" t="str">
        <f t="shared" si="8"/>
        <v/>
      </c>
      <c r="AP6" t="str">
        <f>IF(A6="","",CONCATENATE(TRIM(Sheet1!L9),"x",TRIM(Sheet1!M9),"x",TRIM(Sheet1!K9)))</f>
        <v/>
      </c>
      <c r="AQ6" t="str">
        <f t="shared" si="9"/>
        <v/>
      </c>
      <c r="AR6" s="170" t="str">
        <f>IF(Sheet1!BI12="","",Sheet1!BI12)</f>
        <v/>
      </c>
      <c r="AS6" s="170">
        <f>Sheet1!BI13</f>
        <v>0</v>
      </c>
      <c r="AT6" s="170" t="str">
        <f>Sheet1!BH12</f>
        <v/>
      </c>
      <c r="AU6" s="170" t="str">
        <f>Sheet1!BH13</f>
        <v/>
      </c>
    </row>
    <row r="7" spans="1:47">
      <c r="A7" s="169" t="str">
        <f>IF(UPPER(TRIM(Sheet1!E10))="","",UPPER(TRIM(Sheet1!E10)))</f>
        <v/>
      </c>
      <c r="B7" s="169" t="str">
        <f>IF(OR(Sheet1!AX14="",Sheet1!AX14="--xxx"),"",Sheet1!AX14)</f>
        <v/>
      </c>
      <c r="C7" s="169" t="str">
        <f>UPPER(TRIM(Sheet1!BV2))</f>
        <v/>
      </c>
      <c r="D7" s="169" t="str">
        <f>TRIM(Sheet1!Z3)</f>
        <v/>
      </c>
      <c r="E7" s="169">
        <f>Sheet1!CB2</f>
        <v>6</v>
      </c>
      <c r="F7" s="169">
        <f>Sheet1!BF15</f>
        <v>0</v>
      </c>
      <c r="G7" s="169" t="str">
        <f>IF(Sheet1!BQ14="","",LOWER(TRIM(Sheet1!BQ14)))</f>
        <v/>
      </c>
      <c r="H7" t="e">
        <f t="shared" si="0"/>
        <v>#VALUE!</v>
      </c>
      <c r="I7" t="str">
        <f t="shared" si="6"/>
        <v/>
      </c>
      <c r="J7" t="str">
        <f t="shared" si="6"/>
        <v>00:00</v>
      </c>
      <c r="K7" s="169">
        <f>IF(Sheet1!BM15="",0,Sheet1!BM15)</f>
        <v>0</v>
      </c>
      <c r="M7" t="str">
        <f t="shared" si="7"/>
        <v/>
      </c>
      <c r="N7" t="str">
        <f t="shared" si="7"/>
        <v/>
      </c>
      <c r="O7" s="169">
        <f>IF(Sheet1!BK14="",0,Sheet1!BK14)</f>
        <v>0</v>
      </c>
      <c r="P7" s="169">
        <f>IF(Sheet1!BK15="",0,Sheet1!BK15)</f>
        <v>0</v>
      </c>
      <c r="Q7" s="169">
        <f>IF(Sheet1!BL14="",0,Sheet1!BL14)</f>
        <v>0</v>
      </c>
      <c r="R7" s="169">
        <f>IF(Sheet1!BL15="",0,Sheet1!BL15)</f>
        <v>0</v>
      </c>
      <c r="S7" s="169">
        <f>IF(Sheet1!BM14="",0,ROUND(Sheet1!BM14,1))</f>
        <v>0</v>
      </c>
      <c r="T7" s="169">
        <f>IF(Sheet1!CB14="",0,Sheet1!CB14)</f>
        <v>0</v>
      </c>
      <c r="U7" s="169">
        <f>IF(AQ7="YES",IF(TRIM(Sheet1!AU10)="",0,Sheet1!AU10),IF(TRIM(Sheet1!P10)="",0,Sheet1!P10))</f>
        <v>0</v>
      </c>
      <c r="V7" s="169">
        <f>IF(OR(Sheet1!AZ14=0,TRIM(Sheet1!AZ14)=""),0,1)</f>
        <v>0</v>
      </c>
      <c r="W7" s="169">
        <f>IF(OR(Sheet1!BA14=0,TRIM(Sheet1!BA14)=""),0,1)</f>
        <v>0</v>
      </c>
      <c r="X7" s="169">
        <f>IF(OR(Sheet1!BB14=0,TRIM(Sheet1!BB14)=""),0,1)</f>
        <v>0</v>
      </c>
      <c r="Y7" s="169">
        <f>IF(OR(Sheet1!BC14=0,TRIM(Sheet1!BC14)=""),0,1)</f>
        <v>0</v>
      </c>
      <c r="Z7" s="169">
        <f>IF(OR(Sheet1!BD14=0,TRIM(Sheet1!BD14)=""),0,1)</f>
        <v>0</v>
      </c>
      <c r="AA7" s="169">
        <f>IF(OR(Sheet1!BE14=0,TRIM(Sheet1!BE14)=""),0,1)</f>
        <v>0</v>
      </c>
      <c r="AB7">
        <f t="shared" si="1"/>
        <v>0</v>
      </c>
      <c r="AC7">
        <f>IF(Sheet1!AC10="",0,Sheet1!AC10)</f>
        <v>0</v>
      </c>
      <c r="AD7">
        <f>IF(Sheet1!AB10="",0,Sheet1!AB10)</f>
        <v>0</v>
      </c>
      <c r="AE7" t="str">
        <f t="shared" si="2"/>
        <v>NO</v>
      </c>
      <c r="AF7" t="str">
        <f t="shared" si="3"/>
        <v>NO</v>
      </c>
      <c r="AG7" s="169">
        <f>Sheet1!BP39</f>
        <v>0</v>
      </c>
      <c r="AH7" t="str">
        <f>IF(OR(Sheet1!F10="",Sheet1!F10=0),"",Sheet1!F10)</f>
        <v/>
      </c>
      <c r="AI7" t="str">
        <f>IF(OR(Sheet1!G10="",Sheet1!G10=0),"",Sheet1!G10)</f>
        <v/>
      </c>
      <c r="AJ7" t="str">
        <f t="shared" si="4"/>
        <v/>
      </c>
      <c r="AK7">
        <f>IF(Sheet1!BO14="",0,Sheet1!BO14)</f>
        <v>0</v>
      </c>
      <c r="AL7" t="e">
        <f t="shared" si="5"/>
        <v>#VALUE!</v>
      </c>
      <c r="AN7" t="str">
        <f>IF(Sheet1!BF14="","",UPPER(TRIM(Sheet1!BF14)))</f>
        <v/>
      </c>
      <c r="AO7" t="str">
        <f t="shared" si="8"/>
        <v/>
      </c>
      <c r="AP7" t="str">
        <f>IF(A7="","",CONCATENATE(TRIM(Sheet1!L10),"x",TRIM(Sheet1!M10),"x",TRIM(Sheet1!K10)))</f>
        <v/>
      </c>
      <c r="AQ7" t="str">
        <f t="shared" si="9"/>
        <v/>
      </c>
      <c r="AR7" s="170" t="str">
        <f>IF(Sheet1!BI14="","",Sheet1!BI14)</f>
        <v/>
      </c>
      <c r="AS7" s="170">
        <f>Sheet1!BI15</f>
        <v>0</v>
      </c>
      <c r="AT7" s="170" t="str">
        <f>Sheet1!BH14</f>
        <v/>
      </c>
      <c r="AU7" s="170" t="str">
        <f>Sheet1!BH15</f>
        <v/>
      </c>
    </row>
    <row r="8" spans="1:47">
      <c r="A8" s="169" t="str">
        <f>IF(UPPER(TRIM(Sheet1!E11))="","",UPPER(TRIM(Sheet1!E11)))</f>
        <v/>
      </c>
      <c r="B8" s="169" t="str">
        <f>IF(OR(Sheet1!AX16="",Sheet1!AX16="--xxx"),"",Sheet1!AX16)</f>
        <v/>
      </c>
      <c r="C8" s="169" t="str">
        <f>UPPER(TRIM(Sheet1!BV2))</f>
        <v/>
      </c>
      <c r="D8" s="169" t="str">
        <f>TRIM(Sheet1!Z3)</f>
        <v/>
      </c>
      <c r="E8" s="169">
        <f>Sheet1!CB2</f>
        <v>6</v>
      </c>
      <c r="F8" s="169">
        <f>Sheet1!BF17</f>
        <v>0</v>
      </c>
      <c r="G8" s="169" t="str">
        <f>IF(Sheet1!BQ16="","",LOWER(TRIM(Sheet1!BQ16)))</f>
        <v/>
      </c>
      <c r="H8" t="e">
        <f t="shared" si="0"/>
        <v>#VALUE!</v>
      </c>
      <c r="I8" t="str">
        <f t="shared" si="6"/>
        <v/>
      </c>
      <c r="J8" t="str">
        <f t="shared" si="6"/>
        <v>00:00</v>
      </c>
      <c r="K8" s="169">
        <f>IF(Sheet1!BM17="",0,Sheet1!BM17)</f>
        <v>0</v>
      </c>
      <c r="M8" t="str">
        <f t="shared" si="7"/>
        <v/>
      </c>
      <c r="N8" t="str">
        <f t="shared" si="7"/>
        <v/>
      </c>
      <c r="O8" s="169">
        <f>IF(Sheet1!BK16="",0,Sheet1!BK16)</f>
        <v>0</v>
      </c>
      <c r="P8" s="169">
        <f>IF(Sheet1!BK17="",0,Sheet1!BK17)</f>
        <v>0</v>
      </c>
      <c r="Q8" s="169">
        <f>IF(Sheet1!BL16="",0,Sheet1!BL16)</f>
        <v>0</v>
      </c>
      <c r="R8" s="169">
        <f>IF(Sheet1!BL17="",0,Sheet1!BL17)</f>
        <v>0</v>
      </c>
      <c r="S8" s="169">
        <f>IF(Sheet1!BM16="",0,ROUND(Sheet1!BM16,1))</f>
        <v>0</v>
      </c>
      <c r="T8" s="169">
        <f>IF(Sheet1!CB16="",0,Sheet1!CB16)</f>
        <v>0</v>
      </c>
      <c r="U8" s="169">
        <f>IF(AQ8="YES",IF(TRIM(Sheet1!AU11)="",0,Sheet1!AU11),IF(TRIM(Sheet1!P11)="",0,Sheet1!P11))</f>
        <v>0</v>
      </c>
      <c r="V8" s="169">
        <f>IF(OR(Sheet1!AZ16=0,TRIM(Sheet1!AZ16)=""),0,1)</f>
        <v>0</v>
      </c>
      <c r="W8" s="169">
        <f>IF(OR(Sheet1!BA16=0,TRIM(Sheet1!BA16)=""),0,1)</f>
        <v>0</v>
      </c>
      <c r="X8" s="169">
        <f>IF(OR(Sheet1!BB16=0,TRIM(Sheet1!BB16)=""),0,1)</f>
        <v>0</v>
      </c>
      <c r="Y8" s="169">
        <f>IF(OR(Sheet1!BC16=0,TRIM(Sheet1!BC16)=""),0,1)</f>
        <v>0</v>
      </c>
      <c r="Z8" s="169">
        <f>IF(OR(Sheet1!BD16=0,TRIM(Sheet1!BD16)=""),0,1)</f>
        <v>0</v>
      </c>
      <c r="AA8" s="169">
        <f>IF(OR(Sheet1!BE16=0,TRIM(Sheet1!BE16)=""),0,1)</f>
        <v>0</v>
      </c>
      <c r="AB8">
        <f t="shared" si="1"/>
        <v>0</v>
      </c>
      <c r="AC8">
        <f>IF(Sheet1!AC11="",0,Sheet1!AC11)</f>
        <v>0</v>
      </c>
      <c r="AD8">
        <f>IF(Sheet1!AB11="",0,Sheet1!AB11)</f>
        <v>0</v>
      </c>
      <c r="AE8" t="str">
        <f t="shared" si="2"/>
        <v>NO</v>
      </c>
      <c r="AF8" t="str">
        <f t="shared" si="3"/>
        <v>NO</v>
      </c>
      <c r="AG8" s="169">
        <f>Sheet1!BP39</f>
        <v>0</v>
      </c>
      <c r="AH8" t="str">
        <f>IF(OR(Sheet1!F11="",Sheet1!F11=0),"",Sheet1!F11)</f>
        <v/>
      </c>
      <c r="AI8" t="str">
        <f>IF(OR(Sheet1!G11="",Sheet1!G11=0),"",Sheet1!G11)</f>
        <v/>
      </c>
      <c r="AJ8" t="str">
        <f t="shared" si="4"/>
        <v/>
      </c>
      <c r="AK8">
        <f>IF(Sheet1!BO16="",0,Sheet1!BO16)</f>
        <v>0</v>
      </c>
      <c r="AL8" t="e">
        <f t="shared" si="5"/>
        <v>#VALUE!</v>
      </c>
      <c r="AN8" t="str">
        <f>IF(Sheet1!BF16="","",UPPER(TRIM(Sheet1!BF16)))</f>
        <v/>
      </c>
      <c r="AO8" t="str">
        <f t="shared" si="8"/>
        <v/>
      </c>
      <c r="AP8" t="str">
        <f>IF(A8="","",CONCATENATE(TRIM(Sheet1!L11),"x",TRIM(Sheet1!M11),"x",TRIM(Sheet1!K11)))</f>
        <v/>
      </c>
      <c r="AQ8" t="str">
        <f t="shared" si="9"/>
        <v/>
      </c>
      <c r="AR8" s="170" t="str">
        <f>IF(Sheet1!BI16="","",Sheet1!BI16)</f>
        <v/>
      </c>
      <c r="AS8" s="170">
        <f>Sheet1!BI17</f>
        <v>0</v>
      </c>
      <c r="AT8" s="170" t="str">
        <f>Sheet1!BH16</f>
        <v/>
      </c>
      <c r="AU8" s="170" t="str">
        <f>Sheet1!BH17</f>
        <v/>
      </c>
    </row>
    <row r="9" spans="1:47">
      <c r="A9" s="169" t="str">
        <f>IF(UPPER(TRIM(Sheet1!E12))="","",UPPER(TRIM(Sheet1!E12)))</f>
        <v/>
      </c>
      <c r="B9" s="169" t="str">
        <f>IF(OR(Sheet1!AX18="",Sheet1!AX18="--xxx"),"",Sheet1!AX18)</f>
        <v/>
      </c>
      <c r="C9" s="169" t="str">
        <f>UPPER(TRIM(Sheet1!BV2))</f>
        <v/>
      </c>
      <c r="D9" s="169" t="str">
        <f>TRIM(Sheet1!Z3)</f>
        <v/>
      </c>
      <c r="E9" s="169">
        <f>Sheet1!CB2</f>
        <v>6</v>
      </c>
      <c r="F9" s="169">
        <f>Sheet1!BF19</f>
        <v>0</v>
      </c>
      <c r="G9" s="169" t="str">
        <f>IF(Sheet1!BQ18="","",LOWER(TRIM(Sheet1!BQ18)))</f>
        <v/>
      </c>
      <c r="H9" t="e">
        <f t="shared" si="0"/>
        <v>#VALUE!</v>
      </c>
      <c r="I9" t="str">
        <f t="shared" si="6"/>
        <v/>
      </c>
      <c r="J9" t="str">
        <f t="shared" si="6"/>
        <v>00:00</v>
      </c>
      <c r="K9" s="169">
        <f>IF(Sheet1!BM19="",0,Sheet1!BM19)</f>
        <v>0</v>
      </c>
      <c r="M9" t="str">
        <f t="shared" si="7"/>
        <v/>
      </c>
      <c r="N9" t="str">
        <f t="shared" si="7"/>
        <v/>
      </c>
      <c r="O9" s="169">
        <f>IF(Sheet1!BK18="",0,Sheet1!BK18)</f>
        <v>0</v>
      </c>
      <c r="P9" s="169">
        <f>IF(Sheet1!BK19="",0,Sheet1!BK19)</f>
        <v>0</v>
      </c>
      <c r="Q9" s="169">
        <f>IF(Sheet1!BL18="",0,Sheet1!BL18)</f>
        <v>0</v>
      </c>
      <c r="R9" s="169">
        <f>IF(Sheet1!BL19="",0,Sheet1!BL19)</f>
        <v>0</v>
      </c>
      <c r="S9" s="169">
        <f>IF(Sheet1!BM18="",0,ROUND(Sheet1!BM18,1))</f>
        <v>0</v>
      </c>
      <c r="T9" s="169">
        <f>IF(Sheet1!CB18="",0,Sheet1!CB18)</f>
        <v>0</v>
      </c>
      <c r="U9" s="169">
        <f>IF(AQ9="YES",IF(TRIM(Sheet1!AU12)="",0,Sheet1!AU12),IF(TRIM(Sheet1!P12)="",0,Sheet1!P12))</f>
        <v>0</v>
      </c>
      <c r="V9" s="169">
        <f>IF(OR(Sheet1!AZ18=0,TRIM(Sheet1!AZ18)=""),0,1)</f>
        <v>0</v>
      </c>
      <c r="W9" s="169">
        <f>IF(OR(Sheet1!BA18=0,TRIM(Sheet1!BA18)=""),0,1)</f>
        <v>0</v>
      </c>
      <c r="X9" s="169">
        <f>IF(OR(Sheet1!BB18=0,TRIM(Sheet1!BB18)=""),0,1)</f>
        <v>0</v>
      </c>
      <c r="Y9" s="169">
        <f>IF(OR(Sheet1!BC18=0,TRIM(Sheet1!BC18)=""),0,1)</f>
        <v>0</v>
      </c>
      <c r="Z9" s="169">
        <f>IF(OR(Sheet1!BD18=0,TRIM(Sheet1!BD18)=""),0,1)</f>
        <v>0</v>
      </c>
      <c r="AA9" s="169">
        <f>IF(OR(Sheet1!BE18=0,TRIM(Sheet1!BE18)=""),0,1)</f>
        <v>0</v>
      </c>
      <c r="AB9">
        <f t="shared" si="1"/>
        <v>0</v>
      </c>
      <c r="AC9">
        <f>IF(Sheet1!AC12="",0,Sheet1!AC12)</f>
        <v>0</v>
      </c>
      <c r="AD9">
        <f>IF(Sheet1!AB12="",0,Sheet1!AB12)</f>
        <v>0</v>
      </c>
      <c r="AE9" t="str">
        <f t="shared" si="2"/>
        <v>NO</v>
      </c>
      <c r="AF9" t="str">
        <f t="shared" si="3"/>
        <v>NO</v>
      </c>
      <c r="AG9" s="169">
        <f>Sheet1!BP39</f>
        <v>0</v>
      </c>
      <c r="AH9" t="str">
        <f>IF(OR(Sheet1!F12="",Sheet1!F12=0),"",Sheet1!F12)</f>
        <v/>
      </c>
      <c r="AI9" t="str">
        <f>IF(OR(Sheet1!G12="",Sheet1!G12=0),"",Sheet1!G12)</f>
        <v/>
      </c>
      <c r="AJ9" t="str">
        <f t="shared" si="4"/>
        <v/>
      </c>
      <c r="AK9">
        <f>IF(Sheet1!BO18="",0,Sheet1!BO18)</f>
        <v>0</v>
      </c>
      <c r="AL9" t="e">
        <f t="shared" si="5"/>
        <v>#VALUE!</v>
      </c>
      <c r="AN9" t="str">
        <f>IF(Sheet1!BF18="","",UPPER(TRIM(Sheet1!BF18)))</f>
        <v/>
      </c>
      <c r="AO9" t="str">
        <f t="shared" si="8"/>
        <v/>
      </c>
      <c r="AP9" t="str">
        <f>IF(A9="","",CONCATENATE(TRIM(Sheet1!L12),"x",TRIM(Sheet1!M12),"x",TRIM(Sheet1!K12)))</f>
        <v/>
      </c>
      <c r="AQ9" t="str">
        <f t="shared" si="9"/>
        <v/>
      </c>
      <c r="AR9" s="170" t="str">
        <f>IF(Sheet1!BI18="","",Sheet1!BI18)</f>
        <v/>
      </c>
      <c r="AS9" s="170">
        <f>Sheet1!BI19</f>
        <v>0</v>
      </c>
      <c r="AT9" s="170" t="str">
        <f>Sheet1!BH18</f>
        <v/>
      </c>
      <c r="AU9" s="170" t="str">
        <f>Sheet1!BH19</f>
        <v/>
      </c>
    </row>
    <row r="10" spans="1:47">
      <c r="A10" s="169" t="str">
        <f>IF(UPPER(TRIM(Sheet1!E13))="","",UPPER(TRIM(Sheet1!E13)))</f>
        <v/>
      </c>
      <c r="B10" s="169" t="str">
        <f>IF(OR(Sheet1!AX20="",Sheet1!AX20="--xxx"),"",Sheet1!AX20)</f>
        <v/>
      </c>
      <c r="C10" s="169" t="str">
        <f>UPPER(TRIM(Sheet1!BV2))</f>
        <v/>
      </c>
      <c r="D10" s="169" t="str">
        <f>TRIM(Sheet1!Z3)</f>
        <v/>
      </c>
      <c r="E10" s="169">
        <f>Sheet1!CB2</f>
        <v>6</v>
      </c>
      <c r="F10" s="169">
        <f>Sheet1!BF21</f>
        <v>0</v>
      </c>
      <c r="G10" s="169" t="str">
        <f>IF(Sheet1!BQ20="","",LOWER(TRIM(Sheet1!BQ20)))</f>
        <v/>
      </c>
      <c r="H10" t="e">
        <f t="shared" si="0"/>
        <v>#VALUE!</v>
      </c>
      <c r="I10" t="str">
        <f t="shared" si="6"/>
        <v/>
      </c>
      <c r="J10" t="str">
        <f t="shared" si="6"/>
        <v>00:00</v>
      </c>
      <c r="K10" s="169">
        <f>IF(Sheet1!BM21="",0,Sheet1!BM21)</f>
        <v>0</v>
      </c>
      <c r="M10" t="str">
        <f t="shared" si="7"/>
        <v/>
      </c>
      <c r="N10" t="str">
        <f t="shared" si="7"/>
        <v/>
      </c>
      <c r="O10" s="169">
        <f>IF(Sheet1!BK20="",0,Sheet1!BK20)</f>
        <v>0</v>
      </c>
      <c r="P10" s="169">
        <f>IF(Sheet1!BK21="",0,Sheet1!BK21)</f>
        <v>0</v>
      </c>
      <c r="Q10" s="169">
        <f>IF(Sheet1!BL20="",0,Sheet1!BL20)</f>
        <v>0</v>
      </c>
      <c r="R10" s="169">
        <f>IF(Sheet1!BL21="",0,Sheet1!BL21)</f>
        <v>0</v>
      </c>
      <c r="S10" s="169">
        <f>IF(Sheet1!BM20="",0,ROUND(Sheet1!BM20,1))</f>
        <v>0</v>
      </c>
      <c r="T10" s="169">
        <f>IF(Sheet1!CB20="",0,Sheet1!CB20)</f>
        <v>0</v>
      </c>
      <c r="U10" s="169">
        <f>IF(AQ10="YES",IF(TRIM(Sheet1!AU13)="",0,Sheet1!AU13),IF(TRIM(Sheet1!P13)="",0,Sheet1!P13))</f>
        <v>0</v>
      </c>
      <c r="V10" s="169">
        <f>IF(OR(Sheet1!AZ20=0,TRIM(Sheet1!AZ20)=""),0,1)</f>
        <v>0</v>
      </c>
      <c r="W10" s="169">
        <f>IF(OR(Sheet1!BA20=0,TRIM(Sheet1!BA20)=""),0,1)</f>
        <v>0</v>
      </c>
      <c r="X10" s="169">
        <f>IF(OR(Sheet1!BB20=0,TRIM(Sheet1!BB20)=""),0,1)</f>
        <v>0</v>
      </c>
      <c r="Y10" s="169">
        <f>IF(OR(Sheet1!BC20=0,TRIM(Sheet1!BC20)=""),0,1)</f>
        <v>0</v>
      </c>
      <c r="Z10" s="169">
        <f>IF(OR(Sheet1!BD20=0,TRIM(Sheet1!BD20)=""),0,1)</f>
        <v>0</v>
      </c>
      <c r="AA10" s="169">
        <f>IF(OR(Sheet1!BE20=0,TRIM(Sheet1!BE20)=""),0,1)</f>
        <v>0</v>
      </c>
      <c r="AB10">
        <f t="shared" si="1"/>
        <v>0</v>
      </c>
      <c r="AC10">
        <f>IF(Sheet1!AC13="",0,Sheet1!AC13)</f>
        <v>0</v>
      </c>
      <c r="AD10">
        <f>IF(Sheet1!AB13="",0,Sheet1!AB13)</f>
        <v>0</v>
      </c>
      <c r="AE10" t="str">
        <f t="shared" si="2"/>
        <v>NO</v>
      </c>
      <c r="AF10" t="str">
        <f t="shared" si="3"/>
        <v>NO</v>
      </c>
      <c r="AG10" s="169">
        <f>Sheet1!BP39</f>
        <v>0</v>
      </c>
      <c r="AH10" t="str">
        <f>IF(OR(Sheet1!F13="",Sheet1!F13=0),"",Sheet1!F13)</f>
        <v/>
      </c>
      <c r="AI10" t="str">
        <f>IF(OR(Sheet1!G13="",Sheet1!G13=0),"",Sheet1!G13)</f>
        <v/>
      </c>
      <c r="AJ10" t="str">
        <f t="shared" si="4"/>
        <v/>
      </c>
      <c r="AK10">
        <f>IF(Sheet1!BO20="",0,Sheet1!BO20)</f>
        <v>0</v>
      </c>
      <c r="AL10" t="e">
        <f t="shared" si="5"/>
        <v>#VALUE!</v>
      </c>
      <c r="AN10" t="str">
        <f>IF(Sheet1!BF20="","",UPPER(TRIM(Sheet1!BF20)))</f>
        <v/>
      </c>
      <c r="AO10" t="str">
        <f t="shared" si="8"/>
        <v/>
      </c>
      <c r="AP10" t="str">
        <f>IF(A10="","",CONCATENATE(TRIM(Sheet1!L13),"x",TRIM(Sheet1!M13),"x",TRIM(Sheet1!K13)))</f>
        <v/>
      </c>
      <c r="AQ10" t="str">
        <f t="shared" si="9"/>
        <v/>
      </c>
      <c r="AR10" s="170" t="str">
        <f>IF(Sheet1!BI20="","",Sheet1!BI20)</f>
        <v/>
      </c>
      <c r="AS10" s="170">
        <f>Sheet1!BI21</f>
        <v>0</v>
      </c>
      <c r="AT10" s="170" t="str">
        <f>Sheet1!BH20</f>
        <v/>
      </c>
      <c r="AU10" s="170" t="str">
        <f>Sheet1!BH21</f>
        <v/>
      </c>
    </row>
    <row r="11" spans="1:47">
      <c r="A11" s="169" t="str">
        <f>IF(UPPER(TRIM(Sheet1!E14))="","",UPPER(TRIM(Sheet1!E14)))</f>
        <v/>
      </c>
      <c r="B11" s="169" t="str">
        <f>IF(OR(Sheet1!AX22="",Sheet1!AX22="--xxx"),"",Sheet1!AX22)</f>
        <v/>
      </c>
      <c r="C11" s="169" t="str">
        <f>UPPER(TRIM(Sheet1!BV2))</f>
        <v/>
      </c>
      <c r="D11" s="169" t="str">
        <f>TRIM(Sheet1!Z3)</f>
        <v/>
      </c>
      <c r="E11" s="169">
        <f>Sheet1!CB2</f>
        <v>6</v>
      </c>
      <c r="F11" s="169">
        <f>Sheet1!BF23</f>
        <v>0</v>
      </c>
      <c r="G11" s="169" t="str">
        <f>IF(Sheet1!BQ22="","",LOWER(TRIM(Sheet1!BQ22)))</f>
        <v/>
      </c>
      <c r="H11" t="e">
        <f t="shared" si="0"/>
        <v>#VALUE!</v>
      </c>
      <c r="I11" t="str">
        <f t="shared" si="6"/>
        <v/>
      </c>
      <c r="J11" t="str">
        <f t="shared" si="6"/>
        <v>00:00</v>
      </c>
      <c r="K11" s="169">
        <f>IF(Sheet1!BM23="",0,Sheet1!BM23)</f>
        <v>0</v>
      </c>
      <c r="M11" t="str">
        <f t="shared" si="7"/>
        <v/>
      </c>
      <c r="N11" t="str">
        <f t="shared" si="7"/>
        <v/>
      </c>
      <c r="O11" s="169">
        <f>IF(Sheet1!BK22="",0,Sheet1!BK22)</f>
        <v>0</v>
      </c>
      <c r="P11" s="169">
        <f>IF(Sheet1!BK23="",0,Sheet1!BK23)</f>
        <v>0</v>
      </c>
      <c r="Q11" s="169">
        <f>IF(Sheet1!BL22="",0,Sheet1!BL22)</f>
        <v>0</v>
      </c>
      <c r="R11" s="169">
        <f>IF(Sheet1!BL23="",0,Sheet1!BL23)</f>
        <v>0</v>
      </c>
      <c r="S11" s="169">
        <f>IF(Sheet1!BM22="",0,ROUND(Sheet1!BM22,1))</f>
        <v>0</v>
      </c>
      <c r="T11" s="169">
        <f>IF(Sheet1!CB22="",0,Sheet1!CB22)</f>
        <v>0</v>
      </c>
      <c r="U11" s="169">
        <f>IF(AQ11="YES",IF(TRIM(Sheet1!AU14)="",0,Sheet1!AU14),IF(TRIM(Sheet1!P14)="",0,Sheet1!P14))</f>
        <v>0</v>
      </c>
      <c r="V11" s="169">
        <f>IF(OR(Sheet1!AZ22=0,TRIM(Sheet1!AZ22)=""),0,1)</f>
        <v>0</v>
      </c>
      <c r="W11" s="169">
        <f>IF(OR(Sheet1!BA22=0,TRIM(Sheet1!BA22)=""),0,1)</f>
        <v>0</v>
      </c>
      <c r="X11" s="169">
        <f>IF(OR(Sheet1!BB22=0,TRIM(Sheet1!BB22)=""),0,1)</f>
        <v>0</v>
      </c>
      <c r="Y11" s="169">
        <f>IF(OR(Sheet1!BC22=0,TRIM(Sheet1!BC22)=""),0,1)</f>
        <v>0</v>
      </c>
      <c r="Z11" s="169">
        <f>IF(OR(Sheet1!BD22=0,TRIM(Sheet1!BD22)=""),0,1)</f>
        <v>0</v>
      </c>
      <c r="AA11" s="169">
        <f>IF(OR(Sheet1!BE22=0,TRIM(Sheet1!BE22)=""),0,1)</f>
        <v>0</v>
      </c>
      <c r="AB11">
        <f t="shared" si="1"/>
        <v>0</v>
      </c>
      <c r="AC11">
        <f>IF(Sheet1!AC14="",0,Sheet1!AC14)</f>
        <v>0</v>
      </c>
      <c r="AD11">
        <f>IF(Sheet1!AB14="",0,Sheet1!AB14)</f>
        <v>0</v>
      </c>
      <c r="AE11" t="str">
        <f t="shared" si="2"/>
        <v>NO</v>
      </c>
      <c r="AF11" t="str">
        <f t="shared" si="3"/>
        <v>NO</v>
      </c>
      <c r="AG11" s="169">
        <f>Sheet1!BP39</f>
        <v>0</v>
      </c>
      <c r="AH11" t="str">
        <f>IF(OR(Sheet1!F14="",Sheet1!F14=0),"",Sheet1!F14)</f>
        <v/>
      </c>
      <c r="AI11" t="str">
        <f>IF(OR(Sheet1!G14="",Sheet1!G14=0),"",Sheet1!G14)</f>
        <v/>
      </c>
      <c r="AJ11" t="str">
        <f t="shared" si="4"/>
        <v/>
      </c>
      <c r="AK11">
        <f>IF(Sheet1!BO22="",0,Sheet1!BO22)</f>
        <v>0</v>
      </c>
      <c r="AL11" t="e">
        <f t="shared" si="5"/>
        <v>#VALUE!</v>
      </c>
      <c r="AN11" t="str">
        <f>IF(Sheet1!BF22="","",UPPER(TRIM(Sheet1!BF22)))</f>
        <v/>
      </c>
      <c r="AO11" t="str">
        <f t="shared" si="8"/>
        <v/>
      </c>
      <c r="AP11" t="str">
        <f>IF(A11="","",CONCATENATE(TRIM(Sheet1!L14),"x",TRIM(Sheet1!M14),"x",TRIM(Sheet1!K14)))</f>
        <v/>
      </c>
      <c r="AQ11" t="str">
        <f t="shared" si="9"/>
        <v/>
      </c>
      <c r="AR11" s="170" t="str">
        <f>IF(Sheet1!BI22="","",Sheet1!BI22)</f>
        <v/>
      </c>
      <c r="AS11" s="170">
        <f>Sheet1!BI23</f>
        <v>0</v>
      </c>
      <c r="AT11" s="170" t="str">
        <f>Sheet1!BH22</f>
        <v/>
      </c>
      <c r="AU11" s="170" t="str">
        <f>Sheet1!BH23</f>
        <v/>
      </c>
    </row>
    <row r="12" spans="1:47">
      <c r="A12" s="169" t="str">
        <f>IF(UPPER(TRIM(Sheet1!E15))="","",UPPER(TRIM(Sheet1!E15)))</f>
        <v/>
      </c>
      <c r="B12" s="169" t="str">
        <f>IF(OR(Sheet1!AX24="",Sheet1!AX24="--xxx"),"",Sheet1!AX24)</f>
        <v/>
      </c>
      <c r="C12" s="169" t="str">
        <f>UPPER(TRIM(Sheet1!BV2))</f>
        <v/>
      </c>
      <c r="D12" s="169" t="str">
        <f>TRIM(Sheet1!Z3)</f>
        <v/>
      </c>
      <c r="E12" s="169">
        <f>Sheet1!CB2</f>
        <v>6</v>
      </c>
      <c r="F12" s="169">
        <f>Sheet1!BF25</f>
        <v>0</v>
      </c>
      <c r="G12" s="169" t="str">
        <f>IF(Sheet1!BQ24="","",LOWER(TRIM(Sheet1!BQ24)))</f>
        <v/>
      </c>
      <c r="H12" t="e">
        <f t="shared" si="0"/>
        <v>#VALUE!</v>
      </c>
      <c r="I12" t="str">
        <f t="shared" si="6"/>
        <v/>
      </c>
      <c r="J12" t="str">
        <f t="shared" si="6"/>
        <v>00:00</v>
      </c>
      <c r="K12" s="169">
        <f>IF(Sheet1!BM25="",0,Sheet1!BM25)</f>
        <v>0</v>
      </c>
      <c r="M12" t="str">
        <f t="shared" si="7"/>
        <v/>
      </c>
      <c r="N12" t="str">
        <f t="shared" si="7"/>
        <v/>
      </c>
      <c r="O12" s="169">
        <f>IF(Sheet1!BK24="",0,Sheet1!BK24)</f>
        <v>0</v>
      </c>
      <c r="P12" s="169">
        <f>IF(Sheet1!BK25="",0,Sheet1!BK25)</f>
        <v>0</v>
      </c>
      <c r="Q12" s="169">
        <f>IF(Sheet1!BL24="",0,Sheet1!BL24)</f>
        <v>0</v>
      </c>
      <c r="R12" s="169">
        <f>IF(Sheet1!BL25="",0,Sheet1!BL25)</f>
        <v>0</v>
      </c>
      <c r="S12" s="169">
        <f>IF(Sheet1!BM24="",0,ROUND(Sheet1!BM24,1))</f>
        <v>0</v>
      </c>
      <c r="T12" s="169">
        <f>IF(Sheet1!CB24="",0,Sheet1!CB24)</f>
        <v>0</v>
      </c>
      <c r="U12" s="169">
        <f>IF(AQ12="YES",IF(TRIM(Sheet1!AU15)="",0,Sheet1!AU15),IF(TRIM(Sheet1!P15)="",0,Sheet1!P15))</f>
        <v>0</v>
      </c>
      <c r="V12" s="169">
        <f>IF(OR(Sheet1!AZ24=0,TRIM(Sheet1!AZ24)=""),0,1)</f>
        <v>0</v>
      </c>
      <c r="W12" s="169">
        <f>IF(OR(Sheet1!BA24=0,TRIM(Sheet1!BA24)=""),0,1)</f>
        <v>0</v>
      </c>
      <c r="X12" s="169">
        <f>IF(OR(Sheet1!BB24=0,TRIM(Sheet1!BB24)=""),0,1)</f>
        <v>0</v>
      </c>
      <c r="Y12" s="169">
        <f>IF(OR(Sheet1!BC24=0,TRIM(Sheet1!BC24)=""),0,1)</f>
        <v>0</v>
      </c>
      <c r="Z12" s="169">
        <f>IF(OR(Sheet1!BD24=0,TRIM(Sheet1!BD24)=""),0,1)</f>
        <v>0</v>
      </c>
      <c r="AA12" s="169">
        <f>IF(OR(Sheet1!BE24=0,TRIM(Sheet1!BE24)=""),0,1)</f>
        <v>0</v>
      </c>
      <c r="AB12">
        <f t="shared" si="1"/>
        <v>0</v>
      </c>
      <c r="AC12">
        <f>IF(Sheet1!AC15="",0,Sheet1!AC15)</f>
        <v>0</v>
      </c>
      <c r="AD12">
        <f>IF(Sheet1!AB15="",0,Sheet1!AB15)</f>
        <v>0</v>
      </c>
      <c r="AE12" t="str">
        <f t="shared" si="2"/>
        <v>NO</v>
      </c>
      <c r="AF12" t="str">
        <f t="shared" si="3"/>
        <v>NO</v>
      </c>
      <c r="AG12" s="169">
        <f>Sheet1!BP39</f>
        <v>0</v>
      </c>
      <c r="AH12" t="str">
        <f>IF(OR(Sheet1!F15="",Sheet1!F15=0),"",Sheet1!F15)</f>
        <v/>
      </c>
      <c r="AI12" t="str">
        <f>IF(OR(Sheet1!G15="",Sheet1!G15=0),"",Sheet1!G15)</f>
        <v/>
      </c>
      <c r="AJ12" t="str">
        <f t="shared" si="4"/>
        <v/>
      </c>
      <c r="AK12">
        <f>IF(Sheet1!BO24="",0,Sheet1!BO24)</f>
        <v>0</v>
      </c>
      <c r="AL12" t="e">
        <f t="shared" si="5"/>
        <v>#VALUE!</v>
      </c>
      <c r="AN12" t="str">
        <f>IF(Sheet1!BF24="","",UPPER(TRIM(Sheet1!BF24)))</f>
        <v/>
      </c>
      <c r="AO12" t="str">
        <f t="shared" si="8"/>
        <v/>
      </c>
      <c r="AP12" t="str">
        <f>IF(A12="","",CONCATENATE(TRIM(Sheet1!L15),"x",TRIM(Sheet1!M15),"x",TRIM(Sheet1!K15)))</f>
        <v/>
      </c>
      <c r="AQ12" t="str">
        <f t="shared" si="9"/>
        <v/>
      </c>
      <c r="AR12" s="170" t="str">
        <f>IF(Sheet1!BI24="","",Sheet1!BI24)</f>
        <v/>
      </c>
      <c r="AS12" s="170">
        <f>Sheet1!BI25</f>
        <v>0</v>
      </c>
      <c r="AT12" s="170" t="str">
        <f>Sheet1!BH24</f>
        <v/>
      </c>
      <c r="AU12" s="170" t="str">
        <f>Sheet1!BH25</f>
        <v/>
      </c>
    </row>
    <row r="13" spans="1:47">
      <c r="A13" s="169" t="str">
        <f>IF(UPPER(TRIM(Sheet1!E16))="","",UPPER(TRIM(Sheet1!E16)))</f>
        <v/>
      </c>
      <c r="B13" s="169" t="str">
        <f>IF(OR(Sheet1!AX26="",Sheet1!AX26="--xxx"),"",Sheet1!AX26)</f>
        <v/>
      </c>
      <c r="C13" s="169" t="str">
        <f>UPPER(TRIM(Sheet1!BV2))</f>
        <v/>
      </c>
      <c r="D13" s="169" t="str">
        <f>TRIM(Sheet1!Z3)</f>
        <v/>
      </c>
      <c r="E13" s="169">
        <f>Sheet1!CB2</f>
        <v>6</v>
      </c>
      <c r="F13" s="169">
        <f>Sheet1!BF27</f>
        <v>0</v>
      </c>
      <c r="G13" s="169" t="str">
        <f>IF(Sheet1!BQ26="","",LOWER(TRIM(Sheet1!BQ26)))</f>
        <v/>
      </c>
      <c r="H13" t="e">
        <f t="shared" si="0"/>
        <v>#VALUE!</v>
      </c>
      <c r="I13" t="str">
        <f t="shared" si="6"/>
        <v/>
      </c>
      <c r="J13" t="str">
        <f t="shared" si="6"/>
        <v>00:00</v>
      </c>
      <c r="K13" s="169">
        <f>IF(Sheet1!BM27="",0,Sheet1!BM27)</f>
        <v>0</v>
      </c>
      <c r="M13" t="str">
        <f t="shared" si="7"/>
        <v/>
      </c>
      <c r="N13" t="str">
        <f t="shared" si="7"/>
        <v/>
      </c>
      <c r="O13" s="169">
        <f>IF(Sheet1!BK26="",0,Sheet1!BK26)</f>
        <v>0</v>
      </c>
      <c r="P13" s="169">
        <f>IF(Sheet1!BK27="",0,Sheet1!BK27)</f>
        <v>0</v>
      </c>
      <c r="Q13" s="169">
        <f>IF(Sheet1!BL26="",0,Sheet1!BL26)</f>
        <v>0</v>
      </c>
      <c r="R13" s="169">
        <f>IF(Sheet1!BL27="",0,Sheet1!BL27)</f>
        <v>0</v>
      </c>
      <c r="S13" s="169">
        <f>IF(Sheet1!BM26="",0,ROUND(Sheet1!BM26,1))</f>
        <v>0</v>
      </c>
      <c r="T13" s="169">
        <f>IF(Sheet1!CB26="",0,Sheet1!CB26)</f>
        <v>0</v>
      </c>
      <c r="U13" s="169">
        <f>IF(AQ13="YES",IF(TRIM(Sheet1!AU16)="",0,Sheet1!AU16),IF(TRIM(Sheet1!P16)="",0,Sheet1!P16))</f>
        <v>0</v>
      </c>
      <c r="V13" s="169">
        <f>IF(OR(Sheet1!AZ26=0,TRIM(Sheet1!AZ26)=""),0,1)</f>
        <v>0</v>
      </c>
      <c r="W13" s="169">
        <f>IF(OR(Sheet1!BA26=0,TRIM(Sheet1!BA26)=""),0,1)</f>
        <v>0</v>
      </c>
      <c r="X13" s="169">
        <f>IF(OR(Sheet1!BB26=0,TRIM(Sheet1!BB26)=""),0,1)</f>
        <v>0</v>
      </c>
      <c r="Y13" s="169">
        <f>IF(OR(Sheet1!BC26=0,TRIM(Sheet1!BC26)=""),0,1)</f>
        <v>0</v>
      </c>
      <c r="Z13" s="169">
        <f>IF(OR(Sheet1!BD26=0,TRIM(Sheet1!BD26)=""),0,1)</f>
        <v>0</v>
      </c>
      <c r="AA13" s="169">
        <f>IF(OR(Sheet1!BE26=0,TRIM(Sheet1!BE26)=""),0,1)</f>
        <v>0</v>
      </c>
      <c r="AB13">
        <f t="shared" si="1"/>
        <v>0</v>
      </c>
      <c r="AC13">
        <f>IF(Sheet1!AC16="",0,Sheet1!AC16)</f>
        <v>0</v>
      </c>
      <c r="AD13">
        <f>IF(Sheet1!AB16="",0,Sheet1!AB16)</f>
        <v>0</v>
      </c>
      <c r="AE13" t="str">
        <f t="shared" si="2"/>
        <v>NO</v>
      </c>
      <c r="AF13" t="str">
        <f t="shared" si="3"/>
        <v>NO</v>
      </c>
      <c r="AG13" s="169">
        <f>Sheet1!BP39</f>
        <v>0</v>
      </c>
      <c r="AH13" t="str">
        <f>IF(OR(Sheet1!F16="",Sheet1!F16=0),"",Sheet1!F16)</f>
        <v/>
      </c>
      <c r="AI13" t="str">
        <f>IF(OR(Sheet1!G16="",Sheet1!G16=0),"",Sheet1!G16)</f>
        <v/>
      </c>
      <c r="AJ13" t="str">
        <f t="shared" si="4"/>
        <v/>
      </c>
      <c r="AK13">
        <f>IF(Sheet1!BO26="",0,Sheet1!BO26)</f>
        <v>0</v>
      </c>
      <c r="AL13" t="e">
        <f t="shared" si="5"/>
        <v>#VALUE!</v>
      </c>
      <c r="AN13" t="str">
        <f>IF(Sheet1!BF26="","",UPPER(TRIM(Sheet1!BF26)))</f>
        <v/>
      </c>
      <c r="AO13" t="str">
        <f t="shared" si="8"/>
        <v/>
      </c>
      <c r="AP13" t="str">
        <f>IF(A13="","",CONCATENATE(TRIM(Sheet1!L16),"x",TRIM(Sheet1!M16),"x",TRIM(Sheet1!K16)))</f>
        <v/>
      </c>
      <c r="AQ13" t="str">
        <f t="shared" si="9"/>
        <v/>
      </c>
      <c r="AR13" s="170" t="str">
        <f>IF(Sheet1!BI26="","",Sheet1!BI26)</f>
        <v/>
      </c>
      <c r="AS13" s="170">
        <f>Sheet1!BI27</f>
        <v>0</v>
      </c>
      <c r="AT13" s="170" t="str">
        <f>Sheet1!BH26</f>
        <v/>
      </c>
      <c r="AU13" s="170" t="str">
        <f>Sheet1!BH27</f>
        <v/>
      </c>
    </row>
    <row r="14" spans="1:47">
      <c r="A14" s="169" t="str">
        <f>IF(UPPER(TRIM(Sheet1!E17))="","",UPPER(TRIM(Sheet1!E17)))</f>
        <v/>
      </c>
      <c r="B14" s="169" t="str">
        <f>IF(OR(Sheet1!AX28="",Sheet1!AX28="--xxx"),"",Sheet1!AX28)</f>
        <v/>
      </c>
      <c r="C14" s="169" t="str">
        <f>UPPER(TRIM(Sheet1!BV2))</f>
        <v/>
      </c>
      <c r="D14" s="169" t="str">
        <f>TRIM(Sheet1!Z3)</f>
        <v/>
      </c>
      <c r="E14" s="169">
        <f>Sheet1!CB2</f>
        <v>6</v>
      </c>
      <c r="F14" s="169">
        <f>Sheet1!BF29</f>
        <v>0</v>
      </c>
      <c r="G14" s="169" t="str">
        <f>IF(Sheet1!BQ28="","",LOWER(TRIM(Sheet1!BQ28)))</f>
        <v/>
      </c>
      <c r="H14" t="e">
        <f t="shared" si="0"/>
        <v>#VALUE!</v>
      </c>
      <c r="I14" t="str">
        <f t="shared" si="6"/>
        <v/>
      </c>
      <c r="J14" t="str">
        <f t="shared" si="6"/>
        <v>00:00</v>
      </c>
      <c r="K14" s="169">
        <f>IF(Sheet1!BM29="",0,Sheet1!BM29)</f>
        <v>0</v>
      </c>
      <c r="M14" t="str">
        <f t="shared" si="7"/>
        <v/>
      </c>
      <c r="N14" t="str">
        <f t="shared" si="7"/>
        <v/>
      </c>
      <c r="O14" s="169">
        <f>IF(Sheet1!BK28="",0,Sheet1!BK28)</f>
        <v>0</v>
      </c>
      <c r="P14" s="169">
        <f>IF(Sheet1!BK29="",0,Sheet1!BK29)</f>
        <v>0</v>
      </c>
      <c r="Q14" s="169">
        <f>IF(Sheet1!BL28="",0,Sheet1!BL28)</f>
        <v>0</v>
      </c>
      <c r="R14" s="169">
        <f>IF(Sheet1!BL29="",0,Sheet1!BL29)</f>
        <v>0</v>
      </c>
      <c r="S14" s="169">
        <f>IF(Sheet1!BM28="",0,ROUND(Sheet1!BM28,1))</f>
        <v>0</v>
      </c>
      <c r="T14" s="169">
        <f>IF(Sheet1!CB28="",0,Sheet1!CB28)</f>
        <v>0</v>
      </c>
      <c r="U14" s="169">
        <f>IF(AQ14="YES",IF(TRIM(Sheet1!AU17)="",0,Sheet1!AU17),IF(TRIM(Sheet1!P17)="",0,Sheet1!P17))</f>
        <v>0</v>
      </c>
      <c r="V14" s="169">
        <f>IF(OR(Sheet1!AZ28=0,TRIM(Sheet1!AZ28)=""),0,1)</f>
        <v>0</v>
      </c>
      <c r="W14" s="169">
        <f>IF(OR(Sheet1!BA28=0,TRIM(Sheet1!BA28)=""),0,1)</f>
        <v>0</v>
      </c>
      <c r="X14" s="169">
        <f>IF(OR(Sheet1!BB28=0,TRIM(Sheet1!BB28)=""),0,1)</f>
        <v>0</v>
      </c>
      <c r="Y14" s="169">
        <f>IF(OR(Sheet1!BC28=0,TRIM(Sheet1!BC28)=""),0,1)</f>
        <v>0</v>
      </c>
      <c r="Z14" s="169">
        <f>IF(OR(Sheet1!BD28=0,TRIM(Sheet1!BD28)=""),0,1)</f>
        <v>0</v>
      </c>
      <c r="AA14" s="169">
        <f>IF(OR(Sheet1!BE28=0,TRIM(Sheet1!BE28)=""),0,1)</f>
        <v>0</v>
      </c>
      <c r="AB14">
        <f t="shared" si="1"/>
        <v>0</v>
      </c>
      <c r="AC14">
        <f>IF(Sheet1!AC17="",0,Sheet1!AC17)</f>
        <v>0</v>
      </c>
      <c r="AD14">
        <f>IF(Sheet1!AB17="",0,Sheet1!AB17)</f>
        <v>0</v>
      </c>
      <c r="AE14" t="str">
        <f t="shared" si="2"/>
        <v>NO</v>
      </c>
      <c r="AF14" t="str">
        <f t="shared" si="3"/>
        <v>NO</v>
      </c>
      <c r="AG14" s="169">
        <f>Sheet1!BP39</f>
        <v>0</v>
      </c>
      <c r="AH14" t="str">
        <f>IF(OR(Sheet1!F17="",Sheet1!F17=0),"",Sheet1!F17)</f>
        <v/>
      </c>
      <c r="AI14" t="str">
        <f>IF(OR(Sheet1!G17="",Sheet1!G17=0),"",Sheet1!G17)</f>
        <v/>
      </c>
      <c r="AJ14" t="str">
        <f t="shared" si="4"/>
        <v/>
      </c>
      <c r="AK14">
        <f>IF(Sheet1!BO28="",0,Sheet1!BO28)</f>
        <v>0</v>
      </c>
      <c r="AL14" t="e">
        <f t="shared" si="5"/>
        <v>#VALUE!</v>
      </c>
      <c r="AN14" t="str">
        <f>IF(Sheet1!BF28="","",UPPER(TRIM(Sheet1!BF28)))</f>
        <v/>
      </c>
      <c r="AO14" t="str">
        <f t="shared" si="8"/>
        <v/>
      </c>
      <c r="AP14" t="str">
        <f>IF(A14="","",CONCATENATE(TRIM(Sheet1!L17),"x",TRIM(Sheet1!M17),"x",TRIM(Sheet1!K17)))</f>
        <v/>
      </c>
      <c r="AQ14" t="str">
        <f t="shared" si="9"/>
        <v/>
      </c>
      <c r="AR14" s="170" t="str">
        <f>IF(Sheet1!BI28="","",Sheet1!BI28)</f>
        <v/>
      </c>
      <c r="AS14" s="170">
        <f>Sheet1!BI29</f>
        <v>0</v>
      </c>
      <c r="AT14" s="170" t="str">
        <f>Sheet1!BH28</f>
        <v/>
      </c>
      <c r="AU14" s="170" t="str">
        <f>Sheet1!BH29</f>
        <v/>
      </c>
    </row>
    <row r="15" spans="1:47">
      <c r="A15" s="169" t="str">
        <f>IF(UPPER(TRIM(Sheet1!E18))="","",UPPER(TRIM(Sheet1!E18)))</f>
        <v/>
      </c>
      <c r="B15" s="169" t="str">
        <f>IF(OR(Sheet1!AX30="",Sheet1!AX30="--xxx"),"",Sheet1!AX30)</f>
        <v/>
      </c>
      <c r="C15" s="169" t="str">
        <f>UPPER(TRIM(Sheet1!BV2))</f>
        <v/>
      </c>
      <c r="D15" s="169" t="str">
        <f>TRIM(Sheet1!Z3)</f>
        <v/>
      </c>
      <c r="E15" s="169">
        <f>Sheet1!CB2</f>
        <v>6</v>
      </c>
      <c r="F15" s="169">
        <f>Sheet1!BF31</f>
        <v>0</v>
      </c>
      <c r="G15" s="169" t="str">
        <f>IF(Sheet1!BQ30="","",LOWER(TRIM(Sheet1!BQ30)))</f>
        <v/>
      </c>
      <c r="H15" t="e">
        <f t="shared" si="0"/>
        <v>#VALUE!</v>
      </c>
      <c r="I15" t="str">
        <f t="shared" si="6"/>
        <v/>
      </c>
      <c r="J15" t="str">
        <f t="shared" si="6"/>
        <v>00:00</v>
      </c>
      <c r="K15" s="169">
        <f>IF(Sheet1!BM31="",0,Sheet1!BM31)</f>
        <v>0</v>
      </c>
      <c r="M15" t="str">
        <f t="shared" si="7"/>
        <v/>
      </c>
      <c r="N15" t="str">
        <f t="shared" si="7"/>
        <v/>
      </c>
      <c r="O15" s="169">
        <f>IF(Sheet1!BK30="",0,Sheet1!BK30)</f>
        <v>0</v>
      </c>
      <c r="P15" s="169">
        <f>IF(Sheet1!BK31="",0,Sheet1!BK31)</f>
        <v>0</v>
      </c>
      <c r="Q15" s="169">
        <f>IF(Sheet1!BL30="",0,Sheet1!BL30)</f>
        <v>0</v>
      </c>
      <c r="R15" s="169">
        <f>IF(Sheet1!BL31="",0,Sheet1!BL31)</f>
        <v>0</v>
      </c>
      <c r="S15" s="169">
        <f>IF(Sheet1!BM30="",0,ROUND(Sheet1!BM30,1))</f>
        <v>0</v>
      </c>
      <c r="T15" s="169">
        <f>IF(Sheet1!CB30="",0,Sheet1!CB30)</f>
        <v>0</v>
      </c>
      <c r="U15" s="169">
        <f>IF(AQ15="YES",IF(TRIM(Sheet1!AU18)="",0,Sheet1!AU18),IF(TRIM(Sheet1!P18)="",0,Sheet1!P18))</f>
        <v>0</v>
      </c>
      <c r="V15" s="169">
        <f>IF(OR(Sheet1!AZ30=0,TRIM(Sheet1!AZ30)=""),0,1)</f>
        <v>0</v>
      </c>
      <c r="W15" s="169">
        <f>IF(OR(Sheet1!BA30=0,TRIM(Sheet1!BA30)=""),0,1)</f>
        <v>0</v>
      </c>
      <c r="X15" s="169">
        <f>IF(OR(Sheet1!BB30=0,TRIM(Sheet1!BB30)=""),0,1)</f>
        <v>0</v>
      </c>
      <c r="Y15" s="169">
        <f>IF(OR(Sheet1!BC30=0,TRIM(Sheet1!BC30)=""),0,1)</f>
        <v>0</v>
      </c>
      <c r="Z15" s="169">
        <f>IF(OR(Sheet1!BD30=0,TRIM(Sheet1!BD30)=""),0,1)</f>
        <v>0</v>
      </c>
      <c r="AA15" s="169">
        <f>IF(OR(Sheet1!BE30=0,TRIM(Sheet1!BE30)=""),0,1)</f>
        <v>0</v>
      </c>
      <c r="AB15">
        <f t="shared" si="1"/>
        <v>0</v>
      </c>
      <c r="AC15">
        <f>IF(Sheet1!AC18="",0,Sheet1!AC18)</f>
        <v>0</v>
      </c>
      <c r="AD15">
        <f>IF(Sheet1!AB18="",0,Sheet1!AB18)</f>
        <v>0</v>
      </c>
      <c r="AE15" t="str">
        <f t="shared" si="2"/>
        <v>NO</v>
      </c>
      <c r="AF15" t="str">
        <f t="shared" si="3"/>
        <v>NO</v>
      </c>
      <c r="AG15" s="169">
        <f>Sheet1!BP39</f>
        <v>0</v>
      </c>
      <c r="AH15" t="str">
        <f>IF(OR(Sheet1!F18="",Sheet1!F18=0),"",Sheet1!F18)</f>
        <v/>
      </c>
      <c r="AI15" t="str">
        <f>IF(OR(Sheet1!G18="",Sheet1!G18=0),"",Sheet1!G18)</f>
        <v/>
      </c>
      <c r="AJ15" t="str">
        <f t="shared" si="4"/>
        <v/>
      </c>
      <c r="AK15">
        <f>IF(Sheet1!BO30="",0,Sheet1!BO30)</f>
        <v>0</v>
      </c>
      <c r="AL15" t="e">
        <f t="shared" si="5"/>
        <v>#VALUE!</v>
      </c>
      <c r="AN15" t="str">
        <f>IF(Sheet1!BF30="","",UPPER(TRIM(Sheet1!BF30)))</f>
        <v/>
      </c>
      <c r="AO15" t="str">
        <f t="shared" si="8"/>
        <v/>
      </c>
      <c r="AP15" t="str">
        <f>IF(A15="","",CONCATENATE(TRIM(Sheet1!L18),"x",TRIM(Sheet1!M18),"x",TRIM(Sheet1!K18)))</f>
        <v/>
      </c>
      <c r="AQ15" t="str">
        <f t="shared" si="9"/>
        <v/>
      </c>
      <c r="AR15" s="170" t="str">
        <f>IF(Sheet1!BI30="","",Sheet1!BI30)</f>
        <v/>
      </c>
      <c r="AS15" s="170">
        <f>Sheet1!BI31</f>
        <v>0</v>
      </c>
      <c r="AT15" s="170" t="str">
        <f>Sheet1!BH30</f>
        <v/>
      </c>
      <c r="AU15" s="170" t="str">
        <f>Sheet1!BH31</f>
        <v/>
      </c>
    </row>
    <row r="16" spans="1:47">
      <c r="A16" s="169" t="str">
        <f>IF(UPPER(TRIM(Sheet1!E19))="","",UPPER(TRIM(Sheet1!E19)))</f>
        <v/>
      </c>
      <c r="B16" s="169" t="str">
        <f>IF(OR(Sheet1!AX32="",Sheet1!AX32="--xxx"),"",Sheet1!AX32)</f>
        <v/>
      </c>
      <c r="C16" s="169" t="str">
        <f>UPPER(TRIM(Sheet1!BV2))</f>
        <v/>
      </c>
      <c r="D16" s="169" t="str">
        <f>TRIM(Sheet1!Z3)</f>
        <v/>
      </c>
      <c r="E16" s="169">
        <f>Sheet1!CB2</f>
        <v>6</v>
      </c>
      <c r="F16" s="169">
        <f>Sheet1!BF33</f>
        <v>0</v>
      </c>
      <c r="G16" s="169" t="str">
        <f>IF(Sheet1!BQ32="","",LOWER(TRIM(Sheet1!BQ32)))</f>
        <v/>
      </c>
      <c r="H16" t="e">
        <f t="shared" si="0"/>
        <v>#VALUE!</v>
      </c>
      <c r="I16" t="str">
        <f t="shared" si="6"/>
        <v/>
      </c>
      <c r="J16" t="str">
        <f t="shared" si="6"/>
        <v>00:00</v>
      </c>
      <c r="K16" s="169">
        <f>IF(Sheet1!BM33="",0,Sheet1!BM33)</f>
        <v>0</v>
      </c>
      <c r="M16" t="str">
        <f t="shared" si="7"/>
        <v/>
      </c>
      <c r="N16" t="str">
        <f t="shared" si="7"/>
        <v/>
      </c>
      <c r="O16" s="169">
        <f>IF(Sheet1!BK32="",0,Sheet1!BK32)</f>
        <v>0</v>
      </c>
      <c r="P16" s="169">
        <f>IF(Sheet1!BK33="",0,Sheet1!BK33)</f>
        <v>0</v>
      </c>
      <c r="Q16" s="169">
        <f>IF(Sheet1!BL32="",0,Sheet1!BL32)</f>
        <v>0</v>
      </c>
      <c r="R16" s="169">
        <f>IF(Sheet1!BL33="",0,Sheet1!BL33)</f>
        <v>0</v>
      </c>
      <c r="S16" s="169">
        <f>IF(Sheet1!BM32="",0,ROUND(Sheet1!BM32,1))</f>
        <v>0</v>
      </c>
      <c r="T16" s="169">
        <f>IF(Sheet1!CB32="",0,Sheet1!CB32)</f>
        <v>0</v>
      </c>
      <c r="U16" s="169">
        <f>IF(AQ16="YES",IF(TRIM(Sheet1!AU19)="",0,Sheet1!AU19),IF(TRIM(Sheet1!P19)="",0,Sheet1!P19))</f>
        <v>0</v>
      </c>
      <c r="V16" s="169">
        <f>IF(OR(Sheet1!AZ32=0,TRIM(Sheet1!AZ32)=""),0,1)</f>
        <v>0</v>
      </c>
      <c r="W16" s="169">
        <f>IF(OR(Sheet1!BA32=0,TRIM(Sheet1!BA32)=""),0,1)</f>
        <v>0</v>
      </c>
      <c r="X16" s="169">
        <f>IF(OR(Sheet1!BB32=0,TRIM(Sheet1!BB32)=""),0,1)</f>
        <v>0</v>
      </c>
      <c r="Y16" s="169">
        <f>IF(OR(Sheet1!BC32=0,TRIM(Sheet1!BC32)=""),0,1)</f>
        <v>0</v>
      </c>
      <c r="Z16" s="169">
        <f>IF(OR(Sheet1!BD32=0,TRIM(Sheet1!BD32)=""),0,1)</f>
        <v>0</v>
      </c>
      <c r="AA16" s="169">
        <f>IF(OR(Sheet1!BE32=0,TRIM(Sheet1!BE32)=""),0,1)</f>
        <v>0</v>
      </c>
      <c r="AB16">
        <f t="shared" si="1"/>
        <v>0</v>
      </c>
      <c r="AC16">
        <f>IF(Sheet1!AC19="",0,Sheet1!AC19)</f>
        <v>0</v>
      </c>
      <c r="AD16">
        <f>IF(Sheet1!AB19="",0,Sheet1!AB19)</f>
        <v>0</v>
      </c>
      <c r="AE16" t="str">
        <f t="shared" si="2"/>
        <v>NO</v>
      </c>
      <c r="AF16" t="str">
        <f t="shared" si="3"/>
        <v>NO</v>
      </c>
      <c r="AG16" s="169">
        <f>Sheet1!BP39</f>
        <v>0</v>
      </c>
      <c r="AH16" t="str">
        <f>IF(OR(Sheet1!F19="",Sheet1!F19=0),"",Sheet1!F19)</f>
        <v/>
      </c>
      <c r="AI16" t="str">
        <f>IF(OR(Sheet1!G19="",Sheet1!G19=0),"",Sheet1!G19)</f>
        <v/>
      </c>
      <c r="AJ16" t="str">
        <f t="shared" si="4"/>
        <v/>
      </c>
      <c r="AK16">
        <f>IF(Sheet1!BO32="",0,Sheet1!BO32)</f>
        <v>0</v>
      </c>
      <c r="AL16" t="e">
        <f t="shared" si="5"/>
        <v>#VALUE!</v>
      </c>
      <c r="AN16" t="str">
        <f>IF(Sheet1!BF32="","",UPPER(TRIM(Sheet1!BF32)))</f>
        <v/>
      </c>
      <c r="AO16" t="str">
        <f t="shared" si="8"/>
        <v/>
      </c>
      <c r="AP16" t="str">
        <f>IF(A16="","",CONCATENATE(TRIM(Sheet1!L19),"x",TRIM(Sheet1!M19),"x",TRIM(Sheet1!K19)))</f>
        <v/>
      </c>
      <c r="AQ16" t="str">
        <f t="shared" si="9"/>
        <v/>
      </c>
      <c r="AR16" s="170" t="str">
        <f>IF(Sheet1!BI32="","",Sheet1!BI32)</f>
        <v/>
      </c>
      <c r="AS16" s="170">
        <f>Sheet1!BI33</f>
        <v>0</v>
      </c>
      <c r="AT16" s="170" t="str">
        <f>Sheet1!BH32</f>
        <v/>
      </c>
      <c r="AU16" s="170" t="str">
        <f>Sheet1!BH33</f>
        <v/>
      </c>
    </row>
    <row r="17" spans="1:47">
      <c r="A17" s="169" t="str">
        <f>IF(UPPER(TRIM(Sheet1!E20))="","",UPPER(TRIM(Sheet1!E20)))</f>
        <v/>
      </c>
      <c r="B17" s="169" t="str">
        <f>IF(OR(Sheet1!AX34="",Sheet1!AX34="--xxx"),"",Sheet1!AX34)</f>
        <v/>
      </c>
      <c r="C17" s="169" t="str">
        <f>UPPER(TRIM(Sheet1!BV2))</f>
        <v/>
      </c>
      <c r="D17" s="169" t="str">
        <f>TRIM(Sheet1!Z3)</f>
        <v/>
      </c>
      <c r="E17" s="169">
        <f>Sheet1!CB2</f>
        <v>6</v>
      </c>
      <c r="F17" s="169">
        <f>Sheet1!BF35</f>
        <v>0</v>
      </c>
      <c r="G17" s="169" t="str">
        <f>IF(Sheet1!BQ34="","",LOWER(TRIM(Sheet1!BQ34)))</f>
        <v/>
      </c>
      <c r="H17" t="e">
        <f t="shared" si="0"/>
        <v>#VALUE!</v>
      </c>
      <c r="I17" t="str">
        <f t="shared" si="6"/>
        <v/>
      </c>
      <c r="J17" t="str">
        <f t="shared" si="6"/>
        <v>00:00</v>
      </c>
      <c r="K17" s="169">
        <f>IF(Sheet1!BM35="",0,Sheet1!BM35)</f>
        <v>0</v>
      </c>
      <c r="M17" t="str">
        <f t="shared" si="7"/>
        <v/>
      </c>
      <c r="N17" t="str">
        <f t="shared" si="7"/>
        <v/>
      </c>
      <c r="O17" s="169">
        <f>IF(Sheet1!BK34="",0,Sheet1!BK34)</f>
        <v>0</v>
      </c>
      <c r="P17" s="169">
        <f>IF(Sheet1!BK35="",0,Sheet1!BK35)</f>
        <v>0</v>
      </c>
      <c r="Q17" s="169">
        <f>IF(Sheet1!BL34="",0,Sheet1!BL34)</f>
        <v>0</v>
      </c>
      <c r="R17" s="169">
        <f>IF(Sheet1!BL35="",0,Sheet1!BL35)</f>
        <v>0</v>
      </c>
      <c r="S17" s="169">
        <f>IF(Sheet1!BM34="",0,ROUND(Sheet1!BM34,1))</f>
        <v>0</v>
      </c>
      <c r="T17" s="169">
        <f>IF(Sheet1!CB34="",0,Sheet1!CB34)</f>
        <v>0</v>
      </c>
      <c r="U17" s="169">
        <f>IF(AQ17="YES",IF(TRIM(Sheet1!AU20)="",0,Sheet1!AU20),IF(TRIM(Sheet1!P20)="",0,Sheet1!P20))</f>
        <v>0</v>
      </c>
      <c r="V17" s="169">
        <f>IF(OR(Sheet1!AZ34=0,TRIM(Sheet1!AZ34)=""),0,1)</f>
        <v>0</v>
      </c>
      <c r="W17" s="169">
        <f>IF(OR(Sheet1!BA34=0,TRIM(Sheet1!BA34)=""),0,1)</f>
        <v>0</v>
      </c>
      <c r="X17" s="169">
        <f>IF(OR(Sheet1!BB34=0,TRIM(Sheet1!BB34)=""),0,1)</f>
        <v>0</v>
      </c>
      <c r="Y17" s="169">
        <f>IF(OR(Sheet1!BC34=0,TRIM(Sheet1!BC34)=""),0,1)</f>
        <v>0</v>
      </c>
      <c r="Z17" s="169">
        <f>IF(OR(Sheet1!BD34=0,TRIM(Sheet1!BD34)=""),0,1)</f>
        <v>0</v>
      </c>
      <c r="AA17" s="169">
        <f>IF(OR(Sheet1!BE34=0,TRIM(Sheet1!BE34)=""),0,1)</f>
        <v>0</v>
      </c>
      <c r="AB17">
        <f t="shared" si="1"/>
        <v>0</v>
      </c>
      <c r="AC17">
        <f>IF(Sheet1!AC20="",0,Sheet1!AC20)</f>
        <v>0</v>
      </c>
      <c r="AD17">
        <f>IF(Sheet1!AB20="",0,Sheet1!AB20)</f>
        <v>0</v>
      </c>
      <c r="AE17" t="str">
        <f t="shared" si="2"/>
        <v>NO</v>
      </c>
      <c r="AF17" t="str">
        <f t="shared" si="3"/>
        <v>NO</v>
      </c>
      <c r="AG17" s="169">
        <f>Sheet1!BP39</f>
        <v>0</v>
      </c>
      <c r="AH17" t="str">
        <f>IF(OR(Sheet1!F20="",Sheet1!F20=0),"",Sheet1!F20)</f>
        <v/>
      </c>
      <c r="AI17" t="str">
        <f>IF(OR(Sheet1!G20="",Sheet1!G20=0),"",Sheet1!G20)</f>
        <v/>
      </c>
      <c r="AJ17" t="str">
        <f t="shared" si="4"/>
        <v/>
      </c>
      <c r="AK17">
        <f>IF(Sheet1!BO34="",0,Sheet1!BO34)</f>
        <v>0</v>
      </c>
      <c r="AL17" t="e">
        <f t="shared" si="5"/>
        <v>#VALUE!</v>
      </c>
      <c r="AN17" t="str">
        <f>IF(Sheet1!BF34="","",UPPER(TRIM(Sheet1!BF34)))</f>
        <v/>
      </c>
      <c r="AO17" t="str">
        <f t="shared" si="8"/>
        <v/>
      </c>
      <c r="AP17" t="str">
        <f>IF(A17="","",CONCATENATE(TRIM(Sheet1!L20),"x",TRIM(Sheet1!M20),"x",TRIM(Sheet1!K20)))</f>
        <v/>
      </c>
      <c r="AQ17" t="str">
        <f t="shared" si="9"/>
        <v/>
      </c>
      <c r="AR17" s="170" t="str">
        <f>IF(Sheet1!BI34="","",Sheet1!BI34)</f>
        <v/>
      </c>
      <c r="AS17" s="170">
        <f>Sheet1!BI35</f>
        <v>0</v>
      </c>
      <c r="AT17" s="170" t="str">
        <f>Sheet1!BH34</f>
        <v/>
      </c>
      <c r="AU17" s="170" t="str">
        <f>Sheet1!BH35</f>
        <v/>
      </c>
    </row>
    <row r="18" spans="1:47">
      <c r="A18" s="169" t="str">
        <f>IF(UPPER(TRIM(Sheet1!E21))="","",UPPER(TRIM(Sheet1!E21)))</f>
        <v/>
      </c>
      <c r="B18" s="169" t="str">
        <f>IF(OR(Sheet1!AX36="",Sheet1!AX36="--xxx"),"",Sheet1!AX36)</f>
        <v/>
      </c>
      <c r="C18" s="169" t="str">
        <f>UPPER(TRIM(Sheet1!BV2))</f>
        <v/>
      </c>
      <c r="D18" s="169" t="str">
        <f>TRIM(Sheet1!Z3)</f>
        <v/>
      </c>
      <c r="E18" s="169">
        <f>Sheet1!CB2</f>
        <v>6</v>
      </c>
      <c r="F18" s="169">
        <f>Sheet1!BF37</f>
        <v>0</v>
      </c>
      <c r="G18" s="169" t="str">
        <f>IF(Sheet1!BQ36="","",LOWER(TRIM(Sheet1!BQ36)))</f>
        <v/>
      </c>
      <c r="H18" t="e">
        <f t="shared" si="0"/>
        <v>#VALUE!</v>
      </c>
      <c r="I18" t="str">
        <f t="shared" si="6"/>
        <v/>
      </c>
      <c r="J18" t="str">
        <f t="shared" si="6"/>
        <v>00:00</v>
      </c>
      <c r="K18" s="169">
        <f>IF(Sheet1!BM37="",0,Sheet1!BM37)</f>
        <v>0</v>
      </c>
      <c r="M18" t="str">
        <f t="shared" si="7"/>
        <v/>
      </c>
      <c r="N18" t="str">
        <f t="shared" si="7"/>
        <v/>
      </c>
      <c r="O18" s="169">
        <f>IF(Sheet1!BK36="",0,Sheet1!BK36)</f>
        <v>0</v>
      </c>
      <c r="P18" s="169">
        <f>IF(Sheet1!BK37="",0,Sheet1!BK37)</f>
        <v>0</v>
      </c>
      <c r="Q18" s="169">
        <f>IF(Sheet1!BL36="",0,Sheet1!BL36)</f>
        <v>0</v>
      </c>
      <c r="R18" s="169">
        <f>IF(Sheet1!BL37="",0,Sheet1!BL37)</f>
        <v>0</v>
      </c>
      <c r="S18" s="169">
        <f>IF(Sheet1!BM36="",0,ROUND(Sheet1!BM36,1))</f>
        <v>0</v>
      </c>
      <c r="T18" s="169">
        <f>IF(Sheet1!CB36="",0,Sheet1!CB36)</f>
        <v>0</v>
      </c>
      <c r="U18" s="169">
        <f>IF(AQ18="YES",IF(TRIM(Sheet1!AU21)="",0,Sheet1!AU21),IF(TRIM(Sheet1!P21)="",0,Sheet1!P21))</f>
        <v>0</v>
      </c>
      <c r="V18" s="169">
        <f>IF(OR(Sheet1!AZ36=0,TRIM(Sheet1!AZ36)=""),0,1)</f>
        <v>0</v>
      </c>
      <c r="W18" s="169">
        <f>IF(OR(Sheet1!BA36=0,TRIM(Sheet1!BA36)=""),0,1)</f>
        <v>0</v>
      </c>
      <c r="X18" s="169">
        <f>IF(OR(Sheet1!BB36=0,TRIM(Sheet1!BB36)=""),0,1)</f>
        <v>0</v>
      </c>
      <c r="Y18" s="169">
        <f>IF(OR(Sheet1!BC36=0,TRIM(Sheet1!BC36)=""),0,1)</f>
        <v>0</v>
      </c>
      <c r="Z18" s="169">
        <f>IF(OR(Sheet1!BD36=0,TRIM(Sheet1!BD36)=""),0,1)</f>
        <v>0</v>
      </c>
      <c r="AA18" s="169">
        <f>IF(OR(Sheet1!BE36=0,TRIM(Sheet1!BE36)=""),0,1)</f>
        <v>0</v>
      </c>
      <c r="AB18">
        <f t="shared" si="1"/>
        <v>0</v>
      </c>
      <c r="AC18">
        <f>IF(Sheet1!AC21="",0,Sheet1!AC21)</f>
        <v>0</v>
      </c>
      <c r="AD18">
        <f>IF(Sheet1!AB21="",0,Sheet1!AB21)</f>
        <v>0</v>
      </c>
      <c r="AE18" t="str">
        <f t="shared" si="2"/>
        <v>NO</v>
      </c>
      <c r="AF18" t="str">
        <f t="shared" si="3"/>
        <v>NO</v>
      </c>
      <c r="AG18" s="169">
        <f>Sheet1!BP39</f>
        <v>0</v>
      </c>
      <c r="AH18" t="str">
        <f>IF(OR(Sheet1!F21="",Sheet1!F21=0),"",Sheet1!F21)</f>
        <v/>
      </c>
      <c r="AI18" t="str">
        <f>IF(OR(Sheet1!G21="",Sheet1!G21=0),"",Sheet1!G21)</f>
        <v/>
      </c>
      <c r="AJ18" t="str">
        <f t="shared" si="4"/>
        <v/>
      </c>
      <c r="AK18">
        <f>IF(Sheet1!BO36="",0,Sheet1!BO36)</f>
        <v>0</v>
      </c>
      <c r="AL18" t="e">
        <f t="shared" si="5"/>
        <v>#VALUE!</v>
      </c>
      <c r="AN18" t="str">
        <f>IF(Sheet1!BF36="","",UPPER(TRIM(Sheet1!BF36)))</f>
        <v/>
      </c>
      <c r="AO18" t="str">
        <f t="shared" si="8"/>
        <v/>
      </c>
      <c r="AP18" t="str">
        <f>IF(A18="","",CONCATENATE(TRIM(Sheet1!L21),"x",TRIM(Sheet1!M21),"x",TRIM(Sheet1!K21)))</f>
        <v/>
      </c>
      <c r="AQ18" t="str">
        <f t="shared" si="9"/>
        <v/>
      </c>
      <c r="AR18" s="170" t="str">
        <f>IF(Sheet1!BI36="","",Sheet1!BI36)</f>
        <v/>
      </c>
      <c r="AS18" s="170">
        <f>Sheet1!BI37</f>
        <v>0</v>
      </c>
      <c r="AT18" s="170" t="str">
        <f>Sheet1!BH36</f>
        <v/>
      </c>
      <c r="AU18" s="170" t="str">
        <f>Sheet1!BH37</f>
        <v/>
      </c>
    </row>
  </sheetData>
  <sheetProtection algorithmName="SHA-512" hashValue="NiQcNXq4Df9UqzFLz95iWKbz/IgLYu30SBYbTiIcGXyJj9lUioc/wTWw8CvGKjq1fopdF5r7JM2oKWilGNRJJQ==" saltValue="9fUhjRhQDOewJn/w5F2V/g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bgr</vt:lpstr>
      <vt:lpstr>PendingDetails</vt:lpstr>
      <vt:lpstr>Pending</vt:lpstr>
      <vt:lpstr>Consolidated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RPA PC2</cp:lastModifiedBy>
  <dcterms:created xsi:type="dcterms:W3CDTF">2020-04-23T07:40:20Z</dcterms:created>
  <dcterms:modified xsi:type="dcterms:W3CDTF">2020-10-29T18:10:35Z</dcterms:modified>
</cp:coreProperties>
</file>