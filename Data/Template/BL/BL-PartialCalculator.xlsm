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BL\"/>
    </mc:Choice>
  </mc:AlternateContent>
  <bookViews>
    <workbookView xWindow="0" yWindow="0" windowWidth="20490" windowHeight="7770"/>
  </bookViews>
  <sheets>
    <sheet name="Sheet1" sheetId="3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3" i="3" l="1"/>
  <c r="AM8" i="3" l="1"/>
  <c r="AK8" i="3"/>
  <c r="AI8" i="3"/>
  <c r="AG8" i="3"/>
  <c r="AE8" i="3"/>
  <c r="AK18" i="3" l="1"/>
  <c r="AJ18" i="3" s="1"/>
  <c r="X18" i="3"/>
  <c r="W18" i="3" s="1"/>
  <c r="BK18" i="3" l="1"/>
  <c r="BJ18" i="3" s="1"/>
  <c r="AY18" i="3"/>
  <c r="AX18" i="3" s="1"/>
  <c r="J18" i="3"/>
  <c r="I18" i="3" s="1"/>
  <c r="AF8" i="3"/>
  <c r="AH8" i="3"/>
  <c r="AJ8" i="3"/>
  <c r="AL8" i="3"/>
  <c r="AN8" i="3"/>
  <c r="BC232" i="3" l="1"/>
  <c r="BB232" i="3" s="1"/>
  <c r="BC233" i="3"/>
  <c r="BB233" i="3" s="1"/>
  <c r="BC234" i="3"/>
  <c r="BC235" i="3"/>
  <c r="BB235" i="3" s="1"/>
  <c r="BC236" i="3"/>
  <c r="BB236" i="3" s="1"/>
  <c r="BC237" i="3"/>
  <c r="BB237" i="3" s="1"/>
  <c r="BC238" i="3"/>
  <c r="BB238" i="3" s="1"/>
  <c r="BC239" i="3"/>
  <c r="BB239" i="3" s="1"/>
  <c r="BC240" i="3"/>
  <c r="BB240" i="3" s="1"/>
  <c r="BC241" i="3"/>
  <c r="BB241" i="3" s="1"/>
  <c r="BC242" i="3"/>
  <c r="BB242" i="3" s="1"/>
  <c r="BC243" i="3"/>
  <c r="BB243" i="3" s="1"/>
  <c r="BC244" i="3"/>
  <c r="BB244" i="3" s="1"/>
  <c r="BC245" i="3"/>
  <c r="BB245" i="3" s="1"/>
  <c r="BC246" i="3"/>
  <c r="BB246" i="3" s="1"/>
  <c r="BC247" i="3"/>
  <c r="BB247" i="3" s="1"/>
  <c r="BC248" i="3"/>
  <c r="BB248" i="3" s="1"/>
  <c r="BC249" i="3"/>
  <c r="BB249" i="3" s="1"/>
  <c r="BC250" i="3"/>
  <c r="BB250" i="3" s="1"/>
  <c r="BC251" i="3"/>
  <c r="BB251" i="3" s="1"/>
  <c r="BC252" i="3"/>
  <c r="BB252" i="3" s="1"/>
  <c r="BC253" i="3"/>
  <c r="BB253" i="3" s="1"/>
  <c r="BC254" i="3"/>
  <c r="BB254" i="3" s="1"/>
  <c r="BC255" i="3"/>
  <c r="BB255" i="3" s="1"/>
  <c r="BC256" i="3"/>
  <c r="BB256" i="3" s="1"/>
  <c r="BC257" i="3"/>
  <c r="BB257" i="3" s="1"/>
  <c r="BC258" i="3"/>
  <c r="BC259" i="3"/>
  <c r="BB259" i="3" s="1"/>
  <c r="BC260" i="3"/>
  <c r="BB260" i="3" s="1"/>
  <c r="BC261" i="3"/>
  <c r="BB261" i="3" s="1"/>
  <c r="BC262" i="3"/>
  <c r="BB262" i="3" s="1"/>
  <c r="BC263" i="3"/>
  <c r="BB263" i="3" s="1"/>
  <c r="BC264" i="3"/>
  <c r="BB264" i="3" s="1"/>
  <c r="BC265" i="3"/>
  <c r="BB265" i="3" s="1"/>
  <c r="BC266" i="3"/>
  <c r="BB266" i="3" s="1"/>
  <c r="BC267" i="3"/>
  <c r="BB267" i="3" s="1"/>
  <c r="BC268" i="3"/>
  <c r="BB268" i="3" s="1"/>
  <c r="BC269" i="3"/>
  <c r="BB269" i="3" s="1"/>
  <c r="BC270" i="3"/>
  <c r="BB270" i="3" s="1"/>
  <c r="BC271" i="3"/>
  <c r="BB271" i="3" s="1"/>
  <c r="BC272" i="3"/>
  <c r="BB272" i="3" s="1"/>
  <c r="BC273" i="3"/>
  <c r="BB273" i="3" s="1"/>
  <c r="BC274" i="3"/>
  <c r="BC275" i="3"/>
  <c r="BB275" i="3" s="1"/>
  <c r="BC276" i="3"/>
  <c r="BB276" i="3" s="1"/>
  <c r="BC277" i="3"/>
  <c r="BB277" i="3" s="1"/>
  <c r="BC278" i="3"/>
  <c r="BB278" i="3" s="1"/>
  <c r="BC279" i="3"/>
  <c r="BB279" i="3" s="1"/>
  <c r="BC280" i="3"/>
  <c r="BB280" i="3" s="1"/>
  <c r="BC281" i="3"/>
  <c r="BB281" i="3" s="1"/>
  <c r="BC282" i="3"/>
  <c r="BC283" i="3"/>
  <c r="BB283" i="3" s="1"/>
  <c r="BC284" i="3"/>
  <c r="BB284" i="3" s="1"/>
  <c r="BC285" i="3"/>
  <c r="BB285" i="3" s="1"/>
  <c r="BC286" i="3"/>
  <c r="BB286" i="3" s="1"/>
  <c r="BC287" i="3"/>
  <c r="BB287" i="3" s="1"/>
  <c r="BC288" i="3"/>
  <c r="BB288" i="3" s="1"/>
  <c r="BC289" i="3"/>
  <c r="BB289" i="3" s="1"/>
  <c r="BC290" i="3"/>
  <c r="BC291" i="3"/>
  <c r="BB291" i="3" s="1"/>
  <c r="BC292" i="3"/>
  <c r="BB292" i="3" s="1"/>
  <c r="BC293" i="3"/>
  <c r="BB293" i="3" s="1"/>
  <c r="BC294" i="3"/>
  <c r="BB294" i="3" s="1"/>
  <c r="BC295" i="3"/>
  <c r="BB295" i="3" s="1"/>
  <c r="BC296" i="3"/>
  <c r="BB296" i="3" s="1"/>
  <c r="BC297" i="3"/>
  <c r="BB297" i="3" s="1"/>
  <c r="BC298" i="3"/>
  <c r="BB298" i="3" s="1"/>
  <c r="BC299" i="3"/>
  <c r="BB299" i="3" s="1"/>
  <c r="BC300" i="3"/>
  <c r="BB300" i="3" s="1"/>
  <c r="BC301" i="3"/>
  <c r="BB301" i="3" s="1"/>
  <c r="BC302" i="3"/>
  <c r="BB302" i="3" s="1"/>
  <c r="BC303" i="3"/>
  <c r="BB303" i="3" s="1"/>
  <c r="BC304" i="3"/>
  <c r="BB304" i="3" s="1"/>
  <c r="BC305" i="3"/>
  <c r="BB305" i="3" s="1"/>
  <c r="BC306" i="3"/>
  <c r="BC307" i="3"/>
  <c r="BB307" i="3" s="1"/>
  <c r="BC308" i="3"/>
  <c r="BB308" i="3" s="1"/>
  <c r="BC309" i="3"/>
  <c r="BB309" i="3" s="1"/>
  <c r="BC310" i="3"/>
  <c r="BB310" i="3" s="1"/>
  <c r="BC311" i="3"/>
  <c r="BB311" i="3" s="1"/>
  <c r="BC312" i="3"/>
  <c r="BB312" i="3" s="1"/>
  <c r="BC313" i="3"/>
  <c r="BB313" i="3" s="1"/>
  <c r="BC314" i="3"/>
  <c r="BB314" i="3" s="1"/>
  <c r="BC315" i="3"/>
  <c r="BB315" i="3" s="1"/>
  <c r="BC316" i="3"/>
  <c r="BB316" i="3" s="1"/>
  <c r="BC317" i="3"/>
  <c r="BB317" i="3" s="1"/>
  <c r="BC318" i="3"/>
  <c r="BB318" i="3" s="1"/>
  <c r="BC319" i="3"/>
  <c r="BB319" i="3" s="1"/>
  <c r="BC320" i="3"/>
  <c r="BB320" i="3" s="1"/>
  <c r="BC321" i="3"/>
  <c r="BB321" i="3" s="1"/>
  <c r="BC322" i="3"/>
  <c r="BC323" i="3"/>
  <c r="BB323" i="3" s="1"/>
  <c r="BC324" i="3"/>
  <c r="BB324" i="3" s="1"/>
  <c r="BC325" i="3"/>
  <c r="BB325" i="3" s="1"/>
  <c r="BC326" i="3"/>
  <c r="BB326" i="3" s="1"/>
  <c r="BC327" i="3"/>
  <c r="BB327" i="3" s="1"/>
  <c r="BC328" i="3"/>
  <c r="BB328" i="3" s="1"/>
  <c r="BC329" i="3"/>
  <c r="BB329" i="3" s="1"/>
  <c r="BC330" i="3"/>
  <c r="BB330" i="3" s="1"/>
  <c r="BC231" i="3"/>
  <c r="BB231" i="3" s="1"/>
  <c r="BB322" i="3"/>
  <c r="BB306" i="3"/>
  <c r="BB290" i="3"/>
  <c r="BB282" i="3"/>
  <c r="BB274" i="3"/>
  <c r="BB258" i="3"/>
  <c r="BB234" i="3"/>
  <c r="AQ232" i="3"/>
  <c r="AP232" i="3" s="1"/>
  <c r="AQ233" i="3"/>
  <c r="AP233" i="3" s="1"/>
  <c r="AQ234" i="3"/>
  <c r="AP234" i="3" s="1"/>
  <c r="AQ235" i="3"/>
  <c r="AP235" i="3" s="1"/>
  <c r="AQ236" i="3"/>
  <c r="AP236" i="3" s="1"/>
  <c r="AQ237" i="3"/>
  <c r="AP237" i="3" s="1"/>
  <c r="AQ238" i="3"/>
  <c r="AP238" i="3" s="1"/>
  <c r="AQ239" i="3"/>
  <c r="AP239" i="3" s="1"/>
  <c r="AQ240" i="3"/>
  <c r="AP240" i="3" s="1"/>
  <c r="AQ241" i="3"/>
  <c r="AP241" i="3" s="1"/>
  <c r="AQ242" i="3"/>
  <c r="AP242" i="3" s="1"/>
  <c r="AQ243" i="3"/>
  <c r="AP243" i="3" s="1"/>
  <c r="AQ244" i="3"/>
  <c r="AP244" i="3" s="1"/>
  <c r="AQ245" i="3"/>
  <c r="AP245" i="3" s="1"/>
  <c r="AQ246" i="3"/>
  <c r="AP246" i="3" s="1"/>
  <c r="AQ247" i="3"/>
  <c r="AP247" i="3" s="1"/>
  <c r="AQ248" i="3"/>
  <c r="AP248" i="3" s="1"/>
  <c r="AQ249" i="3"/>
  <c r="AP249" i="3" s="1"/>
  <c r="AQ250" i="3"/>
  <c r="AP250" i="3" s="1"/>
  <c r="AQ251" i="3"/>
  <c r="AP251" i="3" s="1"/>
  <c r="AQ252" i="3"/>
  <c r="AP252" i="3" s="1"/>
  <c r="AQ253" i="3"/>
  <c r="AP253" i="3" s="1"/>
  <c r="AQ254" i="3"/>
  <c r="AP254" i="3" s="1"/>
  <c r="AQ255" i="3"/>
  <c r="AP255" i="3" s="1"/>
  <c r="AQ256" i="3"/>
  <c r="AP256" i="3" s="1"/>
  <c r="AQ257" i="3"/>
  <c r="AP257" i="3" s="1"/>
  <c r="AQ258" i="3"/>
  <c r="AP258" i="3" s="1"/>
  <c r="AQ259" i="3"/>
  <c r="AP259" i="3" s="1"/>
  <c r="AQ260" i="3"/>
  <c r="AP260" i="3" s="1"/>
  <c r="AQ261" i="3"/>
  <c r="AP261" i="3" s="1"/>
  <c r="AQ262" i="3"/>
  <c r="AP262" i="3" s="1"/>
  <c r="AQ263" i="3"/>
  <c r="AP263" i="3" s="1"/>
  <c r="AQ264" i="3"/>
  <c r="AP264" i="3" s="1"/>
  <c r="AQ265" i="3"/>
  <c r="AP265" i="3" s="1"/>
  <c r="AQ266" i="3"/>
  <c r="AP266" i="3" s="1"/>
  <c r="AQ267" i="3"/>
  <c r="AP267" i="3" s="1"/>
  <c r="AQ268" i="3"/>
  <c r="AP268" i="3" s="1"/>
  <c r="AQ269" i="3"/>
  <c r="AP269" i="3" s="1"/>
  <c r="AQ270" i="3"/>
  <c r="AP270" i="3" s="1"/>
  <c r="AQ271" i="3"/>
  <c r="AP271" i="3" s="1"/>
  <c r="AQ272" i="3"/>
  <c r="AP272" i="3" s="1"/>
  <c r="AQ273" i="3"/>
  <c r="AP273" i="3" s="1"/>
  <c r="AQ274" i="3"/>
  <c r="AP274" i="3" s="1"/>
  <c r="AQ275" i="3"/>
  <c r="AP275" i="3" s="1"/>
  <c r="AQ276" i="3"/>
  <c r="AP276" i="3" s="1"/>
  <c r="AQ277" i="3"/>
  <c r="AP277" i="3" s="1"/>
  <c r="AQ278" i="3"/>
  <c r="AP278" i="3" s="1"/>
  <c r="AQ279" i="3"/>
  <c r="AP279" i="3" s="1"/>
  <c r="AQ280" i="3"/>
  <c r="AP280" i="3" s="1"/>
  <c r="AQ281" i="3"/>
  <c r="AP281" i="3" s="1"/>
  <c r="AQ282" i="3"/>
  <c r="AP282" i="3" s="1"/>
  <c r="AQ283" i="3"/>
  <c r="AP283" i="3" s="1"/>
  <c r="AQ284" i="3"/>
  <c r="AP284" i="3" s="1"/>
  <c r="AQ285" i="3"/>
  <c r="AP285" i="3" s="1"/>
  <c r="AQ286" i="3"/>
  <c r="AP286" i="3" s="1"/>
  <c r="AQ287" i="3"/>
  <c r="AP287" i="3" s="1"/>
  <c r="AQ288" i="3"/>
  <c r="AP288" i="3" s="1"/>
  <c r="AQ289" i="3"/>
  <c r="AP289" i="3" s="1"/>
  <c r="AQ290" i="3"/>
  <c r="AP290" i="3" s="1"/>
  <c r="AQ291" i="3"/>
  <c r="AP291" i="3" s="1"/>
  <c r="AQ292" i="3"/>
  <c r="AP292" i="3" s="1"/>
  <c r="AQ293" i="3"/>
  <c r="AP293" i="3" s="1"/>
  <c r="AQ294" i="3"/>
  <c r="AP294" i="3" s="1"/>
  <c r="AQ295" i="3"/>
  <c r="AP295" i="3" s="1"/>
  <c r="AQ296" i="3"/>
  <c r="AP296" i="3" s="1"/>
  <c r="AQ297" i="3"/>
  <c r="AP297" i="3" s="1"/>
  <c r="AQ298" i="3"/>
  <c r="AP298" i="3" s="1"/>
  <c r="AQ299" i="3"/>
  <c r="AP299" i="3" s="1"/>
  <c r="AQ300" i="3"/>
  <c r="AP300" i="3" s="1"/>
  <c r="AQ301" i="3"/>
  <c r="AP301" i="3" s="1"/>
  <c r="AQ302" i="3"/>
  <c r="AP302" i="3" s="1"/>
  <c r="AQ303" i="3"/>
  <c r="AP303" i="3" s="1"/>
  <c r="AQ304" i="3"/>
  <c r="AP304" i="3" s="1"/>
  <c r="AQ305" i="3"/>
  <c r="AP305" i="3" s="1"/>
  <c r="AQ306" i="3"/>
  <c r="AP306" i="3" s="1"/>
  <c r="AQ307" i="3"/>
  <c r="AP307" i="3" s="1"/>
  <c r="AQ308" i="3"/>
  <c r="AP308" i="3" s="1"/>
  <c r="AQ309" i="3"/>
  <c r="AP309" i="3" s="1"/>
  <c r="AQ310" i="3"/>
  <c r="AP310" i="3" s="1"/>
  <c r="AQ311" i="3"/>
  <c r="AP311" i="3" s="1"/>
  <c r="AQ312" i="3"/>
  <c r="AP312" i="3" s="1"/>
  <c r="AQ313" i="3"/>
  <c r="AP313" i="3" s="1"/>
  <c r="AQ314" i="3"/>
  <c r="AP314" i="3" s="1"/>
  <c r="AQ315" i="3"/>
  <c r="AP315" i="3" s="1"/>
  <c r="AQ316" i="3"/>
  <c r="AP316" i="3" s="1"/>
  <c r="AQ317" i="3"/>
  <c r="AP317" i="3" s="1"/>
  <c r="AQ318" i="3"/>
  <c r="AP318" i="3" s="1"/>
  <c r="AQ319" i="3"/>
  <c r="AP319" i="3" s="1"/>
  <c r="AQ320" i="3"/>
  <c r="AP320" i="3" s="1"/>
  <c r="AQ321" i="3"/>
  <c r="AP321" i="3" s="1"/>
  <c r="AQ322" i="3"/>
  <c r="AP322" i="3" s="1"/>
  <c r="AQ323" i="3"/>
  <c r="AP323" i="3" s="1"/>
  <c r="AQ324" i="3"/>
  <c r="AP324" i="3" s="1"/>
  <c r="AQ325" i="3"/>
  <c r="AP325" i="3" s="1"/>
  <c r="AQ326" i="3"/>
  <c r="AP326" i="3" s="1"/>
  <c r="AQ327" i="3"/>
  <c r="AP327" i="3" s="1"/>
  <c r="AQ328" i="3"/>
  <c r="AP328" i="3" s="1"/>
  <c r="AQ329" i="3"/>
  <c r="AP329" i="3" s="1"/>
  <c r="AQ330" i="3"/>
  <c r="AP330" i="3" s="1"/>
  <c r="AQ231" i="3"/>
  <c r="AP231" i="3" s="1"/>
  <c r="AC232" i="3"/>
  <c r="AB232" i="3" s="1"/>
  <c r="AC233" i="3"/>
  <c r="AB233" i="3" s="1"/>
  <c r="AC234" i="3"/>
  <c r="AB234" i="3" s="1"/>
  <c r="AC235" i="3"/>
  <c r="AB235" i="3" s="1"/>
  <c r="AC236" i="3"/>
  <c r="AB236" i="3" s="1"/>
  <c r="AC237" i="3"/>
  <c r="AB237" i="3" s="1"/>
  <c r="AC238" i="3"/>
  <c r="AB238" i="3" s="1"/>
  <c r="AC239" i="3"/>
  <c r="AB239" i="3" s="1"/>
  <c r="AC240" i="3"/>
  <c r="AB240" i="3" s="1"/>
  <c r="AC241" i="3"/>
  <c r="AB241" i="3" s="1"/>
  <c r="AC242" i="3"/>
  <c r="AB242" i="3" s="1"/>
  <c r="AC243" i="3"/>
  <c r="AB243" i="3" s="1"/>
  <c r="AC244" i="3"/>
  <c r="AB244" i="3" s="1"/>
  <c r="AC245" i="3"/>
  <c r="AB245" i="3" s="1"/>
  <c r="AC246" i="3"/>
  <c r="AB246" i="3" s="1"/>
  <c r="AC247" i="3"/>
  <c r="AB247" i="3" s="1"/>
  <c r="AC248" i="3"/>
  <c r="AB248" i="3" s="1"/>
  <c r="AC249" i="3"/>
  <c r="AB249" i="3" s="1"/>
  <c r="AC250" i="3"/>
  <c r="AB250" i="3" s="1"/>
  <c r="AC251" i="3"/>
  <c r="AB251" i="3" s="1"/>
  <c r="AC252" i="3"/>
  <c r="AB252" i="3" s="1"/>
  <c r="AC253" i="3"/>
  <c r="AB253" i="3" s="1"/>
  <c r="AC254" i="3"/>
  <c r="AB254" i="3" s="1"/>
  <c r="AC255" i="3"/>
  <c r="AB255" i="3" s="1"/>
  <c r="AC256" i="3"/>
  <c r="AB256" i="3" s="1"/>
  <c r="AC257" i="3"/>
  <c r="AB257" i="3" s="1"/>
  <c r="AC258" i="3"/>
  <c r="AB258" i="3" s="1"/>
  <c r="AC259" i="3"/>
  <c r="AB259" i="3" s="1"/>
  <c r="AC260" i="3"/>
  <c r="AB260" i="3" s="1"/>
  <c r="AC261" i="3"/>
  <c r="AB261" i="3" s="1"/>
  <c r="AC262" i="3"/>
  <c r="AB262" i="3" s="1"/>
  <c r="AC263" i="3"/>
  <c r="AB263" i="3" s="1"/>
  <c r="AC264" i="3"/>
  <c r="AB264" i="3" s="1"/>
  <c r="AC265" i="3"/>
  <c r="AB265" i="3" s="1"/>
  <c r="AC266" i="3"/>
  <c r="AB266" i="3" s="1"/>
  <c r="AC267" i="3"/>
  <c r="AB267" i="3" s="1"/>
  <c r="AC268" i="3"/>
  <c r="AB268" i="3" s="1"/>
  <c r="AC269" i="3"/>
  <c r="AB269" i="3" s="1"/>
  <c r="AC270" i="3"/>
  <c r="AB270" i="3" s="1"/>
  <c r="AC271" i="3"/>
  <c r="AB271" i="3" s="1"/>
  <c r="AC272" i="3"/>
  <c r="AB272" i="3" s="1"/>
  <c r="AC273" i="3"/>
  <c r="AB273" i="3" s="1"/>
  <c r="AC274" i="3"/>
  <c r="AB274" i="3" s="1"/>
  <c r="AC275" i="3"/>
  <c r="AB275" i="3" s="1"/>
  <c r="AC276" i="3"/>
  <c r="AB276" i="3" s="1"/>
  <c r="AC277" i="3"/>
  <c r="AB277" i="3" s="1"/>
  <c r="AC278" i="3"/>
  <c r="AB278" i="3" s="1"/>
  <c r="AC279" i="3"/>
  <c r="AB279" i="3" s="1"/>
  <c r="AC280" i="3"/>
  <c r="AB280" i="3" s="1"/>
  <c r="AC281" i="3"/>
  <c r="AB281" i="3" s="1"/>
  <c r="AC282" i="3"/>
  <c r="AB282" i="3" s="1"/>
  <c r="AC283" i="3"/>
  <c r="AB283" i="3" s="1"/>
  <c r="AC284" i="3"/>
  <c r="AB284" i="3" s="1"/>
  <c r="AC285" i="3"/>
  <c r="AB285" i="3" s="1"/>
  <c r="AC286" i="3"/>
  <c r="AB286" i="3" s="1"/>
  <c r="AC287" i="3"/>
  <c r="AB287" i="3" s="1"/>
  <c r="AC288" i="3"/>
  <c r="AB288" i="3" s="1"/>
  <c r="AC289" i="3"/>
  <c r="AB289" i="3" s="1"/>
  <c r="AC290" i="3"/>
  <c r="AB290" i="3" s="1"/>
  <c r="AC291" i="3"/>
  <c r="AB291" i="3" s="1"/>
  <c r="AC292" i="3"/>
  <c r="AB292" i="3" s="1"/>
  <c r="AC293" i="3"/>
  <c r="AB293" i="3" s="1"/>
  <c r="AC294" i="3"/>
  <c r="AB294" i="3" s="1"/>
  <c r="AC295" i="3"/>
  <c r="AB295" i="3" s="1"/>
  <c r="AC296" i="3"/>
  <c r="AB296" i="3" s="1"/>
  <c r="AC297" i="3"/>
  <c r="AB297" i="3" s="1"/>
  <c r="AC298" i="3"/>
  <c r="AB298" i="3" s="1"/>
  <c r="AC299" i="3"/>
  <c r="AB299" i="3" s="1"/>
  <c r="AC300" i="3"/>
  <c r="AB300" i="3" s="1"/>
  <c r="AC301" i="3"/>
  <c r="AB301" i="3" s="1"/>
  <c r="AC302" i="3"/>
  <c r="AB302" i="3" s="1"/>
  <c r="AC303" i="3"/>
  <c r="AB303" i="3" s="1"/>
  <c r="AC304" i="3"/>
  <c r="AB304" i="3" s="1"/>
  <c r="AC305" i="3"/>
  <c r="AB305" i="3" s="1"/>
  <c r="AC306" i="3"/>
  <c r="AB306" i="3" s="1"/>
  <c r="AC307" i="3"/>
  <c r="AB307" i="3" s="1"/>
  <c r="AC308" i="3"/>
  <c r="AB308" i="3" s="1"/>
  <c r="AC309" i="3"/>
  <c r="AB309" i="3" s="1"/>
  <c r="AC310" i="3"/>
  <c r="AB310" i="3" s="1"/>
  <c r="AC311" i="3"/>
  <c r="AB311" i="3" s="1"/>
  <c r="AC312" i="3"/>
  <c r="AB312" i="3" s="1"/>
  <c r="AC313" i="3"/>
  <c r="AB313" i="3" s="1"/>
  <c r="AC314" i="3"/>
  <c r="AB314" i="3" s="1"/>
  <c r="AC315" i="3"/>
  <c r="AB315" i="3" s="1"/>
  <c r="AC316" i="3"/>
  <c r="AB316" i="3" s="1"/>
  <c r="AC317" i="3"/>
  <c r="AB317" i="3" s="1"/>
  <c r="AC318" i="3"/>
  <c r="AB318" i="3" s="1"/>
  <c r="AC319" i="3"/>
  <c r="AB319" i="3" s="1"/>
  <c r="AC320" i="3"/>
  <c r="AB320" i="3" s="1"/>
  <c r="AC321" i="3"/>
  <c r="AB321" i="3" s="1"/>
  <c r="AC322" i="3"/>
  <c r="AB322" i="3" s="1"/>
  <c r="AC323" i="3"/>
  <c r="AB323" i="3" s="1"/>
  <c r="AC324" i="3"/>
  <c r="AB324" i="3" s="1"/>
  <c r="AC325" i="3"/>
  <c r="AB325" i="3" s="1"/>
  <c r="AC326" i="3"/>
  <c r="AB326" i="3" s="1"/>
  <c r="AC327" i="3"/>
  <c r="AB327" i="3" s="1"/>
  <c r="AC328" i="3"/>
  <c r="AB328" i="3" s="1"/>
  <c r="AC329" i="3"/>
  <c r="AB329" i="3" s="1"/>
  <c r="AC330" i="3"/>
  <c r="AB330" i="3" s="1"/>
  <c r="AC231" i="3"/>
  <c r="AB231" i="3" s="1"/>
  <c r="P232" i="3"/>
  <c r="O232" i="3" s="1"/>
  <c r="P233" i="3"/>
  <c r="O233" i="3" s="1"/>
  <c r="P234" i="3"/>
  <c r="O234" i="3" s="1"/>
  <c r="P235" i="3"/>
  <c r="O235" i="3" s="1"/>
  <c r="P236" i="3"/>
  <c r="O236" i="3" s="1"/>
  <c r="P237" i="3"/>
  <c r="O237" i="3" s="1"/>
  <c r="P238" i="3"/>
  <c r="O238" i="3" s="1"/>
  <c r="P239" i="3"/>
  <c r="O239" i="3" s="1"/>
  <c r="P240" i="3"/>
  <c r="O240" i="3" s="1"/>
  <c r="P241" i="3"/>
  <c r="O241" i="3" s="1"/>
  <c r="P242" i="3"/>
  <c r="O242" i="3" s="1"/>
  <c r="P243" i="3"/>
  <c r="O243" i="3" s="1"/>
  <c r="P244" i="3"/>
  <c r="O244" i="3" s="1"/>
  <c r="P245" i="3"/>
  <c r="O245" i="3" s="1"/>
  <c r="P246" i="3"/>
  <c r="O246" i="3" s="1"/>
  <c r="P247" i="3"/>
  <c r="O247" i="3" s="1"/>
  <c r="P248" i="3"/>
  <c r="O248" i="3" s="1"/>
  <c r="P249" i="3"/>
  <c r="O249" i="3" s="1"/>
  <c r="P250" i="3"/>
  <c r="O250" i="3" s="1"/>
  <c r="P251" i="3"/>
  <c r="O251" i="3" s="1"/>
  <c r="P252" i="3"/>
  <c r="O252" i="3" s="1"/>
  <c r="P253" i="3"/>
  <c r="O253" i="3" s="1"/>
  <c r="P254" i="3"/>
  <c r="O254" i="3" s="1"/>
  <c r="P255" i="3"/>
  <c r="O255" i="3" s="1"/>
  <c r="P256" i="3"/>
  <c r="O256" i="3" s="1"/>
  <c r="P257" i="3"/>
  <c r="O257" i="3" s="1"/>
  <c r="P258" i="3"/>
  <c r="O258" i="3" s="1"/>
  <c r="P259" i="3"/>
  <c r="O259" i="3" s="1"/>
  <c r="P260" i="3"/>
  <c r="O260" i="3" s="1"/>
  <c r="P261" i="3"/>
  <c r="O261" i="3" s="1"/>
  <c r="P262" i="3"/>
  <c r="O262" i="3" s="1"/>
  <c r="P263" i="3"/>
  <c r="O263" i="3" s="1"/>
  <c r="P264" i="3"/>
  <c r="O264" i="3" s="1"/>
  <c r="P265" i="3"/>
  <c r="O265" i="3" s="1"/>
  <c r="P266" i="3"/>
  <c r="O266" i="3" s="1"/>
  <c r="P267" i="3"/>
  <c r="O267" i="3" s="1"/>
  <c r="P268" i="3"/>
  <c r="O268" i="3" s="1"/>
  <c r="P269" i="3"/>
  <c r="O269" i="3" s="1"/>
  <c r="P270" i="3"/>
  <c r="O270" i="3" s="1"/>
  <c r="P271" i="3"/>
  <c r="O271" i="3" s="1"/>
  <c r="P272" i="3"/>
  <c r="O272" i="3" s="1"/>
  <c r="P273" i="3"/>
  <c r="O273" i="3" s="1"/>
  <c r="P274" i="3"/>
  <c r="O274" i="3" s="1"/>
  <c r="P275" i="3"/>
  <c r="O275" i="3" s="1"/>
  <c r="P276" i="3"/>
  <c r="O276" i="3" s="1"/>
  <c r="P277" i="3"/>
  <c r="O277" i="3" s="1"/>
  <c r="P278" i="3"/>
  <c r="O278" i="3" s="1"/>
  <c r="P279" i="3"/>
  <c r="O279" i="3" s="1"/>
  <c r="P280" i="3"/>
  <c r="O280" i="3" s="1"/>
  <c r="P281" i="3"/>
  <c r="O281" i="3" s="1"/>
  <c r="P282" i="3"/>
  <c r="O282" i="3" s="1"/>
  <c r="P283" i="3"/>
  <c r="O283" i="3" s="1"/>
  <c r="P284" i="3"/>
  <c r="O284" i="3" s="1"/>
  <c r="P285" i="3"/>
  <c r="O285" i="3" s="1"/>
  <c r="P286" i="3"/>
  <c r="O286" i="3" s="1"/>
  <c r="P287" i="3"/>
  <c r="O287" i="3" s="1"/>
  <c r="P288" i="3"/>
  <c r="O288" i="3" s="1"/>
  <c r="P289" i="3"/>
  <c r="O289" i="3" s="1"/>
  <c r="P290" i="3"/>
  <c r="O290" i="3" s="1"/>
  <c r="P291" i="3"/>
  <c r="O291" i="3" s="1"/>
  <c r="P292" i="3"/>
  <c r="O292" i="3" s="1"/>
  <c r="P293" i="3"/>
  <c r="O293" i="3" s="1"/>
  <c r="P294" i="3"/>
  <c r="O294" i="3" s="1"/>
  <c r="P295" i="3"/>
  <c r="O295" i="3" s="1"/>
  <c r="P296" i="3"/>
  <c r="O296" i="3" s="1"/>
  <c r="P297" i="3"/>
  <c r="O297" i="3" s="1"/>
  <c r="P298" i="3"/>
  <c r="O298" i="3" s="1"/>
  <c r="P299" i="3"/>
  <c r="O299" i="3" s="1"/>
  <c r="P300" i="3"/>
  <c r="O300" i="3" s="1"/>
  <c r="P301" i="3"/>
  <c r="O301" i="3" s="1"/>
  <c r="P302" i="3"/>
  <c r="O302" i="3" s="1"/>
  <c r="P303" i="3"/>
  <c r="O303" i="3" s="1"/>
  <c r="P304" i="3"/>
  <c r="O304" i="3" s="1"/>
  <c r="P305" i="3"/>
  <c r="O305" i="3" s="1"/>
  <c r="P306" i="3"/>
  <c r="O306" i="3" s="1"/>
  <c r="P307" i="3"/>
  <c r="O307" i="3" s="1"/>
  <c r="P308" i="3"/>
  <c r="O308" i="3" s="1"/>
  <c r="P309" i="3"/>
  <c r="O309" i="3" s="1"/>
  <c r="P310" i="3"/>
  <c r="O310" i="3" s="1"/>
  <c r="P311" i="3"/>
  <c r="O311" i="3" s="1"/>
  <c r="P312" i="3"/>
  <c r="O312" i="3" s="1"/>
  <c r="P313" i="3"/>
  <c r="O313" i="3" s="1"/>
  <c r="P314" i="3"/>
  <c r="O314" i="3" s="1"/>
  <c r="P315" i="3"/>
  <c r="O315" i="3" s="1"/>
  <c r="P316" i="3"/>
  <c r="O316" i="3" s="1"/>
  <c r="P317" i="3"/>
  <c r="O317" i="3" s="1"/>
  <c r="P318" i="3"/>
  <c r="O318" i="3" s="1"/>
  <c r="P319" i="3"/>
  <c r="O319" i="3" s="1"/>
  <c r="P320" i="3"/>
  <c r="O320" i="3" s="1"/>
  <c r="P321" i="3"/>
  <c r="O321" i="3" s="1"/>
  <c r="P322" i="3"/>
  <c r="O322" i="3" s="1"/>
  <c r="P323" i="3"/>
  <c r="O323" i="3" s="1"/>
  <c r="P324" i="3"/>
  <c r="O324" i="3" s="1"/>
  <c r="P325" i="3"/>
  <c r="O325" i="3" s="1"/>
  <c r="P326" i="3"/>
  <c r="O326" i="3" s="1"/>
  <c r="P327" i="3"/>
  <c r="O327" i="3" s="1"/>
  <c r="P328" i="3"/>
  <c r="O328" i="3" s="1"/>
  <c r="P329" i="3"/>
  <c r="O329" i="3" s="1"/>
  <c r="P330" i="3"/>
  <c r="O330" i="3" s="1"/>
  <c r="P231" i="3"/>
  <c r="O231" i="3" s="1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231" i="3"/>
  <c r="AP3" i="3" l="1"/>
  <c r="AQ3" i="3"/>
  <c r="AR3" i="3"/>
  <c r="AS3" i="3"/>
  <c r="AT3" i="3"/>
  <c r="AU3" i="3"/>
  <c r="AV3" i="3"/>
  <c r="AW3" i="3"/>
  <c r="AX3" i="3"/>
  <c r="AY3" i="3"/>
  <c r="AZ3" i="3"/>
  <c r="BA3" i="3"/>
  <c r="BB3" i="3"/>
  <c r="BC3" i="3"/>
  <c r="BD3" i="3"/>
  <c r="BE3" i="3"/>
  <c r="BF3" i="3"/>
  <c r="BG3" i="3"/>
  <c r="AO3" i="3"/>
  <c r="AB3" i="3"/>
  <c r="AA3" i="3"/>
  <c r="BG18" i="3" l="1"/>
  <c r="BF18" i="3"/>
  <c r="AU18" i="3"/>
  <c r="AT18" i="3"/>
  <c r="AG18" i="3"/>
  <c r="AF18" i="3"/>
  <c r="T18" i="3"/>
  <c r="S18" i="3"/>
  <c r="F18" i="3"/>
  <c r="E18" i="3"/>
  <c r="BI18" i="3"/>
  <c r="BH18" i="3" s="1"/>
  <c r="BM19" i="3" l="1"/>
  <c r="BC412" i="3"/>
  <c r="BB412" i="3" s="1"/>
  <c r="BC420" i="3"/>
  <c r="BB420" i="3" s="1"/>
  <c r="BC428" i="3"/>
  <c r="BB428" i="3" s="1"/>
  <c r="BC436" i="3"/>
  <c r="BB436" i="3" s="1"/>
  <c r="BC444" i="3"/>
  <c r="BB444" i="3" s="1"/>
  <c r="BC452" i="3"/>
  <c r="BB452" i="3" s="1"/>
  <c r="BC460" i="3"/>
  <c r="BB460" i="3" s="1"/>
  <c r="BC468" i="3"/>
  <c r="BB468" i="3" s="1"/>
  <c r="BC476" i="3"/>
  <c r="BB476" i="3" s="1"/>
  <c r="BC484" i="3"/>
  <c r="BB484" i="3" s="1"/>
  <c r="BC429" i="3"/>
  <c r="BB429" i="3" s="1"/>
  <c r="BC389" i="3"/>
  <c r="BB389" i="3" s="1"/>
  <c r="BC413" i="3"/>
  <c r="BB413" i="3" s="1"/>
  <c r="BC421" i="3"/>
  <c r="BB421" i="3" s="1"/>
  <c r="BC437" i="3"/>
  <c r="BB437" i="3" s="1"/>
  <c r="BC445" i="3"/>
  <c r="BB445" i="3" s="1"/>
  <c r="BC453" i="3"/>
  <c r="BB453" i="3" s="1"/>
  <c r="BC461" i="3"/>
  <c r="BB461" i="3" s="1"/>
  <c r="BC469" i="3"/>
  <c r="BB469" i="3" s="1"/>
  <c r="BC477" i="3"/>
  <c r="BB477" i="3" s="1"/>
  <c r="BC485" i="3"/>
  <c r="BB485" i="3" s="1"/>
  <c r="BC390" i="3"/>
  <c r="BB390" i="3" s="1"/>
  <c r="BC414" i="3"/>
  <c r="BB414" i="3" s="1"/>
  <c r="BC422" i="3"/>
  <c r="BB422" i="3" s="1"/>
  <c r="BC430" i="3"/>
  <c r="BB430" i="3" s="1"/>
  <c r="BC438" i="3"/>
  <c r="BB438" i="3" s="1"/>
  <c r="BC446" i="3"/>
  <c r="BB446" i="3" s="1"/>
  <c r="BC454" i="3"/>
  <c r="BB454" i="3" s="1"/>
  <c r="BC462" i="3"/>
  <c r="BB462" i="3" s="1"/>
  <c r="BC470" i="3"/>
  <c r="BB470" i="3" s="1"/>
  <c r="BC478" i="3"/>
  <c r="BB478" i="3" s="1"/>
  <c r="BC486" i="3"/>
  <c r="BB486" i="3" s="1"/>
  <c r="BC415" i="3"/>
  <c r="BB415" i="3" s="1"/>
  <c r="BC423" i="3"/>
  <c r="BB423" i="3" s="1"/>
  <c r="BC431" i="3"/>
  <c r="BB431" i="3" s="1"/>
  <c r="BC439" i="3"/>
  <c r="BB439" i="3" s="1"/>
  <c r="BC447" i="3"/>
  <c r="BB447" i="3" s="1"/>
  <c r="BC455" i="3"/>
  <c r="BB455" i="3" s="1"/>
  <c r="BC463" i="3"/>
  <c r="BB463" i="3" s="1"/>
  <c r="BC471" i="3"/>
  <c r="BB471" i="3" s="1"/>
  <c r="BC479" i="3"/>
  <c r="BB479" i="3" s="1"/>
  <c r="BC487" i="3"/>
  <c r="BB487" i="3" s="1"/>
  <c r="BC416" i="3"/>
  <c r="BB416" i="3" s="1"/>
  <c r="BC424" i="3"/>
  <c r="BB424" i="3" s="1"/>
  <c r="BC432" i="3"/>
  <c r="BB432" i="3" s="1"/>
  <c r="BC440" i="3"/>
  <c r="BB440" i="3" s="1"/>
  <c r="BC448" i="3"/>
  <c r="BB448" i="3" s="1"/>
  <c r="BC456" i="3"/>
  <c r="BB456" i="3" s="1"/>
  <c r="BC464" i="3"/>
  <c r="BB464" i="3" s="1"/>
  <c r="BC472" i="3"/>
  <c r="BB472" i="3" s="1"/>
  <c r="BC480" i="3"/>
  <c r="BB480" i="3" s="1"/>
  <c r="BC488" i="3"/>
  <c r="BB488" i="3" s="1"/>
  <c r="BC417" i="3"/>
  <c r="BB417" i="3" s="1"/>
  <c r="BC425" i="3"/>
  <c r="BB425" i="3" s="1"/>
  <c r="BC433" i="3"/>
  <c r="BB433" i="3" s="1"/>
  <c r="BC441" i="3"/>
  <c r="BB441" i="3" s="1"/>
  <c r="BC449" i="3"/>
  <c r="BB449" i="3" s="1"/>
  <c r="BC457" i="3"/>
  <c r="BB457" i="3" s="1"/>
  <c r="BC465" i="3"/>
  <c r="BB465" i="3" s="1"/>
  <c r="BC473" i="3"/>
  <c r="BB473" i="3" s="1"/>
  <c r="BC481" i="3"/>
  <c r="BB481" i="3" s="1"/>
  <c r="BC489" i="3"/>
  <c r="BB489" i="3" s="1"/>
  <c r="BC394" i="3"/>
  <c r="BB394" i="3" s="1"/>
  <c r="BC402" i="3"/>
  <c r="BB402" i="3" s="1"/>
  <c r="BC418" i="3"/>
  <c r="BB418" i="3" s="1"/>
  <c r="BC426" i="3"/>
  <c r="BB426" i="3" s="1"/>
  <c r="BC434" i="3"/>
  <c r="BB434" i="3" s="1"/>
  <c r="BC442" i="3"/>
  <c r="BB442" i="3" s="1"/>
  <c r="BC450" i="3"/>
  <c r="BB450" i="3" s="1"/>
  <c r="BC458" i="3"/>
  <c r="BB458" i="3" s="1"/>
  <c r="BC466" i="3"/>
  <c r="BB466" i="3" s="1"/>
  <c r="BC474" i="3"/>
  <c r="BB474" i="3" s="1"/>
  <c r="BC482" i="3"/>
  <c r="BB482" i="3" s="1"/>
  <c r="BC490" i="3"/>
  <c r="BB490" i="3" s="1"/>
  <c r="BC395" i="3"/>
  <c r="BB395" i="3" s="1"/>
  <c r="BC411" i="3"/>
  <c r="BB411" i="3" s="1"/>
  <c r="BC419" i="3"/>
  <c r="BB419" i="3" s="1"/>
  <c r="BC427" i="3"/>
  <c r="BB427" i="3" s="1"/>
  <c r="BC435" i="3"/>
  <c r="BB435" i="3" s="1"/>
  <c r="BC443" i="3"/>
  <c r="BB443" i="3" s="1"/>
  <c r="BC451" i="3"/>
  <c r="BB451" i="3" s="1"/>
  <c r="BC459" i="3"/>
  <c r="BB459" i="3" s="1"/>
  <c r="BC467" i="3"/>
  <c r="BB467" i="3" s="1"/>
  <c r="BC475" i="3"/>
  <c r="BB475" i="3" s="1"/>
  <c r="BC483" i="3"/>
  <c r="BB483" i="3" s="1"/>
  <c r="BC491" i="3"/>
  <c r="BB491" i="3" s="1"/>
  <c r="D20" i="3"/>
  <c r="BC348" i="3"/>
  <c r="BB348" i="3" s="1"/>
  <c r="AW18" i="3"/>
  <c r="AV18" i="3" s="1"/>
  <c r="AI18" i="3"/>
  <c r="AH18" i="3" s="1"/>
  <c r="V18" i="3"/>
  <c r="U18" i="3" s="1"/>
  <c r="H18" i="3"/>
  <c r="G18" i="3" s="1"/>
  <c r="BC403" i="3" l="1"/>
  <c r="BB403" i="3" s="1"/>
  <c r="BC401" i="3"/>
  <c r="BB401" i="3" s="1"/>
  <c r="BC392" i="3"/>
  <c r="BB392" i="3" s="1"/>
  <c r="BC399" i="3"/>
  <c r="BB399" i="3" s="1"/>
  <c r="BC381" i="3"/>
  <c r="BB381" i="3" s="1"/>
  <c r="BC387" i="3"/>
  <c r="BB387" i="3" s="1"/>
  <c r="BC393" i="3"/>
  <c r="BB393" i="3" s="1"/>
  <c r="BC391" i="3"/>
  <c r="BB391" i="3" s="1"/>
  <c r="BC400" i="3"/>
  <c r="BB400" i="3" s="1"/>
  <c r="BC398" i="3"/>
  <c r="BB398" i="3" s="1"/>
  <c r="BC404" i="3"/>
  <c r="BB404" i="3" s="1"/>
  <c r="BC371" i="3"/>
  <c r="BB371" i="3" s="1"/>
  <c r="BC386" i="3"/>
  <c r="BB386" i="3" s="1"/>
  <c r="BC369" i="3"/>
  <c r="BB369" i="3" s="1"/>
  <c r="BC384" i="3"/>
  <c r="BB384" i="3" s="1"/>
  <c r="BC367" i="3"/>
  <c r="BB367" i="3" s="1"/>
  <c r="BC382" i="3"/>
  <c r="BB382" i="3" s="1"/>
  <c r="BC357" i="3"/>
  <c r="BB357" i="3" s="1"/>
  <c r="BC396" i="3"/>
  <c r="BB396" i="3" s="1"/>
  <c r="BC361" i="3"/>
  <c r="BB361" i="3" s="1"/>
  <c r="BC368" i="3"/>
  <c r="BB368" i="3" s="1"/>
  <c r="BC359" i="3"/>
  <c r="BB359" i="3" s="1"/>
  <c r="BC366" i="3"/>
  <c r="BB366" i="3" s="1"/>
  <c r="BC349" i="3"/>
  <c r="BB349" i="3" s="1"/>
  <c r="BC388" i="3"/>
  <c r="BB388" i="3" s="1"/>
  <c r="BC355" i="3"/>
  <c r="BB355" i="3" s="1"/>
  <c r="BC362" i="3"/>
  <c r="BB362" i="3" s="1"/>
  <c r="BC353" i="3"/>
  <c r="BB353" i="3" s="1"/>
  <c r="BC360" i="3"/>
  <c r="BB360" i="3" s="1"/>
  <c r="BC351" i="3"/>
  <c r="BB351" i="3" s="1"/>
  <c r="BC358" i="3"/>
  <c r="BB358" i="3" s="1"/>
  <c r="BC341" i="3"/>
  <c r="BB341" i="3" s="1"/>
  <c r="BC372" i="3"/>
  <c r="BB372" i="3" s="1"/>
  <c r="BC363" i="3"/>
  <c r="BB363" i="3" s="1"/>
  <c r="BC339" i="3"/>
  <c r="BB339" i="3" s="1"/>
  <c r="BC338" i="3"/>
  <c r="BB338" i="3" s="1"/>
  <c r="BC337" i="3"/>
  <c r="BB337" i="3" s="1"/>
  <c r="BC336" i="3"/>
  <c r="BB336" i="3" s="1"/>
  <c r="BC335" i="3"/>
  <c r="BB335" i="3" s="1"/>
  <c r="BC334" i="3"/>
  <c r="BB334" i="3" s="1"/>
  <c r="BC364" i="3"/>
  <c r="BB364" i="3" s="1"/>
  <c r="BC370" i="3"/>
  <c r="BB370" i="3" s="1"/>
  <c r="BC331" i="3"/>
  <c r="BB331" i="3" s="1"/>
  <c r="BC340" i="3"/>
  <c r="BB340" i="3" s="1"/>
  <c r="BC405" i="3"/>
  <c r="BB405" i="3" s="1"/>
  <c r="BC332" i="3"/>
  <c r="BB332" i="3" s="1"/>
  <c r="BC347" i="3"/>
  <c r="BB347" i="3" s="1"/>
  <c r="BC378" i="3"/>
  <c r="BB378" i="3" s="1"/>
  <c r="BC409" i="3"/>
  <c r="BB409" i="3" s="1"/>
  <c r="BC345" i="3"/>
  <c r="BB345" i="3" s="1"/>
  <c r="BC376" i="3"/>
  <c r="BB376" i="3" s="1"/>
  <c r="BC407" i="3"/>
  <c r="BB407" i="3" s="1"/>
  <c r="BC343" i="3"/>
  <c r="BB343" i="3" s="1"/>
  <c r="BC374" i="3"/>
  <c r="BB374" i="3" s="1"/>
  <c r="BC397" i="3"/>
  <c r="BB397" i="3" s="1"/>
  <c r="BC333" i="3"/>
  <c r="BB333" i="3" s="1"/>
  <c r="BC380" i="3"/>
  <c r="BB380" i="3" s="1"/>
  <c r="BC354" i="3"/>
  <c r="BB354" i="3" s="1"/>
  <c r="BC385" i="3"/>
  <c r="BB385" i="3" s="1"/>
  <c r="BC352" i="3"/>
  <c r="BB352" i="3" s="1"/>
  <c r="BC383" i="3"/>
  <c r="BB383" i="3" s="1"/>
  <c r="BC350" i="3"/>
  <c r="BB350" i="3" s="1"/>
  <c r="BC373" i="3"/>
  <c r="BB373" i="3" s="1"/>
  <c r="BC356" i="3"/>
  <c r="BB356" i="3" s="1"/>
  <c r="BC379" i="3"/>
  <c r="BB379" i="3" s="1"/>
  <c r="BC410" i="3"/>
  <c r="BB410" i="3" s="1"/>
  <c r="BC346" i="3"/>
  <c r="BB346" i="3" s="1"/>
  <c r="BC377" i="3"/>
  <c r="BB377" i="3" s="1"/>
  <c r="BC408" i="3"/>
  <c r="BB408" i="3" s="1"/>
  <c r="BC344" i="3"/>
  <c r="BB344" i="3" s="1"/>
  <c r="BC375" i="3"/>
  <c r="BB375" i="3" s="1"/>
  <c r="BC406" i="3"/>
  <c r="BB406" i="3" s="1"/>
  <c r="BC342" i="3"/>
  <c r="BB342" i="3" s="1"/>
  <c r="BC365" i="3"/>
  <c r="BB365" i="3" s="1"/>
  <c r="AQ332" i="3"/>
  <c r="AP332" i="3" s="1"/>
  <c r="AQ340" i="3"/>
  <c r="AP340" i="3" s="1"/>
  <c r="AQ348" i="3"/>
  <c r="AP348" i="3" s="1"/>
  <c r="AQ356" i="3"/>
  <c r="AP356" i="3" s="1"/>
  <c r="AQ364" i="3"/>
  <c r="AP364" i="3" s="1"/>
  <c r="AQ372" i="3"/>
  <c r="AP372" i="3" s="1"/>
  <c r="AQ380" i="3"/>
  <c r="AP380" i="3" s="1"/>
  <c r="AQ388" i="3"/>
  <c r="AP388" i="3" s="1"/>
  <c r="AQ396" i="3"/>
  <c r="AP396" i="3" s="1"/>
  <c r="AQ404" i="3"/>
  <c r="AP404" i="3" s="1"/>
  <c r="AQ412" i="3"/>
  <c r="AP412" i="3" s="1"/>
  <c r="AQ420" i="3"/>
  <c r="AP420" i="3" s="1"/>
  <c r="AQ428" i="3"/>
  <c r="AP428" i="3" s="1"/>
  <c r="AQ436" i="3"/>
  <c r="AP436" i="3" s="1"/>
  <c r="AQ444" i="3"/>
  <c r="AP444" i="3" s="1"/>
  <c r="AQ452" i="3"/>
  <c r="AP452" i="3" s="1"/>
  <c r="AQ460" i="3"/>
  <c r="AP460" i="3" s="1"/>
  <c r="AQ468" i="3"/>
  <c r="AP468" i="3" s="1"/>
  <c r="AQ476" i="3"/>
  <c r="AP476" i="3" s="1"/>
  <c r="AQ484" i="3"/>
  <c r="AP484" i="3" s="1"/>
  <c r="AQ331" i="3"/>
  <c r="AP331" i="3" s="1"/>
  <c r="AQ333" i="3"/>
  <c r="AP333" i="3" s="1"/>
  <c r="AQ341" i="3"/>
  <c r="AP341" i="3" s="1"/>
  <c r="AQ349" i="3"/>
  <c r="AP349" i="3" s="1"/>
  <c r="AQ357" i="3"/>
  <c r="AP357" i="3" s="1"/>
  <c r="AQ365" i="3"/>
  <c r="AP365" i="3" s="1"/>
  <c r="AQ373" i="3"/>
  <c r="AP373" i="3" s="1"/>
  <c r="AQ381" i="3"/>
  <c r="AP381" i="3" s="1"/>
  <c r="AQ389" i="3"/>
  <c r="AP389" i="3" s="1"/>
  <c r="AQ397" i="3"/>
  <c r="AP397" i="3" s="1"/>
  <c r="AQ405" i="3"/>
  <c r="AP405" i="3" s="1"/>
  <c r="AQ413" i="3"/>
  <c r="AP413" i="3" s="1"/>
  <c r="AQ421" i="3"/>
  <c r="AP421" i="3" s="1"/>
  <c r="AQ429" i="3"/>
  <c r="AP429" i="3" s="1"/>
  <c r="AQ437" i="3"/>
  <c r="AP437" i="3" s="1"/>
  <c r="AQ445" i="3"/>
  <c r="AP445" i="3" s="1"/>
  <c r="AQ453" i="3"/>
  <c r="AP453" i="3" s="1"/>
  <c r="AQ461" i="3"/>
  <c r="AP461" i="3" s="1"/>
  <c r="AQ469" i="3"/>
  <c r="AP469" i="3" s="1"/>
  <c r="AQ477" i="3"/>
  <c r="AP477" i="3" s="1"/>
  <c r="AQ485" i="3"/>
  <c r="AP485" i="3" s="1"/>
  <c r="AQ334" i="3"/>
  <c r="AP334" i="3" s="1"/>
  <c r="AQ342" i="3"/>
  <c r="AP342" i="3" s="1"/>
  <c r="AQ350" i="3"/>
  <c r="AP350" i="3" s="1"/>
  <c r="AQ358" i="3"/>
  <c r="AP358" i="3" s="1"/>
  <c r="AQ366" i="3"/>
  <c r="AP366" i="3" s="1"/>
  <c r="AQ374" i="3"/>
  <c r="AP374" i="3" s="1"/>
  <c r="AQ382" i="3"/>
  <c r="AP382" i="3" s="1"/>
  <c r="AQ390" i="3"/>
  <c r="AP390" i="3" s="1"/>
  <c r="AQ398" i="3"/>
  <c r="AP398" i="3" s="1"/>
  <c r="AQ406" i="3"/>
  <c r="AP406" i="3" s="1"/>
  <c r="AQ414" i="3"/>
  <c r="AP414" i="3" s="1"/>
  <c r="AQ422" i="3"/>
  <c r="AP422" i="3" s="1"/>
  <c r="AQ430" i="3"/>
  <c r="AP430" i="3" s="1"/>
  <c r="AQ438" i="3"/>
  <c r="AP438" i="3" s="1"/>
  <c r="AQ446" i="3"/>
  <c r="AP446" i="3" s="1"/>
  <c r="AQ454" i="3"/>
  <c r="AP454" i="3" s="1"/>
  <c r="AQ462" i="3"/>
  <c r="AP462" i="3" s="1"/>
  <c r="AQ470" i="3"/>
  <c r="AP470" i="3" s="1"/>
  <c r="AQ478" i="3"/>
  <c r="AP478" i="3" s="1"/>
  <c r="AQ486" i="3"/>
  <c r="AP486" i="3" s="1"/>
  <c r="AQ335" i="3"/>
  <c r="AP335" i="3" s="1"/>
  <c r="AQ343" i="3"/>
  <c r="AP343" i="3" s="1"/>
  <c r="AQ351" i="3"/>
  <c r="AP351" i="3" s="1"/>
  <c r="AQ359" i="3"/>
  <c r="AP359" i="3" s="1"/>
  <c r="AQ367" i="3"/>
  <c r="AP367" i="3" s="1"/>
  <c r="AQ375" i="3"/>
  <c r="AP375" i="3" s="1"/>
  <c r="AQ383" i="3"/>
  <c r="AP383" i="3" s="1"/>
  <c r="AQ391" i="3"/>
  <c r="AP391" i="3" s="1"/>
  <c r="AQ399" i="3"/>
  <c r="AP399" i="3" s="1"/>
  <c r="AQ407" i="3"/>
  <c r="AP407" i="3" s="1"/>
  <c r="AQ415" i="3"/>
  <c r="AP415" i="3" s="1"/>
  <c r="AQ423" i="3"/>
  <c r="AP423" i="3" s="1"/>
  <c r="AQ431" i="3"/>
  <c r="AP431" i="3" s="1"/>
  <c r="AQ439" i="3"/>
  <c r="AP439" i="3" s="1"/>
  <c r="AQ447" i="3"/>
  <c r="AP447" i="3" s="1"/>
  <c r="AQ455" i="3"/>
  <c r="AP455" i="3" s="1"/>
  <c r="AQ463" i="3"/>
  <c r="AP463" i="3" s="1"/>
  <c r="AQ471" i="3"/>
  <c r="AP471" i="3" s="1"/>
  <c r="AQ479" i="3"/>
  <c r="AP479" i="3" s="1"/>
  <c r="AQ487" i="3"/>
  <c r="AP487" i="3" s="1"/>
  <c r="AQ336" i="3"/>
  <c r="AP336" i="3" s="1"/>
  <c r="AQ344" i="3"/>
  <c r="AP344" i="3" s="1"/>
  <c r="AQ352" i="3"/>
  <c r="AP352" i="3" s="1"/>
  <c r="AQ360" i="3"/>
  <c r="AP360" i="3" s="1"/>
  <c r="AQ368" i="3"/>
  <c r="AP368" i="3" s="1"/>
  <c r="AQ376" i="3"/>
  <c r="AP376" i="3" s="1"/>
  <c r="AQ384" i="3"/>
  <c r="AP384" i="3" s="1"/>
  <c r="AQ392" i="3"/>
  <c r="AP392" i="3" s="1"/>
  <c r="AQ400" i="3"/>
  <c r="AP400" i="3" s="1"/>
  <c r="AQ408" i="3"/>
  <c r="AP408" i="3" s="1"/>
  <c r="AQ416" i="3"/>
  <c r="AP416" i="3" s="1"/>
  <c r="AQ424" i="3"/>
  <c r="AP424" i="3" s="1"/>
  <c r="AQ432" i="3"/>
  <c r="AP432" i="3" s="1"/>
  <c r="AQ440" i="3"/>
  <c r="AP440" i="3" s="1"/>
  <c r="AQ448" i="3"/>
  <c r="AP448" i="3" s="1"/>
  <c r="AQ456" i="3"/>
  <c r="AP456" i="3" s="1"/>
  <c r="AQ464" i="3"/>
  <c r="AP464" i="3" s="1"/>
  <c r="AQ472" i="3"/>
  <c r="AP472" i="3" s="1"/>
  <c r="AQ480" i="3"/>
  <c r="AP480" i="3" s="1"/>
  <c r="AQ488" i="3"/>
  <c r="AP488" i="3" s="1"/>
  <c r="AQ337" i="3"/>
  <c r="AP337" i="3" s="1"/>
  <c r="AQ345" i="3"/>
  <c r="AP345" i="3" s="1"/>
  <c r="AQ353" i="3"/>
  <c r="AP353" i="3" s="1"/>
  <c r="AQ361" i="3"/>
  <c r="AP361" i="3" s="1"/>
  <c r="AQ369" i="3"/>
  <c r="AP369" i="3" s="1"/>
  <c r="AQ377" i="3"/>
  <c r="AP377" i="3" s="1"/>
  <c r="AQ385" i="3"/>
  <c r="AP385" i="3" s="1"/>
  <c r="AQ393" i="3"/>
  <c r="AP393" i="3" s="1"/>
  <c r="AQ401" i="3"/>
  <c r="AP401" i="3" s="1"/>
  <c r="AQ409" i="3"/>
  <c r="AP409" i="3" s="1"/>
  <c r="AQ417" i="3"/>
  <c r="AP417" i="3" s="1"/>
  <c r="AQ425" i="3"/>
  <c r="AP425" i="3" s="1"/>
  <c r="AQ433" i="3"/>
  <c r="AP433" i="3" s="1"/>
  <c r="AQ441" i="3"/>
  <c r="AP441" i="3" s="1"/>
  <c r="AQ449" i="3"/>
  <c r="AP449" i="3" s="1"/>
  <c r="AQ457" i="3"/>
  <c r="AP457" i="3" s="1"/>
  <c r="AQ465" i="3"/>
  <c r="AP465" i="3" s="1"/>
  <c r="AQ473" i="3"/>
  <c r="AP473" i="3" s="1"/>
  <c r="AQ481" i="3"/>
  <c r="AP481" i="3" s="1"/>
  <c r="AQ489" i="3"/>
  <c r="AP489" i="3" s="1"/>
  <c r="AQ338" i="3"/>
  <c r="AP338" i="3" s="1"/>
  <c r="AQ346" i="3"/>
  <c r="AP346" i="3" s="1"/>
  <c r="AQ354" i="3"/>
  <c r="AP354" i="3" s="1"/>
  <c r="AQ362" i="3"/>
  <c r="AP362" i="3" s="1"/>
  <c r="AQ370" i="3"/>
  <c r="AP370" i="3" s="1"/>
  <c r="AQ378" i="3"/>
  <c r="AP378" i="3" s="1"/>
  <c r="AQ386" i="3"/>
  <c r="AP386" i="3" s="1"/>
  <c r="AQ394" i="3"/>
  <c r="AP394" i="3" s="1"/>
  <c r="AQ402" i="3"/>
  <c r="AP402" i="3" s="1"/>
  <c r="AQ410" i="3"/>
  <c r="AP410" i="3" s="1"/>
  <c r="AQ418" i="3"/>
  <c r="AP418" i="3" s="1"/>
  <c r="AQ426" i="3"/>
  <c r="AP426" i="3" s="1"/>
  <c r="AQ434" i="3"/>
  <c r="AP434" i="3" s="1"/>
  <c r="AQ442" i="3"/>
  <c r="AP442" i="3" s="1"/>
  <c r="AQ450" i="3"/>
  <c r="AP450" i="3" s="1"/>
  <c r="AQ458" i="3"/>
  <c r="AP458" i="3" s="1"/>
  <c r="AQ466" i="3"/>
  <c r="AP466" i="3" s="1"/>
  <c r="AQ474" i="3"/>
  <c r="AP474" i="3" s="1"/>
  <c r="AQ482" i="3"/>
  <c r="AP482" i="3" s="1"/>
  <c r="AQ490" i="3"/>
  <c r="AP490" i="3" s="1"/>
  <c r="AQ339" i="3"/>
  <c r="AP339" i="3" s="1"/>
  <c r="AQ403" i="3"/>
  <c r="AP403" i="3" s="1"/>
  <c r="AQ467" i="3"/>
  <c r="AP467" i="3" s="1"/>
  <c r="AQ395" i="3"/>
  <c r="AP395" i="3" s="1"/>
  <c r="AQ347" i="3"/>
  <c r="AP347" i="3" s="1"/>
  <c r="AQ411" i="3"/>
  <c r="AP411" i="3" s="1"/>
  <c r="AQ475" i="3"/>
  <c r="AP475" i="3" s="1"/>
  <c r="AQ459" i="3"/>
  <c r="AP459" i="3" s="1"/>
  <c r="AQ355" i="3"/>
  <c r="AP355" i="3" s="1"/>
  <c r="AQ419" i="3"/>
  <c r="AP419" i="3" s="1"/>
  <c r="AQ483" i="3"/>
  <c r="AP483" i="3" s="1"/>
  <c r="AQ363" i="3"/>
  <c r="AP363" i="3" s="1"/>
  <c r="AQ427" i="3"/>
  <c r="AP427" i="3" s="1"/>
  <c r="AQ491" i="3"/>
  <c r="AP491" i="3" s="1"/>
  <c r="AQ371" i="3"/>
  <c r="AP371" i="3" s="1"/>
  <c r="AQ435" i="3"/>
  <c r="AP435" i="3" s="1"/>
  <c r="AQ379" i="3"/>
  <c r="AP379" i="3" s="1"/>
  <c r="AQ443" i="3"/>
  <c r="AP443" i="3" s="1"/>
  <c r="AQ387" i="3"/>
  <c r="AP387" i="3" s="1"/>
  <c r="AQ451" i="3"/>
  <c r="AP451" i="3" s="1"/>
  <c r="AC333" i="3"/>
  <c r="AB333" i="3" s="1"/>
  <c r="AC341" i="3"/>
  <c r="AB341" i="3" s="1"/>
  <c r="AC349" i="3"/>
  <c r="AB349" i="3" s="1"/>
  <c r="AC357" i="3"/>
  <c r="AB357" i="3" s="1"/>
  <c r="AC365" i="3"/>
  <c r="AB365" i="3" s="1"/>
  <c r="AC373" i="3"/>
  <c r="AB373" i="3" s="1"/>
  <c r="AC381" i="3"/>
  <c r="AB381" i="3" s="1"/>
  <c r="AC389" i="3"/>
  <c r="AB389" i="3" s="1"/>
  <c r="AC397" i="3"/>
  <c r="AB397" i="3" s="1"/>
  <c r="AC405" i="3"/>
  <c r="AB405" i="3" s="1"/>
  <c r="AC413" i="3"/>
  <c r="AB413" i="3" s="1"/>
  <c r="AC421" i="3"/>
  <c r="AB421" i="3" s="1"/>
  <c r="AC429" i="3"/>
  <c r="AB429" i="3" s="1"/>
  <c r="AC437" i="3"/>
  <c r="AB437" i="3" s="1"/>
  <c r="AC445" i="3"/>
  <c r="AB445" i="3" s="1"/>
  <c r="AC453" i="3"/>
  <c r="AB453" i="3" s="1"/>
  <c r="AC461" i="3"/>
  <c r="AB461" i="3" s="1"/>
  <c r="AC469" i="3"/>
  <c r="AB469" i="3" s="1"/>
  <c r="AC477" i="3"/>
  <c r="AB477" i="3" s="1"/>
  <c r="AC485" i="3"/>
  <c r="AB485" i="3" s="1"/>
  <c r="AC334" i="3"/>
  <c r="AB334" i="3" s="1"/>
  <c r="AC342" i="3"/>
  <c r="AB342" i="3" s="1"/>
  <c r="AC350" i="3"/>
  <c r="AB350" i="3" s="1"/>
  <c r="AC358" i="3"/>
  <c r="AB358" i="3" s="1"/>
  <c r="AC366" i="3"/>
  <c r="AB366" i="3" s="1"/>
  <c r="AC374" i="3"/>
  <c r="AB374" i="3" s="1"/>
  <c r="AC382" i="3"/>
  <c r="AB382" i="3" s="1"/>
  <c r="AC390" i="3"/>
  <c r="AB390" i="3" s="1"/>
  <c r="AC398" i="3"/>
  <c r="AB398" i="3" s="1"/>
  <c r="AC406" i="3"/>
  <c r="AB406" i="3" s="1"/>
  <c r="AC414" i="3"/>
  <c r="AB414" i="3" s="1"/>
  <c r="AC422" i="3"/>
  <c r="AB422" i="3" s="1"/>
  <c r="AC430" i="3"/>
  <c r="AB430" i="3" s="1"/>
  <c r="AC438" i="3"/>
  <c r="AB438" i="3" s="1"/>
  <c r="AC446" i="3"/>
  <c r="AB446" i="3" s="1"/>
  <c r="AC454" i="3"/>
  <c r="AB454" i="3" s="1"/>
  <c r="AC462" i="3"/>
  <c r="AB462" i="3" s="1"/>
  <c r="AC337" i="3"/>
  <c r="AB337" i="3" s="1"/>
  <c r="AC347" i="3"/>
  <c r="AB347" i="3" s="1"/>
  <c r="AC359" i="3"/>
  <c r="AB359" i="3" s="1"/>
  <c r="AC369" i="3"/>
  <c r="AB369" i="3" s="1"/>
  <c r="AC379" i="3"/>
  <c r="AB379" i="3" s="1"/>
  <c r="AC391" i="3"/>
  <c r="AB391" i="3" s="1"/>
  <c r="AC401" i="3"/>
  <c r="AB401" i="3" s="1"/>
  <c r="AC411" i="3"/>
  <c r="AB411" i="3" s="1"/>
  <c r="AC423" i="3"/>
  <c r="AB423" i="3" s="1"/>
  <c r="AC433" i="3"/>
  <c r="AB433" i="3" s="1"/>
  <c r="AC443" i="3"/>
  <c r="AB443" i="3" s="1"/>
  <c r="AC455" i="3"/>
  <c r="AB455" i="3" s="1"/>
  <c r="AC465" i="3"/>
  <c r="AB465" i="3" s="1"/>
  <c r="AC474" i="3"/>
  <c r="AB474" i="3" s="1"/>
  <c r="AC483" i="3"/>
  <c r="AB483" i="3" s="1"/>
  <c r="AC331" i="3"/>
  <c r="AB331" i="3" s="1"/>
  <c r="AC338" i="3"/>
  <c r="AB338" i="3" s="1"/>
  <c r="AC348" i="3"/>
  <c r="AB348" i="3" s="1"/>
  <c r="AC360" i="3"/>
  <c r="AB360" i="3" s="1"/>
  <c r="AC370" i="3"/>
  <c r="AB370" i="3" s="1"/>
  <c r="AC380" i="3"/>
  <c r="AB380" i="3" s="1"/>
  <c r="AC392" i="3"/>
  <c r="AB392" i="3" s="1"/>
  <c r="AC402" i="3"/>
  <c r="AB402" i="3" s="1"/>
  <c r="AC412" i="3"/>
  <c r="AB412" i="3" s="1"/>
  <c r="AC424" i="3"/>
  <c r="AB424" i="3" s="1"/>
  <c r="AC434" i="3"/>
  <c r="AB434" i="3" s="1"/>
  <c r="AC444" i="3"/>
  <c r="AB444" i="3" s="1"/>
  <c r="AC456" i="3"/>
  <c r="AB456" i="3" s="1"/>
  <c r="AC466" i="3"/>
  <c r="AB466" i="3" s="1"/>
  <c r="AC475" i="3"/>
  <c r="AB475" i="3" s="1"/>
  <c r="AC484" i="3"/>
  <c r="AB484" i="3" s="1"/>
  <c r="AC339" i="3"/>
  <c r="AB339" i="3" s="1"/>
  <c r="AC351" i="3"/>
  <c r="AB351" i="3" s="1"/>
  <c r="AC361" i="3"/>
  <c r="AB361" i="3" s="1"/>
  <c r="AC371" i="3"/>
  <c r="AB371" i="3" s="1"/>
  <c r="AC383" i="3"/>
  <c r="AB383" i="3" s="1"/>
  <c r="AC393" i="3"/>
  <c r="AB393" i="3" s="1"/>
  <c r="AC403" i="3"/>
  <c r="AB403" i="3" s="1"/>
  <c r="AC415" i="3"/>
  <c r="AB415" i="3" s="1"/>
  <c r="AC425" i="3"/>
  <c r="AB425" i="3" s="1"/>
  <c r="AC435" i="3"/>
  <c r="AB435" i="3" s="1"/>
  <c r="AC447" i="3"/>
  <c r="AB447" i="3" s="1"/>
  <c r="AC457" i="3"/>
  <c r="AB457" i="3" s="1"/>
  <c r="AC467" i="3"/>
  <c r="AB467" i="3" s="1"/>
  <c r="AC476" i="3"/>
  <c r="AB476" i="3" s="1"/>
  <c r="AC486" i="3"/>
  <c r="AB486" i="3" s="1"/>
  <c r="AC340" i="3"/>
  <c r="AB340" i="3" s="1"/>
  <c r="AC352" i="3"/>
  <c r="AB352" i="3" s="1"/>
  <c r="AC362" i="3"/>
  <c r="AB362" i="3" s="1"/>
  <c r="AC372" i="3"/>
  <c r="AB372" i="3" s="1"/>
  <c r="AC384" i="3"/>
  <c r="AB384" i="3" s="1"/>
  <c r="AC394" i="3"/>
  <c r="AB394" i="3" s="1"/>
  <c r="AC404" i="3"/>
  <c r="AB404" i="3" s="1"/>
  <c r="AC416" i="3"/>
  <c r="AB416" i="3" s="1"/>
  <c r="AC426" i="3"/>
  <c r="AB426" i="3" s="1"/>
  <c r="AC436" i="3"/>
  <c r="AB436" i="3" s="1"/>
  <c r="AC448" i="3"/>
  <c r="AB448" i="3" s="1"/>
  <c r="AC458" i="3"/>
  <c r="AB458" i="3" s="1"/>
  <c r="AC468" i="3"/>
  <c r="AB468" i="3" s="1"/>
  <c r="AC478" i="3"/>
  <c r="AB478" i="3" s="1"/>
  <c r="AC487" i="3"/>
  <c r="AB487" i="3" s="1"/>
  <c r="AC343" i="3"/>
  <c r="AB343" i="3" s="1"/>
  <c r="AC353" i="3"/>
  <c r="AB353" i="3" s="1"/>
  <c r="AC363" i="3"/>
  <c r="AB363" i="3" s="1"/>
  <c r="AC375" i="3"/>
  <c r="AB375" i="3" s="1"/>
  <c r="AC385" i="3"/>
  <c r="AB385" i="3" s="1"/>
  <c r="AC395" i="3"/>
  <c r="AB395" i="3" s="1"/>
  <c r="AC407" i="3"/>
  <c r="AB407" i="3" s="1"/>
  <c r="AC417" i="3"/>
  <c r="AB417" i="3" s="1"/>
  <c r="AC427" i="3"/>
  <c r="AB427" i="3" s="1"/>
  <c r="AC439" i="3"/>
  <c r="AB439" i="3" s="1"/>
  <c r="AC449" i="3"/>
  <c r="AB449" i="3" s="1"/>
  <c r="AC459" i="3"/>
  <c r="AB459" i="3" s="1"/>
  <c r="AC470" i="3"/>
  <c r="AB470" i="3" s="1"/>
  <c r="AC479" i="3"/>
  <c r="AB479" i="3" s="1"/>
  <c r="AC488" i="3"/>
  <c r="AB488" i="3" s="1"/>
  <c r="AC336" i="3"/>
  <c r="AB336" i="3" s="1"/>
  <c r="AC346" i="3"/>
  <c r="AB346" i="3" s="1"/>
  <c r="AC356" i="3"/>
  <c r="AB356" i="3" s="1"/>
  <c r="AC368" i="3"/>
  <c r="AB368" i="3" s="1"/>
  <c r="AC378" i="3"/>
  <c r="AB378" i="3" s="1"/>
  <c r="AC388" i="3"/>
  <c r="AB388" i="3" s="1"/>
  <c r="AC400" i="3"/>
  <c r="AB400" i="3" s="1"/>
  <c r="AC410" i="3"/>
  <c r="AB410" i="3" s="1"/>
  <c r="AC420" i="3"/>
  <c r="AB420" i="3" s="1"/>
  <c r="AC432" i="3"/>
  <c r="AB432" i="3" s="1"/>
  <c r="AC442" i="3"/>
  <c r="AB442" i="3" s="1"/>
  <c r="AC452" i="3"/>
  <c r="AB452" i="3" s="1"/>
  <c r="AC464" i="3"/>
  <c r="AB464" i="3" s="1"/>
  <c r="AC473" i="3"/>
  <c r="AB473" i="3" s="1"/>
  <c r="AC482" i="3"/>
  <c r="AB482" i="3" s="1"/>
  <c r="AC491" i="3"/>
  <c r="AB491" i="3" s="1"/>
  <c r="AC332" i="3"/>
  <c r="AB332" i="3" s="1"/>
  <c r="AC344" i="3"/>
  <c r="AB344" i="3" s="1"/>
  <c r="AC354" i="3"/>
  <c r="AB354" i="3" s="1"/>
  <c r="AC364" i="3"/>
  <c r="AB364" i="3" s="1"/>
  <c r="AC376" i="3"/>
  <c r="AB376" i="3" s="1"/>
  <c r="AC386" i="3"/>
  <c r="AB386" i="3" s="1"/>
  <c r="AC396" i="3"/>
  <c r="AB396" i="3" s="1"/>
  <c r="AC408" i="3"/>
  <c r="AB408" i="3" s="1"/>
  <c r="AC418" i="3"/>
  <c r="AB418" i="3" s="1"/>
  <c r="AC428" i="3"/>
  <c r="AB428" i="3" s="1"/>
  <c r="AC440" i="3"/>
  <c r="AB440" i="3" s="1"/>
  <c r="AC450" i="3"/>
  <c r="AB450" i="3" s="1"/>
  <c r="AC460" i="3"/>
  <c r="AB460" i="3" s="1"/>
  <c r="AC471" i="3"/>
  <c r="AB471" i="3" s="1"/>
  <c r="AC480" i="3"/>
  <c r="AB480" i="3" s="1"/>
  <c r="AC489" i="3"/>
  <c r="AB489" i="3" s="1"/>
  <c r="AC335" i="3"/>
  <c r="AB335" i="3" s="1"/>
  <c r="AC345" i="3"/>
  <c r="AB345" i="3" s="1"/>
  <c r="AC355" i="3"/>
  <c r="AB355" i="3" s="1"/>
  <c r="AC367" i="3"/>
  <c r="AB367" i="3" s="1"/>
  <c r="AC377" i="3"/>
  <c r="AB377" i="3" s="1"/>
  <c r="AC387" i="3"/>
  <c r="AB387" i="3" s="1"/>
  <c r="AC399" i="3"/>
  <c r="AB399" i="3" s="1"/>
  <c r="AC409" i="3"/>
  <c r="AB409" i="3" s="1"/>
  <c r="AC419" i="3"/>
  <c r="AB419" i="3" s="1"/>
  <c r="AC431" i="3"/>
  <c r="AB431" i="3" s="1"/>
  <c r="AC441" i="3"/>
  <c r="AB441" i="3" s="1"/>
  <c r="AC451" i="3"/>
  <c r="AB451" i="3" s="1"/>
  <c r="AC463" i="3"/>
  <c r="AB463" i="3" s="1"/>
  <c r="AC472" i="3"/>
  <c r="AB472" i="3" s="1"/>
  <c r="AC481" i="3"/>
  <c r="AB481" i="3" s="1"/>
  <c r="AC490" i="3"/>
  <c r="AB490" i="3" s="1"/>
  <c r="P332" i="3"/>
  <c r="O332" i="3" s="1"/>
  <c r="P340" i="3"/>
  <c r="O340" i="3" s="1"/>
  <c r="P348" i="3"/>
  <c r="O348" i="3" s="1"/>
  <c r="P356" i="3"/>
  <c r="O356" i="3" s="1"/>
  <c r="P364" i="3"/>
  <c r="O364" i="3" s="1"/>
  <c r="P372" i="3"/>
  <c r="O372" i="3" s="1"/>
  <c r="P380" i="3"/>
  <c r="O380" i="3" s="1"/>
  <c r="P388" i="3"/>
  <c r="O388" i="3" s="1"/>
  <c r="P396" i="3"/>
  <c r="O396" i="3" s="1"/>
  <c r="P404" i="3"/>
  <c r="O404" i="3" s="1"/>
  <c r="P412" i="3"/>
  <c r="O412" i="3" s="1"/>
  <c r="P420" i="3"/>
  <c r="O420" i="3" s="1"/>
  <c r="P428" i="3"/>
  <c r="O428" i="3" s="1"/>
  <c r="P436" i="3"/>
  <c r="O436" i="3" s="1"/>
  <c r="P444" i="3"/>
  <c r="O444" i="3" s="1"/>
  <c r="P452" i="3"/>
  <c r="O452" i="3" s="1"/>
  <c r="P460" i="3"/>
  <c r="O460" i="3" s="1"/>
  <c r="P468" i="3"/>
  <c r="O468" i="3" s="1"/>
  <c r="P476" i="3"/>
  <c r="O476" i="3" s="1"/>
  <c r="P484" i="3"/>
  <c r="O484" i="3" s="1"/>
  <c r="P331" i="3"/>
  <c r="O331" i="3" s="1"/>
  <c r="P333" i="3"/>
  <c r="O333" i="3" s="1"/>
  <c r="P341" i="3"/>
  <c r="O341" i="3" s="1"/>
  <c r="P349" i="3"/>
  <c r="O349" i="3" s="1"/>
  <c r="P357" i="3"/>
  <c r="O357" i="3" s="1"/>
  <c r="P365" i="3"/>
  <c r="O365" i="3" s="1"/>
  <c r="P373" i="3"/>
  <c r="O373" i="3" s="1"/>
  <c r="P381" i="3"/>
  <c r="O381" i="3" s="1"/>
  <c r="P389" i="3"/>
  <c r="O389" i="3" s="1"/>
  <c r="P397" i="3"/>
  <c r="O397" i="3" s="1"/>
  <c r="P405" i="3"/>
  <c r="O405" i="3" s="1"/>
  <c r="P413" i="3"/>
  <c r="O413" i="3" s="1"/>
  <c r="P421" i="3"/>
  <c r="O421" i="3" s="1"/>
  <c r="P429" i="3"/>
  <c r="O429" i="3" s="1"/>
  <c r="P437" i="3"/>
  <c r="O437" i="3" s="1"/>
  <c r="P445" i="3"/>
  <c r="O445" i="3" s="1"/>
  <c r="P453" i="3"/>
  <c r="O453" i="3" s="1"/>
  <c r="P461" i="3"/>
  <c r="O461" i="3" s="1"/>
  <c r="P469" i="3"/>
  <c r="O469" i="3" s="1"/>
  <c r="P477" i="3"/>
  <c r="O477" i="3" s="1"/>
  <c r="P485" i="3"/>
  <c r="O485" i="3" s="1"/>
  <c r="P353" i="3"/>
  <c r="O353" i="3" s="1"/>
  <c r="P354" i="3"/>
  <c r="O354" i="3" s="1"/>
  <c r="P402" i="3"/>
  <c r="O402" i="3" s="1"/>
  <c r="P442" i="3"/>
  <c r="O442" i="3" s="1"/>
  <c r="P466" i="3"/>
  <c r="O466" i="3" s="1"/>
  <c r="P490" i="3"/>
  <c r="O490" i="3" s="1"/>
  <c r="P334" i="3"/>
  <c r="O334" i="3" s="1"/>
  <c r="P342" i="3"/>
  <c r="O342" i="3" s="1"/>
  <c r="P350" i="3"/>
  <c r="O350" i="3" s="1"/>
  <c r="P358" i="3"/>
  <c r="O358" i="3" s="1"/>
  <c r="P366" i="3"/>
  <c r="O366" i="3" s="1"/>
  <c r="P374" i="3"/>
  <c r="O374" i="3" s="1"/>
  <c r="P382" i="3"/>
  <c r="O382" i="3" s="1"/>
  <c r="P390" i="3"/>
  <c r="O390" i="3" s="1"/>
  <c r="P398" i="3"/>
  <c r="O398" i="3" s="1"/>
  <c r="P406" i="3"/>
  <c r="O406" i="3" s="1"/>
  <c r="P414" i="3"/>
  <c r="O414" i="3" s="1"/>
  <c r="P422" i="3"/>
  <c r="O422" i="3" s="1"/>
  <c r="P430" i="3"/>
  <c r="O430" i="3" s="1"/>
  <c r="P438" i="3"/>
  <c r="O438" i="3" s="1"/>
  <c r="P446" i="3"/>
  <c r="O446" i="3" s="1"/>
  <c r="P454" i="3"/>
  <c r="O454" i="3" s="1"/>
  <c r="P462" i="3"/>
  <c r="O462" i="3" s="1"/>
  <c r="P470" i="3"/>
  <c r="O470" i="3" s="1"/>
  <c r="P478" i="3"/>
  <c r="O478" i="3" s="1"/>
  <c r="P486" i="3"/>
  <c r="O486" i="3" s="1"/>
  <c r="P344" i="3"/>
  <c r="O344" i="3" s="1"/>
  <c r="P384" i="3"/>
  <c r="O384" i="3" s="1"/>
  <c r="P408" i="3"/>
  <c r="O408" i="3" s="1"/>
  <c r="P424" i="3"/>
  <c r="O424" i="3" s="1"/>
  <c r="P440" i="3"/>
  <c r="O440" i="3" s="1"/>
  <c r="P456" i="3"/>
  <c r="O456" i="3" s="1"/>
  <c r="P472" i="3"/>
  <c r="O472" i="3" s="1"/>
  <c r="P488" i="3"/>
  <c r="O488" i="3" s="1"/>
  <c r="P345" i="3"/>
  <c r="O345" i="3" s="1"/>
  <c r="P385" i="3"/>
  <c r="O385" i="3" s="1"/>
  <c r="P401" i="3"/>
  <c r="O401" i="3" s="1"/>
  <c r="P417" i="3"/>
  <c r="O417" i="3" s="1"/>
  <c r="P433" i="3"/>
  <c r="O433" i="3" s="1"/>
  <c r="P449" i="3"/>
  <c r="O449" i="3" s="1"/>
  <c r="P465" i="3"/>
  <c r="O465" i="3" s="1"/>
  <c r="P481" i="3"/>
  <c r="O481" i="3" s="1"/>
  <c r="P338" i="3"/>
  <c r="O338" i="3" s="1"/>
  <c r="P370" i="3"/>
  <c r="O370" i="3" s="1"/>
  <c r="P386" i="3"/>
  <c r="O386" i="3" s="1"/>
  <c r="P410" i="3"/>
  <c r="O410" i="3" s="1"/>
  <c r="P426" i="3"/>
  <c r="O426" i="3" s="1"/>
  <c r="P450" i="3"/>
  <c r="O450" i="3" s="1"/>
  <c r="P474" i="3"/>
  <c r="O474" i="3" s="1"/>
  <c r="P335" i="3"/>
  <c r="O335" i="3" s="1"/>
  <c r="P343" i="3"/>
  <c r="O343" i="3" s="1"/>
  <c r="P351" i="3"/>
  <c r="O351" i="3" s="1"/>
  <c r="P359" i="3"/>
  <c r="O359" i="3" s="1"/>
  <c r="P367" i="3"/>
  <c r="O367" i="3" s="1"/>
  <c r="P375" i="3"/>
  <c r="O375" i="3" s="1"/>
  <c r="P383" i="3"/>
  <c r="O383" i="3" s="1"/>
  <c r="P391" i="3"/>
  <c r="O391" i="3" s="1"/>
  <c r="P399" i="3"/>
  <c r="O399" i="3" s="1"/>
  <c r="P407" i="3"/>
  <c r="O407" i="3" s="1"/>
  <c r="P415" i="3"/>
  <c r="O415" i="3" s="1"/>
  <c r="P423" i="3"/>
  <c r="O423" i="3" s="1"/>
  <c r="P431" i="3"/>
  <c r="O431" i="3" s="1"/>
  <c r="P439" i="3"/>
  <c r="O439" i="3" s="1"/>
  <c r="P447" i="3"/>
  <c r="O447" i="3" s="1"/>
  <c r="P455" i="3"/>
  <c r="O455" i="3" s="1"/>
  <c r="P463" i="3"/>
  <c r="O463" i="3" s="1"/>
  <c r="P471" i="3"/>
  <c r="O471" i="3" s="1"/>
  <c r="P479" i="3"/>
  <c r="O479" i="3" s="1"/>
  <c r="P487" i="3"/>
  <c r="O487" i="3" s="1"/>
  <c r="P336" i="3"/>
  <c r="O336" i="3" s="1"/>
  <c r="P352" i="3"/>
  <c r="O352" i="3" s="1"/>
  <c r="P360" i="3"/>
  <c r="O360" i="3" s="1"/>
  <c r="P368" i="3"/>
  <c r="O368" i="3" s="1"/>
  <c r="P376" i="3"/>
  <c r="O376" i="3" s="1"/>
  <c r="P392" i="3"/>
  <c r="O392" i="3" s="1"/>
  <c r="P400" i="3"/>
  <c r="O400" i="3" s="1"/>
  <c r="P416" i="3"/>
  <c r="O416" i="3" s="1"/>
  <c r="P432" i="3"/>
  <c r="O432" i="3" s="1"/>
  <c r="P448" i="3"/>
  <c r="O448" i="3" s="1"/>
  <c r="P464" i="3"/>
  <c r="O464" i="3" s="1"/>
  <c r="P480" i="3"/>
  <c r="O480" i="3" s="1"/>
  <c r="P337" i="3"/>
  <c r="O337" i="3" s="1"/>
  <c r="P361" i="3"/>
  <c r="O361" i="3" s="1"/>
  <c r="P369" i="3"/>
  <c r="O369" i="3" s="1"/>
  <c r="P377" i="3"/>
  <c r="O377" i="3" s="1"/>
  <c r="P393" i="3"/>
  <c r="O393" i="3" s="1"/>
  <c r="P409" i="3"/>
  <c r="O409" i="3" s="1"/>
  <c r="P425" i="3"/>
  <c r="O425" i="3" s="1"/>
  <c r="P441" i="3"/>
  <c r="O441" i="3" s="1"/>
  <c r="P457" i="3"/>
  <c r="O457" i="3" s="1"/>
  <c r="P473" i="3"/>
  <c r="O473" i="3" s="1"/>
  <c r="P489" i="3"/>
  <c r="O489" i="3" s="1"/>
  <c r="P346" i="3"/>
  <c r="O346" i="3" s="1"/>
  <c r="P362" i="3"/>
  <c r="O362" i="3" s="1"/>
  <c r="P378" i="3"/>
  <c r="O378" i="3" s="1"/>
  <c r="P394" i="3"/>
  <c r="O394" i="3" s="1"/>
  <c r="P418" i="3"/>
  <c r="O418" i="3" s="1"/>
  <c r="P434" i="3"/>
  <c r="O434" i="3" s="1"/>
  <c r="P458" i="3"/>
  <c r="O458" i="3" s="1"/>
  <c r="P482" i="3"/>
  <c r="O482" i="3" s="1"/>
  <c r="P339" i="3"/>
  <c r="O339" i="3" s="1"/>
  <c r="P403" i="3"/>
  <c r="O403" i="3" s="1"/>
  <c r="P467" i="3"/>
  <c r="O467" i="3" s="1"/>
  <c r="P347" i="3"/>
  <c r="O347" i="3" s="1"/>
  <c r="P411" i="3"/>
  <c r="O411" i="3" s="1"/>
  <c r="P475" i="3"/>
  <c r="O475" i="3" s="1"/>
  <c r="P355" i="3"/>
  <c r="O355" i="3" s="1"/>
  <c r="P419" i="3"/>
  <c r="O419" i="3" s="1"/>
  <c r="P483" i="3"/>
  <c r="O483" i="3" s="1"/>
  <c r="P363" i="3"/>
  <c r="O363" i="3" s="1"/>
  <c r="P427" i="3"/>
  <c r="O427" i="3" s="1"/>
  <c r="P491" i="3"/>
  <c r="O491" i="3" s="1"/>
  <c r="P371" i="3"/>
  <c r="O371" i="3" s="1"/>
  <c r="P435" i="3"/>
  <c r="O435" i="3" s="1"/>
  <c r="P379" i="3"/>
  <c r="O379" i="3" s="1"/>
  <c r="P443" i="3"/>
  <c r="O443" i="3" s="1"/>
  <c r="P451" i="3"/>
  <c r="O451" i="3" s="1"/>
  <c r="P459" i="3"/>
  <c r="O459" i="3" s="1"/>
  <c r="P387" i="3"/>
  <c r="O387" i="3" s="1"/>
  <c r="P395" i="3"/>
  <c r="O395" i="3" s="1"/>
  <c r="B372" i="3"/>
  <c r="A372" i="3" s="1"/>
  <c r="B378" i="3"/>
  <c r="A378" i="3" s="1"/>
  <c r="B391" i="3"/>
  <c r="A391" i="3" s="1"/>
  <c r="B397" i="3"/>
  <c r="A397" i="3" s="1"/>
  <c r="B404" i="3"/>
  <c r="A404" i="3" s="1"/>
  <c r="B410" i="3"/>
  <c r="A410" i="3" s="1"/>
  <c r="B423" i="3"/>
  <c r="A423" i="3" s="1"/>
  <c r="B429" i="3"/>
  <c r="A429" i="3" s="1"/>
  <c r="B436" i="3"/>
  <c r="A436" i="3" s="1"/>
  <c r="B442" i="3"/>
  <c r="A442" i="3" s="1"/>
  <c r="B455" i="3"/>
  <c r="A455" i="3" s="1"/>
  <c r="B461" i="3"/>
  <c r="A461" i="3" s="1"/>
  <c r="B468" i="3"/>
  <c r="A468" i="3" s="1"/>
  <c r="B474" i="3"/>
  <c r="A474" i="3" s="1"/>
  <c r="B487" i="3"/>
  <c r="A487" i="3" s="1"/>
  <c r="B338" i="3"/>
  <c r="A338" i="3" s="1"/>
  <c r="B346" i="3"/>
  <c r="A346" i="3" s="1"/>
  <c r="B354" i="3"/>
  <c r="A354" i="3" s="1"/>
  <c r="B362" i="3"/>
  <c r="A362" i="3" s="1"/>
  <c r="B379" i="3"/>
  <c r="A379" i="3" s="1"/>
  <c r="B385" i="3"/>
  <c r="A385" i="3" s="1"/>
  <c r="B392" i="3"/>
  <c r="A392" i="3" s="1"/>
  <c r="B398" i="3"/>
  <c r="A398" i="3" s="1"/>
  <c r="B411" i="3"/>
  <c r="A411" i="3" s="1"/>
  <c r="B417" i="3"/>
  <c r="A417" i="3" s="1"/>
  <c r="B424" i="3"/>
  <c r="A424" i="3" s="1"/>
  <c r="B430" i="3"/>
  <c r="A430" i="3" s="1"/>
  <c r="B443" i="3"/>
  <c r="A443" i="3" s="1"/>
  <c r="B449" i="3"/>
  <c r="A449" i="3" s="1"/>
  <c r="B456" i="3"/>
  <c r="A456" i="3" s="1"/>
  <c r="B462" i="3"/>
  <c r="A462" i="3" s="1"/>
  <c r="B475" i="3"/>
  <c r="A475" i="3" s="1"/>
  <c r="B481" i="3"/>
  <c r="A481" i="3" s="1"/>
  <c r="B488" i="3"/>
  <c r="A488" i="3" s="1"/>
  <c r="B366" i="3"/>
  <c r="A366" i="3" s="1"/>
  <c r="B339" i="3"/>
  <c r="A339" i="3" s="1"/>
  <c r="B347" i="3"/>
  <c r="A347" i="3" s="1"/>
  <c r="B355" i="3"/>
  <c r="A355" i="3" s="1"/>
  <c r="B363" i="3"/>
  <c r="A363" i="3" s="1"/>
  <c r="B367" i="3"/>
  <c r="A367" i="3" s="1"/>
  <c r="B373" i="3"/>
  <c r="A373" i="3" s="1"/>
  <c r="B380" i="3"/>
  <c r="A380" i="3" s="1"/>
  <c r="B386" i="3"/>
  <c r="A386" i="3" s="1"/>
  <c r="B399" i="3"/>
  <c r="A399" i="3" s="1"/>
  <c r="B405" i="3"/>
  <c r="A405" i="3" s="1"/>
  <c r="B412" i="3"/>
  <c r="A412" i="3" s="1"/>
  <c r="B418" i="3"/>
  <c r="A418" i="3" s="1"/>
  <c r="B431" i="3"/>
  <c r="A431" i="3" s="1"/>
  <c r="B437" i="3"/>
  <c r="A437" i="3" s="1"/>
  <c r="B444" i="3"/>
  <c r="A444" i="3" s="1"/>
  <c r="B450" i="3"/>
  <c r="A450" i="3" s="1"/>
  <c r="B463" i="3"/>
  <c r="A463" i="3" s="1"/>
  <c r="B469" i="3"/>
  <c r="A469" i="3" s="1"/>
  <c r="B476" i="3"/>
  <c r="A476" i="3" s="1"/>
  <c r="B482" i="3"/>
  <c r="A482" i="3" s="1"/>
  <c r="B332" i="3"/>
  <c r="A332" i="3" s="1"/>
  <c r="B340" i="3"/>
  <c r="A340" i="3" s="1"/>
  <c r="B348" i="3"/>
  <c r="A348" i="3" s="1"/>
  <c r="B356" i="3"/>
  <c r="A356" i="3" s="1"/>
  <c r="B331" i="3"/>
  <c r="A331" i="3" s="1"/>
  <c r="B382" i="3"/>
  <c r="A382" i="3" s="1"/>
  <c r="B414" i="3"/>
  <c r="A414" i="3" s="1"/>
  <c r="B433" i="3"/>
  <c r="A433" i="3" s="1"/>
  <c r="B446" i="3"/>
  <c r="A446" i="3" s="1"/>
  <c r="B465" i="3"/>
  <c r="A465" i="3" s="1"/>
  <c r="B478" i="3"/>
  <c r="A478" i="3" s="1"/>
  <c r="B335" i="3"/>
  <c r="A335" i="3" s="1"/>
  <c r="B359" i="3"/>
  <c r="A359" i="3" s="1"/>
  <c r="B409" i="3"/>
  <c r="A409" i="3" s="1"/>
  <c r="B480" i="3"/>
  <c r="A480" i="3" s="1"/>
  <c r="B368" i="3"/>
  <c r="A368" i="3" s="1"/>
  <c r="B374" i="3"/>
  <c r="A374" i="3" s="1"/>
  <c r="B387" i="3"/>
  <c r="A387" i="3" s="1"/>
  <c r="B393" i="3"/>
  <c r="A393" i="3" s="1"/>
  <c r="B400" i="3"/>
  <c r="A400" i="3" s="1"/>
  <c r="B406" i="3"/>
  <c r="A406" i="3" s="1"/>
  <c r="B419" i="3"/>
  <c r="A419" i="3" s="1"/>
  <c r="B425" i="3"/>
  <c r="A425" i="3" s="1"/>
  <c r="B432" i="3"/>
  <c r="A432" i="3" s="1"/>
  <c r="B438" i="3"/>
  <c r="A438" i="3" s="1"/>
  <c r="B451" i="3"/>
  <c r="A451" i="3" s="1"/>
  <c r="B457" i="3"/>
  <c r="A457" i="3" s="1"/>
  <c r="B464" i="3"/>
  <c r="A464" i="3" s="1"/>
  <c r="B470" i="3"/>
  <c r="A470" i="3" s="1"/>
  <c r="B483" i="3"/>
  <c r="A483" i="3" s="1"/>
  <c r="B489" i="3"/>
  <c r="A489" i="3" s="1"/>
  <c r="B333" i="3"/>
  <c r="A333" i="3" s="1"/>
  <c r="B341" i="3"/>
  <c r="A341" i="3" s="1"/>
  <c r="B349" i="3"/>
  <c r="A349" i="3" s="1"/>
  <c r="B357" i="3"/>
  <c r="A357" i="3" s="1"/>
  <c r="B376" i="3"/>
  <c r="A376" i="3" s="1"/>
  <c r="B401" i="3"/>
  <c r="A401" i="3" s="1"/>
  <c r="B459" i="3"/>
  <c r="A459" i="3" s="1"/>
  <c r="B351" i="3"/>
  <c r="A351" i="3" s="1"/>
  <c r="B467" i="3"/>
  <c r="A467" i="3" s="1"/>
  <c r="B337" i="3"/>
  <c r="A337" i="3" s="1"/>
  <c r="B361" i="3"/>
  <c r="A361" i="3" s="1"/>
  <c r="B375" i="3"/>
  <c r="A375" i="3" s="1"/>
  <c r="B381" i="3"/>
  <c r="A381" i="3" s="1"/>
  <c r="B388" i="3"/>
  <c r="A388" i="3" s="1"/>
  <c r="B394" i="3"/>
  <c r="A394" i="3" s="1"/>
  <c r="B407" i="3"/>
  <c r="A407" i="3" s="1"/>
  <c r="B413" i="3"/>
  <c r="A413" i="3" s="1"/>
  <c r="B420" i="3"/>
  <c r="A420" i="3" s="1"/>
  <c r="B426" i="3"/>
  <c r="A426" i="3" s="1"/>
  <c r="B439" i="3"/>
  <c r="A439" i="3" s="1"/>
  <c r="B445" i="3"/>
  <c r="A445" i="3" s="1"/>
  <c r="B452" i="3"/>
  <c r="A452" i="3" s="1"/>
  <c r="B458" i="3"/>
  <c r="A458" i="3" s="1"/>
  <c r="B471" i="3"/>
  <c r="A471" i="3" s="1"/>
  <c r="B477" i="3"/>
  <c r="A477" i="3" s="1"/>
  <c r="B484" i="3"/>
  <c r="A484" i="3" s="1"/>
  <c r="B490" i="3"/>
  <c r="A490" i="3" s="1"/>
  <c r="B334" i="3"/>
  <c r="A334" i="3" s="1"/>
  <c r="B342" i="3"/>
  <c r="A342" i="3" s="1"/>
  <c r="B350" i="3"/>
  <c r="A350" i="3" s="1"/>
  <c r="B358" i="3"/>
  <c r="A358" i="3" s="1"/>
  <c r="B369" i="3"/>
  <c r="A369" i="3" s="1"/>
  <c r="B395" i="3"/>
  <c r="A395" i="3" s="1"/>
  <c r="B408" i="3"/>
  <c r="A408" i="3" s="1"/>
  <c r="B427" i="3"/>
  <c r="A427" i="3" s="1"/>
  <c r="B440" i="3"/>
  <c r="A440" i="3" s="1"/>
  <c r="B472" i="3"/>
  <c r="A472" i="3" s="1"/>
  <c r="B491" i="3"/>
  <c r="A491" i="3" s="1"/>
  <c r="B343" i="3"/>
  <c r="A343" i="3" s="1"/>
  <c r="B390" i="3"/>
  <c r="A390" i="3" s="1"/>
  <c r="B435" i="3"/>
  <c r="A435" i="3" s="1"/>
  <c r="B448" i="3"/>
  <c r="A448" i="3" s="1"/>
  <c r="B486" i="3"/>
  <c r="A486" i="3" s="1"/>
  <c r="B353" i="3"/>
  <c r="A353" i="3" s="1"/>
  <c r="B370" i="3"/>
  <c r="A370" i="3" s="1"/>
  <c r="B383" i="3"/>
  <c r="A383" i="3" s="1"/>
  <c r="B389" i="3"/>
  <c r="A389" i="3" s="1"/>
  <c r="B396" i="3"/>
  <c r="A396" i="3" s="1"/>
  <c r="B402" i="3"/>
  <c r="A402" i="3" s="1"/>
  <c r="B415" i="3"/>
  <c r="A415" i="3" s="1"/>
  <c r="B421" i="3"/>
  <c r="A421" i="3" s="1"/>
  <c r="B428" i="3"/>
  <c r="A428" i="3" s="1"/>
  <c r="B434" i="3"/>
  <c r="A434" i="3" s="1"/>
  <c r="B447" i="3"/>
  <c r="A447" i="3" s="1"/>
  <c r="B453" i="3"/>
  <c r="A453" i="3" s="1"/>
  <c r="B460" i="3"/>
  <c r="A460" i="3" s="1"/>
  <c r="B466" i="3"/>
  <c r="A466" i="3" s="1"/>
  <c r="B479" i="3"/>
  <c r="A479" i="3" s="1"/>
  <c r="B485" i="3"/>
  <c r="A485" i="3" s="1"/>
  <c r="B364" i="3"/>
  <c r="A364" i="3" s="1"/>
  <c r="B336" i="3"/>
  <c r="A336" i="3" s="1"/>
  <c r="B344" i="3"/>
  <c r="A344" i="3" s="1"/>
  <c r="B352" i="3"/>
  <c r="A352" i="3" s="1"/>
  <c r="B360" i="3"/>
  <c r="A360" i="3" s="1"/>
  <c r="B371" i="3"/>
  <c r="A371" i="3" s="1"/>
  <c r="B377" i="3"/>
  <c r="A377" i="3" s="1"/>
  <c r="B384" i="3"/>
  <c r="A384" i="3" s="1"/>
  <c r="B403" i="3"/>
  <c r="A403" i="3" s="1"/>
  <c r="B416" i="3"/>
  <c r="A416" i="3" s="1"/>
  <c r="B422" i="3"/>
  <c r="A422" i="3" s="1"/>
  <c r="B441" i="3"/>
  <c r="A441" i="3" s="1"/>
  <c r="B454" i="3"/>
  <c r="A454" i="3" s="1"/>
  <c r="B473" i="3"/>
  <c r="A473" i="3" s="1"/>
  <c r="B365" i="3"/>
  <c r="A365" i="3" s="1"/>
  <c r="B345" i="3"/>
  <c r="A345" i="3" s="1"/>
  <c r="A264" i="3"/>
  <c r="A272" i="3"/>
  <c r="A280" i="3"/>
  <c r="A288" i="3"/>
  <c r="A296" i="3"/>
  <c r="A304" i="3"/>
  <c r="A312" i="3"/>
  <c r="A320" i="3"/>
  <c r="A328" i="3"/>
  <c r="A265" i="3"/>
  <c r="A273" i="3"/>
  <c r="A281" i="3"/>
  <c r="A289" i="3"/>
  <c r="A297" i="3"/>
  <c r="A305" i="3"/>
  <c r="A267" i="3"/>
  <c r="A277" i="3"/>
  <c r="A287" i="3"/>
  <c r="A299" i="3"/>
  <c r="A309" i="3"/>
  <c r="A318" i="3"/>
  <c r="A327" i="3"/>
  <c r="A258" i="3"/>
  <c r="A268" i="3"/>
  <c r="A278" i="3"/>
  <c r="A290" i="3"/>
  <c r="A300" i="3"/>
  <c r="A310" i="3"/>
  <c r="A319" i="3"/>
  <c r="A329" i="3"/>
  <c r="A259" i="3"/>
  <c r="A269" i="3"/>
  <c r="A263" i="3"/>
  <c r="A282" i="3"/>
  <c r="A294" i="3"/>
  <c r="A308" i="3"/>
  <c r="A322" i="3"/>
  <c r="A266" i="3"/>
  <c r="A283" i="3"/>
  <c r="A295" i="3"/>
  <c r="A311" i="3"/>
  <c r="A323" i="3"/>
  <c r="A293" i="3"/>
  <c r="A231" i="3"/>
  <c r="A270" i="3"/>
  <c r="A284" i="3"/>
  <c r="A298" i="3"/>
  <c r="A313" i="3"/>
  <c r="A324" i="3"/>
  <c r="A286" i="3"/>
  <c r="A315" i="3"/>
  <c r="A275" i="3"/>
  <c r="A303" i="3"/>
  <c r="A330" i="3"/>
  <c r="A261" i="3"/>
  <c r="A292" i="3"/>
  <c r="A317" i="3"/>
  <c r="A271" i="3"/>
  <c r="A285" i="3"/>
  <c r="A301" i="3"/>
  <c r="A314" i="3"/>
  <c r="A325" i="3"/>
  <c r="A274" i="3"/>
  <c r="A302" i="3"/>
  <c r="A326" i="3"/>
  <c r="A260" i="3"/>
  <c r="A291" i="3"/>
  <c r="A316" i="3"/>
  <c r="A276" i="3"/>
  <c r="A306" i="3"/>
  <c r="A262" i="3"/>
  <c r="A279" i="3"/>
  <c r="A307" i="3"/>
  <c r="A321" i="3"/>
  <c r="A232" i="3"/>
  <c r="AI11" i="3"/>
  <c r="AI12" i="3" s="1"/>
  <c r="BF223" i="3" l="1" a="1"/>
  <c r="BF223" i="3" s="1"/>
  <c r="BF65" i="3" a="1"/>
  <c r="BF65" i="3" s="1"/>
  <c r="BF181" i="3" a="1"/>
  <c r="BF181" i="3" s="1"/>
  <c r="BF116" i="3" a="1"/>
  <c r="BF116" i="3" s="1"/>
  <c r="BF52" i="3" a="1"/>
  <c r="BF52" i="3" s="1"/>
  <c r="BF228" i="3" a="1"/>
  <c r="BF228" i="3" s="1"/>
  <c r="BF164" i="3" a="1"/>
  <c r="BF164" i="3" s="1"/>
  <c r="BF96" i="3" a="1"/>
  <c r="BF96" i="3" s="1"/>
  <c r="BF32" i="3" a="1"/>
  <c r="BF32" i="3" s="1"/>
  <c r="BF195" i="3" a="1"/>
  <c r="BF195" i="3" s="1"/>
  <c r="BF133" i="3" a="1"/>
  <c r="BF133" i="3" s="1"/>
  <c r="BF69" i="3" a="1"/>
  <c r="BF69" i="3" s="1"/>
  <c r="BF110" i="3" a="1"/>
  <c r="BF110" i="3" s="1"/>
  <c r="BF178" i="3" a="1"/>
  <c r="BF178" i="3" s="1"/>
  <c r="BF113" i="3" a="1"/>
  <c r="BF113" i="3" s="1"/>
  <c r="BF49" i="3" a="1"/>
  <c r="BF49" i="3" s="1"/>
  <c r="BF225" i="3" a="1"/>
  <c r="BF225" i="3" s="1"/>
  <c r="BF161" i="3" a="1"/>
  <c r="BF161" i="3" s="1"/>
  <c r="BF100" i="3" a="1"/>
  <c r="BF100" i="3" s="1"/>
  <c r="BF36" i="3" a="1"/>
  <c r="BF36" i="3" s="1"/>
  <c r="BF216" i="3" a="1"/>
  <c r="BF216" i="3" s="1"/>
  <c r="BF152" i="3" a="1"/>
  <c r="BF152" i="3" s="1"/>
  <c r="BF86" i="3" a="1"/>
  <c r="BF86" i="3" s="1"/>
  <c r="BF22" i="3" a="1"/>
  <c r="BF22" i="3" s="1"/>
  <c r="BF159" i="3" a="1"/>
  <c r="BF159" i="3" s="1"/>
  <c r="BF92" i="3" a="1"/>
  <c r="BF92" i="3" s="1"/>
  <c r="BF28" i="3" a="1"/>
  <c r="BF28" i="3" s="1"/>
  <c r="BF143" i="3" a="1"/>
  <c r="BF143" i="3" s="1"/>
  <c r="BF33" i="3" a="1"/>
  <c r="BF33" i="3" s="1"/>
  <c r="BF27" i="3" a="1"/>
  <c r="BF27" i="3" s="1"/>
  <c r="BF173" i="3" a="1"/>
  <c r="BF173" i="3" s="1"/>
  <c r="BF109" i="3" a="1"/>
  <c r="BF109" i="3" s="1"/>
  <c r="BF45" i="3" a="1"/>
  <c r="BF45" i="3" s="1"/>
  <c r="BF220" i="3" a="1"/>
  <c r="BF220" i="3" s="1"/>
  <c r="BF156" i="3" a="1"/>
  <c r="BF156" i="3" s="1"/>
  <c r="BF89" i="3" a="1"/>
  <c r="BF89" i="3" s="1"/>
  <c r="BF25" i="3" a="1"/>
  <c r="BF25" i="3" s="1"/>
  <c r="BF187" i="3" a="1"/>
  <c r="BF187" i="3" s="1"/>
  <c r="BF127" i="3" a="1"/>
  <c r="BF127" i="3" s="1"/>
  <c r="BF63" i="3" a="1"/>
  <c r="BF63" i="3" s="1"/>
  <c r="BF40" i="3" a="1"/>
  <c r="BF40" i="3" s="1"/>
  <c r="BF170" i="3" a="1"/>
  <c r="BF170" i="3" s="1"/>
  <c r="BF107" i="3" a="1"/>
  <c r="BF107" i="3" s="1"/>
  <c r="BF43" i="3" a="1"/>
  <c r="BF43" i="3" s="1"/>
  <c r="BF217" i="3" a="1"/>
  <c r="BF217" i="3" s="1"/>
  <c r="BF153" i="3" a="1"/>
  <c r="BF153" i="3" s="1"/>
  <c r="BF93" i="3" a="1"/>
  <c r="BF93" i="3" s="1"/>
  <c r="BF29" i="3" a="1"/>
  <c r="BF29" i="3" s="1"/>
  <c r="BF208" i="3" a="1"/>
  <c r="BF208" i="3" s="1"/>
  <c r="BF144" i="3" a="1"/>
  <c r="BF144" i="3" s="1"/>
  <c r="BF80" i="3" a="1"/>
  <c r="BF80" i="3" s="1"/>
  <c r="BF222" i="3" a="1"/>
  <c r="BF222" i="3" s="1"/>
  <c r="BF151" i="3" a="1"/>
  <c r="BF151" i="3" s="1"/>
  <c r="BF85" i="3" a="1"/>
  <c r="BF85" i="3" s="1"/>
  <c r="BF23" i="3" a="1"/>
  <c r="BF23" i="3" s="1"/>
  <c r="BF137" i="3" a="1"/>
  <c r="BF137" i="3" s="1"/>
  <c r="BF207" i="3" a="1"/>
  <c r="BF207" i="3" s="1"/>
  <c r="BF174" i="3" a="1"/>
  <c r="BF174" i="3" s="1"/>
  <c r="BF20" i="3" a="1"/>
  <c r="BF20" i="3" s="1"/>
  <c r="BF165" i="3" a="1"/>
  <c r="BF165" i="3" s="1"/>
  <c r="BF103" i="3" a="1"/>
  <c r="BF103" i="3" s="1"/>
  <c r="BF39" i="3" a="1"/>
  <c r="BF39" i="3" s="1"/>
  <c r="BF212" i="3" a="1"/>
  <c r="BF212" i="3" s="1"/>
  <c r="BF148" i="3" a="1"/>
  <c r="BF148" i="3" s="1"/>
  <c r="BF83" i="3" a="1"/>
  <c r="BF83" i="3" s="1"/>
  <c r="BF166" i="3" a="1"/>
  <c r="BF166" i="3" s="1"/>
  <c r="BF179" i="3" a="1"/>
  <c r="BF179" i="3" s="1"/>
  <c r="BF114" i="3" a="1"/>
  <c r="BF114" i="3" s="1"/>
  <c r="BF50" i="3" a="1"/>
  <c r="BF50" i="3" s="1"/>
  <c r="BF226" i="3" a="1"/>
  <c r="BF226" i="3" s="1"/>
  <c r="BF162" i="3" a="1"/>
  <c r="BF162" i="3" s="1"/>
  <c r="BF94" i="3" a="1"/>
  <c r="BF94" i="3" s="1"/>
  <c r="BF30" i="3" a="1"/>
  <c r="BF30" i="3" s="1"/>
  <c r="BF209" i="3" a="1"/>
  <c r="BF209" i="3" s="1"/>
  <c r="BF145" i="3" a="1"/>
  <c r="BF145" i="3" s="1"/>
  <c r="BF87" i="3" a="1"/>
  <c r="BF87" i="3" s="1"/>
  <c r="BF200" i="3" a="1"/>
  <c r="BF200" i="3" s="1"/>
  <c r="BF73" i="3" a="1"/>
  <c r="BF73" i="3" s="1"/>
  <c r="BF21" i="3" a="1"/>
  <c r="BF21" i="3" s="1"/>
  <c r="BF221" i="3" a="1"/>
  <c r="BF221" i="3" s="1"/>
  <c r="BF157" i="3" a="1"/>
  <c r="BF157" i="3" s="1"/>
  <c r="BF90" i="3" a="1"/>
  <c r="BF90" i="3" s="1"/>
  <c r="BF26" i="3" a="1"/>
  <c r="BF26" i="3" s="1"/>
  <c r="BF204" i="3" a="1"/>
  <c r="BF204" i="3" s="1"/>
  <c r="BF134" i="3" a="1"/>
  <c r="BF134" i="3" s="1"/>
  <c r="BF70" i="3" a="1"/>
  <c r="BF70" i="3" s="1"/>
  <c r="BF123" i="3" a="1"/>
  <c r="BF123" i="3" s="1"/>
  <c r="BF171" i="3" a="1"/>
  <c r="BF171" i="3" s="1"/>
  <c r="BF108" i="3" a="1"/>
  <c r="BF108" i="3" s="1"/>
  <c r="BF44" i="3" a="1"/>
  <c r="BF44" i="3" s="1"/>
  <c r="BF218" i="3" a="1"/>
  <c r="BF218" i="3" s="1"/>
  <c r="BF154" i="3" a="1"/>
  <c r="BF154" i="3" s="1"/>
  <c r="BF88" i="3" a="1"/>
  <c r="BF88" i="3" s="1"/>
  <c r="BF24" i="3" a="1"/>
  <c r="BF24" i="3" s="1"/>
  <c r="BF201" i="3" a="1"/>
  <c r="BF201" i="3" s="1"/>
  <c r="BF138" i="3" a="1"/>
  <c r="BF138" i="3" s="1"/>
  <c r="BF74" i="3" a="1"/>
  <c r="BF74" i="3" s="1"/>
  <c r="BF182" i="3" a="1"/>
  <c r="BF182" i="3" s="1"/>
  <c r="BF192" i="3" a="1"/>
  <c r="BF192" i="3" s="1"/>
  <c r="BF131" i="3" a="1"/>
  <c r="BF131" i="3" s="1"/>
  <c r="BF67" i="3" a="1"/>
  <c r="BF67" i="3" s="1"/>
  <c r="BF199" i="3" a="1"/>
  <c r="BF199" i="3" s="1"/>
  <c r="BF130" i="3" a="1"/>
  <c r="BF130" i="3" s="1"/>
  <c r="BF66" i="3" a="1"/>
  <c r="BF66" i="3" s="1"/>
  <c r="BF172" i="3" a="1"/>
  <c r="BF172" i="3" s="1"/>
  <c r="BF140" i="3" a="1"/>
  <c r="BF140" i="3" s="1"/>
  <c r="BF56" i="3" a="1"/>
  <c r="BF56" i="3" s="1"/>
  <c r="BF42" i="3" a="1"/>
  <c r="BF42" i="3" s="1"/>
  <c r="BF35" i="3" a="1"/>
  <c r="BF35" i="3" s="1"/>
  <c r="BF34" i="3" a="1"/>
  <c r="BF34" i="3" s="1"/>
  <c r="BF215" i="3" a="1"/>
  <c r="BF215" i="3" s="1"/>
  <c r="BF213" i="3" a="1"/>
  <c r="BF213" i="3" s="1"/>
  <c r="BF149" i="3" a="1"/>
  <c r="BF149" i="3" s="1"/>
  <c r="BF84" i="3" a="1"/>
  <c r="BF84" i="3" s="1"/>
  <c r="BF206" i="3" a="1"/>
  <c r="BF206" i="3" s="1"/>
  <c r="BF196" i="3" a="1"/>
  <c r="BF196" i="3" s="1"/>
  <c r="BF128" i="3" a="1"/>
  <c r="BF128" i="3" s="1"/>
  <c r="BF64" i="3" a="1"/>
  <c r="BF64" i="3" s="1"/>
  <c r="BF72" i="3" a="1"/>
  <c r="BF72" i="3" s="1"/>
  <c r="BF163" i="3" a="1"/>
  <c r="BF163" i="3" s="1"/>
  <c r="BF101" i="3" a="1"/>
  <c r="BF101" i="3" s="1"/>
  <c r="BF37" i="3" a="1"/>
  <c r="BF37" i="3" s="1"/>
  <c r="BF210" i="3" a="1"/>
  <c r="BF210" i="3" s="1"/>
  <c r="BF146" i="3" a="1"/>
  <c r="BF146" i="3" s="1"/>
  <c r="BF81" i="3" a="1"/>
  <c r="BF81" i="3" s="1"/>
  <c r="BF190" i="3" a="1"/>
  <c r="BF190" i="3" s="1"/>
  <c r="BF193" i="3" a="1"/>
  <c r="BF193" i="3" s="1"/>
  <c r="BF132" i="3" a="1"/>
  <c r="BF132" i="3" s="1"/>
  <c r="BF68" i="3" a="1"/>
  <c r="BF68" i="3" s="1"/>
  <c r="BF129" i="3" a="1"/>
  <c r="BF129" i="3" s="1"/>
  <c r="BF184" i="3" a="1"/>
  <c r="BF184" i="3" s="1"/>
  <c r="BF118" i="3" a="1"/>
  <c r="BF118" i="3" s="1"/>
  <c r="BF54" i="3" a="1"/>
  <c r="BF54" i="3" s="1"/>
  <c r="BF191" i="3" a="1"/>
  <c r="BF191" i="3" s="1"/>
  <c r="BF124" i="3" a="1"/>
  <c r="BF124" i="3" s="1"/>
  <c r="BF60" i="3" a="1"/>
  <c r="BF60" i="3" s="1"/>
  <c r="BF97" i="3" a="1"/>
  <c r="BF97" i="3" s="1"/>
  <c r="BF58" i="3" a="1"/>
  <c r="BF58" i="3" s="1"/>
  <c r="BF38" i="3" a="1"/>
  <c r="BF38" i="3" s="1"/>
  <c r="BF158" i="3" a="1"/>
  <c r="BF158" i="3" s="1"/>
  <c r="BF46" i="3" a="1"/>
  <c r="BF46" i="3" s="1"/>
  <c r="BF224" i="3" a="1"/>
  <c r="BF224" i="3" s="1"/>
  <c r="BF167" i="3" a="1"/>
  <c r="BF167" i="3" s="1"/>
  <c r="BF198" i="3" a="1"/>
  <c r="BF198" i="3" s="1"/>
  <c r="BF205" i="3" a="1"/>
  <c r="BF205" i="3" s="1"/>
  <c r="BF141" i="3" a="1"/>
  <c r="BF141" i="3" s="1"/>
  <c r="BF77" i="3" a="1"/>
  <c r="BF77" i="3" s="1"/>
  <c r="BF142" i="3" a="1"/>
  <c r="BF142" i="3" s="1"/>
  <c r="BF188" i="3" a="1"/>
  <c r="BF188" i="3" s="1"/>
  <c r="BF121" i="3" a="1"/>
  <c r="BF121" i="3" s="1"/>
  <c r="BF57" i="3" a="1"/>
  <c r="BF57" i="3" s="1"/>
  <c r="BF219" i="3" a="1"/>
  <c r="BF219" i="3" s="1"/>
  <c r="BF155" i="3" a="1"/>
  <c r="BF155" i="3" s="1"/>
  <c r="BF95" i="3" a="1"/>
  <c r="BF95" i="3" s="1"/>
  <c r="BF31" i="3" a="1"/>
  <c r="BF31" i="3" s="1"/>
  <c r="BF202" i="3" a="1"/>
  <c r="BF202" i="3" s="1"/>
  <c r="BF139" i="3" a="1"/>
  <c r="BF139" i="3" s="1"/>
  <c r="BF75" i="3" a="1"/>
  <c r="BF75" i="3" s="1"/>
  <c r="BF136" i="3" a="1"/>
  <c r="BF136" i="3" s="1"/>
  <c r="BF185" i="3" a="1"/>
  <c r="BF185" i="3" s="1"/>
  <c r="BF125" i="3" a="1"/>
  <c r="BF125" i="3" s="1"/>
  <c r="BF61" i="3" a="1"/>
  <c r="BF61" i="3" s="1"/>
  <c r="BF78" i="3" a="1"/>
  <c r="BF78" i="3" s="1"/>
  <c r="BF176" i="3" a="1"/>
  <c r="BF176" i="3" s="1"/>
  <c r="BF112" i="3" a="1"/>
  <c r="BF112" i="3" s="1"/>
  <c r="BF48" i="3" a="1"/>
  <c r="BF48" i="3" s="1"/>
  <c r="BF183" i="3" a="1"/>
  <c r="BF183" i="3" s="1"/>
  <c r="BF117" i="3" a="1"/>
  <c r="BF117" i="3" s="1"/>
  <c r="BF53" i="3" a="1"/>
  <c r="BF53" i="3" s="1"/>
  <c r="BF189" i="3" a="1"/>
  <c r="BF189" i="3" s="1"/>
  <c r="BF59" i="3" a="1"/>
  <c r="BF59" i="3" s="1"/>
  <c r="BF203" i="3" a="1"/>
  <c r="BF203" i="3" s="1"/>
  <c r="BF186" i="3" a="1"/>
  <c r="BF186" i="3" s="1"/>
  <c r="BF169" i="3" a="1"/>
  <c r="BF169" i="3" s="1"/>
  <c r="BF160" i="3" a="1"/>
  <c r="BF160" i="3" s="1"/>
  <c r="BF98" i="3" a="1"/>
  <c r="BF98" i="3" s="1"/>
  <c r="BF150" i="3" a="1"/>
  <c r="BF150" i="3" s="1"/>
  <c r="BF197" i="3" a="1"/>
  <c r="BF197" i="3" s="1"/>
  <c r="BF135" i="3" a="1"/>
  <c r="BF135" i="3" s="1"/>
  <c r="BF71" i="3" a="1"/>
  <c r="BF71" i="3" s="1"/>
  <c r="BF91" i="3" a="1"/>
  <c r="BF91" i="3" s="1"/>
  <c r="BF180" i="3" a="1"/>
  <c r="BF180" i="3" s="1"/>
  <c r="BF115" i="3" a="1"/>
  <c r="BF115" i="3" s="1"/>
  <c r="BF51" i="3" a="1"/>
  <c r="BF51" i="3" s="1"/>
  <c r="BF211" i="3" a="1"/>
  <c r="BF211" i="3" s="1"/>
  <c r="BF147" i="3" a="1"/>
  <c r="BF147" i="3" s="1"/>
  <c r="BF82" i="3" a="1"/>
  <c r="BF82" i="3" s="1"/>
  <c r="BF214" i="3" a="1"/>
  <c r="BF214" i="3" s="1"/>
  <c r="BF194" i="3" a="1"/>
  <c r="BF194" i="3" s="1"/>
  <c r="BF126" i="3" a="1"/>
  <c r="BF126" i="3" s="1"/>
  <c r="BF62" i="3" a="1"/>
  <c r="BF62" i="3" s="1"/>
  <c r="BF104" i="3" a="1"/>
  <c r="BF104" i="3" s="1"/>
  <c r="BF177" i="3" a="1"/>
  <c r="BF177" i="3" s="1"/>
  <c r="BF119" i="3" a="1"/>
  <c r="BF119" i="3" s="1"/>
  <c r="BF55" i="3" a="1"/>
  <c r="BF55" i="3" s="1"/>
  <c r="BF227" i="3" a="1"/>
  <c r="BF227" i="3" s="1"/>
  <c r="BF168" i="3" a="1"/>
  <c r="BF168" i="3" s="1"/>
  <c r="BF105" i="3" a="1"/>
  <c r="BF105" i="3" s="1"/>
  <c r="BF41" i="3" a="1"/>
  <c r="BF41" i="3" s="1"/>
  <c r="BF175" i="3" a="1"/>
  <c r="BF175" i="3" s="1"/>
  <c r="BF111" i="3" a="1"/>
  <c r="BF111" i="3" s="1"/>
  <c r="BF47" i="3" a="1"/>
  <c r="BF47" i="3" s="1"/>
  <c r="BF122" i="3" a="1"/>
  <c r="BF122" i="3" s="1"/>
  <c r="BF102" i="3" a="1"/>
  <c r="BF102" i="3" s="1"/>
  <c r="BF76" i="3" a="1"/>
  <c r="BF76" i="3" s="1"/>
  <c r="BF120" i="3" a="1"/>
  <c r="BF120" i="3" s="1"/>
  <c r="BF106" i="3" a="1"/>
  <c r="BF106" i="3" s="1"/>
  <c r="BF99" i="3" a="1"/>
  <c r="BF99" i="3" s="1"/>
  <c r="BF79" i="3" a="1"/>
  <c r="BF79" i="3" s="1"/>
  <c r="AT172" i="3" a="1"/>
  <c r="AT172" i="3" s="1"/>
  <c r="AT204" i="3" a="1"/>
  <c r="AT204" i="3" s="1"/>
  <c r="S175" i="3" a="1"/>
  <c r="S175" i="3" s="1"/>
  <c r="S111" i="3" a="1"/>
  <c r="S111" i="3" s="1"/>
  <c r="S159" i="3" a="1"/>
  <c r="S159" i="3" s="1"/>
  <c r="S182" i="3" a="1"/>
  <c r="S182" i="3" s="1"/>
  <c r="S118" i="3" a="1"/>
  <c r="S118" i="3" s="1"/>
  <c r="S40" i="3" a="1"/>
  <c r="S40" i="3" s="1"/>
  <c r="S197" i="3" a="1"/>
  <c r="S197" i="3" s="1"/>
  <c r="S125" i="3" a="1"/>
  <c r="S125" i="3" s="1"/>
  <c r="S49" i="3" a="1"/>
  <c r="S49" i="3" s="1"/>
  <c r="S213" i="3" a="1"/>
  <c r="S213" i="3" s="1"/>
  <c r="S172" i="3" a="1"/>
  <c r="S172" i="3" s="1"/>
  <c r="S108" i="3" a="1"/>
  <c r="S108" i="3" s="1"/>
  <c r="S25" i="3" a="1"/>
  <c r="S25" i="3" s="1"/>
  <c r="S163" i="3" a="1"/>
  <c r="S163" i="3" s="1"/>
  <c r="S99" i="3" a="1"/>
  <c r="S99" i="3" s="1"/>
  <c r="S186" i="3" a="1"/>
  <c r="S186" i="3" s="1"/>
  <c r="S122" i="3" a="1"/>
  <c r="S122" i="3" s="1"/>
  <c r="S45" i="3" a="1"/>
  <c r="S45" i="3" s="1"/>
  <c r="S201" i="3" a="1"/>
  <c r="S201" i="3" s="1"/>
  <c r="S137" i="3" a="1"/>
  <c r="S137" i="3" s="1"/>
  <c r="S65" i="3" a="1"/>
  <c r="S65" i="3" s="1"/>
  <c r="S26" i="3" a="1"/>
  <c r="S26" i="3" s="1"/>
  <c r="S90" i="3" a="1"/>
  <c r="S90" i="3" s="1"/>
  <c r="S47" i="3" a="1"/>
  <c r="S47" i="3" s="1"/>
  <c r="S208" i="3" a="1"/>
  <c r="S208" i="3" s="1"/>
  <c r="S144" i="3" a="1"/>
  <c r="S144" i="3" s="1"/>
  <c r="S75" i="3" a="1"/>
  <c r="S75" i="3" s="1"/>
  <c r="S52" i="3" a="1"/>
  <c r="S52" i="3" s="1"/>
  <c r="S167" i="3" a="1"/>
  <c r="S167" i="3" s="1"/>
  <c r="S215" i="3" a="1"/>
  <c r="S215" i="3" s="1"/>
  <c r="S174" i="3" a="1"/>
  <c r="S174" i="3" s="1"/>
  <c r="S110" i="3" a="1"/>
  <c r="S110" i="3" s="1"/>
  <c r="S28" i="3" a="1"/>
  <c r="S28" i="3" s="1"/>
  <c r="S181" i="3" a="1"/>
  <c r="S181" i="3" s="1"/>
  <c r="S117" i="3" a="1"/>
  <c r="S117" i="3" s="1"/>
  <c r="S38" i="3" a="1"/>
  <c r="S38" i="3" s="1"/>
  <c r="S189" i="3" a="1"/>
  <c r="S189" i="3" s="1"/>
  <c r="S164" i="3" a="1"/>
  <c r="S164" i="3" s="1"/>
  <c r="S100" i="3" a="1"/>
  <c r="S100" i="3" s="1"/>
  <c r="S155" i="3" a="1"/>
  <c r="S155" i="3" s="1"/>
  <c r="S89" i="3" a="1"/>
  <c r="S89" i="3" s="1"/>
  <c r="S178" i="3" a="1"/>
  <c r="S178" i="3" s="1"/>
  <c r="S114" i="3" a="1"/>
  <c r="S114" i="3" s="1"/>
  <c r="S35" i="3" a="1"/>
  <c r="S35" i="3" s="1"/>
  <c r="S193" i="3" a="1"/>
  <c r="S193" i="3" s="1"/>
  <c r="S129" i="3" a="1"/>
  <c r="S129" i="3" s="1"/>
  <c r="S54" i="3" a="1"/>
  <c r="S54" i="3" s="1"/>
  <c r="S34" i="3" a="1"/>
  <c r="S34" i="3" s="1"/>
  <c r="S221" i="3" a="1"/>
  <c r="S221" i="3" s="1"/>
  <c r="S55" i="3" a="1"/>
  <c r="S55" i="3" s="1"/>
  <c r="S200" i="3" a="1"/>
  <c r="S200" i="3" s="1"/>
  <c r="S136" i="3" a="1"/>
  <c r="S136" i="3" s="1"/>
  <c r="S64" i="3" a="1"/>
  <c r="S64" i="3" s="1"/>
  <c r="S119" i="3" a="1"/>
  <c r="S119" i="3" s="1"/>
  <c r="S225" i="3" a="1"/>
  <c r="S225" i="3" s="1"/>
  <c r="S84" i="3" a="1"/>
  <c r="S84" i="3" s="1"/>
  <c r="S166" i="3" a="1"/>
  <c r="S166" i="3" s="1"/>
  <c r="S102" i="3" a="1"/>
  <c r="S102" i="3" s="1"/>
  <c r="S224" i="3" a="1"/>
  <c r="S224" i="3" s="1"/>
  <c r="S173" i="3" a="1"/>
  <c r="S173" i="3" s="1"/>
  <c r="S109" i="3" a="1"/>
  <c r="S109" i="3" s="1"/>
  <c r="S27" i="3" a="1"/>
  <c r="S27" i="3" s="1"/>
  <c r="S220" i="3" a="1"/>
  <c r="S220" i="3" s="1"/>
  <c r="S156" i="3" a="1"/>
  <c r="S156" i="3" s="1"/>
  <c r="S91" i="3" a="1"/>
  <c r="S91" i="3" s="1"/>
  <c r="S211" i="3" a="1"/>
  <c r="S211" i="3" s="1"/>
  <c r="S147" i="3" a="1"/>
  <c r="S147" i="3" s="1"/>
  <c r="S78" i="3" a="1"/>
  <c r="S78" i="3" s="1"/>
  <c r="S170" i="3" a="1"/>
  <c r="S170" i="3" s="1"/>
  <c r="S106" i="3" a="1"/>
  <c r="S106" i="3" s="1"/>
  <c r="S22" i="3" a="1"/>
  <c r="S22" i="3" s="1"/>
  <c r="S185" i="3" a="1"/>
  <c r="S185" i="3" s="1"/>
  <c r="S121" i="3" a="1"/>
  <c r="S121" i="3" s="1"/>
  <c r="S44" i="3" a="1"/>
  <c r="S44" i="3" s="1"/>
  <c r="S42" i="3" a="1"/>
  <c r="S42" i="3" s="1"/>
  <c r="S21" i="3" a="1"/>
  <c r="S21" i="3" s="1"/>
  <c r="S63" i="3" a="1"/>
  <c r="S63" i="3" s="1"/>
  <c r="S192" i="3" a="1"/>
  <c r="S192" i="3" s="1"/>
  <c r="S128" i="3" a="1"/>
  <c r="S128" i="3" s="1"/>
  <c r="S53" i="3" a="1"/>
  <c r="S53" i="3" s="1"/>
  <c r="S183" i="3" a="1"/>
  <c r="S183" i="3" s="1"/>
  <c r="S94" i="3" a="1"/>
  <c r="S94" i="3" s="1"/>
  <c r="S143" i="3" a="1"/>
  <c r="S143" i="3" s="1"/>
  <c r="S158" i="3" a="1"/>
  <c r="S158" i="3" s="1"/>
  <c r="S93" i="3" a="1"/>
  <c r="S93" i="3" s="1"/>
  <c r="S165" i="3" a="1"/>
  <c r="S165" i="3" s="1"/>
  <c r="S101" i="3" a="1"/>
  <c r="S101" i="3" s="1"/>
  <c r="S222" i="3" a="1"/>
  <c r="S222" i="3" s="1"/>
  <c r="S212" i="3" a="1"/>
  <c r="S212" i="3" s="1"/>
  <c r="S148" i="3" a="1"/>
  <c r="S148" i="3" s="1"/>
  <c r="S80" i="3" a="1"/>
  <c r="S80" i="3" s="1"/>
  <c r="S203" i="3" a="1"/>
  <c r="S203" i="3" s="1"/>
  <c r="S139" i="3" a="1"/>
  <c r="S139" i="3" s="1"/>
  <c r="S68" i="3" a="1"/>
  <c r="S68" i="3" s="1"/>
  <c r="S219" i="3" a="1"/>
  <c r="S219" i="3" s="1"/>
  <c r="S162" i="3" a="1"/>
  <c r="S162" i="3" s="1"/>
  <c r="S98" i="3" a="1"/>
  <c r="S98" i="3" s="1"/>
  <c r="S177" i="3" a="1"/>
  <c r="S177" i="3" s="1"/>
  <c r="S113" i="3" a="1"/>
  <c r="S113" i="3" s="1"/>
  <c r="S33" i="3" a="1"/>
  <c r="S33" i="3" s="1"/>
  <c r="S50" i="3" a="1"/>
  <c r="S50" i="3" s="1"/>
  <c r="S29" i="3" a="1"/>
  <c r="S29" i="3" s="1"/>
  <c r="S71" i="3" a="1"/>
  <c r="S71" i="3" s="1"/>
  <c r="S184" i="3" a="1"/>
  <c r="S184" i="3" s="1"/>
  <c r="S120" i="3" a="1"/>
  <c r="S120" i="3" s="1"/>
  <c r="S43" i="3" a="1"/>
  <c r="S43" i="3" s="1"/>
  <c r="S169" i="3" a="1"/>
  <c r="S169" i="3" s="1"/>
  <c r="S223" i="3" a="1"/>
  <c r="S223" i="3" s="1"/>
  <c r="S176" i="3" a="1"/>
  <c r="S176" i="3" s="1"/>
  <c r="S32" i="3" a="1"/>
  <c r="S32" i="3" s="1"/>
  <c r="S73" i="3" a="1"/>
  <c r="S73" i="3" s="1"/>
  <c r="S151" i="3" a="1"/>
  <c r="S151" i="3" s="1"/>
  <c r="S199" i="3" a="1"/>
  <c r="S199" i="3" s="1"/>
  <c r="S150" i="3" a="1"/>
  <c r="S150" i="3" s="1"/>
  <c r="S83" i="3" a="1"/>
  <c r="S83" i="3" s="1"/>
  <c r="S157" i="3" a="1"/>
  <c r="S157" i="3" s="1"/>
  <c r="S92" i="3" a="1"/>
  <c r="S92" i="3" s="1"/>
  <c r="S204" i="3" a="1"/>
  <c r="S204" i="3" s="1"/>
  <c r="S140" i="3" a="1"/>
  <c r="S140" i="3" s="1"/>
  <c r="S69" i="3" a="1"/>
  <c r="S69" i="3" s="1"/>
  <c r="S195" i="3" a="1"/>
  <c r="S195" i="3" s="1"/>
  <c r="S131" i="3" a="1"/>
  <c r="S131" i="3" s="1"/>
  <c r="S57" i="3" a="1"/>
  <c r="S57" i="3" s="1"/>
  <c r="S218" i="3" a="1"/>
  <c r="S218" i="3" s="1"/>
  <c r="S154" i="3" a="1"/>
  <c r="S154" i="3" s="1"/>
  <c r="S88" i="3" a="1"/>
  <c r="S88" i="3" s="1"/>
  <c r="S105" i="3" a="1"/>
  <c r="S105" i="3" s="1"/>
  <c r="S58" i="3" a="1"/>
  <c r="S58" i="3" s="1"/>
  <c r="S79" i="3" a="1"/>
  <c r="S79" i="3" s="1"/>
  <c r="S112" i="3" a="1"/>
  <c r="S112" i="3" s="1"/>
  <c r="S228" i="3" a="1"/>
  <c r="S228" i="3" s="1"/>
  <c r="S135" i="3" a="1"/>
  <c r="S135" i="3" s="1"/>
  <c r="S207" i="3" a="1"/>
  <c r="S207" i="3" s="1"/>
  <c r="S214" i="3" a="1"/>
  <c r="S214" i="3" s="1"/>
  <c r="S142" i="3" a="1"/>
  <c r="S142" i="3" s="1"/>
  <c r="S72" i="3" a="1"/>
  <c r="S72" i="3" s="1"/>
  <c r="S149" i="3" a="1"/>
  <c r="S149" i="3" s="1"/>
  <c r="S81" i="3" a="1"/>
  <c r="S81" i="3" s="1"/>
  <c r="S196" i="3" a="1"/>
  <c r="S196" i="3" s="1"/>
  <c r="S132" i="3" a="1"/>
  <c r="S132" i="3" s="1"/>
  <c r="S59" i="3" a="1"/>
  <c r="S59" i="3" s="1"/>
  <c r="S187" i="3" a="1"/>
  <c r="S187" i="3" s="1"/>
  <c r="S123" i="3" a="1"/>
  <c r="S123" i="3" s="1"/>
  <c r="S46" i="3" a="1"/>
  <c r="S46" i="3" s="1"/>
  <c r="S210" i="3" a="1"/>
  <c r="S210" i="3" s="1"/>
  <c r="S146" i="3" a="1"/>
  <c r="S146" i="3" s="1"/>
  <c r="S77" i="3" a="1"/>
  <c r="S77" i="3" s="1"/>
  <c r="S161" i="3" a="1"/>
  <c r="S161" i="3" s="1"/>
  <c r="S97" i="3" a="1"/>
  <c r="S97" i="3" s="1"/>
  <c r="S66" i="3" a="1"/>
  <c r="S66" i="3" s="1"/>
  <c r="S23" i="3" a="1"/>
  <c r="S23" i="3" s="1"/>
  <c r="S87" i="3" a="1"/>
  <c r="S87" i="3" s="1"/>
  <c r="S168" i="3" a="1"/>
  <c r="S168" i="3" s="1"/>
  <c r="S104" i="3" a="1"/>
  <c r="S104" i="3" s="1"/>
  <c r="S227" i="3" a="1"/>
  <c r="S227" i="3" s="1"/>
  <c r="S160" i="3" a="1"/>
  <c r="S160" i="3" s="1"/>
  <c r="S96" i="3" a="1"/>
  <c r="S96" i="3" s="1"/>
  <c r="S62" i="3" a="1"/>
  <c r="S62" i="3" s="1"/>
  <c r="S191" i="3" a="1"/>
  <c r="S191" i="3" s="1"/>
  <c r="S30" i="3" a="1"/>
  <c r="S30" i="3" s="1"/>
  <c r="S134" i="3" a="1"/>
  <c r="S134" i="3" s="1"/>
  <c r="S61" i="3" a="1"/>
  <c r="S61" i="3" s="1"/>
  <c r="S206" i="3" a="1"/>
  <c r="S206" i="3" s="1"/>
  <c r="S141" i="3" a="1"/>
  <c r="S141" i="3" s="1"/>
  <c r="S70" i="3" a="1"/>
  <c r="S70" i="3" s="1"/>
  <c r="S188" i="3" a="1"/>
  <c r="S188" i="3" s="1"/>
  <c r="S124" i="3" a="1"/>
  <c r="S124" i="3" s="1"/>
  <c r="S48" i="3" a="1"/>
  <c r="S48" i="3" s="1"/>
  <c r="S179" i="3" a="1"/>
  <c r="S179" i="3" s="1"/>
  <c r="S115" i="3" a="1"/>
  <c r="S115" i="3" s="1"/>
  <c r="S36" i="3" a="1"/>
  <c r="S36" i="3" s="1"/>
  <c r="S202" i="3" a="1"/>
  <c r="S202" i="3" s="1"/>
  <c r="S138" i="3" a="1"/>
  <c r="S138" i="3" s="1"/>
  <c r="S67" i="3" a="1"/>
  <c r="S67" i="3" s="1"/>
  <c r="S217" i="3" a="1"/>
  <c r="S217" i="3" s="1"/>
  <c r="S153" i="3" a="1"/>
  <c r="S153" i="3" s="1"/>
  <c r="S86" i="3" a="1"/>
  <c r="S86" i="3" s="1"/>
  <c r="S74" i="3" a="1"/>
  <c r="S74" i="3" s="1"/>
  <c r="S31" i="3" a="1"/>
  <c r="S31" i="3" s="1"/>
  <c r="S95" i="3" a="1"/>
  <c r="S95" i="3" s="1"/>
  <c r="S127" i="3" a="1"/>
  <c r="S127" i="3" s="1"/>
  <c r="S41" i="3" a="1"/>
  <c r="S41" i="3" s="1"/>
  <c r="S103" i="3" a="1"/>
  <c r="S103" i="3" s="1"/>
  <c r="S190" i="3" a="1"/>
  <c r="S190" i="3" s="1"/>
  <c r="S126" i="3" a="1"/>
  <c r="S126" i="3" s="1"/>
  <c r="S51" i="3" a="1"/>
  <c r="S51" i="3" s="1"/>
  <c r="S205" i="3" a="1"/>
  <c r="S205" i="3" s="1"/>
  <c r="S133" i="3" a="1"/>
  <c r="S133" i="3" s="1"/>
  <c r="S60" i="3" a="1"/>
  <c r="S60" i="3" s="1"/>
  <c r="S198" i="3" a="1"/>
  <c r="S198" i="3" s="1"/>
  <c r="S180" i="3" a="1"/>
  <c r="S180" i="3" s="1"/>
  <c r="S116" i="3" a="1"/>
  <c r="S116" i="3" s="1"/>
  <c r="S37" i="3" a="1"/>
  <c r="S37" i="3" s="1"/>
  <c r="S171" i="3" a="1"/>
  <c r="S171" i="3" s="1"/>
  <c r="S107" i="3" a="1"/>
  <c r="S107" i="3" s="1"/>
  <c r="S24" i="3" a="1"/>
  <c r="S24" i="3" s="1"/>
  <c r="S82" i="3" a="1"/>
  <c r="S82" i="3" s="1"/>
  <c r="S194" i="3" a="1"/>
  <c r="S194" i="3" s="1"/>
  <c r="S39" i="3" a="1"/>
  <c r="S39" i="3" s="1"/>
  <c r="S130" i="3" a="1"/>
  <c r="S130" i="3" s="1"/>
  <c r="S216" i="3" a="1"/>
  <c r="S216" i="3" s="1"/>
  <c r="S56" i="3" a="1"/>
  <c r="S56" i="3" s="1"/>
  <c r="S152" i="3" a="1"/>
  <c r="S152" i="3" s="1"/>
  <c r="S145" i="3" a="1"/>
  <c r="S145" i="3" s="1"/>
  <c r="S209" i="3" a="1"/>
  <c r="S209" i="3" s="1"/>
  <c r="S85" i="3" a="1"/>
  <c r="S85" i="3" s="1"/>
  <c r="S76" i="3" a="1"/>
  <c r="S76" i="3" s="1"/>
  <c r="S226" i="3" a="1"/>
  <c r="S226" i="3" s="1"/>
  <c r="AT27" i="3" a="1"/>
  <c r="AT27" i="3" s="1"/>
  <c r="AT195" i="3" a="1"/>
  <c r="AT195" i="3" s="1"/>
  <c r="AT135" i="3" a="1"/>
  <c r="AT135" i="3" s="1"/>
  <c r="AT71" i="3" a="1"/>
  <c r="AT71" i="3" s="1"/>
  <c r="AT78" i="3" a="1"/>
  <c r="AT78" i="3" s="1"/>
  <c r="AT178" i="3" a="1"/>
  <c r="AT178" i="3" s="1"/>
  <c r="AT115" i="3" a="1"/>
  <c r="AT115" i="3" s="1"/>
  <c r="AT51" i="3" a="1"/>
  <c r="AT51" i="3" s="1"/>
  <c r="AT201" i="3" a="1"/>
  <c r="AT201" i="3" s="1"/>
  <c r="AT140" i="3" a="1"/>
  <c r="AT140" i="3" s="1"/>
  <c r="AT76" i="3" a="1"/>
  <c r="AT76" i="3" s="1"/>
  <c r="AT142" i="3" a="1"/>
  <c r="AT142" i="3" s="1"/>
  <c r="AT184" i="3" a="1"/>
  <c r="AT184" i="3" s="1"/>
  <c r="AT120" i="3" a="1"/>
  <c r="AT120" i="3" s="1"/>
  <c r="AT56" i="3" a="1"/>
  <c r="AT56" i="3" s="1"/>
  <c r="AT217" i="3" a="1"/>
  <c r="AT217" i="3" s="1"/>
  <c r="AT167" i="3" a="1"/>
  <c r="AT167" i="3" s="1"/>
  <c r="AT100" i="3" a="1"/>
  <c r="AT100" i="3" s="1"/>
  <c r="AT36" i="3" a="1"/>
  <c r="AT36" i="3" s="1"/>
  <c r="AT166" i="3" a="1"/>
  <c r="AT166" i="3" s="1"/>
  <c r="AT105" i="3" a="1"/>
  <c r="AT105" i="3" s="1"/>
  <c r="AT41" i="3" a="1"/>
  <c r="AT41" i="3" s="1"/>
  <c r="AT197" i="3" a="1"/>
  <c r="AT197" i="3" s="1"/>
  <c r="AT130" i="3" a="1"/>
  <c r="AT130" i="3" s="1"/>
  <c r="AT66" i="3" a="1"/>
  <c r="AT66" i="3" s="1"/>
  <c r="AT180" i="3" a="1"/>
  <c r="AT180" i="3" s="1"/>
  <c r="AT212" i="3" a="1"/>
  <c r="AT212" i="3" s="1"/>
  <c r="AT187" i="3" a="1"/>
  <c r="AT187" i="3" s="1"/>
  <c r="AT122" i="3" a="1"/>
  <c r="AT122" i="3" s="1"/>
  <c r="AT58" i="3" a="1"/>
  <c r="AT58" i="3" s="1"/>
  <c r="AT227" i="3" a="1"/>
  <c r="AT227" i="3" s="1"/>
  <c r="AT170" i="3" a="1"/>
  <c r="AT170" i="3" s="1"/>
  <c r="AT102" i="3" a="1"/>
  <c r="AT102" i="3" s="1"/>
  <c r="AT38" i="3" a="1"/>
  <c r="AT38" i="3" s="1"/>
  <c r="AT193" i="3" a="1"/>
  <c r="AT193" i="3" s="1"/>
  <c r="AT133" i="3" a="1"/>
  <c r="AT133" i="3" s="1"/>
  <c r="AT69" i="3" a="1"/>
  <c r="AT69" i="3" s="1"/>
  <c r="AT97" i="3" a="1"/>
  <c r="AT97" i="3" s="1"/>
  <c r="AT176" i="3" a="1"/>
  <c r="AT176" i="3" s="1"/>
  <c r="AT113" i="3" a="1"/>
  <c r="AT113" i="3" s="1"/>
  <c r="AT49" i="3" a="1"/>
  <c r="AT49" i="3" s="1"/>
  <c r="AT223" i="3" a="1"/>
  <c r="AT223" i="3" s="1"/>
  <c r="AT159" i="3" a="1"/>
  <c r="AT159" i="3" s="1"/>
  <c r="AT93" i="3" a="1"/>
  <c r="AT93" i="3" s="1"/>
  <c r="AT29" i="3" a="1"/>
  <c r="AT29" i="3" s="1"/>
  <c r="AT158" i="3" a="1"/>
  <c r="AT158" i="3" s="1"/>
  <c r="AT99" i="3" a="1"/>
  <c r="AT99" i="3" s="1"/>
  <c r="AT35" i="3" a="1"/>
  <c r="AT35" i="3" s="1"/>
  <c r="AT189" i="3" a="1"/>
  <c r="AT189" i="3" s="1"/>
  <c r="AT124" i="3" a="1"/>
  <c r="AT124" i="3" s="1"/>
  <c r="AT60" i="3" a="1"/>
  <c r="AT60" i="3" s="1"/>
  <c r="AT65" i="3" a="1"/>
  <c r="AT65" i="3" s="1"/>
  <c r="AT210" i="3" a="1"/>
  <c r="AT210" i="3" s="1"/>
  <c r="AT123" i="3" a="1"/>
  <c r="AT123" i="3" s="1"/>
  <c r="AT156" i="3" a="1"/>
  <c r="AT156" i="3" s="1"/>
  <c r="AT179" i="3" a="1"/>
  <c r="AT179" i="3" s="1"/>
  <c r="AT116" i="3" a="1"/>
  <c r="AT116" i="3" s="1"/>
  <c r="AT52" i="3" a="1"/>
  <c r="AT52" i="3" s="1"/>
  <c r="AT226" i="3" a="1"/>
  <c r="AT226" i="3" s="1"/>
  <c r="AT162" i="3" a="1"/>
  <c r="AT162" i="3" s="1"/>
  <c r="AT96" i="3" a="1"/>
  <c r="AT96" i="3" s="1"/>
  <c r="AT32" i="3" a="1"/>
  <c r="AT32" i="3" s="1"/>
  <c r="AT185" i="3" a="1"/>
  <c r="AT185" i="3" s="1"/>
  <c r="AT127" i="3" a="1"/>
  <c r="AT127" i="3" s="1"/>
  <c r="AT63" i="3" a="1"/>
  <c r="AT63" i="3" s="1"/>
  <c r="AT209" i="3" a="1"/>
  <c r="AT209" i="3" s="1"/>
  <c r="AT168" i="3" a="1"/>
  <c r="AT168" i="3" s="1"/>
  <c r="AT107" i="3" a="1"/>
  <c r="AT107" i="3" s="1"/>
  <c r="AT43" i="3" a="1"/>
  <c r="AT43" i="3" s="1"/>
  <c r="AT215" i="3" a="1"/>
  <c r="AT215" i="3" s="1"/>
  <c r="AT151" i="3" a="1"/>
  <c r="AT151" i="3" s="1"/>
  <c r="AT87" i="3" a="1"/>
  <c r="AT87" i="3" s="1"/>
  <c r="AT23" i="3" a="1"/>
  <c r="AT23" i="3" s="1"/>
  <c r="AT150" i="3" a="1"/>
  <c r="AT150" i="3" s="1"/>
  <c r="AT86" i="3" a="1"/>
  <c r="AT86" i="3" s="1"/>
  <c r="AT22" i="3" a="1"/>
  <c r="AT22" i="3" s="1"/>
  <c r="AT181" i="3" a="1"/>
  <c r="AT181" i="3" s="1"/>
  <c r="AT117" i="3" a="1"/>
  <c r="AT117" i="3" s="1"/>
  <c r="AT53" i="3" a="1"/>
  <c r="AT53" i="3" s="1"/>
  <c r="AT163" i="3" a="1"/>
  <c r="AT163" i="3" s="1"/>
  <c r="AT72" i="3" a="1"/>
  <c r="AT72" i="3" s="1"/>
  <c r="AT104" i="3" a="1"/>
  <c r="AT104" i="3" s="1"/>
  <c r="AT171" i="3" a="1"/>
  <c r="AT171" i="3" s="1"/>
  <c r="AT109" i="3" a="1"/>
  <c r="AT109" i="3" s="1"/>
  <c r="AT45" i="3" a="1"/>
  <c r="AT45" i="3" s="1"/>
  <c r="AT218" i="3" a="1"/>
  <c r="AT218" i="3" s="1"/>
  <c r="AT154" i="3" a="1"/>
  <c r="AT154" i="3" s="1"/>
  <c r="AT89" i="3" a="1"/>
  <c r="AT89" i="3" s="1"/>
  <c r="AT25" i="3" a="1"/>
  <c r="AT25" i="3" s="1"/>
  <c r="AT177" i="3" a="1"/>
  <c r="AT177" i="3" s="1"/>
  <c r="AT114" i="3" a="1"/>
  <c r="AT114" i="3" s="1"/>
  <c r="AT50" i="3" a="1"/>
  <c r="AT50" i="3" s="1"/>
  <c r="AT224" i="3" a="1"/>
  <c r="AT224" i="3" s="1"/>
  <c r="AT160" i="3" a="1"/>
  <c r="AT160" i="3" s="1"/>
  <c r="AT94" i="3" a="1"/>
  <c r="AT94" i="3" s="1"/>
  <c r="AT30" i="3" a="1"/>
  <c r="AT30" i="3" s="1"/>
  <c r="AT207" i="3" a="1"/>
  <c r="AT207" i="3" s="1"/>
  <c r="AT138" i="3" a="1"/>
  <c r="AT138" i="3" s="1"/>
  <c r="AT74" i="3" a="1"/>
  <c r="AT74" i="3" s="1"/>
  <c r="AT214" i="3" a="1"/>
  <c r="AT214" i="3" s="1"/>
  <c r="AT144" i="3" a="1"/>
  <c r="AT144" i="3" s="1"/>
  <c r="AT80" i="3" a="1"/>
  <c r="AT80" i="3" s="1"/>
  <c r="AT222" i="3" a="1"/>
  <c r="AT222" i="3" s="1"/>
  <c r="AT173" i="3" a="1"/>
  <c r="AT173" i="3" s="1"/>
  <c r="AT111" i="3" a="1"/>
  <c r="AT111" i="3" s="1"/>
  <c r="AT47" i="3" a="1"/>
  <c r="AT47" i="3" s="1"/>
  <c r="AT103" i="3" a="1"/>
  <c r="AT103" i="3" s="1"/>
  <c r="AT59" i="3" a="1"/>
  <c r="AT59" i="3" s="1"/>
  <c r="AT39" i="3" a="1"/>
  <c r="AT39" i="3" s="1"/>
  <c r="AT46" i="3" a="1"/>
  <c r="AT46" i="3" s="1"/>
  <c r="AT219" i="3" a="1"/>
  <c r="AT219" i="3" s="1"/>
  <c r="AT155" i="3" a="1"/>
  <c r="AT155" i="3" s="1"/>
  <c r="AT90" i="3" a="1"/>
  <c r="AT90" i="3" s="1"/>
  <c r="AT26" i="3" a="1"/>
  <c r="AT26" i="3" s="1"/>
  <c r="AT202" i="3" a="1"/>
  <c r="AT202" i="3" s="1"/>
  <c r="AT134" i="3" a="1"/>
  <c r="AT134" i="3" s="1"/>
  <c r="AT70" i="3" a="1"/>
  <c r="AT70" i="3" s="1"/>
  <c r="AT164" i="3" a="1"/>
  <c r="AT164" i="3" s="1"/>
  <c r="AT161" i="3" a="1"/>
  <c r="AT161" i="3" s="1"/>
  <c r="AT101" i="3" a="1"/>
  <c r="AT101" i="3" s="1"/>
  <c r="AT37" i="3" a="1"/>
  <c r="AT37" i="3" s="1"/>
  <c r="AT208" i="3" a="1"/>
  <c r="AT208" i="3" s="1"/>
  <c r="AT145" i="3" a="1"/>
  <c r="AT145" i="3" s="1"/>
  <c r="AT81" i="3" a="1"/>
  <c r="AT81" i="3" s="1"/>
  <c r="AT196" i="3" a="1"/>
  <c r="AT196" i="3" s="1"/>
  <c r="AT191" i="3" a="1"/>
  <c r="AT191" i="3" s="1"/>
  <c r="AT125" i="3" a="1"/>
  <c r="AT125" i="3" s="1"/>
  <c r="AT61" i="3" a="1"/>
  <c r="AT61" i="3" s="1"/>
  <c r="AT190" i="3" a="1"/>
  <c r="AT190" i="3" s="1"/>
  <c r="AT131" i="3" a="1"/>
  <c r="AT131" i="3" s="1"/>
  <c r="AT67" i="3" a="1"/>
  <c r="AT67" i="3" s="1"/>
  <c r="AT221" i="3" a="1"/>
  <c r="AT221" i="3" s="1"/>
  <c r="AT157" i="3" a="1"/>
  <c r="AT157" i="3" s="1"/>
  <c r="AT92" i="3" a="1"/>
  <c r="AT92" i="3" s="1"/>
  <c r="AT28" i="3" a="1"/>
  <c r="AT28" i="3" s="1"/>
  <c r="AT40" i="3" a="1"/>
  <c r="AT40" i="3" s="1"/>
  <c r="AT211" i="3" a="1"/>
  <c r="AT211" i="3" s="1"/>
  <c r="AT148" i="3" a="1"/>
  <c r="AT148" i="3" s="1"/>
  <c r="AT84" i="3" a="1"/>
  <c r="AT84" i="3" s="1"/>
  <c r="AT141" i="3" a="1"/>
  <c r="AT141" i="3" s="1"/>
  <c r="AT121" i="3" a="1"/>
  <c r="AT121" i="3" s="1"/>
  <c r="AT153" i="3" a="1"/>
  <c r="AT153" i="3" s="1"/>
  <c r="AT216" i="3" a="1"/>
  <c r="AT216" i="3" s="1"/>
  <c r="AT62" i="3" a="1"/>
  <c r="AT62" i="3" s="1"/>
  <c r="AT119" i="3" a="1"/>
  <c r="AT119" i="3" s="1"/>
  <c r="AT205" i="3" a="1"/>
  <c r="AT205" i="3" s="1"/>
  <c r="AT42" i="3" a="1"/>
  <c r="AT42" i="3" s="1"/>
  <c r="AT44" i="3" a="1"/>
  <c r="AT44" i="3" s="1"/>
  <c r="AT77" i="3" a="1"/>
  <c r="AT77" i="3" s="1"/>
  <c r="AT83" i="3" a="1"/>
  <c r="AT83" i="3" s="1"/>
  <c r="AT146" i="3" a="1"/>
  <c r="AT146" i="3" s="1"/>
  <c r="AT200" i="3" a="1"/>
  <c r="AT200" i="3" s="1"/>
  <c r="AT24" i="3" a="1"/>
  <c r="AT24" i="3" s="1"/>
  <c r="AT106" i="3" a="1"/>
  <c r="AT106" i="3" s="1"/>
  <c r="AT118" i="3" a="1"/>
  <c r="AT118" i="3" s="1"/>
  <c r="AT48" i="3" a="1"/>
  <c r="AT48" i="3" s="1"/>
  <c r="AT228" i="3" a="1"/>
  <c r="AT228" i="3" s="1"/>
  <c r="AT64" i="3" a="1"/>
  <c r="AT64" i="3" s="1"/>
  <c r="AT108" i="3" a="1"/>
  <c r="AT108" i="3" s="1"/>
  <c r="AT192" i="3" a="1"/>
  <c r="AT192" i="3" s="1"/>
  <c r="AT136" i="3" a="1"/>
  <c r="AT136" i="3" s="1"/>
  <c r="AT68" i="3" a="1"/>
  <c r="AT68" i="3" s="1"/>
  <c r="AT112" i="3" a="1"/>
  <c r="AT112" i="3" s="1"/>
  <c r="AT149" i="3" a="1"/>
  <c r="AT149" i="3" s="1"/>
  <c r="AT73" i="3" a="1"/>
  <c r="AT73" i="3" s="1"/>
  <c r="AT199" i="3" a="1"/>
  <c r="AT199" i="3" s="1"/>
  <c r="AT186" i="3" a="1"/>
  <c r="AT186" i="3" s="1"/>
  <c r="AT129" i="3" a="1"/>
  <c r="AT129" i="3" s="1"/>
  <c r="AT57" i="3" a="1"/>
  <c r="AT57" i="3" s="1"/>
  <c r="AT95" i="3" a="1"/>
  <c r="AT95" i="3" s="1"/>
  <c r="AT152" i="3" a="1"/>
  <c r="AT152" i="3" s="1"/>
  <c r="AT91" i="3" a="1"/>
  <c r="AT91" i="3" s="1"/>
  <c r="AT55" i="3" a="1"/>
  <c r="AT55" i="3" s="1"/>
  <c r="AT143" i="3" a="1"/>
  <c r="AT143" i="3" s="1"/>
  <c r="AT198" i="3" a="1"/>
  <c r="AT198" i="3" s="1"/>
  <c r="AT194" i="3" a="1"/>
  <c r="AT194" i="3" s="1"/>
  <c r="AT220" i="3" a="1"/>
  <c r="AT220" i="3" s="1"/>
  <c r="AT82" i="3" a="1"/>
  <c r="AT82" i="3" s="1"/>
  <c r="AT139" i="3" a="1"/>
  <c r="AT139" i="3" s="1"/>
  <c r="AT98" i="3" a="1"/>
  <c r="AT98" i="3" s="1"/>
  <c r="AT183" i="3" a="1"/>
  <c r="AT183" i="3" s="1"/>
  <c r="AT33" i="3" a="1"/>
  <c r="AT33" i="3" s="1"/>
  <c r="AT147" i="3" a="1"/>
  <c r="AT147" i="3" s="1"/>
  <c r="AT225" i="3" a="1"/>
  <c r="AT225" i="3" s="1"/>
  <c r="AT31" i="3" a="1"/>
  <c r="AT31" i="3" s="1"/>
  <c r="AT88" i="3" a="1"/>
  <c r="AT88" i="3" s="1"/>
  <c r="AT175" i="3" a="1"/>
  <c r="AT175" i="3" s="1"/>
  <c r="AT182" i="3" a="1"/>
  <c r="AT182" i="3" s="1"/>
  <c r="AT20" i="3" a="1"/>
  <c r="AT20" i="3" s="1"/>
  <c r="AT79" i="3" a="1"/>
  <c r="AT79" i="3" s="1"/>
  <c r="AT54" i="3" a="1"/>
  <c r="AT54" i="3" s="1"/>
  <c r="AT126" i="3" a="1"/>
  <c r="AT126" i="3" s="1"/>
  <c r="AT203" i="3" a="1"/>
  <c r="AT203" i="3" s="1"/>
  <c r="AT128" i="3" a="1"/>
  <c r="AT128" i="3" s="1"/>
  <c r="AT169" i="3" a="1"/>
  <c r="AT169" i="3" s="1"/>
  <c r="AT188" i="3" a="1"/>
  <c r="AT188" i="3" s="1"/>
  <c r="AT75" i="3" a="1"/>
  <c r="AT75" i="3" s="1"/>
  <c r="AT132" i="3" a="1"/>
  <c r="AT132" i="3" s="1"/>
  <c r="AT174" i="3" a="1"/>
  <c r="AT174" i="3" s="1"/>
  <c r="AT213" i="3" a="1"/>
  <c r="AT213" i="3" s="1"/>
  <c r="AT34" i="3" a="1"/>
  <c r="AT34" i="3" s="1"/>
  <c r="AT137" i="3" a="1"/>
  <c r="AT137" i="3" s="1"/>
  <c r="AT165" i="3" a="1"/>
  <c r="AT165" i="3" s="1"/>
  <c r="AT110" i="3" a="1"/>
  <c r="AT110" i="3" s="1"/>
  <c r="AT85" i="3" a="1"/>
  <c r="AT85" i="3" s="1"/>
  <c r="AF172" i="3" a="1"/>
  <c r="AF172" i="3" s="1"/>
  <c r="AF77" i="3" a="1"/>
  <c r="AF77" i="3" s="1"/>
  <c r="AF141" i="3" a="1"/>
  <c r="AF141" i="3" s="1"/>
  <c r="AF205" i="3" a="1"/>
  <c r="AF205" i="3" s="1"/>
  <c r="AF54" i="3" a="1"/>
  <c r="AF54" i="3" s="1"/>
  <c r="AF118" i="3" a="1"/>
  <c r="AF118" i="3" s="1"/>
  <c r="AF182" i="3" a="1"/>
  <c r="AF182" i="3" s="1"/>
  <c r="AF39" i="3" a="1"/>
  <c r="AF39" i="3" s="1"/>
  <c r="AF103" i="3" a="1"/>
  <c r="AF103" i="3" s="1"/>
  <c r="AF167" i="3" a="1"/>
  <c r="AF167" i="3" s="1"/>
  <c r="AF24" i="3" a="1"/>
  <c r="AF24" i="3" s="1"/>
  <c r="AF88" i="3" a="1"/>
  <c r="AF88" i="3" s="1"/>
  <c r="AF152" i="3" a="1"/>
  <c r="AF152" i="3" s="1"/>
  <c r="AF216" i="3" a="1"/>
  <c r="AF216" i="3" s="1"/>
  <c r="AF73" i="3" a="1"/>
  <c r="AF73" i="3" s="1"/>
  <c r="AF137" i="3" a="1"/>
  <c r="AF137" i="3" s="1"/>
  <c r="AF201" i="3" a="1"/>
  <c r="AF201" i="3" s="1"/>
  <c r="AF58" i="3" a="1"/>
  <c r="AF58" i="3" s="1"/>
  <c r="AF122" i="3" a="1"/>
  <c r="AF122" i="3" s="1"/>
  <c r="AF186" i="3" a="1"/>
  <c r="AF186" i="3" s="1"/>
  <c r="AF51" i="3" a="1"/>
  <c r="AF51" i="3" s="1"/>
  <c r="AF115" i="3" a="1"/>
  <c r="AF115" i="3" s="1"/>
  <c r="AF179" i="3" a="1"/>
  <c r="AF179" i="3" s="1"/>
  <c r="AF148" i="3" a="1"/>
  <c r="AF148" i="3" s="1"/>
  <c r="AF204" i="3" a="1"/>
  <c r="AF204" i="3" s="1"/>
  <c r="AF52" i="3" a="1"/>
  <c r="AF52" i="3" s="1"/>
  <c r="AF108" i="3" a="1"/>
  <c r="AF108" i="3" s="1"/>
  <c r="AF21" i="3" a="1"/>
  <c r="AF21" i="3" s="1"/>
  <c r="AF85" i="3" a="1"/>
  <c r="AF85" i="3" s="1"/>
  <c r="AF149" i="3" a="1"/>
  <c r="AF149" i="3" s="1"/>
  <c r="AF213" i="3" a="1"/>
  <c r="AF213" i="3" s="1"/>
  <c r="AF62" i="3" a="1"/>
  <c r="AF62" i="3" s="1"/>
  <c r="AF126" i="3" a="1"/>
  <c r="AF126" i="3" s="1"/>
  <c r="AF190" i="3" a="1"/>
  <c r="AF190" i="3" s="1"/>
  <c r="AF47" i="3" a="1"/>
  <c r="AF47" i="3" s="1"/>
  <c r="AF111" i="3" a="1"/>
  <c r="AF111" i="3" s="1"/>
  <c r="AF175" i="3" a="1"/>
  <c r="AF175" i="3" s="1"/>
  <c r="AF32" i="3" a="1"/>
  <c r="AF32" i="3" s="1"/>
  <c r="AF96" i="3" a="1"/>
  <c r="AF96" i="3" s="1"/>
  <c r="AF160" i="3" a="1"/>
  <c r="AF160" i="3" s="1"/>
  <c r="AF224" i="3" a="1"/>
  <c r="AF224" i="3" s="1"/>
  <c r="AF81" i="3" a="1"/>
  <c r="AF81" i="3" s="1"/>
  <c r="AF145" i="3" a="1"/>
  <c r="AF145" i="3" s="1"/>
  <c r="AF209" i="3" a="1"/>
  <c r="AF209" i="3" s="1"/>
  <c r="AF66" i="3" a="1"/>
  <c r="AF66" i="3" s="1"/>
  <c r="AF130" i="3" a="1"/>
  <c r="AF130" i="3" s="1"/>
  <c r="AF194" i="3" a="1"/>
  <c r="AF194" i="3" s="1"/>
  <c r="AF59" i="3" a="1"/>
  <c r="AF59" i="3" s="1"/>
  <c r="AF123" i="3" a="1"/>
  <c r="AF123" i="3" s="1"/>
  <c r="AF187" i="3" a="1"/>
  <c r="AF187" i="3" s="1"/>
  <c r="AF84" i="3" a="1"/>
  <c r="AF84" i="3" s="1"/>
  <c r="AF140" i="3" a="1"/>
  <c r="AF140" i="3" s="1"/>
  <c r="AF44" i="3" a="1"/>
  <c r="AF44" i="3" s="1"/>
  <c r="AF29" i="3" a="1"/>
  <c r="AF29" i="3" s="1"/>
  <c r="AF93" i="3" a="1"/>
  <c r="AF93" i="3" s="1"/>
  <c r="AF157" i="3" a="1"/>
  <c r="AF157" i="3" s="1"/>
  <c r="AF221" i="3" a="1"/>
  <c r="AF221" i="3" s="1"/>
  <c r="AF70" i="3" a="1"/>
  <c r="AF70" i="3" s="1"/>
  <c r="AF134" i="3" a="1"/>
  <c r="AF134" i="3" s="1"/>
  <c r="AF198" i="3" a="1"/>
  <c r="AF198" i="3" s="1"/>
  <c r="AF55" i="3" a="1"/>
  <c r="AF55" i="3" s="1"/>
  <c r="AF119" i="3" a="1"/>
  <c r="AF119" i="3" s="1"/>
  <c r="AF183" i="3" a="1"/>
  <c r="AF183" i="3" s="1"/>
  <c r="AF40" i="3" a="1"/>
  <c r="AF40" i="3" s="1"/>
  <c r="AF104" i="3" a="1"/>
  <c r="AF104" i="3" s="1"/>
  <c r="AF168" i="3" a="1"/>
  <c r="AF168" i="3" s="1"/>
  <c r="AF25" i="3" a="1"/>
  <c r="AF25" i="3" s="1"/>
  <c r="AF89" i="3" a="1"/>
  <c r="AF89" i="3" s="1"/>
  <c r="AF153" i="3" a="1"/>
  <c r="AF153" i="3" s="1"/>
  <c r="AF217" i="3" a="1"/>
  <c r="AF217" i="3" s="1"/>
  <c r="AF74" i="3" a="1"/>
  <c r="AF74" i="3" s="1"/>
  <c r="AF138" i="3" a="1"/>
  <c r="AF138" i="3" s="1"/>
  <c r="AF202" i="3" a="1"/>
  <c r="AF202" i="3" s="1"/>
  <c r="AF67" i="3" a="1"/>
  <c r="AF67" i="3" s="1"/>
  <c r="AF131" i="3" a="1"/>
  <c r="AF131" i="3" s="1"/>
  <c r="AF195" i="3" a="1"/>
  <c r="AF195" i="3" s="1"/>
  <c r="AF76" i="3" a="1"/>
  <c r="AF76" i="3" s="1"/>
  <c r="AF226" i="3" a="1"/>
  <c r="AF226" i="3" s="1"/>
  <c r="AF164" i="3" a="1"/>
  <c r="AF164" i="3" s="1"/>
  <c r="AF37" i="3" a="1"/>
  <c r="AF37" i="3" s="1"/>
  <c r="AF101" i="3" a="1"/>
  <c r="AF101" i="3" s="1"/>
  <c r="AF165" i="3" a="1"/>
  <c r="AF165" i="3" s="1"/>
  <c r="AF20" i="3" a="1"/>
  <c r="AF20" i="3" s="1"/>
  <c r="AF78" i="3" a="1"/>
  <c r="AF78" i="3" s="1"/>
  <c r="AF142" i="3" a="1"/>
  <c r="AF142" i="3" s="1"/>
  <c r="AF206" i="3" a="1"/>
  <c r="AF206" i="3" s="1"/>
  <c r="AF63" i="3" a="1"/>
  <c r="AF63" i="3" s="1"/>
  <c r="AF127" i="3" a="1"/>
  <c r="AF127" i="3" s="1"/>
  <c r="AF191" i="3" a="1"/>
  <c r="AF191" i="3" s="1"/>
  <c r="AF48" i="3" a="1"/>
  <c r="AF48" i="3" s="1"/>
  <c r="AF112" i="3" a="1"/>
  <c r="AF112" i="3" s="1"/>
  <c r="AF176" i="3" a="1"/>
  <c r="AF176" i="3" s="1"/>
  <c r="AF33" i="3" a="1"/>
  <c r="AF33" i="3" s="1"/>
  <c r="AF97" i="3" a="1"/>
  <c r="AF97" i="3" s="1"/>
  <c r="AF161" i="3" a="1"/>
  <c r="AF161" i="3" s="1"/>
  <c r="AF225" i="3" a="1"/>
  <c r="AF225" i="3" s="1"/>
  <c r="AF82" i="3" a="1"/>
  <c r="AF82" i="3" s="1"/>
  <c r="AF146" i="3" a="1"/>
  <c r="AF146" i="3" s="1"/>
  <c r="AF210" i="3" a="1"/>
  <c r="AF210" i="3" s="1"/>
  <c r="AF75" i="3" a="1"/>
  <c r="AF75" i="3" s="1"/>
  <c r="AF139" i="3" a="1"/>
  <c r="AF139" i="3" s="1"/>
  <c r="AF203" i="3" a="1"/>
  <c r="AF203" i="3" s="1"/>
  <c r="AF196" i="3" a="1"/>
  <c r="AF196" i="3" s="1"/>
  <c r="AF188" i="3" a="1"/>
  <c r="AF188" i="3" s="1"/>
  <c r="AF228" i="3" a="1"/>
  <c r="AF228" i="3" s="1"/>
  <c r="AF100" i="3" a="1"/>
  <c r="AF100" i="3" s="1"/>
  <c r="AF220" i="3" a="1"/>
  <c r="AF220" i="3" s="1"/>
  <c r="AF45" i="3" a="1"/>
  <c r="AF45" i="3" s="1"/>
  <c r="AF109" i="3" a="1"/>
  <c r="AF109" i="3" s="1"/>
  <c r="AF173" i="3" a="1"/>
  <c r="AF173" i="3" s="1"/>
  <c r="AF22" i="3" a="1"/>
  <c r="AF22" i="3" s="1"/>
  <c r="AF86" i="3" a="1"/>
  <c r="AF86" i="3" s="1"/>
  <c r="AF150" i="3" a="1"/>
  <c r="AF150" i="3" s="1"/>
  <c r="AF214" i="3" a="1"/>
  <c r="AF214" i="3" s="1"/>
  <c r="AF71" i="3" a="1"/>
  <c r="AF71" i="3" s="1"/>
  <c r="AF135" i="3" a="1"/>
  <c r="AF135" i="3" s="1"/>
  <c r="AF199" i="3" a="1"/>
  <c r="AF199" i="3" s="1"/>
  <c r="AF56" i="3" a="1"/>
  <c r="AF56" i="3" s="1"/>
  <c r="AF120" i="3" a="1"/>
  <c r="AF120" i="3" s="1"/>
  <c r="AF184" i="3" a="1"/>
  <c r="AF184" i="3" s="1"/>
  <c r="AF41" i="3" a="1"/>
  <c r="AF41" i="3" s="1"/>
  <c r="AF105" i="3" a="1"/>
  <c r="AF105" i="3" s="1"/>
  <c r="AF169" i="3" a="1"/>
  <c r="AF169" i="3" s="1"/>
  <c r="AF26" i="3" a="1"/>
  <c r="AF26" i="3" s="1"/>
  <c r="AF90" i="3" a="1"/>
  <c r="AF90" i="3" s="1"/>
  <c r="AF154" i="3" a="1"/>
  <c r="AF154" i="3" s="1"/>
  <c r="AF218" i="3" a="1"/>
  <c r="AF218" i="3" s="1"/>
  <c r="AF83" i="3" a="1"/>
  <c r="AF83" i="3" s="1"/>
  <c r="AF147" i="3" a="1"/>
  <c r="AF147" i="3" s="1"/>
  <c r="AF211" i="3" a="1"/>
  <c r="AF211" i="3" s="1"/>
  <c r="AF132" i="3" a="1"/>
  <c r="AF132" i="3" s="1"/>
  <c r="AF36" i="3" a="1"/>
  <c r="AF36" i="3" s="1"/>
  <c r="AF156" i="3" a="1"/>
  <c r="AF156" i="3" s="1"/>
  <c r="AF53" i="3" a="1"/>
  <c r="AF53" i="3" s="1"/>
  <c r="AF117" i="3" a="1"/>
  <c r="AF117" i="3" s="1"/>
  <c r="AF181" i="3" a="1"/>
  <c r="AF181" i="3" s="1"/>
  <c r="AF30" i="3" a="1"/>
  <c r="AF30" i="3" s="1"/>
  <c r="AF94" i="3" a="1"/>
  <c r="AF94" i="3" s="1"/>
  <c r="AF158" i="3" a="1"/>
  <c r="AF158" i="3" s="1"/>
  <c r="AF222" i="3" a="1"/>
  <c r="AF222" i="3" s="1"/>
  <c r="AF79" i="3" a="1"/>
  <c r="AF79" i="3" s="1"/>
  <c r="AF143" i="3" a="1"/>
  <c r="AF143" i="3" s="1"/>
  <c r="AF207" i="3" a="1"/>
  <c r="AF207" i="3" s="1"/>
  <c r="AF64" i="3" a="1"/>
  <c r="AF64" i="3" s="1"/>
  <c r="AF128" i="3" a="1"/>
  <c r="AF128" i="3" s="1"/>
  <c r="AF192" i="3" a="1"/>
  <c r="AF192" i="3" s="1"/>
  <c r="AF49" i="3" a="1"/>
  <c r="AF49" i="3" s="1"/>
  <c r="AF113" i="3" a="1"/>
  <c r="AF113" i="3" s="1"/>
  <c r="AF177" i="3" a="1"/>
  <c r="AF177" i="3" s="1"/>
  <c r="AF34" i="3" a="1"/>
  <c r="AF34" i="3" s="1"/>
  <c r="AF98" i="3" a="1"/>
  <c r="AF98" i="3" s="1"/>
  <c r="AF162" i="3" a="1"/>
  <c r="AF162" i="3" s="1"/>
  <c r="AF27" i="3" a="1"/>
  <c r="AF27" i="3" s="1"/>
  <c r="AF91" i="3" a="1"/>
  <c r="AF91" i="3" s="1"/>
  <c r="AF155" i="3" a="1"/>
  <c r="AF155" i="3" s="1"/>
  <c r="AF219" i="3" a="1"/>
  <c r="AF219" i="3" s="1"/>
  <c r="AF68" i="3" a="1"/>
  <c r="AF68" i="3" s="1"/>
  <c r="AF124" i="3" a="1"/>
  <c r="AF124" i="3" s="1"/>
  <c r="AF180" i="3" a="1"/>
  <c r="AF180" i="3" s="1"/>
  <c r="AF28" i="3" a="1"/>
  <c r="AF28" i="3" s="1"/>
  <c r="AF92" i="3" a="1"/>
  <c r="AF92" i="3" s="1"/>
  <c r="AF61" i="3" a="1"/>
  <c r="AF61" i="3" s="1"/>
  <c r="AF125" i="3" a="1"/>
  <c r="AF125" i="3" s="1"/>
  <c r="AF189" i="3" a="1"/>
  <c r="AF189" i="3" s="1"/>
  <c r="AF38" i="3" a="1"/>
  <c r="AF38" i="3" s="1"/>
  <c r="AF102" i="3" a="1"/>
  <c r="AF102" i="3" s="1"/>
  <c r="AF166" i="3" a="1"/>
  <c r="AF166" i="3" s="1"/>
  <c r="AF23" i="3" a="1"/>
  <c r="AF23" i="3" s="1"/>
  <c r="AF87" i="3" a="1"/>
  <c r="AF87" i="3" s="1"/>
  <c r="AF151" i="3" a="1"/>
  <c r="AF151" i="3" s="1"/>
  <c r="AF215" i="3" a="1"/>
  <c r="AF215" i="3" s="1"/>
  <c r="AF72" i="3" a="1"/>
  <c r="AF72" i="3" s="1"/>
  <c r="AF136" i="3" a="1"/>
  <c r="AF136" i="3" s="1"/>
  <c r="AF200" i="3" a="1"/>
  <c r="AF200" i="3" s="1"/>
  <c r="AF57" i="3" a="1"/>
  <c r="AF57" i="3" s="1"/>
  <c r="AF121" i="3" a="1"/>
  <c r="AF121" i="3" s="1"/>
  <c r="AF185" i="3" a="1"/>
  <c r="AF185" i="3" s="1"/>
  <c r="AF42" i="3" a="1"/>
  <c r="AF42" i="3" s="1"/>
  <c r="AF106" i="3" a="1"/>
  <c r="AF106" i="3" s="1"/>
  <c r="AF170" i="3" a="1"/>
  <c r="AF170" i="3" s="1"/>
  <c r="AF35" i="3" a="1"/>
  <c r="AF35" i="3" s="1"/>
  <c r="AF99" i="3" a="1"/>
  <c r="AF99" i="3" s="1"/>
  <c r="AF163" i="3" a="1"/>
  <c r="AF163" i="3" s="1"/>
  <c r="AF227" i="3" a="1"/>
  <c r="AF227" i="3" s="1"/>
  <c r="AF60" i="3" a="1"/>
  <c r="AF60" i="3" s="1"/>
  <c r="AF69" i="3" a="1"/>
  <c r="AF69" i="3" s="1"/>
  <c r="AF133" i="3" a="1"/>
  <c r="AF133" i="3" s="1"/>
  <c r="AF197" i="3" a="1"/>
  <c r="AF197" i="3" s="1"/>
  <c r="AF46" i="3" a="1"/>
  <c r="AF46" i="3" s="1"/>
  <c r="AF110" i="3" a="1"/>
  <c r="AF110" i="3" s="1"/>
  <c r="AF174" i="3" a="1"/>
  <c r="AF174" i="3" s="1"/>
  <c r="AF31" i="3" a="1"/>
  <c r="AF31" i="3" s="1"/>
  <c r="AF95" i="3" a="1"/>
  <c r="AF95" i="3" s="1"/>
  <c r="AF159" i="3" a="1"/>
  <c r="AF159" i="3" s="1"/>
  <c r="AF223" i="3" a="1"/>
  <c r="AF223" i="3" s="1"/>
  <c r="AF80" i="3" a="1"/>
  <c r="AF80" i="3" s="1"/>
  <c r="AF144" i="3" a="1"/>
  <c r="AF144" i="3" s="1"/>
  <c r="AF208" i="3" a="1"/>
  <c r="AF208" i="3" s="1"/>
  <c r="AF65" i="3" a="1"/>
  <c r="AF65" i="3" s="1"/>
  <c r="AF129" i="3" a="1"/>
  <c r="AF129" i="3" s="1"/>
  <c r="AF193" i="3" a="1"/>
  <c r="AF193" i="3" s="1"/>
  <c r="AF50" i="3" a="1"/>
  <c r="AF50" i="3" s="1"/>
  <c r="AF114" i="3" a="1"/>
  <c r="AF114" i="3" s="1"/>
  <c r="AF178" i="3" a="1"/>
  <c r="AF178" i="3" s="1"/>
  <c r="AF43" i="3" a="1"/>
  <c r="AF43" i="3" s="1"/>
  <c r="AF107" i="3" a="1"/>
  <c r="AF107" i="3" s="1"/>
  <c r="AF171" i="3" a="1"/>
  <c r="AF171" i="3" s="1"/>
  <c r="AF212" i="3" a="1"/>
  <c r="AF212" i="3" s="1"/>
  <c r="AF116" i="3" a="1"/>
  <c r="AF116" i="3" s="1"/>
  <c r="AT206" i="3" a="1"/>
  <c r="AT206" i="3" s="1"/>
  <c r="AT21" i="3" a="1"/>
  <c r="AT21" i="3" s="1"/>
  <c r="S20" i="3" a="1"/>
  <c r="S20" i="3" s="1"/>
  <c r="BE44" i="3"/>
  <c r="AE26" i="3"/>
  <c r="R27" i="3"/>
  <c r="R201" i="3" l="1"/>
  <c r="R161" i="3"/>
  <c r="R191" i="3"/>
  <c r="R184" i="3"/>
  <c r="R120" i="3"/>
  <c r="R109" i="3"/>
  <c r="R96" i="3"/>
  <c r="R71" i="3"/>
  <c r="R173" i="3"/>
  <c r="R82" i="3"/>
  <c r="R151" i="3"/>
  <c r="R57" i="3"/>
  <c r="R224" i="3"/>
  <c r="R138" i="3"/>
  <c r="R45" i="3"/>
  <c r="R213" i="3"/>
  <c r="R127" i="3"/>
  <c r="AS23" i="3"/>
  <c r="AS31" i="3"/>
  <c r="AU31" i="3" s="1"/>
  <c r="AS39" i="3"/>
  <c r="AU39" i="3" s="1"/>
  <c r="AS47" i="3"/>
  <c r="AS55" i="3"/>
  <c r="AS63" i="3"/>
  <c r="AU63" i="3" s="1"/>
  <c r="AS71" i="3"/>
  <c r="AS79" i="3"/>
  <c r="AS87" i="3"/>
  <c r="AS95" i="3"/>
  <c r="AS103" i="3"/>
  <c r="AU103" i="3" s="1"/>
  <c r="AS111" i="3"/>
  <c r="AS119" i="3"/>
  <c r="AU119" i="3" s="1"/>
  <c r="AS127" i="3"/>
  <c r="AS135" i="3"/>
  <c r="AS143" i="3"/>
  <c r="AS151" i="3"/>
  <c r="AS159" i="3"/>
  <c r="AS167" i="3"/>
  <c r="AS175" i="3"/>
  <c r="AS183" i="3"/>
  <c r="AU183" i="3" s="1"/>
  <c r="AS191" i="3"/>
  <c r="AS199" i="3"/>
  <c r="AS207" i="3"/>
  <c r="AU207" i="3" s="1"/>
  <c r="AS215" i="3"/>
  <c r="AU215" i="3" s="1"/>
  <c r="AS223" i="3"/>
  <c r="AS170" i="3"/>
  <c r="AS210" i="3"/>
  <c r="AU210" i="3" s="1"/>
  <c r="AS76" i="3"/>
  <c r="AU76" i="3" s="1"/>
  <c r="AS124" i="3"/>
  <c r="AS164" i="3"/>
  <c r="AS204" i="3"/>
  <c r="AU204" i="3" s="1"/>
  <c r="AS61" i="3"/>
  <c r="AS101" i="3"/>
  <c r="AU101" i="3" s="1"/>
  <c r="AS141" i="3"/>
  <c r="AS189" i="3"/>
  <c r="AS22" i="3"/>
  <c r="AU22" i="3" s="1"/>
  <c r="AS70" i="3"/>
  <c r="AS102" i="3"/>
  <c r="AU102" i="3" s="1"/>
  <c r="AS142" i="3"/>
  <c r="AS190" i="3"/>
  <c r="AS214" i="3"/>
  <c r="AS24" i="3"/>
  <c r="AS32" i="3"/>
  <c r="AS40" i="3"/>
  <c r="AS48" i="3"/>
  <c r="AU48" i="3" s="1"/>
  <c r="AS56" i="3"/>
  <c r="AS64" i="3"/>
  <c r="AU64" i="3" s="1"/>
  <c r="AS72" i="3"/>
  <c r="AS80" i="3"/>
  <c r="AU80" i="3" s="1"/>
  <c r="AS88" i="3"/>
  <c r="AU88" i="3" s="1"/>
  <c r="AS96" i="3"/>
  <c r="AS104" i="3"/>
  <c r="AS112" i="3"/>
  <c r="AU112" i="3" s="1"/>
  <c r="AS120" i="3"/>
  <c r="AS128" i="3"/>
  <c r="AU128" i="3" s="1"/>
  <c r="AS136" i="3"/>
  <c r="AU136" i="3" s="1"/>
  <c r="AS144" i="3"/>
  <c r="AS152" i="3"/>
  <c r="AS160" i="3"/>
  <c r="AS168" i="3"/>
  <c r="AU168" i="3" s="1"/>
  <c r="AS176" i="3"/>
  <c r="AS184" i="3"/>
  <c r="AS192" i="3"/>
  <c r="AU192" i="3" s="1"/>
  <c r="AS200" i="3"/>
  <c r="AU200" i="3" s="1"/>
  <c r="AS208" i="3"/>
  <c r="AS216" i="3"/>
  <c r="AS224" i="3"/>
  <c r="AU224" i="3" s="1"/>
  <c r="AS186" i="3"/>
  <c r="AU186" i="3" s="1"/>
  <c r="AS218" i="3"/>
  <c r="AU218" i="3" s="1"/>
  <c r="AS84" i="3"/>
  <c r="AS116" i="3"/>
  <c r="AU116" i="3" s="1"/>
  <c r="AS156" i="3"/>
  <c r="AU156" i="3" s="1"/>
  <c r="AS196" i="3"/>
  <c r="AU196" i="3" s="1"/>
  <c r="AS45" i="3"/>
  <c r="AS85" i="3"/>
  <c r="AS125" i="3"/>
  <c r="AU125" i="3" s="1"/>
  <c r="AS165" i="3"/>
  <c r="AS213" i="3"/>
  <c r="AS54" i="3"/>
  <c r="AS86" i="3"/>
  <c r="AS126" i="3"/>
  <c r="AS166" i="3"/>
  <c r="AS222" i="3"/>
  <c r="AS25" i="3"/>
  <c r="AS33" i="3"/>
  <c r="AS41" i="3"/>
  <c r="AS49" i="3"/>
  <c r="AS57" i="3"/>
  <c r="AS65" i="3"/>
  <c r="AU65" i="3" s="1"/>
  <c r="AS73" i="3"/>
  <c r="AU73" i="3" s="1"/>
  <c r="AS81" i="3"/>
  <c r="AU81" i="3" s="1"/>
  <c r="AS89" i="3"/>
  <c r="AS97" i="3"/>
  <c r="AS105" i="3"/>
  <c r="AS113" i="3"/>
  <c r="AU113" i="3" s="1"/>
  <c r="AS121" i="3"/>
  <c r="AS129" i="3"/>
  <c r="AS137" i="3"/>
  <c r="AS145" i="3"/>
  <c r="AS153" i="3"/>
  <c r="AS161" i="3"/>
  <c r="AS169" i="3"/>
  <c r="AS177" i="3"/>
  <c r="AS185" i="3"/>
  <c r="AU185" i="3" s="1"/>
  <c r="AS193" i="3"/>
  <c r="AS201" i="3"/>
  <c r="AS209" i="3"/>
  <c r="AU209" i="3" s="1"/>
  <c r="AS217" i="3"/>
  <c r="AU217" i="3" s="1"/>
  <c r="AS225" i="3"/>
  <c r="AS162" i="3"/>
  <c r="AS202" i="3"/>
  <c r="AU202" i="3" s="1"/>
  <c r="AS60" i="3"/>
  <c r="AS140" i="3"/>
  <c r="AS188" i="3"/>
  <c r="AS228" i="3"/>
  <c r="AS53" i="3"/>
  <c r="AS93" i="3"/>
  <c r="AU93" i="3" s="1"/>
  <c r="AS133" i="3"/>
  <c r="AS157" i="3"/>
  <c r="AS197" i="3"/>
  <c r="AS38" i="3"/>
  <c r="AS94" i="3"/>
  <c r="AS134" i="3"/>
  <c r="AS174" i="3"/>
  <c r="AS198" i="3"/>
  <c r="AS26" i="3"/>
  <c r="AS34" i="3"/>
  <c r="AU34" i="3" s="1"/>
  <c r="AS42" i="3"/>
  <c r="AS50" i="3"/>
  <c r="AS58" i="3"/>
  <c r="AS66" i="3"/>
  <c r="AS74" i="3"/>
  <c r="AS82" i="3"/>
  <c r="AS90" i="3"/>
  <c r="AS98" i="3"/>
  <c r="AS106" i="3"/>
  <c r="AU106" i="3" s="1"/>
  <c r="AS114" i="3"/>
  <c r="AS122" i="3"/>
  <c r="AU122" i="3" s="1"/>
  <c r="AS130" i="3"/>
  <c r="AS138" i="3"/>
  <c r="AS146" i="3"/>
  <c r="AU146" i="3" s="1"/>
  <c r="AS154" i="3"/>
  <c r="AS178" i="3"/>
  <c r="AS194" i="3"/>
  <c r="AS226" i="3"/>
  <c r="AS92" i="3"/>
  <c r="AS132" i="3"/>
  <c r="AU132" i="3" s="1"/>
  <c r="AS172" i="3"/>
  <c r="AS220" i="3"/>
  <c r="AU220" i="3" s="1"/>
  <c r="AS29" i="3"/>
  <c r="AS77" i="3"/>
  <c r="AS117" i="3"/>
  <c r="AU117" i="3" s="1"/>
  <c r="AS181" i="3"/>
  <c r="AU181" i="3" s="1"/>
  <c r="AS221" i="3"/>
  <c r="AS46" i="3"/>
  <c r="AS78" i="3"/>
  <c r="AS118" i="3"/>
  <c r="AU118" i="3" s="1"/>
  <c r="AS158" i="3"/>
  <c r="AS206" i="3"/>
  <c r="AS27" i="3"/>
  <c r="AS35" i="3"/>
  <c r="AU35" i="3" s="1"/>
  <c r="AS43" i="3"/>
  <c r="AU43" i="3" s="1"/>
  <c r="AS51" i="3"/>
  <c r="AS59" i="3"/>
  <c r="AS67" i="3"/>
  <c r="AS75" i="3"/>
  <c r="AS83" i="3"/>
  <c r="AU83" i="3" s="1"/>
  <c r="AS91" i="3"/>
  <c r="AU91" i="3" s="1"/>
  <c r="AS99" i="3"/>
  <c r="AU99" i="3" s="1"/>
  <c r="AS107" i="3"/>
  <c r="AU107" i="3" s="1"/>
  <c r="AS115" i="3"/>
  <c r="AS123" i="3"/>
  <c r="AS131" i="3"/>
  <c r="AS139" i="3"/>
  <c r="AS147" i="3"/>
  <c r="AS155" i="3"/>
  <c r="AU155" i="3" s="1"/>
  <c r="AS163" i="3"/>
  <c r="AS171" i="3"/>
  <c r="AU171" i="3" s="1"/>
  <c r="AS179" i="3"/>
  <c r="AU179" i="3" s="1"/>
  <c r="AS187" i="3"/>
  <c r="AS195" i="3"/>
  <c r="AS203" i="3"/>
  <c r="AS211" i="3"/>
  <c r="AU211" i="3" s="1"/>
  <c r="AS219" i="3"/>
  <c r="AU219" i="3" s="1"/>
  <c r="AS227" i="3"/>
  <c r="AU227" i="3" s="1"/>
  <c r="AS28" i="3"/>
  <c r="AS36" i="3"/>
  <c r="AU36" i="3" s="1"/>
  <c r="AS44" i="3"/>
  <c r="AU44" i="3" s="1"/>
  <c r="AS52" i="3"/>
  <c r="AS68" i="3"/>
  <c r="AU68" i="3" s="1"/>
  <c r="AS100" i="3"/>
  <c r="AU100" i="3" s="1"/>
  <c r="AS108" i="3"/>
  <c r="AU108" i="3" s="1"/>
  <c r="AS148" i="3"/>
  <c r="AS180" i="3"/>
  <c r="AS212" i="3"/>
  <c r="AU212" i="3" s="1"/>
  <c r="AS37" i="3"/>
  <c r="AS69" i="3"/>
  <c r="AS109" i="3"/>
  <c r="AS149" i="3"/>
  <c r="AS173" i="3"/>
  <c r="AS205" i="3"/>
  <c r="AS30" i="3"/>
  <c r="AS62" i="3"/>
  <c r="AS110" i="3"/>
  <c r="AS150" i="3"/>
  <c r="AS182" i="3"/>
  <c r="AS21" i="3"/>
  <c r="AS20" i="3"/>
  <c r="AU20" i="3" s="1"/>
  <c r="T27" i="3"/>
  <c r="BE228" i="3"/>
  <c r="BE220" i="3"/>
  <c r="BE204" i="3"/>
  <c r="BG44" i="3"/>
  <c r="R32" i="3"/>
  <c r="R200" i="3"/>
  <c r="R160" i="3"/>
  <c r="R113" i="3"/>
  <c r="R63" i="3"/>
  <c r="R216" i="3"/>
  <c r="R199" i="3"/>
  <c r="R176" i="3"/>
  <c r="R159" i="3"/>
  <c r="R136" i="3"/>
  <c r="R112" i="3"/>
  <c r="R87" i="3"/>
  <c r="R61" i="3"/>
  <c r="R34" i="3"/>
  <c r="R223" i="3"/>
  <c r="R177" i="3"/>
  <c r="R137" i="3"/>
  <c r="R88" i="3"/>
  <c r="R37" i="3"/>
  <c r="R215" i="3"/>
  <c r="R197" i="3"/>
  <c r="R175" i="3"/>
  <c r="R152" i="3"/>
  <c r="R135" i="3"/>
  <c r="R111" i="3"/>
  <c r="R85" i="3"/>
  <c r="R58" i="3"/>
  <c r="R33" i="3"/>
  <c r="R226" i="3"/>
  <c r="R209" i="3"/>
  <c r="R186" i="3"/>
  <c r="R165" i="3"/>
  <c r="R146" i="3"/>
  <c r="R122" i="3"/>
  <c r="R98" i="3"/>
  <c r="R73" i="3"/>
  <c r="R48" i="3"/>
  <c r="R23" i="3"/>
  <c r="R20" i="3"/>
  <c r="R210" i="3"/>
  <c r="R189" i="3"/>
  <c r="R170" i="3"/>
  <c r="R149" i="3"/>
  <c r="R125" i="3"/>
  <c r="R101" i="3"/>
  <c r="R74" i="3"/>
  <c r="R49" i="3"/>
  <c r="R24" i="3"/>
  <c r="R225" i="3"/>
  <c r="R202" i="3"/>
  <c r="R185" i="3"/>
  <c r="R162" i="3"/>
  <c r="R145" i="3"/>
  <c r="R121" i="3"/>
  <c r="R97" i="3"/>
  <c r="R72" i="3"/>
  <c r="R47" i="3"/>
  <c r="R133" i="3"/>
  <c r="R106" i="3"/>
  <c r="R95" i="3"/>
  <c r="R81" i="3"/>
  <c r="R56" i="3"/>
  <c r="R42" i="3"/>
  <c r="R221" i="3"/>
  <c r="R208" i="3"/>
  <c r="R194" i="3"/>
  <c r="R183" i="3"/>
  <c r="R169" i="3"/>
  <c r="R157" i="3"/>
  <c r="R144" i="3"/>
  <c r="R130" i="3"/>
  <c r="R119" i="3"/>
  <c r="R105" i="3"/>
  <c r="R93" i="3"/>
  <c r="R80" i="3"/>
  <c r="R66" i="3"/>
  <c r="R55" i="3"/>
  <c r="R41" i="3"/>
  <c r="R29" i="3"/>
  <c r="R218" i="3"/>
  <c r="R207" i="3"/>
  <c r="R193" i="3"/>
  <c r="R181" i="3"/>
  <c r="R168" i="3"/>
  <c r="R154" i="3"/>
  <c r="R143" i="3"/>
  <c r="R129" i="3"/>
  <c r="R117" i="3"/>
  <c r="R104" i="3"/>
  <c r="R90" i="3"/>
  <c r="R79" i="3"/>
  <c r="R65" i="3"/>
  <c r="R53" i="3"/>
  <c r="R40" i="3"/>
  <c r="R26" i="3"/>
  <c r="R217" i="3"/>
  <c r="R205" i="3"/>
  <c r="R192" i="3"/>
  <c r="R178" i="3"/>
  <c r="R167" i="3"/>
  <c r="R153" i="3"/>
  <c r="R141" i="3"/>
  <c r="R128" i="3"/>
  <c r="R114" i="3"/>
  <c r="R103" i="3"/>
  <c r="R89" i="3"/>
  <c r="R77" i="3"/>
  <c r="R64" i="3"/>
  <c r="R50" i="3"/>
  <c r="R39" i="3"/>
  <c r="R25" i="3"/>
  <c r="R69" i="3"/>
  <c r="R31" i="3"/>
  <c r="AE217" i="3"/>
  <c r="AE64" i="3"/>
  <c r="AE179" i="3"/>
  <c r="AE128" i="3"/>
  <c r="AE77" i="3"/>
  <c r="AE25" i="3"/>
  <c r="AE219" i="3"/>
  <c r="AE168" i="3"/>
  <c r="AE117" i="3"/>
  <c r="AE65" i="3"/>
  <c r="AE166" i="3"/>
  <c r="AE206" i="3"/>
  <c r="AE155" i="3"/>
  <c r="AE104" i="3"/>
  <c r="AE53" i="3"/>
  <c r="AE205" i="3"/>
  <c r="AE153" i="3"/>
  <c r="AE102" i="3"/>
  <c r="AE51" i="3"/>
  <c r="AE115" i="3"/>
  <c r="AE142" i="3"/>
  <c r="AE40" i="3"/>
  <c r="AE192" i="3"/>
  <c r="AE141" i="3"/>
  <c r="AE89" i="3"/>
  <c r="AE38" i="3"/>
  <c r="AE193" i="3"/>
  <c r="AE91" i="3"/>
  <c r="AE181" i="3"/>
  <c r="AE129" i="3"/>
  <c r="AE78" i="3"/>
  <c r="AE27" i="3"/>
  <c r="AE20" i="3"/>
  <c r="AE216" i="3"/>
  <c r="AE203" i="3"/>
  <c r="AE190" i="3"/>
  <c r="AE177" i="3"/>
  <c r="AE165" i="3"/>
  <c r="AE152" i="3"/>
  <c r="AE139" i="3"/>
  <c r="AE126" i="3"/>
  <c r="AE113" i="3"/>
  <c r="AE101" i="3"/>
  <c r="AE88" i="3"/>
  <c r="AE75" i="3"/>
  <c r="AE62" i="3"/>
  <c r="AE49" i="3"/>
  <c r="AE37" i="3"/>
  <c r="AE24" i="3"/>
  <c r="AE227" i="3"/>
  <c r="AE214" i="3"/>
  <c r="AE201" i="3"/>
  <c r="AE189" i="3"/>
  <c r="AE176" i="3"/>
  <c r="AE163" i="3"/>
  <c r="AE150" i="3"/>
  <c r="AE137" i="3"/>
  <c r="AE125" i="3"/>
  <c r="AE112" i="3"/>
  <c r="AE99" i="3"/>
  <c r="AE86" i="3"/>
  <c r="AE73" i="3"/>
  <c r="AE61" i="3"/>
  <c r="AE48" i="3"/>
  <c r="AE35" i="3"/>
  <c r="AE22" i="3"/>
  <c r="AE225" i="3"/>
  <c r="AE213" i="3"/>
  <c r="AE200" i="3"/>
  <c r="AE187" i="3"/>
  <c r="AE174" i="3"/>
  <c r="AE161" i="3"/>
  <c r="AE149" i="3"/>
  <c r="AE136" i="3"/>
  <c r="AE123" i="3"/>
  <c r="AE110" i="3"/>
  <c r="AE97" i="3"/>
  <c r="AE85" i="3"/>
  <c r="AE72" i="3"/>
  <c r="AE59" i="3"/>
  <c r="AE46" i="3"/>
  <c r="AE33" i="3"/>
  <c r="AE224" i="3"/>
  <c r="AE211" i="3"/>
  <c r="AE198" i="3"/>
  <c r="AE185" i="3"/>
  <c r="AE173" i="3"/>
  <c r="AE160" i="3"/>
  <c r="AE147" i="3"/>
  <c r="AE134" i="3"/>
  <c r="AE121" i="3"/>
  <c r="AE109" i="3"/>
  <c r="AE96" i="3"/>
  <c r="AE83" i="3"/>
  <c r="AE70" i="3"/>
  <c r="AE57" i="3"/>
  <c r="AE45" i="3"/>
  <c r="AE32" i="3"/>
  <c r="AE222" i="3"/>
  <c r="AE209" i="3"/>
  <c r="AE197" i="3"/>
  <c r="AE184" i="3"/>
  <c r="AE171" i="3"/>
  <c r="AE158" i="3"/>
  <c r="AE145" i="3"/>
  <c r="AE133" i="3"/>
  <c r="AE120" i="3"/>
  <c r="AE107" i="3"/>
  <c r="AE94" i="3"/>
  <c r="AE81" i="3"/>
  <c r="AE69" i="3"/>
  <c r="AE56" i="3"/>
  <c r="AE43" i="3"/>
  <c r="AE30" i="3"/>
  <c r="AE221" i="3"/>
  <c r="AE208" i="3"/>
  <c r="AE195" i="3"/>
  <c r="AE182" i="3"/>
  <c r="AE169" i="3"/>
  <c r="AE157" i="3"/>
  <c r="AE144" i="3"/>
  <c r="AE131" i="3"/>
  <c r="AE118" i="3"/>
  <c r="AE105" i="3"/>
  <c r="AE93" i="3"/>
  <c r="AE80" i="3"/>
  <c r="AE67" i="3"/>
  <c r="AE54" i="3"/>
  <c r="AE41" i="3"/>
  <c r="AE29" i="3"/>
  <c r="BE212" i="3"/>
  <c r="BE180" i="3"/>
  <c r="BE140" i="3"/>
  <c r="BE108" i="3"/>
  <c r="BE76" i="3"/>
  <c r="BE28" i="3"/>
  <c r="BE227" i="3"/>
  <c r="BE219" i="3"/>
  <c r="BE211" i="3"/>
  <c r="BE203" i="3"/>
  <c r="BE195" i="3"/>
  <c r="BE187" i="3"/>
  <c r="BE179" i="3"/>
  <c r="BE171" i="3"/>
  <c r="BE163" i="3"/>
  <c r="BE155" i="3"/>
  <c r="BE147" i="3"/>
  <c r="BE139" i="3"/>
  <c r="BE131" i="3"/>
  <c r="BE123" i="3"/>
  <c r="BE115" i="3"/>
  <c r="BE107" i="3"/>
  <c r="BE99" i="3"/>
  <c r="BE91" i="3"/>
  <c r="BE83" i="3"/>
  <c r="BE75" i="3"/>
  <c r="BE67" i="3"/>
  <c r="BE59" i="3"/>
  <c r="BE51" i="3"/>
  <c r="BE43" i="3"/>
  <c r="BE35" i="3"/>
  <c r="BE27" i="3"/>
  <c r="BE226" i="3"/>
  <c r="BE218" i="3"/>
  <c r="BE210" i="3"/>
  <c r="BE202" i="3"/>
  <c r="BE194" i="3"/>
  <c r="BE186" i="3"/>
  <c r="BE178" i="3"/>
  <c r="BE170" i="3"/>
  <c r="BE162" i="3"/>
  <c r="BE154" i="3"/>
  <c r="BE146" i="3"/>
  <c r="BE138" i="3"/>
  <c r="BE130" i="3"/>
  <c r="BE122" i="3"/>
  <c r="BE114" i="3"/>
  <c r="BE106" i="3"/>
  <c r="BE98" i="3"/>
  <c r="BE90" i="3"/>
  <c r="BE82" i="3"/>
  <c r="BE74" i="3"/>
  <c r="BE66" i="3"/>
  <c r="BE58" i="3"/>
  <c r="BE50" i="3"/>
  <c r="BE42" i="3"/>
  <c r="BE34" i="3"/>
  <c r="BE26" i="3"/>
  <c r="BE196" i="3"/>
  <c r="BE172" i="3"/>
  <c r="BE132" i="3"/>
  <c r="BE116" i="3"/>
  <c r="BE84" i="3"/>
  <c r="BE68" i="3"/>
  <c r="BE52" i="3"/>
  <c r="BE217" i="3"/>
  <c r="BE185" i="3"/>
  <c r="BE153" i="3"/>
  <c r="BE129" i="3"/>
  <c r="BE105" i="3"/>
  <c r="BE81" i="3"/>
  <c r="BE57" i="3"/>
  <c r="BE224" i="3"/>
  <c r="BE216" i="3"/>
  <c r="BE208" i="3"/>
  <c r="BE200" i="3"/>
  <c r="BE192" i="3"/>
  <c r="BE184" i="3"/>
  <c r="BE176" i="3"/>
  <c r="BE168" i="3"/>
  <c r="BE160" i="3"/>
  <c r="BE152" i="3"/>
  <c r="BE144" i="3"/>
  <c r="BE136" i="3"/>
  <c r="BE128" i="3"/>
  <c r="BE120" i="3"/>
  <c r="BE112" i="3"/>
  <c r="BE104" i="3"/>
  <c r="BE96" i="3"/>
  <c r="BE88" i="3"/>
  <c r="BE80" i="3"/>
  <c r="BE72" i="3"/>
  <c r="BE64" i="3"/>
  <c r="BE56" i="3"/>
  <c r="BE48" i="3"/>
  <c r="BE40" i="3"/>
  <c r="BE32" i="3"/>
  <c r="BE24" i="3"/>
  <c r="BE156" i="3"/>
  <c r="BE36" i="3"/>
  <c r="BE169" i="3"/>
  <c r="BE223" i="3"/>
  <c r="BE215" i="3"/>
  <c r="BE207" i="3"/>
  <c r="BE199" i="3"/>
  <c r="BE191" i="3"/>
  <c r="BE183" i="3"/>
  <c r="BE175" i="3"/>
  <c r="BE167" i="3"/>
  <c r="BE159" i="3"/>
  <c r="BE151" i="3"/>
  <c r="BE143" i="3"/>
  <c r="BE135" i="3"/>
  <c r="BE127" i="3"/>
  <c r="BE119" i="3"/>
  <c r="BE111" i="3"/>
  <c r="BE103" i="3"/>
  <c r="BE95" i="3"/>
  <c r="BE87" i="3"/>
  <c r="BE79" i="3"/>
  <c r="BE71" i="3"/>
  <c r="BE63" i="3"/>
  <c r="BE55" i="3"/>
  <c r="BE47" i="3"/>
  <c r="BE39" i="3"/>
  <c r="BE31" i="3"/>
  <c r="BE23" i="3"/>
  <c r="BE188" i="3"/>
  <c r="BE164" i="3"/>
  <c r="BE124" i="3"/>
  <c r="BE100" i="3"/>
  <c r="BE60" i="3"/>
  <c r="BE209" i="3"/>
  <c r="BE177" i="3"/>
  <c r="BE145" i="3"/>
  <c r="BE121" i="3"/>
  <c r="BE97" i="3"/>
  <c r="BE65" i="3"/>
  <c r="BE41" i="3"/>
  <c r="BE25" i="3"/>
  <c r="BE20" i="3"/>
  <c r="BE222" i="3"/>
  <c r="BE214" i="3"/>
  <c r="BE206" i="3"/>
  <c r="BE198" i="3"/>
  <c r="BE190" i="3"/>
  <c r="BE182" i="3"/>
  <c r="BE174" i="3"/>
  <c r="BE166" i="3"/>
  <c r="BE158" i="3"/>
  <c r="BE150" i="3"/>
  <c r="BE142" i="3"/>
  <c r="BE134" i="3"/>
  <c r="BE126" i="3"/>
  <c r="BE118" i="3"/>
  <c r="BE110" i="3"/>
  <c r="BE102" i="3"/>
  <c r="BE94" i="3"/>
  <c r="BE86" i="3"/>
  <c r="BE78" i="3"/>
  <c r="BE70" i="3"/>
  <c r="BE62" i="3"/>
  <c r="BE54" i="3"/>
  <c r="BE46" i="3"/>
  <c r="BE38" i="3"/>
  <c r="BE30" i="3"/>
  <c r="BE225" i="3"/>
  <c r="BE201" i="3"/>
  <c r="BE193" i="3"/>
  <c r="BE161" i="3"/>
  <c r="BE137" i="3"/>
  <c r="BE113" i="3"/>
  <c r="BE89" i="3"/>
  <c r="BE73" i="3"/>
  <c r="BE49" i="3"/>
  <c r="BE33" i="3"/>
  <c r="BE221" i="3"/>
  <c r="BE213" i="3"/>
  <c r="BE205" i="3"/>
  <c r="BE197" i="3"/>
  <c r="BE189" i="3"/>
  <c r="BE181" i="3"/>
  <c r="BE173" i="3"/>
  <c r="BE165" i="3"/>
  <c r="BE157" i="3"/>
  <c r="BE149" i="3"/>
  <c r="BE141" i="3"/>
  <c r="BE133" i="3"/>
  <c r="BE125" i="3"/>
  <c r="BE117" i="3"/>
  <c r="BE109" i="3"/>
  <c r="BE101" i="3"/>
  <c r="BE93" i="3"/>
  <c r="BE85" i="3"/>
  <c r="BE77" i="3"/>
  <c r="BE69" i="3"/>
  <c r="BE61" i="3"/>
  <c r="BE53" i="3"/>
  <c r="BE45" i="3"/>
  <c r="BE37" i="3"/>
  <c r="BE29" i="3"/>
  <c r="BE21" i="3"/>
  <c r="BE148" i="3"/>
  <c r="BE92" i="3"/>
  <c r="BE22" i="3"/>
  <c r="R222" i="3"/>
  <c r="R214" i="3"/>
  <c r="R206" i="3"/>
  <c r="R198" i="3"/>
  <c r="R190" i="3"/>
  <c r="R182" i="3"/>
  <c r="R174" i="3"/>
  <c r="R166" i="3"/>
  <c r="R158" i="3"/>
  <c r="R150" i="3"/>
  <c r="R142" i="3"/>
  <c r="R134" i="3"/>
  <c r="R126" i="3"/>
  <c r="R118" i="3"/>
  <c r="R110" i="3"/>
  <c r="R102" i="3"/>
  <c r="R94" i="3"/>
  <c r="R86" i="3"/>
  <c r="R78" i="3"/>
  <c r="R70" i="3"/>
  <c r="R62" i="3"/>
  <c r="R54" i="3"/>
  <c r="R46" i="3"/>
  <c r="R38" i="3"/>
  <c r="R30" i="3"/>
  <c r="R212" i="3"/>
  <c r="R196" i="3"/>
  <c r="R180" i="3"/>
  <c r="R164" i="3"/>
  <c r="R148" i="3"/>
  <c r="R116" i="3"/>
  <c r="R100" i="3"/>
  <c r="R84" i="3"/>
  <c r="R52" i="3"/>
  <c r="R28" i="3"/>
  <c r="R228" i="3"/>
  <c r="R220" i="3"/>
  <c r="R204" i="3"/>
  <c r="R188" i="3"/>
  <c r="R172" i="3"/>
  <c r="R156" i="3"/>
  <c r="R140" i="3"/>
  <c r="R132" i="3"/>
  <c r="R124" i="3"/>
  <c r="R108" i="3"/>
  <c r="R92" i="3"/>
  <c r="R76" i="3"/>
  <c r="R68" i="3"/>
  <c r="R60" i="3"/>
  <c r="R44" i="3"/>
  <c r="R36" i="3"/>
  <c r="R227" i="3"/>
  <c r="R219" i="3"/>
  <c r="R211" i="3"/>
  <c r="R203" i="3"/>
  <c r="R195" i="3"/>
  <c r="R187" i="3"/>
  <c r="R179" i="3"/>
  <c r="R171" i="3"/>
  <c r="R163" i="3"/>
  <c r="R155" i="3"/>
  <c r="R147" i="3"/>
  <c r="R139" i="3"/>
  <c r="R131" i="3"/>
  <c r="R123" i="3"/>
  <c r="R115" i="3"/>
  <c r="R107" i="3"/>
  <c r="R99" i="3"/>
  <c r="R91" i="3"/>
  <c r="R83" i="3"/>
  <c r="R75" i="3"/>
  <c r="R67" i="3"/>
  <c r="R59" i="3"/>
  <c r="R51" i="3"/>
  <c r="R43" i="3"/>
  <c r="R35" i="3"/>
  <c r="BG65" i="3"/>
  <c r="AE21" i="3"/>
  <c r="AG26" i="3"/>
  <c r="AE223" i="3"/>
  <c r="AE215" i="3"/>
  <c r="AE207" i="3"/>
  <c r="AE199" i="3"/>
  <c r="AE191" i="3"/>
  <c r="AE183" i="3"/>
  <c r="AE175" i="3"/>
  <c r="AE167" i="3"/>
  <c r="AE159" i="3"/>
  <c r="AE151" i="3"/>
  <c r="AE143" i="3"/>
  <c r="AE135" i="3"/>
  <c r="AE127" i="3"/>
  <c r="AE119" i="3"/>
  <c r="AE111" i="3"/>
  <c r="AE103" i="3"/>
  <c r="AE95" i="3"/>
  <c r="AE87" i="3"/>
  <c r="AE79" i="3"/>
  <c r="AE71" i="3"/>
  <c r="AE63" i="3"/>
  <c r="AE55" i="3"/>
  <c r="AE47" i="3"/>
  <c r="AE39" i="3"/>
  <c r="AE31" i="3"/>
  <c r="AE23" i="3"/>
  <c r="AE228" i="3"/>
  <c r="AE220" i="3"/>
  <c r="AE212" i="3"/>
  <c r="AE204" i="3"/>
  <c r="AE196" i="3"/>
  <c r="AE188" i="3"/>
  <c r="AE180" i="3"/>
  <c r="AE172" i="3"/>
  <c r="AE164" i="3"/>
  <c r="AE156" i="3"/>
  <c r="AE148" i="3"/>
  <c r="AE140" i="3"/>
  <c r="AE132" i="3"/>
  <c r="AE124" i="3"/>
  <c r="AE116" i="3"/>
  <c r="AE108" i="3"/>
  <c r="AE100" i="3"/>
  <c r="AE92" i="3"/>
  <c r="AE84" i="3"/>
  <c r="AE76" i="3"/>
  <c r="AE68" i="3"/>
  <c r="AE60" i="3"/>
  <c r="AE52" i="3"/>
  <c r="AE44" i="3"/>
  <c r="AE36" i="3"/>
  <c r="AE28" i="3"/>
  <c r="AE226" i="3"/>
  <c r="AE218" i="3"/>
  <c r="AE210" i="3"/>
  <c r="AE202" i="3"/>
  <c r="AE194" i="3"/>
  <c r="AE186" i="3"/>
  <c r="AE178" i="3"/>
  <c r="AE170" i="3"/>
  <c r="AE162" i="3"/>
  <c r="AE154" i="3"/>
  <c r="AE146" i="3"/>
  <c r="AE138" i="3"/>
  <c r="AE130" i="3"/>
  <c r="AE122" i="3"/>
  <c r="AE114" i="3"/>
  <c r="AE106" i="3"/>
  <c r="AE98" i="3"/>
  <c r="AE90" i="3"/>
  <c r="AE82" i="3"/>
  <c r="AE74" i="3"/>
  <c r="AE66" i="3"/>
  <c r="AE58" i="3"/>
  <c r="AE50" i="3"/>
  <c r="AE42" i="3"/>
  <c r="AE34" i="3"/>
  <c r="R21" i="3"/>
  <c r="R22" i="3"/>
  <c r="D21" i="3"/>
  <c r="D22" i="3"/>
  <c r="A233" i="3" s="1"/>
  <c r="D23" i="3"/>
  <c r="A234" i="3" s="1"/>
  <c r="D24" i="3"/>
  <c r="A235" i="3" s="1"/>
  <c r="D25" i="3"/>
  <c r="A236" i="3" s="1"/>
  <c r="D26" i="3"/>
  <c r="D27" i="3"/>
  <c r="D28" i="3"/>
  <c r="D29" i="3"/>
  <c r="D30" i="3"/>
  <c r="D31" i="3"/>
  <c r="D32" i="3"/>
  <c r="D33" i="3"/>
  <c r="A244" i="3" s="1"/>
  <c r="D34" i="3"/>
  <c r="D35" i="3"/>
  <c r="D36" i="3"/>
  <c r="A247" i="3" s="1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BA19" i="3" l="1"/>
  <c r="A257" i="3"/>
  <c r="A256" i="3"/>
  <c r="A248" i="3"/>
  <c r="A240" i="3"/>
  <c r="A255" i="3"/>
  <c r="A239" i="3"/>
  <c r="A249" i="3"/>
  <c r="A254" i="3"/>
  <c r="A246" i="3"/>
  <c r="A238" i="3"/>
  <c r="A241" i="3"/>
  <c r="A253" i="3"/>
  <c r="A245" i="3"/>
  <c r="A237" i="3"/>
  <c r="A252" i="3"/>
  <c r="A251" i="3"/>
  <c r="A243" i="3"/>
  <c r="A250" i="3"/>
  <c r="A242" i="3"/>
  <c r="T161" i="3"/>
  <c r="AG27" i="3"/>
  <c r="BG46" i="3"/>
  <c r="BG59" i="3"/>
  <c r="BG139" i="3"/>
  <c r="BG224" i="3"/>
  <c r="BG165" i="3"/>
  <c r="BG57" i="3"/>
  <c r="BG100" i="3"/>
  <c r="BG227" i="3"/>
  <c r="BG51" i="3"/>
  <c r="AU165" i="3"/>
  <c r="AU67" i="3"/>
  <c r="AU124" i="3"/>
  <c r="AG148" i="3"/>
  <c r="AG201" i="3"/>
  <c r="AG181" i="3"/>
  <c r="AG42" i="3"/>
  <c r="AG170" i="3"/>
  <c r="AG220" i="3"/>
  <c r="AG222" i="3"/>
  <c r="AG121" i="3"/>
  <c r="AG123" i="3"/>
  <c r="AG225" i="3"/>
  <c r="AG112" i="3"/>
  <c r="AG214" i="3"/>
  <c r="AG203" i="3"/>
  <c r="AG91" i="3"/>
  <c r="AG128" i="3"/>
  <c r="AG105" i="3"/>
  <c r="AG109" i="3"/>
  <c r="AG99" i="3"/>
  <c r="AG155" i="3"/>
  <c r="AG50" i="3"/>
  <c r="AG114" i="3"/>
  <c r="AG228" i="3"/>
  <c r="AG131" i="3"/>
  <c r="AG30" i="3"/>
  <c r="AG32" i="3"/>
  <c r="AG33" i="3"/>
  <c r="AG125" i="3"/>
  <c r="AG216" i="3"/>
  <c r="AG193" i="3"/>
  <c r="AG179" i="3"/>
  <c r="AG226" i="3"/>
  <c r="AG211" i="3"/>
  <c r="AG122" i="3"/>
  <c r="AG186" i="3"/>
  <c r="AG44" i="3"/>
  <c r="AG144" i="3"/>
  <c r="AG145" i="3"/>
  <c r="AG45" i="3"/>
  <c r="AG147" i="3"/>
  <c r="AG126" i="3"/>
  <c r="AG65" i="3"/>
  <c r="AG64" i="3"/>
  <c r="AG157" i="3"/>
  <c r="AG56" i="3"/>
  <c r="AG160" i="3"/>
  <c r="AG161" i="3"/>
  <c r="AG150" i="3"/>
  <c r="AG139" i="3"/>
  <c r="AG89" i="3"/>
  <c r="AG153" i="3"/>
  <c r="AG117" i="3"/>
  <c r="AG217" i="3"/>
  <c r="AG212" i="3"/>
  <c r="AG194" i="3"/>
  <c r="AG202" i="3"/>
  <c r="AG188" i="3"/>
  <c r="AG67" i="3"/>
  <c r="AG169" i="3"/>
  <c r="AG173" i="3"/>
  <c r="AG174" i="3"/>
  <c r="AG61" i="3"/>
  <c r="AG141" i="3"/>
  <c r="AG205" i="3"/>
  <c r="AG209" i="3"/>
  <c r="AG190" i="3"/>
  <c r="AG130" i="3"/>
  <c r="AG52" i="3"/>
  <c r="AG82" i="3"/>
  <c r="AG210" i="3"/>
  <c r="AG68" i="3"/>
  <c r="AG196" i="3"/>
  <c r="AG80" i="3"/>
  <c r="AG182" i="3"/>
  <c r="AG81" i="3"/>
  <c r="AG184" i="3"/>
  <c r="AG83" i="3"/>
  <c r="AG85" i="3"/>
  <c r="AG187" i="3"/>
  <c r="AG73" i="3"/>
  <c r="AG176" i="3"/>
  <c r="AG165" i="3"/>
  <c r="AG192" i="3"/>
  <c r="AG154" i="3"/>
  <c r="AG218" i="3"/>
  <c r="AG204" i="3"/>
  <c r="AG94" i="3"/>
  <c r="AG198" i="3"/>
  <c r="AG97" i="3"/>
  <c r="AG200" i="3"/>
  <c r="AG75" i="3"/>
  <c r="AG129" i="3"/>
  <c r="AG40" i="3"/>
  <c r="AG166" i="3"/>
  <c r="T109" i="3"/>
  <c r="T184" i="3"/>
  <c r="T191" i="3"/>
  <c r="T201" i="3"/>
  <c r="T71" i="3"/>
  <c r="AU89" i="3"/>
  <c r="BG176" i="3"/>
  <c r="AU172" i="3"/>
  <c r="BG112" i="3"/>
  <c r="AG48" i="3"/>
  <c r="BG186" i="3"/>
  <c r="T52" i="3"/>
  <c r="T88" i="3"/>
  <c r="T136" i="3"/>
  <c r="AU142" i="3"/>
  <c r="AU79" i="3"/>
  <c r="AU177" i="3"/>
  <c r="AU77" i="3"/>
  <c r="AU149" i="3"/>
  <c r="AU143" i="3"/>
  <c r="AU157" i="3"/>
  <c r="AG92" i="3"/>
  <c r="AG77" i="3"/>
  <c r="AG224" i="3"/>
  <c r="AG142" i="3"/>
  <c r="AG118" i="3"/>
  <c r="AG21" i="3"/>
  <c r="AG22" i="3"/>
  <c r="T127" i="3"/>
  <c r="AU78" i="3"/>
  <c r="AU25" i="3"/>
  <c r="AU110" i="3"/>
  <c r="T129" i="3"/>
  <c r="AU40" i="3"/>
  <c r="AU174" i="3"/>
  <c r="AU104" i="3"/>
  <c r="AU53" i="3"/>
  <c r="AU55" i="3"/>
  <c r="AU153" i="3"/>
  <c r="BG71" i="3"/>
  <c r="AU69" i="3"/>
  <c r="AU57" i="3"/>
  <c r="AU38" i="3"/>
  <c r="AU51" i="3"/>
  <c r="AU134" i="3"/>
  <c r="AU96" i="3"/>
  <c r="T113" i="3"/>
  <c r="T82" i="3"/>
  <c r="T138" i="3"/>
  <c r="AG164" i="3"/>
  <c r="AU167" i="3"/>
  <c r="AU160" i="3"/>
  <c r="AU115" i="3"/>
  <c r="BG185" i="3"/>
  <c r="AU189" i="3"/>
  <c r="AU228" i="3"/>
  <c r="AG51" i="3"/>
  <c r="AU222" i="3"/>
  <c r="AU175" i="3"/>
  <c r="T40" i="3"/>
  <c r="AU46" i="3"/>
  <c r="AU47" i="3"/>
  <c r="AU62" i="3"/>
  <c r="AU130" i="3"/>
  <c r="AU85" i="3"/>
  <c r="AU32" i="3"/>
  <c r="AU111" i="3"/>
  <c r="BG127" i="3"/>
  <c r="T73" i="3"/>
  <c r="BG26" i="3"/>
  <c r="BG216" i="3"/>
  <c r="T33" i="3"/>
  <c r="AG140" i="3"/>
  <c r="AG107" i="3"/>
  <c r="BG161" i="3"/>
  <c r="AG88" i="3"/>
  <c r="AG213" i="3"/>
  <c r="AU184" i="3"/>
  <c r="BG149" i="3"/>
  <c r="AU129" i="3"/>
  <c r="AU164" i="3"/>
  <c r="BG191" i="3"/>
  <c r="AU133" i="3"/>
  <c r="AU135" i="3"/>
  <c r="AU105" i="3"/>
  <c r="AU84" i="3"/>
  <c r="BG154" i="3"/>
  <c r="AU169" i="3"/>
  <c r="AG101" i="3"/>
  <c r="AG120" i="3"/>
  <c r="AU56" i="3"/>
  <c r="BG90" i="3"/>
  <c r="AG110" i="3"/>
  <c r="AU162" i="3"/>
  <c r="BG63" i="3"/>
  <c r="AU213" i="3"/>
  <c r="T128" i="3"/>
  <c r="T104" i="3"/>
  <c r="AU199" i="3"/>
  <c r="AU120" i="3"/>
  <c r="AU75" i="3"/>
  <c r="T120" i="3"/>
  <c r="BG62" i="3"/>
  <c r="AU109" i="3"/>
  <c r="AG221" i="3"/>
  <c r="BG88" i="3"/>
  <c r="AG208" i="3"/>
  <c r="AU144" i="3"/>
  <c r="AU139" i="3"/>
  <c r="T57" i="3"/>
  <c r="BG180" i="3"/>
  <c r="AU71" i="3"/>
  <c r="AU90" i="3"/>
  <c r="AG111" i="3"/>
  <c r="BG218" i="3"/>
  <c r="AU154" i="3"/>
  <c r="AG78" i="3"/>
  <c r="AU41" i="3"/>
  <c r="BG126" i="3"/>
  <c r="BG194" i="3"/>
  <c r="BG173" i="3"/>
  <c r="AG171" i="3"/>
  <c r="AG102" i="3"/>
  <c r="T96" i="3"/>
  <c r="T213" i="3"/>
  <c r="T45" i="3"/>
  <c r="T63" i="3"/>
  <c r="T173" i="3"/>
  <c r="T224" i="3"/>
  <c r="T48" i="3"/>
  <c r="T169" i="3"/>
  <c r="AU201" i="3"/>
  <c r="AG185" i="3"/>
  <c r="AU92" i="3"/>
  <c r="AG62" i="3"/>
  <c r="AU152" i="3"/>
  <c r="AU221" i="3"/>
  <c r="AU195" i="3"/>
  <c r="AU188" i="3"/>
  <c r="T151" i="3"/>
  <c r="AU180" i="3"/>
  <c r="AU170" i="3"/>
  <c r="AU28" i="3"/>
  <c r="T188" i="3"/>
  <c r="BG175" i="3"/>
  <c r="T32" i="3"/>
  <c r="T137" i="3"/>
  <c r="AU166" i="3"/>
  <c r="AU216" i="3"/>
  <c r="AG55" i="3"/>
  <c r="AU45" i="3"/>
  <c r="BG60" i="3"/>
  <c r="AU58" i="3"/>
  <c r="AU137" i="3"/>
  <c r="AU24" i="3"/>
  <c r="AU141" i="3"/>
  <c r="AU198" i="3"/>
  <c r="AU82" i="3"/>
  <c r="T20" i="3"/>
  <c r="AU191" i="3"/>
  <c r="AU97" i="3"/>
  <c r="AU131" i="3"/>
  <c r="AG136" i="3"/>
  <c r="AU127" i="3"/>
  <c r="AU176" i="3"/>
  <c r="AU161" i="3"/>
  <c r="BG61" i="3"/>
  <c r="BG101" i="3"/>
  <c r="BG137" i="3"/>
  <c r="AU52" i="3"/>
  <c r="BG143" i="3"/>
  <c r="AU33" i="3"/>
  <c r="AU225" i="3"/>
  <c r="BG42" i="3"/>
  <c r="AU50" i="3"/>
  <c r="AU223" i="3"/>
  <c r="AU163" i="3"/>
  <c r="AU148" i="3"/>
  <c r="AU203" i="3"/>
  <c r="AU193" i="3"/>
  <c r="AU205" i="3"/>
  <c r="AU159" i="3"/>
  <c r="AU114" i="3"/>
  <c r="AU95" i="3"/>
  <c r="AU208" i="3"/>
  <c r="AU140" i="3"/>
  <c r="AU126" i="3"/>
  <c r="AU173" i="3"/>
  <c r="AU23" i="3"/>
  <c r="AU87" i="3"/>
  <c r="AU151" i="3"/>
  <c r="AU72" i="3"/>
  <c r="AU145" i="3"/>
  <c r="AU42" i="3"/>
  <c r="AU60" i="3"/>
  <c r="AU197" i="3"/>
  <c r="AU27" i="3"/>
  <c r="AU49" i="3"/>
  <c r="AU61" i="3"/>
  <c r="BG122" i="3"/>
  <c r="BG184" i="3"/>
  <c r="BG95" i="3"/>
  <c r="BG223" i="3"/>
  <c r="BG177" i="3"/>
  <c r="BG222" i="3"/>
  <c r="AU98" i="3"/>
  <c r="AU147" i="3"/>
  <c r="AU206" i="3"/>
  <c r="AU59" i="3"/>
  <c r="AU123" i="3"/>
  <c r="AU187" i="3"/>
  <c r="AU21" i="3"/>
  <c r="BB19" i="3" s="1"/>
  <c r="AG115" i="3"/>
  <c r="AG43" i="3"/>
  <c r="AG206" i="3"/>
  <c r="AG183" i="3"/>
  <c r="AG119" i="3"/>
  <c r="AG46" i="3"/>
  <c r="T41" i="3"/>
  <c r="T144" i="3"/>
  <c r="F57" i="3"/>
  <c r="T31" i="3"/>
  <c r="T183" i="3"/>
  <c r="T149" i="3"/>
  <c r="BG209" i="3"/>
  <c r="AG177" i="3"/>
  <c r="AG189" i="3"/>
  <c r="BG38" i="3"/>
  <c r="BG77" i="3"/>
  <c r="AG86" i="3"/>
  <c r="T91" i="3"/>
  <c r="T155" i="3"/>
  <c r="T219" i="3"/>
  <c r="T108" i="3"/>
  <c r="T220" i="3"/>
  <c r="T164" i="3"/>
  <c r="T62" i="3"/>
  <c r="T126" i="3"/>
  <c r="T190" i="3"/>
  <c r="T69" i="3"/>
  <c r="T167" i="3"/>
  <c r="T26" i="3"/>
  <c r="T93" i="3"/>
  <c r="T194" i="3"/>
  <c r="T133" i="3"/>
  <c r="T202" i="3"/>
  <c r="T170" i="3"/>
  <c r="T122" i="3"/>
  <c r="T85" i="3"/>
  <c r="T200" i="3"/>
  <c r="F193" i="3"/>
  <c r="F65" i="3"/>
  <c r="F25" i="3"/>
  <c r="T147" i="3"/>
  <c r="T182" i="3"/>
  <c r="T98" i="3"/>
  <c r="BG39" i="3"/>
  <c r="T54" i="3"/>
  <c r="AG152" i="3"/>
  <c r="AG168" i="3"/>
  <c r="T35" i="3"/>
  <c r="T99" i="3"/>
  <c r="T163" i="3"/>
  <c r="T227" i="3"/>
  <c r="T124" i="3"/>
  <c r="T180" i="3"/>
  <c r="T70" i="3"/>
  <c r="T134" i="3"/>
  <c r="T198" i="3"/>
  <c r="T77" i="3"/>
  <c r="T178" i="3"/>
  <c r="T105" i="3"/>
  <c r="T208" i="3"/>
  <c r="T47" i="3"/>
  <c r="T225" i="3"/>
  <c r="T189" i="3"/>
  <c r="T146" i="3"/>
  <c r="T111" i="3"/>
  <c r="T159" i="3"/>
  <c r="F217" i="3"/>
  <c r="F177" i="3"/>
  <c r="F145" i="3"/>
  <c r="F121" i="3"/>
  <c r="F81" i="3"/>
  <c r="F33" i="3"/>
  <c r="T204" i="3"/>
  <c r="T80" i="3"/>
  <c r="T106" i="3"/>
  <c r="T37" i="3"/>
  <c r="F228" i="3"/>
  <c r="F212" i="3"/>
  <c r="F196" i="3"/>
  <c r="F180" i="3"/>
  <c r="F164" i="3"/>
  <c r="F148" i="3"/>
  <c r="F132" i="3"/>
  <c r="F116" i="3"/>
  <c r="F100" i="3"/>
  <c r="F84" i="3"/>
  <c r="F68" i="3"/>
  <c r="F52" i="3"/>
  <c r="F36" i="3"/>
  <c r="BG210" i="3"/>
  <c r="BG80" i="3"/>
  <c r="BG66" i="3"/>
  <c r="T118" i="3"/>
  <c r="AG70" i="3"/>
  <c r="AG195" i="3"/>
  <c r="AG96" i="3"/>
  <c r="T43" i="3"/>
  <c r="T107" i="3"/>
  <c r="T36" i="3"/>
  <c r="T28" i="3"/>
  <c r="T196" i="3"/>
  <c r="T78" i="3"/>
  <c r="T142" i="3"/>
  <c r="T206" i="3"/>
  <c r="T192" i="3"/>
  <c r="T53" i="3"/>
  <c r="T154" i="3"/>
  <c r="T119" i="3"/>
  <c r="T221" i="3"/>
  <c r="T210" i="3"/>
  <c r="T165" i="3"/>
  <c r="T135" i="3"/>
  <c r="F89" i="3"/>
  <c r="T83" i="3"/>
  <c r="T148" i="3"/>
  <c r="T117" i="3"/>
  <c r="T58" i="3"/>
  <c r="BG20" i="3"/>
  <c r="BN19" i="3" s="1"/>
  <c r="T160" i="3"/>
  <c r="AG197" i="3"/>
  <c r="BG141" i="3"/>
  <c r="BG182" i="3"/>
  <c r="BG129" i="3"/>
  <c r="BG82" i="3"/>
  <c r="AG163" i="3"/>
  <c r="T51" i="3"/>
  <c r="T115" i="3"/>
  <c r="T179" i="3"/>
  <c r="T44" i="3"/>
  <c r="T140" i="3"/>
  <c r="T212" i="3"/>
  <c r="T86" i="3"/>
  <c r="T150" i="3"/>
  <c r="T214" i="3"/>
  <c r="T103" i="3"/>
  <c r="T205" i="3"/>
  <c r="T29" i="3"/>
  <c r="T130" i="3"/>
  <c r="T42" i="3"/>
  <c r="T49" i="3"/>
  <c r="T186" i="3"/>
  <c r="T223" i="3"/>
  <c r="T199" i="3"/>
  <c r="BG220" i="3"/>
  <c r="F209" i="3"/>
  <c r="F161" i="3"/>
  <c r="F113" i="3"/>
  <c r="T211" i="3"/>
  <c r="T50" i="3"/>
  <c r="T218" i="3"/>
  <c r="BG208" i="3"/>
  <c r="BG144" i="3"/>
  <c r="BG89" i="3"/>
  <c r="BG55" i="3"/>
  <c r="BG125" i="3"/>
  <c r="AG93" i="3"/>
  <c r="BG76" i="3"/>
  <c r="T59" i="3"/>
  <c r="T123" i="3"/>
  <c r="T60" i="3"/>
  <c r="T156" i="3"/>
  <c r="T84" i="3"/>
  <c r="T30" i="3"/>
  <c r="T94" i="3"/>
  <c r="T158" i="3"/>
  <c r="T222" i="3"/>
  <c r="T114" i="3"/>
  <c r="T217" i="3"/>
  <c r="T181" i="3"/>
  <c r="T56" i="3"/>
  <c r="T121" i="3"/>
  <c r="T74" i="3"/>
  <c r="T209" i="3"/>
  <c r="T175" i="3"/>
  <c r="T34" i="3"/>
  <c r="T216" i="3"/>
  <c r="BG204" i="3"/>
  <c r="T90" i="3"/>
  <c r="T193" i="3"/>
  <c r="T55" i="3"/>
  <c r="T157" i="3"/>
  <c r="T81" i="3"/>
  <c r="T145" i="3"/>
  <c r="T101" i="3"/>
  <c r="T226" i="3"/>
  <c r="T197" i="3"/>
  <c r="T61" i="3"/>
  <c r="F225" i="3"/>
  <c r="F185" i="3"/>
  <c r="F153" i="3"/>
  <c r="F129" i="3"/>
  <c r="F97" i="3"/>
  <c r="F49" i="3"/>
  <c r="T67" i="3"/>
  <c r="T131" i="3"/>
  <c r="T195" i="3"/>
  <c r="T68" i="3"/>
  <c r="T172" i="3"/>
  <c r="T100" i="3"/>
  <c r="T38" i="3"/>
  <c r="T102" i="3"/>
  <c r="T166" i="3"/>
  <c r="T112" i="3"/>
  <c r="BG183" i="3"/>
  <c r="T75" i="3"/>
  <c r="T139" i="3"/>
  <c r="T203" i="3"/>
  <c r="T76" i="3"/>
  <c r="T46" i="3"/>
  <c r="T110" i="3"/>
  <c r="T174" i="3"/>
  <c r="T39" i="3"/>
  <c r="T141" i="3"/>
  <c r="T207" i="3"/>
  <c r="T66" i="3"/>
  <c r="T95" i="3"/>
  <c r="T162" i="3"/>
  <c r="T125" i="3"/>
  <c r="T215" i="3"/>
  <c r="T87" i="3"/>
  <c r="BG193" i="3"/>
  <c r="BG96" i="3"/>
  <c r="BG28" i="3"/>
  <c r="BG157" i="3"/>
  <c r="BG226" i="3"/>
  <c r="BG135" i="3"/>
  <c r="BG134" i="3"/>
  <c r="BG117" i="3"/>
  <c r="BG203" i="3"/>
  <c r="BG199" i="3"/>
  <c r="BG162" i="3"/>
  <c r="BG198" i="3"/>
  <c r="BG93" i="3"/>
  <c r="BG228" i="3"/>
  <c r="BG75" i="3"/>
  <c r="BG34" i="3"/>
  <c r="BG98" i="3"/>
  <c r="BG164" i="3"/>
  <c r="BG32" i="3"/>
  <c r="BG52" i="3"/>
  <c r="BG21" i="3"/>
  <c r="BG156" i="3"/>
  <c r="BG72" i="3"/>
  <c r="BG25" i="3"/>
  <c r="BG138" i="3"/>
  <c r="BG109" i="3"/>
  <c r="BG212" i="3"/>
  <c r="BG148" i="3"/>
  <c r="BG84" i="3"/>
  <c r="BG213" i="3"/>
  <c r="BG195" i="3"/>
  <c r="BG131" i="3"/>
  <c r="BG67" i="3"/>
  <c r="BG121" i="3"/>
  <c r="BG128" i="3"/>
  <c r="BG64" i="3"/>
  <c r="BG37" i="3"/>
  <c r="BG54" i="3"/>
  <c r="BG200" i="3"/>
  <c r="BG172" i="3"/>
  <c r="BG140" i="3"/>
  <c r="BG181" i="3"/>
  <c r="BG187" i="3"/>
  <c r="BG123" i="3"/>
  <c r="BG45" i="3"/>
  <c r="BG170" i="3"/>
  <c r="BG113" i="3"/>
  <c r="BG120" i="3"/>
  <c r="BG174" i="3"/>
  <c r="BG92" i="3"/>
  <c r="BG68" i="3"/>
  <c r="BG133" i="3"/>
  <c r="BG179" i="3"/>
  <c r="BG115" i="3"/>
  <c r="BG105" i="3"/>
  <c r="BG111" i="3"/>
  <c r="BG47" i="3"/>
  <c r="BG49" i="3"/>
  <c r="BG102" i="3"/>
  <c r="BG188" i="3"/>
  <c r="BG124" i="3"/>
  <c r="BG171" i="3"/>
  <c r="BG107" i="3"/>
  <c r="BG43" i="3"/>
  <c r="BG97" i="3"/>
  <c r="BG33" i="3"/>
  <c r="BG104" i="3"/>
  <c r="BG103" i="3"/>
  <c r="BG94" i="3"/>
  <c r="BG30" i="3"/>
  <c r="BG116" i="3"/>
  <c r="BG163" i="3"/>
  <c r="BG99" i="3"/>
  <c r="BG35" i="3"/>
  <c r="BG53" i="3"/>
  <c r="BG153" i="3"/>
  <c r="BG160" i="3"/>
  <c r="BG31" i="3"/>
  <c r="BG86" i="3"/>
  <c r="BG22" i="3"/>
  <c r="BG136" i="3"/>
  <c r="BG74" i="3"/>
  <c r="BG108" i="3"/>
  <c r="BG219" i="3"/>
  <c r="BG155" i="3"/>
  <c r="BG91" i="3"/>
  <c r="BG27" i="3"/>
  <c r="BG24" i="3"/>
  <c r="BG151" i="3"/>
  <c r="BG87" i="3"/>
  <c r="BG23" i="3"/>
  <c r="BG142" i="3"/>
  <c r="BG78" i="3"/>
  <c r="BG36" i="3"/>
  <c r="BG211" i="3"/>
  <c r="BG147" i="3"/>
  <c r="BG83" i="3"/>
  <c r="BG197" i="3"/>
  <c r="BG73" i="3"/>
  <c r="BG79" i="3"/>
  <c r="BG70" i="3"/>
  <c r="T65" i="3"/>
  <c r="T23" i="3"/>
  <c r="T25" i="3"/>
  <c r="T143" i="3"/>
  <c r="T89" i="3"/>
  <c r="T177" i="3"/>
  <c r="T116" i="3"/>
  <c r="T176" i="3"/>
  <c r="T72" i="3"/>
  <c r="T168" i="3"/>
  <c r="T24" i="3"/>
  <c r="T185" i="3"/>
  <c r="T153" i="3"/>
  <c r="T228" i="3"/>
  <c r="T152" i="3"/>
  <c r="T97" i="3"/>
  <c r="T64" i="3"/>
  <c r="T92" i="3"/>
  <c r="T79" i="3"/>
  <c r="T132" i="3"/>
  <c r="T171" i="3"/>
  <c r="AU182" i="3"/>
  <c r="BG58" i="3"/>
  <c r="BG146" i="3"/>
  <c r="AU74" i="3"/>
  <c r="BG205" i="3"/>
  <c r="BG110" i="3"/>
  <c r="AG159" i="3"/>
  <c r="AG25" i="3"/>
  <c r="AG113" i="3"/>
  <c r="AG134" i="3"/>
  <c r="AG133" i="3"/>
  <c r="AG41" i="3"/>
  <c r="AG137" i="3"/>
  <c r="AG104" i="3"/>
  <c r="AG227" i="3"/>
  <c r="AG20" i="3"/>
  <c r="AG35" i="3"/>
  <c r="AG219" i="3"/>
  <c r="AG53" i="3"/>
  <c r="AG24" i="3"/>
  <c r="AG223" i="3"/>
  <c r="AG149" i="3"/>
  <c r="AG29" i="3"/>
  <c r="AG38" i="3"/>
  <c r="T187" i="3"/>
  <c r="AU29" i="3"/>
  <c r="BG168" i="3"/>
  <c r="AU158" i="3"/>
  <c r="AU30" i="3"/>
  <c r="BG106" i="3"/>
  <c r="AU37" i="3"/>
  <c r="AU121" i="3"/>
  <c r="BG167" i="3"/>
  <c r="AU214" i="3"/>
  <c r="BG166" i="3"/>
  <c r="BG132" i="3"/>
  <c r="BG206" i="3"/>
  <c r="BG207" i="3"/>
  <c r="BG48" i="3"/>
  <c r="BG169" i="3"/>
  <c r="BG40" i="3"/>
  <c r="BG225" i="3"/>
  <c r="AU86" i="3"/>
  <c r="BG130" i="3"/>
  <c r="AU26" i="3"/>
  <c r="AU150" i="3"/>
  <c r="BG192" i="3"/>
  <c r="AG54" i="3"/>
  <c r="AG49" i="3"/>
  <c r="AG72" i="3"/>
  <c r="AG156" i="3"/>
  <c r="AG59" i="3"/>
  <c r="AG37" i="3"/>
  <c r="AG69" i="3"/>
  <c r="AG47" i="3"/>
  <c r="AG57" i="3"/>
  <c r="AG175" i="3"/>
  <c r="AG158" i="3"/>
  <c r="AG28" i="3"/>
  <c r="BG114" i="3"/>
  <c r="BG145" i="3"/>
  <c r="BG152" i="3"/>
  <c r="BG41" i="3"/>
  <c r="BG150" i="3"/>
  <c r="BG178" i="3"/>
  <c r="BG215" i="3"/>
  <c r="BG159" i="3"/>
  <c r="BG56" i="3"/>
  <c r="BG189" i="3"/>
  <c r="BG118" i="3"/>
  <c r="BG158" i="3"/>
  <c r="BG81" i="3"/>
  <c r="BG190" i="3"/>
  <c r="BG201" i="3"/>
  <c r="BG85" i="3"/>
  <c r="BG69" i="3"/>
  <c r="BG119" i="3"/>
  <c r="BG217" i="3"/>
  <c r="BG196" i="3"/>
  <c r="BG202" i="3"/>
  <c r="BG214" i="3"/>
  <c r="BG50" i="3"/>
  <c r="BG29" i="3"/>
  <c r="BG221" i="3"/>
  <c r="AG71" i="3"/>
  <c r="AG199" i="3"/>
  <c r="T22" i="3"/>
  <c r="AG116" i="3"/>
  <c r="AG135" i="3"/>
  <c r="AG180" i="3"/>
  <c r="AG172" i="3"/>
  <c r="AU190" i="3"/>
  <c r="AG191" i="3"/>
  <c r="AU138" i="3"/>
  <c r="AG167" i="3"/>
  <c r="AG39" i="3"/>
  <c r="AG58" i="3"/>
  <c r="AG103" i="3"/>
  <c r="AU226" i="3"/>
  <c r="AG84" i="3"/>
  <c r="AG138" i="3"/>
  <c r="T21" i="3"/>
  <c r="AG100" i="3"/>
  <c r="AU70" i="3"/>
  <c r="AU194" i="3"/>
  <c r="AG36" i="3"/>
  <c r="AU66" i="3"/>
  <c r="AU94" i="3"/>
  <c r="AU178" i="3"/>
  <c r="AU54" i="3"/>
  <c r="AG98" i="3"/>
  <c r="AG124" i="3"/>
  <c r="AG127" i="3"/>
  <c r="AG63" i="3"/>
  <c r="AG90" i="3"/>
  <c r="AG95" i="3"/>
  <c r="AG31" i="3"/>
  <c r="AG108" i="3"/>
  <c r="AG132" i="3"/>
  <c r="AG106" i="3"/>
  <c r="AG60" i="3"/>
  <c r="AG178" i="3"/>
  <c r="AG215" i="3"/>
  <c r="AG151" i="3"/>
  <c r="AG87" i="3"/>
  <c r="AG23" i="3"/>
  <c r="AG76" i="3"/>
  <c r="AG66" i="3"/>
  <c r="AG207" i="3"/>
  <c r="AG143" i="3"/>
  <c r="AG79" i="3"/>
  <c r="AG34" i="3"/>
  <c r="AG74" i="3"/>
  <c r="AG162" i="3"/>
  <c r="AG146" i="3"/>
  <c r="F224" i="3"/>
  <c r="F192" i="3"/>
  <c r="F144" i="3"/>
  <c r="F96" i="3"/>
  <c r="F72" i="3"/>
  <c r="F40" i="3"/>
  <c r="F207" i="3"/>
  <c r="F183" i="3"/>
  <c r="F151" i="3"/>
  <c r="F143" i="3"/>
  <c r="F119" i="3"/>
  <c r="F111" i="3"/>
  <c r="F103" i="3"/>
  <c r="F95" i="3"/>
  <c r="F87" i="3"/>
  <c r="F79" i="3"/>
  <c r="F71" i="3"/>
  <c r="F63" i="3"/>
  <c r="F55" i="3"/>
  <c r="F47" i="3"/>
  <c r="F39" i="3"/>
  <c r="F31" i="3"/>
  <c r="F222" i="3"/>
  <c r="F214" i="3"/>
  <c r="F206" i="3"/>
  <c r="F198" i="3"/>
  <c r="F190" i="3"/>
  <c r="F182" i="3"/>
  <c r="F174" i="3"/>
  <c r="F166" i="3"/>
  <c r="F158" i="3"/>
  <c r="F150" i="3"/>
  <c r="F142" i="3"/>
  <c r="F134" i="3"/>
  <c r="F126" i="3"/>
  <c r="F118" i="3"/>
  <c r="F110" i="3"/>
  <c r="F102" i="3"/>
  <c r="F94" i="3"/>
  <c r="F86" i="3"/>
  <c r="F78" i="3"/>
  <c r="F70" i="3"/>
  <c r="F62" i="3"/>
  <c r="F54" i="3"/>
  <c r="F46" i="3"/>
  <c r="F38" i="3"/>
  <c r="F30" i="3"/>
  <c r="F200" i="3"/>
  <c r="F160" i="3"/>
  <c r="F128" i="3"/>
  <c r="F88" i="3"/>
  <c r="F64" i="3"/>
  <c r="F32" i="3"/>
  <c r="F223" i="3"/>
  <c r="F199" i="3"/>
  <c r="F175" i="3"/>
  <c r="F135" i="3"/>
  <c r="F213" i="3"/>
  <c r="F189" i="3"/>
  <c r="F173" i="3"/>
  <c r="F141" i="3"/>
  <c r="F117" i="3"/>
  <c r="F93" i="3"/>
  <c r="F77" i="3"/>
  <c r="F53" i="3"/>
  <c r="F37" i="3"/>
  <c r="F29" i="3"/>
  <c r="F204" i="3"/>
  <c r="F188" i="3"/>
  <c r="F172" i="3"/>
  <c r="F140" i="3"/>
  <c r="F124" i="3"/>
  <c r="F108" i="3"/>
  <c r="F92" i="3"/>
  <c r="F76" i="3"/>
  <c r="F60" i="3"/>
  <c r="F44" i="3"/>
  <c r="F28" i="3"/>
  <c r="F216" i="3"/>
  <c r="F176" i="3"/>
  <c r="F152" i="3"/>
  <c r="F120" i="3"/>
  <c r="F56" i="3"/>
  <c r="F205" i="3"/>
  <c r="F181" i="3"/>
  <c r="F157" i="3"/>
  <c r="F133" i="3"/>
  <c r="F125" i="3"/>
  <c r="F109" i="3"/>
  <c r="F85" i="3"/>
  <c r="F69" i="3"/>
  <c r="F61" i="3"/>
  <c r="F45" i="3"/>
  <c r="F220" i="3"/>
  <c r="F156" i="3"/>
  <c r="F227" i="3"/>
  <c r="F219" i="3"/>
  <c r="F211" i="3"/>
  <c r="F203" i="3"/>
  <c r="F195" i="3"/>
  <c r="F187" i="3"/>
  <c r="F179" i="3"/>
  <c r="F171" i="3"/>
  <c r="F163" i="3"/>
  <c r="F155" i="3"/>
  <c r="F147" i="3"/>
  <c r="F139" i="3"/>
  <c r="F131" i="3"/>
  <c r="F123" i="3"/>
  <c r="F115" i="3"/>
  <c r="F107" i="3"/>
  <c r="F99" i="3"/>
  <c r="F91" i="3"/>
  <c r="F83" i="3"/>
  <c r="F75" i="3"/>
  <c r="F67" i="3"/>
  <c r="F59" i="3"/>
  <c r="F51" i="3"/>
  <c r="F43" i="3"/>
  <c r="F35" i="3"/>
  <c r="F27" i="3"/>
  <c r="F208" i="3"/>
  <c r="F168" i="3"/>
  <c r="F136" i="3"/>
  <c r="F112" i="3"/>
  <c r="F80" i="3"/>
  <c r="F48" i="3"/>
  <c r="F215" i="3"/>
  <c r="F159" i="3"/>
  <c r="F221" i="3"/>
  <c r="F149" i="3"/>
  <c r="F101" i="3"/>
  <c r="F226" i="3"/>
  <c r="F218" i="3"/>
  <c r="F210" i="3"/>
  <c r="F202" i="3"/>
  <c r="F194" i="3"/>
  <c r="F186" i="3"/>
  <c r="F178" i="3"/>
  <c r="F170" i="3"/>
  <c r="F162" i="3"/>
  <c r="F154" i="3"/>
  <c r="F146" i="3"/>
  <c r="F138" i="3"/>
  <c r="F130" i="3"/>
  <c r="F122" i="3"/>
  <c r="F114" i="3"/>
  <c r="F106" i="3"/>
  <c r="F98" i="3"/>
  <c r="F90" i="3"/>
  <c r="F82" i="3"/>
  <c r="F74" i="3"/>
  <c r="F66" i="3"/>
  <c r="F58" i="3"/>
  <c r="F50" i="3"/>
  <c r="F42" i="3"/>
  <c r="F34" i="3"/>
  <c r="F26" i="3"/>
  <c r="F184" i="3"/>
  <c r="F104" i="3"/>
  <c r="F191" i="3"/>
  <c r="F167" i="3"/>
  <c r="F127" i="3"/>
  <c r="F197" i="3"/>
  <c r="F165" i="3"/>
  <c r="F201" i="3"/>
  <c r="F169" i="3"/>
  <c r="F137" i="3"/>
  <c r="F105" i="3"/>
  <c r="F73" i="3"/>
  <c r="F41" i="3"/>
  <c r="AA19" i="3" l="1"/>
  <c r="Z19" i="3"/>
  <c r="AN19" i="3"/>
  <c r="AM19" i="3"/>
  <c r="AA18" i="3"/>
  <c r="Z18" i="3"/>
  <c r="BB18" i="3"/>
  <c r="BA18" i="3"/>
  <c r="BN18" i="3"/>
  <c r="BM18" i="3"/>
  <c r="AN18" i="3"/>
  <c r="AM18" i="3"/>
  <c r="E204" i="3" a="1"/>
  <c r="E204" i="3" s="1"/>
  <c r="E210" i="3" a="1"/>
  <c r="E210" i="3" s="1"/>
  <c r="E75" i="3" a="1"/>
  <c r="E75" i="3" s="1"/>
  <c r="E209" i="3" a="1"/>
  <c r="E209" i="3" s="1"/>
  <c r="E189" i="3" a="1"/>
  <c r="E189" i="3" s="1"/>
  <c r="E215" i="3" a="1"/>
  <c r="E215" i="3" s="1"/>
  <c r="E91" i="3" a="1"/>
  <c r="E91" i="3" s="1"/>
  <c r="E115" i="3" a="1"/>
  <c r="E115" i="3" s="1"/>
  <c r="E168" i="3" a="1"/>
  <c r="E168" i="3" s="1"/>
  <c r="E193" i="3" a="1"/>
  <c r="E193" i="3" s="1"/>
  <c r="E146" i="3" a="1"/>
  <c r="E146" i="3" s="1"/>
  <c r="E64" i="3" a="1"/>
  <c r="E64" i="3" s="1"/>
  <c r="E165" i="3" a="1"/>
  <c r="E165" i="3" s="1"/>
  <c r="E66" i="3" a="1"/>
  <c r="E66" i="3" s="1"/>
  <c r="E139" i="3" a="1"/>
  <c r="E139" i="3" s="1"/>
  <c r="E184" i="3" a="1"/>
  <c r="E184" i="3" s="1"/>
  <c r="E81" i="3" a="1"/>
  <c r="E81" i="3" s="1"/>
  <c r="E187" i="3" a="1"/>
  <c r="E187" i="3" s="1"/>
  <c r="E173" i="3" a="1"/>
  <c r="E173" i="3" s="1"/>
  <c r="E103" i="3" a="1"/>
  <c r="E103" i="3" s="1"/>
  <c r="E198" i="3" a="1"/>
  <c r="E198" i="3" s="1"/>
  <c r="E105" i="3" a="1"/>
  <c r="E105" i="3" s="1"/>
  <c r="E151" i="3" a="1"/>
  <c r="E151" i="3" s="1"/>
  <c r="E153" i="3" a="1"/>
  <c r="E153" i="3" s="1"/>
  <c r="E50" i="3" a="1"/>
  <c r="E50" i="3" s="1"/>
  <c r="E164" i="3" a="1"/>
  <c r="E164" i="3" s="1"/>
  <c r="E130" i="3" a="1"/>
  <c r="E130" i="3" s="1"/>
  <c r="E32" i="3" a="1"/>
  <c r="E32" i="3" s="1"/>
  <c r="E133" i="3" a="1"/>
  <c r="E133" i="3" s="1"/>
  <c r="E34" i="3" a="1"/>
  <c r="E34" i="3" s="1"/>
  <c r="E216" i="3" a="1"/>
  <c r="E216" i="3" s="1"/>
  <c r="E113" i="3" a="1"/>
  <c r="E113" i="3" s="1"/>
  <c r="E219" i="3" a="1"/>
  <c r="E219" i="3" s="1"/>
  <c r="E159" i="3" a="1"/>
  <c r="E159" i="3" s="1"/>
  <c r="E55" i="3" a="1"/>
  <c r="E55" i="3" s="1"/>
  <c r="E202" i="3" a="1"/>
  <c r="E202" i="3" s="1"/>
  <c r="E179" i="3" a="1"/>
  <c r="E179" i="3" s="1"/>
  <c r="E220" i="3" a="1"/>
  <c r="E220" i="3" s="1"/>
  <c r="E140" i="3" a="1"/>
  <c r="E140" i="3" s="1"/>
  <c r="E76" i="3" a="1"/>
  <c r="E76" i="3" s="1"/>
  <c r="E93" i="3" a="1"/>
  <c r="E93" i="3" s="1"/>
  <c r="E203" i="3" a="1"/>
  <c r="E203" i="3" s="1"/>
  <c r="E158" i="3" a="1"/>
  <c r="E158" i="3" s="1"/>
  <c r="E104" i="3" a="1"/>
  <c r="E104" i="3" s="1"/>
  <c r="E97" i="3" a="1"/>
  <c r="E97" i="3" s="1"/>
  <c r="E207" i="3" a="1"/>
  <c r="E207" i="3" s="1"/>
  <c r="E100" i="3" a="1"/>
  <c r="E100" i="3" s="1"/>
  <c r="E110" i="3" a="1"/>
  <c r="E110" i="3" s="1"/>
  <c r="E227" i="3" a="1"/>
  <c r="E227" i="3" s="1"/>
  <c r="E121" i="3" a="1"/>
  <c r="E121" i="3" s="1"/>
  <c r="E221" i="3" a="1"/>
  <c r="E221" i="3" s="1"/>
  <c r="E124" i="3" a="1"/>
  <c r="E124" i="3" s="1"/>
  <c r="E196" i="3" a="1"/>
  <c r="E196" i="3" s="1"/>
  <c r="E39" i="3" a="1"/>
  <c r="E39" i="3" s="1"/>
  <c r="E134" i="3" a="1"/>
  <c r="E134" i="3" s="1"/>
  <c r="E41" i="3" a="1"/>
  <c r="E41" i="3" s="1"/>
  <c r="E94" i="3" a="1"/>
  <c r="E94" i="3" s="1"/>
  <c r="E90" i="3" a="1"/>
  <c r="E90" i="3" s="1"/>
  <c r="E190" i="3" a="1"/>
  <c r="E190" i="3" s="1"/>
  <c r="E99" i="3" a="1"/>
  <c r="E99" i="3" s="1"/>
  <c r="E65" i="3" a="1"/>
  <c r="E65" i="3" s="1"/>
  <c r="E175" i="3" a="1"/>
  <c r="E175" i="3" s="1"/>
  <c r="E68" i="3" a="1"/>
  <c r="E68" i="3" s="1"/>
  <c r="E129" i="3" a="1"/>
  <c r="E129" i="3" s="1"/>
  <c r="E152" i="3" a="1"/>
  <c r="E152" i="3" s="1"/>
  <c r="E49" i="3" a="1"/>
  <c r="E49" i="3" s="1"/>
  <c r="E155" i="3" a="1"/>
  <c r="E155" i="3" s="1"/>
  <c r="E95" i="3" a="1"/>
  <c r="E95" i="3" s="1"/>
  <c r="E143" i="3" a="1"/>
  <c r="E143" i="3" s="1"/>
  <c r="E79" i="3" a="1"/>
  <c r="E79" i="3" s="1"/>
  <c r="E35" i="3" a="1"/>
  <c r="E35" i="3" s="1"/>
  <c r="E177" i="3" a="1"/>
  <c r="E177" i="3" s="1"/>
  <c r="E199" i="3" a="1"/>
  <c r="E199" i="3" s="1"/>
  <c r="E44" i="3" a="1"/>
  <c r="E44" i="3" s="1"/>
  <c r="E156" i="3" a="1"/>
  <c r="E156" i="3" s="1"/>
  <c r="E123" i="3" a="1"/>
  <c r="E123" i="3" s="1"/>
  <c r="E25" i="3" a="1"/>
  <c r="E25" i="3" s="1"/>
  <c r="E125" i="3" a="1"/>
  <c r="E125" i="3" s="1"/>
  <c r="E28" i="3" a="1"/>
  <c r="E28" i="3" s="1"/>
  <c r="E166" i="3" a="1"/>
  <c r="E166" i="3" s="1"/>
  <c r="E73" i="3" a="1"/>
  <c r="E73" i="3" s="1"/>
  <c r="E33" i="3" a="1"/>
  <c r="E33" i="3" s="1"/>
  <c r="E60" i="3" a="1"/>
  <c r="E60" i="3" s="1"/>
  <c r="E126" i="3" a="1"/>
  <c r="E126" i="3" s="1"/>
  <c r="E92" i="3" a="1"/>
  <c r="E92" i="3" s="1"/>
  <c r="E188" i="3" a="1"/>
  <c r="E188" i="3" s="1"/>
  <c r="E154" i="3" a="1"/>
  <c r="E154" i="3" s="1"/>
  <c r="E171" i="3" a="1"/>
  <c r="E171" i="3" s="1"/>
  <c r="E214" i="3" a="1"/>
  <c r="E214" i="3" s="1"/>
  <c r="E118" i="3" a="1"/>
  <c r="E118" i="3" s="1"/>
  <c r="E136" i="3" a="1"/>
  <c r="E136" i="3" s="1"/>
  <c r="E27" i="3" a="1"/>
  <c r="E27" i="3" s="1"/>
  <c r="E135" i="3" a="1"/>
  <c r="E135" i="3" s="1"/>
  <c r="E29" i="3" a="1"/>
  <c r="E29" i="3" s="1"/>
  <c r="E186" i="3" a="1"/>
  <c r="E186" i="3" s="1"/>
  <c r="E138" i="3" a="1"/>
  <c r="E138" i="3" s="1"/>
  <c r="E51" i="3" a="1"/>
  <c r="E51" i="3" s="1"/>
  <c r="E149" i="3" a="1"/>
  <c r="E149" i="3" s="1"/>
  <c r="E53" i="3" a="1"/>
  <c r="E53" i="3" s="1"/>
  <c r="E226" i="3" a="1"/>
  <c r="E226" i="3" s="1"/>
  <c r="E102" i="3" a="1"/>
  <c r="E102" i="3" s="1"/>
  <c r="E205" i="3" a="1"/>
  <c r="E205" i="3" s="1"/>
  <c r="E111" i="3" a="1"/>
  <c r="E111" i="3" s="1"/>
  <c r="E84" i="3" a="1"/>
  <c r="E84" i="3" s="1"/>
  <c r="E182" i="3" a="1"/>
  <c r="E182" i="3" s="1"/>
  <c r="E86" i="3" a="1"/>
  <c r="E86" i="3" s="1"/>
  <c r="E59" i="3" a="1"/>
  <c r="E59" i="3" s="1"/>
  <c r="E167" i="3" a="1"/>
  <c r="E167" i="3" s="1"/>
  <c r="E61" i="3" a="1"/>
  <c r="E61" i="3" s="1"/>
  <c r="E46" i="3" a="1"/>
  <c r="E46" i="3" s="1"/>
  <c r="E107" i="3" a="1"/>
  <c r="E107" i="3" s="1"/>
  <c r="E211" i="3" a="1"/>
  <c r="E211" i="3" s="1"/>
  <c r="E57" i="3" a="1"/>
  <c r="E57" i="3" s="1"/>
  <c r="E42" i="3" a="1"/>
  <c r="E42" i="3" s="1"/>
  <c r="E218" i="3" a="1"/>
  <c r="E218" i="3" s="1"/>
  <c r="E117" i="3" a="1"/>
  <c r="E117" i="3" s="1"/>
  <c r="E116" i="3" a="1"/>
  <c r="E116" i="3" s="1"/>
  <c r="E150" i="3" a="1"/>
  <c r="E150" i="3" s="1"/>
  <c r="E54" i="3" a="1"/>
  <c r="E54" i="3" s="1"/>
  <c r="E82" i="3" a="1"/>
  <c r="E82" i="3" s="1"/>
  <c r="E169" i="3" a="1"/>
  <c r="E169" i="3" s="1"/>
  <c r="E69" i="3" a="1"/>
  <c r="E69" i="3" s="1"/>
  <c r="E180" i="3" a="1"/>
  <c r="E180" i="3" s="1"/>
  <c r="E122" i="3" a="1"/>
  <c r="E122" i="3" s="1"/>
  <c r="E78" i="3" a="1"/>
  <c r="E78" i="3" s="1"/>
  <c r="E191" i="3" a="1"/>
  <c r="E191" i="3" s="1"/>
  <c r="E87" i="3" a="1"/>
  <c r="E87" i="3" s="1"/>
  <c r="E208" i="3" a="1"/>
  <c r="E208" i="3" s="1"/>
  <c r="E194" i="3" a="1"/>
  <c r="E194" i="3" s="1"/>
  <c r="E38" i="3" a="1"/>
  <c r="E38" i="3" s="1"/>
  <c r="E141" i="3" a="1"/>
  <c r="E141" i="3" s="1"/>
  <c r="E47" i="3" a="1"/>
  <c r="E47" i="3" s="1"/>
  <c r="E224" i="3" a="1"/>
  <c r="E224" i="3" s="1"/>
  <c r="E120" i="3" a="1"/>
  <c r="E120" i="3" s="1"/>
  <c r="E22" i="3" a="1"/>
  <c r="E22" i="3" s="1"/>
  <c r="F22" i="3" s="1"/>
  <c r="E201" i="3" a="1"/>
  <c r="E201" i="3" s="1"/>
  <c r="E101" i="3" a="1"/>
  <c r="E101" i="3" s="1"/>
  <c r="E212" i="3" a="1"/>
  <c r="E212" i="3" s="1"/>
  <c r="E144" i="3" a="1"/>
  <c r="E144" i="3" s="1"/>
  <c r="E43" i="3" a="1"/>
  <c r="E43" i="3" s="1"/>
  <c r="E147" i="3" a="1"/>
  <c r="E147" i="3" s="1"/>
  <c r="E36" i="3" a="1"/>
  <c r="E36" i="3" s="1"/>
  <c r="E176" i="3" a="1"/>
  <c r="E176" i="3" s="1"/>
  <c r="E108" i="3" a="1"/>
  <c r="E108" i="3" s="1"/>
  <c r="E31" i="3" a="1"/>
  <c r="E31" i="3" s="1"/>
  <c r="E185" i="3" a="1"/>
  <c r="E185" i="3" s="1"/>
  <c r="E170" i="3" a="1"/>
  <c r="E170" i="3" s="1"/>
  <c r="E145" i="3" a="1"/>
  <c r="E145" i="3" s="1"/>
  <c r="E52" i="3" a="1"/>
  <c r="E52" i="3" s="1"/>
  <c r="E67" i="3" a="1"/>
  <c r="E67" i="3" s="1"/>
  <c r="E192" i="3" a="1"/>
  <c r="E192" i="3" s="1"/>
  <c r="E88" i="3" a="1"/>
  <c r="E88" i="3" s="1"/>
  <c r="E195" i="3" a="1"/>
  <c r="E195" i="3" s="1"/>
  <c r="E30" i="3" a="1"/>
  <c r="E30" i="3" s="1"/>
  <c r="E109" i="3" a="1"/>
  <c r="E109" i="3" s="1"/>
  <c r="E206" i="3" a="1"/>
  <c r="E206" i="3" s="1"/>
  <c r="E112" i="3" a="1"/>
  <c r="E112" i="3" s="1"/>
  <c r="E70" i="3" a="1"/>
  <c r="E70" i="3" s="1"/>
  <c r="E225" i="3" a="1"/>
  <c r="E225" i="3" s="1"/>
  <c r="E127" i="3" a="1"/>
  <c r="E127" i="3" s="1"/>
  <c r="E23" i="3" a="1"/>
  <c r="E23" i="3" s="1"/>
  <c r="F23" i="3" s="1"/>
  <c r="E40" i="3" a="1"/>
  <c r="E40" i="3" s="1"/>
  <c r="E72" i="3" a="1"/>
  <c r="E72" i="3" s="1"/>
  <c r="E183" i="3" a="1"/>
  <c r="E183" i="3" s="1"/>
  <c r="E74" i="3" a="1"/>
  <c r="E74" i="3" s="1"/>
  <c r="E71" i="3" a="1"/>
  <c r="E71" i="3" s="1"/>
  <c r="E160" i="3" a="1"/>
  <c r="E160" i="3" s="1"/>
  <c r="E56" i="3" a="1"/>
  <c r="E56" i="3" s="1"/>
  <c r="E163" i="3" a="1"/>
  <c r="E163" i="3" s="1"/>
  <c r="E137" i="3" a="1"/>
  <c r="E137" i="3" s="1"/>
  <c r="E37" i="3" a="1"/>
  <c r="E37" i="3" s="1"/>
  <c r="E148" i="3" a="1"/>
  <c r="E148" i="3" s="1"/>
  <c r="E83" i="3" a="1"/>
  <c r="E83" i="3" s="1"/>
  <c r="E181" i="3" a="1"/>
  <c r="E181" i="3" s="1"/>
  <c r="E85" i="3" a="1"/>
  <c r="E85" i="3" s="1"/>
  <c r="E58" i="3" a="1"/>
  <c r="E58" i="3" s="1"/>
  <c r="E157" i="3" a="1"/>
  <c r="E157" i="3" s="1"/>
  <c r="E26" i="3" a="1"/>
  <c r="E26" i="3" s="1"/>
  <c r="E89" i="3" a="1"/>
  <c r="E89" i="3" s="1"/>
  <c r="E213" i="3" a="1"/>
  <c r="E213" i="3" s="1"/>
  <c r="E62" i="3" a="1"/>
  <c r="E62" i="3" s="1"/>
  <c r="E106" i="3" a="1"/>
  <c r="E106" i="3" s="1"/>
  <c r="E178" i="3" a="1"/>
  <c r="E178" i="3" s="1"/>
  <c r="E128" i="3" a="1"/>
  <c r="E128" i="3" s="1"/>
  <c r="E24" i="3" a="1"/>
  <c r="E24" i="3" s="1"/>
  <c r="F24" i="3" s="1"/>
  <c r="E131" i="3" a="1"/>
  <c r="E131" i="3" s="1"/>
  <c r="E132" i="3" a="1"/>
  <c r="E132" i="3" s="1"/>
  <c r="E45" i="3" a="1"/>
  <c r="E45" i="3" s="1"/>
  <c r="E142" i="3" a="1"/>
  <c r="E142" i="3" s="1"/>
  <c r="E48" i="3" a="1"/>
  <c r="E48" i="3" s="1"/>
  <c r="E222" i="3" a="1"/>
  <c r="E222" i="3" s="1"/>
  <c r="E161" i="3" a="1"/>
  <c r="E161" i="3" s="1"/>
  <c r="E63" i="3" a="1"/>
  <c r="E63" i="3" s="1"/>
  <c r="E172" i="3" a="1"/>
  <c r="E172" i="3" s="1"/>
  <c r="E200" i="3" a="1"/>
  <c r="E200" i="3" s="1"/>
  <c r="E217" i="3" a="1"/>
  <c r="E217" i="3" s="1"/>
  <c r="E114" i="3" a="1"/>
  <c r="E114" i="3" s="1"/>
  <c r="E228" i="3" a="1"/>
  <c r="E228" i="3" s="1"/>
  <c r="E162" i="3" a="1"/>
  <c r="E162" i="3" s="1"/>
  <c r="E96" i="3" a="1"/>
  <c r="E96" i="3" s="1"/>
  <c r="E197" i="3" a="1"/>
  <c r="E197" i="3" s="1"/>
  <c r="E98" i="3" a="1"/>
  <c r="E98" i="3" s="1"/>
  <c r="E77" i="3" a="1"/>
  <c r="E77" i="3" s="1"/>
  <c r="E174" i="3" a="1"/>
  <c r="E174" i="3" s="1"/>
  <c r="E80" i="3" a="1"/>
  <c r="E80" i="3" s="1"/>
  <c r="E223" i="3" a="1"/>
  <c r="E223" i="3" s="1"/>
  <c r="E119" i="3" a="1"/>
  <c r="E119" i="3" s="1"/>
  <c r="E21" i="3" a="1"/>
  <c r="E21" i="3" s="1"/>
  <c r="F21" i="3" s="1"/>
  <c r="E20" i="3" a="1"/>
  <c r="E20" i="3" s="1"/>
  <c r="F20" i="3" s="1"/>
  <c r="M19" i="3" l="1"/>
  <c r="L19" i="3"/>
  <c r="L18" i="3"/>
  <c r="M18" i="3"/>
  <c r="AM4" i="3"/>
  <c r="AN4" i="3"/>
  <c r="AL4" i="3"/>
  <c r="AK4" i="3"/>
  <c r="AI4" i="3"/>
  <c r="AJ4" i="3"/>
  <c r="AF4" i="3" l="1"/>
  <c r="AE4" i="3"/>
  <c r="AE3" i="3" s="1"/>
  <c r="AG4" i="3"/>
  <c r="AH4" i="3"/>
  <c r="V7" i="3"/>
  <c r="AN3" i="3"/>
  <c r="U7" i="3"/>
  <c r="AM3" i="3"/>
  <c r="U6" i="3"/>
  <c r="AK3" i="3"/>
  <c r="V6" i="3"/>
  <c r="AL3" i="3"/>
  <c r="V5" i="3"/>
  <c r="AJ3" i="3"/>
  <c r="U5" i="3"/>
  <c r="AI3" i="3"/>
  <c r="AF3" i="3"/>
  <c r="V3" i="3" l="1"/>
  <c r="U4" i="3"/>
  <c r="AG3" i="3"/>
  <c r="V4" i="3"/>
  <c r="AH3" i="3"/>
  <c r="U3" i="3"/>
</calcChain>
</file>

<file path=xl/sharedStrings.xml><?xml version="1.0" encoding="utf-8"?>
<sst xmlns="http://schemas.openxmlformats.org/spreadsheetml/2006/main" count="154" uniqueCount="62">
  <si>
    <t>C1</t>
  </si>
  <si>
    <t>Plan</t>
  </si>
  <si>
    <t>QTY</t>
  </si>
  <si>
    <t>NOS</t>
  </si>
  <si>
    <t>Actual</t>
  </si>
  <si>
    <t>COMBINED</t>
  </si>
  <si>
    <t>C2</t>
  </si>
  <si>
    <t>COMBINED 2</t>
  </si>
  <si>
    <t>Standard</t>
  </si>
  <si>
    <t>Combined</t>
  </si>
  <si>
    <t>P1</t>
  </si>
  <si>
    <t>Partial</t>
  </si>
  <si>
    <t>P2</t>
  </si>
  <si>
    <t>LOTS</t>
  </si>
  <si>
    <t>Partial Transferred to next shift</t>
  </si>
  <si>
    <t xml:space="preserve">OUTPUT </t>
  </si>
  <si>
    <t>Std</t>
  </si>
  <si>
    <t>Note: Works only if lots are cleared in this order  c1--&gt;c2--&gt;-Std--&gt;P1--&gt;P2</t>
  </si>
  <si>
    <t>SlNo</t>
  </si>
  <si>
    <t>UnitNumber</t>
  </si>
  <si>
    <t>NoOfCoil</t>
  </si>
  <si>
    <t>Rewind</t>
  </si>
  <si>
    <t>C1Qty</t>
  </si>
  <si>
    <t>C1Lots</t>
  </si>
  <si>
    <t>C2Qty</t>
  </si>
  <si>
    <t>C2Lots</t>
  </si>
  <si>
    <t>Std-Qty</t>
  </si>
  <si>
    <t>StdLots</t>
  </si>
  <si>
    <t>P1Qty</t>
  </si>
  <si>
    <t>P1Lots</t>
  </si>
  <si>
    <t>P2Qty</t>
  </si>
  <si>
    <t>P2Lots</t>
  </si>
  <si>
    <t>PlanCuts</t>
  </si>
  <si>
    <t>ActualCuts</t>
  </si>
  <si>
    <t>PerVariance</t>
  </si>
  <si>
    <t>SPM</t>
  </si>
  <si>
    <t>StrokesPerPart</t>
  </si>
  <si>
    <t>INNOUT</t>
  </si>
  <si>
    <t>BOTHSIDE</t>
  </si>
  <si>
    <t>SMALLPILLERPART</t>
  </si>
  <si>
    <t>SHAPE</t>
  </si>
  <si>
    <t>CUSTName</t>
  </si>
  <si>
    <t>MILL</t>
  </si>
  <si>
    <t>SPEC</t>
  </si>
  <si>
    <t>THICK</t>
  </si>
  <si>
    <t>WIDTH</t>
  </si>
  <si>
    <t>LENGTH1</t>
  </si>
  <si>
    <t>LENGTH2</t>
  </si>
  <si>
    <t>MODEL</t>
  </si>
  <si>
    <t>PARTNO</t>
  </si>
  <si>
    <t>BLANKWT</t>
  </si>
  <si>
    <t/>
  </si>
  <si>
    <t>Input</t>
  </si>
  <si>
    <t>Output</t>
  </si>
  <si>
    <t>QtySplit</t>
  </si>
  <si>
    <t>STD</t>
  </si>
  <si>
    <t>C1Part</t>
  </si>
  <si>
    <t>C2Part</t>
  </si>
  <si>
    <t>STDPart</t>
  </si>
  <si>
    <t>P1Part</t>
  </si>
  <si>
    <t>P2Part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</si>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</sst>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454545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" fontId="0" fillId="0" borderId="0" xfId="0" quotePrefix="1" applyNumberFormat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5" fillId="0" borderId="0" xfId="0" applyFont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3">
    <cellStyle name="Normal" xfId="0" builtinId="0"/>
    <cellStyle name="Normal 2" xfId="1"/>
    <cellStyle name="Percent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A491"/>
  <sheetViews>
    <sheetView showGridLines="0" tabSelected="1" topLeftCell="E1" zoomScale="95" zoomScaleNormal="58" workbookViewId="0">
      <selection activeCell="BG3" sqref="BG3"/>
    </sheetView>
  </sheetViews>
  <sheetFormatPr defaultRowHeight="15"/>
  <cols>
    <col min="1" max="2" width="9.140625" style="17"/>
    <col min="3" max="3" width="29.140625" style="17" customWidth="1"/>
    <col min="4" max="10" width="9.140625" style="17" customWidth="1"/>
    <col min="11" max="11" width="15" style="17" customWidth="1"/>
    <col min="12" max="24" width="9.140625" style="17" customWidth="1"/>
    <col min="25" max="25" width="12.140625" style="17" customWidth="1"/>
    <col min="26" max="29" width="9.140625" style="17" customWidth="1"/>
    <col min="30" max="32" width="9.140625" style="17"/>
    <col min="33" max="33" width="9.140625" style="17" customWidth="1"/>
    <col min="34" max="34" width="9.140625" style="19" customWidth="1"/>
    <col min="35" max="37" width="9.140625" style="19"/>
    <col min="38" max="38" width="12.140625" style="19" bestFit="1" customWidth="1"/>
    <col min="39" max="39" width="9.140625" style="19"/>
    <col min="40" max="43" width="9.140625" style="17"/>
    <col min="44" max="44" width="11.42578125" style="17" bestFit="1" customWidth="1"/>
    <col min="45" max="51" width="9.140625" style="17"/>
    <col min="52" max="52" width="12.140625" style="17" bestFit="1" customWidth="1"/>
    <col min="53" max="55" width="9.140625" style="17"/>
    <col min="56" max="56" width="10.42578125" style="17" bestFit="1" customWidth="1"/>
    <col min="57" max="57" width="11.7109375" style="17" bestFit="1" customWidth="1"/>
    <col min="58" max="58" width="9.140625" style="17"/>
    <col min="59" max="59" width="14.28515625" style="17" bestFit="1" customWidth="1"/>
    <col min="60" max="61" width="9.140625" style="17"/>
    <col min="62" max="62" width="17" style="17" bestFit="1" customWidth="1"/>
    <col min="63" max="63" width="9.140625" style="17"/>
    <col min="64" max="64" width="10.7109375" style="17" bestFit="1" customWidth="1"/>
    <col min="65" max="70" width="9.140625" style="17"/>
    <col min="71" max="71" width="19" style="17" bestFit="1" customWidth="1"/>
    <col min="72" max="73" width="9.140625" style="17"/>
    <col min="74" max="74" width="13.85546875" style="17" bestFit="1" customWidth="1"/>
    <col min="75" max="16384" width="9.140625" style="17"/>
  </cols>
  <sheetData>
    <row r="1" spans="3:79" s="1" customFormat="1" ht="19.5" customHeight="1">
      <c r="L1" s="30" t="s">
        <v>15</v>
      </c>
      <c r="M1" s="31"/>
      <c r="N1" s="31"/>
      <c r="O1" s="31"/>
      <c r="P1" s="31"/>
      <c r="Q1" s="32"/>
      <c r="AA1" s="10" t="s">
        <v>18</v>
      </c>
      <c r="AB1" s="10" t="s">
        <v>19</v>
      </c>
      <c r="AC1" s="10" t="s">
        <v>20</v>
      </c>
      <c r="AD1" s="10" t="s">
        <v>21</v>
      </c>
      <c r="AE1" s="10" t="s">
        <v>22</v>
      </c>
      <c r="AF1" s="10" t="s">
        <v>23</v>
      </c>
      <c r="AG1" s="10" t="s">
        <v>24</v>
      </c>
      <c r="AH1" s="10" t="s">
        <v>25</v>
      </c>
      <c r="AI1" s="10" t="s">
        <v>26</v>
      </c>
      <c r="AJ1" s="10" t="s">
        <v>27</v>
      </c>
      <c r="AK1" s="10" t="s">
        <v>28</v>
      </c>
      <c r="AL1" s="10" t="s">
        <v>29</v>
      </c>
      <c r="AM1" s="10" t="s">
        <v>30</v>
      </c>
      <c r="AN1" s="10" t="s">
        <v>31</v>
      </c>
      <c r="AO1" s="10" t="s">
        <v>32</v>
      </c>
      <c r="AP1" s="10" t="s">
        <v>33</v>
      </c>
      <c r="AQ1" s="10" t="s">
        <v>34</v>
      </c>
      <c r="AR1" s="10" t="s">
        <v>35</v>
      </c>
      <c r="AS1" s="10" t="s">
        <v>36</v>
      </c>
      <c r="AT1" s="10" t="s">
        <v>37</v>
      </c>
      <c r="AU1" s="10" t="s">
        <v>38</v>
      </c>
      <c r="AV1" s="10" t="s">
        <v>39</v>
      </c>
      <c r="AW1" s="10" t="s">
        <v>40</v>
      </c>
      <c r="AX1" s="10" t="s">
        <v>41</v>
      </c>
      <c r="AY1" s="10" t="s">
        <v>42</v>
      </c>
      <c r="AZ1" s="10" t="s">
        <v>43</v>
      </c>
      <c r="BA1" s="10" t="s">
        <v>44</v>
      </c>
      <c r="BB1" s="10" t="s">
        <v>45</v>
      </c>
      <c r="BC1" s="10" t="s">
        <v>46</v>
      </c>
      <c r="BD1" s="10" t="s">
        <v>47</v>
      </c>
      <c r="BE1" s="10" t="s">
        <v>48</v>
      </c>
      <c r="BF1" s="10" t="s">
        <v>49</v>
      </c>
      <c r="BG1" s="10" t="s">
        <v>50</v>
      </c>
      <c r="BH1" s="10" t="s">
        <v>0</v>
      </c>
      <c r="BI1" s="1" t="s">
        <v>2</v>
      </c>
      <c r="BJ1" s="1" t="s">
        <v>6</v>
      </c>
      <c r="BK1" s="1" t="s">
        <v>2</v>
      </c>
      <c r="BL1" s="1" t="s">
        <v>55</v>
      </c>
      <c r="BM1" s="1" t="s">
        <v>2</v>
      </c>
      <c r="BN1" s="1" t="s">
        <v>10</v>
      </c>
      <c r="BO1" s="1" t="s">
        <v>2</v>
      </c>
      <c r="BP1" s="1" t="s">
        <v>12</v>
      </c>
      <c r="BQ1" s="1" t="s">
        <v>2</v>
      </c>
      <c r="BR1" s="1" t="s">
        <v>56</v>
      </c>
      <c r="BS1" s="1" t="s">
        <v>2</v>
      </c>
      <c r="BT1" s="1" t="s">
        <v>57</v>
      </c>
      <c r="BU1" s="1" t="s">
        <v>2</v>
      </c>
      <c r="BV1" s="1" t="s">
        <v>58</v>
      </c>
      <c r="BW1" s="1" t="s">
        <v>2</v>
      </c>
      <c r="BX1" s="1" t="s">
        <v>59</v>
      </c>
      <c r="BY1" s="1" t="s">
        <v>2</v>
      </c>
      <c r="BZ1" s="1" t="s">
        <v>60</v>
      </c>
      <c r="CA1" s="1" t="s">
        <v>2</v>
      </c>
    </row>
    <row r="2" spans="3:79" s="1" customFormat="1" ht="19.5" customHeight="1">
      <c r="L2" s="2"/>
      <c r="M2" s="3"/>
      <c r="N2" s="3"/>
      <c r="O2" s="3"/>
      <c r="P2" s="3"/>
      <c r="Q2" s="4"/>
      <c r="T2" s="5"/>
      <c r="U2" s="9" t="s">
        <v>2</v>
      </c>
      <c r="V2" s="9" t="s">
        <v>13</v>
      </c>
      <c r="W2" s="3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</row>
    <row r="3" spans="3:79" s="1" customFormat="1" ht="19.5" customHeight="1">
      <c r="L3" s="2"/>
      <c r="M3" s="3"/>
      <c r="N3" s="3"/>
      <c r="O3" s="3"/>
      <c r="P3" s="3"/>
      <c r="Q3" s="4"/>
      <c r="T3" s="9" t="s">
        <v>0</v>
      </c>
      <c r="U3" s="5">
        <f>AE4</f>
        <v>0</v>
      </c>
      <c r="V3" s="5">
        <f>AF4</f>
        <v>0</v>
      </c>
      <c r="W3" s="3"/>
      <c r="Z3" s="14" t="s">
        <v>53</v>
      </c>
      <c r="AA3" s="10">
        <f>AA6</f>
        <v>0</v>
      </c>
      <c r="AB3" s="10">
        <f>AB6</f>
        <v>0</v>
      </c>
      <c r="AC3" s="10">
        <f>AC6</f>
        <v>0</v>
      </c>
      <c r="AD3" s="10"/>
      <c r="AE3" s="5" t="str">
        <f>IF(AE4=0,"",AE4)</f>
        <v/>
      </c>
      <c r="AF3" s="5" t="str">
        <f t="shared" ref="AF3:AN3" si="0">IF(AF4=0,"",AF4)</f>
        <v/>
      </c>
      <c r="AG3" s="5" t="str">
        <f t="shared" si="0"/>
        <v/>
      </c>
      <c r="AH3" s="5" t="str">
        <f t="shared" si="0"/>
        <v/>
      </c>
      <c r="AI3" s="5" t="str">
        <f t="shared" si="0"/>
        <v/>
      </c>
      <c r="AJ3" s="5" t="str">
        <f t="shared" si="0"/>
        <v/>
      </c>
      <c r="AK3" s="5" t="str">
        <f t="shared" si="0"/>
        <v/>
      </c>
      <c r="AL3" s="5" t="str">
        <f t="shared" si="0"/>
        <v/>
      </c>
      <c r="AM3" s="5" t="str">
        <f t="shared" si="0"/>
        <v/>
      </c>
      <c r="AN3" s="5" t="str">
        <f t="shared" si="0"/>
        <v/>
      </c>
      <c r="AO3" s="10">
        <f>AO6</f>
        <v>0</v>
      </c>
      <c r="AP3" s="10">
        <f t="shared" ref="AP3:BG3" si="1">AP6</f>
        <v>0</v>
      </c>
      <c r="AQ3" s="10">
        <f t="shared" si="1"/>
        <v>0</v>
      </c>
      <c r="AR3" s="10">
        <f t="shared" si="1"/>
        <v>0</v>
      </c>
      <c r="AS3" s="10">
        <f t="shared" si="1"/>
        <v>0</v>
      </c>
      <c r="AT3" s="10">
        <f t="shared" si="1"/>
        <v>0</v>
      </c>
      <c r="AU3" s="10">
        <f t="shared" si="1"/>
        <v>0</v>
      </c>
      <c r="AV3" s="10">
        <f t="shared" si="1"/>
        <v>0</v>
      </c>
      <c r="AW3" s="10">
        <f t="shared" si="1"/>
        <v>0</v>
      </c>
      <c r="AX3" s="10">
        <f t="shared" si="1"/>
        <v>0</v>
      </c>
      <c r="AY3" s="10">
        <f t="shared" si="1"/>
        <v>0</v>
      </c>
      <c r="AZ3" s="10">
        <f t="shared" si="1"/>
        <v>0</v>
      </c>
      <c r="BA3" s="10">
        <f t="shared" si="1"/>
        <v>0</v>
      </c>
      <c r="BB3" s="10">
        <f t="shared" si="1"/>
        <v>0</v>
      </c>
      <c r="BC3" s="10">
        <f t="shared" si="1"/>
        <v>0</v>
      </c>
      <c r="BD3" s="10">
        <f t="shared" si="1"/>
        <v>0</v>
      </c>
      <c r="BE3" s="10">
        <f t="shared" si="1"/>
        <v>0</v>
      </c>
      <c r="BF3" s="10">
        <f t="shared" si="1"/>
        <v>0</v>
      </c>
      <c r="BG3" s="10">
        <f t="shared" si="1"/>
        <v>0</v>
      </c>
      <c r="BH3" s="10"/>
    </row>
    <row r="4" spans="3:79" s="1" customFormat="1" ht="19.5" customHeight="1">
      <c r="L4" s="2"/>
      <c r="M4" s="3"/>
      <c r="N4" s="3"/>
      <c r="O4" s="3"/>
      <c r="P4" s="3"/>
      <c r="Q4" s="4"/>
      <c r="T4" s="9" t="s">
        <v>6</v>
      </c>
      <c r="U4" s="13">
        <f>AG4</f>
        <v>0</v>
      </c>
      <c r="V4" s="5">
        <f>AH4</f>
        <v>0</v>
      </c>
      <c r="W4" s="3"/>
      <c r="AA4" s="7"/>
      <c r="AB4" s="7"/>
      <c r="AC4" s="7"/>
      <c r="AD4" s="7"/>
      <c r="AE4" s="5">
        <f>IFERROR(IF(AND(L18&lt;&gt;0),L18,IF(AND(L18=0,L19&lt;&gt;0),L19,IF(AND(L18=0,L19=0,Z18&lt;&gt;0,Z19&lt;&gt;0),Z19,IF(AND(AM19&lt;&gt;0),AM19,IF(BA19&lt;&gt;0,BA19,IF(BM19&lt;&gt;0,BM19,0)))))),0)</f>
        <v>0</v>
      </c>
      <c r="AF4" s="5">
        <f>IFERROR(IF(AND(L18&lt;&gt;0),(M18),IF(AND(L18=0,L19&lt;&gt;0),M19,IF(AND(L18=0,L19=0,Z18&lt;&gt;0,Z19&lt;&gt;0),AA19,IF(AND(AM19&lt;&gt;0),AN19,IF(BA19&lt;&gt;0,BB19,IF(BM19&lt;&gt;0,BN19,0)))))),0)</f>
        <v>0</v>
      </c>
      <c r="AG4" s="13">
        <f>IFERROR(IF(AND(OR(L18&lt;&gt;0),L19&lt;&gt;0,Z18=0,Z19=0),(L19*M19+AM19*AN19)/(M19+AN19),IF(AND((L18=0),OR(L19=0,L19&lt;&gt;0),Z18&lt;&gt;0),Z18,IF(AND(OR(L19&lt;&gt;0,L19=0),L18&lt;&gt;0,OR(Z18&lt;&gt;0,Z19&lt;&gt;0)),(L19*M19+Z18*AA18+Z19*AA19+AM19*AN19)/(M19+AA18+AA19+AN19),IF(AND(AM19&gt;0,OR(L18&gt;0,L19&gt;0)),AM19,0)))),0)</f>
        <v>0</v>
      </c>
      <c r="AH4" s="5">
        <f>IFERROR(IF(AND(OR(L18&lt;&gt;0),L19&lt;&gt;0,Z18=0,Z19=0),M19,IF(AND((L18=0),OR(L19=0,L19&lt;&gt;0),Z18&lt;&gt;0),AA18,IF(AND(OR(L19&lt;&gt;0,L19=0),M18&lt;&gt;0,OR(Z18&lt;&gt;0,Z19&lt;&gt;0)),(M19+AA18+AA19+AN19),IF(AND(AM19&gt;0,OR(L18&gt;0,L19&gt;0)),AN19,0)))),0)</f>
        <v>0</v>
      </c>
      <c r="AI4" s="5">
        <f>IFERROR(IF(AM18&lt;&gt;0,AM18,0),0)</f>
        <v>0</v>
      </c>
      <c r="AJ4" s="5">
        <f>IFERROR(IF(AM18&lt;&gt;0,AN18,0),0)</f>
        <v>0</v>
      </c>
      <c r="AK4" s="5">
        <f>IFERROR(IF(BA18&lt;&gt;0,BA18,0),0)</f>
        <v>0</v>
      </c>
      <c r="AL4" s="5">
        <f>IFERROR(IF(BA18&lt;&gt;0,BB18,0),0)</f>
        <v>0</v>
      </c>
      <c r="AM4" s="5">
        <f>IFERROR(IF(BM18&lt;&gt;0,BM18,0),0)</f>
        <v>0</v>
      </c>
      <c r="AN4" s="5">
        <f>IFERROR(IF(BM18&lt;&gt;0,BN18,0),0)</f>
        <v>0</v>
      </c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</row>
    <row r="5" spans="3:79" s="1" customFormat="1" ht="19.5" customHeight="1">
      <c r="L5" s="2"/>
      <c r="M5" s="3"/>
      <c r="N5" s="3"/>
      <c r="O5" s="3"/>
      <c r="P5" s="3"/>
      <c r="Q5" s="4"/>
      <c r="T5" s="9" t="s">
        <v>16</v>
      </c>
      <c r="U5" s="5">
        <f>AI4</f>
        <v>0</v>
      </c>
      <c r="V5" s="5">
        <f>AJ4</f>
        <v>0</v>
      </c>
      <c r="W5" s="3"/>
      <c r="AA5" s="7" t="s">
        <v>51</v>
      </c>
      <c r="AB5" s="7" t="s">
        <v>51</v>
      </c>
      <c r="AC5" s="7" t="s">
        <v>51</v>
      </c>
      <c r="AD5" s="7" t="s">
        <v>51</v>
      </c>
      <c r="AE5" s="7" t="s">
        <v>51</v>
      </c>
      <c r="AF5" s="7" t="s">
        <v>51</v>
      </c>
      <c r="AG5" s="7" t="s">
        <v>51</v>
      </c>
      <c r="AH5" s="7" t="s">
        <v>51</v>
      </c>
      <c r="AI5" s="7" t="s">
        <v>51</v>
      </c>
      <c r="AJ5" s="7" t="s">
        <v>51</v>
      </c>
      <c r="AK5" s="7" t="s">
        <v>51</v>
      </c>
      <c r="AL5" s="7" t="s">
        <v>51</v>
      </c>
      <c r="AM5" s="7" t="s">
        <v>51</v>
      </c>
      <c r="AN5" s="7" t="s">
        <v>51</v>
      </c>
      <c r="AO5" s="7" t="s">
        <v>51</v>
      </c>
      <c r="AP5" s="7" t="s">
        <v>51</v>
      </c>
      <c r="AQ5" s="7">
        <v>0</v>
      </c>
      <c r="AR5" s="7" t="s">
        <v>51</v>
      </c>
      <c r="AS5" s="7" t="s">
        <v>51</v>
      </c>
      <c r="AT5" s="7" t="s">
        <v>51</v>
      </c>
      <c r="AU5" s="7" t="s">
        <v>51</v>
      </c>
      <c r="AV5" s="7" t="s">
        <v>51</v>
      </c>
      <c r="AW5" s="7" t="s">
        <v>51</v>
      </c>
      <c r="AX5" s="7"/>
      <c r="AY5" s="7" t="s">
        <v>51</v>
      </c>
      <c r="AZ5" s="7" t="s">
        <v>51</v>
      </c>
      <c r="BA5" s="7" t="s">
        <v>51</v>
      </c>
      <c r="BB5" s="7" t="s">
        <v>51</v>
      </c>
      <c r="BC5" s="7" t="s">
        <v>51</v>
      </c>
      <c r="BD5" s="7" t="s">
        <v>51</v>
      </c>
      <c r="BE5" s="7" t="s">
        <v>51</v>
      </c>
      <c r="BF5" s="7" t="s">
        <v>51</v>
      </c>
      <c r="BG5" s="7" t="s">
        <v>51</v>
      </c>
      <c r="BH5" s="7"/>
    </row>
    <row r="6" spans="3:79" ht="19.5" customHeight="1">
      <c r="C6" s="6" t="s">
        <v>1</v>
      </c>
      <c r="D6" s="18"/>
      <c r="E6" s="18"/>
      <c r="F6" s="18"/>
      <c r="G6" s="18"/>
      <c r="H6" s="18"/>
      <c r="I6" s="18"/>
      <c r="J6" s="18"/>
      <c r="K6" s="18"/>
      <c r="R6" s="18"/>
      <c r="T6" s="9" t="s">
        <v>10</v>
      </c>
      <c r="U6" s="5">
        <f>AK4</f>
        <v>0</v>
      </c>
      <c r="V6" s="5">
        <f>AL4</f>
        <v>0</v>
      </c>
      <c r="W6" s="3"/>
      <c r="Z6" s="15" t="s">
        <v>52</v>
      </c>
      <c r="AA6" s="18"/>
      <c r="AB6" s="18"/>
      <c r="AC6" s="18"/>
      <c r="AD6" s="18"/>
      <c r="AE6" s="5"/>
      <c r="AF6" s="5"/>
      <c r="AG6" s="5"/>
      <c r="AH6" s="5"/>
      <c r="AI6" s="5"/>
      <c r="AJ6" s="5"/>
      <c r="AK6" s="5"/>
      <c r="AL6" s="5"/>
      <c r="AM6" s="5"/>
      <c r="AN6" s="5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23"/>
      <c r="BJ6" s="23"/>
      <c r="BK6" s="23"/>
      <c r="BL6" s="23"/>
      <c r="BM6" s="23"/>
      <c r="BN6" s="23"/>
      <c r="BO6" s="23"/>
      <c r="BP6" s="23"/>
      <c r="BQ6" s="23"/>
      <c r="BR6" s="23"/>
      <c r="BS6" s="23"/>
      <c r="BT6" s="23"/>
      <c r="BU6" s="23"/>
      <c r="BV6" s="23"/>
      <c r="BW6" s="23"/>
      <c r="BX6" s="23"/>
      <c r="BY6" s="23"/>
      <c r="BZ6" s="23"/>
      <c r="CA6" s="23"/>
    </row>
    <row r="7" spans="3:79">
      <c r="C7" s="7"/>
      <c r="D7" s="19"/>
      <c r="E7" s="19"/>
      <c r="F7" s="19"/>
      <c r="G7" s="19"/>
      <c r="H7" s="19"/>
      <c r="I7" s="19"/>
      <c r="J7" s="19"/>
      <c r="K7" s="19"/>
      <c r="R7" s="19"/>
      <c r="T7" s="9" t="s">
        <v>12</v>
      </c>
      <c r="U7" s="5">
        <f>AM4</f>
        <v>0</v>
      </c>
      <c r="V7" s="5">
        <f>AN4</f>
        <v>0</v>
      </c>
      <c r="W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3:79">
      <c r="C8" s="8" t="s">
        <v>4</v>
      </c>
      <c r="D8" s="18"/>
      <c r="E8" s="18"/>
      <c r="F8" s="18"/>
      <c r="G8" s="18"/>
      <c r="H8" s="18"/>
      <c r="I8" s="18"/>
      <c r="J8" s="18"/>
      <c r="K8" s="18"/>
      <c r="R8" s="18"/>
      <c r="AC8" s="17" t="s">
        <v>54</v>
      </c>
      <c r="AE8" s="16">
        <f>IF(BH6&gt;AE6,AE6,BH6)</f>
        <v>0</v>
      </c>
      <c r="AF8" s="16">
        <f t="shared" ref="AF8:AN8" si="2">BI6</f>
        <v>0</v>
      </c>
      <c r="AG8" s="16">
        <f>IF(BJ6&gt;AG6,AG6,BJ6)</f>
        <v>0</v>
      </c>
      <c r="AH8" s="16">
        <f t="shared" si="2"/>
        <v>0</v>
      </c>
      <c r="AI8" s="16">
        <f>IF(BL6&gt;AI6,AI6,BL6)</f>
        <v>0</v>
      </c>
      <c r="AJ8" s="16">
        <f t="shared" si="2"/>
        <v>0</v>
      </c>
      <c r="AK8" s="16">
        <f>IF(BN6&gt;AK6,AK6,BN6)</f>
        <v>0</v>
      </c>
      <c r="AL8" s="16">
        <f t="shared" si="2"/>
        <v>0</v>
      </c>
      <c r="AM8" s="16">
        <f>IF(BP6&gt;AM6,AM6,BP6)</f>
        <v>0</v>
      </c>
      <c r="AN8" s="16">
        <f t="shared" si="2"/>
        <v>0</v>
      </c>
    </row>
    <row r="9" spans="3:79" ht="37.5" customHeight="1" thickBot="1">
      <c r="AE9" s="12"/>
      <c r="AF9" s="12"/>
      <c r="AG9" s="12"/>
      <c r="AH9" s="20"/>
      <c r="AI9" s="1"/>
      <c r="AJ9" s="1"/>
      <c r="AK9" s="1"/>
      <c r="AL9" s="1"/>
      <c r="AM9" s="1"/>
      <c r="AN9" s="1"/>
      <c r="AO9" s="1"/>
      <c r="AP9" s="1"/>
      <c r="AQ9" s="1"/>
      <c r="AR9" s="1"/>
    </row>
    <row r="10" spans="3:79">
      <c r="C10" s="21" t="s">
        <v>14</v>
      </c>
      <c r="D10" s="22"/>
      <c r="E10" s="22"/>
      <c r="F10" s="22"/>
      <c r="G10" s="22"/>
      <c r="H10" s="22"/>
      <c r="I10" s="22"/>
      <c r="J10" s="22"/>
      <c r="K10" s="22"/>
      <c r="R10" s="22"/>
      <c r="S10" s="22"/>
      <c r="AH10" s="17"/>
      <c r="AI10" s="17"/>
      <c r="AJ10" s="17"/>
      <c r="AK10" s="17"/>
      <c r="AL10" s="17"/>
      <c r="AM10" s="17"/>
    </row>
    <row r="11" spans="3:79" s="19" customFormat="1">
      <c r="AI11" s="19">
        <f>VALUE(AI18)</f>
        <v>0</v>
      </c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</row>
    <row r="12" spans="3:79">
      <c r="AH12" s="17"/>
      <c r="AI12" s="17" t="b">
        <f>ISNUMBER(AI11)</f>
        <v>1</v>
      </c>
      <c r="AJ12" s="17"/>
      <c r="AK12" s="17"/>
      <c r="AL12" s="17"/>
      <c r="AM12" s="17"/>
    </row>
    <row r="13" spans="3:79">
      <c r="C13" s="17" t="s">
        <v>17</v>
      </c>
      <c r="AH13" s="17"/>
      <c r="AI13" s="17"/>
      <c r="AJ13" s="17"/>
      <c r="AK13" s="17"/>
      <c r="AL13" s="17"/>
      <c r="AM13" s="17"/>
    </row>
    <row r="14" spans="3:79">
      <c r="AH14" s="17"/>
      <c r="AI14" s="17"/>
      <c r="AJ14" s="17"/>
      <c r="AK14" s="17"/>
      <c r="AL14" s="17"/>
      <c r="AM14" s="17"/>
      <c r="AU14" s="17" t="s">
        <v>61</v>
      </c>
    </row>
    <row r="16" spans="3:79">
      <c r="D16" s="25" t="s">
        <v>0</v>
      </c>
      <c r="E16" s="24" t="s">
        <v>1</v>
      </c>
      <c r="F16" s="24"/>
      <c r="G16" s="24" t="s">
        <v>4</v>
      </c>
      <c r="H16" s="24"/>
      <c r="I16" s="24" t="s">
        <v>11</v>
      </c>
      <c r="J16" s="24"/>
      <c r="R16" s="25" t="s">
        <v>6</v>
      </c>
      <c r="S16" s="18" t="s">
        <v>1</v>
      </c>
      <c r="T16" s="18"/>
      <c r="U16" s="24" t="s">
        <v>4</v>
      </c>
      <c r="V16" s="24"/>
      <c r="W16" s="24" t="s">
        <v>11</v>
      </c>
      <c r="X16" s="24"/>
      <c r="AE16" s="25" t="s">
        <v>8</v>
      </c>
      <c r="AF16" s="28" t="s">
        <v>1</v>
      </c>
      <c r="AG16" s="29"/>
      <c r="AH16" s="28" t="s">
        <v>4</v>
      </c>
      <c r="AI16" s="29"/>
      <c r="AJ16" s="28" t="s">
        <v>11</v>
      </c>
      <c r="AK16" s="29"/>
      <c r="AS16" s="25" t="s">
        <v>10</v>
      </c>
      <c r="AT16" s="28" t="s">
        <v>1</v>
      </c>
      <c r="AU16" s="29"/>
      <c r="AV16" s="28" t="s">
        <v>4</v>
      </c>
      <c r="AW16" s="29"/>
      <c r="AX16" s="28" t="s">
        <v>11</v>
      </c>
      <c r="AY16" s="29"/>
      <c r="BE16" s="25" t="s">
        <v>12</v>
      </c>
      <c r="BF16" s="28" t="s">
        <v>1</v>
      </c>
      <c r="BG16" s="29"/>
      <c r="BH16" s="28" t="s">
        <v>4</v>
      </c>
      <c r="BI16" s="29"/>
      <c r="BJ16" s="24" t="s">
        <v>11</v>
      </c>
      <c r="BK16" s="24"/>
    </row>
    <row r="17" spans="3:66">
      <c r="D17" s="26"/>
      <c r="E17" s="18" t="s">
        <v>2</v>
      </c>
      <c r="F17" s="18" t="s">
        <v>3</v>
      </c>
      <c r="G17" s="18" t="s">
        <v>2</v>
      </c>
      <c r="H17" s="18" t="s">
        <v>3</v>
      </c>
      <c r="I17" s="18" t="s">
        <v>2</v>
      </c>
      <c r="J17" s="18" t="s">
        <v>3</v>
      </c>
      <c r="R17" s="26"/>
      <c r="S17" s="18" t="s">
        <v>2</v>
      </c>
      <c r="T17" s="18" t="s">
        <v>3</v>
      </c>
      <c r="U17" s="18" t="s">
        <v>2</v>
      </c>
      <c r="V17" s="18" t="s">
        <v>3</v>
      </c>
      <c r="W17" s="18" t="s">
        <v>2</v>
      </c>
      <c r="X17" s="18" t="s">
        <v>3</v>
      </c>
      <c r="AE17" s="26"/>
      <c r="AF17" s="18" t="s">
        <v>2</v>
      </c>
      <c r="AG17" s="18" t="s">
        <v>3</v>
      </c>
      <c r="AH17" s="18" t="s">
        <v>2</v>
      </c>
      <c r="AI17" s="18" t="s">
        <v>3</v>
      </c>
      <c r="AJ17" s="18"/>
      <c r="AK17" s="18"/>
      <c r="AS17" s="26"/>
      <c r="AT17" s="18" t="s">
        <v>2</v>
      </c>
      <c r="AU17" s="18" t="s">
        <v>3</v>
      </c>
      <c r="AV17" s="18" t="s">
        <v>2</v>
      </c>
      <c r="AW17" s="18" t="s">
        <v>3</v>
      </c>
      <c r="AX17" s="18"/>
      <c r="AY17" s="18"/>
      <c r="BE17" s="26"/>
      <c r="BF17" s="23" t="s">
        <v>2</v>
      </c>
      <c r="BG17" s="23" t="s">
        <v>3</v>
      </c>
      <c r="BH17" s="23" t="s">
        <v>2</v>
      </c>
      <c r="BI17" s="23" t="s">
        <v>3</v>
      </c>
      <c r="BJ17" s="23"/>
      <c r="BK17" s="23"/>
    </row>
    <row r="18" spans="3:66">
      <c r="D18" s="27"/>
      <c r="E18" s="18">
        <f>IF(AE6="",0,VALUE(AE6))</f>
        <v>0</v>
      </c>
      <c r="F18" s="18">
        <f>IF(AF6="",0,VALUE(AF6))</f>
        <v>0</v>
      </c>
      <c r="G18" s="18">
        <f>IF(H18=0,0,VALUE(AE8))</f>
        <v>0</v>
      </c>
      <c r="H18" s="18">
        <f>VALUE(AF8)</f>
        <v>0</v>
      </c>
      <c r="I18" s="18">
        <f>IF(J18=0,0,VALUE(BR6))</f>
        <v>0</v>
      </c>
      <c r="J18" s="23">
        <f>VALUE(BS6)</f>
        <v>0</v>
      </c>
      <c r="K18" s="17" t="s">
        <v>5</v>
      </c>
      <c r="L18" s="17">
        <f>IF(AND(E18=G18,COUNTIF(F20:F228,E18)&lt;&gt;0),E18,IF(COUNTIF(F20:F228,E18)&gt;0,E18,0))</f>
        <v>0</v>
      </c>
      <c r="M18" s="17">
        <f>IF(AND(E18=G18,COUNTIF(F20:F228,E18)&lt;&gt;0),COUNTIF(F20:F228,E18),IF(COUNTIF(F20:F228,E18)&gt;0,COUNTIF(F20:F228,E18),0))</f>
        <v>0</v>
      </c>
      <c r="R18" s="27"/>
      <c r="S18" s="18">
        <f>IF(AG6="",0,VALUE(AG6))</f>
        <v>0</v>
      </c>
      <c r="T18" s="18">
        <f>IF(AH6="",0,VALUE(AH6))</f>
        <v>0</v>
      </c>
      <c r="U18" s="18">
        <f>IF(V18=0,0,VALUE(AG8))</f>
        <v>0</v>
      </c>
      <c r="V18" s="18">
        <f>VALUE(AH8)</f>
        <v>0</v>
      </c>
      <c r="W18" s="18">
        <f>IF(X18=0,0,VALUE(BT6))</f>
        <v>0</v>
      </c>
      <c r="X18" s="23">
        <f>VALUE(BU6)</f>
        <v>0</v>
      </c>
      <c r="Y18" s="17" t="s">
        <v>5</v>
      </c>
      <c r="Z18" s="17">
        <f>IF(AND(S18=U18,COUNTIF(T20:T228,S18)&lt;&gt;0),S18,IF(COUNTIF(T20:T228,S18)&gt;0,S18,0))</f>
        <v>0</v>
      </c>
      <c r="AA18" s="17">
        <f>IF(AND(S18=U18,COUNTIF(T20:T228,S18)&lt;&gt;0),COUNTIF(T20:T228,S18),IF(COUNTIF(T20:T228,S18)&gt;0,COUNTIF(T20:T228,S18),0))</f>
        <v>0</v>
      </c>
      <c r="AE18" s="27"/>
      <c r="AF18" s="18">
        <f>IF(AI6="",0,VALUE(AI6))</f>
        <v>0</v>
      </c>
      <c r="AG18" s="18">
        <f>IF(AJ6="",0,VALUE(AJ6))</f>
        <v>0</v>
      </c>
      <c r="AH18" s="18">
        <f>IF(AI18=0,0,VALUE(AI8))</f>
        <v>0</v>
      </c>
      <c r="AI18" s="18">
        <f>VALUE(AJ8)</f>
        <v>0</v>
      </c>
      <c r="AJ18" s="18">
        <f>IF(AK18=0,0,VALUE(BV6))</f>
        <v>0</v>
      </c>
      <c r="AK18" s="23">
        <f>VALUE(BW6)</f>
        <v>0</v>
      </c>
      <c r="AL18" s="17" t="s">
        <v>5</v>
      </c>
      <c r="AM18" s="17">
        <f>IF(AND(AF18=AH18,COUNTIF(AG20:AG228,AF18)&lt;&gt;0),AF18,IF(COUNTIF(AG20:AG228,AF18)&gt;0,AF18,0))</f>
        <v>0</v>
      </c>
      <c r="AN18" s="17">
        <f>IF(AND(AF18=AH18,COUNTIF(AG20:AG228,AF18)&lt;&gt;0),COUNTIF(AG20:AG228,AF18),IF(COUNTIF(AG20:AG228,AF18)&gt;0,COUNTIF(AG20:AG228,AF18),0))</f>
        <v>0</v>
      </c>
      <c r="AS18" s="27"/>
      <c r="AT18" s="18">
        <f>IF(AK6="",0,VALUE(AK6))</f>
        <v>0</v>
      </c>
      <c r="AU18" s="18">
        <f>IF(AL6="",0,VALUE(AL6))</f>
        <v>0</v>
      </c>
      <c r="AV18" s="18">
        <f>IF(AW18=0,0,VALUE(AK8))</f>
        <v>0</v>
      </c>
      <c r="AW18" s="18">
        <f>VALUE(AL8)</f>
        <v>0</v>
      </c>
      <c r="AX18" s="18">
        <f>IF(AY18=0,0,VALUE(BX6))</f>
        <v>0</v>
      </c>
      <c r="AY18" s="23">
        <f>VALUE(BY6)</f>
        <v>0</v>
      </c>
      <c r="AZ18" s="17" t="s">
        <v>11</v>
      </c>
      <c r="BA18" s="17">
        <f>IF(AND(AT18=AV18,COUNTIF(AU20:AU228,AT18)&lt;&gt;0),AT18,IF(COUNTIF(AU20:AU228,AT18)&gt;0,AT18,0))</f>
        <v>0</v>
      </c>
      <c r="BB18" s="17">
        <f>IF(AND(AT18=AV18,COUNTIF(AU20:AU228,AT18)&lt;&gt;0),COUNTIF(AU20:AU228,AT18),IF(COUNTIF(AU20:AU228,AT18)&gt;0,COUNTIF(AU20:AU228,AT18),0))</f>
        <v>0</v>
      </c>
      <c r="BE18" s="27"/>
      <c r="BF18" s="23">
        <f>IF(AM6="",0,VALUE(AM6))</f>
        <v>0</v>
      </c>
      <c r="BG18" s="23">
        <f>IF(AN6="",0,VALUE(AN6))</f>
        <v>0</v>
      </c>
      <c r="BH18" s="23">
        <f>IF(BI18=0,0,VALUE(AM8))</f>
        <v>0</v>
      </c>
      <c r="BI18" s="23">
        <f>VALUE(AN8)</f>
        <v>0</v>
      </c>
      <c r="BJ18" s="23">
        <f>IF(BK18=0,0,VALUE(BZ6))</f>
        <v>0</v>
      </c>
      <c r="BK18" s="23">
        <f>VALUE(CA6)</f>
        <v>0</v>
      </c>
      <c r="BL18" s="17" t="s">
        <v>11</v>
      </c>
      <c r="BM18" s="17">
        <f>IF(AND(BF18=BH18,COUNTIF(BG20:BG228,BF18)&lt;&gt;0),BF18,IF(COUNTIF(BG20:BG228,BF18)&gt;0,BF18,0))</f>
        <v>0</v>
      </c>
      <c r="BN18" s="17">
        <f>IF(AND(BF18=BH18,COUNTIF(BG20:BG228,BF18)&lt;&gt;0),COUNTIF(BG20:BG228,BF18),IF(COUNTIF(BG20:BG228,BF18)&gt;0,COUNTIF(BG20:BG228,BF18),0))</f>
        <v>0</v>
      </c>
    </row>
    <row r="19" spans="3:66">
      <c r="K19" s="17" t="s">
        <v>7</v>
      </c>
      <c r="L19" s="17">
        <f>IF(AND(E18&lt;&gt;I18,NOT(AND(G18=0,I18=0)),OR(I18&lt;&gt;0,E18&lt;&gt;G18)),F20,0)</f>
        <v>0</v>
      </c>
      <c r="M19" s="17">
        <f>IF(AND(E18&lt;&gt;I18,NOT(AND(G18=0,I18=0)),OR(I18&lt;&gt;0,E18&lt;&gt;G18),F20&lt;&gt;""),COUNTIF(F20:F228,F20),0)</f>
        <v>0</v>
      </c>
      <c r="Y19" s="17" t="s">
        <v>7</v>
      </c>
      <c r="Z19" s="17">
        <f>IF(AND(S18&lt;&gt;W18,NOT(AND(U18=0,W18=0)),OR(W18&lt;&gt;0,S18&lt;&gt;U18)),T20,0)</f>
        <v>0</v>
      </c>
      <c r="AA19" s="17">
        <f>IF(AND(S18&lt;&gt;W18,NOT(AND(U18=0,W18=0)),OR(W18&lt;&gt;0,S18&lt;&gt;U18),T20&lt;&gt;""),COUNTIF(T20:T228,T20),0)</f>
        <v>0</v>
      </c>
      <c r="AL19" s="17" t="s">
        <v>7</v>
      </c>
      <c r="AM19" s="17">
        <f>IF(AND(AF18&lt;&gt;AJ18,NOT(AND(AH18=0,AJ18=0)),OR(AJ18&lt;&gt;0,AF18&lt;&gt;AH18)),AG20,0)</f>
        <v>0</v>
      </c>
      <c r="AN19" s="17">
        <f>IF(AND(AF18&lt;&gt;AJ18,NOT(AND(AH18=0,AJ18=0)),OR(AJ18&lt;&gt;0,AF18&lt;&gt;AH18),AG20&lt;&gt;""),COUNTIF(AG20:AG228,AG20),0)</f>
        <v>0</v>
      </c>
      <c r="AZ19" s="17" t="s">
        <v>9</v>
      </c>
      <c r="BA19" s="17">
        <f>IF(AND(AT18&lt;&gt;AX18,NOT(AND(AV18=0,AX18=0)),OR(AX18&lt;&gt;0,AT18&lt;&gt;AV18)),AU20,0)</f>
        <v>0</v>
      </c>
      <c r="BB19" s="17">
        <f>IF(AND(AT18&lt;&gt;AX18,NOT(AND(AV18=0,AX18=0)),OR(AX18&lt;&gt;0,AT18&lt;&gt;AV18),AU20&lt;&gt;""),COUNTIF(AU20:AU228,AU20),0)</f>
        <v>0</v>
      </c>
      <c r="BL19" s="17" t="s">
        <v>9</v>
      </c>
      <c r="BM19" s="17">
        <f>IF(AND(BF18&lt;&gt;BJ18,NOT(AND(BH18=0,BJ18=0)),OR(BJ18&lt;&gt;0,BF18&lt;&gt;BH18)),BG20,0)</f>
        <v>0</v>
      </c>
      <c r="BN19" s="17">
        <f>IF(AND(BF18&lt;&gt;BJ18,NOT(AND(BH18=0,BJ18=0)),OR(BJ18&lt;&gt;0,BF18&lt;&gt;BH18),BG20&lt;&gt;""),COUNTIF(BG20:BG228,BG20),0)</f>
        <v>0</v>
      </c>
    </row>
    <row r="20" spans="3:66">
      <c r="C20" s="17">
        <v>1</v>
      </c>
      <c r="D20" s="17" t="str">
        <f>IF($F$18&gt;=C20,$E$18,"")</f>
        <v/>
      </c>
      <c r="E20" s="17">
        <f t="array" ref="E20">IFERROR(INDEX($B$231:$B$491,SMALL(IF(("Q"=$A$231:$A$491),MATCH(ROW($A$231:$A$491),ROW($A$231:$A$491)),""),ROWS($A$1:A1))),0)</f>
        <v>0</v>
      </c>
      <c r="F20" s="17" t="str">
        <f t="shared" ref="F20:F83" si="3">IF(D20="","",D20-E20)</f>
        <v/>
      </c>
      <c r="Q20" s="17">
        <v>1</v>
      </c>
      <c r="R20" s="17" t="str">
        <f t="shared" ref="R20:R83" si="4">IF($T$18&gt;=Q20,$S$18,"")</f>
        <v/>
      </c>
      <c r="S20" s="17">
        <f t="array" ref="S20">IFERROR(INDEX($P$231:$P$491,SMALL(IF(("Q"=$O$231:$O$491),MATCH(ROW($O$231:$O$491),ROW($O$231:$O$491)),""),ROWS($A$1:A1))),0)</f>
        <v>0</v>
      </c>
      <c r="T20" s="17" t="str">
        <f t="shared" ref="T20:T83" si="5">IF(R20="","",R20-S20)</f>
        <v/>
      </c>
      <c r="AD20" s="17">
        <v>1</v>
      </c>
      <c r="AE20" s="17" t="str">
        <f>IF($AG$18&gt;=AD20,$AF$18,"")</f>
        <v/>
      </c>
      <c r="AF20" s="17">
        <f t="array" ref="AF20">IFERROR(INDEX($AC$231:$AC$491,SMALL(IF(("Q"=$AB$231:$AB$491),MATCH(ROW($AB$231:$AB$491),ROW($AB$231:$AB$491)),""),ROWS($A$1:A1))),0)</f>
        <v>0</v>
      </c>
      <c r="AG20" s="17" t="str">
        <f t="shared" ref="AG20:AG83" si="6">IF(AE20="","",AE20-AF20)</f>
        <v/>
      </c>
      <c r="AR20" s="17">
        <v>1</v>
      </c>
      <c r="AS20" s="17" t="str">
        <f>IF($AU$18&gt;=AR20,$AT$18,"")</f>
        <v/>
      </c>
      <c r="AT20" s="17">
        <f t="array" ref="AT20">IFERROR(INDEX($AQ$231:$AQ$491,SMALL(IF(("Q"=$AP$231:$AP$491),MATCH(ROW($AP$231:$AP$491),ROW($AP$231:$AP$491)),""),ROWS($A$1:A1))),0)</f>
        <v>0</v>
      </c>
      <c r="AU20" s="17" t="str">
        <f t="shared" ref="AU20" si="7">IF(AS20="","",AS20-AT20)</f>
        <v/>
      </c>
      <c r="BD20" s="17">
        <v>1</v>
      </c>
      <c r="BE20" s="17" t="str">
        <f>IF($BG$18&gt;=BD20,$BF$18,"")</f>
        <v/>
      </c>
      <c r="BF20" s="17">
        <f t="array" ref="BF20">IFERROR(INDEX($BC$231:$BC$491,SMALL(IF(("Q"=$BB$231:$BB$491),MATCH(ROW($BB$231:$BB$491),ROW($BB$231:$BB$491)),""),ROWS($A$1:A1))),0)</f>
        <v>0</v>
      </c>
      <c r="BG20" s="17" t="str">
        <f t="shared" ref="BG20:BG83" si="8">IF(BE20="","",BE20-BF20)</f>
        <v/>
      </c>
    </row>
    <row r="21" spans="3:66">
      <c r="C21" s="17">
        <v>2</v>
      </c>
      <c r="D21" s="17" t="str">
        <f t="shared" ref="D21:D84" si="9">IF($F$18&gt;=C21,$E$18,"")</f>
        <v/>
      </c>
      <c r="E21" s="17">
        <f t="array" ref="E21">IFERROR(INDEX($B$231:$B$491,SMALL(IF(("Q"=$A$231:$A$491),MATCH(ROW($A$231:$A$491),ROW($A$231:$A$491)),""),ROWS($A$1:A2))),0)</f>
        <v>0</v>
      </c>
      <c r="F21" s="17" t="str">
        <f t="shared" si="3"/>
        <v/>
      </c>
      <c r="Q21" s="17">
        <v>2</v>
      </c>
      <c r="R21" s="17" t="str">
        <f t="shared" si="4"/>
        <v/>
      </c>
      <c r="S21" s="17">
        <f t="array" ref="S21">IFERROR(INDEX($P$231:$P$491,SMALL(IF(("Q"=$O$231:$O$491),MATCH(ROW($O$231:$O$491),ROW($O$231:$O$491)),""),ROWS($A$1:A2))),0)</f>
        <v>0</v>
      </c>
      <c r="T21" s="17" t="str">
        <f t="shared" si="5"/>
        <v/>
      </c>
      <c r="AD21" s="17">
        <v>2</v>
      </c>
      <c r="AE21" s="17" t="str">
        <f t="shared" ref="AE21:AE84" si="10">IF($AG$18&gt;=AD21,$AF$18,"")</f>
        <v/>
      </c>
      <c r="AF21" s="17">
        <f t="array" ref="AF21">IFERROR(INDEX($AC$231:$AC$491,SMALL(IF(("Q"=$AB$231:$AB$491),MATCH(ROW($AB$231:$AB$491),ROW($AB$231:$AB$491)),""),ROWS($A$1:A2))),0)</f>
        <v>0</v>
      </c>
      <c r="AG21" s="17" t="str">
        <f t="shared" si="6"/>
        <v/>
      </c>
      <c r="AR21" s="17">
        <v>2</v>
      </c>
      <c r="AS21" s="17" t="str">
        <f t="shared" ref="AS21:AS84" si="11">IF($AU$18&gt;=AR21,$AT$18,"")</f>
        <v/>
      </c>
      <c r="AT21" s="17">
        <f t="array" ref="AT21">IFERROR(INDEX($AQ$231:$AQ$491,SMALL(IF(("Q"=$AP$231:$AP$491),MATCH(ROW($AP$231:$AP$491),ROW($AP$231:$AP$491)),""),ROWS($A$1:A2))),0)</f>
        <v>0</v>
      </c>
      <c r="AU21" s="17" t="str">
        <f t="shared" ref="AU21:AU83" si="12">IF(AS21="","",AS21-AT21)</f>
        <v/>
      </c>
      <c r="BD21" s="17">
        <v>2</v>
      </c>
      <c r="BE21" s="17" t="str">
        <f t="shared" ref="BE21:BE84" si="13">IF($BG$18&gt;=BD21,$BF$18,"")</f>
        <v/>
      </c>
      <c r="BF21" s="17">
        <f t="array" ref="BF21">IFERROR(INDEX($BC$231:$BC$491,SMALL(IF(("Q"=$BB$231:$BB$491),MATCH(ROW($BB$231:$BB$491),ROW($BB$231:$BB$491)),""),ROWS($A$1:A2))),0)</f>
        <v>0</v>
      </c>
      <c r="BG21" s="17" t="str">
        <f t="shared" si="8"/>
        <v/>
      </c>
    </row>
    <row r="22" spans="3:66">
      <c r="C22" s="17">
        <v>3</v>
      </c>
      <c r="D22" s="17" t="str">
        <f t="shared" si="9"/>
        <v/>
      </c>
      <c r="E22" s="17">
        <f t="array" ref="E22">IFERROR(INDEX($B$231:$B$491,SMALL(IF(("Q"=$A$231:$A$491),MATCH(ROW($A$231:$A$491),ROW($A$231:$A$491)),""),ROWS($A$1:A3))),0)</f>
        <v>0</v>
      </c>
      <c r="F22" s="17" t="str">
        <f>IF(D22="","",D22-E22)</f>
        <v/>
      </c>
      <c r="Q22" s="17">
        <v>3</v>
      </c>
      <c r="R22" s="17" t="str">
        <f t="shared" si="4"/>
        <v/>
      </c>
      <c r="S22" s="17">
        <f t="array" ref="S22">IFERROR(INDEX($P$231:$P$491,SMALL(IF(("Q"=$O$231:$O$491),MATCH(ROW($O$231:$O$491),ROW($O$231:$O$491)),""),ROWS($A$1:A3))),0)</f>
        <v>0</v>
      </c>
      <c r="T22" s="17" t="str">
        <f t="shared" si="5"/>
        <v/>
      </c>
      <c r="AD22" s="17">
        <v>3</v>
      </c>
      <c r="AE22" s="17" t="str">
        <f t="shared" si="10"/>
        <v/>
      </c>
      <c r="AF22" s="17">
        <f t="array" ref="AF22">IFERROR(INDEX($AC$231:$AC$491,SMALL(IF(("Q"=$AB$231:$AB$491),MATCH(ROW($AB$231:$AB$491),ROW($AB$231:$AB$491)),""),ROWS($A$1:A3))),0)</f>
        <v>0</v>
      </c>
      <c r="AG22" s="17" t="str">
        <f t="shared" si="6"/>
        <v/>
      </c>
      <c r="AR22" s="17">
        <v>3</v>
      </c>
      <c r="AS22" s="17" t="str">
        <f t="shared" si="11"/>
        <v/>
      </c>
      <c r="AT22" s="17">
        <f t="array" ref="AT22">IFERROR(INDEX($AQ$231:$AQ$491,SMALL(IF(("Q"=$AP$231:$AP$491),MATCH(ROW($AP$231:$AP$491),ROW($AP$231:$AP$491)),""),ROWS($A$1:A3))),0)</f>
        <v>0</v>
      </c>
      <c r="AU22" s="17" t="str">
        <f t="shared" si="12"/>
        <v/>
      </c>
      <c r="BD22" s="17">
        <v>3</v>
      </c>
      <c r="BE22" s="17" t="str">
        <f t="shared" si="13"/>
        <v/>
      </c>
      <c r="BF22" s="17">
        <f t="array" ref="BF22">IFERROR(INDEX($BC$231:$BC$491,SMALL(IF(("Q"=$BB$231:$BB$491),MATCH(ROW($BB$231:$BB$491),ROW($BB$231:$BB$491)),""),ROWS($A$1:A3))),0)</f>
        <v>0</v>
      </c>
      <c r="BG22" s="17" t="str">
        <f t="shared" si="8"/>
        <v/>
      </c>
    </row>
    <row r="23" spans="3:66">
      <c r="C23" s="17">
        <v>4</v>
      </c>
      <c r="D23" s="17" t="str">
        <f t="shared" si="9"/>
        <v/>
      </c>
      <c r="E23" s="17">
        <f t="array" ref="E23">IFERROR(INDEX($B$231:$B$491,SMALL(IF(("Q"=$A$231:$A$491),MATCH(ROW($A$231:$A$491),ROW($A$231:$A$491)),""),ROWS($A$1:A4))),0)</f>
        <v>0</v>
      </c>
      <c r="F23" s="17" t="str">
        <f t="shared" si="3"/>
        <v/>
      </c>
      <c r="Q23" s="17">
        <v>4</v>
      </c>
      <c r="R23" s="17" t="str">
        <f t="shared" si="4"/>
        <v/>
      </c>
      <c r="S23" s="17">
        <f t="array" ref="S23">IFERROR(INDEX($P$231:$P$491,SMALL(IF(("Q"=$O$231:$O$491),MATCH(ROW($O$231:$O$491),ROW($O$231:$O$491)),""),ROWS($A$1:A4))),0)</f>
        <v>0</v>
      </c>
      <c r="T23" s="17" t="str">
        <f t="shared" si="5"/>
        <v/>
      </c>
      <c r="AD23" s="17">
        <v>4</v>
      </c>
      <c r="AE23" s="17" t="str">
        <f t="shared" si="10"/>
        <v/>
      </c>
      <c r="AF23" s="17">
        <f t="array" ref="AF23">IFERROR(INDEX($AC$231:$AC$491,SMALL(IF(("Q"=$AB$231:$AB$491),MATCH(ROW($AB$231:$AB$491),ROW($AB$231:$AB$491)),""),ROWS($A$1:A4))),0)</f>
        <v>0</v>
      </c>
      <c r="AG23" s="17" t="str">
        <f t="shared" si="6"/>
        <v/>
      </c>
      <c r="AR23" s="17">
        <v>4</v>
      </c>
      <c r="AS23" s="17" t="str">
        <f t="shared" si="11"/>
        <v/>
      </c>
      <c r="AT23" s="17">
        <f t="array" ref="AT23">IFERROR(INDEX($AQ$231:$AQ$491,SMALL(IF(("Q"=$AP$231:$AP$491),MATCH(ROW($AP$231:$AP$491),ROW($AP$231:$AP$491)),""),ROWS($A$1:A4))),0)</f>
        <v>0</v>
      </c>
      <c r="AU23" s="17" t="str">
        <f t="shared" si="12"/>
        <v/>
      </c>
      <c r="BD23" s="17">
        <v>4</v>
      </c>
      <c r="BE23" s="17" t="str">
        <f t="shared" si="13"/>
        <v/>
      </c>
      <c r="BF23" s="17">
        <f t="array" ref="BF23">IFERROR(INDEX($BC$231:$BC$491,SMALL(IF(("Q"=$BB$231:$BB$491),MATCH(ROW($BB$231:$BB$491),ROW($BB$231:$BB$491)),""),ROWS($A$1:A4))),0)</f>
        <v>0</v>
      </c>
      <c r="BG23" s="17" t="str">
        <f t="shared" si="8"/>
        <v/>
      </c>
    </row>
    <row r="24" spans="3:66">
      <c r="C24" s="17">
        <v>5</v>
      </c>
      <c r="D24" s="17" t="str">
        <f t="shared" si="9"/>
        <v/>
      </c>
      <c r="E24" s="17">
        <f t="array" ref="E24">IFERROR(INDEX($B$231:$B$491,SMALL(IF(("Q"=$A$231:$A$491),MATCH(ROW($A$231:$A$491),ROW($A$231:$A$491)),""),ROWS($A$1:A5))),0)</f>
        <v>0</v>
      </c>
      <c r="F24" s="17" t="str">
        <f t="shared" si="3"/>
        <v/>
      </c>
      <c r="Q24" s="17">
        <v>5</v>
      </c>
      <c r="R24" s="17" t="str">
        <f t="shared" si="4"/>
        <v/>
      </c>
      <c r="S24" s="17">
        <f t="array" ref="S24">IFERROR(INDEX($P$231:$P$491,SMALL(IF(("Q"=$O$231:$O$491),MATCH(ROW($O$231:$O$491),ROW($O$231:$O$491)),""),ROWS($A$1:A5))),0)</f>
        <v>0</v>
      </c>
      <c r="T24" s="17" t="str">
        <f t="shared" si="5"/>
        <v/>
      </c>
      <c r="AD24" s="17">
        <v>5</v>
      </c>
      <c r="AE24" s="17" t="str">
        <f t="shared" si="10"/>
        <v/>
      </c>
      <c r="AF24" s="17">
        <f t="array" ref="AF24">IFERROR(INDEX($AC$231:$AC$491,SMALL(IF(("Q"=$AB$231:$AB$491),MATCH(ROW($AB$231:$AB$491),ROW($AB$231:$AB$491)),""),ROWS($A$1:A5))),0)</f>
        <v>0</v>
      </c>
      <c r="AG24" s="17" t="str">
        <f t="shared" si="6"/>
        <v/>
      </c>
      <c r="AR24" s="17">
        <v>5</v>
      </c>
      <c r="AS24" s="17" t="str">
        <f t="shared" si="11"/>
        <v/>
      </c>
      <c r="AT24" s="17">
        <f t="array" ref="AT24">IFERROR(INDEX($AQ$231:$AQ$491,SMALL(IF(("Q"=$AP$231:$AP$491),MATCH(ROW($AP$231:$AP$491),ROW($AP$231:$AP$491)),""),ROWS($A$1:A5))),0)</f>
        <v>0</v>
      </c>
      <c r="AU24" s="17" t="str">
        <f t="shared" si="12"/>
        <v/>
      </c>
      <c r="BD24" s="17">
        <v>5</v>
      </c>
      <c r="BE24" s="17" t="str">
        <f t="shared" si="13"/>
        <v/>
      </c>
      <c r="BF24" s="17">
        <f t="array" ref="BF24">IFERROR(INDEX($BC$231:$BC$491,SMALL(IF(("Q"=$BB$231:$BB$491),MATCH(ROW($BB$231:$BB$491),ROW($BB$231:$BB$491)),""),ROWS($A$1:A5))),0)</f>
        <v>0</v>
      </c>
      <c r="BG24" s="17" t="str">
        <f t="shared" si="8"/>
        <v/>
      </c>
    </row>
    <row r="25" spans="3:66">
      <c r="C25" s="17">
        <v>6</v>
      </c>
      <c r="D25" s="17" t="str">
        <f t="shared" si="9"/>
        <v/>
      </c>
      <c r="E25" s="17">
        <f t="array" ref="E25">IFERROR(INDEX($B$231:$B$491,SMALL(IF(("Q"=$A$231:$A$491),MATCH(ROW($A$231:$A$491),ROW($A$231:$A$491)),""),ROWS($A$1:A6))),0)</f>
        <v>0</v>
      </c>
      <c r="F25" s="17" t="str">
        <f t="shared" si="3"/>
        <v/>
      </c>
      <c r="Q25" s="17">
        <v>6</v>
      </c>
      <c r="R25" s="17" t="str">
        <f t="shared" si="4"/>
        <v/>
      </c>
      <c r="S25" s="17">
        <f t="array" ref="S25">IFERROR(INDEX($P$231:$P$491,SMALL(IF(("Q"=$O$231:$O$491),MATCH(ROW($O$231:$O$491),ROW($O$231:$O$491)),""),ROWS($A$1:A6))),0)</f>
        <v>0</v>
      </c>
      <c r="T25" s="17" t="str">
        <f t="shared" si="5"/>
        <v/>
      </c>
      <c r="AD25" s="17">
        <v>6</v>
      </c>
      <c r="AE25" s="17" t="str">
        <f t="shared" si="10"/>
        <v/>
      </c>
      <c r="AF25" s="17">
        <f t="array" ref="AF25">IFERROR(INDEX($AC$231:$AC$491,SMALL(IF(("Q"=$AB$231:$AB$491),MATCH(ROW($AB$231:$AB$491),ROW($AB$231:$AB$491)),""),ROWS($A$1:A6))),0)</f>
        <v>0</v>
      </c>
      <c r="AG25" s="17" t="str">
        <f t="shared" si="6"/>
        <v/>
      </c>
      <c r="AR25" s="17">
        <v>6</v>
      </c>
      <c r="AS25" s="17" t="str">
        <f t="shared" si="11"/>
        <v/>
      </c>
      <c r="AT25" s="17">
        <f t="array" ref="AT25">IFERROR(INDEX($AQ$231:$AQ$491,SMALL(IF(("Q"=$AP$231:$AP$491),MATCH(ROW($AP$231:$AP$491),ROW($AP$231:$AP$491)),""),ROWS($A$1:A6))),0)</f>
        <v>0</v>
      </c>
      <c r="AU25" s="17" t="str">
        <f t="shared" si="12"/>
        <v/>
      </c>
      <c r="BD25" s="17">
        <v>6</v>
      </c>
      <c r="BE25" s="17" t="str">
        <f t="shared" si="13"/>
        <v/>
      </c>
      <c r="BF25" s="17">
        <f t="array" ref="BF25">IFERROR(INDEX($BC$231:$BC$491,SMALL(IF(("Q"=$BB$231:$BB$491),MATCH(ROW($BB$231:$BB$491),ROW($BB$231:$BB$491)),""),ROWS($A$1:A6))),0)</f>
        <v>0</v>
      </c>
      <c r="BG25" s="17" t="str">
        <f t="shared" si="8"/>
        <v/>
      </c>
    </row>
    <row r="26" spans="3:66">
      <c r="C26" s="17">
        <v>7</v>
      </c>
      <c r="D26" s="17" t="str">
        <f t="shared" si="9"/>
        <v/>
      </c>
      <c r="E26" s="17">
        <f t="array" ref="E26">IFERROR(INDEX($B$231:$B$491,SMALL(IF(("Q"=$A$231:$A$491),MATCH(ROW($A$231:$A$491),ROW($A$231:$A$491)),""),ROWS($A$1:A7))),0)</f>
        <v>0</v>
      </c>
      <c r="F26" s="17" t="str">
        <f t="shared" si="3"/>
        <v/>
      </c>
      <c r="Q26" s="17">
        <v>7</v>
      </c>
      <c r="R26" s="17" t="str">
        <f t="shared" si="4"/>
        <v/>
      </c>
      <c r="S26" s="17">
        <f t="array" ref="S26">IFERROR(INDEX($P$231:$P$491,SMALL(IF(("Q"=$O$231:$O$491),MATCH(ROW($O$231:$O$491),ROW($O$231:$O$491)),""),ROWS($A$1:A7))),0)</f>
        <v>0</v>
      </c>
      <c r="T26" s="17" t="str">
        <f t="shared" si="5"/>
        <v/>
      </c>
      <c r="AD26" s="17">
        <v>7</v>
      </c>
      <c r="AE26" s="17" t="str">
        <f t="shared" si="10"/>
        <v/>
      </c>
      <c r="AF26" s="17">
        <f t="array" ref="AF26">IFERROR(INDEX($AC$231:$AC$491,SMALL(IF(("Q"=$AB$231:$AB$491),MATCH(ROW($AB$231:$AB$491),ROW($AB$231:$AB$491)),""),ROWS($A$1:A7))),0)</f>
        <v>0</v>
      </c>
      <c r="AG26" s="17" t="str">
        <f t="shared" si="6"/>
        <v/>
      </c>
      <c r="AR26" s="17">
        <v>7</v>
      </c>
      <c r="AS26" s="17" t="str">
        <f t="shared" si="11"/>
        <v/>
      </c>
      <c r="AT26" s="17">
        <f t="array" ref="AT26">IFERROR(INDEX($AQ$231:$AQ$491,SMALL(IF(("Q"=$AP$231:$AP$491),MATCH(ROW($AP$231:$AP$491),ROW($AP$231:$AP$491)),""),ROWS($A$1:A7))),0)</f>
        <v>0</v>
      </c>
      <c r="AU26" s="17" t="str">
        <f t="shared" si="12"/>
        <v/>
      </c>
      <c r="BD26" s="17">
        <v>7</v>
      </c>
      <c r="BE26" s="17" t="str">
        <f t="shared" si="13"/>
        <v/>
      </c>
      <c r="BF26" s="17">
        <f t="array" ref="BF26">IFERROR(INDEX($BC$231:$BC$491,SMALL(IF(("Q"=$BB$231:$BB$491),MATCH(ROW($BB$231:$BB$491),ROW($BB$231:$BB$491)),""),ROWS($A$1:A7))),0)</f>
        <v>0</v>
      </c>
      <c r="BG26" s="17" t="str">
        <f t="shared" si="8"/>
        <v/>
      </c>
    </row>
    <row r="27" spans="3:66">
      <c r="C27" s="17">
        <v>8</v>
      </c>
      <c r="D27" s="17" t="str">
        <f t="shared" si="9"/>
        <v/>
      </c>
      <c r="E27" s="17">
        <f t="array" ref="E27">IFERROR(INDEX($B$231:$B$491,SMALL(IF(("Q"=$A$231:$A$491),MATCH(ROW($A$231:$A$491),ROW($A$231:$A$491)),""),ROWS($A$1:A8))),0)</f>
        <v>0</v>
      </c>
      <c r="F27" s="17" t="str">
        <f t="shared" si="3"/>
        <v/>
      </c>
      <c r="Q27" s="17">
        <v>8</v>
      </c>
      <c r="R27" s="17" t="str">
        <f t="shared" si="4"/>
        <v/>
      </c>
      <c r="S27" s="17">
        <f t="array" ref="S27">IFERROR(INDEX($P$231:$P$491,SMALL(IF(("Q"=$O$231:$O$491),MATCH(ROW($O$231:$O$491),ROW($O$231:$O$491)),""),ROWS($A$1:A8))),0)</f>
        <v>0</v>
      </c>
      <c r="T27" s="17" t="str">
        <f t="shared" si="5"/>
        <v/>
      </c>
      <c r="AD27" s="17">
        <v>8</v>
      </c>
      <c r="AE27" s="17" t="str">
        <f t="shared" si="10"/>
        <v/>
      </c>
      <c r="AF27" s="17">
        <f t="array" ref="AF27">IFERROR(INDEX($AC$231:$AC$491,SMALL(IF(("Q"=$AB$231:$AB$491),MATCH(ROW($AB$231:$AB$491),ROW($AB$231:$AB$491)),""),ROWS($A$1:A8))),0)</f>
        <v>0</v>
      </c>
      <c r="AG27" s="17" t="str">
        <f t="shared" si="6"/>
        <v/>
      </c>
      <c r="AR27" s="17">
        <v>8</v>
      </c>
      <c r="AS27" s="17" t="str">
        <f t="shared" si="11"/>
        <v/>
      </c>
      <c r="AT27" s="17">
        <f t="array" ref="AT27">IFERROR(INDEX($AQ$231:$AQ$491,SMALL(IF(("Q"=$AP$231:$AP$491),MATCH(ROW($AP$231:$AP$491),ROW($AP$231:$AP$491)),""),ROWS($A$1:A8))),0)</f>
        <v>0</v>
      </c>
      <c r="AU27" s="17" t="str">
        <f t="shared" si="12"/>
        <v/>
      </c>
      <c r="BD27" s="17">
        <v>8</v>
      </c>
      <c r="BE27" s="17" t="str">
        <f t="shared" si="13"/>
        <v/>
      </c>
      <c r="BF27" s="17">
        <f t="array" ref="BF27">IFERROR(INDEX($BC$231:$BC$491,SMALL(IF(("Q"=$BB$231:$BB$491),MATCH(ROW($BB$231:$BB$491),ROW($BB$231:$BB$491)),""),ROWS($A$1:A8))),0)</f>
        <v>0</v>
      </c>
      <c r="BG27" s="17" t="str">
        <f t="shared" si="8"/>
        <v/>
      </c>
    </row>
    <row r="28" spans="3:66">
      <c r="C28" s="17">
        <v>9</v>
      </c>
      <c r="D28" s="17" t="str">
        <f t="shared" si="9"/>
        <v/>
      </c>
      <c r="E28" s="17">
        <f t="array" ref="E28">IFERROR(INDEX($B$231:$B$491,SMALL(IF(("Q"=$A$231:$A$491),MATCH(ROW($A$231:$A$491),ROW($A$231:$A$491)),""),ROWS($A$1:A9))),0)</f>
        <v>0</v>
      </c>
      <c r="F28" s="17" t="str">
        <f t="shared" si="3"/>
        <v/>
      </c>
      <c r="Q28" s="17">
        <v>9</v>
      </c>
      <c r="R28" s="17" t="str">
        <f t="shared" si="4"/>
        <v/>
      </c>
      <c r="S28" s="17">
        <f t="array" ref="S28">IFERROR(INDEX($P$231:$P$491,SMALL(IF(("Q"=$O$231:$O$491),MATCH(ROW($O$231:$O$491),ROW($O$231:$O$491)),""),ROWS($A$1:A9))),0)</f>
        <v>0</v>
      </c>
      <c r="T28" s="17" t="str">
        <f t="shared" si="5"/>
        <v/>
      </c>
      <c r="AD28" s="17">
        <v>9</v>
      </c>
      <c r="AE28" s="17" t="str">
        <f t="shared" si="10"/>
        <v/>
      </c>
      <c r="AF28" s="17">
        <f t="array" ref="AF28">IFERROR(INDEX($AC$231:$AC$491,SMALL(IF(("Q"=$AB$231:$AB$491),MATCH(ROW($AB$231:$AB$491),ROW($AB$231:$AB$491)),""),ROWS($A$1:A9))),0)</f>
        <v>0</v>
      </c>
      <c r="AG28" s="17" t="str">
        <f t="shared" si="6"/>
        <v/>
      </c>
      <c r="AR28" s="17">
        <v>9</v>
      </c>
      <c r="AS28" s="17" t="str">
        <f t="shared" si="11"/>
        <v/>
      </c>
      <c r="AT28" s="17">
        <f t="array" ref="AT28">IFERROR(INDEX($AQ$231:$AQ$491,SMALL(IF(("Q"=$AP$231:$AP$491),MATCH(ROW($AP$231:$AP$491),ROW($AP$231:$AP$491)),""),ROWS($A$1:A9))),0)</f>
        <v>0</v>
      </c>
      <c r="AU28" s="17" t="str">
        <f t="shared" si="12"/>
        <v/>
      </c>
      <c r="BD28" s="17">
        <v>9</v>
      </c>
      <c r="BE28" s="17" t="str">
        <f t="shared" si="13"/>
        <v/>
      </c>
      <c r="BF28" s="17">
        <f t="array" ref="BF28">IFERROR(INDEX($BC$231:$BC$491,SMALL(IF(("Q"=$BB$231:$BB$491),MATCH(ROW($BB$231:$BB$491),ROW($BB$231:$BB$491)),""),ROWS($A$1:A9))),0)</f>
        <v>0</v>
      </c>
      <c r="BG28" s="17" t="str">
        <f t="shared" si="8"/>
        <v/>
      </c>
    </row>
    <row r="29" spans="3:66">
      <c r="C29" s="17">
        <v>10</v>
      </c>
      <c r="D29" s="17" t="str">
        <f t="shared" si="9"/>
        <v/>
      </c>
      <c r="E29" s="17">
        <f t="array" ref="E29">IFERROR(INDEX($B$231:$B$491,SMALL(IF(("Q"=$A$231:$A$491),MATCH(ROW($A$231:$A$491),ROW($A$231:$A$491)),""),ROWS($A$1:A10))),0)</f>
        <v>0</v>
      </c>
      <c r="F29" s="17" t="str">
        <f t="shared" si="3"/>
        <v/>
      </c>
      <c r="Q29" s="17">
        <v>10</v>
      </c>
      <c r="R29" s="17" t="str">
        <f t="shared" si="4"/>
        <v/>
      </c>
      <c r="S29" s="17">
        <f t="array" ref="S29">IFERROR(INDEX($P$231:$P$491,SMALL(IF(("Q"=$O$231:$O$491),MATCH(ROW($O$231:$O$491),ROW($O$231:$O$491)),""),ROWS($A$1:A10))),0)</f>
        <v>0</v>
      </c>
      <c r="T29" s="17" t="str">
        <f t="shared" si="5"/>
        <v/>
      </c>
      <c r="AD29" s="17">
        <v>10</v>
      </c>
      <c r="AE29" s="17" t="str">
        <f t="shared" si="10"/>
        <v/>
      </c>
      <c r="AF29" s="17">
        <f t="array" ref="AF29">IFERROR(INDEX($AC$231:$AC$491,SMALL(IF(("Q"=$AB$231:$AB$491),MATCH(ROW($AB$231:$AB$491),ROW($AB$231:$AB$491)),""),ROWS($A$1:A10))),0)</f>
        <v>0</v>
      </c>
      <c r="AG29" s="17" t="str">
        <f t="shared" si="6"/>
        <v/>
      </c>
      <c r="AR29" s="17">
        <v>10</v>
      </c>
      <c r="AS29" s="17" t="str">
        <f t="shared" si="11"/>
        <v/>
      </c>
      <c r="AT29" s="17">
        <f t="array" ref="AT29">IFERROR(INDEX($AQ$231:$AQ$491,SMALL(IF(("Q"=$AP$231:$AP$491),MATCH(ROW($AP$231:$AP$491),ROW($AP$231:$AP$491)),""),ROWS($A$1:A10))),0)</f>
        <v>0</v>
      </c>
      <c r="AU29" s="17" t="str">
        <f t="shared" si="12"/>
        <v/>
      </c>
      <c r="BD29" s="17">
        <v>10</v>
      </c>
      <c r="BE29" s="17" t="str">
        <f t="shared" si="13"/>
        <v/>
      </c>
      <c r="BF29" s="17">
        <f t="array" ref="BF29">IFERROR(INDEX($BC$231:$BC$491,SMALL(IF(("Q"=$BB$231:$BB$491),MATCH(ROW($BB$231:$BB$491),ROW($BB$231:$BB$491)),""),ROWS($A$1:A10))),0)</f>
        <v>0</v>
      </c>
      <c r="BG29" s="17" t="str">
        <f t="shared" si="8"/>
        <v/>
      </c>
    </row>
    <row r="30" spans="3:66">
      <c r="C30" s="17">
        <v>11</v>
      </c>
      <c r="D30" s="17" t="str">
        <f t="shared" si="9"/>
        <v/>
      </c>
      <c r="E30" s="17">
        <f t="array" ref="E30">IFERROR(INDEX($B$231:$B$491,SMALL(IF(("Q"=$A$231:$A$491),MATCH(ROW($A$231:$A$491),ROW($A$231:$A$491)),""),ROWS($A$1:A11))),0)</f>
        <v>0</v>
      </c>
      <c r="F30" s="17" t="str">
        <f t="shared" si="3"/>
        <v/>
      </c>
      <c r="Q30" s="17">
        <v>11</v>
      </c>
      <c r="R30" s="17" t="str">
        <f t="shared" si="4"/>
        <v/>
      </c>
      <c r="S30" s="17">
        <f t="array" ref="S30">IFERROR(INDEX($P$231:$P$491,SMALL(IF(("Q"=$O$231:$O$491),MATCH(ROW($O$231:$O$491),ROW($O$231:$O$491)),""),ROWS($A$1:A11))),0)</f>
        <v>0</v>
      </c>
      <c r="T30" s="17" t="str">
        <f t="shared" si="5"/>
        <v/>
      </c>
      <c r="AD30" s="17">
        <v>11</v>
      </c>
      <c r="AE30" s="17" t="str">
        <f t="shared" si="10"/>
        <v/>
      </c>
      <c r="AF30" s="17">
        <f t="array" ref="AF30">IFERROR(INDEX($AC$231:$AC$491,SMALL(IF(("Q"=$AB$231:$AB$491),MATCH(ROW($AB$231:$AB$491),ROW($AB$231:$AB$491)),""),ROWS($A$1:A11))),0)</f>
        <v>0</v>
      </c>
      <c r="AG30" s="17" t="str">
        <f t="shared" si="6"/>
        <v/>
      </c>
      <c r="AR30" s="17">
        <v>11</v>
      </c>
      <c r="AS30" s="17" t="str">
        <f t="shared" si="11"/>
        <v/>
      </c>
      <c r="AT30" s="17">
        <f t="array" ref="AT30">IFERROR(INDEX($AQ$231:$AQ$491,SMALL(IF(("Q"=$AP$231:$AP$491),MATCH(ROW($AP$231:$AP$491),ROW($AP$231:$AP$491)),""),ROWS($A$1:A11))),0)</f>
        <v>0</v>
      </c>
      <c r="AU30" s="17" t="str">
        <f t="shared" si="12"/>
        <v/>
      </c>
      <c r="BD30" s="17">
        <v>11</v>
      </c>
      <c r="BE30" s="17" t="str">
        <f t="shared" si="13"/>
        <v/>
      </c>
      <c r="BF30" s="17">
        <f t="array" ref="BF30">IFERROR(INDEX($BC$231:$BC$491,SMALL(IF(("Q"=$BB$231:$BB$491),MATCH(ROW($BB$231:$BB$491),ROW($BB$231:$BB$491)),""),ROWS($A$1:A11))),0)</f>
        <v>0</v>
      </c>
      <c r="BG30" s="17" t="str">
        <f t="shared" si="8"/>
        <v/>
      </c>
    </row>
    <row r="31" spans="3:66">
      <c r="C31" s="17">
        <v>12</v>
      </c>
      <c r="D31" s="17" t="str">
        <f t="shared" si="9"/>
        <v/>
      </c>
      <c r="E31" s="17">
        <f t="array" ref="E31">IFERROR(INDEX($B$231:$B$491,SMALL(IF(("Q"=$A$231:$A$491),MATCH(ROW($A$231:$A$491),ROW($A$231:$A$491)),""),ROWS($A$1:A12))),0)</f>
        <v>0</v>
      </c>
      <c r="F31" s="17" t="str">
        <f t="shared" si="3"/>
        <v/>
      </c>
      <c r="Q31" s="17">
        <v>12</v>
      </c>
      <c r="R31" s="17" t="str">
        <f t="shared" si="4"/>
        <v/>
      </c>
      <c r="S31" s="17">
        <f t="array" ref="S31">IFERROR(INDEX($P$231:$P$491,SMALL(IF(("Q"=$O$231:$O$491),MATCH(ROW($O$231:$O$491),ROW($O$231:$O$491)),""),ROWS($A$1:A12))),0)</f>
        <v>0</v>
      </c>
      <c r="T31" s="17" t="str">
        <f t="shared" si="5"/>
        <v/>
      </c>
      <c r="AD31" s="17">
        <v>12</v>
      </c>
      <c r="AE31" s="17" t="str">
        <f t="shared" si="10"/>
        <v/>
      </c>
      <c r="AF31" s="17">
        <f t="array" ref="AF31">IFERROR(INDEX($AC$231:$AC$491,SMALL(IF(("Q"=$AB$231:$AB$491),MATCH(ROW($AB$231:$AB$491),ROW($AB$231:$AB$491)),""),ROWS($A$1:A12))),0)</f>
        <v>0</v>
      </c>
      <c r="AG31" s="17" t="str">
        <f t="shared" si="6"/>
        <v/>
      </c>
      <c r="AR31" s="17">
        <v>12</v>
      </c>
      <c r="AS31" s="17" t="str">
        <f t="shared" si="11"/>
        <v/>
      </c>
      <c r="AT31" s="17">
        <f t="array" ref="AT31">IFERROR(INDEX($AQ$231:$AQ$491,SMALL(IF(("Q"=$AP$231:$AP$491),MATCH(ROW($AP$231:$AP$491),ROW($AP$231:$AP$491)),""),ROWS($A$1:A12))),0)</f>
        <v>0</v>
      </c>
      <c r="AU31" s="17" t="str">
        <f t="shared" si="12"/>
        <v/>
      </c>
      <c r="BD31" s="17">
        <v>12</v>
      </c>
      <c r="BE31" s="17" t="str">
        <f t="shared" si="13"/>
        <v/>
      </c>
      <c r="BF31" s="17">
        <f t="array" ref="BF31">IFERROR(INDEX($BC$231:$BC$491,SMALL(IF(("Q"=$BB$231:$BB$491),MATCH(ROW($BB$231:$BB$491),ROW($BB$231:$BB$491)),""),ROWS($A$1:A12))),0)</f>
        <v>0</v>
      </c>
      <c r="BG31" s="17" t="str">
        <f t="shared" si="8"/>
        <v/>
      </c>
    </row>
    <row r="32" spans="3:66">
      <c r="C32" s="17">
        <v>13</v>
      </c>
      <c r="D32" s="17" t="str">
        <f t="shared" si="9"/>
        <v/>
      </c>
      <c r="E32" s="17">
        <f t="array" ref="E32">IFERROR(INDEX($B$231:$B$491,SMALL(IF(("Q"=$A$231:$A$491),MATCH(ROW($A$231:$A$491),ROW($A$231:$A$491)),""),ROWS($A$1:A13))),0)</f>
        <v>0</v>
      </c>
      <c r="F32" s="17" t="str">
        <f t="shared" si="3"/>
        <v/>
      </c>
      <c r="Q32" s="17">
        <v>13</v>
      </c>
      <c r="R32" s="17" t="str">
        <f t="shared" si="4"/>
        <v/>
      </c>
      <c r="S32" s="17">
        <f t="array" ref="S32">IFERROR(INDEX($P$231:$P$491,SMALL(IF(("Q"=$O$231:$O$491),MATCH(ROW($O$231:$O$491),ROW($O$231:$O$491)),""),ROWS($A$1:A13))),0)</f>
        <v>0</v>
      </c>
      <c r="T32" s="17" t="str">
        <f t="shared" si="5"/>
        <v/>
      </c>
      <c r="AD32" s="17">
        <v>13</v>
      </c>
      <c r="AE32" s="17" t="str">
        <f t="shared" si="10"/>
        <v/>
      </c>
      <c r="AF32" s="17">
        <f t="array" ref="AF32">IFERROR(INDEX($AC$231:$AC$491,SMALL(IF(("Q"=$AB$231:$AB$491),MATCH(ROW($AB$231:$AB$491),ROW($AB$231:$AB$491)),""),ROWS($A$1:A13))),0)</f>
        <v>0</v>
      </c>
      <c r="AG32" s="17" t="str">
        <f t="shared" si="6"/>
        <v/>
      </c>
      <c r="AR32" s="17">
        <v>13</v>
      </c>
      <c r="AS32" s="17" t="str">
        <f t="shared" si="11"/>
        <v/>
      </c>
      <c r="AT32" s="17">
        <f t="array" ref="AT32">IFERROR(INDEX($AQ$231:$AQ$491,SMALL(IF(("Q"=$AP$231:$AP$491),MATCH(ROW($AP$231:$AP$491),ROW($AP$231:$AP$491)),""),ROWS($A$1:A13))),0)</f>
        <v>0</v>
      </c>
      <c r="AU32" s="17" t="str">
        <f t="shared" si="12"/>
        <v/>
      </c>
      <c r="BD32" s="17">
        <v>13</v>
      </c>
      <c r="BE32" s="17" t="str">
        <f t="shared" si="13"/>
        <v/>
      </c>
      <c r="BF32" s="17">
        <f t="array" ref="BF32">IFERROR(INDEX($BC$231:$BC$491,SMALL(IF(("Q"=$BB$231:$BB$491),MATCH(ROW($BB$231:$BB$491),ROW($BB$231:$BB$491)),""),ROWS($A$1:A13))),0)</f>
        <v>0</v>
      </c>
      <c r="BG32" s="17" t="str">
        <f t="shared" si="8"/>
        <v/>
      </c>
    </row>
    <row r="33" spans="3:59">
      <c r="C33" s="17">
        <v>14</v>
      </c>
      <c r="D33" s="17" t="str">
        <f t="shared" si="9"/>
        <v/>
      </c>
      <c r="E33" s="17">
        <f t="array" ref="E33">IFERROR(INDEX($B$231:$B$491,SMALL(IF(("Q"=$A$231:$A$491),MATCH(ROW($A$231:$A$491),ROW($A$231:$A$491)),""),ROWS($A$1:A14))),0)</f>
        <v>0</v>
      </c>
      <c r="F33" s="17" t="str">
        <f t="shared" si="3"/>
        <v/>
      </c>
      <c r="Q33" s="17">
        <v>14</v>
      </c>
      <c r="R33" s="17" t="str">
        <f t="shared" si="4"/>
        <v/>
      </c>
      <c r="S33" s="17">
        <f t="array" ref="S33">IFERROR(INDEX($P$231:$P$491,SMALL(IF(("Q"=$O$231:$O$491),MATCH(ROW($O$231:$O$491),ROW($O$231:$O$491)),""),ROWS($A$1:A14))),0)</f>
        <v>0</v>
      </c>
      <c r="T33" s="17" t="str">
        <f t="shared" si="5"/>
        <v/>
      </c>
      <c r="AD33" s="17">
        <v>14</v>
      </c>
      <c r="AE33" s="17" t="str">
        <f t="shared" si="10"/>
        <v/>
      </c>
      <c r="AF33" s="17">
        <f t="array" ref="AF33">IFERROR(INDEX($AC$231:$AC$491,SMALL(IF(("Q"=$AB$231:$AB$491),MATCH(ROW($AB$231:$AB$491),ROW($AB$231:$AB$491)),""),ROWS($A$1:A14))),0)</f>
        <v>0</v>
      </c>
      <c r="AG33" s="17" t="str">
        <f t="shared" si="6"/>
        <v/>
      </c>
      <c r="AR33" s="17">
        <v>14</v>
      </c>
      <c r="AS33" s="17" t="str">
        <f t="shared" si="11"/>
        <v/>
      </c>
      <c r="AT33" s="17">
        <f t="array" ref="AT33">IFERROR(INDEX($AQ$231:$AQ$491,SMALL(IF(("Q"=$AP$231:$AP$491),MATCH(ROW($AP$231:$AP$491),ROW($AP$231:$AP$491)),""),ROWS($A$1:A14))),0)</f>
        <v>0</v>
      </c>
      <c r="AU33" s="17" t="str">
        <f t="shared" si="12"/>
        <v/>
      </c>
      <c r="BD33" s="17">
        <v>14</v>
      </c>
      <c r="BE33" s="17" t="str">
        <f t="shared" si="13"/>
        <v/>
      </c>
      <c r="BF33" s="17">
        <f t="array" ref="BF33">IFERROR(INDEX($BC$231:$BC$491,SMALL(IF(("Q"=$BB$231:$BB$491),MATCH(ROW($BB$231:$BB$491),ROW($BB$231:$BB$491)),""),ROWS($A$1:A14))),0)</f>
        <v>0</v>
      </c>
      <c r="BG33" s="17" t="str">
        <f t="shared" si="8"/>
        <v/>
      </c>
    </row>
    <row r="34" spans="3:59">
      <c r="C34" s="17">
        <v>15</v>
      </c>
      <c r="D34" s="17" t="str">
        <f t="shared" si="9"/>
        <v/>
      </c>
      <c r="E34" s="17">
        <f t="array" ref="E34">IFERROR(INDEX($B$231:$B$491,SMALL(IF(("Q"=$A$231:$A$491),MATCH(ROW($A$231:$A$491),ROW($A$231:$A$491)),""),ROWS($A$1:A15))),0)</f>
        <v>0</v>
      </c>
      <c r="F34" s="17" t="str">
        <f t="shared" si="3"/>
        <v/>
      </c>
      <c r="Q34" s="17">
        <v>15</v>
      </c>
      <c r="R34" s="17" t="str">
        <f t="shared" si="4"/>
        <v/>
      </c>
      <c r="S34" s="17">
        <f t="array" ref="S34">IFERROR(INDEX($P$231:$P$491,SMALL(IF(("Q"=$O$231:$O$491),MATCH(ROW($O$231:$O$491),ROW($O$231:$O$491)),""),ROWS($A$1:A15))),0)</f>
        <v>0</v>
      </c>
      <c r="T34" s="17" t="str">
        <f t="shared" si="5"/>
        <v/>
      </c>
      <c r="AD34" s="17">
        <v>15</v>
      </c>
      <c r="AE34" s="17" t="str">
        <f t="shared" si="10"/>
        <v/>
      </c>
      <c r="AF34" s="17">
        <f t="array" ref="AF34">IFERROR(INDEX($AC$231:$AC$491,SMALL(IF(("Q"=$AB$231:$AB$491),MATCH(ROW($AB$231:$AB$491),ROW($AB$231:$AB$491)),""),ROWS($A$1:A15))),0)</f>
        <v>0</v>
      </c>
      <c r="AG34" s="17" t="str">
        <f t="shared" si="6"/>
        <v/>
      </c>
      <c r="AR34" s="17">
        <v>15</v>
      </c>
      <c r="AS34" s="17" t="str">
        <f t="shared" si="11"/>
        <v/>
      </c>
      <c r="AT34" s="17">
        <f t="array" ref="AT34">IFERROR(INDEX($AQ$231:$AQ$491,SMALL(IF(("Q"=$AP$231:$AP$491),MATCH(ROW($AP$231:$AP$491),ROW($AP$231:$AP$491)),""),ROWS($A$1:A15))),0)</f>
        <v>0</v>
      </c>
      <c r="AU34" s="17" t="str">
        <f t="shared" si="12"/>
        <v/>
      </c>
      <c r="BD34" s="17">
        <v>15</v>
      </c>
      <c r="BE34" s="17" t="str">
        <f t="shared" si="13"/>
        <v/>
      </c>
      <c r="BF34" s="17">
        <f t="array" ref="BF34">IFERROR(INDEX($BC$231:$BC$491,SMALL(IF(("Q"=$BB$231:$BB$491),MATCH(ROW($BB$231:$BB$491),ROW($BB$231:$BB$491)),""),ROWS($A$1:A15))),0)</f>
        <v>0</v>
      </c>
      <c r="BG34" s="17" t="str">
        <f t="shared" si="8"/>
        <v/>
      </c>
    </row>
    <row r="35" spans="3:59">
      <c r="C35" s="17">
        <v>16</v>
      </c>
      <c r="D35" s="17" t="str">
        <f t="shared" si="9"/>
        <v/>
      </c>
      <c r="E35" s="17">
        <f t="array" ref="E35">IFERROR(INDEX($B$231:$B$491,SMALL(IF(("Q"=$A$231:$A$491),MATCH(ROW($A$231:$A$491),ROW($A$231:$A$491)),""),ROWS($A$1:A16))),0)</f>
        <v>0</v>
      </c>
      <c r="F35" s="17" t="str">
        <f t="shared" si="3"/>
        <v/>
      </c>
      <c r="Q35" s="17">
        <v>16</v>
      </c>
      <c r="R35" s="17" t="str">
        <f t="shared" si="4"/>
        <v/>
      </c>
      <c r="S35" s="17">
        <f t="array" ref="S35">IFERROR(INDEX($P$231:$P$491,SMALL(IF(("Q"=$O$231:$O$491),MATCH(ROW($O$231:$O$491),ROW($O$231:$O$491)),""),ROWS($A$1:A16))),0)</f>
        <v>0</v>
      </c>
      <c r="T35" s="17" t="str">
        <f t="shared" si="5"/>
        <v/>
      </c>
      <c r="AD35" s="17">
        <v>16</v>
      </c>
      <c r="AE35" s="17" t="str">
        <f t="shared" si="10"/>
        <v/>
      </c>
      <c r="AF35" s="17">
        <f t="array" ref="AF35">IFERROR(INDEX($AC$231:$AC$491,SMALL(IF(("Q"=$AB$231:$AB$491),MATCH(ROW($AB$231:$AB$491),ROW($AB$231:$AB$491)),""),ROWS($A$1:A16))),0)</f>
        <v>0</v>
      </c>
      <c r="AG35" s="17" t="str">
        <f t="shared" si="6"/>
        <v/>
      </c>
      <c r="AR35" s="17">
        <v>16</v>
      </c>
      <c r="AS35" s="17" t="str">
        <f t="shared" si="11"/>
        <v/>
      </c>
      <c r="AT35" s="17">
        <f t="array" ref="AT35">IFERROR(INDEX($AQ$231:$AQ$491,SMALL(IF(("Q"=$AP$231:$AP$491),MATCH(ROW($AP$231:$AP$491),ROW($AP$231:$AP$491)),""),ROWS($A$1:A16))),0)</f>
        <v>0</v>
      </c>
      <c r="AU35" s="17" t="str">
        <f t="shared" si="12"/>
        <v/>
      </c>
      <c r="BD35" s="17">
        <v>16</v>
      </c>
      <c r="BE35" s="17" t="str">
        <f t="shared" si="13"/>
        <v/>
      </c>
      <c r="BF35" s="17">
        <f t="array" ref="BF35">IFERROR(INDEX($BC$231:$BC$491,SMALL(IF(("Q"=$BB$231:$BB$491),MATCH(ROW($BB$231:$BB$491),ROW($BB$231:$BB$491)),""),ROWS($A$1:A16))),0)</f>
        <v>0</v>
      </c>
      <c r="BG35" s="17" t="str">
        <f t="shared" si="8"/>
        <v/>
      </c>
    </row>
    <row r="36" spans="3:59">
      <c r="C36" s="17">
        <v>17</v>
      </c>
      <c r="D36" s="17" t="str">
        <f t="shared" si="9"/>
        <v/>
      </c>
      <c r="E36" s="17">
        <f t="array" ref="E36">IFERROR(INDEX($B$231:$B$491,SMALL(IF(("Q"=$A$231:$A$491),MATCH(ROW($A$231:$A$491),ROW($A$231:$A$491)),""),ROWS($A$1:A17))),0)</f>
        <v>0</v>
      </c>
      <c r="F36" s="17" t="str">
        <f t="shared" si="3"/>
        <v/>
      </c>
      <c r="Q36" s="17">
        <v>17</v>
      </c>
      <c r="R36" s="17" t="str">
        <f t="shared" si="4"/>
        <v/>
      </c>
      <c r="S36" s="17">
        <f t="array" ref="S36">IFERROR(INDEX($P$231:$P$491,SMALL(IF(("Q"=$O$231:$O$491),MATCH(ROW($O$231:$O$491),ROW($O$231:$O$491)),""),ROWS($A$1:A17))),0)</f>
        <v>0</v>
      </c>
      <c r="T36" s="17" t="str">
        <f t="shared" si="5"/>
        <v/>
      </c>
      <c r="AD36" s="17">
        <v>17</v>
      </c>
      <c r="AE36" s="17" t="str">
        <f t="shared" si="10"/>
        <v/>
      </c>
      <c r="AF36" s="17">
        <f t="array" ref="AF36">IFERROR(INDEX($AC$231:$AC$491,SMALL(IF(("Q"=$AB$231:$AB$491),MATCH(ROW($AB$231:$AB$491),ROW($AB$231:$AB$491)),""),ROWS($A$1:A17))),0)</f>
        <v>0</v>
      </c>
      <c r="AG36" s="17" t="str">
        <f t="shared" si="6"/>
        <v/>
      </c>
      <c r="AR36" s="17">
        <v>17</v>
      </c>
      <c r="AS36" s="17" t="str">
        <f t="shared" si="11"/>
        <v/>
      </c>
      <c r="AT36" s="17">
        <f t="array" ref="AT36">IFERROR(INDEX($AQ$231:$AQ$491,SMALL(IF(("Q"=$AP$231:$AP$491),MATCH(ROW($AP$231:$AP$491),ROW($AP$231:$AP$491)),""),ROWS($A$1:A17))),0)</f>
        <v>0</v>
      </c>
      <c r="AU36" s="17" t="str">
        <f t="shared" si="12"/>
        <v/>
      </c>
      <c r="BD36" s="17">
        <v>17</v>
      </c>
      <c r="BE36" s="17" t="str">
        <f t="shared" si="13"/>
        <v/>
      </c>
      <c r="BF36" s="17">
        <f t="array" ref="BF36">IFERROR(INDEX($BC$231:$BC$491,SMALL(IF(("Q"=$BB$231:$BB$491),MATCH(ROW($BB$231:$BB$491),ROW($BB$231:$BB$491)),""),ROWS($A$1:A17))),0)</f>
        <v>0</v>
      </c>
      <c r="BG36" s="17" t="str">
        <f t="shared" si="8"/>
        <v/>
      </c>
    </row>
    <row r="37" spans="3:59">
      <c r="C37" s="17">
        <v>18</v>
      </c>
      <c r="D37" s="17" t="str">
        <f t="shared" si="9"/>
        <v/>
      </c>
      <c r="E37" s="17">
        <f t="array" ref="E37">IFERROR(INDEX($B$231:$B$491,SMALL(IF(("Q"=$A$231:$A$491),MATCH(ROW($A$231:$A$491),ROW($A$231:$A$491)),""),ROWS($A$1:A18))),0)</f>
        <v>0</v>
      </c>
      <c r="F37" s="17" t="str">
        <f t="shared" si="3"/>
        <v/>
      </c>
      <c r="Q37" s="17">
        <v>18</v>
      </c>
      <c r="R37" s="17" t="str">
        <f t="shared" si="4"/>
        <v/>
      </c>
      <c r="S37" s="17">
        <f t="array" ref="S37">IFERROR(INDEX($P$231:$P$491,SMALL(IF(("Q"=$O$231:$O$491),MATCH(ROW($O$231:$O$491),ROW($O$231:$O$491)),""),ROWS($A$1:A18))),0)</f>
        <v>0</v>
      </c>
      <c r="T37" s="17" t="str">
        <f t="shared" si="5"/>
        <v/>
      </c>
      <c r="AD37" s="17">
        <v>18</v>
      </c>
      <c r="AE37" s="17" t="str">
        <f t="shared" si="10"/>
        <v/>
      </c>
      <c r="AF37" s="17">
        <f t="array" ref="AF37">IFERROR(INDEX($AC$231:$AC$491,SMALL(IF(("Q"=$AB$231:$AB$491),MATCH(ROW($AB$231:$AB$491),ROW($AB$231:$AB$491)),""),ROWS($A$1:A18))),0)</f>
        <v>0</v>
      </c>
      <c r="AG37" s="17" t="str">
        <f t="shared" si="6"/>
        <v/>
      </c>
      <c r="AR37" s="17">
        <v>18</v>
      </c>
      <c r="AS37" s="17" t="str">
        <f t="shared" si="11"/>
        <v/>
      </c>
      <c r="AT37" s="17">
        <f t="array" ref="AT37">IFERROR(INDEX($AQ$231:$AQ$491,SMALL(IF(("Q"=$AP$231:$AP$491),MATCH(ROW($AP$231:$AP$491),ROW($AP$231:$AP$491)),""),ROWS($A$1:A18))),0)</f>
        <v>0</v>
      </c>
      <c r="AU37" s="17" t="str">
        <f t="shared" si="12"/>
        <v/>
      </c>
      <c r="BD37" s="17">
        <v>18</v>
      </c>
      <c r="BE37" s="17" t="str">
        <f t="shared" si="13"/>
        <v/>
      </c>
      <c r="BF37" s="17">
        <f t="array" ref="BF37">IFERROR(INDEX($BC$231:$BC$491,SMALL(IF(("Q"=$BB$231:$BB$491),MATCH(ROW($BB$231:$BB$491),ROW($BB$231:$BB$491)),""),ROWS($A$1:A18))),0)</f>
        <v>0</v>
      </c>
      <c r="BG37" s="17" t="str">
        <f t="shared" si="8"/>
        <v/>
      </c>
    </row>
    <row r="38" spans="3:59">
      <c r="C38" s="17">
        <v>19</v>
      </c>
      <c r="D38" s="17" t="str">
        <f t="shared" si="9"/>
        <v/>
      </c>
      <c r="E38" s="17">
        <f t="array" ref="E38">IFERROR(INDEX($B$231:$B$491,SMALL(IF(("Q"=$A$231:$A$491),MATCH(ROW($A$231:$A$491),ROW($A$231:$A$491)),""),ROWS($A$1:A19))),0)</f>
        <v>0</v>
      </c>
      <c r="F38" s="17" t="str">
        <f t="shared" si="3"/>
        <v/>
      </c>
      <c r="Q38" s="17">
        <v>19</v>
      </c>
      <c r="R38" s="17" t="str">
        <f t="shared" si="4"/>
        <v/>
      </c>
      <c r="S38" s="17">
        <f t="array" ref="S38">IFERROR(INDEX($P$231:$P$491,SMALL(IF(("Q"=$O$231:$O$491),MATCH(ROW($O$231:$O$491),ROW($O$231:$O$491)),""),ROWS($A$1:A19))),0)</f>
        <v>0</v>
      </c>
      <c r="T38" s="17" t="str">
        <f t="shared" si="5"/>
        <v/>
      </c>
      <c r="AD38" s="17">
        <v>19</v>
      </c>
      <c r="AE38" s="17" t="str">
        <f t="shared" si="10"/>
        <v/>
      </c>
      <c r="AF38" s="17">
        <f t="array" ref="AF38">IFERROR(INDEX($AC$231:$AC$491,SMALL(IF(("Q"=$AB$231:$AB$491),MATCH(ROW($AB$231:$AB$491),ROW($AB$231:$AB$491)),""),ROWS($A$1:A19))),0)</f>
        <v>0</v>
      </c>
      <c r="AG38" s="17" t="str">
        <f t="shared" si="6"/>
        <v/>
      </c>
      <c r="AR38" s="17">
        <v>19</v>
      </c>
      <c r="AS38" s="17" t="str">
        <f t="shared" si="11"/>
        <v/>
      </c>
      <c r="AT38" s="17">
        <f t="array" ref="AT38">IFERROR(INDEX($AQ$231:$AQ$491,SMALL(IF(("Q"=$AP$231:$AP$491),MATCH(ROW($AP$231:$AP$491),ROW($AP$231:$AP$491)),""),ROWS($A$1:A19))),0)</f>
        <v>0</v>
      </c>
      <c r="AU38" s="17" t="str">
        <f t="shared" si="12"/>
        <v/>
      </c>
      <c r="BD38" s="17">
        <v>19</v>
      </c>
      <c r="BE38" s="17" t="str">
        <f t="shared" si="13"/>
        <v/>
      </c>
      <c r="BF38" s="17">
        <f t="array" ref="BF38">IFERROR(INDEX($BC$231:$BC$491,SMALL(IF(("Q"=$BB$231:$BB$491),MATCH(ROW($BB$231:$BB$491),ROW($BB$231:$BB$491)),""),ROWS($A$1:A19))),0)</f>
        <v>0</v>
      </c>
      <c r="BG38" s="17" t="str">
        <f t="shared" si="8"/>
        <v/>
      </c>
    </row>
    <row r="39" spans="3:59">
      <c r="C39" s="17">
        <v>20</v>
      </c>
      <c r="D39" s="17" t="str">
        <f t="shared" si="9"/>
        <v/>
      </c>
      <c r="E39" s="17">
        <f t="array" ref="E39">IFERROR(INDEX($B$231:$B$491,SMALL(IF(("Q"=$A$231:$A$491),MATCH(ROW($A$231:$A$491),ROW($A$231:$A$491)),""),ROWS($A$1:A20))),0)</f>
        <v>0</v>
      </c>
      <c r="F39" s="17" t="str">
        <f t="shared" si="3"/>
        <v/>
      </c>
      <c r="Q39" s="17">
        <v>20</v>
      </c>
      <c r="R39" s="17" t="str">
        <f t="shared" si="4"/>
        <v/>
      </c>
      <c r="S39" s="17">
        <f t="array" ref="S39">IFERROR(INDEX($P$231:$P$491,SMALL(IF(("Q"=$O$231:$O$491),MATCH(ROW($O$231:$O$491),ROW($O$231:$O$491)),""),ROWS($A$1:A20))),0)</f>
        <v>0</v>
      </c>
      <c r="T39" s="17" t="str">
        <f t="shared" si="5"/>
        <v/>
      </c>
      <c r="AD39" s="17">
        <v>20</v>
      </c>
      <c r="AE39" s="17" t="str">
        <f t="shared" si="10"/>
        <v/>
      </c>
      <c r="AF39" s="17">
        <f t="array" ref="AF39">IFERROR(INDEX($AC$231:$AC$491,SMALL(IF(("Q"=$AB$231:$AB$491),MATCH(ROW($AB$231:$AB$491),ROW($AB$231:$AB$491)),""),ROWS($A$1:A20))),0)</f>
        <v>0</v>
      </c>
      <c r="AG39" s="17" t="str">
        <f t="shared" si="6"/>
        <v/>
      </c>
      <c r="AR39" s="17">
        <v>20</v>
      </c>
      <c r="AS39" s="17" t="str">
        <f t="shared" si="11"/>
        <v/>
      </c>
      <c r="AT39" s="17">
        <f t="array" ref="AT39">IFERROR(INDEX($AQ$231:$AQ$491,SMALL(IF(("Q"=$AP$231:$AP$491),MATCH(ROW($AP$231:$AP$491),ROW($AP$231:$AP$491)),""),ROWS($A$1:A20))),0)</f>
        <v>0</v>
      </c>
      <c r="AU39" s="17" t="str">
        <f t="shared" si="12"/>
        <v/>
      </c>
      <c r="BD39" s="17">
        <v>20</v>
      </c>
      <c r="BE39" s="17" t="str">
        <f t="shared" si="13"/>
        <v/>
      </c>
      <c r="BF39" s="17">
        <f t="array" ref="BF39">IFERROR(INDEX($BC$231:$BC$491,SMALL(IF(("Q"=$BB$231:$BB$491),MATCH(ROW($BB$231:$BB$491),ROW($BB$231:$BB$491)),""),ROWS($A$1:A20))),0)</f>
        <v>0</v>
      </c>
      <c r="BG39" s="17" t="str">
        <f t="shared" si="8"/>
        <v/>
      </c>
    </row>
    <row r="40" spans="3:59">
      <c r="C40" s="17">
        <v>21</v>
      </c>
      <c r="D40" s="17" t="str">
        <f t="shared" si="9"/>
        <v/>
      </c>
      <c r="E40" s="17">
        <f t="array" ref="E40">IFERROR(INDEX($B$231:$B$491,SMALL(IF(("Q"=$A$231:$A$491),MATCH(ROW($A$231:$A$491),ROW($A$231:$A$491)),""),ROWS($A$1:A21))),0)</f>
        <v>0</v>
      </c>
      <c r="F40" s="17" t="str">
        <f t="shared" si="3"/>
        <v/>
      </c>
      <c r="Q40" s="17">
        <v>21</v>
      </c>
      <c r="R40" s="17" t="str">
        <f t="shared" si="4"/>
        <v/>
      </c>
      <c r="S40" s="17">
        <f t="array" ref="S40">IFERROR(INDEX($P$231:$P$491,SMALL(IF(("Q"=$O$231:$O$491),MATCH(ROW($O$231:$O$491),ROW($O$231:$O$491)),""),ROWS($A$1:A21))),0)</f>
        <v>0</v>
      </c>
      <c r="T40" s="17" t="str">
        <f t="shared" si="5"/>
        <v/>
      </c>
      <c r="AD40" s="17">
        <v>21</v>
      </c>
      <c r="AE40" s="17" t="str">
        <f t="shared" si="10"/>
        <v/>
      </c>
      <c r="AF40" s="17">
        <f t="array" ref="AF40">IFERROR(INDEX($AC$231:$AC$491,SMALL(IF(("Q"=$AB$231:$AB$491),MATCH(ROW($AB$231:$AB$491),ROW($AB$231:$AB$491)),""),ROWS($A$1:A21))),0)</f>
        <v>0</v>
      </c>
      <c r="AG40" s="17" t="str">
        <f t="shared" si="6"/>
        <v/>
      </c>
      <c r="AR40" s="17">
        <v>21</v>
      </c>
      <c r="AS40" s="17" t="str">
        <f t="shared" si="11"/>
        <v/>
      </c>
      <c r="AT40" s="17">
        <f t="array" ref="AT40">IFERROR(INDEX($AQ$231:$AQ$491,SMALL(IF(("Q"=$AP$231:$AP$491),MATCH(ROW($AP$231:$AP$491),ROW($AP$231:$AP$491)),""),ROWS($A$1:A21))),0)</f>
        <v>0</v>
      </c>
      <c r="AU40" s="17" t="str">
        <f t="shared" si="12"/>
        <v/>
      </c>
      <c r="BD40" s="17">
        <v>21</v>
      </c>
      <c r="BE40" s="17" t="str">
        <f t="shared" si="13"/>
        <v/>
      </c>
      <c r="BF40" s="17">
        <f t="array" ref="BF40">IFERROR(INDEX($BC$231:$BC$491,SMALL(IF(("Q"=$BB$231:$BB$491),MATCH(ROW($BB$231:$BB$491),ROW($BB$231:$BB$491)),""),ROWS($A$1:A21))),0)</f>
        <v>0</v>
      </c>
      <c r="BG40" s="17" t="str">
        <f t="shared" si="8"/>
        <v/>
      </c>
    </row>
    <row r="41" spans="3:59">
      <c r="C41" s="17">
        <v>22</v>
      </c>
      <c r="D41" s="17" t="str">
        <f t="shared" si="9"/>
        <v/>
      </c>
      <c r="E41" s="17">
        <f t="array" ref="E41">IFERROR(INDEX($B$231:$B$491,SMALL(IF(("Q"=$A$231:$A$491),MATCH(ROW($A$231:$A$491),ROW($A$231:$A$491)),""),ROWS($A$1:A22))),0)</f>
        <v>0</v>
      </c>
      <c r="F41" s="17" t="str">
        <f t="shared" si="3"/>
        <v/>
      </c>
      <c r="Q41" s="17">
        <v>22</v>
      </c>
      <c r="R41" s="17" t="str">
        <f t="shared" si="4"/>
        <v/>
      </c>
      <c r="S41" s="17">
        <f t="array" ref="S41">IFERROR(INDEX($P$231:$P$491,SMALL(IF(("Q"=$O$231:$O$491),MATCH(ROW($O$231:$O$491),ROW($O$231:$O$491)),""),ROWS($A$1:A22))),0)</f>
        <v>0</v>
      </c>
      <c r="T41" s="17" t="str">
        <f t="shared" si="5"/>
        <v/>
      </c>
      <c r="AD41" s="17">
        <v>22</v>
      </c>
      <c r="AE41" s="17" t="str">
        <f t="shared" si="10"/>
        <v/>
      </c>
      <c r="AF41" s="17">
        <f t="array" ref="AF41">IFERROR(INDEX($AC$231:$AC$491,SMALL(IF(("Q"=$AB$231:$AB$491),MATCH(ROW($AB$231:$AB$491),ROW($AB$231:$AB$491)),""),ROWS($A$1:A22))),0)</f>
        <v>0</v>
      </c>
      <c r="AG41" s="17" t="str">
        <f t="shared" si="6"/>
        <v/>
      </c>
      <c r="AR41" s="17">
        <v>22</v>
      </c>
      <c r="AS41" s="17" t="str">
        <f t="shared" si="11"/>
        <v/>
      </c>
      <c r="AT41" s="17">
        <f t="array" ref="AT41">IFERROR(INDEX($AQ$231:$AQ$491,SMALL(IF(("Q"=$AP$231:$AP$491),MATCH(ROW($AP$231:$AP$491),ROW($AP$231:$AP$491)),""),ROWS($A$1:A22))),0)</f>
        <v>0</v>
      </c>
      <c r="AU41" s="17" t="str">
        <f t="shared" si="12"/>
        <v/>
      </c>
      <c r="BD41" s="17">
        <v>22</v>
      </c>
      <c r="BE41" s="17" t="str">
        <f t="shared" si="13"/>
        <v/>
      </c>
      <c r="BF41" s="17">
        <f t="array" ref="BF41">IFERROR(INDEX($BC$231:$BC$491,SMALL(IF(("Q"=$BB$231:$BB$491),MATCH(ROW($BB$231:$BB$491),ROW($BB$231:$BB$491)),""),ROWS($A$1:A22))),0)</f>
        <v>0</v>
      </c>
      <c r="BG41" s="17" t="str">
        <f t="shared" si="8"/>
        <v/>
      </c>
    </row>
    <row r="42" spans="3:59">
      <c r="C42" s="17">
        <v>23</v>
      </c>
      <c r="D42" s="17" t="str">
        <f t="shared" si="9"/>
        <v/>
      </c>
      <c r="E42" s="17">
        <f t="array" ref="E42">IFERROR(INDEX($B$231:$B$491,SMALL(IF(("Q"=$A$231:$A$491),MATCH(ROW($A$231:$A$491),ROW($A$231:$A$491)),""),ROWS($A$1:A23))),0)</f>
        <v>0</v>
      </c>
      <c r="F42" s="17" t="str">
        <f t="shared" si="3"/>
        <v/>
      </c>
      <c r="Q42" s="17">
        <v>23</v>
      </c>
      <c r="R42" s="17" t="str">
        <f t="shared" si="4"/>
        <v/>
      </c>
      <c r="S42" s="17">
        <f t="array" ref="S42">IFERROR(INDEX($P$231:$P$491,SMALL(IF(("Q"=$O$231:$O$491),MATCH(ROW($O$231:$O$491),ROW($O$231:$O$491)),""),ROWS($A$1:A23))),0)</f>
        <v>0</v>
      </c>
      <c r="T42" s="17" t="str">
        <f t="shared" si="5"/>
        <v/>
      </c>
      <c r="AD42" s="17">
        <v>23</v>
      </c>
      <c r="AE42" s="17" t="str">
        <f t="shared" si="10"/>
        <v/>
      </c>
      <c r="AF42" s="17">
        <f t="array" ref="AF42">IFERROR(INDEX($AC$231:$AC$491,SMALL(IF(("Q"=$AB$231:$AB$491),MATCH(ROW($AB$231:$AB$491),ROW($AB$231:$AB$491)),""),ROWS($A$1:A23))),0)</f>
        <v>0</v>
      </c>
      <c r="AG42" s="17" t="str">
        <f t="shared" si="6"/>
        <v/>
      </c>
      <c r="AR42" s="17">
        <v>23</v>
      </c>
      <c r="AS42" s="17" t="str">
        <f t="shared" si="11"/>
        <v/>
      </c>
      <c r="AT42" s="17">
        <f t="array" ref="AT42">IFERROR(INDEX($AQ$231:$AQ$491,SMALL(IF(("Q"=$AP$231:$AP$491),MATCH(ROW($AP$231:$AP$491),ROW($AP$231:$AP$491)),""),ROWS($A$1:A23))),0)</f>
        <v>0</v>
      </c>
      <c r="AU42" s="17" t="str">
        <f t="shared" si="12"/>
        <v/>
      </c>
      <c r="BD42" s="17">
        <v>23</v>
      </c>
      <c r="BE42" s="17" t="str">
        <f t="shared" si="13"/>
        <v/>
      </c>
      <c r="BF42" s="17">
        <f t="array" ref="BF42">IFERROR(INDEX($BC$231:$BC$491,SMALL(IF(("Q"=$BB$231:$BB$491),MATCH(ROW($BB$231:$BB$491),ROW($BB$231:$BB$491)),""),ROWS($A$1:A23))),0)</f>
        <v>0</v>
      </c>
      <c r="BG42" s="17" t="str">
        <f t="shared" si="8"/>
        <v/>
      </c>
    </row>
    <row r="43" spans="3:59">
      <c r="C43" s="17">
        <v>24</v>
      </c>
      <c r="D43" s="17" t="str">
        <f t="shared" si="9"/>
        <v/>
      </c>
      <c r="E43" s="17">
        <f t="array" ref="E43">IFERROR(INDEX($B$231:$B$491,SMALL(IF(("Q"=$A$231:$A$491),MATCH(ROW($A$231:$A$491),ROW($A$231:$A$491)),""),ROWS($A$1:A24))),0)</f>
        <v>0</v>
      </c>
      <c r="F43" s="17" t="str">
        <f t="shared" si="3"/>
        <v/>
      </c>
      <c r="Q43" s="17">
        <v>24</v>
      </c>
      <c r="R43" s="17" t="str">
        <f t="shared" si="4"/>
        <v/>
      </c>
      <c r="S43" s="17">
        <f t="array" ref="S43">IFERROR(INDEX($P$231:$P$491,SMALL(IF(("Q"=$O$231:$O$491),MATCH(ROW($O$231:$O$491),ROW($O$231:$O$491)),""),ROWS($A$1:A24))),0)</f>
        <v>0</v>
      </c>
      <c r="T43" s="17" t="str">
        <f t="shared" si="5"/>
        <v/>
      </c>
      <c r="AD43" s="17">
        <v>24</v>
      </c>
      <c r="AE43" s="17" t="str">
        <f t="shared" si="10"/>
        <v/>
      </c>
      <c r="AF43" s="17">
        <f t="array" ref="AF43">IFERROR(INDEX($AC$231:$AC$491,SMALL(IF(("Q"=$AB$231:$AB$491),MATCH(ROW($AB$231:$AB$491),ROW($AB$231:$AB$491)),""),ROWS($A$1:A24))),0)</f>
        <v>0</v>
      </c>
      <c r="AG43" s="17" t="str">
        <f t="shared" si="6"/>
        <v/>
      </c>
      <c r="AR43" s="17">
        <v>24</v>
      </c>
      <c r="AS43" s="17" t="str">
        <f t="shared" si="11"/>
        <v/>
      </c>
      <c r="AT43" s="17">
        <f t="array" ref="AT43">IFERROR(INDEX($AQ$231:$AQ$491,SMALL(IF(("Q"=$AP$231:$AP$491),MATCH(ROW($AP$231:$AP$491),ROW($AP$231:$AP$491)),""),ROWS($A$1:A24))),0)</f>
        <v>0</v>
      </c>
      <c r="AU43" s="17" t="str">
        <f t="shared" si="12"/>
        <v/>
      </c>
      <c r="BD43" s="17">
        <v>24</v>
      </c>
      <c r="BE43" s="17" t="str">
        <f t="shared" si="13"/>
        <v/>
      </c>
      <c r="BF43" s="17">
        <f t="array" ref="BF43">IFERROR(INDEX($BC$231:$BC$491,SMALL(IF(("Q"=$BB$231:$BB$491),MATCH(ROW($BB$231:$BB$491),ROW($BB$231:$BB$491)),""),ROWS($A$1:A24))),0)</f>
        <v>0</v>
      </c>
      <c r="BG43" s="17" t="str">
        <f t="shared" si="8"/>
        <v/>
      </c>
    </row>
    <row r="44" spans="3:59">
      <c r="C44" s="17">
        <v>25</v>
      </c>
      <c r="D44" s="17" t="str">
        <f t="shared" si="9"/>
        <v/>
      </c>
      <c r="E44" s="17">
        <f t="array" ref="E44">IFERROR(INDEX($B$231:$B$491,SMALL(IF(("Q"=$A$231:$A$491),MATCH(ROW($A$231:$A$491),ROW($A$231:$A$491)),""),ROWS($A$1:A25))),0)</f>
        <v>0</v>
      </c>
      <c r="F44" s="17" t="str">
        <f t="shared" si="3"/>
        <v/>
      </c>
      <c r="Q44" s="17">
        <v>25</v>
      </c>
      <c r="R44" s="17" t="str">
        <f t="shared" si="4"/>
        <v/>
      </c>
      <c r="S44" s="17">
        <f t="array" ref="S44">IFERROR(INDEX($P$231:$P$491,SMALL(IF(("Q"=$O$231:$O$491),MATCH(ROW($O$231:$O$491),ROW($O$231:$O$491)),""),ROWS($A$1:A25))),0)</f>
        <v>0</v>
      </c>
      <c r="T44" s="17" t="str">
        <f t="shared" si="5"/>
        <v/>
      </c>
      <c r="AD44" s="17">
        <v>25</v>
      </c>
      <c r="AE44" s="17" t="str">
        <f t="shared" si="10"/>
        <v/>
      </c>
      <c r="AF44" s="17">
        <f t="array" ref="AF44">IFERROR(INDEX($AC$231:$AC$491,SMALL(IF(("Q"=$AB$231:$AB$491),MATCH(ROW($AB$231:$AB$491),ROW($AB$231:$AB$491)),""),ROWS($A$1:A25))),0)</f>
        <v>0</v>
      </c>
      <c r="AG44" s="17" t="str">
        <f t="shared" si="6"/>
        <v/>
      </c>
      <c r="AR44" s="17">
        <v>25</v>
      </c>
      <c r="AS44" s="17" t="str">
        <f t="shared" si="11"/>
        <v/>
      </c>
      <c r="AT44" s="17">
        <f t="array" ref="AT44">IFERROR(INDEX($AQ$231:$AQ$491,SMALL(IF(("Q"=$AP$231:$AP$491),MATCH(ROW($AP$231:$AP$491),ROW($AP$231:$AP$491)),""),ROWS($A$1:A25))),0)</f>
        <v>0</v>
      </c>
      <c r="AU44" s="17" t="str">
        <f t="shared" si="12"/>
        <v/>
      </c>
      <c r="BD44" s="17">
        <v>25</v>
      </c>
      <c r="BE44" s="17" t="str">
        <f t="shared" si="13"/>
        <v/>
      </c>
      <c r="BF44" s="17">
        <f t="array" ref="BF44">IFERROR(INDEX($BC$231:$BC$491,SMALL(IF(("Q"=$BB$231:$BB$491),MATCH(ROW($BB$231:$BB$491),ROW($BB$231:$BB$491)),""),ROWS($A$1:A25))),0)</f>
        <v>0</v>
      </c>
      <c r="BG44" s="17" t="str">
        <f t="shared" si="8"/>
        <v/>
      </c>
    </row>
    <row r="45" spans="3:59">
      <c r="C45" s="17">
        <v>26</v>
      </c>
      <c r="D45" s="17" t="str">
        <f t="shared" si="9"/>
        <v/>
      </c>
      <c r="E45" s="17">
        <f t="array" ref="E45">IFERROR(INDEX($B$231:$B$491,SMALL(IF(("Q"=$A$231:$A$491),MATCH(ROW($A$231:$A$491),ROW($A$231:$A$491)),""),ROWS($A$1:A26))),0)</f>
        <v>0</v>
      </c>
      <c r="F45" s="17" t="str">
        <f t="shared" si="3"/>
        <v/>
      </c>
      <c r="Q45" s="17">
        <v>26</v>
      </c>
      <c r="R45" s="17" t="str">
        <f t="shared" si="4"/>
        <v/>
      </c>
      <c r="S45" s="17">
        <f t="array" ref="S45">IFERROR(INDEX($P$231:$P$491,SMALL(IF(("Q"=$O$231:$O$491),MATCH(ROW($O$231:$O$491),ROW($O$231:$O$491)),""),ROWS($A$1:A26))),0)</f>
        <v>0</v>
      </c>
      <c r="T45" s="17" t="str">
        <f t="shared" si="5"/>
        <v/>
      </c>
      <c r="AD45" s="17">
        <v>26</v>
      </c>
      <c r="AE45" s="17" t="str">
        <f t="shared" si="10"/>
        <v/>
      </c>
      <c r="AF45" s="17">
        <f t="array" ref="AF45">IFERROR(INDEX($AC$231:$AC$491,SMALL(IF(("Q"=$AB$231:$AB$491),MATCH(ROW($AB$231:$AB$491),ROW($AB$231:$AB$491)),""),ROWS($A$1:A26))),0)</f>
        <v>0</v>
      </c>
      <c r="AG45" s="17" t="str">
        <f t="shared" si="6"/>
        <v/>
      </c>
      <c r="AR45" s="17">
        <v>26</v>
      </c>
      <c r="AS45" s="17" t="str">
        <f t="shared" si="11"/>
        <v/>
      </c>
      <c r="AT45" s="17">
        <f t="array" ref="AT45">IFERROR(INDEX($AQ$231:$AQ$491,SMALL(IF(("Q"=$AP$231:$AP$491),MATCH(ROW($AP$231:$AP$491),ROW($AP$231:$AP$491)),""),ROWS($A$1:A26))),0)</f>
        <v>0</v>
      </c>
      <c r="AU45" s="17" t="str">
        <f t="shared" si="12"/>
        <v/>
      </c>
      <c r="BD45" s="17">
        <v>26</v>
      </c>
      <c r="BE45" s="17" t="str">
        <f t="shared" si="13"/>
        <v/>
      </c>
      <c r="BF45" s="17">
        <f t="array" ref="BF45">IFERROR(INDEX($BC$231:$BC$491,SMALL(IF(("Q"=$BB$231:$BB$491),MATCH(ROW($BB$231:$BB$491),ROW($BB$231:$BB$491)),""),ROWS($A$1:A26))),0)</f>
        <v>0</v>
      </c>
      <c r="BG45" s="17" t="str">
        <f t="shared" si="8"/>
        <v/>
      </c>
    </row>
    <row r="46" spans="3:59">
      <c r="C46" s="17">
        <v>27</v>
      </c>
      <c r="D46" s="17" t="str">
        <f t="shared" si="9"/>
        <v/>
      </c>
      <c r="E46" s="17">
        <f t="array" ref="E46">IFERROR(INDEX($B$231:$B$491,SMALL(IF(("Q"=$A$231:$A$491),MATCH(ROW($A$231:$A$491),ROW($A$231:$A$491)),""),ROWS($A$1:A27))),0)</f>
        <v>0</v>
      </c>
      <c r="F46" s="17" t="str">
        <f t="shared" si="3"/>
        <v/>
      </c>
      <c r="Q46" s="17">
        <v>27</v>
      </c>
      <c r="R46" s="17" t="str">
        <f t="shared" si="4"/>
        <v/>
      </c>
      <c r="S46" s="17">
        <f t="array" ref="S46">IFERROR(INDEX($P$231:$P$491,SMALL(IF(("Q"=$O$231:$O$491),MATCH(ROW($O$231:$O$491),ROW($O$231:$O$491)),""),ROWS($A$1:A27))),0)</f>
        <v>0</v>
      </c>
      <c r="T46" s="17" t="str">
        <f t="shared" si="5"/>
        <v/>
      </c>
      <c r="AD46" s="17">
        <v>27</v>
      </c>
      <c r="AE46" s="17" t="str">
        <f t="shared" si="10"/>
        <v/>
      </c>
      <c r="AF46" s="17">
        <f t="array" ref="AF46">IFERROR(INDEX($AC$231:$AC$491,SMALL(IF(("Q"=$AB$231:$AB$491),MATCH(ROW($AB$231:$AB$491),ROW($AB$231:$AB$491)),""),ROWS($A$1:A27))),0)</f>
        <v>0</v>
      </c>
      <c r="AG46" s="17" t="str">
        <f t="shared" si="6"/>
        <v/>
      </c>
      <c r="AR46" s="17">
        <v>27</v>
      </c>
      <c r="AS46" s="17" t="str">
        <f t="shared" si="11"/>
        <v/>
      </c>
      <c r="AT46" s="17">
        <f t="array" ref="AT46">IFERROR(INDEX($AQ$231:$AQ$491,SMALL(IF(("Q"=$AP$231:$AP$491),MATCH(ROW($AP$231:$AP$491),ROW($AP$231:$AP$491)),""),ROWS($A$1:A27))),0)</f>
        <v>0</v>
      </c>
      <c r="AU46" s="17" t="str">
        <f t="shared" si="12"/>
        <v/>
      </c>
      <c r="BD46" s="17">
        <v>27</v>
      </c>
      <c r="BE46" s="17" t="str">
        <f t="shared" si="13"/>
        <v/>
      </c>
      <c r="BF46" s="17">
        <f t="array" ref="BF46">IFERROR(INDEX($BC$231:$BC$491,SMALL(IF(("Q"=$BB$231:$BB$491),MATCH(ROW($BB$231:$BB$491),ROW($BB$231:$BB$491)),""),ROWS($A$1:A27))),0)</f>
        <v>0</v>
      </c>
      <c r="BG46" s="17" t="str">
        <f t="shared" si="8"/>
        <v/>
      </c>
    </row>
    <row r="47" spans="3:59">
      <c r="C47" s="17">
        <v>28</v>
      </c>
      <c r="D47" s="17" t="str">
        <f t="shared" si="9"/>
        <v/>
      </c>
      <c r="E47" s="17">
        <f t="array" ref="E47">IFERROR(INDEX($B$231:$B$491,SMALL(IF(("Q"=$A$231:$A$491),MATCH(ROW($A$231:$A$491),ROW($A$231:$A$491)),""),ROWS($A$1:A28))),0)</f>
        <v>0</v>
      </c>
      <c r="F47" s="17" t="str">
        <f t="shared" si="3"/>
        <v/>
      </c>
      <c r="Q47" s="17">
        <v>28</v>
      </c>
      <c r="R47" s="17" t="str">
        <f t="shared" si="4"/>
        <v/>
      </c>
      <c r="S47" s="17">
        <f t="array" ref="S47">IFERROR(INDEX($P$231:$P$491,SMALL(IF(("Q"=$O$231:$O$491),MATCH(ROW($O$231:$O$491),ROW($O$231:$O$491)),""),ROWS($A$1:A28))),0)</f>
        <v>0</v>
      </c>
      <c r="T47" s="17" t="str">
        <f t="shared" si="5"/>
        <v/>
      </c>
      <c r="AD47" s="17">
        <v>28</v>
      </c>
      <c r="AE47" s="17" t="str">
        <f t="shared" si="10"/>
        <v/>
      </c>
      <c r="AF47" s="17">
        <f t="array" ref="AF47">IFERROR(INDEX($AC$231:$AC$491,SMALL(IF(("Q"=$AB$231:$AB$491),MATCH(ROW($AB$231:$AB$491),ROW($AB$231:$AB$491)),""),ROWS($A$1:A28))),0)</f>
        <v>0</v>
      </c>
      <c r="AG47" s="17" t="str">
        <f t="shared" si="6"/>
        <v/>
      </c>
      <c r="AR47" s="17">
        <v>28</v>
      </c>
      <c r="AS47" s="17" t="str">
        <f t="shared" si="11"/>
        <v/>
      </c>
      <c r="AT47" s="17">
        <f t="array" ref="AT47">IFERROR(INDEX($AQ$231:$AQ$491,SMALL(IF(("Q"=$AP$231:$AP$491),MATCH(ROW($AP$231:$AP$491),ROW($AP$231:$AP$491)),""),ROWS($A$1:A28))),0)</f>
        <v>0</v>
      </c>
      <c r="AU47" s="17" t="str">
        <f t="shared" si="12"/>
        <v/>
      </c>
      <c r="BD47" s="17">
        <v>28</v>
      </c>
      <c r="BE47" s="17" t="str">
        <f t="shared" si="13"/>
        <v/>
      </c>
      <c r="BF47" s="17">
        <f t="array" ref="BF47">IFERROR(INDEX($BC$231:$BC$491,SMALL(IF(("Q"=$BB$231:$BB$491),MATCH(ROW($BB$231:$BB$491),ROW($BB$231:$BB$491)),""),ROWS($A$1:A28))),0)</f>
        <v>0</v>
      </c>
      <c r="BG47" s="17" t="str">
        <f t="shared" si="8"/>
        <v/>
      </c>
    </row>
    <row r="48" spans="3:59">
      <c r="C48" s="17">
        <v>29</v>
      </c>
      <c r="D48" s="17" t="str">
        <f t="shared" si="9"/>
        <v/>
      </c>
      <c r="E48" s="17">
        <f t="array" ref="E48">IFERROR(INDEX($B$231:$B$491,SMALL(IF(("Q"=$A$231:$A$491),MATCH(ROW($A$231:$A$491),ROW($A$231:$A$491)),""),ROWS($A$1:A29))),0)</f>
        <v>0</v>
      </c>
      <c r="F48" s="17" t="str">
        <f t="shared" si="3"/>
        <v/>
      </c>
      <c r="Q48" s="17">
        <v>29</v>
      </c>
      <c r="R48" s="17" t="str">
        <f t="shared" si="4"/>
        <v/>
      </c>
      <c r="S48" s="17">
        <f t="array" ref="S48">IFERROR(INDEX($P$231:$P$491,SMALL(IF(("Q"=$O$231:$O$491),MATCH(ROW($O$231:$O$491),ROW($O$231:$O$491)),""),ROWS($A$1:A29))),0)</f>
        <v>0</v>
      </c>
      <c r="T48" s="17" t="str">
        <f t="shared" si="5"/>
        <v/>
      </c>
      <c r="AD48" s="17">
        <v>29</v>
      </c>
      <c r="AE48" s="17" t="str">
        <f t="shared" si="10"/>
        <v/>
      </c>
      <c r="AF48" s="17">
        <f t="array" ref="AF48">IFERROR(INDEX($AC$231:$AC$491,SMALL(IF(("Q"=$AB$231:$AB$491),MATCH(ROW($AB$231:$AB$491),ROW($AB$231:$AB$491)),""),ROWS($A$1:A29))),0)</f>
        <v>0</v>
      </c>
      <c r="AG48" s="17" t="str">
        <f t="shared" si="6"/>
        <v/>
      </c>
      <c r="AR48" s="17">
        <v>29</v>
      </c>
      <c r="AS48" s="17" t="str">
        <f t="shared" si="11"/>
        <v/>
      </c>
      <c r="AT48" s="17">
        <f t="array" ref="AT48">IFERROR(INDEX($AQ$231:$AQ$491,SMALL(IF(("Q"=$AP$231:$AP$491),MATCH(ROW($AP$231:$AP$491),ROW($AP$231:$AP$491)),""),ROWS($A$1:A29))),0)</f>
        <v>0</v>
      </c>
      <c r="AU48" s="17" t="str">
        <f t="shared" si="12"/>
        <v/>
      </c>
      <c r="BD48" s="17">
        <v>29</v>
      </c>
      <c r="BE48" s="17" t="str">
        <f t="shared" si="13"/>
        <v/>
      </c>
      <c r="BF48" s="17">
        <f t="array" ref="BF48">IFERROR(INDEX($BC$231:$BC$491,SMALL(IF(("Q"=$BB$231:$BB$491),MATCH(ROW($BB$231:$BB$491),ROW($BB$231:$BB$491)),""),ROWS($A$1:A29))),0)</f>
        <v>0</v>
      </c>
      <c r="BG48" s="17" t="str">
        <f t="shared" si="8"/>
        <v/>
      </c>
    </row>
    <row r="49" spans="3:59">
      <c r="C49" s="17">
        <v>30</v>
      </c>
      <c r="D49" s="17" t="str">
        <f t="shared" si="9"/>
        <v/>
      </c>
      <c r="E49" s="17">
        <f t="array" ref="E49">IFERROR(INDEX($B$231:$B$491,SMALL(IF(("Q"=$A$231:$A$491),MATCH(ROW($A$231:$A$491),ROW($A$231:$A$491)),""),ROWS($A$1:A30))),0)</f>
        <v>0</v>
      </c>
      <c r="F49" s="17" t="str">
        <f t="shared" si="3"/>
        <v/>
      </c>
      <c r="Q49" s="17">
        <v>30</v>
      </c>
      <c r="R49" s="17" t="str">
        <f t="shared" si="4"/>
        <v/>
      </c>
      <c r="S49" s="17">
        <f t="array" ref="S49">IFERROR(INDEX($P$231:$P$491,SMALL(IF(("Q"=$O$231:$O$491),MATCH(ROW($O$231:$O$491),ROW($O$231:$O$491)),""),ROWS($A$1:A30))),0)</f>
        <v>0</v>
      </c>
      <c r="T49" s="17" t="str">
        <f t="shared" si="5"/>
        <v/>
      </c>
      <c r="AD49" s="17">
        <v>30</v>
      </c>
      <c r="AE49" s="17" t="str">
        <f t="shared" si="10"/>
        <v/>
      </c>
      <c r="AF49" s="17">
        <f t="array" ref="AF49">IFERROR(INDEX($AC$231:$AC$491,SMALL(IF(("Q"=$AB$231:$AB$491),MATCH(ROW($AB$231:$AB$491),ROW($AB$231:$AB$491)),""),ROWS($A$1:A30))),0)</f>
        <v>0</v>
      </c>
      <c r="AG49" s="17" t="str">
        <f t="shared" si="6"/>
        <v/>
      </c>
      <c r="AR49" s="17">
        <v>30</v>
      </c>
      <c r="AS49" s="17" t="str">
        <f t="shared" si="11"/>
        <v/>
      </c>
      <c r="AT49" s="17">
        <f t="array" ref="AT49">IFERROR(INDEX($AQ$231:$AQ$491,SMALL(IF(("Q"=$AP$231:$AP$491),MATCH(ROW($AP$231:$AP$491),ROW($AP$231:$AP$491)),""),ROWS($A$1:A30))),0)</f>
        <v>0</v>
      </c>
      <c r="AU49" s="17" t="str">
        <f t="shared" si="12"/>
        <v/>
      </c>
      <c r="BD49" s="17">
        <v>30</v>
      </c>
      <c r="BE49" s="17" t="str">
        <f t="shared" si="13"/>
        <v/>
      </c>
      <c r="BF49" s="17">
        <f t="array" ref="BF49">IFERROR(INDEX($BC$231:$BC$491,SMALL(IF(("Q"=$BB$231:$BB$491),MATCH(ROW($BB$231:$BB$491),ROW($BB$231:$BB$491)),""),ROWS($A$1:A30))),0)</f>
        <v>0</v>
      </c>
      <c r="BG49" s="17" t="str">
        <f t="shared" si="8"/>
        <v/>
      </c>
    </row>
    <row r="50" spans="3:59">
      <c r="C50" s="17">
        <v>31</v>
      </c>
      <c r="D50" s="17" t="str">
        <f t="shared" si="9"/>
        <v/>
      </c>
      <c r="E50" s="17">
        <f t="array" ref="E50">IFERROR(INDEX($B$231:$B$491,SMALL(IF(("Q"=$A$231:$A$491),MATCH(ROW($A$231:$A$491),ROW($A$231:$A$491)),""),ROWS($A$1:A31))),0)</f>
        <v>0</v>
      </c>
      <c r="F50" s="17" t="str">
        <f t="shared" si="3"/>
        <v/>
      </c>
      <c r="Q50" s="17">
        <v>31</v>
      </c>
      <c r="R50" s="17" t="str">
        <f t="shared" si="4"/>
        <v/>
      </c>
      <c r="S50" s="17">
        <f t="array" ref="S50">IFERROR(INDEX($P$231:$P$491,SMALL(IF(("Q"=$O$231:$O$491),MATCH(ROW($O$231:$O$491),ROW($O$231:$O$491)),""),ROWS($A$1:A31))),0)</f>
        <v>0</v>
      </c>
      <c r="T50" s="17" t="str">
        <f t="shared" si="5"/>
        <v/>
      </c>
      <c r="AD50" s="17">
        <v>31</v>
      </c>
      <c r="AE50" s="17" t="str">
        <f t="shared" si="10"/>
        <v/>
      </c>
      <c r="AF50" s="17">
        <f t="array" ref="AF50">IFERROR(INDEX($AC$231:$AC$491,SMALL(IF(("Q"=$AB$231:$AB$491),MATCH(ROW($AB$231:$AB$491),ROW($AB$231:$AB$491)),""),ROWS($A$1:A31))),0)</f>
        <v>0</v>
      </c>
      <c r="AG50" s="17" t="str">
        <f t="shared" si="6"/>
        <v/>
      </c>
      <c r="AR50" s="17">
        <v>31</v>
      </c>
      <c r="AS50" s="17" t="str">
        <f t="shared" si="11"/>
        <v/>
      </c>
      <c r="AT50" s="17">
        <f t="array" ref="AT50">IFERROR(INDEX($AQ$231:$AQ$491,SMALL(IF(("Q"=$AP$231:$AP$491),MATCH(ROW($AP$231:$AP$491),ROW($AP$231:$AP$491)),""),ROWS($A$1:A31))),0)</f>
        <v>0</v>
      </c>
      <c r="AU50" s="17" t="str">
        <f t="shared" si="12"/>
        <v/>
      </c>
      <c r="BD50" s="17">
        <v>31</v>
      </c>
      <c r="BE50" s="17" t="str">
        <f t="shared" si="13"/>
        <v/>
      </c>
      <c r="BF50" s="17">
        <f t="array" ref="BF50">IFERROR(INDEX($BC$231:$BC$491,SMALL(IF(("Q"=$BB$231:$BB$491),MATCH(ROW($BB$231:$BB$491),ROW($BB$231:$BB$491)),""),ROWS($A$1:A31))),0)</f>
        <v>0</v>
      </c>
      <c r="BG50" s="17" t="str">
        <f t="shared" si="8"/>
        <v/>
      </c>
    </row>
    <row r="51" spans="3:59">
      <c r="C51" s="17">
        <v>32</v>
      </c>
      <c r="D51" s="17" t="str">
        <f t="shared" si="9"/>
        <v/>
      </c>
      <c r="E51" s="17">
        <f t="array" ref="E51">IFERROR(INDEX($B$231:$B$491,SMALL(IF(("Q"=$A$231:$A$491),MATCH(ROW($A$231:$A$491),ROW($A$231:$A$491)),""),ROWS($A$1:A32))),0)</f>
        <v>0</v>
      </c>
      <c r="F51" s="17" t="str">
        <f t="shared" si="3"/>
        <v/>
      </c>
      <c r="Q51" s="17">
        <v>32</v>
      </c>
      <c r="R51" s="17" t="str">
        <f t="shared" si="4"/>
        <v/>
      </c>
      <c r="S51" s="17">
        <f t="array" ref="S51">IFERROR(INDEX($P$231:$P$491,SMALL(IF(("Q"=$O$231:$O$491),MATCH(ROW($O$231:$O$491),ROW($O$231:$O$491)),""),ROWS($A$1:A32))),0)</f>
        <v>0</v>
      </c>
      <c r="T51" s="17" t="str">
        <f t="shared" si="5"/>
        <v/>
      </c>
      <c r="AD51" s="17">
        <v>32</v>
      </c>
      <c r="AE51" s="17" t="str">
        <f t="shared" si="10"/>
        <v/>
      </c>
      <c r="AF51" s="17">
        <f t="array" ref="AF51">IFERROR(INDEX($AC$231:$AC$491,SMALL(IF(("Q"=$AB$231:$AB$491),MATCH(ROW($AB$231:$AB$491),ROW($AB$231:$AB$491)),""),ROWS($A$1:A32))),0)</f>
        <v>0</v>
      </c>
      <c r="AG51" s="17" t="str">
        <f t="shared" si="6"/>
        <v/>
      </c>
      <c r="AR51" s="17">
        <v>32</v>
      </c>
      <c r="AS51" s="17" t="str">
        <f t="shared" si="11"/>
        <v/>
      </c>
      <c r="AT51" s="17">
        <f t="array" ref="AT51">IFERROR(INDEX($AQ$231:$AQ$491,SMALL(IF(("Q"=$AP$231:$AP$491),MATCH(ROW($AP$231:$AP$491),ROW($AP$231:$AP$491)),""),ROWS($A$1:A32))),0)</f>
        <v>0</v>
      </c>
      <c r="AU51" s="17" t="str">
        <f t="shared" si="12"/>
        <v/>
      </c>
      <c r="BD51" s="17">
        <v>32</v>
      </c>
      <c r="BE51" s="17" t="str">
        <f t="shared" si="13"/>
        <v/>
      </c>
      <c r="BF51" s="17">
        <f t="array" ref="BF51">IFERROR(INDEX($BC$231:$BC$491,SMALL(IF(("Q"=$BB$231:$BB$491),MATCH(ROW($BB$231:$BB$491),ROW($BB$231:$BB$491)),""),ROWS($A$1:A32))),0)</f>
        <v>0</v>
      </c>
      <c r="BG51" s="17" t="str">
        <f t="shared" si="8"/>
        <v/>
      </c>
    </row>
    <row r="52" spans="3:59">
      <c r="C52" s="17">
        <v>33</v>
      </c>
      <c r="D52" s="17" t="str">
        <f t="shared" si="9"/>
        <v/>
      </c>
      <c r="E52" s="17">
        <f t="array" ref="E52">IFERROR(INDEX($B$231:$B$491,SMALL(IF(("Q"=$A$231:$A$491),MATCH(ROW($A$231:$A$491),ROW($A$231:$A$491)),""),ROWS($A$1:A33))),0)</f>
        <v>0</v>
      </c>
      <c r="F52" s="17" t="str">
        <f t="shared" si="3"/>
        <v/>
      </c>
      <c r="Q52" s="17">
        <v>33</v>
      </c>
      <c r="R52" s="17" t="str">
        <f t="shared" si="4"/>
        <v/>
      </c>
      <c r="S52" s="17">
        <f t="array" ref="S52">IFERROR(INDEX($P$231:$P$491,SMALL(IF(("Q"=$O$231:$O$491),MATCH(ROW($O$231:$O$491),ROW($O$231:$O$491)),""),ROWS($A$1:A33))),0)</f>
        <v>0</v>
      </c>
      <c r="T52" s="17" t="str">
        <f t="shared" si="5"/>
        <v/>
      </c>
      <c r="AD52" s="17">
        <v>33</v>
      </c>
      <c r="AE52" s="17" t="str">
        <f t="shared" si="10"/>
        <v/>
      </c>
      <c r="AF52" s="17">
        <f t="array" ref="AF52">IFERROR(INDEX($AC$231:$AC$491,SMALL(IF(("Q"=$AB$231:$AB$491),MATCH(ROW($AB$231:$AB$491),ROW($AB$231:$AB$491)),""),ROWS($A$1:A33))),0)</f>
        <v>0</v>
      </c>
      <c r="AG52" s="17" t="str">
        <f t="shared" si="6"/>
        <v/>
      </c>
      <c r="AR52" s="17">
        <v>33</v>
      </c>
      <c r="AS52" s="17" t="str">
        <f t="shared" si="11"/>
        <v/>
      </c>
      <c r="AT52" s="17">
        <f t="array" ref="AT52">IFERROR(INDEX($AQ$231:$AQ$491,SMALL(IF(("Q"=$AP$231:$AP$491),MATCH(ROW($AP$231:$AP$491),ROW($AP$231:$AP$491)),""),ROWS($A$1:A33))),0)</f>
        <v>0</v>
      </c>
      <c r="AU52" s="17" t="str">
        <f t="shared" si="12"/>
        <v/>
      </c>
      <c r="BD52" s="17">
        <v>33</v>
      </c>
      <c r="BE52" s="17" t="str">
        <f t="shared" si="13"/>
        <v/>
      </c>
      <c r="BF52" s="17">
        <f t="array" ref="BF52">IFERROR(INDEX($BC$231:$BC$491,SMALL(IF(("Q"=$BB$231:$BB$491),MATCH(ROW($BB$231:$BB$491),ROW($BB$231:$BB$491)),""),ROWS($A$1:A33))),0)</f>
        <v>0</v>
      </c>
      <c r="BG52" s="17" t="str">
        <f t="shared" si="8"/>
        <v/>
      </c>
    </row>
    <row r="53" spans="3:59">
      <c r="C53" s="17">
        <v>34</v>
      </c>
      <c r="D53" s="17" t="str">
        <f t="shared" si="9"/>
        <v/>
      </c>
      <c r="E53" s="17">
        <f t="array" ref="E53">IFERROR(INDEX($B$231:$B$491,SMALL(IF(("Q"=$A$231:$A$491),MATCH(ROW($A$231:$A$491),ROW($A$231:$A$491)),""),ROWS($A$1:A34))),0)</f>
        <v>0</v>
      </c>
      <c r="F53" s="17" t="str">
        <f t="shared" si="3"/>
        <v/>
      </c>
      <c r="Q53" s="17">
        <v>34</v>
      </c>
      <c r="R53" s="17" t="str">
        <f t="shared" si="4"/>
        <v/>
      </c>
      <c r="S53" s="17">
        <f t="array" ref="S53">IFERROR(INDEX($P$231:$P$491,SMALL(IF(("Q"=$O$231:$O$491),MATCH(ROW($O$231:$O$491),ROW($O$231:$O$491)),""),ROWS($A$1:A34))),0)</f>
        <v>0</v>
      </c>
      <c r="T53" s="17" t="str">
        <f t="shared" si="5"/>
        <v/>
      </c>
      <c r="AD53" s="17">
        <v>34</v>
      </c>
      <c r="AE53" s="17" t="str">
        <f t="shared" si="10"/>
        <v/>
      </c>
      <c r="AF53" s="17">
        <f t="array" ref="AF53">IFERROR(INDEX($AC$231:$AC$491,SMALL(IF(("Q"=$AB$231:$AB$491),MATCH(ROW($AB$231:$AB$491),ROW($AB$231:$AB$491)),""),ROWS($A$1:A34))),0)</f>
        <v>0</v>
      </c>
      <c r="AG53" s="17" t="str">
        <f t="shared" si="6"/>
        <v/>
      </c>
      <c r="AR53" s="17">
        <v>34</v>
      </c>
      <c r="AS53" s="17" t="str">
        <f t="shared" si="11"/>
        <v/>
      </c>
      <c r="AT53" s="17">
        <f t="array" ref="AT53">IFERROR(INDEX($AQ$231:$AQ$491,SMALL(IF(("Q"=$AP$231:$AP$491),MATCH(ROW($AP$231:$AP$491),ROW($AP$231:$AP$491)),""),ROWS($A$1:A34))),0)</f>
        <v>0</v>
      </c>
      <c r="AU53" s="17" t="str">
        <f t="shared" si="12"/>
        <v/>
      </c>
      <c r="BD53" s="17">
        <v>34</v>
      </c>
      <c r="BE53" s="17" t="str">
        <f t="shared" si="13"/>
        <v/>
      </c>
      <c r="BF53" s="17">
        <f t="array" ref="BF53">IFERROR(INDEX($BC$231:$BC$491,SMALL(IF(("Q"=$BB$231:$BB$491),MATCH(ROW($BB$231:$BB$491),ROW($BB$231:$BB$491)),""),ROWS($A$1:A34))),0)</f>
        <v>0</v>
      </c>
      <c r="BG53" s="17" t="str">
        <f t="shared" si="8"/>
        <v/>
      </c>
    </row>
    <row r="54" spans="3:59">
      <c r="C54" s="17">
        <v>35</v>
      </c>
      <c r="D54" s="17" t="str">
        <f t="shared" si="9"/>
        <v/>
      </c>
      <c r="E54" s="17">
        <f t="array" ref="E54">IFERROR(INDEX($B$231:$B$491,SMALL(IF(("Q"=$A$231:$A$491),MATCH(ROW($A$231:$A$491),ROW($A$231:$A$491)),""),ROWS($A$1:A35))),0)</f>
        <v>0</v>
      </c>
      <c r="F54" s="17" t="str">
        <f t="shared" si="3"/>
        <v/>
      </c>
      <c r="Q54" s="17">
        <v>35</v>
      </c>
      <c r="R54" s="17" t="str">
        <f t="shared" si="4"/>
        <v/>
      </c>
      <c r="S54" s="17">
        <f t="array" ref="S54">IFERROR(INDEX($P$231:$P$491,SMALL(IF(("Q"=$O$231:$O$491),MATCH(ROW($O$231:$O$491),ROW($O$231:$O$491)),""),ROWS($A$1:A35))),0)</f>
        <v>0</v>
      </c>
      <c r="T54" s="17" t="str">
        <f t="shared" si="5"/>
        <v/>
      </c>
      <c r="AD54" s="17">
        <v>35</v>
      </c>
      <c r="AE54" s="17" t="str">
        <f t="shared" si="10"/>
        <v/>
      </c>
      <c r="AF54" s="17">
        <f t="array" ref="AF54">IFERROR(INDEX($AC$231:$AC$491,SMALL(IF(("Q"=$AB$231:$AB$491),MATCH(ROW($AB$231:$AB$491),ROW($AB$231:$AB$491)),""),ROWS($A$1:A35))),0)</f>
        <v>0</v>
      </c>
      <c r="AG54" s="17" t="str">
        <f t="shared" si="6"/>
        <v/>
      </c>
      <c r="AR54" s="17">
        <v>35</v>
      </c>
      <c r="AS54" s="17" t="str">
        <f t="shared" si="11"/>
        <v/>
      </c>
      <c r="AT54" s="17">
        <f t="array" ref="AT54">IFERROR(INDEX($AQ$231:$AQ$491,SMALL(IF(("Q"=$AP$231:$AP$491),MATCH(ROW($AP$231:$AP$491),ROW($AP$231:$AP$491)),""),ROWS($A$1:A35))),0)</f>
        <v>0</v>
      </c>
      <c r="AU54" s="17" t="str">
        <f t="shared" si="12"/>
        <v/>
      </c>
      <c r="BD54" s="17">
        <v>35</v>
      </c>
      <c r="BE54" s="17" t="str">
        <f t="shared" si="13"/>
        <v/>
      </c>
      <c r="BF54" s="17">
        <f t="array" ref="BF54">IFERROR(INDEX($BC$231:$BC$491,SMALL(IF(("Q"=$BB$231:$BB$491),MATCH(ROW($BB$231:$BB$491),ROW($BB$231:$BB$491)),""),ROWS($A$1:A35))),0)</f>
        <v>0</v>
      </c>
      <c r="BG54" s="17" t="str">
        <f t="shared" si="8"/>
        <v/>
      </c>
    </row>
    <row r="55" spans="3:59">
      <c r="C55" s="17">
        <v>36</v>
      </c>
      <c r="D55" s="17" t="str">
        <f t="shared" si="9"/>
        <v/>
      </c>
      <c r="E55" s="17">
        <f t="array" ref="E55">IFERROR(INDEX($B$231:$B$491,SMALL(IF(("Q"=$A$231:$A$491),MATCH(ROW($A$231:$A$491),ROW($A$231:$A$491)),""),ROWS($A$1:A36))),0)</f>
        <v>0</v>
      </c>
      <c r="F55" s="17" t="str">
        <f t="shared" si="3"/>
        <v/>
      </c>
      <c r="Q55" s="17">
        <v>36</v>
      </c>
      <c r="R55" s="17" t="str">
        <f t="shared" si="4"/>
        <v/>
      </c>
      <c r="S55" s="17">
        <f t="array" ref="S55">IFERROR(INDEX($P$231:$P$491,SMALL(IF(("Q"=$O$231:$O$491),MATCH(ROW($O$231:$O$491),ROW($O$231:$O$491)),""),ROWS($A$1:A36))),0)</f>
        <v>0</v>
      </c>
      <c r="T55" s="17" t="str">
        <f t="shared" si="5"/>
        <v/>
      </c>
      <c r="AD55" s="17">
        <v>36</v>
      </c>
      <c r="AE55" s="17" t="str">
        <f t="shared" si="10"/>
        <v/>
      </c>
      <c r="AF55" s="17">
        <f t="array" ref="AF55">IFERROR(INDEX($AC$231:$AC$491,SMALL(IF(("Q"=$AB$231:$AB$491),MATCH(ROW($AB$231:$AB$491),ROW($AB$231:$AB$491)),""),ROWS($A$1:A36))),0)</f>
        <v>0</v>
      </c>
      <c r="AG55" s="17" t="str">
        <f t="shared" si="6"/>
        <v/>
      </c>
      <c r="AR55" s="17">
        <v>36</v>
      </c>
      <c r="AS55" s="17" t="str">
        <f t="shared" si="11"/>
        <v/>
      </c>
      <c r="AT55" s="17">
        <f t="array" ref="AT55">IFERROR(INDEX($AQ$231:$AQ$491,SMALL(IF(("Q"=$AP$231:$AP$491),MATCH(ROW($AP$231:$AP$491),ROW($AP$231:$AP$491)),""),ROWS($A$1:A36))),0)</f>
        <v>0</v>
      </c>
      <c r="AU55" s="17" t="str">
        <f t="shared" si="12"/>
        <v/>
      </c>
      <c r="BD55" s="17">
        <v>36</v>
      </c>
      <c r="BE55" s="17" t="str">
        <f t="shared" si="13"/>
        <v/>
      </c>
      <c r="BF55" s="17">
        <f t="array" ref="BF55">IFERROR(INDEX($BC$231:$BC$491,SMALL(IF(("Q"=$BB$231:$BB$491),MATCH(ROW($BB$231:$BB$491),ROW($BB$231:$BB$491)),""),ROWS($A$1:A36))),0)</f>
        <v>0</v>
      </c>
      <c r="BG55" s="17" t="str">
        <f t="shared" si="8"/>
        <v/>
      </c>
    </row>
    <row r="56" spans="3:59">
      <c r="C56" s="17">
        <v>37</v>
      </c>
      <c r="D56" s="17" t="str">
        <f t="shared" si="9"/>
        <v/>
      </c>
      <c r="E56" s="17">
        <f t="array" ref="E56">IFERROR(INDEX($B$231:$B$491,SMALL(IF(("Q"=$A$231:$A$491),MATCH(ROW($A$231:$A$491),ROW($A$231:$A$491)),""),ROWS($A$1:A37))),0)</f>
        <v>0</v>
      </c>
      <c r="F56" s="17" t="str">
        <f t="shared" si="3"/>
        <v/>
      </c>
      <c r="Q56" s="17">
        <v>37</v>
      </c>
      <c r="R56" s="17" t="str">
        <f t="shared" si="4"/>
        <v/>
      </c>
      <c r="S56" s="17">
        <f t="array" ref="S56">IFERROR(INDEX($P$231:$P$491,SMALL(IF(("Q"=$O$231:$O$491),MATCH(ROW($O$231:$O$491),ROW($O$231:$O$491)),""),ROWS($A$1:A37))),0)</f>
        <v>0</v>
      </c>
      <c r="T56" s="17" t="str">
        <f t="shared" si="5"/>
        <v/>
      </c>
      <c r="AD56" s="17">
        <v>37</v>
      </c>
      <c r="AE56" s="17" t="str">
        <f t="shared" si="10"/>
        <v/>
      </c>
      <c r="AF56" s="17">
        <f t="array" ref="AF56">IFERROR(INDEX($AC$231:$AC$491,SMALL(IF(("Q"=$AB$231:$AB$491),MATCH(ROW($AB$231:$AB$491),ROW($AB$231:$AB$491)),""),ROWS($A$1:A37))),0)</f>
        <v>0</v>
      </c>
      <c r="AG56" s="17" t="str">
        <f t="shared" si="6"/>
        <v/>
      </c>
      <c r="AR56" s="17">
        <v>37</v>
      </c>
      <c r="AS56" s="17" t="str">
        <f t="shared" si="11"/>
        <v/>
      </c>
      <c r="AT56" s="17">
        <f t="array" ref="AT56">IFERROR(INDEX($AQ$231:$AQ$491,SMALL(IF(("Q"=$AP$231:$AP$491),MATCH(ROW($AP$231:$AP$491),ROW($AP$231:$AP$491)),""),ROWS($A$1:A37))),0)</f>
        <v>0</v>
      </c>
      <c r="AU56" s="17" t="str">
        <f t="shared" si="12"/>
        <v/>
      </c>
      <c r="BD56" s="17">
        <v>37</v>
      </c>
      <c r="BE56" s="17" t="str">
        <f t="shared" si="13"/>
        <v/>
      </c>
      <c r="BF56" s="17">
        <f t="array" ref="BF56">IFERROR(INDEX($BC$231:$BC$491,SMALL(IF(("Q"=$BB$231:$BB$491),MATCH(ROW($BB$231:$BB$491),ROW($BB$231:$BB$491)),""),ROWS($A$1:A37))),0)</f>
        <v>0</v>
      </c>
      <c r="BG56" s="17" t="str">
        <f t="shared" si="8"/>
        <v/>
      </c>
    </row>
    <row r="57" spans="3:59">
      <c r="C57" s="17">
        <v>38</v>
      </c>
      <c r="D57" s="17" t="str">
        <f t="shared" si="9"/>
        <v/>
      </c>
      <c r="E57" s="17">
        <f t="array" ref="E57">IFERROR(INDEX($B$231:$B$491,SMALL(IF(("Q"=$A$231:$A$491),MATCH(ROW($A$231:$A$491),ROW($A$231:$A$491)),""),ROWS($A$1:A38))),0)</f>
        <v>0</v>
      </c>
      <c r="F57" s="17" t="str">
        <f t="shared" si="3"/>
        <v/>
      </c>
      <c r="Q57" s="17">
        <v>38</v>
      </c>
      <c r="R57" s="17" t="str">
        <f t="shared" si="4"/>
        <v/>
      </c>
      <c r="S57" s="17">
        <f t="array" ref="S57">IFERROR(INDEX($P$231:$P$491,SMALL(IF(("Q"=$O$231:$O$491),MATCH(ROW($O$231:$O$491),ROW($O$231:$O$491)),""),ROWS($A$1:A38))),0)</f>
        <v>0</v>
      </c>
      <c r="T57" s="17" t="str">
        <f t="shared" si="5"/>
        <v/>
      </c>
      <c r="AD57" s="17">
        <v>38</v>
      </c>
      <c r="AE57" s="17" t="str">
        <f t="shared" si="10"/>
        <v/>
      </c>
      <c r="AF57" s="17">
        <f t="array" ref="AF57">IFERROR(INDEX($AC$231:$AC$491,SMALL(IF(("Q"=$AB$231:$AB$491),MATCH(ROW($AB$231:$AB$491),ROW($AB$231:$AB$491)),""),ROWS($A$1:A38))),0)</f>
        <v>0</v>
      </c>
      <c r="AG57" s="17" t="str">
        <f t="shared" si="6"/>
        <v/>
      </c>
      <c r="AR57" s="17">
        <v>38</v>
      </c>
      <c r="AS57" s="17" t="str">
        <f t="shared" si="11"/>
        <v/>
      </c>
      <c r="AT57" s="17">
        <f t="array" ref="AT57">IFERROR(INDEX($AQ$231:$AQ$491,SMALL(IF(("Q"=$AP$231:$AP$491),MATCH(ROW($AP$231:$AP$491),ROW($AP$231:$AP$491)),""),ROWS($A$1:A38))),0)</f>
        <v>0</v>
      </c>
      <c r="AU57" s="17" t="str">
        <f t="shared" si="12"/>
        <v/>
      </c>
      <c r="BD57" s="17">
        <v>38</v>
      </c>
      <c r="BE57" s="17" t="str">
        <f t="shared" si="13"/>
        <v/>
      </c>
      <c r="BF57" s="17">
        <f t="array" ref="BF57">IFERROR(INDEX($BC$231:$BC$491,SMALL(IF(("Q"=$BB$231:$BB$491),MATCH(ROW($BB$231:$BB$491),ROW($BB$231:$BB$491)),""),ROWS($A$1:A38))),0)</f>
        <v>0</v>
      </c>
      <c r="BG57" s="17" t="str">
        <f t="shared" si="8"/>
        <v/>
      </c>
    </row>
    <row r="58" spans="3:59">
      <c r="C58" s="17">
        <v>39</v>
      </c>
      <c r="D58" s="17" t="str">
        <f t="shared" si="9"/>
        <v/>
      </c>
      <c r="E58" s="17">
        <f t="array" ref="E58">IFERROR(INDEX($B$231:$B$491,SMALL(IF(("Q"=$A$231:$A$491),MATCH(ROW($A$231:$A$491),ROW($A$231:$A$491)),""),ROWS($A$1:A39))),0)</f>
        <v>0</v>
      </c>
      <c r="F58" s="17" t="str">
        <f t="shared" si="3"/>
        <v/>
      </c>
      <c r="Q58" s="17">
        <v>39</v>
      </c>
      <c r="R58" s="17" t="str">
        <f t="shared" si="4"/>
        <v/>
      </c>
      <c r="S58" s="17">
        <f t="array" ref="S58">IFERROR(INDEX($P$231:$P$491,SMALL(IF(("Q"=$O$231:$O$491),MATCH(ROW($O$231:$O$491),ROW($O$231:$O$491)),""),ROWS($A$1:A39))),0)</f>
        <v>0</v>
      </c>
      <c r="T58" s="17" t="str">
        <f t="shared" si="5"/>
        <v/>
      </c>
      <c r="AD58" s="17">
        <v>39</v>
      </c>
      <c r="AE58" s="17" t="str">
        <f t="shared" si="10"/>
        <v/>
      </c>
      <c r="AF58" s="17">
        <f t="array" ref="AF58">IFERROR(INDEX($AC$231:$AC$491,SMALL(IF(("Q"=$AB$231:$AB$491),MATCH(ROW($AB$231:$AB$491),ROW($AB$231:$AB$491)),""),ROWS($A$1:A39))),0)</f>
        <v>0</v>
      </c>
      <c r="AG58" s="17" t="str">
        <f t="shared" si="6"/>
        <v/>
      </c>
      <c r="AR58" s="17">
        <v>39</v>
      </c>
      <c r="AS58" s="17" t="str">
        <f t="shared" si="11"/>
        <v/>
      </c>
      <c r="AT58" s="17">
        <f t="array" ref="AT58">IFERROR(INDEX($AQ$231:$AQ$491,SMALL(IF(("Q"=$AP$231:$AP$491),MATCH(ROW($AP$231:$AP$491),ROW($AP$231:$AP$491)),""),ROWS($A$1:A39))),0)</f>
        <v>0</v>
      </c>
      <c r="AU58" s="17" t="str">
        <f t="shared" si="12"/>
        <v/>
      </c>
      <c r="BD58" s="17">
        <v>39</v>
      </c>
      <c r="BE58" s="17" t="str">
        <f t="shared" si="13"/>
        <v/>
      </c>
      <c r="BF58" s="17">
        <f t="array" ref="BF58">IFERROR(INDEX($BC$231:$BC$491,SMALL(IF(("Q"=$BB$231:$BB$491),MATCH(ROW($BB$231:$BB$491),ROW($BB$231:$BB$491)),""),ROWS($A$1:A39))),0)</f>
        <v>0</v>
      </c>
      <c r="BG58" s="17" t="str">
        <f t="shared" si="8"/>
        <v/>
      </c>
    </row>
    <row r="59" spans="3:59">
      <c r="C59" s="17">
        <v>40</v>
      </c>
      <c r="D59" s="17" t="str">
        <f t="shared" si="9"/>
        <v/>
      </c>
      <c r="E59" s="17">
        <f t="array" ref="E59">IFERROR(INDEX($B$231:$B$491,SMALL(IF(("Q"=$A$231:$A$491),MATCH(ROW($A$231:$A$491),ROW($A$231:$A$491)),""),ROWS($A$1:A40))),0)</f>
        <v>0</v>
      </c>
      <c r="F59" s="17" t="str">
        <f t="shared" si="3"/>
        <v/>
      </c>
      <c r="Q59" s="17">
        <v>40</v>
      </c>
      <c r="R59" s="17" t="str">
        <f t="shared" si="4"/>
        <v/>
      </c>
      <c r="S59" s="17">
        <f t="array" ref="S59">IFERROR(INDEX($P$231:$P$491,SMALL(IF(("Q"=$O$231:$O$491),MATCH(ROW($O$231:$O$491),ROW($O$231:$O$491)),""),ROWS($A$1:A40))),0)</f>
        <v>0</v>
      </c>
      <c r="T59" s="17" t="str">
        <f t="shared" si="5"/>
        <v/>
      </c>
      <c r="AD59" s="17">
        <v>40</v>
      </c>
      <c r="AE59" s="17" t="str">
        <f t="shared" si="10"/>
        <v/>
      </c>
      <c r="AF59" s="17">
        <f t="array" ref="AF59">IFERROR(INDEX($AC$231:$AC$491,SMALL(IF(("Q"=$AB$231:$AB$491),MATCH(ROW($AB$231:$AB$491),ROW($AB$231:$AB$491)),""),ROWS($A$1:A40))),0)</f>
        <v>0</v>
      </c>
      <c r="AG59" s="17" t="str">
        <f t="shared" si="6"/>
        <v/>
      </c>
      <c r="AR59" s="17">
        <v>40</v>
      </c>
      <c r="AS59" s="17" t="str">
        <f t="shared" si="11"/>
        <v/>
      </c>
      <c r="AT59" s="17">
        <f t="array" ref="AT59">IFERROR(INDEX($AQ$231:$AQ$491,SMALL(IF(("Q"=$AP$231:$AP$491),MATCH(ROW($AP$231:$AP$491),ROW($AP$231:$AP$491)),""),ROWS($A$1:A40))),0)</f>
        <v>0</v>
      </c>
      <c r="AU59" s="17" t="str">
        <f t="shared" si="12"/>
        <v/>
      </c>
      <c r="BD59" s="17">
        <v>40</v>
      </c>
      <c r="BE59" s="17" t="str">
        <f t="shared" si="13"/>
        <v/>
      </c>
      <c r="BF59" s="17">
        <f t="array" ref="BF59">IFERROR(INDEX($BC$231:$BC$491,SMALL(IF(("Q"=$BB$231:$BB$491),MATCH(ROW($BB$231:$BB$491),ROW($BB$231:$BB$491)),""),ROWS($A$1:A40))),0)</f>
        <v>0</v>
      </c>
      <c r="BG59" s="17" t="str">
        <f t="shared" si="8"/>
        <v/>
      </c>
    </row>
    <row r="60" spans="3:59">
      <c r="C60" s="17">
        <v>41</v>
      </c>
      <c r="D60" s="17" t="str">
        <f t="shared" si="9"/>
        <v/>
      </c>
      <c r="E60" s="17">
        <f t="array" ref="E60">IFERROR(INDEX($B$231:$B$491,SMALL(IF(("Q"=$A$231:$A$491),MATCH(ROW($A$231:$A$491),ROW($A$231:$A$491)),""),ROWS($A$1:A41))),0)</f>
        <v>0</v>
      </c>
      <c r="F60" s="17" t="str">
        <f t="shared" si="3"/>
        <v/>
      </c>
      <c r="Q60" s="17">
        <v>41</v>
      </c>
      <c r="R60" s="17" t="str">
        <f t="shared" si="4"/>
        <v/>
      </c>
      <c r="S60" s="17">
        <f t="array" ref="S60">IFERROR(INDEX($P$231:$P$491,SMALL(IF(("Q"=$O$231:$O$491),MATCH(ROW($O$231:$O$491),ROW($O$231:$O$491)),""),ROWS($A$1:A41))),0)</f>
        <v>0</v>
      </c>
      <c r="T60" s="17" t="str">
        <f t="shared" si="5"/>
        <v/>
      </c>
      <c r="AD60" s="17">
        <v>41</v>
      </c>
      <c r="AE60" s="17" t="str">
        <f t="shared" si="10"/>
        <v/>
      </c>
      <c r="AF60" s="17">
        <f t="array" ref="AF60">IFERROR(INDEX($AC$231:$AC$491,SMALL(IF(("Q"=$AB$231:$AB$491),MATCH(ROW($AB$231:$AB$491),ROW($AB$231:$AB$491)),""),ROWS($A$1:A41))),0)</f>
        <v>0</v>
      </c>
      <c r="AG60" s="17" t="str">
        <f t="shared" si="6"/>
        <v/>
      </c>
      <c r="AR60" s="17">
        <v>41</v>
      </c>
      <c r="AS60" s="17" t="str">
        <f t="shared" si="11"/>
        <v/>
      </c>
      <c r="AT60" s="17">
        <f t="array" ref="AT60">IFERROR(INDEX($AQ$231:$AQ$491,SMALL(IF(("Q"=$AP$231:$AP$491),MATCH(ROW($AP$231:$AP$491),ROW($AP$231:$AP$491)),""),ROWS($A$1:A41))),0)</f>
        <v>0</v>
      </c>
      <c r="AU60" s="17" t="str">
        <f t="shared" si="12"/>
        <v/>
      </c>
      <c r="BD60" s="17">
        <v>41</v>
      </c>
      <c r="BE60" s="17" t="str">
        <f t="shared" si="13"/>
        <v/>
      </c>
      <c r="BF60" s="17">
        <f t="array" ref="BF60">IFERROR(INDEX($BC$231:$BC$491,SMALL(IF(("Q"=$BB$231:$BB$491),MATCH(ROW($BB$231:$BB$491),ROW($BB$231:$BB$491)),""),ROWS($A$1:A41))),0)</f>
        <v>0</v>
      </c>
      <c r="BG60" s="17" t="str">
        <f t="shared" si="8"/>
        <v/>
      </c>
    </row>
    <row r="61" spans="3:59">
      <c r="C61" s="17">
        <v>42</v>
      </c>
      <c r="D61" s="17" t="str">
        <f t="shared" si="9"/>
        <v/>
      </c>
      <c r="E61" s="17">
        <f t="array" ref="E61">IFERROR(INDEX($B$231:$B$491,SMALL(IF(("Q"=$A$231:$A$491),MATCH(ROW($A$231:$A$491),ROW($A$231:$A$491)),""),ROWS($A$1:A42))),0)</f>
        <v>0</v>
      </c>
      <c r="F61" s="17" t="str">
        <f t="shared" si="3"/>
        <v/>
      </c>
      <c r="Q61" s="17">
        <v>42</v>
      </c>
      <c r="R61" s="17" t="str">
        <f t="shared" si="4"/>
        <v/>
      </c>
      <c r="S61" s="17">
        <f t="array" ref="S61">IFERROR(INDEX($P$231:$P$491,SMALL(IF(("Q"=$O$231:$O$491),MATCH(ROW($O$231:$O$491),ROW($O$231:$O$491)),""),ROWS($A$1:A42))),0)</f>
        <v>0</v>
      </c>
      <c r="T61" s="17" t="str">
        <f t="shared" si="5"/>
        <v/>
      </c>
      <c r="AD61" s="17">
        <v>42</v>
      </c>
      <c r="AE61" s="17" t="str">
        <f t="shared" si="10"/>
        <v/>
      </c>
      <c r="AF61" s="17">
        <f t="array" ref="AF61">IFERROR(INDEX($AC$231:$AC$491,SMALL(IF(("Q"=$AB$231:$AB$491),MATCH(ROW($AB$231:$AB$491),ROW($AB$231:$AB$491)),""),ROWS($A$1:A42))),0)</f>
        <v>0</v>
      </c>
      <c r="AG61" s="17" t="str">
        <f t="shared" si="6"/>
        <v/>
      </c>
      <c r="AR61" s="17">
        <v>42</v>
      </c>
      <c r="AS61" s="17" t="str">
        <f t="shared" si="11"/>
        <v/>
      </c>
      <c r="AT61" s="17">
        <f t="array" ref="AT61">IFERROR(INDEX($AQ$231:$AQ$491,SMALL(IF(("Q"=$AP$231:$AP$491),MATCH(ROW($AP$231:$AP$491),ROW($AP$231:$AP$491)),""),ROWS($A$1:A42))),0)</f>
        <v>0</v>
      </c>
      <c r="AU61" s="17" t="str">
        <f t="shared" si="12"/>
        <v/>
      </c>
      <c r="BD61" s="17">
        <v>42</v>
      </c>
      <c r="BE61" s="17" t="str">
        <f t="shared" si="13"/>
        <v/>
      </c>
      <c r="BF61" s="17">
        <f t="array" ref="BF61">IFERROR(INDEX($BC$231:$BC$491,SMALL(IF(("Q"=$BB$231:$BB$491),MATCH(ROW($BB$231:$BB$491),ROW($BB$231:$BB$491)),""),ROWS($A$1:A42))),0)</f>
        <v>0</v>
      </c>
      <c r="BG61" s="17" t="str">
        <f t="shared" si="8"/>
        <v/>
      </c>
    </row>
    <row r="62" spans="3:59">
      <c r="C62" s="17">
        <v>43</v>
      </c>
      <c r="D62" s="17" t="str">
        <f t="shared" si="9"/>
        <v/>
      </c>
      <c r="E62" s="17">
        <f t="array" ref="E62">IFERROR(INDEX($B$231:$B$491,SMALL(IF(("Q"=$A$231:$A$491),MATCH(ROW($A$231:$A$491),ROW($A$231:$A$491)),""),ROWS($A$1:A43))),0)</f>
        <v>0</v>
      </c>
      <c r="F62" s="17" t="str">
        <f t="shared" si="3"/>
        <v/>
      </c>
      <c r="Q62" s="17">
        <v>43</v>
      </c>
      <c r="R62" s="17" t="str">
        <f t="shared" si="4"/>
        <v/>
      </c>
      <c r="S62" s="17">
        <f t="array" ref="S62">IFERROR(INDEX($P$231:$P$491,SMALL(IF(("Q"=$O$231:$O$491),MATCH(ROW($O$231:$O$491),ROW($O$231:$O$491)),""),ROWS($A$1:A43))),0)</f>
        <v>0</v>
      </c>
      <c r="T62" s="17" t="str">
        <f t="shared" si="5"/>
        <v/>
      </c>
      <c r="AD62" s="17">
        <v>43</v>
      </c>
      <c r="AE62" s="17" t="str">
        <f t="shared" si="10"/>
        <v/>
      </c>
      <c r="AF62" s="17">
        <f t="array" ref="AF62">IFERROR(INDEX($AC$231:$AC$491,SMALL(IF(("Q"=$AB$231:$AB$491),MATCH(ROW($AB$231:$AB$491),ROW($AB$231:$AB$491)),""),ROWS($A$1:A43))),0)</f>
        <v>0</v>
      </c>
      <c r="AG62" s="17" t="str">
        <f t="shared" si="6"/>
        <v/>
      </c>
      <c r="AR62" s="17">
        <v>43</v>
      </c>
      <c r="AS62" s="17" t="str">
        <f t="shared" si="11"/>
        <v/>
      </c>
      <c r="AT62" s="17">
        <f t="array" ref="AT62">IFERROR(INDEX($AQ$231:$AQ$491,SMALL(IF(("Q"=$AP$231:$AP$491),MATCH(ROW($AP$231:$AP$491),ROW($AP$231:$AP$491)),""),ROWS($A$1:A43))),0)</f>
        <v>0</v>
      </c>
      <c r="AU62" s="17" t="str">
        <f t="shared" si="12"/>
        <v/>
      </c>
      <c r="BD62" s="17">
        <v>43</v>
      </c>
      <c r="BE62" s="17" t="str">
        <f t="shared" si="13"/>
        <v/>
      </c>
      <c r="BF62" s="17">
        <f t="array" ref="BF62">IFERROR(INDEX($BC$231:$BC$491,SMALL(IF(("Q"=$BB$231:$BB$491),MATCH(ROW($BB$231:$BB$491),ROW($BB$231:$BB$491)),""),ROWS($A$1:A43))),0)</f>
        <v>0</v>
      </c>
      <c r="BG62" s="17" t="str">
        <f t="shared" si="8"/>
        <v/>
      </c>
    </row>
    <row r="63" spans="3:59">
      <c r="C63" s="17">
        <v>44</v>
      </c>
      <c r="D63" s="17" t="str">
        <f t="shared" si="9"/>
        <v/>
      </c>
      <c r="E63" s="17">
        <f t="array" ref="E63">IFERROR(INDEX($B$231:$B$491,SMALL(IF(("Q"=$A$231:$A$491),MATCH(ROW($A$231:$A$491),ROW($A$231:$A$491)),""),ROWS($A$1:A44))),0)</f>
        <v>0</v>
      </c>
      <c r="F63" s="17" t="str">
        <f t="shared" si="3"/>
        <v/>
      </c>
      <c r="Q63" s="17">
        <v>44</v>
      </c>
      <c r="R63" s="17" t="str">
        <f t="shared" si="4"/>
        <v/>
      </c>
      <c r="S63" s="17">
        <f t="array" ref="S63">IFERROR(INDEX($P$231:$P$491,SMALL(IF(("Q"=$O$231:$O$491),MATCH(ROW($O$231:$O$491),ROW($O$231:$O$491)),""),ROWS($A$1:A44))),0)</f>
        <v>0</v>
      </c>
      <c r="T63" s="17" t="str">
        <f t="shared" si="5"/>
        <v/>
      </c>
      <c r="AD63" s="17">
        <v>44</v>
      </c>
      <c r="AE63" s="17" t="str">
        <f t="shared" si="10"/>
        <v/>
      </c>
      <c r="AF63" s="17">
        <f t="array" ref="AF63">IFERROR(INDEX($AC$231:$AC$491,SMALL(IF(("Q"=$AB$231:$AB$491),MATCH(ROW($AB$231:$AB$491),ROW($AB$231:$AB$491)),""),ROWS($A$1:A44))),0)</f>
        <v>0</v>
      </c>
      <c r="AG63" s="17" t="str">
        <f t="shared" si="6"/>
        <v/>
      </c>
      <c r="AR63" s="17">
        <v>44</v>
      </c>
      <c r="AS63" s="17" t="str">
        <f t="shared" si="11"/>
        <v/>
      </c>
      <c r="AT63" s="17">
        <f t="array" ref="AT63">IFERROR(INDEX($AQ$231:$AQ$491,SMALL(IF(("Q"=$AP$231:$AP$491),MATCH(ROW($AP$231:$AP$491),ROW($AP$231:$AP$491)),""),ROWS($A$1:A44))),0)</f>
        <v>0</v>
      </c>
      <c r="AU63" s="17" t="str">
        <f t="shared" si="12"/>
        <v/>
      </c>
      <c r="BD63" s="17">
        <v>44</v>
      </c>
      <c r="BE63" s="17" t="str">
        <f t="shared" si="13"/>
        <v/>
      </c>
      <c r="BF63" s="17">
        <f t="array" ref="BF63">IFERROR(INDEX($BC$231:$BC$491,SMALL(IF(("Q"=$BB$231:$BB$491),MATCH(ROW($BB$231:$BB$491),ROW($BB$231:$BB$491)),""),ROWS($A$1:A44))),0)</f>
        <v>0</v>
      </c>
      <c r="BG63" s="17" t="str">
        <f t="shared" si="8"/>
        <v/>
      </c>
    </row>
    <row r="64" spans="3:59">
      <c r="C64" s="17">
        <v>45</v>
      </c>
      <c r="D64" s="17" t="str">
        <f t="shared" si="9"/>
        <v/>
      </c>
      <c r="E64" s="17">
        <f t="array" ref="E64">IFERROR(INDEX($B$231:$B$491,SMALL(IF(("Q"=$A$231:$A$491),MATCH(ROW($A$231:$A$491),ROW($A$231:$A$491)),""),ROWS($A$1:A45))),0)</f>
        <v>0</v>
      </c>
      <c r="F64" s="17" t="str">
        <f t="shared" si="3"/>
        <v/>
      </c>
      <c r="Q64" s="17">
        <v>45</v>
      </c>
      <c r="R64" s="17" t="str">
        <f t="shared" si="4"/>
        <v/>
      </c>
      <c r="S64" s="17">
        <f t="array" ref="S64">IFERROR(INDEX($P$231:$P$491,SMALL(IF(("Q"=$O$231:$O$491),MATCH(ROW($O$231:$O$491),ROW($O$231:$O$491)),""),ROWS($A$1:A45))),0)</f>
        <v>0</v>
      </c>
      <c r="T64" s="17" t="str">
        <f t="shared" si="5"/>
        <v/>
      </c>
      <c r="AD64" s="17">
        <v>45</v>
      </c>
      <c r="AE64" s="17" t="str">
        <f t="shared" si="10"/>
        <v/>
      </c>
      <c r="AF64" s="17">
        <f t="array" ref="AF64">IFERROR(INDEX($AC$231:$AC$491,SMALL(IF(("Q"=$AB$231:$AB$491),MATCH(ROW($AB$231:$AB$491),ROW($AB$231:$AB$491)),""),ROWS($A$1:A45))),0)</f>
        <v>0</v>
      </c>
      <c r="AG64" s="17" t="str">
        <f t="shared" si="6"/>
        <v/>
      </c>
      <c r="AR64" s="17">
        <v>45</v>
      </c>
      <c r="AS64" s="17" t="str">
        <f t="shared" si="11"/>
        <v/>
      </c>
      <c r="AT64" s="17">
        <f t="array" ref="AT64">IFERROR(INDEX($AQ$231:$AQ$491,SMALL(IF(("Q"=$AP$231:$AP$491),MATCH(ROW($AP$231:$AP$491),ROW($AP$231:$AP$491)),""),ROWS($A$1:A45))),0)</f>
        <v>0</v>
      </c>
      <c r="AU64" s="17" t="str">
        <f t="shared" si="12"/>
        <v/>
      </c>
      <c r="BD64" s="17">
        <v>45</v>
      </c>
      <c r="BE64" s="17" t="str">
        <f t="shared" si="13"/>
        <v/>
      </c>
      <c r="BF64" s="17">
        <f t="array" ref="BF64">IFERROR(INDEX($BC$231:$BC$491,SMALL(IF(("Q"=$BB$231:$BB$491),MATCH(ROW($BB$231:$BB$491),ROW($BB$231:$BB$491)),""),ROWS($A$1:A45))),0)</f>
        <v>0</v>
      </c>
      <c r="BG64" s="17" t="str">
        <f t="shared" si="8"/>
        <v/>
      </c>
    </row>
    <row r="65" spans="3:59">
      <c r="C65" s="17">
        <v>46</v>
      </c>
      <c r="D65" s="17" t="str">
        <f t="shared" si="9"/>
        <v/>
      </c>
      <c r="E65" s="17">
        <f t="array" ref="E65">IFERROR(INDEX($B$231:$B$491,SMALL(IF(("Q"=$A$231:$A$491),MATCH(ROW($A$231:$A$491),ROW($A$231:$A$491)),""),ROWS($A$1:A46))),0)</f>
        <v>0</v>
      </c>
      <c r="F65" s="17" t="str">
        <f t="shared" si="3"/>
        <v/>
      </c>
      <c r="Q65" s="17">
        <v>46</v>
      </c>
      <c r="R65" s="17" t="str">
        <f t="shared" si="4"/>
        <v/>
      </c>
      <c r="S65" s="17">
        <f t="array" ref="S65">IFERROR(INDEX($P$231:$P$491,SMALL(IF(("Q"=$O$231:$O$491),MATCH(ROW($O$231:$O$491),ROW($O$231:$O$491)),""),ROWS($A$1:A46))),0)</f>
        <v>0</v>
      </c>
      <c r="T65" s="17" t="str">
        <f t="shared" si="5"/>
        <v/>
      </c>
      <c r="AD65" s="17">
        <v>46</v>
      </c>
      <c r="AE65" s="17" t="str">
        <f t="shared" si="10"/>
        <v/>
      </c>
      <c r="AF65" s="17">
        <f t="array" ref="AF65">IFERROR(INDEX($AC$231:$AC$491,SMALL(IF(("Q"=$AB$231:$AB$491),MATCH(ROW($AB$231:$AB$491),ROW($AB$231:$AB$491)),""),ROWS($A$1:A46))),0)</f>
        <v>0</v>
      </c>
      <c r="AG65" s="17" t="str">
        <f t="shared" si="6"/>
        <v/>
      </c>
      <c r="AR65" s="17">
        <v>46</v>
      </c>
      <c r="AS65" s="17" t="str">
        <f t="shared" si="11"/>
        <v/>
      </c>
      <c r="AT65" s="17">
        <f t="array" ref="AT65">IFERROR(INDEX($AQ$231:$AQ$491,SMALL(IF(("Q"=$AP$231:$AP$491),MATCH(ROW($AP$231:$AP$491),ROW($AP$231:$AP$491)),""),ROWS($A$1:A46))),0)</f>
        <v>0</v>
      </c>
      <c r="AU65" s="17" t="str">
        <f t="shared" si="12"/>
        <v/>
      </c>
      <c r="BD65" s="17">
        <v>46</v>
      </c>
      <c r="BE65" s="17" t="str">
        <f t="shared" si="13"/>
        <v/>
      </c>
      <c r="BF65" s="17">
        <f t="array" ref="BF65">IFERROR(INDEX($BC$231:$BC$491,SMALL(IF(("Q"=$BB$231:$BB$491),MATCH(ROW($BB$231:$BB$491),ROW($BB$231:$BB$491)),""),ROWS($A$1:A46))),0)</f>
        <v>0</v>
      </c>
      <c r="BG65" s="17" t="str">
        <f t="shared" si="8"/>
        <v/>
      </c>
    </row>
    <row r="66" spans="3:59">
      <c r="C66" s="17">
        <v>47</v>
      </c>
      <c r="D66" s="17" t="str">
        <f t="shared" si="9"/>
        <v/>
      </c>
      <c r="E66" s="17">
        <f t="array" ref="E66">IFERROR(INDEX($B$231:$B$491,SMALL(IF(("Q"=$A$231:$A$491),MATCH(ROW($A$231:$A$491),ROW($A$231:$A$491)),""),ROWS($A$1:A47))),0)</f>
        <v>0</v>
      </c>
      <c r="F66" s="17" t="str">
        <f t="shared" si="3"/>
        <v/>
      </c>
      <c r="Q66" s="17">
        <v>47</v>
      </c>
      <c r="R66" s="17" t="str">
        <f t="shared" si="4"/>
        <v/>
      </c>
      <c r="S66" s="17">
        <f t="array" ref="S66">IFERROR(INDEX($P$231:$P$491,SMALL(IF(("Q"=$O$231:$O$491),MATCH(ROW($O$231:$O$491),ROW($O$231:$O$491)),""),ROWS($A$1:A47))),0)</f>
        <v>0</v>
      </c>
      <c r="T66" s="17" t="str">
        <f t="shared" si="5"/>
        <v/>
      </c>
      <c r="AD66" s="17">
        <v>47</v>
      </c>
      <c r="AE66" s="17" t="str">
        <f t="shared" si="10"/>
        <v/>
      </c>
      <c r="AF66" s="17">
        <f t="array" ref="AF66">IFERROR(INDEX($AC$231:$AC$491,SMALL(IF(("Q"=$AB$231:$AB$491),MATCH(ROW($AB$231:$AB$491),ROW($AB$231:$AB$491)),""),ROWS($A$1:A47))),0)</f>
        <v>0</v>
      </c>
      <c r="AG66" s="17" t="str">
        <f t="shared" si="6"/>
        <v/>
      </c>
      <c r="AR66" s="17">
        <v>47</v>
      </c>
      <c r="AS66" s="17" t="str">
        <f t="shared" si="11"/>
        <v/>
      </c>
      <c r="AT66" s="17">
        <f t="array" ref="AT66">IFERROR(INDEX($AQ$231:$AQ$491,SMALL(IF(("Q"=$AP$231:$AP$491),MATCH(ROW($AP$231:$AP$491),ROW($AP$231:$AP$491)),""),ROWS($A$1:A47))),0)</f>
        <v>0</v>
      </c>
      <c r="AU66" s="17" t="str">
        <f t="shared" si="12"/>
        <v/>
      </c>
      <c r="BD66" s="17">
        <v>47</v>
      </c>
      <c r="BE66" s="17" t="str">
        <f t="shared" si="13"/>
        <v/>
      </c>
      <c r="BF66" s="17">
        <f t="array" ref="BF66">IFERROR(INDEX($BC$231:$BC$491,SMALL(IF(("Q"=$BB$231:$BB$491),MATCH(ROW($BB$231:$BB$491),ROW($BB$231:$BB$491)),""),ROWS($A$1:A47))),0)</f>
        <v>0</v>
      </c>
      <c r="BG66" s="17" t="str">
        <f t="shared" si="8"/>
        <v/>
      </c>
    </row>
    <row r="67" spans="3:59">
      <c r="C67" s="17">
        <v>48</v>
      </c>
      <c r="D67" s="17" t="str">
        <f t="shared" si="9"/>
        <v/>
      </c>
      <c r="E67" s="17">
        <f t="array" ref="E67">IFERROR(INDEX($B$231:$B$491,SMALL(IF(("Q"=$A$231:$A$491),MATCH(ROW($A$231:$A$491),ROW($A$231:$A$491)),""),ROWS($A$1:A48))),0)</f>
        <v>0</v>
      </c>
      <c r="F67" s="17" t="str">
        <f t="shared" si="3"/>
        <v/>
      </c>
      <c r="Q67" s="17">
        <v>48</v>
      </c>
      <c r="R67" s="17" t="str">
        <f t="shared" si="4"/>
        <v/>
      </c>
      <c r="S67" s="17">
        <f t="array" ref="S67">IFERROR(INDEX($P$231:$P$491,SMALL(IF(("Q"=$O$231:$O$491),MATCH(ROW($O$231:$O$491),ROW($O$231:$O$491)),""),ROWS($A$1:A48))),0)</f>
        <v>0</v>
      </c>
      <c r="T67" s="17" t="str">
        <f t="shared" si="5"/>
        <v/>
      </c>
      <c r="AD67" s="17">
        <v>48</v>
      </c>
      <c r="AE67" s="17" t="str">
        <f t="shared" si="10"/>
        <v/>
      </c>
      <c r="AF67" s="17">
        <f t="array" ref="AF67">IFERROR(INDEX($AC$231:$AC$491,SMALL(IF(("Q"=$AB$231:$AB$491),MATCH(ROW($AB$231:$AB$491),ROW($AB$231:$AB$491)),""),ROWS($A$1:A48))),0)</f>
        <v>0</v>
      </c>
      <c r="AG67" s="17" t="str">
        <f t="shared" si="6"/>
        <v/>
      </c>
      <c r="AR67" s="17">
        <v>48</v>
      </c>
      <c r="AS67" s="17" t="str">
        <f t="shared" si="11"/>
        <v/>
      </c>
      <c r="AT67" s="17">
        <f t="array" ref="AT67">IFERROR(INDEX($AQ$231:$AQ$491,SMALL(IF(("Q"=$AP$231:$AP$491),MATCH(ROW($AP$231:$AP$491),ROW($AP$231:$AP$491)),""),ROWS($A$1:A48))),0)</f>
        <v>0</v>
      </c>
      <c r="AU67" s="17" t="str">
        <f t="shared" si="12"/>
        <v/>
      </c>
      <c r="BD67" s="17">
        <v>48</v>
      </c>
      <c r="BE67" s="17" t="str">
        <f t="shared" si="13"/>
        <v/>
      </c>
      <c r="BF67" s="17">
        <f t="array" ref="BF67">IFERROR(INDEX($BC$231:$BC$491,SMALL(IF(("Q"=$BB$231:$BB$491),MATCH(ROW($BB$231:$BB$491),ROW($BB$231:$BB$491)),""),ROWS($A$1:A48))),0)</f>
        <v>0</v>
      </c>
      <c r="BG67" s="17" t="str">
        <f t="shared" si="8"/>
        <v/>
      </c>
    </row>
    <row r="68" spans="3:59">
      <c r="C68" s="17">
        <v>49</v>
      </c>
      <c r="D68" s="17" t="str">
        <f t="shared" si="9"/>
        <v/>
      </c>
      <c r="E68" s="17">
        <f t="array" ref="E68">IFERROR(INDEX($B$231:$B$491,SMALL(IF(("Q"=$A$231:$A$491),MATCH(ROW($A$231:$A$491),ROW($A$231:$A$491)),""),ROWS($A$1:A49))),0)</f>
        <v>0</v>
      </c>
      <c r="F68" s="17" t="str">
        <f t="shared" si="3"/>
        <v/>
      </c>
      <c r="Q68" s="17">
        <v>49</v>
      </c>
      <c r="R68" s="17" t="str">
        <f t="shared" si="4"/>
        <v/>
      </c>
      <c r="S68" s="17">
        <f t="array" ref="S68">IFERROR(INDEX($P$231:$P$491,SMALL(IF(("Q"=$O$231:$O$491),MATCH(ROW($O$231:$O$491),ROW($O$231:$O$491)),""),ROWS($A$1:A49))),0)</f>
        <v>0</v>
      </c>
      <c r="T68" s="17" t="str">
        <f t="shared" si="5"/>
        <v/>
      </c>
      <c r="AD68" s="17">
        <v>49</v>
      </c>
      <c r="AE68" s="17" t="str">
        <f t="shared" si="10"/>
        <v/>
      </c>
      <c r="AF68" s="17">
        <f t="array" ref="AF68">IFERROR(INDEX($AC$231:$AC$491,SMALL(IF(("Q"=$AB$231:$AB$491),MATCH(ROW($AB$231:$AB$491),ROW($AB$231:$AB$491)),""),ROWS($A$1:A49))),0)</f>
        <v>0</v>
      </c>
      <c r="AG68" s="17" t="str">
        <f t="shared" si="6"/>
        <v/>
      </c>
      <c r="AR68" s="17">
        <v>49</v>
      </c>
      <c r="AS68" s="17" t="str">
        <f t="shared" si="11"/>
        <v/>
      </c>
      <c r="AT68" s="17">
        <f t="array" ref="AT68">IFERROR(INDEX($AQ$231:$AQ$491,SMALL(IF(("Q"=$AP$231:$AP$491),MATCH(ROW($AP$231:$AP$491),ROW($AP$231:$AP$491)),""),ROWS($A$1:A49))),0)</f>
        <v>0</v>
      </c>
      <c r="AU68" s="17" t="str">
        <f t="shared" si="12"/>
        <v/>
      </c>
      <c r="BD68" s="17">
        <v>49</v>
      </c>
      <c r="BE68" s="17" t="str">
        <f t="shared" si="13"/>
        <v/>
      </c>
      <c r="BF68" s="17">
        <f t="array" ref="BF68">IFERROR(INDEX($BC$231:$BC$491,SMALL(IF(("Q"=$BB$231:$BB$491),MATCH(ROW($BB$231:$BB$491),ROW($BB$231:$BB$491)),""),ROWS($A$1:A49))),0)</f>
        <v>0</v>
      </c>
      <c r="BG68" s="17" t="str">
        <f t="shared" si="8"/>
        <v/>
      </c>
    </row>
    <row r="69" spans="3:59">
      <c r="C69" s="17">
        <v>50</v>
      </c>
      <c r="D69" s="17" t="str">
        <f t="shared" si="9"/>
        <v/>
      </c>
      <c r="E69" s="17">
        <f t="array" ref="E69">IFERROR(INDEX($B$231:$B$491,SMALL(IF(("Q"=$A$231:$A$491),MATCH(ROW($A$231:$A$491),ROW($A$231:$A$491)),""),ROWS($A$1:A50))),0)</f>
        <v>0</v>
      </c>
      <c r="F69" s="17" t="str">
        <f t="shared" si="3"/>
        <v/>
      </c>
      <c r="Q69" s="17">
        <v>50</v>
      </c>
      <c r="R69" s="17" t="str">
        <f t="shared" si="4"/>
        <v/>
      </c>
      <c r="S69" s="17">
        <f t="array" ref="S69">IFERROR(INDEX($P$231:$P$491,SMALL(IF(("Q"=$O$231:$O$491),MATCH(ROW($O$231:$O$491),ROW($O$231:$O$491)),""),ROWS($A$1:A50))),0)</f>
        <v>0</v>
      </c>
      <c r="T69" s="17" t="str">
        <f t="shared" si="5"/>
        <v/>
      </c>
      <c r="AD69" s="17">
        <v>50</v>
      </c>
      <c r="AE69" s="17" t="str">
        <f t="shared" si="10"/>
        <v/>
      </c>
      <c r="AF69" s="17">
        <f t="array" ref="AF69">IFERROR(INDEX($AC$231:$AC$491,SMALL(IF(("Q"=$AB$231:$AB$491),MATCH(ROW($AB$231:$AB$491),ROW($AB$231:$AB$491)),""),ROWS($A$1:A50))),0)</f>
        <v>0</v>
      </c>
      <c r="AG69" s="17" t="str">
        <f t="shared" si="6"/>
        <v/>
      </c>
      <c r="AR69" s="17">
        <v>50</v>
      </c>
      <c r="AS69" s="17" t="str">
        <f t="shared" si="11"/>
        <v/>
      </c>
      <c r="AT69" s="17">
        <f t="array" ref="AT69">IFERROR(INDEX($AQ$231:$AQ$491,SMALL(IF(("Q"=$AP$231:$AP$491),MATCH(ROW($AP$231:$AP$491),ROW($AP$231:$AP$491)),""),ROWS($A$1:A50))),0)</f>
        <v>0</v>
      </c>
      <c r="AU69" s="17" t="str">
        <f t="shared" si="12"/>
        <v/>
      </c>
      <c r="BD69" s="17">
        <v>50</v>
      </c>
      <c r="BE69" s="17" t="str">
        <f t="shared" si="13"/>
        <v/>
      </c>
      <c r="BF69" s="17">
        <f t="array" ref="BF69">IFERROR(INDEX($BC$231:$BC$491,SMALL(IF(("Q"=$BB$231:$BB$491),MATCH(ROW($BB$231:$BB$491),ROW($BB$231:$BB$491)),""),ROWS($A$1:A50))),0)</f>
        <v>0</v>
      </c>
      <c r="BG69" s="17" t="str">
        <f t="shared" si="8"/>
        <v/>
      </c>
    </row>
    <row r="70" spans="3:59">
      <c r="C70" s="17">
        <v>51</v>
      </c>
      <c r="D70" s="17" t="str">
        <f t="shared" si="9"/>
        <v/>
      </c>
      <c r="E70" s="17">
        <f t="array" ref="E70">IFERROR(INDEX($B$231:$B$491,SMALL(IF(("Q"=$A$231:$A$491),MATCH(ROW($A$231:$A$491),ROW($A$231:$A$491)),""),ROWS($A$1:A51))),0)</f>
        <v>0</v>
      </c>
      <c r="F70" s="17" t="str">
        <f t="shared" si="3"/>
        <v/>
      </c>
      <c r="Q70" s="17">
        <v>51</v>
      </c>
      <c r="R70" s="17" t="str">
        <f t="shared" si="4"/>
        <v/>
      </c>
      <c r="S70" s="17">
        <f t="array" ref="S70">IFERROR(INDEX($P$231:$P$491,SMALL(IF(("Q"=$O$231:$O$491),MATCH(ROW($O$231:$O$491),ROW($O$231:$O$491)),""),ROWS($A$1:A51))),0)</f>
        <v>0</v>
      </c>
      <c r="T70" s="17" t="str">
        <f t="shared" si="5"/>
        <v/>
      </c>
      <c r="AD70" s="17">
        <v>51</v>
      </c>
      <c r="AE70" s="17" t="str">
        <f t="shared" si="10"/>
        <v/>
      </c>
      <c r="AF70" s="17">
        <f t="array" ref="AF70">IFERROR(INDEX($AC$231:$AC$491,SMALL(IF(("Q"=$AB$231:$AB$491),MATCH(ROW($AB$231:$AB$491),ROW($AB$231:$AB$491)),""),ROWS($A$1:A51))),0)</f>
        <v>0</v>
      </c>
      <c r="AG70" s="17" t="str">
        <f t="shared" si="6"/>
        <v/>
      </c>
      <c r="AR70" s="17">
        <v>51</v>
      </c>
      <c r="AS70" s="17" t="str">
        <f t="shared" si="11"/>
        <v/>
      </c>
      <c r="AT70" s="17">
        <f t="array" ref="AT70">IFERROR(INDEX($AQ$231:$AQ$491,SMALL(IF(("Q"=$AP$231:$AP$491),MATCH(ROW($AP$231:$AP$491),ROW($AP$231:$AP$491)),""),ROWS($A$1:A51))),0)</f>
        <v>0</v>
      </c>
      <c r="AU70" s="17" t="str">
        <f t="shared" si="12"/>
        <v/>
      </c>
      <c r="BD70" s="17">
        <v>51</v>
      </c>
      <c r="BE70" s="17" t="str">
        <f t="shared" si="13"/>
        <v/>
      </c>
      <c r="BF70" s="17">
        <f t="array" ref="BF70">IFERROR(INDEX($BC$231:$BC$491,SMALL(IF(("Q"=$BB$231:$BB$491),MATCH(ROW($BB$231:$BB$491),ROW($BB$231:$BB$491)),""),ROWS($A$1:A51))),0)</f>
        <v>0</v>
      </c>
      <c r="BG70" s="17" t="str">
        <f t="shared" si="8"/>
        <v/>
      </c>
    </row>
    <row r="71" spans="3:59">
      <c r="C71" s="17">
        <v>52</v>
      </c>
      <c r="D71" s="17" t="str">
        <f t="shared" si="9"/>
        <v/>
      </c>
      <c r="E71" s="17">
        <f t="array" ref="E71">IFERROR(INDEX($B$231:$B$491,SMALL(IF(("Q"=$A$231:$A$491),MATCH(ROW($A$231:$A$491),ROW($A$231:$A$491)),""),ROWS($A$1:A52))),0)</f>
        <v>0</v>
      </c>
      <c r="F71" s="17" t="str">
        <f t="shared" si="3"/>
        <v/>
      </c>
      <c r="Q71" s="17">
        <v>52</v>
      </c>
      <c r="R71" s="17" t="str">
        <f t="shared" si="4"/>
        <v/>
      </c>
      <c r="S71" s="17">
        <f t="array" ref="S71">IFERROR(INDEX($P$231:$P$491,SMALL(IF(("Q"=$O$231:$O$491),MATCH(ROW($O$231:$O$491),ROW($O$231:$O$491)),""),ROWS($A$1:A52))),0)</f>
        <v>0</v>
      </c>
      <c r="T71" s="17" t="str">
        <f t="shared" si="5"/>
        <v/>
      </c>
      <c r="AD71" s="17">
        <v>52</v>
      </c>
      <c r="AE71" s="17" t="str">
        <f t="shared" si="10"/>
        <v/>
      </c>
      <c r="AF71" s="17">
        <f t="array" ref="AF71">IFERROR(INDEX($AC$231:$AC$491,SMALL(IF(("Q"=$AB$231:$AB$491),MATCH(ROW($AB$231:$AB$491),ROW($AB$231:$AB$491)),""),ROWS($A$1:A52))),0)</f>
        <v>0</v>
      </c>
      <c r="AG71" s="17" t="str">
        <f t="shared" si="6"/>
        <v/>
      </c>
      <c r="AR71" s="17">
        <v>52</v>
      </c>
      <c r="AS71" s="17" t="str">
        <f t="shared" si="11"/>
        <v/>
      </c>
      <c r="AT71" s="17">
        <f t="array" ref="AT71">IFERROR(INDEX($AQ$231:$AQ$491,SMALL(IF(("Q"=$AP$231:$AP$491),MATCH(ROW($AP$231:$AP$491),ROW($AP$231:$AP$491)),""),ROWS($A$1:A52))),0)</f>
        <v>0</v>
      </c>
      <c r="AU71" s="17" t="str">
        <f t="shared" si="12"/>
        <v/>
      </c>
      <c r="BD71" s="17">
        <v>52</v>
      </c>
      <c r="BE71" s="17" t="str">
        <f t="shared" si="13"/>
        <v/>
      </c>
      <c r="BF71" s="17">
        <f t="array" ref="BF71">IFERROR(INDEX($BC$231:$BC$491,SMALL(IF(("Q"=$BB$231:$BB$491),MATCH(ROW($BB$231:$BB$491),ROW($BB$231:$BB$491)),""),ROWS($A$1:A52))),0)</f>
        <v>0</v>
      </c>
      <c r="BG71" s="17" t="str">
        <f t="shared" si="8"/>
        <v/>
      </c>
    </row>
    <row r="72" spans="3:59">
      <c r="C72" s="17">
        <v>53</v>
      </c>
      <c r="D72" s="17" t="str">
        <f t="shared" si="9"/>
        <v/>
      </c>
      <c r="E72" s="17">
        <f t="array" ref="E72">IFERROR(INDEX($B$231:$B$491,SMALL(IF(("Q"=$A$231:$A$491),MATCH(ROW($A$231:$A$491),ROW($A$231:$A$491)),""),ROWS($A$1:A53))),0)</f>
        <v>0</v>
      </c>
      <c r="F72" s="17" t="str">
        <f t="shared" si="3"/>
        <v/>
      </c>
      <c r="Q72" s="17">
        <v>53</v>
      </c>
      <c r="R72" s="17" t="str">
        <f t="shared" si="4"/>
        <v/>
      </c>
      <c r="S72" s="17">
        <f t="array" ref="S72">IFERROR(INDEX($P$231:$P$491,SMALL(IF(("Q"=$O$231:$O$491),MATCH(ROW($O$231:$O$491),ROW($O$231:$O$491)),""),ROWS($A$1:A53))),0)</f>
        <v>0</v>
      </c>
      <c r="T72" s="17" t="str">
        <f t="shared" si="5"/>
        <v/>
      </c>
      <c r="AD72" s="17">
        <v>53</v>
      </c>
      <c r="AE72" s="17" t="str">
        <f t="shared" si="10"/>
        <v/>
      </c>
      <c r="AF72" s="17">
        <f t="array" ref="AF72">IFERROR(INDEX($AC$231:$AC$491,SMALL(IF(("Q"=$AB$231:$AB$491),MATCH(ROW($AB$231:$AB$491),ROW($AB$231:$AB$491)),""),ROWS($A$1:A53))),0)</f>
        <v>0</v>
      </c>
      <c r="AG72" s="17" t="str">
        <f t="shared" si="6"/>
        <v/>
      </c>
      <c r="AR72" s="17">
        <v>53</v>
      </c>
      <c r="AS72" s="17" t="str">
        <f t="shared" si="11"/>
        <v/>
      </c>
      <c r="AT72" s="17">
        <f t="array" ref="AT72">IFERROR(INDEX($AQ$231:$AQ$491,SMALL(IF(("Q"=$AP$231:$AP$491),MATCH(ROW($AP$231:$AP$491),ROW($AP$231:$AP$491)),""),ROWS($A$1:A53))),0)</f>
        <v>0</v>
      </c>
      <c r="AU72" s="17" t="str">
        <f t="shared" si="12"/>
        <v/>
      </c>
      <c r="BD72" s="17">
        <v>53</v>
      </c>
      <c r="BE72" s="17" t="str">
        <f t="shared" si="13"/>
        <v/>
      </c>
      <c r="BF72" s="17">
        <f t="array" ref="BF72">IFERROR(INDEX($BC$231:$BC$491,SMALL(IF(("Q"=$BB$231:$BB$491),MATCH(ROW($BB$231:$BB$491),ROW($BB$231:$BB$491)),""),ROWS($A$1:A53))),0)</f>
        <v>0</v>
      </c>
      <c r="BG72" s="17" t="str">
        <f t="shared" si="8"/>
        <v/>
      </c>
    </row>
    <row r="73" spans="3:59">
      <c r="C73" s="17">
        <v>54</v>
      </c>
      <c r="D73" s="17" t="str">
        <f t="shared" si="9"/>
        <v/>
      </c>
      <c r="E73" s="17">
        <f t="array" ref="E73">IFERROR(INDEX($B$231:$B$491,SMALL(IF(("Q"=$A$231:$A$491),MATCH(ROW($A$231:$A$491),ROW($A$231:$A$491)),""),ROWS($A$1:A54))),0)</f>
        <v>0</v>
      </c>
      <c r="F73" s="17" t="str">
        <f t="shared" si="3"/>
        <v/>
      </c>
      <c r="Q73" s="17">
        <v>54</v>
      </c>
      <c r="R73" s="17" t="str">
        <f t="shared" si="4"/>
        <v/>
      </c>
      <c r="S73" s="17">
        <f t="array" ref="S73">IFERROR(INDEX($P$231:$P$491,SMALL(IF(("Q"=$O$231:$O$491),MATCH(ROW($O$231:$O$491),ROW($O$231:$O$491)),""),ROWS($A$1:A54))),0)</f>
        <v>0</v>
      </c>
      <c r="T73" s="17" t="str">
        <f t="shared" si="5"/>
        <v/>
      </c>
      <c r="AD73" s="17">
        <v>54</v>
      </c>
      <c r="AE73" s="17" t="str">
        <f t="shared" si="10"/>
        <v/>
      </c>
      <c r="AF73" s="17">
        <f t="array" ref="AF73">IFERROR(INDEX($AC$231:$AC$491,SMALL(IF(("Q"=$AB$231:$AB$491),MATCH(ROW($AB$231:$AB$491),ROW($AB$231:$AB$491)),""),ROWS($A$1:A54))),0)</f>
        <v>0</v>
      </c>
      <c r="AG73" s="17" t="str">
        <f t="shared" si="6"/>
        <v/>
      </c>
      <c r="AR73" s="17">
        <v>54</v>
      </c>
      <c r="AS73" s="17" t="str">
        <f t="shared" si="11"/>
        <v/>
      </c>
      <c r="AT73" s="17">
        <f t="array" ref="AT73">IFERROR(INDEX($AQ$231:$AQ$491,SMALL(IF(("Q"=$AP$231:$AP$491),MATCH(ROW($AP$231:$AP$491),ROW($AP$231:$AP$491)),""),ROWS($A$1:A54))),0)</f>
        <v>0</v>
      </c>
      <c r="AU73" s="17" t="str">
        <f t="shared" si="12"/>
        <v/>
      </c>
      <c r="BD73" s="17">
        <v>54</v>
      </c>
      <c r="BE73" s="17" t="str">
        <f t="shared" si="13"/>
        <v/>
      </c>
      <c r="BF73" s="17">
        <f t="array" ref="BF73">IFERROR(INDEX($BC$231:$BC$491,SMALL(IF(("Q"=$BB$231:$BB$491),MATCH(ROW($BB$231:$BB$491),ROW($BB$231:$BB$491)),""),ROWS($A$1:A54))),0)</f>
        <v>0</v>
      </c>
      <c r="BG73" s="17" t="str">
        <f t="shared" si="8"/>
        <v/>
      </c>
    </row>
    <row r="74" spans="3:59">
      <c r="C74" s="17">
        <v>55</v>
      </c>
      <c r="D74" s="17" t="str">
        <f t="shared" si="9"/>
        <v/>
      </c>
      <c r="E74" s="17">
        <f t="array" ref="E74">IFERROR(INDEX($B$231:$B$491,SMALL(IF(("Q"=$A$231:$A$491),MATCH(ROW($A$231:$A$491),ROW($A$231:$A$491)),""),ROWS($A$1:A55))),0)</f>
        <v>0</v>
      </c>
      <c r="F74" s="17" t="str">
        <f t="shared" si="3"/>
        <v/>
      </c>
      <c r="Q74" s="17">
        <v>55</v>
      </c>
      <c r="R74" s="17" t="str">
        <f t="shared" si="4"/>
        <v/>
      </c>
      <c r="S74" s="17">
        <f t="array" ref="S74">IFERROR(INDEX($P$231:$P$491,SMALL(IF(("Q"=$O$231:$O$491),MATCH(ROW($O$231:$O$491),ROW($O$231:$O$491)),""),ROWS($A$1:A55))),0)</f>
        <v>0</v>
      </c>
      <c r="T74" s="17" t="str">
        <f t="shared" si="5"/>
        <v/>
      </c>
      <c r="AD74" s="17">
        <v>55</v>
      </c>
      <c r="AE74" s="17" t="str">
        <f t="shared" si="10"/>
        <v/>
      </c>
      <c r="AF74" s="17">
        <f t="array" ref="AF74">IFERROR(INDEX($AC$231:$AC$491,SMALL(IF(("Q"=$AB$231:$AB$491),MATCH(ROW($AB$231:$AB$491),ROW($AB$231:$AB$491)),""),ROWS($A$1:A55))),0)</f>
        <v>0</v>
      </c>
      <c r="AG74" s="17" t="str">
        <f t="shared" si="6"/>
        <v/>
      </c>
      <c r="AR74" s="17">
        <v>55</v>
      </c>
      <c r="AS74" s="17" t="str">
        <f t="shared" si="11"/>
        <v/>
      </c>
      <c r="AT74" s="17">
        <f t="array" ref="AT74">IFERROR(INDEX($AQ$231:$AQ$491,SMALL(IF(("Q"=$AP$231:$AP$491),MATCH(ROW($AP$231:$AP$491),ROW($AP$231:$AP$491)),""),ROWS($A$1:A55))),0)</f>
        <v>0</v>
      </c>
      <c r="AU74" s="17" t="str">
        <f t="shared" si="12"/>
        <v/>
      </c>
      <c r="BD74" s="17">
        <v>55</v>
      </c>
      <c r="BE74" s="17" t="str">
        <f t="shared" si="13"/>
        <v/>
      </c>
      <c r="BF74" s="17">
        <f t="array" ref="BF74">IFERROR(INDEX($BC$231:$BC$491,SMALL(IF(("Q"=$BB$231:$BB$491),MATCH(ROW($BB$231:$BB$491),ROW($BB$231:$BB$491)),""),ROWS($A$1:A55))),0)</f>
        <v>0</v>
      </c>
      <c r="BG74" s="17" t="str">
        <f t="shared" si="8"/>
        <v/>
      </c>
    </row>
    <row r="75" spans="3:59">
      <c r="C75" s="17">
        <v>56</v>
      </c>
      <c r="D75" s="17" t="str">
        <f t="shared" si="9"/>
        <v/>
      </c>
      <c r="E75" s="17">
        <f t="array" ref="E75">IFERROR(INDEX($B$231:$B$491,SMALL(IF(("Q"=$A$231:$A$491),MATCH(ROW($A$231:$A$491),ROW($A$231:$A$491)),""),ROWS($A$1:A56))),0)</f>
        <v>0</v>
      </c>
      <c r="F75" s="17" t="str">
        <f t="shared" si="3"/>
        <v/>
      </c>
      <c r="Q75" s="17">
        <v>56</v>
      </c>
      <c r="R75" s="17" t="str">
        <f t="shared" si="4"/>
        <v/>
      </c>
      <c r="S75" s="17">
        <f t="array" ref="S75">IFERROR(INDEX($P$231:$P$491,SMALL(IF(("Q"=$O$231:$O$491),MATCH(ROW($O$231:$O$491),ROW($O$231:$O$491)),""),ROWS($A$1:A56))),0)</f>
        <v>0</v>
      </c>
      <c r="T75" s="17" t="str">
        <f t="shared" si="5"/>
        <v/>
      </c>
      <c r="AD75" s="17">
        <v>56</v>
      </c>
      <c r="AE75" s="17" t="str">
        <f t="shared" si="10"/>
        <v/>
      </c>
      <c r="AF75" s="17">
        <f t="array" ref="AF75">IFERROR(INDEX($AC$231:$AC$491,SMALL(IF(("Q"=$AB$231:$AB$491),MATCH(ROW($AB$231:$AB$491),ROW($AB$231:$AB$491)),""),ROWS($A$1:A56))),0)</f>
        <v>0</v>
      </c>
      <c r="AG75" s="17" t="str">
        <f t="shared" si="6"/>
        <v/>
      </c>
      <c r="AR75" s="17">
        <v>56</v>
      </c>
      <c r="AS75" s="17" t="str">
        <f t="shared" si="11"/>
        <v/>
      </c>
      <c r="AT75" s="17">
        <f t="array" ref="AT75">IFERROR(INDEX($AQ$231:$AQ$491,SMALL(IF(("Q"=$AP$231:$AP$491),MATCH(ROW($AP$231:$AP$491),ROW($AP$231:$AP$491)),""),ROWS($A$1:A56))),0)</f>
        <v>0</v>
      </c>
      <c r="AU75" s="17" t="str">
        <f t="shared" si="12"/>
        <v/>
      </c>
      <c r="BD75" s="17">
        <v>56</v>
      </c>
      <c r="BE75" s="17" t="str">
        <f t="shared" si="13"/>
        <v/>
      </c>
      <c r="BF75" s="17">
        <f t="array" ref="BF75">IFERROR(INDEX($BC$231:$BC$491,SMALL(IF(("Q"=$BB$231:$BB$491),MATCH(ROW($BB$231:$BB$491),ROW($BB$231:$BB$491)),""),ROWS($A$1:A56))),0)</f>
        <v>0</v>
      </c>
      <c r="BG75" s="17" t="str">
        <f t="shared" si="8"/>
        <v/>
      </c>
    </row>
    <row r="76" spans="3:59">
      <c r="C76" s="17">
        <v>57</v>
      </c>
      <c r="D76" s="17" t="str">
        <f t="shared" si="9"/>
        <v/>
      </c>
      <c r="E76" s="17">
        <f t="array" ref="E76">IFERROR(INDEX($B$231:$B$491,SMALL(IF(("Q"=$A$231:$A$491),MATCH(ROW($A$231:$A$491),ROW($A$231:$A$491)),""),ROWS($A$1:A57))),0)</f>
        <v>0</v>
      </c>
      <c r="F76" s="17" t="str">
        <f t="shared" si="3"/>
        <v/>
      </c>
      <c r="Q76" s="17">
        <v>57</v>
      </c>
      <c r="R76" s="17" t="str">
        <f t="shared" si="4"/>
        <v/>
      </c>
      <c r="S76" s="17">
        <f t="array" ref="S76">IFERROR(INDEX($P$231:$P$491,SMALL(IF(("Q"=$O$231:$O$491),MATCH(ROW($O$231:$O$491),ROW($O$231:$O$491)),""),ROWS($A$1:A57))),0)</f>
        <v>0</v>
      </c>
      <c r="T76" s="17" t="str">
        <f t="shared" si="5"/>
        <v/>
      </c>
      <c r="AD76" s="17">
        <v>57</v>
      </c>
      <c r="AE76" s="17" t="str">
        <f t="shared" si="10"/>
        <v/>
      </c>
      <c r="AF76" s="17">
        <f t="array" ref="AF76">IFERROR(INDEX($AC$231:$AC$491,SMALL(IF(("Q"=$AB$231:$AB$491),MATCH(ROW($AB$231:$AB$491),ROW($AB$231:$AB$491)),""),ROWS($A$1:A57))),0)</f>
        <v>0</v>
      </c>
      <c r="AG76" s="17" t="str">
        <f t="shared" si="6"/>
        <v/>
      </c>
      <c r="AR76" s="17">
        <v>57</v>
      </c>
      <c r="AS76" s="17" t="str">
        <f t="shared" si="11"/>
        <v/>
      </c>
      <c r="AT76" s="17">
        <f t="array" ref="AT76">IFERROR(INDEX($AQ$231:$AQ$491,SMALL(IF(("Q"=$AP$231:$AP$491),MATCH(ROW($AP$231:$AP$491),ROW($AP$231:$AP$491)),""),ROWS($A$1:A57))),0)</f>
        <v>0</v>
      </c>
      <c r="AU76" s="17" t="str">
        <f t="shared" si="12"/>
        <v/>
      </c>
      <c r="BD76" s="17">
        <v>57</v>
      </c>
      <c r="BE76" s="17" t="str">
        <f t="shared" si="13"/>
        <v/>
      </c>
      <c r="BF76" s="17">
        <f t="array" ref="BF76">IFERROR(INDEX($BC$231:$BC$491,SMALL(IF(("Q"=$BB$231:$BB$491),MATCH(ROW($BB$231:$BB$491),ROW($BB$231:$BB$491)),""),ROWS($A$1:A57))),0)</f>
        <v>0</v>
      </c>
      <c r="BG76" s="17" t="str">
        <f t="shared" si="8"/>
        <v/>
      </c>
    </row>
    <row r="77" spans="3:59">
      <c r="C77" s="17">
        <v>58</v>
      </c>
      <c r="D77" s="17" t="str">
        <f t="shared" si="9"/>
        <v/>
      </c>
      <c r="E77" s="17">
        <f t="array" ref="E77">IFERROR(INDEX($B$231:$B$491,SMALL(IF(("Q"=$A$231:$A$491),MATCH(ROW($A$231:$A$491),ROW($A$231:$A$491)),""),ROWS($A$1:A58))),0)</f>
        <v>0</v>
      </c>
      <c r="F77" s="17" t="str">
        <f t="shared" si="3"/>
        <v/>
      </c>
      <c r="Q77" s="17">
        <v>58</v>
      </c>
      <c r="R77" s="17" t="str">
        <f t="shared" si="4"/>
        <v/>
      </c>
      <c r="S77" s="17">
        <f t="array" ref="S77">IFERROR(INDEX($P$231:$P$491,SMALL(IF(("Q"=$O$231:$O$491),MATCH(ROW($O$231:$O$491),ROW($O$231:$O$491)),""),ROWS($A$1:A58))),0)</f>
        <v>0</v>
      </c>
      <c r="T77" s="17" t="str">
        <f t="shared" si="5"/>
        <v/>
      </c>
      <c r="AD77" s="17">
        <v>58</v>
      </c>
      <c r="AE77" s="17" t="str">
        <f t="shared" si="10"/>
        <v/>
      </c>
      <c r="AF77" s="17">
        <f t="array" ref="AF77">IFERROR(INDEX($AC$231:$AC$491,SMALL(IF(("Q"=$AB$231:$AB$491),MATCH(ROW($AB$231:$AB$491),ROW($AB$231:$AB$491)),""),ROWS($A$1:A58))),0)</f>
        <v>0</v>
      </c>
      <c r="AG77" s="17" t="str">
        <f t="shared" si="6"/>
        <v/>
      </c>
      <c r="AR77" s="17">
        <v>58</v>
      </c>
      <c r="AS77" s="17" t="str">
        <f t="shared" si="11"/>
        <v/>
      </c>
      <c r="AT77" s="17">
        <f t="array" ref="AT77">IFERROR(INDEX($AQ$231:$AQ$491,SMALL(IF(("Q"=$AP$231:$AP$491),MATCH(ROW($AP$231:$AP$491),ROW($AP$231:$AP$491)),""),ROWS($A$1:A58))),0)</f>
        <v>0</v>
      </c>
      <c r="AU77" s="17" t="str">
        <f t="shared" si="12"/>
        <v/>
      </c>
      <c r="BD77" s="17">
        <v>58</v>
      </c>
      <c r="BE77" s="17" t="str">
        <f t="shared" si="13"/>
        <v/>
      </c>
      <c r="BF77" s="17">
        <f t="array" ref="BF77">IFERROR(INDEX($BC$231:$BC$491,SMALL(IF(("Q"=$BB$231:$BB$491),MATCH(ROW($BB$231:$BB$491),ROW($BB$231:$BB$491)),""),ROWS($A$1:A58))),0)</f>
        <v>0</v>
      </c>
      <c r="BG77" s="17" t="str">
        <f t="shared" si="8"/>
        <v/>
      </c>
    </row>
    <row r="78" spans="3:59">
      <c r="C78" s="17">
        <v>59</v>
      </c>
      <c r="D78" s="17" t="str">
        <f t="shared" si="9"/>
        <v/>
      </c>
      <c r="E78" s="17">
        <f t="array" ref="E78">IFERROR(INDEX($B$231:$B$491,SMALL(IF(("Q"=$A$231:$A$491),MATCH(ROW($A$231:$A$491),ROW($A$231:$A$491)),""),ROWS($A$1:A59))),0)</f>
        <v>0</v>
      </c>
      <c r="F78" s="17" t="str">
        <f t="shared" si="3"/>
        <v/>
      </c>
      <c r="Q78" s="17">
        <v>59</v>
      </c>
      <c r="R78" s="17" t="str">
        <f t="shared" si="4"/>
        <v/>
      </c>
      <c r="S78" s="17">
        <f t="array" ref="S78">IFERROR(INDEX($P$231:$P$491,SMALL(IF(("Q"=$O$231:$O$491),MATCH(ROW($O$231:$O$491),ROW($O$231:$O$491)),""),ROWS($A$1:A59))),0)</f>
        <v>0</v>
      </c>
      <c r="T78" s="17" t="str">
        <f t="shared" si="5"/>
        <v/>
      </c>
      <c r="AD78" s="17">
        <v>59</v>
      </c>
      <c r="AE78" s="17" t="str">
        <f t="shared" si="10"/>
        <v/>
      </c>
      <c r="AF78" s="17">
        <f t="array" ref="AF78">IFERROR(INDEX($AC$231:$AC$491,SMALL(IF(("Q"=$AB$231:$AB$491),MATCH(ROW($AB$231:$AB$491),ROW($AB$231:$AB$491)),""),ROWS($A$1:A59))),0)</f>
        <v>0</v>
      </c>
      <c r="AG78" s="17" t="str">
        <f t="shared" si="6"/>
        <v/>
      </c>
      <c r="AR78" s="17">
        <v>59</v>
      </c>
      <c r="AS78" s="17" t="str">
        <f t="shared" si="11"/>
        <v/>
      </c>
      <c r="AT78" s="17">
        <f t="array" ref="AT78">IFERROR(INDEX($AQ$231:$AQ$491,SMALL(IF(("Q"=$AP$231:$AP$491),MATCH(ROW($AP$231:$AP$491),ROW($AP$231:$AP$491)),""),ROWS($A$1:A59))),0)</f>
        <v>0</v>
      </c>
      <c r="AU78" s="17" t="str">
        <f t="shared" si="12"/>
        <v/>
      </c>
      <c r="BD78" s="17">
        <v>59</v>
      </c>
      <c r="BE78" s="17" t="str">
        <f t="shared" si="13"/>
        <v/>
      </c>
      <c r="BF78" s="17">
        <f t="array" ref="BF78">IFERROR(INDEX($BC$231:$BC$491,SMALL(IF(("Q"=$BB$231:$BB$491),MATCH(ROW($BB$231:$BB$491),ROW($BB$231:$BB$491)),""),ROWS($A$1:A59))),0)</f>
        <v>0</v>
      </c>
      <c r="BG78" s="17" t="str">
        <f t="shared" si="8"/>
        <v/>
      </c>
    </row>
    <row r="79" spans="3:59">
      <c r="C79" s="17">
        <v>60</v>
      </c>
      <c r="D79" s="17" t="str">
        <f t="shared" si="9"/>
        <v/>
      </c>
      <c r="E79" s="17">
        <f t="array" ref="E79">IFERROR(INDEX($B$231:$B$491,SMALL(IF(("Q"=$A$231:$A$491),MATCH(ROW($A$231:$A$491),ROW($A$231:$A$491)),""),ROWS($A$1:A60))),0)</f>
        <v>0</v>
      </c>
      <c r="F79" s="17" t="str">
        <f t="shared" si="3"/>
        <v/>
      </c>
      <c r="Q79" s="17">
        <v>60</v>
      </c>
      <c r="R79" s="17" t="str">
        <f t="shared" si="4"/>
        <v/>
      </c>
      <c r="S79" s="17">
        <f t="array" ref="S79">IFERROR(INDEX($P$231:$P$491,SMALL(IF(("Q"=$O$231:$O$491),MATCH(ROW($O$231:$O$491),ROW($O$231:$O$491)),""),ROWS($A$1:A60))),0)</f>
        <v>0</v>
      </c>
      <c r="T79" s="17" t="str">
        <f t="shared" si="5"/>
        <v/>
      </c>
      <c r="AD79" s="17">
        <v>60</v>
      </c>
      <c r="AE79" s="17" t="str">
        <f t="shared" si="10"/>
        <v/>
      </c>
      <c r="AF79" s="17">
        <f t="array" ref="AF79">IFERROR(INDEX($AC$231:$AC$491,SMALL(IF(("Q"=$AB$231:$AB$491),MATCH(ROW($AB$231:$AB$491),ROW($AB$231:$AB$491)),""),ROWS($A$1:A60))),0)</f>
        <v>0</v>
      </c>
      <c r="AG79" s="17" t="str">
        <f t="shared" si="6"/>
        <v/>
      </c>
      <c r="AR79" s="17">
        <v>60</v>
      </c>
      <c r="AS79" s="17" t="str">
        <f t="shared" si="11"/>
        <v/>
      </c>
      <c r="AT79" s="17">
        <f t="array" ref="AT79">IFERROR(INDEX($AQ$231:$AQ$491,SMALL(IF(("Q"=$AP$231:$AP$491),MATCH(ROW($AP$231:$AP$491),ROW($AP$231:$AP$491)),""),ROWS($A$1:A60))),0)</f>
        <v>0</v>
      </c>
      <c r="AU79" s="17" t="str">
        <f t="shared" si="12"/>
        <v/>
      </c>
      <c r="BD79" s="17">
        <v>60</v>
      </c>
      <c r="BE79" s="17" t="str">
        <f t="shared" si="13"/>
        <v/>
      </c>
      <c r="BF79" s="17">
        <f t="array" ref="BF79">IFERROR(INDEX($BC$231:$BC$491,SMALL(IF(("Q"=$BB$231:$BB$491),MATCH(ROW($BB$231:$BB$491),ROW($BB$231:$BB$491)),""),ROWS($A$1:A60))),0)</f>
        <v>0</v>
      </c>
      <c r="BG79" s="17" t="str">
        <f t="shared" si="8"/>
        <v/>
      </c>
    </row>
    <row r="80" spans="3:59">
      <c r="C80" s="17">
        <v>61</v>
      </c>
      <c r="D80" s="17" t="str">
        <f t="shared" si="9"/>
        <v/>
      </c>
      <c r="E80" s="17">
        <f t="array" ref="E80">IFERROR(INDEX($B$231:$B$491,SMALL(IF(("Q"=$A$231:$A$491),MATCH(ROW($A$231:$A$491),ROW($A$231:$A$491)),""),ROWS($A$1:A61))),0)</f>
        <v>0</v>
      </c>
      <c r="F80" s="17" t="str">
        <f t="shared" si="3"/>
        <v/>
      </c>
      <c r="Q80" s="17">
        <v>61</v>
      </c>
      <c r="R80" s="17" t="str">
        <f t="shared" si="4"/>
        <v/>
      </c>
      <c r="S80" s="17">
        <f t="array" ref="S80">IFERROR(INDEX($P$231:$P$491,SMALL(IF(("Q"=$O$231:$O$491),MATCH(ROW($O$231:$O$491),ROW($O$231:$O$491)),""),ROWS($A$1:A61))),0)</f>
        <v>0</v>
      </c>
      <c r="T80" s="17" t="str">
        <f t="shared" si="5"/>
        <v/>
      </c>
      <c r="AD80" s="17">
        <v>61</v>
      </c>
      <c r="AE80" s="17" t="str">
        <f t="shared" si="10"/>
        <v/>
      </c>
      <c r="AF80" s="17">
        <f t="array" ref="AF80">IFERROR(INDEX($AC$231:$AC$491,SMALL(IF(("Q"=$AB$231:$AB$491),MATCH(ROW($AB$231:$AB$491),ROW($AB$231:$AB$491)),""),ROWS($A$1:A61))),0)</f>
        <v>0</v>
      </c>
      <c r="AG80" s="17" t="str">
        <f t="shared" si="6"/>
        <v/>
      </c>
      <c r="AR80" s="17">
        <v>61</v>
      </c>
      <c r="AS80" s="17" t="str">
        <f t="shared" si="11"/>
        <v/>
      </c>
      <c r="AT80" s="17">
        <f t="array" ref="AT80">IFERROR(INDEX($AQ$231:$AQ$491,SMALL(IF(("Q"=$AP$231:$AP$491),MATCH(ROW($AP$231:$AP$491),ROW($AP$231:$AP$491)),""),ROWS($A$1:A61))),0)</f>
        <v>0</v>
      </c>
      <c r="AU80" s="17" t="str">
        <f t="shared" si="12"/>
        <v/>
      </c>
      <c r="BD80" s="17">
        <v>61</v>
      </c>
      <c r="BE80" s="17" t="str">
        <f t="shared" si="13"/>
        <v/>
      </c>
      <c r="BF80" s="17">
        <f t="array" ref="BF80">IFERROR(INDEX($BC$231:$BC$491,SMALL(IF(("Q"=$BB$231:$BB$491),MATCH(ROW($BB$231:$BB$491),ROW($BB$231:$BB$491)),""),ROWS($A$1:A61))),0)</f>
        <v>0</v>
      </c>
      <c r="BG80" s="17" t="str">
        <f t="shared" si="8"/>
        <v/>
      </c>
    </row>
    <row r="81" spans="3:59">
      <c r="C81" s="17">
        <v>62</v>
      </c>
      <c r="D81" s="17" t="str">
        <f t="shared" si="9"/>
        <v/>
      </c>
      <c r="E81" s="17">
        <f t="array" ref="E81">IFERROR(INDEX($B$231:$B$491,SMALL(IF(("Q"=$A$231:$A$491),MATCH(ROW($A$231:$A$491),ROW($A$231:$A$491)),""),ROWS($A$1:A62))),0)</f>
        <v>0</v>
      </c>
      <c r="F81" s="17" t="str">
        <f t="shared" si="3"/>
        <v/>
      </c>
      <c r="Q81" s="17">
        <v>62</v>
      </c>
      <c r="R81" s="17" t="str">
        <f t="shared" si="4"/>
        <v/>
      </c>
      <c r="S81" s="17">
        <f t="array" ref="S81">IFERROR(INDEX($P$231:$P$491,SMALL(IF(("Q"=$O$231:$O$491),MATCH(ROW($O$231:$O$491),ROW($O$231:$O$491)),""),ROWS($A$1:A62))),0)</f>
        <v>0</v>
      </c>
      <c r="T81" s="17" t="str">
        <f t="shared" si="5"/>
        <v/>
      </c>
      <c r="AD81" s="17">
        <v>62</v>
      </c>
      <c r="AE81" s="17" t="str">
        <f t="shared" si="10"/>
        <v/>
      </c>
      <c r="AF81" s="17">
        <f t="array" ref="AF81">IFERROR(INDEX($AC$231:$AC$491,SMALL(IF(("Q"=$AB$231:$AB$491),MATCH(ROW($AB$231:$AB$491),ROW($AB$231:$AB$491)),""),ROWS($A$1:A62))),0)</f>
        <v>0</v>
      </c>
      <c r="AG81" s="17" t="str">
        <f t="shared" si="6"/>
        <v/>
      </c>
      <c r="AR81" s="17">
        <v>62</v>
      </c>
      <c r="AS81" s="17" t="str">
        <f t="shared" si="11"/>
        <v/>
      </c>
      <c r="AT81" s="17">
        <f t="array" ref="AT81">IFERROR(INDEX($AQ$231:$AQ$491,SMALL(IF(("Q"=$AP$231:$AP$491),MATCH(ROW($AP$231:$AP$491),ROW($AP$231:$AP$491)),""),ROWS($A$1:A62))),0)</f>
        <v>0</v>
      </c>
      <c r="AU81" s="17" t="str">
        <f t="shared" si="12"/>
        <v/>
      </c>
      <c r="BD81" s="17">
        <v>62</v>
      </c>
      <c r="BE81" s="17" t="str">
        <f t="shared" si="13"/>
        <v/>
      </c>
      <c r="BF81" s="17">
        <f t="array" ref="BF81">IFERROR(INDEX($BC$231:$BC$491,SMALL(IF(("Q"=$BB$231:$BB$491),MATCH(ROW($BB$231:$BB$491),ROW($BB$231:$BB$491)),""),ROWS($A$1:A62))),0)</f>
        <v>0</v>
      </c>
      <c r="BG81" s="17" t="str">
        <f t="shared" si="8"/>
        <v/>
      </c>
    </row>
    <row r="82" spans="3:59">
      <c r="C82" s="17">
        <v>63</v>
      </c>
      <c r="D82" s="17" t="str">
        <f t="shared" si="9"/>
        <v/>
      </c>
      <c r="E82" s="17">
        <f t="array" ref="E82">IFERROR(INDEX($B$231:$B$491,SMALL(IF(("Q"=$A$231:$A$491),MATCH(ROW($A$231:$A$491),ROW($A$231:$A$491)),""),ROWS($A$1:A63))),0)</f>
        <v>0</v>
      </c>
      <c r="F82" s="17" t="str">
        <f t="shared" si="3"/>
        <v/>
      </c>
      <c r="Q82" s="17">
        <v>63</v>
      </c>
      <c r="R82" s="17" t="str">
        <f t="shared" si="4"/>
        <v/>
      </c>
      <c r="S82" s="17">
        <f t="array" ref="S82">IFERROR(INDEX($P$231:$P$491,SMALL(IF(("Q"=$O$231:$O$491),MATCH(ROW($O$231:$O$491),ROW($O$231:$O$491)),""),ROWS($A$1:A63))),0)</f>
        <v>0</v>
      </c>
      <c r="T82" s="17" t="str">
        <f t="shared" si="5"/>
        <v/>
      </c>
      <c r="AD82" s="17">
        <v>63</v>
      </c>
      <c r="AE82" s="17" t="str">
        <f t="shared" si="10"/>
        <v/>
      </c>
      <c r="AF82" s="17">
        <f t="array" ref="AF82">IFERROR(INDEX($AC$231:$AC$491,SMALL(IF(("Q"=$AB$231:$AB$491),MATCH(ROW($AB$231:$AB$491),ROW($AB$231:$AB$491)),""),ROWS($A$1:A63))),0)</f>
        <v>0</v>
      </c>
      <c r="AG82" s="17" t="str">
        <f t="shared" si="6"/>
        <v/>
      </c>
      <c r="AR82" s="17">
        <v>63</v>
      </c>
      <c r="AS82" s="17" t="str">
        <f t="shared" si="11"/>
        <v/>
      </c>
      <c r="AT82" s="17">
        <f t="array" ref="AT82">IFERROR(INDEX($AQ$231:$AQ$491,SMALL(IF(("Q"=$AP$231:$AP$491),MATCH(ROW($AP$231:$AP$491),ROW($AP$231:$AP$491)),""),ROWS($A$1:A63))),0)</f>
        <v>0</v>
      </c>
      <c r="AU82" s="17" t="str">
        <f t="shared" si="12"/>
        <v/>
      </c>
      <c r="BD82" s="17">
        <v>63</v>
      </c>
      <c r="BE82" s="17" t="str">
        <f t="shared" si="13"/>
        <v/>
      </c>
      <c r="BF82" s="17">
        <f t="array" ref="BF82">IFERROR(INDEX($BC$231:$BC$491,SMALL(IF(("Q"=$BB$231:$BB$491),MATCH(ROW($BB$231:$BB$491),ROW($BB$231:$BB$491)),""),ROWS($A$1:A63))),0)</f>
        <v>0</v>
      </c>
      <c r="BG82" s="17" t="str">
        <f t="shared" si="8"/>
        <v/>
      </c>
    </row>
    <row r="83" spans="3:59">
      <c r="C83" s="17">
        <v>64</v>
      </c>
      <c r="D83" s="17" t="str">
        <f t="shared" si="9"/>
        <v/>
      </c>
      <c r="E83" s="17">
        <f t="array" ref="E83">IFERROR(INDEX($B$231:$B$491,SMALL(IF(("Q"=$A$231:$A$491),MATCH(ROW($A$231:$A$491),ROW($A$231:$A$491)),""),ROWS($A$1:A64))),0)</f>
        <v>0</v>
      </c>
      <c r="F83" s="17" t="str">
        <f t="shared" si="3"/>
        <v/>
      </c>
      <c r="Q83" s="17">
        <v>64</v>
      </c>
      <c r="R83" s="17" t="str">
        <f t="shared" si="4"/>
        <v/>
      </c>
      <c r="S83" s="17">
        <f t="array" ref="S83">IFERROR(INDEX($P$231:$P$491,SMALL(IF(("Q"=$O$231:$O$491),MATCH(ROW($O$231:$O$491),ROW($O$231:$O$491)),""),ROWS($A$1:A64))),0)</f>
        <v>0</v>
      </c>
      <c r="T83" s="17" t="str">
        <f t="shared" si="5"/>
        <v/>
      </c>
      <c r="AD83" s="17">
        <v>64</v>
      </c>
      <c r="AE83" s="17" t="str">
        <f t="shared" si="10"/>
        <v/>
      </c>
      <c r="AF83" s="17">
        <f t="array" ref="AF83">IFERROR(INDEX($AC$231:$AC$491,SMALL(IF(("Q"=$AB$231:$AB$491),MATCH(ROW($AB$231:$AB$491),ROW($AB$231:$AB$491)),""),ROWS($A$1:A64))),0)</f>
        <v>0</v>
      </c>
      <c r="AG83" s="17" t="str">
        <f t="shared" si="6"/>
        <v/>
      </c>
      <c r="AR83" s="17">
        <v>64</v>
      </c>
      <c r="AS83" s="17" t="str">
        <f t="shared" si="11"/>
        <v/>
      </c>
      <c r="AT83" s="17">
        <f t="array" ref="AT83">IFERROR(INDEX($AQ$231:$AQ$491,SMALL(IF(("Q"=$AP$231:$AP$491),MATCH(ROW($AP$231:$AP$491),ROW($AP$231:$AP$491)),""),ROWS($A$1:A64))),0)</f>
        <v>0</v>
      </c>
      <c r="AU83" s="17" t="str">
        <f t="shared" si="12"/>
        <v/>
      </c>
      <c r="BD83" s="17">
        <v>64</v>
      </c>
      <c r="BE83" s="17" t="str">
        <f t="shared" si="13"/>
        <v/>
      </c>
      <c r="BF83" s="17">
        <f t="array" ref="BF83">IFERROR(INDEX($BC$231:$BC$491,SMALL(IF(("Q"=$BB$231:$BB$491),MATCH(ROW($BB$231:$BB$491),ROW($BB$231:$BB$491)),""),ROWS($A$1:A64))),0)</f>
        <v>0</v>
      </c>
      <c r="BG83" s="17" t="str">
        <f t="shared" si="8"/>
        <v/>
      </c>
    </row>
    <row r="84" spans="3:59">
      <c r="C84" s="17">
        <v>65</v>
      </c>
      <c r="D84" s="17" t="str">
        <f t="shared" si="9"/>
        <v/>
      </c>
      <c r="E84" s="17">
        <f t="array" ref="E84">IFERROR(INDEX($B$231:$B$491,SMALL(IF(("Q"=$A$231:$A$491),MATCH(ROW($A$231:$A$491),ROW($A$231:$A$491)),""),ROWS($A$1:A65))),0)</f>
        <v>0</v>
      </c>
      <c r="F84" s="17" t="str">
        <f t="shared" ref="F84:F147" si="14">IF(D84="","",D84-E84)</f>
        <v/>
      </c>
      <c r="Q84" s="17">
        <v>65</v>
      </c>
      <c r="R84" s="17" t="str">
        <f t="shared" ref="R84:R147" si="15">IF($T$18&gt;=Q84,$S$18,"")</f>
        <v/>
      </c>
      <c r="S84" s="17">
        <f t="array" ref="S84">IFERROR(INDEX($P$231:$P$491,SMALL(IF(("Q"=$O$231:$O$491),MATCH(ROW($O$231:$O$491),ROW($O$231:$O$491)),""),ROWS($A$1:A65))),0)</f>
        <v>0</v>
      </c>
      <c r="T84" s="17" t="str">
        <f t="shared" ref="T84:T147" si="16">IF(R84="","",R84-S84)</f>
        <v/>
      </c>
      <c r="AD84" s="17">
        <v>65</v>
      </c>
      <c r="AE84" s="17" t="str">
        <f t="shared" si="10"/>
        <v/>
      </c>
      <c r="AF84" s="17">
        <f t="array" ref="AF84">IFERROR(INDEX($AC$231:$AC$491,SMALL(IF(("Q"=$AB$231:$AB$491),MATCH(ROW($AB$231:$AB$491),ROW($AB$231:$AB$491)),""),ROWS($A$1:A65))),0)</f>
        <v>0</v>
      </c>
      <c r="AG84" s="17" t="str">
        <f t="shared" ref="AG84:AG147" si="17">IF(AE84="","",AE84-AF84)</f>
        <v/>
      </c>
      <c r="AR84" s="17">
        <v>65</v>
      </c>
      <c r="AS84" s="17" t="str">
        <f t="shared" si="11"/>
        <v/>
      </c>
      <c r="AT84" s="17">
        <f t="array" ref="AT84">IFERROR(INDEX($AQ$231:$AQ$491,SMALL(IF(("Q"=$AP$231:$AP$491),MATCH(ROW($AP$231:$AP$491),ROW($AP$231:$AP$491)),""),ROWS($A$1:A65))),0)</f>
        <v>0</v>
      </c>
      <c r="AU84" s="17" t="str">
        <f t="shared" ref="AU84:AU147" si="18">IF(AS84="","",AS84-AT84)</f>
        <v/>
      </c>
      <c r="BD84" s="17">
        <v>65</v>
      </c>
      <c r="BE84" s="17" t="str">
        <f t="shared" si="13"/>
        <v/>
      </c>
      <c r="BF84" s="17">
        <f t="array" ref="BF84">IFERROR(INDEX($BC$231:$BC$491,SMALL(IF(("Q"=$BB$231:$BB$491),MATCH(ROW($BB$231:$BB$491),ROW($BB$231:$BB$491)),""),ROWS($A$1:A65))),0)</f>
        <v>0</v>
      </c>
      <c r="BG84" s="17" t="str">
        <f t="shared" ref="BG84:BG147" si="19">IF(BE84="","",BE84-BF84)</f>
        <v/>
      </c>
    </row>
    <row r="85" spans="3:59">
      <c r="C85" s="17">
        <v>66</v>
      </c>
      <c r="D85" s="17" t="str">
        <f t="shared" ref="D85:D148" si="20">IF($F$18&gt;=C85,$E$18,"")</f>
        <v/>
      </c>
      <c r="E85" s="17">
        <f t="array" ref="E85">IFERROR(INDEX($B$231:$B$491,SMALL(IF(("Q"=$A$231:$A$491),MATCH(ROW($A$231:$A$491),ROW($A$231:$A$491)),""),ROWS($A$1:A66))),0)</f>
        <v>0</v>
      </c>
      <c r="F85" s="17" t="str">
        <f t="shared" si="14"/>
        <v/>
      </c>
      <c r="Q85" s="17">
        <v>66</v>
      </c>
      <c r="R85" s="17" t="str">
        <f t="shared" si="15"/>
        <v/>
      </c>
      <c r="S85" s="17">
        <f t="array" ref="S85">IFERROR(INDEX($P$231:$P$491,SMALL(IF(("Q"=$O$231:$O$491),MATCH(ROW($O$231:$O$491),ROW($O$231:$O$491)),""),ROWS($A$1:A66))),0)</f>
        <v>0</v>
      </c>
      <c r="T85" s="17" t="str">
        <f t="shared" si="16"/>
        <v/>
      </c>
      <c r="AD85" s="17">
        <v>66</v>
      </c>
      <c r="AE85" s="17" t="str">
        <f t="shared" ref="AE85:AE148" si="21">IF($AG$18&gt;=AD85,$AF$18,"")</f>
        <v/>
      </c>
      <c r="AF85" s="17">
        <f t="array" ref="AF85">IFERROR(INDEX($AC$231:$AC$491,SMALL(IF(("Q"=$AB$231:$AB$491),MATCH(ROW($AB$231:$AB$491),ROW($AB$231:$AB$491)),""),ROWS($A$1:A66))),0)</f>
        <v>0</v>
      </c>
      <c r="AG85" s="17" t="str">
        <f t="shared" si="17"/>
        <v/>
      </c>
      <c r="AR85" s="17">
        <v>66</v>
      </c>
      <c r="AS85" s="17" t="str">
        <f t="shared" ref="AS85:AS148" si="22">IF($AU$18&gt;=AR85,$AT$18,"")</f>
        <v/>
      </c>
      <c r="AT85" s="17">
        <f t="array" ref="AT85">IFERROR(INDEX($AQ$231:$AQ$491,SMALL(IF(("Q"=$AP$231:$AP$491),MATCH(ROW($AP$231:$AP$491),ROW($AP$231:$AP$491)),""),ROWS($A$1:A66))),0)</f>
        <v>0</v>
      </c>
      <c r="AU85" s="17" t="str">
        <f t="shared" si="18"/>
        <v/>
      </c>
      <c r="BD85" s="17">
        <v>66</v>
      </c>
      <c r="BE85" s="17" t="str">
        <f t="shared" ref="BE85:BE148" si="23">IF($BG$18&gt;=BD85,$BF$18,"")</f>
        <v/>
      </c>
      <c r="BF85" s="17">
        <f t="array" ref="BF85">IFERROR(INDEX($BC$231:$BC$491,SMALL(IF(("Q"=$BB$231:$BB$491),MATCH(ROW($BB$231:$BB$491),ROW($BB$231:$BB$491)),""),ROWS($A$1:A66))),0)</f>
        <v>0</v>
      </c>
      <c r="BG85" s="17" t="str">
        <f t="shared" si="19"/>
        <v/>
      </c>
    </row>
    <row r="86" spans="3:59">
      <c r="C86" s="17">
        <v>67</v>
      </c>
      <c r="D86" s="17" t="str">
        <f t="shared" si="20"/>
        <v/>
      </c>
      <c r="E86" s="17">
        <f t="array" ref="E86">IFERROR(INDEX($B$231:$B$491,SMALL(IF(("Q"=$A$231:$A$491),MATCH(ROW($A$231:$A$491),ROW($A$231:$A$491)),""),ROWS($A$1:A67))),0)</f>
        <v>0</v>
      </c>
      <c r="F86" s="17" t="str">
        <f t="shared" si="14"/>
        <v/>
      </c>
      <c r="Q86" s="17">
        <v>67</v>
      </c>
      <c r="R86" s="17" t="str">
        <f t="shared" si="15"/>
        <v/>
      </c>
      <c r="S86" s="17">
        <f t="array" ref="S86">IFERROR(INDEX($P$231:$P$491,SMALL(IF(("Q"=$O$231:$O$491),MATCH(ROW($O$231:$O$491),ROW($O$231:$O$491)),""),ROWS($A$1:A67))),0)</f>
        <v>0</v>
      </c>
      <c r="T86" s="17" t="str">
        <f t="shared" si="16"/>
        <v/>
      </c>
      <c r="AD86" s="17">
        <v>67</v>
      </c>
      <c r="AE86" s="17" t="str">
        <f t="shared" si="21"/>
        <v/>
      </c>
      <c r="AF86" s="17">
        <f t="array" ref="AF86">IFERROR(INDEX($AC$231:$AC$491,SMALL(IF(("Q"=$AB$231:$AB$491),MATCH(ROW($AB$231:$AB$491),ROW($AB$231:$AB$491)),""),ROWS($A$1:A67))),0)</f>
        <v>0</v>
      </c>
      <c r="AG86" s="17" t="str">
        <f t="shared" si="17"/>
        <v/>
      </c>
      <c r="AR86" s="17">
        <v>67</v>
      </c>
      <c r="AS86" s="17" t="str">
        <f t="shared" si="22"/>
        <v/>
      </c>
      <c r="AT86" s="17">
        <f t="array" ref="AT86">IFERROR(INDEX($AQ$231:$AQ$491,SMALL(IF(("Q"=$AP$231:$AP$491),MATCH(ROW($AP$231:$AP$491),ROW($AP$231:$AP$491)),""),ROWS($A$1:A67))),0)</f>
        <v>0</v>
      </c>
      <c r="AU86" s="17" t="str">
        <f t="shared" si="18"/>
        <v/>
      </c>
      <c r="BD86" s="17">
        <v>67</v>
      </c>
      <c r="BE86" s="17" t="str">
        <f t="shared" si="23"/>
        <v/>
      </c>
      <c r="BF86" s="17">
        <f t="array" ref="BF86">IFERROR(INDEX($BC$231:$BC$491,SMALL(IF(("Q"=$BB$231:$BB$491),MATCH(ROW($BB$231:$BB$491),ROW($BB$231:$BB$491)),""),ROWS($A$1:A67))),0)</f>
        <v>0</v>
      </c>
      <c r="BG86" s="17" t="str">
        <f t="shared" si="19"/>
        <v/>
      </c>
    </row>
    <row r="87" spans="3:59">
      <c r="C87" s="17">
        <v>68</v>
      </c>
      <c r="D87" s="17" t="str">
        <f t="shared" si="20"/>
        <v/>
      </c>
      <c r="E87" s="17">
        <f t="array" ref="E87">IFERROR(INDEX($B$231:$B$491,SMALL(IF(("Q"=$A$231:$A$491),MATCH(ROW($A$231:$A$491),ROW($A$231:$A$491)),""),ROWS($A$1:A68))),0)</f>
        <v>0</v>
      </c>
      <c r="F87" s="17" t="str">
        <f t="shared" si="14"/>
        <v/>
      </c>
      <c r="Q87" s="17">
        <v>68</v>
      </c>
      <c r="R87" s="17" t="str">
        <f t="shared" si="15"/>
        <v/>
      </c>
      <c r="S87" s="17">
        <f t="array" ref="S87">IFERROR(INDEX($P$231:$P$491,SMALL(IF(("Q"=$O$231:$O$491),MATCH(ROW($O$231:$O$491),ROW($O$231:$O$491)),""),ROWS($A$1:A68))),0)</f>
        <v>0</v>
      </c>
      <c r="T87" s="17" t="str">
        <f t="shared" si="16"/>
        <v/>
      </c>
      <c r="AD87" s="17">
        <v>68</v>
      </c>
      <c r="AE87" s="17" t="str">
        <f t="shared" si="21"/>
        <v/>
      </c>
      <c r="AF87" s="17">
        <f t="array" ref="AF87">IFERROR(INDEX($AC$231:$AC$491,SMALL(IF(("Q"=$AB$231:$AB$491),MATCH(ROW($AB$231:$AB$491),ROW($AB$231:$AB$491)),""),ROWS($A$1:A68))),0)</f>
        <v>0</v>
      </c>
      <c r="AG87" s="17" t="str">
        <f t="shared" si="17"/>
        <v/>
      </c>
      <c r="AR87" s="17">
        <v>68</v>
      </c>
      <c r="AS87" s="17" t="str">
        <f t="shared" si="22"/>
        <v/>
      </c>
      <c r="AT87" s="17">
        <f t="array" ref="AT87">IFERROR(INDEX($AQ$231:$AQ$491,SMALL(IF(("Q"=$AP$231:$AP$491),MATCH(ROW($AP$231:$AP$491),ROW($AP$231:$AP$491)),""),ROWS($A$1:A68))),0)</f>
        <v>0</v>
      </c>
      <c r="AU87" s="17" t="str">
        <f t="shared" si="18"/>
        <v/>
      </c>
      <c r="BD87" s="17">
        <v>68</v>
      </c>
      <c r="BE87" s="17" t="str">
        <f t="shared" si="23"/>
        <v/>
      </c>
      <c r="BF87" s="17">
        <f t="array" ref="BF87">IFERROR(INDEX($BC$231:$BC$491,SMALL(IF(("Q"=$BB$231:$BB$491),MATCH(ROW($BB$231:$BB$491),ROW($BB$231:$BB$491)),""),ROWS($A$1:A68))),0)</f>
        <v>0</v>
      </c>
      <c r="BG87" s="17" t="str">
        <f t="shared" si="19"/>
        <v/>
      </c>
    </row>
    <row r="88" spans="3:59">
      <c r="C88" s="17">
        <v>69</v>
      </c>
      <c r="D88" s="17" t="str">
        <f t="shared" si="20"/>
        <v/>
      </c>
      <c r="E88" s="17">
        <f t="array" ref="E88">IFERROR(INDEX($B$231:$B$491,SMALL(IF(("Q"=$A$231:$A$491),MATCH(ROW($A$231:$A$491),ROW($A$231:$A$491)),""),ROWS($A$1:A69))),0)</f>
        <v>0</v>
      </c>
      <c r="F88" s="17" t="str">
        <f t="shared" si="14"/>
        <v/>
      </c>
      <c r="Q88" s="17">
        <v>69</v>
      </c>
      <c r="R88" s="17" t="str">
        <f t="shared" si="15"/>
        <v/>
      </c>
      <c r="S88" s="17">
        <f t="array" ref="S88">IFERROR(INDEX($P$231:$P$491,SMALL(IF(("Q"=$O$231:$O$491),MATCH(ROW($O$231:$O$491),ROW($O$231:$O$491)),""),ROWS($A$1:A69))),0)</f>
        <v>0</v>
      </c>
      <c r="T88" s="17" t="str">
        <f t="shared" si="16"/>
        <v/>
      </c>
      <c r="AD88" s="17">
        <v>69</v>
      </c>
      <c r="AE88" s="17" t="str">
        <f t="shared" si="21"/>
        <v/>
      </c>
      <c r="AF88" s="17">
        <f t="array" ref="AF88">IFERROR(INDEX($AC$231:$AC$491,SMALL(IF(("Q"=$AB$231:$AB$491),MATCH(ROW($AB$231:$AB$491),ROW($AB$231:$AB$491)),""),ROWS($A$1:A69))),0)</f>
        <v>0</v>
      </c>
      <c r="AG88" s="17" t="str">
        <f t="shared" si="17"/>
        <v/>
      </c>
      <c r="AR88" s="17">
        <v>69</v>
      </c>
      <c r="AS88" s="17" t="str">
        <f t="shared" si="22"/>
        <v/>
      </c>
      <c r="AT88" s="17">
        <f t="array" ref="AT88">IFERROR(INDEX($AQ$231:$AQ$491,SMALL(IF(("Q"=$AP$231:$AP$491),MATCH(ROW($AP$231:$AP$491),ROW($AP$231:$AP$491)),""),ROWS($A$1:A69))),0)</f>
        <v>0</v>
      </c>
      <c r="AU88" s="17" t="str">
        <f t="shared" si="18"/>
        <v/>
      </c>
      <c r="BD88" s="17">
        <v>69</v>
      </c>
      <c r="BE88" s="17" t="str">
        <f t="shared" si="23"/>
        <v/>
      </c>
      <c r="BF88" s="17">
        <f t="array" ref="BF88">IFERROR(INDEX($BC$231:$BC$491,SMALL(IF(("Q"=$BB$231:$BB$491),MATCH(ROW($BB$231:$BB$491),ROW($BB$231:$BB$491)),""),ROWS($A$1:A69))),0)</f>
        <v>0</v>
      </c>
      <c r="BG88" s="17" t="str">
        <f t="shared" si="19"/>
        <v/>
      </c>
    </row>
    <row r="89" spans="3:59">
      <c r="C89" s="17">
        <v>70</v>
      </c>
      <c r="D89" s="17" t="str">
        <f t="shared" si="20"/>
        <v/>
      </c>
      <c r="E89" s="17">
        <f t="array" ref="E89">IFERROR(INDEX($B$231:$B$491,SMALL(IF(("Q"=$A$231:$A$491),MATCH(ROW($A$231:$A$491),ROW($A$231:$A$491)),""),ROWS($A$1:A70))),0)</f>
        <v>0</v>
      </c>
      <c r="F89" s="17" t="str">
        <f t="shared" si="14"/>
        <v/>
      </c>
      <c r="Q89" s="17">
        <v>70</v>
      </c>
      <c r="R89" s="17" t="str">
        <f t="shared" si="15"/>
        <v/>
      </c>
      <c r="S89" s="17">
        <f t="array" ref="S89">IFERROR(INDEX($P$231:$P$491,SMALL(IF(("Q"=$O$231:$O$491),MATCH(ROW($O$231:$O$491),ROW($O$231:$O$491)),""),ROWS($A$1:A70))),0)</f>
        <v>0</v>
      </c>
      <c r="T89" s="17" t="str">
        <f t="shared" si="16"/>
        <v/>
      </c>
      <c r="AD89" s="17">
        <v>70</v>
      </c>
      <c r="AE89" s="17" t="str">
        <f t="shared" si="21"/>
        <v/>
      </c>
      <c r="AF89" s="17">
        <f t="array" ref="AF89">IFERROR(INDEX($AC$231:$AC$491,SMALL(IF(("Q"=$AB$231:$AB$491),MATCH(ROW($AB$231:$AB$491),ROW($AB$231:$AB$491)),""),ROWS($A$1:A70))),0)</f>
        <v>0</v>
      </c>
      <c r="AG89" s="17" t="str">
        <f t="shared" si="17"/>
        <v/>
      </c>
      <c r="AR89" s="17">
        <v>70</v>
      </c>
      <c r="AS89" s="17" t="str">
        <f t="shared" si="22"/>
        <v/>
      </c>
      <c r="AT89" s="17">
        <f t="array" ref="AT89">IFERROR(INDEX($AQ$231:$AQ$491,SMALL(IF(("Q"=$AP$231:$AP$491),MATCH(ROW($AP$231:$AP$491),ROW($AP$231:$AP$491)),""),ROWS($A$1:A70))),0)</f>
        <v>0</v>
      </c>
      <c r="AU89" s="17" t="str">
        <f t="shared" si="18"/>
        <v/>
      </c>
      <c r="BD89" s="17">
        <v>70</v>
      </c>
      <c r="BE89" s="17" t="str">
        <f t="shared" si="23"/>
        <v/>
      </c>
      <c r="BF89" s="17">
        <f t="array" ref="BF89">IFERROR(INDEX($BC$231:$BC$491,SMALL(IF(("Q"=$BB$231:$BB$491),MATCH(ROW($BB$231:$BB$491),ROW($BB$231:$BB$491)),""),ROWS($A$1:A70))),0)</f>
        <v>0</v>
      </c>
      <c r="BG89" s="17" t="str">
        <f t="shared" si="19"/>
        <v/>
      </c>
    </row>
    <row r="90" spans="3:59">
      <c r="C90" s="17">
        <v>71</v>
      </c>
      <c r="D90" s="17" t="str">
        <f t="shared" si="20"/>
        <v/>
      </c>
      <c r="E90" s="17">
        <f t="array" ref="E90">IFERROR(INDEX($B$231:$B$491,SMALL(IF(("Q"=$A$231:$A$491),MATCH(ROW($A$231:$A$491),ROW($A$231:$A$491)),""),ROWS($A$1:A71))),0)</f>
        <v>0</v>
      </c>
      <c r="F90" s="17" t="str">
        <f t="shared" si="14"/>
        <v/>
      </c>
      <c r="Q90" s="17">
        <v>71</v>
      </c>
      <c r="R90" s="17" t="str">
        <f t="shared" si="15"/>
        <v/>
      </c>
      <c r="S90" s="17">
        <f t="array" ref="S90">IFERROR(INDEX($P$231:$P$491,SMALL(IF(("Q"=$O$231:$O$491),MATCH(ROW($O$231:$O$491),ROW($O$231:$O$491)),""),ROWS($A$1:A71))),0)</f>
        <v>0</v>
      </c>
      <c r="T90" s="17" t="str">
        <f t="shared" si="16"/>
        <v/>
      </c>
      <c r="AD90" s="17">
        <v>71</v>
      </c>
      <c r="AE90" s="17" t="str">
        <f t="shared" si="21"/>
        <v/>
      </c>
      <c r="AF90" s="17">
        <f t="array" ref="AF90">IFERROR(INDEX($AC$231:$AC$491,SMALL(IF(("Q"=$AB$231:$AB$491),MATCH(ROW($AB$231:$AB$491),ROW($AB$231:$AB$491)),""),ROWS($A$1:A71))),0)</f>
        <v>0</v>
      </c>
      <c r="AG90" s="17" t="str">
        <f t="shared" si="17"/>
        <v/>
      </c>
      <c r="AR90" s="17">
        <v>71</v>
      </c>
      <c r="AS90" s="17" t="str">
        <f t="shared" si="22"/>
        <v/>
      </c>
      <c r="AT90" s="17">
        <f t="array" ref="AT90">IFERROR(INDEX($AQ$231:$AQ$491,SMALL(IF(("Q"=$AP$231:$AP$491),MATCH(ROW($AP$231:$AP$491),ROW($AP$231:$AP$491)),""),ROWS($A$1:A71))),0)</f>
        <v>0</v>
      </c>
      <c r="AU90" s="17" t="str">
        <f t="shared" si="18"/>
        <v/>
      </c>
      <c r="BD90" s="17">
        <v>71</v>
      </c>
      <c r="BE90" s="17" t="str">
        <f t="shared" si="23"/>
        <v/>
      </c>
      <c r="BF90" s="17">
        <f t="array" ref="BF90">IFERROR(INDEX($BC$231:$BC$491,SMALL(IF(("Q"=$BB$231:$BB$491),MATCH(ROW($BB$231:$BB$491),ROW($BB$231:$BB$491)),""),ROWS($A$1:A71))),0)</f>
        <v>0</v>
      </c>
      <c r="BG90" s="17" t="str">
        <f t="shared" si="19"/>
        <v/>
      </c>
    </row>
    <row r="91" spans="3:59">
      <c r="C91" s="17">
        <v>72</v>
      </c>
      <c r="D91" s="17" t="str">
        <f t="shared" si="20"/>
        <v/>
      </c>
      <c r="E91" s="17">
        <f t="array" ref="E91">IFERROR(INDEX($B$231:$B$491,SMALL(IF(("Q"=$A$231:$A$491),MATCH(ROW($A$231:$A$491),ROW($A$231:$A$491)),""),ROWS($A$1:A72))),0)</f>
        <v>0</v>
      </c>
      <c r="F91" s="17" t="str">
        <f t="shared" si="14"/>
        <v/>
      </c>
      <c r="Q91" s="17">
        <v>72</v>
      </c>
      <c r="R91" s="17" t="str">
        <f t="shared" si="15"/>
        <v/>
      </c>
      <c r="S91" s="17">
        <f t="array" ref="S91">IFERROR(INDEX($P$231:$P$491,SMALL(IF(("Q"=$O$231:$O$491),MATCH(ROW($O$231:$O$491),ROW($O$231:$O$491)),""),ROWS($A$1:A72))),0)</f>
        <v>0</v>
      </c>
      <c r="T91" s="17" t="str">
        <f t="shared" si="16"/>
        <v/>
      </c>
      <c r="AD91" s="17">
        <v>72</v>
      </c>
      <c r="AE91" s="17" t="str">
        <f t="shared" si="21"/>
        <v/>
      </c>
      <c r="AF91" s="17">
        <f t="array" ref="AF91">IFERROR(INDEX($AC$231:$AC$491,SMALL(IF(("Q"=$AB$231:$AB$491),MATCH(ROW($AB$231:$AB$491),ROW($AB$231:$AB$491)),""),ROWS($A$1:A72))),0)</f>
        <v>0</v>
      </c>
      <c r="AG91" s="17" t="str">
        <f t="shared" si="17"/>
        <v/>
      </c>
      <c r="AR91" s="17">
        <v>72</v>
      </c>
      <c r="AS91" s="17" t="str">
        <f t="shared" si="22"/>
        <v/>
      </c>
      <c r="AT91" s="17">
        <f t="array" ref="AT91">IFERROR(INDEX($AQ$231:$AQ$491,SMALL(IF(("Q"=$AP$231:$AP$491),MATCH(ROW($AP$231:$AP$491),ROW($AP$231:$AP$491)),""),ROWS($A$1:A72))),0)</f>
        <v>0</v>
      </c>
      <c r="AU91" s="17" t="str">
        <f t="shared" si="18"/>
        <v/>
      </c>
      <c r="BD91" s="17">
        <v>72</v>
      </c>
      <c r="BE91" s="17" t="str">
        <f t="shared" si="23"/>
        <v/>
      </c>
      <c r="BF91" s="17">
        <f t="array" ref="BF91">IFERROR(INDEX($BC$231:$BC$491,SMALL(IF(("Q"=$BB$231:$BB$491),MATCH(ROW($BB$231:$BB$491),ROW($BB$231:$BB$491)),""),ROWS($A$1:A72))),0)</f>
        <v>0</v>
      </c>
      <c r="BG91" s="17" t="str">
        <f t="shared" si="19"/>
        <v/>
      </c>
    </row>
    <row r="92" spans="3:59">
      <c r="C92" s="17">
        <v>73</v>
      </c>
      <c r="D92" s="17" t="str">
        <f t="shared" si="20"/>
        <v/>
      </c>
      <c r="E92" s="17">
        <f t="array" ref="E92">IFERROR(INDEX($B$231:$B$491,SMALL(IF(("Q"=$A$231:$A$491),MATCH(ROW($A$231:$A$491),ROW($A$231:$A$491)),""),ROWS($A$1:A73))),0)</f>
        <v>0</v>
      </c>
      <c r="F92" s="17" t="str">
        <f t="shared" si="14"/>
        <v/>
      </c>
      <c r="Q92" s="17">
        <v>73</v>
      </c>
      <c r="R92" s="17" t="str">
        <f t="shared" si="15"/>
        <v/>
      </c>
      <c r="S92" s="17">
        <f t="array" ref="S92">IFERROR(INDEX($P$231:$P$491,SMALL(IF(("Q"=$O$231:$O$491),MATCH(ROW($O$231:$O$491),ROW($O$231:$O$491)),""),ROWS($A$1:A73))),0)</f>
        <v>0</v>
      </c>
      <c r="T92" s="17" t="str">
        <f t="shared" si="16"/>
        <v/>
      </c>
      <c r="AD92" s="17">
        <v>73</v>
      </c>
      <c r="AE92" s="17" t="str">
        <f t="shared" si="21"/>
        <v/>
      </c>
      <c r="AF92" s="17">
        <f t="array" ref="AF92">IFERROR(INDEX($AC$231:$AC$491,SMALL(IF(("Q"=$AB$231:$AB$491),MATCH(ROW($AB$231:$AB$491),ROW($AB$231:$AB$491)),""),ROWS($A$1:A73))),0)</f>
        <v>0</v>
      </c>
      <c r="AG92" s="17" t="str">
        <f t="shared" si="17"/>
        <v/>
      </c>
      <c r="AR92" s="17">
        <v>73</v>
      </c>
      <c r="AS92" s="17" t="str">
        <f t="shared" si="22"/>
        <v/>
      </c>
      <c r="AT92" s="17">
        <f t="array" ref="AT92">IFERROR(INDEX($AQ$231:$AQ$491,SMALL(IF(("Q"=$AP$231:$AP$491),MATCH(ROW($AP$231:$AP$491),ROW($AP$231:$AP$491)),""),ROWS($A$1:A73))),0)</f>
        <v>0</v>
      </c>
      <c r="AU92" s="17" t="str">
        <f t="shared" si="18"/>
        <v/>
      </c>
      <c r="BD92" s="17">
        <v>73</v>
      </c>
      <c r="BE92" s="17" t="str">
        <f t="shared" si="23"/>
        <v/>
      </c>
      <c r="BF92" s="17">
        <f t="array" ref="BF92">IFERROR(INDEX($BC$231:$BC$491,SMALL(IF(("Q"=$BB$231:$BB$491),MATCH(ROW($BB$231:$BB$491),ROW($BB$231:$BB$491)),""),ROWS($A$1:A73))),0)</f>
        <v>0</v>
      </c>
      <c r="BG92" s="17" t="str">
        <f t="shared" si="19"/>
        <v/>
      </c>
    </row>
    <row r="93" spans="3:59">
      <c r="C93" s="17">
        <v>74</v>
      </c>
      <c r="D93" s="17" t="str">
        <f t="shared" si="20"/>
        <v/>
      </c>
      <c r="E93" s="17">
        <f t="array" ref="E93">IFERROR(INDEX($B$231:$B$491,SMALL(IF(("Q"=$A$231:$A$491),MATCH(ROW($A$231:$A$491),ROW($A$231:$A$491)),""),ROWS($A$1:A74))),0)</f>
        <v>0</v>
      </c>
      <c r="F93" s="17" t="str">
        <f t="shared" si="14"/>
        <v/>
      </c>
      <c r="Q93" s="17">
        <v>74</v>
      </c>
      <c r="R93" s="17" t="str">
        <f t="shared" si="15"/>
        <v/>
      </c>
      <c r="S93" s="17">
        <f t="array" ref="S93">IFERROR(INDEX($P$231:$P$491,SMALL(IF(("Q"=$O$231:$O$491),MATCH(ROW($O$231:$O$491),ROW($O$231:$O$491)),""),ROWS($A$1:A74))),0)</f>
        <v>0</v>
      </c>
      <c r="T93" s="17" t="str">
        <f t="shared" si="16"/>
        <v/>
      </c>
      <c r="AD93" s="17">
        <v>74</v>
      </c>
      <c r="AE93" s="17" t="str">
        <f t="shared" si="21"/>
        <v/>
      </c>
      <c r="AF93" s="17">
        <f t="array" ref="AF93">IFERROR(INDEX($AC$231:$AC$491,SMALL(IF(("Q"=$AB$231:$AB$491),MATCH(ROW($AB$231:$AB$491),ROW($AB$231:$AB$491)),""),ROWS($A$1:A74))),0)</f>
        <v>0</v>
      </c>
      <c r="AG93" s="17" t="str">
        <f t="shared" si="17"/>
        <v/>
      </c>
      <c r="AR93" s="17">
        <v>74</v>
      </c>
      <c r="AS93" s="17" t="str">
        <f t="shared" si="22"/>
        <v/>
      </c>
      <c r="AT93" s="17">
        <f t="array" ref="AT93">IFERROR(INDEX($AQ$231:$AQ$491,SMALL(IF(("Q"=$AP$231:$AP$491),MATCH(ROW($AP$231:$AP$491),ROW($AP$231:$AP$491)),""),ROWS($A$1:A74))),0)</f>
        <v>0</v>
      </c>
      <c r="AU93" s="17" t="str">
        <f t="shared" si="18"/>
        <v/>
      </c>
      <c r="BD93" s="17">
        <v>74</v>
      </c>
      <c r="BE93" s="17" t="str">
        <f t="shared" si="23"/>
        <v/>
      </c>
      <c r="BF93" s="17">
        <f t="array" ref="BF93">IFERROR(INDEX($BC$231:$BC$491,SMALL(IF(("Q"=$BB$231:$BB$491),MATCH(ROW($BB$231:$BB$491),ROW($BB$231:$BB$491)),""),ROWS($A$1:A74))),0)</f>
        <v>0</v>
      </c>
      <c r="BG93" s="17" t="str">
        <f t="shared" si="19"/>
        <v/>
      </c>
    </row>
    <row r="94" spans="3:59">
      <c r="C94" s="17">
        <v>75</v>
      </c>
      <c r="D94" s="17" t="str">
        <f t="shared" si="20"/>
        <v/>
      </c>
      <c r="E94" s="17">
        <f t="array" ref="E94">IFERROR(INDEX($B$231:$B$491,SMALL(IF(("Q"=$A$231:$A$491),MATCH(ROW($A$231:$A$491),ROW($A$231:$A$491)),""),ROWS($A$1:A75))),0)</f>
        <v>0</v>
      </c>
      <c r="F94" s="17" t="str">
        <f t="shared" si="14"/>
        <v/>
      </c>
      <c r="Q94" s="17">
        <v>75</v>
      </c>
      <c r="R94" s="17" t="str">
        <f t="shared" si="15"/>
        <v/>
      </c>
      <c r="S94" s="17">
        <f t="array" ref="S94">IFERROR(INDEX($P$231:$P$491,SMALL(IF(("Q"=$O$231:$O$491),MATCH(ROW($O$231:$O$491),ROW($O$231:$O$491)),""),ROWS($A$1:A75))),0)</f>
        <v>0</v>
      </c>
      <c r="T94" s="17" t="str">
        <f t="shared" si="16"/>
        <v/>
      </c>
      <c r="AD94" s="17">
        <v>75</v>
      </c>
      <c r="AE94" s="17" t="str">
        <f t="shared" si="21"/>
        <v/>
      </c>
      <c r="AF94" s="17">
        <f t="array" ref="AF94">IFERROR(INDEX($AC$231:$AC$491,SMALL(IF(("Q"=$AB$231:$AB$491),MATCH(ROW($AB$231:$AB$491),ROW($AB$231:$AB$491)),""),ROWS($A$1:A75))),0)</f>
        <v>0</v>
      </c>
      <c r="AG94" s="17" t="str">
        <f t="shared" si="17"/>
        <v/>
      </c>
      <c r="AR94" s="17">
        <v>75</v>
      </c>
      <c r="AS94" s="17" t="str">
        <f t="shared" si="22"/>
        <v/>
      </c>
      <c r="AT94" s="17">
        <f t="array" ref="AT94">IFERROR(INDEX($AQ$231:$AQ$491,SMALL(IF(("Q"=$AP$231:$AP$491),MATCH(ROW($AP$231:$AP$491),ROW($AP$231:$AP$491)),""),ROWS($A$1:A75))),0)</f>
        <v>0</v>
      </c>
      <c r="AU94" s="17" t="str">
        <f t="shared" si="18"/>
        <v/>
      </c>
      <c r="BD94" s="17">
        <v>75</v>
      </c>
      <c r="BE94" s="17" t="str">
        <f t="shared" si="23"/>
        <v/>
      </c>
      <c r="BF94" s="17">
        <f t="array" ref="BF94">IFERROR(INDEX($BC$231:$BC$491,SMALL(IF(("Q"=$BB$231:$BB$491),MATCH(ROW($BB$231:$BB$491),ROW($BB$231:$BB$491)),""),ROWS($A$1:A75))),0)</f>
        <v>0</v>
      </c>
      <c r="BG94" s="17" t="str">
        <f t="shared" si="19"/>
        <v/>
      </c>
    </row>
    <row r="95" spans="3:59">
      <c r="C95" s="17">
        <v>76</v>
      </c>
      <c r="D95" s="17" t="str">
        <f t="shared" si="20"/>
        <v/>
      </c>
      <c r="E95" s="17">
        <f t="array" ref="E95">IFERROR(INDEX($B$231:$B$491,SMALL(IF(("Q"=$A$231:$A$491),MATCH(ROW($A$231:$A$491),ROW($A$231:$A$491)),""),ROWS($A$1:A76))),0)</f>
        <v>0</v>
      </c>
      <c r="F95" s="17" t="str">
        <f t="shared" si="14"/>
        <v/>
      </c>
      <c r="Q95" s="17">
        <v>76</v>
      </c>
      <c r="R95" s="17" t="str">
        <f t="shared" si="15"/>
        <v/>
      </c>
      <c r="S95" s="17">
        <f t="array" ref="S95">IFERROR(INDEX($P$231:$P$491,SMALL(IF(("Q"=$O$231:$O$491),MATCH(ROW($O$231:$O$491),ROW($O$231:$O$491)),""),ROWS($A$1:A76))),0)</f>
        <v>0</v>
      </c>
      <c r="T95" s="17" t="str">
        <f t="shared" si="16"/>
        <v/>
      </c>
      <c r="AD95" s="17">
        <v>76</v>
      </c>
      <c r="AE95" s="17" t="str">
        <f t="shared" si="21"/>
        <v/>
      </c>
      <c r="AF95" s="17">
        <f t="array" ref="AF95">IFERROR(INDEX($AC$231:$AC$491,SMALL(IF(("Q"=$AB$231:$AB$491),MATCH(ROW($AB$231:$AB$491),ROW($AB$231:$AB$491)),""),ROWS($A$1:A76))),0)</f>
        <v>0</v>
      </c>
      <c r="AG95" s="17" t="str">
        <f t="shared" si="17"/>
        <v/>
      </c>
      <c r="AR95" s="17">
        <v>76</v>
      </c>
      <c r="AS95" s="17" t="str">
        <f t="shared" si="22"/>
        <v/>
      </c>
      <c r="AT95" s="17">
        <f t="array" ref="AT95">IFERROR(INDEX($AQ$231:$AQ$491,SMALL(IF(("Q"=$AP$231:$AP$491),MATCH(ROW($AP$231:$AP$491),ROW($AP$231:$AP$491)),""),ROWS($A$1:A76))),0)</f>
        <v>0</v>
      </c>
      <c r="AU95" s="17" t="str">
        <f t="shared" si="18"/>
        <v/>
      </c>
      <c r="BD95" s="17">
        <v>76</v>
      </c>
      <c r="BE95" s="17" t="str">
        <f t="shared" si="23"/>
        <v/>
      </c>
      <c r="BF95" s="17">
        <f t="array" ref="BF95">IFERROR(INDEX($BC$231:$BC$491,SMALL(IF(("Q"=$BB$231:$BB$491),MATCH(ROW($BB$231:$BB$491),ROW($BB$231:$BB$491)),""),ROWS($A$1:A76))),0)</f>
        <v>0</v>
      </c>
      <c r="BG95" s="17" t="str">
        <f t="shared" si="19"/>
        <v/>
      </c>
    </row>
    <row r="96" spans="3:59">
      <c r="C96" s="17">
        <v>77</v>
      </c>
      <c r="D96" s="17" t="str">
        <f t="shared" si="20"/>
        <v/>
      </c>
      <c r="E96" s="17">
        <f t="array" ref="E96">IFERROR(INDEX($B$231:$B$491,SMALL(IF(("Q"=$A$231:$A$491),MATCH(ROW($A$231:$A$491),ROW($A$231:$A$491)),""),ROWS($A$1:A77))),0)</f>
        <v>0</v>
      </c>
      <c r="F96" s="17" t="str">
        <f t="shared" si="14"/>
        <v/>
      </c>
      <c r="Q96" s="17">
        <v>77</v>
      </c>
      <c r="R96" s="17" t="str">
        <f t="shared" si="15"/>
        <v/>
      </c>
      <c r="S96" s="17">
        <f t="array" ref="S96">IFERROR(INDEX($P$231:$P$491,SMALL(IF(("Q"=$O$231:$O$491),MATCH(ROW($O$231:$O$491),ROW($O$231:$O$491)),""),ROWS($A$1:A77))),0)</f>
        <v>0</v>
      </c>
      <c r="T96" s="17" t="str">
        <f t="shared" si="16"/>
        <v/>
      </c>
      <c r="AD96" s="17">
        <v>77</v>
      </c>
      <c r="AE96" s="17" t="str">
        <f t="shared" si="21"/>
        <v/>
      </c>
      <c r="AF96" s="17">
        <f t="array" ref="AF96">IFERROR(INDEX($AC$231:$AC$491,SMALL(IF(("Q"=$AB$231:$AB$491),MATCH(ROW($AB$231:$AB$491),ROW($AB$231:$AB$491)),""),ROWS($A$1:A77))),0)</f>
        <v>0</v>
      </c>
      <c r="AG96" s="17" t="str">
        <f t="shared" si="17"/>
        <v/>
      </c>
      <c r="AR96" s="17">
        <v>77</v>
      </c>
      <c r="AS96" s="17" t="str">
        <f t="shared" si="22"/>
        <v/>
      </c>
      <c r="AT96" s="17">
        <f t="array" ref="AT96">IFERROR(INDEX($AQ$231:$AQ$491,SMALL(IF(("Q"=$AP$231:$AP$491),MATCH(ROW($AP$231:$AP$491),ROW($AP$231:$AP$491)),""),ROWS($A$1:A77))),0)</f>
        <v>0</v>
      </c>
      <c r="AU96" s="17" t="str">
        <f t="shared" si="18"/>
        <v/>
      </c>
      <c r="BD96" s="17">
        <v>77</v>
      </c>
      <c r="BE96" s="17" t="str">
        <f t="shared" si="23"/>
        <v/>
      </c>
      <c r="BF96" s="17">
        <f t="array" ref="BF96">IFERROR(INDEX($BC$231:$BC$491,SMALL(IF(("Q"=$BB$231:$BB$491),MATCH(ROW($BB$231:$BB$491),ROW($BB$231:$BB$491)),""),ROWS($A$1:A77))),0)</f>
        <v>0</v>
      </c>
      <c r="BG96" s="17" t="str">
        <f t="shared" si="19"/>
        <v/>
      </c>
    </row>
    <row r="97" spans="3:59">
      <c r="C97" s="17">
        <v>78</v>
      </c>
      <c r="D97" s="17" t="str">
        <f t="shared" si="20"/>
        <v/>
      </c>
      <c r="E97" s="17">
        <f t="array" ref="E97">IFERROR(INDEX($B$231:$B$491,SMALL(IF(("Q"=$A$231:$A$491),MATCH(ROW($A$231:$A$491),ROW($A$231:$A$491)),""),ROWS($A$1:A78))),0)</f>
        <v>0</v>
      </c>
      <c r="F97" s="17" t="str">
        <f t="shared" si="14"/>
        <v/>
      </c>
      <c r="Q97" s="17">
        <v>78</v>
      </c>
      <c r="R97" s="17" t="str">
        <f t="shared" si="15"/>
        <v/>
      </c>
      <c r="S97" s="17">
        <f t="array" ref="S97">IFERROR(INDEX($P$231:$P$491,SMALL(IF(("Q"=$O$231:$O$491),MATCH(ROW($O$231:$O$491),ROW($O$231:$O$491)),""),ROWS($A$1:A78))),0)</f>
        <v>0</v>
      </c>
      <c r="T97" s="17" t="str">
        <f t="shared" si="16"/>
        <v/>
      </c>
      <c r="AD97" s="17">
        <v>78</v>
      </c>
      <c r="AE97" s="17" t="str">
        <f t="shared" si="21"/>
        <v/>
      </c>
      <c r="AF97" s="17">
        <f t="array" ref="AF97">IFERROR(INDEX($AC$231:$AC$491,SMALL(IF(("Q"=$AB$231:$AB$491),MATCH(ROW($AB$231:$AB$491),ROW($AB$231:$AB$491)),""),ROWS($A$1:A78))),0)</f>
        <v>0</v>
      </c>
      <c r="AG97" s="17" t="str">
        <f t="shared" si="17"/>
        <v/>
      </c>
      <c r="AR97" s="17">
        <v>78</v>
      </c>
      <c r="AS97" s="17" t="str">
        <f t="shared" si="22"/>
        <v/>
      </c>
      <c r="AT97" s="17">
        <f t="array" ref="AT97">IFERROR(INDEX($AQ$231:$AQ$491,SMALL(IF(("Q"=$AP$231:$AP$491),MATCH(ROW($AP$231:$AP$491),ROW($AP$231:$AP$491)),""),ROWS($A$1:A78))),0)</f>
        <v>0</v>
      </c>
      <c r="AU97" s="17" t="str">
        <f t="shared" si="18"/>
        <v/>
      </c>
      <c r="BD97" s="17">
        <v>78</v>
      </c>
      <c r="BE97" s="17" t="str">
        <f t="shared" si="23"/>
        <v/>
      </c>
      <c r="BF97" s="17">
        <f t="array" ref="BF97">IFERROR(INDEX($BC$231:$BC$491,SMALL(IF(("Q"=$BB$231:$BB$491),MATCH(ROW($BB$231:$BB$491),ROW($BB$231:$BB$491)),""),ROWS($A$1:A78))),0)</f>
        <v>0</v>
      </c>
      <c r="BG97" s="17" t="str">
        <f t="shared" si="19"/>
        <v/>
      </c>
    </row>
    <row r="98" spans="3:59">
      <c r="C98" s="17">
        <v>79</v>
      </c>
      <c r="D98" s="17" t="str">
        <f t="shared" si="20"/>
        <v/>
      </c>
      <c r="E98" s="17">
        <f t="array" ref="E98">IFERROR(INDEX($B$231:$B$491,SMALL(IF(("Q"=$A$231:$A$491),MATCH(ROW($A$231:$A$491),ROW($A$231:$A$491)),""),ROWS($A$1:A79))),0)</f>
        <v>0</v>
      </c>
      <c r="F98" s="17" t="str">
        <f t="shared" si="14"/>
        <v/>
      </c>
      <c r="Q98" s="17">
        <v>79</v>
      </c>
      <c r="R98" s="17" t="str">
        <f t="shared" si="15"/>
        <v/>
      </c>
      <c r="S98" s="17">
        <f t="array" ref="S98">IFERROR(INDEX($P$231:$P$491,SMALL(IF(("Q"=$O$231:$O$491),MATCH(ROW($O$231:$O$491),ROW($O$231:$O$491)),""),ROWS($A$1:A79))),0)</f>
        <v>0</v>
      </c>
      <c r="T98" s="17" t="str">
        <f t="shared" si="16"/>
        <v/>
      </c>
      <c r="AD98" s="17">
        <v>79</v>
      </c>
      <c r="AE98" s="17" t="str">
        <f t="shared" si="21"/>
        <v/>
      </c>
      <c r="AF98" s="17">
        <f t="array" ref="AF98">IFERROR(INDEX($AC$231:$AC$491,SMALL(IF(("Q"=$AB$231:$AB$491),MATCH(ROW($AB$231:$AB$491),ROW($AB$231:$AB$491)),""),ROWS($A$1:A79))),0)</f>
        <v>0</v>
      </c>
      <c r="AG98" s="17" t="str">
        <f t="shared" si="17"/>
        <v/>
      </c>
      <c r="AR98" s="17">
        <v>79</v>
      </c>
      <c r="AS98" s="17" t="str">
        <f t="shared" si="22"/>
        <v/>
      </c>
      <c r="AT98" s="17">
        <f t="array" ref="AT98">IFERROR(INDEX($AQ$231:$AQ$491,SMALL(IF(("Q"=$AP$231:$AP$491),MATCH(ROW($AP$231:$AP$491),ROW($AP$231:$AP$491)),""),ROWS($A$1:A79))),0)</f>
        <v>0</v>
      </c>
      <c r="AU98" s="17" t="str">
        <f t="shared" si="18"/>
        <v/>
      </c>
      <c r="BD98" s="17">
        <v>79</v>
      </c>
      <c r="BE98" s="17" t="str">
        <f t="shared" si="23"/>
        <v/>
      </c>
      <c r="BF98" s="17">
        <f t="array" ref="BF98">IFERROR(INDEX($BC$231:$BC$491,SMALL(IF(("Q"=$BB$231:$BB$491),MATCH(ROW($BB$231:$BB$491),ROW($BB$231:$BB$491)),""),ROWS($A$1:A79))),0)</f>
        <v>0</v>
      </c>
      <c r="BG98" s="17" t="str">
        <f t="shared" si="19"/>
        <v/>
      </c>
    </row>
    <row r="99" spans="3:59">
      <c r="C99" s="17">
        <v>80</v>
      </c>
      <c r="D99" s="17" t="str">
        <f t="shared" si="20"/>
        <v/>
      </c>
      <c r="E99" s="17">
        <f t="array" ref="E99">IFERROR(INDEX($B$231:$B$491,SMALL(IF(("Q"=$A$231:$A$491),MATCH(ROW($A$231:$A$491),ROW($A$231:$A$491)),""),ROWS($A$1:A80))),0)</f>
        <v>0</v>
      </c>
      <c r="F99" s="17" t="str">
        <f t="shared" si="14"/>
        <v/>
      </c>
      <c r="Q99" s="17">
        <v>80</v>
      </c>
      <c r="R99" s="17" t="str">
        <f t="shared" si="15"/>
        <v/>
      </c>
      <c r="S99" s="17">
        <f t="array" ref="S99">IFERROR(INDEX($P$231:$P$491,SMALL(IF(("Q"=$O$231:$O$491),MATCH(ROW($O$231:$O$491),ROW($O$231:$O$491)),""),ROWS($A$1:A80))),0)</f>
        <v>0</v>
      </c>
      <c r="T99" s="17" t="str">
        <f t="shared" si="16"/>
        <v/>
      </c>
      <c r="AD99" s="17">
        <v>80</v>
      </c>
      <c r="AE99" s="17" t="str">
        <f t="shared" si="21"/>
        <v/>
      </c>
      <c r="AF99" s="17">
        <f t="array" ref="AF99">IFERROR(INDEX($AC$231:$AC$491,SMALL(IF(("Q"=$AB$231:$AB$491),MATCH(ROW($AB$231:$AB$491),ROW($AB$231:$AB$491)),""),ROWS($A$1:A80))),0)</f>
        <v>0</v>
      </c>
      <c r="AG99" s="17" t="str">
        <f t="shared" si="17"/>
        <v/>
      </c>
      <c r="AR99" s="17">
        <v>80</v>
      </c>
      <c r="AS99" s="17" t="str">
        <f t="shared" si="22"/>
        <v/>
      </c>
      <c r="AT99" s="17">
        <f t="array" ref="AT99">IFERROR(INDEX($AQ$231:$AQ$491,SMALL(IF(("Q"=$AP$231:$AP$491),MATCH(ROW($AP$231:$AP$491),ROW($AP$231:$AP$491)),""),ROWS($A$1:A80))),0)</f>
        <v>0</v>
      </c>
      <c r="AU99" s="17" t="str">
        <f t="shared" si="18"/>
        <v/>
      </c>
      <c r="BD99" s="17">
        <v>80</v>
      </c>
      <c r="BE99" s="17" t="str">
        <f t="shared" si="23"/>
        <v/>
      </c>
      <c r="BF99" s="17">
        <f t="array" ref="BF99">IFERROR(INDEX($BC$231:$BC$491,SMALL(IF(("Q"=$BB$231:$BB$491),MATCH(ROW($BB$231:$BB$491),ROW($BB$231:$BB$491)),""),ROWS($A$1:A80))),0)</f>
        <v>0</v>
      </c>
      <c r="BG99" s="17" t="str">
        <f t="shared" si="19"/>
        <v/>
      </c>
    </row>
    <row r="100" spans="3:59">
      <c r="C100" s="17">
        <v>81</v>
      </c>
      <c r="D100" s="17" t="str">
        <f t="shared" si="20"/>
        <v/>
      </c>
      <c r="E100" s="17">
        <f t="array" ref="E100">IFERROR(INDEX($B$231:$B$491,SMALL(IF(("Q"=$A$231:$A$491),MATCH(ROW($A$231:$A$491),ROW($A$231:$A$491)),""),ROWS($A$1:A81))),0)</f>
        <v>0</v>
      </c>
      <c r="F100" s="17" t="str">
        <f t="shared" si="14"/>
        <v/>
      </c>
      <c r="Q100" s="17">
        <v>81</v>
      </c>
      <c r="R100" s="17" t="str">
        <f t="shared" si="15"/>
        <v/>
      </c>
      <c r="S100" s="17">
        <f t="array" ref="S100">IFERROR(INDEX($P$231:$P$491,SMALL(IF(("Q"=$O$231:$O$491),MATCH(ROW($O$231:$O$491),ROW($O$231:$O$491)),""),ROWS($A$1:A81))),0)</f>
        <v>0</v>
      </c>
      <c r="T100" s="17" t="str">
        <f t="shared" si="16"/>
        <v/>
      </c>
      <c r="AD100" s="17">
        <v>81</v>
      </c>
      <c r="AE100" s="17" t="str">
        <f t="shared" si="21"/>
        <v/>
      </c>
      <c r="AF100" s="17">
        <f t="array" ref="AF100">IFERROR(INDEX($AC$231:$AC$491,SMALL(IF(("Q"=$AB$231:$AB$491),MATCH(ROW($AB$231:$AB$491),ROW($AB$231:$AB$491)),""),ROWS($A$1:A81))),0)</f>
        <v>0</v>
      </c>
      <c r="AG100" s="17" t="str">
        <f t="shared" si="17"/>
        <v/>
      </c>
      <c r="AR100" s="17">
        <v>81</v>
      </c>
      <c r="AS100" s="17" t="str">
        <f t="shared" si="22"/>
        <v/>
      </c>
      <c r="AT100" s="17">
        <f t="array" ref="AT100">IFERROR(INDEX($AQ$231:$AQ$491,SMALL(IF(("Q"=$AP$231:$AP$491),MATCH(ROW($AP$231:$AP$491),ROW($AP$231:$AP$491)),""),ROWS($A$1:A81))),0)</f>
        <v>0</v>
      </c>
      <c r="AU100" s="17" t="str">
        <f t="shared" si="18"/>
        <v/>
      </c>
      <c r="BD100" s="17">
        <v>81</v>
      </c>
      <c r="BE100" s="17" t="str">
        <f t="shared" si="23"/>
        <v/>
      </c>
      <c r="BF100" s="17">
        <f t="array" ref="BF100">IFERROR(INDEX($BC$231:$BC$491,SMALL(IF(("Q"=$BB$231:$BB$491),MATCH(ROW($BB$231:$BB$491),ROW($BB$231:$BB$491)),""),ROWS($A$1:A81))),0)</f>
        <v>0</v>
      </c>
      <c r="BG100" s="17" t="str">
        <f t="shared" si="19"/>
        <v/>
      </c>
    </row>
    <row r="101" spans="3:59">
      <c r="C101" s="17">
        <v>82</v>
      </c>
      <c r="D101" s="17" t="str">
        <f t="shared" si="20"/>
        <v/>
      </c>
      <c r="E101" s="17">
        <f t="array" ref="E101">IFERROR(INDEX($B$231:$B$491,SMALL(IF(("Q"=$A$231:$A$491),MATCH(ROW($A$231:$A$491),ROW($A$231:$A$491)),""),ROWS($A$1:A82))),0)</f>
        <v>0</v>
      </c>
      <c r="F101" s="17" t="str">
        <f t="shared" si="14"/>
        <v/>
      </c>
      <c r="Q101" s="17">
        <v>82</v>
      </c>
      <c r="R101" s="17" t="str">
        <f t="shared" si="15"/>
        <v/>
      </c>
      <c r="S101" s="17">
        <f t="array" ref="S101">IFERROR(INDEX($P$231:$P$491,SMALL(IF(("Q"=$O$231:$O$491),MATCH(ROW($O$231:$O$491),ROW($O$231:$O$491)),""),ROWS($A$1:A82))),0)</f>
        <v>0</v>
      </c>
      <c r="T101" s="17" t="str">
        <f t="shared" si="16"/>
        <v/>
      </c>
      <c r="AD101" s="17">
        <v>82</v>
      </c>
      <c r="AE101" s="17" t="str">
        <f t="shared" si="21"/>
        <v/>
      </c>
      <c r="AF101" s="17">
        <f t="array" ref="AF101">IFERROR(INDEX($AC$231:$AC$491,SMALL(IF(("Q"=$AB$231:$AB$491),MATCH(ROW($AB$231:$AB$491),ROW($AB$231:$AB$491)),""),ROWS($A$1:A82))),0)</f>
        <v>0</v>
      </c>
      <c r="AG101" s="17" t="str">
        <f t="shared" si="17"/>
        <v/>
      </c>
      <c r="AR101" s="17">
        <v>82</v>
      </c>
      <c r="AS101" s="17" t="str">
        <f t="shared" si="22"/>
        <v/>
      </c>
      <c r="AT101" s="17">
        <f t="array" ref="AT101">IFERROR(INDEX($AQ$231:$AQ$491,SMALL(IF(("Q"=$AP$231:$AP$491),MATCH(ROW($AP$231:$AP$491),ROW($AP$231:$AP$491)),""),ROWS($A$1:A82))),0)</f>
        <v>0</v>
      </c>
      <c r="AU101" s="17" t="str">
        <f t="shared" si="18"/>
        <v/>
      </c>
      <c r="BD101" s="17">
        <v>82</v>
      </c>
      <c r="BE101" s="17" t="str">
        <f t="shared" si="23"/>
        <v/>
      </c>
      <c r="BF101" s="17">
        <f t="array" ref="BF101">IFERROR(INDEX($BC$231:$BC$491,SMALL(IF(("Q"=$BB$231:$BB$491),MATCH(ROW($BB$231:$BB$491),ROW($BB$231:$BB$491)),""),ROWS($A$1:A82))),0)</f>
        <v>0</v>
      </c>
      <c r="BG101" s="17" t="str">
        <f t="shared" si="19"/>
        <v/>
      </c>
    </row>
    <row r="102" spans="3:59">
      <c r="C102" s="17">
        <v>83</v>
      </c>
      <c r="D102" s="17" t="str">
        <f t="shared" si="20"/>
        <v/>
      </c>
      <c r="E102" s="17">
        <f t="array" ref="E102">IFERROR(INDEX($B$231:$B$491,SMALL(IF(("Q"=$A$231:$A$491),MATCH(ROW($A$231:$A$491),ROW($A$231:$A$491)),""),ROWS($A$1:A83))),0)</f>
        <v>0</v>
      </c>
      <c r="F102" s="17" t="str">
        <f t="shared" si="14"/>
        <v/>
      </c>
      <c r="Q102" s="17">
        <v>83</v>
      </c>
      <c r="R102" s="17" t="str">
        <f t="shared" si="15"/>
        <v/>
      </c>
      <c r="S102" s="17">
        <f t="array" ref="S102">IFERROR(INDEX($P$231:$P$491,SMALL(IF(("Q"=$O$231:$O$491),MATCH(ROW($O$231:$O$491),ROW($O$231:$O$491)),""),ROWS($A$1:A83))),0)</f>
        <v>0</v>
      </c>
      <c r="T102" s="17" t="str">
        <f t="shared" si="16"/>
        <v/>
      </c>
      <c r="AD102" s="17">
        <v>83</v>
      </c>
      <c r="AE102" s="17" t="str">
        <f t="shared" si="21"/>
        <v/>
      </c>
      <c r="AF102" s="17">
        <f t="array" ref="AF102">IFERROR(INDEX($AC$231:$AC$491,SMALL(IF(("Q"=$AB$231:$AB$491),MATCH(ROW($AB$231:$AB$491),ROW($AB$231:$AB$491)),""),ROWS($A$1:A83))),0)</f>
        <v>0</v>
      </c>
      <c r="AG102" s="17" t="str">
        <f t="shared" si="17"/>
        <v/>
      </c>
      <c r="AR102" s="17">
        <v>83</v>
      </c>
      <c r="AS102" s="17" t="str">
        <f t="shared" si="22"/>
        <v/>
      </c>
      <c r="AT102" s="17">
        <f t="array" ref="AT102">IFERROR(INDEX($AQ$231:$AQ$491,SMALL(IF(("Q"=$AP$231:$AP$491),MATCH(ROW($AP$231:$AP$491),ROW($AP$231:$AP$491)),""),ROWS($A$1:A83))),0)</f>
        <v>0</v>
      </c>
      <c r="AU102" s="17" t="str">
        <f t="shared" si="18"/>
        <v/>
      </c>
      <c r="BD102" s="17">
        <v>83</v>
      </c>
      <c r="BE102" s="17" t="str">
        <f t="shared" si="23"/>
        <v/>
      </c>
      <c r="BF102" s="17">
        <f t="array" ref="BF102">IFERROR(INDEX($BC$231:$BC$491,SMALL(IF(("Q"=$BB$231:$BB$491),MATCH(ROW($BB$231:$BB$491),ROW($BB$231:$BB$491)),""),ROWS($A$1:A83))),0)</f>
        <v>0</v>
      </c>
      <c r="BG102" s="17" t="str">
        <f t="shared" si="19"/>
        <v/>
      </c>
    </row>
    <row r="103" spans="3:59">
      <c r="C103" s="17">
        <v>84</v>
      </c>
      <c r="D103" s="17" t="str">
        <f t="shared" si="20"/>
        <v/>
      </c>
      <c r="E103" s="17">
        <f t="array" ref="E103">IFERROR(INDEX($B$231:$B$491,SMALL(IF(("Q"=$A$231:$A$491),MATCH(ROW($A$231:$A$491),ROW($A$231:$A$491)),""),ROWS($A$1:A84))),0)</f>
        <v>0</v>
      </c>
      <c r="F103" s="17" t="str">
        <f t="shared" si="14"/>
        <v/>
      </c>
      <c r="Q103" s="17">
        <v>84</v>
      </c>
      <c r="R103" s="17" t="str">
        <f t="shared" si="15"/>
        <v/>
      </c>
      <c r="S103" s="17">
        <f t="array" ref="S103">IFERROR(INDEX($P$231:$P$491,SMALL(IF(("Q"=$O$231:$O$491),MATCH(ROW($O$231:$O$491),ROW($O$231:$O$491)),""),ROWS($A$1:A84))),0)</f>
        <v>0</v>
      </c>
      <c r="T103" s="17" t="str">
        <f t="shared" si="16"/>
        <v/>
      </c>
      <c r="AD103" s="17">
        <v>84</v>
      </c>
      <c r="AE103" s="17" t="str">
        <f t="shared" si="21"/>
        <v/>
      </c>
      <c r="AF103" s="17">
        <f t="array" ref="AF103">IFERROR(INDEX($AC$231:$AC$491,SMALL(IF(("Q"=$AB$231:$AB$491),MATCH(ROW($AB$231:$AB$491),ROW($AB$231:$AB$491)),""),ROWS($A$1:A84))),0)</f>
        <v>0</v>
      </c>
      <c r="AG103" s="17" t="str">
        <f t="shared" si="17"/>
        <v/>
      </c>
      <c r="AR103" s="17">
        <v>84</v>
      </c>
      <c r="AS103" s="17" t="str">
        <f t="shared" si="22"/>
        <v/>
      </c>
      <c r="AT103" s="17">
        <f t="array" ref="AT103">IFERROR(INDEX($AQ$231:$AQ$491,SMALL(IF(("Q"=$AP$231:$AP$491),MATCH(ROW($AP$231:$AP$491),ROW($AP$231:$AP$491)),""),ROWS($A$1:A84))),0)</f>
        <v>0</v>
      </c>
      <c r="AU103" s="17" t="str">
        <f t="shared" si="18"/>
        <v/>
      </c>
      <c r="BD103" s="17">
        <v>84</v>
      </c>
      <c r="BE103" s="17" t="str">
        <f t="shared" si="23"/>
        <v/>
      </c>
      <c r="BF103" s="17">
        <f t="array" ref="BF103">IFERROR(INDEX($BC$231:$BC$491,SMALL(IF(("Q"=$BB$231:$BB$491),MATCH(ROW($BB$231:$BB$491),ROW($BB$231:$BB$491)),""),ROWS($A$1:A84))),0)</f>
        <v>0</v>
      </c>
      <c r="BG103" s="17" t="str">
        <f t="shared" si="19"/>
        <v/>
      </c>
    </row>
    <row r="104" spans="3:59">
      <c r="C104" s="17">
        <v>85</v>
      </c>
      <c r="D104" s="17" t="str">
        <f t="shared" si="20"/>
        <v/>
      </c>
      <c r="E104" s="17">
        <f t="array" ref="E104">IFERROR(INDEX($B$231:$B$491,SMALL(IF(("Q"=$A$231:$A$491),MATCH(ROW($A$231:$A$491),ROW($A$231:$A$491)),""),ROWS($A$1:A85))),0)</f>
        <v>0</v>
      </c>
      <c r="F104" s="17" t="str">
        <f t="shared" si="14"/>
        <v/>
      </c>
      <c r="Q104" s="17">
        <v>85</v>
      </c>
      <c r="R104" s="17" t="str">
        <f t="shared" si="15"/>
        <v/>
      </c>
      <c r="S104" s="17">
        <f t="array" ref="S104">IFERROR(INDEX($P$231:$P$491,SMALL(IF(("Q"=$O$231:$O$491),MATCH(ROW($O$231:$O$491),ROW($O$231:$O$491)),""),ROWS($A$1:A85))),0)</f>
        <v>0</v>
      </c>
      <c r="T104" s="17" t="str">
        <f t="shared" si="16"/>
        <v/>
      </c>
      <c r="AD104" s="17">
        <v>85</v>
      </c>
      <c r="AE104" s="17" t="str">
        <f t="shared" si="21"/>
        <v/>
      </c>
      <c r="AF104" s="17">
        <f t="array" ref="AF104">IFERROR(INDEX($AC$231:$AC$491,SMALL(IF(("Q"=$AB$231:$AB$491),MATCH(ROW($AB$231:$AB$491),ROW($AB$231:$AB$491)),""),ROWS($A$1:A85))),0)</f>
        <v>0</v>
      </c>
      <c r="AG104" s="17" t="str">
        <f t="shared" si="17"/>
        <v/>
      </c>
      <c r="AR104" s="17">
        <v>85</v>
      </c>
      <c r="AS104" s="17" t="str">
        <f t="shared" si="22"/>
        <v/>
      </c>
      <c r="AT104" s="17">
        <f t="array" ref="AT104">IFERROR(INDEX($AQ$231:$AQ$491,SMALL(IF(("Q"=$AP$231:$AP$491),MATCH(ROW($AP$231:$AP$491),ROW($AP$231:$AP$491)),""),ROWS($A$1:A85))),0)</f>
        <v>0</v>
      </c>
      <c r="AU104" s="17" t="str">
        <f t="shared" si="18"/>
        <v/>
      </c>
      <c r="BD104" s="17">
        <v>85</v>
      </c>
      <c r="BE104" s="17" t="str">
        <f t="shared" si="23"/>
        <v/>
      </c>
      <c r="BF104" s="17">
        <f t="array" ref="BF104">IFERROR(INDEX($BC$231:$BC$491,SMALL(IF(("Q"=$BB$231:$BB$491),MATCH(ROW($BB$231:$BB$491),ROW($BB$231:$BB$491)),""),ROWS($A$1:A85))),0)</f>
        <v>0</v>
      </c>
      <c r="BG104" s="17" t="str">
        <f t="shared" si="19"/>
        <v/>
      </c>
    </row>
    <row r="105" spans="3:59">
      <c r="C105" s="17">
        <v>86</v>
      </c>
      <c r="D105" s="17" t="str">
        <f t="shared" si="20"/>
        <v/>
      </c>
      <c r="E105" s="17">
        <f t="array" ref="E105">IFERROR(INDEX($B$231:$B$491,SMALL(IF(("Q"=$A$231:$A$491),MATCH(ROW($A$231:$A$491),ROW($A$231:$A$491)),""),ROWS($A$1:A86))),0)</f>
        <v>0</v>
      </c>
      <c r="F105" s="17" t="str">
        <f t="shared" si="14"/>
        <v/>
      </c>
      <c r="Q105" s="17">
        <v>86</v>
      </c>
      <c r="R105" s="17" t="str">
        <f t="shared" si="15"/>
        <v/>
      </c>
      <c r="S105" s="17">
        <f t="array" ref="S105">IFERROR(INDEX($P$231:$P$491,SMALL(IF(("Q"=$O$231:$O$491),MATCH(ROW($O$231:$O$491),ROW($O$231:$O$491)),""),ROWS($A$1:A86))),0)</f>
        <v>0</v>
      </c>
      <c r="T105" s="17" t="str">
        <f t="shared" si="16"/>
        <v/>
      </c>
      <c r="AD105" s="17">
        <v>86</v>
      </c>
      <c r="AE105" s="17" t="str">
        <f t="shared" si="21"/>
        <v/>
      </c>
      <c r="AF105" s="17">
        <f t="array" ref="AF105">IFERROR(INDEX($AC$231:$AC$491,SMALL(IF(("Q"=$AB$231:$AB$491),MATCH(ROW($AB$231:$AB$491),ROW($AB$231:$AB$491)),""),ROWS($A$1:A86))),0)</f>
        <v>0</v>
      </c>
      <c r="AG105" s="17" t="str">
        <f t="shared" si="17"/>
        <v/>
      </c>
      <c r="AR105" s="17">
        <v>86</v>
      </c>
      <c r="AS105" s="17" t="str">
        <f t="shared" si="22"/>
        <v/>
      </c>
      <c r="AT105" s="17">
        <f t="array" ref="AT105">IFERROR(INDEX($AQ$231:$AQ$491,SMALL(IF(("Q"=$AP$231:$AP$491),MATCH(ROW($AP$231:$AP$491),ROW($AP$231:$AP$491)),""),ROWS($A$1:A86))),0)</f>
        <v>0</v>
      </c>
      <c r="AU105" s="17" t="str">
        <f t="shared" si="18"/>
        <v/>
      </c>
      <c r="BD105" s="17">
        <v>86</v>
      </c>
      <c r="BE105" s="17" t="str">
        <f t="shared" si="23"/>
        <v/>
      </c>
      <c r="BF105" s="17">
        <f t="array" ref="BF105">IFERROR(INDEX($BC$231:$BC$491,SMALL(IF(("Q"=$BB$231:$BB$491),MATCH(ROW($BB$231:$BB$491),ROW($BB$231:$BB$491)),""),ROWS($A$1:A86))),0)</f>
        <v>0</v>
      </c>
      <c r="BG105" s="17" t="str">
        <f t="shared" si="19"/>
        <v/>
      </c>
    </row>
    <row r="106" spans="3:59">
      <c r="C106" s="17">
        <v>87</v>
      </c>
      <c r="D106" s="17" t="str">
        <f t="shared" si="20"/>
        <v/>
      </c>
      <c r="E106" s="17">
        <f t="array" ref="E106">IFERROR(INDEX($B$231:$B$491,SMALL(IF(("Q"=$A$231:$A$491),MATCH(ROW($A$231:$A$491),ROW($A$231:$A$491)),""),ROWS($A$1:A87))),0)</f>
        <v>0</v>
      </c>
      <c r="F106" s="17" t="str">
        <f t="shared" si="14"/>
        <v/>
      </c>
      <c r="Q106" s="17">
        <v>87</v>
      </c>
      <c r="R106" s="17" t="str">
        <f t="shared" si="15"/>
        <v/>
      </c>
      <c r="S106" s="17">
        <f t="array" ref="S106">IFERROR(INDEX($P$231:$P$491,SMALL(IF(("Q"=$O$231:$O$491),MATCH(ROW($O$231:$O$491),ROW($O$231:$O$491)),""),ROWS($A$1:A87))),0)</f>
        <v>0</v>
      </c>
      <c r="T106" s="17" t="str">
        <f t="shared" si="16"/>
        <v/>
      </c>
      <c r="AD106" s="17">
        <v>87</v>
      </c>
      <c r="AE106" s="17" t="str">
        <f t="shared" si="21"/>
        <v/>
      </c>
      <c r="AF106" s="17">
        <f t="array" ref="AF106">IFERROR(INDEX($AC$231:$AC$491,SMALL(IF(("Q"=$AB$231:$AB$491),MATCH(ROW($AB$231:$AB$491),ROW($AB$231:$AB$491)),""),ROWS($A$1:A87))),0)</f>
        <v>0</v>
      </c>
      <c r="AG106" s="17" t="str">
        <f t="shared" si="17"/>
        <v/>
      </c>
      <c r="AR106" s="17">
        <v>87</v>
      </c>
      <c r="AS106" s="17" t="str">
        <f t="shared" si="22"/>
        <v/>
      </c>
      <c r="AT106" s="17">
        <f t="array" ref="AT106">IFERROR(INDEX($AQ$231:$AQ$491,SMALL(IF(("Q"=$AP$231:$AP$491),MATCH(ROW($AP$231:$AP$491),ROW($AP$231:$AP$491)),""),ROWS($A$1:A87))),0)</f>
        <v>0</v>
      </c>
      <c r="AU106" s="17" t="str">
        <f t="shared" si="18"/>
        <v/>
      </c>
      <c r="BD106" s="17">
        <v>87</v>
      </c>
      <c r="BE106" s="17" t="str">
        <f t="shared" si="23"/>
        <v/>
      </c>
      <c r="BF106" s="17">
        <f t="array" ref="BF106">IFERROR(INDEX($BC$231:$BC$491,SMALL(IF(("Q"=$BB$231:$BB$491),MATCH(ROW($BB$231:$BB$491),ROW($BB$231:$BB$491)),""),ROWS($A$1:A87))),0)</f>
        <v>0</v>
      </c>
      <c r="BG106" s="17" t="str">
        <f t="shared" si="19"/>
        <v/>
      </c>
    </row>
    <row r="107" spans="3:59">
      <c r="C107" s="17">
        <v>88</v>
      </c>
      <c r="D107" s="17" t="str">
        <f t="shared" si="20"/>
        <v/>
      </c>
      <c r="E107" s="17">
        <f t="array" ref="E107">IFERROR(INDEX($B$231:$B$491,SMALL(IF(("Q"=$A$231:$A$491),MATCH(ROW($A$231:$A$491),ROW($A$231:$A$491)),""),ROWS($A$1:A88))),0)</f>
        <v>0</v>
      </c>
      <c r="F107" s="17" t="str">
        <f t="shared" si="14"/>
        <v/>
      </c>
      <c r="Q107" s="17">
        <v>88</v>
      </c>
      <c r="R107" s="17" t="str">
        <f t="shared" si="15"/>
        <v/>
      </c>
      <c r="S107" s="17">
        <f t="array" ref="S107">IFERROR(INDEX($P$231:$P$491,SMALL(IF(("Q"=$O$231:$O$491),MATCH(ROW($O$231:$O$491),ROW($O$231:$O$491)),""),ROWS($A$1:A88))),0)</f>
        <v>0</v>
      </c>
      <c r="T107" s="17" t="str">
        <f t="shared" si="16"/>
        <v/>
      </c>
      <c r="AD107" s="17">
        <v>88</v>
      </c>
      <c r="AE107" s="17" t="str">
        <f t="shared" si="21"/>
        <v/>
      </c>
      <c r="AF107" s="17">
        <f t="array" ref="AF107">IFERROR(INDEX($AC$231:$AC$491,SMALL(IF(("Q"=$AB$231:$AB$491),MATCH(ROW($AB$231:$AB$491),ROW($AB$231:$AB$491)),""),ROWS($A$1:A88))),0)</f>
        <v>0</v>
      </c>
      <c r="AG107" s="17" t="str">
        <f t="shared" si="17"/>
        <v/>
      </c>
      <c r="AR107" s="17">
        <v>88</v>
      </c>
      <c r="AS107" s="17" t="str">
        <f t="shared" si="22"/>
        <v/>
      </c>
      <c r="AT107" s="17">
        <f t="array" ref="AT107">IFERROR(INDEX($AQ$231:$AQ$491,SMALL(IF(("Q"=$AP$231:$AP$491),MATCH(ROW($AP$231:$AP$491),ROW($AP$231:$AP$491)),""),ROWS($A$1:A88))),0)</f>
        <v>0</v>
      </c>
      <c r="AU107" s="17" t="str">
        <f t="shared" si="18"/>
        <v/>
      </c>
      <c r="BD107" s="17">
        <v>88</v>
      </c>
      <c r="BE107" s="17" t="str">
        <f t="shared" si="23"/>
        <v/>
      </c>
      <c r="BF107" s="17">
        <f t="array" ref="BF107">IFERROR(INDEX($BC$231:$BC$491,SMALL(IF(("Q"=$BB$231:$BB$491),MATCH(ROW($BB$231:$BB$491),ROW($BB$231:$BB$491)),""),ROWS($A$1:A88))),0)</f>
        <v>0</v>
      </c>
      <c r="BG107" s="17" t="str">
        <f t="shared" si="19"/>
        <v/>
      </c>
    </row>
    <row r="108" spans="3:59">
      <c r="C108" s="17">
        <v>89</v>
      </c>
      <c r="D108" s="17" t="str">
        <f t="shared" si="20"/>
        <v/>
      </c>
      <c r="E108" s="17">
        <f t="array" ref="E108">IFERROR(INDEX($B$231:$B$491,SMALL(IF(("Q"=$A$231:$A$491),MATCH(ROW($A$231:$A$491),ROW($A$231:$A$491)),""),ROWS($A$1:A89))),0)</f>
        <v>0</v>
      </c>
      <c r="F108" s="17" t="str">
        <f t="shared" si="14"/>
        <v/>
      </c>
      <c r="Q108" s="17">
        <v>89</v>
      </c>
      <c r="R108" s="17" t="str">
        <f t="shared" si="15"/>
        <v/>
      </c>
      <c r="S108" s="17">
        <f t="array" ref="S108">IFERROR(INDEX($P$231:$P$491,SMALL(IF(("Q"=$O$231:$O$491),MATCH(ROW($O$231:$O$491),ROW($O$231:$O$491)),""),ROWS($A$1:A89))),0)</f>
        <v>0</v>
      </c>
      <c r="T108" s="17" t="str">
        <f t="shared" si="16"/>
        <v/>
      </c>
      <c r="AD108" s="17">
        <v>89</v>
      </c>
      <c r="AE108" s="17" t="str">
        <f t="shared" si="21"/>
        <v/>
      </c>
      <c r="AF108" s="17">
        <f t="array" ref="AF108">IFERROR(INDEX($AC$231:$AC$491,SMALL(IF(("Q"=$AB$231:$AB$491),MATCH(ROW($AB$231:$AB$491),ROW($AB$231:$AB$491)),""),ROWS($A$1:A89))),0)</f>
        <v>0</v>
      </c>
      <c r="AG108" s="17" t="str">
        <f t="shared" si="17"/>
        <v/>
      </c>
      <c r="AR108" s="17">
        <v>89</v>
      </c>
      <c r="AS108" s="17" t="str">
        <f t="shared" si="22"/>
        <v/>
      </c>
      <c r="AT108" s="17">
        <f t="array" ref="AT108">IFERROR(INDEX($AQ$231:$AQ$491,SMALL(IF(("Q"=$AP$231:$AP$491),MATCH(ROW($AP$231:$AP$491),ROW($AP$231:$AP$491)),""),ROWS($A$1:A89))),0)</f>
        <v>0</v>
      </c>
      <c r="AU108" s="17" t="str">
        <f t="shared" si="18"/>
        <v/>
      </c>
      <c r="BD108" s="17">
        <v>89</v>
      </c>
      <c r="BE108" s="17" t="str">
        <f t="shared" si="23"/>
        <v/>
      </c>
      <c r="BF108" s="17">
        <f t="array" ref="BF108">IFERROR(INDEX($BC$231:$BC$491,SMALL(IF(("Q"=$BB$231:$BB$491),MATCH(ROW($BB$231:$BB$491),ROW($BB$231:$BB$491)),""),ROWS($A$1:A89))),0)</f>
        <v>0</v>
      </c>
      <c r="BG108" s="17" t="str">
        <f t="shared" si="19"/>
        <v/>
      </c>
    </row>
    <row r="109" spans="3:59">
      <c r="C109" s="17">
        <v>90</v>
      </c>
      <c r="D109" s="17" t="str">
        <f t="shared" si="20"/>
        <v/>
      </c>
      <c r="E109" s="17">
        <f t="array" ref="E109">IFERROR(INDEX($B$231:$B$491,SMALL(IF(("Q"=$A$231:$A$491),MATCH(ROW($A$231:$A$491),ROW($A$231:$A$491)),""),ROWS($A$1:A90))),0)</f>
        <v>0</v>
      </c>
      <c r="F109" s="17" t="str">
        <f t="shared" si="14"/>
        <v/>
      </c>
      <c r="Q109" s="17">
        <v>90</v>
      </c>
      <c r="R109" s="17" t="str">
        <f t="shared" si="15"/>
        <v/>
      </c>
      <c r="S109" s="17">
        <f t="array" ref="S109">IFERROR(INDEX($P$231:$P$491,SMALL(IF(("Q"=$O$231:$O$491),MATCH(ROW($O$231:$O$491),ROW($O$231:$O$491)),""),ROWS($A$1:A90))),0)</f>
        <v>0</v>
      </c>
      <c r="T109" s="17" t="str">
        <f t="shared" si="16"/>
        <v/>
      </c>
      <c r="AD109" s="17">
        <v>90</v>
      </c>
      <c r="AE109" s="17" t="str">
        <f t="shared" si="21"/>
        <v/>
      </c>
      <c r="AF109" s="17">
        <f t="array" ref="AF109">IFERROR(INDEX($AC$231:$AC$491,SMALL(IF(("Q"=$AB$231:$AB$491),MATCH(ROW($AB$231:$AB$491),ROW($AB$231:$AB$491)),""),ROWS($A$1:A90))),0)</f>
        <v>0</v>
      </c>
      <c r="AG109" s="17" t="str">
        <f t="shared" si="17"/>
        <v/>
      </c>
      <c r="AR109" s="17">
        <v>90</v>
      </c>
      <c r="AS109" s="17" t="str">
        <f t="shared" si="22"/>
        <v/>
      </c>
      <c r="AT109" s="17">
        <f t="array" ref="AT109">IFERROR(INDEX($AQ$231:$AQ$491,SMALL(IF(("Q"=$AP$231:$AP$491),MATCH(ROW($AP$231:$AP$491),ROW($AP$231:$AP$491)),""),ROWS($A$1:A90))),0)</f>
        <v>0</v>
      </c>
      <c r="AU109" s="17" t="str">
        <f t="shared" si="18"/>
        <v/>
      </c>
      <c r="BD109" s="17">
        <v>90</v>
      </c>
      <c r="BE109" s="17" t="str">
        <f t="shared" si="23"/>
        <v/>
      </c>
      <c r="BF109" s="17">
        <f t="array" ref="BF109">IFERROR(INDEX($BC$231:$BC$491,SMALL(IF(("Q"=$BB$231:$BB$491),MATCH(ROW($BB$231:$BB$491),ROW($BB$231:$BB$491)),""),ROWS($A$1:A90))),0)</f>
        <v>0</v>
      </c>
      <c r="BG109" s="17" t="str">
        <f t="shared" si="19"/>
        <v/>
      </c>
    </row>
    <row r="110" spans="3:59">
      <c r="C110" s="17">
        <v>91</v>
      </c>
      <c r="D110" s="17" t="str">
        <f t="shared" si="20"/>
        <v/>
      </c>
      <c r="E110" s="17">
        <f t="array" ref="E110">IFERROR(INDEX($B$231:$B$491,SMALL(IF(("Q"=$A$231:$A$491),MATCH(ROW($A$231:$A$491),ROW($A$231:$A$491)),""),ROWS($A$1:A91))),0)</f>
        <v>0</v>
      </c>
      <c r="F110" s="17" t="str">
        <f t="shared" si="14"/>
        <v/>
      </c>
      <c r="Q110" s="17">
        <v>91</v>
      </c>
      <c r="R110" s="17" t="str">
        <f t="shared" si="15"/>
        <v/>
      </c>
      <c r="S110" s="17">
        <f t="array" ref="S110">IFERROR(INDEX($P$231:$P$491,SMALL(IF(("Q"=$O$231:$O$491),MATCH(ROW($O$231:$O$491),ROW($O$231:$O$491)),""),ROWS($A$1:A91))),0)</f>
        <v>0</v>
      </c>
      <c r="T110" s="17" t="str">
        <f t="shared" si="16"/>
        <v/>
      </c>
      <c r="AD110" s="17">
        <v>91</v>
      </c>
      <c r="AE110" s="17" t="str">
        <f t="shared" si="21"/>
        <v/>
      </c>
      <c r="AF110" s="17">
        <f t="array" ref="AF110">IFERROR(INDEX($AC$231:$AC$491,SMALL(IF(("Q"=$AB$231:$AB$491),MATCH(ROW($AB$231:$AB$491),ROW($AB$231:$AB$491)),""),ROWS($A$1:A91))),0)</f>
        <v>0</v>
      </c>
      <c r="AG110" s="17" t="str">
        <f t="shared" si="17"/>
        <v/>
      </c>
      <c r="AR110" s="17">
        <v>91</v>
      </c>
      <c r="AS110" s="17" t="str">
        <f t="shared" si="22"/>
        <v/>
      </c>
      <c r="AT110" s="17">
        <f t="array" ref="AT110">IFERROR(INDEX($AQ$231:$AQ$491,SMALL(IF(("Q"=$AP$231:$AP$491),MATCH(ROW($AP$231:$AP$491),ROW($AP$231:$AP$491)),""),ROWS($A$1:A91))),0)</f>
        <v>0</v>
      </c>
      <c r="AU110" s="17" t="str">
        <f t="shared" si="18"/>
        <v/>
      </c>
      <c r="BD110" s="17">
        <v>91</v>
      </c>
      <c r="BE110" s="17" t="str">
        <f t="shared" si="23"/>
        <v/>
      </c>
      <c r="BF110" s="17">
        <f t="array" ref="BF110">IFERROR(INDEX($BC$231:$BC$491,SMALL(IF(("Q"=$BB$231:$BB$491),MATCH(ROW($BB$231:$BB$491),ROW($BB$231:$BB$491)),""),ROWS($A$1:A91))),0)</f>
        <v>0</v>
      </c>
      <c r="BG110" s="17" t="str">
        <f t="shared" si="19"/>
        <v/>
      </c>
    </row>
    <row r="111" spans="3:59">
      <c r="C111" s="17">
        <v>92</v>
      </c>
      <c r="D111" s="17" t="str">
        <f t="shared" si="20"/>
        <v/>
      </c>
      <c r="E111" s="17">
        <f t="array" ref="E111">IFERROR(INDEX($B$231:$B$491,SMALL(IF(("Q"=$A$231:$A$491),MATCH(ROW($A$231:$A$491),ROW($A$231:$A$491)),""),ROWS($A$1:A92))),0)</f>
        <v>0</v>
      </c>
      <c r="F111" s="17" t="str">
        <f t="shared" si="14"/>
        <v/>
      </c>
      <c r="Q111" s="17">
        <v>92</v>
      </c>
      <c r="R111" s="17" t="str">
        <f t="shared" si="15"/>
        <v/>
      </c>
      <c r="S111" s="17">
        <f t="array" ref="S111">IFERROR(INDEX($P$231:$P$491,SMALL(IF(("Q"=$O$231:$O$491),MATCH(ROW($O$231:$O$491),ROW($O$231:$O$491)),""),ROWS($A$1:A92))),0)</f>
        <v>0</v>
      </c>
      <c r="T111" s="17" t="str">
        <f t="shared" si="16"/>
        <v/>
      </c>
      <c r="AD111" s="17">
        <v>92</v>
      </c>
      <c r="AE111" s="17" t="str">
        <f t="shared" si="21"/>
        <v/>
      </c>
      <c r="AF111" s="17">
        <f t="array" ref="AF111">IFERROR(INDEX($AC$231:$AC$491,SMALL(IF(("Q"=$AB$231:$AB$491),MATCH(ROW($AB$231:$AB$491),ROW($AB$231:$AB$491)),""),ROWS($A$1:A92))),0)</f>
        <v>0</v>
      </c>
      <c r="AG111" s="17" t="str">
        <f t="shared" si="17"/>
        <v/>
      </c>
      <c r="AR111" s="17">
        <v>92</v>
      </c>
      <c r="AS111" s="17" t="str">
        <f t="shared" si="22"/>
        <v/>
      </c>
      <c r="AT111" s="17">
        <f t="array" ref="AT111">IFERROR(INDEX($AQ$231:$AQ$491,SMALL(IF(("Q"=$AP$231:$AP$491),MATCH(ROW($AP$231:$AP$491),ROW($AP$231:$AP$491)),""),ROWS($A$1:A92))),0)</f>
        <v>0</v>
      </c>
      <c r="AU111" s="17" t="str">
        <f t="shared" si="18"/>
        <v/>
      </c>
      <c r="BD111" s="17">
        <v>92</v>
      </c>
      <c r="BE111" s="17" t="str">
        <f t="shared" si="23"/>
        <v/>
      </c>
      <c r="BF111" s="17">
        <f t="array" ref="BF111">IFERROR(INDEX($BC$231:$BC$491,SMALL(IF(("Q"=$BB$231:$BB$491),MATCH(ROW($BB$231:$BB$491),ROW($BB$231:$BB$491)),""),ROWS($A$1:A92))),0)</f>
        <v>0</v>
      </c>
      <c r="BG111" s="17" t="str">
        <f t="shared" si="19"/>
        <v/>
      </c>
    </row>
    <row r="112" spans="3:59">
      <c r="C112" s="17">
        <v>93</v>
      </c>
      <c r="D112" s="17" t="str">
        <f t="shared" si="20"/>
        <v/>
      </c>
      <c r="E112" s="17">
        <f t="array" ref="E112">IFERROR(INDEX($B$231:$B$491,SMALL(IF(("Q"=$A$231:$A$491),MATCH(ROW($A$231:$A$491),ROW($A$231:$A$491)),""),ROWS($A$1:A93))),0)</f>
        <v>0</v>
      </c>
      <c r="F112" s="17" t="str">
        <f t="shared" si="14"/>
        <v/>
      </c>
      <c r="Q112" s="17">
        <v>93</v>
      </c>
      <c r="R112" s="17" t="str">
        <f t="shared" si="15"/>
        <v/>
      </c>
      <c r="S112" s="17">
        <f t="array" ref="S112">IFERROR(INDEX($P$231:$P$491,SMALL(IF(("Q"=$O$231:$O$491),MATCH(ROW($O$231:$O$491),ROW($O$231:$O$491)),""),ROWS($A$1:A93))),0)</f>
        <v>0</v>
      </c>
      <c r="T112" s="17" t="str">
        <f t="shared" si="16"/>
        <v/>
      </c>
      <c r="AD112" s="17">
        <v>93</v>
      </c>
      <c r="AE112" s="17" t="str">
        <f t="shared" si="21"/>
        <v/>
      </c>
      <c r="AF112" s="17">
        <f t="array" ref="AF112">IFERROR(INDEX($AC$231:$AC$491,SMALL(IF(("Q"=$AB$231:$AB$491),MATCH(ROW($AB$231:$AB$491),ROW($AB$231:$AB$491)),""),ROWS($A$1:A93))),0)</f>
        <v>0</v>
      </c>
      <c r="AG112" s="17" t="str">
        <f t="shared" si="17"/>
        <v/>
      </c>
      <c r="AR112" s="17">
        <v>93</v>
      </c>
      <c r="AS112" s="17" t="str">
        <f t="shared" si="22"/>
        <v/>
      </c>
      <c r="AT112" s="17">
        <f t="array" ref="AT112">IFERROR(INDEX($AQ$231:$AQ$491,SMALL(IF(("Q"=$AP$231:$AP$491),MATCH(ROW($AP$231:$AP$491),ROW($AP$231:$AP$491)),""),ROWS($A$1:A93))),0)</f>
        <v>0</v>
      </c>
      <c r="AU112" s="17" t="str">
        <f t="shared" si="18"/>
        <v/>
      </c>
      <c r="BD112" s="17">
        <v>93</v>
      </c>
      <c r="BE112" s="17" t="str">
        <f t="shared" si="23"/>
        <v/>
      </c>
      <c r="BF112" s="17">
        <f t="array" ref="BF112">IFERROR(INDEX($BC$231:$BC$491,SMALL(IF(("Q"=$BB$231:$BB$491),MATCH(ROW($BB$231:$BB$491),ROW($BB$231:$BB$491)),""),ROWS($A$1:A93))),0)</f>
        <v>0</v>
      </c>
      <c r="BG112" s="17" t="str">
        <f t="shared" si="19"/>
        <v/>
      </c>
    </row>
    <row r="113" spans="3:59">
      <c r="C113" s="17">
        <v>94</v>
      </c>
      <c r="D113" s="17" t="str">
        <f t="shared" si="20"/>
        <v/>
      </c>
      <c r="E113" s="17">
        <f t="array" ref="E113">IFERROR(INDEX($B$231:$B$491,SMALL(IF(("Q"=$A$231:$A$491),MATCH(ROW($A$231:$A$491),ROW($A$231:$A$491)),""),ROWS($A$1:A94))),0)</f>
        <v>0</v>
      </c>
      <c r="F113" s="17" t="str">
        <f t="shared" si="14"/>
        <v/>
      </c>
      <c r="Q113" s="17">
        <v>94</v>
      </c>
      <c r="R113" s="17" t="str">
        <f t="shared" si="15"/>
        <v/>
      </c>
      <c r="S113" s="17">
        <f t="array" ref="S113">IFERROR(INDEX($P$231:$P$491,SMALL(IF(("Q"=$O$231:$O$491),MATCH(ROW($O$231:$O$491),ROW($O$231:$O$491)),""),ROWS($A$1:A94))),0)</f>
        <v>0</v>
      </c>
      <c r="T113" s="17" t="str">
        <f t="shared" si="16"/>
        <v/>
      </c>
      <c r="AD113" s="17">
        <v>94</v>
      </c>
      <c r="AE113" s="17" t="str">
        <f t="shared" si="21"/>
        <v/>
      </c>
      <c r="AF113" s="17">
        <f t="array" ref="AF113">IFERROR(INDEX($AC$231:$AC$491,SMALL(IF(("Q"=$AB$231:$AB$491),MATCH(ROW($AB$231:$AB$491),ROW($AB$231:$AB$491)),""),ROWS($A$1:A94))),0)</f>
        <v>0</v>
      </c>
      <c r="AG113" s="17" t="str">
        <f t="shared" si="17"/>
        <v/>
      </c>
      <c r="AR113" s="17">
        <v>94</v>
      </c>
      <c r="AS113" s="17" t="str">
        <f t="shared" si="22"/>
        <v/>
      </c>
      <c r="AT113" s="17">
        <f t="array" ref="AT113">IFERROR(INDEX($AQ$231:$AQ$491,SMALL(IF(("Q"=$AP$231:$AP$491),MATCH(ROW($AP$231:$AP$491),ROW($AP$231:$AP$491)),""),ROWS($A$1:A94))),0)</f>
        <v>0</v>
      </c>
      <c r="AU113" s="17" t="str">
        <f t="shared" si="18"/>
        <v/>
      </c>
      <c r="BD113" s="17">
        <v>94</v>
      </c>
      <c r="BE113" s="17" t="str">
        <f t="shared" si="23"/>
        <v/>
      </c>
      <c r="BF113" s="17">
        <f t="array" ref="BF113">IFERROR(INDEX($BC$231:$BC$491,SMALL(IF(("Q"=$BB$231:$BB$491),MATCH(ROW($BB$231:$BB$491),ROW($BB$231:$BB$491)),""),ROWS($A$1:A94))),0)</f>
        <v>0</v>
      </c>
      <c r="BG113" s="17" t="str">
        <f t="shared" si="19"/>
        <v/>
      </c>
    </row>
    <row r="114" spans="3:59">
      <c r="C114" s="17">
        <v>95</v>
      </c>
      <c r="D114" s="17" t="str">
        <f t="shared" si="20"/>
        <v/>
      </c>
      <c r="E114" s="17">
        <f t="array" ref="E114">IFERROR(INDEX($B$231:$B$491,SMALL(IF(("Q"=$A$231:$A$491),MATCH(ROW($A$231:$A$491),ROW($A$231:$A$491)),""),ROWS($A$1:A95))),0)</f>
        <v>0</v>
      </c>
      <c r="F114" s="17" t="str">
        <f t="shared" si="14"/>
        <v/>
      </c>
      <c r="Q114" s="17">
        <v>95</v>
      </c>
      <c r="R114" s="17" t="str">
        <f t="shared" si="15"/>
        <v/>
      </c>
      <c r="S114" s="17">
        <f t="array" ref="S114">IFERROR(INDEX($P$231:$P$491,SMALL(IF(("Q"=$O$231:$O$491),MATCH(ROW($O$231:$O$491),ROW($O$231:$O$491)),""),ROWS($A$1:A95))),0)</f>
        <v>0</v>
      </c>
      <c r="T114" s="17" t="str">
        <f t="shared" si="16"/>
        <v/>
      </c>
      <c r="AD114" s="17">
        <v>95</v>
      </c>
      <c r="AE114" s="17" t="str">
        <f t="shared" si="21"/>
        <v/>
      </c>
      <c r="AF114" s="17">
        <f t="array" ref="AF114">IFERROR(INDEX($AC$231:$AC$491,SMALL(IF(("Q"=$AB$231:$AB$491),MATCH(ROW($AB$231:$AB$491),ROW($AB$231:$AB$491)),""),ROWS($A$1:A95))),0)</f>
        <v>0</v>
      </c>
      <c r="AG114" s="17" t="str">
        <f t="shared" si="17"/>
        <v/>
      </c>
      <c r="AR114" s="17">
        <v>95</v>
      </c>
      <c r="AS114" s="17" t="str">
        <f t="shared" si="22"/>
        <v/>
      </c>
      <c r="AT114" s="17">
        <f t="array" ref="AT114">IFERROR(INDEX($AQ$231:$AQ$491,SMALL(IF(("Q"=$AP$231:$AP$491),MATCH(ROW($AP$231:$AP$491),ROW($AP$231:$AP$491)),""),ROWS($A$1:A95))),0)</f>
        <v>0</v>
      </c>
      <c r="AU114" s="17" t="str">
        <f t="shared" si="18"/>
        <v/>
      </c>
      <c r="BD114" s="17">
        <v>95</v>
      </c>
      <c r="BE114" s="17" t="str">
        <f t="shared" si="23"/>
        <v/>
      </c>
      <c r="BF114" s="17">
        <f t="array" ref="BF114">IFERROR(INDEX($BC$231:$BC$491,SMALL(IF(("Q"=$BB$231:$BB$491),MATCH(ROW($BB$231:$BB$491),ROW($BB$231:$BB$491)),""),ROWS($A$1:A95))),0)</f>
        <v>0</v>
      </c>
      <c r="BG114" s="17" t="str">
        <f t="shared" si="19"/>
        <v/>
      </c>
    </row>
    <row r="115" spans="3:59">
      <c r="C115" s="17">
        <v>96</v>
      </c>
      <c r="D115" s="17" t="str">
        <f t="shared" si="20"/>
        <v/>
      </c>
      <c r="E115" s="17">
        <f t="array" ref="E115">IFERROR(INDEX($B$231:$B$491,SMALL(IF(("Q"=$A$231:$A$491),MATCH(ROW($A$231:$A$491),ROW($A$231:$A$491)),""),ROWS($A$1:A96))),0)</f>
        <v>0</v>
      </c>
      <c r="F115" s="17" t="str">
        <f t="shared" si="14"/>
        <v/>
      </c>
      <c r="Q115" s="17">
        <v>96</v>
      </c>
      <c r="R115" s="17" t="str">
        <f t="shared" si="15"/>
        <v/>
      </c>
      <c r="S115" s="17">
        <f t="array" ref="S115">IFERROR(INDEX($P$231:$P$491,SMALL(IF(("Q"=$O$231:$O$491),MATCH(ROW($O$231:$O$491),ROW($O$231:$O$491)),""),ROWS($A$1:A96))),0)</f>
        <v>0</v>
      </c>
      <c r="T115" s="17" t="str">
        <f t="shared" si="16"/>
        <v/>
      </c>
      <c r="AD115" s="17">
        <v>96</v>
      </c>
      <c r="AE115" s="17" t="str">
        <f t="shared" si="21"/>
        <v/>
      </c>
      <c r="AF115" s="17">
        <f t="array" ref="AF115">IFERROR(INDEX($AC$231:$AC$491,SMALL(IF(("Q"=$AB$231:$AB$491),MATCH(ROW($AB$231:$AB$491),ROW($AB$231:$AB$491)),""),ROWS($A$1:A96))),0)</f>
        <v>0</v>
      </c>
      <c r="AG115" s="17" t="str">
        <f t="shared" si="17"/>
        <v/>
      </c>
      <c r="AR115" s="17">
        <v>96</v>
      </c>
      <c r="AS115" s="17" t="str">
        <f t="shared" si="22"/>
        <v/>
      </c>
      <c r="AT115" s="17">
        <f t="array" ref="AT115">IFERROR(INDEX($AQ$231:$AQ$491,SMALL(IF(("Q"=$AP$231:$AP$491),MATCH(ROW($AP$231:$AP$491),ROW($AP$231:$AP$491)),""),ROWS($A$1:A96))),0)</f>
        <v>0</v>
      </c>
      <c r="AU115" s="17" t="str">
        <f t="shared" si="18"/>
        <v/>
      </c>
      <c r="BD115" s="17">
        <v>96</v>
      </c>
      <c r="BE115" s="17" t="str">
        <f t="shared" si="23"/>
        <v/>
      </c>
      <c r="BF115" s="17">
        <f t="array" ref="BF115">IFERROR(INDEX($BC$231:$BC$491,SMALL(IF(("Q"=$BB$231:$BB$491),MATCH(ROW($BB$231:$BB$491),ROW($BB$231:$BB$491)),""),ROWS($A$1:A96))),0)</f>
        <v>0</v>
      </c>
      <c r="BG115" s="17" t="str">
        <f t="shared" si="19"/>
        <v/>
      </c>
    </row>
    <row r="116" spans="3:59">
      <c r="C116" s="17">
        <v>97</v>
      </c>
      <c r="D116" s="17" t="str">
        <f t="shared" si="20"/>
        <v/>
      </c>
      <c r="E116" s="17">
        <f t="array" ref="E116">IFERROR(INDEX($B$231:$B$491,SMALL(IF(("Q"=$A$231:$A$491),MATCH(ROW($A$231:$A$491),ROW($A$231:$A$491)),""),ROWS($A$1:A97))),0)</f>
        <v>0</v>
      </c>
      <c r="F116" s="17" t="str">
        <f t="shared" si="14"/>
        <v/>
      </c>
      <c r="Q116" s="17">
        <v>97</v>
      </c>
      <c r="R116" s="17" t="str">
        <f t="shared" si="15"/>
        <v/>
      </c>
      <c r="S116" s="17">
        <f t="array" ref="S116">IFERROR(INDEX($P$231:$P$491,SMALL(IF(("Q"=$O$231:$O$491),MATCH(ROW($O$231:$O$491),ROW($O$231:$O$491)),""),ROWS($A$1:A97))),0)</f>
        <v>0</v>
      </c>
      <c r="T116" s="17" t="str">
        <f t="shared" si="16"/>
        <v/>
      </c>
      <c r="AD116" s="17">
        <v>97</v>
      </c>
      <c r="AE116" s="17" t="str">
        <f t="shared" si="21"/>
        <v/>
      </c>
      <c r="AF116" s="17">
        <f t="array" ref="AF116">IFERROR(INDEX($AC$231:$AC$491,SMALL(IF(("Q"=$AB$231:$AB$491),MATCH(ROW($AB$231:$AB$491),ROW($AB$231:$AB$491)),""),ROWS($A$1:A97))),0)</f>
        <v>0</v>
      </c>
      <c r="AG116" s="17" t="str">
        <f t="shared" si="17"/>
        <v/>
      </c>
      <c r="AR116" s="17">
        <v>97</v>
      </c>
      <c r="AS116" s="17" t="str">
        <f t="shared" si="22"/>
        <v/>
      </c>
      <c r="AT116" s="17">
        <f t="array" ref="AT116">IFERROR(INDEX($AQ$231:$AQ$491,SMALL(IF(("Q"=$AP$231:$AP$491),MATCH(ROW($AP$231:$AP$491),ROW($AP$231:$AP$491)),""),ROWS($A$1:A97))),0)</f>
        <v>0</v>
      </c>
      <c r="AU116" s="17" t="str">
        <f t="shared" si="18"/>
        <v/>
      </c>
      <c r="BD116" s="17">
        <v>97</v>
      </c>
      <c r="BE116" s="17" t="str">
        <f t="shared" si="23"/>
        <v/>
      </c>
      <c r="BF116" s="17">
        <f t="array" ref="BF116">IFERROR(INDEX($BC$231:$BC$491,SMALL(IF(("Q"=$BB$231:$BB$491),MATCH(ROW($BB$231:$BB$491),ROW($BB$231:$BB$491)),""),ROWS($A$1:A97))),0)</f>
        <v>0</v>
      </c>
      <c r="BG116" s="17" t="str">
        <f t="shared" si="19"/>
        <v/>
      </c>
    </row>
    <row r="117" spans="3:59">
      <c r="C117" s="17">
        <v>98</v>
      </c>
      <c r="D117" s="17" t="str">
        <f t="shared" si="20"/>
        <v/>
      </c>
      <c r="E117" s="17">
        <f t="array" ref="E117">IFERROR(INDEX($B$231:$B$491,SMALL(IF(("Q"=$A$231:$A$491),MATCH(ROW($A$231:$A$491),ROW($A$231:$A$491)),""),ROWS($A$1:A98))),0)</f>
        <v>0</v>
      </c>
      <c r="F117" s="17" t="str">
        <f t="shared" si="14"/>
        <v/>
      </c>
      <c r="Q117" s="17">
        <v>98</v>
      </c>
      <c r="R117" s="17" t="str">
        <f t="shared" si="15"/>
        <v/>
      </c>
      <c r="S117" s="17">
        <f t="array" ref="S117">IFERROR(INDEX($P$231:$P$491,SMALL(IF(("Q"=$O$231:$O$491),MATCH(ROW($O$231:$O$491),ROW($O$231:$O$491)),""),ROWS($A$1:A98))),0)</f>
        <v>0</v>
      </c>
      <c r="T117" s="17" t="str">
        <f t="shared" si="16"/>
        <v/>
      </c>
      <c r="AD117" s="17">
        <v>98</v>
      </c>
      <c r="AE117" s="17" t="str">
        <f t="shared" si="21"/>
        <v/>
      </c>
      <c r="AF117" s="17">
        <f t="array" ref="AF117">IFERROR(INDEX($AC$231:$AC$491,SMALL(IF(("Q"=$AB$231:$AB$491),MATCH(ROW($AB$231:$AB$491),ROW($AB$231:$AB$491)),""),ROWS($A$1:A98))),0)</f>
        <v>0</v>
      </c>
      <c r="AG117" s="17" t="str">
        <f t="shared" si="17"/>
        <v/>
      </c>
      <c r="AR117" s="17">
        <v>98</v>
      </c>
      <c r="AS117" s="17" t="str">
        <f t="shared" si="22"/>
        <v/>
      </c>
      <c r="AT117" s="17">
        <f t="array" ref="AT117">IFERROR(INDEX($AQ$231:$AQ$491,SMALL(IF(("Q"=$AP$231:$AP$491),MATCH(ROW($AP$231:$AP$491),ROW($AP$231:$AP$491)),""),ROWS($A$1:A98))),0)</f>
        <v>0</v>
      </c>
      <c r="AU117" s="17" t="str">
        <f t="shared" si="18"/>
        <v/>
      </c>
      <c r="BD117" s="17">
        <v>98</v>
      </c>
      <c r="BE117" s="17" t="str">
        <f t="shared" si="23"/>
        <v/>
      </c>
      <c r="BF117" s="17">
        <f t="array" ref="BF117">IFERROR(INDEX($BC$231:$BC$491,SMALL(IF(("Q"=$BB$231:$BB$491),MATCH(ROW($BB$231:$BB$491),ROW($BB$231:$BB$491)),""),ROWS($A$1:A98))),0)</f>
        <v>0</v>
      </c>
      <c r="BG117" s="17" t="str">
        <f t="shared" si="19"/>
        <v/>
      </c>
    </row>
    <row r="118" spans="3:59">
      <c r="C118" s="17">
        <v>99</v>
      </c>
      <c r="D118" s="17" t="str">
        <f t="shared" si="20"/>
        <v/>
      </c>
      <c r="E118" s="17">
        <f t="array" ref="E118">IFERROR(INDEX($B$231:$B$491,SMALL(IF(("Q"=$A$231:$A$491),MATCH(ROW($A$231:$A$491),ROW($A$231:$A$491)),""),ROWS($A$1:A99))),0)</f>
        <v>0</v>
      </c>
      <c r="F118" s="17" t="str">
        <f t="shared" si="14"/>
        <v/>
      </c>
      <c r="Q118" s="17">
        <v>99</v>
      </c>
      <c r="R118" s="17" t="str">
        <f t="shared" si="15"/>
        <v/>
      </c>
      <c r="S118" s="17">
        <f t="array" ref="S118">IFERROR(INDEX($P$231:$P$491,SMALL(IF(("Q"=$O$231:$O$491),MATCH(ROW($O$231:$O$491),ROW($O$231:$O$491)),""),ROWS($A$1:A99))),0)</f>
        <v>0</v>
      </c>
      <c r="T118" s="17" t="str">
        <f t="shared" si="16"/>
        <v/>
      </c>
      <c r="AD118" s="17">
        <v>99</v>
      </c>
      <c r="AE118" s="17" t="str">
        <f t="shared" si="21"/>
        <v/>
      </c>
      <c r="AF118" s="17">
        <f t="array" ref="AF118">IFERROR(INDEX($AC$231:$AC$491,SMALL(IF(("Q"=$AB$231:$AB$491),MATCH(ROW($AB$231:$AB$491),ROW($AB$231:$AB$491)),""),ROWS($A$1:A99))),0)</f>
        <v>0</v>
      </c>
      <c r="AG118" s="17" t="str">
        <f t="shared" si="17"/>
        <v/>
      </c>
      <c r="AR118" s="17">
        <v>99</v>
      </c>
      <c r="AS118" s="17" t="str">
        <f t="shared" si="22"/>
        <v/>
      </c>
      <c r="AT118" s="17">
        <f t="array" ref="AT118">IFERROR(INDEX($AQ$231:$AQ$491,SMALL(IF(("Q"=$AP$231:$AP$491),MATCH(ROW($AP$231:$AP$491),ROW($AP$231:$AP$491)),""),ROWS($A$1:A99))),0)</f>
        <v>0</v>
      </c>
      <c r="AU118" s="17" t="str">
        <f t="shared" si="18"/>
        <v/>
      </c>
      <c r="BD118" s="17">
        <v>99</v>
      </c>
      <c r="BE118" s="17" t="str">
        <f t="shared" si="23"/>
        <v/>
      </c>
      <c r="BF118" s="17">
        <f t="array" ref="BF118">IFERROR(INDEX($BC$231:$BC$491,SMALL(IF(("Q"=$BB$231:$BB$491),MATCH(ROW($BB$231:$BB$491),ROW($BB$231:$BB$491)),""),ROWS($A$1:A99))),0)</f>
        <v>0</v>
      </c>
      <c r="BG118" s="17" t="str">
        <f t="shared" si="19"/>
        <v/>
      </c>
    </row>
    <row r="119" spans="3:59">
      <c r="C119" s="17">
        <v>100</v>
      </c>
      <c r="D119" s="17" t="str">
        <f t="shared" si="20"/>
        <v/>
      </c>
      <c r="E119" s="17">
        <f t="array" ref="E119">IFERROR(INDEX($B$231:$B$491,SMALL(IF(("Q"=$A$231:$A$491),MATCH(ROW($A$231:$A$491),ROW($A$231:$A$491)),""),ROWS($A$1:A100))),0)</f>
        <v>0</v>
      </c>
      <c r="F119" s="17" t="str">
        <f t="shared" si="14"/>
        <v/>
      </c>
      <c r="Q119" s="17">
        <v>100</v>
      </c>
      <c r="R119" s="17" t="str">
        <f t="shared" si="15"/>
        <v/>
      </c>
      <c r="S119" s="17">
        <f t="array" ref="S119">IFERROR(INDEX($P$231:$P$491,SMALL(IF(("Q"=$O$231:$O$491),MATCH(ROW($O$231:$O$491),ROW($O$231:$O$491)),""),ROWS($A$1:A100))),0)</f>
        <v>0</v>
      </c>
      <c r="T119" s="17" t="str">
        <f t="shared" si="16"/>
        <v/>
      </c>
      <c r="AD119" s="17">
        <v>100</v>
      </c>
      <c r="AE119" s="17" t="str">
        <f t="shared" si="21"/>
        <v/>
      </c>
      <c r="AF119" s="17">
        <f t="array" ref="AF119">IFERROR(INDEX($AC$231:$AC$491,SMALL(IF(("Q"=$AB$231:$AB$491),MATCH(ROW($AB$231:$AB$491),ROW($AB$231:$AB$491)),""),ROWS($A$1:A100))),0)</f>
        <v>0</v>
      </c>
      <c r="AG119" s="17" t="str">
        <f t="shared" si="17"/>
        <v/>
      </c>
      <c r="AR119" s="17">
        <v>100</v>
      </c>
      <c r="AS119" s="17" t="str">
        <f t="shared" si="22"/>
        <v/>
      </c>
      <c r="AT119" s="17">
        <f t="array" ref="AT119">IFERROR(INDEX($AQ$231:$AQ$491,SMALL(IF(("Q"=$AP$231:$AP$491),MATCH(ROW($AP$231:$AP$491),ROW($AP$231:$AP$491)),""),ROWS($A$1:A100))),0)</f>
        <v>0</v>
      </c>
      <c r="AU119" s="17" t="str">
        <f t="shared" si="18"/>
        <v/>
      </c>
      <c r="BD119" s="17">
        <v>100</v>
      </c>
      <c r="BE119" s="17" t="str">
        <f t="shared" si="23"/>
        <v/>
      </c>
      <c r="BF119" s="17">
        <f t="array" ref="BF119">IFERROR(INDEX($BC$231:$BC$491,SMALL(IF(("Q"=$BB$231:$BB$491),MATCH(ROW($BB$231:$BB$491),ROW($BB$231:$BB$491)),""),ROWS($A$1:A100))),0)</f>
        <v>0</v>
      </c>
      <c r="BG119" s="17" t="str">
        <f t="shared" si="19"/>
        <v/>
      </c>
    </row>
    <row r="120" spans="3:59">
      <c r="C120" s="17">
        <v>101</v>
      </c>
      <c r="D120" s="17" t="str">
        <f t="shared" si="20"/>
        <v/>
      </c>
      <c r="E120" s="17">
        <f t="array" ref="E120">IFERROR(INDEX($B$231:$B$491,SMALL(IF(("Q"=$A$231:$A$491),MATCH(ROW($A$231:$A$491),ROW($A$231:$A$491)),""),ROWS($A$1:A101))),0)</f>
        <v>0</v>
      </c>
      <c r="F120" s="17" t="str">
        <f t="shared" si="14"/>
        <v/>
      </c>
      <c r="Q120" s="17">
        <v>101</v>
      </c>
      <c r="R120" s="17" t="str">
        <f t="shared" si="15"/>
        <v/>
      </c>
      <c r="S120" s="17">
        <f t="array" ref="S120">IFERROR(INDEX($P$231:$P$491,SMALL(IF(("Q"=$O$231:$O$491),MATCH(ROW($O$231:$O$491),ROW($O$231:$O$491)),""),ROWS($A$1:A101))),0)</f>
        <v>0</v>
      </c>
      <c r="T120" s="17" t="str">
        <f t="shared" si="16"/>
        <v/>
      </c>
      <c r="AD120" s="17">
        <v>101</v>
      </c>
      <c r="AE120" s="17" t="str">
        <f t="shared" si="21"/>
        <v/>
      </c>
      <c r="AF120" s="17">
        <f t="array" ref="AF120">IFERROR(INDEX($AC$231:$AC$491,SMALL(IF(("Q"=$AB$231:$AB$491),MATCH(ROW($AB$231:$AB$491),ROW($AB$231:$AB$491)),""),ROWS($A$1:A101))),0)</f>
        <v>0</v>
      </c>
      <c r="AG120" s="17" t="str">
        <f t="shared" si="17"/>
        <v/>
      </c>
      <c r="AR120" s="17">
        <v>101</v>
      </c>
      <c r="AS120" s="17" t="str">
        <f t="shared" si="22"/>
        <v/>
      </c>
      <c r="AT120" s="17">
        <f t="array" ref="AT120">IFERROR(INDEX($AQ$231:$AQ$491,SMALL(IF(("Q"=$AP$231:$AP$491),MATCH(ROW($AP$231:$AP$491),ROW($AP$231:$AP$491)),""),ROWS($A$1:A101))),0)</f>
        <v>0</v>
      </c>
      <c r="AU120" s="17" t="str">
        <f t="shared" si="18"/>
        <v/>
      </c>
      <c r="BD120" s="17">
        <v>101</v>
      </c>
      <c r="BE120" s="17" t="str">
        <f t="shared" si="23"/>
        <v/>
      </c>
      <c r="BF120" s="17">
        <f t="array" ref="BF120">IFERROR(INDEX($BC$231:$BC$491,SMALL(IF(("Q"=$BB$231:$BB$491),MATCH(ROW($BB$231:$BB$491),ROW($BB$231:$BB$491)),""),ROWS($A$1:A101))),0)</f>
        <v>0</v>
      </c>
      <c r="BG120" s="17" t="str">
        <f t="shared" si="19"/>
        <v/>
      </c>
    </row>
    <row r="121" spans="3:59">
      <c r="C121" s="17">
        <v>102</v>
      </c>
      <c r="D121" s="17" t="str">
        <f t="shared" si="20"/>
        <v/>
      </c>
      <c r="E121" s="17">
        <f t="array" ref="E121">IFERROR(INDEX($B$231:$B$491,SMALL(IF(("Q"=$A$231:$A$491),MATCH(ROW($A$231:$A$491),ROW($A$231:$A$491)),""),ROWS($A$1:A102))),0)</f>
        <v>0</v>
      </c>
      <c r="F121" s="17" t="str">
        <f t="shared" si="14"/>
        <v/>
      </c>
      <c r="Q121" s="17">
        <v>102</v>
      </c>
      <c r="R121" s="17" t="str">
        <f t="shared" si="15"/>
        <v/>
      </c>
      <c r="S121" s="17">
        <f t="array" ref="S121">IFERROR(INDEX($P$231:$P$491,SMALL(IF(("Q"=$O$231:$O$491),MATCH(ROW($O$231:$O$491),ROW($O$231:$O$491)),""),ROWS($A$1:A102))),0)</f>
        <v>0</v>
      </c>
      <c r="T121" s="17" t="str">
        <f t="shared" si="16"/>
        <v/>
      </c>
      <c r="AD121" s="17">
        <v>102</v>
      </c>
      <c r="AE121" s="17" t="str">
        <f t="shared" si="21"/>
        <v/>
      </c>
      <c r="AF121" s="17">
        <f t="array" ref="AF121">IFERROR(INDEX($AC$231:$AC$491,SMALL(IF(("Q"=$AB$231:$AB$491),MATCH(ROW($AB$231:$AB$491),ROW($AB$231:$AB$491)),""),ROWS($A$1:A102))),0)</f>
        <v>0</v>
      </c>
      <c r="AG121" s="17" t="str">
        <f t="shared" si="17"/>
        <v/>
      </c>
      <c r="AR121" s="17">
        <v>102</v>
      </c>
      <c r="AS121" s="17" t="str">
        <f t="shared" si="22"/>
        <v/>
      </c>
      <c r="AT121" s="17">
        <f t="array" ref="AT121">IFERROR(INDEX($AQ$231:$AQ$491,SMALL(IF(("Q"=$AP$231:$AP$491),MATCH(ROW($AP$231:$AP$491),ROW($AP$231:$AP$491)),""),ROWS($A$1:A102))),0)</f>
        <v>0</v>
      </c>
      <c r="AU121" s="17" t="str">
        <f t="shared" si="18"/>
        <v/>
      </c>
      <c r="BD121" s="17">
        <v>102</v>
      </c>
      <c r="BE121" s="17" t="str">
        <f t="shared" si="23"/>
        <v/>
      </c>
      <c r="BF121" s="17">
        <f t="array" ref="BF121">IFERROR(INDEX($BC$231:$BC$491,SMALL(IF(("Q"=$BB$231:$BB$491),MATCH(ROW($BB$231:$BB$491),ROW($BB$231:$BB$491)),""),ROWS($A$1:A102))),0)</f>
        <v>0</v>
      </c>
      <c r="BG121" s="17" t="str">
        <f t="shared" si="19"/>
        <v/>
      </c>
    </row>
    <row r="122" spans="3:59">
      <c r="C122" s="17">
        <v>103</v>
      </c>
      <c r="D122" s="17" t="str">
        <f t="shared" si="20"/>
        <v/>
      </c>
      <c r="E122" s="17">
        <f t="array" ref="E122">IFERROR(INDEX($B$231:$B$491,SMALL(IF(("Q"=$A$231:$A$491),MATCH(ROW($A$231:$A$491),ROW($A$231:$A$491)),""),ROWS($A$1:A103))),0)</f>
        <v>0</v>
      </c>
      <c r="F122" s="17" t="str">
        <f t="shared" si="14"/>
        <v/>
      </c>
      <c r="Q122" s="17">
        <v>103</v>
      </c>
      <c r="R122" s="17" t="str">
        <f t="shared" si="15"/>
        <v/>
      </c>
      <c r="S122" s="17">
        <f t="array" ref="S122">IFERROR(INDEX($P$231:$P$491,SMALL(IF(("Q"=$O$231:$O$491),MATCH(ROW($O$231:$O$491),ROW($O$231:$O$491)),""),ROWS($A$1:A103))),0)</f>
        <v>0</v>
      </c>
      <c r="T122" s="17" t="str">
        <f t="shared" si="16"/>
        <v/>
      </c>
      <c r="AD122" s="17">
        <v>103</v>
      </c>
      <c r="AE122" s="17" t="str">
        <f t="shared" si="21"/>
        <v/>
      </c>
      <c r="AF122" s="17">
        <f t="array" ref="AF122">IFERROR(INDEX($AC$231:$AC$491,SMALL(IF(("Q"=$AB$231:$AB$491),MATCH(ROW($AB$231:$AB$491),ROW($AB$231:$AB$491)),""),ROWS($A$1:A103))),0)</f>
        <v>0</v>
      </c>
      <c r="AG122" s="17" t="str">
        <f t="shared" si="17"/>
        <v/>
      </c>
      <c r="AR122" s="17">
        <v>103</v>
      </c>
      <c r="AS122" s="17" t="str">
        <f t="shared" si="22"/>
        <v/>
      </c>
      <c r="AT122" s="17">
        <f t="array" ref="AT122">IFERROR(INDEX($AQ$231:$AQ$491,SMALL(IF(("Q"=$AP$231:$AP$491),MATCH(ROW($AP$231:$AP$491),ROW($AP$231:$AP$491)),""),ROWS($A$1:A103))),0)</f>
        <v>0</v>
      </c>
      <c r="AU122" s="17" t="str">
        <f t="shared" si="18"/>
        <v/>
      </c>
      <c r="BD122" s="17">
        <v>103</v>
      </c>
      <c r="BE122" s="17" t="str">
        <f t="shared" si="23"/>
        <v/>
      </c>
      <c r="BF122" s="17">
        <f t="array" ref="BF122">IFERROR(INDEX($BC$231:$BC$491,SMALL(IF(("Q"=$BB$231:$BB$491),MATCH(ROW($BB$231:$BB$491),ROW($BB$231:$BB$491)),""),ROWS($A$1:A103))),0)</f>
        <v>0</v>
      </c>
      <c r="BG122" s="17" t="str">
        <f t="shared" si="19"/>
        <v/>
      </c>
    </row>
    <row r="123" spans="3:59">
      <c r="C123" s="17">
        <v>104</v>
      </c>
      <c r="D123" s="17" t="str">
        <f t="shared" si="20"/>
        <v/>
      </c>
      <c r="E123" s="17">
        <f t="array" ref="E123">IFERROR(INDEX($B$231:$B$491,SMALL(IF(("Q"=$A$231:$A$491),MATCH(ROW($A$231:$A$491),ROW($A$231:$A$491)),""),ROWS($A$1:A104))),0)</f>
        <v>0</v>
      </c>
      <c r="F123" s="17" t="str">
        <f t="shared" si="14"/>
        <v/>
      </c>
      <c r="Q123" s="17">
        <v>104</v>
      </c>
      <c r="R123" s="17" t="str">
        <f t="shared" si="15"/>
        <v/>
      </c>
      <c r="S123" s="17">
        <f t="array" ref="S123">IFERROR(INDEX($P$231:$P$491,SMALL(IF(("Q"=$O$231:$O$491),MATCH(ROW($O$231:$O$491),ROW($O$231:$O$491)),""),ROWS($A$1:A104))),0)</f>
        <v>0</v>
      </c>
      <c r="T123" s="17" t="str">
        <f t="shared" si="16"/>
        <v/>
      </c>
      <c r="AD123" s="17">
        <v>104</v>
      </c>
      <c r="AE123" s="17" t="str">
        <f t="shared" si="21"/>
        <v/>
      </c>
      <c r="AF123" s="17">
        <f t="array" ref="AF123">IFERROR(INDEX($AC$231:$AC$491,SMALL(IF(("Q"=$AB$231:$AB$491),MATCH(ROW($AB$231:$AB$491),ROW($AB$231:$AB$491)),""),ROWS($A$1:A104))),0)</f>
        <v>0</v>
      </c>
      <c r="AG123" s="17" t="str">
        <f t="shared" si="17"/>
        <v/>
      </c>
      <c r="AR123" s="17">
        <v>104</v>
      </c>
      <c r="AS123" s="17" t="str">
        <f t="shared" si="22"/>
        <v/>
      </c>
      <c r="AT123" s="17">
        <f t="array" ref="AT123">IFERROR(INDEX($AQ$231:$AQ$491,SMALL(IF(("Q"=$AP$231:$AP$491),MATCH(ROW($AP$231:$AP$491),ROW($AP$231:$AP$491)),""),ROWS($A$1:A104))),0)</f>
        <v>0</v>
      </c>
      <c r="AU123" s="17" t="str">
        <f t="shared" si="18"/>
        <v/>
      </c>
      <c r="BD123" s="17">
        <v>104</v>
      </c>
      <c r="BE123" s="17" t="str">
        <f t="shared" si="23"/>
        <v/>
      </c>
      <c r="BF123" s="17">
        <f t="array" ref="BF123">IFERROR(INDEX($BC$231:$BC$491,SMALL(IF(("Q"=$BB$231:$BB$491),MATCH(ROW($BB$231:$BB$491),ROW($BB$231:$BB$491)),""),ROWS($A$1:A104))),0)</f>
        <v>0</v>
      </c>
      <c r="BG123" s="17" t="str">
        <f t="shared" si="19"/>
        <v/>
      </c>
    </row>
    <row r="124" spans="3:59">
      <c r="C124" s="17">
        <v>105</v>
      </c>
      <c r="D124" s="17" t="str">
        <f t="shared" si="20"/>
        <v/>
      </c>
      <c r="E124" s="17">
        <f t="array" ref="E124">IFERROR(INDEX($B$231:$B$491,SMALL(IF(("Q"=$A$231:$A$491),MATCH(ROW($A$231:$A$491),ROW($A$231:$A$491)),""),ROWS($A$1:A105))),0)</f>
        <v>0</v>
      </c>
      <c r="F124" s="17" t="str">
        <f t="shared" si="14"/>
        <v/>
      </c>
      <c r="Q124" s="17">
        <v>105</v>
      </c>
      <c r="R124" s="17" t="str">
        <f t="shared" si="15"/>
        <v/>
      </c>
      <c r="S124" s="17">
        <f t="array" ref="S124">IFERROR(INDEX($P$231:$P$491,SMALL(IF(("Q"=$O$231:$O$491),MATCH(ROW($O$231:$O$491),ROW($O$231:$O$491)),""),ROWS($A$1:A105))),0)</f>
        <v>0</v>
      </c>
      <c r="T124" s="17" t="str">
        <f t="shared" si="16"/>
        <v/>
      </c>
      <c r="AD124" s="17">
        <v>105</v>
      </c>
      <c r="AE124" s="17" t="str">
        <f t="shared" si="21"/>
        <v/>
      </c>
      <c r="AF124" s="17">
        <f t="array" ref="AF124">IFERROR(INDEX($AC$231:$AC$491,SMALL(IF(("Q"=$AB$231:$AB$491),MATCH(ROW($AB$231:$AB$491),ROW($AB$231:$AB$491)),""),ROWS($A$1:A105))),0)</f>
        <v>0</v>
      </c>
      <c r="AG124" s="17" t="str">
        <f t="shared" si="17"/>
        <v/>
      </c>
      <c r="AR124" s="17">
        <v>105</v>
      </c>
      <c r="AS124" s="17" t="str">
        <f t="shared" si="22"/>
        <v/>
      </c>
      <c r="AT124" s="17">
        <f t="array" ref="AT124">IFERROR(INDEX($AQ$231:$AQ$491,SMALL(IF(("Q"=$AP$231:$AP$491),MATCH(ROW($AP$231:$AP$491),ROW($AP$231:$AP$491)),""),ROWS($A$1:A105))),0)</f>
        <v>0</v>
      </c>
      <c r="AU124" s="17" t="str">
        <f t="shared" si="18"/>
        <v/>
      </c>
      <c r="BD124" s="17">
        <v>105</v>
      </c>
      <c r="BE124" s="17" t="str">
        <f t="shared" si="23"/>
        <v/>
      </c>
      <c r="BF124" s="17">
        <f t="array" ref="BF124">IFERROR(INDEX($BC$231:$BC$491,SMALL(IF(("Q"=$BB$231:$BB$491),MATCH(ROW($BB$231:$BB$491),ROW($BB$231:$BB$491)),""),ROWS($A$1:A105))),0)</f>
        <v>0</v>
      </c>
      <c r="BG124" s="17" t="str">
        <f t="shared" si="19"/>
        <v/>
      </c>
    </row>
    <row r="125" spans="3:59">
      <c r="C125" s="17">
        <v>106</v>
      </c>
      <c r="D125" s="17" t="str">
        <f t="shared" si="20"/>
        <v/>
      </c>
      <c r="E125" s="17">
        <f t="array" ref="E125">IFERROR(INDEX($B$231:$B$491,SMALL(IF(("Q"=$A$231:$A$491),MATCH(ROW($A$231:$A$491),ROW($A$231:$A$491)),""),ROWS($A$1:A106))),0)</f>
        <v>0</v>
      </c>
      <c r="F125" s="17" t="str">
        <f t="shared" si="14"/>
        <v/>
      </c>
      <c r="Q125" s="17">
        <v>106</v>
      </c>
      <c r="R125" s="17" t="str">
        <f t="shared" si="15"/>
        <v/>
      </c>
      <c r="S125" s="17">
        <f t="array" ref="S125">IFERROR(INDEX($P$231:$P$491,SMALL(IF(("Q"=$O$231:$O$491),MATCH(ROW($O$231:$O$491),ROW($O$231:$O$491)),""),ROWS($A$1:A106))),0)</f>
        <v>0</v>
      </c>
      <c r="T125" s="17" t="str">
        <f t="shared" si="16"/>
        <v/>
      </c>
      <c r="AD125" s="17">
        <v>106</v>
      </c>
      <c r="AE125" s="17" t="str">
        <f t="shared" si="21"/>
        <v/>
      </c>
      <c r="AF125" s="17">
        <f t="array" ref="AF125">IFERROR(INDEX($AC$231:$AC$491,SMALL(IF(("Q"=$AB$231:$AB$491),MATCH(ROW($AB$231:$AB$491),ROW($AB$231:$AB$491)),""),ROWS($A$1:A106))),0)</f>
        <v>0</v>
      </c>
      <c r="AG125" s="17" t="str">
        <f t="shared" si="17"/>
        <v/>
      </c>
      <c r="AR125" s="17">
        <v>106</v>
      </c>
      <c r="AS125" s="17" t="str">
        <f t="shared" si="22"/>
        <v/>
      </c>
      <c r="AT125" s="17">
        <f t="array" ref="AT125">IFERROR(INDEX($AQ$231:$AQ$491,SMALL(IF(("Q"=$AP$231:$AP$491),MATCH(ROW($AP$231:$AP$491),ROW($AP$231:$AP$491)),""),ROWS($A$1:A106))),0)</f>
        <v>0</v>
      </c>
      <c r="AU125" s="17" t="str">
        <f t="shared" si="18"/>
        <v/>
      </c>
      <c r="BD125" s="17">
        <v>106</v>
      </c>
      <c r="BE125" s="17" t="str">
        <f t="shared" si="23"/>
        <v/>
      </c>
      <c r="BF125" s="17">
        <f t="array" ref="BF125">IFERROR(INDEX($BC$231:$BC$491,SMALL(IF(("Q"=$BB$231:$BB$491),MATCH(ROW($BB$231:$BB$491),ROW($BB$231:$BB$491)),""),ROWS($A$1:A106))),0)</f>
        <v>0</v>
      </c>
      <c r="BG125" s="17" t="str">
        <f t="shared" si="19"/>
        <v/>
      </c>
    </row>
    <row r="126" spans="3:59">
      <c r="C126" s="17">
        <v>107</v>
      </c>
      <c r="D126" s="17" t="str">
        <f t="shared" si="20"/>
        <v/>
      </c>
      <c r="E126" s="17">
        <f t="array" ref="E126">IFERROR(INDEX($B$231:$B$491,SMALL(IF(("Q"=$A$231:$A$491),MATCH(ROW($A$231:$A$491),ROW($A$231:$A$491)),""),ROWS($A$1:A107))),0)</f>
        <v>0</v>
      </c>
      <c r="F126" s="17" t="str">
        <f t="shared" si="14"/>
        <v/>
      </c>
      <c r="Q126" s="17">
        <v>107</v>
      </c>
      <c r="R126" s="17" t="str">
        <f t="shared" si="15"/>
        <v/>
      </c>
      <c r="S126" s="17">
        <f t="array" ref="S126">IFERROR(INDEX($P$231:$P$491,SMALL(IF(("Q"=$O$231:$O$491),MATCH(ROW($O$231:$O$491),ROW($O$231:$O$491)),""),ROWS($A$1:A107))),0)</f>
        <v>0</v>
      </c>
      <c r="T126" s="17" t="str">
        <f t="shared" si="16"/>
        <v/>
      </c>
      <c r="AD126" s="17">
        <v>107</v>
      </c>
      <c r="AE126" s="17" t="str">
        <f t="shared" si="21"/>
        <v/>
      </c>
      <c r="AF126" s="17">
        <f t="array" ref="AF126">IFERROR(INDEX($AC$231:$AC$491,SMALL(IF(("Q"=$AB$231:$AB$491),MATCH(ROW($AB$231:$AB$491),ROW($AB$231:$AB$491)),""),ROWS($A$1:A107))),0)</f>
        <v>0</v>
      </c>
      <c r="AG126" s="17" t="str">
        <f t="shared" si="17"/>
        <v/>
      </c>
      <c r="AR126" s="17">
        <v>107</v>
      </c>
      <c r="AS126" s="17" t="str">
        <f t="shared" si="22"/>
        <v/>
      </c>
      <c r="AT126" s="17">
        <f t="array" ref="AT126">IFERROR(INDEX($AQ$231:$AQ$491,SMALL(IF(("Q"=$AP$231:$AP$491),MATCH(ROW($AP$231:$AP$491),ROW($AP$231:$AP$491)),""),ROWS($A$1:A107))),0)</f>
        <v>0</v>
      </c>
      <c r="AU126" s="17" t="str">
        <f t="shared" si="18"/>
        <v/>
      </c>
      <c r="BD126" s="17">
        <v>107</v>
      </c>
      <c r="BE126" s="17" t="str">
        <f t="shared" si="23"/>
        <v/>
      </c>
      <c r="BF126" s="17">
        <f t="array" ref="BF126">IFERROR(INDEX($BC$231:$BC$491,SMALL(IF(("Q"=$BB$231:$BB$491),MATCH(ROW($BB$231:$BB$491),ROW($BB$231:$BB$491)),""),ROWS($A$1:A107))),0)</f>
        <v>0</v>
      </c>
      <c r="BG126" s="17" t="str">
        <f t="shared" si="19"/>
        <v/>
      </c>
    </row>
    <row r="127" spans="3:59">
      <c r="C127" s="17">
        <v>108</v>
      </c>
      <c r="D127" s="17" t="str">
        <f t="shared" si="20"/>
        <v/>
      </c>
      <c r="E127" s="17">
        <f t="array" ref="E127">IFERROR(INDEX($B$231:$B$491,SMALL(IF(("Q"=$A$231:$A$491),MATCH(ROW($A$231:$A$491),ROW($A$231:$A$491)),""),ROWS($A$1:A108))),0)</f>
        <v>0</v>
      </c>
      <c r="F127" s="17" t="str">
        <f t="shared" si="14"/>
        <v/>
      </c>
      <c r="Q127" s="17">
        <v>108</v>
      </c>
      <c r="R127" s="17" t="str">
        <f t="shared" si="15"/>
        <v/>
      </c>
      <c r="S127" s="17">
        <f t="array" ref="S127">IFERROR(INDEX($P$231:$P$491,SMALL(IF(("Q"=$O$231:$O$491),MATCH(ROW($O$231:$O$491),ROW($O$231:$O$491)),""),ROWS($A$1:A108))),0)</f>
        <v>0</v>
      </c>
      <c r="T127" s="17" t="str">
        <f t="shared" si="16"/>
        <v/>
      </c>
      <c r="AD127" s="17">
        <v>108</v>
      </c>
      <c r="AE127" s="17" t="str">
        <f t="shared" si="21"/>
        <v/>
      </c>
      <c r="AF127" s="17">
        <f t="array" ref="AF127">IFERROR(INDEX($AC$231:$AC$491,SMALL(IF(("Q"=$AB$231:$AB$491),MATCH(ROW($AB$231:$AB$491),ROW($AB$231:$AB$491)),""),ROWS($A$1:A108))),0)</f>
        <v>0</v>
      </c>
      <c r="AG127" s="17" t="str">
        <f t="shared" si="17"/>
        <v/>
      </c>
      <c r="AR127" s="17">
        <v>108</v>
      </c>
      <c r="AS127" s="17" t="str">
        <f t="shared" si="22"/>
        <v/>
      </c>
      <c r="AT127" s="17">
        <f t="array" ref="AT127">IFERROR(INDEX($AQ$231:$AQ$491,SMALL(IF(("Q"=$AP$231:$AP$491),MATCH(ROW($AP$231:$AP$491),ROW($AP$231:$AP$491)),""),ROWS($A$1:A108))),0)</f>
        <v>0</v>
      </c>
      <c r="AU127" s="17" t="str">
        <f t="shared" si="18"/>
        <v/>
      </c>
      <c r="BD127" s="17">
        <v>108</v>
      </c>
      <c r="BE127" s="17" t="str">
        <f t="shared" si="23"/>
        <v/>
      </c>
      <c r="BF127" s="17">
        <f t="array" ref="BF127">IFERROR(INDEX($BC$231:$BC$491,SMALL(IF(("Q"=$BB$231:$BB$491),MATCH(ROW($BB$231:$BB$491),ROW($BB$231:$BB$491)),""),ROWS($A$1:A108))),0)</f>
        <v>0</v>
      </c>
      <c r="BG127" s="17" t="str">
        <f t="shared" si="19"/>
        <v/>
      </c>
    </row>
    <row r="128" spans="3:59">
      <c r="C128" s="17">
        <v>109</v>
      </c>
      <c r="D128" s="17" t="str">
        <f t="shared" si="20"/>
        <v/>
      </c>
      <c r="E128" s="17">
        <f t="array" ref="E128">IFERROR(INDEX($B$231:$B$491,SMALL(IF(("Q"=$A$231:$A$491),MATCH(ROW($A$231:$A$491),ROW($A$231:$A$491)),""),ROWS($A$1:A109))),0)</f>
        <v>0</v>
      </c>
      <c r="F128" s="17" t="str">
        <f t="shared" si="14"/>
        <v/>
      </c>
      <c r="Q128" s="17">
        <v>109</v>
      </c>
      <c r="R128" s="17" t="str">
        <f t="shared" si="15"/>
        <v/>
      </c>
      <c r="S128" s="17">
        <f t="array" ref="S128">IFERROR(INDEX($P$231:$P$491,SMALL(IF(("Q"=$O$231:$O$491),MATCH(ROW($O$231:$O$491),ROW($O$231:$O$491)),""),ROWS($A$1:A109))),0)</f>
        <v>0</v>
      </c>
      <c r="T128" s="17" t="str">
        <f t="shared" si="16"/>
        <v/>
      </c>
      <c r="AD128" s="17">
        <v>109</v>
      </c>
      <c r="AE128" s="17" t="str">
        <f t="shared" si="21"/>
        <v/>
      </c>
      <c r="AF128" s="17">
        <f t="array" ref="AF128">IFERROR(INDEX($AC$231:$AC$491,SMALL(IF(("Q"=$AB$231:$AB$491),MATCH(ROW($AB$231:$AB$491),ROW($AB$231:$AB$491)),""),ROWS($A$1:A109))),0)</f>
        <v>0</v>
      </c>
      <c r="AG128" s="17" t="str">
        <f t="shared" si="17"/>
        <v/>
      </c>
      <c r="AR128" s="17">
        <v>109</v>
      </c>
      <c r="AS128" s="17" t="str">
        <f t="shared" si="22"/>
        <v/>
      </c>
      <c r="AT128" s="17">
        <f t="array" ref="AT128">IFERROR(INDEX($AQ$231:$AQ$491,SMALL(IF(("Q"=$AP$231:$AP$491),MATCH(ROW($AP$231:$AP$491),ROW($AP$231:$AP$491)),""),ROWS($A$1:A109))),0)</f>
        <v>0</v>
      </c>
      <c r="AU128" s="17" t="str">
        <f t="shared" si="18"/>
        <v/>
      </c>
      <c r="BD128" s="17">
        <v>109</v>
      </c>
      <c r="BE128" s="17" t="str">
        <f t="shared" si="23"/>
        <v/>
      </c>
      <c r="BF128" s="17">
        <f t="array" ref="BF128">IFERROR(INDEX($BC$231:$BC$491,SMALL(IF(("Q"=$BB$231:$BB$491),MATCH(ROW($BB$231:$BB$491),ROW($BB$231:$BB$491)),""),ROWS($A$1:A109))),0)</f>
        <v>0</v>
      </c>
      <c r="BG128" s="17" t="str">
        <f t="shared" si="19"/>
        <v/>
      </c>
    </row>
    <row r="129" spans="3:59">
      <c r="C129" s="17">
        <v>110</v>
      </c>
      <c r="D129" s="17" t="str">
        <f t="shared" si="20"/>
        <v/>
      </c>
      <c r="E129" s="17">
        <f t="array" ref="E129">IFERROR(INDEX($B$231:$B$491,SMALL(IF(("Q"=$A$231:$A$491),MATCH(ROW($A$231:$A$491),ROW($A$231:$A$491)),""),ROWS($A$1:A110))),0)</f>
        <v>0</v>
      </c>
      <c r="F129" s="17" t="str">
        <f t="shared" si="14"/>
        <v/>
      </c>
      <c r="Q129" s="17">
        <v>110</v>
      </c>
      <c r="R129" s="17" t="str">
        <f t="shared" si="15"/>
        <v/>
      </c>
      <c r="S129" s="17">
        <f t="array" ref="S129">IFERROR(INDEX($P$231:$P$491,SMALL(IF(("Q"=$O$231:$O$491),MATCH(ROW($O$231:$O$491),ROW($O$231:$O$491)),""),ROWS($A$1:A110))),0)</f>
        <v>0</v>
      </c>
      <c r="T129" s="17" t="str">
        <f t="shared" si="16"/>
        <v/>
      </c>
      <c r="AD129" s="17">
        <v>110</v>
      </c>
      <c r="AE129" s="17" t="str">
        <f t="shared" si="21"/>
        <v/>
      </c>
      <c r="AF129" s="17">
        <f t="array" ref="AF129">IFERROR(INDEX($AC$231:$AC$491,SMALL(IF(("Q"=$AB$231:$AB$491),MATCH(ROW($AB$231:$AB$491),ROW($AB$231:$AB$491)),""),ROWS($A$1:A110))),0)</f>
        <v>0</v>
      </c>
      <c r="AG129" s="17" t="str">
        <f t="shared" si="17"/>
        <v/>
      </c>
      <c r="AR129" s="17">
        <v>110</v>
      </c>
      <c r="AS129" s="17" t="str">
        <f t="shared" si="22"/>
        <v/>
      </c>
      <c r="AT129" s="17">
        <f t="array" ref="AT129">IFERROR(INDEX($AQ$231:$AQ$491,SMALL(IF(("Q"=$AP$231:$AP$491),MATCH(ROW($AP$231:$AP$491),ROW($AP$231:$AP$491)),""),ROWS($A$1:A110))),0)</f>
        <v>0</v>
      </c>
      <c r="AU129" s="17" t="str">
        <f t="shared" si="18"/>
        <v/>
      </c>
      <c r="BD129" s="17">
        <v>110</v>
      </c>
      <c r="BE129" s="17" t="str">
        <f t="shared" si="23"/>
        <v/>
      </c>
      <c r="BF129" s="17">
        <f t="array" ref="BF129">IFERROR(INDEX($BC$231:$BC$491,SMALL(IF(("Q"=$BB$231:$BB$491),MATCH(ROW($BB$231:$BB$491),ROW($BB$231:$BB$491)),""),ROWS($A$1:A110))),0)</f>
        <v>0</v>
      </c>
      <c r="BG129" s="17" t="str">
        <f t="shared" si="19"/>
        <v/>
      </c>
    </row>
    <row r="130" spans="3:59">
      <c r="C130" s="17">
        <v>111</v>
      </c>
      <c r="D130" s="17" t="str">
        <f t="shared" si="20"/>
        <v/>
      </c>
      <c r="E130" s="17">
        <f t="array" ref="E130">IFERROR(INDEX($B$231:$B$491,SMALL(IF(("Q"=$A$231:$A$491),MATCH(ROW($A$231:$A$491),ROW($A$231:$A$491)),""),ROWS($A$1:A111))),0)</f>
        <v>0</v>
      </c>
      <c r="F130" s="17" t="str">
        <f t="shared" si="14"/>
        <v/>
      </c>
      <c r="Q130" s="17">
        <v>111</v>
      </c>
      <c r="R130" s="17" t="str">
        <f t="shared" si="15"/>
        <v/>
      </c>
      <c r="S130" s="17">
        <f t="array" ref="S130">IFERROR(INDEX($P$231:$P$491,SMALL(IF(("Q"=$O$231:$O$491),MATCH(ROW($O$231:$O$491),ROW($O$231:$O$491)),""),ROWS($A$1:A111))),0)</f>
        <v>0</v>
      </c>
      <c r="T130" s="17" t="str">
        <f t="shared" si="16"/>
        <v/>
      </c>
      <c r="AD130" s="17">
        <v>111</v>
      </c>
      <c r="AE130" s="17" t="str">
        <f t="shared" si="21"/>
        <v/>
      </c>
      <c r="AF130" s="17">
        <f t="array" ref="AF130">IFERROR(INDEX($AC$231:$AC$491,SMALL(IF(("Q"=$AB$231:$AB$491),MATCH(ROW($AB$231:$AB$491),ROW($AB$231:$AB$491)),""),ROWS($A$1:A111))),0)</f>
        <v>0</v>
      </c>
      <c r="AG130" s="17" t="str">
        <f t="shared" si="17"/>
        <v/>
      </c>
      <c r="AR130" s="17">
        <v>111</v>
      </c>
      <c r="AS130" s="17" t="str">
        <f t="shared" si="22"/>
        <v/>
      </c>
      <c r="AT130" s="17">
        <f t="array" ref="AT130">IFERROR(INDEX($AQ$231:$AQ$491,SMALL(IF(("Q"=$AP$231:$AP$491),MATCH(ROW($AP$231:$AP$491),ROW($AP$231:$AP$491)),""),ROWS($A$1:A111))),0)</f>
        <v>0</v>
      </c>
      <c r="AU130" s="17" t="str">
        <f t="shared" si="18"/>
        <v/>
      </c>
      <c r="BD130" s="17">
        <v>111</v>
      </c>
      <c r="BE130" s="17" t="str">
        <f t="shared" si="23"/>
        <v/>
      </c>
      <c r="BF130" s="17">
        <f t="array" ref="BF130">IFERROR(INDEX($BC$231:$BC$491,SMALL(IF(("Q"=$BB$231:$BB$491),MATCH(ROW($BB$231:$BB$491),ROW($BB$231:$BB$491)),""),ROWS($A$1:A111))),0)</f>
        <v>0</v>
      </c>
      <c r="BG130" s="17" t="str">
        <f t="shared" si="19"/>
        <v/>
      </c>
    </row>
    <row r="131" spans="3:59">
      <c r="C131" s="17">
        <v>112</v>
      </c>
      <c r="D131" s="17" t="str">
        <f t="shared" si="20"/>
        <v/>
      </c>
      <c r="E131" s="17">
        <f t="array" ref="E131">IFERROR(INDEX($B$231:$B$491,SMALL(IF(("Q"=$A$231:$A$491),MATCH(ROW($A$231:$A$491),ROW($A$231:$A$491)),""),ROWS($A$1:A112))),0)</f>
        <v>0</v>
      </c>
      <c r="F131" s="17" t="str">
        <f t="shared" si="14"/>
        <v/>
      </c>
      <c r="Q131" s="17">
        <v>112</v>
      </c>
      <c r="R131" s="17" t="str">
        <f t="shared" si="15"/>
        <v/>
      </c>
      <c r="S131" s="17">
        <f t="array" ref="S131">IFERROR(INDEX($P$231:$P$491,SMALL(IF(("Q"=$O$231:$O$491),MATCH(ROW($O$231:$O$491),ROW($O$231:$O$491)),""),ROWS($A$1:A112))),0)</f>
        <v>0</v>
      </c>
      <c r="T131" s="17" t="str">
        <f t="shared" si="16"/>
        <v/>
      </c>
      <c r="AD131" s="17">
        <v>112</v>
      </c>
      <c r="AE131" s="17" t="str">
        <f t="shared" si="21"/>
        <v/>
      </c>
      <c r="AF131" s="17">
        <f t="array" ref="AF131">IFERROR(INDEX($AC$231:$AC$491,SMALL(IF(("Q"=$AB$231:$AB$491),MATCH(ROW($AB$231:$AB$491),ROW($AB$231:$AB$491)),""),ROWS($A$1:A112))),0)</f>
        <v>0</v>
      </c>
      <c r="AG131" s="17" t="str">
        <f t="shared" si="17"/>
        <v/>
      </c>
      <c r="AR131" s="17">
        <v>112</v>
      </c>
      <c r="AS131" s="17" t="str">
        <f t="shared" si="22"/>
        <v/>
      </c>
      <c r="AT131" s="17">
        <f t="array" ref="AT131">IFERROR(INDEX($AQ$231:$AQ$491,SMALL(IF(("Q"=$AP$231:$AP$491),MATCH(ROW($AP$231:$AP$491),ROW($AP$231:$AP$491)),""),ROWS($A$1:A112))),0)</f>
        <v>0</v>
      </c>
      <c r="AU131" s="17" t="str">
        <f t="shared" si="18"/>
        <v/>
      </c>
      <c r="BD131" s="17">
        <v>112</v>
      </c>
      <c r="BE131" s="17" t="str">
        <f t="shared" si="23"/>
        <v/>
      </c>
      <c r="BF131" s="17">
        <f t="array" ref="BF131">IFERROR(INDEX($BC$231:$BC$491,SMALL(IF(("Q"=$BB$231:$BB$491),MATCH(ROW($BB$231:$BB$491),ROW($BB$231:$BB$491)),""),ROWS($A$1:A112))),0)</f>
        <v>0</v>
      </c>
      <c r="BG131" s="17" t="str">
        <f t="shared" si="19"/>
        <v/>
      </c>
    </row>
    <row r="132" spans="3:59">
      <c r="C132" s="17">
        <v>113</v>
      </c>
      <c r="D132" s="17" t="str">
        <f t="shared" si="20"/>
        <v/>
      </c>
      <c r="E132" s="17">
        <f t="array" ref="E132">IFERROR(INDEX($B$231:$B$491,SMALL(IF(("Q"=$A$231:$A$491),MATCH(ROW($A$231:$A$491),ROW($A$231:$A$491)),""),ROWS($A$1:A113))),0)</f>
        <v>0</v>
      </c>
      <c r="F132" s="17" t="str">
        <f t="shared" si="14"/>
        <v/>
      </c>
      <c r="Q132" s="17">
        <v>113</v>
      </c>
      <c r="R132" s="17" t="str">
        <f t="shared" si="15"/>
        <v/>
      </c>
      <c r="S132" s="17">
        <f t="array" ref="S132">IFERROR(INDEX($P$231:$P$491,SMALL(IF(("Q"=$O$231:$O$491),MATCH(ROW($O$231:$O$491),ROW($O$231:$O$491)),""),ROWS($A$1:A113))),0)</f>
        <v>0</v>
      </c>
      <c r="T132" s="17" t="str">
        <f t="shared" si="16"/>
        <v/>
      </c>
      <c r="AD132" s="17">
        <v>113</v>
      </c>
      <c r="AE132" s="17" t="str">
        <f t="shared" si="21"/>
        <v/>
      </c>
      <c r="AF132" s="17">
        <f t="array" ref="AF132">IFERROR(INDEX($AC$231:$AC$491,SMALL(IF(("Q"=$AB$231:$AB$491),MATCH(ROW($AB$231:$AB$491),ROW($AB$231:$AB$491)),""),ROWS($A$1:A113))),0)</f>
        <v>0</v>
      </c>
      <c r="AG132" s="17" t="str">
        <f t="shared" si="17"/>
        <v/>
      </c>
      <c r="AR132" s="17">
        <v>113</v>
      </c>
      <c r="AS132" s="17" t="str">
        <f t="shared" si="22"/>
        <v/>
      </c>
      <c r="AT132" s="17">
        <f t="array" ref="AT132">IFERROR(INDEX($AQ$231:$AQ$491,SMALL(IF(("Q"=$AP$231:$AP$491),MATCH(ROW($AP$231:$AP$491),ROW($AP$231:$AP$491)),""),ROWS($A$1:A113))),0)</f>
        <v>0</v>
      </c>
      <c r="AU132" s="17" t="str">
        <f t="shared" si="18"/>
        <v/>
      </c>
      <c r="BD132" s="17">
        <v>113</v>
      </c>
      <c r="BE132" s="17" t="str">
        <f t="shared" si="23"/>
        <v/>
      </c>
      <c r="BF132" s="17">
        <f t="array" ref="BF132">IFERROR(INDEX($BC$231:$BC$491,SMALL(IF(("Q"=$BB$231:$BB$491),MATCH(ROW($BB$231:$BB$491),ROW($BB$231:$BB$491)),""),ROWS($A$1:A113))),0)</f>
        <v>0</v>
      </c>
      <c r="BG132" s="17" t="str">
        <f t="shared" si="19"/>
        <v/>
      </c>
    </row>
    <row r="133" spans="3:59">
      <c r="C133" s="17">
        <v>114</v>
      </c>
      <c r="D133" s="17" t="str">
        <f t="shared" si="20"/>
        <v/>
      </c>
      <c r="E133" s="17">
        <f t="array" ref="E133">IFERROR(INDEX($B$231:$B$491,SMALL(IF(("Q"=$A$231:$A$491),MATCH(ROW($A$231:$A$491),ROW($A$231:$A$491)),""),ROWS($A$1:A114))),0)</f>
        <v>0</v>
      </c>
      <c r="F133" s="17" t="str">
        <f t="shared" si="14"/>
        <v/>
      </c>
      <c r="Q133" s="17">
        <v>114</v>
      </c>
      <c r="R133" s="17" t="str">
        <f t="shared" si="15"/>
        <v/>
      </c>
      <c r="S133" s="17">
        <f t="array" ref="S133">IFERROR(INDEX($P$231:$P$491,SMALL(IF(("Q"=$O$231:$O$491),MATCH(ROW($O$231:$O$491),ROW($O$231:$O$491)),""),ROWS($A$1:A114))),0)</f>
        <v>0</v>
      </c>
      <c r="T133" s="17" t="str">
        <f t="shared" si="16"/>
        <v/>
      </c>
      <c r="AD133" s="17">
        <v>114</v>
      </c>
      <c r="AE133" s="17" t="str">
        <f t="shared" si="21"/>
        <v/>
      </c>
      <c r="AF133" s="17">
        <f t="array" ref="AF133">IFERROR(INDEX($AC$231:$AC$491,SMALL(IF(("Q"=$AB$231:$AB$491),MATCH(ROW($AB$231:$AB$491),ROW($AB$231:$AB$491)),""),ROWS($A$1:A114))),0)</f>
        <v>0</v>
      </c>
      <c r="AG133" s="17" t="str">
        <f t="shared" si="17"/>
        <v/>
      </c>
      <c r="AR133" s="17">
        <v>114</v>
      </c>
      <c r="AS133" s="17" t="str">
        <f t="shared" si="22"/>
        <v/>
      </c>
      <c r="AT133" s="17">
        <f t="array" ref="AT133">IFERROR(INDEX($AQ$231:$AQ$491,SMALL(IF(("Q"=$AP$231:$AP$491),MATCH(ROW($AP$231:$AP$491),ROW($AP$231:$AP$491)),""),ROWS($A$1:A114))),0)</f>
        <v>0</v>
      </c>
      <c r="AU133" s="17" t="str">
        <f t="shared" si="18"/>
        <v/>
      </c>
      <c r="BD133" s="17">
        <v>114</v>
      </c>
      <c r="BE133" s="17" t="str">
        <f t="shared" si="23"/>
        <v/>
      </c>
      <c r="BF133" s="17">
        <f t="array" ref="BF133">IFERROR(INDEX($BC$231:$BC$491,SMALL(IF(("Q"=$BB$231:$BB$491),MATCH(ROW($BB$231:$BB$491),ROW($BB$231:$BB$491)),""),ROWS($A$1:A114))),0)</f>
        <v>0</v>
      </c>
      <c r="BG133" s="17" t="str">
        <f t="shared" si="19"/>
        <v/>
      </c>
    </row>
    <row r="134" spans="3:59">
      <c r="C134" s="17">
        <v>115</v>
      </c>
      <c r="D134" s="17" t="str">
        <f t="shared" si="20"/>
        <v/>
      </c>
      <c r="E134" s="17">
        <f t="array" ref="E134">IFERROR(INDEX($B$231:$B$491,SMALL(IF(("Q"=$A$231:$A$491),MATCH(ROW($A$231:$A$491),ROW($A$231:$A$491)),""),ROWS($A$1:A115))),0)</f>
        <v>0</v>
      </c>
      <c r="F134" s="17" t="str">
        <f t="shared" si="14"/>
        <v/>
      </c>
      <c r="Q134" s="17">
        <v>115</v>
      </c>
      <c r="R134" s="17" t="str">
        <f t="shared" si="15"/>
        <v/>
      </c>
      <c r="S134" s="17">
        <f t="array" ref="S134">IFERROR(INDEX($P$231:$P$491,SMALL(IF(("Q"=$O$231:$O$491),MATCH(ROW($O$231:$O$491),ROW($O$231:$O$491)),""),ROWS($A$1:A115))),0)</f>
        <v>0</v>
      </c>
      <c r="T134" s="17" t="str">
        <f t="shared" si="16"/>
        <v/>
      </c>
      <c r="AD134" s="17">
        <v>115</v>
      </c>
      <c r="AE134" s="17" t="str">
        <f t="shared" si="21"/>
        <v/>
      </c>
      <c r="AF134" s="17">
        <f t="array" ref="AF134">IFERROR(INDEX($AC$231:$AC$491,SMALL(IF(("Q"=$AB$231:$AB$491),MATCH(ROW($AB$231:$AB$491),ROW($AB$231:$AB$491)),""),ROWS($A$1:A115))),0)</f>
        <v>0</v>
      </c>
      <c r="AG134" s="17" t="str">
        <f t="shared" si="17"/>
        <v/>
      </c>
      <c r="AR134" s="17">
        <v>115</v>
      </c>
      <c r="AS134" s="17" t="str">
        <f t="shared" si="22"/>
        <v/>
      </c>
      <c r="AT134" s="17">
        <f t="array" ref="AT134">IFERROR(INDEX($AQ$231:$AQ$491,SMALL(IF(("Q"=$AP$231:$AP$491),MATCH(ROW($AP$231:$AP$491),ROW($AP$231:$AP$491)),""),ROWS($A$1:A115))),0)</f>
        <v>0</v>
      </c>
      <c r="AU134" s="17" t="str">
        <f t="shared" si="18"/>
        <v/>
      </c>
      <c r="BD134" s="17">
        <v>115</v>
      </c>
      <c r="BE134" s="17" t="str">
        <f t="shared" si="23"/>
        <v/>
      </c>
      <c r="BF134" s="17">
        <f t="array" ref="BF134">IFERROR(INDEX($BC$231:$BC$491,SMALL(IF(("Q"=$BB$231:$BB$491),MATCH(ROW($BB$231:$BB$491),ROW($BB$231:$BB$491)),""),ROWS($A$1:A115))),0)</f>
        <v>0</v>
      </c>
      <c r="BG134" s="17" t="str">
        <f t="shared" si="19"/>
        <v/>
      </c>
    </row>
    <row r="135" spans="3:59">
      <c r="C135" s="17">
        <v>116</v>
      </c>
      <c r="D135" s="17" t="str">
        <f t="shared" si="20"/>
        <v/>
      </c>
      <c r="E135" s="17">
        <f t="array" ref="E135">IFERROR(INDEX($B$231:$B$491,SMALL(IF(("Q"=$A$231:$A$491),MATCH(ROW($A$231:$A$491),ROW($A$231:$A$491)),""),ROWS($A$1:A116))),0)</f>
        <v>0</v>
      </c>
      <c r="F135" s="17" t="str">
        <f t="shared" si="14"/>
        <v/>
      </c>
      <c r="Q135" s="17">
        <v>116</v>
      </c>
      <c r="R135" s="17" t="str">
        <f t="shared" si="15"/>
        <v/>
      </c>
      <c r="S135" s="17">
        <f t="array" ref="S135">IFERROR(INDEX($P$231:$P$491,SMALL(IF(("Q"=$O$231:$O$491),MATCH(ROW($O$231:$O$491),ROW($O$231:$O$491)),""),ROWS($A$1:A116))),0)</f>
        <v>0</v>
      </c>
      <c r="T135" s="17" t="str">
        <f t="shared" si="16"/>
        <v/>
      </c>
      <c r="AD135" s="17">
        <v>116</v>
      </c>
      <c r="AE135" s="17" t="str">
        <f t="shared" si="21"/>
        <v/>
      </c>
      <c r="AF135" s="17">
        <f t="array" ref="AF135">IFERROR(INDEX($AC$231:$AC$491,SMALL(IF(("Q"=$AB$231:$AB$491),MATCH(ROW($AB$231:$AB$491),ROW($AB$231:$AB$491)),""),ROWS($A$1:A116))),0)</f>
        <v>0</v>
      </c>
      <c r="AG135" s="17" t="str">
        <f t="shared" si="17"/>
        <v/>
      </c>
      <c r="AR135" s="17">
        <v>116</v>
      </c>
      <c r="AS135" s="17" t="str">
        <f t="shared" si="22"/>
        <v/>
      </c>
      <c r="AT135" s="17">
        <f t="array" ref="AT135">IFERROR(INDEX($AQ$231:$AQ$491,SMALL(IF(("Q"=$AP$231:$AP$491),MATCH(ROW($AP$231:$AP$491),ROW($AP$231:$AP$491)),""),ROWS($A$1:A116))),0)</f>
        <v>0</v>
      </c>
      <c r="AU135" s="17" t="str">
        <f t="shared" si="18"/>
        <v/>
      </c>
      <c r="BD135" s="17">
        <v>116</v>
      </c>
      <c r="BE135" s="17" t="str">
        <f t="shared" si="23"/>
        <v/>
      </c>
      <c r="BF135" s="17">
        <f t="array" ref="BF135">IFERROR(INDEX($BC$231:$BC$491,SMALL(IF(("Q"=$BB$231:$BB$491),MATCH(ROW($BB$231:$BB$491),ROW($BB$231:$BB$491)),""),ROWS($A$1:A116))),0)</f>
        <v>0</v>
      </c>
      <c r="BG135" s="17" t="str">
        <f t="shared" si="19"/>
        <v/>
      </c>
    </row>
    <row r="136" spans="3:59">
      <c r="C136" s="17">
        <v>117</v>
      </c>
      <c r="D136" s="17" t="str">
        <f t="shared" si="20"/>
        <v/>
      </c>
      <c r="E136" s="17">
        <f t="array" ref="E136">IFERROR(INDEX($B$231:$B$491,SMALL(IF(("Q"=$A$231:$A$491),MATCH(ROW($A$231:$A$491),ROW($A$231:$A$491)),""),ROWS($A$1:A117))),0)</f>
        <v>0</v>
      </c>
      <c r="F136" s="17" t="str">
        <f t="shared" si="14"/>
        <v/>
      </c>
      <c r="Q136" s="17">
        <v>117</v>
      </c>
      <c r="R136" s="17" t="str">
        <f t="shared" si="15"/>
        <v/>
      </c>
      <c r="S136" s="17">
        <f t="array" ref="S136">IFERROR(INDEX($P$231:$P$491,SMALL(IF(("Q"=$O$231:$O$491),MATCH(ROW($O$231:$O$491),ROW($O$231:$O$491)),""),ROWS($A$1:A117))),0)</f>
        <v>0</v>
      </c>
      <c r="T136" s="17" t="str">
        <f t="shared" si="16"/>
        <v/>
      </c>
      <c r="AD136" s="17">
        <v>117</v>
      </c>
      <c r="AE136" s="17" t="str">
        <f t="shared" si="21"/>
        <v/>
      </c>
      <c r="AF136" s="17">
        <f t="array" ref="AF136">IFERROR(INDEX($AC$231:$AC$491,SMALL(IF(("Q"=$AB$231:$AB$491),MATCH(ROW($AB$231:$AB$491),ROW($AB$231:$AB$491)),""),ROWS($A$1:A117))),0)</f>
        <v>0</v>
      </c>
      <c r="AG136" s="17" t="str">
        <f t="shared" si="17"/>
        <v/>
      </c>
      <c r="AR136" s="17">
        <v>117</v>
      </c>
      <c r="AS136" s="17" t="str">
        <f t="shared" si="22"/>
        <v/>
      </c>
      <c r="AT136" s="17">
        <f t="array" ref="AT136">IFERROR(INDEX($AQ$231:$AQ$491,SMALL(IF(("Q"=$AP$231:$AP$491),MATCH(ROW($AP$231:$AP$491),ROW($AP$231:$AP$491)),""),ROWS($A$1:A117))),0)</f>
        <v>0</v>
      </c>
      <c r="AU136" s="17" t="str">
        <f t="shared" si="18"/>
        <v/>
      </c>
      <c r="BD136" s="17">
        <v>117</v>
      </c>
      <c r="BE136" s="17" t="str">
        <f t="shared" si="23"/>
        <v/>
      </c>
      <c r="BF136" s="17">
        <f t="array" ref="BF136">IFERROR(INDEX($BC$231:$BC$491,SMALL(IF(("Q"=$BB$231:$BB$491),MATCH(ROW($BB$231:$BB$491),ROW($BB$231:$BB$491)),""),ROWS($A$1:A117))),0)</f>
        <v>0</v>
      </c>
      <c r="BG136" s="17" t="str">
        <f t="shared" si="19"/>
        <v/>
      </c>
    </row>
    <row r="137" spans="3:59">
      <c r="C137" s="17">
        <v>118</v>
      </c>
      <c r="D137" s="17" t="str">
        <f t="shared" si="20"/>
        <v/>
      </c>
      <c r="E137" s="17">
        <f t="array" ref="E137">IFERROR(INDEX($B$231:$B$491,SMALL(IF(("Q"=$A$231:$A$491),MATCH(ROW($A$231:$A$491),ROW($A$231:$A$491)),""),ROWS($A$1:A118))),0)</f>
        <v>0</v>
      </c>
      <c r="F137" s="17" t="str">
        <f t="shared" si="14"/>
        <v/>
      </c>
      <c r="Q137" s="17">
        <v>118</v>
      </c>
      <c r="R137" s="17" t="str">
        <f t="shared" si="15"/>
        <v/>
      </c>
      <c r="S137" s="17">
        <f t="array" ref="S137">IFERROR(INDEX($P$231:$P$491,SMALL(IF(("Q"=$O$231:$O$491),MATCH(ROW($O$231:$O$491),ROW($O$231:$O$491)),""),ROWS($A$1:A118))),0)</f>
        <v>0</v>
      </c>
      <c r="T137" s="17" t="str">
        <f t="shared" si="16"/>
        <v/>
      </c>
      <c r="AD137" s="17">
        <v>118</v>
      </c>
      <c r="AE137" s="17" t="str">
        <f t="shared" si="21"/>
        <v/>
      </c>
      <c r="AF137" s="17">
        <f t="array" ref="AF137">IFERROR(INDEX($AC$231:$AC$491,SMALL(IF(("Q"=$AB$231:$AB$491),MATCH(ROW($AB$231:$AB$491),ROW($AB$231:$AB$491)),""),ROWS($A$1:A118))),0)</f>
        <v>0</v>
      </c>
      <c r="AG137" s="17" t="str">
        <f t="shared" si="17"/>
        <v/>
      </c>
      <c r="AR137" s="17">
        <v>118</v>
      </c>
      <c r="AS137" s="17" t="str">
        <f t="shared" si="22"/>
        <v/>
      </c>
      <c r="AT137" s="17">
        <f t="array" ref="AT137">IFERROR(INDEX($AQ$231:$AQ$491,SMALL(IF(("Q"=$AP$231:$AP$491),MATCH(ROW($AP$231:$AP$491),ROW($AP$231:$AP$491)),""),ROWS($A$1:A118))),0)</f>
        <v>0</v>
      </c>
      <c r="AU137" s="17" t="str">
        <f t="shared" si="18"/>
        <v/>
      </c>
      <c r="BD137" s="17">
        <v>118</v>
      </c>
      <c r="BE137" s="17" t="str">
        <f t="shared" si="23"/>
        <v/>
      </c>
      <c r="BF137" s="17">
        <f t="array" ref="BF137">IFERROR(INDEX($BC$231:$BC$491,SMALL(IF(("Q"=$BB$231:$BB$491),MATCH(ROW($BB$231:$BB$491),ROW($BB$231:$BB$491)),""),ROWS($A$1:A118))),0)</f>
        <v>0</v>
      </c>
      <c r="BG137" s="17" t="str">
        <f t="shared" si="19"/>
        <v/>
      </c>
    </row>
    <row r="138" spans="3:59">
      <c r="C138" s="17">
        <v>119</v>
      </c>
      <c r="D138" s="17" t="str">
        <f t="shared" si="20"/>
        <v/>
      </c>
      <c r="E138" s="17">
        <f t="array" ref="E138">IFERROR(INDEX($B$231:$B$491,SMALL(IF(("Q"=$A$231:$A$491),MATCH(ROW($A$231:$A$491),ROW($A$231:$A$491)),""),ROWS($A$1:A119))),0)</f>
        <v>0</v>
      </c>
      <c r="F138" s="17" t="str">
        <f t="shared" si="14"/>
        <v/>
      </c>
      <c r="Q138" s="17">
        <v>119</v>
      </c>
      <c r="R138" s="17" t="str">
        <f t="shared" si="15"/>
        <v/>
      </c>
      <c r="S138" s="17">
        <f t="array" ref="S138">IFERROR(INDEX($P$231:$P$491,SMALL(IF(("Q"=$O$231:$O$491),MATCH(ROW($O$231:$O$491),ROW($O$231:$O$491)),""),ROWS($A$1:A119))),0)</f>
        <v>0</v>
      </c>
      <c r="T138" s="17" t="str">
        <f t="shared" si="16"/>
        <v/>
      </c>
      <c r="AD138" s="17">
        <v>119</v>
      </c>
      <c r="AE138" s="17" t="str">
        <f t="shared" si="21"/>
        <v/>
      </c>
      <c r="AF138" s="17">
        <f t="array" ref="AF138">IFERROR(INDEX($AC$231:$AC$491,SMALL(IF(("Q"=$AB$231:$AB$491),MATCH(ROW($AB$231:$AB$491),ROW($AB$231:$AB$491)),""),ROWS($A$1:A119))),0)</f>
        <v>0</v>
      </c>
      <c r="AG138" s="17" t="str">
        <f t="shared" si="17"/>
        <v/>
      </c>
      <c r="AR138" s="17">
        <v>119</v>
      </c>
      <c r="AS138" s="17" t="str">
        <f t="shared" si="22"/>
        <v/>
      </c>
      <c r="AT138" s="17">
        <f t="array" ref="AT138">IFERROR(INDEX($AQ$231:$AQ$491,SMALL(IF(("Q"=$AP$231:$AP$491),MATCH(ROW($AP$231:$AP$491),ROW($AP$231:$AP$491)),""),ROWS($A$1:A119))),0)</f>
        <v>0</v>
      </c>
      <c r="AU138" s="17" t="str">
        <f t="shared" si="18"/>
        <v/>
      </c>
      <c r="BD138" s="17">
        <v>119</v>
      </c>
      <c r="BE138" s="17" t="str">
        <f t="shared" si="23"/>
        <v/>
      </c>
      <c r="BF138" s="17">
        <f t="array" ref="BF138">IFERROR(INDEX($BC$231:$BC$491,SMALL(IF(("Q"=$BB$231:$BB$491),MATCH(ROW($BB$231:$BB$491),ROW($BB$231:$BB$491)),""),ROWS($A$1:A119))),0)</f>
        <v>0</v>
      </c>
      <c r="BG138" s="17" t="str">
        <f t="shared" si="19"/>
        <v/>
      </c>
    </row>
    <row r="139" spans="3:59">
      <c r="C139" s="17">
        <v>120</v>
      </c>
      <c r="D139" s="17" t="str">
        <f t="shared" si="20"/>
        <v/>
      </c>
      <c r="E139" s="17">
        <f t="array" ref="E139">IFERROR(INDEX($B$231:$B$491,SMALL(IF(("Q"=$A$231:$A$491),MATCH(ROW($A$231:$A$491),ROW($A$231:$A$491)),""),ROWS($A$1:A120))),0)</f>
        <v>0</v>
      </c>
      <c r="F139" s="17" t="str">
        <f t="shared" si="14"/>
        <v/>
      </c>
      <c r="Q139" s="17">
        <v>120</v>
      </c>
      <c r="R139" s="17" t="str">
        <f t="shared" si="15"/>
        <v/>
      </c>
      <c r="S139" s="17">
        <f t="array" ref="S139">IFERROR(INDEX($P$231:$P$491,SMALL(IF(("Q"=$O$231:$O$491),MATCH(ROW($O$231:$O$491),ROW($O$231:$O$491)),""),ROWS($A$1:A120))),0)</f>
        <v>0</v>
      </c>
      <c r="T139" s="17" t="str">
        <f t="shared" si="16"/>
        <v/>
      </c>
      <c r="AD139" s="17">
        <v>120</v>
      </c>
      <c r="AE139" s="17" t="str">
        <f t="shared" si="21"/>
        <v/>
      </c>
      <c r="AF139" s="17">
        <f t="array" ref="AF139">IFERROR(INDEX($AC$231:$AC$491,SMALL(IF(("Q"=$AB$231:$AB$491),MATCH(ROW($AB$231:$AB$491),ROW($AB$231:$AB$491)),""),ROWS($A$1:A120))),0)</f>
        <v>0</v>
      </c>
      <c r="AG139" s="17" t="str">
        <f t="shared" si="17"/>
        <v/>
      </c>
      <c r="AR139" s="17">
        <v>120</v>
      </c>
      <c r="AS139" s="17" t="str">
        <f t="shared" si="22"/>
        <v/>
      </c>
      <c r="AT139" s="17">
        <f t="array" ref="AT139">IFERROR(INDEX($AQ$231:$AQ$491,SMALL(IF(("Q"=$AP$231:$AP$491),MATCH(ROW($AP$231:$AP$491),ROW($AP$231:$AP$491)),""),ROWS($A$1:A120))),0)</f>
        <v>0</v>
      </c>
      <c r="AU139" s="17" t="str">
        <f t="shared" si="18"/>
        <v/>
      </c>
      <c r="BD139" s="17">
        <v>120</v>
      </c>
      <c r="BE139" s="17" t="str">
        <f t="shared" si="23"/>
        <v/>
      </c>
      <c r="BF139" s="17">
        <f t="array" ref="BF139">IFERROR(INDEX($BC$231:$BC$491,SMALL(IF(("Q"=$BB$231:$BB$491),MATCH(ROW($BB$231:$BB$491),ROW($BB$231:$BB$491)),""),ROWS($A$1:A120))),0)</f>
        <v>0</v>
      </c>
      <c r="BG139" s="17" t="str">
        <f t="shared" si="19"/>
        <v/>
      </c>
    </row>
    <row r="140" spans="3:59">
      <c r="C140" s="17">
        <v>121</v>
      </c>
      <c r="D140" s="17" t="str">
        <f t="shared" si="20"/>
        <v/>
      </c>
      <c r="E140" s="17">
        <f t="array" ref="E140">IFERROR(INDEX($B$231:$B$491,SMALL(IF(("Q"=$A$231:$A$491),MATCH(ROW($A$231:$A$491),ROW($A$231:$A$491)),""),ROWS($A$1:A121))),0)</f>
        <v>0</v>
      </c>
      <c r="F140" s="17" t="str">
        <f t="shared" si="14"/>
        <v/>
      </c>
      <c r="Q140" s="17">
        <v>121</v>
      </c>
      <c r="R140" s="17" t="str">
        <f t="shared" si="15"/>
        <v/>
      </c>
      <c r="S140" s="17">
        <f t="array" ref="S140">IFERROR(INDEX($P$231:$P$491,SMALL(IF(("Q"=$O$231:$O$491),MATCH(ROW($O$231:$O$491),ROW($O$231:$O$491)),""),ROWS($A$1:A121))),0)</f>
        <v>0</v>
      </c>
      <c r="T140" s="17" t="str">
        <f t="shared" si="16"/>
        <v/>
      </c>
      <c r="AD140" s="17">
        <v>121</v>
      </c>
      <c r="AE140" s="17" t="str">
        <f t="shared" si="21"/>
        <v/>
      </c>
      <c r="AF140" s="17">
        <f t="array" ref="AF140">IFERROR(INDEX($AC$231:$AC$491,SMALL(IF(("Q"=$AB$231:$AB$491),MATCH(ROW($AB$231:$AB$491),ROW($AB$231:$AB$491)),""),ROWS($A$1:A121))),0)</f>
        <v>0</v>
      </c>
      <c r="AG140" s="17" t="str">
        <f t="shared" si="17"/>
        <v/>
      </c>
      <c r="AR140" s="17">
        <v>121</v>
      </c>
      <c r="AS140" s="17" t="str">
        <f t="shared" si="22"/>
        <v/>
      </c>
      <c r="AT140" s="17">
        <f t="array" ref="AT140">IFERROR(INDEX($AQ$231:$AQ$491,SMALL(IF(("Q"=$AP$231:$AP$491),MATCH(ROW($AP$231:$AP$491),ROW($AP$231:$AP$491)),""),ROWS($A$1:A121))),0)</f>
        <v>0</v>
      </c>
      <c r="AU140" s="17" t="str">
        <f t="shared" si="18"/>
        <v/>
      </c>
      <c r="BD140" s="17">
        <v>121</v>
      </c>
      <c r="BE140" s="17" t="str">
        <f t="shared" si="23"/>
        <v/>
      </c>
      <c r="BF140" s="17">
        <f t="array" ref="BF140">IFERROR(INDEX($BC$231:$BC$491,SMALL(IF(("Q"=$BB$231:$BB$491),MATCH(ROW($BB$231:$BB$491),ROW($BB$231:$BB$491)),""),ROWS($A$1:A121))),0)</f>
        <v>0</v>
      </c>
      <c r="BG140" s="17" t="str">
        <f t="shared" si="19"/>
        <v/>
      </c>
    </row>
    <row r="141" spans="3:59">
      <c r="C141" s="17">
        <v>122</v>
      </c>
      <c r="D141" s="17" t="str">
        <f t="shared" si="20"/>
        <v/>
      </c>
      <c r="E141" s="17">
        <f t="array" ref="E141">IFERROR(INDEX($B$231:$B$491,SMALL(IF(("Q"=$A$231:$A$491),MATCH(ROW($A$231:$A$491),ROW($A$231:$A$491)),""),ROWS($A$1:A122))),0)</f>
        <v>0</v>
      </c>
      <c r="F141" s="17" t="str">
        <f t="shared" si="14"/>
        <v/>
      </c>
      <c r="Q141" s="17">
        <v>122</v>
      </c>
      <c r="R141" s="17" t="str">
        <f t="shared" si="15"/>
        <v/>
      </c>
      <c r="S141" s="17">
        <f t="array" ref="S141">IFERROR(INDEX($P$231:$P$491,SMALL(IF(("Q"=$O$231:$O$491),MATCH(ROW($O$231:$O$491),ROW($O$231:$O$491)),""),ROWS($A$1:A122))),0)</f>
        <v>0</v>
      </c>
      <c r="T141" s="17" t="str">
        <f t="shared" si="16"/>
        <v/>
      </c>
      <c r="AD141" s="17">
        <v>122</v>
      </c>
      <c r="AE141" s="17" t="str">
        <f t="shared" si="21"/>
        <v/>
      </c>
      <c r="AF141" s="17">
        <f t="array" ref="AF141">IFERROR(INDEX($AC$231:$AC$491,SMALL(IF(("Q"=$AB$231:$AB$491),MATCH(ROW($AB$231:$AB$491),ROW($AB$231:$AB$491)),""),ROWS($A$1:A122))),0)</f>
        <v>0</v>
      </c>
      <c r="AG141" s="17" t="str">
        <f t="shared" si="17"/>
        <v/>
      </c>
      <c r="AR141" s="17">
        <v>122</v>
      </c>
      <c r="AS141" s="17" t="str">
        <f t="shared" si="22"/>
        <v/>
      </c>
      <c r="AT141" s="17">
        <f t="array" ref="AT141">IFERROR(INDEX($AQ$231:$AQ$491,SMALL(IF(("Q"=$AP$231:$AP$491),MATCH(ROW($AP$231:$AP$491),ROW($AP$231:$AP$491)),""),ROWS($A$1:A122))),0)</f>
        <v>0</v>
      </c>
      <c r="AU141" s="17" t="str">
        <f t="shared" si="18"/>
        <v/>
      </c>
      <c r="BD141" s="17">
        <v>122</v>
      </c>
      <c r="BE141" s="17" t="str">
        <f t="shared" si="23"/>
        <v/>
      </c>
      <c r="BF141" s="17">
        <f t="array" ref="BF141">IFERROR(INDEX($BC$231:$BC$491,SMALL(IF(("Q"=$BB$231:$BB$491),MATCH(ROW($BB$231:$BB$491),ROW($BB$231:$BB$491)),""),ROWS($A$1:A122))),0)</f>
        <v>0</v>
      </c>
      <c r="BG141" s="17" t="str">
        <f t="shared" si="19"/>
        <v/>
      </c>
    </row>
    <row r="142" spans="3:59">
      <c r="C142" s="17">
        <v>123</v>
      </c>
      <c r="D142" s="17" t="str">
        <f t="shared" si="20"/>
        <v/>
      </c>
      <c r="E142" s="17">
        <f t="array" ref="E142">IFERROR(INDEX($B$231:$B$491,SMALL(IF(("Q"=$A$231:$A$491),MATCH(ROW($A$231:$A$491),ROW($A$231:$A$491)),""),ROWS($A$1:A123))),0)</f>
        <v>0</v>
      </c>
      <c r="F142" s="17" t="str">
        <f t="shared" si="14"/>
        <v/>
      </c>
      <c r="Q142" s="17">
        <v>123</v>
      </c>
      <c r="R142" s="17" t="str">
        <f t="shared" si="15"/>
        <v/>
      </c>
      <c r="S142" s="17">
        <f t="array" ref="S142">IFERROR(INDEX($P$231:$P$491,SMALL(IF(("Q"=$O$231:$O$491),MATCH(ROW($O$231:$O$491),ROW($O$231:$O$491)),""),ROWS($A$1:A123))),0)</f>
        <v>0</v>
      </c>
      <c r="T142" s="17" t="str">
        <f t="shared" si="16"/>
        <v/>
      </c>
      <c r="AD142" s="17">
        <v>123</v>
      </c>
      <c r="AE142" s="17" t="str">
        <f t="shared" si="21"/>
        <v/>
      </c>
      <c r="AF142" s="17">
        <f t="array" ref="AF142">IFERROR(INDEX($AC$231:$AC$491,SMALL(IF(("Q"=$AB$231:$AB$491),MATCH(ROW($AB$231:$AB$491),ROW($AB$231:$AB$491)),""),ROWS($A$1:A123))),0)</f>
        <v>0</v>
      </c>
      <c r="AG142" s="17" t="str">
        <f t="shared" si="17"/>
        <v/>
      </c>
      <c r="AR142" s="17">
        <v>123</v>
      </c>
      <c r="AS142" s="17" t="str">
        <f t="shared" si="22"/>
        <v/>
      </c>
      <c r="AT142" s="17">
        <f t="array" ref="AT142">IFERROR(INDEX($AQ$231:$AQ$491,SMALL(IF(("Q"=$AP$231:$AP$491),MATCH(ROW($AP$231:$AP$491),ROW($AP$231:$AP$491)),""),ROWS($A$1:A123))),0)</f>
        <v>0</v>
      </c>
      <c r="AU142" s="17" t="str">
        <f t="shared" si="18"/>
        <v/>
      </c>
      <c r="BD142" s="17">
        <v>123</v>
      </c>
      <c r="BE142" s="17" t="str">
        <f t="shared" si="23"/>
        <v/>
      </c>
      <c r="BF142" s="17">
        <f t="array" ref="BF142">IFERROR(INDEX($BC$231:$BC$491,SMALL(IF(("Q"=$BB$231:$BB$491),MATCH(ROW($BB$231:$BB$491),ROW($BB$231:$BB$491)),""),ROWS($A$1:A123))),0)</f>
        <v>0</v>
      </c>
      <c r="BG142" s="17" t="str">
        <f t="shared" si="19"/>
        <v/>
      </c>
    </row>
    <row r="143" spans="3:59">
      <c r="C143" s="17">
        <v>124</v>
      </c>
      <c r="D143" s="17" t="str">
        <f t="shared" si="20"/>
        <v/>
      </c>
      <c r="E143" s="17">
        <f t="array" ref="E143">IFERROR(INDEX($B$231:$B$491,SMALL(IF(("Q"=$A$231:$A$491),MATCH(ROW($A$231:$A$491),ROW($A$231:$A$491)),""),ROWS($A$1:A124))),0)</f>
        <v>0</v>
      </c>
      <c r="F143" s="17" t="str">
        <f t="shared" si="14"/>
        <v/>
      </c>
      <c r="Q143" s="17">
        <v>124</v>
      </c>
      <c r="R143" s="17" t="str">
        <f t="shared" si="15"/>
        <v/>
      </c>
      <c r="S143" s="17">
        <f t="array" ref="S143">IFERROR(INDEX($P$231:$P$491,SMALL(IF(("Q"=$O$231:$O$491),MATCH(ROW($O$231:$O$491),ROW($O$231:$O$491)),""),ROWS($A$1:A124))),0)</f>
        <v>0</v>
      </c>
      <c r="T143" s="17" t="str">
        <f t="shared" si="16"/>
        <v/>
      </c>
      <c r="AD143" s="17">
        <v>124</v>
      </c>
      <c r="AE143" s="17" t="str">
        <f t="shared" si="21"/>
        <v/>
      </c>
      <c r="AF143" s="17">
        <f t="array" ref="AF143">IFERROR(INDEX($AC$231:$AC$491,SMALL(IF(("Q"=$AB$231:$AB$491),MATCH(ROW($AB$231:$AB$491),ROW($AB$231:$AB$491)),""),ROWS($A$1:A124))),0)</f>
        <v>0</v>
      </c>
      <c r="AG143" s="17" t="str">
        <f t="shared" si="17"/>
        <v/>
      </c>
      <c r="AR143" s="17">
        <v>124</v>
      </c>
      <c r="AS143" s="17" t="str">
        <f t="shared" si="22"/>
        <v/>
      </c>
      <c r="AT143" s="17">
        <f t="array" ref="AT143">IFERROR(INDEX($AQ$231:$AQ$491,SMALL(IF(("Q"=$AP$231:$AP$491),MATCH(ROW($AP$231:$AP$491),ROW($AP$231:$AP$491)),""),ROWS($A$1:A124))),0)</f>
        <v>0</v>
      </c>
      <c r="AU143" s="17" t="str">
        <f t="shared" si="18"/>
        <v/>
      </c>
      <c r="BD143" s="17">
        <v>124</v>
      </c>
      <c r="BE143" s="17" t="str">
        <f t="shared" si="23"/>
        <v/>
      </c>
      <c r="BF143" s="17">
        <f t="array" ref="BF143">IFERROR(INDEX($BC$231:$BC$491,SMALL(IF(("Q"=$BB$231:$BB$491),MATCH(ROW($BB$231:$BB$491),ROW($BB$231:$BB$491)),""),ROWS($A$1:A124))),0)</f>
        <v>0</v>
      </c>
      <c r="BG143" s="17" t="str">
        <f t="shared" si="19"/>
        <v/>
      </c>
    </row>
    <row r="144" spans="3:59">
      <c r="C144" s="17">
        <v>125</v>
      </c>
      <c r="D144" s="17" t="str">
        <f t="shared" si="20"/>
        <v/>
      </c>
      <c r="E144" s="17">
        <f t="array" ref="E144">IFERROR(INDEX($B$231:$B$491,SMALL(IF(("Q"=$A$231:$A$491),MATCH(ROW($A$231:$A$491),ROW($A$231:$A$491)),""),ROWS($A$1:A125))),0)</f>
        <v>0</v>
      </c>
      <c r="F144" s="17" t="str">
        <f t="shared" si="14"/>
        <v/>
      </c>
      <c r="Q144" s="17">
        <v>125</v>
      </c>
      <c r="R144" s="17" t="str">
        <f t="shared" si="15"/>
        <v/>
      </c>
      <c r="S144" s="17">
        <f t="array" ref="S144">IFERROR(INDEX($P$231:$P$491,SMALL(IF(("Q"=$O$231:$O$491),MATCH(ROW($O$231:$O$491),ROW($O$231:$O$491)),""),ROWS($A$1:A125))),0)</f>
        <v>0</v>
      </c>
      <c r="T144" s="17" t="str">
        <f t="shared" si="16"/>
        <v/>
      </c>
      <c r="AD144" s="17">
        <v>125</v>
      </c>
      <c r="AE144" s="17" t="str">
        <f t="shared" si="21"/>
        <v/>
      </c>
      <c r="AF144" s="17">
        <f t="array" ref="AF144">IFERROR(INDEX($AC$231:$AC$491,SMALL(IF(("Q"=$AB$231:$AB$491),MATCH(ROW($AB$231:$AB$491),ROW($AB$231:$AB$491)),""),ROWS($A$1:A125))),0)</f>
        <v>0</v>
      </c>
      <c r="AG144" s="17" t="str">
        <f t="shared" si="17"/>
        <v/>
      </c>
      <c r="AR144" s="17">
        <v>125</v>
      </c>
      <c r="AS144" s="17" t="str">
        <f t="shared" si="22"/>
        <v/>
      </c>
      <c r="AT144" s="17">
        <f t="array" ref="AT144">IFERROR(INDEX($AQ$231:$AQ$491,SMALL(IF(("Q"=$AP$231:$AP$491),MATCH(ROW($AP$231:$AP$491),ROW($AP$231:$AP$491)),""),ROWS($A$1:A125))),0)</f>
        <v>0</v>
      </c>
      <c r="AU144" s="17" t="str">
        <f t="shared" si="18"/>
        <v/>
      </c>
      <c r="BD144" s="17">
        <v>125</v>
      </c>
      <c r="BE144" s="17" t="str">
        <f t="shared" si="23"/>
        <v/>
      </c>
      <c r="BF144" s="17">
        <f t="array" ref="BF144">IFERROR(INDEX($BC$231:$BC$491,SMALL(IF(("Q"=$BB$231:$BB$491),MATCH(ROW($BB$231:$BB$491),ROW($BB$231:$BB$491)),""),ROWS($A$1:A125))),0)</f>
        <v>0</v>
      </c>
      <c r="BG144" s="17" t="str">
        <f t="shared" si="19"/>
        <v/>
      </c>
    </row>
    <row r="145" spans="3:59">
      <c r="C145" s="17">
        <v>126</v>
      </c>
      <c r="D145" s="17" t="str">
        <f t="shared" si="20"/>
        <v/>
      </c>
      <c r="E145" s="17">
        <f t="array" ref="E145">IFERROR(INDEX($B$231:$B$491,SMALL(IF(("Q"=$A$231:$A$491),MATCH(ROW($A$231:$A$491),ROW($A$231:$A$491)),""),ROWS($A$1:A126))),0)</f>
        <v>0</v>
      </c>
      <c r="F145" s="17" t="str">
        <f t="shared" si="14"/>
        <v/>
      </c>
      <c r="Q145" s="17">
        <v>126</v>
      </c>
      <c r="R145" s="17" t="str">
        <f t="shared" si="15"/>
        <v/>
      </c>
      <c r="S145" s="17">
        <f t="array" ref="S145">IFERROR(INDEX($P$231:$P$491,SMALL(IF(("Q"=$O$231:$O$491),MATCH(ROW($O$231:$O$491),ROW($O$231:$O$491)),""),ROWS($A$1:A126))),0)</f>
        <v>0</v>
      </c>
      <c r="T145" s="17" t="str">
        <f t="shared" si="16"/>
        <v/>
      </c>
      <c r="AD145" s="17">
        <v>126</v>
      </c>
      <c r="AE145" s="17" t="str">
        <f t="shared" si="21"/>
        <v/>
      </c>
      <c r="AF145" s="17">
        <f t="array" ref="AF145">IFERROR(INDEX($AC$231:$AC$491,SMALL(IF(("Q"=$AB$231:$AB$491),MATCH(ROW($AB$231:$AB$491),ROW($AB$231:$AB$491)),""),ROWS($A$1:A126))),0)</f>
        <v>0</v>
      </c>
      <c r="AG145" s="17" t="str">
        <f t="shared" si="17"/>
        <v/>
      </c>
      <c r="AR145" s="17">
        <v>126</v>
      </c>
      <c r="AS145" s="17" t="str">
        <f t="shared" si="22"/>
        <v/>
      </c>
      <c r="AT145" s="17">
        <f t="array" ref="AT145">IFERROR(INDEX($AQ$231:$AQ$491,SMALL(IF(("Q"=$AP$231:$AP$491),MATCH(ROW($AP$231:$AP$491),ROW($AP$231:$AP$491)),""),ROWS($A$1:A126))),0)</f>
        <v>0</v>
      </c>
      <c r="AU145" s="17" t="str">
        <f t="shared" si="18"/>
        <v/>
      </c>
      <c r="BD145" s="17">
        <v>126</v>
      </c>
      <c r="BE145" s="17" t="str">
        <f t="shared" si="23"/>
        <v/>
      </c>
      <c r="BF145" s="17">
        <f t="array" ref="BF145">IFERROR(INDEX($BC$231:$BC$491,SMALL(IF(("Q"=$BB$231:$BB$491),MATCH(ROW($BB$231:$BB$491),ROW($BB$231:$BB$491)),""),ROWS($A$1:A126))),0)</f>
        <v>0</v>
      </c>
      <c r="BG145" s="17" t="str">
        <f t="shared" si="19"/>
        <v/>
      </c>
    </row>
    <row r="146" spans="3:59">
      <c r="C146" s="17">
        <v>127</v>
      </c>
      <c r="D146" s="17" t="str">
        <f t="shared" si="20"/>
        <v/>
      </c>
      <c r="E146" s="17">
        <f t="array" ref="E146">IFERROR(INDEX($B$231:$B$491,SMALL(IF(("Q"=$A$231:$A$491),MATCH(ROW($A$231:$A$491),ROW($A$231:$A$491)),""),ROWS($A$1:A127))),0)</f>
        <v>0</v>
      </c>
      <c r="F146" s="17" t="str">
        <f t="shared" si="14"/>
        <v/>
      </c>
      <c r="Q146" s="17">
        <v>127</v>
      </c>
      <c r="R146" s="17" t="str">
        <f t="shared" si="15"/>
        <v/>
      </c>
      <c r="S146" s="17">
        <f t="array" ref="S146">IFERROR(INDEX($P$231:$P$491,SMALL(IF(("Q"=$O$231:$O$491),MATCH(ROW($O$231:$O$491),ROW($O$231:$O$491)),""),ROWS($A$1:A127))),0)</f>
        <v>0</v>
      </c>
      <c r="T146" s="17" t="str">
        <f t="shared" si="16"/>
        <v/>
      </c>
      <c r="AD146" s="17">
        <v>127</v>
      </c>
      <c r="AE146" s="17" t="str">
        <f t="shared" si="21"/>
        <v/>
      </c>
      <c r="AF146" s="17">
        <f t="array" ref="AF146">IFERROR(INDEX($AC$231:$AC$491,SMALL(IF(("Q"=$AB$231:$AB$491),MATCH(ROW($AB$231:$AB$491),ROW($AB$231:$AB$491)),""),ROWS($A$1:A127))),0)</f>
        <v>0</v>
      </c>
      <c r="AG146" s="17" t="str">
        <f t="shared" si="17"/>
        <v/>
      </c>
      <c r="AR146" s="17">
        <v>127</v>
      </c>
      <c r="AS146" s="17" t="str">
        <f t="shared" si="22"/>
        <v/>
      </c>
      <c r="AT146" s="17">
        <f t="array" ref="AT146">IFERROR(INDEX($AQ$231:$AQ$491,SMALL(IF(("Q"=$AP$231:$AP$491),MATCH(ROW($AP$231:$AP$491),ROW($AP$231:$AP$491)),""),ROWS($A$1:A127))),0)</f>
        <v>0</v>
      </c>
      <c r="AU146" s="17" t="str">
        <f t="shared" si="18"/>
        <v/>
      </c>
      <c r="BD146" s="17">
        <v>127</v>
      </c>
      <c r="BE146" s="17" t="str">
        <f t="shared" si="23"/>
        <v/>
      </c>
      <c r="BF146" s="17">
        <f t="array" ref="BF146">IFERROR(INDEX($BC$231:$BC$491,SMALL(IF(("Q"=$BB$231:$BB$491),MATCH(ROW($BB$231:$BB$491),ROW($BB$231:$BB$491)),""),ROWS($A$1:A127))),0)</f>
        <v>0</v>
      </c>
      <c r="BG146" s="17" t="str">
        <f t="shared" si="19"/>
        <v/>
      </c>
    </row>
    <row r="147" spans="3:59">
      <c r="C147" s="17">
        <v>128</v>
      </c>
      <c r="D147" s="17" t="str">
        <f t="shared" si="20"/>
        <v/>
      </c>
      <c r="E147" s="17">
        <f t="array" ref="E147">IFERROR(INDEX($B$231:$B$491,SMALL(IF(("Q"=$A$231:$A$491),MATCH(ROW($A$231:$A$491),ROW($A$231:$A$491)),""),ROWS($A$1:A128))),0)</f>
        <v>0</v>
      </c>
      <c r="F147" s="17" t="str">
        <f t="shared" si="14"/>
        <v/>
      </c>
      <c r="Q147" s="17">
        <v>128</v>
      </c>
      <c r="R147" s="17" t="str">
        <f t="shared" si="15"/>
        <v/>
      </c>
      <c r="S147" s="17">
        <f t="array" ref="S147">IFERROR(INDEX($P$231:$P$491,SMALL(IF(("Q"=$O$231:$O$491),MATCH(ROW($O$231:$O$491),ROW($O$231:$O$491)),""),ROWS($A$1:A128))),0)</f>
        <v>0</v>
      </c>
      <c r="T147" s="17" t="str">
        <f t="shared" si="16"/>
        <v/>
      </c>
      <c r="AD147" s="17">
        <v>128</v>
      </c>
      <c r="AE147" s="17" t="str">
        <f t="shared" si="21"/>
        <v/>
      </c>
      <c r="AF147" s="17">
        <f t="array" ref="AF147">IFERROR(INDEX($AC$231:$AC$491,SMALL(IF(("Q"=$AB$231:$AB$491),MATCH(ROW($AB$231:$AB$491),ROW($AB$231:$AB$491)),""),ROWS($A$1:A128))),0)</f>
        <v>0</v>
      </c>
      <c r="AG147" s="17" t="str">
        <f t="shared" si="17"/>
        <v/>
      </c>
      <c r="AR147" s="17">
        <v>128</v>
      </c>
      <c r="AS147" s="17" t="str">
        <f t="shared" si="22"/>
        <v/>
      </c>
      <c r="AT147" s="17">
        <f t="array" ref="AT147">IFERROR(INDEX($AQ$231:$AQ$491,SMALL(IF(("Q"=$AP$231:$AP$491),MATCH(ROW($AP$231:$AP$491),ROW($AP$231:$AP$491)),""),ROWS($A$1:A128))),0)</f>
        <v>0</v>
      </c>
      <c r="AU147" s="17" t="str">
        <f t="shared" si="18"/>
        <v/>
      </c>
      <c r="BD147" s="17">
        <v>128</v>
      </c>
      <c r="BE147" s="17" t="str">
        <f t="shared" si="23"/>
        <v/>
      </c>
      <c r="BF147" s="17">
        <f t="array" ref="BF147">IFERROR(INDEX($BC$231:$BC$491,SMALL(IF(("Q"=$BB$231:$BB$491),MATCH(ROW($BB$231:$BB$491),ROW($BB$231:$BB$491)),""),ROWS($A$1:A128))),0)</f>
        <v>0</v>
      </c>
      <c r="BG147" s="17" t="str">
        <f t="shared" si="19"/>
        <v/>
      </c>
    </row>
    <row r="148" spans="3:59">
      <c r="C148" s="17">
        <v>129</v>
      </c>
      <c r="D148" s="17" t="str">
        <f t="shared" si="20"/>
        <v/>
      </c>
      <c r="E148" s="17">
        <f t="array" ref="E148">IFERROR(INDEX($B$231:$B$491,SMALL(IF(("Q"=$A$231:$A$491),MATCH(ROW($A$231:$A$491),ROW($A$231:$A$491)),""),ROWS($A$1:A129))),0)</f>
        <v>0</v>
      </c>
      <c r="F148" s="17" t="str">
        <f t="shared" ref="F148:F211" si="24">IF(D148="","",D148-E148)</f>
        <v/>
      </c>
      <c r="Q148" s="17">
        <v>129</v>
      </c>
      <c r="R148" s="17" t="str">
        <f t="shared" ref="R148:R211" si="25">IF($T$18&gt;=Q148,$S$18,"")</f>
        <v/>
      </c>
      <c r="S148" s="17">
        <f t="array" ref="S148">IFERROR(INDEX($P$231:$P$491,SMALL(IF(("Q"=$O$231:$O$491),MATCH(ROW($O$231:$O$491),ROW($O$231:$O$491)),""),ROWS($A$1:A129))),0)</f>
        <v>0</v>
      </c>
      <c r="T148" s="17" t="str">
        <f t="shared" ref="T148:T211" si="26">IF(R148="","",R148-S148)</f>
        <v/>
      </c>
      <c r="AD148" s="17">
        <v>129</v>
      </c>
      <c r="AE148" s="17" t="str">
        <f t="shared" si="21"/>
        <v/>
      </c>
      <c r="AF148" s="17">
        <f t="array" ref="AF148">IFERROR(INDEX($AC$231:$AC$491,SMALL(IF(("Q"=$AB$231:$AB$491),MATCH(ROW($AB$231:$AB$491),ROW($AB$231:$AB$491)),""),ROWS($A$1:A129))),0)</f>
        <v>0</v>
      </c>
      <c r="AG148" s="17" t="str">
        <f t="shared" ref="AG148:AG211" si="27">IF(AE148="","",AE148-AF148)</f>
        <v/>
      </c>
      <c r="AR148" s="17">
        <v>129</v>
      </c>
      <c r="AS148" s="17" t="str">
        <f t="shared" si="22"/>
        <v/>
      </c>
      <c r="AT148" s="17">
        <f t="array" ref="AT148">IFERROR(INDEX($AQ$231:$AQ$491,SMALL(IF(("Q"=$AP$231:$AP$491),MATCH(ROW($AP$231:$AP$491),ROW($AP$231:$AP$491)),""),ROWS($A$1:A129))),0)</f>
        <v>0</v>
      </c>
      <c r="AU148" s="17" t="str">
        <f t="shared" ref="AU148:AU211" si="28">IF(AS148="","",AS148-AT148)</f>
        <v/>
      </c>
      <c r="BD148" s="17">
        <v>129</v>
      </c>
      <c r="BE148" s="17" t="str">
        <f t="shared" si="23"/>
        <v/>
      </c>
      <c r="BF148" s="17">
        <f t="array" ref="BF148">IFERROR(INDEX($BC$231:$BC$491,SMALL(IF(("Q"=$BB$231:$BB$491),MATCH(ROW($BB$231:$BB$491),ROW($BB$231:$BB$491)),""),ROWS($A$1:A129))),0)</f>
        <v>0</v>
      </c>
      <c r="BG148" s="17" t="str">
        <f t="shared" ref="BG148:BG211" si="29">IF(BE148="","",BE148-BF148)</f>
        <v/>
      </c>
    </row>
    <row r="149" spans="3:59">
      <c r="C149" s="17">
        <v>130</v>
      </c>
      <c r="D149" s="17" t="str">
        <f t="shared" ref="D149:D212" si="30">IF($F$18&gt;=C149,$E$18,"")</f>
        <v/>
      </c>
      <c r="E149" s="17">
        <f t="array" ref="E149">IFERROR(INDEX($B$231:$B$491,SMALL(IF(("Q"=$A$231:$A$491),MATCH(ROW($A$231:$A$491),ROW($A$231:$A$491)),""),ROWS($A$1:A130))),0)</f>
        <v>0</v>
      </c>
      <c r="F149" s="17" t="str">
        <f t="shared" si="24"/>
        <v/>
      </c>
      <c r="Q149" s="17">
        <v>130</v>
      </c>
      <c r="R149" s="17" t="str">
        <f t="shared" si="25"/>
        <v/>
      </c>
      <c r="S149" s="17">
        <f t="array" ref="S149">IFERROR(INDEX($P$231:$P$491,SMALL(IF(("Q"=$O$231:$O$491),MATCH(ROW($O$231:$O$491),ROW($O$231:$O$491)),""),ROWS($A$1:A130))),0)</f>
        <v>0</v>
      </c>
      <c r="T149" s="17" t="str">
        <f t="shared" si="26"/>
        <v/>
      </c>
      <c r="AD149" s="17">
        <v>130</v>
      </c>
      <c r="AE149" s="17" t="str">
        <f t="shared" ref="AE149:AE212" si="31">IF($AG$18&gt;=AD149,$AF$18,"")</f>
        <v/>
      </c>
      <c r="AF149" s="17">
        <f t="array" ref="AF149">IFERROR(INDEX($AC$231:$AC$491,SMALL(IF(("Q"=$AB$231:$AB$491),MATCH(ROW($AB$231:$AB$491),ROW($AB$231:$AB$491)),""),ROWS($A$1:A130))),0)</f>
        <v>0</v>
      </c>
      <c r="AG149" s="17" t="str">
        <f t="shared" si="27"/>
        <v/>
      </c>
      <c r="AR149" s="17">
        <v>130</v>
      </c>
      <c r="AS149" s="17" t="str">
        <f t="shared" ref="AS149:AS212" si="32">IF($AU$18&gt;=AR149,$AT$18,"")</f>
        <v/>
      </c>
      <c r="AT149" s="17">
        <f t="array" ref="AT149">IFERROR(INDEX($AQ$231:$AQ$491,SMALL(IF(("Q"=$AP$231:$AP$491),MATCH(ROW($AP$231:$AP$491),ROW($AP$231:$AP$491)),""),ROWS($A$1:A130))),0)</f>
        <v>0</v>
      </c>
      <c r="AU149" s="17" t="str">
        <f t="shared" si="28"/>
        <v/>
      </c>
      <c r="BD149" s="17">
        <v>130</v>
      </c>
      <c r="BE149" s="17" t="str">
        <f t="shared" ref="BE149:BE212" si="33">IF($BG$18&gt;=BD149,$BF$18,"")</f>
        <v/>
      </c>
      <c r="BF149" s="17">
        <f t="array" ref="BF149">IFERROR(INDEX($BC$231:$BC$491,SMALL(IF(("Q"=$BB$231:$BB$491),MATCH(ROW($BB$231:$BB$491),ROW($BB$231:$BB$491)),""),ROWS($A$1:A130))),0)</f>
        <v>0</v>
      </c>
      <c r="BG149" s="17" t="str">
        <f t="shared" si="29"/>
        <v/>
      </c>
    </row>
    <row r="150" spans="3:59">
      <c r="C150" s="17">
        <v>131</v>
      </c>
      <c r="D150" s="17" t="str">
        <f t="shared" si="30"/>
        <v/>
      </c>
      <c r="E150" s="17">
        <f t="array" ref="E150">IFERROR(INDEX($B$231:$B$491,SMALL(IF(("Q"=$A$231:$A$491),MATCH(ROW($A$231:$A$491),ROW($A$231:$A$491)),""),ROWS($A$1:A131))),0)</f>
        <v>0</v>
      </c>
      <c r="F150" s="17" t="str">
        <f t="shared" si="24"/>
        <v/>
      </c>
      <c r="Q150" s="17">
        <v>131</v>
      </c>
      <c r="R150" s="17" t="str">
        <f t="shared" si="25"/>
        <v/>
      </c>
      <c r="S150" s="17">
        <f t="array" ref="S150">IFERROR(INDEX($P$231:$P$491,SMALL(IF(("Q"=$O$231:$O$491),MATCH(ROW($O$231:$O$491),ROW($O$231:$O$491)),""),ROWS($A$1:A131))),0)</f>
        <v>0</v>
      </c>
      <c r="T150" s="17" t="str">
        <f t="shared" si="26"/>
        <v/>
      </c>
      <c r="AD150" s="17">
        <v>131</v>
      </c>
      <c r="AE150" s="17" t="str">
        <f t="shared" si="31"/>
        <v/>
      </c>
      <c r="AF150" s="17">
        <f t="array" ref="AF150">IFERROR(INDEX($AC$231:$AC$491,SMALL(IF(("Q"=$AB$231:$AB$491),MATCH(ROW($AB$231:$AB$491),ROW($AB$231:$AB$491)),""),ROWS($A$1:A131))),0)</f>
        <v>0</v>
      </c>
      <c r="AG150" s="17" t="str">
        <f t="shared" si="27"/>
        <v/>
      </c>
      <c r="AR150" s="17">
        <v>131</v>
      </c>
      <c r="AS150" s="17" t="str">
        <f t="shared" si="32"/>
        <v/>
      </c>
      <c r="AT150" s="17">
        <f t="array" ref="AT150">IFERROR(INDEX($AQ$231:$AQ$491,SMALL(IF(("Q"=$AP$231:$AP$491),MATCH(ROW($AP$231:$AP$491),ROW($AP$231:$AP$491)),""),ROWS($A$1:A131))),0)</f>
        <v>0</v>
      </c>
      <c r="AU150" s="17" t="str">
        <f t="shared" si="28"/>
        <v/>
      </c>
      <c r="BD150" s="17">
        <v>131</v>
      </c>
      <c r="BE150" s="17" t="str">
        <f t="shared" si="33"/>
        <v/>
      </c>
      <c r="BF150" s="17">
        <f t="array" ref="BF150">IFERROR(INDEX($BC$231:$BC$491,SMALL(IF(("Q"=$BB$231:$BB$491),MATCH(ROW($BB$231:$BB$491),ROW($BB$231:$BB$491)),""),ROWS($A$1:A131))),0)</f>
        <v>0</v>
      </c>
      <c r="BG150" s="17" t="str">
        <f t="shared" si="29"/>
        <v/>
      </c>
    </row>
    <row r="151" spans="3:59">
      <c r="C151" s="17">
        <v>132</v>
      </c>
      <c r="D151" s="17" t="str">
        <f t="shared" si="30"/>
        <v/>
      </c>
      <c r="E151" s="17">
        <f t="array" ref="E151">IFERROR(INDEX($B$231:$B$491,SMALL(IF(("Q"=$A$231:$A$491),MATCH(ROW($A$231:$A$491),ROW($A$231:$A$491)),""),ROWS($A$1:A132))),0)</f>
        <v>0</v>
      </c>
      <c r="F151" s="17" t="str">
        <f t="shared" si="24"/>
        <v/>
      </c>
      <c r="Q151" s="17">
        <v>132</v>
      </c>
      <c r="R151" s="17" t="str">
        <f t="shared" si="25"/>
        <v/>
      </c>
      <c r="S151" s="17">
        <f t="array" ref="S151">IFERROR(INDEX($P$231:$P$491,SMALL(IF(("Q"=$O$231:$O$491),MATCH(ROW($O$231:$O$491),ROW($O$231:$O$491)),""),ROWS($A$1:A132))),0)</f>
        <v>0</v>
      </c>
      <c r="T151" s="17" t="str">
        <f t="shared" si="26"/>
        <v/>
      </c>
      <c r="AD151" s="17">
        <v>132</v>
      </c>
      <c r="AE151" s="17" t="str">
        <f t="shared" si="31"/>
        <v/>
      </c>
      <c r="AF151" s="17">
        <f t="array" ref="AF151">IFERROR(INDEX($AC$231:$AC$491,SMALL(IF(("Q"=$AB$231:$AB$491),MATCH(ROW($AB$231:$AB$491),ROW($AB$231:$AB$491)),""),ROWS($A$1:A132))),0)</f>
        <v>0</v>
      </c>
      <c r="AG151" s="17" t="str">
        <f t="shared" si="27"/>
        <v/>
      </c>
      <c r="AR151" s="17">
        <v>132</v>
      </c>
      <c r="AS151" s="17" t="str">
        <f t="shared" si="32"/>
        <v/>
      </c>
      <c r="AT151" s="17">
        <f t="array" ref="AT151">IFERROR(INDEX($AQ$231:$AQ$491,SMALL(IF(("Q"=$AP$231:$AP$491),MATCH(ROW($AP$231:$AP$491),ROW($AP$231:$AP$491)),""),ROWS($A$1:A132))),0)</f>
        <v>0</v>
      </c>
      <c r="AU151" s="17" t="str">
        <f t="shared" si="28"/>
        <v/>
      </c>
      <c r="BD151" s="17">
        <v>132</v>
      </c>
      <c r="BE151" s="17" t="str">
        <f t="shared" si="33"/>
        <v/>
      </c>
      <c r="BF151" s="17">
        <f t="array" ref="BF151">IFERROR(INDEX($BC$231:$BC$491,SMALL(IF(("Q"=$BB$231:$BB$491),MATCH(ROW($BB$231:$BB$491),ROW($BB$231:$BB$491)),""),ROWS($A$1:A132))),0)</f>
        <v>0</v>
      </c>
      <c r="BG151" s="17" t="str">
        <f t="shared" si="29"/>
        <v/>
      </c>
    </row>
    <row r="152" spans="3:59">
      <c r="C152" s="17">
        <v>133</v>
      </c>
      <c r="D152" s="17" t="str">
        <f t="shared" si="30"/>
        <v/>
      </c>
      <c r="E152" s="17">
        <f t="array" ref="E152">IFERROR(INDEX($B$231:$B$491,SMALL(IF(("Q"=$A$231:$A$491),MATCH(ROW($A$231:$A$491),ROW($A$231:$A$491)),""),ROWS($A$1:A133))),0)</f>
        <v>0</v>
      </c>
      <c r="F152" s="17" t="str">
        <f t="shared" si="24"/>
        <v/>
      </c>
      <c r="Q152" s="17">
        <v>133</v>
      </c>
      <c r="R152" s="17" t="str">
        <f t="shared" si="25"/>
        <v/>
      </c>
      <c r="S152" s="17">
        <f t="array" ref="S152">IFERROR(INDEX($P$231:$P$491,SMALL(IF(("Q"=$O$231:$O$491),MATCH(ROW($O$231:$O$491),ROW($O$231:$O$491)),""),ROWS($A$1:A133))),0)</f>
        <v>0</v>
      </c>
      <c r="T152" s="17" t="str">
        <f t="shared" si="26"/>
        <v/>
      </c>
      <c r="AD152" s="17">
        <v>133</v>
      </c>
      <c r="AE152" s="17" t="str">
        <f t="shared" si="31"/>
        <v/>
      </c>
      <c r="AF152" s="17">
        <f t="array" ref="AF152">IFERROR(INDEX($AC$231:$AC$491,SMALL(IF(("Q"=$AB$231:$AB$491),MATCH(ROW($AB$231:$AB$491),ROW($AB$231:$AB$491)),""),ROWS($A$1:A133))),0)</f>
        <v>0</v>
      </c>
      <c r="AG152" s="17" t="str">
        <f t="shared" si="27"/>
        <v/>
      </c>
      <c r="AR152" s="17">
        <v>133</v>
      </c>
      <c r="AS152" s="17" t="str">
        <f t="shared" si="32"/>
        <v/>
      </c>
      <c r="AT152" s="17">
        <f t="array" ref="AT152">IFERROR(INDEX($AQ$231:$AQ$491,SMALL(IF(("Q"=$AP$231:$AP$491),MATCH(ROW($AP$231:$AP$491),ROW($AP$231:$AP$491)),""),ROWS($A$1:A133))),0)</f>
        <v>0</v>
      </c>
      <c r="AU152" s="17" t="str">
        <f t="shared" si="28"/>
        <v/>
      </c>
      <c r="BD152" s="17">
        <v>133</v>
      </c>
      <c r="BE152" s="17" t="str">
        <f t="shared" si="33"/>
        <v/>
      </c>
      <c r="BF152" s="17">
        <f t="array" ref="BF152">IFERROR(INDEX($BC$231:$BC$491,SMALL(IF(("Q"=$BB$231:$BB$491),MATCH(ROW($BB$231:$BB$491),ROW($BB$231:$BB$491)),""),ROWS($A$1:A133))),0)</f>
        <v>0</v>
      </c>
      <c r="BG152" s="17" t="str">
        <f t="shared" si="29"/>
        <v/>
      </c>
    </row>
    <row r="153" spans="3:59">
      <c r="C153" s="17">
        <v>134</v>
      </c>
      <c r="D153" s="17" t="str">
        <f t="shared" si="30"/>
        <v/>
      </c>
      <c r="E153" s="17">
        <f t="array" ref="E153">IFERROR(INDEX($B$231:$B$491,SMALL(IF(("Q"=$A$231:$A$491),MATCH(ROW($A$231:$A$491),ROW($A$231:$A$491)),""),ROWS($A$1:A134))),0)</f>
        <v>0</v>
      </c>
      <c r="F153" s="17" t="str">
        <f t="shared" si="24"/>
        <v/>
      </c>
      <c r="Q153" s="17">
        <v>134</v>
      </c>
      <c r="R153" s="17" t="str">
        <f t="shared" si="25"/>
        <v/>
      </c>
      <c r="S153" s="17">
        <f t="array" ref="S153">IFERROR(INDEX($P$231:$P$491,SMALL(IF(("Q"=$O$231:$O$491),MATCH(ROW($O$231:$O$491),ROW($O$231:$O$491)),""),ROWS($A$1:A134))),0)</f>
        <v>0</v>
      </c>
      <c r="T153" s="17" t="str">
        <f t="shared" si="26"/>
        <v/>
      </c>
      <c r="AD153" s="17">
        <v>134</v>
      </c>
      <c r="AE153" s="17" t="str">
        <f t="shared" si="31"/>
        <v/>
      </c>
      <c r="AF153" s="17">
        <f t="array" ref="AF153">IFERROR(INDEX($AC$231:$AC$491,SMALL(IF(("Q"=$AB$231:$AB$491),MATCH(ROW($AB$231:$AB$491),ROW($AB$231:$AB$491)),""),ROWS($A$1:A134))),0)</f>
        <v>0</v>
      </c>
      <c r="AG153" s="17" t="str">
        <f t="shared" si="27"/>
        <v/>
      </c>
      <c r="AR153" s="17">
        <v>134</v>
      </c>
      <c r="AS153" s="17" t="str">
        <f t="shared" si="32"/>
        <v/>
      </c>
      <c r="AT153" s="17">
        <f t="array" ref="AT153">IFERROR(INDEX($AQ$231:$AQ$491,SMALL(IF(("Q"=$AP$231:$AP$491),MATCH(ROW($AP$231:$AP$491),ROW($AP$231:$AP$491)),""),ROWS($A$1:A134))),0)</f>
        <v>0</v>
      </c>
      <c r="AU153" s="17" t="str">
        <f t="shared" si="28"/>
        <v/>
      </c>
      <c r="BD153" s="17">
        <v>134</v>
      </c>
      <c r="BE153" s="17" t="str">
        <f t="shared" si="33"/>
        <v/>
      </c>
      <c r="BF153" s="17">
        <f t="array" ref="BF153">IFERROR(INDEX($BC$231:$BC$491,SMALL(IF(("Q"=$BB$231:$BB$491),MATCH(ROW($BB$231:$BB$491),ROW($BB$231:$BB$491)),""),ROWS($A$1:A134))),0)</f>
        <v>0</v>
      </c>
      <c r="BG153" s="17" t="str">
        <f t="shared" si="29"/>
        <v/>
      </c>
    </row>
    <row r="154" spans="3:59">
      <c r="C154" s="17">
        <v>135</v>
      </c>
      <c r="D154" s="17" t="str">
        <f t="shared" si="30"/>
        <v/>
      </c>
      <c r="E154" s="17">
        <f t="array" ref="E154">IFERROR(INDEX($B$231:$B$491,SMALL(IF(("Q"=$A$231:$A$491),MATCH(ROW($A$231:$A$491),ROW($A$231:$A$491)),""),ROWS($A$1:A135))),0)</f>
        <v>0</v>
      </c>
      <c r="F154" s="17" t="str">
        <f t="shared" si="24"/>
        <v/>
      </c>
      <c r="Q154" s="17">
        <v>135</v>
      </c>
      <c r="R154" s="17" t="str">
        <f t="shared" si="25"/>
        <v/>
      </c>
      <c r="S154" s="17">
        <f t="array" ref="S154">IFERROR(INDEX($P$231:$P$491,SMALL(IF(("Q"=$O$231:$O$491),MATCH(ROW($O$231:$O$491),ROW($O$231:$O$491)),""),ROWS($A$1:A135))),0)</f>
        <v>0</v>
      </c>
      <c r="T154" s="17" t="str">
        <f t="shared" si="26"/>
        <v/>
      </c>
      <c r="AD154" s="17">
        <v>135</v>
      </c>
      <c r="AE154" s="17" t="str">
        <f t="shared" si="31"/>
        <v/>
      </c>
      <c r="AF154" s="17">
        <f t="array" ref="AF154">IFERROR(INDEX($AC$231:$AC$491,SMALL(IF(("Q"=$AB$231:$AB$491),MATCH(ROW($AB$231:$AB$491),ROW($AB$231:$AB$491)),""),ROWS($A$1:A135))),0)</f>
        <v>0</v>
      </c>
      <c r="AG154" s="17" t="str">
        <f t="shared" si="27"/>
        <v/>
      </c>
      <c r="AR154" s="17">
        <v>135</v>
      </c>
      <c r="AS154" s="17" t="str">
        <f t="shared" si="32"/>
        <v/>
      </c>
      <c r="AT154" s="17">
        <f t="array" ref="AT154">IFERROR(INDEX($AQ$231:$AQ$491,SMALL(IF(("Q"=$AP$231:$AP$491),MATCH(ROW($AP$231:$AP$491),ROW($AP$231:$AP$491)),""),ROWS($A$1:A135))),0)</f>
        <v>0</v>
      </c>
      <c r="AU154" s="17" t="str">
        <f t="shared" si="28"/>
        <v/>
      </c>
      <c r="BD154" s="17">
        <v>135</v>
      </c>
      <c r="BE154" s="17" t="str">
        <f t="shared" si="33"/>
        <v/>
      </c>
      <c r="BF154" s="17">
        <f t="array" ref="BF154">IFERROR(INDEX($BC$231:$BC$491,SMALL(IF(("Q"=$BB$231:$BB$491),MATCH(ROW($BB$231:$BB$491),ROW($BB$231:$BB$491)),""),ROWS($A$1:A135))),0)</f>
        <v>0</v>
      </c>
      <c r="BG154" s="17" t="str">
        <f t="shared" si="29"/>
        <v/>
      </c>
    </row>
    <row r="155" spans="3:59">
      <c r="C155" s="17">
        <v>136</v>
      </c>
      <c r="D155" s="17" t="str">
        <f t="shared" si="30"/>
        <v/>
      </c>
      <c r="E155" s="17">
        <f t="array" ref="E155">IFERROR(INDEX($B$231:$B$491,SMALL(IF(("Q"=$A$231:$A$491),MATCH(ROW($A$231:$A$491),ROW($A$231:$A$491)),""),ROWS($A$1:A136))),0)</f>
        <v>0</v>
      </c>
      <c r="F155" s="17" t="str">
        <f t="shared" si="24"/>
        <v/>
      </c>
      <c r="Q155" s="17">
        <v>136</v>
      </c>
      <c r="R155" s="17" t="str">
        <f t="shared" si="25"/>
        <v/>
      </c>
      <c r="S155" s="17">
        <f t="array" ref="S155">IFERROR(INDEX($P$231:$P$491,SMALL(IF(("Q"=$O$231:$O$491),MATCH(ROW($O$231:$O$491),ROW($O$231:$O$491)),""),ROWS($A$1:A136))),0)</f>
        <v>0</v>
      </c>
      <c r="T155" s="17" t="str">
        <f t="shared" si="26"/>
        <v/>
      </c>
      <c r="AD155" s="17">
        <v>136</v>
      </c>
      <c r="AE155" s="17" t="str">
        <f t="shared" si="31"/>
        <v/>
      </c>
      <c r="AF155" s="17">
        <f t="array" ref="AF155">IFERROR(INDEX($AC$231:$AC$491,SMALL(IF(("Q"=$AB$231:$AB$491),MATCH(ROW($AB$231:$AB$491),ROW($AB$231:$AB$491)),""),ROWS($A$1:A136))),0)</f>
        <v>0</v>
      </c>
      <c r="AG155" s="17" t="str">
        <f t="shared" si="27"/>
        <v/>
      </c>
      <c r="AR155" s="17">
        <v>136</v>
      </c>
      <c r="AS155" s="17" t="str">
        <f t="shared" si="32"/>
        <v/>
      </c>
      <c r="AT155" s="17">
        <f t="array" ref="AT155">IFERROR(INDEX($AQ$231:$AQ$491,SMALL(IF(("Q"=$AP$231:$AP$491),MATCH(ROW($AP$231:$AP$491),ROW($AP$231:$AP$491)),""),ROWS($A$1:A136))),0)</f>
        <v>0</v>
      </c>
      <c r="AU155" s="17" t="str">
        <f t="shared" si="28"/>
        <v/>
      </c>
      <c r="BD155" s="17">
        <v>136</v>
      </c>
      <c r="BE155" s="17" t="str">
        <f t="shared" si="33"/>
        <v/>
      </c>
      <c r="BF155" s="17">
        <f t="array" ref="BF155">IFERROR(INDEX($BC$231:$BC$491,SMALL(IF(("Q"=$BB$231:$BB$491),MATCH(ROW($BB$231:$BB$491),ROW($BB$231:$BB$491)),""),ROWS($A$1:A136))),0)</f>
        <v>0</v>
      </c>
      <c r="BG155" s="17" t="str">
        <f t="shared" si="29"/>
        <v/>
      </c>
    </row>
    <row r="156" spans="3:59">
      <c r="C156" s="17">
        <v>137</v>
      </c>
      <c r="D156" s="17" t="str">
        <f t="shared" si="30"/>
        <v/>
      </c>
      <c r="E156" s="17">
        <f t="array" ref="E156">IFERROR(INDEX($B$231:$B$491,SMALL(IF(("Q"=$A$231:$A$491),MATCH(ROW($A$231:$A$491),ROW($A$231:$A$491)),""),ROWS($A$1:A137))),0)</f>
        <v>0</v>
      </c>
      <c r="F156" s="17" t="str">
        <f t="shared" si="24"/>
        <v/>
      </c>
      <c r="Q156" s="17">
        <v>137</v>
      </c>
      <c r="R156" s="17" t="str">
        <f t="shared" si="25"/>
        <v/>
      </c>
      <c r="S156" s="17">
        <f t="array" ref="S156">IFERROR(INDEX($P$231:$P$491,SMALL(IF(("Q"=$O$231:$O$491),MATCH(ROW($O$231:$O$491),ROW($O$231:$O$491)),""),ROWS($A$1:A137))),0)</f>
        <v>0</v>
      </c>
      <c r="T156" s="17" t="str">
        <f t="shared" si="26"/>
        <v/>
      </c>
      <c r="AD156" s="17">
        <v>137</v>
      </c>
      <c r="AE156" s="17" t="str">
        <f t="shared" si="31"/>
        <v/>
      </c>
      <c r="AF156" s="17">
        <f t="array" ref="AF156">IFERROR(INDEX($AC$231:$AC$491,SMALL(IF(("Q"=$AB$231:$AB$491),MATCH(ROW($AB$231:$AB$491),ROW($AB$231:$AB$491)),""),ROWS($A$1:A137))),0)</f>
        <v>0</v>
      </c>
      <c r="AG156" s="17" t="str">
        <f t="shared" si="27"/>
        <v/>
      </c>
      <c r="AR156" s="17">
        <v>137</v>
      </c>
      <c r="AS156" s="17" t="str">
        <f t="shared" si="32"/>
        <v/>
      </c>
      <c r="AT156" s="17">
        <f t="array" ref="AT156">IFERROR(INDEX($AQ$231:$AQ$491,SMALL(IF(("Q"=$AP$231:$AP$491),MATCH(ROW($AP$231:$AP$491),ROW($AP$231:$AP$491)),""),ROWS($A$1:A137))),0)</f>
        <v>0</v>
      </c>
      <c r="AU156" s="17" t="str">
        <f t="shared" si="28"/>
        <v/>
      </c>
      <c r="BD156" s="17">
        <v>137</v>
      </c>
      <c r="BE156" s="17" t="str">
        <f t="shared" si="33"/>
        <v/>
      </c>
      <c r="BF156" s="17">
        <f t="array" ref="BF156">IFERROR(INDEX($BC$231:$BC$491,SMALL(IF(("Q"=$BB$231:$BB$491),MATCH(ROW($BB$231:$BB$491),ROW($BB$231:$BB$491)),""),ROWS($A$1:A137))),0)</f>
        <v>0</v>
      </c>
      <c r="BG156" s="17" t="str">
        <f t="shared" si="29"/>
        <v/>
      </c>
    </row>
    <row r="157" spans="3:59">
      <c r="C157" s="17">
        <v>138</v>
      </c>
      <c r="D157" s="17" t="str">
        <f t="shared" si="30"/>
        <v/>
      </c>
      <c r="E157" s="17">
        <f t="array" ref="E157">IFERROR(INDEX($B$231:$B$491,SMALL(IF(("Q"=$A$231:$A$491),MATCH(ROW($A$231:$A$491),ROW($A$231:$A$491)),""),ROWS($A$1:A138))),0)</f>
        <v>0</v>
      </c>
      <c r="F157" s="17" t="str">
        <f t="shared" si="24"/>
        <v/>
      </c>
      <c r="Q157" s="17">
        <v>138</v>
      </c>
      <c r="R157" s="17" t="str">
        <f t="shared" si="25"/>
        <v/>
      </c>
      <c r="S157" s="17">
        <f t="array" ref="S157">IFERROR(INDEX($P$231:$P$491,SMALL(IF(("Q"=$O$231:$O$491),MATCH(ROW($O$231:$O$491),ROW($O$231:$O$491)),""),ROWS($A$1:A138))),0)</f>
        <v>0</v>
      </c>
      <c r="T157" s="17" t="str">
        <f t="shared" si="26"/>
        <v/>
      </c>
      <c r="AD157" s="17">
        <v>138</v>
      </c>
      <c r="AE157" s="17" t="str">
        <f t="shared" si="31"/>
        <v/>
      </c>
      <c r="AF157" s="17">
        <f t="array" ref="AF157">IFERROR(INDEX($AC$231:$AC$491,SMALL(IF(("Q"=$AB$231:$AB$491),MATCH(ROW($AB$231:$AB$491),ROW($AB$231:$AB$491)),""),ROWS($A$1:A138))),0)</f>
        <v>0</v>
      </c>
      <c r="AG157" s="17" t="str">
        <f t="shared" si="27"/>
        <v/>
      </c>
      <c r="AR157" s="17">
        <v>138</v>
      </c>
      <c r="AS157" s="17" t="str">
        <f t="shared" si="32"/>
        <v/>
      </c>
      <c r="AT157" s="17">
        <f t="array" ref="AT157">IFERROR(INDEX($AQ$231:$AQ$491,SMALL(IF(("Q"=$AP$231:$AP$491),MATCH(ROW($AP$231:$AP$491),ROW($AP$231:$AP$491)),""),ROWS($A$1:A138))),0)</f>
        <v>0</v>
      </c>
      <c r="AU157" s="17" t="str">
        <f t="shared" si="28"/>
        <v/>
      </c>
      <c r="BD157" s="17">
        <v>138</v>
      </c>
      <c r="BE157" s="17" t="str">
        <f t="shared" si="33"/>
        <v/>
      </c>
      <c r="BF157" s="17">
        <f t="array" ref="BF157">IFERROR(INDEX($BC$231:$BC$491,SMALL(IF(("Q"=$BB$231:$BB$491),MATCH(ROW($BB$231:$BB$491),ROW($BB$231:$BB$491)),""),ROWS($A$1:A138))),0)</f>
        <v>0</v>
      </c>
      <c r="BG157" s="17" t="str">
        <f t="shared" si="29"/>
        <v/>
      </c>
    </row>
    <row r="158" spans="3:59">
      <c r="C158" s="17">
        <v>139</v>
      </c>
      <c r="D158" s="17" t="str">
        <f t="shared" si="30"/>
        <v/>
      </c>
      <c r="E158" s="17">
        <f t="array" ref="E158">IFERROR(INDEX($B$231:$B$491,SMALL(IF(("Q"=$A$231:$A$491),MATCH(ROW($A$231:$A$491),ROW($A$231:$A$491)),""),ROWS($A$1:A139))),0)</f>
        <v>0</v>
      </c>
      <c r="F158" s="17" t="str">
        <f t="shared" si="24"/>
        <v/>
      </c>
      <c r="Q158" s="17">
        <v>139</v>
      </c>
      <c r="R158" s="17" t="str">
        <f t="shared" si="25"/>
        <v/>
      </c>
      <c r="S158" s="17">
        <f t="array" ref="S158">IFERROR(INDEX($P$231:$P$491,SMALL(IF(("Q"=$O$231:$O$491),MATCH(ROW($O$231:$O$491),ROW($O$231:$O$491)),""),ROWS($A$1:A139))),0)</f>
        <v>0</v>
      </c>
      <c r="T158" s="17" t="str">
        <f t="shared" si="26"/>
        <v/>
      </c>
      <c r="AD158" s="17">
        <v>139</v>
      </c>
      <c r="AE158" s="17" t="str">
        <f t="shared" si="31"/>
        <v/>
      </c>
      <c r="AF158" s="17">
        <f t="array" ref="AF158">IFERROR(INDEX($AC$231:$AC$491,SMALL(IF(("Q"=$AB$231:$AB$491),MATCH(ROW($AB$231:$AB$491),ROW($AB$231:$AB$491)),""),ROWS($A$1:A139))),0)</f>
        <v>0</v>
      </c>
      <c r="AG158" s="17" t="str">
        <f t="shared" si="27"/>
        <v/>
      </c>
      <c r="AR158" s="17">
        <v>139</v>
      </c>
      <c r="AS158" s="17" t="str">
        <f t="shared" si="32"/>
        <v/>
      </c>
      <c r="AT158" s="17">
        <f t="array" ref="AT158">IFERROR(INDEX($AQ$231:$AQ$491,SMALL(IF(("Q"=$AP$231:$AP$491),MATCH(ROW($AP$231:$AP$491),ROW($AP$231:$AP$491)),""),ROWS($A$1:A139))),0)</f>
        <v>0</v>
      </c>
      <c r="AU158" s="17" t="str">
        <f t="shared" si="28"/>
        <v/>
      </c>
      <c r="BD158" s="17">
        <v>139</v>
      </c>
      <c r="BE158" s="17" t="str">
        <f t="shared" si="33"/>
        <v/>
      </c>
      <c r="BF158" s="17">
        <f t="array" ref="BF158">IFERROR(INDEX($BC$231:$BC$491,SMALL(IF(("Q"=$BB$231:$BB$491),MATCH(ROW($BB$231:$BB$491),ROW($BB$231:$BB$491)),""),ROWS($A$1:A139))),0)</f>
        <v>0</v>
      </c>
      <c r="BG158" s="17" t="str">
        <f t="shared" si="29"/>
        <v/>
      </c>
    </row>
    <row r="159" spans="3:59">
      <c r="C159" s="17">
        <v>140</v>
      </c>
      <c r="D159" s="17" t="str">
        <f t="shared" si="30"/>
        <v/>
      </c>
      <c r="E159" s="17">
        <f t="array" ref="E159">IFERROR(INDEX($B$231:$B$491,SMALL(IF(("Q"=$A$231:$A$491),MATCH(ROW($A$231:$A$491),ROW($A$231:$A$491)),""),ROWS($A$1:A140))),0)</f>
        <v>0</v>
      </c>
      <c r="F159" s="17" t="str">
        <f t="shared" si="24"/>
        <v/>
      </c>
      <c r="Q159" s="17">
        <v>140</v>
      </c>
      <c r="R159" s="17" t="str">
        <f t="shared" si="25"/>
        <v/>
      </c>
      <c r="S159" s="17">
        <f t="array" ref="S159">IFERROR(INDEX($P$231:$P$491,SMALL(IF(("Q"=$O$231:$O$491),MATCH(ROW($O$231:$O$491),ROW($O$231:$O$491)),""),ROWS($A$1:A140))),0)</f>
        <v>0</v>
      </c>
      <c r="T159" s="17" t="str">
        <f t="shared" si="26"/>
        <v/>
      </c>
      <c r="AD159" s="17">
        <v>140</v>
      </c>
      <c r="AE159" s="17" t="str">
        <f t="shared" si="31"/>
        <v/>
      </c>
      <c r="AF159" s="17">
        <f t="array" ref="AF159">IFERROR(INDEX($AC$231:$AC$491,SMALL(IF(("Q"=$AB$231:$AB$491),MATCH(ROW($AB$231:$AB$491),ROW($AB$231:$AB$491)),""),ROWS($A$1:A140))),0)</f>
        <v>0</v>
      </c>
      <c r="AG159" s="17" t="str">
        <f t="shared" si="27"/>
        <v/>
      </c>
      <c r="AR159" s="17">
        <v>140</v>
      </c>
      <c r="AS159" s="17" t="str">
        <f t="shared" si="32"/>
        <v/>
      </c>
      <c r="AT159" s="17">
        <f t="array" ref="AT159">IFERROR(INDEX($AQ$231:$AQ$491,SMALL(IF(("Q"=$AP$231:$AP$491),MATCH(ROW($AP$231:$AP$491),ROW($AP$231:$AP$491)),""),ROWS($A$1:A140))),0)</f>
        <v>0</v>
      </c>
      <c r="AU159" s="17" t="str">
        <f t="shared" si="28"/>
        <v/>
      </c>
      <c r="BD159" s="17">
        <v>140</v>
      </c>
      <c r="BE159" s="17" t="str">
        <f t="shared" si="33"/>
        <v/>
      </c>
      <c r="BF159" s="17">
        <f t="array" ref="BF159">IFERROR(INDEX($BC$231:$BC$491,SMALL(IF(("Q"=$BB$231:$BB$491),MATCH(ROW($BB$231:$BB$491),ROW($BB$231:$BB$491)),""),ROWS($A$1:A140))),0)</f>
        <v>0</v>
      </c>
      <c r="BG159" s="17" t="str">
        <f t="shared" si="29"/>
        <v/>
      </c>
    </row>
    <row r="160" spans="3:59">
      <c r="C160" s="17">
        <v>141</v>
      </c>
      <c r="D160" s="17" t="str">
        <f t="shared" si="30"/>
        <v/>
      </c>
      <c r="E160" s="17">
        <f t="array" ref="E160">IFERROR(INDEX($B$231:$B$491,SMALL(IF(("Q"=$A$231:$A$491),MATCH(ROW($A$231:$A$491),ROW($A$231:$A$491)),""),ROWS($A$1:A141))),0)</f>
        <v>0</v>
      </c>
      <c r="F160" s="17" t="str">
        <f t="shared" si="24"/>
        <v/>
      </c>
      <c r="Q160" s="17">
        <v>141</v>
      </c>
      <c r="R160" s="17" t="str">
        <f t="shared" si="25"/>
        <v/>
      </c>
      <c r="S160" s="17">
        <f t="array" ref="S160">IFERROR(INDEX($P$231:$P$491,SMALL(IF(("Q"=$O$231:$O$491),MATCH(ROW($O$231:$O$491),ROW($O$231:$O$491)),""),ROWS($A$1:A141))),0)</f>
        <v>0</v>
      </c>
      <c r="T160" s="17" t="str">
        <f t="shared" si="26"/>
        <v/>
      </c>
      <c r="AD160" s="17">
        <v>141</v>
      </c>
      <c r="AE160" s="17" t="str">
        <f t="shared" si="31"/>
        <v/>
      </c>
      <c r="AF160" s="17">
        <f t="array" ref="AF160">IFERROR(INDEX($AC$231:$AC$491,SMALL(IF(("Q"=$AB$231:$AB$491),MATCH(ROW($AB$231:$AB$491),ROW($AB$231:$AB$491)),""),ROWS($A$1:A141))),0)</f>
        <v>0</v>
      </c>
      <c r="AG160" s="17" t="str">
        <f t="shared" si="27"/>
        <v/>
      </c>
      <c r="AR160" s="17">
        <v>141</v>
      </c>
      <c r="AS160" s="17" t="str">
        <f t="shared" si="32"/>
        <v/>
      </c>
      <c r="AT160" s="17">
        <f t="array" ref="AT160">IFERROR(INDEX($AQ$231:$AQ$491,SMALL(IF(("Q"=$AP$231:$AP$491),MATCH(ROW($AP$231:$AP$491),ROW($AP$231:$AP$491)),""),ROWS($A$1:A141))),0)</f>
        <v>0</v>
      </c>
      <c r="AU160" s="17" t="str">
        <f t="shared" si="28"/>
        <v/>
      </c>
      <c r="BD160" s="17">
        <v>141</v>
      </c>
      <c r="BE160" s="17" t="str">
        <f t="shared" si="33"/>
        <v/>
      </c>
      <c r="BF160" s="17">
        <f t="array" ref="BF160">IFERROR(INDEX($BC$231:$BC$491,SMALL(IF(("Q"=$BB$231:$BB$491),MATCH(ROW($BB$231:$BB$491),ROW($BB$231:$BB$491)),""),ROWS($A$1:A141))),0)</f>
        <v>0</v>
      </c>
      <c r="BG160" s="17" t="str">
        <f t="shared" si="29"/>
        <v/>
      </c>
    </row>
    <row r="161" spans="3:59">
      <c r="C161" s="17">
        <v>142</v>
      </c>
      <c r="D161" s="17" t="str">
        <f t="shared" si="30"/>
        <v/>
      </c>
      <c r="E161" s="17">
        <f t="array" ref="E161">IFERROR(INDEX($B$231:$B$491,SMALL(IF(("Q"=$A$231:$A$491),MATCH(ROW($A$231:$A$491),ROW($A$231:$A$491)),""),ROWS($A$1:A142))),0)</f>
        <v>0</v>
      </c>
      <c r="F161" s="17" t="str">
        <f t="shared" si="24"/>
        <v/>
      </c>
      <c r="Q161" s="17">
        <v>142</v>
      </c>
      <c r="R161" s="17" t="str">
        <f t="shared" si="25"/>
        <v/>
      </c>
      <c r="S161" s="17">
        <f t="array" ref="S161">IFERROR(INDEX($P$231:$P$491,SMALL(IF(("Q"=$O$231:$O$491),MATCH(ROW($O$231:$O$491),ROW($O$231:$O$491)),""),ROWS($A$1:A142))),0)</f>
        <v>0</v>
      </c>
      <c r="T161" s="17" t="str">
        <f t="shared" si="26"/>
        <v/>
      </c>
      <c r="AD161" s="17">
        <v>142</v>
      </c>
      <c r="AE161" s="17" t="str">
        <f t="shared" si="31"/>
        <v/>
      </c>
      <c r="AF161" s="17">
        <f t="array" ref="AF161">IFERROR(INDEX($AC$231:$AC$491,SMALL(IF(("Q"=$AB$231:$AB$491),MATCH(ROW($AB$231:$AB$491),ROW($AB$231:$AB$491)),""),ROWS($A$1:A142))),0)</f>
        <v>0</v>
      </c>
      <c r="AG161" s="17" t="str">
        <f t="shared" si="27"/>
        <v/>
      </c>
      <c r="AR161" s="17">
        <v>142</v>
      </c>
      <c r="AS161" s="17" t="str">
        <f t="shared" si="32"/>
        <v/>
      </c>
      <c r="AT161" s="17">
        <f t="array" ref="AT161">IFERROR(INDEX($AQ$231:$AQ$491,SMALL(IF(("Q"=$AP$231:$AP$491),MATCH(ROW($AP$231:$AP$491),ROW($AP$231:$AP$491)),""),ROWS($A$1:A142))),0)</f>
        <v>0</v>
      </c>
      <c r="AU161" s="17" t="str">
        <f t="shared" si="28"/>
        <v/>
      </c>
      <c r="BD161" s="17">
        <v>142</v>
      </c>
      <c r="BE161" s="17" t="str">
        <f t="shared" si="33"/>
        <v/>
      </c>
      <c r="BF161" s="17">
        <f t="array" ref="BF161">IFERROR(INDEX($BC$231:$BC$491,SMALL(IF(("Q"=$BB$231:$BB$491),MATCH(ROW($BB$231:$BB$491),ROW($BB$231:$BB$491)),""),ROWS($A$1:A142))),0)</f>
        <v>0</v>
      </c>
      <c r="BG161" s="17" t="str">
        <f t="shared" si="29"/>
        <v/>
      </c>
    </row>
    <row r="162" spans="3:59">
      <c r="C162" s="17">
        <v>143</v>
      </c>
      <c r="D162" s="17" t="str">
        <f t="shared" si="30"/>
        <v/>
      </c>
      <c r="E162" s="17">
        <f t="array" ref="E162">IFERROR(INDEX($B$231:$B$491,SMALL(IF(("Q"=$A$231:$A$491),MATCH(ROW($A$231:$A$491),ROW($A$231:$A$491)),""),ROWS($A$1:A143))),0)</f>
        <v>0</v>
      </c>
      <c r="F162" s="17" t="str">
        <f t="shared" si="24"/>
        <v/>
      </c>
      <c r="Q162" s="17">
        <v>143</v>
      </c>
      <c r="R162" s="17" t="str">
        <f t="shared" si="25"/>
        <v/>
      </c>
      <c r="S162" s="17">
        <f t="array" ref="S162">IFERROR(INDEX($P$231:$P$491,SMALL(IF(("Q"=$O$231:$O$491),MATCH(ROW($O$231:$O$491),ROW($O$231:$O$491)),""),ROWS($A$1:A143))),0)</f>
        <v>0</v>
      </c>
      <c r="T162" s="17" t="str">
        <f t="shared" si="26"/>
        <v/>
      </c>
      <c r="AD162" s="17">
        <v>143</v>
      </c>
      <c r="AE162" s="17" t="str">
        <f t="shared" si="31"/>
        <v/>
      </c>
      <c r="AF162" s="17">
        <f t="array" ref="AF162">IFERROR(INDEX($AC$231:$AC$491,SMALL(IF(("Q"=$AB$231:$AB$491),MATCH(ROW($AB$231:$AB$491),ROW($AB$231:$AB$491)),""),ROWS($A$1:A143))),0)</f>
        <v>0</v>
      </c>
      <c r="AG162" s="17" t="str">
        <f t="shared" si="27"/>
        <v/>
      </c>
      <c r="AR162" s="17">
        <v>143</v>
      </c>
      <c r="AS162" s="17" t="str">
        <f t="shared" si="32"/>
        <v/>
      </c>
      <c r="AT162" s="17">
        <f t="array" ref="AT162">IFERROR(INDEX($AQ$231:$AQ$491,SMALL(IF(("Q"=$AP$231:$AP$491),MATCH(ROW($AP$231:$AP$491),ROW($AP$231:$AP$491)),""),ROWS($A$1:A143))),0)</f>
        <v>0</v>
      </c>
      <c r="AU162" s="17" t="str">
        <f t="shared" si="28"/>
        <v/>
      </c>
      <c r="BD162" s="17">
        <v>143</v>
      </c>
      <c r="BE162" s="17" t="str">
        <f t="shared" si="33"/>
        <v/>
      </c>
      <c r="BF162" s="17">
        <f t="array" ref="BF162">IFERROR(INDEX($BC$231:$BC$491,SMALL(IF(("Q"=$BB$231:$BB$491),MATCH(ROW($BB$231:$BB$491),ROW($BB$231:$BB$491)),""),ROWS($A$1:A143))),0)</f>
        <v>0</v>
      </c>
      <c r="BG162" s="17" t="str">
        <f t="shared" si="29"/>
        <v/>
      </c>
    </row>
    <row r="163" spans="3:59">
      <c r="C163" s="17">
        <v>144</v>
      </c>
      <c r="D163" s="17" t="str">
        <f t="shared" si="30"/>
        <v/>
      </c>
      <c r="E163" s="17">
        <f t="array" ref="E163">IFERROR(INDEX($B$231:$B$491,SMALL(IF(("Q"=$A$231:$A$491),MATCH(ROW($A$231:$A$491),ROW($A$231:$A$491)),""),ROWS($A$1:A144))),0)</f>
        <v>0</v>
      </c>
      <c r="F163" s="17" t="str">
        <f t="shared" si="24"/>
        <v/>
      </c>
      <c r="Q163" s="17">
        <v>144</v>
      </c>
      <c r="R163" s="17" t="str">
        <f t="shared" si="25"/>
        <v/>
      </c>
      <c r="S163" s="17">
        <f t="array" ref="S163">IFERROR(INDEX($P$231:$P$491,SMALL(IF(("Q"=$O$231:$O$491),MATCH(ROW($O$231:$O$491),ROW($O$231:$O$491)),""),ROWS($A$1:A144))),0)</f>
        <v>0</v>
      </c>
      <c r="T163" s="17" t="str">
        <f t="shared" si="26"/>
        <v/>
      </c>
      <c r="AD163" s="17">
        <v>144</v>
      </c>
      <c r="AE163" s="17" t="str">
        <f t="shared" si="31"/>
        <v/>
      </c>
      <c r="AF163" s="17">
        <f t="array" ref="AF163">IFERROR(INDEX($AC$231:$AC$491,SMALL(IF(("Q"=$AB$231:$AB$491),MATCH(ROW($AB$231:$AB$491),ROW($AB$231:$AB$491)),""),ROWS($A$1:A144))),0)</f>
        <v>0</v>
      </c>
      <c r="AG163" s="17" t="str">
        <f t="shared" si="27"/>
        <v/>
      </c>
      <c r="AR163" s="17">
        <v>144</v>
      </c>
      <c r="AS163" s="17" t="str">
        <f t="shared" si="32"/>
        <v/>
      </c>
      <c r="AT163" s="17">
        <f t="array" ref="AT163">IFERROR(INDEX($AQ$231:$AQ$491,SMALL(IF(("Q"=$AP$231:$AP$491),MATCH(ROW($AP$231:$AP$491),ROW($AP$231:$AP$491)),""),ROWS($A$1:A144))),0)</f>
        <v>0</v>
      </c>
      <c r="AU163" s="17" t="str">
        <f t="shared" si="28"/>
        <v/>
      </c>
      <c r="BD163" s="17">
        <v>144</v>
      </c>
      <c r="BE163" s="17" t="str">
        <f t="shared" si="33"/>
        <v/>
      </c>
      <c r="BF163" s="17">
        <f t="array" ref="BF163">IFERROR(INDEX($BC$231:$BC$491,SMALL(IF(("Q"=$BB$231:$BB$491),MATCH(ROW($BB$231:$BB$491),ROW($BB$231:$BB$491)),""),ROWS($A$1:A144))),0)</f>
        <v>0</v>
      </c>
      <c r="BG163" s="17" t="str">
        <f t="shared" si="29"/>
        <v/>
      </c>
    </row>
    <row r="164" spans="3:59">
      <c r="C164" s="17">
        <v>145</v>
      </c>
      <c r="D164" s="17" t="str">
        <f t="shared" si="30"/>
        <v/>
      </c>
      <c r="E164" s="17">
        <f t="array" ref="E164">IFERROR(INDEX($B$231:$B$491,SMALL(IF(("Q"=$A$231:$A$491),MATCH(ROW($A$231:$A$491),ROW($A$231:$A$491)),""),ROWS($A$1:A145))),0)</f>
        <v>0</v>
      </c>
      <c r="F164" s="17" t="str">
        <f t="shared" si="24"/>
        <v/>
      </c>
      <c r="Q164" s="17">
        <v>145</v>
      </c>
      <c r="R164" s="17" t="str">
        <f t="shared" si="25"/>
        <v/>
      </c>
      <c r="S164" s="17">
        <f t="array" ref="S164">IFERROR(INDEX($P$231:$P$491,SMALL(IF(("Q"=$O$231:$O$491),MATCH(ROW($O$231:$O$491),ROW($O$231:$O$491)),""),ROWS($A$1:A145))),0)</f>
        <v>0</v>
      </c>
      <c r="T164" s="17" t="str">
        <f t="shared" si="26"/>
        <v/>
      </c>
      <c r="AD164" s="17">
        <v>145</v>
      </c>
      <c r="AE164" s="17" t="str">
        <f t="shared" si="31"/>
        <v/>
      </c>
      <c r="AF164" s="17">
        <f t="array" ref="AF164">IFERROR(INDEX($AC$231:$AC$491,SMALL(IF(("Q"=$AB$231:$AB$491),MATCH(ROW($AB$231:$AB$491),ROW($AB$231:$AB$491)),""),ROWS($A$1:A145))),0)</f>
        <v>0</v>
      </c>
      <c r="AG164" s="17" t="str">
        <f t="shared" si="27"/>
        <v/>
      </c>
      <c r="AR164" s="17">
        <v>145</v>
      </c>
      <c r="AS164" s="17" t="str">
        <f t="shared" si="32"/>
        <v/>
      </c>
      <c r="AT164" s="17">
        <f t="array" ref="AT164">IFERROR(INDEX($AQ$231:$AQ$491,SMALL(IF(("Q"=$AP$231:$AP$491),MATCH(ROW($AP$231:$AP$491),ROW($AP$231:$AP$491)),""),ROWS($A$1:A145))),0)</f>
        <v>0</v>
      </c>
      <c r="AU164" s="17" t="str">
        <f t="shared" si="28"/>
        <v/>
      </c>
      <c r="BD164" s="17">
        <v>145</v>
      </c>
      <c r="BE164" s="17" t="str">
        <f t="shared" si="33"/>
        <v/>
      </c>
      <c r="BF164" s="17">
        <f t="array" ref="BF164">IFERROR(INDEX($BC$231:$BC$491,SMALL(IF(("Q"=$BB$231:$BB$491),MATCH(ROW($BB$231:$BB$491),ROW($BB$231:$BB$491)),""),ROWS($A$1:A145))),0)</f>
        <v>0</v>
      </c>
      <c r="BG164" s="17" t="str">
        <f t="shared" si="29"/>
        <v/>
      </c>
    </row>
    <row r="165" spans="3:59">
      <c r="C165" s="17">
        <v>146</v>
      </c>
      <c r="D165" s="17" t="str">
        <f t="shared" si="30"/>
        <v/>
      </c>
      <c r="E165" s="17">
        <f t="array" ref="E165">IFERROR(INDEX($B$231:$B$491,SMALL(IF(("Q"=$A$231:$A$491),MATCH(ROW($A$231:$A$491),ROW($A$231:$A$491)),""),ROWS($A$1:A146))),0)</f>
        <v>0</v>
      </c>
      <c r="F165" s="17" t="str">
        <f t="shared" si="24"/>
        <v/>
      </c>
      <c r="Q165" s="17">
        <v>146</v>
      </c>
      <c r="R165" s="17" t="str">
        <f t="shared" si="25"/>
        <v/>
      </c>
      <c r="S165" s="17">
        <f t="array" ref="S165">IFERROR(INDEX($P$231:$P$491,SMALL(IF(("Q"=$O$231:$O$491),MATCH(ROW($O$231:$O$491),ROW($O$231:$O$491)),""),ROWS($A$1:A146))),0)</f>
        <v>0</v>
      </c>
      <c r="T165" s="17" t="str">
        <f t="shared" si="26"/>
        <v/>
      </c>
      <c r="AD165" s="17">
        <v>146</v>
      </c>
      <c r="AE165" s="17" t="str">
        <f t="shared" si="31"/>
        <v/>
      </c>
      <c r="AF165" s="17">
        <f t="array" ref="AF165">IFERROR(INDEX($AC$231:$AC$491,SMALL(IF(("Q"=$AB$231:$AB$491),MATCH(ROW($AB$231:$AB$491),ROW($AB$231:$AB$491)),""),ROWS($A$1:A146))),0)</f>
        <v>0</v>
      </c>
      <c r="AG165" s="17" t="str">
        <f t="shared" si="27"/>
        <v/>
      </c>
      <c r="AR165" s="17">
        <v>146</v>
      </c>
      <c r="AS165" s="17" t="str">
        <f t="shared" si="32"/>
        <v/>
      </c>
      <c r="AT165" s="17">
        <f t="array" ref="AT165">IFERROR(INDEX($AQ$231:$AQ$491,SMALL(IF(("Q"=$AP$231:$AP$491),MATCH(ROW($AP$231:$AP$491),ROW($AP$231:$AP$491)),""),ROWS($A$1:A146))),0)</f>
        <v>0</v>
      </c>
      <c r="AU165" s="17" t="str">
        <f t="shared" si="28"/>
        <v/>
      </c>
      <c r="BD165" s="17">
        <v>146</v>
      </c>
      <c r="BE165" s="17" t="str">
        <f t="shared" si="33"/>
        <v/>
      </c>
      <c r="BF165" s="17">
        <f t="array" ref="BF165">IFERROR(INDEX($BC$231:$BC$491,SMALL(IF(("Q"=$BB$231:$BB$491),MATCH(ROW($BB$231:$BB$491),ROW($BB$231:$BB$491)),""),ROWS($A$1:A146))),0)</f>
        <v>0</v>
      </c>
      <c r="BG165" s="17" t="str">
        <f t="shared" si="29"/>
        <v/>
      </c>
    </row>
    <row r="166" spans="3:59">
      <c r="C166" s="17">
        <v>147</v>
      </c>
      <c r="D166" s="17" t="str">
        <f t="shared" si="30"/>
        <v/>
      </c>
      <c r="E166" s="17">
        <f t="array" ref="E166">IFERROR(INDEX($B$231:$B$491,SMALL(IF(("Q"=$A$231:$A$491),MATCH(ROW($A$231:$A$491),ROW($A$231:$A$491)),""),ROWS($A$1:A147))),0)</f>
        <v>0</v>
      </c>
      <c r="F166" s="17" t="str">
        <f t="shared" si="24"/>
        <v/>
      </c>
      <c r="Q166" s="17">
        <v>147</v>
      </c>
      <c r="R166" s="17" t="str">
        <f t="shared" si="25"/>
        <v/>
      </c>
      <c r="S166" s="17">
        <f t="array" ref="S166">IFERROR(INDEX($P$231:$P$491,SMALL(IF(("Q"=$O$231:$O$491),MATCH(ROW($O$231:$O$491),ROW($O$231:$O$491)),""),ROWS($A$1:A147))),0)</f>
        <v>0</v>
      </c>
      <c r="T166" s="17" t="str">
        <f t="shared" si="26"/>
        <v/>
      </c>
      <c r="AD166" s="17">
        <v>147</v>
      </c>
      <c r="AE166" s="17" t="str">
        <f t="shared" si="31"/>
        <v/>
      </c>
      <c r="AF166" s="17">
        <f t="array" ref="AF166">IFERROR(INDEX($AC$231:$AC$491,SMALL(IF(("Q"=$AB$231:$AB$491),MATCH(ROW($AB$231:$AB$491),ROW($AB$231:$AB$491)),""),ROWS($A$1:A147))),0)</f>
        <v>0</v>
      </c>
      <c r="AG166" s="17" t="str">
        <f t="shared" si="27"/>
        <v/>
      </c>
      <c r="AR166" s="17">
        <v>147</v>
      </c>
      <c r="AS166" s="17" t="str">
        <f t="shared" si="32"/>
        <v/>
      </c>
      <c r="AT166" s="17">
        <f t="array" ref="AT166">IFERROR(INDEX($AQ$231:$AQ$491,SMALL(IF(("Q"=$AP$231:$AP$491),MATCH(ROW($AP$231:$AP$491),ROW($AP$231:$AP$491)),""),ROWS($A$1:A147))),0)</f>
        <v>0</v>
      </c>
      <c r="AU166" s="17" t="str">
        <f t="shared" si="28"/>
        <v/>
      </c>
      <c r="BD166" s="17">
        <v>147</v>
      </c>
      <c r="BE166" s="17" t="str">
        <f t="shared" si="33"/>
        <v/>
      </c>
      <c r="BF166" s="17">
        <f t="array" ref="BF166">IFERROR(INDEX($BC$231:$BC$491,SMALL(IF(("Q"=$BB$231:$BB$491),MATCH(ROW($BB$231:$BB$491),ROW($BB$231:$BB$491)),""),ROWS($A$1:A147))),0)</f>
        <v>0</v>
      </c>
      <c r="BG166" s="17" t="str">
        <f t="shared" si="29"/>
        <v/>
      </c>
    </row>
    <row r="167" spans="3:59">
      <c r="C167" s="17">
        <v>148</v>
      </c>
      <c r="D167" s="17" t="str">
        <f t="shared" si="30"/>
        <v/>
      </c>
      <c r="E167" s="17">
        <f t="array" ref="E167">IFERROR(INDEX($B$231:$B$491,SMALL(IF(("Q"=$A$231:$A$491),MATCH(ROW($A$231:$A$491),ROW($A$231:$A$491)),""),ROWS($A$1:A148))),0)</f>
        <v>0</v>
      </c>
      <c r="F167" s="17" t="str">
        <f t="shared" si="24"/>
        <v/>
      </c>
      <c r="Q167" s="17">
        <v>148</v>
      </c>
      <c r="R167" s="17" t="str">
        <f t="shared" si="25"/>
        <v/>
      </c>
      <c r="S167" s="17">
        <f t="array" ref="S167">IFERROR(INDEX($P$231:$P$491,SMALL(IF(("Q"=$O$231:$O$491),MATCH(ROW($O$231:$O$491),ROW($O$231:$O$491)),""),ROWS($A$1:A148))),0)</f>
        <v>0</v>
      </c>
      <c r="T167" s="17" t="str">
        <f t="shared" si="26"/>
        <v/>
      </c>
      <c r="AD167" s="17">
        <v>148</v>
      </c>
      <c r="AE167" s="17" t="str">
        <f t="shared" si="31"/>
        <v/>
      </c>
      <c r="AF167" s="17">
        <f t="array" ref="AF167">IFERROR(INDEX($AC$231:$AC$491,SMALL(IF(("Q"=$AB$231:$AB$491),MATCH(ROW($AB$231:$AB$491),ROW($AB$231:$AB$491)),""),ROWS($A$1:A148))),0)</f>
        <v>0</v>
      </c>
      <c r="AG167" s="17" t="str">
        <f t="shared" si="27"/>
        <v/>
      </c>
      <c r="AR167" s="17">
        <v>148</v>
      </c>
      <c r="AS167" s="17" t="str">
        <f t="shared" si="32"/>
        <v/>
      </c>
      <c r="AT167" s="17">
        <f t="array" ref="AT167">IFERROR(INDEX($AQ$231:$AQ$491,SMALL(IF(("Q"=$AP$231:$AP$491),MATCH(ROW($AP$231:$AP$491),ROW($AP$231:$AP$491)),""),ROWS($A$1:A148))),0)</f>
        <v>0</v>
      </c>
      <c r="AU167" s="17" t="str">
        <f t="shared" si="28"/>
        <v/>
      </c>
      <c r="BD167" s="17">
        <v>148</v>
      </c>
      <c r="BE167" s="17" t="str">
        <f t="shared" si="33"/>
        <v/>
      </c>
      <c r="BF167" s="17">
        <f t="array" ref="BF167">IFERROR(INDEX($BC$231:$BC$491,SMALL(IF(("Q"=$BB$231:$BB$491),MATCH(ROW($BB$231:$BB$491),ROW($BB$231:$BB$491)),""),ROWS($A$1:A148))),0)</f>
        <v>0</v>
      </c>
      <c r="BG167" s="17" t="str">
        <f t="shared" si="29"/>
        <v/>
      </c>
    </row>
    <row r="168" spans="3:59">
      <c r="C168" s="17">
        <v>149</v>
      </c>
      <c r="D168" s="17" t="str">
        <f t="shared" si="30"/>
        <v/>
      </c>
      <c r="E168" s="17">
        <f t="array" ref="E168">IFERROR(INDEX($B$231:$B$491,SMALL(IF(("Q"=$A$231:$A$491),MATCH(ROW($A$231:$A$491),ROW($A$231:$A$491)),""),ROWS($A$1:A149))),0)</f>
        <v>0</v>
      </c>
      <c r="F168" s="17" t="str">
        <f t="shared" si="24"/>
        <v/>
      </c>
      <c r="Q168" s="17">
        <v>149</v>
      </c>
      <c r="R168" s="17" t="str">
        <f t="shared" si="25"/>
        <v/>
      </c>
      <c r="S168" s="17">
        <f t="array" ref="S168">IFERROR(INDEX($P$231:$P$491,SMALL(IF(("Q"=$O$231:$O$491),MATCH(ROW($O$231:$O$491),ROW($O$231:$O$491)),""),ROWS($A$1:A149))),0)</f>
        <v>0</v>
      </c>
      <c r="T168" s="17" t="str">
        <f t="shared" si="26"/>
        <v/>
      </c>
      <c r="AD168" s="17">
        <v>149</v>
      </c>
      <c r="AE168" s="17" t="str">
        <f t="shared" si="31"/>
        <v/>
      </c>
      <c r="AF168" s="17">
        <f t="array" ref="AF168">IFERROR(INDEX($AC$231:$AC$491,SMALL(IF(("Q"=$AB$231:$AB$491),MATCH(ROW($AB$231:$AB$491),ROW($AB$231:$AB$491)),""),ROWS($A$1:A149))),0)</f>
        <v>0</v>
      </c>
      <c r="AG168" s="17" t="str">
        <f t="shared" si="27"/>
        <v/>
      </c>
      <c r="AR168" s="17">
        <v>149</v>
      </c>
      <c r="AS168" s="17" t="str">
        <f t="shared" si="32"/>
        <v/>
      </c>
      <c r="AT168" s="17">
        <f t="array" ref="AT168">IFERROR(INDEX($AQ$231:$AQ$491,SMALL(IF(("Q"=$AP$231:$AP$491),MATCH(ROW($AP$231:$AP$491),ROW($AP$231:$AP$491)),""),ROWS($A$1:A149))),0)</f>
        <v>0</v>
      </c>
      <c r="AU168" s="17" t="str">
        <f t="shared" si="28"/>
        <v/>
      </c>
      <c r="BD168" s="17">
        <v>149</v>
      </c>
      <c r="BE168" s="17" t="str">
        <f t="shared" si="33"/>
        <v/>
      </c>
      <c r="BF168" s="17">
        <f t="array" ref="BF168">IFERROR(INDEX($BC$231:$BC$491,SMALL(IF(("Q"=$BB$231:$BB$491),MATCH(ROW($BB$231:$BB$491),ROW($BB$231:$BB$491)),""),ROWS($A$1:A149))),0)</f>
        <v>0</v>
      </c>
      <c r="BG168" s="17" t="str">
        <f t="shared" si="29"/>
        <v/>
      </c>
    </row>
    <row r="169" spans="3:59">
      <c r="C169" s="17">
        <v>150</v>
      </c>
      <c r="D169" s="17" t="str">
        <f t="shared" si="30"/>
        <v/>
      </c>
      <c r="E169" s="17">
        <f t="array" ref="E169">IFERROR(INDEX($B$231:$B$491,SMALL(IF(("Q"=$A$231:$A$491),MATCH(ROW($A$231:$A$491),ROW($A$231:$A$491)),""),ROWS($A$1:A150))),0)</f>
        <v>0</v>
      </c>
      <c r="F169" s="17" t="str">
        <f t="shared" si="24"/>
        <v/>
      </c>
      <c r="Q169" s="17">
        <v>150</v>
      </c>
      <c r="R169" s="17" t="str">
        <f t="shared" si="25"/>
        <v/>
      </c>
      <c r="S169" s="17">
        <f t="array" ref="S169">IFERROR(INDEX($P$231:$P$491,SMALL(IF(("Q"=$O$231:$O$491),MATCH(ROW($O$231:$O$491),ROW($O$231:$O$491)),""),ROWS($A$1:A150))),0)</f>
        <v>0</v>
      </c>
      <c r="T169" s="17" t="str">
        <f t="shared" si="26"/>
        <v/>
      </c>
      <c r="AD169" s="17">
        <v>150</v>
      </c>
      <c r="AE169" s="17" t="str">
        <f t="shared" si="31"/>
        <v/>
      </c>
      <c r="AF169" s="17">
        <f t="array" ref="AF169">IFERROR(INDEX($AC$231:$AC$491,SMALL(IF(("Q"=$AB$231:$AB$491),MATCH(ROW($AB$231:$AB$491),ROW($AB$231:$AB$491)),""),ROWS($A$1:A150))),0)</f>
        <v>0</v>
      </c>
      <c r="AG169" s="17" t="str">
        <f t="shared" si="27"/>
        <v/>
      </c>
      <c r="AR169" s="17">
        <v>150</v>
      </c>
      <c r="AS169" s="17" t="str">
        <f t="shared" si="32"/>
        <v/>
      </c>
      <c r="AT169" s="17">
        <f t="array" ref="AT169">IFERROR(INDEX($AQ$231:$AQ$491,SMALL(IF(("Q"=$AP$231:$AP$491),MATCH(ROW($AP$231:$AP$491),ROW($AP$231:$AP$491)),""),ROWS($A$1:A150))),0)</f>
        <v>0</v>
      </c>
      <c r="AU169" s="17" t="str">
        <f t="shared" si="28"/>
        <v/>
      </c>
      <c r="BD169" s="17">
        <v>150</v>
      </c>
      <c r="BE169" s="17" t="str">
        <f t="shared" si="33"/>
        <v/>
      </c>
      <c r="BF169" s="17">
        <f t="array" ref="BF169">IFERROR(INDEX($BC$231:$BC$491,SMALL(IF(("Q"=$BB$231:$BB$491),MATCH(ROW($BB$231:$BB$491),ROW($BB$231:$BB$491)),""),ROWS($A$1:A150))),0)</f>
        <v>0</v>
      </c>
      <c r="BG169" s="17" t="str">
        <f t="shared" si="29"/>
        <v/>
      </c>
    </row>
    <row r="170" spans="3:59">
      <c r="C170" s="17">
        <v>151</v>
      </c>
      <c r="D170" s="17" t="str">
        <f t="shared" si="30"/>
        <v/>
      </c>
      <c r="E170" s="17">
        <f t="array" ref="E170">IFERROR(INDEX($B$231:$B$491,SMALL(IF(("Q"=$A$231:$A$491),MATCH(ROW($A$231:$A$491),ROW($A$231:$A$491)),""),ROWS($A$1:A151))),0)</f>
        <v>0</v>
      </c>
      <c r="F170" s="17" t="str">
        <f t="shared" si="24"/>
        <v/>
      </c>
      <c r="Q170" s="17">
        <v>151</v>
      </c>
      <c r="R170" s="17" t="str">
        <f t="shared" si="25"/>
        <v/>
      </c>
      <c r="S170" s="17">
        <f t="array" ref="S170">IFERROR(INDEX($P$231:$P$491,SMALL(IF(("Q"=$O$231:$O$491),MATCH(ROW($O$231:$O$491),ROW($O$231:$O$491)),""),ROWS($A$1:A151))),0)</f>
        <v>0</v>
      </c>
      <c r="T170" s="17" t="str">
        <f t="shared" si="26"/>
        <v/>
      </c>
      <c r="AD170" s="17">
        <v>151</v>
      </c>
      <c r="AE170" s="17" t="str">
        <f t="shared" si="31"/>
        <v/>
      </c>
      <c r="AF170" s="17">
        <f t="array" ref="AF170">IFERROR(INDEX($AC$231:$AC$491,SMALL(IF(("Q"=$AB$231:$AB$491),MATCH(ROW($AB$231:$AB$491),ROW($AB$231:$AB$491)),""),ROWS($A$1:A151))),0)</f>
        <v>0</v>
      </c>
      <c r="AG170" s="17" t="str">
        <f t="shared" si="27"/>
        <v/>
      </c>
      <c r="AR170" s="17">
        <v>151</v>
      </c>
      <c r="AS170" s="17" t="str">
        <f t="shared" si="32"/>
        <v/>
      </c>
      <c r="AT170" s="17">
        <f t="array" ref="AT170">IFERROR(INDEX($AQ$231:$AQ$491,SMALL(IF(("Q"=$AP$231:$AP$491),MATCH(ROW($AP$231:$AP$491),ROW($AP$231:$AP$491)),""),ROWS($A$1:A151))),0)</f>
        <v>0</v>
      </c>
      <c r="AU170" s="17" t="str">
        <f t="shared" si="28"/>
        <v/>
      </c>
      <c r="BD170" s="17">
        <v>151</v>
      </c>
      <c r="BE170" s="17" t="str">
        <f t="shared" si="33"/>
        <v/>
      </c>
      <c r="BF170" s="17">
        <f t="array" ref="BF170">IFERROR(INDEX($BC$231:$BC$491,SMALL(IF(("Q"=$BB$231:$BB$491),MATCH(ROW($BB$231:$BB$491),ROW($BB$231:$BB$491)),""),ROWS($A$1:A151))),0)</f>
        <v>0</v>
      </c>
      <c r="BG170" s="17" t="str">
        <f t="shared" si="29"/>
        <v/>
      </c>
    </row>
    <row r="171" spans="3:59">
      <c r="C171" s="17">
        <v>152</v>
      </c>
      <c r="D171" s="17" t="str">
        <f t="shared" si="30"/>
        <v/>
      </c>
      <c r="E171" s="17">
        <f t="array" ref="E171">IFERROR(INDEX($B$231:$B$491,SMALL(IF(("Q"=$A$231:$A$491),MATCH(ROW($A$231:$A$491),ROW($A$231:$A$491)),""),ROWS($A$1:A152))),0)</f>
        <v>0</v>
      </c>
      <c r="F171" s="17" t="str">
        <f t="shared" si="24"/>
        <v/>
      </c>
      <c r="Q171" s="17">
        <v>152</v>
      </c>
      <c r="R171" s="17" t="str">
        <f t="shared" si="25"/>
        <v/>
      </c>
      <c r="S171" s="17">
        <f t="array" ref="S171">IFERROR(INDEX($P$231:$P$491,SMALL(IF(("Q"=$O$231:$O$491),MATCH(ROW($O$231:$O$491),ROW($O$231:$O$491)),""),ROWS($A$1:A152))),0)</f>
        <v>0</v>
      </c>
      <c r="T171" s="17" t="str">
        <f t="shared" si="26"/>
        <v/>
      </c>
      <c r="AD171" s="17">
        <v>152</v>
      </c>
      <c r="AE171" s="17" t="str">
        <f t="shared" si="31"/>
        <v/>
      </c>
      <c r="AF171" s="17">
        <f t="array" ref="AF171">IFERROR(INDEX($AC$231:$AC$491,SMALL(IF(("Q"=$AB$231:$AB$491),MATCH(ROW($AB$231:$AB$491),ROW($AB$231:$AB$491)),""),ROWS($A$1:A152))),0)</f>
        <v>0</v>
      </c>
      <c r="AG171" s="17" t="str">
        <f t="shared" si="27"/>
        <v/>
      </c>
      <c r="AR171" s="17">
        <v>152</v>
      </c>
      <c r="AS171" s="17" t="str">
        <f t="shared" si="32"/>
        <v/>
      </c>
      <c r="AT171" s="17">
        <f t="array" ref="AT171">IFERROR(INDEX($AQ$231:$AQ$491,SMALL(IF(("Q"=$AP$231:$AP$491),MATCH(ROW($AP$231:$AP$491),ROW($AP$231:$AP$491)),""),ROWS($A$1:A152))),0)</f>
        <v>0</v>
      </c>
      <c r="AU171" s="17" t="str">
        <f t="shared" si="28"/>
        <v/>
      </c>
      <c r="BD171" s="17">
        <v>152</v>
      </c>
      <c r="BE171" s="17" t="str">
        <f t="shared" si="33"/>
        <v/>
      </c>
      <c r="BF171" s="17">
        <f t="array" ref="BF171">IFERROR(INDEX($BC$231:$BC$491,SMALL(IF(("Q"=$BB$231:$BB$491),MATCH(ROW($BB$231:$BB$491),ROW($BB$231:$BB$491)),""),ROWS($A$1:A152))),0)</f>
        <v>0</v>
      </c>
      <c r="BG171" s="17" t="str">
        <f t="shared" si="29"/>
        <v/>
      </c>
    </row>
    <row r="172" spans="3:59">
      <c r="C172" s="17">
        <v>153</v>
      </c>
      <c r="D172" s="17" t="str">
        <f t="shared" si="30"/>
        <v/>
      </c>
      <c r="E172" s="17">
        <f t="array" ref="E172">IFERROR(INDEX($B$231:$B$491,SMALL(IF(("Q"=$A$231:$A$491),MATCH(ROW($A$231:$A$491),ROW($A$231:$A$491)),""),ROWS($A$1:A153))),0)</f>
        <v>0</v>
      </c>
      <c r="F172" s="17" t="str">
        <f t="shared" si="24"/>
        <v/>
      </c>
      <c r="Q172" s="17">
        <v>153</v>
      </c>
      <c r="R172" s="17" t="str">
        <f t="shared" si="25"/>
        <v/>
      </c>
      <c r="S172" s="17">
        <f t="array" ref="S172">IFERROR(INDEX($P$231:$P$491,SMALL(IF(("Q"=$O$231:$O$491),MATCH(ROW($O$231:$O$491),ROW($O$231:$O$491)),""),ROWS($A$1:A153))),0)</f>
        <v>0</v>
      </c>
      <c r="T172" s="17" t="str">
        <f t="shared" si="26"/>
        <v/>
      </c>
      <c r="AD172" s="17">
        <v>153</v>
      </c>
      <c r="AE172" s="17" t="str">
        <f t="shared" si="31"/>
        <v/>
      </c>
      <c r="AF172" s="17">
        <f t="array" ref="AF172">IFERROR(INDEX($AC$231:$AC$491,SMALL(IF(("Q"=$AB$231:$AB$491),MATCH(ROW($AB$231:$AB$491),ROW($AB$231:$AB$491)),""),ROWS($A$1:A153))),0)</f>
        <v>0</v>
      </c>
      <c r="AG172" s="17" t="str">
        <f t="shared" si="27"/>
        <v/>
      </c>
      <c r="AR172" s="17">
        <v>153</v>
      </c>
      <c r="AS172" s="17" t="str">
        <f t="shared" si="32"/>
        <v/>
      </c>
      <c r="AT172" s="17">
        <f t="array" ref="AT172">IFERROR(INDEX($AQ$231:$AQ$491,SMALL(IF(("Q"=$AP$231:$AP$491),MATCH(ROW($AP$231:$AP$491),ROW($AP$231:$AP$491)),""),ROWS($A$1:A153))),0)</f>
        <v>0</v>
      </c>
      <c r="AU172" s="17" t="str">
        <f t="shared" si="28"/>
        <v/>
      </c>
      <c r="BD172" s="17">
        <v>153</v>
      </c>
      <c r="BE172" s="17" t="str">
        <f t="shared" si="33"/>
        <v/>
      </c>
      <c r="BF172" s="17">
        <f t="array" ref="BF172">IFERROR(INDEX($BC$231:$BC$491,SMALL(IF(("Q"=$BB$231:$BB$491),MATCH(ROW($BB$231:$BB$491),ROW($BB$231:$BB$491)),""),ROWS($A$1:A153))),0)</f>
        <v>0</v>
      </c>
      <c r="BG172" s="17" t="str">
        <f t="shared" si="29"/>
        <v/>
      </c>
    </row>
    <row r="173" spans="3:59">
      <c r="C173" s="17">
        <v>154</v>
      </c>
      <c r="D173" s="17" t="str">
        <f t="shared" si="30"/>
        <v/>
      </c>
      <c r="E173" s="17">
        <f t="array" ref="E173">IFERROR(INDEX($B$231:$B$491,SMALL(IF(("Q"=$A$231:$A$491),MATCH(ROW($A$231:$A$491),ROW($A$231:$A$491)),""),ROWS($A$1:A154))),0)</f>
        <v>0</v>
      </c>
      <c r="F173" s="17" t="str">
        <f t="shared" si="24"/>
        <v/>
      </c>
      <c r="Q173" s="17">
        <v>154</v>
      </c>
      <c r="R173" s="17" t="str">
        <f t="shared" si="25"/>
        <v/>
      </c>
      <c r="S173" s="17">
        <f t="array" ref="S173">IFERROR(INDEX($P$231:$P$491,SMALL(IF(("Q"=$O$231:$O$491),MATCH(ROW($O$231:$O$491),ROW($O$231:$O$491)),""),ROWS($A$1:A154))),0)</f>
        <v>0</v>
      </c>
      <c r="T173" s="17" t="str">
        <f t="shared" si="26"/>
        <v/>
      </c>
      <c r="AD173" s="17">
        <v>154</v>
      </c>
      <c r="AE173" s="17" t="str">
        <f t="shared" si="31"/>
        <v/>
      </c>
      <c r="AF173" s="17">
        <f t="array" ref="AF173">IFERROR(INDEX($AC$231:$AC$491,SMALL(IF(("Q"=$AB$231:$AB$491),MATCH(ROW($AB$231:$AB$491),ROW($AB$231:$AB$491)),""),ROWS($A$1:A154))),0)</f>
        <v>0</v>
      </c>
      <c r="AG173" s="17" t="str">
        <f t="shared" si="27"/>
        <v/>
      </c>
      <c r="AR173" s="17">
        <v>154</v>
      </c>
      <c r="AS173" s="17" t="str">
        <f t="shared" si="32"/>
        <v/>
      </c>
      <c r="AT173" s="17">
        <f t="array" ref="AT173">IFERROR(INDEX($AQ$231:$AQ$491,SMALL(IF(("Q"=$AP$231:$AP$491),MATCH(ROW($AP$231:$AP$491),ROW($AP$231:$AP$491)),""),ROWS($A$1:A154))),0)</f>
        <v>0</v>
      </c>
      <c r="AU173" s="17" t="str">
        <f t="shared" si="28"/>
        <v/>
      </c>
      <c r="BD173" s="17">
        <v>154</v>
      </c>
      <c r="BE173" s="17" t="str">
        <f t="shared" si="33"/>
        <v/>
      </c>
      <c r="BF173" s="17">
        <f t="array" ref="BF173">IFERROR(INDEX($BC$231:$BC$491,SMALL(IF(("Q"=$BB$231:$BB$491),MATCH(ROW($BB$231:$BB$491),ROW($BB$231:$BB$491)),""),ROWS($A$1:A154))),0)</f>
        <v>0</v>
      </c>
      <c r="BG173" s="17" t="str">
        <f t="shared" si="29"/>
        <v/>
      </c>
    </row>
    <row r="174" spans="3:59">
      <c r="C174" s="17">
        <v>155</v>
      </c>
      <c r="D174" s="17" t="str">
        <f t="shared" si="30"/>
        <v/>
      </c>
      <c r="E174" s="17">
        <f t="array" ref="E174">IFERROR(INDEX($B$231:$B$491,SMALL(IF(("Q"=$A$231:$A$491),MATCH(ROW($A$231:$A$491),ROW($A$231:$A$491)),""),ROWS($A$1:A155))),0)</f>
        <v>0</v>
      </c>
      <c r="F174" s="17" t="str">
        <f t="shared" si="24"/>
        <v/>
      </c>
      <c r="Q174" s="17">
        <v>155</v>
      </c>
      <c r="R174" s="17" t="str">
        <f t="shared" si="25"/>
        <v/>
      </c>
      <c r="S174" s="17">
        <f t="array" ref="S174">IFERROR(INDEX($P$231:$P$491,SMALL(IF(("Q"=$O$231:$O$491),MATCH(ROW($O$231:$O$491),ROW($O$231:$O$491)),""),ROWS($A$1:A155))),0)</f>
        <v>0</v>
      </c>
      <c r="T174" s="17" t="str">
        <f t="shared" si="26"/>
        <v/>
      </c>
      <c r="AD174" s="17">
        <v>155</v>
      </c>
      <c r="AE174" s="17" t="str">
        <f t="shared" si="31"/>
        <v/>
      </c>
      <c r="AF174" s="17">
        <f t="array" ref="AF174">IFERROR(INDEX($AC$231:$AC$491,SMALL(IF(("Q"=$AB$231:$AB$491),MATCH(ROW($AB$231:$AB$491),ROW($AB$231:$AB$491)),""),ROWS($A$1:A155))),0)</f>
        <v>0</v>
      </c>
      <c r="AG174" s="17" t="str">
        <f t="shared" si="27"/>
        <v/>
      </c>
      <c r="AR174" s="17">
        <v>155</v>
      </c>
      <c r="AS174" s="17" t="str">
        <f t="shared" si="32"/>
        <v/>
      </c>
      <c r="AT174" s="17">
        <f t="array" ref="AT174">IFERROR(INDEX($AQ$231:$AQ$491,SMALL(IF(("Q"=$AP$231:$AP$491),MATCH(ROW($AP$231:$AP$491),ROW($AP$231:$AP$491)),""),ROWS($A$1:A155))),0)</f>
        <v>0</v>
      </c>
      <c r="AU174" s="17" t="str">
        <f t="shared" si="28"/>
        <v/>
      </c>
      <c r="BD174" s="17">
        <v>155</v>
      </c>
      <c r="BE174" s="17" t="str">
        <f t="shared" si="33"/>
        <v/>
      </c>
      <c r="BF174" s="17">
        <f t="array" ref="BF174">IFERROR(INDEX($BC$231:$BC$491,SMALL(IF(("Q"=$BB$231:$BB$491),MATCH(ROW($BB$231:$BB$491),ROW($BB$231:$BB$491)),""),ROWS($A$1:A155))),0)</f>
        <v>0</v>
      </c>
      <c r="BG174" s="17" t="str">
        <f t="shared" si="29"/>
        <v/>
      </c>
    </row>
    <row r="175" spans="3:59">
      <c r="C175" s="17">
        <v>156</v>
      </c>
      <c r="D175" s="17" t="str">
        <f t="shared" si="30"/>
        <v/>
      </c>
      <c r="E175" s="17">
        <f t="array" ref="E175">IFERROR(INDEX($B$231:$B$491,SMALL(IF(("Q"=$A$231:$A$491),MATCH(ROW($A$231:$A$491),ROW($A$231:$A$491)),""),ROWS($A$1:A156))),0)</f>
        <v>0</v>
      </c>
      <c r="F175" s="17" t="str">
        <f t="shared" si="24"/>
        <v/>
      </c>
      <c r="Q175" s="17">
        <v>156</v>
      </c>
      <c r="R175" s="17" t="str">
        <f t="shared" si="25"/>
        <v/>
      </c>
      <c r="S175" s="17">
        <f t="array" ref="S175">IFERROR(INDEX($P$231:$P$491,SMALL(IF(("Q"=$O$231:$O$491),MATCH(ROW($O$231:$O$491),ROW($O$231:$O$491)),""),ROWS($A$1:A156))),0)</f>
        <v>0</v>
      </c>
      <c r="T175" s="17" t="str">
        <f t="shared" si="26"/>
        <v/>
      </c>
      <c r="AD175" s="17">
        <v>156</v>
      </c>
      <c r="AE175" s="17" t="str">
        <f t="shared" si="31"/>
        <v/>
      </c>
      <c r="AF175" s="17">
        <f t="array" ref="AF175">IFERROR(INDEX($AC$231:$AC$491,SMALL(IF(("Q"=$AB$231:$AB$491),MATCH(ROW($AB$231:$AB$491),ROW($AB$231:$AB$491)),""),ROWS($A$1:A156))),0)</f>
        <v>0</v>
      </c>
      <c r="AG175" s="17" t="str">
        <f t="shared" si="27"/>
        <v/>
      </c>
      <c r="AR175" s="17">
        <v>156</v>
      </c>
      <c r="AS175" s="17" t="str">
        <f t="shared" si="32"/>
        <v/>
      </c>
      <c r="AT175" s="17">
        <f t="array" ref="AT175">IFERROR(INDEX($AQ$231:$AQ$491,SMALL(IF(("Q"=$AP$231:$AP$491),MATCH(ROW($AP$231:$AP$491),ROW($AP$231:$AP$491)),""),ROWS($A$1:A156))),0)</f>
        <v>0</v>
      </c>
      <c r="AU175" s="17" t="str">
        <f t="shared" si="28"/>
        <v/>
      </c>
      <c r="BD175" s="17">
        <v>156</v>
      </c>
      <c r="BE175" s="17" t="str">
        <f t="shared" si="33"/>
        <v/>
      </c>
      <c r="BF175" s="17">
        <f t="array" ref="BF175">IFERROR(INDEX($BC$231:$BC$491,SMALL(IF(("Q"=$BB$231:$BB$491),MATCH(ROW($BB$231:$BB$491),ROW($BB$231:$BB$491)),""),ROWS($A$1:A156))),0)</f>
        <v>0</v>
      </c>
      <c r="BG175" s="17" t="str">
        <f t="shared" si="29"/>
        <v/>
      </c>
    </row>
    <row r="176" spans="3:59">
      <c r="C176" s="17">
        <v>157</v>
      </c>
      <c r="D176" s="17" t="str">
        <f t="shared" si="30"/>
        <v/>
      </c>
      <c r="E176" s="17">
        <f t="array" ref="E176">IFERROR(INDEX($B$231:$B$491,SMALL(IF(("Q"=$A$231:$A$491),MATCH(ROW($A$231:$A$491),ROW($A$231:$A$491)),""),ROWS($A$1:A157))),0)</f>
        <v>0</v>
      </c>
      <c r="F176" s="17" t="str">
        <f t="shared" si="24"/>
        <v/>
      </c>
      <c r="Q176" s="17">
        <v>157</v>
      </c>
      <c r="R176" s="17" t="str">
        <f t="shared" si="25"/>
        <v/>
      </c>
      <c r="S176" s="17">
        <f t="array" ref="S176">IFERROR(INDEX($P$231:$P$491,SMALL(IF(("Q"=$O$231:$O$491),MATCH(ROW($O$231:$O$491),ROW($O$231:$O$491)),""),ROWS($A$1:A157))),0)</f>
        <v>0</v>
      </c>
      <c r="T176" s="17" t="str">
        <f t="shared" si="26"/>
        <v/>
      </c>
      <c r="AD176" s="17">
        <v>157</v>
      </c>
      <c r="AE176" s="17" t="str">
        <f t="shared" si="31"/>
        <v/>
      </c>
      <c r="AF176" s="17">
        <f t="array" ref="AF176">IFERROR(INDEX($AC$231:$AC$491,SMALL(IF(("Q"=$AB$231:$AB$491),MATCH(ROW($AB$231:$AB$491),ROW($AB$231:$AB$491)),""),ROWS($A$1:A157))),0)</f>
        <v>0</v>
      </c>
      <c r="AG176" s="17" t="str">
        <f t="shared" si="27"/>
        <v/>
      </c>
      <c r="AR176" s="17">
        <v>157</v>
      </c>
      <c r="AS176" s="17" t="str">
        <f t="shared" si="32"/>
        <v/>
      </c>
      <c r="AT176" s="17">
        <f t="array" ref="AT176">IFERROR(INDEX($AQ$231:$AQ$491,SMALL(IF(("Q"=$AP$231:$AP$491),MATCH(ROW($AP$231:$AP$491),ROW($AP$231:$AP$491)),""),ROWS($A$1:A157))),0)</f>
        <v>0</v>
      </c>
      <c r="AU176" s="17" t="str">
        <f t="shared" si="28"/>
        <v/>
      </c>
      <c r="BD176" s="17">
        <v>157</v>
      </c>
      <c r="BE176" s="17" t="str">
        <f t="shared" si="33"/>
        <v/>
      </c>
      <c r="BF176" s="17">
        <f t="array" ref="BF176">IFERROR(INDEX($BC$231:$BC$491,SMALL(IF(("Q"=$BB$231:$BB$491),MATCH(ROW($BB$231:$BB$491),ROW($BB$231:$BB$491)),""),ROWS($A$1:A157))),0)</f>
        <v>0</v>
      </c>
      <c r="BG176" s="17" t="str">
        <f t="shared" si="29"/>
        <v/>
      </c>
    </row>
    <row r="177" spans="3:59">
      <c r="C177" s="17">
        <v>158</v>
      </c>
      <c r="D177" s="17" t="str">
        <f t="shared" si="30"/>
        <v/>
      </c>
      <c r="E177" s="17">
        <f t="array" ref="E177">IFERROR(INDEX($B$231:$B$491,SMALL(IF(("Q"=$A$231:$A$491),MATCH(ROW($A$231:$A$491),ROW($A$231:$A$491)),""),ROWS($A$1:A158))),0)</f>
        <v>0</v>
      </c>
      <c r="F177" s="17" t="str">
        <f t="shared" si="24"/>
        <v/>
      </c>
      <c r="Q177" s="17">
        <v>158</v>
      </c>
      <c r="R177" s="17" t="str">
        <f t="shared" si="25"/>
        <v/>
      </c>
      <c r="S177" s="17">
        <f t="array" ref="S177">IFERROR(INDEX($P$231:$P$491,SMALL(IF(("Q"=$O$231:$O$491),MATCH(ROW($O$231:$O$491),ROW($O$231:$O$491)),""),ROWS($A$1:A158))),0)</f>
        <v>0</v>
      </c>
      <c r="T177" s="17" t="str">
        <f t="shared" si="26"/>
        <v/>
      </c>
      <c r="AD177" s="17">
        <v>158</v>
      </c>
      <c r="AE177" s="17" t="str">
        <f t="shared" si="31"/>
        <v/>
      </c>
      <c r="AF177" s="17">
        <f t="array" ref="AF177">IFERROR(INDEX($AC$231:$AC$491,SMALL(IF(("Q"=$AB$231:$AB$491),MATCH(ROW($AB$231:$AB$491),ROW($AB$231:$AB$491)),""),ROWS($A$1:A158))),0)</f>
        <v>0</v>
      </c>
      <c r="AG177" s="17" t="str">
        <f t="shared" si="27"/>
        <v/>
      </c>
      <c r="AR177" s="17">
        <v>158</v>
      </c>
      <c r="AS177" s="17" t="str">
        <f t="shared" si="32"/>
        <v/>
      </c>
      <c r="AT177" s="17">
        <f t="array" ref="AT177">IFERROR(INDEX($AQ$231:$AQ$491,SMALL(IF(("Q"=$AP$231:$AP$491),MATCH(ROW($AP$231:$AP$491),ROW($AP$231:$AP$491)),""),ROWS($A$1:A158))),0)</f>
        <v>0</v>
      </c>
      <c r="AU177" s="17" t="str">
        <f t="shared" si="28"/>
        <v/>
      </c>
      <c r="BD177" s="17">
        <v>158</v>
      </c>
      <c r="BE177" s="17" t="str">
        <f t="shared" si="33"/>
        <v/>
      </c>
      <c r="BF177" s="17">
        <f t="array" ref="BF177">IFERROR(INDEX($BC$231:$BC$491,SMALL(IF(("Q"=$BB$231:$BB$491),MATCH(ROW($BB$231:$BB$491),ROW($BB$231:$BB$491)),""),ROWS($A$1:A158))),0)</f>
        <v>0</v>
      </c>
      <c r="BG177" s="17" t="str">
        <f t="shared" si="29"/>
        <v/>
      </c>
    </row>
    <row r="178" spans="3:59">
      <c r="C178" s="17">
        <v>159</v>
      </c>
      <c r="D178" s="17" t="str">
        <f t="shared" si="30"/>
        <v/>
      </c>
      <c r="E178" s="17">
        <f t="array" ref="E178">IFERROR(INDEX($B$231:$B$491,SMALL(IF(("Q"=$A$231:$A$491),MATCH(ROW($A$231:$A$491),ROW($A$231:$A$491)),""),ROWS($A$1:A159))),0)</f>
        <v>0</v>
      </c>
      <c r="F178" s="17" t="str">
        <f t="shared" si="24"/>
        <v/>
      </c>
      <c r="Q178" s="17">
        <v>159</v>
      </c>
      <c r="R178" s="17" t="str">
        <f t="shared" si="25"/>
        <v/>
      </c>
      <c r="S178" s="17">
        <f t="array" ref="S178">IFERROR(INDEX($P$231:$P$491,SMALL(IF(("Q"=$O$231:$O$491),MATCH(ROW($O$231:$O$491),ROW($O$231:$O$491)),""),ROWS($A$1:A159))),0)</f>
        <v>0</v>
      </c>
      <c r="T178" s="17" t="str">
        <f t="shared" si="26"/>
        <v/>
      </c>
      <c r="AD178" s="17">
        <v>159</v>
      </c>
      <c r="AE178" s="17" t="str">
        <f t="shared" si="31"/>
        <v/>
      </c>
      <c r="AF178" s="17">
        <f t="array" ref="AF178">IFERROR(INDEX($AC$231:$AC$491,SMALL(IF(("Q"=$AB$231:$AB$491),MATCH(ROW($AB$231:$AB$491),ROW($AB$231:$AB$491)),""),ROWS($A$1:A159))),0)</f>
        <v>0</v>
      </c>
      <c r="AG178" s="17" t="str">
        <f t="shared" si="27"/>
        <v/>
      </c>
      <c r="AR178" s="17">
        <v>159</v>
      </c>
      <c r="AS178" s="17" t="str">
        <f t="shared" si="32"/>
        <v/>
      </c>
      <c r="AT178" s="17">
        <f t="array" ref="AT178">IFERROR(INDEX($AQ$231:$AQ$491,SMALL(IF(("Q"=$AP$231:$AP$491),MATCH(ROW($AP$231:$AP$491),ROW($AP$231:$AP$491)),""),ROWS($A$1:A159))),0)</f>
        <v>0</v>
      </c>
      <c r="AU178" s="17" t="str">
        <f t="shared" si="28"/>
        <v/>
      </c>
      <c r="BD178" s="17">
        <v>159</v>
      </c>
      <c r="BE178" s="17" t="str">
        <f t="shared" si="33"/>
        <v/>
      </c>
      <c r="BF178" s="17">
        <f t="array" ref="BF178">IFERROR(INDEX($BC$231:$BC$491,SMALL(IF(("Q"=$BB$231:$BB$491),MATCH(ROW($BB$231:$BB$491),ROW($BB$231:$BB$491)),""),ROWS($A$1:A159))),0)</f>
        <v>0</v>
      </c>
      <c r="BG178" s="17" t="str">
        <f t="shared" si="29"/>
        <v/>
      </c>
    </row>
    <row r="179" spans="3:59">
      <c r="C179" s="17">
        <v>160</v>
      </c>
      <c r="D179" s="17" t="str">
        <f t="shared" si="30"/>
        <v/>
      </c>
      <c r="E179" s="17">
        <f t="array" ref="E179">IFERROR(INDEX($B$231:$B$491,SMALL(IF(("Q"=$A$231:$A$491),MATCH(ROW($A$231:$A$491),ROW($A$231:$A$491)),""),ROWS($A$1:A160))),0)</f>
        <v>0</v>
      </c>
      <c r="F179" s="17" t="str">
        <f t="shared" si="24"/>
        <v/>
      </c>
      <c r="Q179" s="17">
        <v>160</v>
      </c>
      <c r="R179" s="17" t="str">
        <f t="shared" si="25"/>
        <v/>
      </c>
      <c r="S179" s="17">
        <f t="array" ref="S179">IFERROR(INDEX($P$231:$P$491,SMALL(IF(("Q"=$O$231:$O$491),MATCH(ROW($O$231:$O$491),ROW($O$231:$O$491)),""),ROWS($A$1:A160))),0)</f>
        <v>0</v>
      </c>
      <c r="T179" s="17" t="str">
        <f t="shared" si="26"/>
        <v/>
      </c>
      <c r="AD179" s="17">
        <v>160</v>
      </c>
      <c r="AE179" s="17" t="str">
        <f t="shared" si="31"/>
        <v/>
      </c>
      <c r="AF179" s="17">
        <f t="array" ref="AF179">IFERROR(INDEX($AC$231:$AC$491,SMALL(IF(("Q"=$AB$231:$AB$491),MATCH(ROW($AB$231:$AB$491),ROW($AB$231:$AB$491)),""),ROWS($A$1:A160))),0)</f>
        <v>0</v>
      </c>
      <c r="AG179" s="17" t="str">
        <f t="shared" si="27"/>
        <v/>
      </c>
      <c r="AR179" s="17">
        <v>160</v>
      </c>
      <c r="AS179" s="17" t="str">
        <f t="shared" si="32"/>
        <v/>
      </c>
      <c r="AT179" s="17">
        <f t="array" ref="AT179">IFERROR(INDEX($AQ$231:$AQ$491,SMALL(IF(("Q"=$AP$231:$AP$491),MATCH(ROW($AP$231:$AP$491),ROW($AP$231:$AP$491)),""),ROWS($A$1:A160))),0)</f>
        <v>0</v>
      </c>
      <c r="AU179" s="17" t="str">
        <f t="shared" si="28"/>
        <v/>
      </c>
      <c r="BD179" s="17">
        <v>160</v>
      </c>
      <c r="BE179" s="17" t="str">
        <f t="shared" si="33"/>
        <v/>
      </c>
      <c r="BF179" s="17">
        <f t="array" ref="BF179">IFERROR(INDEX($BC$231:$BC$491,SMALL(IF(("Q"=$BB$231:$BB$491),MATCH(ROW($BB$231:$BB$491),ROW($BB$231:$BB$491)),""),ROWS($A$1:A160))),0)</f>
        <v>0</v>
      </c>
      <c r="BG179" s="17" t="str">
        <f t="shared" si="29"/>
        <v/>
      </c>
    </row>
    <row r="180" spans="3:59">
      <c r="C180" s="17">
        <v>161</v>
      </c>
      <c r="D180" s="17" t="str">
        <f t="shared" si="30"/>
        <v/>
      </c>
      <c r="E180" s="17">
        <f t="array" ref="E180">IFERROR(INDEX($B$231:$B$491,SMALL(IF(("Q"=$A$231:$A$491),MATCH(ROW($A$231:$A$491),ROW($A$231:$A$491)),""),ROWS($A$1:A161))),0)</f>
        <v>0</v>
      </c>
      <c r="F180" s="17" t="str">
        <f t="shared" si="24"/>
        <v/>
      </c>
      <c r="Q180" s="17">
        <v>161</v>
      </c>
      <c r="R180" s="17" t="str">
        <f t="shared" si="25"/>
        <v/>
      </c>
      <c r="S180" s="17">
        <f t="array" ref="S180">IFERROR(INDEX($P$231:$P$491,SMALL(IF(("Q"=$O$231:$O$491),MATCH(ROW($O$231:$O$491),ROW($O$231:$O$491)),""),ROWS($A$1:A161))),0)</f>
        <v>0</v>
      </c>
      <c r="T180" s="17" t="str">
        <f t="shared" si="26"/>
        <v/>
      </c>
      <c r="AD180" s="17">
        <v>161</v>
      </c>
      <c r="AE180" s="17" t="str">
        <f t="shared" si="31"/>
        <v/>
      </c>
      <c r="AF180" s="17">
        <f t="array" ref="AF180">IFERROR(INDEX($AC$231:$AC$491,SMALL(IF(("Q"=$AB$231:$AB$491),MATCH(ROW($AB$231:$AB$491),ROW($AB$231:$AB$491)),""),ROWS($A$1:A161))),0)</f>
        <v>0</v>
      </c>
      <c r="AG180" s="17" t="str">
        <f t="shared" si="27"/>
        <v/>
      </c>
      <c r="AR180" s="17">
        <v>161</v>
      </c>
      <c r="AS180" s="17" t="str">
        <f t="shared" si="32"/>
        <v/>
      </c>
      <c r="AT180" s="17">
        <f t="array" ref="AT180">IFERROR(INDEX($AQ$231:$AQ$491,SMALL(IF(("Q"=$AP$231:$AP$491),MATCH(ROW($AP$231:$AP$491),ROW($AP$231:$AP$491)),""),ROWS($A$1:A161))),0)</f>
        <v>0</v>
      </c>
      <c r="AU180" s="17" t="str">
        <f t="shared" si="28"/>
        <v/>
      </c>
      <c r="BD180" s="17">
        <v>161</v>
      </c>
      <c r="BE180" s="17" t="str">
        <f t="shared" si="33"/>
        <v/>
      </c>
      <c r="BF180" s="17">
        <f t="array" ref="BF180">IFERROR(INDEX($BC$231:$BC$491,SMALL(IF(("Q"=$BB$231:$BB$491),MATCH(ROW($BB$231:$BB$491),ROW($BB$231:$BB$491)),""),ROWS($A$1:A161))),0)</f>
        <v>0</v>
      </c>
      <c r="BG180" s="17" t="str">
        <f t="shared" si="29"/>
        <v/>
      </c>
    </row>
    <row r="181" spans="3:59">
      <c r="C181" s="17">
        <v>162</v>
      </c>
      <c r="D181" s="17" t="str">
        <f t="shared" si="30"/>
        <v/>
      </c>
      <c r="E181" s="17">
        <f t="array" ref="E181">IFERROR(INDEX($B$231:$B$491,SMALL(IF(("Q"=$A$231:$A$491),MATCH(ROW($A$231:$A$491),ROW($A$231:$A$491)),""),ROWS($A$1:A162))),0)</f>
        <v>0</v>
      </c>
      <c r="F181" s="17" t="str">
        <f t="shared" si="24"/>
        <v/>
      </c>
      <c r="Q181" s="17">
        <v>162</v>
      </c>
      <c r="R181" s="17" t="str">
        <f t="shared" si="25"/>
        <v/>
      </c>
      <c r="S181" s="17">
        <f t="array" ref="S181">IFERROR(INDEX($P$231:$P$491,SMALL(IF(("Q"=$O$231:$O$491),MATCH(ROW($O$231:$O$491),ROW($O$231:$O$491)),""),ROWS($A$1:A162))),0)</f>
        <v>0</v>
      </c>
      <c r="T181" s="17" t="str">
        <f t="shared" si="26"/>
        <v/>
      </c>
      <c r="AD181" s="17">
        <v>162</v>
      </c>
      <c r="AE181" s="17" t="str">
        <f t="shared" si="31"/>
        <v/>
      </c>
      <c r="AF181" s="17">
        <f t="array" ref="AF181">IFERROR(INDEX($AC$231:$AC$491,SMALL(IF(("Q"=$AB$231:$AB$491),MATCH(ROW($AB$231:$AB$491),ROW($AB$231:$AB$491)),""),ROWS($A$1:A162))),0)</f>
        <v>0</v>
      </c>
      <c r="AG181" s="17" t="str">
        <f t="shared" si="27"/>
        <v/>
      </c>
      <c r="AR181" s="17">
        <v>162</v>
      </c>
      <c r="AS181" s="17" t="str">
        <f t="shared" si="32"/>
        <v/>
      </c>
      <c r="AT181" s="17">
        <f t="array" ref="AT181">IFERROR(INDEX($AQ$231:$AQ$491,SMALL(IF(("Q"=$AP$231:$AP$491),MATCH(ROW($AP$231:$AP$491),ROW($AP$231:$AP$491)),""),ROWS($A$1:A162))),0)</f>
        <v>0</v>
      </c>
      <c r="AU181" s="17" t="str">
        <f t="shared" si="28"/>
        <v/>
      </c>
      <c r="BD181" s="17">
        <v>162</v>
      </c>
      <c r="BE181" s="17" t="str">
        <f t="shared" si="33"/>
        <v/>
      </c>
      <c r="BF181" s="17">
        <f t="array" ref="BF181">IFERROR(INDEX($BC$231:$BC$491,SMALL(IF(("Q"=$BB$231:$BB$491),MATCH(ROW($BB$231:$BB$491),ROW($BB$231:$BB$491)),""),ROWS($A$1:A162))),0)</f>
        <v>0</v>
      </c>
      <c r="BG181" s="17" t="str">
        <f t="shared" si="29"/>
        <v/>
      </c>
    </row>
    <row r="182" spans="3:59">
      <c r="C182" s="17">
        <v>163</v>
      </c>
      <c r="D182" s="17" t="str">
        <f t="shared" si="30"/>
        <v/>
      </c>
      <c r="E182" s="17">
        <f t="array" ref="E182">IFERROR(INDEX($B$231:$B$491,SMALL(IF(("Q"=$A$231:$A$491),MATCH(ROW($A$231:$A$491),ROW($A$231:$A$491)),""),ROWS($A$1:A163))),0)</f>
        <v>0</v>
      </c>
      <c r="F182" s="17" t="str">
        <f t="shared" si="24"/>
        <v/>
      </c>
      <c r="Q182" s="17">
        <v>163</v>
      </c>
      <c r="R182" s="17" t="str">
        <f t="shared" si="25"/>
        <v/>
      </c>
      <c r="S182" s="17">
        <f t="array" ref="S182">IFERROR(INDEX($P$231:$P$491,SMALL(IF(("Q"=$O$231:$O$491),MATCH(ROW($O$231:$O$491),ROW($O$231:$O$491)),""),ROWS($A$1:A163))),0)</f>
        <v>0</v>
      </c>
      <c r="T182" s="17" t="str">
        <f t="shared" si="26"/>
        <v/>
      </c>
      <c r="AD182" s="17">
        <v>163</v>
      </c>
      <c r="AE182" s="17" t="str">
        <f t="shared" si="31"/>
        <v/>
      </c>
      <c r="AF182" s="17">
        <f t="array" ref="AF182">IFERROR(INDEX($AC$231:$AC$491,SMALL(IF(("Q"=$AB$231:$AB$491),MATCH(ROW($AB$231:$AB$491),ROW($AB$231:$AB$491)),""),ROWS($A$1:A163))),0)</f>
        <v>0</v>
      </c>
      <c r="AG182" s="17" t="str">
        <f t="shared" si="27"/>
        <v/>
      </c>
      <c r="AR182" s="17">
        <v>163</v>
      </c>
      <c r="AS182" s="17" t="str">
        <f t="shared" si="32"/>
        <v/>
      </c>
      <c r="AT182" s="17">
        <f t="array" ref="AT182">IFERROR(INDEX($AQ$231:$AQ$491,SMALL(IF(("Q"=$AP$231:$AP$491),MATCH(ROW($AP$231:$AP$491),ROW($AP$231:$AP$491)),""),ROWS($A$1:A163))),0)</f>
        <v>0</v>
      </c>
      <c r="AU182" s="17" t="str">
        <f t="shared" si="28"/>
        <v/>
      </c>
      <c r="BD182" s="17">
        <v>163</v>
      </c>
      <c r="BE182" s="17" t="str">
        <f t="shared" si="33"/>
        <v/>
      </c>
      <c r="BF182" s="17">
        <f t="array" ref="BF182">IFERROR(INDEX($BC$231:$BC$491,SMALL(IF(("Q"=$BB$231:$BB$491),MATCH(ROW($BB$231:$BB$491),ROW($BB$231:$BB$491)),""),ROWS($A$1:A163))),0)</f>
        <v>0</v>
      </c>
      <c r="BG182" s="17" t="str">
        <f t="shared" si="29"/>
        <v/>
      </c>
    </row>
    <row r="183" spans="3:59">
      <c r="C183" s="17">
        <v>164</v>
      </c>
      <c r="D183" s="17" t="str">
        <f t="shared" si="30"/>
        <v/>
      </c>
      <c r="E183" s="17">
        <f t="array" ref="E183">IFERROR(INDEX($B$231:$B$491,SMALL(IF(("Q"=$A$231:$A$491),MATCH(ROW($A$231:$A$491),ROW($A$231:$A$491)),""),ROWS($A$1:A164))),0)</f>
        <v>0</v>
      </c>
      <c r="F183" s="17" t="str">
        <f t="shared" si="24"/>
        <v/>
      </c>
      <c r="Q183" s="17">
        <v>164</v>
      </c>
      <c r="R183" s="17" t="str">
        <f t="shared" si="25"/>
        <v/>
      </c>
      <c r="S183" s="17">
        <f t="array" ref="S183">IFERROR(INDEX($P$231:$P$491,SMALL(IF(("Q"=$O$231:$O$491),MATCH(ROW($O$231:$O$491),ROW($O$231:$O$491)),""),ROWS($A$1:A164))),0)</f>
        <v>0</v>
      </c>
      <c r="T183" s="17" t="str">
        <f t="shared" si="26"/>
        <v/>
      </c>
      <c r="AD183" s="17">
        <v>164</v>
      </c>
      <c r="AE183" s="17" t="str">
        <f t="shared" si="31"/>
        <v/>
      </c>
      <c r="AF183" s="17">
        <f t="array" ref="AF183">IFERROR(INDEX($AC$231:$AC$491,SMALL(IF(("Q"=$AB$231:$AB$491),MATCH(ROW($AB$231:$AB$491),ROW($AB$231:$AB$491)),""),ROWS($A$1:A164))),0)</f>
        <v>0</v>
      </c>
      <c r="AG183" s="17" t="str">
        <f t="shared" si="27"/>
        <v/>
      </c>
      <c r="AR183" s="17">
        <v>164</v>
      </c>
      <c r="AS183" s="17" t="str">
        <f t="shared" si="32"/>
        <v/>
      </c>
      <c r="AT183" s="17">
        <f t="array" ref="AT183">IFERROR(INDEX($AQ$231:$AQ$491,SMALL(IF(("Q"=$AP$231:$AP$491),MATCH(ROW($AP$231:$AP$491),ROW($AP$231:$AP$491)),""),ROWS($A$1:A164))),0)</f>
        <v>0</v>
      </c>
      <c r="AU183" s="17" t="str">
        <f t="shared" si="28"/>
        <v/>
      </c>
      <c r="BD183" s="17">
        <v>164</v>
      </c>
      <c r="BE183" s="17" t="str">
        <f t="shared" si="33"/>
        <v/>
      </c>
      <c r="BF183" s="17">
        <f t="array" ref="BF183">IFERROR(INDEX($BC$231:$BC$491,SMALL(IF(("Q"=$BB$231:$BB$491),MATCH(ROW($BB$231:$BB$491),ROW($BB$231:$BB$491)),""),ROWS($A$1:A164))),0)</f>
        <v>0</v>
      </c>
      <c r="BG183" s="17" t="str">
        <f t="shared" si="29"/>
        <v/>
      </c>
    </row>
    <row r="184" spans="3:59">
      <c r="C184" s="17">
        <v>165</v>
      </c>
      <c r="D184" s="17" t="str">
        <f t="shared" si="30"/>
        <v/>
      </c>
      <c r="E184" s="17">
        <f t="array" ref="E184">IFERROR(INDEX($B$231:$B$491,SMALL(IF(("Q"=$A$231:$A$491),MATCH(ROW($A$231:$A$491),ROW($A$231:$A$491)),""),ROWS($A$1:A165))),0)</f>
        <v>0</v>
      </c>
      <c r="F184" s="17" t="str">
        <f t="shared" si="24"/>
        <v/>
      </c>
      <c r="Q184" s="17">
        <v>165</v>
      </c>
      <c r="R184" s="17" t="str">
        <f t="shared" si="25"/>
        <v/>
      </c>
      <c r="S184" s="17">
        <f t="array" ref="S184">IFERROR(INDEX($P$231:$P$491,SMALL(IF(("Q"=$O$231:$O$491),MATCH(ROW($O$231:$O$491),ROW($O$231:$O$491)),""),ROWS($A$1:A165))),0)</f>
        <v>0</v>
      </c>
      <c r="T184" s="17" t="str">
        <f t="shared" si="26"/>
        <v/>
      </c>
      <c r="AD184" s="17">
        <v>165</v>
      </c>
      <c r="AE184" s="17" t="str">
        <f t="shared" si="31"/>
        <v/>
      </c>
      <c r="AF184" s="17">
        <f t="array" ref="AF184">IFERROR(INDEX($AC$231:$AC$491,SMALL(IF(("Q"=$AB$231:$AB$491),MATCH(ROW($AB$231:$AB$491),ROW($AB$231:$AB$491)),""),ROWS($A$1:A165))),0)</f>
        <v>0</v>
      </c>
      <c r="AG184" s="17" t="str">
        <f t="shared" si="27"/>
        <v/>
      </c>
      <c r="AR184" s="17">
        <v>165</v>
      </c>
      <c r="AS184" s="17" t="str">
        <f t="shared" si="32"/>
        <v/>
      </c>
      <c r="AT184" s="17">
        <f t="array" ref="AT184">IFERROR(INDEX($AQ$231:$AQ$491,SMALL(IF(("Q"=$AP$231:$AP$491),MATCH(ROW($AP$231:$AP$491),ROW($AP$231:$AP$491)),""),ROWS($A$1:A165))),0)</f>
        <v>0</v>
      </c>
      <c r="AU184" s="17" t="str">
        <f t="shared" si="28"/>
        <v/>
      </c>
      <c r="BD184" s="17">
        <v>165</v>
      </c>
      <c r="BE184" s="17" t="str">
        <f t="shared" si="33"/>
        <v/>
      </c>
      <c r="BF184" s="17">
        <f t="array" ref="BF184">IFERROR(INDEX($BC$231:$BC$491,SMALL(IF(("Q"=$BB$231:$BB$491),MATCH(ROW($BB$231:$BB$491),ROW($BB$231:$BB$491)),""),ROWS($A$1:A165))),0)</f>
        <v>0</v>
      </c>
      <c r="BG184" s="17" t="str">
        <f t="shared" si="29"/>
        <v/>
      </c>
    </row>
    <row r="185" spans="3:59">
      <c r="C185" s="17">
        <v>166</v>
      </c>
      <c r="D185" s="17" t="str">
        <f t="shared" si="30"/>
        <v/>
      </c>
      <c r="E185" s="17">
        <f t="array" ref="E185">IFERROR(INDEX($B$231:$B$491,SMALL(IF(("Q"=$A$231:$A$491),MATCH(ROW($A$231:$A$491),ROW($A$231:$A$491)),""),ROWS($A$1:A166))),0)</f>
        <v>0</v>
      </c>
      <c r="F185" s="17" t="str">
        <f t="shared" si="24"/>
        <v/>
      </c>
      <c r="Q185" s="17">
        <v>166</v>
      </c>
      <c r="R185" s="17" t="str">
        <f t="shared" si="25"/>
        <v/>
      </c>
      <c r="S185" s="17">
        <f t="array" ref="S185">IFERROR(INDEX($P$231:$P$491,SMALL(IF(("Q"=$O$231:$O$491),MATCH(ROW($O$231:$O$491),ROW($O$231:$O$491)),""),ROWS($A$1:A166))),0)</f>
        <v>0</v>
      </c>
      <c r="T185" s="17" t="str">
        <f t="shared" si="26"/>
        <v/>
      </c>
      <c r="AD185" s="17">
        <v>166</v>
      </c>
      <c r="AE185" s="17" t="str">
        <f t="shared" si="31"/>
        <v/>
      </c>
      <c r="AF185" s="17">
        <f t="array" ref="AF185">IFERROR(INDEX($AC$231:$AC$491,SMALL(IF(("Q"=$AB$231:$AB$491),MATCH(ROW($AB$231:$AB$491),ROW($AB$231:$AB$491)),""),ROWS($A$1:A166))),0)</f>
        <v>0</v>
      </c>
      <c r="AG185" s="17" t="str">
        <f t="shared" si="27"/>
        <v/>
      </c>
      <c r="AR185" s="17">
        <v>166</v>
      </c>
      <c r="AS185" s="17" t="str">
        <f t="shared" si="32"/>
        <v/>
      </c>
      <c r="AT185" s="17">
        <f t="array" ref="AT185">IFERROR(INDEX($AQ$231:$AQ$491,SMALL(IF(("Q"=$AP$231:$AP$491),MATCH(ROW($AP$231:$AP$491),ROW($AP$231:$AP$491)),""),ROWS($A$1:A166))),0)</f>
        <v>0</v>
      </c>
      <c r="AU185" s="17" t="str">
        <f t="shared" si="28"/>
        <v/>
      </c>
      <c r="BD185" s="17">
        <v>166</v>
      </c>
      <c r="BE185" s="17" t="str">
        <f t="shared" si="33"/>
        <v/>
      </c>
      <c r="BF185" s="17">
        <f t="array" ref="BF185">IFERROR(INDEX($BC$231:$BC$491,SMALL(IF(("Q"=$BB$231:$BB$491),MATCH(ROW($BB$231:$BB$491),ROW($BB$231:$BB$491)),""),ROWS($A$1:A166))),0)</f>
        <v>0</v>
      </c>
      <c r="BG185" s="17" t="str">
        <f t="shared" si="29"/>
        <v/>
      </c>
    </row>
    <row r="186" spans="3:59">
      <c r="C186" s="17">
        <v>167</v>
      </c>
      <c r="D186" s="17" t="str">
        <f t="shared" si="30"/>
        <v/>
      </c>
      <c r="E186" s="17">
        <f t="array" ref="E186">IFERROR(INDEX($B$231:$B$491,SMALL(IF(("Q"=$A$231:$A$491),MATCH(ROW($A$231:$A$491),ROW($A$231:$A$491)),""),ROWS($A$1:A167))),0)</f>
        <v>0</v>
      </c>
      <c r="F186" s="17" t="str">
        <f t="shared" si="24"/>
        <v/>
      </c>
      <c r="Q186" s="17">
        <v>167</v>
      </c>
      <c r="R186" s="17" t="str">
        <f t="shared" si="25"/>
        <v/>
      </c>
      <c r="S186" s="17">
        <f t="array" ref="S186">IFERROR(INDEX($P$231:$P$491,SMALL(IF(("Q"=$O$231:$O$491),MATCH(ROW($O$231:$O$491),ROW($O$231:$O$491)),""),ROWS($A$1:A167))),0)</f>
        <v>0</v>
      </c>
      <c r="T186" s="17" t="str">
        <f t="shared" si="26"/>
        <v/>
      </c>
      <c r="AD186" s="17">
        <v>167</v>
      </c>
      <c r="AE186" s="17" t="str">
        <f t="shared" si="31"/>
        <v/>
      </c>
      <c r="AF186" s="17">
        <f t="array" ref="AF186">IFERROR(INDEX($AC$231:$AC$491,SMALL(IF(("Q"=$AB$231:$AB$491),MATCH(ROW($AB$231:$AB$491),ROW($AB$231:$AB$491)),""),ROWS($A$1:A167))),0)</f>
        <v>0</v>
      </c>
      <c r="AG186" s="17" t="str">
        <f t="shared" si="27"/>
        <v/>
      </c>
      <c r="AR186" s="17">
        <v>167</v>
      </c>
      <c r="AS186" s="17" t="str">
        <f t="shared" si="32"/>
        <v/>
      </c>
      <c r="AT186" s="17">
        <f t="array" ref="AT186">IFERROR(INDEX($AQ$231:$AQ$491,SMALL(IF(("Q"=$AP$231:$AP$491),MATCH(ROW($AP$231:$AP$491),ROW($AP$231:$AP$491)),""),ROWS($A$1:A167))),0)</f>
        <v>0</v>
      </c>
      <c r="AU186" s="17" t="str">
        <f t="shared" si="28"/>
        <v/>
      </c>
      <c r="BD186" s="17">
        <v>167</v>
      </c>
      <c r="BE186" s="17" t="str">
        <f t="shared" si="33"/>
        <v/>
      </c>
      <c r="BF186" s="17">
        <f t="array" ref="BF186">IFERROR(INDEX($BC$231:$BC$491,SMALL(IF(("Q"=$BB$231:$BB$491),MATCH(ROW($BB$231:$BB$491),ROW($BB$231:$BB$491)),""),ROWS($A$1:A167))),0)</f>
        <v>0</v>
      </c>
      <c r="BG186" s="17" t="str">
        <f t="shared" si="29"/>
        <v/>
      </c>
    </row>
    <row r="187" spans="3:59">
      <c r="C187" s="17">
        <v>168</v>
      </c>
      <c r="D187" s="17" t="str">
        <f t="shared" si="30"/>
        <v/>
      </c>
      <c r="E187" s="17">
        <f t="array" ref="E187">IFERROR(INDEX($B$231:$B$491,SMALL(IF(("Q"=$A$231:$A$491),MATCH(ROW($A$231:$A$491),ROW($A$231:$A$491)),""),ROWS($A$1:A168))),0)</f>
        <v>0</v>
      </c>
      <c r="F187" s="17" t="str">
        <f t="shared" si="24"/>
        <v/>
      </c>
      <c r="Q187" s="17">
        <v>168</v>
      </c>
      <c r="R187" s="17" t="str">
        <f t="shared" si="25"/>
        <v/>
      </c>
      <c r="S187" s="17">
        <f t="array" ref="S187">IFERROR(INDEX($P$231:$P$491,SMALL(IF(("Q"=$O$231:$O$491),MATCH(ROW($O$231:$O$491),ROW($O$231:$O$491)),""),ROWS($A$1:A168))),0)</f>
        <v>0</v>
      </c>
      <c r="T187" s="17" t="str">
        <f t="shared" si="26"/>
        <v/>
      </c>
      <c r="AD187" s="17">
        <v>168</v>
      </c>
      <c r="AE187" s="17" t="str">
        <f t="shared" si="31"/>
        <v/>
      </c>
      <c r="AF187" s="17">
        <f t="array" ref="AF187">IFERROR(INDEX($AC$231:$AC$491,SMALL(IF(("Q"=$AB$231:$AB$491),MATCH(ROW($AB$231:$AB$491),ROW($AB$231:$AB$491)),""),ROWS($A$1:A168))),0)</f>
        <v>0</v>
      </c>
      <c r="AG187" s="17" t="str">
        <f t="shared" si="27"/>
        <v/>
      </c>
      <c r="AR187" s="17">
        <v>168</v>
      </c>
      <c r="AS187" s="17" t="str">
        <f t="shared" si="32"/>
        <v/>
      </c>
      <c r="AT187" s="17">
        <f t="array" ref="AT187">IFERROR(INDEX($AQ$231:$AQ$491,SMALL(IF(("Q"=$AP$231:$AP$491),MATCH(ROW($AP$231:$AP$491),ROW($AP$231:$AP$491)),""),ROWS($A$1:A168))),0)</f>
        <v>0</v>
      </c>
      <c r="AU187" s="17" t="str">
        <f t="shared" si="28"/>
        <v/>
      </c>
      <c r="BD187" s="17">
        <v>168</v>
      </c>
      <c r="BE187" s="17" t="str">
        <f t="shared" si="33"/>
        <v/>
      </c>
      <c r="BF187" s="17">
        <f t="array" ref="BF187">IFERROR(INDEX($BC$231:$BC$491,SMALL(IF(("Q"=$BB$231:$BB$491),MATCH(ROW($BB$231:$BB$491),ROW($BB$231:$BB$491)),""),ROWS($A$1:A168))),0)</f>
        <v>0</v>
      </c>
      <c r="BG187" s="17" t="str">
        <f t="shared" si="29"/>
        <v/>
      </c>
    </row>
    <row r="188" spans="3:59">
      <c r="C188" s="17">
        <v>169</v>
      </c>
      <c r="D188" s="17" t="str">
        <f t="shared" si="30"/>
        <v/>
      </c>
      <c r="E188" s="17">
        <f t="array" ref="E188">IFERROR(INDEX($B$231:$B$491,SMALL(IF(("Q"=$A$231:$A$491),MATCH(ROW($A$231:$A$491),ROW($A$231:$A$491)),""),ROWS($A$1:A169))),0)</f>
        <v>0</v>
      </c>
      <c r="F188" s="17" t="str">
        <f t="shared" si="24"/>
        <v/>
      </c>
      <c r="Q188" s="17">
        <v>169</v>
      </c>
      <c r="R188" s="17" t="str">
        <f t="shared" si="25"/>
        <v/>
      </c>
      <c r="S188" s="17">
        <f t="array" ref="S188">IFERROR(INDEX($P$231:$P$491,SMALL(IF(("Q"=$O$231:$O$491),MATCH(ROW($O$231:$O$491),ROW($O$231:$O$491)),""),ROWS($A$1:A169))),0)</f>
        <v>0</v>
      </c>
      <c r="T188" s="17" t="str">
        <f t="shared" si="26"/>
        <v/>
      </c>
      <c r="AD188" s="17">
        <v>169</v>
      </c>
      <c r="AE188" s="17" t="str">
        <f t="shared" si="31"/>
        <v/>
      </c>
      <c r="AF188" s="17">
        <f t="array" ref="AF188">IFERROR(INDEX($AC$231:$AC$491,SMALL(IF(("Q"=$AB$231:$AB$491),MATCH(ROW($AB$231:$AB$491),ROW($AB$231:$AB$491)),""),ROWS($A$1:A169))),0)</f>
        <v>0</v>
      </c>
      <c r="AG188" s="17" t="str">
        <f t="shared" si="27"/>
        <v/>
      </c>
      <c r="AR188" s="17">
        <v>169</v>
      </c>
      <c r="AS188" s="17" t="str">
        <f t="shared" si="32"/>
        <v/>
      </c>
      <c r="AT188" s="17">
        <f t="array" ref="AT188">IFERROR(INDEX($AQ$231:$AQ$491,SMALL(IF(("Q"=$AP$231:$AP$491),MATCH(ROW($AP$231:$AP$491),ROW($AP$231:$AP$491)),""),ROWS($A$1:A169))),0)</f>
        <v>0</v>
      </c>
      <c r="AU188" s="17" t="str">
        <f t="shared" si="28"/>
        <v/>
      </c>
      <c r="BD188" s="17">
        <v>169</v>
      </c>
      <c r="BE188" s="17" t="str">
        <f t="shared" si="33"/>
        <v/>
      </c>
      <c r="BF188" s="17">
        <f t="array" ref="BF188">IFERROR(INDEX($BC$231:$BC$491,SMALL(IF(("Q"=$BB$231:$BB$491),MATCH(ROW($BB$231:$BB$491),ROW($BB$231:$BB$491)),""),ROWS($A$1:A169))),0)</f>
        <v>0</v>
      </c>
      <c r="BG188" s="17" t="str">
        <f t="shared" si="29"/>
        <v/>
      </c>
    </row>
    <row r="189" spans="3:59">
      <c r="C189" s="17">
        <v>170</v>
      </c>
      <c r="D189" s="17" t="str">
        <f t="shared" si="30"/>
        <v/>
      </c>
      <c r="E189" s="17">
        <f t="array" ref="E189">IFERROR(INDEX($B$231:$B$491,SMALL(IF(("Q"=$A$231:$A$491),MATCH(ROW($A$231:$A$491),ROW($A$231:$A$491)),""),ROWS($A$1:A170))),0)</f>
        <v>0</v>
      </c>
      <c r="F189" s="17" t="str">
        <f t="shared" si="24"/>
        <v/>
      </c>
      <c r="Q189" s="17">
        <v>170</v>
      </c>
      <c r="R189" s="17" t="str">
        <f t="shared" si="25"/>
        <v/>
      </c>
      <c r="S189" s="17">
        <f t="array" ref="S189">IFERROR(INDEX($P$231:$P$491,SMALL(IF(("Q"=$O$231:$O$491),MATCH(ROW($O$231:$O$491),ROW($O$231:$O$491)),""),ROWS($A$1:A170))),0)</f>
        <v>0</v>
      </c>
      <c r="T189" s="17" t="str">
        <f t="shared" si="26"/>
        <v/>
      </c>
      <c r="AD189" s="17">
        <v>170</v>
      </c>
      <c r="AE189" s="17" t="str">
        <f t="shared" si="31"/>
        <v/>
      </c>
      <c r="AF189" s="17">
        <f t="array" ref="AF189">IFERROR(INDEX($AC$231:$AC$491,SMALL(IF(("Q"=$AB$231:$AB$491),MATCH(ROW($AB$231:$AB$491),ROW($AB$231:$AB$491)),""),ROWS($A$1:A170))),0)</f>
        <v>0</v>
      </c>
      <c r="AG189" s="17" t="str">
        <f t="shared" si="27"/>
        <v/>
      </c>
      <c r="AR189" s="17">
        <v>170</v>
      </c>
      <c r="AS189" s="17" t="str">
        <f t="shared" si="32"/>
        <v/>
      </c>
      <c r="AT189" s="17">
        <f t="array" ref="AT189">IFERROR(INDEX($AQ$231:$AQ$491,SMALL(IF(("Q"=$AP$231:$AP$491),MATCH(ROW($AP$231:$AP$491),ROW($AP$231:$AP$491)),""),ROWS($A$1:A170))),0)</f>
        <v>0</v>
      </c>
      <c r="AU189" s="17" t="str">
        <f t="shared" si="28"/>
        <v/>
      </c>
      <c r="BD189" s="17">
        <v>170</v>
      </c>
      <c r="BE189" s="17" t="str">
        <f t="shared" si="33"/>
        <v/>
      </c>
      <c r="BF189" s="17">
        <f t="array" ref="BF189">IFERROR(INDEX($BC$231:$BC$491,SMALL(IF(("Q"=$BB$231:$BB$491),MATCH(ROW($BB$231:$BB$491),ROW($BB$231:$BB$491)),""),ROWS($A$1:A170))),0)</f>
        <v>0</v>
      </c>
      <c r="BG189" s="17" t="str">
        <f t="shared" si="29"/>
        <v/>
      </c>
    </row>
    <row r="190" spans="3:59">
      <c r="C190" s="17">
        <v>171</v>
      </c>
      <c r="D190" s="17" t="str">
        <f t="shared" si="30"/>
        <v/>
      </c>
      <c r="E190" s="17">
        <f t="array" ref="E190">IFERROR(INDEX($B$231:$B$491,SMALL(IF(("Q"=$A$231:$A$491),MATCH(ROW($A$231:$A$491),ROW($A$231:$A$491)),""),ROWS($A$1:A171))),0)</f>
        <v>0</v>
      </c>
      <c r="F190" s="17" t="str">
        <f t="shared" si="24"/>
        <v/>
      </c>
      <c r="Q190" s="17">
        <v>171</v>
      </c>
      <c r="R190" s="17" t="str">
        <f t="shared" si="25"/>
        <v/>
      </c>
      <c r="S190" s="17">
        <f t="array" ref="S190">IFERROR(INDEX($P$231:$P$491,SMALL(IF(("Q"=$O$231:$O$491),MATCH(ROW($O$231:$O$491),ROW($O$231:$O$491)),""),ROWS($A$1:A171))),0)</f>
        <v>0</v>
      </c>
      <c r="T190" s="17" t="str">
        <f t="shared" si="26"/>
        <v/>
      </c>
      <c r="AD190" s="17">
        <v>171</v>
      </c>
      <c r="AE190" s="17" t="str">
        <f t="shared" si="31"/>
        <v/>
      </c>
      <c r="AF190" s="17">
        <f t="array" ref="AF190">IFERROR(INDEX($AC$231:$AC$491,SMALL(IF(("Q"=$AB$231:$AB$491),MATCH(ROW($AB$231:$AB$491),ROW($AB$231:$AB$491)),""),ROWS($A$1:A171))),0)</f>
        <v>0</v>
      </c>
      <c r="AG190" s="17" t="str">
        <f t="shared" si="27"/>
        <v/>
      </c>
      <c r="AR190" s="17">
        <v>171</v>
      </c>
      <c r="AS190" s="17" t="str">
        <f t="shared" si="32"/>
        <v/>
      </c>
      <c r="AT190" s="17">
        <f t="array" ref="AT190">IFERROR(INDEX($AQ$231:$AQ$491,SMALL(IF(("Q"=$AP$231:$AP$491),MATCH(ROW($AP$231:$AP$491),ROW($AP$231:$AP$491)),""),ROWS($A$1:A171))),0)</f>
        <v>0</v>
      </c>
      <c r="AU190" s="17" t="str">
        <f t="shared" si="28"/>
        <v/>
      </c>
      <c r="BD190" s="17">
        <v>171</v>
      </c>
      <c r="BE190" s="17" t="str">
        <f t="shared" si="33"/>
        <v/>
      </c>
      <c r="BF190" s="17">
        <f t="array" ref="BF190">IFERROR(INDEX($BC$231:$BC$491,SMALL(IF(("Q"=$BB$231:$BB$491),MATCH(ROW($BB$231:$BB$491),ROW($BB$231:$BB$491)),""),ROWS($A$1:A171))),0)</f>
        <v>0</v>
      </c>
      <c r="BG190" s="17" t="str">
        <f t="shared" si="29"/>
        <v/>
      </c>
    </row>
    <row r="191" spans="3:59">
      <c r="C191" s="17">
        <v>172</v>
      </c>
      <c r="D191" s="17" t="str">
        <f t="shared" si="30"/>
        <v/>
      </c>
      <c r="E191" s="17">
        <f t="array" ref="E191">IFERROR(INDEX($B$231:$B$491,SMALL(IF(("Q"=$A$231:$A$491),MATCH(ROW($A$231:$A$491),ROW($A$231:$A$491)),""),ROWS($A$1:A172))),0)</f>
        <v>0</v>
      </c>
      <c r="F191" s="17" t="str">
        <f t="shared" si="24"/>
        <v/>
      </c>
      <c r="Q191" s="17">
        <v>172</v>
      </c>
      <c r="R191" s="17" t="str">
        <f t="shared" si="25"/>
        <v/>
      </c>
      <c r="S191" s="17">
        <f t="array" ref="S191">IFERROR(INDEX($P$231:$P$491,SMALL(IF(("Q"=$O$231:$O$491),MATCH(ROW($O$231:$O$491),ROW($O$231:$O$491)),""),ROWS($A$1:A172))),0)</f>
        <v>0</v>
      </c>
      <c r="T191" s="17" t="str">
        <f t="shared" si="26"/>
        <v/>
      </c>
      <c r="AD191" s="17">
        <v>172</v>
      </c>
      <c r="AE191" s="17" t="str">
        <f t="shared" si="31"/>
        <v/>
      </c>
      <c r="AF191" s="17">
        <f t="array" ref="AF191">IFERROR(INDEX($AC$231:$AC$491,SMALL(IF(("Q"=$AB$231:$AB$491),MATCH(ROW($AB$231:$AB$491),ROW($AB$231:$AB$491)),""),ROWS($A$1:A172))),0)</f>
        <v>0</v>
      </c>
      <c r="AG191" s="17" t="str">
        <f t="shared" si="27"/>
        <v/>
      </c>
      <c r="AR191" s="17">
        <v>172</v>
      </c>
      <c r="AS191" s="17" t="str">
        <f t="shared" si="32"/>
        <v/>
      </c>
      <c r="AT191" s="17">
        <f t="array" ref="AT191">IFERROR(INDEX($AQ$231:$AQ$491,SMALL(IF(("Q"=$AP$231:$AP$491),MATCH(ROW($AP$231:$AP$491),ROW($AP$231:$AP$491)),""),ROWS($A$1:A172))),0)</f>
        <v>0</v>
      </c>
      <c r="AU191" s="17" t="str">
        <f t="shared" si="28"/>
        <v/>
      </c>
      <c r="BD191" s="17">
        <v>172</v>
      </c>
      <c r="BE191" s="17" t="str">
        <f t="shared" si="33"/>
        <v/>
      </c>
      <c r="BF191" s="17">
        <f t="array" ref="BF191">IFERROR(INDEX($BC$231:$BC$491,SMALL(IF(("Q"=$BB$231:$BB$491),MATCH(ROW($BB$231:$BB$491),ROW($BB$231:$BB$491)),""),ROWS($A$1:A172))),0)</f>
        <v>0</v>
      </c>
      <c r="BG191" s="17" t="str">
        <f t="shared" si="29"/>
        <v/>
      </c>
    </row>
    <row r="192" spans="3:59">
      <c r="C192" s="17">
        <v>173</v>
      </c>
      <c r="D192" s="17" t="str">
        <f t="shared" si="30"/>
        <v/>
      </c>
      <c r="E192" s="17">
        <f t="array" ref="E192">IFERROR(INDEX($B$231:$B$491,SMALL(IF(("Q"=$A$231:$A$491),MATCH(ROW($A$231:$A$491),ROW($A$231:$A$491)),""),ROWS($A$1:A173))),0)</f>
        <v>0</v>
      </c>
      <c r="F192" s="17" t="str">
        <f t="shared" si="24"/>
        <v/>
      </c>
      <c r="Q192" s="17">
        <v>173</v>
      </c>
      <c r="R192" s="17" t="str">
        <f t="shared" si="25"/>
        <v/>
      </c>
      <c r="S192" s="17">
        <f t="array" ref="S192">IFERROR(INDEX($P$231:$P$491,SMALL(IF(("Q"=$O$231:$O$491),MATCH(ROW($O$231:$O$491),ROW($O$231:$O$491)),""),ROWS($A$1:A173))),0)</f>
        <v>0</v>
      </c>
      <c r="T192" s="17" t="str">
        <f t="shared" si="26"/>
        <v/>
      </c>
      <c r="AD192" s="17">
        <v>173</v>
      </c>
      <c r="AE192" s="17" t="str">
        <f t="shared" si="31"/>
        <v/>
      </c>
      <c r="AF192" s="17">
        <f t="array" ref="AF192">IFERROR(INDEX($AC$231:$AC$491,SMALL(IF(("Q"=$AB$231:$AB$491),MATCH(ROW($AB$231:$AB$491),ROW($AB$231:$AB$491)),""),ROWS($A$1:A173))),0)</f>
        <v>0</v>
      </c>
      <c r="AG192" s="17" t="str">
        <f t="shared" si="27"/>
        <v/>
      </c>
      <c r="AR192" s="17">
        <v>173</v>
      </c>
      <c r="AS192" s="17" t="str">
        <f t="shared" si="32"/>
        <v/>
      </c>
      <c r="AT192" s="17">
        <f t="array" ref="AT192">IFERROR(INDEX($AQ$231:$AQ$491,SMALL(IF(("Q"=$AP$231:$AP$491),MATCH(ROW($AP$231:$AP$491),ROW($AP$231:$AP$491)),""),ROWS($A$1:A173))),0)</f>
        <v>0</v>
      </c>
      <c r="AU192" s="17" t="str">
        <f t="shared" si="28"/>
        <v/>
      </c>
      <c r="BD192" s="17">
        <v>173</v>
      </c>
      <c r="BE192" s="17" t="str">
        <f t="shared" si="33"/>
        <v/>
      </c>
      <c r="BF192" s="17">
        <f t="array" ref="BF192">IFERROR(INDEX($BC$231:$BC$491,SMALL(IF(("Q"=$BB$231:$BB$491),MATCH(ROW($BB$231:$BB$491),ROW($BB$231:$BB$491)),""),ROWS($A$1:A173))),0)</f>
        <v>0</v>
      </c>
      <c r="BG192" s="17" t="str">
        <f t="shared" si="29"/>
        <v/>
      </c>
    </row>
    <row r="193" spans="3:59">
      <c r="C193" s="17">
        <v>174</v>
      </c>
      <c r="D193" s="17" t="str">
        <f t="shared" si="30"/>
        <v/>
      </c>
      <c r="E193" s="17">
        <f t="array" ref="E193">IFERROR(INDEX($B$231:$B$491,SMALL(IF(("Q"=$A$231:$A$491),MATCH(ROW($A$231:$A$491),ROW($A$231:$A$491)),""),ROWS($A$1:A174))),0)</f>
        <v>0</v>
      </c>
      <c r="F193" s="17" t="str">
        <f t="shared" si="24"/>
        <v/>
      </c>
      <c r="Q193" s="17">
        <v>174</v>
      </c>
      <c r="R193" s="17" t="str">
        <f t="shared" si="25"/>
        <v/>
      </c>
      <c r="S193" s="17">
        <f t="array" ref="S193">IFERROR(INDEX($P$231:$P$491,SMALL(IF(("Q"=$O$231:$O$491),MATCH(ROW($O$231:$O$491),ROW($O$231:$O$491)),""),ROWS($A$1:A174))),0)</f>
        <v>0</v>
      </c>
      <c r="T193" s="17" t="str">
        <f t="shared" si="26"/>
        <v/>
      </c>
      <c r="AD193" s="17">
        <v>174</v>
      </c>
      <c r="AE193" s="17" t="str">
        <f t="shared" si="31"/>
        <v/>
      </c>
      <c r="AF193" s="17">
        <f t="array" ref="AF193">IFERROR(INDEX($AC$231:$AC$491,SMALL(IF(("Q"=$AB$231:$AB$491),MATCH(ROW($AB$231:$AB$491),ROW($AB$231:$AB$491)),""),ROWS($A$1:A174))),0)</f>
        <v>0</v>
      </c>
      <c r="AG193" s="17" t="str">
        <f t="shared" si="27"/>
        <v/>
      </c>
      <c r="AR193" s="17">
        <v>174</v>
      </c>
      <c r="AS193" s="17" t="str">
        <f t="shared" si="32"/>
        <v/>
      </c>
      <c r="AT193" s="17">
        <f t="array" ref="AT193">IFERROR(INDEX($AQ$231:$AQ$491,SMALL(IF(("Q"=$AP$231:$AP$491),MATCH(ROW($AP$231:$AP$491),ROW($AP$231:$AP$491)),""),ROWS($A$1:A174))),0)</f>
        <v>0</v>
      </c>
      <c r="AU193" s="17" t="str">
        <f t="shared" si="28"/>
        <v/>
      </c>
      <c r="BD193" s="17">
        <v>174</v>
      </c>
      <c r="BE193" s="17" t="str">
        <f t="shared" si="33"/>
        <v/>
      </c>
      <c r="BF193" s="17">
        <f t="array" ref="BF193">IFERROR(INDEX($BC$231:$BC$491,SMALL(IF(("Q"=$BB$231:$BB$491),MATCH(ROW($BB$231:$BB$491),ROW($BB$231:$BB$491)),""),ROWS($A$1:A174))),0)</f>
        <v>0</v>
      </c>
      <c r="BG193" s="17" t="str">
        <f t="shared" si="29"/>
        <v/>
      </c>
    </row>
    <row r="194" spans="3:59">
      <c r="C194" s="17">
        <v>175</v>
      </c>
      <c r="D194" s="17" t="str">
        <f t="shared" si="30"/>
        <v/>
      </c>
      <c r="E194" s="17">
        <f t="array" ref="E194">IFERROR(INDEX($B$231:$B$491,SMALL(IF(("Q"=$A$231:$A$491),MATCH(ROW($A$231:$A$491),ROW($A$231:$A$491)),""),ROWS($A$1:A175))),0)</f>
        <v>0</v>
      </c>
      <c r="F194" s="17" t="str">
        <f t="shared" si="24"/>
        <v/>
      </c>
      <c r="Q194" s="17">
        <v>175</v>
      </c>
      <c r="R194" s="17" t="str">
        <f t="shared" si="25"/>
        <v/>
      </c>
      <c r="S194" s="17">
        <f t="array" ref="S194">IFERROR(INDEX($P$231:$P$491,SMALL(IF(("Q"=$O$231:$O$491),MATCH(ROW($O$231:$O$491),ROW($O$231:$O$491)),""),ROWS($A$1:A175))),0)</f>
        <v>0</v>
      </c>
      <c r="T194" s="17" t="str">
        <f t="shared" si="26"/>
        <v/>
      </c>
      <c r="AD194" s="17">
        <v>175</v>
      </c>
      <c r="AE194" s="17" t="str">
        <f t="shared" si="31"/>
        <v/>
      </c>
      <c r="AF194" s="17">
        <f t="array" ref="AF194">IFERROR(INDEX($AC$231:$AC$491,SMALL(IF(("Q"=$AB$231:$AB$491),MATCH(ROW($AB$231:$AB$491),ROW($AB$231:$AB$491)),""),ROWS($A$1:A175))),0)</f>
        <v>0</v>
      </c>
      <c r="AG194" s="17" t="str">
        <f t="shared" si="27"/>
        <v/>
      </c>
      <c r="AR194" s="17">
        <v>175</v>
      </c>
      <c r="AS194" s="17" t="str">
        <f t="shared" si="32"/>
        <v/>
      </c>
      <c r="AT194" s="17">
        <f t="array" ref="AT194">IFERROR(INDEX($AQ$231:$AQ$491,SMALL(IF(("Q"=$AP$231:$AP$491),MATCH(ROW($AP$231:$AP$491),ROW($AP$231:$AP$491)),""),ROWS($A$1:A175))),0)</f>
        <v>0</v>
      </c>
      <c r="AU194" s="17" t="str">
        <f t="shared" si="28"/>
        <v/>
      </c>
      <c r="BD194" s="17">
        <v>175</v>
      </c>
      <c r="BE194" s="17" t="str">
        <f t="shared" si="33"/>
        <v/>
      </c>
      <c r="BF194" s="17">
        <f t="array" ref="BF194">IFERROR(INDEX($BC$231:$BC$491,SMALL(IF(("Q"=$BB$231:$BB$491),MATCH(ROW($BB$231:$BB$491),ROW($BB$231:$BB$491)),""),ROWS($A$1:A175))),0)</f>
        <v>0</v>
      </c>
      <c r="BG194" s="17" t="str">
        <f t="shared" si="29"/>
        <v/>
      </c>
    </row>
    <row r="195" spans="3:59">
      <c r="C195" s="17">
        <v>176</v>
      </c>
      <c r="D195" s="17" t="str">
        <f t="shared" si="30"/>
        <v/>
      </c>
      <c r="E195" s="17">
        <f t="array" ref="E195">IFERROR(INDEX($B$231:$B$491,SMALL(IF(("Q"=$A$231:$A$491),MATCH(ROW($A$231:$A$491),ROW($A$231:$A$491)),""),ROWS($A$1:A176))),0)</f>
        <v>0</v>
      </c>
      <c r="F195" s="17" t="str">
        <f t="shared" si="24"/>
        <v/>
      </c>
      <c r="Q195" s="17">
        <v>176</v>
      </c>
      <c r="R195" s="17" t="str">
        <f t="shared" si="25"/>
        <v/>
      </c>
      <c r="S195" s="17">
        <f t="array" ref="S195">IFERROR(INDEX($P$231:$P$491,SMALL(IF(("Q"=$O$231:$O$491),MATCH(ROW($O$231:$O$491),ROW($O$231:$O$491)),""),ROWS($A$1:A176))),0)</f>
        <v>0</v>
      </c>
      <c r="T195" s="17" t="str">
        <f t="shared" si="26"/>
        <v/>
      </c>
      <c r="AD195" s="17">
        <v>176</v>
      </c>
      <c r="AE195" s="17" t="str">
        <f t="shared" si="31"/>
        <v/>
      </c>
      <c r="AF195" s="17">
        <f t="array" ref="AF195">IFERROR(INDEX($AC$231:$AC$491,SMALL(IF(("Q"=$AB$231:$AB$491),MATCH(ROW($AB$231:$AB$491),ROW($AB$231:$AB$491)),""),ROWS($A$1:A176))),0)</f>
        <v>0</v>
      </c>
      <c r="AG195" s="17" t="str">
        <f t="shared" si="27"/>
        <v/>
      </c>
      <c r="AR195" s="17">
        <v>176</v>
      </c>
      <c r="AS195" s="17" t="str">
        <f t="shared" si="32"/>
        <v/>
      </c>
      <c r="AT195" s="17">
        <f t="array" ref="AT195">IFERROR(INDEX($AQ$231:$AQ$491,SMALL(IF(("Q"=$AP$231:$AP$491),MATCH(ROW($AP$231:$AP$491),ROW($AP$231:$AP$491)),""),ROWS($A$1:A176))),0)</f>
        <v>0</v>
      </c>
      <c r="AU195" s="17" t="str">
        <f t="shared" si="28"/>
        <v/>
      </c>
      <c r="BD195" s="17">
        <v>176</v>
      </c>
      <c r="BE195" s="17" t="str">
        <f t="shared" si="33"/>
        <v/>
      </c>
      <c r="BF195" s="17">
        <f t="array" ref="BF195">IFERROR(INDEX($BC$231:$BC$491,SMALL(IF(("Q"=$BB$231:$BB$491),MATCH(ROW($BB$231:$BB$491),ROW($BB$231:$BB$491)),""),ROWS($A$1:A176))),0)</f>
        <v>0</v>
      </c>
      <c r="BG195" s="17" t="str">
        <f t="shared" si="29"/>
        <v/>
      </c>
    </row>
    <row r="196" spans="3:59">
      <c r="C196" s="17">
        <v>177</v>
      </c>
      <c r="D196" s="17" t="str">
        <f t="shared" si="30"/>
        <v/>
      </c>
      <c r="E196" s="17">
        <f t="array" ref="E196">IFERROR(INDEX($B$231:$B$491,SMALL(IF(("Q"=$A$231:$A$491),MATCH(ROW($A$231:$A$491),ROW($A$231:$A$491)),""),ROWS($A$1:A177))),0)</f>
        <v>0</v>
      </c>
      <c r="F196" s="17" t="str">
        <f t="shared" si="24"/>
        <v/>
      </c>
      <c r="Q196" s="17">
        <v>177</v>
      </c>
      <c r="R196" s="17" t="str">
        <f t="shared" si="25"/>
        <v/>
      </c>
      <c r="S196" s="17">
        <f t="array" ref="S196">IFERROR(INDEX($P$231:$P$491,SMALL(IF(("Q"=$O$231:$O$491),MATCH(ROW($O$231:$O$491),ROW($O$231:$O$491)),""),ROWS($A$1:A177))),0)</f>
        <v>0</v>
      </c>
      <c r="T196" s="17" t="str">
        <f t="shared" si="26"/>
        <v/>
      </c>
      <c r="AD196" s="17">
        <v>177</v>
      </c>
      <c r="AE196" s="17" t="str">
        <f t="shared" si="31"/>
        <v/>
      </c>
      <c r="AF196" s="17">
        <f t="array" ref="AF196">IFERROR(INDEX($AC$231:$AC$491,SMALL(IF(("Q"=$AB$231:$AB$491),MATCH(ROW($AB$231:$AB$491),ROW($AB$231:$AB$491)),""),ROWS($A$1:A177))),0)</f>
        <v>0</v>
      </c>
      <c r="AG196" s="17" t="str">
        <f t="shared" si="27"/>
        <v/>
      </c>
      <c r="AR196" s="17">
        <v>177</v>
      </c>
      <c r="AS196" s="17" t="str">
        <f t="shared" si="32"/>
        <v/>
      </c>
      <c r="AT196" s="17">
        <f t="array" ref="AT196">IFERROR(INDEX($AQ$231:$AQ$491,SMALL(IF(("Q"=$AP$231:$AP$491),MATCH(ROW($AP$231:$AP$491),ROW($AP$231:$AP$491)),""),ROWS($A$1:A177))),0)</f>
        <v>0</v>
      </c>
      <c r="AU196" s="17" t="str">
        <f t="shared" si="28"/>
        <v/>
      </c>
      <c r="BD196" s="17">
        <v>177</v>
      </c>
      <c r="BE196" s="17" t="str">
        <f t="shared" si="33"/>
        <v/>
      </c>
      <c r="BF196" s="17">
        <f t="array" ref="BF196">IFERROR(INDEX($BC$231:$BC$491,SMALL(IF(("Q"=$BB$231:$BB$491),MATCH(ROW($BB$231:$BB$491),ROW($BB$231:$BB$491)),""),ROWS($A$1:A177))),0)</f>
        <v>0</v>
      </c>
      <c r="BG196" s="17" t="str">
        <f t="shared" si="29"/>
        <v/>
      </c>
    </row>
    <row r="197" spans="3:59">
      <c r="C197" s="17">
        <v>178</v>
      </c>
      <c r="D197" s="17" t="str">
        <f t="shared" si="30"/>
        <v/>
      </c>
      <c r="E197" s="17">
        <f t="array" ref="E197">IFERROR(INDEX($B$231:$B$491,SMALL(IF(("Q"=$A$231:$A$491),MATCH(ROW($A$231:$A$491),ROW($A$231:$A$491)),""),ROWS($A$1:A178))),0)</f>
        <v>0</v>
      </c>
      <c r="F197" s="17" t="str">
        <f t="shared" si="24"/>
        <v/>
      </c>
      <c r="Q197" s="17">
        <v>178</v>
      </c>
      <c r="R197" s="17" t="str">
        <f t="shared" si="25"/>
        <v/>
      </c>
      <c r="S197" s="17">
        <f t="array" ref="S197">IFERROR(INDEX($P$231:$P$491,SMALL(IF(("Q"=$O$231:$O$491),MATCH(ROW($O$231:$O$491),ROW($O$231:$O$491)),""),ROWS($A$1:A178))),0)</f>
        <v>0</v>
      </c>
      <c r="T197" s="17" t="str">
        <f t="shared" si="26"/>
        <v/>
      </c>
      <c r="AD197" s="17">
        <v>178</v>
      </c>
      <c r="AE197" s="17" t="str">
        <f t="shared" si="31"/>
        <v/>
      </c>
      <c r="AF197" s="17">
        <f t="array" ref="AF197">IFERROR(INDEX($AC$231:$AC$491,SMALL(IF(("Q"=$AB$231:$AB$491),MATCH(ROW($AB$231:$AB$491),ROW($AB$231:$AB$491)),""),ROWS($A$1:A178))),0)</f>
        <v>0</v>
      </c>
      <c r="AG197" s="17" t="str">
        <f t="shared" si="27"/>
        <v/>
      </c>
      <c r="AR197" s="17">
        <v>178</v>
      </c>
      <c r="AS197" s="17" t="str">
        <f t="shared" si="32"/>
        <v/>
      </c>
      <c r="AT197" s="17">
        <f t="array" ref="AT197">IFERROR(INDEX($AQ$231:$AQ$491,SMALL(IF(("Q"=$AP$231:$AP$491),MATCH(ROW($AP$231:$AP$491),ROW($AP$231:$AP$491)),""),ROWS($A$1:A178))),0)</f>
        <v>0</v>
      </c>
      <c r="AU197" s="17" t="str">
        <f t="shared" si="28"/>
        <v/>
      </c>
      <c r="BD197" s="17">
        <v>178</v>
      </c>
      <c r="BE197" s="17" t="str">
        <f t="shared" si="33"/>
        <v/>
      </c>
      <c r="BF197" s="17">
        <f t="array" ref="BF197">IFERROR(INDEX($BC$231:$BC$491,SMALL(IF(("Q"=$BB$231:$BB$491),MATCH(ROW($BB$231:$BB$491),ROW($BB$231:$BB$491)),""),ROWS($A$1:A178))),0)</f>
        <v>0</v>
      </c>
      <c r="BG197" s="17" t="str">
        <f t="shared" si="29"/>
        <v/>
      </c>
    </row>
    <row r="198" spans="3:59">
      <c r="C198" s="17">
        <v>179</v>
      </c>
      <c r="D198" s="17" t="str">
        <f t="shared" si="30"/>
        <v/>
      </c>
      <c r="E198" s="17">
        <f t="array" ref="E198">IFERROR(INDEX($B$231:$B$491,SMALL(IF(("Q"=$A$231:$A$491),MATCH(ROW($A$231:$A$491),ROW($A$231:$A$491)),""),ROWS($A$1:A179))),0)</f>
        <v>0</v>
      </c>
      <c r="F198" s="17" t="str">
        <f t="shared" si="24"/>
        <v/>
      </c>
      <c r="Q198" s="17">
        <v>179</v>
      </c>
      <c r="R198" s="17" t="str">
        <f t="shared" si="25"/>
        <v/>
      </c>
      <c r="S198" s="17">
        <f t="array" ref="S198">IFERROR(INDEX($P$231:$P$491,SMALL(IF(("Q"=$O$231:$O$491),MATCH(ROW($O$231:$O$491),ROW($O$231:$O$491)),""),ROWS($A$1:A179))),0)</f>
        <v>0</v>
      </c>
      <c r="T198" s="17" t="str">
        <f t="shared" si="26"/>
        <v/>
      </c>
      <c r="AD198" s="17">
        <v>179</v>
      </c>
      <c r="AE198" s="17" t="str">
        <f t="shared" si="31"/>
        <v/>
      </c>
      <c r="AF198" s="17">
        <f t="array" ref="AF198">IFERROR(INDEX($AC$231:$AC$491,SMALL(IF(("Q"=$AB$231:$AB$491),MATCH(ROW($AB$231:$AB$491),ROW($AB$231:$AB$491)),""),ROWS($A$1:A179))),0)</f>
        <v>0</v>
      </c>
      <c r="AG198" s="17" t="str">
        <f t="shared" si="27"/>
        <v/>
      </c>
      <c r="AR198" s="17">
        <v>179</v>
      </c>
      <c r="AS198" s="17" t="str">
        <f t="shared" si="32"/>
        <v/>
      </c>
      <c r="AT198" s="17">
        <f t="array" ref="AT198">IFERROR(INDEX($AQ$231:$AQ$491,SMALL(IF(("Q"=$AP$231:$AP$491),MATCH(ROW($AP$231:$AP$491),ROW($AP$231:$AP$491)),""),ROWS($A$1:A179))),0)</f>
        <v>0</v>
      </c>
      <c r="AU198" s="17" t="str">
        <f t="shared" si="28"/>
        <v/>
      </c>
      <c r="BD198" s="17">
        <v>179</v>
      </c>
      <c r="BE198" s="17" t="str">
        <f t="shared" si="33"/>
        <v/>
      </c>
      <c r="BF198" s="17">
        <f t="array" ref="BF198">IFERROR(INDEX($BC$231:$BC$491,SMALL(IF(("Q"=$BB$231:$BB$491),MATCH(ROW($BB$231:$BB$491),ROW($BB$231:$BB$491)),""),ROWS($A$1:A179))),0)</f>
        <v>0</v>
      </c>
      <c r="BG198" s="17" t="str">
        <f t="shared" si="29"/>
        <v/>
      </c>
    </row>
    <row r="199" spans="3:59">
      <c r="C199" s="17">
        <v>180</v>
      </c>
      <c r="D199" s="17" t="str">
        <f t="shared" si="30"/>
        <v/>
      </c>
      <c r="E199" s="17">
        <f t="array" ref="E199">IFERROR(INDEX($B$231:$B$491,SMALL(IF(("Q"=$A$231:$A$491),MATCH(ROW($A$231:$A$491),ROW($A$231:$A$491)),""),ROWS($A$1:A180))),0)</f>
        <v>0</v>
      </c>
      <c r="F199" s="17" t="str">
        <f t="shared" si="24"/>
        <v/>
      </c>
      <c r="Q199" s="17">
        <v>180</v>
      </c>
      <c r="R199" s="17" t="str">
        <f t="shared" si="25"/>
        <v/>
      </c>
      <c r="S199" s="17">
        <f t="array" ref="S199">IFERROR(INDEX($P$231:$P$491,SMALL(IF(("Q"=$O$231:$O$491),MATCH(ROW($O$231:$O$491),ROW($O$231:$O$491)),""),ROWS($A$1:A180))),0)</f>
        <v>0</v>
      </c>
      <c r="T199" s="17" t="str">
        <f t="shared" si="26"/>
        <v/>
      </c>
      <c r="AD199" s="17">
        <v>180</v>
      </c>
      <c r="AE199" s="17" t="str">
        <f t="shared" si="31"/>
        <v/>
      </c>
      <c r="AF199" s="17">
        <f t="array" ref="AF199">IFERROR(INDEX($AC$231:$AC$491,SMALL(IF(("Q"=$AB$231:$AB$491),MATCH(ROW($AB$231:$AB$491),ROW($AB$231:$AB$491)),""),ROWS($A$1:A180))),0)</f>
        <v>0</v>
      </c>
      <c r="AG199" s="17" t="str">
        <f t="shared" si="27"/>
        <v/>
      </c>
      <c r="AR199" s="17">
        <v>180</v>
      </c>
      <c r="AS199" s="17" t="str">
        <f t="shared" si="32"/>
        <v/>
      </c>
      <c r="AT199" s="17">
        <f t="array" ref="AT199">IFERROR(INDEX($AQ$231:$AQ$491,SMALL(IF(("Q"=$AP$231:$AP$491),MATCH(ROW($AP$231:$AP$491),ROW($AP$231:$AP$491)),""),ROWS($A$1:A180))),0)</f>
        <v>0</v>
      </c>
      <c r="AU199" s="17" t="str">
        <f t="shared" si="28"/>
        <v/>
      </c>
      <c r="BD199" s="17">
        <v>180</v>
      </c>
      <c r="BE199" s="17" t="str">
        <f t="shared" si="33"/>
        <v/>
      </c>
      <c r="BF199" s="17">
        <f t="array" ref="BF199">IFERROR(INDEX($BC$231:$BC$491,SMALL(IF(("Q"=$BB$231:$BB$491),MATCH(ROW($BB$231:$BB$491),ROW($BB$231:$BB$491)),""),ROWS($A$1:A180))),0)</f>
        <v>0</v>
      </c>
      <c r="BG199" s="17" t="str">
        <f t="shared" si="29"/>
        <v/>
      </c>
    </row>
    <row r="200" spans="3:59">
      <c r="C200" s="17">
        <v>181</v>
      </c>
      <c r="D200" s="17" t="str">
        <f t="shared" si="30"/>
        <v/>
      </c>
      <c r="E200" s="17">
        <f t="array" ref="E200">IFERROR(INDEX($B$231:$B$491,SMALL(IF(("Q"=$A$231:$A$491),MATCH(ROW($A$231:$A$491),ROW($A$231:$A$491)),""),ROWS($A$1:A181))),0)</f>
        <v>0</v>
      </c>
      <c r="F200" s="17" t="str">
        <f t="shared" si="24"/>
        <v/>
      </c>
      <c r="Q200" s="17">
        <v>181</v>
      </c>
      <c r="R200" s="17" t="str">
        <f t="shared" si="25"/>
        <v/>
      </c>
      <c r="S200" s="17">
        <f t="array" ref="S200">IFERROR(INDEX($P$231:$P$491,SMALL(IF(("Q"=$O$231:$O$491),MATCH(ROW($O$231:$O$491),ROW($O$231:$O$491)),""),ROWS($A$1:A181))),0)</f>
        <v>0</v>
      </c>
      <c r="T200" s="17" t="str">
        <f t="shared" si="26"/>
        <v/>
      </c>
      <c r="AD200" s="17">
        <v>181</v>
      </c>
      <c r="AE200" s="17" t="str">
        <f t="shared" si="31"/>
        <v/>
      </c>
      <c r="AF200" s="17">
        <f t="array" ref="AF200">IFERROR(INDEX($AC$231:$AC$491,SMALL(IF(("Q"=$AB$231:$AB$491),MATCH(ROW($AB$231:$AB$491),ROW($AB$231:$AB$491)),""),ROWS($A$1:A181))),0)</f>
        <v>0</v>
      </c>
      <c r="AG200" s="17" t="str">
        <f t="shared" si="27"/>
        <v/>
      </c>
      <c r="AR200" s="17">
        <v>181</v>
      </c>
      <c r="AS200" s="17" t="str">
        <f t="shared" si="32"/>
        <v/>
      </c>
      <c r="AT200" s="17">
        <f t="array" ref="AT200">IFERROR(INDEX($AQ$231:$AQ$491,SMALL(IF(("Q"=$AP$231:$AP$491),MATCH(ROW($AP$231:$AP$491),ROW($AP$231:$AP$491)),""),ROWS($A$1:A181))),0)</f>
        <v>0</v>
      </c>
      <c r="AU200" s="17" t="str">
        <f t="shared" si="28"/>
        <v/>
      </c>
      <c r="BD200" s="17">
        <v>181</v>
      </c>
      <c r="BE200" s="17" t="str">
        <f t="shared" si="33"/>
        <v/>
      </c>
      <c r="BF200" s="17">
        <f t="array" ref="BF200">IFERROR(INDEX($BC$231:$BC$491,SMALL(IF(("Q"=$BB$231:$BB$491),MATCH(ROW($BB$231:$BB$491),ROW($BB$231:$BB$491)),""),ROWS($A$1:A181))),0)</f>
        <v>0</v>
      </c>
      <c r="BG200" s="17" t="str">
        <f t="shared" si="29"/>
        <v/>
      </c>
    </row>
    <row r="201" spans="3:59">
      <c r="C201" s="17">
        <v>182</v>
      </c>
      <c r="D201" s="17" t="str">
        <f t="shared" si="30"/>
        <v/>
      </c>
      <c r="E201" s="17">
        <f t="array" ref="E201">IFERROR(INDEX($B$231:$B$491,SMALL(IF(("Q"=$A$231:$A$491),MATCH(ROW($A$231:$A$491),ROW($A$231:$A$491)),""),ROWS($A$1:A182))),0)</f>
        <v>0</v>
      </c>
      <c r="F201" s="17" t="str">
        <f t="shared" si="24"/>
        <v/>
      </c>
      <c r="Q201" s="17">
        <v>182</v>
      </c>
      <c r="R201" s="17" t="str">
        <f t="shared" si="25"/>
        <v/>
      </c>
      <c r="S201" s="17">
        <f t="array" ref="S201">IFERROR(INDEX($P$231:$P$491,SMALL(IF(("Q"=$O$231:$O$491),MATCH(ROW($O$231:$O$491),ROW($O$231:$O$491)),""),ROWS($A$1:A182))),0)</f>
        <v>0</v>
      </c>
      <c r="T201" s="17" t="str">
        <f t="shared" si="26"/>
        <v/>
      </c>
      <c r="AD201" s="17">
        <v>182</v>
      </c>
      <c r="AE201" s="17" t="str">
        <f t="shared" si="31"/>
        <v/>
      </c>
      <c r="AF201" s="17">
        <f t="array" ref="AF201">IFERROR(INDEX($AC$231:$AC$491,SMALL(IF(("Q"=$AB$231:$AB$491),MATCH(ROW($AB$231:$AB$491),ROW($AB$231:$AB$491)),""),ROWS($A$1:A182))),0)</f>
        <v>0</v>
      </c>
      <c r="AG201" s="17" t="str">
        <f t="shared" si="27"/>
        <v/>
      </c>
      <c r="AR201" s="17">
        <v>182</v>
      </c>
      <c r="AS201" s="17" t="str">
        <f t="shared" si="32"/>
        <v/>
      </c>
      <c r="AT201" s="17">
        <f t="array" ref="AT201">IFERROR(INDEX($AQ$231:$AQ$491,SMALL(IF(("Q"=$AP$231:$AP$491),MATCH(ROW($AP$231:$AP$491),ROW($AP$231:$AP$491)),""),ROWS($A$1:A182))),0)</f>
        <v>0</v>
      </c>
      <c r="AU201" s="17" t="str">
        <f t="shared" si="28"/>
        <v/>
      </c>
      <c r="BD201" s="17">
        <v>182</v>
      </c>
      <c r="BE201" s="17" t="str">
        <f t="shared" si="33"/>
        <v/>
      </c>
      <c r="BF201" s="17">
        <f t="array" ref="BF201">IFERROR(INDEX($BC$231:$BC$491,SMALL(IF(("Q"=$BB$231:$BB$491),MATCH(ROW($BB$231:$BB$491),ROW($BB$231:$BB$491)),""),ROWS($A$1:A182))),0)</f>
        <v>0</v>
      </c>
      <c r="BG201" s="17" t="str">
        <f t="shared" si="29"/>
        <v/>
      </c>
    </row>
    <row r="202" spans="3:59">
      <c r="C202" s="17">
        <v>183</v>
      </c>
      <c r="D202" s="17" t="str">
        <f t="shared" si="30"/>
        <v/>
      </c>
      <c r="E202" s="17">
        <f t="array" ref="E202">IFERROR(INDEX($B$231:$B$491,SMALL(IF(("Q"=$A$231:$A$491),MATCH(ROW($A$231:$A$491),ROW($A$231:$A$491)),""),ROWS($A$1:A183))),0)</f>
        <v>0</v>
      </c>
      <c r="F202" s="17" t="str">
        <f t="shared" si="24"/>
        <v/>
      </c>
      <c r="Q202" s="17">
        <v>183</v>
      </c>
      <c r="R202" s="17" t="str">
        <f t="shared" si="25"/>
        <v/>
      </c>
      <c r="S202" s="17">
        <f t="array" ref="S202">IFERROR(INDEX($P$231:$P$491,SMALL(IF(("Q"=$O$231:$O$491),MATCH(ROW($O$231:$O$491),ROW($O$231:$O$491)),""),ROWS($A$1:A183))),0)</f>
        <v>0</v>
      </c>
      <c r="T202" s="17" t="str">
        <f t="shared" si="26"/>
        <v/>
      </c>
      <c r="AD202" s="17">
        <v>183</v>
      </c>
      <c r="AE202" s="17" t="str">
        <f t="shared" si="31"/>
        <v/>
      </c>
      <c r="AF202" s="17">
        <f t="array" ref="AF202">IFERROR(INDEX($AC$231:$AC$491,SMALL(IF(("Q"=$AB$231:$AB$491),MATCH(ROW($AB$231:$AB$491),ROW($AB$231:$AB$491)),""),ROWS($A$1:A183))),0)</f>
        <v>0</v>
      </c>
      <c r="AG202" s="17" t="str">
        <f t="shared" si="27"/>
        <v/>
      </c>
      <c r="AR202" s="17">
        <v>183</v>
      </c>
      <c r="AS202" s="17" t="str">
        <f t="shared" si="32"/>
        <v/>
      </c>
      <c r="AT202" s="17">
        <f t="array" ref="AT202">IFERROR(INDEX($AQ$231:$AQ$491,SMALL(IF(("Q"=$AP$231:$AP$491),MATCH(ROW($AP$231:$AP$491),ROW($AP$231:$AP$491)),""),ROWS($A$1:A183))),0)</f>
        <v>0</v>
      </c>
      <c r="AU202" s="17" t="str">
        <f t="shared" si="28"/>
        <v/>
      </c>
      <c r="BD202" s="17">
        <v>183</v>
      </c>
      <c r="BE202" s="17" t="str">
        <f t="shared" si="33"/>
        <v/>
      </c>
      <c r="BF202" s="17">
        <f t="array" ref="BF202">IFERROR(INDEX($BC$231:$BC$491,SMALL(IF(("Q"=$BB$231:$BB$491),MATCH(ROW($BB$231:$BB$491),ROW($BB$231:$BB$491)),""),ROWS($A$1:A183))),0)</f>
        <v>0</v>
      </c>
      <c r="BG202" s="17" t="str">
        <f t="shared" si="29"/>
        <v/>
      </c>
    </row>
    <row r="203" spans="3:59">
      <c r="C203" s="17">
        <v>184</v>
      </c>
      <c r="D203" s="17" t="str">
        <f t="shared" si="30"/>
        <v/>
      </c>
      <c r="E203" s="17">
        <f t="array" ref="E203">IFERROR(INDEX($B$231:$B$491,SMALL(IF(("Q"=$A$231:$A$491),MATCH(ROW($A$231:$A$491),ROW($A$231:$A$491)),""),ROWS($A$1:A184))),0)</f>
        <v>0</v>
      </c>
      <c r="F203" s="17" t="str">
        <f t="shared" si="24"/>
        <v/>
      </c>
      <c r="Q203" s="17">
        <v>184</v>
      </c>
      <c r="R203" s="17" t="str">
        <f t="shared" si="25"/>
        <v/>
      </c>
      <c r="S203" s="17">
        <f t="array" ref="S203">IFERROR(INDEX($P$231:$P$491,SMALL(IF(("Q"=$O$231:$O$491),MATCH(ROW($O$231:$O$491),ROW($O$231:$O$491)),""),ROWS($A$1:A184))),0)</f>
        <v>0</v>
      </c>
      <c r="T203" s="17" t="str">
        <f t="shared" si="26"/>
        <v/>
      </c>
      <c r="AD203" s="17">
        <v>184</v>
      </c>
      <c r="AE203" s="17" t="str">
        <f t="shared" si="31"/>
        <v/>
      </c>
      <c r="AF203" s="17">
        <f t="array" ref="AF203">IFERROR(INDEX($AC$231:$AC$491,SMALL(IF(("Q"=$AB$231:$AB$491),MATCH(ROW($AB$231:$AB$491),ROW($AB$231:$AB$491)),""),ROWS($A$1:A184))),0)</f>
        <v>0</v>
      </c>
      <c r="AG203" s="17" t="str">
        <f t="shared" si="27"/>
        <v/>
      </c>
      <c r="AR203" s="17">
        <v>184</v>
      </c>
      <c r="AS203" s="17" t="str">
        <f t="shared" si="32"/>
        <v/>
      </c>
      <c r="AT203" s="17">
        <f t="array" ref="AT203">IFERROR(INDEX($AQ$231:$AQ$491,SMALL(IF(("Q"=$AP$231:$AP$491),MATCH(ROW($AP$231:$AP$491),ROW($AP$231:$AP$491)),""),ROWS($A$1:A184))),0)</f>
        <v>0</v>
      </c>
      <c r="AU203" s="17" t="str">
        <f t="shared" si="28"/>
        <v/>
      </c>
      <c r="BD203" s="17">
        <v>184</v>
      </c>
      <c r="BE203" s="17" t="str">
        <f t="shared" si="33"/>
        <v/>
      </c>
      <c r="BF203" s="17">
        <f t="array" ref="BF203">IFERROR(INDEX($BC$231:$BC$491,SMALL(IF(("Q"=$BB$231:$BB$491),MATCH(ROW($BB$231:$BB$491),ROW($BB$231:$BB$491)),""),ROWS($A$1:A184))),0)</f>
        <v>0</v>
      </c>
      <c r="BG203" s="17" t="str">
        <f t="shared" si="29"/>
        <v/>
      </c>
    </row>
    <row r="204" spans="3:59">
      <c r="C204" s="17">
        <v>185</v>
      </c>
      <c r="D204" s="17" t="str">
        <f t="shared" si="30"/>
        <v/>
      </c>
      <c r="E204" s="17">
        <f t="array" ref="E204">IFERROR(INDEX($B$231:$B$491,SMALL(IF(("Q"=$A$231:$A$491),MATCH(ROW($A$231:$A$491),ROW($A$231:$A$491)),""),ROWS($A$1:A185))),0)</f>
        <v>0</v>
      </c>
      <c r="F204" s="17" t="str">
        <f t="shared" si="24"/>
        <v/>
      </c>
      <c r="Q204" s="17">
        <v>185</v>
      </c>
      <c r="R204" s="17" t="str">
        <f t="shared" si="25"/>
        <v/>
      </c>
      <c r="S204" s="17">
        <f t="array" ref="S204">IFERROR(INDEX($P$231:$P$491,SMALL(IF(("Q"=$O$231:$O$491),MATCH(ROW($O$231:$O$491),ROW($O$231:$O$491)),""),ROWS($A$1:A185))),0)</f>
        <v>0</v>
      </c>
      <c r="T204" s="17" t="str">
        <f t="shared" si="26"/>
        <v/>
      </c>
      <c r="AD204" s="17">
        <v>185</v>
      </c>
      <c r="AE204" s="17" t="str">
        <f t="shared" si="31"/>
        <v/>
      </c>
      <c r="AF204" s="17">
        <f t="array" ref="AF204">IFERROR(INDEX($AC$231:$AC$491,SMALL(IF(("Q"=$AB$231:$AB$491),MATCH(ROW($AB$231:$AB$491),ROW($AB$231:$AB$491)),""),ROWS($A$1:A185))),0)</f>
        <v>0</v>
      </c>
      <c r="AG204" s="17" t="str">
        <f t="shared" si="27"/>
        <v/>
      </c>
      <c r="AR204" s="17">
        <v>185</v>
      </c>
      <c r="AS204" s="17" t="str">
        <f t="shared" si="32"/>
        <v/>
      </c>
      <c r="AT204" s="17">
        <f t="array" ref="AT204">IFERROR(INDEX($AQ$231:$AQ$491,SMALL(IF(("Q"=$AP$231:$AP$491),MATCH(ROW($AP$231:$AP$491),ROW($AP$231:$AP$491)),""),ROWS($A$1:A185))),0)</f>
        <v>0</v>
      </c>
      <c r="AU204" s="17" t="str">
        <f t="shared" si="28"/>
        <v/>
      </c>
      <c r="BD204" s="17">
        <v>185</v>
      </c>
      <c r="BE204" s="17" t="str">
        <f t="shared" si="33"/>
        <v/>
      </c>
      <c r="BF204" s="17">
        <f t="array" ref="BF204">IFERROR(INDEX($BC$231:$BC$491,SMALL(IF(("Q"=$BB$231:$BB$491),MATCH(ROW($BB$231:$BB$491),ROW($BB$231:$BB$491)),""),ROWS($A$1:A185))),0)</f>
        <v>0</v>
      </c>
      <c r="BG204" s="17" t="str">
        <f t="shared" si="29"/>
        <v/>
      </c>
    </row>
    <row r="205" spans="3:59">
      <c r="C205" s="17">
        <v>186</v>
      </c>
      <c r="D205" s="17" t="str">
        <f t="shared" si="30"/>
        <v/>
      </c>
      <c r="E205" s="17">
        <f t="array" ref="E205">IFERROR(INDEX($B$231:$B$491,SMALL(IF(("Q"=$A$231:$A$491),MATCH(ROW($A$231:$A$491),ROW($A$231:$A$491)),""),ROWS($A$1:A186))),0)</f>
        <v>0</v>
      </c>
      <c r="F205" s="17" t="str">
        <f t="shared" si="24"/>
        <v/>
      </c>
      <c r="Q205" s="17">
        <v>186</v>
      </c>
      <c r="R205" s="17" t="str">
        <f t="shared" si="25"/>
        <v/>
      </c>
      <c r="S205" s="17">
        <f t="array" ref="S205">IFERROR(INDEX($P$231:$P$491,SMALL(IF(("Q"=$O$231:$O$491),MATCH(ROW($O$231:$O$491),ROW($O$231:$O$491)),""),ROWS($A$1:A186))),0)</f>
        <v>0</v>
      </c>
      <c r="T205" s="17" t="str">
        <f t="shared" si="26"/>
        <v/>
      </c>
      <c r="AD205" s="17">
        <v>186</v>
      </c>
      <c r="AE205" s="17" t="str">
        <f t="shared" si="31"/>
        <v/>
      </c>
      <c r="AF205" s="17">
        <f t="array" ref="AF205">IFERROR(INDEX($AC$231:$AC$491,SMALL(IF(("Q"=$AB$231:$AB$491),MATCH(ROW($AB$231:$AB$491),ROW($AB$231:$AB$491)),""),ROWS($A$1:A186))),0)</f>
        <v>0</v>
      </c>
      <c r="AG205" s="17" t="str">
        <f t="shared" si="27"/>
        <v/>
      </c>
      <c r="AR205" s="17">
        <v>186</v>
      </c>
      <c r="AS205" s="17" t="str">
        <f t="shared" si="32"/>
        <v/>
      </c>
      <c r="AT205" s="17">
        <f t="array" ref="AT205">IFERROR(INDEX($AQ$231:$AQ$491,SMALL(IF(("Q"=$AP$231:$AP$491),MATCH(ROW($AP$231:$AP$491),ROW($AP$231:$AP$491)),""),ROWS($A$1:A186))),0)</f>
        <v>0</v>
      </c>
      <c r="AU205" s="17" t="str">
        <f t="shared" si="28"/>
        <v/>
      </c>
      <c r="BD205" s="17">
        <v>186</v>
      </c>
      <c r="BE205" s="17" t="str">
        <f t="shared" si="33"/>
        <v/>
      </c>
      <c r="BF205" s="17">
        <f t="array" ref="BF205">IFERROR(INDEX($BC$231:$BC$491,SMALL(IF(("Q"=$BB$231:$BB$491),MATCH(ROW($BB$231:$BB$491),ROW($BB$231:$BB$491)),""),ROWS($A$1:A186))),0)</f>
        <v>0</v>
      </c>
      <c r="BG205" s="17" t="str">
        <f t="shared" si="29"/>
        <v/>
      </c>
    </row>
    <row r="206" spans="3:59">
      <c r="C206" s="17">
        <v>187</v>
      </c>
      <c r="D206" s="17" t="str">
        <f t="shared" si="30"/>
        <v/>
      </c>
      <c r="E206" s="17">
        <f t="array" ref="E206">IFERROR(INDEX($B$231:$B$491,SMALL(IF(("Q"=$A$231:$A$491),MATCH(ROW($A$231:$A$491),ROW($A$231:$A$491)),""),ROWS($A$1:A187))),0)</f>
        <v>0</v>
      </c>
      <c r="F206" s="17" t="str">
        <f t="shared" si="24"/>
        <v/>
      </c>
      <c r="Q206" s="17">
        <v>187</v>
      </c>
      <c r="R206" s="17" t="str">
        <f t="shared" si="25"/>
        <v/>
      </c>
      <c r="S206" s="17">
        <f t="array" ref="S206">IFERROR(INDEX($P$231:$P$491,SMALL(IF(("Q"=$O$231:$O$491),MATCH(ROW($O$231:$O$491),ROW($O$231:$O$491)),""),ROWS($A$1:A187))),0)</f>
        <v>0</v>
      </c>
      <c r="T206" s="17" t="str">
        <f t="shared" si="26"/>
        <v/>
      </c>
      <c r="AD206" s="17">
        <v>187</v>
      </c>
      <c r="AE206" s="17" t="str">
        <f t="shared" si="31"/>
        <v/>
      </c>
      <c r="AF206" s="17">
        <f t="array" ref="AF206">IFERROR(INDEX($AC$231:$AC$491,SMALL(IF(("Q"=$AB$231:$AB$491),MATCH(ROW($AB$231:$AB$491),ROW($AB$231:$AB$491)),""),ROWS($A$1:A187))),0)</f>
        <v>0</v>
      </c>
      <c r="AG206" s="17" t="str">
        <f t="shared" si="27"/>
        <v/>
      </c>
      <c r="AR206" s="17">
        <v>187</v>
      </c>
      <c r="AS206" s="17" t="str">
        <f t="shared" si="32"/>
        <v/>
      </c>
      <c r="AT206" s="17">
        <f t="array" ref="AT206">IFERROR(INDEX($AQ$231:$AQ$491,SMALL(IF(("Q"=$AP$231:$AP$491),MATCH(ROW($AP$231:$AP$491),ROW($AP$231:$AP$491)),""),ROWS($A$1:A187))),0)</f>
        <v>0</v>
      </c>
      <c r="AU206" s="17" t="str">
        <f t="shared" si="28"/>
        <v/>
      </c>
      <c r="BD206" s="17">
        <v>187</v>
      </c>
      <c r="BE206" s="17" t="str">
        <f t="shared" si="33"/>
        <v/>
      </c>
      <c r="BF206" s="17">
        <f t="array" ref="BF206">IFERROR(INDEX($BC$231:$BC$491,SMALL(IF(("Q"=$BB$231:$BB$491),MATCH(ROW($BB$231:$BB$491),ROW($BB$231:$BB$491)),""),ROWS($A$1:A187))),0)</f>
        <v>0</v>
      </c>
      <c r="BG206" s="17" t="str">
        <f t="shared" si="29"/>
        <v/>
      </c>
    </row>
    <row r="207" spans="3:59">
      <c r="C207" s="17">
        <v>188</v>
      </c>
      <c r="D207" s="17" t="str">
        <f t="shared" si="30"/>
        <v/>
      </c>
      <c r="E207" s="17">
        <f t="array" ref="E207">IFERROR(INDEX($B$231:$B$491,SMALL(IF(("Q"=$A$231:$A$491),MATCH(ROW($A$231:$A$491),ROW($A$231:$A$491)),""),ROWS($A$1:A188))),0)</f>
        <v>0</v>
      </c>
      <c r="F207" s="17" t="str">
        <f t="shared" si="24"/>
        <v/>
      </c>
      <c r="Q207" s="17">
        <v>188</v>
      </c>
      <c r="R207" s="17" t="str">
        <f t="shared" si="25"/>
        <v/>
      </c>
      <c r="S207" s="17">
        <f t="array" ref="S207">IFERROR(INDEX($P$231:$P$491,SMALL(IF(("Q"=$O$231:$O$491),MATCH(ROW($O$231:$O$491),ROW($O$231:$O$491)),""),ROWS($A$1:A188))),0)</f>
        <v>0</v>
      </c>
      <c r="T207" s="17" t="str">
        <f t="shared" si="26"/>
        <v/>
      </c>
      <c r="AD207" s="17">
        <v>188</v>
      </c>
      <c r="AE207" s="17" t="str">
        <f t="shared" si="31"/>
        <v/>
      </c>
      <c r="AF207" s="17">
        <f t="array" ref="AF207">IFERROR(INDEX($AC$231:$AC$491,SMALL(IF(("Q"=$AB$231:$AB$491),MATCH(ROW($AB$231:$AB$491),ROW($AB$231:$AB$491)),""),ROWS($A$1:A188))),0)</f>
        <v>0</v>
      </c>
      <c r="AG207" s="17" t="str">
        <f t="shared" si="27"/>
        <v/>
      </c>
      <c r="AR207" s="17">
        <v>188</v>
      </c>
      <c r="AS207" s="17" t="str">
        <f t="shared" si="32"/>
        <v/>
      </c>
      <c r="AT207" s="17">
        <f t="array" ref="AT207">IFERROR(INDEX($AQ$231:$AQ$491,SMALL(IF(("Q"=$AP$231:$AP$491),MATCH(ROW($AP$231:$AP$491),ROW($AP$231:$AP$491)),""),ROWS($A$1:A188))),0)</f>
        <v>0</v>
      </c>
      <c r="AU207" s="17" t="str">
        <f t="shared" si="28"/>
        <v/>
      </c>
      <c r="BD207" s="17">
        <v>188</v>
      </c>
      <c r="BE207" s="17" t="str">
        <f t="shared" si="33"/>
        <v/>
      </c>
      <c r="BF207" s="17">
        <f t="array" ref="BF207">IFERROR(INDEX($BC$231:$BC$491,SMALL(IF(("Q"=$BB$231:$BB$491),MATCH(ROW($BB$231:$BB$491),ROW($BB$231:$BB$491)),""),ROWS($A$1:A188))),0)</f>
        <v>0</v>
      </c>
      <c r="BG207" s="17" t="str">
        <f t="shared" si="29"/>
        <v/>
      </c>
    </row>
    <row r="208" spans="3:59">
      <c r="C208" s="17">
        <v>189</v>
      </c>
      <c r="D208" s="17" t="str">
        <f t="shared" si="30"/>
        <v/>
      </c>
      <c r="E208" s="17">
        <f t="array" ref="E208">IFERROR(INDEX($B$231:$B$491,SMALL(IF(("Q"=$A$231:$A$491),MATCH(ROW($A$231:$A$491),ROW($A$231:$A$491)),""),ROWS($A$1:A189))),0)</f>
        <v>0</v>
      </c>
      <c r="F208" s="17" t="str">
        <f t="shared" si="24"/>
        <v/>
      </c>
      <c r="Q208" s="17">
        <v>189</v>
      </c>
      <c r="R208" s="17" t="str">
        <f t="shared" si="25"/>
        <v/>
      </c>
      <c r="S208" s="17">
        <f t="array" ref="S208">IFERROR(INDEX($P$231:$P$491,SMALL(IF(("Q"=$O$231:$O$491),MATCH(ROW($O$231:$O$491),ROW($O$231:$O$491)),""),ROWS($A$1:A189))),0)</f>
        <v>0</v>
      </c>
      <c r="T208" s="17" t="str">
        <f t="shared" si="26"/>
        <v/>
      </c>
      <c r="AD208" s="17">
        <v>189</v>
      </c>
      <c r="AE208" s="17" t="str">
        <f t="shared" si="31"/>
        <v/>
      </c>
      <c r="AF208" s="17">
        <f t="array" ref="AF208">IFERROR(INDEX($AC$231:$AC$491,SMALL(IF(("Q"=$AB$231:$AB$491),MATCH(ROW($AB$231:$AB$491),ROW($AB$231:$AB$491)),""),ROWS($A$1:A189))),0)</f>
        <v>0</v>
      </c>
      <c r="AG208" s="17" t="str">
        <f t="shared" si="27"/>
        <v/>
      </c>
      <c r="AR208" s="17">
        <v>189</v>
      </c>
      <c r="AS208" s="17" t="str">
        <f t="shared" si="32"/>
        <v/>
      </c>
      <c r="AT208" s="17">
        <f t="array" ref="AT208">IFERROR(INDEX($AQ$231:$AQ$491,SMALL(IF(("Q"=$AP$231:$AP$491),MATCH(ROW($AP$231:$AP$491),ROW($AP$231:$AP$491)),""),ROWS($A$1:A189))),0)</f>
        <v>0</v>
      </c>
      <c r="AU208" s="17" t="str">
        <f t="shared" si="28"/>
        <v/>
      </c>
      <c r="BD208" s="17">
        <v>189</v>
      </c>
      <c r="BE208" s="17" t="str">
        <f t="shared" si="33"/>
        <v/>
      </c>
      <c r="BF208" s="17">
        <f t="array" ref="BF208">IFERROR(INDEX($BC$231:$BC$491,SMALL(IF(("Q"=$BB$231:$BB$491),MATCH(ROW($BB$231:$BB$491),ROW($BB$231:$BB$491)),""),ROWS($A$1:A189))),0)</f>
        <v>0</v>
      </c>
      <c r="BG208" s="17" t="str">
        <f t="shared" si="29"/>
        <v/>
      </c>
    </row>
    <row r="209" spans="3:59">
      <c r="C209" s="17">
        <v>190</v>
      </c>
      <c r="D209" s="17" t="str">
        <f t="shared" si="30"/>
        <v/>
      </c>
      <c r="E209" s="17">
        <f t="array" ref="E209">IFERROR(INDEX($B$231:$B$491,SMALL(IF(("Q"=$A$231:$A$491),MATCH(ROW($A$231:$A$491),ROW($A$231:$A$491)),""),ROWS($A$1:A190))),0)</f>
        <v>0</v>
      </c>
      <c r="F209" s="17" t="str">
        <f t="shared" si="24"/>
        <v/>
      </c>
      <c r="Q209" s="17">
        <v>190</v>
      </c>
      <c r="R209" s="17" t="str">
        <f t="shared" si="25"/>
        <v/>
      </c>
      <c r="S209" s="17">
        <f t="array" ref="S209">IFERROR(INDEX($P$231:$P$491,SMALL(IF(("Q"=$O$231:$O$491),MATCH(ROW($O$231:$O$491),ROW($O$231:$O$491)),""),ROWS($A$1:A190))),0)</f>
        <v>0</v>
      </c>
      <c r="T209" s="17" t="str">
        <f t="shared" si="26"/>
        <v/>
      </c>
      <c r="AD209" s="17">
        <v>190</v>
      </c>
      <c r="AE209" s="17" t="str">
        <f t="shared" si="31"/>
        <v/>
      </c>
      <c r="AF209" s="17">
        <f t="array" ref="AF209">IFERROR(INDEX($AC$231:$AC$491,SMALL(IF(("Q"=$AB$231:$AB$491),MATCH(ROW($AB$231:$AB$491),ROW($AB$231:$AB$491)),""),ROWS($A$1:A190))),0)</f>
        <v>0</v>
      </c>
      <c r="AG209" s="17" t="str">
        <f t="shared" si="27"/>
        <v/>
      </c>
      <c r="AR209" s="17">
        <v>190</v>
      </c>
      <c r="AS209" s="17" t="str">
        <f t="shared" si="32"/>
        <v/>
      </c>
      <c r="AT209" s="17">
        <f t="array" ref="AT209">IFERROR(INDEX($AQ$231:$AQ$491,SMALL(IF(("Q"=$AP$231:$AP$491),MATCH(ROW($AP$231:$AP$491),ROW($AP$231:$AP$491)),""),ROWS($A$1:A190))),0)</f>
        <v>0</v>
      </c>
      <c r="AU209" s="17" t="str">
        <f t="shared" si="28"/>
        <v/>
      </c>
      <c r="BD209" s="17">
        <v>190</v>
      </c>
      <c r="BE209" s="17" t="str">
        <f t="shared" si="33"/>
        <v/>
      </c>
      <c r="BF209" s="17">
        <f t="array" ref="BF209">IFERROR(INDEX($BC$231:$BC$491,SMALL(IF(("Q"=$BB$231:$BB$491),MATCH(ROW($BB$231:$BB$491),ROW($BB$231:$BB$491)),""),ROWS($A$1:A190))),0)</f>
        <v>0</v>
      </c>
      <c r="BG209" s="17" t="str">
        <f t="shared" si="29"/>
        <v/>
      </c>
    </row>
    <row r="210" spans="3:59">
      <c r="C210" s="17">
        <v>191</v>
      </c>
      <c r="D210" s="17" t="str">
        <f t="shared" si="30"/>
        <v/>
      </c>
      <c r="E210" s="17">
        <f t="array" ref="E210">IFERROR(INDEX($B$231:$B$491,SMALL(IF(("Q"=$A$231:$A$491),MATCH(ROW($A$231:$A$491),ROW($A$231:$A$491)),""),ROWS($A$1:A191))),0)</f>
        <v>0</v>
      </c>
      <c r="F210" s="17" t="str">
        <f t="shared" si="24"/>
        <v/>
      </c>
      <c r="Q210" s="17">
        <v>191</v>
      </c>
      <c r="R210" s="17" t="str">
        <f t="shared" si="25"/>
        <v/>
      </c>
      <c r="S210" s="17">
        <f t="array" ref="S210">IFERROR(INDEX($P$231:$P$491,SMALL(IF(("Q"=$O$231:$O$491),MATCH(ROW($O$231:$O$491),ROW($O$231:$O$491)),""),ROWS($A$1:A191))),0)</f>
        <v>0</v>
      </c>
      <c r="T210" s="17" t="str">
        <f t="shared" si="26"/>
        <v/>
      </c>
      <c r="AD210" s="17">
        <v>191</v>
      </c>
      <c r="AE210" s="17" t="str">
        <f t="shared" si="31"/>
        <v/>
      </c>
      <c r="AF210" s="17">
        <f t="array" ref="AF210">IFERROR(INDEX($AC$231:$AC$491,SMALL(IF(("Q"=$AB$231:$AB$491),MATCH(ROW($AB$231:$AB$491),ROW($AB$231:$AB$491)),""),ROWS($A$1:A191))),0)</f>
        <v>0</v>
      </c>
      <c r="AG210" s="17" t="str">
        <f t="shared" si="27"/>
        <v/>
      </c>
      <c r="AR210" s="17">
        <v>191</v>
      </c>
      <c r="AS210" s="17" t="str">
        <f t="shared" si="32"/>
        <v/>
      </c>
      <c r="AT210" s="17">
        <f t="array" ref="AT210">IFERROR(INDEX($AQ$231:$AQ$491,SMALL(IF(("Q"=$AP$231:$AP$491),MATCH(ROW($AP$231:$AP$491),ROW($AP$231:$AP$491)),""),ROWS($A$1:A191))),0)</f>
        <v>0</v>
      </c>
      <c r="AU210" s="17" t="str">
        <f t="shared" si="28"/>
        <v/>
      </c>
      <c r="BD210" s="17">
        <v>191</v>
      </c>
      <c r="BE210" s="17" t="str">
        <f t="shared" si="33"/>
        <v/>
      </c>
      <c r="BF210" s="17">
        <f t="array" ref="BF210">IFERROR(INDEX($BC$231:$BC$491,SMALL(IF(("Q"=$BB$231:$BB$491),MATCH(ROW($BB$231:$BB$491),ROW($BB$231:$BB$491)),""),ROWS($A$1:A191))),0)</f>
        <v>0</v>
      </c>
      <c r="BG210" s="17" t="str">
        <f t="shared" si="29"/>
        <v/>
      </c>
    </row>
    <row r="211" spans="3:59">
      <c r="C211" s="17">
        <v>192</v>
      </c>
      <c r="D211" s="17" t="str">
        <f t="shared" si="30"/>
        <v/>
      </c>
      <c r="E211" s="17">
        <f t="array" ref="E211">IFERROR(INDEX($B$231:$B$491,SMALL(IF(("Q"=$A$231:$A$491),MATCH(ROW($A$231:$A$491),ROW($A$231:$A$491)),""),ROWS($A$1:A192))),0)</f>
        <v>0</v>
      </c>
      <c r="F211" s="17" t="str">
        <f t="shared" si="24"/>
        <v/>
      </c>
      <c r="Q211" s="17">
        <v>192</v>
      </c>
      <c r="R211" s="17" t="str">
        <f t="shared" si="25"/>
        <v/>
      </c>
      <c r="S211" s="17">
        <f t="array" ref="S211">IFERROR(INDEX($P$231:$P$491,SMALL(IF(("Q"=$O$231:$O$491),MATCH(ROW($O$231:$O$491),ROW($O$231:$O$491)),""),ROWS($A$1:A192))),0)</f>
        <v>0</v>
      </c>
      <c r="T211" s="17" t="str">
        <f t="shared" si="26"/>
        <v/>
      </c>
      <c r="AD211" s="17">
        <v>192</v>
      </c>
      <c r="AE211" s="17" t="str">
        <f t="shared" si="31"/>
        <v/>
      </c>
      <c r="AF211" s="17">
        <f t="array" ref="AF211">IFERROR(INDEX($AC$231:$AC$491,SMALL(IF(("Q"=$AB$231:$AB$491),MATCH(ROW($AB$231:$AB$491),ROW($AB$231:$AB$491)),""),ROWS($A$1:A192))),0)</f>
        <v>0</v>
      </c>
      <c r="AG211" s="17" t="str">
        <f t="shared" si="27"/>
        <v/>
      </c>
      <c r="AR211" s="17">
        <v>192</v>
      </c>
      <c r="AS211" s="17" t="str">
        <f t="shared" si="32"/>
        <v/>
      </c>
      <c r="AT211" s="17">
        <f t="array" ref="AT211">IFERROR(INDEX($AQ$231:$AQ$491,SMALL(IF(("Q"=$AP$231:$AP$491),MATCH(ROW($AP$231:$AP$491),ROW($AP$231:$AP$491)),""),ROWS($A$1:A192))),0)</f>
        <v>0</v>
      </c>
      <c r="AU211" s="17" t="str">
        <f t="shared" si="28"/>
        <v/>
      </c>
      <c r="BD211" s="17">
        <v>192</v>
      </c>
      <c r="BE211" s="17" t="str">
        <f t="shared" si="33"/>
        <v/>
      </c>
      <c r="BF211" s="17">
        <f t="array" ref="BF211">IFERROR(INDEX($BC$231:$BC$491,SMALL(IF(("Q"=$BB$231:$BB$491),MATCH(ROW($BB$231:$BB$491),ROW($BB$231:$BB$491)),""),ROWS($A$1:A192))),0)</f>
        <v>0</v>
      </c>
      <c r="BG211" s="17" t="str">
        <f t="shared" si="29"/>
        <v/>
      </c>
    </row>
    <row r="212" spans="3:59">
      <c r="C212" s="17">
        <v>193</v>
      </c>
      <c r="D212" s="17" t="str">
        <f t="shared" si="30"/>
        <v/>
      </c>
      <c r="E212" s="17">
        <f t="array" ref="E212">IFERROR(INDEX($B$231:$B$491,SMALL(IF(("Q"=$A$231:$A$491),MATCH(ROW($A$231:$A$491),ROW($A$231:$A$491)),""),ROWS($A$1:A193))),0)</f>
        <v>0</v>
      </c>
      <c r="F212" s="17" t="str">
        <f t="shared" ref="F212:F228" si="34">IF(D212="","",D212-E212)</f>
        <v/>
      </c>
      <c r="Q212" s="17">
        <v>193</v>
      </c>
      <c r="R212" s="17" t="str">
        <f t="shared" ref="R212:R228" si="35">IF($T$18&gt;=Q212,$S$18,"")</f>
        <v/>
      </c>
      <c r="S212" s="17">
        <f t="array" ref="S212">IFERROR(INDEX($P$231:$P$491,SMALL(IF(("Q"=$O$231:$O$491),MATCH(ROW($O$231:$O$491),ROW($O$231:$O$491)),""),ROWS($A$1:A193))),0)</f>
        <v>0</v>
      </c>
      <c r="T212" s="17" t="str">
        <f t="shared" ref="T212:T228" si="36">IF(R212="","",R212-S212)</f>
        <v/>
      </c>
      <c r="AD212" s="17">
        <v>193</v>
      </c>
      <c r="AE212" s="17" t="str">
        <f t="shared" si="31"/>
        <v/>
      </c>
      <c r="AF212" s="17">
        <f t="array" ref="AF212">IFERROR(INDEX($AC$231:$AC$491,SMALL(IF(("Q"=$AB$231:$AB$491),MATCH(ROW($AB$231:$AB$491),ROW($AB$231:$AB$491)),""),ROWS($A$1:A193))),0)</f>
        <v>0</v>
      </c>
      <c r="AG212" s="17" t="str">
        <f t="shared" ref="AG212:AG228" si="37">IF(AE212="","",AE212-AF212)</f>
        <v/>
      </c>
      <c r="AR212" s="17">
        <v>193</v>
      </c>
      <c r="AS212" s="17" t="str">
        <f t="shared" si="32"/>
        <v/>
      </c>
      <c r="AT212" s="17">
        <f t="array" ref="AT212">IFERROR(INDEX($AQ$231:$AQ$491,SMALL(IF(("Q"=$AP$231:$AP$491),MATCH(ROW($AP$231:$AP$491),ROW($AP$231:$AP$491)),""),ROWS($A$1:A193))),0)</f>
        <v>0</v>
      </c>
      <c r="AU212" s="17" t="str">
        <f t="shared" ref="AU212:AU228" si="38">IF(AS212="","",AS212-AT212)</f>
        <v/>
      </c>
      <c r="BD212" s="17">
        <v>193</v>
      </c>
      <c r="BE212" s="17" t="str">
        <f t="shared" si="33"/>
        <v/>
      </c>
      <c r="BF212" s="17">
        <f t="array" ref="BF212">IFERROR(INDEX($BC$231:$BC$491,SMALL(IF(("Q"=$BB$231:$BB$491),MATCH(ROW($BB$231:$BB$491),ROW($BB$231:$BB$491)),""),ROWS($A$1:A193))),0)</f>
        <v>0</v>
      </c>
      <c r="BG212" s="17" t="str">
        <f t="shared" ref="BG212:BG228" si="39">IF(BE212="","",BE212-BF212)</f>
        <v/>
      </c>
    </row>
    <row r="213" spans="3:59">
      <c r="C213" s="17">
        <v>194</v>
      </c>
      <c r="D213" s="17" t="str">
        <f t="shared" ref="D213:D228" si="40">IF($F$18&gt;=C213,$E$18,"")</f>
        <v/>
      </c>
      <c r="E213" s="17">
        <f t="array" ref="E213">IFERROR(INDEX($B$231:$B$491,SMALL(IF(("Q"=$A$231:$A$491),MATCH(ROW($A$231:$A$491),ROW($A$231:$A$491)),""),ROWS($A$1:A194))),0)</f>
        <v>0</v>
      </c>
      <c r="F213" s="17" t="str">
        <f t="shared" si="34"/>
        <v/>
      </c>
      <c r="Q213" s="17">
        <v>194</v>
      </c>
      <c r="R213" s="17" t="str">
        <f t="shared" si="35"/>
        <v/>
      </c>
      <c r="S213" s="17">
        <f t="array" ref="S213">IFERROR(INDEX($P$231:$P$491,SMALL(IF(("Q"=$O$231:$O$491),MATCH(ROW($O$231:$O$491),ROW($O$231:$O$491)),""),ROWS($A$1:A194))),0)</f>
        <v>0</v>
      </c>
      <c r="T213" s="17" t="str">
        <f t="shared" si="36"/>
        <v/>
      </c>
      <c r="AD213" s="17">
        <v>194</v>
      </c>
      <c r="AE213" s="17" t="str">
        <f t="shared" ref="AE213:AE228" si="41">IF($AG$18&gt;=AD213,$AF$18,"")</f>
        <v/>
      </c>
      <c r="AF213" s="17">
        <f t="array" ref="AF213">IFERROR(INDEX($AC$231:$AC$491,SMALL(IF(("Q"=$AB$231:$AB$491),MATCH(ROW($AB$231:$AB$491),ROW($AB$231:$AB$491)),""),ROWS($A$1:A194))),0)</f>
        <v>0</v>
      </c>
      <c r="AG213" s="17" t="str">
        <f t="shared" si="37"/>
        <v/>
      </c>
      <c r="AR213" s="17">
        <v>194</v>
      </c>
      <c r="AS213" s="17" t="str">
        <f t="shared" ref="AS213:AS228" si="42">IF($AU$18&gt;=AR213,$AT$18,"")</f>
        <v/>
      </c>
      <c r="AT213" s="17">
        <f t="array" ref="AT213">IFERROR(INDEX($AQ$231:$AQ$491,SMALL(IF(("Q"=$AP$231:$AP$491),MATCH(ROW($AP$231:$AP$491),ROW($AP$231:$AP$491)),""),ROWS($A$1:A194))),0)</f>
        <v>0</v>
      </c>
      <c r="AU213" s="17" t="str">
        <f t="shared" si="38"/>
        <v/>
      </c>
      <c r="BD213" s="17">
        <v>194</v>
      </c>
      <c r="BE213" s="17" t="str">
        <f t="shared" ref="BE213:BE228" si="43">IF($BG$18&gt;=BD213,$BF$18,"")</f>
        <v/>
      </c>
      <c r="BF213" s="17">
        <f t="array" ref="BF213">IFERROR(INDEX($BC$231:$BC$491,SMALL(IF(("Q"=$BB$231:$BB$491),MATCH(ROW($BB$231:$BB$491),ROW($BB$231:$BB$491)),""),ROWS($A$1:A194))),0)</f>
        <v>0</v>
      </c>
      <c r="BG213" s="17" t="str">
        <f t="shared" si="39"/>
        <v/>
      </c>
    </row>
    <row r="214" spans="3:59">
      <c r="C214" s="17">
        <v>195</v>
      </c>
      <c r="D214" s="17" t="str">
        <f t="shared" si="40"/>
        <v/>
      </c>
      <c r="E214" s="17">
        <f t="array" ref="E214">IFERROR(INDEX($B$231:$B$491,SMALL(IF(("Q"=$A$231:$A$491),MATCH(ROW($A$231:$A$491),ROW($A$231:$A$491)),""),ROWS($A$1:A195))),0)</f>
        <v>0</v>
      </c>
      <c r="F214" s="17" t="str">
        <f t="shared" si="34"/>
        <v/>
      </c>
      <c r="Q214" s="17">
        <v>195</v>
      </c>
      <c r="R214" s="17" t="str">
        <f t="shared" si="35"/>
        <v/>
      </c>
      <c r="S214" s="17">
        <f t="array" ref="S214">IFERROR(INDEX($P$231:$P$491,SMALL(IF(("Q"=$O$231:$O$491),MATCH(ROW($O$231:$O$491),ROW($O$231:$O$491)),""),ROWS($A$1:A195))),0)</f>
        <v>0</v>
      </c>
      <c r="T214" s="17" t="str">
        <f t="shared" si="36"/>
        <v/>
      </c>
      <c r="AD214" s="17">
        <v>195</v>
      </c>
      <c r="AE214" s="17" t="str">
        <f t="shared" si="41"/>
        <v/>
      </c>
      <c r="AF214" s="17">
        <f t="array" ref="AF214">IFERROR(INDEX($AC$231:$AC$491,SMALL(IF(("Q"=$AB$231:$AB$491),MATCH(ROW($AB$231:$AB$491),ROW($AB$231:$AB$491)),""),ROWS($A$1:A195))),0)</f>
        <v>0</v>
      </c>
      <c r="AG214" s="17" t="str">
        <f t="shared" si="37"/>
        <v/>
      </c>
      <c r="AR214" s="17">
        <v>195</v>
      </c>
      <c r="AS214" s="17" t="str">
        <f t="shared" si="42"/>
        <v/>
      </c>
      <c r="AT214" s="17">
        <f t="array" ref="AT214">IFERROR(INDEX($AQ$231:$AQ$491,SMALL(IF(("Q"=$AP$231:$AP$491),MATCH(ROW($AP$231:$AP$491),ROW($AP$231:$AP$491)),""),ROWS($A$1:A195))),0)</f>
        <v>0</v>
      </c>
      <c r="AU214" s="17" t="str">
        <f t="shared" si="38"/>
        <v/>
      </c>
      <c r="BD214" s="17">
        <v>195</v>
      </c>
      <c r="BE214" s="17" t="str">
        <f t="shared" si="43"/>
        <v/>
      </c>
      <c r="BF214" s="17">
        <f t="array" ref="BF214">IFERROR(INDEX($BC$231:$BC$491,SMALL(IF(("Q"=$BB$231:$BB$491),MATCH(ROW($BB$231:$BB$491),ROW($BB$231:$BB$491)),""),ROWS($A$1:A195))),0)</f>
        <v>0</v>
      </c>
      <c r="BG214" s="17" t="str">
        <f t="shared" si="39"/>
        <v/>
      </c>
    </row>
    <row r="215" spans="3:59">
      <c r="C215" s="17">
        <v>196</v>
      </c>
      <c r="D215" s="17" t="str">
        <f t="shared" si="40"/>
        <v/>
      </c>
      <c r="E215" s="17">
        <f t="array" ref="E215">IFERROR(INDEX($B$231:$B$491,SMALL(IF(("Q"=$A$231:$A$491),MATCH(ROW($A$231:$A$491),ROW($A$231:$A$491)),""),ROWS($A$1:A196))),0)</f>
        <v>0</v>
      </c>
      <c r="F215" s="17" t="str">
        <f t="shared" si="34"/>
        <v/>
      </c>
      <c r="Q215" s="17">
        <v>196</v>
      </c>
      <c r="R215" s="17" t="str">
        <f t="shared" si="35"/>
        <v/>
      </c>
      <c r="S215" s="17">
        <f t="array" ref="S215">IFERROR(INDEX($P$231:$P$491,SMALL(IF(("Q"=$O$231:$O$491),MATCH(ROW($O$231:$O$491),ROW($O$231:$O$491)),""),ROWS($A$1:A196))),0)</f>
        <v>0</v>
      </c>
      <c r="T215" s="17" t="str">
        <f t="shared" si="36"/>
        <v/>
      </c>
      <c r="AD215" s="17">
        <v>196</v>
      </c>
      <c r="AE215" s="17" t="str">
        <f t="shared" si="41"/>
        <v/>
      </c>
      <c r="AF215" s="17">
        <f t="array" ref="AF215">IFERROR(INDEX($AC$231:$AC$491,SMALL(IF(("Q"=$AB$231:$AB$491),MATCH(ROW($AB$231:$AB$491),ROW($AB$231:$AB$491)),""),ROWS($A$1:A196))),0)</f>
        <v>0</v>
      </c>
      <c r="AG215" s="17" t="str">
        <f t="shared" si="37"/>
        <v/>
      </c>
      <c r="AR215" s="17">
        <v>196</v>
      </c>
      <c r="AS215" s="17" t="str">
        <f t="shared" si="42"/>
        <v/>
      </c>
      <c r="AT215" s="17">
        <f t="array" ref="AT215">IFERROR(INDEX($AQ$231:$AQ$491,SMALL(IF(("Q"=$AP$231:$AP$491),MATCH(ROW($AP$231:$AP$491),ROW($AP$231:$AP$491)),""),ROWS($A$1:A196))),0)</f>
        <v>0</v>
      </c>
      <c r="AU215" s="17" t="str">
        <f t="shared" si="38"/>
        <v/>
      </c>
      <c r="BD215" s="17">
        <v>196</v>
      </c>
      <c r="BE215" s="17" t="str">
        <f t="shared" si="43"/>
        <v/>
      </c>
      <c r="BF215" s="17">
        <f t="array" ref="BF215">IFERROR(INDEX($BC$231:$BC$491,SMALL(IF(("Q"=$BB$231:$BB$491),MATCH(ROW($BB$231:$BB$491),ROW($BB$231:$BB$491)),""),ROWS($A$1:A196))),0)</f>
        <v>0</v>
      </c>
      <c r="BG215" s="17" t="str">
        <f t="shared" si="39"/>
        <v/>
      </c>
    </row>
    <row r="216" spans="3:59">
      <c r="C216" s="17">
        <v>197</v>
      </c>
      <c r="D216" s="17" t="str">
        <f t="shared" si="40"/>
        <v/>
      </c>
      <c r="E216" s="17">
        <f t="array" ref="E216">IFERROR(INDEX($B$231:$B$491,SMALL(IF(("Q"=$A$231:$A$491),MATCH(ROW($A$231:$A$491),ROW($A$231:$A$491)),""),ROWS($A$1:A197))),0)</f>
        <v>0</v>
      </c>
      <c r="F216" s="17" t="str">
        <f t="shared" si="34"/>
        <v/>
      </c>
      <c r="Q216" s="17">
        <v>197</v>
      </c>
      <c r="R216" s="17" t="str">
        <f t="shared" si="35"/>
        <v/>
      </c>
      <c r="S216" s="17">
        <f t="array" ref="S216">IFERROR(INDEX($P$231:$P$491,SMALL(IF(("Q"=$O$231:$O$491),MATCH(ROW($O$231:$O$491),ROW($O$231:$O$491)),""),ROWS($A$1:A197))),0)</f>
        <v>0</v>
      </c>
      <c r="T216" s="17" t="str">
        <f t="shared" si="36"/>
        <v/>
      </c>
      <c r="AD216" s="17">
        <v>197</v>
      </c>
      <c r="AE216" s="17" t="str">
        <f t="shared" si="41"/>
        <v/>
      </c>
      <c r="AF216" s="17">
        <f t="array" ref="AF216">IFERROR(INDEX($AC$231:$AC$491,SMALL(IF(("Q"=$AB$231:$AB$491),MATCH(ROW($AB$231:$AB$491),ROW($AB$231:$AB$491)),""),ROWS($A$1:A197))),0)</f>
        <v>0</v>
      </c>
      <c r="AG216" s="17" t="str">
        <f t="shared" si="37"/>
        <v/>
      </c>
      <c r="AR216" s="17">
        <v>197</v>
      </c>
      <c r="AS216" s="17" t="str">
        <f t="shared" si="42"/>
        <v/>
      </c>
      <c r="AT216" s="17">
        <f t="array" ref="AT216">IFERROR(INDEX($AQ$231:$AQ$491,SMALL(IF(("Q"=$AP$231:$AP$491),MATCH(ROW($AP$231:$AP$491),ROW($AP$231:$AP$491)),""),ROWS($A$1:A197))),0)</f>
        <v>0</v>
      </c>
      <c r="AU216" s="17" t="str">
        <f t="shared" si="38"/>
        <v/>
      </c>
      <c r="BD216" s="17">
        <v>197</v>
      </c>
      <c r="BE216" s="17" t="str">
        <f t="shared" si="43"/>
        <v/>
      </c>
      <c r="BF216" s="17">
        <f t="array" ref="BF216">IFERROR(INDEX($BC$231:$BC$491,SMALL(IF(("Q"=$BB$231:$BB$491),MATCH(ROW($BB$231:$BB$491),ROW($BB$231:$BB$491)),""),ROWS($A$1:A197))),0)</f>
        <v>0</v>
      </c>
      <c r="BG216" s="17" t="str">
        <f t="shared" si="39"/>
        <v/>
      </c>
    </row>
    <row r="217" spans="3:59">
      <c r="C217" s="17">
        <v>198</v>
      </c>
      <c r="D217" s="17" t="str">
        <f t="shared" si="40"/>
        <v/>
      </c>
      <c r="E217" s="17">
        <f t="array" ref="E217">IFERROR(INDEX($B$231:$B$491,SMALL(IF(("Q"=$A$231:$A$491),MATCH(ROW($A$231:$A$491),ROW($A$231:$A$491)),""),ROWS($A$1:A198))),0)</f>
        <v>0</v>
      </c>
      <c r="F217" s="17" t="str">
        <f t="shared" si="34"/>
        <v/>
      </c>
      <c r="Q217" s="17">
        <v>198</v>
      </c>
      <c r="R217" s="17" t="str">
        <f t="shared" si="35"/>
        <v/>
      </c>
      <c r="S217" s="17">
        <f t="array" ref="S217">IFERROR(INDEX($P$231:$P$491,SMALL(IF(("Q"=$O$231:$O$491),MATCH(ROW($O$231:$O$491),ROW($O$231:$O$491)),""),ROWS($A$1:A198))),0)</f>
        <v>0</v>
      </c>
      <c r="T217" s="17" t="str">
        <f t="shared" si="36"/>
        <v/>
      </c>
      <c r="AD217" s="17">
        <v>198</v>
      </c>
      <c r="AE217" s="17" t="str">
        <f t="shared" si="41"/>
        <v/>
      </c>
      <c r="AF217" s="17">
        <f t="array" ref="AF217">IFERROR(INDEX($AC$231:$AC$491,SMALL(IF(("Q"=$AB$231:$AB$491),MATCH(ROW($AB$231:$AB$491),ROW($AB$231:$AB$491)),""),ROWS($A$1:A198))),0)</f>
        <v>0</v>
      </c>
      <c r="AG217" s="17" t="str">
        <f t="shared" si="37"/>
        <v/>
      </c>
      <c r="AR217" s="17">
        <v>198</v>
      </c>
      <c r="AS217" s="17" t="str">
        <f t="shared" si="42"/>
        <v/>
      </c>
      <c r="AT217" s="17">
        <f t="array" ref="AT217">IFERROR(INDEX($AQ$231:$AQ$491,SMALL(IF(("Q"=$AP$231:$AP$491),MATCH(ROW($AP$231:$AP$491),ROW($AP$231:$AP$491)),""),ROWS($A$1:A198))),0)</f>
        <v>0</v>
      </c>
      <c r="AU217" s="17" t="str">
        <f t="shared" si="38"/>
        <v/>
      </c>
      <c r="BD217" s="17">
        <v>198</v>
      </c>
      <c r="BE217" s="17" t="str">
        <f t="shared" si="43"/>
        <v/>
      </c>
      <c r="BF217" s="17">
        <f t="array" ref="BF217">IFERROR(INDEX($BC$231:$BC$491,SMALL(IF(("Q"=$BB$231:$BB$491),MATCH(ROW($BB$231:$BB$491),ROW($BB$231:$BB$491)),""),ROWS($A$1:A198))),0)</f>
        <v>0</v>
      </c>
      <c r="BG217" s="17" t="str">
        <f t="shared" si="39"/>
        <v/>
      </c>
    </row>
    <row r="218" spans="3:59">
      <c r="C218" s="17">
        <v>199</v>
      </c>
      <c r="D218" s="17" t="str">
        <f t="shared" si="40"/>
        <v/>
      </c>
      <c r="E218" s="17">
        <f t="array" ref="E218">IFERROR(INDEX($B$231:$B$491,SMALL(IF(("Q"=$A$231:$A$491),MATCH(ROW($A$231:$A$491),ROW($A$231:$A$491)),""),ROWS($A$1:A199))),0)</f>
        <v>0</v>
      </c>
      <c r="F218" s="17" t="str">
        <f t="shared" si="34"/>
        <v/>
      </c>
      <c r="Q218" s="17">
        <v>199</v>
      </c>
      <c r="R218" s="17" t="str">
        <f t="shared" si="35"/>
        <v/>
      </c>
      <c r="S218" s="17">
        <f t="array" ref="S218">IFERROR(INDEX($P$231:$P$491,SMALL(IF(("Q"=$O$231:$O$491),MATCH(ROW($O$231:$O$491),ROW($O$231:$O$491)),""),ROWS($A$1:A199))),0)</f>
        <v>0</v>
      </c>
      <c r="T218" s="17" t="str">
        <f t="shared" si="36"/>
        <v/>
      </c>
      <c r="AD218" s="17">
        <v>199</v>
      </c>
      <c r="AE218" s="17" t="str">
        <f t="shared" si="41"/>
        <v/>
      </c>
      <c r="AF218" s="17">
        <f t="array" ref="AF218">IFERROR(INDEX($AC$231:$AC$491,SMALL(IF(("Q"=$AB$231:$AB$491),MATCH(ROW($AB$231:$AB$491),ROW($AB$231:$AB$491)),""),ROWS($A$1:A199))),0)</f>
        <v>0</v>
      </c>
      <c r="AG218" s="17" t="str">
        <f t="shared" si="37"/>
        <v/>
      </c>
      <c r="AR218" s="17">
        <v>199</v>
      </c>
      <c r="AS218" s="17" t="str">
        <f t="shared" si="42"/>
        <v/>
      </c>
      <c r="AT218" s="17">
        <f t="array" ref="AT218">IFERROR(INDEX($AQ$231:$AQ$491,SMALL(IF(("Q"=$AP$231:$AP$491),MATCH(ROW($AP$231:$AP$491),ROW($AP$231:$AP$491)),""),ROWS($A$1:A199))),0)</f>
        <v>0</v>
      </c>
      <c r="AU218" s="17" t="str">
        <f t="shared" si="38"/>
        <v/>
      </c>
      <c r="BD218" s="17">
        <v>199</v>
      </c>
      <c r="BE218" s="17" t="str">
        <f t="shared" si="43"/>
        <v/>
      </c>
      <c r="BF218" s="17">
        <f t="array" ref="BF218">IFERROR(INDEX($BC$231:$BC$491,SMALL(IF(("Q"=$BB$231:$BB$491),MATCH(ROW($BB$231:$BB$491),ROW($BB$231:$BB$491)),""),ROWS($A$1:A199))),0)</f>
        <v>0</v>
      </c>
      <c r="BG218" s="17" t="str">
        <f t="shared" si="39"/>
        <v/>
      </c>
    </row>
    <row r="219" spans="3:59">
      <c r="C219" s="17">
        <v>200</v>
      </c>
      <c r="D219" s="17" t="str">
        <f t="shared" si="40"/>
        <v/>
      </c>
      <c r="E219" s="17">
        <f t="array" ref="E219">IFERROR(INDEX($B$231:$B$491,SMALL(IF(("Q"=$A$231:$A$491),MATCH(ROW($A$231:$A$491),ROW($A$231:$A$491)),""),ROWS($A$1:A200))),0)</f>
        <v>0</v>
      </c>
      <c r="F219" s="17" t="str">
        <f t="shared" si="34"/>
        <v/>
      </c>
      <c r="Q219" s="17">
        <v>200</v>
      </c>
      <c r="R219" s="17" t="str">
        <f t="shared" si="35"/>
        <v/>
      </c>
      <c r="S219" s="17">
        <f t="array" ref="S219">IFERROR(INDEX($P$231:$P$491,SMALL(IF(("Q"=$O$231:$O$491),MATCH(ROW($O$231:$O$491),ROW($O$231:$O$491)),""),ROWS($A$1:A200))),0)</f>
        <v>0</v>
      </c>
      <c r="T219" s="17" t="str">
        <f t="shared" si="36"/>
        <v/>
      </c>
      <c r="AD219" s="17">
        <v>200</v>
      </c>
      <c r="AE219" s="17" t="str">
        <f t="shared" si="41"/>
        <v/>
      </c>
      <c r="AF219" s="17">
        <f t="array" ref="AF219">IFERROR(INDEX($AC$231:$AC$491,SMALL(IF(("Q"=$AB$231:$AB$491),MATCH(ROW($AB$231:$AB$491),ROW($AB$231:$AB$491)),""),ROWS($A$1:A200))),0)</f>
        <v>0</v>
      </c>
      <c r="AG219" s="17" t="str">
        <f t="shared" si="37"/>
        <v/>
      </c>
      <c r="AR219" s="17">
        <v>200</v>
      </c>
      <c r="AS219" s="17" t="str">
        <f t="shared" si="42"/>
        <v/>
      </c>
      <c r="AT219" s="17">
        <f t="array" ref="AT219">IFERROR(INDEX($AQ$231:$AQ$491,SMALL(IF(("Q"=$AP$231:$AP$491),MATCH(ROW($AP$231:$AP$491),ROW($AP$231:$AP$491)),""),ROWS($A$1:A200))),0)</f>
        <v>0</v>
      </c>
      <c r="AU219" s="17" t="str">
        <f t="shared" si="38"/>
        <v/>
      </c>
      <c r="BD219" s="17">
        <v>200</v>
      </c>
      <c r="BE219" s="17" t="str">
        <f t="shared" si="43"/>
        <v/>
      </c>
      <c r="BF219" s="17">
        <f t="array" ref="BF219">IFERROR(INDEX($BC$231:$BC$491,SMALL(IF(("Q"=$BB$231:$BB$491),MATCH(ROW($BB$231:$BB$491),ROW($BB$231:$BB$491)),""),ROWS($A$1:A200))),0)</f>
        <v>0</v>
      </c>
      <c r="BG219" s="17" t="str">
        <f t="shared" si="39"/>
        <v/>
      </c>
    </row>
    <row r="220" spans="3:59">
      <c r="C220" s="17">
        <v>201</v>
      </c>
      <c r="D220" s="17" t="str">
        <f t="shared" si="40"/>
        <v/>
      </c>
      <c r="E220" s="17">
        <f t="array" ref="E220">IFERROR(INDEX($B$231:$B$491,SMALL(IF(("Q"=$A$231:$A$491),MATCH(ROW($A$231:$A$491),ROW($A$231:$A$491)),""),ROWS($A$1:A201))),0)</f>
        <v>0</v>
      </c>
      <c r="F220" s="17" t="str">
        <f t="shared" si="34"/>
        <v/>
      </c>
      <c r="Q220" s="17">
        <v>201</v>
      </c>
      <c r="R220" s="17" t="str">
        <f t="shared" si="35"/>
        <v/>
      </c>
      <c r="S220" s="17">
        <f t="array" ref="S220">IFERROR(INDEX($P$231:$P$491,SMALL(IF(("Q"=$O$231:$O$491),MATCH(ROW($O$231:$O$491),ROW($O$231:$O$491)),""),ROWS($A$1:A201))),0)</f>
        <v>0</v>
      </c>
      <c r="T220" s="17" t="str">
        <f t="shared" si="36"/>
        <v/>
      </c>
      <c r="AD220" s="17">
        <v>201</v>
      </c>
      <c r="AE220" s="17" t="str">
        <f t="shared" si="41"/>
        <v/>
      </c>
      <c r="AF220" s="17">
        <f t="array" ref="AF220">IFERROR(INDEX($AC$231:$AC$491,SMALL(IF(("Q"=$AB$231:$AB$491),MATCH(ROW($AB$231:$AB$491),ROW($AB$231:$AB$491)),""),ROWS($A$1:A201))),0)</f>
        <v>0</v>
      </c>
      <c r="AG220" s="17" t="str">
        <f t="shared" si="37"/>
        <v/>
      </c>
      <c r="AR220" s="17">
        <v>201</v>
      </c>
      <c r="AS220" s="17" t="str">
        <f t="shared" si="42"/>
        <v/>
      </c>
      <c r="AT220" s="17">
        <f t="array" ref="AT220">IFERROR(INDEX($AQ$231:$AQ$491,SMALL(IF(("Q"=$AP$231:$AP$491),MATCH(ROW($AP$231:$AP$491),ROW($AP$231:$AP$491)),""),ROWS($A$1:A201))),0)</f>
        <v>0</v>
      </c>
      <c r="AU220" s="17" t="str">
        <f t="shared" si="38"/>
        <v/>
      </c>
      <c r="BD220" s="17">
        <v>201</v>
      </c>
      <c r="BE220" s="17" t="str">
        <f t="shared" si="43"/>
        <v/>
      </c>
      <c r="BF220" s="17">
        <f t="array" ref="BF220">IFERROR(INDEX($BC$231:$BC$491,SMALL(IF(("Q"=$BB$231:$BB$491),MATCH(ROW($BB$231:$BB$491),ROW($BB$231:$BB$491)),""),ROWS($A$1:A201))),0)</f>
        <v>0</v>
      </c>
      <c r="BG220" s="17" t="str">
        <f t="shared" si="39"/>
        <v/>
      </c>
    </row>
    <row r="221" spans="3:59">
      <c r="C221" s="17">
        <v>202</v>
      </c>
      <c r="D221" s="17" t="str">
        <f t="shared" si="40"/>
        <v/>
      </c>
      <c r="E221" s="17">
        <f t="array" ref="E221">IFERROR(INDEX($B$231:$B$491,SMALL(IF(("Q"=$A$231:$A$491),MATCH(ROW($A$231:$A$491),ROW($A$231:$A$491)),""),ROWS($A$1:A202))),0)</f>
        <v>0</v>
      </c>
      <c r="F221" s="17" t="str">
        <f t="shared" si="34"/>
        <v/>
      </c>
      <c r="Q221" s="17">
        <v>202</v>
      </c>
      <c r="R221" s="17" t="str">
        <f t="shared" si="35"/>
        <v/>
      </c>
      <c r="S221" s="17">
        <f t="array" ref="S221">IFERROR(INDEX($P$231:$P$491,SMALL(IF(("Q"=$O$231:$O$491),MATCH(ROW($O$231:$O$491),ROW($O$231:$O$491)),""),ROWS($A$1:A202))),0)</f>
        <v>0</v>
      </c>
      <c r="T221" s="17" t="str">
        <f t="shared" si="36"/>
        <v/>
      </c>
      <c r="AD221" s="17">
        <v>202</v>
      </c>
      <c r="AE221" s="17" t="str">
        <f t="shared" si="41"/>
        <v/>
      </c>
      <c r="AF221" s="17">
        <f t="array" ref="AF221">IFERROR(INDEX($AC$231:$AC$491,SMALL(IF(("Q"=$AB$231:$AB$491),MATCH(ROW($AB$231:$AB$491),ROW($AB$231:$AB$491)),""),ROWS($A$1:A202))),0)</f>
        <v>0</v>
      </c>
      <c r="AG221" s="17" t="str">
        <f t="shared" si="37"/>
        <v/>
      </c>
      <c r="AR221" s="17">
        <v>202</v>
      </c>
      <c r="AS221" s="17" t="str">
        <f t="shared" si="42"/>
        <v/>
      </c>
      <c r="AT221" s="17">
        <f t="array" ref="AT221">IFERROR(INDEX($AQ$231:$AQ$491,SMALL(IF(("Q"=$AP$231:$AP$491),MATCH(ROW($AP$231:$AP$491),ROW($AP$231:$AP$491)),""),ROWS($A$1:A202))),0)</f>
        <v>0</v>
      </c>
      <c r="AU221" s="17" t="str">
        <f t="shared" si="38"/>
        <v/>
      </c>
      <c r="BD221" s="17">
        <v>202</v>
      </c>
      <c r="BE221" s="17" t="str">
        <f t="shared" si="43"/>
        <v/>
      </c>
      <c r="BF221" s="17">
        <f t="array" ref="BF221">IFERROR(INDEX($BC$231:$BC$491,SMALL(IF(("Q"=$BB$231:$BB$491),MATCH(ROW($BB$231:$BB$491),ROW($BB$231:$BB$491)),""),ROWS($A$1:A202))),0)</f>
        <v>0</v>
      </c>
      <c r="BG221" s="17" t="str">
        <f t="shared" si="39"/>
        <v/>
      </c>
    </row>
    <row r="222" spans="3:59">
      <c r="C222" s="17">
        <v>203</v>
      </c>
      <c r="D222" s="17" t="str">
        <f t="shared" si="40"/>
        <v/>
      </c>
      <c r="E222" s="17">
        <f t="array" ref="E222">IFERROR(INDEX($B$231:$B$491,SMALL(IF(("Q"=$A$231:$A$491),MATCH(ROW($A$231:$A$491),ROW($A$231:$A$491)),""),ROWS($A$1:A203))),0)</f>
        <v>0</v>
      </c>
      <c r="F222" s="17" t="str">
        <f t="shared" si="34"/>
        <v/>
      </c>
      <c r="Q222" s="17">
        <v>203</v>
      </c>
      <c r="R222" s="17" t="str">
        <f t="shared" si="35"/>
        <v/>
      </c>
      <c r="S222" s="17">
        <f t="array" ref="S222">IFERROR(INDEX($P$231:$P$491,SMALL(IF(("Q"=$O$231:$O$491),MATCH(ROW($O$231:$O$491),ROW($O$231:$O$491)),""),ROWS($A$1:A203))),0)</f>
        <v>0</v>
      </c>
      <c r="T222" s="17" t="str">
        <f t="shared" si="36"/>
        <v/>
      </c>
      <c r="AD222" s="17">
        <v>203</v>
      </c>
      <c r="AE222" s="17" t="str">
        <f t="shared" si="41"/>
        <v/>
      </c>
      <c r="AF222" s="17">
        <f t="array" ref="AF222">IFERROR(INDEX($AC$231:$AC$491,SMALL(IF(("Q"=$AB$231:$AB$491),MATCH(ROW($AB$231:$AB$491),ROW($AB$231:$AB$491)),""),ROWS($A$1:A203))),0)</f>
        <v>0</v>
      </c>
      <c r="AG222" s="17" t="str">
        <f t="shared" si="37"/>
        <v/>
      </c>
      <c r="AR222" s="17">
        <v>203</v>
      </c>
      <c r="AS222" s="17" t="str">
        <f t="shared" si="42"/>
        <v/>
      </c>
      <c r="AT222" s="17">
        <f t="array" ref="AT222">IFERROR(INDEX($AQ$231:$AQ$491,SMALL(IF(("Q"=$AP$231:$AP$491),MATCH(ROW($AP$231:$AP$491),ROW($AP$231:$AP$491)),""),ROWS($A$1:A203))),0)</f>
        <v>0</v>
      </c>
      <c r="AU222" s="17" t="str">
        <f t="shared" si="38"/>
        <v/>
      </c>
      <c r="BD222" s="17">
        <v>203</v>
      </c>
      <c r="BE222" s="17" t="str">
        <f t="shared" si="43"/>
        <v/>
      </c>
      <c r="BF222" s="17">
        <f t="array" ref="BF222">IFERROR(INDEX($BC$231:$BC$491,SMALL(IF(("Q"=$BB$231:$BB$491),MATCH(ROW($BB$231:$BB$491),ROW($BB$231:$BB$491)),""),ROWS($A$1:A203))),0)</f>
        <v>0</v>
      </c>
      <c r="BG222" s="17" t="str">
        <f t="shared" si="39"/>
        <v/>
      </c>
    </row>
    <row r="223" spans="3:59">
      <c r="C223" s="17">
        <v>204</v>
      </c>
      <c r="D223" s="17" t="str">
        <f t="shared" si="40"/>
        <v/>
      </c>
      <c r="E223" s="17">
        <f t="array" ref="E223">IFERROR(INDEX($B$231:$B$491,SMALL(IF(("Q"=$A$231:$A$491),MATCH(ROW($A$231:$A$491),ROW($A$231:$A$491)),""),ROWS($A$1:A204))),0)</f>
        <v>0</v>
      </c>
      <c r="F223" s="17" t="str">
        <f t="shared" si="34"/>
        <v/>
      </c>
      <c r="Q223" s="17">
        <v>204</v>
      </c>
      <c r="R223" s="17" t="str">
        <f t="shared" si="35"/>
        <v/>
      </c>
      <c r="S223" s="17">
        <f t="array" ref="S223">IFERROR(INDEX($P$231:$P$491,SMALL(IF(("Q"=$O$231:$O$491),MATCH(ROW($O$231:$O$491),ROW($O$231:$O$491)),""),ROWS($A$1:A204))),0)</f>
        <v>0</v>
      </c>
      <c r="T223" s="17" t="str">
        <f t="shared" si="36"/>
        <v/>
      </c>
      <c r="AD223" s="17">
        <v>204</v>
      </c>
      <c r="AE223" s="17" t="str">
        <f t="shared" si="41"/>
        <v/>
      </c>
      <c r="AF223" s="17">
        <f t="array" ref="AF223">IFERROR(INDEX($AC$231:$AC$491,SMALL(IF(("Q"=$AB$231:$AB$491),MATCH(ROW($AB$231:$AB$491),ROW($AB$231:$AB$491)),""),ROWS($A$1:A204))),0)</f>
        <v>0</v>
      </c>
      <c r="AG223" s="17" t="str">
        <f t="shared" si="37"/>
        <v/>
      </c>
      <c r="AR223" s="17">
        <v>204</v>
      </c>
      <c r="AS223" s="17" t="str">
        <f t="shared" si="42"/>
        <v/>
      </c>
      <c r="AT223" s="17">
        <f t="array" ref="AT223">IFERROR(INDEX($AQ$231:$AQ$491,SMALL(IF(("Q"=$AP$231:$AP$491),MATCH(ROW($AP$231:$AP$491),ROW($AP$231:$AP$491)),""),ROWS($A$1:A204))),0)</f>
        <v>0</v>
      </c>
      <c r="AU223" s="17" t="str">
        <f t="shared" si="38"/>
        <v/>
      </c>
      <c r="BD223" s="17">
        <v>204</v>
      </c>
      <c r="BE223" s="17" t="str">
        <f t="shared" si="43"/>
        <v/>
      </c>
      <c r="BF223" s="17">
        <f t="array" ref="BF223">IFERROR(INDEX($BC$231:$BC$491,SMALL(IF(("Q"=$BB$231:$BB$491),MATCH(ROW($BB$231:$BB$491),ROW($BB$231:$BB$491)),""),ROWS($A$1:A204))),0)</f>
        <v>0</v>
      </c>
      <c r="BG223" s="17" t="str">
        <f t="shared" si="39"/>
        <v/>
      </c>
    </row>
    <row r="224" spans="3:59">
      <c r="C224" s="17">
        <v>205</v>
      </c>
      <c r="D224" s="17" t="str">
        <f t="shared" si="40"/>
        <v/>
      </c>
      <c r="E224" s="17">
        <f t="array" ref="E224">IFERROR(INDEX($B$231:$B$491,SMALL(IF(("Q"=$A$231:$A$491),MATCH(ROW($A$231:$A$491),ROW($A$231:$A$491)),""),ROWS($A$1:A205))),0)</f>
        <v>0</v>
      </c>
      <c r="F224" s="17" t="str">
        <f t="shared" si="34"/>
        <v/>
      </c>
      <c r="Q224" s="17">
        <v>205</v>
      </c>
      <c r="R224" s="17" t="str">
        <f t="shared" si="35"/>
        <v/>
      </c>
      <c r="S224" s="17">
        <f t="array" ref="S224">IFERROR(INDEX($P$231:$P$491,SMALL(IF(("Q"=$O$231:$O$491),MATCH(ROW($O$231:$O$491),ROW($O$231:$O$491)),""),ROWS($A$1:A205))),0)</f>
        <v>0</v>
      </c>
      <c r="T224" s="17" t="str">
        <f t="shared" si="36"/>
        <v/>
      </c>
      <c r="AD224" s="17">
        <v>205</v>
      </c>
      <c r="AE224" s="17" t="str">
        <f t="shared" si="41"/>
        <v/>
      </c>
      <c r="AF224" s="17">
        <f t="array" ref="AF224">IFERROR(INDEX($AC$231:$AC$491,SMALL(IF(("Q"=$AB$231:$AB$491),MATCH(ROW($AB$231:$AB$491),ROW($AB$231:$AB$491)),""),ROWS($A$1:A205))),0)</f>
        <v>0</v>
      </c>
      <c r="AG224" s="17" t="str">
        <f t="shared" si="37"/>
        <v/>
      </c>
      <c r="AR224" s="17">
        <v>205</v>
      </c>
      <c r="AS224" s="17" t="str">
        <f t="shared" si="42"/>
        <v/>
      </c>
      <c r="AT224" s="17">
        <f t="array" ref="AT224">IFERROR(INDEX($AQ$231:$AQ$491,SMALL(IF(("Q"=$AP$231:$AP$491),MATCH(ROW($AP$231:$AP$491),ROW($AP$231:$AP$491)),""),ROWS($A$1:A205))),0)</f>
        <v>0</v>
      </c>
      <c r="AU224" s="17" t="str">
        <f t="shared" si="38"/>
        <v/>
      </c>
      <c r="BD224" s="17">
        <v>205</v>
      </c>
      <c r="BE224" s="17" t="str">
        <f t="shared" si="43"/>
        <v/>
      </c>
      <c r="BF224" s="17">
        <f t="array" ref="BF224">IFERROR(INDEX($BC$231:$BC$491,SMALL(IF(("Q"=$BB$231:$BB$491),MATCH(ROW($BB$231:$BB$491),ROW($BB$231:$BB$491)),""),ROWS($A$1:A205))),0)</f>
        <v>0</v>
      </c>
      <c r="BG224" s="17" t="str">
        <f t="shared" si="39"/>
        <v/>
      </c>
    </row>
    <row r="225" spans="1:59">
      <c r="C225" s="17">
        <v>206</v>
      </c>
      <c r="D225" s="17" t="str">
        <f t="shared" si="40"/>
        <v/>
      </c>
      <c r="E225" s="17">
        <f t="array" ref="E225">IFERROR(INDEX($B$231:$B$491,SMALL(IF(("Q"=$A$231:$A$491),MATCH(ROW($A$231:$A$491),ROW($A$231:$A$491)),""),ROWS($A$1:A206))),0)</f>
        <v>0</v>
      </c>
      <c r="F225" s="17" t="str">
        <f t="shared" si="34"/>
        <v/>
      </c>
      <c r="Q225" s="17">
        <v>206</v>
      </c>
      <c r="R225" s="17" t="str">
        <f t="shared" si="35"/>
        <v/>
      </c>
      <c r="S225" s="17">
        <f t="array" ref="S225">IFERROR(INDEX($P$231:$P$491,SMALL(IF(("Q"=$O$231:$O$491),MATCH(ROW($O$231:$O$491),ROW($O$231:$O$491)),""),ROWS($A$1:A206))),0)</f>
        <v>0</v>
      </c>
      <c r="T225" s="17" t="str">
        <f t="shared" si="36"/>
        <v/>
      </c>
      <c r="AD225" s="17">
        <v>206</v>
      </c>
      <c r="AE225" s="17" t="str">
        <f t="shared" si="41"/>
        <v/>
      </c>
      <c r="AF225" s="17">
        <f t="array" ref="AF225">IFERROR(INDEX($AC$231:$AC$491,SMALL(IF(("Q"=$AB$231:$AB$491),MATCH(ROW($AB$231:$AB$491),ROW($AB$231:$AB$491)),""),ROWS($A$1:A206))),0)</f>
        <v>0</v>
      </c>
      <c r="AG225" s="17" t="str">
        <f t="shared" si="37"/>
        <v/>
      </c>
      <c r="AR225" s="17">
        <v>206</v>
      </c>
      <c r="AS225" s="17" t="str">
        <f t="shared" si="42"/>
        <v/>
      </c>
      <c r="AT225" s="17">
        <f t="array" ref="AT225">IFERROR(INDEX($AQ$231:$AQ$491,SMALL(IF(("Q"=$AP$231:$AP$491),MATCH(ROW($AP$231:$AP$491),ROW($AP$231:$AP$491)),""),ROWS($A$1:A206))),0)</f>
        <v>0</v>
      </c>
      <c r="AU225" s="17" t="str">
        <f t="shared" si="38"/>
        <v/>
      </c>
      <c r="BD225" s="17">
        <v>206</v>
      </c>
      <c r="BE225" s="17" t="str">
        <f t="shared" si="43"/>
        <v/>
      </c>
      <c r="BF225" s="17">
        <f t="array" ref="BF225">IFERROR(INDEX($BC$231:$BC$491,SMALL(IF(("Q"=$BB$231:$BB$491),MATCH(ROW($BB$231:$BB$491),ROW($BB$231:$BB$491)),""),ROWS($A$1:A206))),0)</f>
        <v>0</v>
      </c>
      <c r="BG225" s="17" t="str">
        <f t="shared" si="39"/>
        <v/>
      </c>
    </row>
    <row r="226" spans="1:59">
      <c r="C226" s="17">
        <v>207</v>
      </c>
      <c r="D226" s="17" t="str">
        <f t="shared" si="40"/>
        <v/>
      </c>
      <c r="E226" s="17">
        <f t="array" ref="E226">IFERROR(INDEX($B$231:$B$491,SMALL(IF(("Q"=$A$231:$A$491),MATCH(ROW($A$231:$A$491),ROW($A$231:$A$491)),""),ROWS($A$1:A207))),0)</f>
        <v>0</v>
      </c>
      <c r="F226" s="17" t="str">
        <f t="shared" si="34"/>
        <v/>
      </c>
      <c r="Q226" s="17">
        <v>207</v>
      </c>
      <c r="R226" s="17" t="str">
        <f t="shared" si="35"/>
        <v/>
      </c>
      <c r="S226" s="17">
        <f t="array" ref="S226">IFERROR(INDEX($P$231:$P$491,SMALL(IF(("Q"=$O$231:$O$491),MATCH(ROW($O$231:$O$491),ROW($O$231:$O$491)),""),ROWS($A$1:A207))),0)</f>
        <v>0</v>
      </c>
      <c r="T226" s="17" t="str">
        <f t="shared" si="36"/>
        <v/>
      </c>
      <c r="AD226" s="17">
        <v>207</v>
      </c>
      <c r="AE226" s="17" t="str">
        <f t="shared" si="41"/>
        <v/>
      </c>
      <c r="AF226" s="17">
        <f t="array" ref="AF226">IFERROR(INDEX($AC$231:$AC$491,SMALL(IF(("Q"=$AB$231:$AB$491),MATCH(ROW($AB$231:$AB$491),ROW($AB$231:$AB$491)),""),ROWS($A$1:A207))),0)</f>
        <v>0</v>
      </c>
      <c r="AG226" s="17" t="str">
        <f t="shared" si="37"/>
        <v/>
      </c>
      <c r="AR226" s="17">
        <v>207</v>
      </c>
      <c r="AS226" s="17" t="str">
        <f t="shared" si="42"/>
        <v/>
      </c>
      <c r="AT226" s="17">
        <f t="array" ref="AT226">IFERROR(INDEX($AQ$231:$AQ$491,SMALL(IF(("Q"=$AP$231:$AP$491),MATCH(ROW($AP$231:$AP$491),ROW($AP$231:$AP$491)),""),ROWS($A$1:A207))),0)</f>
        <v>0</v>
      </c>
      <c r="AU226" s="17" t="str">
        <f t="shared" si="38"/>
        <v/>
      </c>
      <c r="BD226" s="17">
        <v>207</v>
      </c>
      <c r="BE226" s="17" t="str">
        <f t="shared" si="43"/>
        <v/>
      </c>
      <c r="BF226" s="17">
        <f t="array" ref="BF226">IFERROR(INDEX($BC$231:$BC$491,SMALL(IF(("Q"=$BB$231:$BB$491),MATCH(ROW($BB$231:$BB$491),ROW($BB$231:$BB$491)),""),ROWS($A$1:A207))),0)</f>
        <v>0</v>
      </c>
      <c r="BG226" s="17" t="str">
        <f t="shared" si="39"/>
        <v/>
      </c>
    </row>
    <row r="227" spans="1:59">
      <c r="C227" s="17">
        <v>208</v>
      </c>
      <c r="D227" s="17" t="str">
        <f t="shared" si="40"/>
        <v/>
      </c>
      <c r="E227" s="17">
        <f t="array" ref="E227">IFERROR(INDEX($B$231:$B$491,SMALL(IF(("Q"=$A$231:$A$491),MATCH(ROW($A$231:$A$491),ROW($A$231:$A$491)),""),ROWS($A$1:A208))),0)</f>
        <v>0</v>
      </c>
      <c r="F227" s="17" t="str">
        <f t="shared" si="34"/>
        <v/>
      </c>
      <c r="Q227" s="17">
        <v>208</v>
      </c>
      <c r="R227" s="17" t="str">
        <f t="shared" si="35"/>
        <v/>
      </c>
      <c r="S227" s="17">
        <f t="array" ref="S227">IFERROR(INDEX($P$231:$P$491,SMALL(IF(("Q"=$O$231:$O$491),MATCH(ROW($O$231:$O$491),ROW($O$231:$O$491)),""),ROWS($A$1:A208))),0)</f>
        <v>0</v>
      </c>
      <c r="T227" s="17" t="str">
        <f t="shared" si="36"/>
        <v/>
      </c>
      <c r="AD227" s="17">
        <v>208</v>
      </c>
      <c r="AE227" s="17" t="str">
        <f t="shared" si="41"/>
        <v/>
      </c>
      <c r="AF227" s="17">
        <f t="array" ref="AF227">IFERROR(INDEX($AC$231:$AC$491,SMALL(IF(("Q"=$AB$231:$AB$491),MATCH(ROW($AB$231:$AB$491),ROW($AB$231:$AB$491)),""),ROWS($A$1:A208))),0)</f>
        <v>0</v>
      </c>
      <c r="AG227" s="17" t="str">
        <f t="shared" si="37"/>
        <v/>
      </c>
      <c r="AR227" s="17">
        <v>208</v>
      </c>
      <c r="AS227" s="17" t="str">
        <f t="shared" si="42"/>
        <v/>
      </c>
      <c r="AT227" s="17">
        <f t="array" ref="AT227">IFERROR(INDEX($AQ$231:$AQ$491,SMALL(IF(("Q"=$AP$231:$AP$491),MATCH(ROW($AP$231:$AP$491),ROW($AP$231:$AP$491)),""),ROWS($A$1:A208))),0)</f>
        <v>0</v>
      </c>
      <c r="AU227" s="17" t="str">
        <f t="shared" si="38"/>
        <v/>
      </c>
      <c r="BD227" s="17">
        <v>208</v>
      </c>
      <c r="BE227" s="17" t="str">
        <f t="shared" si="43"/>
        <v/>
      </c>
      <c r="BF227" s="17">
        <f t="array" ref="BF227">IFERROR(INDEX($BC$231:$BC$491,SMALL(IF(("Q"=$BB$231:$BB$491),MATCH(ROW($BB$231:$BB$491),ROW($BB$231:$BB$491)),""),ROWS($A$1:A208))),0)</f>
        <v>0</v>
      </c>
      <c r="BG227" s="17" t="str">
        <f t="shared" si="39"/>
        <v/>
      </c>
    </row>
    <row r="228" spans="1:59">
      <c r="C228" s="17">
        <v>209</v>
      </c>
      <c r="D228" s="17" t="str">
        <f t="shared" si="40"/>
        <v/>
      </c>
      <c r="E228" s="17">
        <f t="array" ref="E228">IFERROR(INDEX($B$231:$B$491,SMALL(IF(("Q"=$A$231:$A$491),MATCH(ROW($A$231:$A$491),ROW($A$231:$A$491)),""),ROWS($A$1:A209))),0)</f>
        <v>0</v>
      </c>
      <c r="F228" s="17" t="str">
        <f t="shared" si="34"/>
        <v/>
      </c>
      <c r="Q228" s="17">
        <v>209</v>
      </c>
      <c r="R228" s="17" t="str">
        <f t="shared" si="35"/>
        <v/>
      </c>
      <c r="S228" s="17">
        <f t="array" ref="S228">IFERROR(INDEX($P$231:$P$491,SMALL(IF(("Q"=$O$231:$O$491),MATCH(ROW($O$231:$O$491),ROW($O$231:$O$491)),""),ROWS($A$1:A209))),0)</f>
        <v>0</v>
      </c>
      <c r="T228" s="17" t="str">
        <f t="shared" si="36"/>
        <v/>
      </c>
      <c r="AD228" s="17">
        <v>209</v>
      </c>
      <c r="AE228" s="17" t="str">
        <f t="shared" si="41"/>
        <v/>
      </c>
      <c r="AF228" s="17">
        <f t="array" ref="AF228">IFERROR(INDEX($AC$231:$AC$491,SMALL(IF(("Q"=$AB$231:$AB$491),MATCH(ROW($AB$231:$AB$491),ROW($AB$231:$AB$491)),""),ROWS($A$1:A209))),0)</f>
        <v>0</v>
      </c>
      <c r="AG228" s="17" t="str">
        <f t="shared" si="37"/>
        <v/>
      </c>
      <c r="AR228" s="17">
        <v>209</v>
      </c>
      <c r="AS228" s="17" t="str">
        <f t="shared" si="42"/>
        <v/>
      </c>
      <c r="AT228" s="17">
        <f t="array" ref="AT228">IFERROR(INDEX($AQ$231:$AQ$491,SMALL(IF(("Q"=$AP$231:$AP$491),MATCH(ROW($AP$231:$AP$491),ROW($AP$231:$AP$491)),""),ROWS($A$1:A209))),0)</f>
        <v>0</v>
      </c>
      <c r="AU228" s="17" t="str">
        <f t="shared" si="38"/>
        <v/>
      </c>
      <c r="BD228" s="17">
        <v>209</v>
      </c>
      <c r="BE228" s="17" t="str">
        <f t="shared" si="43"/>
        <v/>
      </c>
      <c r="BF228" s="17">
        <f t="array" ref="BF228">IFERROR(INDEX($BC$231:$BC$491,SMALL(IF(("Q"=$BB$231:$BB$491),MATCH(ROW($BB$231:$BB$491),ROW($BB$231:$BB$491)),""),ROWS($A$1:A209))),0)</f>
        <v>0</v>
      </c>
      <c r="BG228" s="17" t="str">
        <f t="shared" si="39"/>
        <v/>
      </c>
    </row>
    <row r="231" spans="1:59">
      <c r="A231" s="17" t="str">
        <f>IF(B231&gt;0,"Q","X")</f>
        <v>X</v>
      </c>
      <c r="B231" s="17">
        <f>IF($J$18&gt;=C231,$I$18,0)</f>
        <v>0</v>
      </c>
      <c r="C231" s="17">
        <v>1</v>
      </c>
      <c r="O231" s="17" t="str">
        <f>IF(P231&gt;0,"Q","X")</f>
        <v>X</v>
      </c>
      <c r="P231" s="17">
        <f>IF($X$18&gt;=Q231,$W$18,0)</f>
        <v>0</v>
      </c>
      <c r="Q231" s="17">
        <v>1</v>
      </c>
      <c r="AB231" s="17" t="str">
        <f>IF(AC231&gt;0,"Q","X")</f>
        <v>X</v>
      </c>
      <c r="AC231" s="17">
        <f>IF($AK$18&gt;=AD231,$AJ$18,0)</f>
        <v>0</v>
      </c>
      <c r="AD231" s="17">
        <v>1</v>
      </c>
      <c r="AP231" s="17" t="str">
        <f>IF(AQ231&gt;0,"Q","X")</f>
        <v>X</v>
      </c>
      <c r="AQ231" s="17">
        <f>IF($AY$18&gt;=AR231,$AX$18,0)</f>
        <v>0</v>
      </c>
      <c r="AR231" s="17">
        <v>1</v>
      </c>
      <c r="BB231" s="17" t="str">
        <f>IF(BC231&gt;0,"Q","X")</f>
        <v>X</v>
      </c>
      <c r="BC231" s="17">
        <f>IF($BK$18&gt;=BD231,$BJ$18,0)</f>
        <v>0</v>
      </c>
      <c r="BD231" s="17">
        <v>1</v>
      </c>
    </row>
    <row r="232" spans="1:59">
      <c r="A232" s="17" t="str">
        <f t="shared" ref="A232:A295" si="44">IF(B232&gt;0,"Q","X")</f>
        <v>X</v>
      </c>
      <c r="B232" s="17">
        <f t="shared" ref="B232:B295" si="45">IF($J$18&gt;=C232,$I$18,0)</f>
        <v>0</v>
      </c>
      <c r="C232" s="17">
        <v>2</v>
      </c>
      <c r="O232" s="17" t="str">
        <f t="shared" ref="O232:O295" si="46">IF(P232&gt;0,"Q","X")</f>
        <v>X</v>
      </c>
      <c r="P232" s="17">
        <f t="shared" ref="P232:P295" si="47">IF($X$18&gt;=Q232,$W$18,0)</f>
        <v>0</v>
      </c>
      <c r="Q232" s="17">
        <v>2</v>
      </c>
      <c r="AB232" s="17" t="str">
        <f t="shared" ref="AB232:AB295" si="48">IF(AC232&gt;0,"Q","X")</f>
        <v>X</v>
      </c>
      <c r="AC232" s="17">
        <f t="shared" ref="AC232:AC295" si="49">IF($AK$18&gt;=AD232,$AJ$18,0)</f>
        <v>0</v>
      </c>
      <c r="AD232" s="17">
        <v>2</v>
      </c>
      <c r="AP232" s="17" t="str">
        <f t="shared" ref="AP232:AP295" si="50">IF(AQ232&gt;0,"Q","X")</f>
        <v>X</v>
      </c>
      <c r="AQ232" s="17">
        <f t="shared" ref="AQ232:AQ295" si="51">IF($AY$18&gt;=AR232,$AX$18,0)</f>
        <v>0</v>
      </c>
      <c r="AR232" s="17">
        <v>2</v>
      </c>
      <c r="BB232" s="17" t="str">
        <f t="shared" ref="BB232:BB295" si="52">IF(BC232&gt;0,"Q","X")</f>
        <v>X</v>
      </c>
      <c r="BC232" s="17">
        <f t="shared" ref="BC232:BC295" si="53">IF($AY$18&gt;=BD232,$AX$18,0)</f>
        <v>0</v>
      </c>
      <c r="BD232" s="17">
        <v>2</v>
      </c>
    </row>
    <row r="233" spans="1:59">
      <c r="A233" s="17" t="str">
        <f t="shared" si="44"/>
        <v>X</v>
      </c>
      <c r="B233" s="17">
        <f t="shared" si="45"/>
        <v>0</v>
      </c>
      <c r="C233" s="17">
        <v>3</v>
      </c>
      <c r="O233" s="17" t="str">
        <f t="shared" si="46"/>
        <v>X</v>
      </c>
      <c r="P233" s="17">
        <f t="shared" si="47"/>
        <v>0</v>
      </c>
      <c r="Q233" s="17">
        <v>3</v>
      </c>
      <c r="AB233" s="17" t="str">
        <f t="shared" si="48"/>
        <v>X</v>
      </c>
      <c r="AC233" s="17">
        <f t="shared" si="49"/>
        <v>0</v>
      </c>
      <c r="AD233" s="17">
        <v>3</v>
      </c>
      <c r="AP233" s="17" t="str">
        <f t="shared" si="50"/>
        <v>X</v>
      </c>
      <c r="AQ233" s="17">
        <f t="shared" si="51"/>
        <v>0</v>
      </c>
      <c r="AR233" s="17">
        <v>3</v>
      </c>
      <c r="BB233" s="17" t="str">
        <f t="shared" si="52"/>
        <v>X</v>
      </c>
      <c r="BC233" s="17">
        <f t="shared" si="53"/>
        <v>0</v>
      </c>
      <c r="BD233" s="17">
        <v>3</v>
      </c>
    </row>
    <row r="234" spans="1:59">
      <c r="A234" s="17" t="str">
        <f t="shared" si="44"/>
        <v>X</v>
      </c>
      <c r="B234" s="17">
        <f t="shared" si="45"/>
        <v>0</v>
      </c>
      <c r="C234" s="17">
        <v>4</v>
      </c>
      <c r="O234" s="17" t="str">
        <f t="shared" si="46"/>
        <v>X</v>
      </c>
      <c r="P234" s="17">
        <f t="shared" si="47"/>
        <v>0</v>
      </c>
      <c r="Q234" s="17">
        <v>4</v>
      </c>
      <c r="AB234" s="17" t="str">
        <f t="shared" si="48"/>
        <v>X</v>
      </c>
      <c r="AC234" s="17">
        <f t="shared" si="49"/>
        <v>0</v>
      </c>
      <c r="AD234" s="17">
        <v>4</v>
      </c>
      <c r="AP234" s="17" t="str">
        <f t="shared" si="50"/>
        <v>X</v>
      </c>
      <c r="AQ234" s="17">
        <f t="shared" si="51"/>
        <v>0</v>
      </c>
      <c r="AR234" s="17">
        <v>4</v>
      </c>
      <c r="BB234" s="17" t="str">
        <f t="shared" si="52"/>
        <v>X</v>
      </c>
      <c r="BC234" s="17">
        <f t="shared" si="53"/>
        <v>0</v>
      </c>
      <c r="BD234" s="17">
        <v>4</v>
      </c>
    </row>
    <row r="235" spans="1:59">
      <c r="A235" s="17" t="str">
        <f t="shared" si="44"/>
        <v>X</v>
      </c>
      <c r="B235" s="17">
        <f t="shared" si="45"/>
        <v>0</v>
      </c>
      <c r="C235" s="17">
        <v>5</v>
      </c>
      <c r="O235" s="17" t="str">
        <f t="shared" si="46"/>
        <v>X</v>
      </c>
      <c r="P235" s="17">
        <f t="shared" si="47"/>
        <v>0</v>
      </c>
      <c r="Q235" s="17">
        <v>5</v>
      </c>
      <c r="AB235" s="17" t="str">
        <f t="shared" si="48"/>
        <v>X</v>
      </c>
      <c r="AC235" s="17">
        <f t="shared" si="49"/>
        <v>0</v>
      </c>
      <c r="AD235" s="17">
        <v>5</v>
      </c>
      <c r="AP235" s="17" t="str">
        <f t="shared" si="50"/>
        <v>X</v>
      </c>
      <c r="AQ235" s="17">
        <f t="shared" si="51"/>
        <v>0</v>
      </c>
      <c r="AR235" s="17">
        <v>5</v>
      </c>
      <c r="BB235" s="17" t="str">
        <f t="shared" si="52"/>
        <v>X</v>
      </c>
      <c r="BC235" s="17">
        <f t="shared" si="53"/>
        <v>0</v>
      </c>
      <c r="BD235" s="17">
        <v>5</v>
      </c>
    </row>
    <row r="236" spans="1:59">
      <c r="A236" s="17" t="str">
        <f t="shared" si="44"/>
        <v>X</v>
      </c>
      <c r="B236" s="17">
        <f t="shared" si="45"/>
        <v>0</v>
      </c>
      <c r="C236" s="17">
        <v>6</v>
      </c>
      <c r="O236" s="17" t="str">
        <f t="shared" si="46"/>
        <v>X</v>
      </c>
      <c r="P236" s="17">
        <f t="shared" si="47"/>
        <v>0</v>
      </c>
      <c r="Q236" s="17">
        <v>6</v>
      </c>
      <c r="AB236" s="17" t="str">
        <f t="shared" si="48"/>
        <v>X</v>
      </c>
      <c r="AC236" s="17">
        <f t="shared" si="49"/>
        <v>0</v>
      </c>
      <c r="AD236" s="17">
        <v>6</v>
      </c>
      <c r="AP236" s="17" t="str">
        <f t="shared" si="50"/>
        <v>X</v>
      </c>
      <c r="AQ236" s="17">
        <f t="shared" si="51"/>
        <v>0</v>
      </c>
      <c r="AR236" s="17">
        <v>6</v>
      </c>
      <c r="BB236" s="17" t="str">
        <f t="shared" si="52"/>
        <v>X</v>
      </c>
      <c r="BC236" s="17">
        <f t="shared" si="53"/>
        <v>0</v>
      </c>
      <c r="BD236" s="17">
        <v>6</v>
      </c>
    </row>
    <row r="237" spans="1:59">
      <c r="A237" s="17" t="str">
        <f t="shared" si="44"/>
        <v>X</v>
      </c>
      <c r="B237" s="17">
        <f t="shared" si="45"/>
        <v>0</v>
      </c>
      <c r="C237" s="17">
        <v>7</v>
      </c>
      <c r="O237" s="17" t="str">
        <f t="shared" si="46"/>
        <v>X</v>
      </c>
      <c r="P237" s="17">
        <f t="shared" si="47"/>
        <v>0</v>
      </c>
      <c r="Q237" s="17">
        <v>7</v>
      </c>
      <c r="AB237" s="17" t="str">
        <f t="shared" si="48"/>
        <v>X</v>
      </c>
      <c r="AC237" s="17">
        <f t="shared" si="49"/>
        <v>0</v>
      </c>
      <c r="AD237" s="17">
        <v>7</v>
      </c>
      <c r="AP237" s="17" t="str">
        <f t="shared" si="50"/>
        <v>X</v>
      </c>
      <c r="AQ237" s="17">
        <f t="shared" si="51"/>
        <v>0</v>
      </c>
      <c r="AR237" s="17">
        <v>7</v>
      </c>
      <c r="BB237" s="17" t="str">
        <f t="shared" si="52"/>
        <v>X</v>
      </c>
      <c r="BC237" s="17">
        <f t="shared" si="53"/>
        <v>0</v>
      </c>
      <c r="BD237" s="17">
        <v>7</v>
      </c>
    </row>
    <row r="238" spans="1:59">
      <c r="A238" s="17" t="str">
        <f t="shared" si="44"/>
        <v>X</v>
      </c>
      <c r="B238" s="17">
        <f t="shared" si="45"/>
        <v>0</v>
      </c>
      <c r="C238" s="17">
        <v>8</v>
      </c>
      <c r="O238" s="17" t="str">
        <f t="shared" si="46"/>
        <v>X</v>
      </c>
      <c r="P238" s="17">
        <f t="shared" si="47"/>
        <v>0</v>
      </c>
      <c r="Q238" s="17">
        <v>8</v>
      </c>
      <c r="AB238" s="17" t="str">
        <f t="shared" si="48"/>
        <v>X</v>
      </c>
      <c r="AC238" s="17">
        <f t="shared" si="49"/>
        <v>0</v>
      </c>
      <c r="AD238" s="17">
        <v>8</v>
      </c>
      <c r="AP238" s="17" t="str">
        <f t="shared" si="50"/>
        <v>X</v>
      </c>
      <c r="AQ238" s="17">
        <f t="shared" si="51"/>
        <v>0</v>
      </c>
      <c r="AR238" s="17">
        <v>8</v>
      </c>
      <c r="BB238" s="17" t="str">
        <f t="shared" si="52"/>
        <v>X</v>
      </c>
      <c r="BC238" s="17">
        <f t="shared" si="53"/>
        <v>0</v>
      </c>
      <c r="BD238" s="17">
        <v>8</v>
      </c>
    </row>
    <row r="239" spans="1:59">
      <c r="A239" s="17" t="str">
        <f t="shared" si="44"/>
        <v>X</v>
      </c>
      <c r="B239" s="17">
        <f t="shared" si="45"/>
        <v>0</v>
      </c>
      <c r="C239" s="17">
        <v>9</v>
      </c>
      <c r="O239" s="17" t="str">
        <f t="shared" si="46"/>
        <v>X</v>
      </c>
      <c r="P239" s="17">
        <f t="shared" si="47"/>
        <v>0</v>
      </c>
      <c r="Q239" s="17">
        <v>9</v>
      </c>
      <c r="AB239" s="17" t="str">
        <f t="shared" si="48"/>
        <v>X</v>
      </c>
      <c r="AC239" s="17">
        <f t="shared" si="49"/>
        <v>0</v>
      </c>
      <c r="AD239" s="17">
        <v>9</v>
      </c>
      <c r="AP239" s="17" t="str">
        <f t="shared" si="50"/>
        <v>X</v>
      </c>
      <c r="AQ239" s="17">
        <f t="shared" si="51"/>
        <v>0</v>
      </c>
      <c r="AR239" s="17">
        <v>9</v>
      </c>
      <c r="BB239" s="17" t="str">
        <f t="shared" si="52"/>
        <v>X</v>
      </c>
      <c r="BC239" s="17">
        <f t="shared" si="53"/>
        <v>0</v>
      </c>
      <c r="BD239" s="17">
        <v>9</v>
      </c>
    </row>
    <row r="240" spans="1:59">
      <c r="A240" s="17" t="str">
        <f t="shared" si="44"/>
        <v>X</v>
      </c>
      <c r="B240" s="17">
        <f t="shared" si="45"/>
        <v>0</v>
      </c>
      <c r="C240" s="17">
        <v>10</v>
      </c>
      <c r="O240" s="17" t="str">
        <f t="shared" si="46"/>
        <v>X</v>
      </c>
      <c r="P240" s="17">
        <f t="shared" si="47"/>
        <v>0</v>
      </c>
      <c r="Q240" s="17">
        <v>10</v>
      </c>
      <c r="AB240" s="17" t="str">
        <f t="shared" si="48"/>
        <v>X</v>
      </c>
      <c r="AC240" s="17">
        <f t="shared" si="49"/>
        <v>0</v>
      </c>
      <c r="AD240" s="17">
        <v>10</v>
      </c>
      <c r="AP240" s="17" t="str">
        <f t="shared" si="50"/>
        <v>X</v>
      </c>
      <c r="AQ240" s="17">
        <f t="shared" si="51"/>
        <v>0</v>
      </c>
      <c r="AR240" s="17">
        <v>10</v>
      </c>
      <c r="BB240" s="17" t="str">
        <f t="shared" si="52"/>
        <v>X</v>
      </c>
      <c r="BC240" s="17">
        <f t="shared" si="53"/>
        <v>0</v>
      </c>
      <c r="BD240" s="17">
        <v>10</v>
      </c>
    </row>
    <row r="241" spans="1:56">
      <c r="A241" s="17" t="str">
        <f t="shared" si="44"/>
        <v>X</v>
      </c>
      <c r="B241" s="17">
        <f t="shared" si="45"/>
        <v>0</v>
      </c>
      <c r="C241" s="17">
        <v>11</v>
      </c>
      <c r="O241" s="17" t="str">
        <f t="shared" si="46"/>
        <v>X</v>
      </c>
      <c r="P241" s="17">
        <f t="shared" si="47"/>
        <v>0</v>
      </c>
      <c r="Q241" s="17">
        <v>11</v>
      </c>
      <c r="AB241" s="17" t="str">
        <f t="shared" si="48"/>
        <v>X</v>
      </c>
      <c r="AC241" s="17">
        <f t="shared" si="49"/>
        <v>0</v>
      </c>
      <c r="AD241" s="17">
        <v>11</v>
      </c>
      <c r="AP241" s="17" t="str">
        <f t="shared" si="50"/>
        <v>X</v>
      </c>
      <c r="AQ241" s="17">
        <f t="shared" si="51"/>
        <v>0</v>
      </c>
      <c r="AR241" s="17">
        <v>11</v>
      </c>
      <c r="BB241" s="17" t="str">
        <f t="shared" si="52"/>
        <v>X</v>
      </c>
      <c r="BC241" s="17">
        <f t="shared" si="53"/>
        <v>0</v>
      </c>
      <c r="BD241" s="17">
        <v>11</v>
      </c>
    </row>
    <row r="242" spans="1:56">
      <c r="A242" s="17" t="str">
        <f t="shared" si="44"/>
        <v>X</v>
      </c>
      <c r="B242" s="17">
        <f t="shared" si="45"/>
        <v>0</v>
      </c>
      <c r="C242" s="17">
        <v>12</v>
      </c>
      <c r="O242" s="17" t="str">
        <f t="shared" si="46"/>
        <v>X</v>
      </c>
      <c r="P242" s="17">
        <f t="shared" si="47"/>
        <v>0</v>
      </c>
      <c r="Q242" s="17">
        <v>12</v>
      </c>
      <c r="AB242" s="17" t="str">
        <f t="shared" si="48"/>
        <v>X</v>
      </c>
      <c r="AC242" s="17">
        <f t="shared" si="49"/>
        <v>0</v>
      </c>
      <c r="AD242" s="17">
        <v>12</v>
      </c>
      <c r="AP242" s="17" t="str">
        <f t="shared" si="50"/>
        <v>X</v>
      </c>
      <c r="AQ242" s="17">
        <f t="shared" si="51"/>
        <v>0</v>
      </c>
      <c r="AR242" s="17">
        <v>12</v>
      </c>
      <c r="BB242" s="17" t="str">
        <f t="shared" si="52"/>
        <v>X</v>
      </c>
      <c r="BC242" s="17">
        <f t="shared" si="53"/>
        <v>0</v>
      </c>
      <c r="BD242" s="17">
        <v>12</v>
      </c>
    </row>
    <row r="243" spans="1:56">
      <c r="A243" s="17" t="str">
        <f t="shared" si="44"/>
        <v>X</v>
      </c>
      <c r="B243" s="17">
        <f t="shared" si="45"/>
        <v>0</v>
      </c>
      <c r="C243" s="17">
        <v>13</v>
      </c>
      <c r="O243" s="17" t="str">
        <f t="shared" si="46"/>
        <v>X</v>
      </c>
      <c r="P243" s="17">
        <f t="shared" si="47"/>
        <v>0</v>
      </c>
      <c r="Q243" s="17">
        <v>13</v>
      </c>
      <c r="AB243" s="17" t="str">
        <f t="shared" si="48"/>
        <v>X</v>
      </c>
      <c r="AC243" s="17">
        <f t="shared" si="49"/>
        <v>0</v>
      </c>
      <c r="AD243" s="17">
        <v>13</v>
      </c>
      <c r="AP243" s="17" t="str">
        <f t="shared" si="50"/>
        <v>X</v>
      </c>
      <c r="AQ243" s="17">
        <f t="shared" si="51"/>
        <v>0</v>
      </c>
      <c r="AR243" s="17">
        <v>13</v>
      </c>
      <c r="BB243" s="17" t="str">
        <f t="shared" si="52"/>
        <v>X</v>
      </c>
      <c r="BC243" s="17">
        <f t="shared" si="53"/>
        <v>0</v>
      </c>
      <c r="BD243" s="17">
        <v>13</v>
      </c>
    </row>
    <row r="244" spans="1:56">
      <c r="A244" s="17" t="str">
        <f t="shared" si="44"/>
        <v>X</v>
      </c>
      <c r="B244" s="17">
        <f t="shared" si="45"/>
        <v>0</v>
      </c>
      <c r="C244" s="17">
        <v>14</v>
      </c>
      <c r="O244" s="17" t="str">
        <f t="shared" si="46"/>
        <v>X</v>
      </c>
      <c r="P244" s="17">
        <f t="shared" si="47"/>
        <v>0</v>
      </c>
      <c r="Q244" s="17">
        <v>14</v>
      </c>
      <c r="AB244" s="17" t="str">
        <f t="shared" si="48"/>
        <v>X</v>
      </c>
      <c r="AC244" s="17">
        <f t="shared" si="49"/>
        <v>0</v>
      </c>
      <c r="AD244" s="17">
        <v>14</v>
      </c>
      <c r="AP244" s="17" t="str">
        <f t="shared" si="50"/>
        <v>X</v>
      </c>
      <c r="AQ244" s="17">
        <f t="shared" si="51"/>
        <v>0</v>
      </c>
      <c r="AR244" s="17">
        <v>14</v>
      </c>
      <c r="BB244" s="17" t="str">
        <f t="shared" si="52"/>
        <v>X</v>
      </c>
      <c r="BC244" s="17">
        <f t="shared" si="53"/>
        <v>0</v>
      </c>
      <c r="BD244" s="17">
        <v>14</v>
      </c>
    </row>
    <row r="245" spans="1:56">
      <c r="A245" s="17" t="str">
        <f t="shared" si="44"/>
        <v>X</v>
      </c>
      <c r="B245" s="17">
        <f t="shared" si="45"/>
        <v>0</v>
      </c>
      <c r="C245" s="17">
        <v>15</v>
      </c>
      <c r="O245" s="17" t="str">
        <f t="shared" si="46"/>
        <v>X</v>
      </c>
      <c r="P245" s="17">
        <f t="shared" si="47"/>
        <v>0</v>
      </c>
      <c r="Q245" s="17">
        <v>15</v>
      </c>
      <c r="AB245" s="17" t="str">
        <f t="shared" si="48"/>
        <v>X</v>
      </c>
      <c r="AC245" s="17">
        <f t="shared" si="49"/>
        <v>0</v>
      </c>
      <c r="AD245" s="17">
        <v>15</v>
      </c>
      <c r="AP245" s="17" t="str">
        <f t="shared" si="50"/>
        <v>X</v>
      </c>
      <c r="AQ245" s="17">
        <f t="shared" si="51"/>
        <v>0</v>
      </c>
      <c r="AR245" s="17">
        <v>15</v>
      </c>
      <c r="BB245" s="17" t="str">
        <f t="shared" si="52"/>
        <v>X</v>
      </c>
      <c r="BC245" s="17">
        <f t="shared" si="53"/>
        <v>0</v>
      </c>
      <c r="BD245" s="17">
        <v>15</v>
      </c>
    </row>
    <row r="246" spans="1:56">
      <c r="A246" s="17" t="str">
        <f t="shared" si="44"/>
        <v>X</v>
      </c>
      <c r="B246" s="17">
        <f t="shared" si="45"/>
        <v>0</v>
      </c>
      <c r="C246" s="17">
        <v>16</v>
      </c>
      <c r="O246" s="17" t="str">
        <f t="shared" si="46"/>
        <v>X</v>
      </c>
      <c r="P246" s="17">
        <f t="shared" si="47"/>
        <v>0</v>
      </c>
      <c r="Q246" s="17">
        <v>16</v>
      </c>
      <c r="AB246" s="17" t="str">
        <f t="shared" si="48"/>
        <v>X</v>
      </c>
      <c r="AC246" s="17">
        <f t="shared" si="49"/>
        <v>0</v>
      </c>
      <c r="AD246" s="17">
        <v>16</v>
      </c>
      <c r="AP246" s="17" t="str">
        <f t="shared" si="50"/>
        <v>X</v>
      </c>
      <c r="AQ246" s="17">
        <f t="shared" si="51"/>
        <v>0</v>
      </c>
      <c r="AR246" s="17">
        <v>16</v>
      </c>
      <c r="BB246" s="17" t="str">
        <f t="shared" si="52"/>
        <v>X</v>
      </c>
      <c r="BC246" s="17">
        <f t="shared" si="53"/>
        <v>0</v>
      </c>
      <c r="BD246" s="17">
        <v>16</v>
      </c>
    </row>
    <row r="247" spans="1:56">
      <c r="A247" s="17" t="str">
        <f t="shared" si="44"/>
        <v>X</v>
      </c>
      <c r="B247" s="17">
        <f t="shared" si="45"/>
        <v>0</v>
      </c>
      <c r="C247" s="17">
        <v>17</v>
      </c>
      <c r="O247" s="17" t="str">
        <f t="shared" si="46"/>
        <v>X</v>
      </c>
      <c r="P247" s="17">
        <f t="shared" si="47"/>
        <v>0</v>
      </c>
      <c r="Q247" s="17">
        <v>17</v>
      </c>
      <c r="AB247" s="17" t="str">
        <f t="shared" si="48"/>
        <v>X</v>
      </c>
      <c r="AC247" s="17">
        <f t="shared" si="49"/>
        <v>0</v>
      </c>
      <c r="AD247" s="17">
        <v>17</v>
      </c>
      <c r="AP247" s="17" t="str">
        <f t="shared" si="50"/>
        <v>X</v>
      </c>
      <c r="AQ247" s="17">
        <f t="shared" si="51"/>
        <v>0</v>
      </c>
      <c r="AR247" s="17">
        <v>17</v>
      </c>
      <c r="BB247" s="17" t="str">
        <f t="shared" si="52"/>
        <v>X</v>
      </c>
      <c r="BC247" s="17">
        <f t="shared" si="53"/>
        <v>0</v>
      </c>
      <c r="BD247" s="17">
        <v>17</v>
      </c>
    </row>
    <row r="248" spans="1:56">
      <c r="A248" s="17" t="str">
        <f t="shared" si="44"/>
        <v>X</v>
      </c>
      <c r="B248" s="17">
        <f t="shared" si="45"/>
        <v>0</v>
      </c>
      <c r="C248" s="17">
        <v>18</v>
      </c>
      <c r="O248" s="17" t="str">
        <f t="shared" si="46"/>
        <v>X</v>
      </c>
      <c r="P248" s="17">
        <f t="shared" si="47"/>
        <v>0</v>
      </c>
      <c r="Q248" s="17">
        <v>18</v>
      </c>
      <c r="AB248" s="17" t="str">
        <f t="shared" si="48"/>
        <v>X</v>
      </c>
      <c r="AC248" s="17">
        <f t="shared" si="49"/>
        <v>0</v>
      </c>
      <c r="AD248" s="17">
        <v>18</v>
      </c>
      <c r="AP248" s="17" t="str">
        <f t="shared" si="50"/>
        <v>X</v>
      </c>
      <c r="AQ248" s="17">
        <f t="shared" si="51"/>
        <v>0</v>
      </c>
      <c r="AR248" s="17">
        <v>18</v>
      </c>
      <c r="BB248" s="17" t="str">
        <f t="shared" si="52"/>
        <v>X</v>
      </c>
      <c r="BC248" s="17">
        <f t="shared" si="53"/>
        <v>0</v>
      </c>
      <c r="BD248" s="17">
        <v>18</v>
      </c>
    </row>
    <row r="249" spans="1:56">
      <c r="A249" s="17" t="str">
        <f t="shared" si="44"/>
        <v>X</v>
      </c>
      <c r="B249" s="17">
        <f t="shared" si="45"/>
        <v>0</v>
      </c>
      <c r="C249" s="17">
        <v>19</v>
      </c>
      <c r="O249" s="17" t="str">
        <f t="shared" si="46"/>
        <v>X</v>
      </c>
      <c r="P249" s="17">
        <f t="shared" si="47"/>
        <v>0</v>
      </c>
      <c r="Q249" s="17">
        <v>19</v>
      </c>
      <c r="AB249" s="17" t="str">
        <f t="shared" si="48"/>
        <v>X</v>
      </c>
      <c r="AC249" s="17">
        <f t="shared" si="49"/>
        <v>0</v>
      </c>
      <c r="AD249" s="17">
        <v>19</v>
      </c>
      <c r="AP249" s="17" t="str">
        <f t="shared" si="50"/>
        <v>X</v>
      </c>
      <c r="AQ249" s="17">
        <f t="shared" si="51"/>
        <v>0</v>
      </c>
      <c r="AR249" s="17">
        <v>19</v>
      </c>
      <c r="BB249" s="17" t="str">
        <f t="shared" si="52"/>
        <v>X</v>
      </c>
      <c r="BC249" s="17">
        <f t="shared" si="53"/>
        <v>0</v>
      </c>
      <c r="BD249" s="17">
        <v>19</v>
      </c>
    </row>
    <row r="250" spans="1:56">
      <c r="A250" s="17" t="str">
        <f t="shared" si="44"/>
        <v>X</v>
      </c>
      <c r="B250" s="17">
        <f t="shared" si="45"/>
        <v>0</v>
      </c>
      <c r="C250" s="17">
        <v>20</v>
      </c>
      <c r="O250" s="17" t="str">
        <f t="shared" si="46"/>
        <v>X</v>
      </c>
      <c r="P250" s="17">
        <f t="shared" si="47"/>
        <v>0</v>
      </c>
      <c r="Q250" s="17">
        <v>20</v>
      </c>
      <c r="AB250" s="17" t="str">
        <f t="shared" si="48"/>
        <v>X</v>
      </c>
      <c r="AC250" s="17">
        <f t="shared" si="49"/>
        <v>0</v>
      </c>
      <c r="AD250" s="17">
        <v>20</v>
      </c>
      <c r="AP250" s="17" t="str">
        <f t="shared" si="50"/>
        <v>X</v>
      </c>
      <c r="AQ250" s="17">
        <f t="shared" si="51"/>
        <v>0</v>
      </c>
      <c r="AR250" s="17">
        <v>20</v>
      </c>
      <c r="BB250" s="17" t="str">
        <f t="shared" si="52"/>
        <v>X</v>
      </c>
      <c r="BC250" s="17">
        <f t="shared" si="53"/>
        <v>0</v>
      </c>
      <c r="BD250" s="17">
        <v>20</v>
      </c>
    </row>
    <row r="251" spans="1:56">
      <c r="A251" s="17" t="str">
        <f t="shared" si="44"/>
        <v>X</v>
      </c>
      <c r="B251" s="17">
        <f t="shared" si="45"/>
        <v>0</v>
      </c>
      <c r="C251" s="17">
        <v>21</v>
      </c>
      <c r="O251" s="17" t="str">
        <f t="shared" si="46"/>
        <v>X</v>
      </c>
      <c r="P251" s="17">
        <f t="shared" si="47"/>
        <v>0</v>
      </c>
      <c r="Q251" s="17">
        <v>21</v>
      </c>
      <c r="AB251" s="17" t="str">
        <f t="shared" si="48"/>
        <v>X</v>
      </c>
      <c r="AC251" s="17">
        <f t="shared" si="49"/>
        <v>0</v>
      </c>
      <c r="AD251" s="17">
        <v>21</v>
      </c>
      <c r="AP251" s="17" t="str">
        <f t="shared" si="50"/>
        <v>X</v>
      </c>
      <c r="AQ251" s="17">
        <f t="shared" si="51"/>
        <v>0</v>
      </c>
      <c r="AR251" s="17">
        <v>21</v>
      </c>
      <c r="BB251" s="17" t="str">
        <f t="shared" si="52"/>
        <v>X</v>
      </c>
      <c r="BC251" s="17">
        <f t="shared" si="53"/>
        <v>0</v>
      </c>
      <c r="BD251" s="17">
        <v>21</v>
      </c>
    </row>
    <row r="252" spans="1:56">
      <c r="A252" s="17" t="str">
        <f t="shared" si="44"/>
        <v>X</v>
      </c>
      <c r="B252" s="17">
        <f t="shared" si="45"/>
        <v>0</v>
      </c>
      <c r="C252" s="17">
        <v>22</v>
      </c>
      <c r="O252" s="17" t="str">
        <f t="shared" si="46"/>
        <v>X</v>
      </c>
      <c r="P252" s="17">
        <f t="shared" si="47"/>
        <v>0</v>
      </c>
      <c r="Q252" s="17">
        <v>22</v>
      </c>
      <c r="AB252" s="17" t="str">
        <f t="shared" si="48"/>
        <v>X</v>
      </c>
      <c r="AC252" s="17">
        <f t="shared" si="49"/>
        <v>0</v>
      </c>
      <c r="AD252" s="17">
        <v>22</v>
      </c>
      <c r="AP252" s="17" t="str">
        <f t="shared" si="50"/>
        <v>X</v>
      </c>
      <c r="AQ252" s="17">
        <f t="shared" si="51"/>
        <v>0</v>
      </c>
      <c r="AR252" s="17">
        <v>22</v>
      </c>
      <c r="BB252" s="17" t="str">
        <f t="shared" si="52"/>
        <v>X</v>
      </c>
      <c r="BC252" s="17">
        <f t="shared" si="53"/>
        <v>0</v>
      </c>
      <c r="BD252" s="17">
        <v>22</v>
      </c>
    </row>
    <row r="253" spans="1:56">
      <c r="A253" s="17" t="str">
        <f t="shared" si="44"/>
        <v>X</v>
      </c>
      <c r="B253" s="17">
        <f t="shared" si="45"/>
        <v>0</v>
      </c>
      <c r="C253" s="17">
        <v>23</v>
      </c>
      <c r="O253" s="17" t="str">
        <f t="shared" si="46"/>
        <v>X</v>
      </c>
      <c r="P253" s="17">
        <f t="shared" si="47"/>
        <v>0</v>
      </c>
      <c r="Q253" s="17">
        <v>23</v>
      </c>
      <c r="AB253" s="17" t="str">
        <f t="shared" si="48"/>
        <v>X</v>
      </c>
      <c r="AC253" s="17">
        <f t="shared" si="49"/>
        <v>0</v>
      </c>
      <c r="AD253" s="17">
        <v>23</v>
      </c>
      <c r="AP253" s="17" t="str">
        <f t="shared" si="50"/>
        <v>X</v>
      </c>
      <c r="AQ253" s="17">
        <f t="shared" si="51"/>
        <v>0</v>
      </c>
      <c r="AR253" s="17">
        <v>23</v>
      </c>
      <c r="BB253" s="17" t="str">
        <f t="shared" si="52"/>
        <v>X</v>
      </c>
      <c r="BC253" s="17">
        <f t="shared" si="53"/>
        <v>0</v>
      </c>
      <c r="BD253" s="17">
        <v>23</v>
      </c>
    </row>
    <row r="254" spans="1:56">
      <c r="A254" s="17" t="str">
        <f t="shared" si="44"/>
        <v>X</v>
      </c>
      <c r="B254" s="17">
        <f t="shared" si="45"/>
        <v>0</v>
      </c>
      <c r="C254" s="17">
        <v>24</v>
      </c>
      <c r="O254" s="17" t="str">
        <f t="shared" si="46"/>
        <v>X</v>
      </c>
      <c r="P254" s="17">
        <f t="shared" si="47"/>
        <v>0</v>
      </c>
      <c r="Q254" s="17">
        <v>24</v>
      </c>
      <c r="AB254" s="17" t="str">
        <f t="shared" si="48"/>
        <v>X</v>
      </c>
      <c r="AC254" s="17">
        <f t="shared" si="49"/>
        <v>0</v>
      </c>
      <c r="AD254" s="17">
        <v>24</v>
      </c>
      <c r="AP254" s="17" t="str">
        <f t="shared" si="50"/>
        <v>X</v>
      </c>
      <c r="AQ254" s="17">
        <f t="shared" si="51"/>
        <v>0</v>
      </c>
      <c r="AR254" s="17">
        <v>24</v>
      </c>
      <c r="BB254" s="17" t="str">
        <f t="shared" si="52"/>
        <v>X</v>
      </c>
      <c r="BC254" s="17">
        <f t="shared" si="53"/>
        <v>0</v>
      </c>
      <c r="BD254" s="17">
        <v>24</v>
      </c>
    </row>
    <row r="255" spans="1:56">
      <c r="A255" s="17" t="str">
        <f t="shared" si="44"/>
        <v>X</v>
      </c>
      <c r="B255" s="17">
        <f t="shared" si="45"/>
        <v>0</v>
      </c>
      <c r="C255" s="17">
        <v>25</v>
      </c>
      <c r="O255" s="17" t="str">
        <f t="shared" si="46"/>
        <v>X</v>
      </c>
      <c r="P255" s="17">
        <f t="shared" si="47"/>
        <v>0</v>
      </c>
      <c r="Q255" s="17">
        <v>25</v>
      </c>
      <c r="AB255" s="17" t="str">
        <f t="shared" si="48"/>
        <v>X</v>
      </c>
      <c r="AC255" s="17">
        <f t="shared" si="49"/>
        <v>0</v>
      </c>
      <c r="AD255" s="17">
        <v>25</v>
      </c>
      <c r="AP255" s="17" t="str">
        <f t="shared" si="50"/>
        <v>X</v>
      </c>
      <c r="AQ255" s="17">
        <f t="shared" si="51"/>
        <v>0</v>
      </c>
      <c r="AR255" s="17">
        <v>25</v>
      </c>
      <c r="BB255" s="17" t="str">
        <f t="shared" si="52"/>
        <v>X</v>
      </c>
      <c r="BC255" s="17">
        <f t="shared" si="53"/>
        <v>0</v>
      </c>
      <c r="BD255" s="17">
        <v>25</v>
      </c>
    </row>
    <row r="256" spans="1:56">
      <c r="A256" s="17" t="str">
        <f t="shared" si="44"/>
        <v>X</v>
      </c>
      <c r="B256" s="17">
        <f t="shared" si="45"/>
        <v>0</v>
      </c>
      <c r="C256" s="17">
        <v>26</v>
      </c>
      <c r="O256" s="17" t="str">
        <f t="shared" si="46"/>
        <v>X</v>
      </c>
      <c r="P256" s="17">
        <f t="shared" si="47"/>
        <v>0</v>
      </c>
      <c r="Q256" s="17">
        <v>26</v>
      </c>
      <c r="AB256" s="17" t="str">
        <f t="shared" si="48"/>
        <v>X</v>
      </c>
      <c r="AC256" s="17">
        <f t="shared" si="49"/>
        <v>0</v>
      </c>
      <c r="AD256" s="17">
        <v>26</v>
      </c>
      <c r="AP256" s="17" t="str">
        <f t="shared" si="50"/>
        <v>X</v>
      </c>
      <c r="AQ256" s="17">
        <f t="shared" si="51"/>
        <v>0</v>
      </c>
      <c r="AR256" s="17">
        <v>26</v>
      </c>
      <c r="BB256" s="17" t="str">
        <f t="shared" si="52"/>
        <v>X</v>
      </c>
      <c r="BC256" s="17">
        <f t="shared" si="53"/>
        <v>0</v>
      </c>
      <c r="BD256" s="17">
        <v>26</v>
      </c>
    </row>
    <row r="257" spans="1:56">
      <c r="A257" s="17" t="str">
        <f t="shared" si="44"/>
        <v>X</v>
      </c>
      <c r="B257" s="17">
        <f t="shared" si="45"/>
        <v>0</v>
      </c>
      <c r="C257" s="17">
        <v>27</v>
      </c>
      <c r="O257" s="17" t="str">
        <f t="shared" si="46"/>
        <v>X</v>
      </c>
      <c r="P257" s="17">
        <f t="shared" si="47"/>
        <v>0</v>
      </c>
      <c r="Q257" s="17">
        <v>27</v>
      </c>
      <c r="AB257" s="17" t="str">
        <f t="shared" si="48"/>
        <v>X</v>
      </c>
      <c r="AC257" s="17">
        <f t="shared" si="49"/>
        <v>0</v>
      </c>
      <c r="AD257" s="17">
        <v>27</v>
      </c>
      <c r="AP257" s="17" t="str">
        <f t="shared" si="50"/>
        <v>X</v>
      </c>
      <c r="AQ257" s="17">
        <f t="shared" si="51"/>
        <v>0</v>
      </c>
      <c r="AR257" s="17">
        <v>27</v>
      </c>
      <c r="BB257" s="17" t="str">
        <f t="shared" si="52"/>
        <v>X</v>
      </c>
      <c r="BC257" s="17">
        <f t="shared" si="53"/>
        <v>0</v>
      </c>
      <c r="BD257" s="17">
        <v>27</v>
      </c>
    </row>
    <row r="258" spans="1:56">
      <c r="A258" s="17" t="str">
        <f t="shared" si="44"/>
        <v>X</v>
      </c>
      <c r="B258" s="17">
        <f t="shared" si="45"/>
        <v>0</v>
      </c>
      <c r="C258" s="17">
        <v>28</v>
      </c>
      <c r="O258" s="17" t="str">
        <f t="shared" si="46"/>
        <v>X</v>
      </c>
      <c r="P258" s="17">
        <f t="shared" si="47"/>
        <v>0</v>
      </c>
      <c r="Q258" s="17">
        <v>28</v>
      </c>
      <c r="AB258" s="17" t="str">
        <f t="shared" si="48"/>
        <v>X</v>
      </c>
      <c r="AC258" s="17">
        <f t="shared" si="49"/>
        <v>0</v>
      </c>
      <c r="AD258" s="17">
        <v>28</v>
      </c>
      <c r="AP258" s="17" t="str">
        <f t="shared" si="50"/>
        <v>X</v>
      </c>
      <c r="AQ258" s="17">
        <f t="shared" si="51"/>
        <v>0</v>
      </c>
      <c r="AR258" s="17">
        <v>28</v>
      </c>
      <c r="BB258" s="17" t="str">
        <f t="shared" si="52"/>
        <v>X</v>
      </c>
      <c r="BC258" s="17">
        <f t="shared" si="53"/>
        <v>0</v>
      </c>
      <c r="BD258" s="17">
        <v>28</v>
      </c>
    </row>
    <row r="259" spans="1:56">
      <c r="A259" s="17" t="str">
        <f t="shared" si="44"/>
        <v>X</v>
      </c>
      <c r="B259" s="17">
        <f t="shared" si="45"/>
        <v>0</v>
      </c>
      <c r="C259" s="17">
        <v>29</v>
      </c>
      <c r="O259" s="17" t="str">
        <f t="shared" si="46"/>
        <v>X</v>
      </c>
      <c r="P259" s="17">
        <f t="shared" si="47"/>
        <v>0</v>
      </c>
      <c r="Q259" s="17">
        <v>29</v>
      </c>
      <c r="AB259" s="17" t="str">
        <f t="shared" si="48"/>
        <v>X</v>
      </c>
      <c r="AC259" s="17">
        <f t="shared" si="49"/>
        <v>0</v>
      </c>
      <c r="AD259" s="17">
        <v>29</v>
      </c>
      <c r="AP259" s="17" t="str">
        <f t="shared" si="50"/>
        <v>X</v>
      </c>
      <c r="AQ259" s="17">
        <f t="shared" si="51"/>
        <v>0</v>
      </c>
      <c r="AR259" s="17">
        <v>29</v>
      </c>
      <c r="BB259" s="17" t="str">
        <f t="shared" si="52"/>
        <v>X</v>
      </c>
      <c r="BC259" s="17">
        <f t="shared" si="53"/>
        <v>0</v>
      </c>
      <c r="BD259" s="17">
        <v>29</v>
      </c>
    </row>
    <row r="260" spans="1:56">
      <c r="A260" s="17" t="str">
        <f t="shared" si="44"/>
        <v>X</v>
      </c>
      <c r="B260" s="17">
        <f t="shared" si="45"/>
        <v>0</v>
      </c>
      <c r="C260" s="17">
        <v>30</v>
      </c>
      <c r="O260" s="17" t="str">
        <f t="shared" si="46"/>
        <v>X</v>
      </c>
      <c r="P260" s="17">
        <f t="shared" si="47"/>
        <v>0</v>
      </c>
      <c r="Q260" s="17">
        <v>30</v>
      </c>
      <c r="AB260" s="17" t="str">
        <f t="shared" si="48"/>
        <v>X</v>
      </c>
      <c r="AC260" s="17">
        <f t="shared" si="49"/>
        <v>0</v>
      </c>
      <c r="AD260" s="17">
        <v>30</v>
      </c>
      <c r="AP260" s="17" t="str">
        <f t="shared" si="50"/>
        <v>X</v>
      </c>
      <c r="AQ260" s="17">
        <f t="shared" si="51"/>
        <v>0</v>
      </c>
      <c r="AR260" s="17">
        <v>30</v>
      </c>
      <c r="BB260" s="17" t="str">
        <f t="shared" si="52"/>
        <v>X</v>
      </c>
      <c r="BC260" s="17">
        <f t="shared" si="53"/>
        <v>0</v>
      </c>
      <c r="BD260" s="17">
        <v>30</v>
      </c>
    </row>
    <row r="261" spans="1:56">
      <c r="A261" s="17" t="str">
        <f t="shared" si="44"/>
        <v>X</v>
      </c>
      <c r="B261" s="17">
        <f t="shared" si="45"/>
        <v>0</v>
      </c>
      <c r="C261" s="17">
        <v>31</v>
      </c>
      <c r="O261" s="17" t="str">
        <f t="shared" si="46"/>
        <v>X</v>
      </c>
      <c r="P261" s="17">
        <f t="shared" si="47"/>
        <v>0</v>
      </c>
      <c r="Q261" s="17">
        <v>31</v>
      </c>
      <c r="AB261" s="17" t="str">
        <f t="shared" si="48"/>
        <v>X</v>
      </c>
      <c r="AC261" s="17">
        <f t="shared" si="49"/>
        <v>0</v>
      </c>
      <c r="AD261" s="17">
        <v>31</v>
      </c>
      <c r="AP261" s="17" t="str">
        <f t="shared" si="50"/>
        <v>X</v>
      </c>
      <c r="AQ261" s="17">
        <f t="shared" si="51"/>
        <v>0</v>
      </c>
      <c r="AR261" s="17">
        <v>31</v>
      </c>
      <c r="BB261" s="17" t="str">
        <f t="shared" si="52"/>
        <v>X</v>
      </c>
      <c r="BC261" s="17">
        <f t="shared" si="53"/>
        <v>0</v>
      </c>
      <c r="BD261" s="17">
        <v>31</v>
      </c>
    </row>
    <row r="262" spans="1:56">
      <c r="A262" s="17" t="str">
        <f t="shared" si="44"/>
        <v>X</v>
      </c>
      <c r="B262" s="17">
        <f t="shared" si="45"/>
        <v>0</v>
      </c>
      <c r="C262" s="17">
        <v>32</v>
      </c>
      <c r="O262" s="17" t="str">
        <f t="shared" si="46"/>
        <v>X</v>
      </c>
      <c r="P262" s="17">
        <f t="shared" si="47"/>
        <v>0</v>
      </c>
      <c r="Q262" s="17">
        <v>32</v>
      </c>
      <c r="AB262" s="17" t="str">
        <f t="shared" si="48"/>
        <v>X</v>
      </c>
      <c r="AC262" s="17">
        <f t="shared" si="49"/>
        <v>0</v>
      </c>
      <c r="AD262" s="17">
        <v>32</v>
      </c>
      <c r="AP262" s="17" t="str">
        <f t="shared" si="50"/>
        <v>X</v>
      </c>
      <c r="AQ262" s="17">
        <f t="shared" si="51"/>
        <v>0</v>
      </c>
      <c r="AR262" s="17">
        <v>32</v>
      </c>
      <c r="BB262" s="17" t="str">
        <f t="shared" si="52"/>
        <v>X</v>
      </c>
      <c r="BC262" s="17">
        <f t="shared" si="53"/>
        <v>0</v>
      </c>
      <c r="BD262" s="17">
        <v>32</v>
      </c>
    </row>
    <row r="263" spans="1:56">
      <c r="A263" s="17" t="str">
        <f t="shared" si="44"/>
        <v>X</v>
      </c>
      <c r="B263" s="17">
        <f t="shared" si="45"/>
        <v>0</v>
      </c>
      <c r="C263" s="17">
        <v>33</v>
      </c>
      <c r="O263" s="17" t="str">
        <f t="shared" si="46"/>
        <v>X</v>
      </c>
      <c r="P263" s="17">
        <f t="shared" si="47"/>
        <v>0</v>
      </c>
      <c r="Q263" s="17">
        <v>33</v>
      </c>
      <c r="AB263" s="17" t="str">
        <f t="shared" si="48"/>
        <v>X</v>
      </c>
      <c r="AC263" s="17">
        <f t="shared" si="49"/>
        <v>0</v>
      </c>
      <c r="AD263" s="17">
        <v>33</v>
      </c>
      <c r="AP263" s="17" t="str">
        <f t="shared" si="50"/>
        <v>X</v>
      </c>
      <c r="AQ263" s="17">
        <f t="shared" si="51"/>
        <v>0</v>
      </c>
      <c r="AR263" s="17">
        <v>33</v>
      </c>
      <c r="BB263" s="17" t="str">
        <f t="shared" si="52"/>
        <v>X</v>
      </c>
      <c r="BC263" s="17">
        <f t="shared" si="53"/>
        <v>0</v>
      </c>
      <c r="BD263" s="17">
        <v>33</v>
      </c>
    </row>
    <row r="264" spans="1:56">
      <c r="A264" s="17" t="str">
        <f t="shared" si="44"/>
        <v>X</v>
      </c>
      <c r="B264" s="17">
        <f t="shared" si="45"/>
        <v>0</v>
      </c>
      <c r="C264" s="17">
        <v>34</v>
      </c>
      <c r="O264" s="17" t="str">
        <f t="shared" si="46"/>
        <v>X</v>
      </c>
      <c r="P264" s="17">
        <f t="shared" si="47"/>
        <v>0</v>
      </c>
      <c r="Q264" s="17">
        <v>34</v>
      </c>
      <c r="AB264" s="17" t="str">
        <f t="shared" si="48"/>
        <v>X</v>
      </c>
      <c r="AC264" s="17">
        <f t="shared" si="49"/>
        <v>0</v>
      </c>
      <c r="AD264" s="17">
        <v>34</v>
      </c>
      <c r="AP264" s="17" t="str">
        <f t="shared" si="50"/>
        <v>X</v>
      </c>
      <c r="AQ264" s="17">
        <f t="shared" si="51"/>
        <v>0</v>
      </c>
      <c r="AR264" s="17">
        <v>34</v>
      </c>
      <c r="BB264" s="17" t="str">
        <f t="shared" si="52"/>
        <v>X</v>
      </c>
      <c r="BC264" s="17">
        <f t="shared" si="53"/>
        <v>0</v>
      </c>
      <c r="BD264" s="17">
        <v>34</v>
      </c>
    </row>
    <row r="265" spans="1:56">
      <c r="A265" s="17" t="str">
        <f t="shared" si="44"/>
        <v>X</v>
      </c>
      <c r="B265" s="17">
        <f t="shared" si="45"/>
        <v>0</v>
      </c>
      <c r="C265" s="17">
        <v>35</v>
      </c>
      <c r="O265" s="17" t="str">
        <f t="shared" si="46"/>
        <v>X</v>
      </c>
      <c r="P265" s="17">
        <f t="shared" si="47"/>
        <v>0</v>
      </c>
      <c r="Q265" s="17">
        <v>35</v>
      </c>
      <c r="AB265" s="17" t="str">
        <f t="shared" si="48"/>
        <v>X</v>
      </c>
      <c r="AC265" s="17">
        <f t="shared" si="49"/>
        <v>0</v>
      </c>
      <c r="AD265" s="17">
        <v>35</v>
      </c>
      <c r="AP265" s="17" t="str">
        <f t="shared" si="50"/>
        <v>X</v>
      </c>
      <c r="AQ265" s="17">
        <f t="shared" si="51"/>
        <v>0</v>
      </c>
      <c r="AR265" s="17">
        <v>35</v>
      </c>
      <c r="BB265" s="17" t="str">
        <f t="shared" si="52"/>
        <v>X</v>
      </c>
      <c r="BC265" s="17">
        <f t="shared" si="53"/>
        <v>0</v>
      </c>
      <c r="BD265" s="17">
        <v>35</v>
      </c>
    </row>
    <row r="266" spans="1:56">
      <c r="A266" s="17" t="str">
        <f t="shared" si="44"/>
        <v>X</v>
      </c>
      <c r="B266" s="17">
        <f t="shared" si="45"/>
        <v>0</v>
      </c>
      <c r="C266" s="17">
        <v>36</v>
      </c>
      <c r="O266" s="17" t="str">
        <f t="shared" si="46"/>
        <v>X</v>
      </c>
      <c r="P266" s="17">
        <f t="shared" si="47"/>
        <v>0</v>
      </c>
      <c r="Q266" s="17">
        <v>36</v>
      </c>
      <c r="AB266" s="17" t="str">
        <f t="shared" si="48"/>
        <v>X</v>
      </c>
      <c r="AC266" s="17">
        <f t="shared" si="49"/>
        <v>0</v>
      </c>
      <c r="AD266" s="17">
        <v>36</v>
      </c>
      <c r="AP266" s="17" t="str">
        <f t="shared" si="50"/>
        <v>X</v>
      </c>
      <c r="AQ266" s="17">
        <f t="shared" si="51"/>
        <v>0</v>
      </c>
      <c r="AR266" s="17">
        <v>36</v>
      </c>
      <c r="BB266" s="17" t="str">
        <f t="shared" si="52"/>
        <v>X</v>
      </c>
      <c r="BC266" s="17">
        <f t="shared" si="53"/>
        <v>0</v>
      </c>
      <c r="BD266" s="17">
        <v>36</v>
      </c>
    </row>
    <row r="267" spans="1:56">
      <c r="A267" s="17" t="str">
        <f t="shared" si="44"/>
        <v>X</v>
      </c>
      <c r="B267" s="17">
        <f t="shared" si="45"/>
        <v>0</v>
      </c>
      <c r="C267" s="17">
        <v>37</v>
      </c>
      <c r="O267" s="17" t="str">
        <f t="shared" si="46"/>
        <v>X</v>
      </c>
      <c r="P267" s="17">
        <f t="shared" si="47"/>
        <v>0</v>
      </c>
      <c r="Q267" s="17">
        <v>37</v>
      </c>
      <c r="AB267" s="17" t="str">
        <f t="shared" si="48"/>
        <v>X</v>
      </c>
      <c r="AC267" s="17">
        <f t="shared" si="49"/>
        <v>0</v>
      </c>
      <c r="AD267" s="17">
        <v>37</v>
      </c>
      <c r="AP267" s="17" t="str">
        <f t="shared" si="50"/>
        <v>X</v>
      </c>
      <c r="AQ267" s="17">
        <f t="shared" si="51"/>
        <v>0</v>
      </c>
      <c r="AR267" s="17">
        <v>37</v>
      </c>
      <c r="BB267" s="17" t="str">
        <f t="shared" si="52"/>
        <v>X</v>
      </c>
      <c r="BC267" s="17">
        <f t="shared" si="53"/>
        <v>0</v>
      </c>
      <c r="BD267" s="17">
        <v>37</v>
      </c>
    </row>
    <row r="268" spans="1:56">
      <c r="A268" s="17" t="str">
        <f t="shared" si="44"/>
        <v>X</v>
      </c>
      <c r="B268" s="17">
        <f t="shared" si="45"/>
        <v>0</v>
      </c>
      <c r="C268" s="17">
        <v>38</v>
      </c>
      <c r="O268" s="17" t="str">
        <f t="shared" si="46"/>
        <v>X</v>
      </c>
      <c r="P268" s="17">
        <f t="shared" si="47"/>
        <v>0</v>
      </c>
      <c r="Q268" s="17">
        <v>38</v>
      </c>
      <c r="AB268" s="17" t="str">
        <f t="shared" si="48"/>
        <v>X</v>
      </c>
      <c r="AC268" s="17">
        <f t="shared" si="49"/>
        <v>0</v>
      </c>
      <c r="AD268" s="17">
        <v>38</v>
      </c>
      <c r="AP268" s="17" t="str">
        <f t="shared" si="50"/>
        <v>X</v>
      </c>
      <c r="AQ268" s="17">
        <f t="shared" si="51"/>
        <v>0</v>
      </c>
      <c r="AR268" s="17">
        <v>38</v>
      </c>
      <c r="BB268" s="17" t="str">
        <f t="shared" si="52"/>
        <v>X</v>
      </c>
      <c r="BC268" s="17">
        <f t="shared" si="53"/>
        <v>0</v>
      </c>
      <c r="BD268" s="17">
        <v>38</v>
      </c>
    </row>
    <row r="269" spans="1:56">
      <c r="A269" s="17" t="str">
        <f t="shared" si="44"/>
        <v>X</v>
      </c>
      <c r="B269" s="17">
        <f t="shared" si="45"/>
        <v>0</v>
      </c>
      <c r="C269" s="17">
        <v>39</v>
      </c>
      <c r="O269" s="17" t="str">
        <f t="shared" si="46"/>
        <v>X</v>
      </c>
      <c r="P269" s="17">
        <f t="shared" si="47"/>
        <v>0</v>
      </c>
      <c r="Q269" s="17">
        <v>39</v>
      </c>
      <c r="AB269" s="17" t="str">
        <f t="shared" si="48"/>
        <v>X</v>
      </c>
      <c r="AC269" s="17">
        <f t="shared" si="49"/>
        <v>0</v>
      </c>
      <c r="AD269" s="17">
        <v>39</v>
      </c>
      <c r="AP269" s="17" t="str">
        <f t="shared" si="50"/>
        <v>X</v>
      </c>
      <c r="AQ269" s="17">
        <f t="shared" si="51"/>
        <v>0</v>
      </c>
      <c r="AR269" s="17">
        <v>39</v>
      </c>
      <c r="BB269" s="17" t="str">
        <f t="shared" si="52"/>
        <v>X</v>
      </c>
      <c r="BC269" s="17">
        <f t="shared" si="53"/>
        <v>0</v>
      </c>
      <c r="BD269" s="17">
        <v>39</v>
      </c>
    </row>
    <row r="270" spans="1:56">
      <c r="A270" s="17" t="str">
        <f t="shared" si="44"/>
        <v>X</v>
      </c>
      <c r="B270" s="17">
        <f t="shared" si="45"/>
        <v>0</v>
      </c>
      <c r="C270" s="17">
        <v>40</v>
      </c>
      <c r="O270" s="17" t="str">
        <f t="shared" si="46"/>
        <v>X</v>
      </c>
      <c r="P270" s="17">
        <f t="shared" si="47"/>
        <v>0</v>
      </c>
      <c r="Q270" s="17">
        <v>40</v>
      </c>
      <c r="AB270" s="17" t="str">
        <f t="shared" si="48"/>
        <v>X</v>
      </c>
      <c r="AC270" s="17">
        <f t="shared" si="49"/>
        <v>0</v>
      </c>
      <c r="AD270" s="17">
        <v>40</v>
      </c>
      <c r="AP270" s="17" t="str">
        <f t="shared" si="50"/>
        <v>X</v>
      </c>
      <c r="AQ270" s="17">
        <f t="shared" si="51"/>
        <v>0</v>
      </c>
      <c r="AR270" s="17">
        <v>40</v>
      </c>
      <c r="BB270" s="17" t="str">
        <f t="shared" si="52"/>
        <v>X</v>
      </c>
      <c r="BC270" s="17">
        <f t="shared" si="53"/>
        <v>0</v>
      </c>
      <c r="BD270" s="17">
        <v>40</v>
      </c>
    </row>
    <row r="271" spans="1:56">
      <c r="A271" s="17" t="str">
        <f t="shared" si="44"/>
        <v>X</v>
      </c>
      <c r="B271" s="17">
        <f t="shared" si="45"/>
        <v>0</v>
      </c>
      <c r="C271" s="17">
        <v>41</v>
      </c>
      <c r="O271" s="17" t="str">
        <f t="shared" si="46"/>
        <v>X</v>
      </c>
      <c r="P271" s="17">
        <f t="shared" si="47"/>
        <v>0</v>
      </c>
      <c r="Q271" s="17">
        <v>41</v>
      </c>
      <c r="AB271" s="17" t="str">
        <f t="shared" si="48"/>
        <v>X</v>
      </c>
      <c r="AC271" s="17">
        <f t="shared" si="49"/>
        <v>0</v>
      </c>
      <c r="AD271" s="17">
        <v>41</v>
      </c>
      <c r="AP271" s="17" t="str">
        <f t="shared" si="50"/>
        <v>X</v>
      </c>
      <c r="AQ271" s="17">
        <f t="shared" si="51"/>
        <v>0</v>
      </c>
      <c r="AR271" s="17">
        <v>41</v>
      </c>
      <c r="BB271" s="17" t="str">
        <f t="shared" si="52"/>
        <v>X</v>
      </c>
      <c r="BC271" s="17">
        <f t="shared" si="53"/>
        <v>0</v>
      </c>
      <c r="BD271" s="17">
        <v>41</v>
      </c>
    </row>
    <row r="272" spans="1:56">
      <c r="A272" s="17" t="str">
        <f t="shared" si="44"/>
        <v>X</v>
      </c>
      <c r="B272" s="17">
        <f t="shared" si="45"/>
        <v>0</v>
      </c>
      <c r="C272" s="17">
        <v>42</v>
      </c>
      <c r="O272" s="17" t="str">
        <f t="shared" si="46"/>
        <v>X</v>
      </c>
      <c r="P272" s="17">
        <f t="shared" si="47"/>
        <v>0</v>
      </c>
      <c r="Q272" s="17">
        <v>42</v>
      </c>
      <c r="AB272" s="17" t="str">
        <f t="shared" si="48"/>
        <v>X</v>
      </c>
      <c r="AC272" s="17">
        <f t="shared" si="49"/>
        <v>0</v>
      </c>
      <c r="AD272" s="17">
        <v>42</v>
      </c>
      <c r="AP272" s="17" t="str">
        <f t="shared" si="50"/>
        <v>X</v>
      </c>
      <c r="AQ272" s="17">
        <f t="shared" si="51"/>
        <v>0</v>
      </c>
      <c r="AR272" s="17">
        <v>42</v>
      </c>
      <c r="BB272" s="17" t="str">
        <f t="shared" si="52"/>
        <v>X</v>
      </c>
      <c r="BC272" s="17">
        <f t="shared" si="53"/>
        <v>0</v>
      </c>
      <c r="BD272" s="17">
        <v>42</v>
      </c>
    </row>
    <row r="273" spans="1:56">
      <c r="A273" s="17" t="str">
        <f t="shared" si="44"/>
        <v>X</v>
      </c>
      <c r="B273" s="17">
        <f t="shared" si="45"/>
        <v>0</v>
      </c>
      <c r="C273" s="17">
        <v>43</v>
      </c>
      <c r="O273" s="17" t="str">
        <f t="shared" si="46"/>
        <v>X</v>
      </c>
      <c r="P273" s="17">
        <f t="shared" si="47"/>
        <v>0</v>
      </c>
      <c r="Q273" s="17">
        <v>43</v>
      </c>
      <c r="AB273" s="17" t="str">
        <f t="shared" si="48"/>
        <v>X</v>
      </c>
      <c r="AC273" s="17">
        <f t="shared" si="49"/>
        <v>0</v>
      </c>
      <c r="AD273" s="17">
        <v>43</v>
      </c>
      <c r="AP273" s="17" t="str">
        <f t="shared" si="50"/>
        <v>X</v>
      </c>
      <c r="AQ273" s="17">
        <f t="shared" si="51"/>
        <v>0</v>
      </c>
      <c r="AR273" s="17">
        <v>43</v>
      </c>
      <c r="BB273" s="17" t="str">
        <f t="shared" si="52"/>
        <v>X</v>
      </c>
      <c r="BC273" s="17">
        <f t="shared" si="53"/>
        <v>0</v>
      </c>
      <c r="BD273" s="17">
        <v>43</v>
      </c>
    </row>
    <row r="274" spans="1:56">
      <c r="A274" s="17" t="str">
        <f t="shared" si="44"/>
        <v>X</v>
      </c>
      <c r="B274" s="17">
        <f t="shared" si="45"/>
        <v>0</v>
      </c>
      <c r="C274" s="17">
        <v>44</v>
      </c>
      <c r="O274" s="17" t="str">
        <f t="shared" si="46"/>
        <v>X</v>
      </c>
      <c r="P274" s="17">
        <f t="shared" si="47"/>
        <v>0</v>
      </c>
      <c r="Q274" s="17">
        <v>44</v>
      </c>
      <c r="AB274" s="17" t="str">
        <f t="shared" si="48"/>
        <v>X</v>
      </c>
      <c r="AC274" s="17">
        <f t="shared" si="49"/>
        <v>0</v>
      </c>
      <c r="AD274" s="17">
        <v>44</v>
      </c>
      <c r="AP274" s="17" t="str">
        <f t="shared" si="50"/>
        <v>X</v>
      </c>
      <c r="AQ274" s="17">
        <f t="shared" si="51"/>
        <v>0</v>
      </c>
      <c r="AR274" s="17">
        <v>44</v>
      </c>
      <c r="BB274" s="17" t="str">
        <f t="shared" si="52"/>
        <v>X</v>
      </c>
      <c r="BC274" s="17">
        <f t="shared" si="53"/>
        <v>0</v>
      </c>
      <c r="BD274" s="17">
        <v>44</v>
      </c>
    </row>
    <row r="275" spans="1:56">
      <c r="A275" s="17" t="str">
        <f t="shared" si="44"/>
        <v>X</v>
      </c>
      <c r="B275" s="17">
        <f t="shared" si="45"/>
        <v>0</v>
      </c>
      <c r="C275" s="17">
        <v>45</v>
      </c>
      <c r="O275" s="17" t="str">
        <f t="shared" si="46"/>
        <v>X</v>
      </c>
      <c r="P275" s="17">
        <f t="shared" si="47"/>
        <v>0</v>
      </c>
      <c r="Q275" s="17">
        <v>45</v>
      </c>
      <c r="AB275" s="17" t="str">
        <f t="shared" si="48"/>
        <v>X</v>
      </c>
      <c r="AC275" s="17">
        <f t="shared" si="49"/>
        <v>0</v>
      </c>
      <c r="AD275" s="17">
        <v>45</v>
      </c>
      <c r="AP275" s="17" t="str">
        <f t="shared" si="50"/>
        <v>X</v>
      </c>
      <c r="AQ275" s="17">
        <f t="shared" si="51"/>
        <v>0</v>
      </c>
      <c r="AR275" s="17">
        <v>45</v>
      </c>
      <c r="BB275" s="17" t="str">
        <f t="shared" si="52"/>
        <v>X</v>
      </c>
      <c r="BC275" s="17">
        <f t="shared" si="53"/>
        <v>0</v>
      </c>
      <c r="BD275" s="17">
        <v>45</v>
      </c>
    </row>
    <row r="276" spans="1:56">
      <c r="A276" s="17" t="str">
        <f t="shared" si="44"/>
        <v>X</v>
      </c>
      <c r="B276" s="17">
        <f t="shared" si="45"/>
        <v>0</v>
      </c>
      <c r="C276" s="17">
        <v>46</v>
      </c>
      <c r="O276" s="17" t="str">
        <f t="shared" si="46"/>
        <v>X</v>
      </c>
      <c r="P276" s="17">
        <f t="shared" si="47"/>
        <v>0</v>
      </c>
      <c r="Q276" s="17">
        <v>46</v>
      </c>
      <c r="AB276" s="17" t="str">
        <f t="shared" si="48"/>
        <v>X</v>
      </c>
      <c r="AC276" s="17">
        <f t="shared" si="49"/>
        <v>0</v>
      </c>
      <c r="AD276" s="17">
        <v>46</v>
      </c>
      <c r="AP276" s="17" t="str">
        <f t="shared" si="50"/>
        <v>X</v>
      </c>
      <c r="AQ276" s="17">
        <f t="shared" si="51"/>
        <v>0</v>
      </c>
      <c r="AR276" s="17">
        <v>46</v>
      </c>
      <c r="BB276" s="17" t="str">
        <f t="shared" si="52"/>
        <v>X</v>
      </c>
      <c r="BC276" s="17">
        <f t="shared" si="53"/>
        <v>0</v>
      </c>
      <c r="BD276" s="17">
        <v>46</v>
      </c>
    </row>
    <row r="277" spans="1:56">
      <c r="A277" s="17" t="str">
        <f t="shared" si="44"/>
        <v>X</v>
      </c>
      <c r="B277" s="17">
        <f t="shared" si="45"/>
        <v>0</v>
      </c>
      <c r="C277" s="17">
        <v>47</v>
      </c>
      <c r="O277" s="17" t="str">
        <f t="shared" si="46"/>
        <v>X</v>
      </c>
      <c r="P277" s="17">
        <f t="shared" si="47"/>
        <v>0</v>
      </c>
      <c r="Q277" s="17">
        <v>47</v>
      </c>
      <c r="AB277" s="17" t="str">
        <f t="shared" si="48"/>
        <v>X</v>
      </c>
      <c r="AC277" s="17">
        <f t="shared" si="49"/>
        <v>0</v>
      </c>
      <c r="AD277" s="17">
        <v>47</v>
      </c>
      <c r="AP277" s="17" t="str">
        <f t="shared" si="50"/>
        <v>X</v>
      </c>
      <c r="AQ277" s="17">
        <f t="shared" si="51"/>
        <v>0</v>
      </c>
      <c r="AR277" s="17">
        <v>47</v>
      </c>
      <c r="BB277" s="17" t="str">
        <f t="shared" si="52"/>
        <v>X</v>
      </c>
      <c r="BC277" s="17">
        <f t="shared" si="53"/>
        <v>0</v>
      </c>
      <c r="BD277" s="17">
        <v>47</v>
      </c>
    </row>
    <row r="278" spans="1:56">
      <c r="A278" s="17" t="str">
        <f t="shared" si="44"/>
        <v>X</v>
      </c>
      <c r="B278" s="17">
        <f t="shared" si="45"/>
        <v>0</v>
      </c>
      <c r="C278" s="17">
        <v>48</v>
      </c>
      <c r="O278" s="17" t="str">
        <f t="shared" si="46"/>
        <v>X</v>
      </c>
      <c r="P278" s="17">
        <f t="shared" si="47"/>
        <v>0</v>
      </c>
      <c r="Q278" s="17">
        <v>48</v>
      </c>
      <c r="AB278" s="17" t="str">
        <f t="shared" si="48"/>
        <v>X</v>
      </c>
      <c r="AC278" s="17">
        <f t="shared" si="49"/>
        <v>0</v>
      </c>
      <c r="AD278" s="17">
        <v>48</v>
      </c>
      <c r="AP278" s="17" t="str">
        <f t="shared" si="50"/>
        <v>X</v>
      </c>
      <c r="AQ278" s="17">
        <f t="shared" si="51"/>
        <v>0</v>
      </c>
      <c r="AR278" s="17">
        <v>48</v>
      </c>
      <c r="BB278" s="17" t="str">
        <f t="shared" si="52"/>
        <v>X</v>
      </c>
      <c r="BC278" s="17">
        <f t="shared" si="53"/>
        <v>0</v>
      </c>
      <c r="BD278" s="17">
        <v>48</v>
      </c>
    </row>
    <row r="279" spans="1:56">
      <c r="A279" s="17" t="str">
        <f t="shared" si="44"/>
        <v>X</v>
      </c>
      <c r="B279" s="17">
        <f t="shared" si="45"/>
        <v>0</v>
      </c>
      <c r="C279" s="17">
        <v>49</v>
      </c>
      <c r="O279" s="17" t="str">
        <f t="shared" si="46"/>
        <v>X</v>
      </c>
      <c r="P279" s="17">
        <f t="shared" si="47"/>
        <v>0</v>
      </c>
      <c r="Q279" s="17">
        <v>49</v>
      </c>
      <c r="AB279" s="17" t="str">
        <f t="shared" si="48"/>
        <v>X</v>
      </c>
      <c r="AC279" s="17">
        <f t="shared" si="49"/>
        <v>0</v>
      </c>
      <c r="AD279" s="17">
        <v>49</v>
      </c>
      <c r="AP279" s="17" t="str">
        <f t="shared" si="50"/>
        <v>X</v>
      </c>
      <c r="AQ279" s="17">
        <f t="shared" si="51"/>
        <v>0</v>
      </c>
      <c r="AR279" s="17">
        <v>49</v>
      </c>
      <c r="BB279" s="17" t="str">
        <f t="shared" si="52"/>
        <v>X</v>
      </c>
      <c r="BC279" s="17">
        <f t="shared" si="53"/>
        <v>0</v>
      </c>
      <c r="BD279" s="17">
        <v>49</v>
      </c>
    </row>
    <row r="280" spans="1:56">
      <c r="A280" s="17" t="str">
        <f t="shared" si="44"/>
        <v>X</v>
      </c>
      <c r="B280" s="17">
        <f t="shared" si="45"/>
        <v>0</v>
      </c>
      <c r="C280" s="17">
        <v>50</v>
      </c>
      <c r="O280" s="17" t="str">
        <f t="shared" si="46"/>
        <v>X</v>
      </c>
      <c r="P280" s="17">
        <f t="shared" si="47"/>
        <v>0</v>
      </c>
      <c r="Q280" s="17">
        <v>50</v>
      </c>
      <c r="AB280" s="17" t="str">
        <f t="shared" si="48"/>
        <v>X</v>
      </c>
      <c r="AC280" s="17">
        <f t="shared" si="49"/>
        <v>0</v>
      </c>
      <c r="AD280" s="17">
        <v>50</v>
      </c>
      <c r="AP280" s="17" t="str">
        <f t="shared" si="50"/>
        <v>X</v>
      </c>
      <c r="AQ280" s="17">
        <f t="shared" si="51"/>
        <v>0</v>
      </c>
      <c r="AR280" s="17">
        <v>50</v>
      </c>
      <c r="BB280" s="17" t="str">
        <f t="shared" si="52"/>
        <v>X</v>
      </c>
      <c r="BC280" s="17">
        <f t="shared" si="53"/>
        <v>0</v>
      </c>
      <c r="BD280" s="17">
        <v>50</v>
      </c>
    </row>
    <row r="281" spans="1:56">
      <c r="A281" s="17" t="str">
        <f t="shared" si="44"/>
        <v>X</v>
      </c>
      <c r="B281" s="17">
        <f t="shared" si="45"/>
        <v>0</v>
      </c>
      <c r="C281" s="17">
        <v>51</v>
      </c>
      <c r="O281" s="17" t="str">
        <f t="shared" si="46"/>
        <v>X</v>
      </c>
      <c r="P281" s="17">
        <f t="shared" si="47"/>
        <v>0</v>
      </c>
      <c r="Q281" s="17">
        <v>51</v>
      </c>
      <c r="AB281" s="17" t="str">
        <f t="shared" si="48"/>
        <v>X</v>
      </c>
      <c r="AC281" s="17">
        <f t="shared" si="49"/>
        <v>0</v>
      </c>
      <c r="AD281" s="17">
        <v>51</v>
      </c>
      <c r="AP281" s="17" t="str">
        <f t="shared" si="50"/>
        <v>X</v>
      </c>
      <c r="AQ281" s="17">
        <f t="shared" si="51"/>
        <v>0</v>
      </c>
      <c r="AR281" s="17">
        <v>51</v>
      </c>
      <c r="BB281" s="17" t="str">
        <f t="shared" si="52"/>
        <v>X</v>
      </c>
      <c r="BC281" s="17">
        <f t="shared" si="53"/>
        <v>0</v>
      </c>
      <c r="BD281" s="17">
        <v>51</v>
      </c>
    </row>
    <row r="282" spans="1:56">
      <c r="A282" s="17" t="str">
        <f t="shared" si="44"/>
        <v>X</v>
      </c>
      <c r="B282" s="17">
        <f t="shared" si="45"/>
        <v>0</v>
      </c>
      <c r="C282" s="17">
        <v>52</v>
      </c>
      <c r="O282" s="17" t="str">
        <f t="shared" si="46"/>
        <v>X</v>
      </c>
      <c r="P282" s="17">
        <f t="shared" si="47"/>
        <v>0</v>
      </c>
      <c r="Q282" s="17">
        <v>52</v>
      </c>
      <c r="AB282" s="17" t="str">
        <f t="shared" si="48"/>
        <v>X</v>
      </c>
      <c r="AC282" s="17">
        <f t="shared" si="49"/>
        <v>0</v>
      </c>
      <c r="AD282" s="17">
        <v>52</v>
      </c>
      <c r="AP282" s="17" t="str">
        <f t="shared" si="50"/>
        <v>X</v>
      </c>
      <c r="AQ282" s="17">
        <f t="shared" si="51"/>
        <v>0</v>
      </c>
      <c r="AR282" s="17">
        <v>52</v>
      </c>
      <c r="BB282" s="17" t="str">
        <f t="shared" si="52"/>
        <v>X</v>
      </c>
      <c r="BC282" s="17">
        <f t="shared" si="53"/>
        <v>0</v>
      </c>
      <c r="BD282" s="17">
        <v>52</v>
      </c>
    </row>
    <row r="283" spans="1:56">
      <c r="A283" s="17" t="str">
        <f t="shared" si="44"/>
        <v>X</v>
      </c>
      <c r="B283" s="17">
        <f t="shared" si="45"/>
        <v>0</v>
      </c>
      <c r="C283" s="17">
        <v>53</v>
      </c>
      <c r="O283" s="17" t="str">
        <f t="shared" si="46"/>
        <v>X</v>
      </c>
      <c r="P283" s="17">
        <f t="shared" si="47"/>
        <v>0</v>
      </c>
      <c r="Q283" s="17">
        <v>53</v>
      </c>
      <c r="AB283" s="17" t="str">
        <f t="shared" si="48"/>
        <v>X</v>
      </c>
      <c r="AC283" s="17">
        <f t="shared" si="49"/>
        <v>0</v>
      </c>
      <c r="AD283" s="17">
        <v>53</v>
      </c>
      <c r="AP283" s="17" t="str">
        <f t="shared" si="50"/>
        <v>X</v>
      </c>
      <c r="AQ283" s="17">
        <f t="shared" si="51"/>
        <v>0</v>
      </c>
      <c r="AR283" s="17">
        <v>53</v>
      </c>
      <c r="BB283" s="17" t="str">
        <f t="shared" si="52"/>
        <v>X</v>
      </c>
      <c r="BC283" s="17">
        <f t="shared" si="53"/>
        <v>0</v>
      </c>
      <c r="BD283" s="17">
        <v>53</v>
      </c>
    </row>
    <row r="284" spans="1:56">
      <c r="A284" s="17" t="str">
        <f t="shared" si="44"/>
        <v>X</v>
      </c>
      <c r="B284" s="17">
        <f t="shared" si="45"/>
        <v>0</v>
      </c>
      <c r="C284" s="17">
        <v>54</v>
      </c>
      <c r="O284" s="17" t="str">
        <f t="shared" si="46"/>
        <v>X</v>
      </c>
      <c r="P284" s="17">
        <f t="shared" si="47"/>
        <v>0</v>
      </c>
      <c r="Q284" s="17">
        <v>54</v>
      </c>
      <c r="AB284" s="17" t="str">
        <f t="shared" si="48"/>
        <v>X</v>
      </c>
      <c r="AC284" s="17">
        <f t="shared" si="49"/>
        <v>0</v>
      </c>
      <c r="AD284" s="17">
        <v>54</v>
      </c>
      <c r="AP284" s="17" t="str">
        <f t="shared" si="50"/>
        <v>X</v>
      </c>
      <c r="AQ284" s="17">
        <f t="shared" si="51"/>
        <v>0</v>
      </c>
      <c r="AR284" s="17">
        <v>54</v>
      </c>
      <c r="BB284" s="17" t="str">
        <f t="shared" si="52"/>
        <v>X</v>
      </c>
      <c r="BC284" s="17">
        <f t="shared" si="53"/>
        <v>0</v>
      </c>
      <c r="BD284" s="17">
        <v>54</v>
      </c>
    </row>
    <row r="285" spans="1:56">
      <c r="A285" s="17" t="str">
        <f t="shared" si="44"/>
        <v>X</v>
      </c>
      <c r="B285" s="17">
        <f t="shared" si="45"/>
        <v>0</v>
      </c>
      <c r="C285" s="17">
        <v>55</v>
      </c>
      <c r="O285" s="17" t="str">
        <f t="shared" si="46"/>
        <v>X</v>
      </c>
      <c r="P285" s="17">
        <f t="shared" si="47"/>
        <v>0</v>
      </c>
      <c r="Q285" s="17">
        <v>55</v>
      </c>
      <c r="AB285" s="17" t="str">
        <f t="shared" si="48"/>
        <v>X</v>
      </c>
      <c r="AC285" s="17">
        <f t="shared" si="49"/>
        <v>0</v>
      </c>
      <c r="AD285" s="17">
        <v>55</v>
      </c>
      <c r="AP285" s="17" t="str">
        <f t="shared" si="50"/>
        <v>X</v>
      </c>
      <c r="AQ285" s="17">
        <f t="shared" si="51"/>
        <v>0</v>
      </c>
      <c r="AR285" s="17">
        <v>55</v>
      </c>
      <c r="BB285" s="17" t="str">
        <f t="shared" si="52"/>
        <v>X</v>
      </c>
      <c r="BC285" s="17">
        <f t="shared" si="53"/>
        <v>0</v>
      </c>
      <c r="BD285" s="17">
        <v>55</v>
      </c>
    </row>
    <row r="286" spans="1:56">
      <c r="A286" s="17" t="str">
        <f t="shared" si="44"/>
        <v>X</v>
      </c>
      <c r="B286" s="17">
        <f t="shared" si="45"/>
        <v>0</v>
      </c>
      <c r="C286" s="17">
        <v>56</v>
      </c>
      <c r="O286" s="17" t="str">
        <f t="shared" si="46"/>
        <v>X</v>
      </c>
      <c r="P286" s="17">
        <f t="shared" si="47"/>
        <v>0</v>
      </c>
      <c r="Q286" s="17">
        <v>56</v>
      </c>
      <c r="AB286" s="17" t="str">
        <f t="shared" si="48"/>
        <v>X</v>
      </c>
      <c r="AC286" s="17">
        <f t="shared" si="49"/>
        <v>0</v>
      </c>
      <c r="AD286" s="17">
        <v>56</v>
      </c>
      <c r="AP286" s="17" t="str">
        <f t="shared" si="50"/>
        <v>X</v>
      </c>
      <c r="AQ286" s="17">
        <f t="shared" si="51"/>
        <v>0</v>
      </c>
      <c r="AR286" s="17">
        <v>56</v>
      </c>
      <c r="BB286" s="17" t="str">
        <f t="shared" si="52"/>
        <v>X</v>
      </c>
      <c r="BC286" s="17">
        <f t="shared" si="53"/>
        <v>0</v>
      </c>
      <c r="BD286" s="17">
        <v>56</v>
      </c>
    </row>
    <row r="287" spans="1:56">
      <c r="A287" s="17" t="str">
        <f t="shared" si="44"/>
        <v>X</v>
      </c>
      <c r="B287" s="17">
        <f t="shared" si="45"/>
        <v>0</v>
      </c>
      <c r="C287" s="17">
        <v>57</v>
      </c>
      <c r="O287" s="17" t="str">
        <f t="shared" si="46"/>
        <v>X</v>
      </c>
      <c r="P287" s="17">
        <f t="shared" si="47"/>
        <v>0</v>
      </c>
      <c r="Q287" s="17">
        <v>57</v>
      </c>
      <c r="AB287" s="17" t="str">
        <f t="shared" si="48"/>
        <v>X</v>
      </c>
      <c r="AC287" s="17">
        <f t="shared" si="49"/>
        <v>0</v>
      </c>
      <c r="AD287" s="17">
        <v>57</v>
      </c>
      <c r="AP287" s="17" t="str">
        <f t="shared" si="50"/>
        <v>X</v>
      </c>
      <c r="AQ287" s="17">
        <f t="shared" si="51"/>
        <v>0</v>
      </c>
      <c r="AR287" s="17">
        <v>57</v>
      </c>
      <c r="BB287" s="17" t="str">
        <f t="shared" si="52"/>
        <v>X</v>
      </c>
      <c r="BC287" s="17">
        <f t="shared" si="53"/>
        <v>0</v>
      </c>
      <c r="BD287" s="17">
        <v>57</v>
      </c>
    </row>
    <row r="288" spans="1:56">
      <c r="A288" s="17" t="str">
        <f t="shared" si="44"/>
        <v>X</v>
      </c>
      <c r="B288" s="17">
        <f t="shared" si="45"/>
        <v>0</v>
      </c>
      <c r="C288" s="17">
        <v>58</v>
      </c>
      <c r="O288" s="17" t="str">
        <f t="shared" si="46"/>
        <v>X</v>
      </c>
      <c r="P288" s="17">
        <f t="shared" si="47"/>
        <v>0</v>
      </c>
      <c r="Q288" s="17">
        <v>58</v>
      </c>
      <c r="AB288" s="17" t="str">
        <f t="shared" si="48"/>
        <v>X</v>
      </c>
      <c r="AC288" s="17">
        <f t="shared" si="49"/>
        <v>0</v>
      </c>
      <c r="AD288" s="17">
        <v>58</v>
      </c>
      <c r="AP288" s="17" t="str">
        <f t="shared" si="50"/>
        <v>X</v>
      </c>
      <c r="AQ288" s="17">
        <f t="shared" si="51"/>
        <v>0</v>
      </c>
      <c r="AR288" s="17">
        <v>58</v>
      </c>
      <c r="BB288" s="17" t="str">
        <f t="shared" si="52"/>
        <v>X</v>
      </c>
      <c r="BC288" s="17">
        <f t="shared" si="53"/>
        <v>0</v>
      </c>
      <c r="BD288" s="17">
        <v>58</v>
      </c>
    </row>
    <row r="289" spans="1:56">
      <c r="A289" s="17" t="str">
        <f t="shared" si="44"/>
        <v>X</v>
      </c>
      <c r="B289" s="17">
        <f t="shared" si="45"/>
        <v>0</v>
      </c>
      <c r="C289" s="17">
        <v>59</v>
      </c>
      <c r="O289" s="17" t="str">
        <f t="shared" si="46"/>
        <v>X</v>
      </c>
      <c r="P289" s="17">
        <f t="shared" si="47"/>
        <v>0</v>
      </c>
      <c r="Q289" s="17">
        <v>59</v>
      </c>
      <c r="AB289" s="17" t="str">
        <f t="shared" si="48"/>
        <v>X</v>
      </c>
      <c r="AC289" s="17">
        <f t="shared" si="49"/>
        <v>0</v>
      </c>
      <c r="AD289" s="17">
        <v>59</v>
      </c>
      <c r="AP289" s="17" t="str">
        <f t="shared" si="50"/>
        <v>X</v>
      </c>
      <c r="AQ289" s="17">
        <f t="shared" si="51"/>
        <v>0</v>
      </c>
      <c r="AR289" s="17">
        <v>59</v>
      </c>
      <c r="BB289" s="17" t="str">
        <f t="shared" si="52"/>
        <v>X</v>
      </c>
      <c r="BC289" s="17">
        <f t="shared" si="53"/>
        <v>0</v>
      </c>
      <c r="BD289" s="17">
        <v>59</v>
      </c>
    </row>
    <row r="290" spans="1:56">
      <c r="A290" s="17" t="str">
        <f t="shared" si="44"/>
        <v>X</v>
      </c>
      <c r="B290" s="17">
        <f t="shared" si="45"/>
        <v>0</v>
      </c>
      <c r="C290" s="17">
        <v>60</v>
      </c>
      <c r="O290" s="17" t="str">
        <f t="shared" si="46"/>
        <v>X</v>
      </c>
      <c r="P290" s="17">
        <f t="shared" si="47"/>
        <v>0</v>
      </c>
      <c r="Q290" s="17">
        <v>60</v>
      </c>
      <c r="AB290" s="17" t="str">
        <f t="shared" si="48"/>
        <v>X</v>
      </c>
      <c r="AC290" s="17">
        <f t="shared" si="49"/>
        <v>0</v>
      </c>
      <c r="AD290" s="17">
        <v>60</v>
      </c>
      <c r="AP290" s="17" t="str">
        <f t="shared" si="50"/>
        <v>X</v>
      </c>
      <c r="AQ290" s="17">
        <f t="shared" si="51"/>
        <v>0</v>
      </c>
      <c r="AR290" s="17">
        <v>60</v>
      </c>
      <c r="BB290" s="17" t="str">
        <f t="shared" si="52"/>
        <v>X</v>
      </c>
      <c r="BC290" s="17">
        <f t="shared" si="53"/>
        <v>0</v>
      </c>
      <c r="BD290" s="17">
        <v>60</v>
      </c>
    </row>
    <row r="291" spans="1:56">
      <c r="A291" s="17" t="str">
        <f t="shared" si="44"/>
        <v>X</v>
      </c>
      <c r="B291" s="17">
        <f t="shared" si="45"/>
        <v>0</v>
      </c>
      <c r="C291" s="17">
        <v>61</v>
      </c>
      <c r="O291" s="17" t="str">
        <f t="shared" si="46"/>
        <v>X</v>
      </c>
      <c r="P291" s="17">
        <f t="shared" si="47"/>
        <v>0</v>
      </c>
      <c r="Q291" s="17">
        <v>61</v>
      </c>
      <c r="AB291" s="17" t="str">
        <f t="shared" si="48"/>
        <v>X</v>
      </c>
      <c r="AC291" s="17">
        <f t="shared" si="49"/>
        <v>0</v>
      </c>
      <c r="AD291" s="17">
        <v>61</v>
      </c>
      <c r="AP291" s="17" t="str">
        <f t="shared" si="50"/>
        <v>X</v>
      </c>
      <c r="AQ291" s="17">
        <f t="shared" si="51"/>
        <v>0</v>
      </c>
      <c r="AR291" s="17">
        <v>61</v>
      </c>
      <c r="BB291" s="17" t="str">
        <f t="shared" si="52"/>
        <v>X</v>
      </c>
      <c r="BC291" s="17">
        <f t="shared" si="53"/>
        <v>0</v>
      </c>
      <c r="BD291" s="17">
        <v>61</v>
      </c>
    </row>
    <row r="292" spans="1:56">
      <c r="A292" s="17" t="str">
        <f t="shared" si="44"/>
        <v>X</v>
      </c>
      <c r="B292" s="17">
        <f t="shared" si="45"/>
        <v>0</v>
      </c>
      <c r="C292" s="17">
        <v>62</v>
      </c>
      <c r="O292" s="17" t="str">
        <f t="shared" si="46"/>
        <v>X</v>
      </c>
      <c r="P292" s="17">
        <f t="shared" si="47"/>
        <v>0</v>
      </c>
      <c r="Q292" s="17">
        <v>62</v>
      </c>
      <c r="AB292" s="17" t="str">
        <f t="shared" si="48"/>
        <v>X</v>
      </c>
      <c r="AC292" s="17">
        <f t="shared" si="49"/>
        <v>0</v>
      </c>
      <c r="AD292" s="17">
        <v>62</v>
      </c>
      <c r="AP292" s="17" t="str">
        <f t="shared" si="50"/>
        <v>X</v>
      </c>
      <c r="AQ292" s="17">
        <f t="shared" si="51"/>
        <v>0</v>
      </c>
      <c r="AR292" s="17">
        <v>62</v>
      </c>
      <c r="BB292" s="17" t="str">
        <f t="shared" si="52"/>
        <v>X</v>
      </c>
      <c r="BC292" s="17">
        <f t="shared" si="53"/>
        <v>0</v>
      </c>
      <c r="BD292" s="17">
        <v>62</v>
      </c>
    </row>
    <row r="293" spans="1:56">
      <c r="A293" s="17" t="str">
        <f t="shared" si="44"/>
        <v>X</v>
      </c>
      <c r="B293" s="17">
        <f t="shared" si="45"/>
        <v>0</v>
      </c>
      <c r="C293" s="17">
        <v>63</v>
      </c>
      <c r="O293" s="17" t="str">
        <f t="shared" si="46"/>
        <v>X</v>
      </c>
      <c r="P293" s="17">
        <f t="shared" si="47"/>
        <v>0</v>
      </c>
      <c r="Q293" s="17">
        <v>63</v>
      </c>
      <c r="AB293" s="17" t="str">
        <f t="shared" si="48"/>
        <v>X</v>
      </c>
      <c r="AC293" s="17">
        <f t="shared" si="49"/>
        <v>0</v>
      </c>
      <c r="AD293" s="17">
        <v>63</v>
      </c>
      <c r="AP293" s="17" t="str">
        <f t="shared" si="50"/>
        <v>X</v>
      </c>
      <c r="AQ293" s="17">
        <f t="shared" si="51"/>
        <v>0</v>
      </c>
      <c r="AR293" s="17">
        <v>63</v>
      </c>
      <c r="BB293" s="17" t="str">
        <f t="shared" si="52"/>
        <v>X</v>
      </c>
      <c r="BC293" s="17">
        <f t="shared" si="53"/>
        <v>0</v>
      </c>
      <c r="BD293" s="17">
        <v>63</v>
      </c>
    </row>
    <row r="294" spans="1:56">
      <c r="A294" s="17" t="str">
        <f t="shared" si="44"/>
        <v>X</v>
      </c>
      <c r="B294" s="17">
        <f t="shared" si="45"/>
        <v>0</v>
      </c>
      <c r="C294" s="17">
        <v>64</v>
      </c>
      <c r="O294" s="17" t="str">
        <f t="shared" si="46"/>
        <v>X</v>
      </c>
      <c r="P294" s="17">
        <f t="shared" si="47"/>
        <v>0</v>
      </c>
      <c r="Q294" s="17">
        <v>64</v>
      </c>
      <c r="AB294" s="17" t="str">
        <f t="shared" si="48"/>
        <v>X</v>
      </c>
      <c r="AC294" s="17">
        <f t="shared" si="49"/>
        <v>0</v>
      </c>
      <c r="AD294" s="17">
        <v>64</v>
      </c>
      <c r="AP294" s="17" t="str">
        <f t="shared" si="50"/>
        <v>X</v>
      </c>
      <c r="AQ294" s="17">
        <f t="shared" si="51"/>
        <v>0</v>
      </c>
      <c r="AR294" s="17">
        <v>64</v>
      </c>
      <c r="BB294" s="17" t="str">
        <f t="shared" si="52"/>
        <v>X</v>
      </c>
      <c r="BC294" s="17">
        <f t="shared" si="53"/>
        <v>0</v>
      </c>
      <c r="BD294" s="17">
        <v>64</v>
      </c>
    </row>
    <row r="295" spans="1:56">
      <c r="A295" s="17" t="str">
        <f t="shared" si="44"/>
        <v>X</v>
      </c>
      <c r="B295" s="17">
        <f t="shared" si="45"/>
        <v>0</v>
      </c>
      <c r="C295" s="17">
        <v>65</v>
      </c>
      <c r="O295" s="17" t="str">
        <f t="shared" si="46"/>
        <v>X</v>
      </c>
      <c r="P295" s="17">
        <f t="shared" si="47"/>
        <v>0</v>
      </c>
      <c r="Q295" s="17">
        <v>65</v>
      </c>
      <c r="AB295" s="17" t="str">
        <f t="shared" si="48"/>
        <v>X</v>
      </c>
      <c r="AC295" s="17">
        <f t="shared" si="49"/>
        <v>0</v>
      </c>
      <c r="AD295" s="17">
        <v>65</v>
      </c>
      <c r="AP295" s="17" t="str">
        <f t="shared" si="50"/>
        <v>X</v>
      </c>
      <c r="AQ295" s="17">
        <f t="shared" si="51"/>
        <v>0</v>
      </c>
      <c r="AR295" s="17">
        <v>65</v>
      </c>
      <c r="BB295" s="17" t="str">
        <f t="shared" si="52"/>
        <v>X</v>
      </c>
      <c r="BC295" s="17">
        <f t="shared" si="53"/>
        <v>0</v>
      </c>
      <c r="BD295" s="17">
        <v>65</v>
      </c>
    </row>
    <row r="296" spans="1:56">
      <c r="A296" s="17" t="str">
        <f t="shared" ref="A296:A330" si="54">IF(B296&gt;0,"Q","X")</f>
        <v>X</v>
      </c>
      <c r="B296" s="17">
        <f t="shared" ref="B296:B330" si="55">IF($J$18&gt;=C296,$I$18,0)</f>
        <v>0</v>
      </c>
      <c r="C296" s="17">
        <v>66</v>
      </c>
      <c r="O296" s="17" t="str">
        <f t="shared" ref="O296:O359" si="56">IF(P296&gt;0,"Q","X")</f>
        <v>X</v>
      </c>
      <c r="P296" s="17">
        <f t="shared" ref="P296:P330" si="57">IF($X$18&gt;=Q296,$W$18,0)</f>
        <v>0</v>
      </c>
      <c r="Q296" s="17">
        <v>66</v>
      </c>
      <c r="AB296" s="17" t="str">
        <f t="shared" ref="AB296:AB359" si="58">IF(AC296&gt;0,"Q","X")</f>
        <v>X</v>
      </c>
      <c r="AC296" s="17">
        <f t="shared" ref="AC296:AC330" si="59">IF($AK$18&gt;=AD296,$AJ$18,0)</f>
        <v>0</v>
      </c>
      <c r="AD296" s="17">
        <v>66</v>
      </c>
      <c r="AP296" s="17" t="str">
        <f t="shared" ref="AP296:AP359" si="60">IF(AQ296&gt;0,"Q","X")</f>
        <v>X</v>
      </c>
      <c r="AQ296" s="17">
        <f t="shared" ref="AQ296:AQ330" si="61">IF($AY$18&gt;=AR296,$AX$18,0)</f>
        <v>0</v>
      </c>
      <c r="AR296" s="17">
        <v>66</v>
      </c>
      <c r="BB296" s="17" t="str">
        <f t="shared" ref="BB296:BB359" si="62">IF(BC296&gt;0,"Q","X")</f>
        <v>X</v>
      </c>
      <c r="BC296" s="17">
        <f t="shared" ref="BC296:BC330" si="63">IF($AY$18&gt;=BD296,$AX$18,0)</f>
        <v>0</v>
      </c>
      <c r="BD296" s="17">
        <v>66</v>
      </c>
    </row>
    <row r="297" spans="1:56">
      <c r="A297" s="17" t="str">
        <f t="shared" si="54"/>
        <v>X</v>
      </c>
      <c r="B297" s="17">
        <f t="shared" si="55"/>
        <v>0</v>
      </c>
      <c r="C297" s="17">
        <v>67</v>
      </c>
      <c r="O297" s="17" t="str">
        <f t="shared" si="56"/>
        <v>X</v>
      </c>
      <c r="P297" s="17">
        <f t="shared" si="57"/>
        <v>0</v>
      </c>
      <c r="Q297" s="17">
        <v>67</v>
      </c>
      <c r="AB297" s="17" t="str">
        <f t="shared" si="58"/>
        <v>X</v>
      </c>
      <c r="AC297" s="17">
        <f t="shared" si="59"/>
        <v>0</v>
      </c>
      <c r="AD297" s="17">
        <v>67</v>
      </c>
      <c r="AP297" s="17" t="str">
        <f t="shared" si="60"/>
        <v>X</v>
      </c>
      <c r="AQ297" s="17">
        <f t="shared" si="61"/>
        <v>0</v>
      </c>
      <c r="AR297" s="17">
        <v>67</v>
      </c>
      <c r="BB297" s="17" t="str">
        <f t="shared" si="62"/>
        <v>X</v>
      </c>
      <c r="BC297" s="17">
        <f t="shared" si="63"/>
        <v>0</v>
      </c>
      <c r="BD297" s="17">
        <v>67</v>
      </c>
    </row>
    <row r="298" spans="1:56">
      <c r="A298" s="17" t="str">
        <f t="shared" si="54"/>
        <v>X</v>
      </c>
      <c r="B298" s="17">
        <f t="shared" si="55"/>
        <v>0</v>
      </c>
      <c r="C298" s="17">
        <v>68</v>
      </c>
      <c r="O298" s="17" t="str">
        <f t="shared" si="56"/>
        <v>X</v>
      </c>
      <c r="P298" s="17">
        <f t="shared" si="57"/>
        <v>0</v>
      </c>
      <c r="Q298" s="17">
        <v>68</v>
      </c>
      <c r="AB298" s="17" t="str">
        <f t="shared" si="58"/>
        <v>X</v>
      </c>
      <c r="AC298" s="17">
        <f t="shared" si="59"/>
        <v>0</v>
      </c>
      <c r="AD298" s="17">
        <v>68</v>
      </c>
      <c r="AP298" s="17" t="str">
        <f t="shared" si="60"/>
        <v>X</v>
      </c>
      <c r="AQ298" s="17">
        <f t="shared" si="61"/>
        <v>0</v>
      </c>
      <c r="AR298" s="17">
        <v>68</v>
      </c>
      <c r="BB298" s="17" t="str">
        <f t="shared" si="62"/>
        <v>X</v>
      </c>
      <c r="BC298" s="17">
        <f t="shared" si="63"/>
        <v>0</v>
      </c>
      <c r="BD298" s="17">
        <v>68</v>
      </c>
    </row>
    <row r="299" spans="1:56">
      <c r="A299" s="17" t="str">
        <f t="shared" si="54"/>
        <v>X</v>
      </c>
      <c r="B299" s="17">
        <f t="shared" si="55"/>
        <v>0</v>
      </c>
      <c r="C299" s="17">
        <v>69</v>
      </c>
      <c r="O299" s="17" t="str">
        <f t="shared" si="56"/>
        <v>X</v>
      </c>
      <c r="P299" s="17">
        <f t="shared" si="57"/>
        <v>0</v>
      </c>
      <c r="Q299" s="17">
        <v>69</v>
      </c>
      <c r="AB299" s="17" t="str">
        <f t="shared" si="58"/>
        <v>X</v>
      </c>
      <c r="AC299" s="17">
        <f t="shared" si="59"/>
        <v>0</v>
      </c>
      <c r="AD299" s="17">
        <v>69</v>
      </c>
      <c r="AP299" s="17" t="str">
        <f t="shared" si="60"/>
        <v>X</v>
      </c>
      <c r="AQ299" s="17">
        <f t="shared" si="61"/>
        <v>0</v>
      </c>
      <c r="AR299" s="17">
        <v>69</v>
      </c>
      <c r="BB299" s="17" t="str">
        <f t="shared" si="62"/>
        <v>X</v>
      </c>
      <c r="BC299" s="17">
        <f t="shared" si="63"/>
        <v>0</v>
      </c>
      <c r="BD299" s="17">
        <v>69</v>
      </c>
    </row>
    <row r="300" spans="1:56">
      <c r="A300" s="17" t="str">
        <f t="shared" si="54"/>
        <v>X</v>
      </c>
      <c r="B300" s="17">
        <f t="shared" si="55"/>
        <v>0</v>
      </c>
      <c r="C300" s="17">
        <v>70</v>
      </c>
      <c r="O300" s="17" t="str">
        <f t="shared" si="56"/>
        <v>X</v>
      </c>
      <c r="P300" s="17">
        <f t="shared" si="57"/>
        <v>0</v>
      </c>
      <c r="Q300" s="17">
        <v>70</v>
      </c>
      <c r="AB300" s="17" t="str">
        <f t="shared" si="58"/>
        <v>X</v>
      </c>
      <c r="AC300" s="17">
        <f t="shared" si="59"/>
        <v>0</v>
      </c>
      <c r="AD300" s="17">
        <v>70</v>
      </c>
      <c r="AP300" s="17" t="str">
        <f t="shared" si="60"/>
        <v>X</v>
      </c>
      <c r="AQ300" s="17">
        <f t="shared" si="61"/>
        <v>0</v>
      </c>
      <c r="AR300" s="17">
        <v>70</v>
      </c>
      <c r="BB300" s="17" t="str">
        <f t="shared" si="62"/>
        <v>X</v>
      </c>
      <c r="BC300" s="17">
        <f t="shared" si="63"/>
        <v>0</v>
      </c>
      <c r="BD300" s="17">
        <v>70</v>
      </c>
    </row>
    <row r="301" spans="1:56">
      <c r="A301" s="17" t="str">
        <f t="shared" si="54"/>
        <v>X</v>
      </c>
      <c r="B301" s="17">
        <f t="shared" si="55"/>
        <v>0</v>
      </c>
      <c r="C301" s="17">
        <v>71</v>
      </c>
      <c r="O301" s="17" t="str">
        <f t="shared" si="56"/>
        <v>X</v>
      </c>
      <c r="P301" s="17">
        <f t="shared" si="57"/>
        <v>0</v>
      </c>
      <c r="Q301" s="17">
        <v>71</v>
      </c>
      <c r="AB301" s="17" t="str">
        <f t="shared" si="58"/>
        <v>X</v>
      </c>
      <c r="AC301" s="17">
        <f t="shared" si="59"/>
        <v>0</v>
      </c>
      <c r="AD301" s="17">
        <v>71</v>
      </c>
      <c r="AP301" s="17" t="str">
        <f t="shared" si="60"/>
        <v>X</v>
      </c>
      <c r="AQ301" s="17">
        <f t="shared" si="61"/>
        <v>0</v>
      </c>
      <c r="AR301" s="17">
        <v>71</v>
      </c>
      <c r="BB301" s="17" t="str">
        <f t="shared" si="62"/>
        <v>X</v>
      </c>
      <c r="BC301" s="17">
        <f t="shared" si="63"/>
        <v>0</v>
      </c>
      <c r="BD301" s="17">
        <v>71</v>
      </c>
    </row>
    <row r="302" spans="1:56">
      <c r="A302" s="17" t="str">
        <f t="shared" si="54"/>
        <v>X</v>
      </c>
      <c r="B302" s="17">
        <f t="shared" si="55"/>
        <v>0</v>
      </c>
      <c r="C302" s="17">
        <v>72</v>
      </c>
      <c r="O302" s="17" t="str">
        <f t="shared" si="56"/>
        <v>X</v>
      </c>
      <c r="P302" s="17">
        <f t="shared" si="57"/>
        <v>0</v>
      </c>
      <c r="Q302" s="17">
        <v>72</v>
      </c>
      <c r="AB302" s="17" t="str">
        <f t="shared" si="58"/>
        <v>X</v>
      </c>
      <c r="AC302" s="17">
        <f t="shared" si="59"/>
        <v>0</v>
      </c>
      <c r="AD302" s="17">
        <v>72</v>
      </c>
      <c r="AP302" s="17" t="str">
        <f t="shared" si="60"/>
        <v>X</v>
      </c>
      <c r="AQ302" s="17">
        <f t="shared" si="61"/>
        <v>0</v>
      </c>
      <c r="AR302" s="17">
        <v>72</v>
      </c>
      <c r="BB302" s="17" t="str">
        <f t="shared" si="62"/>
        <v>X</v>
      </c>
      <c r="BC302" s="17">
        <f t="shared" si="63"/>
        <v>0</v>
      </c>
      <c r="BD302" s="17">
        <v>72</v>
      </c>
    </row>
    <row r="303" spans="1:56">
      <c r="A303" s="17" t="str">
        <f t="shared" si="54"/>
        <v>X</v>
      </c>
      <c r="B303" s="17">
        <f t="shared" si="55"/>
        <v>0</v>
      </c>
      <c r="C303" s="17">
        <v>73</v>
      </c>
      <c r="O303" s="17" t="str">
        <f t="shared" si="56"/>
        <v>X</v>
      </c>
      <c r="P303" s="17">
        <f t="shared" si="57"/>
        <v>0</v>
      </c>
      <c r="Q303" s="17">
        <v>73</v>
      </c>
      <c r="AB303" s="17" t="str">
        <f t="shared" si="58"/>
        <v>X</v>
      </c>
      <c r="AC303" s="17">
        <f t="shared" si="59"/>
        <v>0</v>
      </c>
      <c r="AD303" s="17">
        <v>73</v>
      </c>
      <c r="AP303" s="17" t="str">
        <f t="shared" si="60"/>
        <v>X</v>
      </c>
      <c r="AQ303" s="17">
        <f t="shared" si="61"/>
        <v>0</v>
      </c>
      <c r="AR303" s="17">
        <v>73</v>
      </c>
      <c r="BB303" s="17" t="str">
        <f t="shared" si="62"/>
        <v>X</v>
      </c>
      <c r="BC303" s="17">
        <f t="shared" si="63"/>
        <v>0</v>
      </c>
      <c r="BD303" s="17">
        <v>73</v>
      </c>
    </row>
    <row r="304" spans="1:56">
      <c r="A304" s="17" t="str">
        <f t="shared" si="54"/>
        <v>X</v>
      </c>
      <c r="B304" s="17">
        <f t="shared" si="55"/>
        <v>0</v>
      </c>
      <c r="C304" s="17">
        <v>74</v>
      </c>
      <c r="O304" s="17" t="str">
        <f t="shared" si="56"/>
        <v>X</v>
      </c>
      <c r="P304" s="17">
        <f t="shared" si="57"/>
        <v>0</v>
      </c>
      <c r="Q304" s="17">
        <v>74</v>
      </c>
      <c r="AB304" s="17" t="str">
        <f t="shared" si="58"/>
        <v>X</v>
      </c>
      <c r="AC304" s="17">
        <f t="shared" si="59"/>
        <v>0</v>
      </c>
      <c r="AD304" s="17">
        <v>74</v>
      </c>
      <c r="AP304" s="17" t="str">
        <f t="shared" si="60"/>
        <v>X</v>
      </c>
      <c r="AQ304" s="17">
        <f t="shared" si="61"/>
        <v>0</v>
      </c>
      <c r="AR304" s="17">
        <v>74</v>
      </c>
      <c r="BB304" s="17" t="str">
        <f t="shared" si="62"/>
        <v>X</v>
      </c>
      <c r="BC304" s="17">
        <f t="shared" si="63"/>
        <v>0</v>
      </c>
      <c r="BD304" s="17">
        <v>74</v>
      </c>
    </row>
    <row r="305" spans="1:56">
      <c r="A305" s="17" t="str">
        <f t="shared" si="54"/>
        <v>X</v>
      </c>
      <c r="B305" s="17">
        <f t="shared" si="55"/>
        <v>0</v>
      </c>
      <c r="C305" s="17">
        <v>75</v>
      </c>
      <c r="O305" s="17" t="str">
        <f t="shared" si="56"/>
        <v>X</v>
      </c>
      <c r="P305" s="17">
        <f t="shared" si="57"/>
        <v>0</v>
      </c>
      <c r="Q305" s="17">
        <v>75</v>
      </c>
      <c r="AB305" s="17" t="str">
        <f t="shared" si="58"/>
        <v>X</v>
      </c>
      <c r="AC305" s="17">
        <f t="shared" si="59"/>
        <v>0</v>
      </c>
      <c r="AD305" s="17">
        <v>75</v>
      </c>
      <c r="AP305" s="17" t="str">
        <f t="shared" si="60"/>
        <v>X</v>
      </c>
      <c r="AQ305" s="17">
        <f t="shared" si="61"/>
        <v>0</v>
      </c>
      <c r="AR305" s="17">
        <v>75</v>
      </c>
      <c r="BB305" s="17" t="str">
        <f t="shared" si="62"/>
        <v>X</v>
      </c>
      <c r="BC305" s="17">
        <f t="shared" si="63"/>
        <v>0</v>
      </c>
      <c r="BD305" s="17">
        <v>75</v>
      </c>
    </row>
    <row r="306" spans="1:56">
      <c r="A306" s="17" t="str">
        <f t="shared" si="54"/>
        <v>X</v>
      </c>
      <c r="B306" s="17">
        <f t="shared" si="55"/>
        <v>0</v>
      </c>
      <c r="C306" s="17">
        <v>76</v>
      </c>
      <c r="O306" s="17" t="str">
        <f t="shared" si="56"/>
        <v>X</v>
      </c>
      <c r="P306" s="17">
        <f t="shared" si="57"/>
        <v>0</v>
      </c>
      <c r="Q306" s="17">
        <v>76</v>
      </c>
      <c r="AB306" s="17" t="str">
        <f t="shared" si="58"/>
        <v>X</v>
      </c>
      <c r="AC306" s="17">
        <f t="shared" si="59"/>
        <v>0</v>
      </c>
      <c r="AD306" s="17">
        <v>76</v>
      </c>
      <c r="AP306" s="17" t="str">
        <f t="shared" si="60"/>
        <v>X</v>
      </c>
      <c r="AQ306" s="17">
        <f t="shared" si="61"/>
        <v>0</v>
      </c>
      <c r="AR306" s="17">
        <v>76</v>
      </c>
      <c r="BB306" s="17" t="str">
        <f t="shared" si="62"/>
        <v>X</v>
      </c>
      <c r="BC306" s="17">
        <f t="shared" si="63"/>
        <v>0</v>
      </c>
      <c r="BD306" s="17">
        <v>76</v>
      </c>
    </row>
    <row r="307" spans="1:56">
      <c r="A307" s="17" t="str">
        <f t="shared" si="54"/>
        <v>X</v>
      </c>
      <c r="B307" s="17">
        <f t="shared" si="55"/>
        <v>0</v>
      </c>
      <c r="C307" s="17">
        <v>77</v>
      </c>
      <c r="O307" s="17" t="str">
        <f t="shared" si="56"/>
        <v>X</v>
      </c>
      <c r="P307" s="17">
        <f t="shared" si="57"/>
        <v>0</v>
      </c>
      <c r="Q307" s="17">
        <v>77</v>
      </c>
      <c r="AB307" s="17" t="str">
        <f t="shared" si="58"/>
        <v>X</v>
      </c>
      <c r="AC307" s="17">
        <f t="shared" si="59"/>
        <v>0</v>
      </c>
      <c r="AD307" s="17">
        <v>77</v>
      </c>
      <c r="AP307" s="17" t="str">
        <f t="shared" si="60"/>
        <v>X</v>
      </c>
      <c r="AQ307" s="17">
        <f t="shared" si="61"/>
        <v>0</v>
      </c>
      <c r="AR307" s="17">
        <v>77</v>
      </c>
      <c r="BB307" s="17" t="str">
        <f t="shared" si="62"/>
        <v>X</v>
      </c>
      <c r="BC307" s="17">
        <f t="shared" si="63"/>
        <v>0</v>
      </c>
      <c r="BD307" s="17">
        <v>77</v>
      </c>
    </row>
    <row r="308" spans="1:56">
      <c r="A308" s="17" t="str">
        <f t="shared" si="54"/>
        <v>X</v>
      </c>
      <c r="B308" s="17">
        <f t="shared" si="55"/>
        <v>0</v>
      </c>
      <c r="C308" s="17">
        <v>78</v>
      </c>
      <c r="O308" s="17" t="str">
        <f t="shared" si="56"/>
        <v>X</v>
      </c>
      <c r="P308" s="17">
        <f t="shared" si="57"/>
        <v>0</v>
      </c>
      <c r="Q308" s="17">
        <v>78</v>
      </c>
      <c r="AB308" s="17" t="str">
        <f t="shared" si="58"/>
        <v>X</v>
      </c>
      <c r="AC308" s="17">
        <f t="shared" si="59"/>
        <v>0</v>
      </c>
      <c r="AD308" s="17">
        <v>78</v>
      </c>
      <c r="AP308" s="17" t="str">
        <f t="shared" si="60"/>
        <v>X</v>
      </c>
      <c r="AQ308" s="17">
        <f t="shared" si="61"/>
        <v>0</v>
      </c>
      <c r="AR308" s="17">
        <v>78</v>
      </c>
      <c r="BB308" s="17" t="str">
        <f t="shared" si="62"/>
        <v>X</v>
      </c>
      <c r="BC308" s="17">
        <f t="shared" si="63"/>
        <v>0</v>
      </c>
      <c r="BD308" s="17">
        <v>78</v>
      </c>
    </row>
    <row r="309" spans="1:56">
      <c r="A309" s="17" t="str">
        <f t="shared" si="54"/>
        <v>X</v>
      </c>
      <c r="B309" s="17">
        <f t="shared" si="55"/>
        <v>0</v>
      </c>
      <c r="C309" s="17">
        <v>79</v>
      </c>
      <c r="O309" s="17" t="str">
        <f t="shared" si="56"/>
        <v>X</v>
      </c>
      <c r="P309" s="17">
        <f t="shared" si="57"/>
        <v>0</v>
      </c>
      <c r="Q309" s="17">
        <v>79</v>
      </c>
      <c r="AB309" s="17" t="str">
        <f t="shared" si="58"/>
        <v>X</v>
      </c>
      <c r="AC309" s="17">
        <f t="shared" si="59"/>
        <v>0</v>
      </c>
      <c r="AD309" s="17">
        <v>79</v>
      </c>
      <c r="AP309" s="17" t="str">
        <f t="shared" si="60"/>
        <v>X</v>
      </c>
      <c r="AQ309" s="17">
        <f t="shared" si="61"/>
        <v>0</v>
      </c>
      <c r="AR309" s="17">
        <v>79</v>
      </c>
      <c r="BB309" s="17" t="str">
        <f t="shared" si="62"/>
        <v>X</v>
      </c>
      <c r="BC309" s="17">
        <f t="shared" si="63"/>
        <v>0</v>
      </c>
      <c r="BD309" s="17">
        <v>79</v>
      </c>
    </row>
    <row r="310" spans="1:56">
      <c r="A310" s="17" t="str">
        <f t="shared" si="54"/>
        <v>X</v>
      </c>
      <c r="B310" s="17">
        <f t="shared" si="55"/>
        <v>0</v>
      </c>
      <c r="C310" s="17">
        <v>80</v>
      </c>
      <c r="O310" s="17" t="str">
        <f t="shared" si="56"/>
        <v>X</v>
      </c>
      <c r="P310" s="17">
        <f t="shared" si="57"/>
        <v>0</v>
      </c>
      <c r="Q310" s="17">
        <v>80</v>
      </c>
      <c r="AB310" s="17" t="str">
        <f t="shared" si="58"/>
        <v>X</v>
      </c>
      <c r="AC310" s="17">
        <f t="shared" si="59"/>
        <v>0</v>
      </c>
      <c r="AD310" s="17">
        <v>80</v>
      </c>
      <c r="AP310" s="17" t="str">
        <f t="shared" si="60"/>
        <v>X</v>
      </c>
      <c r="AQ310" s="17">
        <f t="shared" si="61"/>
        <v>0</v>
      </c>
      <c r="AR310" s="17">
        <v>80</v>
      </c>
      <c r="BB310" s="17" t="str">
        <f t="shared" si="62"/>
        <v>X</v>
      </c>
      <c r="BC310" s="17">
        <f t="shared" si="63"/>
        <v>0</v>
      </c>
      <c r="BD310" s="17">
        <v>80</v>
      </c>
    </row>
    <row r="311" spans="1:56">
      <c r="A311" s="17" t="str">
        <f t="shared" si="54"/>
        <v>X</v>
      </c>
      <c r="B311" s="17">
        <f t="shared" si="55"/>
        <v>0</v>
      </c>
      <c r="C311" s="17">
        <v>81</v>
      </c>
      <c r="O311" s="17" t="str">
        <f t="shared" si="56"/>
        <v>X</v>
      </c>
      <c r="P311" s="17">
        <f t="shared" si="57"/>
        <v>0</v>
      </c>
      <c r="Q311" s="17">
        <v>81</v>
      </c>
      <c r="AB311" s="17" t="str">
        <f t="shared" si="58"/>
        <v>X</v>
      </c>
      <c r="AC311" s="17">
        <f t="shared" si="59"/>
        <v>0</v>
      </c>
      <c r="AD311" s="17">
        <v>81</v>
      </c>
      <c r="AP311" s="17" t="str">
        <f t="shared" si="60"/>
        <v>X</v>
      </c>
      <c r="AQ311" s="17">
        <f t="shared" si="61"/>
        <v>0</v>
      </c>
      <c r="AR311" s="17">
        <v>81</v>
      </c>
      <c r="BB311" s="17" t="str">
        <f t="shared" si="62"/>
        <v>X</v>
      </c>
      <c r="BC311" s="17">
        <f t="shared" si="63"/>
        <v>0</v>
      </c>
      <c r="BD311" s="17">
        <v>81</v>
      </c>
    </row>
    <row r="312" spans="1:56">
      <c r="A312" s="17" t="str">
        <f t="shared" si="54"/>
        <v>X</v>
      </c>
      <c r="B312" s="17">
        <f t="shared" si="55"/>
        <v>0</v>
      </c>
      <c r="C312" s="17">
        <v>82</v>
      </c>
      <c r="O312" s="17" t="str">
        <f t="shared" si="56"/>
        <v>X</v>
      </c>
      <c r="P312" s="17">
        <f t="shared" si="57"/>
        <v>0</v>
      </c>
      <c r="Q312" s="17">
        <v>82</v>
      </c>
      <c r="AB312" s="17" t="str">
        <f t="shared" si="58"/>
        <v>X</v>
      </c>
      <c r="AC312" s="17">
        <f t="shared" si="59"/>
        <v>0</v>
      </c>
      <c r="AD312" s="17">
        <v>82</v>
      </c>
      <c r="AP312" s="17" t="str">
        <f t="shared" si="60"/>
        <v>X</v>
      </c>
      <c r="AQ312" s="17">
        <f t="shared" si="61"/>
        <v>0</v>
      </c>
      <c r="AR312" s="17">
        <v>82</v>
      </c>
      <c r="BB312" s="17" t="str">
        <f t="shared" si="62"/>
        <v>X</v>
      </c>
      <c r="BC312" s="17">
        <f t="shared" si="63"/>
        <v>0</v>
      </c>
      <c r="BD312" s="17">
        <v>82</v>
      </c>
    </row>
    <row r="313" spans="1:56">
      <c r="A313" s="17" t="str">
        <f t="shared" si="54"/>
        <v>X</v>
      </c>
      <c r="B313" s="17">
        <f t="shared" si="55"/>
        <v>0</v>
      </c>
      <c r="C313" s="17">
        <v>83</v>
      </c>
      <c r="O313" s="17" t="str">
        <f t="shared" si="56"/>
        <v>X</v>
      </c>
      <c r="P313" s="17">
        <f t="shared" si="57"/>
        <v>0</v>
      </c>
      <c r="Q313" s="17">
        <v>83</v>
      </c>
      <c r="AB313" s="17" t="str">
        <f t="shared" si="58"/>
        <v>X</v>
      </c>
      <c r="AC313" s="17">
        <f t="shared" si="59"/>
        <v>0</v>
      </c>
      <c r="AD313" s="17">
        <v>83</v>
      </c>
      <c r="AP313" s="17" t="str">
        <f t="shared" si="60"/>
        <v>X</v>
      </c>
      <c r="AQ313" s="17">
        <f t="shared" si="61"/>
        <v>0</v>
      </c>
      <c r="AR313" s="17">
        <v>83</v>
      </c>
      <c r="BB313" s="17" t="str">
        <f t="shared" si="62"/>
        <v>X</v>
      </c>
      <c r="BC313" s="17">
        <f t="shared" si="63"/>
        <v>0</v>
      </c>
      <c r="BD313" s="17">
        <v>83</v>
      </c>
    </row>
    <row r="314" spans="1:56">
      <c r="A314" s="17" t="str">
        <f t="shared" si="54"/>
        <v>X</v>
      </c>
      <c r="B314" s="17">
        <f t="shared" si="55"/>
        <v>0</v>
      </c>
      <c r="C314" s="17">
        <v>84</v>
      </c>
      <c r="O314" s="17" t="str">
        <f t="shared" si="56"/>
        <v>X</v>
      </c>
      <c r="P314" s="17">
        <f t="shared" si="57"/>
        <v>0</v>
      </c>
      <c r="Q314" s="17">
        <v>84</v>
      </c>
      <c r="AB314" s="17" t="str">
        <f t="shared" si="58"/>
        <v>X</v>
      </c>
      <c r="AC314" s="17">
        <f t="shared" si="59"/>
        <v>0</v>
      </c>
      <c r="AD314" s="17">
        <v>84</v>
      </c>
      <c r="AP314" s="17" t="str">
        <f t="shared" si="60"/>
        <v>X</v>
      </c>
      <c r="AQ314" s="17">
        <f t="shared" si="61"/>
        <v>0</v>
      </c>
      <c r="AR314" s="17">
        <v>84</v>
      </c>
      <c r="BB314" s="17" t="str">
        <f t="shared" si="62"/>
        <v>X</v>
      </c>
      <c r="BC314" s="17">
        <f t="shared" si="63"/>
        <v>0</v>
      </c>
      <c r="BD314" s="17">
        <v>84</v>
      </c>
    </row>
    <row r="315" spans="1:56">
      <c r="A315" s="17" t="str">
        <f t="shared" si="54"/>
        <v>X</v>
      </c>
      <c r="B315" s="17">
        <f t="shared" si="55"/>
        <v>0</v>
      </c>
      <c r="C315" s="17">
        <v>85</v>
      </c>
      <c r="O315" s="17" t="str">
        <f t="shared" si="56"/>
        <v>X</v>
      </c>
      <c r="P315" s="17">
        <f t="shared" si="57"/>
        <v>0</v>
      </c>
      <c r="Q315" s="17">
        <v>85</v>
      </c>
      <c r="AB315" s="17" t="str">
        <f t="shared" si="58"/>
        <v>X</v>
      </c>
      <c r="AC315" s="17">
        <f t="shared" si="59"/>
        <v>0</v>
      </c>
      <c r="AD315" s="17">
        <v>85</v>
      </c>
      <c r="AP315" s="17" t="str">
        <f t="shared" si="60"/>
        <v>X</v>
      </c>
      <c r="AQ315" s="17">
        <f t="shared" si="61"/>
        <v>0</v>
      </c>
      <c r="AR315" s="17">
        <v>85</v>
      </c>
      <c r="BB315" s="17" t="str">
        <f t="shared" si="62"/>
        <v>X</v>
      </c>
      <c r="BC315" s="17">
        <f t="shared" si="63"/>
        <v>0</v>
      </c>
      <c r="BD315" s="17">
        <v>85</v>
      </c>
    </row>
    <row r="316" spans="1:56">
      <c r="A316" s="17" t="str">
        <f t="shared" si="54"/>
        <v>X</v>
      </c>
      <c r="B316" s="17">
        <f t="shared" si="55"/>
        <v>0</v>
      </c>
      <c r="C316" s="17">
        <v>86</v>
      </c>
      <c r="O316" s="17" t="str">
        <f t="shared" si="56"/>
        <v>X</v>
      </c>
      <c r="P316" s="17">
        <f t="shared" si="57"/>
        <v>0</v>
      </c>
      <c r="Q316" s="17">
        <v>86</v>
      </c>
      <c r="AB316" s="17" t="str">
        <f t="shared" si="58"/>
        <v>X</v>
      </c>
      <c r="AC316" s="17">
        <f t="shared" si="59"/>
        <v>0</v>
      </c>
      <c r="AD316" s="17">
        <v>86</v>
      </c>
      <c r="AP316" s="17" t="str">
        <f t="shared" si="60"/>
        <v>X</v>
      </c>
      <c r="AQ316" s="17">
        <f t="shared" si="61"/>
        <v>0</v>
      </c>
      <c r="AR316" s="17">
        <v>86</v>
      </c>
      <c r="BB316" s="17" t="str">
        <f t="shared" si="62"/>
        <v>X</v>
      </c>
      <c r="BC316" s="17">
        <f t="shared" si="63"/>
        <v>0</v>
      </c>
      <c r="BD316" s="17">
        <v>86</v>
      </c>
    </row>
    <row r="317" spans="1:56">
      <c r="A317" s="17" t="str">
        <f t="shared" si="54"/>
        <v>X</v>
      </c>
      <c r="B317" s="17">
        <f t="shared" si="55"/>
        <v>0</v>
      </c>
      <c r="C317" s="17">
        <v>87</v>
      </c>
      <c r="O317" s="17" t="str">
        <f t="shared" si="56"/>
        <v>X</v>
      </c>
      <c r="P317" s="17">
        <f t="shared" si="57"/>
        <v>0</v>
      </c>
      <c r="Q317" s="17">
        <v>87</v>
      </c>
      <c r="AB317" s="17" t="str">
        <f t="shared" si="58"/>
        <v>X</v>
      </c>
      <c r="AC317" s="17">
        <f t="shared" si="59"/>
        <v>0</v>
      </c>
      <c r="AD317" s="17">
        <v>87</v>
      </c>
      <c r="AP317" s="17" t="str">
        <f t="shared" si="60"/>
        <v>X</v>
      </c>
      <c r="AQ317" s="17">
        <f t="shared" si="61"/>
        <v>0</v>
      </c>
      <c r="AR317" s="17">
        <v>87</v>
      </c>
      <c r="BB317" s="17" t="str">
        <f t="shared" si="62"/>
        <v>X</v>
      </c>
      <c r="BC317" s="17">
        <f t="shared" si="63"/>
        <v>0</v>
      </c>
      <c r="BD317" s="17">
        <v>87</v>
      </c>
    </row>
    <row r="318" spans="1:56">
      <c r="A318" s="17" t="str">
        <f t="shared" si="54"/>
        <v>X</v>
      </c>
      <c r="B318" s="17">
        <f t="shared" si="55"/>
        <v>0</v>
      </c>
      <c r="C318" s="17">
        <v>88</v>
      </c>
      <c r="O318" s="17" t="str">
        <f t="shared" si="56"/>
        <v>X</v>
      </c>
      <c r="P318" s="17">
        <f t="shared" si="57"/>
        <v>0</v>
      </c>
      <c r="Q318" s="17">
        <v>88</v>
      </c>
      <c r="AB318" s="17" t="str">
        <f t="shared" si="58"/>
        <v>X</v>
      </c>
      <c r="AC318" s="17">
        <f t="shared" si="59"/>
        <v>0</v>
      </c>
      <c r="AD318" s="17">
        <v>88</v>
      </c>
      <c r="AP318" s="17" t="str">
        <f t="shared" si="60"/>
        <v>X</v>
      </c>
      <c r="AQ318" s="17">
        <f t="shared" si="61"/>
        <v>0</v>
      </c>
      <c r="AR318" s="17">
        <v>88</v>
      </c>
      <c r="BB318" s="17" t="str">
        <f t="shared" si="62"/>
        <v>X</v>
      </c>
      <c r="BC318" s="17">
        <f t="shared" si="63"/>
        <v>0</v>
      </c>
      <c r="BD318" s="17">
        <v>88</v>
      </c>
    </row>
    <row r="319" spans="1:56">
      <c r="A319" s="17" t="str">
        <f t="shared" si="54"/>
        <v>X</v>
      </c>
      <c r="B319" s="17">
        <f t="shared" si="55"/>
        <v>0</v>
      </c>
      <c r="C319" s="17">
        <v>89</v>
      </c>
      <c r="O319" s="17" t="str">
        <f t="shared" si="56"/>
        <v>X</v>
      </c>
      <c r="P319" s="17">
        <f t="shared" si="57"/>
        <v>0</v>
      </c>
      <c r="Q319" s="17">
        <v>89</v>
      </c>
      <c r="AB319" s="17" t="str">
        <f t="shared" si="58"/>
        <v>X</v>
      </c>
      <c r="AC319" s="17">
        <f t="shared" si="59"/>
        <v>0</v>
      </c>
      <c r="AD319" s="17">
        <v>89</v>
      </c>
      <c r="AP319" s="17" t="str">
        <f t="shared" si="60"/>
        <v>X</v>
      </c>
      <c r="AQ319" s="17">
        <f t="shared" si="61"/>
        <v>0</v>
      </c>
      <c r="AR319" s="17">
        <v>89</v>
      </c>
      <c r="BB319" s="17" t="str">
        <f t="shared" si="62"/>
        <v>X</v>
      </c>
      <c r="BC319" s="17">
        <f t="shared" si="63"/>
        <v>0</v>
      </c>
      <c r="BD319" s="17">
        <v>89</v>
      </c>
    </row>
    <row r="320" spans="1:56">
      <c r="A320" s="17" t="str">
        <f t="shared" si="54"/>
        <v>X</v>
      </c>
      <c r="B320" s="17">
        <f t="shared" si="55"/>
        <v>0</v>
      </c>
      <c r="C320" s="17">
        <v>90</v>
      </c>
      <c r="O320" s="17" t="str">
        <f t="shared" si="56"/>
        <v>X</v>
      </c>
      <c r="P320" s="17">
        <f t="shared" si="57"/>
        <v>0</v>
      </c>
      <c r="Q320" s="17">
        <v>90</v>
      </c>
      <c r="AB320" s="17" t="str">
        <f t="shared" si="58"/>
        <v>X</v>
      </c>
      <c r="AC320" s="17">
        <f t="shared" si="59"/>
        <v>0</v>
      </c>
      <c r="AD320" s="17">
        <v>90</v>
      </c>
      <c r="AP320" s="17" t="str">
        <f t="shared" si="60"/>
        <v>X</v>
      </c>
      <c r="AQ320" s="17">
        <f t="shared" si="61"/>
        <v>0</v>
      </c>
      <c r="AR320" s="17">
        <v>90</v>
      </c>
      <c r="BB320" s="17" t="str">
        <f t="shared" si="62"/>
        <v>X</v>
      </c>
      <c r="BC320" s="17">
        <f t="shared" si="63"/>
        <v>0</v>
      </c>
      <c r="BD320" s="17">
        <v>90</v>
      </c>
    </row>
    <row r="321" spans="1:56">
      <c r="A321" s="17" t="str">
        <f t="shared" si="54"/>
        <v>X</v>
      </c>
      <c r="B321" s="17">
        <f t="shared" si="55"/>
        <v>0</v>
      </c>
      <c r="C321" s="17">
        <v>91</v>
      </c>
      <c r="O321" s="17" t="str">
        <f t="shared" si="56"/>
        <v>X</v>
      </c>
      <c r="P321" s="17">
        <f t="shared" si="57"/>
        <v>0</v>
      </c>
      <c r="Q321" s="17">
        <v>91</v>
      </c>
      <c r="AB321" s="17" t="str">
        <f t="shared" si="58"/>
        <v>X</v>
      </c>
      <c r="AC321" s="17">
        <f t="shared" si="59"/>
        <v>0</v>
      </c>
      <c r="AD321" s="17">
        <v>91</v>
      </c>
      <c r="AP321" s="17" t="str">
        <f t="shared" si="60"/>
        <v>X</v>
      </c>
      <c r="AQ321" s="17">
        <f t="shared" si="61"/>
        <v>0</v>
      </c>
      <c r="AR321" s="17">
        <v>91</v>
      </c>
      <c r="BB321" s="17" t="str">
        <f t="shared" si="62"/>
        <v>X</v>
      </c>
      <c r="BC321" s="17">
        <f t="shared" si="63"/>
        <v>0</v>
      </c>
      <c r="BD321" s="17">
        <v>91</v>
      </c>
    </row>
    <row r="322" spans="1:56">
      <c r="A322" s="17" t="str">
        <f t="shared" si="54"/>
        <v>X</v>
      </c>
      <c r="B322" s="17">
        <f t="shared" si="55"/>
        <v>0</v>
      </c>
      <c r="C322" s="17">
        <v>92</v>
      </c>
      <c r="O322" s="17" t="str">
        <f t="shared" si="56"/>
        <v>X</v>
      </c>
      <c r="P322" s="17">
        <f t="shared" si="57"/>
        <v>0</v>
      </c>
      <c r="Q322" s="17">
        <v>92</v>
      </c>
      <c r="AB322" s="17" t="str">
        <f t="shared" si="58"/>
        <v>X</v>
      </c>
      <c r="AC322" s="17">
        <f t="shared" si="59"/>
        <v>0</v>
      </c>
      <c r="AD322" s="17">
        <v>92</v>
      </c>
      <c r="AP322" s="17" t="str">
        <f t="shared" si="60"/>
        <v>X</v>
      </c>
      <c r="AQ322" s="17">
        <f t="shared" si="61"/>
        <v>0</v>
      </c>
      <c r="AR322" s="17">
        <v>92</v>
      </c>
      <c r="BB322" s="17" t="str">
        <f t="shared" si="62"/>
        <v>X</v>
      </c>
      <c r="BC322" s="17">
        <f t="shared" si="63"/>
        <v>0</v>
      </c>
      <c r="BD322" s="17">
        <v>92</v>
      </c>
    </row>
    <row r="323" spans="1:56">
      <c r="A323" s="17" t="str">
        <f t="shared" si="54"/>
        <v>X</v>
      </c>
      <c r="B323" s="17">
        <f t="shared" si="55"/>
        <v>0</v>
      </c>
      <c r="C323" s="17">
        <v>93</v>
      </c>
      <c r="O323" s="17" t="str">
        <f t="shared" si="56"/>
        <v>X</v>
      </c>
      <c r="P323" s="17">
        <f t="shared" si="57"/>
        <v>0</v>
      </c>
      <c r="Q323" s="17">
        <v>93</v>
      </c>
      <c r="AB323" s="17" t="str">
        <f t="shared" si="58"/>
        <v>X</v>
      </c>
      <c r="AC323" s="17">
        <f t="shared" si="59"/>
        <v>0</v>
      </c>
      <c r="AD323" s="17">
        <v>93</v>
      </c>
      <c r="AP323" s="17" t="str">
        <f t="shared" si="60"/>
        <v>X</v>
      </c>
      <c r="AQ323" s="17">
        <f t="shared" si="61"/>
        <v>0</v>
      </c>
      <c r="AR323" s="17">
        <v>93</v>
      </c>
      <c r="BB323" s="17" t="str">
        <f t="shared" si="62"/>
        <v>X</v>
      </c>
      <c r="BC323" s="17">
        <f t="shared" si="63"/>
        <v>0</v>
      </c>
      <c r="BD323" s="17">
        <v>93</v>
      </c>
    </row>
    <row r="324" spans="1:56">
      <c r="A324" s="17" t="str">
        <f t="shared" si="54"/>
        <v>X</v>
      </c>
      <c r="B324" s="17">
        <f t="shared" si="55"/>
        <v>0</v>
      </c>
      <c r="C324" s="17">
        <v>94</v>
      </c>
      <c r="O324" s="17" t="str">
        <f t="shared" si="56"/>
        <v>X</v>
      </c>
      <c r="P324" s="17">
        <f t="shared" si="57"/>
        <v>0</v>
      </c>
      <c r="Q324" s="17">
        <v>94</v>
      </c>
      <c r="AB324" s="17" t="str">
        <f t="shared" si="58"/>
        <v>X</v>
      </c>
      <c r="AC324" s="17">
        <f t="shared" si="59"/>
        <v>0</v>
      </c>
      <c r="AD324" s="17">
        <v>94</v>
      </c>
      <c r="AP324" s="17" t="str">
        <f t="shared" si="60"/>
        <v>X</v>
      </c>
      <c r="AQ324" s="17">
        <f t="shared" si="61"/>
        <v>0</v>
      </c>
      <c r="AR324" s="17">
        <v>94</v>
      </c>
      <c r="BB324" s="17" t="str">
        <f t="shared" si="62"/>
        <v>X</v>
      </c>
      <c r="BC324" s="17">
        <f t="shared" si="63"/>
        <v>0</v>
      </c>
      <c r="BD324" s="17">
        <v>94</v>
      </c>
    </row>
    <row r="325" spans="1:56">
      <c r="A325" s="17" t="str">
        <f t="shared" si="54"/>
        <v>X</v>
      </c>
      <c r="B325" s="17">
        <f t="shared" si="55"/>
        <v>0</v>
      </c>
      <c r="C325" s="17">
        <v>95</v>
      </c>
      <c r="O325" s="17" t="str">
        <f t="shared" si="56"/>
        <v>X</v>
      </c>
      <c r="P325" s="17">
        <f t="shared" si="57"/>
        <v>0</v>
      </c>
      <c r="Q325" s="17">
        <v>95</v>
      </c>
      <c r="AB325" s="17" t="str">
        <f t="shared" si="58"/>
        <v>X</v>
      </c>
      <c r="AC325" s="17">
        <f t="shared" si="59"/>
        <v>0</v>
      </c>
      <c r="AD325" s="17">
        <v>95</v>
      </c>
      <c r="AP325" s="17" t="str">
        <f t="shared" si="60"/>
        <v>X</v>
      </c>
      <c r="AQ325" s="17">
        <f t="shared" si="61"/>
        <v>0</v>
      </c>
      <c r="AR325" s="17">
        <v>95</v>
      </c>
      <c r="BB325" s="17" t="str">
        <f t="shared" si="62"/>
        <v>X</v>
      </c>
      <c r="BC325" s="17">
        <f t="shared" si="63"/>
        <v>0</v>
      </c>
      <c r="BD325" s="17">
        <v>95</v>
      </c>
    </row>
    <row r="326" spans="1:56">
      <c r="A326" s="17" t="str">
        <f t="shared" si="54"/>
        <v>X</v>
      </c>
      <c r="B326" s="17">
        <f t="shared" si="55"/>
        <v>0</v>
      </c>
      <c r="C326" s="17">
        <v>96</v>
      </c>
      <c r="O326" s="17" t="str">
        <f t="shared" si="56"/>
        <v>X</v>
      </c>
      <c r="P326" s="17">
        <f t="shared" si="57"/>
        <v>0</v>
      </c>
      <c r="Q326" s="17">
        <v>96</v>
      </c>
      <c r="AB326" s="17" t="str">
        <f t="shared" si="58"/>
        <v>X</v>
      </c>
      <c r="AC326" s="17">
        <f t="shared" si="59"/>
        <v>0</v>
      </c>
      <c r="AD326" s="17">
        <v>96</v>
      </c>
      <c r="AP326" s="17" t="str">
        <f t="shared" si="60"/>
        <v>X</v>
      </c>
      <c r="AQ326" s="17">
        <f t="shared" si="61"/>
        <v>0</v>
      </c>
      <c r="AR326" s="17">
        <v>96</v>
      </c>
      <c r="BB326" s="17" t="str">
        <f t="shared" si="62"/>
        <v>X</v>
      </c>
      <c r="BC326" s="17">
        <f t="shared" si="63"/>
        <v>0</v>
      </c>
      <c r="BD326" s="17">
        <v>96</v>
      </c>
    </row>
    <row r="327" spans="1:56">
      <c r="A327" s="17" t="str">
        <f t="shared" si="54"/>
        <v>X</v>
      </c>
      <c r="B327" s="17">
        <f t="shared" si="55"/>
        <v>0</v>
      </c>
      <c r="C327" s="17">
        <v>97</v>
      </c>
      <c r="O327" s="17" t="str">
        <f t="shared" si="56"/>
        <v>X</v>
      </c>
      <c r="P327" s="17">
        <f t="shared" si="57"/>
        <v>0</v>
      </c>
      <c r="Q327" s="17">
        <v>97</v>
      </c>
      <c r="AB327" s="17" t="str">
        <f t="shared" si="58"/>
        <v>X</v>
      </c>
      <c r="AC327" s="17">
        <f t="shared" si="59"/>
        <v>0</v>
      </c>
      <c r="AD327" s="17">
        <v>97</v>
      </c>
      <c r="AP327" s="17" t="str">
        <f t="shared" si="60"/>
        <v>X</v>
      </c>
      <c r="AQ327" s="17">
        <f t="shared" si="61"/>
        <v>0</v>
      </c>
      <c r="AR327" s="17">
        <v>97</v>
      </c>
      <c r="BB327" s="17" t="str">
        <f t="shared" si="62"/>
        <v>X</v>
      </c>
      <c r="BC327" s="17">
        <f t="shared" si="63"/>
        <v>0</v>
      </c>
      <c r="BD327" s="17">
        <v>97</v>
      </c>
    </row>
    <row r="328" spans="1:56">
      <c r="A328" s="17" t="str">
        <f t="shared" si="54"/>
        <v>X</v>
      </c>
      <c r="B328" s="17">
        <f t="shared" si="55"/>
        <v>0</v>
      </c>
      <c r="C328" s="17">
        <v>98</v>
      </c>
      <c r="O328" s="17" t="str">
        <f t="shared" si="56"/>
        <v>X</v>
      </c>
      <c r="P328" s="17">
        <f t="shared" si="57"/>
        <v>0</v>
      </c>
      <c r="Q328" s="17">
        <v>98</v>
      </c>
      <c r="AB328" s="17" t="str">
        <f t="shared" si="58"/>
        <v>X</v>
      </c>
      <c r="AC328" s="17">
        <f t="shared" si="59"/>
        <v>0</v>
      </c>
      <c r="AD328" s="17">
        <v>98</v>
      </c>
      <c r="AP328" s="17" t="str">
        <f t="shared" si="60"/>
        <v>X</v>
      </c>
      <c r="AQ328" s="17">
        <f t="shared" si="61"/>
        <v>0</v>
      </c>
      <c r="AR328" s="17">
        <v>98</v>
      </c>
      <c r="BB328" s="17" t="str">
        <f t="shared" si="62"/>
        <v>X</v>
      </c>
      <c r="BC328" s="17">
        <f t="shared" si="63"/>
        <v>0</v>
      </c>
      <c r="BD328" s="17">
        <v>98</v>
      </c>
    </row>
    <row r="329" spans="1:56">
      <c r="A329" s="17" t="str">
        <f t="shared" si="54"/>
        <v>X</v>
      </c>
      <c r="B329" s="17">
        <f t="shared" si="55"/>
        <v>0</v>
      </c>
      <c r="C329" s="17">
        <v>99</v>
      </c>
      <c r="O329" s="17" t="str">
        <f t="shared" si="56"/>
        <v>X</v>
      </c>
      <c r="P329" s="17">
        <f t="shared" si="57"/>
        <v>0</v>
      </c>
      <c r="Q329" s="17">
        <v>99</v>
      </c>
      <c r="AB329" s="17" t="str">
        <f t="shared" si="58"/>
        <v>X</v>
      </c>
      <c r="AC329" s="17">
        <f t="shared" si="59"/>
        <v>0</v>
      </c>
      <c r="AD329" s="17">
        <v>99</v>
      </c>
      <c r="AP329" s="17" t="str">
        <f t="shared" si="60"/>
        <v>X</v>
      </c>
      <c r="AQ329" s="17">
        <f t="shared" si="61"/>
        <v>0</v>
      </c>
      <c r="AR329" s="17">
        <v>99</v>
      </c>
      <c r="BB329" s="17" t="str">
        <f t="shared" si="62"/>
        <v>X</v>
      </c>
      <c r="BC329" s="17">
        <f t="shared" si="63"/>
        <v>0</v>
      </c>
      <c r="BD329" s="17">
        <v>99</v>
      </c>
    </row>
    <row r="330" spans="1:56">
      <c r="A330" s="17" t="str">
        <f t="shared" si="54"/>
        <v>X</v>
      </c>
      <c r="B330" s="17">
        <f t="shared" si="55"/>
        <v>0</v>
      </c>
      <c r="C330" s="17">
        <v>100</v>
      </c>
      <c r="O330" s="17" t="str">
        <f t="shared" si="56"/>
        <v>X</v>
      </c>
      <c r="P330" s="17">
        <f t="shared" si="57"/>
        <v>0</v>
      </c>
      <c r="Q330" s="17">
        <v>100</v>
      </c>
      <c r="AB330" s="17" t="str">
        <f t="shared" si="58"/>
        <v>X</v>
      </c>
      <c r="AC330" s="17">
        <f t="shared" si="59"/>
        <v>0</v>
      </c>
      <c r="AD330" s="17">
        <v>100</v>
      </c>
      <c r="AP330" s="17" t="str">
        <f t="shared" si="60"/>
        <v>X</v>
      </c>
      <c r="AQ330" s="17">
        <f t="shared" si="61"/>
        <v>0</v>
      </c>
      <c r="AR330" s="17">
        <v>100</v>
      </c>
      <c r="BB330" s="17" t="str">
        <f t="shared" si="62"/>
        <v>X</v>
      </c>
      <c r="BC330" s="17">
        <f t="shared" si="63"/>
        <v>0</v>
      </c>
      <c r="BD330" s="17">
        <v>100</v>
      </c>
    </row>
    <row r="331" spans="1:56">
      <c r="A331" s="17" t="str">
        <f t="shared" ref="A331:A378" si="64">IF(B331&gt;0,"Q","X")</f>
        <v>X</v>
      </c>
      <c r="B331" s="17">
        <f>IF($H$18&gt;=C331,$G$18,0)</f>
        <v>0</v>
      </c>
      <c r="C331" s="17">
        <v>1</v>
      </c>
      <c r="O331" s="17" t="str">
        <f t="shared" si="56"/>
        <v>X</v>
      </c>
      <c r="P331" s="17">
        <f>IF($V$18&gt;=Q331,$U$18,0)</f>
        <v>0</v>
      </c>
      <c r="Q331" s="17">
        <v>1</v>
      </c>
      <c r="AB331" s="17" t="str">
        <f t="shared" si="58"/>
        <v>X</v>
      </c>
      <c r="AC331" s="17">
        <f>IF($AI$18&gt;=AD331,$AH$18,0)</f>
        <v>0</v>
      </c>
      <c r="AD331" s="17">
        <v>1</v>
      </c>
      <c r="AP331" s="17" t="str">
        <f t="shared" si="60"/>
        <v>X</v>
      </c>
      <c r="AQ331" s="17">
        <f>IF($AW$18&gt;=AR331,$AV$18,0)</f>
        <v>0</v>
      </c>
      <c r="AR331" s="17">
        <v>1</v>
      </c>
      <c r="BB331" s="17" t="str">
        <f t="shared" si="62"/>
        <v>X</v>
      </c>
      <c r="BC331" s="17">
        <f>IF($BI$18&gt;=BD331,$BH$18,0)</f>
        <v>0</v>
      </c>
      <c r="BD331" s="17">
        <v>1</v>
      </c>
    </row>
    <row r="332" spans="1:56">
      <c r="A332" s="17" t="str">
        <f t="shared" si="64"/>
        <v>X</v>
      </c>
      <c r="B332" s="17">
        <f t="shared" ref="B332:B395" si="65">IF($H$18&gt;=C332,$G$18,0)</f>
        <v>0</v>
      </c>
      <c r="C332" s="17">
        <v>2</v>
      </c>
      <c r="O332" s="17" t="str">
        <f t="shared" si="56"/>
        <v>X</v>
      </c>
      <c r="P332" s="17">
        <f t="shared" ref="P332:P395" si="66">IF($V$18&gt;=Q332,$U$18,0)</f>
        <v>0</v>
      </c>
      <c r="Q332" s="17">
        <v>2</v>
      </c>
      <c r="AB332" s="17" t="str">
        <f t="shared" si="58"/>
        <v>X</v>
      </c>
      <c r="AC332" s="17">
        <f t="shared" ref="AC332:AC395" si="67">IF($AI$18&gt;=AD332,$AH$18,0)</f>
        <v>0</v>
      </c>
      <c r="AD332" s="17">
        <v>2</v>
      </c>
      <c r="AP332" s="17" t="str">
        <f t="shared" si="60"/>
        <v>X</v>
      </c>
      <c r="AQ332" s="17">
        <f t="shared" ref="AQ332:AQ395" si="68">IF($AW$18&gt;=AR332,$AV$18,0)</f>
        <v>0</v>
      </c>
      <c r="AR332" s="17">
        <v>2</v>
      </c>
      <c r="BB332" s="17" t="str">
        <f t="shared" si="62"/>
        <v>X</v>
      </c>
      <c r="BC332" s="17">
        <f t="shared" ref="BC332:BC395" si="69">IF($BI$18&gt;=BD332,$BH$18,0)</f>
        <v>0</v>
      </c>
      <c r="BD332" s="17">
        <v>2</v>
      </c>
    </row>
    <row r="333" spans="1:56">
      <c r="A333" s="17" t="str">
        <f t="shared" si="64"/>
        <v>X</v>
      </c>
      <c r="B333" s="17">
        <f t="shared" si="65"/>
        <v>0</v>
      </c>
      <c r="C333" s="17">
        <v>3</v>
      </c>
      <c r="O333" s="17" t="str">
        <f t="shared" si="56"/>
        <v>X</v>
      </c>
      <c r="P333" s="17">
        <f t="shared" si="66"/>
        <v>0</v>
      </c>
      <c r="Q333" s="17">
        <v>3</v>
      </c>
      <c r="AB333" s="17" t="str">
        <f t="shared" si="58"/>
        <v>X</v>
      </c>
      <c r="AC333" s="17">
        <f t="shared" si="67"/>
        <v>0</v>
      </c>
      <c r="AD333" s="17">
        <v>3</v>
      </c>
      <c r="AP333" s="17" t="str">
        <f t="shared" si="60"/>
        <v>X</v>
      </c>
      <c r="AQ333" s="17">
        <f t="shared" si="68"/>
        <v>0</v>
      </c>
      <c r="AR333" s="17">
        <v>3</v>
      </c>
      <c r="BB333" s="17" t="str">
        <f t="shared" si="62"/>
        <v>X</v>
      </c>
      <c r="BC333" s="17">
        <f t="shared" si="69"/>
        <v>0</v>
      </c>
      <c r="BD333" s="17">
        <v>3</v>
      </c>
    </row>
    <row r="334" spans="1:56">
      <c r="A334" s="17" t="str">
        <f t="shared" si="64"/>
        <v>X</v>
      </c>
      <c r="B334" s="17">
        <f t="shared" si="65"/>
        <v>0</v>
      </c>
      <c r="C334" s="17">
        <v>4</v>
      </c>
      <c r="O334" s="17" t="str">
        <f t="shared" si="56"/>
        <v>X</v>
      </c>
      <c r="P334" s="17">
        <f t="shared" si="66"/>
        <v>0</v>
      </c>
      <c r="Q334" s="17">
        <v>4</v>
      </c>
      <c r="AB334" s="17" t="str">
        <f t="shared" si="58"/>
        <v>X</v>
      </c>
      <c r="AC334" s="17">
        <f t="shared" si="67"/>
        <v>0</v>
      </c>
      <c r="AD334" s="17">
        <v>4</v>
      </c>
      <c r="AP334" s="17" t="str">
        <f t="shared" si="60"/>
        <v>X</v>
      </c>
      <c r="AQ334" s="17">
        <f t="shared" si="68"/>
        <v>0</v>
      </c>
      <c r="AR334" s="17">
        <v>4</v>
      </c>
      <c r="BB334" s="17" t="str">
        <f t="shared" si="62"/>
        <v>X</v>
      </c>
      <c r="BC334" s="17">
        <f t="shared" si="69"/>
        <v>0</v>
      </c>
      <c r="BD334" s="17">
        <v>4</v>
      </c>
    </row>
    <row r="335" spans="1:56">
      <c r="A335" s="17" t="str">
        <f t="shared" si="64"/>
        <v>X</v>
      </c>
      <c r="B335" s="17">
        <f t="shared" si="65"/>
        <v>0</v>
      </c>
      <c r="C335" s="17">
        <v>5</v>
      </c>
      <c r="O335" s="17" t="str">
        <f t="shared" si="56"/>
        <v>X</v>
      </c>
      <c r="P335" s="17">
        <f t="shared" si="66"/>
        <v>0</v>
      </c>
      <c r="Q335" s="17">
        <v>5</v>
      </c>
      <c r="AB335" s="17" t="str">
        <f t="shared" si="58"/>
        <v>X</v>
      </c>
      <c r="AC335" s="17">
        <f t="shared" si="67"/>
        <v>0</v>
      </c>
      <c r="AD335" s="17">
        <v>5</v>
      </c>
      <c r="AP335" s="17" t="str">
        <f t="shared" si="60"/>
        <v>X</v>
      </c>
      <c r="AQ335" s="17">
        <f t="shared" si="68"/>
        <v>0</v>
      </c>
      <c r="AR335" s="17">
        <v>5</v>
      </c>
      <c r="BB335" s="17" t="str">
        <f t="shared" si="62"/>
        <v>X</v>
      </c>
      <c r="BC335" s="17">
        <f t="shared" si="69"/>
        <v>0</v>
      </c>
      <c r="BD335" s="17">
        <v>5</v>
      </c>
    </row>
    <row r="336" spans="1:56">
      <c r="A336" s="17" t="str">
        <f t="shared" si="64"/>
        <v>X</v>
      </c>
      <c r="B336" s="17">
        <f t="shared" si="65"/>
        <v>0</v>
      </c>
      <c r="C336" s="17">
        <v>6</v>
      </c>
      <c r="O336" s="17" t="str">
        <f t="shared" si="56"/>
        <v>X</v>
      </c>
      <c r="P336" s="17">
        <f t="shared" si="66"/>
        <v>0</v>
      </c>
      <c r="Q336" s="17">
        <v>6</v>
      </c>
      <c r="AB336" s="17" t="str">
        <f t="shared" si="58"/>
        <v>X</v>
      </c>
      <c r="AC336" s="17">
        <f t="shared" si="67"/>
        <v>0</v>
      </c>
      <c r="AD336" s="17">
        <v>6</v>
      </c>
      <c r="AP336" s="17" t="str">
        <f t="shared" si="60"/>
        <v>X</v>
      </c>
      <c r="AQ336" s="17">
        <f t="shared" si="68"/>
        <v>0</v>
      </c>
      <c r="AR336" s="17">
        <v>6</v>
      </c>
      <c r="BB336" s="17" t="str">
        <f t="shared" si="62"/>
        <v>X</v>
      </c>
      <c r="BC336" s="17">
        <f t="shared" si="69"/>
        <v>0</v>
      </c>
      <c r="BD336" s="17">
        <v>6</v>
      </c>
    </row>
    <row r="337" spans="1:56">
      <c r="A337" s="17" t="str">
        <f t="shared" si="64"/>
        <v>X</v>
      </c>
      <c r="B337" s="17">
        <f t="shared" si="65"/>
        <v>0</v>
      </c>
      <c r="C337" s="17">
        <v>7</v>
      </c>
      <c r="O337" s="17" t="str">
        <f t="shared" si="56"/>
        <v>X</v>
      </c>
      <c r="P337" s="17">
        <f t="shared" si="66"/>
        <v>0</v>
      </c>
      <c r="Q337" s="17">
        <v>7</v>
      </c>
      <c r="AB337" s="17" t="str">
        <f t="shared" si="58"/>
        <v>X</v>
      </c>
      <c r="AC337" s="17">
        <f t="shared" si="67"/>
        <v>0</v>
      </c>
      <c r="AD337" s="17">
        <v>7</v>
      </c>
      <c r="AP337" s="17" t="str">
        <f t="shared" si="60"/>
        <v>X</v>
      </c>
      <c r="AQ337" s="17">
        <f t="shared" si="68"/>
        <v>0</v>
      </c>
      <c r="AR337" s="17">
        <v>7</v>
      </c>
      <c r="BB337" s="17" t="str">
        <f t="shared" si="62"/>
        <v>X</v>
      </c>
      <c r="BC337" s="17">
        <f t="shared" si="69"/>
        <v>0</v>
      </c>
      <c r="BD337" s="17">
        <v>7</v>
      </c>
    </row>
    <row r="338" spans="1:56">
      <c r="A338" s="17" t="str">
        <f t="shared" si="64"/>
        <v>X</v>
      </c>
      <c r="B338" s="17">
        <f t="shared" si="65"/>
        <v>0</v>
      </c>
      <c r="C338" s="17">
        <v>8</v>
      </c>
      <c r="O338" s="17" t="str">
        <f t="shared" si="56"/>
        <v>X</v>
      </c>
      <c r="P338" s="17">
        <f t="shared" si="66"/>
        <v>0</v>
      </c>
      <c r="Q338" s="17">
        <v>8</v>
      </c>
      <c r="AB338" s="17" t="str">
        <f t="shared" si="58"/>
        <v>X</v>
      </c>
      <c r="AC338" s="17">
        <f t="shared" si="67"/>
        <v>0</v>
      </c>
      <c r="AD338" s="17">
        <v>8</v>
      </c>
      <c r="AP338" s="17" t="str">
        <f t="shared" si="60"/>
        <v>X</v>
      </c>
      <c r="AQ338" s="17">
        <f t="shared" si="68"/>
        <v>0</v>
      </c>
      <c r="AR338" s="17">
        <v>8</v>
      </c>
      <c r="BB338" s="17" t="str">
        <f t="shared" si="62"/>
        <v>X</v>
      </c>
      <c r="BC338" s="17">
        <f t="shared" si="69"/>
        <v>0</v>
      </c>
      <c r="BD338" s="17">
        <v>8</v>
      </c>
    </row>
    <row r="339" spans="1:56">
      <c r="A339" s="17" t="str">
        <f t="shared" si="64"/>
        <v>X</v>
      </c>
      <c r="B339" s="17">
        <f t="shared" si="65"/>
        <v>0</v>
      </c>
      <c r="C339" s="17">
        <v>9</v>
      </c>
      <c r="O339" s="17" t="str">
        <f t="shared" si="56"/>
        <v>X</v>
      </c>
      <c r="P339" s="17">
        <f t="shared" si="66"/>
        <v>0</v>
      </c>
      <c r="Q339" s="17">
        <v>9</v>
      </c>
      <c r="AB339" s="17" t="str">
        <f t="shared" si="58"/>
        <v>X</v>
      </c>
      <c r="AC339" s="17">
        <f t="shared" si="67"/>
        <v>0</v>
      </c>
      <c r="AD339" s="17">
        <v>9</v>
      </c>
      <c r="AP339" s="17" t="str">
        <f t="shared" si="60"/>
        <v>X</v>
      </c>
      <c r="AQ339" s="17">
        <f t="shared" si="68"/>
        <v>0</v>
      </c>
      <c r="AR339" s="17">
        <v>9</v>
      </c>
      <c r="BB339" s="17" t="str">
        <f t="shared" si="62"/>
        <v>X</v>
      </c>
      <c r="BC339" s="17">
        <f t="shared" si="69"/>
        <v>0</v>
      </c>
      <c r="BD339" s="17">
        <v>9</v>
      </c>
    </row>
    <row r="340" spans="1:56">
      <c r="A340" s="17" t="str">
        <f t="shared" si="64"/>
        <v>X</v>
      </c>
      <c r="B340" s="17">
        <f t="shared" si="65"/>
        <v>0</v>
      </c>
      <c r="C340" s="17">
        <v>10</v>
      </c>
      <c r="O340" s="17" t="str">
        <f t="shared" si="56"/>
        <v>X</v>
      </c>
      <c r="P340" s="17">
        <f t="shared" si="66"/>
        <v>0</v>
      </c>
      <c r="Q340" s="17">
        <v>10</v>
      </c>
      <c r="AB340" s="17" t="str">
        <f t="shared" si="58"/>
        <v>X</v>
      </c>
      <c r="AC340" s="17">
        <f t="shared" si="67"/>
        <v>0</v>
      </c>
      <c r="AD340" s="17">
        <v>10</v>
      </c>
      <c r="AP340" s="17" t="str">
        <f t="shared" si="60"/>
        <v>X</v>
      </c>
      <c r="AQ340" s="17">
        <f t="shared" si="68"/>
        <v>0</v>
      </c>
      <c r="AR340" s="17">
        <v>10</v>
      </c>
      <c r="BB340" s="17" t="str">
        <f t="shared" si="62"/>
        <v>X</v>
      </c>
      <c r="BC340" s="17">
        <f t="shared" si="69"/>
        <v>0</v>
      </c>
      <c r="BD340" s="17">
        <v>10</v>
      </c>
    </row>
    <row r="341" spans="1:56">
      <c r="A341" s="17" t="str">
        <f t="shared" si="64"/>
        <v>X</v>
      </c>
      <c r="B341" s="17">
        <f t="shared" si="65"/>
        <v>0</v>
      </c>
      <c r="C341" s="17">
        <v>11</v>
      </c>
      <c r="O341" s="17" t="str">
        <f t="shared" si="56"/>
        <v>X</v>
      </c>
      <c r="P341" s="17">
        <f t="shared" si="66"/>
        <v>0</v>
      </c>
      <c r="Q341" s="17">
        <v>11</v>
      </c>
      <c r="AB341" s="17" t="str">
        <f t="shared" si="58"/>
        <v>X</v>
      </c>
      <c r="AC341" s="17">
        <f t="shared" si="67"/>
        <v>0</v>
      </c>
      <c r="AD341" s="17">
        <v>11</v>
      </c>
      <c r="AP341" s="17" t="str">
        <f t="shared" si="60"/>
        <v>X</v>
      </c>
      <c r="AQ341" s="17">
        <f t="shared" si="68"/>
        <v>0</v>
      </c>
      <c r="AR341" s="17">
        <v>11</v>
      </c>
      <c r="BB341" s="17" t="str">
        <f t="shared" si="62"/>
        <v>X</v>
      </c>
      <c r="BC341" s="17">
        <f t="shared" si="69"/>
        <v>0</v>
      </c>
      <c r="BD341" s="17">
        <v>11</v>
      </c>
    </row>
    <row r="342" spans="1:56">
      <c r="A342" s="17" t="str">
        <f t="shared" si="64"/>
        <v>X</v>
      </c>
      <c r="B342" s="17">
        <f t="shared" si="65"/>
        <v>0</v>
      </c>
      <c r="C342" s="17">
        <v>12</v>
      </c>
      <c r="O342" s="17" t="str">
        <f t="shared" si="56"/>
        <v>X</v>
      </c>
      <c r="P342" s="17">
        <f t="shared" si="66"/>
        <v>0</v>
      </c>
      <c r="Q342" s="17">
        <v>12</v>
      </c>
      <c r="AB342" s="17" t="str">
        <f t="shared" si="58"/>
        <v>X</v>
      </c>
      <c r="AC342" s="17">
        <f t="shared" si="67"/>
        <v>0</v>
      </c>
      <c r="AD342" s="17">
        <v>12</v>
      </c>
      <c r="AP342" s="17" t="str">
        <f t="shared" si="60"/>
        <v>X</v>
      </c>
      <c r="AQ342" s="17">
        <f t="shared" si="68"/>
        <v>0</v>
      </c>
      <c r="AR342" s="17">
        <v>12</v>
      </c>
      <c r="BB342" s="17" t="str">
        <f t="shared" si="62"/>
        <v>X</v>
      </c>
      <c r="BC342" s="17">
        <f t="shared" si="69"/>
        <v>0</v>
      </c>
      <c r="BD342" s="17">
        <v>12</v>
      </c>
    </row>
    <row r="343" spans="1:56">
      <c r="A343" s="17" t="str">
        <f t="shared" si="64"/>
        <v>X</v>
      </c>
      <c r="B343" s="17">
        <f t="shared" si="65"/>
        <v>0</v>
      </c>
      <c r="C343" s="17">
        <v>13</v>
      </c>
      <c r="O343" s="17" t="str">
        <f t="shared" si="56"/>
        <v>X</v>
      </c>
      <c r="P343" s="17">
        <f t="shared" si="66"/>
        <v>0</v>
      </c>
      <c r="Q343" s="17">
        <v>13</v>
      </c>
      <c r="AB343" s="17" t="str">
        <f t="shared" si="58"/>
        <v>X</v>
      </c>
      <c r="AC343" s="17">
        <f t="shared" si="67"/>
        <v>0</v>
      </c>
      <c r="AD343" s="17">
        <v>13</v>
      </c>
      <c r="AP343" s="17" t="str">
        <f t="shared" si="60"/>
        <v>X</v>
      </c>
      <c r="AQ343" s="17">
        <f t="shared" si="68"/>
        <v>0</v>
      </c>
      <c r="AR343" s="17">
        <v>13</v>
      </c>
      <c r="BB343" s="17" t="str">
        <f t="shared" si="62"/>
        <v>X</v>
      </c>
      <c r="BC343" s="17">
        <f t="shared" si="69"/>
        <v>0</v>
      </c>
      <c r="BD343" s="17">
        <v>13</v>
      </c>
    </row>
    <row r="344" spans="1:56">
      <c r="A344" s="17" t="str">
        <f t="shared" si="64"/>
        <v>X</v>
      </c>
      <c r="B344" s="17">
        <f t="shared" si="65"/>
        <v>0</v>
      </c>
      <c r="C344" s="17">
        <v>14</v>
      </c>
      <c r="O344" s="17" t="str">
        <f t="shared" si="56"/>
        <v>X</v>
      </c>
      <c r="P344" s="17">
        <f t="shared" si="66"/>
        <v>0</v>
      </c>
      <c r="Q344" s="17">
        <v>14</v>
      </c>
      <c r="AB344" s="17" t="str">
        <f t="shared" si="58"/>
        <v>X</v>
      </c>
      <c r="AC344" s="17">
        <f t="shared" si="67"/>
        <v>0</v>
      </c>
      <c r="AD344" s="17">
        <v>14</v>
      </c>
      <c r="AP344" s="17" t="str">
        <f t="shared" si="60"/>
        <v>X</v>
      </c>
      <c r="AQ344" s="17">
        <f t="shared" si="68"/>
        <v>0</v>
      </c>
      <c r="AR344" s="17">
        <v>14</v>
      </c>
      <c r="BB344" s="17" t="str">
        <f t="shared" si="62"/>
        <v>X</v>
      </c>
      <c r="BC344" s="17">
        <f t="shared" si="69"/>
        <v>0</v>
      </c>
      <c r="BD344" s="17">
        <v>14</v>
      </c>
    </row>
    <row r="345" spans="1:56">
      <c r="A345" s="17" t="str">
        <f t="shared" si="64"/>
        <v>X</v>
      </c>
      <c r="B345" s="17">
        <f t="shared" si="65"/>
        <v>0</v>
      </c>
      <c r="C345" s="17">
        <v>15</v>
      </c>
      <c r="O345" s="17" t="str">
        <f t="shared" si="56"/>
        <v>X</v>
      </c>
      <c r="P345" s="17">
        <f t="shared" si="66"/>
        <v>0</v>
      </c>
      <c r="Q345" s="17">
        <v>15</v>
      </c>
      <c r="AB345" s="17" t="str">
        <f t="shared" si="58"/>
        <v>X</v>
      </c>
      <c r="AC345" s="17">
        <f t="shared" si="67"/>
        <v>0</v>
      </c>
      <c r="AD345" s="17">
        <v>15</v>
      </c>
      <c r="AP345" s="17" t="str">
        <f t="shared" si="60"/>
        <v>X</v>
      </c>
      <c r="AQ345" s="17">
        <f t="shared" si="68"/>
        <v>0</v>
      </c>
      <c r="AR345" s="17">
        <v>15</v>
      </c>
      <c r="BB345" s="17" t="str">
        <f t="shared" si="62"/>
        <v>X</v>
      </c>
      <c r="BC345" s="17">
        <f t="shared" si="69"/>
        <v>0</v>
      </c>
      <c r="BD345" s="17">
        <v>15</v>
      </c>
    </row>
    <row r="346" spans="1:56">
      <c r="A346" s="17" t="str">
        <f t="shared" si="64"/>
        <v>X</v>
      </c>
      <c r="B346" s="17">
        <f t="shared" si="65"/>
        <v>0</v>
      </c>
      <c r="C346" s="17">
        <v>16</v>
      </c>
      <c r="O346" s="17" t="str">
        <f t="shared" si="56"/>
        <v>X</v>
      </c>
      <c r="P346" s="17">
        <f t="shared" si="66"/>
        <v>0</v>
      </c>
      <c r="Q346" s="17">
        <v>16</v>
      </c>
      <c r="AB346" s="17" t="str">
        <f t="shared" si="58"/>
        <v>X</v>
      </c>
      <c r="AC346" s="17">
        <f t="shared" si="67"/>
        <v>0</v>
      </c>
      <c r="AD346" s="17">
        <v>16</v>
      </c>
      <c r="AP346" s="17" t="str">
        <f t="shared" si="60"/>
        <v>X</v>
      </c>
      <c r="AQ346" s="17">
        <f t="shared" si="68"/>
        <v>0</v>
      </c>
      <c r="AR346" s="17">
        <v>16</v>
      </c>
      <c r="BB346" s="17" t="str">
        <f t="shared" si="62"/>
        <v>X</v>
      </c>
      <c r="BC346" s="17">
        <f t="shared" si="69"/>
        <v>0</v>
      </c>
      <c r="BD346" s="17">
        <v>16</v>
      </c>
    </row>
    <row r="347" spans="1:56">
      <c r="A347" s="17" t="str">
        <f t="shared" si="64"/>
        <v>X</v>
      </c>
      <c r="B347" s="17">
        <f t="shared" si="65"/>
        <v>0</v>
      </c>
      <c r="C347" s="17">
        <v>17</v>
      </c>
      <c r="O347" s="17" t="str">
        <f t="shared" si="56"/>
        <v>X</v>
      </c>
      <c r="P347" s="17">
        <f t="shared" si="66"/>
        <v>0</v>
      </c>
      <c r="Q347" s="17">
        <v>17</v>
      </c>
      <c r="AB347" s="17" t="str">
        <f t="shared" si="58"/>
        <v>X</v>
      </c>
      <c r="AC347" s="17">
        <f t="shared" si="67"/>
        <v>0</v>
      </c>
      <c r="AD347" s="17">
        <v>17</v>
      </c>
      <c r="AP347" s="17" t="str">
        <f t="shared" si="60"/>
        <v>X</v>
      </c>
      <c r="AQ347" s="17">
        <f t="shared" si="68"/>
        <v>0</v>
      </c>
      <c r="AR347" s="17">
        <v>17</v>
      </c>
      <c r="BB347" s="17" t="str">
        <f t="shared" si="62"/>
        <v>X</v>
      </c>
      <c r="BC347" s="17">
        <f t="shared" si="69"/>
        <v>0</v>
      </c>
      <c r="BD347" s="17">
        <v>17</v>
      </c>
    </row>
    <row r="348" spans="1:56">
      <c r="A348" s="17" t="str">
        <f t="shared" si="64"/>
        <v>X</v>
      </c>
      <c r="B348" s="17">
        <f t="shared" si="65"/>
        <v>0</v>
      </c>
      <c r="C348" s="17">
        <v>18</v>
      </c>
      <c r="O348" s="17" t="str">
        <f t="shared" si="56"/>
        <v>X</v>
      </c>
      <c r="P348" s="17">
        <f t="shared" si="66"/>
        <v>0</v>
      </c>
      <c r="Q348" s="17">
        <v>18</v>
      </c>
      <c r="AB348" s="17" t="str">
        <f t="shared" si="58"/>
        <v>X</v>
      </c>
      <c r="AC348" s="17">
        <f t="shared" si="67"/>
        <v>0</v>
      </c>
      <c r="AD348" s="17">
        <v>18</v>
      </c>
      <c r="AP348" s="17" t="str">
        <f t="shared" si="60"/>
        <v>X</v>
      </c>
      <c r="AQ348" s="17">
        <f t="shared" si="68"/>
        <v>0</v>
      </c>
      <c r="AR348" s="17">
        <v>18</v>
      </c>
      <c r="BB348" s="17" t="str">
        <f t="shared" si="62"/>
        <v>X</v>
      </c>
      <c r="BC348" s="17">
        <f t="shared" si="69"/>
        <v>0</v>
      </c>
      <c r="BD348" s="17">
        <v>18</v>
      </c>
    </row>
    <row r="349" spans="1:56">
      <c r="A349" s="17" t="str">
        <f t="shared" si="64"/>
        <v>X</v>
      </c>
      <c r="B349" s="17">
        <f t="shared" si="65"/>
        <v>0</v>
      </c>
      <c r="C349" s="17">
        <v>19</v>
      </c>
      <c r="O349" s="17" t="str">
        <f t="shared" si="56"/>
        <v>X</v>
      </c>
      <c r="P349" s="17">
        <f t="shared" si="66"/>
        <v>0</v>
      </c>
      <c r="Q349" s="17">
        <v>19</v>
      </c>
      <c r="AB349" s="17" t="str">
        <f t="shared" si="58"/>
        <v>X</v>
      </c>
      <c r="AC349" s="17">
        <f t="shared" si="67"/>
        <v>0</v>
      </c>
      <c r="AD349" s="17">
        <v>19</v>
      </c>
      <c r="AP349" s="17" t="str">
        <f t="shared" si="60"/>
        <v>X</v>
      </c>
      <c r="AQ349" s="17">
        <f t="shared" si="68"/>
        <v>0</v>
      </c>
      <c r="AR349" s="17">
        <v>19</v>
      </c>
      <c r="BB349" s="17" t="str">
        <f t="shared" si="62"/>
        <v>X</v>
      </c>
      <c r="BC349" s="17">
        <f t="shared" si="69"/>
        <v>0</v>
      </c>
      <c r="BD349" s="17">
        <v>19</v>
      </c>
    </row>
    <row r="350" spans="1:56">
      <c r="A350" s="17" t="str">
        <f t="shared" si="64"/>
        <v>X</v>
      </c>
      <c r="B350" s="17">
        <f t="shared" si="65"/>
        <v>0</v>
      </c>
      <c r="C350" s="17">
        <v>20</v>
      </c>
      <c r="O350" s="17" t="str">
        <f t="shared" si="56"/>
        <v>X</v>
      </c>
      <c r="P350" s="17">
        <f t="shared" si="66"/>
        <v>0</v>
      </c>
      <c r="Q350" s="17">
        <v>20</v>
      </c>
      <c r="AB350" s="17" t="str">
        <f t="shared" si="58"/>
        <v>X</v>
      </c>
      <c r="AC350" s="17">
        <f t="shared" si="67"/>
        <v>0</v>
      </c>
      <c r="AD350" s="17">
        <v>20</v>
      </c>
      <c r="AP350" s="17" t="str">
        <f t="shared" si="60"/>
        <v>X</v>
      </c>
      <c r="AQ350" s="17">
        <f t="shared" si="68"/>
        <v>0</v>
      </c>
      <c r="AR350" s="17">
        <v>20</v>
      </c>
      <c r="BB350" s="17" t="str">
        <f t="shared" si="62"/>
        <v>X</v>
      </c>
      <c r="BC350" s="17">
        <f t="shared" si="69"/>
        <v>0</v>
      </c>
      <c r="BD350" s="17">
        <v>20</v>
      </c>
    </row>
    <row r="351" spans="1:56">
      <c r="A351" s="17" t="str">
        <f t="shared" si="64"/>
        <v>X</v>
      </c>
      <c r="B351" s="17">
        <f t="shared" si="65"/>
        <v>0</v>
      </c>
      <c r="C351" s="17">
        <v>21</v>
      </c>
      <c r="O351" s="17" t="str">
        <f t="shared" si="56"/>
        <v>X</v>
      </c>
      <c r="P351" s="17">
        <f t="shared" si="66"/>
        <v>0</v>
      </c>
      <c r="Q351" s="17">
        <v>21</v>
      </c>
      <c r="AB351" s="17" t="str">
        <f t="shared" si="58"/>
        <v>X</v>
      </c>
      <c r="AC351" s="17">
        <f t="shared" si="67"/>
        <v>0</v>
      </c>
      <c r="AD351" s="17">
        <v>21</v>
      </c>
      <c r="AP351" s="17" t="str">
        <f t="shared" si="60"/>
        <v>X</v>
      </c>
      <c r="AQ351" s="17">
        <f t="shared" si="68"/>
        <v>0</v>
      </c>
      <c r="AR351" s="17">
        <v>21</v>
      </c>
      <c r="BB351" s="17" t="str">
        <f t="shared" si="62"/>
        <v>X</v>
      </c>
      <c r="BC351" s="17">
        <f t="shared" si="69"/>
        <v>0</v>
      </c>
      <c r="BD351" s="17">
        <v>21</v>
      </c>
    </row>
    <row r="352" spans="1:56">
      <c r="A352" s="17" t="str">
        <f t="shared" si="64"/>
        <v>X</v>
      </c>
      <c r="B352" s="17">
        <f t="shared" si="65"/>
        <v>0</v>
      </c>
      <c r="C352" s="17">
        <v>22</v>
      </c>
      <c r="O352" s="17" t="str">
        <f t="shared" si="56"/>
        <v>X</v>
      </c>
      <c r="P352" s="17">
        <f t="shared" si="66"/>
        <v>0</v>
      </c>
      <c r="Q352" s="17">
        <v>22</v>
      </c>
      <c r="AB352" s="17" t="str">
        <f t="shared" si="58"/>
        <v>X</v>
      </c>
      <c r="AC352" s="17">
        <f t="shared" si="67"/>
        <v>0</v>
      </c>
      <c r="AD352" s="17">
        <v>22</v>
      </c>
      <c r="AP352" s="17" t="str">
        <f t="shared" si="60"/>
        <v>X</v>
      </c>
      <c r="AQ352" s="17">
        <f t="shared" si="68"/>
        <v>0</v>
      </c>
      <c r="AR352" s="17">
        <v>22</v>
      </c>
      <c r="BB352" s="17" t="str">
        <f t="shared" si="62"/>
        <v>X</v>
      </c>
      <c r="BC352" s="17">
        <f t="shared" si="69"/>
        <v>0</v>
      </c>
      <c r="BD352" s="17">
        <v>22</v>
      </c>
    </row>
    <row r="353" spans="1:56">
      <c r="A353" s="17" t="str">
        <f t="shared" si="64"/>
        <v>X</v>
      </c>
      <c r="B353" s="17">
        <f t="shared" si="65"/>
        <v>0</v>
      </c>
      <c r="C353" s="17">
        <v>23</v>
      </c>
      <c r="O353" s="17" t="str">
        <f t="shared" si="56"/>
        <v>X</v>
      </c>
      <c r="P353" s="17">
        <f t="shared" si="66"/>
        <v>0</v>
      </c>
      <c r="Q353" s="17">
        <v>23</v>
      </c>
      <c r="AB353" s="17" t="str">
        <f t="shared" si="58"/>
        <v>X</v>
      </c>
      <c r="AC353" s="17">
        <f t="shared" si="67"/>
        <v>0</v>
      </c>
      <c r="AD353" s="17">
        <v>23</v>
      </c>
      <c r="AP353" s="17" t="str">
        <f t="shared" si="60"/>
        <v>X</v>
      </c>
      <c r="AQ353" s="17">
        <f t="shared" si="68"/>
        <v>0</v>
      </c>
      <c r="AR353" s="17">
        <v>23</v>
      </c>
      <c r="BB353" s="17" t="str">
        <f t="shared" si="62"/>
        <v>X</v>
      </c>
      <c r="BC353" s="17">
        <f t="shared" si="69"/>
        <v>0</v>
      </c>
      <c r="BD353" s="17">
        <v>23</v>
      </c>
    </row>
    <row r="354" spans="1:56">
      <c r="A354" s="17" t="str">
        <f t="shared" si="64"/>
        <v>X</v>
      </c>
      <c r="B354" s="17">
        <f t="shared" si="65"/>
        <v>0</v>
      </c>
      <c r="C354" s="17">
        <v>24</v>
      </c>
      <c r="O354" s="17" t="str">
        <f t="shared" si="56"/>
        <v>X</v>
      </c>
      <c r="P354" s="17">
        <f t="shared" si="66"/>
        <v>0</v>
      </c>
      <c r="Q354" s="17">
        <v>24</v>
      </c>
      <c r="AB354" s="17" t="str">
        <f t="shared" si="58"/>
        <v>X</v>
      </c>
      <c r="AC354" s="17">
        <f t="shared" si="67"/>
        <v>0</v>
      </c>
      <c r="AD354" s="17">
        <v>24</v>
      </c>
      <c r="AP354" s="17" t="str">
        <f t="shared" si="60"/>
        <v>X</v>
      </c>
      <c r="AQ354" s="17">
        <f t="shared" si="68"/>
        <v>0</v>
      </c>
      <c r="AR354" s="17">
        <v>24</v>
      </c>
      <c r="BB354" s="17" t="str">
        <f t="shared" si="62"/>
        <v>X</v>
      </c>
      <c r="BC354" s="17">
        <f t="shared" si="69"/>
        <v>0</v>
      </c>
      <c r="BD354" s="17">
        <v>24</v>
      </c>
    </row>
    <row r="355" spans="1:56">
      <c r="A355" s="17" t="str">
        <f t="shared" si="64"/>
        <v>X</v>
      </c>
      <c r="B355" s="17">
        <f t="shared" si="65"/>
        <v>0</v>
      </c>
      <c r="C355" s="17">
        <v>25</v>
      </c>
      <c r="O355" s="17" t="str">
        <f t="shared" si="56"/>
        <v>X</v>
      </c>
      <c r="P355" s="17">
        <f t="shared" si="66"/>
        <v>0</v>
      </c>
      <c r="Q355" s="17">
        <v>25</v>
      </c>
      <c r="AB355" s="17" t="str">
        <f t="shared" si="58"/>
        <v>X</v>
      </c>
      <c r="AC355" s="17">
        <f t="shared" si="67"/>
        <v>0</v>
      </c>
      <c r="AD355" s="17">
        <v>25</v>
      </c>
      <c r="AP355" s="17" t="str">
        <f t="shared" si="60"/>
        <v>X</v>
      </c>
      <c r="AQ355" s="17">
        <f t="shared" si="68"/>
        <v>0</v>
      </c>
      <c r="AR355" s="17">
        <v>25</v>
      </c>
      <c r="BB355" s="17" t="str">
        <f t="shared" si="62"/>
        <v>X</v>
      </c>
      <c r="BC355" s="17">
        <f t="shared" si="69"/>
        <v>0</v>
      </c>
      <c r="BD355" s="17">
        <v>25</v>
      </c>
    </row>
    <row r="356" spans="1:56">
      <c r="A356" s="17" t="str">
        <f t="shared" si="64"/>
        <v>X</v>
      </c>
      <c r="B356" s="17">
        <f t="shared" si="65"/>
        <v>0</v>
      </c>
      <c r="C356" s="17">
        <v>26</v>
      </c>
      <c r="O356" s="17" t="str">
        <f t="shared" si="56"/>
        <v>X</v>
      </c>
      <c r="P356" s="17">
        <f t="shared" si="66"/>
        <v>0</v>
      </c>
      <c r="Q356" s="17">
        <v>26</v>
      </c>
      <c r="AB356" s="17" t="str">
        <f t="shared" si="58"/>
        <v>X</v>
      </c>
      <c r="AC356" s="17">
        <f t="shared" si="67"/>
        <v>0</v>
      </c>
      <c r="AD356" s="17">
        <v>26</v>
      </c>
      <c r="AP356" s="17" t="str">
        <f t="shared" si="60"/>
        <v>X</v>
      </c>
      <c r="AQ356" s="17">
        <f t="shared" si="68"/>
        <v>0</v>
      </c>
      <c r="AR356" s="17">
        <v>26</v>
      </c>
      <c r="BB356" s="17" t="str">
        <f t="shared" si="62"/>
        <v>X</v>
      </c>
      <c r="BC356" s="17">
        <f t="shared" si="69"/>
        <v>0</v>
      </c>
      <c r="BD356" s="17">
        <v>26</v>
      </c>
    </row>
    <row r="357" spans="1:56">
      <c r="A357" s="17" t="str">
        <f t="shared" si="64"/>
        <v>X</v>
      </c>
      <c r="B357" s="17">
        <f t="shared" si="65"/>
        <v>0</v>
      </c>
      <c r="C357" s="17">
        <v>27</v>
      </c>
      <c r="O357" s="17" t="str">
        <f t="shared" si="56"/>
        <v>X</v>
      </c>
      <c r="P357" s="17">
        <f t="shared" si="66"/>
        <v>0</v>
      </c>
      <c r="Q357" s="17">
        <v>27</v>
      </c>
      <c r="AB357" s="17" t="str">
        <f t="shared" si="58"/>
        <v>X</v>
      </c>
      <c r="AC357" s="17">
        <f t="shared" si="67"/>
        <v>0</v>
      </c>
      <c r="AD357" s="17">
        <v>27</v>
      </c>
      <c r="AP357" s="17" t="str">
        <f t="shared" si="60"/>
        <v>X</v>
      </c>
      <c r="AQ357" s="17">
        <f t="shared" si="68"/>
        <v>0</v>
      </c>
      <c r="AR357" s="17">
        <v>27</v>
      </c>
      <c r="BB357" s="17" t="str">
        <f t="shared" si="62"/>
        <v>X</v>
      </c>
      <c r="BC357" s="17">
        <f t="shared" si="69"/>
        <v>0</v>
      </c>
      <c r="BD357" s="17">
        <v>27</v>
      </c>
    </row>
    <row r="358" spans="1:56">
      <c r="A358" s="17" t="str">
        <f t="shared" si="64"/>
        <v>X</v>
      </c>
      <c r="B358" s="17">
        <f t="shared" si="65"/>
        <v>0</v>
      </c>
      <c r="C358" s="17">
        <v>28</v>
      </c>
      <c r="O358" s="17" t="str">
        <f t="shared" si="56"/>
        <v>X</v>
      </c>
      <c r="P358" s="17">
        <f t="shared" si="66"/>
        <v>0</v>
      </c>
      <c r="Q358" s="17">
        <v>28</v>
      </c>
      <c r="AB358" s="17" t="str">
        <f t="shared" si="58"/>
        <v>X</v>
      </c>
      <c r="AC358" s="17">
        <f t="shared" si="67"/>
        <v>0</v>
      </c>
      <c r="AD358" s="17">
        <v>28</v>
      </c>
      <c r="AP358" s="17" t="str">
        <f t="shared" si="60"/>
        <v>X</v>
      </c>
      <c r="AQ358" s="17">
        <f t="shared" si="68"/>
        <v>0</v>
      </c>
      <c r="AR358" s="17">
        <v>28</v>
      </c>
      <c r="BB358" s="17" t="str">
        <f t="shared" si="62"/>
        <v>X</v>
      </c>
      <c r="BC358" s="17">
        <f t="shared" si="69"/>
        <v>0</v>
      </c>
      <c r="BD358" s="17">
        <v>28</v>
      </c>
    </row>
    <row r="359" spans="1:56">
      <c r="A359" s="17" t="str">
        <f t="shared" si="64"/>
        <v>X</v>
      </c>
      <c r="B359" s="17">
        <f t="shared" si="65"/>
        <v>0</v>
      </c>
      <c r="C359" s="17">
        <v>29</v>
      </c>
      <c r="O359" s="17" t="str">
        <f t="shared" si="56"/>
        <v>X</v>
      </c>
      <c r="P359" s="17">
        <f t="shared" si="66"/>
        <v>0</v>
      </c>
      <c r="Q359" s="17">
        <v>29</v>
      </c>
      <c r="AB359" s="17" t="str">
        <f t="shared" si="58"/>
        <v>X</v>
      </c>
      <c r="AC359" s="17">
        <f t="shared" si="67"/>
        <v>0</v>
      </c>
      <c r="AD359" s="17">
        <v>29</v>
      </c>
      <c r="AP359" s="17" t="str">
        <f t="shared" si="60"/>
        <v>X</v>
      </c>
      <c r="AQ359" s="17">
        <f t="shared" si="68"/>
        <v>0</v>
      </c>
      <c r="AR359" s="17">
        <v>29</v>
      </c>
      <c r="BB359" s="17" t="str">
        <f t="shared" si="62"/>
        <v>X</v>
      </c>
      <c r="BC359" s="17">
        <f t="shared" si="69"/>
        <v>0</v>
      </c>
      <c r="BD359" s="17">
        <v>29</v>
      </c>
    </row>
    <row r="360" spans="1:56">
      <c r="A360" s="17" t="str">
        <f t="shared" si="64"/>
        <v>X</v>
      </c>
      <c r="B360" s="17">
        <f t="shared" si="65"/>
        <v>0</v>
      </c>
      <c r="C360" s="17">
        <v>30</v>
      </c>
      <c r="O360" s="17" t="str">
        <f t="shared" ref="O360:O423" si="70">IF(P360&gt;0,"Q","X")</f>
        <v>X</v>
      </c>
      <c r="P360" s="17">
        <f t="shared" si="66"/>
        <v>0</v>
      </c>
      <c r="Q360" s="17">
        <v>30</v>
      </c>
      <c r="AB360" s="17" t="str">
        <f t="shared" ref="AB360:AB423" si="71">IF(AC360&gt;0,"Q","X")</f>
        <v>X</v>
      </c>
      <c r="AC360" s="17">
        <f t="shared" si="67"/>
        <v>0</v>
      </c>
      <c r="AD360" s="17">
        <v>30</v>
      </c>
      <c r="AP360" s="17" t="str">
        <f t="shared" ref="AP360:AP423" si="72">IF(AQ360&gt;0,"Q","X")</f>
        <v>X</v>
      </c>
      <c r="AQ360" s="17">
        <f t="shared" si="68"/>
        <v>0</v>
      </c>
      <c r="AR360" s="17">
        <v>30</v>
      </c>
      <c r="BB360" s="17" t="str">
        <f t="shared" ref="BB360:BB423" si="73">IF(BC360&gt;0,"Q","X")</f>
        <v>X</v>
      </c>
      <c r="BC360" s="17">
        <f t="shared" si="69"/>
        <v>0</v>
      </c>
      <c r="BD360" s="17">
        <v>30</v>
      </c>
    </row>
    <row r="361" spans="1:56">
      <c r="A361" s="17" t="str">
        <f t="shared" si="64"/>
        <v>X</v>
      </c>
      <c r="B361" s="17">
        <f t="shared" si="65"/>
        <v>0</v>
      </c>
      <c r="C361" s="17">
        <v>31</v>
      </c>
      <c r="O361" s="17" t="str">
        <f t="shared" si="70"/>
        <v>X</v>
      </c>
      <c r="P361" s="17">
        <f t="shared" si="66"/>
        <v>0</v>
      </c>
      <c r="Q361" s="17">
        <v>31</v>
      </c>
      <c r="AB361" s="17" t="str">
        <f t="shared" si="71"/>
        <v>X</v>
      </c>
      <c r="AC361" s="17">
        <f t="shared" si="67"/>
        <v>0</v>
      </c>
      <c r="AD361" s="17">
        <v>31</v>
      </c>
      <c r="AP361" s="17" t="str">
        <f t="shared" si="72"/>
        <v>X</v>
      </c>
      <c r="AQ361" s="17">
        <f t="shared" si="68"/>
        <v>0</v>
      </c>
      <c r="AR361" s="17">
        <v>31</v>
      </c>
      <c r="BB361" s="17" t="str">
        <f t="shared" si="73"/>
        <v>X</v>
      </c>
      <c r="BC361" s="17">
        <f t="shared" si="69"/>
        <v>0</v>
      </c>
      <c r="BD361" s="17">
        <v>31</v>
      </c>
    </row>
    <row r="362" spans="1:56">
      <c r="A362" s="17" t="str">
        <f t="shared" si="64"/>
        <v>X</v>
      </c>
      <c r="B362" s="17">
        <f t="shared" si="65"/>
        <v>0</v>
      </c>
      <c r="C362" s="17">
        <v>32</v>
      </c>
      <c r="O362" s="17" t="str">
        <f t="shared" si="70"/>
        <v>X</v>
      </c>
      <c r="P362" s="17">
        <f t="shared" si="66"/>
        <v>0</v>
      </c>
      <c r="Q362" s="17">
        <v>32</v>
      </c>
      <c r="AB362" s="17" t="str">
        <f t="shared" si="71"/>
        <v>X</v>
      </c>
      <c r="AC362" s="17">
        <f t="shared" si="67"/>
        <v>0</v>
      </c>
      <c r="AD362" s="17">
        <v>32</v>
      </c>
      <c r="AP362" s="17" t="str">
        <f t="shared" si="72"/>
        <v>X</v>
      </c>
      <c r="AQ362" s="17">
        <f t="shared" si="68"/>
        <v>0</v>
      </c>
      <c r="AR362" s="17">
        <v>32</v>
      </c>
      <c r="BB362" s="17" t="str">
        <f t="shared" si="73"/>
        <v>X</v>
      </c>
      <c r="BC362" s="17">
        <f t="shared" si="69"/>
        <v>0</v>
      </c>
      <c r="BD362" s="17">
        <v>32</v>
      </c>
    </row>
    <row r="363" spans="1:56">
      <c r="A363" s="17" t="str">
        <f t="shared" si="64"/>
        <v>X</v>
      </c>
      <c r="B363" s="17">
        <f t="shared" si="65"/>
        <v>0</v>
      </c>
      <c r="C363" s="17">
        <v>33</v>
      </c>
      <c r="O363" s="17" t="str">
        <f t="shared" si="70"/>
        <v>X</v>
      </c>
      <c r="P363" s="17">
        <f t="shared" si="66"/>
        <v>0</v>
      </c>
      <c r="Q363" s="17">
        <v>33</v>
      </c>
      <c r="AB363" s="17" t="str">
        <f t="shared" si="71"/>
        <v>X</v>
      </c>
      <c r="AC363" s="17">
        <f t="shared" si="67"/>
        <v>0</v>
      </c>
      <c r="AD363" s="17">
        <v>33</v>
      </c>
      <c r="AP363" s="17" t="str">
        <f t="shared" si="72"/>
        <v>X</v>
      </c>
      <c r="AQ363" s="17">
        <f t="shared" si="68"/>
        <v>0</v>
      </c>
      <c r="AR363" s="17">
        <v>33</v>
      </c>
      <c r="BB363" s="17" t="str">
        <f t="shared" si="73"/>
        <v>X</v>
      </c>
      <c r="BC363" s="17">
        <f t="shared" si="69"/>
        <v>0</v>
      </c>
      <c r="BD363" s="17">
        <v>33</v>
      </c>
    </row>
    <row r="364" spans="1:56">
      <c r="A364" s="17" t="str">
        <f t="shared" si="64"/>
        <v>X</v>
      </c>
      <c r="B364" s="17">
        <f t="shared" si="65"/>
        <v>0</v>
      </c>
      <c r="C364" s="17">
        <v>34</v>
      </c>
      <c r="O364" s="17" t="str">
        <f t="shared" si="70"/>
        <v>X</v>
      </c>
      <c r="P364" s="17">
        <f t="shared" si="66"/>
        <v>0</v>
      </c>
      <c r="Q364" s="17">
        <v>34</v>
      </c>
      <c r="AB364" s="17" t="str">
        <f t="shared" si="71"/>
        <v>X</v>
      </c>
      <c r="AC364" s="17">
        <f t="shared" si="67"/>
        <v>0</v>
      </c>
      <c r="AD364" s="17">
        <v>34</v>
      </c>
      <c r="AP364" s="17" t="str">
        <f t="shared" si="72"/>
        <v>X</v>
      </c>
      <c r="AQ364" s="17">
        <f t="shared" si="68"/>
        <v>0</v>
      </c>
      <c r="AR364" s="17">
        <v>34</v>
      </c>
      <c r="BB364" s="17" t="str">
        <f t="shared" si="73"/>
        <v>X</v>
      </c>
      <c r="BC364" s="17">
        <f t="shared" si="69"/>
        <v>0</v>
      </c>
      <c r="BD364" s="17">
        <v>34</v>
      </c>
    </row>
    <row r="365" spans="1:56">
      <c r="A365" s="17" t="str">
        <f t="shared" si="64"/>
        <v>X</v>
      </c>
      <c r="B365" s="17">
        <f t="shared" si="65"/>
        <v>0</v>
      </c>
      <c r="C365" s="17">
        <v>35</v>
      </c>
      <c r="O365" s="17" t="str">
        <f t="shared" si="70"/>
        <v>X</v>
      </c>
      <c r="P365" s="17">
        <f t="shared" si="66"/>
        <v>0</v>
      </c>
      <c r="Q365" s="17">
        <v>35</v>
      </c>
      <c r="AB365" s="17" t="str">
        <f t="shared" si="71"/>
        <v>X</v>
      </c>
      <c r="AC365" s="17">
        <f t="shared" si="67"/>
        <v>0</v>
      </c>
      <c r="AD365" s="17">
        <v>35</v>
      </c>
      <c r="AP365" s="17" t="str">
        <f t="shared" si="72"/>
        <v>X</v>
      </c>
      <c r="AQ365" s="17">
        <f t="shared" si="68"/>
        <v>0</v>
      </c>
      <c r="AR365" s="17">
        <v>35</v>
      </c>
      <c r="BB365" s="17" t="str">
        <f t="shared" si="73"/>
        <v>X</v>
      </c>
      <c r="BC365" s="17">
        <f t="shared" si="69"/>
        <v>0</v>
      </c>
      <c r="BD365" s="17">
        <v>35</v>
      </c>
    </row>
    <row r="366" spans="1:56">
      <c r="A366" s="17" t="str">
        <f t="shared" si="64"/>
        <v>X</v>
      </c>
      <c r="B366" s="17">
        <f t="shared" si="65"/>
        <v>0</v>
      </c>
      <c r="C366" s="17">
        <v>36</v>
      </c>
      <c r="O366" s="17" t="str">
        <f t="shared" si="70"/>
        <v>X</v>
      </c>
      <c r="P366" s="17">
        <f t="shared" si="66"/>
        <v>0</v>
      </c>
      <c r="Q366" s="17">
        <v>36</v>
      </c>
      <c r="AB366" s="17" t="str">
        <f t="shared" si="71"/>
        <v>X</v>
      </c>
      <c r="AC366" s="17">
        <f t="shared" si="67"/>
        <v>0</v>
      </c>
      <c r="AD366" s="17">
        <v>36</v>
      </c>
      <c r="AP366" s="17" t="str">
        <f t="shared" si="72"/>
        <v>X</v>
      </c>
      <c r="AQ366" s="17">
        <f t="shared" si="68"/>
        <v>0</v>
      </c>
      <c r="AR366" s="17">
        <v>36</v>
      </c>
      <c r="BB366" s="17" t="str">
        <f t="shared" si="73"/>
        <v>X</v>
      </c>
      <c r="BC366" s="17">
        <f t="shared" si="69"/>
        <v>0</v>
      </c>
      <c r="BD366" s="17">
        <v>36</v>
      </c>
    </row>
    <row r="367" spans="1:56">
      <c r="A367" s="17" t="str">
        <f t="shared" si="64"/>
        <v>X</v>
      </c>
      <c r="B367" s="17">
        <f t="shared" si="65"/>
        <v>0</v>
      </c>
      <c r="C367" s="17">
        <v>37</v>
      </c>
      <c r="O367" s="17" t="str">
        <f t="shared" si="70"/>
        <v>X</v>
      </c>
      <c r="P367" s="17">
        <f t="shared" si="66"/>
        <v>0</v>
      </c>
      <c r="Q367" s="17">
        <v>37</v>
      </c>
      <c r="AB367" s="17" t="str">
        <f t="shared" si="71"/>
        <v>X</v>
      </c>
      <c r="AC367" s="17">
        <f t="shared" si="67"/>
        <v>0</v>
      </c>
      <c r="AD367" s="17">
        <v>37</v>
      </c>
      <c r="AP367" s="17" t="str">
        <f t="shared" si="72"/>
        <v>X</v>
      </c>
      <c r="AQ367" s="17">
        <f t="shared" si="68"/>
        <v>0</v>
      </c>
      <c r="AR367" s="17">
        <v>37</v>
      </c>
      <c r="BB367" s="17" t="str">
        <f t="shared" si="73"/>
        <v>X</v>
      </c>
      <c r="BC367" s="17">
        <f t="shared" si="69"/>
        <v>0</v>
      </c>
      <c r="BD367" s="17">
        <v>37</v>
      </c>
    </row>
    <row r="368" spans="1:56">
      <c r="A368" s="17" t="str">
        <f t="shared" si="64"/>
        <v>X</v>
      </c>
      <c r="B368" s="17">
        <f t="shared" si="65"/>
        <v>0</v>
      </c>
      <c r="C368" s="17">
        <v>38</v>
      </c>
      <c r="O368" s="17" t="str">
        <f t="shared" si="70"/>
        <v>X</v>
      </c>
      <c r="P368" s="17">
        <f t="shared" si="66"/>
        <v>0</v>
      </c>
      <c r="Q368" s="17">
        <v>38</v>
      </c>
      <c r="AB368" s="17" t="str">
        <f t="shared" si="71"/>
        <v>X</v>
      </c>
      <c r="AC368" s="17">
        <f t="shared" si="67"/>
        <v>0</v>
      </c>
      <c r="AD368" s="17">
        <v>38</v>
      </c>
      <c r="AP368" s="17" t="str">
        <f t="shared" si="72"/>
        <v>X</v>
      </c>
      <c r="AQ368" s="17">
        <f t="shared" si="68"/>
        <v>0</v>
      </c>
      <c r="AR368" s="17">
        <v>38</v>
      </c>
      <c r="BB368" s="17" t="str">
        <f t="shared" si="73"/>
        <v>X</v>
      </c>
      <c r="BC368" s="17">
        <f t="shared" si="69"/>
        <v>0</v>
      </c>
      <c r="BD368" s="17">
        <v>38</v>
      </c>
    </row>
    <row r="369" spans="1:56">
      <c r="A369" s="17" t="str">
        <f t="shared" si="64"/>
        <v>X</v>
      </c>
      <c r="B369" s="17">
        <f t="shared" si="65"/>
        <v>0</v>
      </c>
      <c r="C369" s="17">
        <v>39</v>
      </c>
      <c r="O369" s="17" t="str">
        <f t="shared" si="70"/>
        <v>X</v>
      </c>
      <c r="P369" s="17">
        <f t="shared" si="66"/>
        <v>0</v>
      </c>
      <c r="Q369" s="17">
        <v>39</v>
      </c>
      <c r="AB369" s="17" t="str">
        <f t="shared" si="71"/>
        <v>X</v>
      </c>
      <c r="AC369" s="17">
        <f t="shared" si="67"/>
        <v>0</v>
      </c>
      <c r="AD369" s="17">
        <v>39</v>
      </c>
      <c r="AP369" s="17" t="str">
        <f t="shared" si="72"/>
        <v>X</v>
      </c>
      <c r="AQ369" s="17">
        <f t="shared" si="68"/>
        <v>0</v>
      </c>
      <c r="AR369" s="17">
        <v>39</v>
      </c>
      <c r="BB369" s="17" t="str">
        <f t="shared" si="73"/>
        <v>X</v>
      </c>
      <c r="BC369" s="17">
        <f t="shared" si="69"/>
        <v>0</v>
      </c>
      <c r="BD369" s="17">
        <v>39</v>
      </c>
    </row>
    <row r="370" spans="1:56">
      <c r="A370" s="17" t="str">
        <f t="shared" si="64"/>
        <v>X</v>
      </c>
      <c r="B370" s="17">
        <f t="shared" si="65"/>
        <v>0</v>
      </c>
      <c r="C370" s="17">
        <v>40</v>
      </c>
      <c r="O370" s="17" t="str">
        <f t="shared" si="70"/>
        <v>X</v>
      </c>
      <c r="P370" s="17">
        <f t="shared" si="66"/>
        <v>0</v>
      </c>
      <c r="Q370" s="17">
        <v>40</v>
      </c>
      <c r="AB370" s="17" t="str">
        <f t="shared" si="71"/>
        <v>X</v>
      </c>
      <c r="AC370" s="17">
        <f t="shared" si="67"/>
        <v>0</v>
      </c>
      <c r="AD370" s="17">
        <v>40</v>
      </c>
      <c r="AP370" s="17" t="str">
        <f t="shared" si="72"/>
        <v>X</v>
      </c>
      <c r="AQ370" s="17">
        <f t="shared" si="68"/>
        <v>0</v>
      </c>
      <c r="AR370" s="17">
        <v>40</v>
      </c>
      <c r="BB370" s="17" t="str">
        <f t="shared" si="73"/>
        <v>X</v>
      </c>
      <c r="BC370" s="17">
        <f t="shared" si="69"/>
        <v>0</v>
      </c>
      <c r="BD370" s="17">
        <v>40</v>
      </c>
    </row>
    <row r="371" spans="1:56">
      <c r="A371" s="17" t="str">
        <f t="shared" si="64"/>
        <v>X</v>
      </c>
      <c r="B371" s="17">
        <f t="shared" si="65"/>
        <v>0</v>
      </c>
      <c r="C371" s="17">
        <v>41</v>
      </c>
      <c r="O371" s="17" t="str">
        <f t="shared" si="70"/>
        <v>X</v>
      </c>
      <c r="P371" s="17">
        <f t="shared" si="66"/>
        <v>0</v>
      </c>
      <c r="Q371" s="17">
        <v>41</v>
      </c>
      <c r="AB371" s="17" t="str">
        <f t="shared" si="71"/>
        <v>X</v>
      </c>
      <c r="AC371" s="17">
        <f t="shared" si="67"/>
        <v>0</v>
      </c>
      <c r="AD371" s="17">
        <v>41</v>
      </c>
      <c r="AP371" s="17" t="str">
        <f t="shared" si="72"/>
        <v>X</v>
      </c>
      <c r="AQ371" s="17">
        <f t="shared" si="68"/>
        <v>0</v>
      </c>
      <c r="AR371" s="17">
        <v>41</v>
      </c>
      <c r="BB371" s="17" t="str">
        <f t="shared" si="73"/>
        <v>X</v>
      </c>
      <c r="BC371" s="17">
        <f t="shared" si="69"/>
        <v>0</v>
      </c>
      <c r="BD371" s="17">
        <v>41</v>
      </c>
    </row>
    <row r="372" spans="1:56">
      <c r="A372" s="17" t="str">
        <f t="shared" si="64"/>
        <v>X</v>
      </c>
      <c r="B372" s="17">
        <f t="shared" si="65"/>
        <v>0</v>
      </c>
      <c r="C372" s="17">
        <v>42</v>
      </c>
      <c r="O372" s="17" t="str">
        <f t="shared" si="70"/>
        <v>X</v>
      </c>
      <c r="P372" s="17">
        <f t="shared" si="66"/>
        <v>0</v>
      </c>
      <c r="Q372" s="17">
        <v>42</v>
      </c>
      <c r="AB372" s="17" t="str">
        <f t="shared" si="71"/>
        <v>X</v>
      </c>
      <c r="AC372" s="17">
        <f t="shared" si="67"/>
        <v>0</v>
      </c>
      <c r="AD372" s="17">
        <v>42</v>
      </c>
      <c r="AP372" s="17" t="str">
        <f t="shared" si="72"/>
        <v>X</v>
      </c>
      <c r="AQ372" s="17">
        <f t="shared" si="68"/>
        <v>0</v>
      </c>
      <c r="AR372" s="17">
        <v>42</v>
      </c>
      <c r="BB372" s="17" t="str">
        <f t="shared" si="73"/>
        <v>X</v>
      </c>
      <c r="BC372" s="17">
        <f t="shared" si="69"/>
        <v>0</v>
      </c>
      <c r="BD372" s="17">
        <v>42</v>
      </c>
    </row>
    <row r="373" spans="1:56">
      <c r="A373" s="17" t="str">
        <f t="shared" si="64"/>
        <v>X</v>
      </c>
      <c r="B373" s="17">
        <f t="shared" si="65"/>
        <v>0</v>
      </c>
      <c r="C373" s="17">
        <v>43</v>
      </c>
      <c r="O373" s="17" t="str">
        <f t="shared" si="70"/>
        <v>X</v>
      </c>
      <c r="P373" s="17">
        <f t="shared" si="66"/>
        <v>0</v>
      </c>
      <c r="Q373" s="17">
        <v>43</v>
      </c>
      <c r="AB373" s="17" t="str">
        <f t="shared" si="71"/>
        <v>X</v>
      </c>
      <c r="AC373" s="17">
        <f t="shared" si="67"/>
        <v>0</v>
      </c>
      <c r="AD373" s="17">
        <v>43</v>
      </c>
      <c r="AP373" s="17" t="str">
        <f t="shared" si="72"/>
        <v>X</v>
      </c>
      <c r="AQ373" s="17">
        <f t="shared" si="68"/>
        <v>0</v>
      </c>
      <c r="AR373" s="17">
        <v>43</v>
      </c>
      <c r="BB373" s="17" t="str">
        <f t="shared" si="73"/>
        <v>X</v>
      </c>
      <c r="BC373" s="17">
        <f t="shared" si="69"/>
        <v>0</v>
      </c>
      <c r="BD373" s="17">
        <v>43</v>
      </c>
    </row>
    <row r="374" spans="1:56">
      <c r="A374" s="17" t="str">
        <f t="shared" si="64"/>
        <v>X</v>
      </c>
      <c r="B374" s="17">
        <f t="shared" si="65"/>
        <v>0</v>
      </c>
      <c r="C374" s="17">
        <v>44</v>
      </c>
      <c r="O374" s="17" t="str">
        <f t="shared" si="70"/>
        <v>X</v>
      </c>
      <c r="P374" s="17">
        <f t="shared" si="66"/>
        <v>0</v>
      </c>
      <c r="Q374" s="17">
        <v>44</v>
      </c>
      <c r="AB374" s="17" t="str">
        <f t="shared" si="71"/>
        <v>X</v>
      </c>
      <c r="AC374" s="17">
        <f t="shared" si="67"/>
        <v>0</v>
      </c>
      <c r="AD374" s="17">
        <v>44</v>
      </c>
      <c r="AP374" s="17" t="str">
        <f t="shared" si="72"/>
        <v>X</v>
      </c>
      <c r="AQ374" s="17">
        <f t="shared" si="68"/>
        <v>0</v>
      </c>
      <c r="AR374" s="17">
        <v>44</v>
      </c>
      <c r="BB374" s="17" t="str">
        <f t="shared" si="73"/>
        <v>X</v>
      </c>
      <c r="BC374" s="17">
        <f t="shared" si="69"/>
        <v>0</v>
      </c>
      <c r="BD374" s="17">
        <v>44</v>
      </c>
    </row>
    <row r="375" spans="1:56">
      <c r="A375" s="17" t="str">
        <f t="shared" si="64"/>
        <v>X</v>
      </c>
      <c r="B375" s="17">
        <f t="shared" si="65"/>
        <v>0</v>
      </c>
      <c r="C375" s="17">
        <v>45</v>
      </c>
      <c r="O375" s="17" t="str">
        <f t="shared" si="70"/>
        <v>X</v>
      </c>
      <c r="P375" s="17">
        <f t="shared" si="66"/>
        <v>0</v>
      </c>
      <c r="Q375" s="17">
        <v>45</v>
      </c>
      <c r="AB375" s="17" t="str">
        <f t="shared" si="71"/>
        <v>X</v>
      </c>
      <c r="AC375" s="17">
        <f t="shared" si="67"/>
        <v>0</v>
      </c>
      <c r="AD375" s="17">
        <v>45</v>
      </c>
      <c r="AP375" s="17" t="str">
        <f t="shared" si="72"/>
        <v>X</v>
      </c>
      <c r="AQ375" s="17">
        <f t="shared" si="68"/>
        <v>0</v>
      </c>
      <c r="AR375" s="17">
        <v>45</v>
      </c>
      <c r="BB375" s="17" t="str">
        <f t="shared" si="73"/>
        <v>X</v>
      </c>
      <c r="BC375" s="17">
        <f t="shared" si="69"/>
        <v>0</v>
      </c>
      <c r="BD375" s="17">
        <v>45</v>
      </c>
    </row>
    <row r="376" spans="1:56">
      <c r="A376" s="17" t="str">
        <f t="shared" si="64"/>
        <v>X</v>
      </c>
      <c r="B376" s="17">
        <f t="shared" si="65"/>
        <v>0</v>
      </c>
      <c r="C376" s="17">
        <v>46</v>
      </c>
      <c r="O376" s="17" t="str">
        <f t="shared" si="70"/>
        <v>X</v>
      </c>
      <c r="P376" s="17">
        <f t="shared" si="66"/>
        <v>0</v>
      </c>
      <c r="Q376" s="17">
        <v>46</v>
      </c>
      <c r="AB376" s="17" t="str">
        <f t="shared" si="71"/>
        <v>X</v>
      </c>
      <c r="AC376" s="17">
        <f t="shared" si="67"/>
        <v>0</v>
      </c>
      <c r="AD376" s="17">
        <v>46</v>
      </c>
      <c r="AP376" s="17" t="str">
        <f t="shared" si="72"/>
        <v>X</v>
      </c>
      <c r="AQ376" s="17">
        <f t="shared" si="68"/>
        <v>0</v>
      </c>
      <c r="AR376" s="17">
        <v>46</v>
      </c>
      <c r="BB376" s="17" t="str">
        <f t="shared" si="73"/>
        <v>X</v>
      </c>
      <c r="BC376" s="17">
        <f t="shared" si="69"/>
        <v>0</v>
      </c>
      <c r="BD376" s="17">
        <v>46</v>
      </c>
    </row>
    <row r="377" spans="1:56">
      <c r="A377" s="17" t="str">
        <f t="shared" si="64"/>
        <v>X</v>
      </c>
      <c r="B377" s="17">
        <f t="shared" si="65"/>
        <v>0</v>
      </c>
      <c r="C377" s="17">
        <v>47</v>
      </c>
      <c r="O377" s="17" t="str">
        <f t="shared" si="70"/>
        <v>X</v>
      </c>
      <c r="P377" s="17">
        <f t="shared" si="66"/>
        <v>0</v>
      </c>
      <c r="Q377" s="17">
        <v>47</v>
      </c>
      <c r="AB377" s="17" t="str">
        <f t="shared" si="71"/>
        <v>X</v>
      </c>
      <c r="AC377" s="17">
        <f t="shared" si="67"/>
        <v>0</v>
      </c>
      <c r="AD377" s="17">
        <v>47</v>
      </c>
      <c r="AP377" s="17" t="str">
        <f t="shared" si="72"/>
        <v>X</v>
      </c>
      <c r="AQ377" s="17">
        <f t="shared" si="68"/>
        <v>0</v>
      </c>
      <c r="AR377" s="17">
        <v>47</v>
      </c>
      <c r="BB377" s="17" t="str">
        <f t="shared" si="73"/>
        <v>X</v>
      </c>
      <c r="BC377" s="17">
        <f t="shared" si="69"/>
        <v>0</v>
      </c>
      <c r="BD377" s="17">
        <v>47</v>
      </c>
    </row>
    <row r="378" spans="1:56">
      <c r="A378" s="17" t="str">
        <f t="shared" si="64"/>
        <v>X</v>
      </c>
      <c r="B378" s="17">
        <f t="shared" si="65"/>
        <v>0</v>
      </c>
      <c r="C378" s="17">
        <v>48</v>
      </c>
      <c r="O378" s="17" t="str">
        <f t="shared" si="70"/>
        <v>X</v>
      </c>
      <c r="P378" s="17">
        <f t="shared" si="66"/>
        <v>0</v>
      </c>
      <c r="Q378" s="17">
        <v>48</v>
      </c>
      <c r="AB378" s="17" t="str">
        <f t="shared" si="71"/>
        <v>X</v>
      </c>
      <c r="AC378" s="17">
        <f t="shared" si="67"/>
        <v>0</v>
      </c>
      <c r="AD378" s="17">
        <v>48</v>
      </c>
      <c r="AP378" s="17" t="str">
        <f t="shared" si="72"/>
        <v>X</v>
      </c>
      <c r="AQ378" s="17">
        <f t="shared" si="68"/>
        <v>0</v>
      </c>
      <c r="AR378" s="17">
        <v>48</v>
      </c>
      <c r="BB378" s="17" t="str">
        <f t="shared" si="73"/>
        <v>X</v>
      </c>
      <c r="BC378" s="17">
        <f t="shared" si="69"/>
        <v>0</v>
      </c>
      <c r="BD378" s="17">
        <v>48</v>
      </c>
    </row>
    <row r="379" spans="1:56">
      <c r="A379" s="17" t="str">
        <f t="shared" ref="A379:A442" si="74">IF(B379&gt;0,"Q","X")</f>
        <v>X</v>
      </c>
      <c r="B379" s="17">
        <f t="shared" si="65"/>
        <v>0</v>
      </c>
      <c r="C379" s="17">
        <v>49</v>
      </c>
      <c r="O379" s="17" t="str">
        <f t="shared" si="70"/>
        <v>X</v>
      </c>
      <c r="P379" s="17">
        <f t="shared" si="66"/>
        <v>0</v>
      </c>
      <c r="Q379" s="17">
        <v>49</v>
      </c>
      <c r="AB379" s="17" t="str">
        <f t="shared" si="71"/>
        <v>X</v>
      </c>
      <c r="AC379" s="17">
        <f t="shared" si="67"/>
        <v>0</v>
      </c>
      <c r="AD379" s="17">
        <v>49</v>
      </c>
      <c r="AP379" s="17" t="str">
        <f t="shared" si="72"/>
        <v>X</v>
      </c>
      <c r="AQ379" s="17">
        <f t="shared" si="68"/>
        <v>0</v>
      </c>
      <c r="AR379" s="17">
        <v>49</v>
      </c>
      <c r="BB379" s="17" t="str">
        <f t="shared" si="73"/>
        <v>X</v>
      </c>
      <c r="BC379" s="17">
        <f t="shared" si="69"/>
        <v>0</v>
      </c>
      <c r="BD379" s="17">
        <v>49</v>
      </c>
    </row>
    <row r="380" spans="1:56">
      <c r="A380" s="17" t="str">
        <f t="shared" si="74"/>
        <v>X</v>
      </c>
      <c r="B380" s="17">
        <f t="shared" si="65"/>
        <v>0</v>
      </c>
      <c r="C380" s="17">
        <v>50</v>
      </c>
      <c r="O380" s="17" t="str">
        <f t="shared" si="70"/>
        <v>X</v>
      </c>
      <c r="P380" s="17">
        <f t="shared" si="66"/>
        <v>0</v>
      </c>
      <c r="Q380" s="17">
        <v>50</v>
      </c>
      <c r="AB380" s="17" t="str">
        <f t="shared" si="71"/>
        <v>X</v>
      </c>
      <c r="AC380" s="17">
        <f t="shared" si="67"/>
        <v>0</v>
      </c>
      <c r="AD380" s="17">
        <v>50</v>
      </c>
      <c r="AP380" s="17" t="str">
        <f t="shared" si="72"/>
        <v>X</v>
      </c>
      <c r="AQ380" s="17">
        <f t="shared" si="68"/>
        <v>0</v>
      </c>
      <c r="AR380" s="17">
        <v>50</v>
      </c>
      <c r="BB380" s="17" t="str">
        <f t="shared" si="73"/>
        <v>X</v>
      </c>
      <c r="BC380" s="17">
        <f t="shared" si="69"/>
        <v>0</v>
      </c>
      <c r="BD380" s="17">
        <v>50</v>
      </c>
    </row>
    <row r="381" spans="1:56">
      <c r="A381" s="17" t="str">
        <f t="shared" si="74"/>
        <v>X</v>
      </c>
      <c r="B381" s="17">
        <f t="shared" si="65"/>
        <v>0</v>
      </c>
      <c r="C381" s="17">
        <v>51</v>
      </c>
      <c r="O381" s="17" t="str">
        <f t="shared" si="70"/>
        <v>X</v>
      </c>
      <c r="P381" s="17">
        <f t="shared" si="66"/>
        <v>0</v>
      </c>
      <c r="Q381" s="17">
        <v>51</v>
      </c>
      <c r="AB381" s="17" t="str">
        <f t="shared" si="71"/>
        <v>X</v>
      </c>
      <c r="AC381" s="17">
        <f t="shared" si="67"/>
        <v>0</v>
      </c>
      <c r="AD381" s="17">
        <v>51</v>
      </c>
      <c r="AP381" s="17" t="str">
        <f t="shared" si="72"/>
        <v>X</v>
      </c>
      <c r="AQ381" s="17">
        <f t="shared" si="68"/>
        <v>0</v>
      </c>
      <c r="AR381" s="17">
        <v>51</v>
      </c>
      <c r="BB381" s="17" t="str">
        <f t="shared" si="73"/>
        <v>X</v>
      </c>
      <c r="BC381" s="17">
        <f t="shared" si="69"/>
        <v>0</v>
      </c>
      <c r="BD381" s="17">
        <v>51</v>
      </c>
    </row>
    <row r="382" spans="1:56">
      <c r="A382" s="17" t="str">
        <f t="shared" si="74"/>
        <v>X</v>
      </c>
      <c r="B382" s="17">
        <f t="shared" si="65"/>
        <v>0</v>
      </c>
      <c r="C382" s="17">
        <v>52</v>
      </c>
      <c r="O382" s="17" t="str">
        <f t="shared" si="70"/>
        <v>X</v>
      </c>
      <c r="P382" s="17">
        <f t="shared" si="66"/>
        <v>0</v>
      </c>
      <c r="Q382" s="17">
        <v>52</v>
      </c>
      <c r="AB382" s="17" t="str">
        <f t="shared" si="71"/>
        <v>X</v>
      </c>
      <c r="AC382" s="17">
        <f t="shared" si="67"/>
        <v>0</v>
      </c>
      <c r="AD382" s="17">
        <v>52</v>
      </c>
      <c r="AP382" s="17" t="str">
        <f t="shared" si="72"/>
        <v>X</v>
      </c>
      <c r="AQ382" s="17">
        <f t="shared" si="68"/>
        <v>0</v>
      </c>
      <c r="AR382" s="17">
        <v>52</v>
      </c>
      <c r="BB382" s="17" t="str">
        <f t="shared" si="73"/>
        <v>X</v>
      </c>
      <c r="BC382" s="17">
        <f t="shared" si="69"/>
        <v>0</v>
      </c>
      <c r="BD382" s="17">
        <v>52</v>
      </c>
    </row>
    <row r="383" spans="1:56">
      <c r="A383" s="17" t="str">
        <f t="shared" si="74"/>
        <v>X</v>
      </c>
      <c r="B383" s="17">
        <f t="shared" si="65"/>
        <v>0</v>
      </c>
      <c r="C383" s="17">
        <v>53</v>
      </c>
      <c r="O383" s="17" t="str">
        <f t="shared" si="70"/>
        <v>X</v>
      </c>
      <c r="P383" s="17">
        <f t="shared" si="66"/>
        <v>0</v>
      </c>
      <c r="Q383" s="17">
        <v>53</v>
      </c>
      <c r="AB383" s="17" t="str">
        <f t="shared" si="71"/>
        <v>X</v>
      </c>
      <c r="AC383" s="17">
        <f t="shared" si="67"/>
        <v>0</v>
      </c>
      <c r="AD383" s="17">
        <v>53</v>
      </c>
      <c r="AP383" s="17" t="str">
        <f t="shared" si="72"/>
        <v>X</v>
      </c>
      <c r="AQ383" s="17">
        <f t="shared" si="68"/>
        <v>0</v>
      </c>
      <c r="AR383" s="17">
        <v>53</v>
      </c>
      <c r="BB383" s="17" t="str">
        <f t="shared" si="73"/>
        <v>X</v>
      </c>
      <c r="BC383" s="17">
        <f t="shared" si="69"/>
        <v>0</v>
      </c>
      <c r="BD383" s="17">
        <v>53</v>
      </c>
    </row>
    <row r="384" spans="1:56">
      <c r="A384" s="17" t="str">
        <f t="shared" si="74"/>
        <v>X</v>
      </c>
      <c r="B384" s="17">
        <f t="shared" si="65"/>
        <v>0</v>
      </c>
      <c r="C384" s="17">
        <v>54</v>
      </c>
      <c r="O384" s="17" t="str">
        <f t="shared" si="70"/>
        <v>X</v>
      </c>
      <c r="P384" s="17">
        <f t="shared" si="66"/>
        <v>0</v>
      </c>
      <c r="Q384" s="17">
        <v>54</v>
      </c>
      <c r="AB384" s="17" t="str">
        <f t="shared" si="71"/>
        <v>X</v>
      </c>
      <c r="AC384" s="17">
        <f t="shared" si="67"/>
        <v>0</v>
      </c>
      <c r="AD384" s="17">
        <v>54</v>
      </c>
      <c r="AP384" s="17" t="str">
        <f t="shared" si="72"/>
        <v>X</v>
      </c>
      <c r="AQ384" s="17">
        <f t="shared" si="68"/>
        <v>0</v>
      </c>
      <c r="AR384" s="17">
        <v>54</v>
      </c>
      <c r="BB384" s="17" t="str">
        <f t="shared" si="73"/>
        <v>X</v>
      </c>
      <c r="BC384" s="17">
        <f t="shared" si="69"/>
        <v>0</v>
      </c>
      <c r="BD384" s="17">
        <v>54</v>
      </c>
    </row>
    <row r="385" spans="1:56">
      <c r="A385" s="17" t="str">
        <f t="shared" si="74"/>
        <v>X</v>
      </c>
      <c r="B385" s="17">
        <f t="shared" si="65"/>
        <v>0</v>
      </c>
      <c r="C385" s="17">
        <v>55</v>
      </c>
      <c r="O385" s="17" t="str">
        <f t="shared" si="70"/>
        <v>X</v>
      </c>
      <c r="P385" s="17">
        <f t="shared" si="66"/>
        <v>0</v>
      </c>
      <c r="Q385" s="17">
        <v>55</v>
      </c>
      <c r="AB385" s="17" t="str">
        <f t="shared" si="71"/>
        <v>X</v>
      </c>
      <c r="AC385" s="17">
        <f t="shared" si="67"/>
        <v>0</v>
      </c>
      <c r="AD385" s="17">
        <v>55</v>
      </c>
      <c r="AP385" s="17" t="str">
        <f t="shared" si="72"/>
        <v>X</v>
      </c>
      <c r="AQ385" s="17">
        <f t="shared" si="68"/>
        <v>0</v>
      </c>
      <c r="AR385" s="17">
        <v>55</v>
      </c>
      <c r="BB385" s="17" t="str">
        <f t="shared" si="73"/>
        <v>X</v>
      </c>
      <c r="BC385" s="17">
        <f t="shared" si="69"/>
        <v>0</v>
      </c>
      <c r="BD385" s="17">
        <v>55</v>
      </c>
    </row>
    <row r="386" spans="1:56">
      <c r="A386" s="17" t="str">
        <f t="shared" si="74"/>
        <v>X</v>
      </c>
      <c r="B386" s="17">
        <f t="shared" si="65"/>
        <v>0</v>
      </c>
      <c r="C386" s="17">
        <v>56</v>
      </c>
      <c r="O386" s="17" t="str">
        <f t="shared" si="70"/>
        <v>X</v>
      </c>
      <c r="P386" s="17">
        <f t="shared" si="66"/>
        <v>0</v>
      </c>
      <c r="Q386" s="17">
        <v>56</v>
      </c>
      <c r="AB386" s="17" t="str">
        <f t="shared" si="71"/>
        <v>X</v>
      </c>
      <c r="AC386" s="17">
        <f t="shared" si="67"/>
        <v>0</v>
      </c>
      <c r="AD386" s="17">
        <v>56</v>
      </c>
      <c r="AP386" s="17" t="str">
        <f t="shared" si="72"/>
        <v>X</v>
      </c>
      <c r="AQ386" s="17">
        <f t="shared" si="68"/>
        <v>0</v>
      </c>
      <c r="AR386" s="17">
        <v>56</v>
      </c>
      <c r="BB386" s="17" t="str">
        <f t="shared" si="73"/>
        <v>X</v>
      </c>
      <c r="BC386" s="17">
        <f t="shared" si="69"/>
        <v>0</v>
      </c>
      <c r="BD386" s="17">
        <v>56</v>
      </c>
    </row>
    <row r="387" spans="1:56">
      <c r="A387" s="17" t="str">
        <f t="shared" si="74"/>
        <v>X</v>
      </c>
      <c r="B387" s="17">
        <f t="shared" si="65"/>
        <v>0</v>
      </c>
      <c r="C387" s="17">
        <v>57</v>
      </c>
      <c r="O387" s="17" t="str">
        <f t="shared" si="70"/>
        <v>X</v>
      </c>
      <c r="P387" s="17">
        <f t="shared" si="66"/>
        <v>0</v>
      </c>
      <c r="Q387" s="17">
        <v>57</v>
      </c>
      <c r="AB387" s="17" t="str">
        <f t="shared" si="71"/>
        <v>X</v>
      </c>
      <c r="AC387" s="17">
        <f t="shared" si="67"/>
        <v>0</v>
      </c>
      <c r="AD387" s="17">
        <v>57</v>
      </c>
      <c r="AP387" s="17" t="str">
        <f t="shared" si="72"/>
        <v>X</v>
      </c>
      <c r="AQ387" s="17">
        <f t="shared" si="68"/>
        <v>0</v>
      </c>
      <c r="AR387" s="17">
        <v>57</v>
      </c>
      <c r="BB387" s="17" t="str">
        <f t="shared" si="73"/>
        <v>X</v>
      </c>
      <c r="BC387" s="17">
        <f t="shared" si="69"/>
        <v>0</v>
      </c>
      <c r="BD387" s="17">
        <v>57</v>
      </c>
    </row>
    <row r="388" spans="1:56">
      <c r="A388" s="17" t="str">
        <f t="shared" si="74"/>
        <v>X</v>
      </c>
      <c r="B388" s="17">
        <f t="shared" si="65"/>
        <v>0</v>
      </c>
      <c r="C388" s="17">
        <v>58</v>
      </c>
      <c r="O388" s="17" t="str">
        <f t="shared" si="70"/>
        <v>X</v>
      </c>
      <c r="P388" s="17">
        <f t="shared" si="66"/>
        <v>0</v>
      </c>
      <c r="Q388" s="17">
        <v>58</v>
      </c>
      <c r="AB388" s="17" t="str">
        <f t="shared" si="71"/>
        <v>X</v>
      </c>
      <c r="AC388" s="17">
        <f t="shared" si="67"/>
        <v>0</v>
      </c>
      <c r="AD388" s="17">
        <v>58</v>
      </c>
      <c r="AP388" s="17" t="str">
        <f t="shared" si="72"/>
        <v>X</v>
      </c>
      <c r="AQ388" s="17">
        <f t="shared" si="68"/>
        <v>0</v>
      </c>
      <c r="AR388" s="17">
        <v>58</v>
      </c>
      <c r="BB388" s="17" t="str">
        <f t="shared" si="73"/>
        <v>X</v>
      </c>
      <c r="BC388" s="17">
        <f t="shared" si="69"/>
        <v>0</v>
      </c>
      <c r="BD388" s="17">
        <v>58</v>
      </c>
    </row>
    <row r="389" spans="1:56">
      <c r="A389" s="17" t="str">
        <f t="shared" si="74"/>
        <v>X</v>
      </c>
      <c r="B389" s="17">
        <f t="shared" si="65"/>
        <v>0</v>
      </c>
      <c r="C389" s="17">
        <v>59</v>
      </c>
      <c r="O389" s="17" t="str">
        <f t="shared" si="70"/>
        <v>X</v>
      </c>
      <c r="P389" s="17">
        <f t="shared" si="66"/>
        <v>0</v>
      </c>
      <c r="Q389" s="17">
        <v>59</v>
      </c>
      <c r="AB389" s="17" t="str">
        <f t="shared" si="71"/>
        <v>X</v>
      </c>
      <c r="AC389" s="17">
        <f t="shared" si="67"/>
        <v>0</v>
      </c>
      <c r="AD389" s="17">
        <v>59</v>
      </c>
      <c r="AP389" s="17" t="str">
        <f t="shared" si="72"/>
        <v>X</v>
      </c>
      <c r="AQ389" s="17">
        <f t="shared" si="68"/>
        <v>0</v>
      </c>
      <c r="AR389" s="17">
        <v>59</v>
      </c>
      <c r="BB389" s="17" t="str">
        <f t="shared" si="73"/>
        <v>X</v>
      </c>
      <c r="BC389" s="17">
        <f t="shared" si="69"/>
        <v>0</v>
      </c>
      <c r="BD389" s="17">
        <v>59</v>
      </c>
    </row>
    <row r="390" spans="1:56">
      <c r="A390" s="17" t="str">
        <f t="shared" si="74"/>
        <v>X</v>
      </c>
      <c r="B390" s="17">
        <f t="shared" si="65"/>
        <v>0</v>
      </c>
      <c r="C390" s="17">
        <v>60</v>
      </c>
      <c r="O390" s="17" t="str">
        <f t="shared" si="70"/>
        <v>X</v>
      </c>
      <c r="P390" s="17">
        <f t="shared" si="66"/>
        <v>0</v>
      </c>
      <c r="Q390" s="17">
        <v>60</v>
      </c>
      <c r="AB390" s="17" t="str">
        <f t="shared" si="71"/>
        <v>X</v>
      </c>
      <c r="AC390" s="17">
        <f t="shared" si="67"/>
        <v>0</v>
      </c>
      <c r="AD390" s="17">
        <v>60</v>
      </c>
      <c r="AP390" s="17" t="str">
        <f t="shared" si="72"/>
        <v>X</v>
      </c>
      <c r="AQ390" s="17">
        <f t="shared" si="68"/>
        <v>0</v>
      </c>
      <c r="AR390" s="17">
        <v>60</v>
      </c>
      <c r="BB390" s="17" t="str">
        <f t="shared" si="73"/>
        <v>X</v>
      </c>
      <c r="BC390" s="17">
        <f t="shared" si="69"/>
        <v>0</v>
      </c>
      <c r="BD390" s="17">
        <v>60</v>
      </c>
    </row>
    <row r="391" spans="1:56">
      <c r="A391" s="17" t="str">
        <f t="shared" si="74"/>
        <v>X</v>
      </c>
      <c r="B391" s="17">
        <f t="shared" si="65"/>
        <v>0</v>
      </c>
      <c r="C391" s="17">
        <v>61</v>
      </c>
      <c r="O391" s="17" t="str">
        <f t="shared" si="70"/>
        <v>X</v>
      </c>
      <c r="P391" s="17">
        <f t="shared" si="66"/>
        <v>0</v>
      </c>
      <c r="Q391" s="17">
        <v>61</v>
      </c>
      <c r="AB391" s="17" t="str">
        <f t="shared" si="71"/>
        <v>X</v>
      </c>
      <c r="AC391" s="17">
        <f t="shared" si="67"/>
        <v>0</v>
      </c>
      <c r="AD391" s="17">
        <v>61</v>
      </c>
      <c r="AP391" s="17" t="str">
        <f t="shared" si="72"/>
        <v>X</v>
      </c>
      <c r="AQ391" s="17">
        <f t="shared" si="68"/>
        <v>0</v>
      </c>
      <c r="AR391" s="17">
        <v>61</v>
      </c>
      <c r="BB391" s="17" t="str">
        <f t="shared" si="73"/>
        <v>X</v>
      </c>
      <c r="BC391" s="17">
        <f t="shared" si="69"/>
        <v>0</v>
      </c>
      <c r="BD391" s="17">
        <v>61</v>
      </c>
    </row>
    <row r="392" spans="1:56">
      <c r="A392" s="17" t="str">
        <f t="shared" si="74"/>
        <v>X</v>
      </c>
      <c r="B392" s="17">
        <f t="shared" si="65"/>
        <v>0</v>
      </c>
      <c r="C392" s="17">
        <v>62</v>
      </c>
      <c r="O392" s="17" t="str">
        <f t="shared" si="70"/>
        <v>X</v>
      </c>
      <c r="P392" s="17">
        <f t="shared" si="66"/>
        <v>0</v>
      </c>
      <c r="Q392" s="17">
        <v>62</v>
      </c>
      <c r="AB392" s="17" t="str">
        <f t="shared" si="71"/>
        <v>X</v>
      </c>
      <c r="AC392" s="17">
        <f t="shared" si="67"/>
        <v>0</v>
      </c>
      <c r="AD392" s="17">
        <v>62</v>
      </c>
      <c r="AP392" s="17" t="str">
        <f t="shared" si="72"/>
        <v>X</v>
      </c>
      <c r="AQ392" s="17">
        <f t="shared" si="68"/>
        <v>0</v>
      </c>
      <c r="AR392" s="17">
        <v>62</v>
      </c>
      <c r="BB392" s="17" t="str">
        <f t="shared" si="73"/>
        <v>X</v>
      </c>
      <c r="BC392" s="17">
        <f t="shared" si="69"/>
        <v>0</v>
      </c>
      <c r="BD392" s="17">
        <v>62</v>
      </c>
    </row>
    <row r="393" spans="1:56">
      <c r="A393" s="17" t="str">
        <f t="shared" si="74"/>
        <v>X</v>
      </c>
      <c r="B393" s="17">
        <f t="shared" si="65"/>
        <v>0</v>
      </c>
      <c r="C393" s="17">
        <v>63</v>
      </c>
      <c r="O393" s="17" t="str">
        <f t="shared" si="70"/>
        <v>X</v>
      </c>
      <c r="P393" s="17">
        <f t="shared" si="66"/>
        <v>0</v>
      </c>
      <c r="Q393" s="17">
        <v>63</v>
      </c>
      <c r="AB393" s="17" t="str">
        <f t="shared" si="71"/>
        <v>X</v>
      </c>
      <c r="AC393" s="17">
        <f t="shared" si="67"/>
        <v>0</v>
      </c>
      <c r="AD393" s="17">
        <v>63</v>
      </c>
      <c r="AP393" s="17" t="str">
        <f t="shared" si="72"/>
        <v>X</v>
      </c>
      <c r="AQ393" s="17">
        <f t="shared" si="68"/>
        <v>0</v>
      </c>
      <c r="AR393" s="17">
        <v>63</v>
      </c>
      <c r="BB393" s="17" t="str">
        <f t="shared" si="73"/>
        <v>X</v>
      </c>
      <c r="BC393" s="17">
        <f t="shared" si="69"/>
        <v>0</v>
      </c>
      <c r="BD393" s="17">
        <v>63</v>
      </c>
    </row>
    <row r="394" spans="1:56">
      <c r="A394" s="17" t="str">
        <f t="shared" si="74"/>
        <v>X</v>
      </c>
      <c r="B394" s="17">
        <f t="shared" si="65"/>
        <v>0</v>
      </c>
      <c r="C394" s="17">
        <v>64</v>
      </c>
      <c r="O394" s="17" t="str">
        <f t="shared" si="70"/>
        <v>X</v>
      </c>
      <c r="P394" s="17">
        <f t="shared" si="66"/>
        <v>0</v>
      </c>
      <c r="Q394" s="17">
        <v>64</v>
      </c>
      <c r="AB394" s="17" t="str">
        <f t="shared" si="71"/>
        <v>X</v>
      </c>
      <c r="AC394" s="17">
        <f t="shared" si="67"/>
        <v>0</v>
      </c>
      <c r="AD394" s="17">
        <v>64</v>
      </c>
      <c r="AP394" s="17" t="str">
        <f t="shared" si="72"/>
        <v>X</v>
      </c>
      <c r="AQ394" s="17">
        <f t="shared" si="68"/>
        <v>0</v>
      </c>
      <c r="AR394" s="17">
        <v>64</v>
      </c>
      <c r="BB394" s="17" t="str">
        <f t="shared" si="73"/>
        <v>X</v>
      </c>
      <c r="BC394" s="17">
        <f t="shared" si="69"/>
        <v>0</v>
      </c>
      <c r="BD394" s="17">
        <v>64</v>
      </c>
    </row>
    <row r="395" spans="1:56">
      <c r="A395" s="17" t="str">
        <f t="shared" si="74"/>
        <v>X</v>
      </c>
      <c r="B395" s="17">
        <f t="shared" si="65"/>
        <v>0</v>
      </c>
      <c r="C395" s="17">
        <v>65</v>
      </c>
      <c r="O395" s="17" t="str">
        <f t="shared" si="70"/>
        <v>X</v>
      </c>
      <c r="P395" s="17">
        <f t="shared" si="66"/>
        <v>0</v>
      </c>
      <c r="Q395" s="17">
        <v>65</v>
      </c>
      <c r="AB395" s="17" t="str">
        <f t="shared" si="71"/>
        <v>X</v>
      </c>
      <c r="AC395" s="17">
        <f t="shared" si="67"/>
        <v>0</v>
      </c>
      <c r="AD395" s="17">
        <v>65</v>
      </c>
      <c r="AP395" s="17" t="str">
        <f t="shared" si="72"/>
        <v>X</v>
      </c>
      <c r="AQ395" s="17">
        <f t="shared" si="68"/>
        <v>0</v>
      </c>
      <c r="AR395" s="17">
        <v>65</v>
      </c>
      <c r="BB395" s="17" t="str">
        <f t="shared" si="73"/>
        <v>X</v>
      </c>
      <c r="BC395" s="17">
        <f t="shared" si="69"/>
        <v>0</v>
      </c>
      <c r="BD395" s="17">
        <v>65</v>
      </c>
    </row>
    <row r="396" spans="1:56">
      <c r="A396" s="17" t="str">
        <f t="shared" si="74"/>
        <v>X</v>
      </c>
      <c r="B396" s="17">
        <f t="shared" ref="B396:B459" si="75">IF($H$18&gt;=C396,$G$18,0)</f>
        <v>0</v>
      </c>
      <c r="C396" s="17">
        <v>66</v>
      </c>
      <c r="O396" s="17" t="str">
        <f t="shared" si="70"/>
        <v>X</v>
      </c>
      <c r="P396" s="17">
        <f t="shared" ref="P396:P459" si="76">IF($V$18&gt;=Q396,$U$18,0)</f>
        <v>0</v>
      </c>
      <c r="Q396" s="17">
        <v>66</v>
      </c>
      <c r="AB396" s="17" t="str">
        <f t="shared" si="71"/>
        <v>X</v>
      </c>
      <c r="AC396" s="17">
        <f t="shared" ref="AC396:AC459" si="77">IF($AI$18&gt;=AD396,$AH$18,0)</f>
        <v>0</v>
      </c>
      <c r="AD396" s="17">
        <v>66</v>
      </c>
      <c r="AP396" s="17" t="str">
        <f t="shared" si="72"/>
        <v>X</v>
      </c>
      <c r="AQ396" s="17">
        <f t="shared" ref="AQ396:AQ459" si="78">IF($AW$18&gt;=AR396,$AV$18,0)</f>
        <v>0</v>
      </c>
      <c r="AR396" s="17">
        <v>66</v>
      </c>
      <c r="BB396" s="17" t="str">
        <f t="shared" si="73"/>
        <v>X</v>
      </c>
      <c r="BC396" s="17">
        <f t="shared" ref="BC396:BC459" si="79">IF($BI$18&gt;=BD396,$BH$18,0)</f>
        <v>0</v>
      </c>
      <c r="BD396" s="17">
        <v>66</v>
      </c>
    </row>
    <row r="397" spans="1:56">
      <c r="A397" s="17" t="str">
        <f t="shared" si="74"/>
        <v>X</v>
      </c>
      <c r="B397" s="17">
        <f t="shared" si="75"/>
        <v>0</v>
      </c>
      <c r="C397" s="17">
        <v>67</v>
      </c>
      <c r="O397" s="17" t="str">
        <f t="shared" si="70"/>
        <v>X</v>
      </c>
      <c r="P397" s="17">
        <f t="shared" si="76"/>
        <v>0</v>
      </c>
      <c r="Q397" s="17">
        <v>67</v>
      </c>
      <c r="AB397" s="17" t="str">
        <f t="shared" si="71"/>
        <v>X</v>
      </c>
      <c r="AC397" s="17">
        <f t="shared" si="77"/>
        <v>0</v>
      </c>
      <c r="AD397" s="17">
        <v>67</v>
      </c>
      <c r="AP397" s="17" t="str">
        <f t="shared" si="72"/>
        <v>X</v>
      </c>
      <c r="AQ397" s="17">
        <f t="shared" si="78"/>
        <v>0</v>
      </c>
      <c r="AR397" s="17">
        <v>67</v>
      </c>
      <c r="BB397" s="17" t="str">
        <f t="shared" si="73"/>
        <v>X</v>
      </c>
      <c r="BC397" s="17">
        <f t="shared" si="79"/>
        <v>0</v>
      </c>
      <c r="BD397" s="17">
        <v>67</v>
      </c>
    </row>
    <row r="398" spans="1:56">
      <c r="A398" s="17" t="str">
        <f t="shared" si="74"/>
        <v>X</v>
      </c>
      <c r="B398" s="17">
        <f t="shared" si="75"/>
        <v>0</v>
      </c>
      <c r="C398" s="17">
        <v>68</v>
      </c>
      <c r="O398" s="17" t="str">
        <f t="shared" si="70"/>
        <v>X</v>
      </c>
      <c r="P398" s="17">
        <f t="shared" si="76"/>
        <v>0</v>
      </c>
      <c r="Q398" s="17">
        <v>68</v>
      </c>
      <c r="AB398" s="17" t="str">
        <f t="shared" si="71"/>
        <v>X</v>
      </c>
      <c r="AC398" s="17">
        <f t="shared" si="77"/>
        <v>0</v>
      </c>
      <c r="AD398" s="17">
        <v>68</v>
      </c>
      <c r="AP398" s="17" t="str">
        <f t="shared" si="72"/>
        <v>X</v>
      </c>
      <c r="AQ398" s="17">
        <f t="shared" si="78"/>
        <v>0</v>
      </c>
      <c r="AR398" s="17">
        <v>68</v>
      </c>
      <c r="BB398" s="17" t="str">
        <f t="shared" si="73"/>
        <v>X</v>
      </c>
      <c r="BC398" s="17">
        <f t="shared" si="79"/>
        <v>0</v>
      </c>
      <c r="BD398" s="17">
        <v>68</v>
      </c>
    </row>
    <row r="399" spans="1:56">
      <c r="A399" s="17" t="str">
        <f t="shared" si="74"/>
        <v>X</v>
      </c>
      <c r="B399" s="17">
        <f t="shared" si="75"/>
        <v>0</v>
      </c>
      <c r="C399" s="17">
        <v>69</v>
      </c>
      <c r="O399" s="17" t="str">
        <f t="shared" si="70"/>
        <v>X</v>
      </c>
      <c r="P399" s="17">
        <f t="shared" si="76"/>
        <v>0</v>
      </c>
      <c r="Q399" s="17">
        <v>69</v>
      </c>
      <c r="AB399" s="17" t="str">
        <f t="shared" si="71"/>
        <v>X</v>
      </c>
      <c r="AC399" s="17">
        <f t="shared" si="77"/>
        <v>0</v>
      </c>
      <c r="AD399" s="17">
        <v>69</v>
      </c>
      <c r="AP399" s="17" t="str">
        <f t="shared" si="72"/>
        <v>X</v>
      </c>
      <c r="AQ399" s="17">
        <f t="shared" si="78"/>
        <v>0</v>
      </c>
      <c r="AR399" s="17">
        <v>69</v>
      </c>
      <c r="BB399" s="17" t="str">
        <f t="shared" si="73"/>
        <v>X</v>
      </c>
      <c r="BC399" s="17">
        <f t="shared" si="79"/>
        <v>0</v>
      </c>
      <c r="BD399" s="17">
        <v>69</v>
      </c>
    </row>
    <row r="400" spans="1:56">
      <c r="A400" s="17" t="str">
        <f t="shared" si="74"/>
        <v>X</v>
      </c>
      <c r="B400" s="17">
        <f t="shared" si="75"/>
        <v>0</v>
      </c>
      <c r="C400" s="17">
        <v>70</v>
      </c>
      <c r="O400" s="17" t="str">
        <f t="shared" si="70"/>
        <v>X</v>
      </c>
      <c r="P400" s="17">
        <f t="shared" si="76"/>
        <v>0</v>
      </c>
      <c r="Q400" s="17">
        <v>70</v>
      </c>
      <c r="AB400" s="17" t="str">
        <f t="shared" si="71"/>
        <v>X</v>
      </c>
      <c r="AC400" s="17">
        <f t="shared" si="77"/>
        <v>0</v>
      </c>
      <c r="AD400" s="17">
        <v>70</v>
      </c>
      <c r="AP400" s="17" t="str">
        <f t="shared" si="72"/>
        <v>X</v>
      </c>
      <c r="AQ400" s="17">
        <f t="shared" si="78"/>
        <v>0</v>
      </c>
      <c r="AR400" s="17">
        <v>70</v>
      </c>
      <c r="BB400" s="17" t="str">
        <f t="shared" si="73"/>
        <v>X</v>
      </c>
      <c r="BC400" s="17">
        <f t="shared" si="79"/>
        <v>0</v>
      </c>
      <c r="BD400" s="17">
        <v>70</v>
      </c>
    </row>
    <row r="401" spans="1:56">
      <c r="A401" s="17" t="str">
        <f t="shared" si="74"/>
        <v>X</v>
      </c>
      <c r="B401" s="17">
        <f t="shared" si="75"/>
        <v>0</v>
      </c>
      <c r="C401" s="17">
        <v>71</v>
      </c>
      <c r="O401" s="17" t="str">
        <f t="shared" si="70"/>
        <v>X</v>
      </c>
      <c r="P401" s="17">
        <f t="shared" si="76"/>
        <v>0</v>
      </c>
      <c r="Q401" s="17">
        <v>71</v>
      </c>
      <c r="AB401" s="17" t="str">
        <f t="shared" si="71"/>
        <v>X</v>
      </c>
      <c r="AC401" s="17">
        <f t="shared" si="77"/>
        <v>0</v>
      </c>
      <c r="AD401" s="17">
        <v>71</v>
      </c>
      <c r="AP401" s="17" t="str">
        <f t="shared" si="72"/>
        <v>X</v>
      </c>
      <c r="AQ401" s="17">
        <f t="shared" si="78"/>
        <v>0</v>
      </c>
      <c r="AR401" s="17">
        <v>71</v>
      </c>
      <c r="BB401" s="17" t="str">
        <f t="shared" si="73"/>
        <v>X</v>
      </c>
      <c r="BC401" s="17">
        <f t="shared" si="79"/>
        <v>0</v>
      </c>
      <c r="BD401" s="17">
        <v>71</v>
      </c>
    </row>
    <row r="402" spans="1:56">
      <c r="A402" s="17" t="str">
        <f t="shared" si="74"/>
        <v>X</v>
      </c>
      <c r="B402" s="17">
        <f t="shared" si="75"/>
        <v>0</v>
      </c>
      <c r="C402" s="17">
        <v>72</v>
      </c>
      <c r="O402" s="17" t="str">
        <f t="shared" si="70"/>
        <v>X</v>
      </c>
      <c r="P402" s="17">
        <f t="shared" si="76"/>
        <v>0</v>
      </c>
      <c r="Q402" s="17">
        <v>72</v>
      </c>
      <c r="AB402" s="17" t="str">
        <f t="shared" si="71"/>
        <v>X</v>
      </c>
      <c r="AC402" s="17">
        <f t="shared" si="77"/>
        <v>0</v>
      </c>
      <c r="AD402" s="17">
        <v>72</v>
      </c>
      <c r="AP402" s="17" t="str">
        <f t="shared" si="72"/>
        <v>X</v>
      </c>
      <c r="AQ402" s="17">
        <f t="shared" si="78"/>
        <v>0</v>
      </c>
      <c r="AR402" s="17">
        <v>72</v>
      </c>
      <c r="BB402" s="17" t="str">
        <f t="shared" si="73"/>
        <v>X</v>
      </c>
      <c r="BC402" s="17">
        <f t="shared" si="79"/>
        <v>0</v>
      </c>
      <c r="BD402" s="17">
        <v>72</v>
      </c>
    </row>
    <row r="403" spans="1:56">
      <c r="A403" s="17" t="str">
        <f t="shared" si="74"/>
        <v>X</v>
      </c>
      <c r="B403" s="17">
        <f t="shared" si="75"/>
        <v>0</v>
      </c>
      <c r="C403" s="17">
        <v>73</v>
      </c>
      <c r="O403" s="17" t="str">
        <f t="shared" si="70"/>
        <v>X</v>
      </c>
      <c r="P403" s="17">
        <f t="shared" si="76"/>
        <v>0</v>
      </c>
      <c r="Q403" s="17">
        <v>73</v>
      </c>
      <c r="AB403" s="17" t="str">
        <f t="shared" si="71"/>
        <v>X</v>
      </c>
      <c r="AC403" s="17">
        <f t="shared" si="77"/>
        <v>0</v>
      </c>
      <c r="AD403" s="17">
        <v>73</v>
      </c>
      <c r="AP403" s="17" t="str">
        <f t="shared" si="72"/>
        <v>X</v>
      </c>
      <c r="AQ403" s="17">
        <f t="shared" si="78"/>
        <v>0</v>
      </c>
      <c r="AR403" s="17">
        <v>73</v>
      </c>
      <c r="BB403" s="17" t="str">
        <f t="shared" si="73"/>
        <v>X</v>
      </c>
      <c r="BC403" s="17">
        <f t="shared" si="79"/>
        <v>0</v>
      </c>
      <c r="BD403" s="17">
        <v>73</v>
      </c>
    </row>
    <row r="404" spans="1:56">
      <c r="A404" s="17" t="str">
        <f t="shared" si="74"/>
        <v>X</v>
      </c>
      <c r="B404" s="17">
        <f t="shared" si="75"/>
        <v>0</v>
      </c>
      <c r="C404" s="17">
        <v>74</v>
      </c>
      <c r="O404" s="17" t="str">
        <f t="shared" si="70"/>
        <v>X</v>
      </c>
      <c r="P404" s="17">
        <f t="shared" si="76"/>
        <v>0</v>
      </c>
      <c r="Q404" s="17">
        <v>74</v>
      </c>
      <c r="AB404" s="17" t="str">
        <f t="shared" si="71"/>
        <v>X</v>
      </c>
      <c r="AC404" s="17">
        <f t="shared" si="77"/>
        <v>0</v>
      </c>
      <c r="AD404" s="17">
        <v>74</v>
      </c>
      <c r="AP404" s="17" t="str">
        <f t="shared" si="72"/>
        <v>X</v>
      </c>
      <c r="AQ404" s="17">
        <f t="shared" si="78"/>
        <v>0</v>
      </c>
      <c r="AR404" s="17">
        <v>74</v>
      </c>
      <c r="BB404" s="17" t="str">
        <f t="shared" si="73"/>
        <v>X</v>
      </c>
      <c r="BC404" s="17">
        <f t="shared" si="79"/>
        <v>0</v>
      </c>
      <c r="BD404" s="17">
        <v>74</v>
      </c>
    </row>
    <row r="405" spans="1:56">
      <c r="A405" s="17" t="str">
        <f t="shared" si="74"/>
        <v>X</v>
      </c>
      <c r="B405" s="17">
        <f t="shared" si="75"/>
        <v>0</v>
      </c>
      <c r="C405" s="17">
        <v>75</v>
      </c>
      <c r="O405" s="17" t="str">
        <f t="shared" si="70"/>
        <v>X</v>
      </c>
      <c r="P405" s="17">
        <f t="shared" si="76"/>
        <v>0</v>
      </c>
      <c r="Q405" s="17">
        <v>75</v>
      </c>
      <c r="AB405" s="17" t="str">
        <f t="shared" si="71"/>
        <v>X</v>
      </c>
      <c r="AC405" s="17">
        <f t="shared" si="77"/>
        <v>0</v>
      </c>
      <c r="AD405" s="17">
        <v>75</v>
      </c>
      <c r="AP405" s="17" t="str">
        <f t="shared" si="72"/>
        <v>X</v>
      </c>
      <c r="AQ405" s="17">
        <f t="shared" si="78"/>
        <v>0</v>
      </c>
      <c r="AR405" s="17">
        <v>75</v>
      </c>
      <c r="BB405" s="17" t="str">
        <f t="shared" si="73"/>
        <v>X</v>
      </c>
      <c r="BC405" s="17">
        <f t="shared" si="79"/>
        <v>0</v>
      </c>
      <c r="BD405" s="17">
        <v>75</v>
      </c>
    </row>
    <row r="406" spans="1:56">
      <c r="A406" s="17" t="str">
        <f t="shared" si="74"/>
        <v>X</v>
      </c>
      <c r="B406" s="17">
        <f t="shared" si="75"/>
        <v>0</v>
      </c>
      <c r="C406" s="17">
        <v>76</v>
      </c>
      <c r="O406" s="17" t="str">
        <f t="shared" si="70"/>
        <v>X</v>
      </c>
      <c r="P406" s="17">
        <f t="shared" si="76"/>
        <v>0</v>
      </c>
      <c r="Q406" s="17">
        <v>76</v>
      </c>
      <c r="AB406" s="17" t="str">
        <f t="shared" si="71"/>
        <v>X</v>
      </c>
      <c r="AC406" s="17">
        <f t="shared" si="77"/>
        <v>0</v>
      </c>
      <c r="AD406" s="17">
        <v>76</v>
      </c>
      <c r="AP406" s="17" t="str">
        <f t="shared" si="72"/>
        <v>X</v>
      </c>
      <c r="AQ406" s="17">
        <f t="shared" si="78"/>
        <v>0</v>
      </c>
      <c r="AR406" s="17">
        <v>76</v>
      </c>
      <c r="BB406" s="17" t="str">
        <f t="shared" si="73"/>
        <v>X</v>
      </c>
      <c r="BC406" s="17">
        <f t="shared" si="79"/>
        <v>0</v>
      </c>
      <c r="BD406" s="17">
        <v>76</v>
      </c>
    </row>
    <row r="407" spans="1:56">
      <c r="A407" s="17" t="str">
        <f t="shared" si="74"/>
        <v>X</v>
      </c>
      <c r="B407" s="17">
        <f t="shared" si="75"/>
        <v>0</v>
      </c>
      <c r="C407" s="17">
        <v>77</v>
      </c>
      <c r="O407" s="17" t="str">
        <f t="shared" si="70"/>
        <v>X</v>
      </c>
      <c r="P407" s="17">
        <f t="shared" si="76"/>
        <v>0</v>
      </c>
      <c r="Q407" s="17">
        <v>77</v>
      </c>
      <c r="AB407" s="17" t="str">
        <f t="shared" si="71"/>
        <v>X</v>
      </c>
      <c r="AC407" s="17">
        <f t="shared" si="77"/>
        <v>0</v>
      </c>
      <c r="AD407" s="17">
        <v>77</v>
      </c>
      <c r="AP407" s="17" t="str">
        <f t="shared" si="72"/>
        <v>X</v>
      </c>
      <c r="AQ407" s="17">
        <f t="shared" si="78"/>
        <v>0</v>
      </c>
      <c r="AR407" s="17">
        <v>77</v>
      </c>
      <c r="BB407" s="17" t="str">
        <f t="shared" si="73"/>
        <v>X</v>
      </c>
      <c r="BC407" s="17">
        <f t="shared" si="79"/>
        <v>0</v>
      </c>
      <c r="BD407" s="17">
        <v>77</v>
      </c>
    </row>
    <row r="408" spans="1:56">
      <c r="A408" s="17" t="str">
        <f t="shared" si="74"/>
        <v>X</v>
      </c>
      <c r="B408" s="17">
        <f t="shared" si="75"/>
        <v>0</v>
      </c>
      <c r="C408" s="17">
        <v>78</v>
      </c>
      <c r="O408" s="17" t="str">
        <f t="shared" si="70"/>
        <v>X</v>
      </c>
      <c r="P408" s="17">
        <f t="shared" si="76"/>
        <v>0</v>
      </c>
      <c r="Q408" s="17">
        <v>78</v>
      </c>
      <c r="AB408" s="17" t="str">
        <f t="shared" si="71"/>
        <v>X</v>
      </c>
      <c r="AC408" s="17">
        <f t="shared" si="77"/>
        <v>0</v>
      </c>
      <c r="AD408" s="17">
        <v>78</v>
      </c>
      <c r="AP408" s="17" t="str">
        <f t="shared" si="72"/>
        <v>X</v>
      </c>
      <c r="AQ408" s="17">
        <f t="shared" si="78"/>
        <v>0</v>
      </c>
      <c r="AR408" s="17">
        <v>78</v>
      </c>
      <c r="BB408" s="17" t="str">
        <f t="shared" si="73"/>
        <v>X</v>
      </c>
      <c r="BC408" s="17">
        <f t="shared" si="79"/>
        <v>0</v>
      </c>
      <c r="BD408" s="17">
        <v>78</v>
      </c>
    </row>
    <row r="409" spans="1:56">
      <c r="A409" s="17" t="str">
        <f t="shared" si="74"/>
        <v>X</v>
      </c>
      <c r="B409" s="17">
        <f t="shared" si="75"/>
        <v>0</v>
      </c>
      <c r="C409" s="17">
        <v>79</v>
      </c>
      <c r="O409" s="17" t="str">
        <f t="shared" si="70"/>
        <v>X</v>
      </c>
      <c r="P409" s="17">
        <f t="shared" si="76"/>
        <v>0</v>
      </c>
      <c r="Q409" s="17">
        <v>79</v>
      </c>
      <c r="AB409" s="17" t="str">
        <f t="shared" si="71"/>
        <v>X</v>
      </c>
      <c r="AC409" s="17">
        <f t="shared" si="77"/>
        <v>0</v>
      </c>
      <c r="AD409" s="17">
        <v>79</v>
      </c>
      <c r="AP409" s="17" t="str">
        <f t="shared" si="72"/>
        <v>X</v>
      </c>
      <c r="AQ409" s="17">
        <f t="shared" si="78"/>
        <v>0</v>
      </c>
      <c r="AR409" s="17">
        <v>79</v>
      </c>
      <c r="BB409" s="17" t="str">
        <f t="shared" si="73"/>
        <v>X</v>
      </c>
      <c r="BC409" s="17">
        <f t="shared" si="79"/>
        <v>0</v>
      </c>
      <c r="BD409" s="17">
        <v>79</v>
      </c>
    </row>
    <row r="410" spans="1:56">
      <c r="A410" s="17" t="str">
        <f t="shared" si="74"/>
        <v>X</v>
      </c>
      <c r="B410" s="17">
        <f t="shared" si="75"/>
        <v>0</v>
      </c>
      <c r="C410" s="17">
        <v>80</v>
      </c>
      <c r="O410" s="17" t="str">
        <f t="shared" si="70"/>
        <v>X</v>
      </c>
      <c r="P410" s="17">
        <f t="shared" si="76"/>
        <v>0</v>
      </c>
      <c r="Q410" s="17">
        <v>80</v>
      </c>
      <c r="AB410" s="17" t="str">
        <f t="shared" si="71"/>
        <v>X</v>
      </c>
      <c r="AC410" s="17">
        <f t="shared" si="77"/>
        <v>0</v>
      </c>
      <c r="AD410" s="17">
        <v>80</v>
      </c>
      <c r="AP410" s="17" t="str">
        <f t="shared" si="72"/>
        <v>X</v>
      </c>
      <c r="AQ410" s="17">
        <f t="shared" si="78"/>
        <v>0</v>
      </c>
      <c r="AR410" s="17">
        <v>80</v>
      </c>
      <c r="BB410" s="17" t="str">
        <f t="shared" si="73"/>
        <v>X</v>
      </c>
      <c r="BC410" s="17">
        <f t="shared" si="79"/>
        <v>0</v>
      </c>
      <c r="BD410" s="17">
        <v>80</v>
      </c>
    </row>
    <row r="411" spans="1:56">
      <c r="A411" s="17" t="str">
        <f t="shared" si="74"/>
        <v>X</v>
      </c>
      <c r="B411" s="17">
        <f t="shared" si="75"/>
        <v>0</v>
      </c>
      <c r="C411" s="17">
        <v>81</v>
      </c>
      <c r="O411" s="17" t="str">
        <f t="shared" si="70"/>
        <v>X</v>
      </c>
      <c r="P411" s="17">
        <f t="shared" si="76"/>
        <v>0</v>
      </c>
      <c r="Q411" s="17">
        <v>81</v>
      </c>
      <c r="AB411" s="17" t="str">
        <f t="shared" si="71"/>
        <v>X</v>
      </c>
      <c r="AC411" s="17">
        <f t="shared" si="77"/>
        <v>0</v>
      </c>
      <c r="AD411" s="17">
        <v>81</v>
      </c>
      <c r="AP411" s="17" t="str">
        <f t="shared" si="72"/>
        <v>X</v>
      </c>
      <c r="AQ411" s="17">
        <f t="shared" si="78"/>
        <v>0</v>
      </c>
      <c r="AR411" s="17">
        <v>81</v>
      </c>
      <c r="BB411" s="17" t="str">
        <f t="shared" si="73"/>
        <v>X</v>
      </c>
      <c r="BC411" s="17">
        <f t="shared" si="79"/>
        <v>0</v>
      </c>
      <c r="BD411" s="17">
        <v>81</v>
      </c>
    </row>
    <row r="412" spans="1:56">
      <c r="A412" s="17" t="str">
        <f t="shared" si="74"/>
        <v>X</v>
      </c>
      <c r="B412" s="17">
        <f t="shared" si="75"/>
        <v>0</v>
      </c>
      <c r="C412" s="17">
        <v>82</v>
      </c>
      <c r="O412" s="17" t="str">
        <f t="shared" si="70"/>
        <v>X</v>
      </c>
      <c r="P412" s="17">
        <f t="shared" si="76"/>
        <v>0</v>
      </c>
      <c r="Q412" s="17">
        <v>82</v>
      </c>
      <c r="AB412" s="17" t="str">
        <f t="shared" si="71"/>
        <v>X</v>
      </c>
      <c r="AC412" s="17">
        <f t="shared" si="77"/>
        <v>0</v>
      </c>
      <c r="AD412" s="17">
        <v>82</v>
      </c>
      <c r="AP412" s="17" t="str">
        <f t="shared" si="72"/>
        <v>X</v>
      </c>
      <c r="AQ412" s="17">
        <f t="shared" si="78"/>
        <v>0</v>
      </c>
      <c r="AR412" s="17">
        <v>82</v>
      </c>
      <c r="BB412" s="17" t="str">
        <f t="shared" si="73"/>
        <v>X</v>
      </c>
      <c r="BC412" s="17">
        <f t="shared" si="79"/>
        <v>0</v>
      </c>
      <c r="BD412" s="17">
        <v>82</v>
      </c>
    </row>
    <row r="413" spans="1:56">
      <c r="A413" s="17" t="str">
        <f t="shared" si="74"/>
        <v>X</v>
      </c>
      <c r="B413" s="17">
        <f t="shared" si="75"/>
        <v>0</v>
      </c>
      <c r="C413" s="17">
        <v>83</v>
      </c>
      <c r="O413" s="17" t="str">
        <f t="shared" si="70"/>
        <v>X</v>
      </c>
      <c r="P413" s="17">
        <f t="shared" si="76"/>
        <v>0</v>
      </c>
      <c r="Q413" s="17">
        <v>83</v>
      </c>
      <c r="AB413" s="17" t="str">
        <f t="shared" si="71"/>
        <v>X</v>
      </c>
      <c r="AC413" s="17">
        <f t="shared" si="77"/>
        <v>0</v>
      </c>
      <c r="AD413" s="17">
        <v>83</v>
      </c>
      <c r="AP413" s="17" t="str">
        <f t="shared" si="72"/>
        <v>X</v>
      </c>
      <c r="AQ413" s="17">
        <f t="shared" si="78"/>
        <v>0</v>
      </c>
      <c r="AR413" s="17">
        <v>83</v>
      </c>
      <c r="BB413" s="17" t="str">
        <f t="shared" si="73"/>
        <v>X</v>
      </c>
      <c r="BC413" s="17">
        <f t="shared" si="79"/>
        <v>0</v>
      </c>
      <c r="BD413" s="17">
        <v>83</v>
      </c>
    </row>
    <row r="414" spans="1:56">
      <c r="A414" s="17" t="str">
        <f t="shared" si="74"/>
        <v>X</v>
      </c>
      <c r="B414" s="17">
        <f t="shared" si="75"/>
        <v>0</v>
      </c>
      <c r="C414" s="17">
        <v>84</v>
      </c>
      <c r="O414" s="17" t="str">
        <f t="shared" si="70"/>
        <v>X</v>
      </c>
      <c r="P414" s="17">
        <f t="shared" si="76"/>
        <v>0</v>
      </c>
      <c r="Q414" s="17">
        <v>84</v>
      </c>
      <c r="AB414" s="17" t="str">
        <f t="shared" si="71"/>
        <v>X</v>
      </c>
      <c r="AC414" s="17">
        <f t="shared" si="77"/>
        <v>0</v>
      </c>
      <c r="AD414" s="17">
        <v>84</v>
      </c>
      <c r="AP414" s="17" t="str">
        <f t="shared" si="72"/>
        <v>X</v>
      </c>
      <c r="AQ414" s="17">
        <f t="shared" si="78"/>
        <v>0</v>
      </c>
      <c r="AR414" s="17">
        <v>84</v>
      </c>
      <c r="BB414" s="17" t="str">
        <f t="shared" si="73"/>
        <v>X</v>
      </c>
      <c r="BC414" s="17">
        <f t="shared" si="79"/>
        <v>0</v>
      </c>
      <c r="BD414" s="17">
        <v>84</v>
      </c>
    </row>
    <row r="415" spans="1:56">
      <c r="A415" s="17" t="str">
        <f t="shared" si="74"/>
        <v>X</v>
      </c>
      <c r="B415" s="17">
        <f t="shared" si="75"/>
        <v>0</v>
      </c>
      <c r="C415" s="17">
        <v>85</v>
      </c>
      <c r="O415" s="17" t="str">
        <f t="shared" si="70"/>
        <v>X</v>
      </c>
      <c r="P415" s="17">
        <f t="shared" si="76"/>
        <v>0</v>
      </c>
      <c r="Q415" s="17">
        <v>85</v>
      </c>
      <c r="AB415" s="17" t="str">
        <f t="shared" si="71"/>
        <v>X</v>
      </c>
      <c r="AC415" s="17">
        <f t="shared" si="77"/>
        <v>0</v>
      </c>
      <c r="AD415" s="17">
        <v>85</v>
      </c>
      <c r="AP415" s="17" t="str">
        <f t="shared" si="72"/>
        <v>X</v>
      </c>
      <c r="AQ415" s="17">
        <f t="shared" si="78"/>
        <v>0</v>
      </c>
      <c r="AR415" s="17">
        <v>85</v>
      </c>
      <c r="BB415" s="17" t="str">
        <f t="shared" si="73"/>
        <v>X</v>
      </c>
      <c r="BC415" s="17">
        <f t="shared" si="79"/>
        <v>0</v>
      </c>
      <c r="BD415" s="17">
        <v>85</v>
      </c>
    </row>
    <row r="416" spans="1:56">
      <c r="A416" s="17" t="str">
        <f t="shared" si="74"/>
        <v>X</v>
      </c>
      <c r="B416" s="17">
        <f t="shared" si="75"/>
        <v>0</v>
      </c>
      <c r="C416" s="17">
        <v>86</v>
      </c>
      <c r="O416" s="17" t="str">
        <f t="shared" si="70"/>
        <v>X</v>
      </c>
      <c r="P416" s="17">
        <f t="shared" si="76"/>
        <v>0</v>
      </c>
      <c r="Q416" s="17">
        <v>86</v>
      </c>
      <c r="AB416" s="17" t="str">
        <f t="shared" si="71"/>
        <v>X</v>
      </c>
      <c r="AC416" s="17">
        <f t="shared" si="77"/>
        <v>0</v>
      </c>
      <c r="AD416" s="17">
        <v>86</v>
      </c>
      <c r="AP416" s="17" t="str">
        <f t="shared" si="72"/>
        <v>X</v>
      </c>
      <c r="AQ416" s="17">
        <f t="shared" si="78"/>
        <v>0</v>
      </c>
      <c r="AR416" s="17">
        <v>86</v>
      </c>
      <c r="BB416" s="17" t="str">
        <f t="shared" si="73"/>
        <v>X</v>
      </c>
      <c r="BC416" s="17">
        <f t="shared" si="79"/>
        <v>0</v>
      </c>
      <c r="BD416" s="17">
        <v>86</v>
      </c>
    </row>
    <row r="417" spans="1:56">
      <c r="A417" s="17" t="str">
        <f t="shared" si="74"/>
        <v>X</v>
      </c>
      <c r="B417" s="17">
        <f t="shared" si="75"/>
        <v>0</v>
      </c>
      <c r="C417" s="17">
        <v>87</v>
      </c>
      <c r="O417" s="17" t="str">
        <f t="shared" si="70"/>
        <v>X</v>
      </c>
      <c r="P417" s="17">
        <f t="shared" si="76"/>
        <v>0</v>
      </c>
      <c r="Q417" s="17">
        <v>87</v>
      </c>
      <c r="AB417" s="17" t="str">
        <f t="shared" si="71"/>
        <v>X</v>
      </c>
      <c r="AC417" s="17">
        <f t="shared" si="77"/>
        <v>0</v>
      </c>
      <c r="AD417" s="17">
        <v>87</v>
      </c>
      <c r="AP417" s="17" t="str">
        <f t="shared" si="72"/>
        <v>X</v>
      </c>
      <c r="AQ417" s="17">
        <f t="shared" si="78"/>
        <v>0</v>
      </c>
      <c r="AR417" s="17">
        <v>87</v>
      </c>
      <c r="BB417" s="17" t="str">
        <f t="shared" si="73"/>
        <v>X</v>
      </c>
      <c r="BC417" s="17">
        <f t="shared" si="79"/>
        <v>0</v>
      </c>
      <c r="BD417" s="17">
        <v>87</v>
      </c>
    </row>
    <row r="418" spans="1:56">
      <c r="A418" s="17" t="str">
        <f t="shared" si="74"/>
        <v>X</v>
      </c>
      <c r="B418" s="17">
        <f t="shared" si="75"/>
        <v>0</v>
      </c>
      <c r="C418" s="17">
        <v>88</v>
      </c>
      <c r="O418" s="17" t="str">
        <f t="shared" si="70"/>
        <v>X</v>
      </c>
      <c r="P418" s="17">
        <f t="shared" si="76"/>
        <v>0</v>
      </c>
      <c r="Q418" s="17">
        <v>88</v>
      </c>
      <c r="AB418" s="17" t="str">
        <f t="shared" si="71"/>
        <v>X</v>
      </c>
      <c r="AC418" s="17">
        <f t="shared" si="77"/>
        <v>0</v>
      </c>
      <c r="AD418" s="17">
        <v>88</v>
      </c>
      <c r="AP418" s="17" t="str">
        <f t="shared" si="72"/>
        <v>X</v>
      </c>
      <c r="AQ418" s="17">
        <f t="shared" si="78"/>
        <v>0</v>
      </c>
      <c r="AR418" s="17">
        <v>88</v>
      </c>
      <c r="BB418" s="17" t="str">
        <f t="shared" si="73"/>
        <v>X</v>
      </c>
      <c r="BC418" s="17">
        <f t="shared" si="79"/>
        <v>0</v>
      </c>
      <c r="BD418" s="17">
        <v>88</v>
      </c>
    </row>
    <row r="419" spans="1:56">
      <c r="A419" s="17" t="str">
        <f t="shared" si="74"/>
        <v>X</v>
      </c>
      <c r="B419" s="17">
        <f t="shared" si="75"/>
        <v>0</v>
      </c>
      <c r="C419" s="17">
        <v>89</v>
      </c>
      <c r="O419" s="17" t="str">
        <f t="shared" si="70"/>
        <v>X</v>
      </c>
      <c r="P419" s="17">
        <f t="shared" si="76"/>
        <v>0</v>
      </c>
      <c r="Q419" s="17">
        <v>89</v>
      </c>
      <c r="AB419" s="17" t="str">
        <f t="shared" si="71"/>
        <v>X</v>
      </c>
      <c r="AC419" s="17">
        <f t="shared" si="77"/>
        <v>0</v>
      </c>
      <c r="AD419" s="17">
        <v>89</v>
      </c>
      <c r="AP419" s="17" t="str">
        <f t="shared" si="72"/>
        <v>X</v>
      </c>
      <c r="AQ419" s="17">
        <f t="shared" si="78"/>
        <v>0</v>
      </c>
      <c r="AR419" s="17">
        <v>89</v>
      </c>
      <c r="BB419" s="17" t="str">
        <f t="shared" si="73"/>
        <v>X</v>
      </c>
      <c r="BC419" s="17">
        <f t="shared" si="79"/>
        <v>0</v>
      </c>
      <c r="BD419" s="17">
        <v>89</v>
      </c>
    </row>
    <row r="420" spans="1:56">
      <c r="A420" s="17" t="str">
        <f t="shared" si="74"/>
        <v>X</v>
      </c>
      <c r="B420" s="17">
        <f t="shared" si="75"/>
        <v>0</v>
      </c>
      <c r="C420" s="17">
        <v>90</v>
      </c>
      <c r="O420" s="17" t="str">
        <f t="shared" si="70"/>
        <v>X</v>
      </c>
      <c r="P420" s="17">
        <f t="shared" si="76"/>
        <v>0</v>
      </c>
      <c r="Q420" s="17">
        <v>90</v>
      </c>
      <c r="AB420" s="17" t="str">
        <f t="shared" si="71"/>
        <v>X</v>
      </c>
      <c r="AC420" s="17">
        <f t="shared" si="77"/>
        <v>0</v>
      </c>
      <c r="AD420" s="17">
        <v>90</v>
      </c>
      <c r="AP420" s="17" t="str">
        <f t="shared" si="72"/>
        <v>X</v>
      </c>
      <c r="AQ420" s="17">
        <f t="shared" si="78"/>
        <v>0</v>
      </c>
      <c r="AR420" s="17">
        <v>90</v>
      </c>
      <c r="BB420" s="17" t="str">
        <f t="shared" si="73"/>
        <v>X</v>
      </c>
      <c r="BC420" s="17">
        <f t="shared" si="79"/>
        <v>0</v>
      </c>
      <c r="BD420" s="17">
        <v>90</v>
      </c>
    </row>
    <row r="421" spans="1:56">
      <c r="A421" s="17" t="str">
        <f t="shared" si="74"/>
        <v>X</v>
      </c>
      <c r="B421" s="17">
        <f t="shared" si="75"/>
        <v>0</v>
      </c>
      <c r="C421" s="17">
        <v>91</v>
      </c>
      <c r="O421" s="17" t="str">
        <f t="shared" si="70"/>
        <v>X</v>
      </c>
      <c r="P421" s="17">
        <f t="shared" si="76"/>
        <v>0</v>
      </c>
      <c r="Q421" s="17">
        <v>91</v>
      </c>
      <c r="AB421" s="17" t="str">
        <f t="shared" si="71"/>
        <v>X</v>
      </c>
      <c r="AC421" s="17">
        <f t="shared" si="77"/>
        <v>0</v>
      </c>
      <c r="AD421" s="17">
        <v>91</v>
      </c>
      <c r="AP421" s="17" t="str">
        <f t="shared" si="72"/>
        <v>X</v>
      </c>
      <c r="AQ421" s="17">
        <f t="shared" si="78"/>
        <v>0</v>
      </c>
      <c r="AR421" s="17">
        <v>91</v>
      </c>
      <c r="BB421" s="17" t="str">
        <f t="shared" si="73"/>
        <v>X</v>
      </c>
      <c r="BC421" s="17">
        <f t="shared" si="79"/>
        <v>0</v>
      </c>
      <c r="BD421" s="17">
        <v>91</v>
      </c>
    </row>
    <row r="422" spans="1:56">
      <c r="A422" s="17" t="str">
        <f t="shared" si="74"/>
        <v>X</v>
      </c>
      <c r="B422" s="17">
        <f t="shared" si="75"/>
        <v>0</v>
      </c>
      <c r="C422" s="17">
        <v>92</v>
      </c>
      <c r="O422" s="17" t="str">
        <f t="shared" si="70"/>
        <v>X</v>
      </c>
      <c r="P422" s="17">
        <f t="shared" si="76"/>
        <v>0</v>
      </c>
      <c r="Q422" s="17">
        <v>92</v>
      </c>
      <c r="AB422" s="17" t="str">
        <f t="shared" si="71"/>
        <v>X</v>
      </c>
      <c r="AC422" s="17">
        <f t="shared" si="77"/>
        <v>0</v>
      </c>
      <c r="AD422" s="17">
        <v>92</v>
      </c>
      <c r="AP422" s="17" t="str">
        <f t="shared" si="72"/>
        <v>X</v>
      </c>
      <c r="AQ422" s="17">
        <f t="shared" si="78"/>
        <v>0</v>
      </c>
      <c r="AR422" s="17">
        <v>92</v>
      </c>
      <c r="BB422" s="17" t="str">
        <f t="shared" si="73"/>
        <v>X</v>
      </c>
      <c r="BC422" s="17">
        <f t="shared" si="79"/>
        <v>0</v>
      </c>
      <c r="BD422" s="17">
        <v>92</v>
      </c>
    </row>
    <row r="423" spans="1:56">
      <c r="A423" s="17" t="str">
        <f t="shared" si="74"/>
        <v>X</v>
      </c>
      <c r="B423" s="17">
        <f t="shared" si="75"/>
        <v>0</v>
      </c>
      <c r="C423" s="17">
        <v>93</v>
      </c>
      <c r="O423" s="17" t="str">
        <f t="shared" si="70"/>
        <v>X</v>
      </c>
      <c r="P423" s="17">
        <f t="shared" si="76"/>
        <v>0</v>
      </c>
      <c r="Q423" s="17">
        <v>93</v>
      </c>
      <c r="AB423" s="17" t="str">
        <f t="shared" si="71"/>
        <v>X</v>
      </c>
      <c r="AC423" s="17">
        <f t="shared" si="77"/>
        <v>0</v>
      </c>
      <c r="AD423" s="17">
        <v>93</v>
      </c>
      <c r="AP423" s="17" t="str">
        <f t="shared" si="72"/>
        <v>X</v>
      </c>
      <c r="AQ423" s="17">
        <f t="shared" si="78"/>
        <v>0</v>
      </c>
      <c r="AR423" s="17">
        <v>93</v>
      </c>
      <c r="BB423" s="17" t="str">
        <f t="shared" si="73"/>
        <v>X</v>
      </c>
      <c r="BC423" s="17">
        <f t="shared" si="79"/>
        <v>0</v>
      </c>
      <c r="BD423" s="17">
        <v>93</v>
      </c>
    </row>
    <row r="424" spans="1:56">
      <c r="A424" s="17" t="str">
        <f t="shared" si="74"/>
        <v>X</v>
      </c>
      <c r="B424" s="17">
        <f t="shared" si="75"/>
        <v>0</v>
      </c>
      <c r="C424" s="17">
        <v>94</v>
      </c>
      <c r="O424" s="17" t="str">
        <f t="shared" ref="O424:O487" si="80">IF(P424&gt;0,"Q","X")</f>
        <v>X</v>
      </c>
      <c r="P424" s="17">
        <f t="shared" si="76"/>
        <v>0</v>
      </c>
      <c r="Q424" s="17">
        <v>94</v>
      </c>
      <c r="AB424" s="17" t="str">
        <f t="shared" ref="AB424:AB487" si="81">IF(AC424&gt;0,"Q","X")</f>
        <v>X</v>
      </c>
      <c r="AC424" s="17">
        <f t="shared" si="77"/>
        <v>0</v>
      </c>
      <c r="AD424" s="17">
        <v>94</v>
      </c>
      <c r="AP424" s="17" t="str">
        <f t="shared" ref="AP424:AP487" si="82">IF(AQ424&gt;0,"Q","X")</f>
        <v>X</v>
      </c>
      <c r="AQ424" s="17">
        <f t="shared" si="78"/>
        <v>0</v>
      </c>
      <c r="AR424" s="17">
        <v>94</v>
      </c>
      <c r="BB424" s="17" t="str">
        <f t="shared" ref="BB424:BB487" si="83">IF(BC424&gt;0,"Q","X")</f>
        <v>X</v>
      </c>
      <c r="BC424" s="17">
        <f t="shared" si="79"/>
        <v>0</v>
      </c>
      <c r="BD424" s="17">
        <v>94</v>
      </c>
    </row>
    <row r="425" spans="1:56">
      <c r="A425" s="17" t="str">
        <f t="shared" si="74"/>
        <v>X</v>
      </c>
      <c r="B425" s="17">
        <f t="shared" si="75"/>
        <v>0</v>
      </c>
      <c r="C425" s="17">
        <v>95</v>
      </c>
      <c r="O425" s="17" t="str">
        <f t="shared" si="80"/>
        <v>X</v>
      </c>
      <c r="P425" s="17">
        <f t="shared" si="76"/>
        <v>0</v>
      </c>
      <c r="Q425" s="17">
        <v>95</v>
      </c>
      <c r="AB425" s="17" t="str">
        <f t="shared" si="81"/>
        <v>X</v>
      </c>
      <c r="AC425" s="17">
        <f t="shared" si="77"/>
        <v>0</v>
      </c>
      <c r="AD425" s="17">
        <v>95</v>
      </c>
      <c r="AP425" s="17" t="str">
        <f t="shared" si="82"/>
        <v>X</v>
      </c>
      <c r="AQ425" s="17">
        <f t="shared" si="78"/>
        <v>0</v>
      </c>
      <c r="AR425" s="17">
        <v>95</v>
      </c>
      <c r="BB425" s="17" t="str">
        <f t="shared" si="83"/>
        <v>X</v>
      </c>
      <c r="BC425" s="17">
        <f t="shared" si="79"/>
        <v>0</v>
      </c>
      <c r="BD425" s="17">
        <v>95</v>
      </c>
    </row>
    <row r="426" spans="1:56">
      <c r="A426" s="17" t="str">
        <f t="shared" si="74"/>
        <v>X</v>
      </c>
      <c r="B426" s="17">
        <f t="shared" si="75"/>
        <v>0</v>
      </c>
      <c r="C426" s="17">
        <v>96</v>
      </c>
      <c r="O426" s="17" t="str">
        <f t="shared" si="80"/>
        <v>X</v>
      </c>
      <c r="P426" s="17">
        <f t="shared" si="76"/>
        <v>0</v>
      </c>
      <c r="Q426" s="17">
        <v>96</v>
      </c>
      <c r="AB426" s="17" t="str">
        <f t="shared" si="81"/>
        <v>X</v>
      </c>
      <c r="AC426" s="17">
        <f t="shared" si="77"/>
        <v>0</v>
      </c>
      <c r="AD426" s="17">
        <v>96</v>
      </c>
      <c r="AP426" s="17" t="str">
        <f t="shared" si="82"/>
        <v>X</v>
      </c>
      <c r="AQ426" s="17">
        <f t="shared" si="78"/>
        <v>0</v>
      </c>
      <c r="AR426" s="17">
        <v>96</v>
      </c>
      <c r="BB426" s="17" t="str">
        <f t="shared" si="83"/>
        <v>X</v>
      </c>
      <c r="BC426" s="17">
        <f t="shared" si="79"/>
        <v>0</v>
      </c>
      <c r="BD426" s="17">
        <v>96</v>
      </c>
    </row>
    <row r="427" spans="1:56">
      <c r="A427" s="17" t="str">
        <f t="shared" si="74"/>
        <v>X</v>
      </c>
      <c r="B427" s="17">
        <f t="shared" si="75"/>
        <v>0</v>
      </c>
      <c r="C427" s="17">
        <v>97</v>
      </c>
      <c r="O427" s="17" t="str">
        <f t="shared" si="80"/>
        <v>X</v>
      </c>
      <c r="P427" s="17">
        <f t="shared" si="76"/>
        <v>0</v>
      </c>
      <c r="Q427" s="17">
        <v>97</v>
      </c>
      <c r="AB427" s="17" t="str">
        <f t="shared" si="81"/>
        <v>X</v>
      </c>
      <c r="AC427" s="17">
        <f t="shared" si="77"/>
        <v>0</v>
      </c>
      <c r="AD427" s="17">
        <v>97</v>
      </c>
      <c r="AP427" s="17" t="str">
        <f t="shared" si="82"/>
        <v>X</v>
      </c>
      <c r="AQ427" s="17">
        <f t="shared" si="78"/>
        <v>0</v>
      </c>
      <c r="AR427" s="17">
        <v>97</v>
      </c>
      <c r="BB427" s="17" t="str">
        <f t="shared" si="83"/>
        <v>X</v>
      </c>
      <c r="BC427" s="17">
        <f t="shared" si="79"/>
        <v>0</v>
      </c>
      <c r="BD427" s="17">
        <v>97</v>
      </c>
    </row>
    <row r="428" spans="1:56">
      <c r="A428" s="17" t="str">
        <f t="shared" si="74"/>
        <v>X</v>
      </c>
      <c r="B428" s="17">
        <f t="shared" si="75"/>
        <v>0</v>
      </c>
      <c r="C428" s="17">
        <v>98</v>
      </c>
      <c r="O428" s="17" t="str">
        <f t="shared" si="80"/>
        <v>X</v>
      </c>
      <c r="P428" s="17">
        <f t="shared" si="76"/>
        <v>0</v>
      </c>
      <c r="Q428" s="17">
        <v>98</v>
      </c>
      <c r="AB428" s="17" t="str">
        <f t="shared" si="81"/>
        <v>X</v>
      </c>
      <c r="AC428" s="17">
        <f t="shared" si="77"/>
        <v>0</v>
      </c>
      <c r="AD428" s="17">
        <v>98</v>
      </c>
      <c r="AP428" s="17" t="str">
        <f t="shared" si="82"/>
        <v>X</v>
      </c>
      <c r="AQ428" s="17">
        <f t="shared" si="78"/>
        <v>0</v>
      </c>
      <c r="AR428" s="17">
        <v>98</v>
      </c>
      <c r="BB428" s="17" t="str">
        <f t="shared" si="83"/>
        <v>X</v>
      </c>
      <c r="BC428" s="17">
        <f t="shared" si="79"/>
        <v>0</v>
      </c>
      <c r="BD428" s="17">
        <v>98</v>
      </c>
    </row>
    <row r="429" spans="1:56">
      <c r="A429" s="17" t="str">
        <f t="shared" si="74"/>
        <v>X</v>
      </c>
      <c r="B429" s="17">
        <f t="shared" si="75"/>
        <v>0</v>
      </c>
      <c r="C429" s="17">
        <v>99</v>
      </c>
      <c r="O429" s="17" t="str">
        <f t="shared" si="80"/>
        <v>X</v>
      </c>
      <c r="P429" s="17">
        <f t="shared" si="76"/>
        <v>0</v>
      </c>
      <c r="Q429" s="17">
        <v>99</v>
      </c>
      <c r="AB429" s="17" t="str">
        <f t="shared" si="81"/>
        <v>X</v>
      </c>
      <c r="AC429" s="17">
        <f t="shared" si="77"/>
        <v>0</v>
      </c>
      <c r="AD429" s="17">
        <v>99</v>
      </c>
      <c r="AP429" s="17" t="str">
        <f t="shared" si="82"/>
        <v>X</v>
      </c>
      <c r="AQ429" s="17">
        <f t="shared" si="78"/>
        <v>0</v>
      </c>
      <c r="AR429" s="17">
        <v>99</v>
      </c>
      <c r="BB429" s="17" t="str">
        <f t="shared" si="83"/>
        <v>X</v>
      </c>
      <c r="BC429" s="17">
        <f t="shared" si="79"/>
        <v>0</v>
      </c>
      <c r="BD429" s="17">
        <v>99</v>
      </c>
    </row>
    <row r="430" spans="1:56">
      <c r="A430" s="17" t="str">
        <f t="shared" si="74"/>
        <v>X</v>
      </c>
      <c r="B430" s="17">
        <f t="shared" si="75"/>
        <v>0</v>
      </c>
      <c r="C430" s="17">
        <v>100</v>
      </c>
      <c r="O430" s="17" t="str">
        <f t="shared" si="80"/>
        <v>X</v>
      </c>
      <c r="P430" s="17">
        <f t="shared" si="76"/>
        <v>0</v>
      </c>
      <c r="Q430" s="17">
        <v>100</v>
      </c>
      <c r="AB430" s="17" t="str">
        <f t="shared" si="81"/>
        <v>X</v>
      </c>
      <c r="AC430" s="17">
        <f t="shared" si="77"/>
        <v>0</v>
      </c>
      <c r="AD430" s="17">
        <v>100</v>
      </c>
      <c r="AP430" s="17" t="str">
        <f t="shared" si="82"/>
        <v>X</v>
      </c>
      <c r="AQ430" s="17">
        <f t="shared" si="78"/>
        <v>0</v>
      </c>
      <c r="AR430" s="17">
        <v>100</v>
      </c>
      <c r="BB430" s="17" t="str">
        <f t="shared" si="83"/>
        <v>X</v>
      </c>
      <c r="BC430" s="17">
        <f t="shared" si="79"/>
        <v>0</v>
      </c>
      <c r="BD430" s="17">
        <v>100</v>
      </c>
    </row>
    <row r="431" spans="1:56">
      <c r="A431" s="17" t="str">
        <f t="shared" si="74"/>
        <v>X</v>
      </c>
      <c r="B431" s="17">
        <f t="shared" si="75"/>
        <v>0</v>
      </c>
      <c r="C431" s="17">
        <v>101</v>
      </c>
      <c r="O431" s="17" t="str">
        <f t="shared" si="80"/>
        <v>X</v>
      </c>
      <c r="P431" s="17">
        <f t="shared" si="76"/>
        <v>0</v>
      </c>
      <c r="Q431" s="17">
        <v>101</v>
      </c>
      <c r="AB431" s="17" t="str">
        <f t="shared" si="81"/>
        <v>X</v>
      </c>
      <c r="AC431" s="17">
        <f t="shared" si="77"/>
        <v>0</v>
      </c>
      <c r="AD431" s="17">
        <v>101</v>
      </c>
      <c r="AP431" s="17" t="str">
        <f t="shared" si="82"/>
        <v>X</v>
      </c>
      <c r="AQ431" s="17">
        <f t="shared" si="78"/>
        <v>0</v>
      </c>
      <c r="AR431" s="17">
        <v>101</v>
      </c>
      <c r="BB431" s="17" t="str">
        <f t="shared" si="83"/>
        <v>X</v>
      </c>
      <c r="BC431" s="17">
        <f t="shared" si="79"/>
        <v>0</v>
      </c>
      <c r="BD431" s="17">
        <v>101</v>
      </c>
    </row>
    <row r="432" spans="1:56">
      <c r="A432" s="17" t="str">
        <f t="shared" si="74"/>
        <v>X</v>
      </c>
      <c r="B432" s="17">
        <f t="shared" si="75"/>
        <v>0</v>
      </c>
      <c r="C432" s="17">
        <v>102</v>
      </c>
      <c r="O432" s="17" t="str">
        <f t="shared" si="80"/>
        <v>X</v>
      </c>
      <c r="P432" s="17">
        <f t="shared" si="76"/>
        <v>0</v>
      </c>
      <c r="Q432" s="17">
        <v>102</v>
      </c>
      <c r="AB432" s="17" t="str">
        <f t="shared" si="81"/>
        <v>X</v>
      </c>
      <c r="AC432" s="17">
        <f t="shared" si="77"/>
        <v>0</v>
      </c>
      <c r="AD432" s="17">
        <v>102</v>
      </c>
      <c r="AP432" s="17" t="str">
        <f t="shared" si="82"/>
        <v>X</v>
      </c>
      <c r="AQ432" s="17">
        <f t="shared" si="78"/>
        <v>0</v>
      </c>
      <c r="AR432" s="17">
        <v>102</v>
      </c>
      <c r="BB432" s="17" t="str">
        <f t="shared" si="83"/>
        <v>X</v>
      </c>
      <c r="BC432" s="17">
        <f t="shared" si="79"/>
        <v>0</v>
      </c>
      <c r="BD432" s="17">
        <v>102</v>
      </c>
    </row>
    <row r="433" spans="1:56">
      <c r="A433" s="17" t="str">
        <f t="shared" si="74"/>
        <v>X</v>
      </c>
      <c r="B433" s="17">
        <f t="shared" si="75"/>
        <v>0</v>
      </c>
      <c r="C433" s="17">
        <v>103</v>
      </c>
      <c r="O433" s="17" t="str">
        <f t="shared" si="80"/>
        <v>X</v>
      </c>
      <c r="P433" s="17">
        <f t="shared" si="76"/>
        <v>0</v>
      </c>
      <c r="Q433" s="17">
        <v>103</v>
      </c>
      <c r="AB433" s="17" t="str">
        <f t="shared" si="81"/>
        <v>X</v>
      </c>
      <c r="AC433" s="17">
        <f t="shared" si="77"/>
        <v>0</v>
      </c>
      <c r="AD433" s="17">
        <v>103</v>
      </c>
      <c r="AP433" s="17" t="str">
        <f t="shared" si="82"/>
        <v>X</v>
      </c>
      <c r="AQ433" s="17">
        <f t="shared" si="78"/>
        <v>0</v>
      </c>
      <c r="AR433" s="17">
        <v>103</v>
      </c>
      <c r="BB433" s="17" t="str">
        <f t="shared" si="83"/>
        <v>X</v>
      </c>
      <c r="BC433" s="17">
        <f t="shared" si="79"/>
        <v>0</v>
      </c>
      <c r="BD433" s="17">
        <v>103</v>
      </c>
    </row>
    <row r="434" spans="1:56">
      <c r="A434" s="17" t="str">
        <f t="shared" si="74"/>
        <v>X</v>
      </c>
      <c r="B434" s="17">
        <f t="shared" si="75"/>
        <v>0</v>
      </c>
      <c r="C434" s="17">
        <v>104</v>
      </c>
      <c r="O434" s="17" t="str">
        <f t="shared" si="80"/>
        <v>X</v>
      </c>
      <c r="P434" s="17">
        <f t="shared" si="76"/>
        <v>0</v>
      </c>
      <c r="Q434" s="17">
        <v>104</v>
      </c>
      <c r="AB434" s="17" t="str">
        <f t="shared" si="81"/>
        <v>X</v>
      </c>
      <c r="AC434" s="17">
        <f t="shared" si="77"/>
        <v>0</v>
      </c>
      <c r="AD434" s="17">
        <v>104</v>
      </c>
      <c r="AP434" s="17" t="str">
        <f t="shared" si="82"/>
        <v>X</v>
      </c>
      <c r="AQ434" s="17">
        <f t="shared" si="78"/>
        <v>0</v>
      </c>
      <c r="AR434" s="17">
        <v>104</v>
      </c>
      <c r="BB434" s="17" t="str">
        <f t="shared" si="83"/>
        <v>X</v>
      </c>
      <c r="BC434" s="17">
        <f t="shared" si="79"/>
        <v>0</v>
      </c>
      <c r="BD434" s="17">
        <v>104</v>
      </c>
    </row>
    <row r="435" spans="1:56">
      <c r="A435" s="17" t="str">
        <f t="shared" si="74"/>
        <v>X</v>
      </c>
      <c r="B435" s="17">
        <f t="shared" si="75"/>
        <v>0</v>
      </c>
      <c r="C435" s="17">
        <v>105</v>
      </c>
      <c r="O435" s="17" t="str">
        <f t="shared" si="80"/>
        <v>X</v>
      </c>
      <c r="P435" s="17">
        <f t="shared" si="76"/>
        <v>0</v>
      </c>
      <c r="Q435" s="17">
        <v>105</v>
      </c>
      <c r="AB435" s="17" t="str">
        <f t="shared" si="81"/>
        <v>X</v>
      </c>
      <c r="AC435" s="17">
        <f t="shared" si="77"/>
        <v>0</v>
      </c>
      <c r="AD435" s="17">
        <v>105</v>
      </c>
      <c r="AP435" s="17" t="str">
        <f t="shared" si="82"/>
        <v>X</v>
      </c>
      <c r="AQ435" s="17">
        <f t="shared" si="78"/>
        <v>0</v>
      </c>
      <c r="AR435" s="17">
        <v>105</v>
      </c>
      <c r="BB435" s="17" t="str">
        <f t="shared" si="83"/>
        <v>X</v>
      </c>
      <c r="BC435" s="17">
        <f t="shared" si="79"/>
        <v>0</v>
      </c>
      <c r="BD435" s="17">
        <v>105</v>
      </c>
    </row>
    <row r="436" spans="1:56">
      <c r="A436" s="17" t="str">
        <f t="shared" si="74"/>
        <v>X</v>
      </c>
      <c r="B436" s="17">
        <f t="shared" si="75"/>
        <v>0</v>
      </c>
      <c r="C436" s="17">
        <v>106</v>
      </c>
      <c r="O436" s="17" t="str">
        <f t="shared" si="80"/>
        <v>X</v>
      </c>
      <c r="P436" s="17">
        <f t="shared" si="76"/>
        <v>0</v>
      </c>
      <c r="Q436" s="17">
        <v>106</v>
      </c>
      <c r="AB436" s="17" t="str">
        <f t="shared" si="81"/>
        <v>X</v>
      </c>
      <c r="AC436" s="17">
        <f t="shared" si="77"/>
        <v>0</v>
      </c>
      <c r="AD436" s="17">
        <v>106</v>
      </c>
      <c r="AP436" s="17" t="str">
        <f t="shared" si="82"/>
        <v>X</v>
      </c>
      <c r="AQ436" s="17">
        <f t="shared" si="78"/>
        <v>0</v>
      </c>
      <c r="AR436" s="17">
        <v>106</v>
      </c>
      <c r="BB436" s="17" t="str">
        <f t="shared" si="83"/>
        <v>X</v>
      </c>
      <c r="BC436" s="17">
        <f t="shared" si="79"/>
        <v>0</v>
      </c>
      <c r="BD436" s="17">
        <v>106</v>
      </c>
    </row>
    <row r="437" spans="1:56">
      <c r="A437" s="17" t="str">
        <f t="shared" si="74"/>
        <v>X</v>
      </c>
      <c r="B437" s="17">
        <f t="shared" si="75"/>
        <v>0</v>
      </c>
      <c r="C437" s="17">
        <v>107</v>
      </c>
      <c r="O437" s="17" t="str">
        <f t="shared" si="80"/>
        <v>X</v>
      </c>
      <c r="P437" s="17">
        <f t="shared" si="76"/>
        <v>0</v>
      </c>
      <c r="Q437" s="17">
        <v>107</v>
      </c>
      <c r="AB437" s="17" t="str">
        <f t="shared" si="81"/>
        <v>X</v>
      </c>
      <c r="AC437" s="17">
        <f t="shared" si="77"/>
        <v>0</v>
      </c>
      <c r="AD437" s="17">
        <v>107</v>
      </c>
      <c r="AP437" s="17" t="str">
        <f t="shared" si="82"/>
        <v>X</v>
      </c>
      <c r="AQ437" s="17">
        <f t="shared" si="78"/>
        <v>0</v>
      </c>
      <c r="AR437" s="17">
        <v>107</v>
      </c>
      <c r="BB437" s="17" t="str">
        <f t="shared" si="83"/>
        <v>X</v>
      </c>
      <c r="BC437" s="17">
        <f t="shared" si="79"/>
        <v>0</v>
      </c>
      <c r="BD437" s="17">
        <v>107</v>
      </c>
    </row>
    <row r="438" spans="1:56">
      <c r="A438" s="17" t="str">
        <f t="shared" si="74"/>
        <v>X</v>
      </c>
      <c r="B438" s="17">
        <f t="shared" si="75"/>
        <v>0</v>
      </c>
      <c r="C438" s="17">
        <v>108</v>
      </c>
      <c r="O438" s="17" t="str">
        <f t="shared" si="80"/>
        <v>X</v>
      </c>
      <c r="P438" s="17">
        <f t="shared" si="76"/>
        <v>0</v>
      </c>
      <c r="Q438" s="17">
        <v>108</v>
      </c>
      <c r="AB438" s="17" t="str">
        <f t="shared" si="81"/>
        <v>X</v>
      </c>
      <c r="AC438" s="17">
        <f t="shared" si="77"/>
        <v>0</v>
      </c>
      <c r="AD438" s="17">
        <v>108</v>
      </c>
      <c r="AP438" s="17" t="str">
        <f t="shared" si="82"/>
        <v>X</v>
      </c>
      <c r="AQ438" s="17">
        <f t="shared" si="78"/>
        <v>0</v>
      </c>
      <c r="AR438" s="17">
        <v>108</v>
      </c>
      <c r="BB438" s="17" t="str">
        <f t="shared" si="83"/>
        <v>X</v>
      </c>
      <c r="BC438" s="17">
        <f t="shared" si="79"/>
        <v>0</v>
      </c>
      <c r="BD438" s="17">
        <v>108</v>
      </c>
    </row>
    <row r="439" spans="1:56">
      <c r="A439" s="17" t="str">
        <f t="shared" si="74"/>
        <v>X</v>
      </c>
      <c r="B439" s="17">
        <f t="shared" si="75"/>
        <v>0</v>
      </c>
      <c r="C439" s="17">
        <v>109</v>
      </c>
      <c r="O439" s="17" t="str">
        <f t="shared" si="80"/>
        <v>X</v>
      </c>
      <c r="P439" s="17">
        <f t="shared" si="76"/>
        <v>0</v>
      </c>
      <c r="Q439" s="17">
        <v>109</v>
      </c>
      <c r="AB439" s="17" t="str">
        <f t="shared" si="81"/>
        <v>X</v>
      </c>
      <c r="AC439" s="17">
        <f t="shared" si="77"/>
        <v>0</v>
      </c>
      <c r="AD439" s="17">
        <v>109</v>
      </c>
      <c r="AP439" s="17" t="str">
        <f t="shared" si="82"/>
        <v>X</v>
      </c>
      <c r="AQ439" s="17">
        <f t="shared" si="78"/>
        <v>0</v>
      </c>
      <c r="AR439" s="17">
        <v>109</v>
      </c>
      <c r="BB439" s="17" t="str">
        <f t="shared" si="83"/>
        <v>X</v>
      </c>
      <c r="BC439" s="17">
        <f t="shared" si="79"/>
        <v>0</v>
      </c>
      <c r="BD439" s="17">
        <v>109</v>
      </c>
    </row>
    <row r="440" spans="1:56">
      <c r="A440" s="17" t="str">
        <f t="shared" si="74"/>
        <v>X</v>
      </c>
      <c r="B440" s="17">
        <f t="shared" si="75"/>
        <v>0</v>
      </c>
      <c r="C440" s="17">
        <v>110</v>
      </c>
      <c r="O440" s="17" t="str">
        <f t="shared" si="80"/>
        <v>X</v>
      </c>
      <c r="P440" s="17">
        <f t="shared" si="76"/>
        <v>0</v>
      </c>
      <c r="Q440" s="17">
        <v>110</v>
      </c>
      <c r="AB440" s="17" t="str">
        <f t="shared" si="81"/>
        <v>X</v>
      </c>
      <c r="AC440" s="17">
        <f t="shared" si="77"/>
        <v>0</v>
      </c>
      <c r="AD440" s="17">
        <v>110</v>
      </c>
      <c r="AP440" s="17" t="str">
        <f t="shared" si="82"/>
        <v>X</v>
      </c>
      <c r="AQ440" s="17">
        <f t="shared" si="78"/>
        <v>0</v>
      </c>
      <c r="AR440" s="17">
        <v>110</v>
      </c>
      <c r="BB440" s="17" t="str">
        <f t="shared" si="83"/>
        <v>X</v>
      </c>
      <c r="BC440" s="17">
        <f t="shared" si="79"/>
        <v>0</v>
      </c>
      <c r="BD440" s="17">
        <v>110</v>
      </c>
    </row>
    <row r="441" spans="1:56">
      <c r="A441" s="17" t="str">
        <f t="shared" si="74"/>
        <v>X</v>
      </c>
      <c r="B441" s="17">
        <f t="shared" si="75"/>
        <v>0</v>
      </c>
      <c r="C441" s="17">
        <v>111</v>
      </c>
      <c r="O441" s="17" t="str">
        <f t="shared" si="80"/>
        <v>X</v>
      </c>
      <c r="P441" s="17">
        <f t="shared" si="76"/>
        <v>0</v>
      </c>
      <c r="Q441" s="17">
        <v>111</v>
      </c>
      <c r="AB441" s="17" t="str">
        <f t="shared" si="81"/>
        <v>X</v>
      </c>
      <c r="AC441" s="17">
        <f t="shared" si="77"/>
        <v>0</v>
      </c>
      <c r="AD441" s="17">
        <v>111</v>
      </c>
      <c r="AP441" s="17" t="str">
        <f t="shared" si="82"/>
        <v>X</v>
      </c>
      <c r="AQ441" s="17">
        <f t="shared" si="78"/>
        <v>0</v>
      </c>
      <c r="AR441" s="17">
        <v>111</v>
      </c>
      <c r="BB441" s="17" t="str">
        <f t="shared" si="83"/>
        <v>X</v>
      </c>
      <c r="BC441" s="17">
        <f t="shared" si="79"/>
        <v>0</v>
      </c>
      <c r="BD441" s="17">
        <v>111</v>
      </c>
    </row>
    <row r="442" spans="1:56">
      <c r="A442" s="17" t="str">
        <f t="shared" si="74"/>
        <v>X</v>
      </c>
      <c r="B442" s="17">
        <f t="shared" si="75"/>
        <v>0</v>
      </c>
      <c r="C442" s="17">
        <v>112</v>
      </c>
      <c r="O442" s="17" t="str">
        <f t="shared" si="80"/>
        <v>X</v>
      </c>
      <c r="P442" s="17">
        <f t="shared" si="76"/>
        <v>0</v>
      </c>
      <c r="Q442" s="17">
        <v>112</v>
      </c>
      <c r="AB442" s="17" t="str">
        <f t="shared" si="81"/>
        <v>X</v>
      </c>
      <c r="AC442" s="17">
        <f t="shared" si="77"/>
        <v>0</v>
      </c>
      <c r="AD442" s="17">
        <v>112</v>
      </c>
      <c r="AP442" s="17" t="str">
        <f t="shared" si="82"/>
        <v>X</v>
      </c>
      <c r="AQ442" s="17">
        <f t="shared" si="78"/>
        <v>0</v>
      </c>
      <c r="AR442" s="17">
        <v>112</v>
      </c>
      <c r="BB442" s="17" t="str">
        <f t="shared" si="83"/>
        <v>X</v>
      </c>
      <c r="BC442" s="17">
        <f t="shared" si="79"/>
        <v>0</v>
      </c>
      <c r="BD442" s="17">
        <v>112</v>
      </c>
    </row>
    <row r="443" spans="1:56">
      <c r="A443" s="17" t="str">
        <f t="shared" ref="A443:A491" si="84">IF(B443&gt;0,"Q","X")</f>
        <v>X</v>
      </c>
      <c r="B443" s="17">
        <f t="shared" si="75"/>
        <v>0</v>
      </c>
      <c r="C443" s="17">
        <v>113</v>
      </c>
      <c r="O443" s="17" t="str">
        <f t="shared" si="80"/>
        <v>X</v>
      </c>
      <c r="P443" s="17">
        <f t="shared" si="76"/>
        <v>0</v>
      </c>
      <c r="Q443" s="17">
        <v>113</v>
      </c>
      <c r="AB443" s="17" t="str">
        <f t="shared" si="81"/>
        <v>X</v>
      </c>
      <c r="AC443" s="17">
        <f t="shared" si="77"/>
        <v>0</v>
      </c>
      <c r="AD443" s="17">
        <v>113</v>
      </c>
      <c r="AP443" s="17" t="str">
        <f t="shared" si="82"/>
        <v>X</v>
      </c>
      <c r="AQ443" s="17">
        <f t="shared" si="78"/>
        <v>0</v>
      </c>
      <c r="AR443" s="17">
        <v>113</v>
      </c>
      <c r="BB443" s="17" t="str">
        <f t="shared" si="83"/>
        <v>X</v>
      </c>
      <c r="BC443" s="17">
        <f t="shared" si="79"/>
        <v>0</v>
      </c>
      <c r="BD443" s="17">
        <v>113</v>
      </c>
    </row>
    <row r="444" spans="1:56">
      <c r="A444" s="17" t="str">
        <f t="shared" si="84"/>
        <v>X</v>
      </c>
      <c r="B444" s="17">
        <f t="shared" si="75"/>
        <v>0</v>
      </c>
      <c r="C444" s="17">
        <v>114</v>
      </c>
      <c r="O444" s="17" t="str">
        <f t="shared" si="80"/>
        <v>X</v>
      </c>
      <c r="P444" s="17">
        <f t="shared" si="76"/>
        <v>0</v>
      </c>
      <c r="Q444" s="17">
        <v>114</v>
      </c>
      <c r="AB444" s="17" t="str">
        <f t="shared" si="81"/>
        <v>X</v>
      </c>
      <c r="AC444" s="17">
        <f t="shared" si="77"/>
        <v>0</v>
      </c>
      <c r="AD444" s="17">
        <v>114</v>
      </c>
      <c r="AP444" s="17" t="str">
        <f t="shared" si="82"/>
        <v>X</v>
      </c>
      <c r="AQ444" s="17">
        <f t="shared" si="78"/>
        <v>0</v>
      </c>
      <c r="AR444" s="17">
        <v>114</v>
      </c>
      <c r="BB444" s="17" t="str">
        <f t="shared" si="83"/>
        <v>X</v>
      </c>
      <c r="BC444" s="17">
        <f t="shared" si="79"/>
        <v>0</v>
      </c>
      <c r="BD444" s="17">
        <v>114</v>
      </c>
    </row>
    <row r="445" spans="1:56">
      <c r="A445" s="17" t="str">
        <f t="shared" si="84"/>
        <v>X</v>
      </c>
      <c r="B445" s="17">
        <f t="shared" si="75"/>
        <v>0</v>
      </c>
      <c r="C445" s="17">
        <v>115</v>
      </c>
      <c r="O445" s="17" t="str">
        <f t="shared" si="80"/>
        <v>X</v>
      </c>
      <c r="P445" s="17">
        <f t="shared" si="76"/>
        <v>0</v>
      </c>
      <c r="Q445" s="17">
        <v>115</v>
      </c>
      <c r="AB445" s="17" t="str">
        <f t="shared" si="81"/>
        <v>X</v>
      </c>
      <c r="AC445" s="17">
        <f t="shared" si="77"/>
        <v>0</v>
      </c>
      <c r="AD445" s="17">
        <v>115</v>
      </c>
      <c r="AP445" s="17" t="str">
        <f t="shared" si="82"/>
        <v>X</v>
      </c>
      <c r="AQ445" s="17">
        <f t="shared" si="78"/>
        <v>0</v>
      </c>
      <c r="AR445" s="17">
        <v>115</v>
      </c>
      <c r="BB445" s="17" t="str">
        <f t="shared" si="83"/>
        <v>X</v>
      </c>
      <c r="BC445" s="17">
        <f t="shared" si="79"/>
        <v>0</v>
      </c>
      <c r="BD445" s="17">
        <v>115</v>
      </c>
    </row>
    <row r="446" spans="1:56">
      <c r="A446" s="17" t="str">
        <f t="shared" si="84"/>
        <v>X</v>
      </c>
      <c r="B446" s="17">
        <f t="shared" si="75"/>
        <v>0</v>
      </c>
      <c r="C446" s="17">
        <v>116</v>
      </c>
      <c r="O446" s="17" t="str">
        <f t="shared" si="80"/>
        <v>X</v>
      </c>
      <c r="P446" s="17">
        <f t="shared" si="76"/>
        <v>0</v>
      </c>
      <c r="Q446" s="17">
        <v>116</v>
      </c>
      <c r="AB446" s="17" t="str">
        <f t="shared" si="81"/>
        <v>X</v>
      </c>
      <c r="AC446" s="17">
        <f t="shared" si="77"/>
        <v>0</v>
      </c>
      <c r="AD446" s="17">
        <v>116</v>
      </c>
      <c r="AP446" s="17" t="str">
        <f t="shared" si="82"/>
        <v>X</v>
      </c>
      <c r="AQ446" s="17">
        <f t="shared" si="78"/>
        <v>0</v>
      </c>
      <c r="AR446" s="17">
        <v>116</v>
      </c>
      <c r="BB446" s="17" t="str">
        <f t="shared" si="83"/>
        <v>X</v>
      </c>
      <c r="BC446" s="17">
        <f t="shared" si="79"/>
        <v>0</v>
      </c>
      <c r="BD446" s="17">
        <v>116</v>
      </c>
    </row>
    <row r="447" spans="1:56">
      <c r="A447" s="17" t="str">
        <f t="shared" si="84"/>
        <v>X</v>
      </c>
      <c r="B447" s="17">
        <f t="shared" si="75"/>
        <v>0</v>
      </c>
      <c r="C447" s="17">
        <v>117</v>
      </c>
      <c r="O447" s="17" t="str">
        <f t="shared" si="80"/>
        <v>X</v>
      </c>
      <c r="P447" s="17">
        <f t="shared" si="76"/>
        <v>0</v>
      </c>
      <c r="Q447" s="17">
        <v>117</v>
      </c>
      <c r="AB447" s="17" t="str">
        <f t="shared" si="81"/>
        <v>X</v>
      </c>
      <c r="AC447" s="17">
        <f t="shared" si="77"/>
        <v>0</v>
      </c>
      <c r="AD447" s="17">
        <v>117</v>
      </c>
      <c r="AP447" s="17" t="str">
        <f t="shared" si="82"/>
        <v>X</v>
      </c>
      <c r="AQ447" s="17">
        <f t="shared" si="78"/>
        <v>0</v>
      </c>
      <c r="AR447" s="17">
        <v>117</v>
      </c>
      <c r="BB447" s="17" t="str">
        <f t="shared" si="83"/>
        <v>X</v>
      </c>
      <c r="BC447" s="17">
        <f t="shared" si="79"/>
        <v>0</v>
      </c>
      <c r="BD447" s="17">
        <v>117</v>
      </c>
    </row>
    <row r="448" spans="1:56">
      <c r="A448" s="17" t="str">
        <f t="shared" si="84"/>
        <v>X</v>
      </c>
      <c r="B448" s="17">
        <f t="shared" si="75"/>
        <v>0</v>
      </c>
      <c r="C448" s="17">
        <v>118</v>
      </c>
      <c r="O448" s="17" t="str">
        <f t="shared" si="80"/>
        <v>X</v>
      </c>
      <c r="P448" s="17">
        <f t="shared" si="76"/>
        <v>0</v>
      </c>
      <c r="Q448" s="17">
        <v>118</v>
      </c>
      <c r="AB448" s="17" t="str">
        <f t="shared" si="81"/>
        <v>X</v>
      </c>
      <c r="AC448" s="17">
        <f t="shared" si="77"/>
        <v>0</v>
      </c>
      <c r="AD448" s="17">
        <v>118</v>
      </c>
      <c r="AP448" s="17" t="str">
        <f t="shared" si="82"/>
        <v>X</v>
      </c>
      <c r="AQ448" s="17">
        <f t="shared" si="78"/>
        <v>0</v>
      </c>
      <c r="AR448" s="17">
        <v>118</v>
      </c>
      <c r="BB448" s="17" t="str">
        <f t="shared" si="83"/>
        <v>X</v>
      </c>
      <c r="BC448" s="17">
        <f t="shared" si="79"/>
        <v>0</v>
      </c>
      <c r="BD448" s="17">
        <v>118</v>
      </c>
    </row>
    <row r="449" spans="1:56">
      <c r="A449" s="17" t="str">
        <f t="shared" si="84"/>
        <v>X</v>
      </c>
      <c r="B449" s="17">
        <f t="shared" si="75"/>
        <v>0</v>
      </c>
      <c r="C449" s="17">
        <v>119</v>
      </c>
      <c r="O449" s="17" t="str">
        <f t="shared" si="80"/>
        <v>X</v>
      </c>
      <c r="P449" s="17">
        <f t="shared" si="76"/>
        <v>0</v>
      </c>
      <c r="Q449" s="17">
        <v>119</v>
      </c>
      <c r="AB449" s="17" t="str">
        <f t="shared" si="81"/>
        <v>X</v>
      </c>
      <c r="AC449" s="17">
        <f t="shared" si="77"/>
        <v>0</v>
      </c>
      <c r="AD449" s="17">
        <v>119</v>
      </c>
      <c r="AP449" s="17" t="str">
        <f t="shared" si="82"/>
        <v>X</v>
      </c>
      <c r="AQ449" s="17">
        <f t="shared" si="78"/>
        <v>0</v>
      </c>
      <c r="AR449" s="17">
        <v>119</v>
      </c>
      <c r="BB449" s="17" t="str">
        <f t="shared" si="83"/>
        <v>X</v>
      </c>
      <c r="BC449" s="17">
        <f t="shared" si="79"/>
        <v>0</v>
      </c>
      <c r="BD449" s="17">
        <v>119</v>
      </c>
    </row>
    <row r="450" spans="1:56">
      <c r="A450" s="17" t="str">
        <f t="shared" si="84"/>
        <v>X</v>
      </c>
      <c r="B450" s="17">
        <f t="shared" si="75"/>
        <v>0</v>
      </c>
      <c r="C450" s="17">
        <v>120</v>
      </c>
      <c r="O450" s="17" t="str">
        <f t="shared" si="80"/>
        <v>X</v>
      </c>
      <c r="P450" s="17">
        <f t="shared" si="76"/>
        <v>0</v>
      </c>
      <c r="Q450" s="17">
        <v>120</v>
      </c>
      <c r="AB450" s="17" t="str">
        <f t="shared" si="81"/>
        <v>X</v>
      </c>
      <c r="AC450" s="17">
        <f t="shared" si="77"/>
        <v>0</v>
      </c>
      <c r="AD450" s="17">
        <v>120</v>
      </c>
      <c r="AP450" s="17" t="str">
        <f t="shared" si="82"/>
        <v>X</v>
      </c>
      <c r="AQ450" s="17">
        <f t="shared" si="78"/>
        <v>0</v>
      </c>
      <c r="AR450" s="17">
        <v>120</v>
      </c>
      <c r="BB450" s="17" t="str">
        <f t="shared" si="83"/>
        <v>X</v>
      </c>
      <c r="BC450" s="17">
        <f t="shared" si="79"/>
        <v>0</v>
      </c>
      <c r="BD450" s="17">
        <v>120</v>
      </c>
    </row>
    <row r="451" spans="1:56">
      <c r="A451" s="17" t="str">
        <f t="shared" si="84"/>
        <v>X</v>
      </c>
      <c r="B451" s="17">
        <f t="shared" si="75"/>
        <v>0</v>
      </c>
      <c r="C451" s="17">
        <v>121</v>
      </c>
      <c r="O451" s="17" t="str">
        <f t="shared" si="80"/>
        <v>X</v>
      </c>
      <c r="P451" s="17">
        <f t="shared" si="76"/>
        <v>0</v>
      </c>
      <c r="Q451" s="17">
        <v>121</v>
      </c>
      <c r="AB451" s="17" t="str">
        <f t="shared" si="81"/>
        <v>X</v>
      </c>
      <c r="AC451" s="17">
        <f t="shared" si="77"/>
        <v>0</v>
      </c>
      <c r="AD451" s="17">
        <v>121</v>
      </c>
      <c r="AP451" s="17" t="str">
        <f t="shared" si="82"/>
        <v>X</v>
      </c>
      <c r="AQ451" s="17">
        <f t="shared" si="78"/>
        <v>0</v>
      </c>
      <c r="AR451" s="17">
        <v>121</v>
      </c>
      <c r="BB451" s="17" t="str">
        <f t="shared" si="83"/>
        <v>X</v>
      </c>
      <c r="BC451" s="17">
        <f t="shared" si="79"/>
        <v>0</v>
      </c>
      <c r="BD451" s="17">
        <v>121</v>
      </c>
    </row>
    <row r="452" spans="1:56">
      <c r="A452" s="17" t="str">
        <f t="shared" si="84"/>
        <v>X</v>
      </c>
      <c r="B452" s="17">
        <f t="shared" si="75"/>
        <v>0</v>
      </c>
      <c r="C452" s="17">
        <v>122</v>
      </c>
      <c r="O452" s="17" t="str">
        <f t="shared" si="80"/>
        <v>X</v>
      </c>
      <c r="P452" s="17">
        <f t="shared" si="76"/>
        <v>0</v>
      </c>
      <c r="Q452" s="17">
        <v>122</v>
      </c>
      <c r="AB452" s="17" t="str">
        <f t="shared" si="81"/>
        <v>X</v>
      </c>
      <c r="AC452" s="17">
        <f t="shared" si="77"/>
        <v>0</v>
      </c>
      <c r="AD452" s="17">
        <v>122</v>
      </c>
      <c r="AP452" s="17" t="str">
        <f t="shared" si="82"/>
        <v>X</v>
      </c>
      <c r="AQ452" s="17">
        <f t="shared" si="78"/>
        <v>0</v>
      </c>
      <c r="AR452" s="17">
        <v>122</v>
      </c>
      <c r="BB452" s="17" t="str">
        <f t="shared" si="83"/>
        <v>X</v>
      </c>
      <c r="BC452" s="17">
        <f t="shared" si="79"/>
        <v>0</v>
      </c>
      <c r="BD452" s="17">
        <v>122</v>
      </c>
    </row>
    <row r="453" spans="1:56">
      <c r="A453" s="17" t="str">
        <f t="shared" si="84"/>
        <v>X</v>
      </c>
      <c r="B453" s="17">
        <f t="shared" si="75"/>
        <v>0</v>
      </c>
      <c r="C453" s="17">
        <v>123</v>
      </c>
      <c r="O453" s="17" t="str">
        <f t="shared" si="80"/>
        <v>X</v>
      </c>
      <c r="P453" s="17">
        <f t="shared" si="76"/>
        <v>0</v>
      </c>
      <c r="Q453" s="17">
        <v>123</v>
      </c>
      <c r="AB453" s="17" t="str">
        <f t="shared" si="81"/>
        <v>X</v>
      </c>
      <c r="AC453" s="17">
        <f t="shared" si="77"/>
        <v>0</v>
      </c>
      <c r="AD453" s="17">
        <v>123</v>
      </c>
      <c r="AP453" s="17" t="str">
        <f t="shared" si="82"/>
        <v>X</v>
      </c>
      <c r="AQ453" s="17">
        <f t="shared" si="78"/>
        <v>0</v>
      </c>
      <c r="AR453" s="17">
        <v>123</v>
      </c>
      <c r="BB453" s="17" t="str">
        <f t="shared" si="83"/>
        <v>X</v>
      </c>
      <c r="BC453" s="17">
        <f t="shared" si="79"/>
        <v>0</v>
      </c>
      <c r="BD453" s="17">
        <v>123</v>
      </c>
    </row>
    <row r="454" spans="1:56">
      <c r="A454" s="17" t="str">
        <f t="shared" si="84"/>
        <v>X</v>
      </c>
      <c r="B454" s="17">
        <f t="shared" si="75"/>
        <v>0</v>
      </c>
      <c r="C454" s="17">
        <v>124</v>
      </c>
      <c r="O454" s="17" t="str">
        <f t="shared" si="80"/>
        <v>X</v>
      </c>
      <c r="P454" s="17">
        <f t="shared" si="76"/>
        <v>0</v>
      </c>
      <c r="Q454" s="17">
        <v>124</v>
      </c>
      <c r="AB454" s="17" t="str">
        <f t="shared" si="81"/>
        <v>X</v>
      </c>
      <c r="AC454" s="17">
        <f t="shared" si="77"/>
        <v>0</v>
      </c>
      <c r="AD454" s="17">
        <v>124</v>
      </c>
      <c r="AP454" s="17" t="str">
        <f t="shared" si="82"/>
        <v>X</v>
      </c>
      <c r="AQ454" s="17">
        <f t="shared" si="78"/>
        <v>0</v>
      </c>
      <c r="AR454" s="17">
        <v>124</v>
      </c>
      <c r="BB454" s="17" t="str">
        <f t="shared" si="83"/>
        <v>X</v>
      </c>
      <c r="BC454" s="17">
        <f t="shared" si="79"/>
        <v>0</v>
      </c>
      <c r="BD454" s="17">
        <v>124</v>
      </c>
    </row>
    <row r="455" spans="1:56">
      <c r="A455" s="17" t="str">
        <f t="shared" si="84"/>
        <v>X</v>
      </c>
      <c r="B455" s="17">
        <f t="shared" si="75"/>
        <v>0</v>
      </c>
      <c r="C455" s="17">
        <v>125</v>
      </c>
      <c r="O455" s="17" t="str">
        <f t="shared" si="80"/>
        <v>X</v>
      </c>
      <c r="P455" s="17">
        <f t="shared" si="76"/>
        <v>0</v>
      </c>
      <c r="Q455" s="17">
        <v>125</v>
      </c>
      <c r="AB455" s="17" t="str">
        <f t="shared" si="81"/>
        <v>X</v>
      </c>
      <c r="AC455" s="17">
        <f t="shared" si="77"/>
        <v>0</v>
      </c>
      <c r="AD455" s="17">
        <v>125</v>
      </c>
      <c r="AP455" s="17" t="str">
        <f t="shared" si="82"/>
        <v>X</v>
      </c>
      <c r="AQ455" s="17">
        <f t="shared" si="78"/>
        <v>0</v>
      </c>
      <c r="AR455" s="17">
        <v>125</v>
      </c>
      <c r="BB455" s="17" t="str">
        <f t="shared" si="83"/>
        <v>X</v>
      </c>
      <c r="BC455" s="17">
        <f t="shared" si="79"/>
        <v>0</v>
      </c>
      <c r="BD455" s="17">
        <v>125</v>
      </c>
    </row>
    <row r="456" spans="1:56">
      <c r="A456" s="17" t="str">
        <f t="shared" si="84"/>
        <v>X</v>
      </c>
      <c r="B456" s="17">
        <f t="shared" si="75"/>
        <v>0</v>
      </c>
      <c r="C456" s="17">
        <v>126</v>
      </c>
      <c r="O456" s="17" t="str">
        <f t="shared" si="80"/>
        <v>X</v>
      </c>
      <c r="P456" s="17">
        <f t="shared" si="76"/>
        <v>0</v>
      </c>
      <c r="Q456" s="17">
        <v>126</v>
      </c>
      <c r="AB456" s="17" t="str">
        <f t="shared" si="81"/>
        <v>X</v>
      </c>
      <c r="AC456" s="17">
        <f t="shared" si="77"/>
        <v>0</v>
      </c>
      <c r="AD456" s="17">
        <v>126</v>
      </c>
      <c r="AP456" s="17" t="str">
        <f t="shared" si="82"/>
        <v>X</v>
      </c>
      <c r="AQ456" s="17">
        <f t="shared" si="78"/>
        <v>0</v>
      </c>
      <c r="AR456" s="17">
        <v>126</v>
      </c>
      <c r="BB456" s="17" t="str">
        <f t="shared" si="83"/>
        <v>X</v>
      </c>
      <c r="BC456" s="17">
        <f t="shared" si="79"/>
        <v>0</v>
      </c>
      <c r="BD456" s="17">
        <v>126</v>
      </c>
    </row>
    <row r="457" spans="1:56">
      <c r="A457" s="17" t="str">
        <f t="shared" si="84"/>
        <v>X</v>
      </c>
      <c r="B457" s="17">
        <f t="shared" si="75"/>
        <v>0</v>
      </c>
      <c r="C457" s="17">
        <v>127</v>
      </c>
      <c r="O457" s="17" t="str">
        <f t="shared" si="80"/>
        <v>X</v>
      </c>
      <c r="P457" s="17">
        <f t="shared" si="76"/>
        <v>0</v>
      </c>
      <c r="Q457" s="17">
        <v>127</v>
      </c>
      <c r="AB457" s="17" t="str">
        <f t="shared" si="81"/>
        <v>X</v>
      </c>
      <c r="AC457" s="17">
        <f t="shared" si="77"/>
        <v>0</v>
      </c>
      <c r="AD457" s="17">
        <v>127</v>
      </c>
      <c r="AP457" s="17" t="str">
        <f t="shared" si="82"/>
        <v>X</v>
      </c>
      <c r="AQ457" s="17">
        <f t="shared" si="78"/>
        <v>0</v>
      </c>
      <c r="AR457" s="17">
        <v>127</v>
      </c>
      <c r="BB457" s="17" t="str">
        <f t="shared" si="83"/>
        <v>X</v>
      </c>
      <c r="BC457" s="17">
        <f t="shared" si="79"/>
        <v>0</v>
      </c>
      <c r="BD457" s="17">
        <v>127</v>
      </c>
    </row>
    <row r="458" spans="1:56">
      <c r="A458" s="17" t="str">
        <f t="shared" si="84"/>
        <v>X</v>
      </c>
      <c r="B458" s="17">
        <f t="shared" si="75"/>
        <v>0</v>
      </c>
      <c r="C458" s="17">
        <v>128</v>
      </c>
      <c r="O458" s="17" t="str">
        <f t="shared" si="80"/>
        <v>X</v>
      </c>
      <c r="P458" s="17">
        <f t="shared" si="76"/>
        <v>0</v>
      </c>
      <c r="Q458" s="17">
        <v>128</v>
      </c>
      <c r="AB458" s="17" t="str">
        <f t="shared" si="81"/>
        <v>X</v>
      </c>
      <c r="AC458" s="17">
        <f t="shared" si="77"/>
        <v>0</v>
      </c>
      <c r="AD458" s="17">
        <v>128</v>
      </c>
      <c r="AP458" s="17" t="str">
        <f t="shared" si="82"/>
        <v>X</v>
      </c>
      <c r="AQ458" s="17">
        <f t="shared" si="78"/>
        <v>0</v>
      </c>
      <c r="AR458" s="17">
        <v>128</v>
      </c>
      <c r="BB458" s="17" t="str">
        <f t="shared" si="83"/>
        <v>X</v>
      </c>
      <c r="BC458" s="17">
        <f t="shared" si="79"/>
        <v>0</v>
      </c>
      <c r="BD458" s="17">
        <v>128</v>
      </c>
    </row>
    <row r="459" spans="1:56">
      <c r="A459" s="17" t="str">
        <f t="shared" si="84"/>
        <v>X</v>
      </c>
      <c r="B459" s="17">
        <f t="shared" si="75"/>
        <v>0</v>
      </c>
      <c r="C459" s="17">
        <v>129</v>
      </c>
      <c r="O459" s="17" t="str">
        <f t="shared" si="80"/>
        <v>X</v>
      </c>
      <c r="P459" s="17">
        <f t="shared" si="76"/>
        <v>0</v>
      </c>
      <c r="Q459" s="17">
        <v>129</v>
      </c>
      <c r="AB459" s="17" t="str">
        <f t="shared" si="81"/>
        <v>X</v>
      </c>
      <c r="AC459" s="17">
        <f t="shared" si="77"/>
        <v>0</v>
      </c>
      <c r="AD459" s="17">
        <v>129</v>
      </c>
      <c r="AP459" s="17" t="str">
        <f t="shared" si="82"/>
        <v>X</v>
      </c>
      <c r="AQ459" s="17">
        <f t="shared" si="78"/>
        <v>0</v>
      </c>
      <c r="AR459" s="17">
        <v>129</v>
      </c>
      <c r="BB459" s="17" t="str">
        <f t="shared" si="83"/>
        <v>X</v>
      </c>
      <c r="BC459" s="17">
        <f t="shared" si="79"/>
        <v>0</v>
      </c>
      <c r="BD459" s="17">
        <v>129</v>
      </c>
    </row>
    <row r="460" spans="1:56">
      <c r="A460" s="17" t="str">
        <f t="shared" si="84"/>
        <v>X</v>
      </c>
      <c r="B460" s="17">
        <f t="shared" ref="B460:B491" si="85">IF($H$18&gt;=C460,$G$18,0)</f>
        <v>0</v>
      </c>
      <c r="C460" s="17">
        <v>130</v>
      </c>
      <c r="O460" s="17" t="str">
        <f t="shared" si="80"/>
        <v>X</v>
      </c>
      <c r="P460" s="17">
        <f t="shared" ref="P460:P491" si="86">IF($V$18&gt;=Q460,$U$18,0)</f>
        <v>0</v>
      </c>
      <c r="Q460" s="17">
        <v>130</v>
      </c>
      <c r="AB460" s="17" t="str">
        <f t="shared" si="81"/>
        <v>X</v>
      </c>
      <c r="AC460" s="17">
        <f t="shared" ref="AC460:AC491" si="87">IF($AI$18&gt;=AD460,$AH$18,0)</f>
        <v>0</v>
      </c>
      <c r="AD460" s="17">
        <v>130</v>
      </c>
      <c r="AP460" s="17" t="str">
        <f t="shared" si="82"/>
        <v>X</v>
      </c>
      <c r="AQ460" s="17">
        <f t="shared" ref="AQ460:AQ491" si="88">IF($AW$18&gt;=AR460,$AV$18,0)</f>
        <v>0</v>
      </c>
      <c r="AR460" s="17">
        <v>130</v>
      </c>
      <c r="BB460" s="17" t="str">
        <f t="shared" si="83"/>
        <v>X</v>
      </c>
      <c r="BC460" s="17">
        <f t="shared" ref="BC460:BC491" si="89">IF($BI$18&gt;=BD460,$BH$18,0)</f>
        <v>0</v>
      </c>
      <c r="BD460" s="17">
        <v>130</v>
      </c>
    </row>
    <row r="461" spans="1:56">
      <c r="A461" s="17" t="str">
        <f t="shared" si="84"/>
        <v>X</v>
      </c>
      <c r="B461" s="17">
        <f t="shared" si="85"/>
        <v>0</v>
      </c>
      <c r="C461" s="17">
        <v>131</v>
      </c>
      <c r="O461" s="17" t="str">
        <f t="shared" si="80"/>
        <v>X</v>
      </c>
      <c r="P461" s="17">
        <f t="shared" si="86"/>
        <v>0</v>
      </c>
      <c r="Q461" s="17">
        <v>131</v>
      </c>
      <c r="AB461" s="17" t="str">
        <f t="shared" si="81"/>
        <v>X</v>
      </c>
      <c r="AC461" s="17">
        <f t="shared" si="87"/>
        <v>0</v>
      </c>
      <c r="AD461" s="17">
        <v>131</v>
      </c>
      <c r="AP461" s="17" t="str">
        <f t="shared" si="82"/>
        <v>X</v>
      </c>
      <c r="AQ461" s="17">
        <f t="shared" si="88"/>
        <v>0</v>
      </c>
      <c r="AR461" s="17">
        <v>131</v>
      </c>
      <c r="BB461" s="17" t="str">
        <f t="shared" si="83"/>
        <v>X</v>
      </c>
      <c r="BC461" s="17">
        <f t="shared" si="89"/>
        <v>0</v>
      </c>
      <c r="BD461" s="17">
        <v>131</v>
      </c>
    </row>
    <row r="462" spans="1:56">
      <c r="A462" s="17" t="str">
        <f t="shared" si="84"/>
        <v>X</v>
      </c>
      <c r="B462" s="17">
        <f t="shared" si="85"/>
        <v>0</v>
      </c>
      <c r="C462" s="17">
        <v>132</v>
      </c>
      <c r="O462" s="17" t="str">
        <f t="shared" si="80"/>
        <v>X</v>
      </c>
      <c r="P462" s="17">
        <f t="shared" si="86"/>
        <v>0</v>
      </c>
      <c r="Q462" s="17">
        <v>132</v>
      </c>
      <c r="AB462" s="17" t="str">
        <f t="shared" si="81"/>
        <v>X</v>
      </c>
      <c r="AC462" s="17">
        <f t="shared" si="87"/>
        <v>0</v>
      </c>
      <c r="AD462" s="17">
        <v>132</v>
      </c>
      <c r="AP462" s="17" t="str">
        <f t="shared" si="82"/>
        <v>X</v>
      </c>
      <c r="AQ462" s="17">
        <f t="shared" si="88"/>
        <v>0</v>
      </c>
      <c r="AR462" s="17">
        <v>132</v>
      </c>
      <c r="BB462" s="17" t="str">
        <f t="shared" si="83"/>
        <v>X</v>
      </c>
      <c r="BC462" s="17">
        <f t="shared" si="89"/>
        <v>0</v>
      </c>
      <c r="BD462" s="17">
        <v>132</v>
      </c>
    </row>
    <row r="463" spans="1:56">
      <c r="A463" s="17" t="str">
        <f t="shared" si="84"/>
        <v>X</v>
      </c>
      <c r="B463" s="17">
        <f t="shared" si="85"/>
        <v>0</v>
      </c>
      <c r="C463" s="17">
        <v>133</v>
      </c>
      <c r="O463" s="17" t="str">
        <f t="shared" si="80"/>
        <v>X</v>
      </c>
      <c r="P463" s="17">
        <f t="shared" si="86"/>
        <v>0</v>
      </c>
      <c r="Q463" s="17">
        <v>133</v>
      </c>
      <c r="AB463" s="17" t="str">
        <f t="shared" si="81"/>
        <v>X</v>
      </c>
      <c r="AC463" s="17">
        <f t="shared" si="87"/>
        <v>0</v>
      </c>
      <c r="AD463" s="17">
        <v>133</v>
      </c>
      <c r="AP463" s="17" t="str">
        <f t="shared" si="82"/>
        <v>X</v>
      </c>
      <c r="AQ463" s="17">
        <f t="shared" si="88"/>
        <v>0</v>
      </c>
      <c r="AR463" s="17">
        <v>133</v>
      </c>
      <c r="BB463" s="17" t="str">
        <f t="shared" si="83"/>
        <v>X</v>
      </c>
      <c r="BC463" s="17">
        <f t="shared" si="89"/>
        <v>0</v>
      </c>
      <c r="BD463" s="17">
        <v>133</v>
      </c>
    </row>
    <row r="464" spans="1:56">
      <c r="A464" s="17" t="str">
        <f t="shared" si="84"/>
        <v>X</v>
      </c>
      <c r="B464" s="17">
        <f t="shared" si="85"/>
        <v>0</v>
      </c>
      <c r="C464" s="17">
        <v>134</v>
      </c>
      <c r="O464" s="17" t="str">
        <f t="shared" si="80"/>
        <v>X</v>
      </c>
      <c r="P464" s="17">
        <f t="shared" si="86"/>
        <v>0</v>
      </c>
      <c r="Q464" s="17">
        <v>134</v>
      </c>
      <c r="AB464" s="17" t="str">
        <f t="shared" si="81"/>
        <v>X</v>
      </c>
      <c r="AC464" s="17">
        <f t="shared" si="87"/>
        <v>0</v>
      </c>
      <c r="AD464" s="17">
        <v>134</v>
      </c>
      <c r="AP464" s="17" t="str">
        <f t="shared" si="82"/>
        <v>X</v>
      </c>
      <c r="AQ464" s="17">
        <f t="shared" si="88"/>
        <v>0</v>
      </c>
      <c r="AR464" s="17">
        <v>134</v>
      </c>
      <c r="BB464" s="17" t="str">
        <f t="shared" si="83"/>
        <v>X</v>
      </c>
      <c r="BC464" s="17">
        <f t="shared" si="89"/>
        <v>0</v>
      </c>
      <c r="BD464" s="17">
        <v>134</v>
      </c>
    </row>
    <row r="465" spans="1:56">
      <c r="A465" s="17" t="str">
        <f t="shared" si="84"/>
        <v>X</v>
      </c>
      <c r="B465" s="17">
        <f t="shared" si="85"/>
        <v>0</v>
      </c>
      <c r="C465" s="17">
        <v>135</v>
      </c>
      <c r="O465" s="17" t="str">
        <f t="shared" si="80"/>
        <v>X</v>
      </c>
      <c r="P465" s="17">
        <f t="shared" si="86"/>
        <v>0</v>
      </c>
      <c r="Q465" s="17">
        <v>135</v>
      </c>
      <c r="AB465" s="17" t="str">
        <f t="shared" si="81"/>
        <v>X</v>
      </c>
      <c r="AC465" s="17">
        <f t="shared" si="87"/>
        <v>0</v>
      </c>
      <c r="AD465" s="17">
        <v>135</v>
      </c>
      <c r="AP465" s="17" t="str">
        <f t="shared" si="82"/>
        <v>X</v>
      </c>
      <c r="AQ465" s="17">
        <f t="shared" si="88"/>
        <v>0</v>
      </c>
      <c r="AR465" s="17">
        <v>135</v>
      </c>
      <c r="BB465" s="17" t="str">
        <f t="shared" si="83"/>
        <v>X</v>
      </c>
      <c r="BC465" s="17">
        <f t="shared" si="89"/>
        <v>0</v>
      </c>
      <c r="BD465" s="17">
        <v>135</v>
      </c>
    </row>
    <row r="466" spans="1:56">
      <c r="A466" s="17" t="str">
        <f t="shared" si="84"/>
        <v>X</v>
      </c>
      <c r="B466" s="17">
        <f t="shared" si="85"/>
        <v>0</v>
      </c>
      <c r="C466" s="17">
        <v>136</v>
      </c>
      <c r="O466" s="17" t="str">
        <f t="shared" si="80"/>
        <v>X</v>
      </c>
      <c r="P466" s="17">
        <f t="shared" si="86"/>
        <v>0</v>
      </c>
      <c r="Q466" s="17">
        <v>136</v>
      </c>
      <c r="AB466" s="17" t="str">
        <f t="shared" si="81"/>
        <v>X</v>
      </c>
      <c r="AC466" s="17">
        <f t="shared" si="87"/>
        <v>0</v>
      </c>
      <c r="AD466" s="17">
        <v>136</v>
      </c>
      <c r="AP466" s="17" t="str">
        <f t="shared" si="82"/>
        <v>X</v>
      </c>
      <c r="AQ466" s="17">
        <f t="shared" si="88"/>
        <v>0</v>
      </c>
      <c r="AR466" s="17">
        <v>136</v>
      </c>
      <c r="BB466" s="17" t="str">
        <f t="shared" si="83"/>
        <v>X</v>
      </c>
      <c r="BC466" s="17">
        <f t="shared" si="89"/>
        <v>0</v>
      </c>
      <c r="BD466" s="17">
        <v>136</v>
      </c>
    </row>
    <row r="467" spans="1:56">
      <c r="A467" s="17" t="str">
        <f t="shared" si="84"/>
        <v>X</v>
      </c>
      <c r="B467" s="17">
        <f t="shared" si="85"/>
        <v>0</v>
      </c>
      <c r="C467" s="17">
        <v>137</v>
      </c>
      <c r="O467" s="17" t="str">
        <f t="shared" si="80"/>
        <v>X</v>
      </c>
      <c r="P467" s="17">
        <f t="shared" si="86"/>
        <v>0</v>
      </c>
      <c r="Q467" s="17">
        <v>137</v>
      </c>
      <c r="AB467" s="17" t="str">
        <f t="shared" si="81"/>
        <v>X</v>
      </c>
      <c r="AC467" s="17">
        <f t="shared" si="87"/>
        <v>0</v>
      </c>
      <c r="AD467" s="17">
        <v>137</v>
      </c>
      <c r="AP467" s="17" t="str">
        <f t="shared" si="82"/>
        <v>X</v>
      </c>
      <c r="AQ467" s="17">
        <f t="shared" si="88"/>
        <v>0</v>
      </c>
      <c r="AR467" s="17">
        <v>137</v>
      </c>
      <c r="BB467" s="17" t="str">
        <f t="shared" si="83"/>
        <v>X</v>
      </c>
      <c r="BC467" s="17">
        <f t="shared" si="89"/>
        <v>0</v>
      </c>
      <c r="BD467" s="17">
        <v>137</v>
      </c>
    </row>
    <row r="468" spans="1:56">
      <c r="A468" s="17" t="str">
        <f t="shared" si="84"/>
        <v>X</v>
      </c>
      <c r="B468" s="17">
        <f t="shared" si="85"/>
        <v>0</v>
      </c>
      <c r="C468" s="17">
        <v>138</v>
      </c>
      <c r="O468" s="17" t="str">
        <f t="shared" si="80"/>
        <v>X</v>
      </c>
      <c r="P468" s="17">
        <f t="shared" si="86"/>
        <v>0</v>
      </c>
      <c r="Q468" s="17">
        <v>138</v>
      </c>
      <c r="AB468" s="17" t="str">
        <f t="shared" si="81"/>
        <v>X</v>
      </c>
      <c r="AC468" s="17">
        <f t="shared" si="87"/>
        <v>0</v>
      </c>
      <c r="AD468" s="17">
        <v>138</v>
      </c>
      <c r="AP468" s="17" t="str">
        <f t="shared" si="82"/>
        <v>X</v>
      </c>
      <c r="AQ468" s="17">
        <f t="shared" si="88"/>
        <v>0</v>
      </c>
      <c r="AR468" s="17">
        <v>138</v>
      </c>
      <c r="BB468" s="17" t="str">
        <f t="shared" si="83"/>
        <v>X</v>
      </c>
      <c r="BC468" s="17">
        <f t="shared" si="89"/>
        <v>0</v>
      </c>
      <c r="BD468" s="17">
        <v>138</v>
      </c>
    </row>
    <row r="469" spans="1:56">
      <c r="A469" s="17" t="str">
        <f t="shared" si="84"/>
        <v>X</v>
      </c>
      <c r="B469" s="17">
        <f t="shared" si="85"/>
        <v>0</v>
      </c>
      <c r="C469" s="17">
        <v>139</v>
      </c>
      <c r="O469" s="17" t="str">
        <f t="shared" si="80"/>
        <v>X</v>
      </c>
      <c r="P469" s="17">
        <f t="shared" si="86"/>
        <v>0</v>
      </c>
      <c r="Q469" s="17">
        <v>139</v>
      </c>
      <c r="AB469" s="17" t="str">
        <f t="shared" si="81"/>
        <v>X</v>
      </c>
      <c r="AC469" s="17">
        <f t="shared" si="87"/>
        <v>0</v>
      </c>
      <c r="AD469" s="17">
        <v>139</v>
      </c>
      <c r="AP469" s="17" t="str">
        <f t="shared" si="82"/>
        <v>X</v>
      </c>
      <c r="AQ469" s="17">
        <f t="shared" si="88"/>
        <v>0</v>
      </c>
      <c r="AR469" s="17">
        <v>139</v>
      </c>
      <c r="BB469" s="17" t="str">
        <f t="shared" si="83"/>
        <v>X</v>
      </c>
      <c r="BC469" s="17">
        <f t="shared" si="89"/>
        <v>0</v>
      </c>
      <c r="BD469" s="17">
        <v>139</v>
      </c>
    </row>
    <row r="470" spans="1:56">
      <c r="A470" s="17" t="str">
        <f t="shared" si="84"/>
        <v>X</v>
      </c>
      <c r="B470" s="17">
        <f t="shared" si="85"/>
        <v>0</v>
      </c>
      <c r="C470" s="17">
        <v>140</v>
      </c>
      <c r="O470" s="17" t="str">
        <f t="shared" si="80"/>
        <v>X</v>
      </c>
      <c r="P470" s="17">
        <f t="shared" si="86"/>
        <v>0</v>
      </c>
      <c r="Q470" s="17">
        <v>140</v>
      </c>
      <c r="AB470" s="17" t="str">
        <f t="shared" si="81"/>
        <v>X</v>
      </c>
      <c r="AC470" s="17">
        <f t="shared" si="87"/>
        <v>0</v>
      </c>
      <c r="AD470" s="17">
        <v>140</v>
      </c>
      <c r="AP470" s="17" t="str">
        <f t="shared" si="82"/>
        <v>X</v>
      </c>
      <c r="AQ470" s="17">
        <f t="shared" si="88"/>
        <v>0</v>
      </c>
      <c r="AR470" s="17">
        <v>140</v>
      </c>
      <c r="BB470" s="17" t="str">
        <f t="shared" si="83"/>
        <v>X</v>
      </c>
      <c r="BC470" s="17">
        <f t="shared" si="89"/>
        <v>0</v>
      </c>
      <c r="BD470" s="17">
        <v>140</v>
      </c>
    </row>
    <row r="471" spans="1:56">
      <c r="A471" s="17" t="str">
        <f t="shared" si="84"/>
        <v>X</v>
      </c>
      <c r="B471" s="17">
        <f t="shared" si="85"/>
        <v>0</v>
      </c>
      <c r="C471" s="17">
        <v>141</v>
      </c>
      <c r="O471" s="17" t="str">
        <f t="shared" si="80"/>
        <v>X</v>
      </c>
      <c r="P471" s="17">
        <f t="shared" si="86"/>
        <v>0</v>
      </c>
      <c r="Q471" s="17">
        <v>141</v>
      </c>
      <c r="AB471" s="17" t="str">
        <f t="shared" si="81"/>
        <v>X</v>
      </c>
      <c r="AC471" s="17">
        <f t="shared" si="87"/>
        <v>0</v>
      </c>
      <c r="AD471" s="17">
        <v>141</v>
      </c>
      <c r="AP471" s="17" t="str">
        <f t="shared" si="82"/>
        <v>X</v>
      </c>
      <c r="AQ471" s="17">
        <f t="shared" si="88"/>
        <v>0</v>
      </c>
      <c r="AR471" s="17">
        <v>141</v>
      </c>
      <c r="BB471" s="17" t="str">
        <f t="shared" si="83"/>
        <v>X</v>
      </c>
      <c r="BC471" s="17">
        <f t="shared" si="89"/>
        <v>0</v>
      </c>
      <c r="BD471" s="17">
        <v>141</v>
      </c>
    </row>
    <row r="472" spans="1:56">
      <c r="A472" s="17" t="str">
        <f t="shared" si="84"/>
        <v>X</v>
      </c>
      <c r="B472" s="17">
        <f t="shared" si="85"/>
        <v>0</v>
      </c>
      <c r="C472" s="17">
        <v>142</v>
      </c>
      <c r="O472" s="17" t="str">
        <f t="shared" si="80"/>
        <v>X</v>
      </c>
      <c r="P472" s="17">
        <f t="shared" si="86"/>
        <v>0</v>
      </c>
      <c r="Q472" s="17">
        <v>142</v>
      </c>
      <c r="AB472" s="17" t="str">
        <f t="shared" si="81"/>
        <v>X</v>
      </c>
      <c r="AC472" s="17">
        <f t="shared" si="87"/>
        <v>0</v>
      </c>
      <c r="AD472" s="17">
        <v>142</v>
      </c>
      <c r="AP472" s="17" t="str">
        <f t="shared" si="82"/>
        <v>X</v>
      </c>
      <c r="AQ472" s="17">
        <f t="shared" si="88"/>
        <v>0</v>
      </c>
      <c r="AR472" s="17">
        <v>142</v>
      </c>
      <c r="BB472" s="17" t="str">
        <f t="shared" si="83"/>
        <v>X</v>
      </c>
      <c r="BC472" s="17">
        <f t="shared" si="89"/>
        <v>0</v>
      </c>
      <c r="BD472" s="17">
        <v>142</v>
      </c>
    </row>
    <row r="473" spans="1:56">
      <c r="A473" s="17" t="str">
        <f t="shared" si="84"/>
        <v>X</v>
      </c>
      <c r="B473" s="17">
        <f t="shared" si="85"/>
        <v>0</v>
      </c>
      <c r="C473" s="17">
        <v>143</v>
      </c>
      <c r="O473" s="17" t="str">
        <f t="shared" si="80"/>
        <v>X</v>
      </c>
      <c r="P473" s="17">
        <f t="shared" si="86"/>
        <v>0</v>
      </c>
      <c r="Q473" s="17">
        <v>143</v>
      </c>
      <c r="AB473" s="17" t="str">
        <f t="shared" si="81"/>
        <v>X</v>
      </c>
      <c r="AC473" s="17">
        <f t="shared" si="87"/>
        <v>0</v>
      </c>
      <c r="AD473" s="17">
        <v>143</v>
      </c>
      <c r="AP473" s="17" t="str">
        <f t="shared" si="82"/>
        <v>X</v>
      </c>
      <c r="AQ473" s="17">
        <f t="shared" si="88"/>
        <v>0</v>
      </c>
      <c r="AR473" s="17">
        <v>143</v>
      </c>
      <c r="BB473" s="17" t="str">
        <f t="shared" si="83"/>
        <v>X</v>
      </c>
      <c r="BC473" s="17">
        <f t="shared" si="89"/>
        <v>0</v>
      </c>
      <c r="BD473" s="17">
        <v>143</v>
      </c>
    </row>
    <row r="474" spans="1:56">
      <c r="A474" s="17" t="str">
        <f t="shared" si="84"/>
        <v>X</v>
      </c>
      <c r="B474" s="17">
        <f t="shared" si="85"/>
        <v>0</v>
      </c>
      <c r="C474" s="17">
        <v>144</v>
      </c>
      <c r="O474" s="17" t="str">
        <f t="shared" si="80"/>
        <v>X</v>
      </c>
      <c r="P474" s="17">
        <f t="shared" si="86"/>
        <v>0</v>
      </c>
      <c r="Q474" s="17">
        <v>144</v>
      </c>
      <c r="AB474" s="17" t="str">
        <f t="shared" si="81"/>
        <v>X</v>
      </c>
      <c r="AC474" s="17">
        <f t="shared" si="87"/>
        <v>0</v>
      </c>
      <c r="AD474" s="17">
        <v>144</v>
      </c>
      <c r="AP474" s="17" t="str">
        <f t="shared" si="82"/>
        <v>X</v>
      </c>
      <c r="AQ474" s="17">
        <f t="shared" si="88"/>
        <v>0</v>
      </c>
      <c r="AR474" s="17">
        <v>144</v>
      </c>
      <c r="BB474" s="17" t="str">
        <f t="shared" si="83"/>
        <v>X</v>
      </c>
      <c r="BC474" s="17">
        <f t="shared" si="89"/>
        <v>0</v>
      </c>
      <c r="BD474" s="17">
        <v>144</v>
      </c>
    </row>
    <row r="475" spans="1:56">
      <c r="A475" s="17" t="str">
        <f t="shared" si="84"/>
        <v>X</v>
      </c>
      <c r="B475" s="17">
        <f t="shared" si="85"/>
        <v>0</v>
      </c>
      <c r="C475" s="17">
        <v>145</v>
      </c>
      <c r="O475" s="17" t="str">
        <f t="shared" si="80"/>
        <v>X</v>
      </c>
      <c r="P475" s="17">
        <f t="shared" si="86"/>
        <v>0</v>
      </c>
      <c r="Q475" s="17">
        <v>145</v>
      </c>
      <c r="AB475" s="17" t="str">
        <f t="shared" si="81"/>
        <v>X</v>
      </c>
      <c r="AC475" s="17">
        <f t="shared" si="87"/>
        <v>0</v>
      </c>
      <c r="AD475" s="17">
        <v>145</v>
      </c>
      <c r="AP475" s="17" t="str">
        <f t="shared" si="82"/>
        <v>X</v>
      </c>
      <c r="AQ475" s="17">
        <f t="shared" si="88"/>
        <v>0</v>
      </c>
      <c r="AR475" s="17">
        <v>145</v>
      </c>
      <c r="BB475" s="17" t="str">
        <f t="shared" si="83"/>
        <v>X</v>
      </c>
      <c r="BC475" s="17">
        <f t="shared" si="89"/>
        <v>0</v>
      </c>
      <c r="BD475" s="17">
        <v>145</v>
      </c>
    </row>
    <row r="476" spans="1:56">
      <c r="A476" s="17" t="str">
        <f t="shared" si="84"/>
        <v>X</v>
      </c>
      <c r="B476" s="17">
        <f t="shared" si="85"/>
        <v>0</v>
      </c>
      <c r="C476" s="17">
        <v>146</v>
      </c>
      <c r="O476" s="17" t="str">
        <f t="shared" si="80"/>
        <v>X</v>
      </c>
      <c r="P476" s="17">
        <f t="shared" si="86"/>
        <v>0</v>
      </c>
      <c r="Q476" s="17">
        <v>146</v>
      </c>
      <c r="AB476" s="17" t="str">
        <f t="shared" si="81"/>
        <v>X</v>
      </c>
      <c r="AC476" s="17">
        <f t="shared" si="87"/>
        <v>0</v>
      </c>
      <c r="AD476" s="17">
        <v>146</v>
      </c>
      <c r="AP476" s="17" t="str">
        <f t="shared" si="82"/>
        <v>X</v>
      </c>
      <c r="AQ476" s="17">
        <f t="shared" si="88"/>
        <v>0</v>
      </c>
      <c r="AR476" s="17">
        <v>146</v>
      </c>
      <c r="BB476" s="17" t="str">
        <f t="shared" si="83"/>
        <v>X</v>
      </c>
      <c r="BC476" s="17">
        <f t="shared" si="89"/>
        <v>0</v>
      </c>
      <c r="BD476" s="17">
        <v>146</v>
      </c>
    </row>
    <row r="477" spans="1:56">
      <c r="A477" s="17" t="str">
        <f t="shared" si="84"/>
        <v>X</v>
      </c>
      <c r="B477" s="17">
        <f t="shared" si="85"/>
        <v>0</v>
      </c>
      <c r="C477" s="17">
        <v>147</v>
      </c>
      <c r="O477" s="17" t="str">
        <f t="shared" si="80"/>
        <v>X</v>
      </c>
      <c r="P477" s="17">
        <f t="shared" si="86"/>
        <v>0</v>
      </c>
      <c r="Q477" s="17">
        <v>147</v>
      </c>
      <c r="AB477" s="17" t="str">
        <f t="shared" si="81"/>
        <v>X</v>
      </c>
      <c r="AC477" s="17">
        <f t="shared" si="87"/>
        <v>0</v>
      </c>
      <c r="AD477" s="17">
        <v>147</v>
      </c>
      <c r="AP477" s="17" t="str">
        <f t="shared" si="82"/>
        <v>X</v>
      </c>
      <c r="AQ477" s="17">
        <f t="shared" si="88"/>
        <v>0</v>
      </c>
      <c r="AR477" s="17">
        <v>147</v>
      </c>
      <c r="BB477" s="17" t="str">
        <f t="shared" si="83"/>
        <v>X</v>
      </c>
      <c r="BC477" s="17">
        <f t="shared" si="89"/>
        <v>0</v>
      </c>
      <c r="BD477" s="17">
        <v>147</v>
      </c>
    </row>
    <row r="478" spans="1:56">
      <c r="A478" s="17" t="str">
        <f t="shared" si="84"/>
        <v>X</v>
      </c>
      <c r="B478" s="17">
        <f t="shared" si="85"/>
        <v>0</v>
      </c>
      <c r="C478" s="17">
        <v>148</v>
      </c>
      <c r="O478" s="17" t="str">
        <f t="shared" si="80"/>
        <v>X</v>
      </c>
      <c r="P478" s="17">
        <f t="shared" si="86"/>
        <v>0</v>
      </c>
      <c r="Q478" s="17">
        <v>148</v>
      </c>
      <c r="AB478" s="17" t="str">
        <f t="shared" si="81"/>
        <v>X</v>
      </c>
      <c r="AC478" s="17">
        <f t="shared" si="87"/>
        <v>0</v>
      </c>
      <c r="AD478" s="17">
        <v>148</v>
      </c>
      <c r="AP478" s="17" t="str">
        <f t="shared" si="82"/>
        <v>X</v>
      </c>
      <c r="AQ478" s="17">
        <f t="shared" si="88"/>
        <v>0</v>
      </c>
      <c r="AR478" s="17">
        <v>148</v>
      </c>
      <c r="BB478" s="17" t="str">
        <f t="shared" si="83"/>
        <v>X</v>
      </c>
      <c r="BC478" s="17">
        <f t="shared" si="89"/>
        <v>0</v>
      </c>
      <c r="BD478" s="17">
        <v>148</v>
      </c>
    </row>
    <row r="479" spans="1:56">
      <c r="A479" s="17" t="str">
        <f t="shared" si="84"/>
        <v>X</v>
      </c>
      <c r="B479" s="17">
        <f t="shared" si="85"/>
        <v>0</v>
      </c>
      <c r="C479" s="17">
        <v>149</v>
      </c>
      <c r="O479" s="17" t="str">
        <f t="shared" si="80"/>
        <v>X</v>
      </c>
      <c r="P479" s="17">
        <f t="shared" si="86"/>
        <v>0</v>
      </c>
      <c r="Q479" s="17">
        <v>149</v>
      </c>
      <c r="AB479" s="17" t="str">
        <f t="shared" si="81"/>
        <v>X</v>
      </c>
      <c r="AC479" s="17">
        <f t="shared" si="87"/>
        <v>0</v>
      </c>
      <c r="AD479" s="17">
        <v>149</v>
      </c>
      <c r="AP479" s="17" t="str">
        <f t="shared" si="82"/>
        <v>X</v>
      </c>
      <c r="AQ479" s="17">
        <f t="shared" si="88"/>
        <v>0</v>
      </c>
      <c r="AR479" s="17">
        <v>149</v>
      </c>
      <c r="BB479" s="17" t="str">
        <f t="shared" si="83"/>
        <v>X</v>
      </c>
      <c r="BC479" s="17">
        <f t="shared" si="89"/>
        <v>0</v>
      </c>
      <c r="BD479" s="17">
        <v>149</v>
      </c>
    </row>
    <row r="480" spans="1:56">
      <c r="A480" s="17" t="str">
        <f t="shared" si="84"/>
        <v>X</v>
      </c>
      <c r="B480" s="17">
        <f t="shared" si="85"/>
        <v>0</v>
      </c>
      <c r="C480" s="17">
        <v>150</v>
      </c>
      <c r="O480" s="17" t="str">
        <f t="shared" si="80"/>
        <v>X</v>
      </c>
      <c r="P480" s="17">
        <f t="shared" si="86"/>
        <v>0</v>
      </c>
      <c r="Q480" s="17">
        <v>150</v>
      </c>
      <c r="AB480" s="17" t="str">
        <f t="shared" si="81"/>
        <v>X</v>
      </c>
      <c r="AC480" s="17">
        <f t="shared" si="87"/>
        <v>0</v>
      </c>
      <c r="AD480" s="17">
        <v>150</v>
      </c>
      <c r="AP480" s="17" t="str">
        <f t="shared" si="82"/>
        <v>X</v>
      </c>
      <c r="AQ480" s="17">
        <f t="shared" si="88"/>
        <v>0</v>
      </c>
      <c r="AR480" s="17">
        <v>150</v>
      </c>
      <c r="BB480" s="17" t="str">
        <f t="shared" si="83"/>
        <v>X</v>
      </c>
      <c r="BC480" s="17">
        <f t="shared" si="89"/>
        <v>0</v>
      </c>
      <c r="BD480" s="17">
        <v>150</v>
      </c>
    </row>
    <row r="481" spans="1:56">
      <c r="A481" s="17" t="str">
        <f t="shared" si="84"/>
        <v>X</v>
      </c>
      <c r="B481" s="17">
        <f t="shared" si="85"/>
        <v>0</v>
      </c>
      <c r="C481" s="17">
        <v>151</v>
      </c>
      <c r="O481" s="17" t="str">
        <f t="shared" si="80"/>
        <v>X</v>
      </c>
      <c r="P481" s="17">
        <f t="shared" si="86"/>
        <v>0</v>
      </c>
      <c r="Q481" s="17">
        <v>151</v>
      </c>
      <c r="AB481" s="17" t="str">
        <f t="shared" si="81"/>
        <v>X</v>
      </c>
      <c r="AC481" s="17">
        <f t="shared" si="87"/>
        <v>0</v>
      </c>
      <c r="AD481" s="17">
        <v>151</v>
      </c>
      <c r="AP481" s="17" t="str">
        <f t="shared" si="82"/>
        <v>X</v>
      </c>
      <c r="AQ481" s="17">
        <f t="shared" si="88"/>
        <v>0</v>
      </c>
      <c r="AR481" s="17">
        <v>151</v>
      </c>
      <c r="BB481" s="17" t="str">
        <f t="shared" si="83"/>
        <v>X</v>
      </c>
      <c r="BC481" s="17">
        <f t="shared" si="89"/>
        <v>0</v>
      </c>
      <c r="BD481" s="17">
        <v>151</v>
      </c>
    </row>
    <row r="482" spans="1:56">
      <c r="A482" s="17" t="str">
        <f t="shared" si="84"/>
        <v>X</v>
      </c>
      <c r="B482" s="17">
        <f t="shared" si="85"/>
        <v>0</v>
      </c>
      <c r="C482" s="17">
        <v>152</v>
      </c>
      <c r="O482" s="17" t="str">
        <f t="shared" si="80"/>
        <v>X</v>
      </c>
      <c r="P482" s="17">
        <f t="shared" si="86"/>
        <v>0</v>
      </c>
      <c r="Q482" s="17">
        <v>152</v>
      </c>
      <c r="AB482" s="17" t="str">
        <f t="shared" si="81"/>
        <v>X</v>
      </c>
      <c r="AC482" s="17">
        <f t="shared" si="87"/>
        <v>0</v>
      </c>
      <c r="AD482" s="17">
        <v>152</v>
      </c>
      <c r="AP482" s="17" t="str">
        <f t="shared" si="82"/>
        <v>X</v>
      </c>
      <c r="AQ482" s="17">
        <f t="shared" si="88"/>
        <v>0</v>
      </c>
      <c r="AR482" s="17">
        <v>152</v>
      </c>
      <c r="BB482" s="17" t="str">
        <f t="shared" si="83"/>
        <v>X</v>
      </c>
      <c r="BC482" s="17">
        <f t="shared" si="89"/>
        <v>0</v>
      </c>
      <c r="BD482" s="17">
        <v>152</v>
      </c>
    </row>
    <row r="483" spans="1:56">
      <c r="A483" s="17" t="str">
        <f t="shared" si="84"/>
        <v>X</v>
      </c>
      <c r="B483" s="17">
        <f t="shared" si="85"/>
        <v>0</v>
      </c>
      <c r="C483" s="17">
        <v>153</v>
      </c>
      <c r="O483" s="17" t="str">
        <f t="shared" si="80"/>
        <v>X</v>
      </c>
      <c r="P483" s="17">
        <f t="shared" si="86"/>
        <v>0</v>
      </c>
      <c r="Q483" s="17">
        <v>153</v>
      </c>
      <c r="AB483" s="17" t="str">
        <f t="shared" si="81"/>
        <v>X</v>
      </c>
      <c r="AC483" s="17">
        <f t="shared" si="87"/>
        <v>0</v>
      </c>
      <c r="AD483" s="17">
        <v>153</v>
      </c>
      <c r="AP483" s="17" t="str">
        <f t="shared" si="82"/>
        <v>X</v>
      </c>
      <c r="AQ483" s="17">
        <f t="shared" si="88"/>
        <v>0</v>
      </c>
      <c r="AR483" s="17">
        <v>153</v>
      </c>
      <c r="BB483" s="17" t="str">
        <f t="shared" si="83"/>
        <v>X</v>
      </c>
      <c r="BC483" s="17">
        <f t="shared" si="89"/>
        <v>0</v>
      </c>
      <c r="BD483" s="17">
        <v>153</v>
      </c>
    </row>
    <row r="484" spans="1:56">
      <c r="A484" s="17" t="str">
        <f t="shared" si="84"/>
        <v>X</v>
      </c>
      <c r="B484" s="17">
        <f t="shared" si="85"/>
        <v>0</v>
      </c>
      <c r="C484" s="17">
        <v>154</v>
      </c>
      <c r="O484" s="17" t="str">
        <f t="shared" si="80"/>
        <v>X</v>
      </c>
      <c r="P484" s="17">
        <f t="shared" si="86"/>
        <v>0</v>
      </c>
      <c r="Q484" s="17">
        <v>154</v>
      </c>
      <c r="AB484" s="17" t="str">
        <f t="shared" si="81"/>
        <v>X</v>
      </c>
      <c r="AC484" s="17">
        <f t="shared" si="87"/>
        <v>0</v>
      </c>
      <c r="AD484" s="17">
        <v>154</v>
      </c>
      <c r="AP484" s="17" t="str">
        <f t="shared" si="82"/>
        <v>X</v>
      </c>
      <c r="AQ484" s="17">
        <f t="shared" si="88"/>
        <v>0</v>
      </c>
      <c r="AR484" s="17">
        <v>154</v>
      </c>
      <c r="BB484" s="17" t="str">
        <f t="shared" si="83"/>
        <v>X</v>
      </c>
      <c r="BC484" s="17">
        <f t="shared" si="89"/>
        <v>0</v>
      </c>
      <c r="BD484" s="17">
        <v>154</v>
      </c>
    </row>
    <row r="485" spans="1:56">
      <c r="A485" s="17" t="str">
        <f t="shared" si="84"/>
        <v>X</v>
      </c>
      <c r="B485" s="17">
        <f t="shared" si="85"/>
        <v>0</v>
      </c>
      <c r="C485" s="17">
        <v>155</v>
      </c>
      <c r="O485" s="17" t="str">
        <f t="shared" si="80"/>
        <v>X</v>
      </c>
      <c r="P485" s="17">
        <f t="shared" si="86"/>
        <v>0</v>
      </c>
      <c r="Q485" s="17">
        <v>155</v>
      </c>
      <c r="AB485" s="17" t="str">
        <f t="shared" si="81"/>
        <v>X</v>
      </c>
      <c r="AC485" s="17">
        <f t="shared" si="87"/>
        <v>0</v>
      </c>
      <c r="AD485" s="17">
        <v>155</v>
      </c>
      <c r="AP485" s="17" t="str">
        <f t="shared" si="82"/>
        <v>X</v>
      </c>
      <c r="AQ485" s="17">
        <f t="shared" si="88"/>
        <v>0</v>
      </c>
      <c r="AR485" s="17">
        <v>155</v>
      </c>
      <c r="BB485" s="17" t="str">
        <f t="shared" si="83"/>
        <v>X</v>
      </c>
      <c r="BC485" s="17">
        <f t="shared" si="89"/>
        <v>0</v>
      </c>
      <c r="BD485" s="17">
        <v>155</v>
      </c>
    </row>
    <row r="486" spans="1:56">
      <c r="A486" s="17" t="str">
        <f t="shared" si="84"/>
        <v>X</v>
      </c>
      <c r="B486" s="17">
        <f t="shared" si="85"/>
        <v>0</v>
      </c>
      <c r="C486" s="17">
        <v>156</v>
      </c>
      <c r="O486" s="17" t="str">
        <f t="shared" si="80"/>
        <v>X</v>
      </c>
      <c r="P486" s="17">
        <f t="shared" si="86"/>
        <v>0</v>
      </c>
      <c r="Q486" s="17">
        <v>156</v>
      </c>
      <c r="AB486" s="17" t="str">
        <f t="shared" si="81"/>
        <v>X</v>
      </c>
      <c r="AC486" s="17">
        <f t="shared" si="87"/>
        <v>0</v>
      </c>
      <c r="AD486" s="17">
        <v>156</v>
      </c>
      <c r="AP486" s="17" t="str">
        <f t="shared" si="82"/>
        <v>X</v>
      </c>
      <c r="AQ486" s="17">
        <f t="shared" si="88"/>
        <v>0</v>
      </c>
      <c r="AR486" s="17">
        <v>156</v>
      </c>
      <c r="BB486" s="17" t="str">
        <f t="shared" si="83"/>
        <v>X</v>
      </c>
      <c r="BC486" s="17">
        <f t="shared" si="89"/>
        <v>0</v>
      </c>
      <c r="BD486" s="17">
        <v>156</v>
      </c>
    </row>
    <row r="487" spans="1:56">
      <c r="A487" s="17" t="str">
        <f t="shared" si="84"/>
        <v>X</v>
      </c>
      <c r="B487" s="17">
        <f t="shared" si="85"/>
        <v>0</v>
      </c>
      <c r="C487" s="17">
        <v>157</v>
      </c>
      <c r="O487" s="17" t="str">
        <f t="shared" si="80"/>
        <v>X</v>
      </c>
      <c r="P487" s="17">
        <f t="shared" si="86"/>
        <v>0</v>
      </c>
      <c r="Q487" s="17">
        <v>157</v>
      </c>
      <c r="AB487" s="17" t="str">
        <f t="shared" si="81"/>
        <v>X</v>
      </c>
      <c r="AC487" s="17">
        <f t="shared" si="87"/>
        <v>0</v>
      </c>
      <c r="AD487" s="17">
        <v>157</v>
      </c>
      <c r="AP487" s="17" t="str">
        <f t="shared" si="82"/>
        <v>X</v>
      </c>
      <c r="AQ487" s="17">
        <f t="shared" si="88"/>
        <v>0</v>
      </c>
      <c r="AR487" s="17">
        <v>157</v>
      </c>
      <c r="BB487" s="17" t="str">
        <f t="shared" si="83"/>
        <v>X</v>
      </c>
      <c r="BC487" s="17">
        <f t="shared" si="89"/>
        <v>0</v>
      </c>
      <c r="BD487" s="17">
        <v>157</v>
      </c>
    </row>
    <row r="488" spans="1:56">
      <c r="A488" s="17" t="str">
        <f t="shared" si="84"/>
        <v>X</v>
      </c>
      <c r="B488" s="17">
        <f t="shared" si="85"/>
        <v>0</v>
      </c>
      <c r="C488" s="17">
        <v>158</v>
      </c>
      <c r="O488" s="17" t="str">
        <f t="shared" ref="O488:O491" si="90">IF(P488&gt;0,"Q","X")</f>
        <v>X</v>
      </c>
      <c r="P488" s="17">
        <f t="shared" si="86"/>
        <v>0</v>
      </c>
      <c r="Q488" s="17">
        <v>158</v>
      </c>
      <c r="AB488" s="17" t="str">
        <f t="shared" ref="AB488:AB491" si="91">IF(AC488&gt;0,"Q","X")</f>
        <v>X</v>
      </c>
      <c r="AC488" s="17">
        <f t="shared" si="87"/>
        <v>0</v>
      </c>
      <c r="AD488" s="17">
        <v>158</v>
      </c>
      <c r="AP488" s="17" t="str">
        <f t="shared" ref="AP488:AP491" si="92">IF(AQ488&gt;0,"Q","X")</f>
        <v>X</v>
      </c>
      <c r="AQ488" s="17">
        <f t="shared" si="88"/>
        <v>0</v>
      </c>
      <c r="AR488" s="17">
        <v>158</v>
      </c>
      <c r="BB488" s="17" t="str">
        <f t="shared" ref="BB488:BB491" si="93">IF(BC488&gt;0,"Q","X")</f>
        <v>X</v>
      </c>
      <c r="BC488" s="17">
        <f t="shared" si="89"/>
        <v>0</v>
      </c>
      <c r="BD488" s="17">
        <v>158</v>
      </c>
    </row>
    <row r="489" spans="1:56">
      <c r="A489" s="17" t="str">
        <f t="shared" si="84"/>
        <v>X</v>
      </c>
      <c r="B489" s="17">
        <f t="shared" si="85"/>
        <v>0</v>
      </c>
      <c r="C489" s="17">
        <v>159</v>
      </c>
      <c r="O489" s="17" t="str">
        <f t="shared" si="90"/>
        <v>X</v>
      </c>
      <c r="P489" s="17">
        <f t="shared" si="86"/>
        <v>0</v>
      </c>
      <c r="Q489" s="17">
        <v>159</v>
      </c>
      <c r="AB489" s="17" t="str">
        <f t="shared" si="91"/>
        <v>X</v>
      </c>
      <c r="AC489" s="17">
        <f t="shared" si="87"/>
        <v>0</v>
      </c>
      <c r="AD489" s="17">
        <v>159</v>
      </c>
      <c r="AP489" s="17" t="str">
        <f t="shared" si="92"/>
        <v>X</v>
      </c>
      <c r="AQ489" s="17">
        <f t="shared" si="88"/>
        <v>0</v>
      </c>
      <c r="AR489" s="17">
        <v>159</v>
      </c>
      <c r="BB489" s="17" t="str">
        <f t="shared" si="93"/>
        <v>X</v>
      </c>
      <c r="BC489" s="17">
        <f t="shared" si="89"/>
        <v>0</v>
      </c>
      <c r="BD489" s="17">
        <v>159</v>
      </c>
    </row>
    <row r="490" spans="1:56">
      <c r="A490" s="17" t="str">
        <f t="shared" si="84"/>
        <v>X</v>
      </c>
      <c r="B490" s="17">
        <f t="shared" si="85"/>
        <v>0</v>
      </c>
      <c r="C490" s="17">
        <v>160</v>
      </c>
      <c r="O490" s="17" t="str">
        <f t="shared" si="90"/>
        <v>X</v>
      </c>
      <c r="P490" s="17">
        <f t="shared" si="86"/>
        <v>0</v>
      </c>
      <c r="Q490" s="17">
        <v>160</v>
      </c>
      <c r="AB490" s="17" t="str">
        <f t="shared" si="91"/>
        <v>X</v>
      </c>
      <c r="AC490" s="17">
        <f t="shared" si="87"/>
        <v>0</v>
      </c>
      <c r="AD490" s="17">
        <v>160</v>
      </c>
      <c r="AP490" s="17" t="str">
        <f t="shared" si="92"/>
        <v>X</v>
      </c>
      <c r="AQ490" s="17">
        <f t="shared" si="88"/>
        <v>0</v>
      </c>
      <c r="AR490" s="17">
        <v>160</v>
      </c>
      <c r="BB490" s="17" t="str">
        <f t="shared" si="93"/>
        <v>X</v>
      </c>
      <c r="BC490" s="17">
        <f t="shared" si="89"/>
        <v>0</v>
      </c>
      <c r="BD490" s="17">
        <v>160</v>
      </c>
    </row>
    <row r="491" spans="1:56">
      <c r="A491" s="17" t="str">
        <f t="shared" si="84"/>
        <v>X</v>
      </c>
      <c r="B491" s="17">
        <f t="shared" si="85"/>
        <v>0</v>
      </c>
      <c r="C491" s="17">
        <v>161</v>
      </c>
      <c r="O491" s="17" t="str">
        <f t="shared" si="90"/>
        <v>X</v>
      </c>
      <c r="P491" s="17">
        <f t="shared" si="86"/>
        <v>0</v>
      </c>
      <c r="Q491" s="17">
        <v>161</v>
      </c>
      <c r="AB491" s="17" t="str">
        <f t="shared" si="91"/>
        <v>X</v>
      </c>
      <c r="AC491" s="17">
        <f t="shared" si="87"/>
        <v>0</v>
      </c>
      <c r="AD491" s="17">
        <v>161</v>
      </c>
      <c r="AP491" s="17" t="str">
        <f t="shared" si="92"/>
        <v>X</v>
      </c>
      <c r="AQ491" s="17">
        <f t="shared" si="88"/>
        <v>0</v>
      </c>
      <c r="AR491" s="17">
        <v>161</v>
      </c>
      <c r="BB491" s="17" t="str">
        <f t="shared" si="93"/>
        <v>X</v>
      </c>
      <c r="BC491" s="17">
        <f t="shared" si="89"/>
        <v>0</v>
      </c>
      <c r="BD491" s="17">
        <v>161</v>
      </c>
    </row>
  </sheetData>
  <mergeCells count="20">
    <mergeCell ref="D16:D18"/>
    <mergeCell ref="E16:F16"/>
    <mergeCell ref="G16:H16"/>
    <mergeCell ref="L1:Q1"/>
    <mergeCell ref="I16:J16"/>
    <mergeCell ref="U16:V16"/>
    <mergeCell ref="R16:R18"/>
    <mergeCell ref="AV16:AW16"/>
    <mergeCell ref="AX16:AY16"/>
    <mergeCell ref="BJ16:BK16"/>
    <mergeCell ref="W16:X16"/>
    <mergeCell ref="AF16:AG16"/>
    <mergeCell ref="AH16:AI16"/>
    <mergeCell ref="AJ16:AK16"/>
    <mergeCell ref="AT16:AU16"/>
    <mergeCell ref="BE16:BE18"/>
    <mergeCell ref="BH16:BI16"/>
    <mergeCell ref="BF16:BG16"/>
    <mergeCell ref="AS16:AS18"/>
    <mergeCell ref="AE16:AE1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 Paul</dc:creator>
  <cp:lastModifiedBy>Issac Paul</cp:lastModifiedBy>
  <dcterms:created xsi:type="dcterms:W3CDTF">2020-08-07T09:20:33Z</dcterms:created>
  <dcterms:modified xsi:type="dcterms:W3CDTF">2020-09-15T18:41:47Z</dcterms:modified>
</cp:coreProperties>
</file>