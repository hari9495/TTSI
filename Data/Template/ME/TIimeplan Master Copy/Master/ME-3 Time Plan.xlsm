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ME\TIimeplan Master Copy\Master\"/>
    </mc:Choice>
  </mc:AlternateContent>
  <bookViews>
    <workbookView xWindow="0" yWindow="0" windowWidth="20490" windowHeight="7620"/>
  </bookViews>
  <sheets>
    <sheet name="ME-3" sheetId="10" r:id="rId1"/>
    <sheet name="bgr" sheetId="13" state="hidden" r:id="rId2"/>
    <sheet name="Sheet_Master" sheetId="12" r:id="rId3"/>
    <sheet name="Consolidated" sheetId="14" r:id="rId4"/>
  </sheets>
  <definedNames>
    <definedName name="_xlnm.Print_Area" localSheetId="0">'ME-3'!$B$1:$AI$33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6" i="10" l="1"/>
  <c r="AD30" i="10" l="1"/>
  <c r="AB30" i="10"/>
  <c r="BE7" i="10" l="1"/>
  <c r="BE8" i="10"/>
  <c r="BE9" i="10"/>
  <c r="BE10" i="10"/>
  <c r="BE11" i="10"/>
  <c r="BE12" i="10"/>
  <c r="BE13" i="10"/>
  <c r="BE14" i="10"/>
  <c r="BE15" i="10"/>
  <c r="BE16" i="10"/>
  <c r="BE17" i="10"/>
  <c r="BE18" i="10"/>
  <c r="BE19" i="10"/>
  <c r="BE20" i="10"/>
  <c r="BE21" i="10"/>
  <c r="BE22" i="10"/>
  <c r="BE23" i="10"/>
  <c r="BE24" i="10"/>
  <c r="BE25" i="10"/>
  <c r="BE26" i="10"/>
  <c r="BE27" i="10"/>
  <c r="BE28" i="10"/>
  <c r="BE29" i="10"/>
  <c r="BE6" i="10"/>
  <c r="K3" i="14" l="1"/>
  <c r="AA26" i="14" l="1"/>
  <c r="X26" i="14"/>
  <c r="W26" i="14"/>
  <c r="V26" i="14"/>
  <c r="Y26" i="14" s="1"/>
  <c r="Z26" i="14" s="1"/>
  <c r="U26" i="14"/>
  <c r="T26" i="14"/>
  <c r="S26" i="14"/>
  <c r="Q26" i="14"/>
  <c r="P26" i="14"/>
  <c r="O26" i="14"/>
  <c r="N26" i="14"/>
  <c r="H26" i="14"/>
  <c r="F26" i="14"/>
  <c r="E26" i="14"/>
  <c r="D26" i="14"/>
  <c r="C26" i="14"/>
  <c r="B26" i="14"/>
  <c r="A26" i="14"/>
  <c r="AA25" i="14"/>
  <c r="X25" i="14"/>
  <c r="W25" i="14"/>
  <c r="V25" i="14"/>
  <c r="U25" i="14"/>
  <c r="T25" i="14"/>
  <c r="S25" i="14"/>
  <c r="AB25" i="14" s="1"/>
  <c r="Q25" i="14"/>
  <c r="P25" i="14"/>
  <c r="O25" i="14"/>
  <c r="N25" i="14"/>
  <c r="I25" i="14"/>
  <c r="H25" i="14"/>
  <c r="F25" i="14"/>
  <c r="E25" i="14"/>
  <c r="D25" i="14"/>
  <c r="C25" i="14"/>
  <c r="B25" i="14"/>
  <c r="A25" i="14"/>
  <c r="AA24" i="14"/>
  <c r="X24" i="14"/>
  <c r="W24" i="14"/>
  <c r="V24" i="14"/>
  <c r="U24" i="14"/>
  <c r="T24" i="14"/>
  <c r="S24" i="14"/>
  <c r="Q24" i="14"/>
  <c r="P24" i="14"/>
  <c r="O24" i="14"/>
  <c r="N24" i="14"/>
  <c r="I24" i="14"/>
  <c r="AB24" i="14" s="1"/>
  <c r="H24" i="14"/>
  <c r="F24" i="14"/>
  <c r="E24" i="14"/>
  <c r="D24" i="14"/>
  <c r="C24" i="14"/>
  <c r="B24" i="14"/>
  <c r="A24" i="14"/>
  <c r="AA23" i="14"/>
  <c r="X23" i="14"/>
  <c r="W23" i="14"/>
  <c r="V23" i="14"/>
  <c r="U23" i="14"/>
  <c r="T23" i="14"/>
  <c r="S23" i="14"/>
  <c r="Q23" i="14"/>
  <c r="P23" i="14"/>
  <c r="O23" i="14"/>
  <c r="N23" i="14"/>
  <c r="I23" i="14"/>
  <c r="H23" i="14"/>
  <c r="F23" i="14"/>
  <c r="E23" i="14"/>
  <c r="D23" i="14"/>
  <c r="C23" i="14"/>
  <c r="B23" i="14"/>
  <c r="A23" i="14"/>
  <c r="AA22" i="14"/>
  <c r="X22" i="14"/>
  <c r="W22" i="14"/>
  <c r="V22" i="14"/>
  <c r="U22" i="14"/>
  <c r="T22" i="14"/>
  <c r="S22" i="14"/>
  <c r="AB22" i="14" s="1"/>
  <c r="Q22" i="14"/>
  <c r="P22" i="14"/>
  <c r="O22" i="14"/>
  <c r="N22" i="14"/>
  <c r="I22" i="14"/>
  <c r="H22" i="14"/>
  <c r="F22" i="14"/>
  <c r="E22" i="14"/>
  <c r="D22" i="14"/>
  <c r="C22" i="14"/>
  <c r="B22" i="14"/>
  <c r="A22" i="14"/>
  <c r="AA21" i="14"/>
  <c r="X21" i="14"/>
  <c r="W21" i="14"/>
  <c r="V21" i="14"/>
  <c r="U21" i="14"/>
  <c r="T21" i="14"/>
  <c r="S21" i="14"/>
  <c r="Q21" i="14"/>
  <c r="P21" i="14"/>
  <c r="O21" i="14"/>
  <c r="N21" i="14"/>
  <c r="I21" i="14"/>
  <c r="AB21" i="14" s="1"/>
  <c r="H21" i="14"/>
  <c r="F21" i="14"/>
  <c r="E21" i="14"/>
  <c r="D21" i="14"/>
  <c r="C21" i="14"/>
  <c r="B21" i="14"/>
  <c r="A21" i="14"/>
  <c r="AA20" i="14"/>
  <c r="X20" i="14"/>
  <c r="W20" i="14"/>
  <c r="V20" i="14"/>
  <c r="Y20" i="14" s="1"/>
  <c r="Z20" i="14" s="1"/>
  <c r="U20" i="14"/>
  <c r="T20" i="14"/>
  <c r="S20" i="14"/>
  <c r="Q20" i="14"/>
  <c r="P20" i="14"/>
  <c r="O20" i="14"/>
  <c r="N20" i="14"/>
  <c r="I20" i="14"/>
  <c r="H20" i="14"/>
  <c r="AB20" i="14" s="1"/>
  <c r="F20" i="14"/>
  <c r="E20" i="14"/>
  <c r="D20" i="14"/>
  <c r="C20" i="14"/>
  <c r="B20" i="14"/>
  <c r="A20" i="14"/>
  <c r="AA19" i="14"/>
  <c r="X19" i="14"/>
  <c r="W19" i="14"/>
  <c r="V19" i="14"/>
  <c r="U19" i="14"/>
  <c r="T19" i="14"/>
  <c r="S19" i="14"/>
  <c r="AB19" i="14" s="1"/>
  <c r="Q19" i="14"/>
  <c r="P19" i="14"/>
  <c r="O19" i="14"/>
  <c r="N19" i="14"/>
  <c r="I19" i="14"/>
  <c r="H19" i="14"/>
  <c r="F19" i="14"/>
  <c r="E19" i="14"/>
  <c r="D19" i="14"/>
  <c r="C19" i="14"/>
  <c r="B19" i="14"/>
  <c r="A19" i="14"/>
  <c r="AA18" i="14"/>
  <c r="X18" i="14"/>
  <c r="W18" i="14"/>
  <c r="V18" i="14"/>
  <c r="U18" i="14"/>
  <c r="T18" i="14"/>
  <c r="S18" i="14"/>
  <c r="Q18" i="14"/>
  <c r="P18" i="14"/>
  <c r="O18" i="14"/>
  <c r="N18" i="14"/>
  <c r="I18" i="14"/>
  <c r="AB18" i="14" s="1"/>
  <c r="H18" i="14"/>
  <c r="F18" i="14"/>
  <c r="E18" i="14"/>
  <c r="D18" i="14"/>
  <c r="C18" i="14"/>
  <c r="B18" i="14"/>
  <c r="A18" i="14"/>
  <c r="AA17" i="14"/>
  <c r="X17" i="14"/>
  <c r="W17" i="14"/>
  <c r="V17" i="14"/>
  <c r="U17" i="14"/>
  <c r="T17" i="14"/>
  <c r="S17" i="14"/>
  <c r="Q17" i="14"/>
  <c r="P17" i="14"/>
  <c r="O17" i="14"/>
  <c r="N17" i="14"/>
  <c r="I17" i="14"/>
  <c r="H17" i="14"/>
  <c r="F17" i="14"/>
  <c r="E17" i="14"/>
  <c r="D17" i="14"/>
  <c r="C17" i="14"/>
  <c r="B17" i="14"/>
  <c r="A17" i="14"/>
  <c r="AA16" i="14"/>
  <c r="X16" i="14"/>
  <c r="W16" i="14"/>
  <c r="V16" i="14"/>
  <c r="U16" i="14"/>
  <c r="T16" i="14"/>
  <c r="S16" i="14"/>
  <c r="AB16" i="14" s="1"/>
  <c r="Q16" i="14"/>
  <c r="P16" i="14"/>
  <c r="O16" i="14"/>
  <c r="N16" i="14"/>
  <c r="I16" i="14"/>
  <c r="H16" i="14"/>
  <c r="F16" i="14"/>
  <c r="E16" i="14"/>
  <c r="D16" i="14"/>
  <c r="C16" i="14"/>
  <c r="B16" i="14"/>
  <c r="A16" i="14"/>
  <c r="AA15" i="14"/>
  <c r="X15" i="14"/>
  <c r="W15" i="14"/>
  <c r="V15" i="14"/>
  <c r="U15" i="14"/>
  <c r="T15" i="14"/>
  <c r="S15" i="14"/>
  <c r="Q15" i="14"/>
  <c r="P15" i="14"/>
  <c r="O15" i="14"/>
  <c r="N15" i="14"/>
  <c r="I15" i="14"/>
  <c r="AB15" i="14" s="1"/>
  <c r="H15" i="14"/>
  <c r="F15" i="14"/>
  <c r="E15" i="14"/>
  <c r="D15" i="14"/>
  <c r="C15" i="14"/>
  <c r="B15" i="14"/>
  <c r="A15" i="14"/>
  <c r="AA14" i="14"/>
  <c r="X14" i="14"/>
  <c r="W14" i="14"/>
  <c r="V14" i="14"/>
  <c r="Y14" i="14" s="1"/>
  <c r="Z14" i="14" s="1"/>
  <c r="U14" i="14"/>
  <c r="T14" i="14"/>
  <c r="S14" i="14"/>
  <c r="Q14" i="14"/>
  <c r="P14" i="14"/>
  <c r="O14" i="14"/>
  <c r="N14" i="14"/>
  <c r="I14" i="14"/>
  <c r="H14" i="14"/>
  <c r="AB14" i="14" s="1"/>
  <c r="F14" i="14"/>
  <c r="E14" i="14"/>
  <c r="D14" i="14"/>
  <c r="C14" i="14"/>
  <c r="B14" i="14"/>
  <c r="A14" i="14"/>
  <c r="AA13" i="14"/>
  <c r="X13" i="14"/>
  <c r="W13" i="14"/>
  <c r="V13" i="14"/>
  <c r="U13" i="14"/>
  <c r="T13" i="14"/>
  <c r="S13" i="14"/>
  <c r="AB13" i="14" s="1"/>
  <c r="Q13" i="14"/>
  <c r="P13" i="14"/>
  <c r="O13" i="14"/>
  <c r="N13" i="14"/>
  <c r="I13" i="14"/>
  <c r="H13" i="14"/>
  <c r="F13" i="14"/>
  <c r="E13" i="14"/>
  <c r="D13" i="14"/>
  <c r="C13" i="14"/>
  <c r="B13" i="14"/>
  <c r="A13" i="14"/>
  <c r="AA12" i="14"/>
  <c r="X12" i="14"/>
  <c r="W12" i="14"/>
  <c r="V12" i="14"/>
  <c r="U12" i="14"/>
  <c r="T12" i="14"/>
  <c r="S12" i="14"/>
  <c r="Q12" i="14"/>
  <c r="P12" i="14"/>
  <c r="O12" i="14"/>
  <c r="N12" i="14"/>
  <c r="I12" i="14"/>
  <c r="AB12" i="14" s="1"/>
  <c r="H12" i="14"/>
  <c r="F12" i="14"/>
  <c r="E12" i="14"/>
  <c r="D12" i="14"/>
  <c r="C12" i="14"/>
  <c r="B12" i="14"/>
  <c r="A12" i="14"/>
  <c r="AA11" i="14"/>
  <c r="X11" i="14"/>
  <c r="W11" i="14"/>
  <c r="V11" i="14"/>
  <c r="U11" i="14"/>
  <c r="T11" i="14"/>
  <c r="S11" i="14"/>
  <c r="Q11" i="14"/>
  <c r="P11" i="14"/>
  <c r="O11" i="14"/>
  <c r="N11" i="14"/>
  <c r="I11" i="14"/>
  <c r="H11" i="14"/>
  <c r="F11" i="14"/>
  <c r="E11" i="14"/>
  <c r="D11" i="14"/>
  <c r="C11" i="14"/>
  <c r="B11" i="14"/>
  <c r="A11" i="14"/>
  <c r="AA10" i="14"/>
  <c r="X10" i="14"/>
  <c r="W10" i="14"/>
  <c r="V10" i="14"/>
  <c r="U10" i="14"/>
  <c r="T10" i="14"/>
  <c r="S10" i="14"/>
  <c r="AB10" i="14" s="1"/>
  <c r="Q10" i="14"/>
  <c r="P10" i="14"/>
  <c r="O10" i="14"/>
  <c r="N10" i="14"/>
  <c r="I10" i="14"/>
  <c r="H10" i="14"/>
  <c r="F10" i="14"/>
  <c r="E10" i="14"/>
  <c r="D10" i="14"/>
  <c r="C10" i="14"/>
  <c r="B10" i="14"/>
  <c r="A10" i="14"/>
  <c r="AA9" i="14"/>
  <c r="X9" i="14"/>
  <c r="W9" i="14"/>
  <c r="V9" i="14"/>
  <c r="U9" i="14"/>
  <c r="T9" i="14"/>
  <c r="S9" i="14"/>
  <c r="Q9" i="14"/>
  <c r="P9" i="14"/>
  <c r="O9" i="14"/>
  <c r="N9" i="14"/>
  <c r="I9" i="14"/>
  <c r="AB9" i="14" s="1"/>
  <c r="H9" i="14"/>
  <c r="F9" i="14"/>
  <c r="E9" i="14"/>
  <c r="D9" i="14"/>
  <c r="C9" i="14"/>
  <c r="B9" i="14"/>
  <c r="A9" i="14"/>
  <c r="AA8" i="14"/>
  <c r="X8" i="14"/>
  <c r="W8" i="14"/>
  <c r="V8" i="14"/>
  <c r="Y8" i="14" s="1"/>
  <c r="Z8" i="14" s="1"/>
  <c r="U8" i="14"/>
  <c r="T8" i="14"/>
  <c r="S8" i="14"/>
  <c r="Q8" i="14"/>
  <c r="P8" i="14"/>
  <c r="O8" i="14"/>
  <c r="N8" i="14"/>
  <c r="I8" i="14"/>
  <c r="H8" i="14"/>
  <c r="AB8" i="14" s="1"/>
  <c r="F8" i="14"/>
  <c r="E8" i="14"/>
  <c r="D8" i="14"/>
  <c r="C8" i="14"/>
  <c r="B8" i="14"/>
  <c r="A8" i="14"/>
  <c r="AA7" i="14"/>
  <c r="X7" i="14"/>
  <c r="W7" i="14"/>
  <c r="V7" i="14"/>
  <c r="U7" i="14"/>
  <c r="T7" i="14"/>
  <c r="S7" i="14"/>
  <c r="AB7" i="14" s="1"/>
  <c r="Q7" i="14"/>
  <c r="P7" i="14"/>
  <c r="O7" i="14"/>
  <c r="N7" i="14"/>
  <c r="I7" i="14"/>
  <c r="H7" i="14"/>
  <c r="F7" i="14"/>
  <c r="E7" i="14"/>
  <c r="D7" i="14"/>
  <c r="C7" i="14"/>
  <c r="B7" i="14"/>
  <c r="A7" i="14"/>
  <c r="AA6" i="14"/>
  <c r="X6" i="14"/>
  <c r="W6" i="14"/>
  <c r="V6" i="14"/>
  <c r="U6" i="14"/>
  <c r="T6" i="14"/>
  <c r="S6" i="14"/>
  <c r="Q6" i="14"/>
  <c r="P6" i="14"/>
  <c r="O6" i="14"/>
  <c r="N6" i="14"/>
  <c r="I6" i="14"/>
  <c r="AB6" i="14" s="1"/>
  <c r="H6" i="14"/>
  <c r="F6" i="14"/>
  <c r="E6" i="14"/>
  <c r="D6" i="14"/>
  <c r="C6" i="14"/>
  <c r="B6" i="14"/>
  <c r="A6" i="14"/>
  <c r="AA5" i="14"/>
  <c r="X5" i="14"/>
  <c r="W5" i="14"/>
  <c r="V5" i="14"/>
  <c r="U5" i="14"/>
  <c r="T5" i="14"/>
  <c r="S5" i="14"/>
  <c r="Q5" i="14"/>
  <c r="P5" i="14"/>
  <c r="O5" i="14"/>
  <c r="N5" i="14"/>
  <c r="I5" i="14"/>
  <c r="H5" i="14"/>
  <c r="F5" i="14"/>
  <c r="E5" i="14"/>
  <c r="D5" i="14"/>
  <c r="C5" i="14"/>
  <c r="B5" i="14"/>
  <c r="A5" i="14"/>
  <c r="AA4" i="14"/>
  <c r="X4" i="14"/>
  <c r="W4" i="14"/>
  <c r="V4" i="14"/>
  <c r="U4" i="14"/>
  <c r="T4" i="14"/>
  <c r="S4" i="14"/>
  <c r="AB4" i="14" s="1"/>
  <c r="Q4" i="14"/>
  <c r="P4" i="14"/>
  <c r="O4" i="14"/>
  <c r="N4" i="14"/>
  <c r="I4" i="14"/>
  <c r="H4" i="14"/>
  <c r="F4" i="14"/>
  <c r="E4" i="14"/>
  <c r="D4" i="14"/>
  <c r="C4" i="14"/>
  <c r="B4" i="14"/>
  <c r="A4" i="14"/>
  <c r="AC3" i="14"/>
  <c r="AA3" i="14"/>
  <c r="X3" i="14"/>
  <c r="W3" i="14"/>
  <c r="V3" i="14"/>
  <c r="U3" i="14"/>
  <c r="T3" i="14"/>
  <c r="S3" i="14"/>
  <c r="Q3" i="14"/>
  <c r="P3" i="14"/>
  <c r="O3" i="14"/>
  <c r="N3" i="14"/>
  <c r="L3" i="14"/>
  <c r="I3" i="14"/>
  <c r="H3" i="14"/>
  <c r="AB3" i="14" s="1"/>
  <c r="F3" i="14"/>
  <c r="E3" i="14"/>
  <c r="D3" i="14"/>
  <c r="C3" i="14"/>
  <c r="B3" i="14"/>
  <c r="A3" i="14"/>
  <c r="J2" i="14"/>
  <c r="D2" i="14"/>
  <c r="C2" i="14"/>
  <c r="B2" i="14"/>
  <c r="Y25" i="14"/>
  <c r="Z25" i="14" s="1"/>
  <c r="Y24" i="14"/>
  <c r="Z24" i="14" s="1"/>
  <c r="Y23" i="14"/>
  <c r="Z23" i="14" s="1"/>
  <c r="AB23" i="14"/>
  <c r="Y22" i="14"/>
  <c r="Z22" i="14" s="1"/>
  <c r="Y21" i="14"/>
  <c r="Z21" i="14" s="1"/>
  <c r="Y19" i="14"/>
  <c r="Z19" i="14" s="1"/>
  <c r="Y18" i="14"/>
  <c r="Z18" i="14" s="1"/>
  <c r="Y17" i="14"/>
  <c r="Z17" i="14" s="1"/>
  <c r="AB17" i="14"/>
  <c r="Y16" i="14"/>
  <c r="Z16" i="14" s="1"/>
  <c r="Y15" i="14"/>
  <c r="Z15" i="14" s="1"/>
  <c r="Y13" i="14"/>
  <c r="Z13" i="14" s="1"/>
  <c r="Y12" i="14"/>
  <c r="Z12" i="14" s="1"/>
  <c r="Y11" i="14"/>
  <c r="Z11" i="14" s="1"/>
  <c r="AB11" i="14"/>
  <c r="Y10" i="14"/>
  <c r="Z10" i="14" s="1"/>
  <c r="Y9" i="14"/>
  <c r="Z9" i="14" s="1"/>
  <c r="Y7" i="14"/>
  <c r="Z7" i="14" s="1"/>
  <c r="Y6" i="14"/>
  <c r="Z6" i="14" s="1"/>
  <c r="Y5" i="14"/>
  <c r="Z5" i="14" s="1"/>
  <c r="AB5" i="14"/>
  <c r="Y4" i="14"/>
  <c r="Z4" i="14" s="1"/>
  <c r="Y3" i="14"/>
  <c r="Z3" i="14" s="1"/>
  <c r="BQ7" i="10" l="1"/>
  <c r="J4" i="14" s="1"/>
  <c r="BQ8" i="10"/>
  <c r="J5" i="14" s="1"/>
  <c r="BQ9" i="10"/>
  <c r="J6" i="14" s="1"/>
  <c r="BQ10" i="10"/>
  <c r="J7" i="14" s="1"/>
  <c r="BQ11" i="10"/>
  <c r="J8" i="14" s="1"/>
  <c r="BQ12" i="10"/>
  <c r="J9" i="14" s="1"/>
  <c r="BQ13" i="10"/>
  <c r="J10" i="14" s="1"/>
  <c r="BQ14" i="10"/>
  <c r="J11" i="14" s="1"/>
  <c r="BQ15" i="10"/>
  <c r="J12" i="14" s="1"/>
  <c r="BQ16" i="10"/>
  <c r="J13" i="14" s="1"/>
  <c r="BQ17" i="10"/>
  <c r="J14" i="14" s="1"/>
  <c r="BQ18" i="10"/>
  <c r="J15" i="14" s="1"/>
  <c r="BQ19" i="10"/>
  <c r="J16" i="14" s="1"/>
  <c r="BQ20" i="10"/>
  <c r="J17" i="14" s="1"/>
  <c r="BQ21" i="10"/>
  <c r="J18" i="14" s="1"/>
  <c r="BQ22" i="10"/>
  <c r="J19" i="14" s="1"/>
  <c r="BQ23" i="10"/>
  <c r="J20" i="14" s="1"/>
  <c r="BQ24" i="10"/>
  <c r="J21" i="14" s="1"/>
  <c r="BQ25" i="10"/>
  <c r="J22" i="14" s="1"/>
  <c r="BQ26" i="10"/>
  <c r="J23" i="14" s="1"/>
  <c r="BQ27" i="10"/>
  <c r="J24" i="14" s="1"/>
  <c r="BQ28" i="10"/>
  <c r="J25" i="14" s="1"/>
  <c r="BQ29" i="10"/>
  <c r="J26" i="14" s="1"/>
  <c r="BP228" i="10"/>
  <c r="BM228" i="10"/>
  <c r="BL228" i="10"/>
  <c r="BK228" i="10"/>
  <c r="BP227" i="10"/>
  <c r="BM227" i="10"/>
  <c r="BL227" i="10"/>
  <c r="BK227" i="10"/>
  <c r="BP226" i="10"/>
  <c r="BM226" i="10"/>
  <c r="BL226" i="10"/>
  <c r="BK226" i="10"/>
  <c r="BP225" i="10"/>
  <c r="BM225" i="10"/>
  <c r="BL225" i="10"/>
  <c r="BK225" i="10"/>
  <c r="BP224" i="10"/>
  <c r="BM224" i="10"/>
  <c r="BL224" i="10"/>
  <c r="BK224" i="10"/>
  <c r="BP223" i="10"/>
  <c r="BM223" i="10"/>
  <c r="BL223" i="10"/>
  <c r="BK223" i="10"/>
  <c r="BP222" i="10"/>
  <c r="BM222" i="10"/>
  <c r="BL222" i="10"/>
  <c r="BK222" i="10"/>
  <c r="BP221" i="10"/>
  <c r="BM221" i="10"/>
  <c r="BL221" i="10"/>
  <c r="BK221" i="10"/>
  <c r="BP220" i="10"/>
  <c r="BM220" i="10"/>
  <c r="BL220" i="10"/>
  <c r="BK220" i="10"/>
  <c r="BP219" i="10"/>
  <c r="BM219" i="10"/>
  <c r="BL219" i="10"/>
  <c r="BK219" i="10"/>
  <c r="BP218" i="10"/>
  <c r="BM218" i="10"/>
  <c r="BL218" i="10"/>
  <c r="BK218" i="10"/>
  <c r="BP217" i="10"/>
  <c r="BM217" i="10"/>
  <c r="BL217" i="10"/>
  <c r="BK217" i="10"/>
  <c r="BP216" i="10"/>
  <c r="BM216" i="10"/>
  <c r="BL216" i="10"/>
  <c r="BK216" i="10"/>
  <c r="BP215" i="10"/>
  <c r="BM215" i="10"/>
  <c r="BL215" i="10"/>
  <c r="BK215" i="10"/>
  <c r="BP214" i="10"/>
  <c r="BM214" i="10"/>
  <c r="BL214" i="10"/>
  <c r="BK214" i="10"/>
  <c r="BP213" i="10"/>
  <c r="BM213" i="10"/>
  <c r="BL213" i="10"/>
  <c r="BK213" i="10"/>
  <c r="BP212" i="10"/>
  <c r="BM212" i="10"/>
  <c r="BL212" i="10"/>
  <c r="BK212" i="10"/>
  <c r="BP211" i="10"/>
  <c r="BM211" i="10"/>
  <c r="BL211" i="10"/>
  <c r="BK211" i="10"/>
  <c r="BP210" i="10"/>
  <c r="BM210" i="10"/>
  <c r="BL210" i="10"/>
  <c r="BK210" i="10"/>
  <c r="BP209" i="10"/>
  <c r="BM209" i="10"/>
  <c r="BL209" i="10"/>
  <c r="BK209" i="10"/>
  <c r="BP208" i="10"/>
  <c r="BM208" i="10"/>
  <c r="BL208" i="10"/>
  <c r="BK208" i="10"/>
  <c r="BP207" i="10"/>
  <c r="BM207" i="10"/>
  <c r="BL207" i="10"/>
  <c r="BK207" i="10"/>
  <c r="BP206" i="10"/>
  <c r="BM206" i="10"/>
  <c r="BL206" i="10"/>
  <c r="BK206" i="10"/>
  <c r="BP205" i="10"/>
  <c r="BM205" i="10"/>
  <c r="BL205" i="10"/>
  <c r="BK205" i="10"/>
  <c r="BP204" i="10"/>
  <c r="BM204" i="10"/>
  <c r="BL204" i="10"/>
  <c r="BK204" i="10"/>
  <c r="BP203" i="10"/>
  <c r="BM203" i="10"/>
  <c r="BL203" i="10"/>
  <c r="BK203" i="10"/>
  <c r="BP202" i="10"/>
  <c r="BM202" i="10"/>
  <c r="BL202" i="10"/>
  <c r="BK202" i="10"/>
  <c r="BP201" i="10"/>
  <c r="BM201" i="10"/>
  <c r="BL201" i="10"/>
  <c r="BK201" i="10"/>
  <c r="BP200" i="10"/>
  <c r="BM200" i="10"/>
  <c r="BL200" i="10"/>
  <c r="BK200" i="10"/>
  <c r="BP199" i="10"/>
  <c r="BM199" i="10"/>
  <c r="BL199" i="10"/>
  <c r="BK199" i="10"/>
  <c r="BP198" i="10"/>
  <c r="BM198" i="10"/>
  <c r="BL198" i="10"/>
  <c r="BK198" i="10"/>
  <c r="BM197" i="10"/>
  <c r="BM196" i="10"/>
  <c r="BM195" i="10"/>
  <c r="BM194" i="10"/>
  <c r="BM193" i="10"/>
  <c r="BM192" i="10"/>
  <c r="BM191" i="10"/>
  <c r="BM190" i="10"/>
  <c r="BM189" i="10"/>
  <c r="BM188" i="10"/>
  <c r="BM187" i="10"/>
  <c r="BM186" i="10"/>
  <c r="BM185" i="10"/>
  <c r="BM184" i="10"/>
  <c r="BM183" i="10"/>
  <c r="BM182" i="10"/>
  <c r="BM181" i="10"/>
  <c r="BM180" i="10"/>
  <c r="BM179" i="10"/>
  <c r="BM178" i="10"/>
  <c r="BM177" i="10"/>
  <c r="BM176" i="10"/>
  <c r="BM175" i="10"/>
  <c r="BM174" i="10"/>
  <c r="BM173" i="10"/>
  <c r="BM172" i="10"/>
  <c r="BM171" i="10"/>
  <c r="BM170" i="10"/>
  <c r="BM169" i="10"/>
  <c r="BM168" i="10"/>
  <c r="BM167" i="10"/>
  <c r="BM166" i="10"/>
  <c r="Z33" i="13"/>
  <c r="Y33" i="13"/>
  <c r="X33" i="13"/>
  <c r="W33" i="13"/>
  <c r="U33" i="13"/>
  <c r="V33" i="13" s="1"/>
  <c r="T33" i="13"/>
  <c r="S33" i="13"/>
  <c r="R33" i="13"/>
  <c r="AE33" i="13" s="1"/>
  <c r="P33" i="13"/>
  <c r="O33" i="13"/>
  <c r="Q33" i="13" s="1"/>
  <c r="N33" i="13"/>
  <c r="M33" i="13"/>
  <c r="K33" i="13"/>
  <c r="J33" i="13"/>
  <c r="I33" i="13"/>
  <c r="H33" i="13"/>
  <c r="AC33" i="13" s="1"/>
  <c r="F33" i="13"/>
  <c r="E33" i="13"/>
  <c r="D33" i="13"/>
  <c r="C33" i="13"/>
  <c r="Z32" i="13"/>
  <c r="AA32" i="13" s="1"/>
  <c r="Y32" i="13"/>
  <c r="X32" i="13"/>
  <c r="W32" i="13"/>
  <c r="AF32" i="13" s="1"/>
  <c r="U32" i="13"/>
  <c r="T32" i="13"/>
  <c r="S32" i="13"/>
  <c r="R32" i="13"/>
  <c r="P32" i="13"/>
  <c r="O32" i="13"/>
  <c r="N32" i="13"/>
  <c r="M32" i="13"/>
  <c r="AD32" i="13" s="1"/>
  <c r="K32" i="13"/>
  <c r="J32" i="13"/>
  <c r="I32" i="13"/>
  <c r="H32" i="13"/>
  <c r="F32" i="13"/>
  <c r="G32" i="13" s="1"/>
  <c r="E32" i="13"/>
  <c r="D32" i="13"/>
  <c r="C32" i="13"/>
  <c r="AB32" i="13" s="1"/>
  <c r="AG32" i="13" s="1"/>
  <c r="BK196" i="10" s="1"/>
  <c r="Z31" i="13"/>
  <c r="Y31" i="13"/>
  <c r="AA31" i="13" s="1"/>
  <c r="X31" i="13"/>
  <c r="W31" i="13"/>
  <c r="U31" i="13"/>
  <c r="V31" i="13" s="1"/>
  <c r="T31" i="13"/>
  <c r="S31" i="13"/>
  <c r="R31" i="13"/>
  <c r="AE31" i="13" s="1"/>
  <c r="P31" i="13"/>
  <c r="O31" i="13"/>
  <c r="Q31" i="13" s="1"/>
  <c r="N31" i="13"/>
  <c r="M31" i="13"/>
  <c r="K31" i="13"/>
  <c r="J31" i="13"/>
  <c r="I31" i="13"/>
  <c r="H31" i="13"/>
  <c r="AC31" i="13" s="1"/>
  <c r="F31" i="13"/>
  <c r="E31" i="13"/>
  <c r="D31" i="13"/>
  <c r="C31" i="13"/>
  <c r="Z30" i="13"/>
  <c r="AA30" i="13" s="1"/>
  <c r="Y30" i="13"/>
  <c r="X30" i="13"/>
  <c r="W30" i="13"/>
  <c r="AF30" i="13" s="1"/>
  <c r="U30" i="13"/>
  <c r="T30" i="13"/>
  <c r="S30" i="13"/>
  <c r="R30" i="13"/>
  <c r="P30" i="13"/>
  <c r="O30" i="13"/>
  <c r="N30" i="13"/>
  <c r="M30" i="13"/>
  <c r="AD30" i="13" s="1"/>
  <c r="K30" i="13"/>
  <c r="J30" i="13"/>
  <c r="L30" i="13" s="1"/>
  <c r="I30" i="13"/>
  <c r="H30" i="13"/>
  <c r="F30" i="13"/>
  <c r="E30" i="13"/>
  <c r="D30" i="13"/>
  <c r="C30" i="13"/>
  <c r="AB30" i="13" s="1"/>
  <c r="Z29" i="13"/>
  <c r="Y29" i="13"/>
  <c r="X29" i="13"/>
  <c r="W29" i="13"/>
  <c r="U29" i="13"/>
  <c r="V29" i="13" s="1"/>
  <c r="T29" i="13"/>
  <c r="S29" i="13"/>
  <c r="R29" i="13"/>
  <c r="AE29" i="13" s="1"/>
  <c r="P29" i="13"/>
  <c r="O29" i="13"/>
  <c r="N29" i="13"/>
  <c r="M29" i="13"/>
  <c r="K29" i="13"/>
  <c r="J29" i="13"/>
  <c r="I29" i="13"/>
  <c r="H29" i="13"/>
  <c r="AC29" i="13" s="1"/>
  <c r="F29" i="13"/>
  <c r="E29" i="13"/>
  <c r="D29" i="13"/>
  <c r="C29" i="13"/>
  <c r="Z28" i="13"/>
  <c r="AA28" i="13" s="1"/>
  <c r="Y28" i="13"/>
  <c r="X28" i="13"/>
  <c r="W28" i="13"/>
  <c r="AF28" i="13" s="1"/>
  <c r="U28" i="13"/>
  <c r="T28" i="13"/>
  <c r="V28" i="13" s="1"/>
  <c r="S28" i="13"/>
  <c r="R28" i="13"/>
  <c r="P28" i="13"/>
  <c r="O28" i="13"/>
  <c r="N28" i="13"/>
  <c r="M28" i="13"/>
  <c r="AD28" i="13" s="1"/>
  <c r="K28" i="13"/>
  <c r="J28" i="13"/>
  <c r="L28" i="13" s="1"/>
  <c r="I28" i="13"/>
  <c r="H28" i="13"/>
  <c r="F28" i="13"/>
  <c r="G28" i="13" s="1"/>
  <c r="E28" i="13"/>
  <c r="D28" i="13"/>
  <c r="C28" i="13"/>
  <c r="AB28" i="13" s="1"/>
  <c r="AG28" i="13" s="1"/>
  <c r="BK192" i="10" s="1"/>
  <c r="Z27" i="13"/>
  <c r="Y27" i="13"/>
  <c r="AA27" i="13" s="1"/>
  <c r="X27" i="13"/>
  <c r="W27" i="13"/>
  <c r="U27" i="13"/>
  <c r="V27" i="13" s="1"/>
  <c r="T27" i="13"/>
  <c r="S27" i="13"/>
  <c r="R27" i="13"/>
  <c r="AE27" i="13" s="1"/>
  <c r="P27" i="13"/>
  <c r="O27" i="13"/>
  <c r="Q27" i="13" s="1"/>
  <c r="N27" i="13"/>
  <c r="M27" i="13"/>
  <c r="K27" i="13"/>
  <c r="J27" i="13"/>
  <c r="I27" i="13"/>
  <c r="H27" i="13"/>
  <c r="AC27" i="13" s="1"/>
  <c r="F27" i="13"/>
  <c r="E27" i="13"/>
  <c r="D27" i="13"/>
  <c r="C27" i="13"/>
  <c r="Z26" i="13"/>
  <c r="AA26" i="13" s="1"/>
  <c r="Y26" i="13"/>
  <c r="X26" i="13"/>
  <c r="W26" i="13"/>
  <c r="AF26" i="13" s="1"/>
  <c r="U26" i="13"/>
  <c r="T26" i="13"/>
  <c r="S26" i="13"/>
  <c r="R26" i="13"/>
  <c r="P26" i="13"/>
  <c r="O26" i="13"/>
  <c r="N26" i="13"/>
  <c r="M26" i="13"/>
  <c r="AD26" i="13" s="1"/>
  <c r="K26" i="13"/>
  <c r="J26" i="13"/>
  <c r="L26" i="13" s="1"/>
  <c r="I26" i="13"/>
  <c r="H26" i="13"/>
  <c r="F26" i="13"/>
  <c r="E26" i="13"/>
  <c r="D26" i="13"/>
  <c r="C26" i="13"/>
  <c r="AB26" i="13" s="1"/>
  <c r="Z25" i="13"/>
  <c r="Y25" i="13"/>
  <c r="X25" i="13"/>
  <c r="W25" i="13"/>
  <c r="U25" i="13"/>
  <c r="V25" i="13" s="1"/>
  <c r="T25" i="13"/>
  <c r="S25" i="13"/>
  <c r="R25" i="13"/>
  <c r="AE25" i="13" s="1"/>
  <c r="P25" i="13"/>
  <c r="O25" i="13"/>
  <c r="Q25" i="13" s="1"/>
  <c r="N25" i="13"/>
  <c r="M25" i="13"/>
  <c r="K25" i="13"/>
  <c r="J25" i="13"/>
  <c r="I25" i="13"/>
  <c r="H25" i="13"/>
  <c r="AC25" i="13" s="1"/>
  <c r="F25" i="13"/>
  <c r="E25" i="13"/>
  <c r="D25" i="13"/>
  <c r="C25" i="13"/>
  <c r="Z24" i="13"/>
  <c r="AA24" i="13" s="1"/>
  <c r="Y24" i="13"/>
  <c r="X24" i="13"/>
  <c r="W24" i="13"/>
  <c r="AF24" i="13" s="1"/>
  <c r="U24" i="13"/>
  <c r="T24" i="13"/>
  <c r="S24" i="13"/>
  <c r="R24" i="13"/>
  <c r="P24" i="13"/>
  <c r="O24" i="13"/>
  <c r="N24" i="13"/>
  <c r="M24" i="13"/>
  <c r="AD24" i="13" s="1"/>
  <c r="K24" i="13"/>
  <c r="J24" i="13"/>
  <c r="L24" i="13" s="1"/>
  <c r="I24" i="13"/>
  <c r="H24" i="13"/>
  <c r="F24" i="13"/>
  <c r="G24" i="13" s="1"/>
  <c r="E24" i="13"/>
  <c r="D24" i="13"/>
  <c r="C24" i="13"/>
  <c r="AB24" i="13" s="1"/>
  <c r="Z23" i="13"/>
  <c r="Y23" i="13"/>
  <c r="AA23" i="13" s="1"/>
  <c r="X23" i="13"/>
  <c r="W23" i="13"/>
  <c r="U23" i="13"/>
  <c r="V23" i="13" s="1"/>
  <c r="T23" i="13"/>
  <c r="S23" i="13"/>
  <c r="R23" i="13"/>
  <c r="AE23" i="13" s="1"/>
  <c r="P23" i="13"/>
  <c r="O23" i="13"/>
  <c r="N23" i="13"/>
  <c r="M23" i="13"/>
  <c r="K23" i="13"/>
  <c r="J23" i="13"/>
  <c r="I23" i="13"/>
  <c r="H23" i="13"/>
  <c r="AC23" i="13" s="1"/>
  <c r="F23" i="13"/>
  <c r="E23" i="13"/>
  <c r="D23" i="13"/>
  <c r="C23" i="13"/>
  <c r="Z22" i="13"/>
  <c r="AA22" i="13" s="1"/>
  <c r="Y22" i="13"/>
  <c r="X22" i="13"/>
  <c r="W22" i="13"/>
  <c r="AF22" i="13" s="1"/>
  <c r="U22" i="13"/>
  <c r="T22" i="13"/>
  <c r="S22" i="13"/>
  <c r="R22" i="13"/>
  <c r="P22" i="13"/>
  <c r="O22" i="13"/>
  <c r="N22" i="13"/>
  <c r="M22" i="13"/>
  <c r="AD22" i="13" s="1"/>
  <c r="K22" i="13"/>
  <c r="J22" i="13"/>
  <c r="L22" i="13" s="1"/>
  <c r="I22" i="13"/>
  <c r="H22" i="13"/>
  <c r="F22" i="13"/>
  <c r="E22" i="13"/>
  <c r="D22" i="13"/>
  <c r="C22" i="13"/>
  <c r="AB22" i="13" s="1"/>
  <c r="Z21" i="13"/>
  <c r="Y21" i="13"/>
  <c r="X21" i="13"/>
  <c r="W21" i="13"/>
  <c r="U21" i="13"/>
  <c r="V21" i="13" s="1"/>
  <c r="T21" i="13"/>
  <c r="S21" i="13"/>
  <c r="R21" i="13"/>
  <c r="AE21" i="13" s="1"/>
  <c r="P21" i="13"/>
  <c r="O21" i="13"/>
  <c r="N21" i="13"/>
  <c r="M21" i="13"/>
  <c r="K21" i="13"/>
  <c r="J21" i="13"/>
  <c r="I21" i="13"/>
  <c r="H21" i="13"/>
  <c r="AC21" i="13" s="1"/>
  <c r="F21" i="13"/>
  <c r="E21" i="13"/>
  <c r="D21" i="13"/>
  <c r="C21" i="13"/>
  <c r="Z20" i="13"/>
  <c r="AA20" i="13" s="1"/>
  <c r="Y20" i="13"/>
  <c r="X20" i="13"/>
  <c r="W20" i="13"/>
  <c r="AF20" i="13" s="1"/>
  <c r="U20" i="13"/>
  <c r="T20" i="13"/>
  <c r="V20" i="13" s="1"/>
  <c r="S20" i="13"/>
  <c r="R20" i="13"/>
  <c r="P20" i="13"/>
  <c r="O20" i="13"/>
  <c r="N20" i="13"/>
  <c r="M20" i="13"/>
  <c r="AD20" i="13" s="1"/>
  <c r="K20" i="13"/>
  <c r="J20" i="13"/>
  <c r="L20" i="13" s="1"/>
  <c r="I20" i="13"/>
  <c r="H20" i="13"/>
  <c r="F20" i="13"/>
  <c r="G20" i="13" s="1"/>
  <c r="E20" i="13"/>
  <c r="D20" i="13"/>
  <c r="C20" i="13"/>
  <c r="AB20" i="13" s="1"/>
  <c r="AG20" i="13" s="1"/>
  <c r="BK184" i="10" s="1"/>
  <c r="Z19" i="13"/>
  <c r="Y19" i="13"/>
  <c r="AA19" i="13" s="1"/>
  <c r="X19" i="13"/>
  <c r="W19" i="13"/>
  <c r="U19" i="13"/>
  <c r="V19" i="13" s="1"/>
  <c r="T19" i="13"/>
  <c r="S19" i="13"/>
  <c r="R19" i="13"/>
  <c r="AE19" i="13" s="1"/>
  <c r="P19" i="13"/>
  <c r="O19" i="13"/>
  <c r="Q19" i="13" s="1"/>
  <c r="N19" i="13"/>
  <c r="M19" i="13"/>
  <c r="K19" i="13"/>
  <c r="J19" i="13"/>
  <c r="I19" i="13"/>
  <c r="H19" i="13"/>
  <c r="AC19" i="13" s="1"/>
  <c r="F19" i="13"/>
  <c r="E19" i="13"/>
  <c r="D19" i="13"/>
  <c r="C19" i="13"/>
  <c r="Z18" i="13"/>
  <c r="AA18" i="13" s="1"/>
  <c r="Y18" i="13"/>
  <c r="X18" i="13"/>
  <c r="W18" i="13"/>
  <c r="AF18" i="13" s="1"/>
  <c r="U18" i="13"/>
  <c r="T18" i="13"/>
  <c r="S18" i="13"/>
  <c r="R18" i="13"/>
  <c r="P18" i="13"/>
  <c r="O18" i="13"/>
  <c r="N18" i="13"/>
  <c r="M18" i="13"/>
  <c r="AD18" i="13" s="1"/>
  <c r="K18" i="13"/>
  <c r="J18" i="13"/>
  <c r="L18" i="13" s="1"/>
  <c r="I18" i="13"/>
  <c r="H18" i="13"/>
  <c r="F18" i="13"/>
  <c r="E18" i="13"/>
  <c r="D18" i="13"/>
  <c r="C18" i="13"/>
  <c r="AB18" i="13" s="1"/>
  <c r="Z17" i="13"/>
  <c r="Y17" i="13"/>
  <c r="X17" i="13"/>
  <c r="W17" i="13"/>
  <c r="U17" i="13"/>
  <c r="V17" i="13" s="1"/>
  <c r="T17" i="13"/>
  <c r="S17" i="13"/>
  <c r="R17" i="13"/>
  <c r="AE17" i="13" s="1"/>
  <c r="P17" i="13"/>
  <c r="O17" i="13"/>
  <c r="Q17" i="13" s="1"/>
  <c r="N17" i="13"/>
  <c r="M17" i="13"/>
  <c r="K17" i="13"/>
  <c r="J17" i="13"/>
  <c r="I17" i="13"/>
  <c r="H17" i="13"/>
  <c r="AC17" i="13" s="1"/>
  <c r="F17" i="13"/>
  <c r="E17" i="13"/>
  <c r="D17" i="13"/>
  <c r="C17" i="13"/>
  <c r="Z16" i="13"/>
  <c r="Y16" i="13"/>
  <c r="X16" i="13"/>
  <c r="W16" i="13"/>
  <c r="AF16" i="13" s="1"/>
  <c r="U16" i="13"/>
  <c r="T16" i="13"/>
  <c r="V16" i="13" s="1"/>
  <c r="S16" i="13"/>
  <c r="R16" i="13"/>
  <c r="P16" i="13"/>
  <c r="O16" i="13"/>
  <c r="N16" i="13"/>
  <c r="M16" i="13"/>
  <c r="AD16" i="13" s="1"/>
  <c r="K16" i="13"/>
  <c r="J16" i="13"/>
  <c r="L16" i="13" s="1"/>
  <c r="I16" i="13"/>
  <c r="H16" i="13"/>
  <c r="F16" i="13"/>
  <c r="G16" i="13" s="1"/>
  <c r="E16" i="13"/>
  <c r="D16" i="13"/>
  <c r="C16" i="13"/>
  <c r="AB16" i="13" s="1"/>
  <c r="Z15" i="13"/>
  <c r="Y15" i="13"/>
  <c r="AA15" i="13" s="1"/>
  <c r="X15" i="13"/>
  <c r="W15" i="13"/>
  <c r="U15" i="13"/>
  <c r="T15" i="13"/>
  <c r="S15" i="13"/>
  <c r="R15" i="13"/>
  <c r="AE15" i="13" s="1"/>
  <c r="P15" i="13"/>
  <c r="O15" i="13"/>
  <c r="Q15" i="13" s="1"/>
  <c r="N15" i="13"/>
  <c r="M15" i="13"/>
  <c r="K15" i="13"/>
  <c r="J15" i="13"/>
  <c r="I15" i="13"/>
  <c r="H15" i="13"/>
  <c r="AC15" i="13" s="1"/>
  <c r="F15" i="13"/>
  <c r="E15" i="13"/>
  <c r="D15" i="13"/>
  <c r="C15" i="13"/>
  <c r="Z14" i="13"/>
  <c r="Y14" i="13"/>
  <c r="X14" i="13"/>
  <c r="W14" i="13"/>
  <c r="AF14" i="13" s="1"/>
  <c r="U14" i="13"/>
  <c r="T14" i="13"/>
  <c r="S14" i="13"/>
  <c r="R14" i="13"/>
  <c r="P14" i="13"/>
  <c r="O14" i="13"/>
  <c r="N14" i="13"/>
  <c r="M14" i="13"/>
  <c r="AD14" i="13" s="1"/>
  <c r="K14" i="13"/>
  <c r="J14" i="13"/>
  <c r="L14" i="13" s="1"/>
  <c r="I14" i="13"/>
  <c r="H14" i="13"/>
  <c r="F14" i="13"/>
  <c r="E14" i="13"/>
  <c r="D14" i="13"/>
  <c r="C14" i="13"/>
  <c r="Z13" i="13"/>
  <c r="Y13" i="13"/>
  <c r="AA13" i="13" s="1"/>
  <c r="X13" i="13"/>
  <c r="W13" i="13"/>
  <c r="U13" i="13"/>
  <c r="T13" i="13"/>
  <c r="S13" i="13"/>
  <c r="R13" i="13"/>
  <c r="AE13" i="13" s="1"/>
  <c r="P13" i="13"/>
  <c r="O13" i="13"/>
  <c r="N13" i="13"/>
  <c r="M13" i="13"/>
  <c r="K13" i="13"/>
  <c r="J13" i="13"/>
  <c r="I13" i="13"/>
  <c r="H13" i="13"/>
  <c r="AC13" i="13" s="1"/>
  <c r="F13" i="13"/>
  <c r="E13" i="13"/>
  <c r="D13" i="13"/>
  <c r="C13" i="13"/>
  <c r="AB13" i="13" s="1"/>
  <c r="Z12" i="13"/>
  <c r="Y12" i="13"/>
  <c r="X12" i="13"/>
  <c r="W12" i="13"/>
  <c r="AF12" i="13" s="1"/>
  <c r="U12" i="13"/>
  <c r="T12" i="13"/>
  <c r="V12" i="13" s="1"/>
  <c r="S12" i="13"/>
  <c r="R12" i="13"/>
  <c r="P12" i="13"/>
  <c r="O12" i="13"/>
  <c r="N12" i="13"/>
  <c r="M12" i="13"/>
  <c r="AD12" i="13" s="1"/>
  <c r="K12" i="13"/>
  <c r="J12" i="13"/>
  <c r="I12" i="13"/>
  <c r="H12" i="13"/>
  <c r="F12" i="13"/>
  <c r="E12" i="13"/>
  <c r="D12" i="13"/>
  <c r="C12" i="13"/>
  <c r="AB12" i="13" s="1"/>
  <c r="Z11" i="13"/>
  <c r="Y11" i="13"/>
  <c r="X11" i="13"/>
  <c r="W11" i="13"/>
  <c r="U11" i="13"/>
  <c r="T11" i="13"/>
  <c r="S11" i="13"/>
  <c r="R11" i="13"/>
  <c r="AE11" i="13" s="1"/>
  <c r="P11" i="13"/>
  <c r="O11" i="13"/>
  <c r="Q11" i="13" s="1"/>
  <c r="N11" i="13"/>
  <c r="M11" i="13"/>
  <c r="K11" i="13"/>
  <c r="L11" i="13" s="1"/>
  <c r="J11" i="13"/>
  <c r="I11" i="13"/>
  <c r="H11" i="13"/>
  <c r="AC11" i="13" s="1"/>
  <c r="F11" i="13"/>
  <c r="E11" i="13"/>
  <c r="D11" i="13"/>
  <c r="C11" i="13"/>
  <c r="Z10" i="13"/>
  <c r="Y10" i="13"/>
  <c r="X10" i="13"/>
  <c r="W10" i="13"/>
  <c r="AF10" i="13" s="1"/>
  <c r="U10" i="13"/>
  <c r="T10" i="13"/>
  <c r="V10" i="13" s="1"/>
  <c r="S10" i="13"/>
  <c r="R10" i="13"/>
  <c r="P10" i="13"/>
  <c r="O10" i="13"/>
  <c r="N10" i="13"/>
  <c r="M10" i="13"/>
  <c r="AD10" i="13" s="1"/>
  <c r="K10" i="13"/>
  <c r="J10" i="13"/>
  <c r="L10" i="13" s="1"/>
  <c r="I10" i="13"/>
  <c r="H10" i="13"/>
  <c r="AC10" i="13" s="1"/>
  <c r="F10" i="13"/>
  <c r="G10" i="13" s="1"/>
  <c r="E10" i="13"/>
  <c r="D10" i="13"/>
  <c r="C10" i="13"/>
  <c r="AB10" i="13" s="1"/>
  <c r="Z9" i="13"/>
  <c r="Y9" i="13"/>
  <c r="AA9" i="13" s="1"/>
  <c r="X9" i="13"/>
  <c r="W9" i="13"/>
  <c r="U9" i="13"/>
  <c r="V9" i="13" s="1"/>
  <c r="T9" i="13"/>
  <c r="S9" i="13"/>
  <c r="R9" i="13"/>
  <c r="AE9" i="13" s="1"/>
  <c r="P9" i="13"/>
  <c r="O9" i="13"/>
  <c r="N9" i="13"/>
  <c r="M9" i="13"/>
  <c r="K9" i="13"/>
  <c r="J9" i="13"/>
  <c r="I9" i="13"/>
  <c r="H9" i="13"/>
  <c r="AC9" i="13" s="1"/>
  <c r="F9" i="13"/>
  <c r="E9" i="13"/>
  <c r="D9" i="13"/>
  <c r="C9" i="13"/>
  <c r="AB9" i="13" s="1"/>
  <c r="Z8" i="13"/>
  <c r="Y8" i="13"/>
  <c r="X8" i="13"/>
  <c r="W8" i="13"/>
  <c r="AF8" i="13" s="1"/>
  <c r="U8" i="13"/>
  <c r="T8" i="13"/>
  <c r="V8" i="13" s="1"/>
  <c r="S8" i="13"/>
  <c r="R8" i="13"/>
  <c r="P8" i="13"/>
  <c r="O8" i="13"/>
  <c r="N8" i="13"/>
  <c r="M8" i="13"/>
  <c r="AD8" i="13" s="1"/>
  <c r="K8" i="13"/>
  <c r="J8" i="13"/>
  <c r="I8" i="13"/>
  <c r="H8" i="13"/>
  <c r="AC8" i="13" s="1"/>
  <c r="F8" i="13"/>
  <c r="E8" i="13"/>
  <c r="D8" i="13"/>
  <c r="C8" i="13"/>
  <c r="AB8" i="13" s="1"/>
  <c r="Z7" i="13"/>
  <c r="Y7" i="13"/>
  <c r="AA7" i="13" s="1"/>
  <c r="X7" i="13"/>
  <c r="W7" i="13"/>
  <c r="U7" i="13"/>
  <c r="T7" i="13"/>
  <c r="S7" i="13"/>
  <c r="R7" i="13"/>
  <c r="AE7" i="13" s="1"/>
  <c r="P7" i="13"/>
  <c r="O7" i="13"/>
  <c r="N7" i="13"/>
  <c r="M7" i="13"/>
  <c r="K7" i="13"/>
  <c r="J7" i="13"/>
  <c r="I7" i="13"/>
  <c r="H7" i="13"/>
  <c r="AC7" i="13" s="1"/>
  <c r="F7" i="13"/>
  <c r="E7" i="13"/>
  <c r="D7" i="13"/>
  <c r="C7" i="13"/>
  <c r="Z6" i="13"/>
  <c r="Y6" i="13"/>
  <c r="X6" i="13"/>
  <c r="W6" i="13"/>
  <c r="AF6" i="13" s="1"/>
  <c r="U6" i="13"/>
  <c r="T6" i="13"/>
  <c r="V6" i="13" s="1"/>
  <c r="S6" i="13"/>
  <c r="R6" i="13"/>
  <c r="P6" i="13"/>
  <c r="O6" i="13"/>
  <c r="N6" i="13"/>
  <c r="M6" i="13"/>
  <c r="AD6" i="13" s="1"/>
  <c r="K6" i="13"/>
  <c r="J6" i="13"/>
  <c r="I6" i="13"/>
  <c r="H6" i="13"/>
  <c r="AC6" i="13" s="1"/>
  <c r="F6" i="13"/>
  <c r="G6" i="13" s="1"/>
  <c r="E6" i="13"/>
  <c r="D6" i="13"/>
  <c r="C6" i="13"/>
  <c r="AB6" i="13" s="1"/>
  <c r="Z5" i="13"/>
  <c r="Y5" i="13"/>
  <c r="AA5" i="13" s="1"/>
  <c r="X5" i="13"/>
  <c r="W5" i="13"/>
  <c r="U5" i="13"/>
  <c r="T5" i="13"/>
  <c r="S5" i="13"/>
  <c r="R5" i="13"/>
  <c r="AE5" i="13" s="1"/>
  <c r="P5" i="13"/>
  <c r="O5" i="13"/>
  <c r="Q5" i="13" s="1"/>
  <c r="N5" i="13"/>
  <c r="M5" i="13"/>
  <c r="K5" i="13"/>
  <c r="J5" i="13"/>
  <c r="I5" i="13"/>
  <c r="H5" i="13"/>
  <c r="AC5" i="13" s="1"/>
  <c r="F5" i="13"/>
  <c r="E5" i="13"/>
  <c r="D5" i="13"/>
  <c r="C5" i="13"/>
  <c r="AB5" i="13" s="1"/>
  <c r="Z4" i="13"/>
  <c r="Y4" i="13"/>
  <c r="X4" i="13"/>
  <c r="W4" i="13"/>
  <c r="AF4" i="13" s="1"/>
  <c r="U4" i="13"/>
  <c r="T4" i="13"/>
  <c r="V4" i="13" s="1"/>
  <c r="S4" i="13"/>
  <c r="R4" i="13"/>
  <c r="P4" i="13"/>
  <c r="O4" i="13"/>
  <c r="N4" i="13"/>
  <c r="M4" i="13"/>
  <c r="AD4" i="13" s="1"/>
  <c r="K4" i="13"/>
  <c r="J4" i="13"/>
  <c r="I4" i="13"/>
  <c r="H4" i="13"/>
  <c r="F4" i="13"/>
  <c r="E4" i="13"/>
  <c r="D4" i="13"/>
  <c r="C4" i="13"/>
  <c r="AB4" i="13" s="1"/>
  <c r="Z3" i="13"/>
  <c r="Y3" i="13"/>
  <c r="AA3" i="13" s="1"/>
  <c r="X3" i="13"/>
  <c r="W3" i="13"/>
  <c r="U3" i="13"/>
  <c r="T3" i="13"/>
  <c r="S3" i="13"/>
  <c r="R3" i="13"/>
  <c r="AE3" i="13" s="1"/>
  <c r="P3" i="13"/>
  <c r="O3" i="13"/>
  <c r="N3" i="13"/>
  <c r="M3" i="13"/>
  <c r="K3" i="13"/>
  <c r="L3" i="13" s="1"/>
  <c r="J3" i="13"/>
  <c r="I3" i="13"/>
  <c r="H3" i="13"/>
  <c r="AC3" i="13" s="1"/>
  <c r="F3" i="13"/>
  <c r="E3" i="13"/>
  <c r="D3" i="13"/>
  <c r="C3" i="13"/>
  <c r="Z2" i="13"/>
  <c r="Y2" i="13"/>
  <c r="X2" i="13"/>
  <c r="W2" i="13"/>
  <c r="AF2" i="13" s="1"/>
  <c r="U2" i="13"/>
  <c r="T2" i="13"/>
  <c r="V2" i="13" s="1"/>
  <c r="S2" i="13"/>
  <c r="R2" i="13"/>
  <c r="P2" i="13"/>
  <c r="O2" i="13"/>
  <c r="N2" i="13"/>
  <c r="M2" i="13"/>
  <c r="AD2" i="13" s="1"/>
  <c r="K2" i="13"/>
  <c r="J2" i="13"/>
  <c r="I2" i="13"/>
  <c r="H2" i="13"/>
  <c r="AC2" i="13" s="1"/>
  <c r="F2" i="13"/>
  <c r="E2" i="13"/>
  <c r="D2" i="13"/>
  <c r="C2" i="13"/>
  <c r="AB2" i="13" s="1"/>
  <c r="AB33" i="13"/>
  <c r="AF33" i="13"/>
  <c r="AD33" i="13"/>
  <c r="L33" i="13"/>
  <c r="AE32" i="13"/>
  <c r="AC32" i="13"/>
  <c r="V32" i="13"/>
  <c r="Q32" i="13"/>
  <c r="L32" i="13"/>
  <c r="AB31" i="13"/>
  <c r="AF31" i="13"/>
  <c r="AD31" i="13"/>
  <c r="L31" i="13"/>
  <c r="AE30" i="13"/>
  <c r="AC30" i="13"/>
  <c r="Q30" i="13"/>
  <c r="G30" i="13"/>
  <c r="AB29" i="13"/>
  <c r="AF29" i="13"/>
  <c r="Q29" i="13"/>
  <c r="AD29" i="13"/>
  <c r="L29" i="13"/>
  <c r="AE28" i="13"/>
  <c r="AC28" i="13"/>
  <c r="Q28" i="13"/>
  <c r="AB27" i="13"/>
  <c r="AF27" i="13"/>
  <c r="AD27" i="13"/>
  <c r="L27" i="13"/>
  <c r="AE26" i="13"/>
  <c r="AC26" i="13"/>
  <c r="Q26" i="13"/>
  <c r="G26" i="13"/>
  <c r="AB25" i="13"/>
  <c r="AF25" i="13"/>
  <c r="AD25" i="13"/>
  <c r="L25" i="13"/>
  <c r="AE24" i="13"/>
  <c r="AC24" i="13"/>
  <c r="V24" i="13"/>
  <c r="Q24" i="13"/>
  <c r="AB23" i="13"/>
  <c r="AF23" i="13"/>
  <c r="Q23" i="13"/>
  <c r="AD23" i="13"/>
  <c r="L23" i="13"/>
  <c r="AE22" i="13"/>
  <c r="AC22" i="13"/>
  <c r="Q22" i="13"/>
  <c r="G22" i="13"/>
  <c r="AB21" i="13"/>
  <c r="AF21" i="13"/>
  <c r="Q21" i="13"/>
  <c r="AD21" i="13"/>
  <c r="L21" i="13"/>
  <c r="AE20" i="13"/>
  <c r="AC20" i="13"/>
  <c r="Q20" i="13"/>
  <c r="AB19" i="13"/>
  <c r="AF19" i="13"/>
  <c r="AD19" i="13"/>
  <c r="L19" i="13"/>
  <c r="AE18" i="13"/>
  <c r="AC18" i="13"/>
  <c r="Q18" i="13"/>
  <c r="G18" i="13"/>
  <c r="AB17" i="13"/>
  <c r="AF17" i="13"/>
  <c r="AD17" i="13"/>
  <c r="L17" i="13"/>
  <c r="AC16" i="13"/>
  <c r="AA16" i="13"/>
  <c r="AE16" i="13"/>
  <c r="Q16" i="13"/>
  <c r="AB15" i="13"/>
  <c r="AF15" i="13"/>
  <c r="V15" i="13"/>
  <c r="AD15" i="13"/>
  <c r="L15" i="13"/>
  <c r="AC14" i="13"/>
  <c r="AB14" i="13"/>
  <c r="AA14" i="13"/>
  <c r="V14" i="13"/>
  <c r="AE14" i="13"/>
  <c r="Q14" i="13"/>
  <c r="G14" i="13"/>
  <c r="AF13" i="13"/>
  <c r="V13" i="13"/>
  <c r="Q13" i="13"/>
  <c r="AD13" i="13"/>
  <c r="AC12" i="13"/>
  <c r="AA12" i="13"/>
  <c r="AE12" i="13"/>
  <c r="Q12" i="13"/>
  <c r="AB11" i="13"/>
  <c r="AA11" i="13"/>
  <c r="AF11" i="13"/>
  <c r="V11" i="13"/>
  <c r="AD11" i="13"/>
  <c r="AA10" i="13"/>
  <c r="AE10" i="13"/>
  <c r="Q10" i="13"/>
  <c r="AF9" i="13"/>
  <c r="Q9" i="13"/>
  <c r="AD9" i="13"/>
  <c r="AA8" i="13"/>
  <c r="AE8" i="13"/>
  <c r="Q8" i="13"/>
  <c r="AB7" i="13"/>
  <c r="AF7" i="13"/>
  <c r="V7" i="13"/>
  <c r="Q7" i="13"/>
  <c r="AD7" i="13"/>
  <c r="L7" i="13"/>
  <c r="AA6" i="13"/>
  <c r="AE6" i="13"/>
  <c r="Q6" i="13"/>
  <c r="L6" i="13"/>
  <c r="AF5" i="13"/>
  <c r="V5" i="13"/>
  <c r="AD5" i="13"/>
  <c r="AC4" i="13"/>
  <c r="AA4" i="13"/>
  <c r="AE4" i="13"/>
  <c r="Q4" i="13"/>
  <c r="AB3" i="13"/>
  <c r="AF3" i="13"/>
  <c r="V3" i="13"/>
  <c r="Q3" i="13"/>
  <c r="AD3" i="13"/>
  <c r="AE2" i="13"/>
  <c r="Q2" i="13"/>
  <c r="AG30" i="13" l="1"/>
  <c r="BK194" i="10" s="1"/>
  <c r="G2" i="13"/>
  <c r="AA2" i="13"/>
  <c r="L5" i="13"/>
  <c r="L9" i="13"/>
  <c r="L13" i="13"/>
  <c r="AH32" i="13"/>
  <c r="AG24" i="13"/>
  <c r="BK188" i="10" s="1"/>
  <c r="AG22" i="13"/>
  <c r="BK186" i="10" s="1"/>
  <c r="G3" i="13"/>
  <c r="L4" i="13"/>
  <c r="G5" i="13"/>
  <c r="G7" i="13"/>
  <c r="L8" i="13"/>
  <c r="G9" i="13"/>
  <c r="G11" i="13"/>
  <c r="L12" i="13"/>
  <c r="G13" i="13"/>
  <c r="G15" i="13"/>
  <c r="G17" i="13"/>
  <c r="AA17" i="13"/>
  <c r="V18" i="13"/>
  <c r="G19" i="13"/>
  <c r="G21" i="13"/>
  <c r="AH21" i="13" s="1"/>
  <c r="AA21" i="13"/>
  <c r="V22" i="13"/>
  <c r="AH22" i="13" s="1"/>
  <c r="G23" i="13"/>
  <c r="G25" i="13"/>
  <c r="AA25" i="13"/>
  <c r="V26" i="13"/>
  <c r="G27" i="13"/>
  <c r="G29" i="13"/>
  <c r="AA29" i="13"/>
  <c r="V30" i="13"/>
  <c r="AH30" i="13" s="1"/>
  <c r="G31" i="13"/>
  <c r="G33" i="13"/>
  <c r="AA33" i="13"/>
  <c r="G4" i="13"/>
  <c r="G8" i="13"/>
  <c r="AH8" i="13" s="1"/>
  <c r="G12" i="13"/>
  <c r="L2" i="13"/>
  <c r="AG4" i="13"/>
  <c r="BK168" i="10" s="1"/>
  <c r="AG8" i="13"/>
  <c r="BK172" i="10" s="1"/>
  <c r="AG3" i="13"/>
  <c r="BK167" i="10" s="1"/>
  <c r="AG11" i="13"/>
  <c r="BK175" i="10" s="1"/>
  <c r="AG23" i="13"/>
  <c r="BK187" i="10" s="1"/>
  <c r="AG21" i="13"/>
  <c r="BK185" i="10" s="1"/>
  <c r="AG29" i="13"/>
  <c r="AG31" i="13"/>
  <c r="AG9" i="13"/>
  <c r="AG2" i="13"/>
  <c r="AG10" i="13"/>
  <c r="AG12" i="13"/>
  <c r="AH20" i="13"/>
  <c r="AH28" i="13"/>
  <c r="AG5" i="13"/>
  <c r="AG13" i="13"/>
  <c r="AG14" i="13"/>
  <c r="AG15" i="13"/>
  <c r="AG16" i="13"/>
  <c r="AG17" i="13"/>
  <c r="AG25" i="13"/>
  <c r="AG33" i="13"/>
  <c r="BK197" i="10" s="1"/>
  <c r="AG6" i="13"/>
  <c r="AG18" i="13"/>
  <c r="AG26" i="13"/>
  <c r="AG7" i="13"/>
  <c r="AH11" i="13"/>
  <c r="AG19" i="13"/>
  <c r="AH23" i="13"/>
  <c r="AG27" i="13"/>
  <c r="BP186" i="10" l="1"/>
  <c r="BL186" i="10"/>
  <c r="BP185" i="10"/>
  <c r="BL185" i="10"/>
  <c r="BP194" i="10"/>
  <c r="BL194" i="10"/>
  <c r="AH29" i="13"/>
  <c r="BK193" i="10"/>
  <c r="BP184" i="10"/>
  <c r="BL184" i="10"/>
  <c r="BP196" i="10"/>
  <c r="BL196" i="10"/>
  <c r="AH17" i="13"/>
  <c r="BK181" i="10"/>
  <c r="AH4" i="13"/>
  <c r="BP168" i="10" s="1"/>
  <c r="AH26" i="13"/>
  <c r="BK190" i="10"/>
  <c r="AH33" i="13"/>
  <c r="AH25" i="13"/>
  <c r="BK189" i="10"/>
  <c r="AH24" i="13"/>
  <c r="AH16" i="13"/>
  <c r="BK180" i="10"/>
  <c r="AH15" i="13"/>
  <c r="BK179" i="10"/>
  <c r="AH27" i="13"/>
  <c r="BK191" i="10"/>
  <c r="AH18" i="13"/>
  <c r="BK182" i="10"/>
  <c r="AH14" i="13"/>
  <c r="BK178" i="10"/>
  <c r="BP187" i="10"/>
  <c r="BL187" i="10"/>
  <c r="AH19" i="13"/>
  <c r="BK183" i="10"/>
  <c r="AH31" i="13"/>
  <c r="BK195" i="10"/>
  <c r="BP192" i="10"/>
  <c r="BL192" i="10"/>
  <c r="BP172" i="10"/>
  <c r="BL172" i="10"/>
  <c r="AH12" i="13"/>
  <c r="BK176" i="10"/>
  <c r="AH10" i="13"/>
  <c r="BK174" i="10"/>
  <c r="AH6" i="13"/>
  <c r="BK170" i="10"/>
  <c r="AH13" i="13"/>
  <c r="BK177" i="10"/>
  <c r="BP175" i="10"/>
  <c r="BL175" i="10"/>
  <c r="AH5" i="13"/>
  <c r="BK169" i="10"/>
  <c r="AH9" i="13"/>
  <c r="BK173" i="10"/>
  <c r="AH7" i="13"/>
  <c r="BK171" i="10"/>
  <c r="AH3" i="13"/>
  <c r="AH2" i="13"/>
  <c r="BK166" i="10"/>
  <c r="BP193" i="10" l="1"/>
  <c r="BL193" i="10"/>
  <c r="BP178" i="10"/>
  <c r="BL178" i="10"/>
  <c r="BP180" i="10"/>
  <c r="BL180" i="10"/>
  <c r="BL168" i="10"/>
  <c r="BP188" i="10"/>
  <c r="BL188" i="10"/>
  <c r="BP181" i="10"/>
  <c r="BL181" i="10"/>
  <c r="BP190" i="10"/>
  <c r="BL190" i="10"/>
  <c r="BP195" i="10"/>
  <c r="BL195" i="10"/>
  <c r="BP182" i="10"/>
  <c r="BL182" i="10"/>
  <c r="BP189" i="10"/>
  <c r="BL189" i="10"/>
  <c r="BP179" i="10"/>
  <c r="BL179" i="10"/>
  <c r="BP183" i="10"/>
  <c r="BL183" i="10"/>
  <c r="BP191" i="10"/>
  <c r="BL191" i="10"/>
  <c r="BP197" i="10"/>
  <c r="BL197" i="10"/>
  <c r="BL173" i="10"/>
  <c r="BP173" i="10"/>
  <c r="BP170" i="10"/>
  <c r="BL170" i="10"/>
  <c r="BP169" i="10"/>
  <c r="BL169" i="10"/>
  <c r="BP167" i="10"/>
  <c r="BL167" i="10"/>
  <c r="BL171" i="10"/>
  <c r="BP171" i="10"/>
  <c r="BL177" i="10"/>
  <c r="BP177" i="10"/>
  <c r="BP176" i="10"/>
  <c r="BL176" i="10"/>
  <c r="BP174" i="10"/>
  <c r="BL174" i="10"/>
  <c r="BP166" i="10"/>
  <c r="BL166" i="10"/>
  <c r="BT29" i="10" l="1"/>
  <c r="BS29" i="10"/>
  <c r="BT28" i="10"/>
  <c r="BS28" i="10"/>
  <c r="BT27" i="10"/>
  <c r="BS27" i="10"/>
  <c r="BT26" i="10"/>
  <c r="BS26" i="10"/>
  <c r="BT25" i="10"/>
  <c r="BS25" i="10"/>
  <c r="BT24" i="10"/>
  <c r="BS24" i="10"/>
  <c r="BT23" i="10"/>
  <c r="BS23" i="10"/>
  <c r="BT22" i="10"/>
  <c r="BS22" i="10"/>
  <c r="BT21" i="10"/>
  <c r="BS21" i="10"/>
  <c r="BT20" i="10"/>
  <c r="BS20" i="10"/>
  <c r="BT19" i="10"/>
  <c r="BS19" i="10"/>
  <c r="BT18" i="10"/>
  <c r="BS18" i="10"/>
  <c r="BT17" i="10"/>
  <c r="BS17" i="10"/>
  <c r="BT16" i="10"/>
  <c r="BS16" i="10"/>
  <c r="BT15" i="10"/>
  <c r="BS15" i="10"/>
  <c r="BT14" i="10"/>
  <c r="BS14" i="10"/>
  <c r="BT13" i="10"/>
  <c r="BS13" i="10"/>
  <c r="BT12" i="10"/>
  <c r="BS12" i="10"/>
  <c r="BT11" i="10"/>
  <c r="BS11" i="10"/>
  <c r="BT10" i="10"/>
  <c r="BS10" i="10"/>
  <c r="BT9" i="10"/>
  <c r="BS9" i="10"/>
  <c r="BT8" i="10"/>
  <c r="BS8" i="10"/>
  <c r="BT7" i="10"/>
  <c r="BS7" i="10"/>
  <c r="BT6" i="10"/>
  <c r="BT32" i="10" s="1"/>
  <c r="BS6" i="10"/>
  <c r="BT31" i="10" s="1"/>
  <c r="AC7" i="10" l="1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6" i="10"/>
  <c r="AA7" i="10"/>
  <c r="AA8" i="10"/>
  <c r="AA9" i="10"/>
  <c r="AA10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H7" i="10"/>
  <c r="I7" i="10"/>
  <c r="J7" i="10"/>
  <c r="H8" i="10"/>
  <c r="I8" i="10"/>
  <c r="J8" i="10"/>
  <c r="H9" i="10"/>
  <c r="I9" i="10"/>
  <c r="J9" i="10"/>
  <c r="H10" i="10"/>
  <c r="I10" i="10"/>
  <c r="J10" i="10"/>
  <c r="H11" i="10"/>
  <c r="I11" i="10"/>
  <c r="J11" i="10"/>
  <c r="H12" i="10"/>
  <c r="I12" i="10"/>
  <c r="J12" i="10"/>
  <c r="H13" i="10"/>
  <c r="I13" i="10"/>
  <c r="J13" i="10"/>
  <c r="H14" i="10"/>
  <c r="I14" i="10"/>
  <c r="J14" i="10"/>
  <c r="H15" i="10"/>
  <c r="I15" i="10"/>
  <c r="J15" i="10"/>
  <c r="H16" i="10"/>
  <c r="I16" i="10"/>
  <c r="J16" i="10"/>
  <c r="H17" i="10"/>
  <c r="I17" i="10"/>
  <c r="J17" i="10"/>
  <c r="H18" i="10"/>
  <c r="I18" i="10"/>
  <c r="J18" i="10"/>
  <c r="H19" i="10"/>
  <c r="I19" i="10"/>
  <c r="J19" i="10"/>
  <c r="H20" i="10"/>
  <c r="I20" i="10"/>
  <c r="J20" i="10"/>
  <c r="H21" i="10"/>
  <c r="I21" i="10"/>
  <c r="J21" i="10"/>
  <c r="H22" i="10"/>
  <c r="I22" i="10"/>
  <c r="J22" i="10"/>
  <c r="H23" i="10"/>
  <c r="I23" i="10"/>
  <c r="J23" i="10"/>
  <c r="H24" i="10"/>
  <c r="I24" i="10"/>
  <c r="J24" i="10"/>
  <c r="H25" i="10"/>
  <c r="I25" i="10"/>
  <c r="J25" i="10"/>
  <c r="H26" i="10"/>
  <c r="I26" i="10"/>
  <c r="J26" i="10"/>
  <c r="H27" i="10"/>
  <c r="I27" i="10"/>
  <c r="J27" i="10"/>
  <c r="H28" i="10"/>
  <c r="I28" i="10"/>
  <c r="J28" i="10"/>
  <c r="H29" i="10"/>
  <c r="I29" i="10"/>
  <c r="J29" i="10"/>
  <c r="AA6" i="10"/>
  <c r="J6" i="10"/>
  <c r="I6" i="10"/>
  <c r="H6" i="10"/>
  <c r="AO31" i="10" l="1"/>
  <c r="BH2" i="10" l="1"/>
  <c r="AH29" i="10" l="1"/>
  <c r="AH28" i="10"/>
  <c r="AH27" i="10"/>
  <c r="AH26" i="10"/>
  <c r="AH25" i="10"/>
  <c r="AH24" i="10"/>
  <c r="AH23" i="10"/>
  <c r="AH22" i="10"/>
  <c r="AH21" i="10"/>
  <c r="AH20" i="10"/>
  <c r="AH19" i="10"/>
  <c r="AH18" i="10"/>
  <c r="AH17" i="10"/>
  <c r="AH16" i="10"/>
  <c r="AH15" i="10"/>
  <c r="AH14" i="10"/>
  <c r="AH13" i="10"/>
  <c r="AH12" i="10"/>
  <c r="AH11" i="10"/>
  <c r="AH10" i="10"/>
  <c r="AH9" i="10"/>
  <c r="AH8" i="10"/>
  <c r="AH7" i="10"/>
  <c r="AH6" i="10"/>
  <c r="AG30" i="10" l="1"/>
  <c r="BH31" i="10" l="1"/>
  <c r="L30" i="10" l="1"/>
  <c r="BD3" i="10"/>
  <c r="BR17" i="10"/>
  <c r="Z8" i="10" l="1"/>
  <c r="Z9" i="10"/>
  <c r="Z10" i="10"/>
  <c r="Z11" i="10"/>
  <c r="Z12" i="10"/>
  <c r="Z13" i="10"/>
  <c r="Z14" i="10"/>
  <c r="Z15" i="10"/>
  <c r="Z16" i="10"/>
  <c r="Z17" i="10"/>
  <c r="Z18" i="10"/>
  <c r="Z19" i="10"/>
  <c r="Z20" i="10"/>
  <c r="Z21" i="10"/>
  <c r="Z22" i="10"/>
  <c r="Z23" i="10"/>
  <c r="Z24" i="10"/>
  <c r="Z25" i="10"/>
  <c r="Z26" i="10"/>
  <c r="Z27" i="10"/>
  <c r="Z28" i="10"/>
  <c r="Z29" i="10"/>
  <c r="Z7" i="10"/>
  <c r="Z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AI29" i="10"/>
  <c r="AE7" i="10" l="1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26" i="10"/>
  <c r="AE27" i="10"/>
  <c r="AE28" i="10"/>
  <c r="AE29" i="10"/>
  <c r="AE6" i="10"/>
  <c r="BJ7" i="10" l="1"/>
  <c r="BJ8" i="10"/>
  <c r="BJ9" i="10"/>
  <c r="BJ10" i="10"/>
  <c r="BJ11" i="10"/>
  <c r="BJ12" i="10"/>
  <c r="BJ13" i="10"/>
  <c r="BJ14" i="10"/>
  <c r="BJ15" i="10"/>
  <c r="BJ16" i="10"/>
  <c r="BJ17" i="10"/>
  <c r="BJ18" i="10"/>
  <c r="BJ19" i="10"/>
  <c r="BJ20" i="10"/>
  <c r="BJ21" i="10"/>
  <c r="BJ22" i="10"/>
  <c r="BJ23" i="10"/>
  <c r="BJ24" i="10"/>
  <c r="BJ25" i="10"/>
  <c r="BJ26" i="10"/>
  <c r="BJ27" i="10"/>
  <c r="BJ28" i="10"/>
  <c r="BQ6" i="10"/>
  <c r="J3" i="14" s="1"/>
  <c r="BQ32" i="10" l="1"/>
  <c r="BD32" i="10"/>
  <c r="BD31" i="10"/>
  <c r="BJ29" i="10"/>
  <c r="BJ6" i="10"/>
  <c r="BP31" i="10"/>
  <c r="BP32" i="10" s="1"/>
  <c r="AV31" i="10"/>
  <c r="BL32" i="10" l="1"/>
  <c r="AU7" i="10"/>
  <c r="AU8" i="10"/>
  <c r="AU9" i="10"/>
  <c r="AU10" i="10"/>
  <c r="AU11" i="10"/>
  <c r="AU12" i="10"/>
  <c r="AU13" i="10"/>
  <c r="AU14" i="10"/>
  <c r="AU15" i="10"/>
  <c r="AU16" i="10"/>
  <c r="AU17" i="10"/>
  <c r="AU18" i="10"/>
  <c r="AU19" i="10"/>
  <c r="AU20" i="10"/>
  <c r="AU21" i="10"/>
  <c r="AU22" i="10"/>
  <c r="AU23" i="10"/>
  <c r="AU24" i="10"/>
  <c r="AU25" i="10"/>
  <c r="AU26" i="10"/>
  <c r="AU27" i="10"/>
  <c r="AU28" i="10"/>
  <c r="AU29" i="10"/>
  <c r="AU6" i="10"/>
  <c r="AT7" i="10"/>
  <c r="AT8" i="10"/>
  <c r="AT9" i="10"/>
  <c r="AT10" i="10"/>
  <c r="AT11" i="10"/>
  <c r="AT12" i="10"/>
  <c r="AT13" i="10"/>
  <c r="AT14" i="10"/>
  <c r="AT15" i="10"/>
  <c r="AT16" i="10"/>
  <c r="AT17" i="10"/>
  <c r="AT18" i="10"/>
  <c r="AT19" i="10"/>
  <c r="AT20" i="10"/>
  <c r="AT21" i="10"/>
  <c r="AT22" i="10"/>
  <c r="AT23" i="10"/>
  <c r="AT24" i="10"/>
  <c r="AT25" i="10"/>
  <c r="AT26" i="10"/>
  <c r="AT27" i="10"/>
  <c r="AT28" i="10"/>
  <c r="AT29" i="10"/>
  <c r="AT6" i="10"/>
  <c r="AS7" i="10"/>
  <c r="AS8" i="10"/>
  <c r="AS9" i="10"/>
  <c r="AS10" i="10"/>
  <c r="AS11" i="10"/>
  <c r="AS12" i="10"/>
  <c r="AS13" i="10"/>
  <c r="AS14" i="10"/>
  <c r="AS15" i="10"/>
  <c r="AS16" i="10"/>
  <c r="AS17" i="10"/>
  <c r="AS18" i="10"/>
  <c r="AS19" i="10"/>
  <c r="AS20" i="10"/>
  <c r="AS21" i="10"/>
  <c r="AS22" i="10"/>
  <c r="AS23" i="10"/>
  <c r="AS24" i="10"/>
  <c r="AS25" i="10"/>
  <c r="AS26" i="10"/>
  <c r="AS27" i="10"/>
  <c r="AS28" i="10"/>
  <c r="AS29" i="10"/>
  <c r="AS6" i="10"/>
  <c r="AN7" i="10"/>
  <c r="AN8" i="10"/>
  <c r="AN9" i="10"/>
  <c r="AN10" i="10"/>
  <c r="AN11" i="10"/>
  <c r="AN12" i="10"/>
  <c r="AN13" i="10"/>
  <c r="AN14" i="10"/>
  <c r="AN15" i="10"/>
  <c r="AN16" i="10"/>
  <c r="AN17" i="10"/>
  <c r="AN18" i="10"/>
  <c r="AN19" i="10"/>
  <c r="AN20" i="10"/>
  <c r="AN21" i="10"/>
  <c r="AN22" i="10"/>
  <c r="AN23" i="10"/>
  <c r="AN24" i="10"/>
  <c r="AN25" i="10"/>
  <c r="AN26" i="10"/>
  <c r="AN27" i="10"/>
  <c r="AN28" i="10"/>
  <c r="AN29" i="10"/>
  <c r="AN6" i="10"/>
  <c r="AM7" i="10"/>
  <c r="AM8" i="10"/>
  <c r="AM9" i="10"/>
  <c r="AM10" i="10"/>
  <c r="AM11" i="10"/>
  <c r="AM12" i="10"/>
  <c r="AM13" i="10"/>
  <c r="AM14" i="10"/>
  <c r="AM15" i="10"/>
  <c r="AM16" i="10"/>
  <c r="AM17" i="10"/>
  <c r="AM18" i="10"/>
  <c r="AM19" i="10"/>
  <c r="AM20" i="10"/>
  <c r="AM21" i="10"/>
  <c r="AM22" i="10"/>
  <c r="AM23" i="10"/>
  <c r="AM24" i="10"/>
  <c r="AM25" i="10"/>
  <c r="AM26" i="10"/>
  <c r="AM27" i="10"/>
  <c r="AM28" i="10"/>
  <c r="AM29" i="10"/>
  <c r="AM6" i="10"/>
  <c r="AZ29" i="10" l="1"/>
  <c r="AZ28" i="10"/>
  <c r="AZ27" i="10"/>
  <c r="AZ26" i="10"/>
  <c r="AZ25" i="10"/>
  <c r="AZ24" i="10"/>
  <c r="AZ23" i="10"/>
  <c r="AZ22" i="10"/>
  <c r="AZ21" i="10"/>
  <c r="AZ20" i="10"/>
  <c r="AZ19" i="10"/>
  <c r="AZ18" i="10"/>
  <c r="AZ17" i="10"/>
  <c r="AZ16" i="10"/>
  <c r="AZ15" i="10"/>
  <c r="AZ14" i="10"/>
  <c r="AZ13" i="10"/>
  <c r="AZ12" i="10"/>
  <c r="AZ11" i="10"/>
  <c r="AZ10" i="10"/>
  <c r="AZ9" i="10"/>
  <c r="AZ8" i="10"/>
  <c r="AZ7" i="10"/>
  <c r="AZ6" i="10"/>
  <c r="O7" i="10" l="1"/>
  <c r="AF7" i="10" s="1"/>
  <c r="O8" i="10"/>
  <c r="O9" i="10"/>
  <c r="AF9" i="10" s="1"/>
  <c r="O10" i="10"/>
  <c r="AF10" i="10" s="1"/>
  <c r="O11" i="10"/>
  <c r="AF11" i="10" s="1"/>
  <c r="O12" i="10"/>
  <c r="O13" i="10"/>
  <c r="AF13" i="10" s="1"/>
  <c r="O14" i="10"/>
  <c r="AF14" i="10" s="1"/>
  <c r="O15" i="10"/>
  <c r="AF15" i="10" s="1"/>
  <c r="O16" i="10"/>
  <c r="AF16" i="10" s="1"/>
  <c r="O17" i="10"/>
  <c r="AF17" i="10" s="1"/>
  <c r="O18" i="10"/>
  <c r="AF18" i="10" s="1"/>
  <c r="O19" i="10"/>
  <c r="AF19" i="10" s="1"/>
  <c r="O20" i="10"/>
  <c r="AF20" i="10" s="1"/>
  <c r="O21" i="10"/>
  <c r="AF21" i="10" s="1"/>
  <c r="O22" i="10"/>
  <c r="AF22" i="10" s="1"/>
  <c r="O23" i="10"/>
  <c r="AF23" i="10" s="1"/>
  <c r="O24" i="10"/>
  <c r="AF24" i="10" s="1"/>
  <c r="O25" i="10"/>
  <c r="AF25" i="10" s="1"/>
  <c r="O26" i="10"/>
  <c r="AF26" i="10" s="1"/>
  <c r="O27" i="10"/>
  <c r="AF27" i="10" s="1"/>
  <c r="O28" i="10"/>
  <c r="AF28" i="10" s="1"/>
  <c r="O29" i="10"/>
  <c r="AF29" i="10" s="1"/>
  <c r="O6" i="10"/>
  <c r="B20" i="10"/>
  <c r="AR20" i="10" s="1"/>
  <c r="B21" i="10"/>
  <c r="AR21" i="10" s="1"/>
  <c r="B22" i="10"/>
  <c r="AR22" i="10" s="1"/>
  <c r="B23" i="10"/>
  <c r="AR23" i="10" s="1"/>
  <c r="B24" i="10"/>
  <c r="AR24" i="10" s="1"/>
  <c r="B25" i="10"/>
  <c r="AR25" i="10" s="1"/>
  <c r="B26" i="10"/>
  <c r="AR26" i="10" s="1"/>
  <c r="B27" i="10"/>
  <c r="AR27" i="10" s="1"/>
  <c r="B28" i="10"/>
  <c r="AR28" i="10" s="1"/>
  <c r="B29" i="10"/>
  <c r="AR29" i="10" s="1"/>
  <c r="B14" i="10"/>
  <c r="AR14" i="10" s="1"/>
  <c r="B15" i="10"/>
  <c r="AR15" i="10" s="1"/>
  <c r="B16" i="10"/>
  <c r="AR16" i="10" s="1"/>
  <c r="B17" i="10"/>
  <c r="AR17" i="10" s="1"/>
  <c r="B18" i="10"/>
  <c r="AR18" i="10" s="1"/>
  <c r="B19" i="10"/>
  <c r="AR19" i="10" s="1"/>
  <c r="B6" i="10"/>
  <c r="AR6" i="10" s="1"/>
  <c r="AD6" i="10" l="1"/>
  <c r="AF6" i="10"/>
  <c r="AD12" i="10"/>
  <c r="BB12" i="10" s="1"/>
  <c r="AF12" i="10"/>
  <c r="AD8" i="10"/>
  <c r="BB8" i="10" s="1"/>
  <c r="AF8" i="10"/>
  <c r="AD18" i="10"/>
  <c r="BB18" i="10" s="1"/>
  <c r="AD10" i="10"/>
  <c r="BB10" i="10" s="1"/>
  <c r="AD19" i="10"/>
  <c r="BB19" i="10" s="1"/>
  <c r="AD9" i="10"/>
  <c r="BB9" i="10" s="1"/>
  <c r="AD20" i="10"/>
  <c r="BB20" i="10" s="1"/>
  <c r="AD27" i="10"/>
  <c r="BB27" i="10" s="1"/>
  <c r="AD25" i="10"/>
  <c r="BB25" i="10" s="1"/>
  <c r="AD11" i="10"/>
  <c r="BB11" i="10" s="1"/>
  <c r="AD26" i="10"/>
  <c r="BB26" i="10" s="1"/>
  <c r="AD23" i="10"/>
  <c r="BB23" i="10" s="1"/>
  <c r="AD15" i="10"/>
  <c r="BB15" i="10" s="1"/>
  <c r="AD7" i="10"/>
  <c r="BB7" i="10" s="1"/>
  <c r="AD28" i="10"/>
  <c r="BB28" i="10" s="1"/>
  <c r="AD17" i="10"/>
  <c r="BB17" i="10" s="1"/>
  <c r="AD24" i="10"/>
  <c r="BB24" i="10" s="1"/>
  <c r="AD16" i="10"/>
  <c r="BB16" i="10" s="1"/>
  <c r="AD22" i="10"/>
  <c r="BB22" i="10" s="1"/>
  <c r="AD14" i="10"/>
  <c r="BB14" i="10" s="1"/>
  <c r="AD29" i="10"/>
  <c r="BB29" i="10" s="1"/>
  <c r="AD21" i="10"/>
  <c r="BB21" i="10" s="1"/>
  <c r="AD13" i="10"/>
  <c r="BB13" i="10" s="1"/>
  <c r="BB6" i="10"/>
  <c r="B7" i="10"/>
  <c r="BI15" i="10"/>
  <c r="BI16" i="10"/>
  <c r="BI17" i="10"/>
  <c r="BI18" i="10"/>
  <c r="BI19" i="10"/>
  <c r="BI20" i="10"/>
  <c r="BI21" i="10"/>
  <c r="BI22" i="10"/>
  <c r="BI23" i="10"/>
  <c r="BI24" i="10"/>
  <c r="BI25" i="10"/>
  <c r="BI26" i="10"/>
  <c r="BI27" i="10"/>
  <c r="BI28" i="10"/>
  <c r="BI29" i="10"/>
  <c r="BD15" i="10"/>
  <c r="BD16" i="10"/>
  <c r="BD17" i="10"/>
  <c r="BD18" i="10"/>
  <c r="BD19" i="10"/>
  <c r="AG15" i="10"/>
  <c r="AG16" i="10"/>
  <c r="AG17" i="10"/>
  <c r="AG18" i="10"/>
  <c r="AG19" i="10"/>
  <c r="AG20" i="10"/>
  <c r="AG21" i="10"/>
  <c r="AG22" i="10"/>
  <c r="AG23" i="10"/>
  <c r="AG24" i="10"/>
  <c r="AG25" i="10"/>
  <c r="AG26" i="10"/>
  <c r="AG27" i="10"/>
  <c r="AG28" i="10"/>
  <c r="AG29" i="10"/>
  <c r="AB15" i="10"/>
  <c r="AO15" i="10" s="1"/>
  <c r="AB16" i="10"/>
  <c r="AO16" i="10" s="1"/>
  <c r="AB17" i="10"/>
  <c r="AO17" i="10" s="1"/>
  <c r="AB18" i="10"/>
  <c r="AO18" i="10" s="1"/>
  <c r="AB19" i="10"/>
  <c r="AO19" i="10" s="1"/>
  <c r="AB20" i="10"/>
  <c r="AO20" i="10" s="1"/>
  <c r="AB21" i="10"/>
  <c r="AO21" i="10" s="1"/>
  <c r="AB22" i="10"/>
  <c r="AO22" i="10" s="1"/>
  <c r="AB23" i="10"/>
  <c r="AO23" i="10" s="1"/>
  <c r="AB24" i="10"/>
  <c r="AO24" i="10" s="1"/>
  <c r="AB25" i="10"/>
  <c r="AO25" i="10" s="1"/>
  <c r="AB26" i="10"/>
  <c r="AO26" i="10" s="1"/>
  <c r="AB27" i="10"/>
  <c r="AO27" i="10" s="1"/>
  <c r="AB28" i="10"/>
  <c r="AO28" i="10" s="1"/>
  <c r="AB29" i="10"/>
  <c r="AO29" i="10" s="1"/>
  <c r="BG29" i="10"/>
  <c r="BG28" i="10"/>
  <c r="BG27" i="10"/>
  <c r="BG26" i="10"/>
  <c r="BG25" i="10"/>
  <c r="BG24" i="10"/>
  <c r="BG23" i="10"/>
  <c r="BG22" i="10"/>
  <c r="BG21" i="10"/>
  <c r="BG20" i="10"/>
  <c r="BG19" i="10"/>
  <c r="BG18" i="10"/>
  <c r="BG17" i="10"/>
  <c r="BG16" i="10"/>
  <c r="BG15" i="10"/>
  <c r="BG14" i="10"/>
  <c r="BG13" i="10"/>
  <c r="BG12" i="10"/>
  <c r="BG11" i="10"/>
  <c r="BG10" i="10"/>
  <c r="BG9" i="10"/>
  <c r="BG8" i="10"/>
  <c r="BG7" i="10"/>
  <c r="BG6" i="10"/>
  <c r="AR7" i="10" l="1"/>
  <c r="B8" i="10"/>
  <c r="BD28" i="10"/>
  <c r="AL20" i="10"/>
  <c r="AV20" i="10" s="1"/>
  <c r="L17" i="14" s="1"/>
  <c r="BD20" i="10"/>
  <c r="AL27" i="10"/>
  <c r="AV27" i="10" s="1"/>
  <c r="L24" i="14" s="1"/>
  <c r="BD27" i="10"/>
  <c r="BD26" i="10"/>
  <c r="AL25" i="10"/>
  <c r="AV25" i="10" s="1"/>
  <c r="L22" i="14" s="1"/>
  <c r="BD25" i="10"/>
  <c r="AL21" i="10"/>
  <c r="AV21" i="10" s="1"/>
  <c r="L18" i="14" s="1"/>
  <c r="BD21" i="10"/>
  <c r="AL24" i="10"/>
  <c r="AV24" i="10" s="1"/>
  <c r="L21" i="14" s="1"/>
  <c r="BD24" i="10"/>
  <c r="AL29" i="10"/>
  <c r="AV29" i="10" s="1"/>
  <c r="L26" i="14" s="1"/>
  <c r="BD29" i="10"/>
  <c r="AL23" i="10"/>
  <c r="AV23" i="10" s="1"/>
  <c r="L20" i="14" s="1"/>
  <c r="BD23" i="10"/>
  <c r="BD22" i="10"/>
  <c r="D29" i="10"/>
  <c r="AB14" i="10"/>
  <c r="AO14" i="10" s="1"/>
  <c r="AG14" i="10"/>
  <c r="AB13" i="10"/>
  <c r="AO13" i="10" s="1"/>
  <c r="AB12" i="10"/>
  <c r="AO12" i="10" s="1"/>
  <c r="AB11" i="10"/>
  <c r="AO11" i="10" s="1"/>
  <c r="AG13" i="10"/>
  <c r="AG12" i="10"/>
  <c r="AG11" i="10"/>
  <c r="AG9" i="10"/>
  <c r="AG10" i="10"/>
  <c r="AL28" i="10"/>
  <c r="AV28" i="10" s="1"/>
  <c r="L25" i="14" s="1"/>
  <c r="AB7" i="10"/>
  <c r="AO7" i="10" s="1"/>
  <c r="AG7" i="10"/>
  <c r="AB9" i="10"/>
  <c r="AO9" i="10" s="1"/>
  <c r="AL22" i="10"/>
  <c r="AV22" i="10" s="1"/>
  <c r="L19" i="14" s="1"/>
  <c r="AL16" i="10"/>
  <c r="AV16" i="10" s="1"/>
  <c r="L13" i="14" s="1"/>
  <c r="AL18" i="10"/>
  <c r="AV18" i="10" s="1"/>
  <c r="L15" i="14" s="1"/>
  <c r="AL26" i="10"/>
  <c r="AV26" i="10" s="1"/>
  <c r="L23" i="14" s="1"/>
  <c r="Y30" i="10"/>
  <c r="AS31" i="10" s="1"/>
  <c r="AG6" i="10"/>
  <c r="AG8" i="10"/>
  <c r="AB6" i="10"/>
  <c r="AB8" i="10"/>
  <c r="AO8" i="10" s="1"/>
  <c r="AB10" i="10"/>
  <c r="AO10" i="10" s="1"/>
  <c r="Q30" i="10" l="1"/>
  <c r="AO6" i="10"/>
  <c r="AI6" i="10"/>
  <c r="AR8" i="10"/>
  <c r="B9" i="10"/>
  <c r="AW22" i="10"/>
  <c r="M19" i="14" s="1"/>
  <c r="G19" i="14" s="1"/>
  <c r="AY29" i="10"/>
  <c r="I26" i="14" s="1"/>
  <c r="AB26" i="14" s="1"/>
  <c r="AW29" i="10"/>
  <c r="M26" i="14" s="1"/>
  <c r="G26" i="14" s="1"/>
  <c r="AW24" i="10"/>
  <c r="M21" i="14" s="1"/>
  <c r="G21" i="14" s="1"/>
  <c r="AW27" i="10"/>
  <c r="M24" i="14" s="1"/>
  <c r="G24" i="14" s="1"/>
  <c r="AW26" i="10"/>
  <c r="M23" i="14" s="1"/>
  <c r="G23" i="14" s="1"/>
  <c r="AW21" i="10"/>
  <c r="M18" i="14" s="1"/>
  <c r="G18" i="14" s="1"/>
  <c r="AW20" i="10"/>
  <c r="M17" i="14" s="1"/>
  <c r="G17" i="14" s="1"/>
  <c r="AW18" i="10"/>
  <c r="M15" i="14" s="1"/>
  <c r="G15" i="14" s="1"/>
  <c r="AW16" i="10"/>
  <c r="M13" i="14" s="1"/>
  <c r="G13" i="14" s="1"/>
  <c r="AW28" i="10"/>
  <c r="M25" i="14" s="1"/>
  <c r="G25" i="14" s="1"/>
  <c r="AW23" i="10"/>
  <c r="M20" i="14" s="1"/>
  <c r="G20" i="14" s="1"/>
  <c r="AW25" i="10"/>
  <c r="M22" i="14" s="1"/>
  <c r="G22" i="14" s="1"/>
  <c r="BD8" i="10"/>
  <c r="AL19" i="10"/>
  <c r="AV19" i="10" s="1"/>
  <c r="L16" i="14" s="1"/>
  <c r="AL15" i="10"/>
  <c r="AV15" i="10" s="1"/>
  <c r="L12" i="14" s="1"/>
  <c r="AL17" i="10"/>
  <c r="AV17" i="10" s="1"/>
  <c r="L14" i="14" s="1"/>
  <c r="BD6" i="10" l="1"/>
  <c r="AR9" i="10"/>
  <c r="B10" i="10"/>
  <c r="BI10" i="10"/>
  <c r="BD10" i="10"/>
  <c r="BI12" i="10"/>
  <c r="BD12" i="10"/>
  <c r="AW15" i="10"/>
  <c r="M12" i="14" s="1"/>
  <c r="G12" i="14" s="1"/>
  <c r="BI11" i="10"/>
  <c r="BD11" i="10"/>
  <c r="BI13" i="10"/>
  <c r="BD13" i="10"/>
  <c r="AW17" i="10"/>
  <c r="M14" i="14" s="1"/>
  <c r="G14" i="14" s="1"/>
  <c r="BI14" i="10"/>
  <c r="BD14" i="10"/>
  <c r="AW19" i="10"/>
  <c r="M16" i="14" s="1"/>
  <c r="G16" i="14" s="1"/>
  <c r="BD7" i="10"/>
  <c r="AL9" i="10"/>
  <c r="BD9" i="10"/>
  <c r="AA3" i="10"/>
  <c r="AL14" i="10"/>
  <c r="AL13" i="10"/>
  <c r="AL11" i="10"/>
  <c r="AL12" i="10"/>
  <c r="AL10" i="10"/>
  <c r="BI7" i="10"/>
  <c r="BI9" i="10"/>
  <c r="AL7" i="10"/>
  <c r="AL6" i="10"/>
  <c r="BI6" i="10"/>
  <c r="AL8" i="10"/>
  <c r="BI8" i="10"/>
  <c r="B11" i="10" l="1"/>
  <c r="AR10" i="10"/>
  <c r="AZ32" i="10"/>
  <c r="BL31" i="10" s="1"/>
  <c r="AZ31" i="10"/>
  <c r="BH32" i="10"/>
  <c r="B13" i="10"/>
  <c r="AW6" i="10"/>
  <c r="M3" i="14" s="1"/>
  <c r="G3" i="14" s="1"/>
  <c r="AV7" i="10"/>
  <c r="L4" i="14" s="1"/>
  <c r="AR11" i="10" l="1"/>
  <c r="B12" i="10"/>
  <c r="AR12" i="10" s="1"/>
  <c r="AW7" i="10"/>
  <c r="M4" i="14" s="1"/>
  <c r="G4" i="14" s="1"/>
  <c r="AR13" i="10"/>
  <c r="AV8" i="10"/>
  <c r="L5" i="14" s="1"/>
  <c r="AW8" i="10" l="1"/>
  <c r="M5" i="14" s="1"/>
  <c r="G5" i="14" s="1"/>
  <c r="AV9" i="10"/>
  <c r="L6" i="14" s="1"/>
  <c r="AW9" i="10" l="1"/>
  <c r="M6" i="14" s="1"/>
  <c r="G6" i="14" s="1"/>
  <c r="AV10" i="10"/>
  <c r="L7" i="14" s="1"/>
  <c r="AV11" i="10" l="1"/>
  <c r="L8" i="14" s="1"/>
  <c r="AW10" i="10"/>
  <c r="M7" i="14" s="1"/>
  <c r="G7" i="14" s="1"/>
  <c r="AV12" i="10" l="1"/>
  <c r="L9" i="14" s="1"/>
  <c r="AW11" i="10"/>
  <c r="M8" i="14" s="1"/>
  <c r="G8" i="14" s="1"/>
  <c r="AV13" i="10"/>
  <c r="L10" i="14" s="1"/>
  <c r="AW12" i="10" l="1"/>
  <c r="M9" i="14" s="1"/>
  <c r="G9" i="14" s="1"/>
  <c r="AV14" i="10"/>
  <c r="L11" i="14" s="1"/>
  <c r="AW13" i="10"/>
  <c r="M10" i="14" s="1"/>
  <c r="G10" i="14" s="1"/>
  <c r="AW14" i="10" l="1"/>
  <c r="M11" i="14" s="1"/>
  <c r="G11" i="14" s="1"/>
</calcChain>
</file>

<file path=xl/sharedStrings.xml><?xml version="1.0" encoding="utf-8"?>
<sst xmlns="http://schemas.openxmlformats.org/spreadsheetml/2006/main" count="180" uniqueCount="152">
  <si>
    <t>PROCESS DATE</t>
  </si>
  <si>
    <t>SHIFT</t>
  </si>
  <si>
    <t>SL NO</t>
  </si>
  <si>
    <t>PLAN FINISH TIME</t>
  </si>
  <si>
    <t>ACTUAL SPM</t>
  </si>
  <si>
    <t>GSPH</t>
  </si>
  <si>
    <t>TOTAL STROKES</t>
  </si>
  <si>
    <t>Unit Number</t>
  </si>
  <si>
    <t>DAY</t>
  </si>
  <si>
    <t>SCHEDULED GSPH</t>
  </si>
  <si>
    <t>total time process</t>
  </si>
  <si>
    <t>b/d time</t>
  </si>
  <si>
    <t>Sl No</t>
  </si>
  <si>
    <t>SPM</t>
  </si>
  <si>
    <t>Wt/
Sheet</t>
  </si>
  <si>
    <t>MT</t>
  </si>
  <si>
    <t>HRS</t>
  </si>
  <si>
    <t>Parts Specification Details</t>
  </si>
  <si>
    <t>Scheduled Quantity &amp; Weight Details</t>
  </si>
  <si>
    <t>Scheduled Time Calculation &amp; GSPH Details</t>
  </si>
  <si>
    <t>Scheduled Lot Quantity(Combined, Standard &amp; Partial)
Details</t>
  </si>
  <si>
    <t>CUSTOMER NAME</t>
  </si>
  <si>
    <t>SPEC</t>
  </si>
  <si>
    <t>SCAMS NO</t>
  </si>
  <si>
    <t>ACTUAL</t>
  </si>
  <si>
    <t>MILL</t>
  </si>
  <si>
    <t>T</t>
  </si>
  <si>
    <t>W</t>
  </si>
  <si>
    <t>UNIT NO</t>
  </si>
  <si>
    <t>COIL WT IN KGS</t>
  </si>
  <si>
    <t>FG DETAILS</t>
  </si>
  <si>
    <t>SET UP TIME</t>
  </si>
  <si>
    <t>PLAN QTY</t>
  </si>
  <si>
    <t>ACTUAL QTY</t>
  </si>
  <si>
    <t>GSPH</t>
    <phoneticPr fontId="0"/>
  </si>
  <si>
    <t>PRODUCTION REMARKS</t>
  </si>
  <si>
    <t>L</t>
  </si>
  <si>
    <t>PLANNED</t>
  </si>
  <si>
    <t>Total No of cases</t>
  </si>
  <si>
    <t>TOTAL WEIGHT</t>
  </si>
  <si>
    <t>ACTUAL WEIGHT</t>
  </si>
  <si>
    <t>ACTUAL STROKES</t>
  </si>
  <si>
    <t>ACTUAL TIME</t>
  </si>
  <si>
    <t>PLAN  QTY</t>
  </si>
  <si>
    <t xml:space="preserve">ACTUAL QTY </t>
  </si>
  <si>
    <t xml:space="preserve">PLAN TIME </t>
  </si>
  <si>
    <t>TOTAL  BRAKE DOWN TIME</t>
  </si>
  <si>
    <t>Operator Name</t>
  </si>
  <si>
    <t>Piler Operator Name</t>
  </si>
  <si>
    <t>LIC  Name</t>
  </si>
  <si>
    <t>MINS</t>
  </si>
  <si>
    <t xml:space="preserve">PLAN </t>
  </si>
  <si>
    <t>Signature</t>
  </si>
  <si>
    <t>PLAN START TIME</t>
  </si>
  <si>
    <t>ACTUAL START TIME</t>
  </si>
  <si>
    <t>ACTUAL FINISH TIME</t>
  </si>
  <si>
    <t xml:space="preserve"> PLAN TIME</t>
  </si>
  <si>
    <t>PRODUCTION  ACTUAL TIME</t>
  </si>
  <si>
    <t xml:space="preserve"> PLAN SPM</t>
  </si>
  <si>
    <t>PLAN SETUP TIME</t>
  </si>
  <si>
    <t>ACTUAL SET UP TIME</t>
  </si>
  <si>
    <t>PLAN TIME</t>
  </si>
  <si>
    <t>ACTUAL  TIME</t>
  </si>
  <si>
    <t>BRAKE DOWN TIME</t>
  </si>
  <si>
    <t>QTY</t>
  </si>
  <si>
    <t>ACTUAL GSPH</t>
  </si>
  <si>
    <t>Operator</t>
  </si>
  <si>
    <t>Process Date</t>
  </si>
  <si>
    <t>PARTS SPECIFICATION DETAILS</t>
  </si>
  <si>
    <t>REMARKS</t>
  </si>
  <si>
    <t>TOTAL TIME IN MINUTES</t>
  </si>
  <si>
    <t>Machine 
Specification</t>
  </si>
  <si>
    <t>REWIND WT IN KGS</t>
  </si>
  <si>
    <t xml:space="preserve">PARTIAL PART </t>
  </si>
  <si>
    <t>PREVIOUS SHIFT PARTIAL PART SIZE DETAILS</t>
  </si>
  <si>
    <t>PARTIAL FG WT</t>
  </si>
  <si>
    <t>STROKES</t>
  </si>
  <si>
    <t xml:space="preserve">ACTUAL END TIME </t>
  </si>
  <si>
    <t xml:space="preserve">ACTUAL TOTAL TIME </t>
  </si>
  <si>
    <t xml:space="preserve">BREAK DOWN CODE AND TOTAL TIME </t>
  </si>
  <si>
    <t xml:space="preserve">TEAM </t>
  </si>
  <si>
    <t>No of Team Members</t>
  </si>
  <si>
    <t xml:space="preserve">BREAK TIME </t>
  </si>
  <si>
    <t>TOTAL  BREAK TIME</t>
  </si>
  <si>
    <t>Model</t>
  </si>
  <si>
    <t>AUTO RUN TIME</t>
  </si>
  <si>
    <t>Total Auto run time</t>
  </si>
  <si>
    <t>FG WT</t>
  </si>
  <si>
    <t>TTSSI ME-3 PRODUCTION SCHEDULE</t>
  </si>
  <si>
    <t>ME-3 PRODUCTION MANAGEMENT BOARD</t>
  </si>
  <si>
    <t>ScamsNo</t>
  </si>
  <si>
    <t>Team</t>
  </si>
  <si>
    <t>Shift</t>
  </si>
  <si>
    <t>TMS</t>
  </si>
  <si>
    <t>PartialPart</t>
  </si>
  <si>
    <t>DetailsForLineStop</t>
  </si>
  <si>
    <t>ScheduledProductionTime</t>
  </si>
  <si>
    <t>ActualStartTime</t>
  </si>
  <si>
    <t>ActualFinishTime</t>
  </si>
  <si>
    <t>ActualAutoRunTime</t>
  </si>
  <si>
    <t>ActualTotaltime</t>
  </si>
  <si>
    <t>PlanStartTime</t>
  </si>
  <si>
    <t>PlanFinishTime</t>
  </si>
  <si>
    <t>PlanSPM</t>
  </si>
  <si>
    <t>ActualSPM</t>
  </si>
  <si>
    <t>PlanSetUpTime</t>
  </si>
  <si>
    <t>ActualSetUpTime</t>
  </si>
  <si>
    <t>PlanAutoRunTime</t>
  </si>
  <si>
    <t>BreakTime</t>
  </si>
  <si>
    <t>ActualQuantity</t>
  </si>
  <si>
    <t>NoOfRewindCoils</t>
  </si>
  <si>
    <t>UnitNo</t>
  </si>
  <si>
    <t>TPPPartNo</t>
  </si>
  <si>
    <t>TPPModel</t>
  </si>
  <si>
    <t>ScamsUnit</t>
  </si>
  <si>
    <t>ScamsUnitShift</t>
  </si>
  <si>
    <t>BreakDownTime</t>
  </si>
  <si>
    <t>ActualTime</t>
  </si>
  <si>
    <t>PreviousLineStop</t>
  </si>
  <si>
    <r>
      <t>T</t>
    </r>
    <r>
      <rPr>
        <b/>
        <vertAlign val="subscript"/>
        <sz val="30"/>
        <color theme="1"/>
        <rFont val="Times New Roman"/>
        <family val="1"/>
      </rPr>
      <t>MIN</t>
    </r>
  </si>
  <si>
    <r>
      <t>T</t>
    </r>
    <r>
      <rPr>
        <b/>
        <vertAlign val="subscript"/>
        <sz val="30"/>
        <color theme="1"/>
        <rFont val="Times New Roman"/>
        <family val="1"/>
      </rPr>
      <t>MAX</t>
    </r>
  </si>
  <si>
    <r>
      <t>W</t>
    </r>
    <r>
      <rPr>
        <b/>
        <vertAlign val="subscript"/>
        <sz val="30"/>
        <color theme="1"/>
        <rFont val="Times New Roman"/>
        <family val="1"/>
      </rPr>
      <t>MIN</t>
    </r>
  </si>
  <si>
    <r>
      <t>W</t>
    </r>
    <r>
      <rPr>
        <b/>
        <vertAlign val="subscript"/>
        <sz val="30"/>
        <color theme="1"/>
        <rFont val="Times New Roman"/>
        <family val="1"/>
      </rPr>
      <t>MAX</t>
    </r>
  </si>
  <si>
    <r>
      <t>L</t>
    </r>
    <r>
      <rPr>
        <b/>
        <vertAlign val="subscript"/>
        <sz val="30"/>
        <color theme="1"/>
        <rFont val="Times New Roman"/>
        <family val="1"/>
      </rPr>
      <t>MIN</t>
    </r>
  </si>
  <si>
    <r>
      <t>L</t>
    </r>
    <r>
      <rPr>
        <b/>
        <vertAlign val="subscript"/>
        <sz val="30"/>
        <color theme="1"/>
        <rFont val="Times New Roman"/>
        <family val="1"/>
      </rPr>
      <t>MAX</t>
    </r>
  </si>
  <si>
    <r>
      <t xml:space="preserve"> WT</t>
    </r>
    <r>
      <rPr>
        <b/>
        <vertAlign val="subscript"/>
        <sz val="30"/>
        <color theme="1"/>
        <rFont val="Times New Roman"/>
        <family val="1"/>
      </rPr>
      <t>MAX</t>
    </r>
  </si>
  <si>
    <t>SCAMS No</t>
  </si>
  <si>
    <t>PartNo</t>
  </si>
  <si>
    <t>Mill Maker</t>
  </si>
  <si>
    <t>Spec-Coat</t>
  </si>
  <si>
    <t>No of Coil</t>
  </si>
  <si>
    <t>Com-1 Qty</t>
  </si>
  <si>
    <t>No of Lots</t>
  </si>
  <si>
    <t>Com-2 Qty</t>
  </si>
  <si>
    <t>STD- Qty</t>
  </si>
  <si>
    <t>Partial-1 Qty</t>
  </si>
  <si>
    <t>Partial-2 Qty</t>
  </si>
  <si>
    <t>Total Strokes</t>
  </si>
  <si>
    <t>Weight Per Blank</t>
  </si>
  <si>
    <t>Slit Coil WT [MT]</t>
  </si>
  <si>
    <t>Total Setup Time Per Coil</t>
  </si>
  <si>
    <t>Setup Time per Skid</t>
  </si>
  <si>
    <t>Total Setup Time Per Skid</t>
  </si>
  <si>
    <t>Process Time 
(min)</t>
  </si>
  <si>
    <t>Total Time
(min)</t>
  </si>
  <si>
    <t>WEIGHT</t>
  </si>
  <si>
    <t>PLAN WT</t>
  </si>
  <si>
    <t>ACTUAL WT</t>
  </si>
  <si>
    <t/>
  </si>
  <si>
    <t>Setup Time</t>
  </si>
  <si>
    <t>Process Time</t>
  </si>
  <si>
    <t>Planned Total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</si>
</sst>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_ 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0"/>
      <name val="Arial"/>
      <family val="2"/>
    </font>
    <font>
      <sz val="14"/>
      <name val="Terminal"/>
      <family val="3"/>
      <charset val="255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30"/>
      <color theme="1"/>
      <name val="Times New Roman"/>
      <family val="1"/>
    </font>
    <font>
      <b/>
      <sz val="30"/>
      <color theme="1"/>
      <name val="Times New Roman"/>
      <family val="1"/>
    </font>
    <font>
      <sz val="30"/>
      <name val="Times New Roman"/>
      <family val="1"/>
    </font>
    <font>
      <b/>
      <sz val="30"/>
      <color theme="0"/>
      <name val="Times New Roman"/>
      <family val="1"/>
    </font>
    <font>
      <b/>
      <vertAlign val="subscript"/>
      <sz val="30"/>
      <color theme="1"/>
      <name val="Times New Roman"/>
      <family val="1"/>
    </font>
    <font>
      <b/>
      <sz val="36"/>
      <name val="Times New Roman"/>
      <family val="1"/>
    </font>
    <font>
      <sz val="36"/>
      <name val="Times New Roman"/>
      <family val="1"/>
    </font>
    <font>
      <b/>
      <sz val="36"/>
      <color theme="1"/>
      <name val="Times New Roman"/>
      <family val="1"/>
    </font>
    <font>
      <sz val="36"/>
      <color theme="1"/>
      <name val="Times New Roman"/>
      <family val="1"/>
    </font>
    <font>
      <sz val="36"/>
      <color indexed="8"/>
      <name val="Times New Roman"/>
      <family val="1"/>
    </font>
    <font>
      <b/>
      <sz val="72"/>
      <name val="Times New Roman"/>
      <family val="1"/>
    </font>
    <font>
      <sz val="36"/>
      <color theme="1"/>
      <name val="Calibri"/>
      <family val="2"/>
      <scheme val="minor"/>
    </font>
    <font>
      <sz val="30"/>
      <color theme="0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Times New Roman"/>
      <family val="1"/>
    </font>
    <font>
      <b/>
      <sz val="48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1" fillId="0" borderId="0">
      <alignment vertical="center"/>
    </xf>
    <xf numFmtId="0" fontId="2" fillId="0" borderId="0"/>
    <xf numFmtId="0" fontId="3" fillId="0" borderId="0"/>
    <xf numFmtId="9" fontId="1" fillId="0" borderId="0" applyFont="0" applyFill="0" applyBorder="0" applyAlignment="0" applyProtection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</cellStyleXfs>
  <cellXfs count="274">
    <xf numFmtId="0" fontId="0" fillId="0" borderId="0" xfId="0"/>
    <xf numFmtId="0" fontId="9" fillId="0" borderId="0" xfId="2" applyFont="1" applyAlignment="1" applyProtection="1">
      <alignment horizontal="center" vertical="center"/>
      <protection locked="0"/>
    </xf>
    <xf numFmtId="0" fontId="9" fillId="0" borderId="0" xfId="2" applyFont="1" applyFill="1" applyAlignment="1" applyProtection="1">
      <alignment horizontal="center" vertical="center"/>
      <protection locked="0"/>
    </xf>
    <xf numFmtId="0" fontId="13" fillId="0" borderId="0" xfId="2" applyFont="1" applyBorder="1" applyAlignment="1" applyProtection="1">
      <alignment horizontal="center" vertical="center"/>
      <protection locked="0"/>
    </xf>
    <xf numFmtId="0" fontId="12" fillId="0" borderId="0" xfId="2" applyFont="1" applyBorder="1" applyAlignment="1" applyProtection="1">
      <alignment horizontal="center" vertical="center"/>
      <protection locked="0"/>
    </xf>
    <xf numFmtId="0" fontId="13" fillId="0" borderId="0" xfId="2" applyFont="1" applyAlignment="1" applyProtection="1">
      <alignment horizontal="center" vertical="center"/>
      <protection locked="0"/>
    </xf>
    <xf numFmtId="0" fontId="12" fillId="0" borderId="0" xfId="2" applyFont="1" applyFill="1" applyBorder="1" applyAlignment="1" applyProtection="1">
      <alignment horizontal="center" vertical="center"/>
      <protection locked="0"/>
    </xf>
    <xf numFmtId="0" fontId="13" fillId="0" borderId="0" xfId="2" applyFont="1" applyFill="1" applyBorder="1" applyAlignment="1" applyProtection="1">
      <alignment horizontal="center" vertical="center"/>
      <protection locked="0"/>
    </xf>
    <xf numFmtId="0" fontId="12" fillId="7" borderId="4" xfId="2" applyFont="1" applyFill="1" applyBorder="1" applyAlignment="1" applyProtection="1">
      <alignment horizontal="center" vertical="center" wrapText="1"/>
      <protection locked="0"/>
    </xf>
    <xf numFmtId="0" fontId="12" fillId="0" borderId="6" xfId="2" applyFont="1" applyBorder="1" applyAlignment="1" applyProtection="1">
      <alignment horizontal="center" vertical="center" wrapText="1"/>
      <protection locked="0"/>
    </xf>
    <xf numFmtId="0" fontId="12" fillId="0" borderId="48" xfId="2" applyFont="1" applyBorder="1" applyAlignment="1" applyProtection="1">
      <alignment horizontal="center" vertical="center"/>
      <protection locked="0"/>
    </xf>
    <xf numFmtId="0" fontId="14" fillId="0" borderId="48" xfId="1" applyFont="1" applyBorder="1" applyAlignment="1" applyProtection="1">
      <alignment horizontal="center" vertical="center"/>
      <protection locked="0"/>
    </xf>
    <xf numFmtId="0" fontId="12" fillId="4" borderId="48" xfId="1" applyFont="1" applyFill="1" applyBorder="1" applyAlignment="1" applyProtection="1">
      <alignment horizontal="center" vertical="center"/>
      <protection locked="0"/>
    </xf>
    <xf numFmtId="20" fontId="12" fillId="4" borderId="48" xfId="1" applyNumberFormat="1" applyFont="1" applyFill="1" applyBorder="1" applyAlignment="1" applyProtection="1">
      <alignment horizontal="center" vertical="center"/>
      <protection locked="0"/>
    </xf>
    <xf numFmtId="1" fontId="12" fillId="3" borderId="48" xfId="1" applyNumberFormat="1" applyFont="1" applyFill="1" applyBorder="1" applyAlignment="1" applyProtection="1">
      <alignment horizontal="center" vertical="center"/>
      <protection locked="0"/>
    </xf>
    <xf numFmtId="2" fontId="14" fillId="6" borderId="29" xfId="1" applyNumberFormat="1" applyFont="1" applyFill="1" applyBorder="1" applyAlignment="1" applyProtection="1">
      <alignment horizontal="center" vertical="center"/>
      <protection locked="0"/>
    </xf>
    <xf numFmtId="0" fontId="14" fillId="6" borderId="29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0" xfId="0" applyNumberFormat="1" applyFont="1" applyFill="1" applyAlignment="1" applyProtection="1">
      <alignment horizontal="center" vertical="center"/>
      <protection locked="0"/>
    </xf>
    <xf numFmtId="0" fontId="12" fillId="6" borderId="29" xfId="2" applyFont="1" applyFill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7" fillId="0" borderId="0" xfId="1" applyFont="1" applyAlignment="1" applyProtection="1">
      <alignment horizontal="center" vertical="center"/>
      <protection locked="0"/>
    </xf>
    <xf numFmtId="2" fontId="8" fillId="0" borderId="17" xfId="1" applyNumberFormat="1" applyFont="1" applyBorder="1" applyAlignment="1" applyProtection="1">
      <alignment horizontal="center" vertical="center" wrapText="1"/>
      <protection locked="0"/>
    </xf>
    <xf numFmtId="2" fontId="8" fillId="0" borderId="0" xfId="1" applyNumberFormat="1" applyFont="1" applyBorder="1" applyAlignment="1" applyProtection="1">
      <alignment horizontal="center" vertical="center" wrapText="1"/>
      <protection locked="0"/>
    </xf>
    <xf numFmtId="0" fontId="7" fillId="0" borderId="0" xfId="1" applyFont="1" applyBorder="1" applyAlignment="1" applyProtection="1">
      <alignment horizontal="center" vertical="center"/>
      <protection locked="0"/>
    </xf>
    <xf numFmtId="2" fontId="14" fillId="3" borderId="29" xfId="1" applyNumberFormat="1" applyFont="1" applyFill="1" applyBorder="1" applyAlignment="1" applyProtection="1">
      <alignment horizontal="center" vertical="center" wrapText="1"/>
      <protection locked="0"/>
    </xf>
    <xf numFmtId="2" fontId="14" fillId="8" borderId="29" xfId="1" applyNumberFormat="1" applyFont="1" applyFill="1" applyBorder="1" applyAlignment="1" applyProtection="1">
      <alignment horizontal="center" vertical="center" wrapText="1"/>
      <protection locked="0"/>
    </xf>
    <xf numFmtId="2" fontId="14" fillId="3" borderId="29" xfId="1" applyNumberFormat="1" applyFont="1" applyFill="1" applyBorder="1" applyAlignment="1" applyProtection="1">
      <alignment horizontal="center" vertical="center"/>
      <protection locked="0"/>
    </xf>
    <xf numFmtId="20" fontId="14" fillId="3" borderId="29" xfId="1" applyNumberFormat="1" applyFont="1" applyFill="1" applyBorder="1" applyAlignment="1" applyProtection="1">
      <alignment horizontal="center" vertical="center" wrapText="1"/>
      <protection locked="0"/>
    </xf>
    <xf numFmtId="1" fontId="14" fillId="3" borderId="29" xfId="1" applyNumberFormat="1" applyFont="1" applyFill="1" applyBorder="1" applyAlignment="1" applyProtection="1">
      <alignment horizontal="center" vertical="center" wrapText="1"/>
      <protection locked="0"/>
    </xf>
    <xf numFmtId="0" fontId="12" fillId="3" borderId="29" xfId="2" applyFont="1" applyFill="1" applyBorder="1" applyAlignment="1" applyProtection="1">
      <alignment horizontal="center" vertical="center" wrapText="1"/>
      <protection locked="0"/>
    </xf>
    <xf numFmtId="2" fontId="14" fillId="3" borderId="29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5" xfId="1" applyFont="1" applyBorder="1" applyAlignment="1" applyProtection="1">
      <alignment horizontal="center" vertical="center"/>
      <protection locked="0"/>
    </xf>
    <xf numFmtId="0" fontId="15" fillId="2" borderId="12" xfId="1" applyFont="1" applyFill="1" applyBorder="1" applyAlignment="1" applyProtection="1">
      <alignment horizontal="center" vertical="center"/>
      <protection locked="0"/>
    </xf>
    <xf numFmtId="0" fontId="15" fillId="2" borderId="12" xfId="0" applyNumberFormat="1" applyFont="1" applyFill="1" applyBorder="1" applyAlignment="1" applyProtection="1">
      <alignment horizontal="center" vertical="center"/>
      <protection locked="0"/>
    </xf>
    <xf numFmtId="2" fontId="16" fillId="4" borderId="37" xfId="3" applyNumberFormat="1" applyFont="1" applyFill="1" applyBorder="1" applyAlignment="1" applyProtection="1">
      <alignment horizontal="center" vertical="center"/>
      <protection locked="0"/>
    </xf>
    <xf numFmtId="0" fontId="15" fillId="0" borderId="37" xfId="1" applyFont="1" applyFill="1" applyBorder="1" applyAlignment="1" applyProtection="1">
      <alignment horizontal="center" vertical="center"/>
      <protection locked="0"/>
    </xf>
    <xf numFmtId="0" fontId="15" fillId="0" borderId="37" xfId="1" applyFont="1" applyBorder="1" applyAlignment="1" applyProtection="1">
      <alignment horizontal="center" vertical="center"/>
      <protection locked="0"/>
    </xf>
    <xf numFmtId="0" fontId="15" fillId="0" borderId="37" xfId="10" applyNumberFormat="1" applyFont="1" applyBorder="1" applyAlignment="1" applyProtection="1">
      <alignment horizontal="center" vertical="center"/>
      <protection locked="0"/>
    </xf>
    <xf numFmtId="0" fontId="15" fillId="2" borderId="37" xfId="1" applyFont="1" applyFill="1" applyBorder="1" applyAlignment="1" applyProtection="1">
      <alignment horizontal="center" vertical="center"/>
      <protection locked="0"/>
    </xf>
    <xf numFmtId="164" fontId="15" fillId="0" borderId="37" xfId="1" quotePrefix="1" applyNumberFormat="1" applyFont="1" applyBorder="1" applyAlignment="1" applyProtection="1">
      <alignment horizontal="center" vertical="center"/>
      <protection locked="0"/>
    </xf>
    <xf numFmtId="164" fontId="15" fillId="0" borderId="37" xfId="1" applyNumberFormat="1" applyFont="1" applyBorder="1" applyAlignment="1" applyProtection="1">
      <alignment horizontal="center" vertical="center"/>
      <protection locked="0"/>
    </xf>
    <xf numFmtId="2" fontId="15" fillId="0" borderId="38" xfId="1" applyNumberFormat="1" applyFont="1" applyBorder="1" applyAlignment="1" applyProtection="1">
      <alignment horizontal="center" vertical="center"/>
      <protection locked="0"/>
    </xf>
    <xf numFmtId="2" fontId="15" fillId="0" borderId="13" xfId="1" applyNumberFormat="1" applyFont="1" applyBorder="1" applyAlignment="1" applyProtection="1">
      <alignment horizontal="center" vertical="center"/>
      <protection locked="0"/>
    </xf>
    <xf numFmtId="1" fontId="15" fillId="5" borderId="40" xfId="1" applyNumberFormat="1" applyFont="1" applyFill="1" applyBorder="1" applyAlignment="1" applyProtection="1">
      <alignment horizontal="center" vertical="center"/>
      <protection locked="0"/>
    </xf>
    <xf numFmtId="1" fontId="15" fillId="0" borderId="0" xfId="1" applyNumberFormat="1" applyFont="1" applyBorder="1" applyAlignment="1" applyProtection="1">
      <alignment horizontal="center" vertical="center"/>
      <protection locked="0"/>
    </xf>
    <xf numFmtId="1" fontId="15" fillId="0" borderId="7" xfId="1" applyNumberFormat="1" applyFont="1" applyBorder="1" applyAlignment="1" applyProtection="1">
      <alignment horizontal="center" vertical="center"/>
      <protection locked="0"/>
    </xf>
    <xf numFmtId="20" fontId="15" fillId="0" borderId="10" xfId="1" applyNumberFormat="1" applyFont="1" applyBorder="1" applyAlignment="1" applyProtection="1">
      <alignment horizontal="center" vertical="center"/>
      <protection locked="0"/>
    </xf>
    <xf numFmtId="20" fontId="15" fillId="9" borderId="13" xfId="1" applyNumberFormat="1" applyFont="1" applyFill="1" applyBorder="1" applyAlignment="1" applyProtection="1">
      <alignment horizontal="center" vertical="center"/>
      <protection locked="0"/>
    </xf>
    <xf numFmtId="0" fontId="15" fillId="9" borderId="13" xfId="1" applyNumberFormat="1" applyFont="1" applyFill="1" applyBorder="1" applyAlignment="1" applyProtection="1">
      <alignment horizontal="center" vertical="center"/>
      <protection locked="0"/>
    </xf>
    <xf numFmtId="0" fontId="15" fillId="0" borderId="13" xfId="1" applyFont="1" applyBorder="1" applyAlignment="1" applyProtection="1">
      <alignment horizontal="center" vertical="center"/>
      <protection locked="0"/>
    </xf>
    <xf numFmtId="0" fontId="15" fillId="9" borderId="13" xfId="1" applyFont="1" applyFill="1" applyBorder="1" applyAlignment="1" applyProtection="1">
      <alignment horizontal="center" vertical="center"/>
      <protection locked="0"/>
    </xf>
    <xf numFmtId="1" fontId="15" fillId="9" borderId="13" xfId="1" applyNumberFormat="1" applyFont="1" applyFill="1" applyBorder="1" applyAlignment="1" applyProtection="1">
      <alignment horizontal="center" vertical="center"/>
      <protection locked="0"/>
    </xf>
    <xf numFmtId="0" fontId="8" fillId="12" borderId="45" xfId="1" applyFont="1" applyFill="1" applyBorder="1" applyAlignment="1" applyProtection="1">
      <alignment horizontal="center" vertical="center"/>
      <protection locked="0"/>
    </xf>
    <xf numFmtId="0" fontId="7" fillId="13" borderId="43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15" fillId="0" borderId="18" xfId="1" applyFont="1" applyBorder="1" applyAlignment="1" applyProtection="1">
      <alignment horizontal="center" vertical="center"/>
      <protection locked="0"/>
    </xf>
    <xf numFmtId="0" fontId="15" fillId="2" borderId="6" xfId="1" applyFont="1" applyFill="1" applyBorder="1" applyAlignment="1" applyProtection="1">
      <alignment horizontal="center" vertical="center"/>
      <protection locked="0"/>
    </xf>
    <xf numFmtId="2" fontId="16" fillId="4" borderId="6" xfId="3" applyNumberFormat="1" applyFont="1" applyFill="1" applyBorder="1" applyAlignment="1" applyProtection="1">
      <alignment horizontal="center" vertical="center"/>
      <protection locked="0"/>
    </xf>
    <xf numFmtId="0" fontId="15" fillId="0" borderId="6" xfId="1" applyFont="1" applyFill="1" applyBorder="1" applyAlignment="1" applyProtection="1">
      <alignment horizontal="center" vertical="center"/>
      <protection locked="0"/>
    </xf>
    <xf numFmtId="0" fontId="15" fillId="0" borderId="6" xfId="1" applyFont="1" applyBorder="1" applyAlignment="1" applyProtection="1">
      <alignment horizontal="center" vertical="center"/>
      <protection locked="0"/>
    </xf>
    <xf numFmtId="0" fontId="15" fillId="0" borderId="6" xfId="10" applyNumberFormat="1" applyFont="1" applyBorder="1" applyAlignment="1" applyProtection="1">
      <alignment horizontal="center" vertical="center"/>
      <protection locked="0"/>
    </xf>
    <xf numFmtId="164" fontId="15" fillId="0" borderId="6" xfId="1" quotePrefix="1" applyNumberFormat="1" applyFont="1" applyBorder="1" applyAlignment="1" applyProtection="1">
      <alignment horizontal="center" vertical="center"/>
      <protection locked="0"/>
    </xf>
    <xf numFmtId="164" fontId="15" fillId="0" borderId="6" xfId="1" applyNumberFormat="1" applyFont="1" applyBorder="1" applyAlignment="1" applyProtection="1">
      <alignment horizontal="center" vertical="center"/>
      <protection locked="0"/>
    </xf>
    <xf numFmtId="4" fontId="15" fillId="0" borderId="6" xfId="1" applyNumberFormat="1" applyFont="1" applyBorder="1" applyAlignment="1" applyProtection="1">
      <alignment horizontal="center" vertical="center"/>
      <protection locked="0"/>
    </xf>
    <xf numFmtId="2" fontId="15" fillId="0" borderId="10" xfId="1" applyNumberFormat="1" applyFont="1" applyBorder="1" applyAlignment="1" applyProtection="1">
      <alignment horizontal="center" vertical="center"/>
      <protection locked="0"/>
    </xf>
    <xf numFmtId="1" fontId="15" fillId="5" borderId="9" xfId="1" applyNumberFormat="1" applyFont="1" applyFill="1" applyBorder="1" applyAlignment="1" applyProtection="1">
      <alignment horizontal="center" vertical="center"/>
      <protection locked="0"/>
    </xf>
    <xf numFmtId="2" fontId="15" fillId="0" borderId="6" xfId="1" applyNumberFormat="1" applyFont="1" applyBorder="1" applyAlignment="1" applyProtection="1">
      <alignment horizontal="center" vertical="center"/>
      <protection locked="0"/>
    </xf>
    <xf numFmtId="20" fontId="15" fillId="9" borderId="6" xfId="1" applyNumberFormat="1" applyFont="1" applyFill="1" applyBorder="1" applyAlignment="1" applyProtection="1">
      <alignment horizontal="center" vertical="center"/>
      <protection locked="0"/>
    </xf>
    <xf numFmtId="0" fontId="15" fillId="9" borderId="6" xfId="1" applyNumberFormat="1" applyFont="1" applyFill="1" applyBorder="1" applyAlignment="1" applyProtection="1">
      <alignment horizontal="center" vertical="center"/>
      <protection locked="0"/>
    </xf>
    <xf numFmtId="0" fontId="15" fillId="9" borderId="6" xfId="1" applyFont="1" applyFill="1" applyBorder="1" applyAlignment="1" applyProtection="1">
      <alignment horizontal="center" vertical="center"/>
      <protection locked="0"/>
    </xf>
    <xf numFmtId="1" fontId="15" fillId="9" borderId="6" xfId="1" applyNumberFormat="1" applyFont="1" applyFill="1" applyBorder="1" applyAlignment="1" applyProtection="1">
      <alignment horizontal="center" vertical="center"/>
      <protection locked="0"/>
    </xf>
    <xf numFmtId="0" fontId="8" fillId="12" borderId="14" xfId="1" applyFont="1" applyFill="1" applyBorder="1" applyAlignment="1" applyProtection="1">
      <alignment horizontal="center" vertical="center"/>
      <protection locked="0"/>
    </xf>
    <xf numFmtId="0" fontId="7" fillId="13" borderId="15" xfId="0" applyNumberFormat="1" applyFont="1" applyFill="1" applyBorder="1" applyAlignment="1" applyProtection="1">
      <alignment horizontal="center" vertical="center"/>
      <protection locked="0"/>
    </xf>
    <xf numFmtId="0" fontId="8" fillId="12" borderId="42" xfId="1" applyFont="1" applyFill="1" applyBorder="1" applyAlignment="1" applyProtection="1">
      <alignment horizontal="center" vertical="center"/>
      <protection locked="0"/>
    </xf>
    <xf numFmtId="0" fontId="7" fillId="13" borderId="44" xfId="0" applyNumberFormat="1" applyFont="1" applyFill="1" applyBorder="1" applyAlignment="1" applyProtection="1">
      <alignment horizontal="center" vertical="center"/>
      <protection locked="0"/>
    </xf>
    <xf numFmtId="0" fontId="19" fillId="0" borderId="0" xfId="1" applyFont="1" applyAlignment="1" applyProtection="1">
      <alignment horizontal="center" vertical="center"/>
      <protection locked="0"/>
    </xf>
    <xf numFmtId="0" fontId="15" fillId="0" borderId="20" xfId="1" applyFont="1" applyBorder="1" applyAlignment="1" applyProtection="1">
      <alignment horizontal="center" vertical="center"/>
      <protection locked="0"/>
    </xf>
    <xf numFmtId="0" fontId="15" fillId="2" borderId="8" xfId="1" applyFont="1" applyFill="1" applyBorder="1" applyAlignment="1" applyProtection="1">
      <alignment horizontal="center" vertical="center"/>
      <protection locked="0"/>
    </xf>
    <xf numFmtId="2" fontId="16" fillId="4" borderId="36" xfId="3" applyNumberFormat="1" applyFont="1" applyFill="1" applyBorder="1" applyAlignment="1" applyProtection="1">
      <alignment horizontal="center" vertical="center"/>
      <protection locked="0"/>
    </xf>
    <xf numFmtId="0" fontId="15" fillId="0" borderId="36" xfId="1" applyFont="1" applyFill="1" applyBorder="1" applyAlignment="1" applyProtection="1">
      <alignment horizontal="center" vertical="center"/>
      <protection locked="0"/>
    </xf>
    <xf numFmtId="0" fontId="15" fillId="0" borderId="36" xfId="1" applyFont="1" applyBorder="1" applyAlignment="1" applyProtection="1">
      <alignment horizontal="center" vertical="center"/>
      <protection locked="0"/>
    </xf>
    <xf numFmtId="0" fontId="15" fillId="0" borderId="36" xfId="10" applyNumberFormat="1" applyFont="1" applyBorder="1" applyAlignment="1" applyProtection="1">
      <alignment horizontal="center" vertical="center"/>
      <protection locked="0"/>
    </xf>
    <xf numFmtId="0" fontId="15" fillId="2" borderId="36" xfId="1" applyFont="1" applyFill="1" applyBorder="1" applyAlignment="1" applyProtection="1">
      <alignment horizontal="center" vertical="center"/>
      <protection locked="0"/>
    </xf>
    <xf numFmtId="164" fontId="15" fillId="0" borderId="36" xfId="1" quotePrefix="1" applyNumberFormat="1" applyFont="1" applyBorder="1" applyAlignment="1" applyProtection="1">
      <alignment horizontal="center" vertical="center"/>
      <protection locked="0"/>
    </xf>
    <xf numFmtId="164" fontId="15" fillId="0" borderId="36" xfId="1" applyNumberFormat="1" applyFont="1" applyBorder="1" applyAlignment="1" applyProtection="1">
      <alignment horizontal="center" vertical="center"/>
      <protection locked="0"/>
    </xf>
    <xf numFmtId="2" fontId="15" fillId="0" borderId="39" xfId="1" applyNumberFormat="1" applyFont="1" applyBorder="1" applyAlignment="1" applyProtection="1">
      <alignment horizontal="center" vertical="center"/>
      <protection locked="0"/>
    </xf>
    <xf numFmtId="1" fontId="15" fillId="5" borderId="15" xfId="1" applyNumberFormat="1" applyFont="1" applyFill="1" applyBorder="1" applyAlignment="1" applyProtection="1">
      <alignment horizontal="center" vertical="center"/>
      <protection locked="0"/>
    </xf>
    <xf numFmtId="2" fontId="15" fillId="0" borderId="11" xfId="1" applyNumberFormat="1" applyFont="1" applyBorder="1" applyAlignment="1" applyProtection="1">
      <alignment horizontal="center" vertical="center"/>
      <protection locked="0"/>
    </xf>
    <xf numFmtId="20" fontId="15" fillId="9" borderId="11" xfId="1" applyNumberFormat="1" applyFont="1" applyFill="1" applyBorder="1" applyAlignment="1" applyProtection="1">
      <alignment horizontal="center" vertical="center"/>
      <protection locked="0"/>
    </xf>
    <xf numFmtId="0" fontId="15" fillId="9" borderId="11" xfId="1" applyNumberFormat="1" applyFont="1" applyFill="1" applyBorder="1" applyAlignment="1" applyProtection="1">
      <alignment horizontal="center" vertical="center"/>
      <protection locked="0"/>
    </xf>
    <xf numFmtId="0" fontId="15" fillId="9" borderId="11" xfId="1" applyFont="1" applyFill="1" applyBorder="1" applyAlignment="1" applyProtection="1">
      <alignment horizontal="center" vertical="center"/>
      <protection locked="0"/>
    </xf>
    <xf numFmtId="1" fontId="15" fillId="9" borderId="11" xfId="1" applyNumberFormat="1" applyFont="1" applyFill="1" applyBorder="1" applyAlignment="1" applyProtection="1">
      <alignment horizontal="center" vertical="center"/>
      <protection locked="0"/>
    </xf>
    <xf numFmtId="0" fontId="14" fillId="0" borderId="29" xfId="1" applyFont="1" applyBorder="1" applyAlignment="1" applyProtection="1">
      <alignment horizontal="center" vertical="center"/>
      <protection locked="0"/>
    </xf>
    <xf numFmtId="0" fontId="14" fillId="6" borderId="29" xfId="1" applyFont="1" applyFill="1" applyBorder="1" applyAlignment="1" applyProtection="1">
      <alignment horizontal="center" vertical="center"/>
      <protection locked="0"/>
    </xf>
    <xf numFmtId="0" fontId="15" fillId="0" borderId="0" xfId="1" applyFont="1" applyBorder="1" applyAlignment="1" applyProtection="1">
      <alignment horizontal="center" vertical="center"/>
      <protection locked="0"/>
    </xf>
    <xf numFmtId="0" fontId="15" fillId="0" borderId="7" xfId="1" applyFont="1" applyBorder="1" applyAlignment="1" applyProtection="1">
      <alignment horizontal="center" vertical="center"/>
      <protection locked="0"/>
    </xf>
    <xf numFmtId="0" fontId="15" fillId="0" borderId="0" xfId="1" applyFont="1" applyAlignment="1" applyProtection="1">
      <alignment horizontal="center" vertical="center"/>
      <protection locked="0"/>
    </xf>
    <xf numFmtId="2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1" fontId="15" fillId="0" borderId="0" xfId="1" applyNumberFormat="1" applyFont="1" applyFill="1" applyBorder="1" applyAlignment="1" applyProtection="1">
      <alignment horizontal="center" vertical="center"/>
      <protection locked="0"/>
    </xf>
    <xf numFmtId="20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15" fillId="0" borderId="0" xfId="1" applyFont="1" applyFill="1" applyBorder="1" applyAlignment="1" applyProtection="1">
      <alignment horizontal="center" vertical="center"/>
      <protection locked="0"/>
    </xf>
    <xf numFmtId="0" fontId="15" fillId="0" borderId="0" xfId="1" applyFont="1" applyFill="1" applyAlignment="1" applyProtection="1">
      <alignment horizontal="center" vertical="center"/>
      <protection locked="0"/>
    </xf>
    <xf numFmtId="0" fontId="15" fillId="0" borderId="0" xfId="0" applyNumberFormat="1" applyFont="1" applyFill="1" applyAlignment="1" applyProtection="1">
      <alignment horizontal="center" vertical="center"/>
      <protection locked="0"/>
    </xf>
    <xf numFmtId="0" fontId="15" fillId="0" borderId="0" xfId="0" applyFont="1" applyFill="1" applyAlignment="1" applyProtection="1">
      <alignment horizontal="center" vertical="center"/>
      <protection locked="0"/>
    </xf>
    <xf numFmtId="0" fontId="18" fillId="0" borderId="0" xfId="0" applyFont="1" applyProtection="1">
      <protection locked="0"/>
    </xf>
    <xf numFmtId="0" fontId="9" fillId="0" borderId="0" xfId="2" applyFont="1" applyBorder="1" applyAlignment="1" applyProtection="1">
      <alignment horizontal="center" vertical="center"/>
      <protection locked="0"/>
    </xf>
    <xf numFmtId="0" fontId="7" fillId="0" borderId="0" xfId="0" applyFont="1" applyFill="1" applyAlignment="1" applyProtection="1">
      <alignment horizontal="center" vertical="center"/>
      <protection locked="0"/>
    </xf>
    <xf numFmtId="1" fontId="7" fillId="0" borderId="0" xfId="1" applyNumberFormat="1" applyFont="1" applyAlignment="1" applyProtection="1">
      <alignment horizontal="center" vertical="center"/>
      <protection locked="0"/>
    </xf>
    <xf numFmtId="2" fontId="15" fillId="0" borderId="19" xfId="1" applyNumberFormat="1" applyFont="1" applyBorder="1" applyAlignment="1" applyProtection="1">
      <alignment horizontal="center" vertical="center"/>
    </xf>
    <xf numFmtId="2" fontId="15" fillId="0" borderId="13" xfId="1" applyNumberFormat="1" applyFont="1" applyBorder="1" applyAlignment="1" applyProtection="1">
      <alignment horizontal="center" vertical="center"/>
    </xf>
    <xf numFmtId="2" fontId="15" fillId="0" borderId="18" xfId="1" applyNumberFormat="1" applyFont="1" applyBorder="1" applyAlignment="1" applyProtection="1">
      <alignment horizontal="center" vertical="center"/>
    </xf>
    <xf numFmtId="2" fontId="15" fillId="0" borderId="6" xfId="1" applyNumberFormat="1" applyFont="1" applyBorder="1" applyAlignment="1" applyProtection="1">
      <alignment horizontal="center" vertical="center"/>
    </xf>
    <xf numFmtId="2" fontId="15" fillId="0" borderId="14" xfId="1" applyNumberFormat="1" applyFont="1" applyBorder="1" applyAlignment="1" applyProtection="1">
      <alignment horizontal="center" vertical="center"/>
    </xf>
    <xf numFmtId="2" fontId="15" fillId="0" borderId="11" xfId="1" applyNumberFormat="1" applyFont="1" applyBorder="1" applyAlignment="1" applyProtection="1">
      <alignment horizontal="center" vertical="center"/>
    </xf>
    <xf numFmtId="1" fontId="15" fillId="0" borderId="13" xfId="1" applyNumberFormat="1" applyFont="1" applyBorder="1" applyAlignment="1" applyProtection="1">
      <alignment horizontal="center" vertical="center"/>
    </xf>
    <xf numFmtId="2" fontId="15" fillId="0" borderId="16" xfId="1" applyNumberFormat="1" applyFont="1" applyBorder="1" applyAlignment="1" applyProtection="1">
      <alignment horizontal="center" vertical="center"/>
    </xf>
    <xf numFmtId="20" fontId="15" fillId="0" borderId="13" xfId="1" applyNumberFormat="1" applyFont="1" applyBorder="1" applyAlignment="1" applyProtection="1">
      <alignment horizontal="center" vertical="center"/>
    </xf>
    <xf numFmtId="1" fontId="15" fillId="0" borderId="6" xfId="1" applyNumberFormat="1" applyFont="1" applyBorder="1" applyAlignment="1" applyProtection="1">
      <alignment horizontal="center" vertical="center"/>
    </xf>
    <xf numFmtId="2" fontId="15" fillId="0" borderId="10" xfId="1" applyNumberFormat="1" applyFont="1" applyBorder="1" applyAlignment="1" applyProtection="1">
      <alignment horizontal="center" vertical="center"/>
    </xf>
    <xf numFmtId="20" fontId="15" fillId="0" borderId="6" xfId="1" applyNumberFormat="1" applyFont="1" applyBorder="1" applyAlignment="1" applyProtection="1">
      <alignment horizontal="center" vertical="center"/>
    </xf>
    <xf numFmtId="1" fontId="15" fillId="0" borderId="11" xfId="1" applyNumberFormat="1" applyFont="1" applyBorder="1" applyAlignment="1" applyProtection="1">
      <alignment horizontal="center" vertical="center"/>
    </xf>
    <xf numFmtId="2" fontId="15" fillId="0" borderId="34" xfId="1" applyNumberFormat="1" applyFont="1" applyBorder="1" applyAlignment="1" applyProtection="1">
      <alignment horizontal="center" vertical="center"/>
    </xf>
    <xf numFmtId="20" fontId="15" fillId="0" borderId="11" xfId="1" applyNumberFormat="1" applyFont="1" applyBorder="1" applyAlignment="1" applyProtection="1">
      <alignment horizontal="center" vertical="center"/>
    </xf>
    <xf numFmtId="0" fontId="15" fillId="0" borderId="13" xfId="1" applyNumberFormat="1" applyFont="1" applyFill="1" applyBorder="1" applyAlignment="1" applyProtection="1">
      <alignment horizontal="center" vertical="center"/>
    </xf>
    <xf numFmtId="0" fontId="15" fillId="0" borderId="35" xfId="1" applyNumberFormat="1" applyFont="1" applyFill="1" applyBorder="1" applyAlignment="1" applyProtection="1">
      <alignment horizontal="center" vertical="center"/>
    </xf>
    <xf numFmtId="0" fontId="15" fillId="0" borderId="13" xfId="1" applyFont="1" applyBorder="1" applyAlignment="1" applyProtection="1">
      <alignment horizontal="center" vertical="center"/>
    </xf>
    <xf numFmtId="0" fontId="15" fillId="0" borderId="6" xfId="1" applyFont="1" applyBorder="1" applyAlignment="1" applyProtection="1">
      <alignment horizontal="center" vertical="center"/>
    </xf>
    <xf numFmtId="0" fontId="15" fillId="0" borderId="11" xfId="1" applyFont="1" applyBorder="1" applyAlignment="1" applyProtection="1">
      <alignment horizontal="center" vertical="center"/>
    </xf>
    <xf numFmtId="2" fontId="15" fillId="0" borderId="6" xfId="1" applyNumberFormat="1" applyFont="1" applyFill="1" applyBorder="1" applyAlignment="1" applyProtection="1">
      <alignment horizontal="center" vertical="center"/>
    </xf>
    <xf numFmtId="2" fontId="15" fillId="0" borderId="13" xfId="1" applyNumberFormat="1" applyFont="1" applyFill="1" applyBorder="1" applyAlignment="1" applyProtection="1">
      <alignment horizontal="center" vertical="center"/>
    </xf>
    <xf numFmtId="2" fontId="15" fillId="0" borderId="35" xfId="1" applyNumberFormat="1" applyFont="1" applyFill="1" applyBorder="1" applyAlignment="1" applyProtection="1">
      <alignment horizontal="center" vertical="center"/>
    </xf>
    <xf numFmtId="1" fontId="15" fillId="0" borderId="13" xfId="1" applyNumberFormat="1" applyFont="1" applyFill="1" applyBorder="1" applyAlignment="1" applyProtection="1">
      <alignment horizontal="center" vertical="center"/>
    </xf>
    <xf numFmtId="1" fontId="15" fillId="0" borderId="6" xfId="1" applyNumberFormat="1" applyFont="1" applyFill="1" applyBorder="1" applyAlignment="1" applyProtection="1">
      <alignment horizontal="center" vertical="center"/>
    </xf>
    <xf numFmtId="1" fontId="15" fillId="0" borderId="11" xfId="1" applyNumberFormat="1" applyFont="1" applyFill="1" applyBorder="1" applyAlignment="1" applyProtection="1">
      <alignment horizontal="center" vertical="center"/>
    </xf>
    <xf numFmtId="19" fontId="7" fillId="0" borderId="0" xfId="1" applyNumberFormat="1" applyFont="1" applyAlignment="1" applyProtection="1">
      <alignment horizontal="center" vertical="center"/>
      <protection locked="0"/>
    </xf>
    <xf numFmtId="20" fontId="7" fillId="0" borderId="0" xfId="1" applyNumberFormat="1" applyFont="1" applyAlignment="1" applyProtection="1">
      <alignment horizontal="center" vertical="center"/>
      <protection locked="0"/>
    </xf>
    <xf numFmtId="2" fontId="0" fillId="0" borderId="0" xfId="0" applyNumberFormat="1"/>
    <xf numFmtId="0" fontId="5" fillId="0" borderId="0" xfId="0" applyFont="1"/>
    <xf numFmtId="0" fontId="5" fillId="5" borderId="0" xfId="0" applyFont="1" applyFill="1"/>
    <xf numFmtId="2" fontId="6" fillId="0" borderId="0" xfId="0" applyNumberFormat="1" applyFont="1" applyAlignment="1">
      <alignment vertical="center"/>
    </xf>
    <xf numFmtId="1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20" fontId="0" fillId="0" borderId="0" xfId="0" applyNumberFormat="1"/>
    <xf numFmtId="1" fontId="0" fillId="0" borderId="0" xfId="0" applyNumberFormat="1"/>
    <xf numFmtId="20" fontId="6" fillId="0" borderId="0" xfId="0" applyNumberFormat="1" applyFont="1" applyAlignment="1">
      <alignment vertical="center"/>
    </xf>
    <xf numFmtId="0" fontId="12" fillId="3" borderId="48" xfId="1" applyFont="1" applyFill="1" applyBorder="1" applyAlignment="1" applyProtection="1">
      <alignment horizontal="center" vertical="center"/>
    </xf>
    <xf numFmtId="0" fontId="12" fillId="3" borderId="48" xfId="1" applyFont="1" applyFill="1" applyBorder="1" applyAlignment="1" applyProtection="1">
      <alignment horizontal="center" vertical="center" wrapText="1"/>
    </xf>
    <xf numFmtId="1" fontId="15" fillId="9" borderId="13" xfId="0" applyNumberFormat="1" applyFont="1" applyFill="1" applyBorder="1" applyAlignment="1" applyProtection="1">
      <alignment horizontal="center" vertical="center"/>
    </xf>
    <xf numFmtId="1" fontId="15" fillId="9" borderId="16" xfId="1" applyNumberFormat="1" applyFont="1" applyFill="1" applyBorder="1" applyAlignment="1" applyProtection="1">
      <alignment horizontal="center" vertical="center"/>
    </xf>
    <xf numFmtId="1" fontId="15" fillId="9" borderId="10" xfId="1" applyNumberFormat="1" applyFont="1" applyFill="1" applyBorder="1" applyAlignment="1" applyProtection="1">
      <alignment horizontal="center" vertical="center"/>
    </xf>
    <xf numFmtId="1" fontId="15" fillId="9" borderId="34" xfId="1" applyNumberFormat="1" applyFont="1" applyFill="1" applyBorder="1" applyAlignment="1" applyProtection="1">
      <alignment horizontal="center" vertical="center"/>
    </xf>
    <xf numFmtId="0" fontId="15" fillId="0" borderId="22" xfId="1" applyFont="1" applyBorder="1" applyAlignment="1" applyProtection="1">
      <alignment vertical="center"/>
    </xf>
    <xf numFmtId="2" fontId="14" fillId="6" borderId="21" xfId="1" applyNumberFormat="1" applyFont="1" applyFill="1" applyBorder="1" applyAlignment="1" applyProtection="1">
      <alignment horizontal="center" vertical="center" wrapText="1"/>
    </xf>
    <xf numFmtId="2" fontId="14" fillId="0" borderId="21" xfId="1" applyNumberFormat="1" applyFont="1" applyBorder="1" applyAlignment="1" applyProtection="1">
      <alignment horizontal="center" vertical="center"/>
    </xf>
    <xf numFmtId="2" fontId="14" fillId="8" borderId="21" xfId="1" applyNumberFormat="1" applyFont="1" applyFill="1" applyBorder="1" applyAlignment="1" applyProtection="1">
      <alignment horizontal="center" vertical="center" wrapText="1"/>
    </xf>
    <xf numFmtId="2" fontId="14" fillId="0" borderId="21" xfId="1" applyNumberFormat="1" applyFont="1" applyFill="1" applyBorder="1" applyAlignment="1" applyProtection="1">
      <alignment horizontal="center" vertical="center"/>
    </xf>
    <xf numFmtId="1" fontId="14" fillId="0" borderId="21" xfId="1" applyNumberFormat="1" applyFont="1" applyBorder="1" applyAlignment="1" applyProtection="1">
      <alignment horizontal="center" vertical="center"/>
    </xf>
    <xf numFmtId="1" fontId="14" fillId="0" borderId="23" xfId="1" applyNumberFormat="1" applyFont="1" applyBorder="1" applyAlignment="1" applyProtection="1">
      <alignment horizontal="center" vertical="center"/>
    </xf>
    <xf numFmtId="2" fontId="14" fillId="0" borderId="24" xfId="1" applyNumberFormat="1" applyFont="1" applyFill="1" applyBorder="1" applyAlignment="1" applyProtection="1">
      <alignment horizontal="center" vertical="center"/>
    </xf>
    <xf numFmtId="2" fontId="14" fillId="8" borderId="22" xfId="1" applyNumberFormat="1" applyFont="1" applyFill="1" applyBorder="1" applyAlignment="1" applyProtection="1">
      <alignment horizontal="center" vertical="center" wrapText="1"/>
    </xf>
    <xf numFmtId="0" fontId="15" fillId="0" borderId="0" xfId="1" applyFont="1" applyAlignment="1" applyProtection="1">
      <alignment horizontal="center" vertical="center"/>
    </xf>
    <xf numFmtId="2" fontId="14" fillId="6" borderId="21" xfId="0" applyNumberFormat="1" applyFont="1" applyFill="1" applyBorder="1" applyAlignment="1" applyProtection="1">
      <alignment horizontal="center" vertical="center" wrapText="1"/>
    </xf>
    <xf numFmtId="1" fontId="14" fillId="0" borderId="21" xfId="0" applyNumberFormat="1" applyFont="1" applyFill="1" applyBorder="1" applyAlignment="1" applyProtection="1">
      <alignment horizontal="center" vertical="center"/>
    </xf>
    <xf numFmtId="0" fontId="15" fillId="0" borderId="26" xfId="1" applyFont="1" applyBorder="1" applyAlignment="1" applyProtection="1">
      <alignment vertical="center"/>
    </xf>
    <xf numFmtId="2" fontId="14" fillId="6" borderId="25" xfId="1" applyNumberFormat="1" applyFont="1" applyFill="1" applyBorder="1" applyAlignment="1" applyProtection="1">
      <alignment horizontal="center" vertical="center" wrapText="1"/>
    </xf>
    <xf numFmtId="2" fontId="14" fillId="0" borderId="25" xfId="1" applyNumberFormat="1" applyFont="1" applyBorder="1" applyAlignment="1" applyProtection="1">
      <alignment horizontal="center" vertical="center"/>
    </xf>
    <xf numFmtId="2" fontId="14" fillId="8" borderId="25" xfId="1" applyNumberFormat="1" applyFont="1" applyFill="1" applyBorder="1" applyAlignment="1" applyProtection="1">
      <alignment horizontal="center" vertical="center" wrapText="1"/>
    </xf>
    <xf numFmtId="2" fontId="14" fillId="0" borderId="25" xfId="1" applyNumberFormat="1" applyFont="1" applyFill="1" applyBorder="1" applyAlignment="1" applyProtection="1">
      <alignment horizontal="center" vertical="center"/>
    </xf>
    <xf numFmtId="1" fontId="14" fillId="0" borderId="25" xfId="1" applyNumberFormat="1" applyFont="1" applyBorder="1" applyAlignment="1" applyProtection="1">
      <alignment horizontal="center" vertical="center"/>
    </xf>
    <xf numFmtId="1" fontId="14" fillId="0" borderId="27" xfId="1" applyNumberFormat="1" applyFont="1" applyBorder="1" applyAlignment="1" applyProtection="1">
      <alignment horizontal="center" vertical="center"/>
    </xf>
    <xf numFmtId="2" fontId="14" fillId="0" borderId="28" xfId="1" applyNumberFormat="1" applyFont="1" applyFill="1" applyBorder="1" applyAlignment="1" applyProtection="1">
      <alignment horizontal="center" vertical="center"/>
    </xf>
    <xf numFmtId="2" fontId="14" fillId="8" borderId="25" xfId="0" applyNumberFormat="1" applyFont="1" applyFill="1" applyBorder="1" applyAlignment="1" applyProtection="1">
      <alignment horizontal="center" vertical="center" wrapText="1"/>
    </xf>
    <xf numFmtId="1" fontId="14" fillId="0" borderId="25" xfId="0" applyNumberFormat="1" applyFont="1" applyFill="1" applyBorder="1" applyAlignment="1" applyProtection="1">
      <alignment horizontal="center" vertical="center"/>
    </xf>
    <xf numFmtId="0" fontId="14" fillId="6" borderId="29" xfId="0" applyNumberFormat="1" applyFont="1" applyFill="1" applyBorder="1" applyAlignment="1" applyProtection="1">
      <alignment vertical="center" wrapText="1"/>
      <protection locked="0"/>
    </xf>
    <xf numFmtId="0" fontId="14" fillId="0" borderId="29" xfId="0" applyNumberFormat="1" applyFont="1" applyFill="1" applyBorder="1" applyAlignment="1" applyProtection="1">
      <alignment horizontal="center" vertical="center"/>
      <protection locked="0"/>
    </xf>
    <xf numFmtId="2" fontId="14" fillId="3" borderId="29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8" xfId="1" applyFont="1" applyBorder="1" applyAlignment="1" applyProtection="1">
      <alignment horizontal="center" vertical="center"/>
      <protection locked="0"/>
    </xf>
    <xf numFmtId="0" fontId="15" fillId="0" borderId="36" xfId="1" applyFont="1" applyBorder="1" applyAlignment="1" applyProtection="1">
      <alignment horizontal="center" vertical="center"/>
      <protection locked="0"/>
    </xf>
    <xf numFmtId="0" fontId="15" fillId="0" borderId="13" xfId="1" applyFont="1" applyBorder="1" applyAlignment="1" applyProtection="1">
      <alignment horizontal="center" vertical="center"/>
      <protection locked="0"/>
    </xf>
    <xf numFmtId="0" fontId="14" fillId="0" borderId="29" xfId="1" applyFont="1" applyBorder="1" applyAlignment="1" applyProtection="1">
      <alignment horizontal="center" vertical="center"/>
      <protection locked="0"/>
    </xf>
    <xf numFmtId="0" fontId="12" fillId="3" borderId="29" xfId="2" applyFont="1" applyFill="1" applyBorder="1" applyAlignment="1" applyProtection="1">
      <alignment horizontal="center" vertical="center" wrapText="1"/>
      <protection locked="0"/>
    </xf>
    <xf numFmtId="2" fontId="14" fillId="3" borderId="29" xfId="1" applyNumberFormat="1" applyFont="1" applyFill="1" applyBorder="1" applyAlignment="1" applyProtection="1">
      <alignment horizontal="center" vertical="center"/>
      <protection locked="0"/>
    </xf>
    <xf numFmtId="2" fontId="14" fillId="3" borderId="29" xfId="1" applyNumberFormat="1" applyFont="1" applyFill="1" applyBorder="1" applyAlignment="1" applyProtection="1">
      <alignment horizontal="center" vertical="center" wrapText="1"/>
      <protection locked="0"/>
    </xf>
    <xf numFmtId="0" fontId="15" fillId="0" borderId="6" xfId="1" applyFont="1" applyBorder="1" applyAlignment="1" applyProtection="1">
      <alignment horizontal="center" vertical="center"/>
      <protection locked="0"/>
    </xf>
    <xf numFmtId="0" fontId="14" fillId="6" borderId="29" xfId="1" applyFont="1" applyFill="1" applyBorder="1" applyAlignment="1" applyProtection="1">
      <alignment horizontal="center" vertical="center" wrapText="1"/>
      <protection locked="0"/>
    </xf>
    <xf numFmtId="164" fontId="14" fillId="0" borderId="29" xfId="1" applyNumberFormat="1" applyFont="1" applyBorder="1" applyAlignment="1" applyProtection="1">
      <alignment horizontal="center" vertical="center"/>
      <protection locked="0"/>
    </xf>
    <xf numFmtId="0" fontId="14" fillId="6" borderId="29" xfId="1" applyFont="1" applyFill="1" applyBorder="1" applyAlignment="1" applyProtection="1">
      <alignment horizontal="center" vertical="center"/>
      <protection locked="0"/>
    </xf>
    <xf numFmtId="0" fontId="14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3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1" xfId="1" applyFont="1" applyFill="1" applyBorder="1" applyAlignment="1" applyProtection="1">
      <alignment horizontal="center" vertical="center"/>
      <protection locked="0"/>
    </xf>
    <xf numFmtId="0" fontId="14" fillId="6" borderId="2" xfId="1" applyFont="1" applyFill="1" applyBorder="1" applyAlignment="1" applyProtection="1">
      <alignment horizontal="center" vertical="center"/>
      <protection locked="0"/>
    </xf>
    <xf numFmtId="0" fontId="14" fillId="6" borderId="3" xfId="1" applyFont="1" applyFill="1" applyBorder="1" applyAlignment="1" applyProtection="1">
      <alignment horizontal="center" vertical="center"/>
      <protection locked="0"/>
    </xf>
    <xf numFmtId="0" fontId="12" fillId="6" borderId="29" xfId="2" applyFont="1" applyFill="1" applyBorder="1" applyAlignment="1" applyProtection="1">
      <alignment horizontal="center" vertical="center"/>
      <protection locked="0"/>
    </xf>
    <xf numFmtId="0" fontId="14" fillId="10" borderId="29" xfId="1" applyFont="1" applyFill="1" applyBorder="1" applyAlignment="1" applyProtection="1">
      <alignment horizontal="center" vertical="center"/>
      <protection locked="0"/>
    </xf>
    <xf numFmtId="1" fontId="12" fillId="6" borderId="29" xfId="2" applyNumberFormat="1" applyFont="1" applyFill="1" applyBorder="1" applyAlignment="1" applyProtection="1">
      <alignment horizontal="center" vertical="center"/>
      <protection locked="0"/>
    </xf>
    <xf numFmtId="2" fontId="14" fillId="0" borderId="29" xfId="1" applyNumberFormat="1" applyFont="1" applyBorder="1" applyAlignment="1" applyProtection="1">
      <alignment horizontal="center" vertical="center"/>
      <protection locked="0"/>
    </xf>
    <xf numFmtId="0" fontId="12" fillId="6" borderId="29" xfId="2" applyFont="1" applyFill="1" applyBorder="1" applyAlignment="1" applyProtection="1">
      <alignment horizontal="center" vertical="center" wrapText="1"/>
      <protection locked="0"/>
    </xf>
    <xf numFmtId="0" fontId="17" fillId="7" borderId="29" xfId="2" applyFont="1" applyFill="1" applyBorder="1" applyAlignment="1" applyProtection="1">
      <alignment horizontal="center" vertical="center"/>
      <protection locked="0"/>
    </xf>
    <xf numFmtId="0" fontId="12" fillId="6" borderId="1" xfId="2" applyFont="1" applyFill="1" applyBorder="1" applyAlignment="1" applyProtection="1">
      <alignment horizontal="center" vertical="center" wrapText="1"/>
      <protection locked="0"/>
    </xf>
    <xf numFmtId="0" fontId="12" fillId="6" borderId="2" xfId="2" applyFont="1" applyFill="1" applyBorder="1" applyAlignment="1" applyProtection="1">
      <alignment horizontal="center" vertical="center" wrapText="1"/>
      <protection locked="0"/>
    </xf>
    <xf numFmtId="0" fontId="12" fillId="6" borderId="3" xfId="2" applyFont="1" applyFill="1" applyBorder="1" applyAlignment="1" applyProtection="1">
      <alignment horizontal="center" vertical="center" wrapText="1"/>
      <protection locked="0"/>
    </xf>
    <xf numFmtId="0" fontId="14" fillId="0" borderId="29" xfId="1" applyFont="1" applyBorder="1" applyAlignment="1" applyProtection="1">
      <alignment horizontal="center" vertical="center" wrapText="1"/>
      <protection locked="0"/>
    </xf>
    <xf numFmtId="0" fontId="14" fillId="0" borderId="1" xfId="1" applyFont="1" applyBorder="1" applyAlignment="1" applyProtection="1">
      <alignment horizontal="center" vertical="center"/>
      <protection locked="0"/>
    </xf>
    <xf numFmtId="0" fontId="14" fillId="0" borderId="2" xfId="1" applyFont="1" applyBorder="1" applyAlignment="1" applyProtection="1">
      <alignment horizontal="center" vertical="center"/>
      <protection locked="0"/>
    </xf>
    <xf numFmtId="0" fontId="14" fillId="0" borderId="3" xfId="1" applyFont="1" applyBorder="1" applyAlignment="1" applyProtection="1">
      <alignment horizontal="center" vertical="center"/>
      <protection locked="0"/>
    </xf>
    <xf numFmtId="0" fontId="14" fillId="6" borderId="41" xfId="1" applyFont="1" applyFill="1" applyBorder="1" applyAlignment="1" applyProtection="1">
      <alignment horizontal="center" vertical="center"/>
    </xf>
    <xf numFmtId="0" fontId="14" fillId="6" borderId="40" xfId="1" applyFont="1" applyFill="1" applyBorder="1" applyAlignment="1" applyProtection="1">
      <alignment horizontal="center" vertical="center"/>
    </xf>
    <xf numFmtId="0" fontId="14" fillId="6" borderId="42" xfId="1" applyFont="1" applyFill="1" applyBorder="1" applyAlignment="1" applyProtection="1">
      <alignment horizontal="center" vertical="center"/>
    </xf>
    <xf numFmtId="0" fontId="14" fillId="6" borderId="47" xfId="1" applyFont="1" applyFill="1" applyBorder="1" applyAlignment="1" applyProtection="1">
      <alignment horizontal="center" vertical="center"/>
    </xf>
    <xf numFmtId="0" fontId="14" fillId="4" borderId="31" xfId="1" applyFont="1" applyFill="1" applyBorder="1" applyAlignment="1" applyProtection="1">
      <alignment horizontal="center" vertical="center"/>
    </xf>
    <xf numFmtId="0" fontId="14" fillId="4" borderId="23" xfId="1" applyFont="1" applyFill="1" applyBorder="1" applyAlignment="1" applyProtection="1">
      <alignment horizontal="center" vertical="center"/>
    </xf>
    <xf numFmtId="0" fontId="14" fillId="4" borderId="33" xfId="1" applyFont="1" applyFill="1" applyBorder="1" applyAlignment="1" applyProtection="1">
      <alignment horizontal="center" vertical="center"/>
    </xf>
    <xf numFmtId="0" fontId="14" fillId="4" borderId="27" xfId="1" applyFont="1" applyFill="1" applyBorder="1" applyAlignment="1" applyProtection="1">
      <alignment horizontal="center" vertical="center"/>
    </xf>
    <xf numFmtId="0" fontId="14" fillId="8" borderId="41" xfId="1" applyFont="1" applyFill="1" applyBorder="1" applyAlignment="1" applyProtection="1">
      <alignment horizontal="center" vertical="center"/>
    </xf>
    <xf numFmtId="0" fontId="14" fillId="8" borderId="40" xfId="1" applyFont="1" applyFill="1" applyBorder="1" applyAlignment="1" applyProtection="1">
      <alignment horizontal="center" vertical="center"/>
    </xf>
    <xf numFmtId="0" fontId="14" fillId="8" borderId="42" xfId="1" applyFont="1" applyFill="1" applyBorder="1" applyAlignment="1" applyProtection="1">
      <alignment horizontal="center" vertical="center"/>
    </xf>
    <xf numFmtId="0" fontId="14" fillId="8" borderId="47" xfId="1" applyFont="1" applyFill="1" applyBorder="1" applyAlignment="1" applyProtection="1">
      <alignment horizontal="center" vertical="center"/>
    </xf>
    <xf numFmtId="0" fontId="14" fillId="0" borderId="29" xfId="1" applyFont="1" applyFill="1" applyBorder="1" applyAlignment="1" applyProtection="1">
      <alignment horizontal="center" vertical="center" wrapText="1"/>
      <protection locked="0"/>
    </xf>
    <xf numFmtId="0" fontId="14" fillId="10" borderId="29" xfId="1" applyFont="1" applyFill="1" applyBorder="1" applyAlignment="1" applyProtection="1">
      <alignment horizontal="center" vertical="center" wrapText="1"/>
      <protection locked="0"/>
    </xf>
    <xf numFmtId="0" fontId="14" fillId="10" borderId="1" xfId="1" applyFont="1" applyFill="1" applyBorder="1" applyAlignment="1" applyProtection="1">
      <alignment horizontal="center" vertical="center"/>
      <protection locked="0"/>
    </xf>
    <xf numFmtId="0" fontId="14" fillId="10" borderId="2" xfId="1" applyFont="1" applyFill="1" applyBorder="1" applyAlignment="1" applyProtection="1">
      <alignment horizontal="center" vertical="center"/>
      <protection locked="0"/>
    </xf>
    <xf numFmtId="0" fontId="14" fillId="10" borderId="3" xfId="1" applyFont="1" applyFill="1" applyBorder="1" applyAlignment="1" applyProtection="1">
      <alignment horizontal="center" vertical="center"/>
      <protection locked="0"/>
    </xf>
    <xf numFmtId="1" fontId="14" fillId="0" borderId="22" xfId="1" applyNumberFormat="1" applyFont="1" applyBorder="1" applyAlignment="1" applyProtection="1">
      <alignment horizontal="center" vertical="center"/>
    </xf>
    <xf numFmtId="1" fontId="14" fillId="0" borderId="26" xfId="1" applyNumberFormat="1" applyFont="1" applyBorder="1" applyAlignment="1" applyProtection="1">
      <alignment horizontal="center" vertical="center"/>
    </xf>
    <xf numFmtId="0" fontId="10" fillId="11" borderId="41" xfId="2" applyFont="1" applyFill="1" applyBorder="1" applyAlignment="1" applyProtection="1">
      <alignment horizontal="center" vertical="center" wrapText="1"/>
      <protection locked="0"/>
    </xf>
    <xf numFmtId="0" fontId="10" fillId="11" borderId="40" xfId="2" applyFont="1" applyFill="1" applyBorder="1" applyAlignment="1" applyProtection="1">
      <alignment horizontal="center" vertical="center"/>
      <protection locked="0"/>
    </xf>
    <xf numFmtId="1" fontId="14" fillId="6" borderId="22" xfId="1" applyNumberFormat="1" applyFont="1" applyFill="1" applyBorder="1" applyAlignment="1" applyProtection="1">
      <alignment horizontal="center" vertical="center"/>
    </xf>
    <xf numFmtId="1" fontId="14" fillId="6" borderId="26" xfId="1" applyNumberFormat="1" applyFont="1" applyFill="1" applyBorder="1" applyAlignment="1" applyProtection="1">
      <alignment horizontal="center" vertical="center"/>
    </xf>
    <xf numFmtId="2" fontId="14" fillId="8" borderId="22" xfId="1" applyNumberFormat="1" applyFont="1" applyFill="1" applyBorder="1" applyAlignment="1" applyProtection="1">
      <alignment horizontal="center" vertical="center" wrapText="1"/>
    </xf>
    <xf numFmtId="2" fontId="14" fillId="8" borderId="26" xfId="1" applyNumberFormat="1" applyFont="1" applyFill="1" applyBorder="1" applyAlignment="1" applyProtection="1">
      <alignment horizontal="center" vertical="center" wrapText="1"/>
    </xf>
    <xf numFmtId="0" fontId="15" fillId="0" borderId="11" xfId="1" applyFont="1" applyBorder="1" applyAlignment="1" applyProtection="1">
      <alignment horizontal="center" vertical="center"/>
      <protection locked="0"/>
    </xf>
    <xf numFmtId="1" fontId="14" fillId="6" borderId="22" xfId="1" applyNumberFormat="1" applyFont="1" applyFill="1" applyBorder="1" applyAlignment="1" applyProtection="1">
      <alignment horizontal="center" vertical="center" wrapText="1"/>
    </xf>
    <xf numFmtId="1" fontId="14" fillId="6" borderId="26" xfId="1" applyNumberFormat="1" applyFont="1" applyFill="1" applyBorder="1" applyAlignment="1" applyProtection="1">
      <alignment horizontal="center" vertical="center" wrapText="1"/>
    </xf>
    <xf numFmtId="1" fontId="14" fillId="0" borderId="22" xfId="1" applyNumberFormat="1" applyFont="1" applyFill="1" applyBorder="1" applyAlignment="1" applyProtection="1">
      <alignment horizontal="center" vertical="center"/>
    </xf>
    <xf numFmtId="1" fontId="14" fillId="0" borderId="26" xfId="1" applyNumberFormat="1" applyFont="1" applyFill="1" applyBorder="1" applyAlignment="1" applyProtection="1">
      <alignment horizontal="center" vertical="center"/>
    </xf>
    <xf numFmtId="0" fontId="14" fillId="8" borderId="30" xfId="1" applyFont="1" applyFill="1" applyBorder="1" applyAlignment="1" applyProtection="1">
      <alignment horizontal="center" vertical="center"/>
    </xf>
    <xf numFmtId="0" fontId="14" fillId="8" borderId="31" xfId="1" applyFont="1" applyFill="1" applyBorder="1" applyAlignment="1" applyProtection="1">
      <alignment horizontal="center" vertical="center"/>
    </xf>
    <xf numFmtId="0" fontId="14" fillId="8" borderId="32" xfId="1" applyFont="1" applyFill="1" applyBorder="1" applyAlignment="1" applyProtection="1">
      <alignment horizontal="center" vertical="center"/>
    </xf>
    <xf numFmtId="0" fontId="14" fillId="8" borderId="33" xfId="1" applyFont="1" applyFill="1" applyBorder="1" applyAlignment="1" applyProtection="1">
      <alignment horizontal="center" vertical="center"/>
    </xf>
    <xf numFmtId="0" fontId="12" fillId="3" borderId="8" xfId="1" applyFont="1" applyFill="1" applyBorder="1" applyAlignment="1" applyProtection="1">
      <alignment horizontal="center" vertical="center" wrapText="1"/>
    </xf>
    <xf numFmtId="0" fontId="12" fillId="3" borderId="13" xfId="1" applyFont="1" applyFill="1" applyBorder="1" applyAlignment="1" applyProtection="1">
      <alignment horizontal="center" vertical="center" wrapText="1"/>
    </xf>
    <xf numFmtId="2" fontId="21" fillId="0" borderId="41" xfId="1" applyNumberFormat="1" applyFont="1" applyBorder="1" applyAlignment="1" applyProtection="1">
      <alignment horizontal="center" vertical="center" wrapText="1"/>
    </xf>
    <xf numFmtId="2" fontId="21" fillId="0" borderId="46" xfId="1" applyNumberFormat="1" applyFont="1" applyBorder="1" applyAlignment="1" applyProtection="1">
      <alignment horizontal="center" vertical="center" wrapText="1"/>
    </xf>
    <xf numFmtId="2" fontId="21" fillId="0" borderId="40" xfId="1" applyNumberFormat="1" applyFont="1" applyBorder="1" applyAlignment="1" applyProtection="1">
      <alignment horizontal="center" vertical="center" wrapText="1"/>
    </xf>
    <xf numFmtId="2" fontId="21" fillId="0" borderId="42" xfId="1" applyNumberFormat="1" applyFont="1" applyBorder="1" applyAlignment="1" applyProtection="1">
      <alignment horizontal="center" vertical="center" wrapText="1"/>
    </xf>
    <xf numFmtId="2" fontId="21" fillId="0" borderId="4" xfId="1" applyNumberFormat="1" applyFont="1" applyBorder="1" applyAlignment="1" applyProtection="1">
      <alignment horizontal="center" vertical="center" wrapText="1"/>
    </xf>
    <xf numFmtId="2" fontId="21" fillId="0" borderId="47" xfId="1" applyNumberFormat="1" applyFont="1" applyBorder="1" applyAlignment="1" applyProtection="1">
      <alignment horizontal="center" vertical="center" wrapText="1"/>
    </xf>
    <xf numFmtId="2" fontId="20" fillId="0" borderId="41" xfId="1" applyNumberFormat="1" applyFont="1" applyBorder="1" applyAlignment="1" applyProtection="1">
      <alignment horizontal="center" vertical="center" wrapText="1"/>
    </xf>
    <xf numFmtId="2" fontId="20" fillId="0" borderId="40" xfId="1" applyNumberFormat="1" applyFont="1" applyBorder="1" applyAlignment="1" applyProtection="1">
      <alignment horizontal="center" vertical="center" wrapText="1"/>
    </xf>
    <xf numFmtId="2" fontId="20" fillId="0" borderId="42" xfId="1" applyNumberFormat="1" applyFont="1" applyBorder="1" applyAlignment="1" applyProtection="1">
      <alignment horizontal="center" vertical="center" wrapText="1"/>
    </xf>
    <xf numFmtId="2" fontId="20" fillId="0" borderId="47" xfId="1" applyNumberFormat="1" applyFont="1" applyBorder="1" applyAlignment="1" applyProtection="1">
      <alignment horizontal="center" vertical="center" wrapText="1"/>
    </xf>
    <xf numFmtId="2" fontId="14" fillId="0" borderId="41" xfId="1" applyNumberFormat="1" applyFont="1" applyBorder="1" applyAlignment="1" applyProtection="1">
      <alignment horizontal="center" vertical="center" wrapText="1"/>
      <protection locked="0"/>
    </xf>
    <xf numFmtId="2" fontId="14" fillId="0" borderId="40" xfId="1" applyNumberFormat="1" applyFont="1" applyBorder="1" applyAlignment="1" applyProtection="1">
      <alignment horizontal="center" vertical="center" wrapText="1"/>
      <protection locked="0"/>
    </xf>
    <xf numFmtId="2" fontId="14" fillId="0" borderId="42" xfId="1" applyNumberFormat="1" applyFont="1" applyBorder="1" applyAlignment="1" applyProtection="1">
      <alignment horizontal="center" vertical="center" wrapText="1"/>
      <protection locked="0"/>
    </xf>
    <xf numFmtId="2" fontId="14" fillId="0" borderId="47" xfId="1" applyNumberFormat="1" applyFont="1" applyBorder="1" applyAlignment="1" applyProtection="1">
      <alignment horizontal="center" vertical="center" wrapText="1"/>
      <protection locked="0"/>
    </xf>
    <xf numFmtId="0" fontId="22" fillId="0" borderId="1" xfId="2" applyFont="1" applyBorder="1" applyAlignment="1" applyProtection="1">
      <alignment horizontal="center" vertical="center"/>
    </xf>
    <xf numFmtId="0" fontId="22" fillId="0" borderId="2" xfId="2" applyFont="1" applyBorder="1" applyAlignment="1" applyProtection="1">
      <alignment horizontal="center" vertical="center"/>
    </xf>
    <xf numFmtId="0" fontId="22" fillId="0" borderId="3" xfId="2" applyFont="1" applyBorder="1" applyAlignment="1" applyProtection="1">
      <alignment horizontal="center" vertical="center"/>
    </xf>
    <xf numFmtId="2" fontId="20" fillId="0" borderId="1" xfId="1" applyNumberFormat="1" applyFont="1" applyBorder="1" applyAlignment="1" applyProtection="1">
      <alignment horizontal="center" vertical="center" wrapText="1"/>
    </xf>
    <xf numFmtId="2" fontId="20" fillId="0" borderId="2" xfId="1" applyNumberFormat="1" applyFont="1" applyBorder="1" applyAlignment="1" applyProtection="1">
      <alignment horizontal="center" vertical="center" wrapText="1"/>
    </xf>
    <xf numFmtId="2" fontId="20" fillId="0" borderId="3" xfId="1" applyNumberFormat="1" applyFont="1" applyBorder="1" applyAlignment="1" applyProtection="1">
      <alignment horizontal="center" vertical="center" wrapText="1"/>
    </xf>
    <xf numFmtId="2" fontId="20" fillId="0" borderId="46" xfId="1" applyNumberFormat="1" applyFont="1" applyBorder="1" applyAlignment="1" applyProtection="1">
      <alignment horizontal="center" vertical="center" wrapText="1"/>
    </xf>
    <xf numFmtId="2" fontId="20" fillId="0" borderId="4" xfId="1" applyNumberFormat="1" applyFont="1" applyBorder="1" applyAlignment="1" applyProtection="1">
      <alignment horizontal="center" vertical="center" wrapText="1"/>
    </xf>
    <xf numFmtId="2" fontId="14" fillId="3" borderId="42" xfId="1" applyNumberFormat="1" applyFont="1" applyFill="1" applyBorder="1" applyAlignment="1" applyProtection="1">
      <alignment horizontal="center" vertical="center" wrapText="1"/>
      <protection locked="0"/>
    </xf>
    <xf numFmtId="2" fontId="14" fillId="3" borderId="4" xfId="1" applyNumberFormat="1" applyFont="1" applyFill="1" applyBorder="1" applyAlignment="1" applyProtection="1">
      <alignment horizontal="center" vertical="center" wrapText="1"/>
      <protection locked="0"/>
    </xf>
    <xf numFmtId="2" fontId="14" fillId="3" borderId="49" xfId="1" applyNumberFormat="1" applyFont="1" applyFill="1" applyBorder="1" applyAlignment="1" applyProtection="1">
      <alignment horizontal="center" vertical="center" wrapText="1"/>
      <protection locked="0"/>
    </xf>
    <xf numFmtId="1" fontId="20" fillId="0" borderId="41" xfId="1" applyNumberFormat="1" applyFont="1" applyBorder="1" applyAlignment="1" applyProtection="1">
      <alignment horizontal="center" vertical="center" wrapText="1"/>
    </xf>
    <xf numFmtId="1" fontId="20" fillId="0" borderId="46" xfId="1" applyNumberFormat="1" applyFont="1" applyBorder="1" applyAlignment="1" applyProtection="1">
      <alignment horizontal="center" vertical="center" wrapText="1"/>
    </xf>
    <xf numFmtId="1" fontId="20" fillId="0" borderId="40" xfId="1" applyNumberFormat="1" applyFont="1" applyBorder="1" applyAlignment="1" applyProtection="1">
      <alignment horizontal="center" vertical="center" wrapText="1"/>
    </xf>
    <xf numFmtId="1" fontId="20" fillId="0" borderId="42" xfId="1" applyNumberFormat="1" applyFont="1" applyBorder="1" applyAlignment="1" applyProtection="1">
      <alignment horizontal="center" vertical="center" wrapText="1"/>
    </xf>
    <xf numFmtId="1" fontId="20" fillId="0" borderId="4" xfId="1" applyNumberFormat="1" applyFont="1" applyBorder="1" applyAlignment="1" applyProtection="1">
      <alignment horizontal="center" vertical="center" wrapText="1"/>
    </xf>
    <xf numFmtId="1" fontId="20" fillId="0" borderId="47" xfId="1" applyNumberFormat="1" applyFont="1" applyBorder="1" applyAlignment="1" applyProtection="1">
      <alignment horizontal="center" vertical="center" wrapText="1"/>
    </xf>
  </cellXfs>
  <cellStyles count="11">
    <cellStyle name="Normal" xfId="0" builtinId="0"/>
    <cellStyle name="Normal 2" xfId="1"/>
    <cellStyle name="Normal 2 2" xfId="2"/>
    <cellStyle name="Normal 2 2 2" xfId="5"/>
    <cellStyle name="Normal 4 12" xfId="6"/>
    <cellStyle name="Normal 4 12 3" xfId="7"/>
    <cellStyle name="Normal 5 12" xfId="8"/>
    <cellStyle name="Normal 5 12 3" xfId="9"/>
    <cellStyle name="Normal_Gentan-I imp. as on Dec'06." xfId="3"/>
    <cellStyle name="Percent" xfId="10" builtinId="5"/>
    <cellStyle name="Percent 2" xfId="4"/>
  </cellStyles>
  <dxfs count="4"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  <pageSetUpPr fitToPage="1"/>
  </sheetPr>
  <dimension ref="B1:GA229"/>
  <sheetViews>
    <sheetView showGridLines="0" tabSelected="1" topLeftCell="AH1" zoomScale="25" zoomScaleNormal="25" zoomScaleSheetLayoutView="25" workbookViewId="0">
      <selection activeCell="AV6" sqref="AV6"/>
    </sheetView>
  </sheetViews>
  <sheetFormatPr defaultColWidth="9.140625" defaultRowHeight="38.25"/>
  <cols>
    <col min="1" max="1" width="5.85546875" style="20" customWidth="1"/>
    <col min="2" max="2" width="28" style="20" customWidth="1"/>
    <col min="3" max="3" width="4.42578125" style="20" hidden="1" customWidth="1"/>
    <col min="4" max="5" width="23" style="20" hidden="1" customWidth="1"/>
    <col min="6" max="6" width="42.85546875" style="20" customWidth="1"/>
    <col min="7" max="7" width="40.7109375" style="20" customWidth="1"/>
    <col min="8" max="8" width="51.85546875" style="20" customWidth="1"/>
    <col min="9" max="9" width="33.42578125" style="20" customWidth="1"/>
    <col min="10" max="10" width="30.42578125" style="20" customWidth="1"/>
    <col min="11" max="11" width="54.28515625" style="20" customWidth="1"/>
    <col min="12" max="14" width="26.5703125" style="20" customWidth="1"/>
    <col min="15" max="25" width="23.140625" style="20" customWidth="1"/>
    <col min="26" max="26" width="35.5703125" style="20" customWidth="1"/>
    <col min="27" max="27" width="29.5703125" style="20" customWidth="1"/>
    <col min="28" max="28" width="32.5703125" style="20" customWidth="1"/>
    <col min="29" max="29" width="27.5703125" style="20" customWidth="1"/>
    <col min="30" max="30" width="29.28515625" style="20" customWidth="1"/>
    <col min="31" max="31" width="21.85546875" style="20" customWidth="1"/>
    <col min="32" max="32" width="24.85546875" style="20" customWidth="1"/>
    <col min="33" max="33" width="38.28515625" style="20" customWidth="1"/>
    <col min="34" max="34" width="43.85546875" style="20" customWidth="1"/>
    <col min="35" max="35" width="23.5703125" style="20" bestFit="1" customWidth="1"/>
    <col min="36" max="36" width="19.5703125" style="20" hidden="1" customWidth="1"/>
    <col min="37" max="37" width="42.7109375" style="20" hidden="1" customWidth="1"/>
    <col min="38" max="38" width="16.85546875" style="20" customWidth="1"/>
    <col min="39" max="39" width="41.85546875" style="20" customWidth="1"/>
    <col min="40" max="40" width="42.28515625" style="20" customWidth="1"/>
    <col min="41" max="41" width="63.7109375" style="20" customWidth="1"/>
    <col min="42" max="42" width="48.5703125" style="20" customWidth="1"/>
    <col min="43" max="43" width="48.5703125" style="108" customWidth="1"/>
    <col min="44" max="45" width="53" style="20" customWidth="1"/>
    <col min="46" max="46" width="82.42578125" style="20" customWidth="1"/>
    <col min="47" max="47" width="83.140625" style="20" customWidth="1"/>
    <col min="48" max="51" width="49.42578125" style="20" customWidth="1"/>
    <col min="52" max="53" width="48.5703125" style="20" customWidth="1"/>
    <col min="54" max="55" width="50.140625" style="20" customWidth="1"/>
    <col min="56" max="56" width="34.85546875" style="20" customWidth="1"/>
    <col min="57" max="59" width="57.140625" style="20" customWidth="1"/>
    <col min="60" max="60" width="40.42578125" style="20" customWidth="1"/>
    <col min="61" max="62" width="63.85546875" style="20" customWidth="1"/>
    <col min="63" max="63" width="60.7109375" style="20" customWidth="1"/>
    <col min="64" max="65" width="20.7109375" style="20" customWidth="1"/>
    <col min="66" max="66" width="49" style="20" customWidth="1"/>
    <col min="67" max="67" width="20.7109375" style="20" customWidth="1"/>
    <col min="68" max="69" width="44.28515625" style="20" customWidth="1"/>
    <col min="70" max="70" width="94.85546875" style="20" customWidth="1"/>
    <col min="71" max="72" width="45.7109375" style="17" customWidth="1"/>
    <col min="73" max="74" width="26.28515625" style="20" customWidth="1"/>
    <col min="75" max="84" width="13" style="20" bestFit="1" customWidth="1"/>
    <col min="85" max="87" width="13" style="20" customWidth="1"/>
    <col min="88" max="91" width="13" style="20" bestFit="1" customWidth="1"/>
    <col min="92" max="135" width="9.140625" style="20"/>
    <col min="136" max="136" width="0" style="20" hidden="1" customWidth="1"/>
    <col min="137" max="183" width="9.140625" style="20" hidden="1" customWidth="1"/>
    <col min="184" max="184" width="0" style="20" hidden="1" customWidth="1"/>
    <col min="185" max="16384" width="9.140625" style="20"/>
  </cols>
  <sheetData>
    <row r="1" spans="2:140" ht="62.25" customHeight="1" thickBot="1"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2"/>
      <c r="BG1" s="22"/>
      <c r="BH1" s="23"/>
      <c r="BI1" s="22"/>
      <c r="BJ1" s="22"/>
      <c r="BK1" s="23"/>
    </row>
    <row r="2" spans="2:140" s="1" customFormat="1" ht="87" customHeight="1" thickBot="1">
      <c r="B2" s="199" t="s">
        <v>88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199"/>
      <c r="AG2" s="199"/>
      <c r="AH2" s="199"/>
      <c r="AI2" s="199"/>
      <c r="AJ2" s="3"/>
      <c r="AK2" s="3"/>
      <c r="AL2" s="4"/>
      <c r="AM2" s="243" t="s">
        <v>89</v>
      </c>
      <c r="AN2" s="244"/>
      <c r="AO2" s="244"/>
      <c r="AP2" s="244"/>
      <c r="AQ2" s="244"/>
      <c r="AR2" s="244"/>
      <c r="AS2" s="244"/>
      <c r="AT2" s="244"/>
      <c r="AU2" s="244"/>
      <c r="AV2" s="244"/>
      <c r="AW2" s="244"/>
      <c r="AX2" s="244"/>
      <c r="AY2" s="245"/>
      <c r="AZ2" s="249" t="s">
        <v>80</v>
      </c>
      <c r="BA2" s="250"/>
      <c r="BB2" s="253"/>
      <c r="BC2" s="254"/>
      <c r="BD2" s="257" t="s">
        <v>67</v>
      </c>
      <c r="BE2" s="258"/>
      <c r="BF2" s="258"/>
      <c r="BG2" s="259"/>
      <c r="BH2" s="249" t="str">
        <f>CONCATENATE("Shift","-",V3)</f>
        <v>Shift-</v>
      </c>
      <c r="BI2" s="263"/>
      <c r="BJ2" s="263"/>
      <c r="BK2" s="250"/>
      <c r="BL2" s="249" t="s">
        <v>81</v>
      </c>
      <c r="BM2" s="263"/>
      <c r="BN2" s="250"/>
      <c r="BO2" s="268">
        <v>2</v>
      </c>
      <c r="BP2" s="269"/>
      <c r="BQ2" s="270"/>
      <c r="BR2" s="5"/>
      <c r="BS2" s="17"/>
      <c r="BT2" s="17"/>
    </row>
    <row r="3" spans="2:140" s="1" customFormat="1" ht="87" customHeight="1" thickBot="1">
      <c r="B3" s="200" t="s">
        <v>0</v>
      </c>
      <c r="C3" s="201"/>
      <c r="D3" s="201"/>
      <c r="E3" s="201"/>
      <c r="F3" s="201"/>
      <c r="G3" s="201"/>
      <c r="H3" s="201"/>
      <c r="I3" s="202"/>
      <c r="J3" s="18"/>
      <c r="K3" s="18"/>
      <c r="L3" s="18"/>
      <c r="M3" s="194" t="s">
        <v>8</v>
      </c>
      <c r="N3" s="194"/>
      <c r="O3" s="194"/>
      <c r="P3" s="194"/>
      <c r="Q3" s="194"/>
      <c r="R3" s="194" t="s">
        <v>1</v>
      </c>
      <c r="S3" s="194"/>
      <c r="T3" s="194"/>
      <c r="U3" s="194"/>
      <c r="V3" s="18"/>
      <c r="W3" s="194" t="s">
        <v>9</v>
      </c>
      <c r="X3" s="194"/>
      <c r="Y3" s="194"/>
      <c r="Z3" s="194"/>
      <c r="AA3" s="196">
        <f>IF(ISERROR(Y30/AG30),0,Y30/AG30)</f>
        <v>0</v>
      </c>
      <c r="AB3" s="196"/>
      <c r="AC3" s="194" t="s">
        <v>66</v>
      </c>
      <c r="AD3" s="194"/>
      <c r="AE3" s="194"/>
      <c r="AF3" s="196"/>
      <c r="AG3" s="196"/>
      <c r="AH3" s="196"/>
      <c r="AI3" s="196"/>
      <c r="AJ3" s="3"/>
      <c r="AK3" s="3"/>
      <c r="AL3" s="3"/>
      <c r="AM3" s="246"/>
      <c r="AN3" s="247"/>
      <c r="AO3" s="247"/>
      <c r="AP3" s="247"/>
      <c r="AQ3" s="247"/>
      <c r="AR3" s="247"/>
      <c r="AS3" s="247"/>
      <c r="AT3" s="247"/>
      <c r="AU3" s="247"/>
      <c r="AV3" s="247"/>
      <c r="AW3" s="247"/>
      <c r="AX3" s="247"/>
      <c r="AY3" s="248"/>
      <c r="AZ3" s="251"/>
      <c r="BA3" s="252"/>
      <c r="BB3" s="255"/>
      <c r="BC3" s="256"/>
      <c r="BD3" s="260" t="str">
        <f>CONCATENATE(J3,"-",K3,"-",L3)</f>
        <v>--</v>
      </c>
      <c r="BE3" s="261"/>
      <c r="BF3" s="261"/>
      <c r="BG3" s="262"/>
      <c r="BH3" s="251"/>
      <c r="BI3" s="264"/>
      <c r="BJ3" s="264"/>
      <c r="BK3" s="252"/>
      <c r="BL3" s="251"/>
      <c r="BM3" s="264"/>
      <c r="BN3" s="252"/>
      <c r="BO3" s="271"/>
      <c r="BP3" s="272"/>
      <c r="BQ3" s="273"/>
      <c r="BR3" s="5"/>
      <c r="BS3" s="17"/>
      <c r="BT3" s="17"/>
    </row>
    <row r="4" spans="2:140" s="2" customFormat="1" ht="111.75" customHeight="1" thickBot="1">
      <c r="B4" s="198" t="s">
        <v>17</v>
      </c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8"/>
      <c r="N4" s="198"/>
      <c r="O4" s="194" t="s">
        <v>20</v>
      </c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8" t="s">
        <v>18</v>
      </c>
      <c r="AA4" s="198"/>
      <c r="AB4" s="198"/>
      <c r="AC4" s="196" t="s">
        <v>19</v>
      </c>
      <c r="AD4" s="196"/>
      <c r="AE4" s="196"/>
      <c r="AF4" s="196"/>
      <c r="AG4" s="196"/>
      <c r="AH4" s="196"/>
      <c r="AI4" s="196"/>
      <c r="AJ4" s="7"/>
      <c r="AK4" s="6"/>
      <c r="AL4" s="7"/>
      <c r="AM4" s="183" t="s">
        <v>68</v>
      </c>
      <c r="AN4" s="183"/>
      <c r="AO4" s="183"/>
      <c r="AP4" s="183"/>
      <c r="AQ4" s="183"/>
      <c r="AR4" s="183"/>
      <c r="AS4" s="183"/>
      <c r="AT4" s="183"/>
      <c r="AU4" s="183"/>
      <c r="AV4" s="183" t="s">
        <v>56</v>
      </c>
      <c r="AW4" s="183"/>
      <c r="AX4" s="184" t="s">
        <v>57</v>
      </c>
      <c r="AY4" s="184"/>
      <c r="AZ4" s="183" t="s">
        <v>13</v>
      </c>
      <c r="BA4" s="183"/>
      <c r="BB4" s="184" t="s">
        <v>31</v>
      </c>
      <c r="BC4" s="184"/>
      <c r="BD4" s="184" t="s">
        <v>70</v>
      </c>
      <c r="BE4" s="184"/>
      <c r="BF4" s="184"/>
      <c r="BG4" s="184" t="s">
        <v>64</v>
      </c>
      <c r="BH4" s="184"/>
      <c r="BI4" s="182" t="s">
        <v>34</v>
      </c>
      <c r="BJ4" s="182"/>
      <c r="BK4" s="265" t="s">
        <v>69</v>
      </c>
      <c r="BL4" s="266"/>
      <c r="BM4" s="266"/>
      <c r="BN4" s="266"/>
      <c r="BO4" s="266"/>
      <c r="BP4" s="266"/>
      <c r="BQ4" s="267"/>
      <c r="BR4" s="241" t="s">
        <v>74</v>
      </c>
      <c r="BS4" s="177" t="s">
        <v>145</v>
      </c>
      <c r="BT4" s="177"/>
    </row>
    <row r="5" spans="2:140" s="2" customFormat="1" ht="254.25" customHeight="1" thickBot="1">
      <c r="B5" s="16" t="s">
        <v>12</v>
      </c>
      <c r="C5" s="16" t="s">
        <v>10</v>
      </c>
      <c r="D5" s="16" t="s">
        <v>11</v>
      </c>
      <c r="E5" s="16" t="s">
        <v>7</v>
      </c>
      <c r="F5" s="16" t="s">
        <v>7</v>
      </c>
      <c r="G5" s="16" t="s">
        <v>126</v>
      </c>
      <c r="H5" s="16" t="s">
        <v>127</v>
      </c>
      <c r="I5" s="16" t="s">
        <v>84</v>
      </c>
      <c r="J5" s="16" t="s">
        <v>128</v>
      </c>
      <c r="K5" s="16" t="s">
        <v>129</v>
      </c>
      <c r="L5" s="16" t="s">
        <v>26</v>
      </c>
      <c r="M5" s="16" t="s">
        <v>27</v>
      </c>
      <c r="N5" s="16" t="s">
        <v>36</v>
      </c>
      <c r="O5" s="16" t="s">
        <v>130</v>
      </c>
      <c r="P5" s="16" t="s">
        <v>131</v>
      </c>
      <c r="Q5" s="16" t="s">
        <v>132</v>
      </c>
      <c r="R5" s="16" t="s">
        <v>133</v>
      </c>
      <c r="S5" s="16" t="s">
        <v>132</v>
      </c>
      <c r="T5" s="16" t="s">
        <v>134</v>
      </c>
      <c r="U5" s="16" t="s">
        <v>132</v>
      </c>
      <c r="V5" s="16" t="s">
        <v>135</v>
      </c>
      <c r="W5" s="16" t="s">
        <v>132</v>
      </c>
      <c r="X5" s="16" t="s">
        <v>136</v>
      </c>
      <c r="Y5" s="16" t="s">
        <v>132</v>
      </c>
      <c r="Z5" s="16" t="s">
        <v>137</v>
      </c>
      <c r="AA5" s="16" t="s">
        <v>138</v>
      </c>
      <c r="AB5" s="16" t="s">
        <v>139</v>
      </c>
      <c r="AC5" s="16" t="s">
        <v>13</v>
      </c>
      <c r="AD5" s="16" t="s">
        <v>140</v>
      </c>
      <c r="AE5" s="16" t="s">
        <v>141</v>
      </c>
      <c r="AF5" s="16" t="s">
        <v>142</v>
      </c>
      <c r="AG5" s="16" t="s">
        <v>143</v>
      </c>
      <c r="AH5" s="16" t="s">
        <v>144</v>
      </c>
      <c r="AI5" s="16" t="s">
        <v>5</v>
      </c>
      <c r="AJ5" s="8" t="s">
        <v>14</v>
      </c>
      <c r="AK5" s="9" t="s">
        <v>21</v>
      </c>
      <c r="AL5" s="7"/>
      <c r="AM5" s="24" t="s">
        <v>28</v>
      </c>
      <c r="AN5" s="24" t="s">
        <v>23</v>
      </c>
      <c r="AO5" s="24" t="s">
        <v>29</v>
      </c>
      <c r="AP5" s="25" t="s">
        <v>72</v>
      </c>
      <c r="AQ5" s="25" t="s">
        <v>73</v>
      </c>
      <c r="AR5" s="26" t="s">
        <v>2</v>
      </c>
      <c r="AS5" s="26" t="s">
        <v>25</v>
      </c>
      <c r="AT5" s="26" t="s">
        <v>22</v>
      </c>
      <c r="AU5" s="26" t="s">
        <v>30</v>
      </c>
      <c r="AV5" s="27" t="s">
        <v>53</v>
      </c>
      <c r="AW5" s="24" t="s">
        <v>3</v>
      </c>
      <c r="AX5" s="24" t="s">
        <v>54</v>
      </c>
      <c r="AY5" s="24" t="s">
        <v>55</v>
      </c>
      <c r="AZ5" s="24" t="s">
        <v>58</v>
      </c>
      <c r="BA5" s="24" t="s">
        <v>4</v>
      </c>
      <c r="BB5" s="24" t="s">
        <v>59</v>
      </c>
      <c r="BC5" s="24" t="s">
        <v>60</v>
      </c>
      <c r="BD5" s="24" t="s">
        <v>61</v>
      </c>
      <c r="BE5" s="24" t="s">
        <v>62</v>
      </c>
      <c r="BF5" s="24" t="s">
        <v>63</v>
      </c>
      <c r="BG5" s="24" t="s">
        <v>32</v>
      </c>
      <c r="BH5" s="24" t="s">
        <v>33</v>
      </c>
      <c r="BI5" s="28" t="s">
        <v>9</v>
      </c>
      <c r="BJ5" s="28" t="s">
        <v>65</v>
      </c>
      <c r="BK5" s="182" t="s">
        <v>35</v>
      </c>
      <c r="BL5" s="182"/>
      <c r="BM5" s="182"/>
      <c r="BN5" s="182"/>
      <c r="BO5" s="182"/>
      <c r="BP5" s="29" t="s">
        <v>82</v>
      </c>
      <c r="BQ5" s="29" t="s">
        <v>85</v>
      </c>
      <c r="BR5" s="242"/>
      <c r="BS5" s="30" t="s">
        <v>146</v>
      </c>
      <c r="BT5" s="30" t="s">
        <v>147</v>
      </c>
      <c r="BU5" s="226" t="s">
        <v>71</v>
      </c>
      <c r="BV5" s="227"/>
    </row>
    <row r="6" spans="2:140" ht="115.5" customHeight="1">
      <c r="B6" s="31" t="str">
        <f>IF(F6="","",1)</f>
        <v/>
      </c>
      <c r="C6" s="32"/>
      <c r="D6" s="32"/>
      <c r="E6" s="32"/>
      <c r="F6" s="33"/>
      <c r="G6" s="32"/>
      <c r="H6" s="34" t="str">
        <f>IF(F6="","",VLOOKUP(F6,Sheet_Master!A:M,13,FALSE))</f>
        <v/>
      </c>
      <c r="I6" s="35" t="str">
        <f>IF(F6="","",VLOOKUP(F6,Sheet_Master!A:N,14,FALSE))</f>
        <v/>
      </c>
      <c r="J6" s="36" t="str">
        <f>IF(F6="","",VLOOKUP(F6,Sheet_Master!A:F,6,FALSE))</f>
        <v/>
      </c>
      <c r="K6" s="36"/>
      <c r="L6" s="36"/>
      <c r="M6" s="36"/>
      <c r="N6" s="37"/>
      <c r="O6" s="38" t="str">
        <f>IF(F6="","",1)</f>
        <v/>
      </c>
      <c r="P6" s="38"/>
      <c r="Q6" s="38"/>
      <c r="R6" s="38"/>
      <c r="S6" s="38"/>
      <c r="T6" s="38"/>
      <c r="U6" s="38"/>
      <c r="V6" s="38"/>
      <c r="W6" s="38"/>
      <c r="X6" s="38"/>
      <c r="Y6" s="38"/>
      <c r="Z6" s="36" t="str">
        <f>IF((P6*Q6)+(R6*S6)+(T6*U6)+(V6*W6)+(X6*Y6)=0,"",(P6*Q6)+(R6*S6)+(T6*U6)+(V6*W6)+(X6*Y6))</f>
        <v/>
      </c>
      <c r="AA6" s="39" t="str">
        <f>IF(F6="","",VLOOKUP(F6,Sheet_Master!A:B,2,FALSE))</f>
        <v/>
      </c>
      <c r="AB6" s="40" t="str">
        <f>IF(F6="","",(Z6*AA6)/1000)</f>
        <v/>
      </c>
      <c r="AC6" s="36" t="str">
        <f>IF(F6="","",VLOOKUP(F6,Sheet_Master!A:E,5,FALSE))</f>
        <v/>
      </c>
      <c r="AD6" s="36" t="str">
        <f>IF(O6="","",IF(O6="-",0,7.5))</f>
        <v/>
      </c>
      <c r="AE6" s="36" t="str">
        <f>IF(F6="","",1.3)</f>
        <v/>
      </c>
      <c r="AF6" s="36" t="str">
        <f>IF(AND(F6&lt;&gt;"",O6&lt;&gt;"-"),((Q6+S6+U6+W6+Y6-O6)*AE6),(IF(AND(F6&lt;&gt;"",O6="-"),((Q6+S6+U6+W6+Y6)*AE6),"")))</f>
        <v/>
      </c>
      <c r="AG6" s="41" t="str">
        <f>IF(F6="","",(Z6/AC6))</f>
        <v/>
      </c>
      <c r="AH6" s="42" t="str">
        <f>IF(F6="","",(AD6+AF6+AG6))</f>
        <v/>
      </c>
      <c r="AI6" s="43" t="str">
        <f>IF(OR(F6="",ISTEXT(AH6)),"",(Z6*60)/AH6)</f>
        <v/>
      </c>
      <c r="AJ6" s="44"/>
      <c r="AK6" s="45"/>
      <c r="AL6" s="46" t="str">
        <f t="shared" ref="AL6:AL29" si="0">IF(AH6="","",AH6/1440)</f>
        <v/>
      </c>
      <c r="AM6" s="110" t="str">
        <f>IF(F6="","",F6)</f>
        <v/>
      </c>
      <c r="AN6" s="111" t="str">
        <f>IF(G6="","",G6)</f>
        <v/>
      </c>
      <c r="AO6" s="111" t="str">
        <f>IF(ISERROR(AB6*1000),"",AB6*1000)</f>
        <v/>
      </c>
      <c r="AP6" s="42"/>
      <c r="AQ6" s="42"/>
      <c r="AR6" s="116" t="str">
        <f t="shared" ref="AR6:AR29" si="1">IF(B6="","",B6)</f>
        <v/>
      </c>
      <c r="AS6" s="111" t="str">
        <f t="shared" ref="AS6:AS29" si="2">IF(J6="","",J6)</f>
        <v/>
      </c>
      <c r="AT6" s="111" t="str">
        <f t="shared" ref="AT6:AT29" si="3">IF(K6="","",K6)</f>
        <v/>
      </c>
      <c r="AU6" s="117" t="str">
        <f t="shared" ref="AU6:AU29" si="4">IF(L6="","",CONCATENATE(L6,"X",M6,"X",N6))</f>
        <v/>
      </c>
      <c r="AV6" s="118" t="str">
        <f>IF(OR(V3="1",V3=1),"05:30",IF(OR(V3="2",V3=2),"14:20","23:00"))</f>
        <v>23:00</v>
      </c>
      <c r="AW6" s="118" t="str">
        <f t="shared" ref="AW6:AW29" si="5">IFERROR(AV6+AL6,"")</f>
        <v/>
      </c>
      <c r="AX6" s="47"/>
      <c r="AY6" s="47"/>
      <c r="AZ6" s="125" t="str">
        <f t="shared" ref="AZ6:AZ29" si="6">AC6</f>
        <v/>
      </c>
      <c r="BA6" s="48"/>
      <c r="BB6" s="127" t="str">
        <f t="shared" ref="BB6:BB29" si="7">IF(AD6="","",(AD6+AF6))</f>
        <v/>
      </c>
      <c r="BC6" s="50"/>
      <c r="BD6" s="111" t="str">
        <f t="shared" ref="BD6:BD29" si="8">IF(AH6="","",AH6)</f>
        <v/>
      </c>
      <c r="BE6" s="130" t="str">
        <f>IF(AX6="","",IF((AY6-AX6)*1440-(BF6+BP6)&lt;0,(AY6-AX6)*1440-(BF6+BP6)+1440,(AY6-AX6)*1440-(BF6+BP6)))</f>
        <v/>
      </c>
      <c r="BF6" s="42"/>
      <c r="BG6" s="131" t="str">
        <f t="shared" ref="BG6:BG29" si="9">IF(Z6=0,"",Z6)</f>
        <v/>
      </c>
      <c r="BH6" s="51"/>
      <c r="BI6" s="133" t="str">
        <f t="shared" ref="BI6:BI29" si="10">IF(AI6="","",AI6)</f>
        <v/>
      </c>
      <c r="BJ6" s="134" t="str">
        <f>IFERROR(BH6/(BE6/60),"")</f>
        <v/>
      </c>
      <c r="BK6" s="180"/>
      <c r="BL6" s="180"/>
      <c r="BM6" s="180"/>
      <c r="BN6" s="180"/>
      <c r="BO6" s="180"/>
      <c r="BP6" s="150"/>
      <c r="BQ6" s="127" t="str">
        <f>IF(AX6="","",(BE6-BC6))</f>
        <v/>
      </c>
      <c r="BR6" s="147" t="s">
        <v>23</v>
      </c>
      <c r="BS6" s="131" t="str">
        <f>IF(F6="","",BG6*AA6)</f>
        <v/>
      </c>
      <c r="BT6" s="149" t="str">
        <f>IF(F6="","",BH6*AA6)</f>
        <v/>
      </c>
      <c r="BU6" s="52" t="s">
        <v>119</v>
      </c>
      <c r="BV6" s="53">
        <v>0.6</v>
      </c>
      <c r="CJ6" s="54"/>
      <c r="CK6" s="54"/>
      <c r="CL6" s="54"/>
      <c r="CM6" s="54"/>
      <c r="CN6" s="54"/>
      <c r="CO6" s="54"/>
      <c r="CP6" s="54"/>
      <c r="CQ6" s="54"/>
      <c r="EI6" s="136"/>
      <c r="EJ6" s="137"/>
    </row>
    <row r="7" spans="2:140" ht="115.5" customHeight="1" thickBot="1">
      <c r="B7" s="55" t="str">
        <f>IF(F7="","",B6+1)</f>
        <v/>
      </c>
      <c r="C7" s="56"/>
      <c r="D7" s="56"/>
      <c r="E7" s="56"/>
      <c r="F7" s="56"/>
      <c r="G7" s="56"/>
      <c r="H7" s="57" t="str">
        <f>IF(F7="","",VLOOKUP(F7,Sheet_Master!A:M,13,FALSE))</f>
        <v/>
      </c>
      <c r="I7" s="58" t="str">
        <f>IF(F7="","",VLOOKUP(F7,Sheet_Master!A:N,14,FALSE))</f>
        <v/>
      </c>
      <c r="J7" s="59" t="str">
        <f>IF(F7="","",VLOOKUP(F7,Sheet_Master!A:F,6,FALSE))</f>
        <v/>
      </c>
      <c r="K7" s="59"/>
      <c r="L7" s="59"/>
      <c r="M7" s="59"/>
      <c r="N7" s="60"/>
      <c r="O7" s="56" t="str">
        <f t="shared" ref="O7:O29" si="11">IF(F7="","",1)</f>
        <v/>
      </c>
      <c r="P7" s="56"/>
      <c r="Q7" s="56"/>
      <c r="R7" s="56"/>
      <c r="S7" s="56"/>
      <c r="T7" s="56"/>
      <c r="U7" s="56"/>
      <c r="V7" s="56"/>
      <c r="W7" s="56"/>
      <c r="X7" s="56"/>
      <c r="Y7" s="56"/>
      <c r="Z7" s="59" t="str">
        <f>IF((P7*Q7)+(R7*S7)+(T7*U7)+(V7*W7)+(X7*Y7)=0,"",(P7*Q7)+(R7*S7)+(T7*U7)+(V7*W7)+(X7*Y7))</f>
        <v/>
      </c>
      <c r="AA7" s="61" t="str">
        <f>IF(F7="","",VLOOKUP(F7,Sheet_Master!A:B,2,FALSE))</f>
        <v/>
      </c>
      <c r="AB7" s="62" t="str">
        <f>IF(F7="","",(Z7*AA7)/1000)</f>
        <v/>
      </c>
      <c r="AC7" s="59" t="str">
        <f>IF(F7="","",VLOOKUP(F7,Sheet_Master!A:E,5,FALSE))</f>
        <v/>
      </c>
      <c r="AD7" s="59" t="str">
        <f>IF(O7="","",IF(O7="-",0,7.5))</f>
        <v/>
      </c>
      <c r="AE7" s="59" t="str">
        <f t="shared" ref="AE7:AE29" si="12">IF(F7="","",1.3)</f>
        <v/>
      </c>
      <c r="AF7" s="63" t="str">
        <f t="shared" ref="AF7:AF29" si="13">IF(AND(F7&lt;&gt;"",O7&lt;&gt;"-"),((Q7+S7+U7+W7+Y7-O7)*AE7),(IF(AND(F7&lt;&gt;"",O7="-"),((Q7+S7+U7+W7+Y7)*AE7),"")))</f>
        <v/>
      </c>
      <c r="AG7" s="64" t="str">
        <f>IF(F7="","",(Z7/AC7))</f>
        <v/>
      </c>
      <c r="AH7" s="42" t="str">
        <f t="shared" ref="AH7:AH29" si="14">IF(F7="","",(AD7+AF7+AG7))</f>
        <v/>
      </c>
      <c r="AI7" s="65" t="str">
        <f>IF(OR(F7="",ISTEXT(AH7)),"",(Z7*60)/AH7)</f>
        <v/>
      </c>
      <c r="AJ7" s="44"/>
      <c r="AK7" s="45"/>
      <c r="AL7" s="46" t="str">
        <f t="shared" si="0"/>
        <v/>
      </c>
      <c r="AM7" s="112" t="str">
        <f t="shared" ref="AM7:AM29" si="15">IF(F7="","",F7)</f>
        <v/>
      </c>
      <c r="AN7" s="113" t="str">
        <f t="shared" ref="AN7:AN29" si="16">IF(G7="","",G7)</f>
        <v/>
      </c>
      <c r="AO7" s="113" t="str">
        <f t="shared" ref="AO7:AO29" si="17">IF(ISERROR(AB7*1000),"",AB7*1000)</f>
        <v/>
      </c>
      <c r="AP7" s="66"/>
      <c r="AQ7" s="66"/>
      <c r="AR7" s="119" t="str">
        <f t="shared" si="1"/>
        <v/>
      </c>
      <c r="AS7" s="113" t="str">
        <f t="shared" si="2"/>
        <v/>
      </c>
      <c r="AT7" s="113" t="str">
        <f t="shared" si="3"/>
        <v/>
      </c>
      <c r="AU7" s="120" t="str">
        <f t="shared" si="4"/>
        <v/>
      </c>
      <c r="AV7" s="121" t="str">
        <f t="shared" ref="AV7:AV29" si="18">IF(AL7="",AL7,AV6+AL6)</f>
        <v/>
      </c>
      <c r="AW7" s="121" t="str">
        <f t="shared" si="5"/>
        <v/>
      </c>
      <c r="AX7" s="67"/>
      <c r="AY7" s="67"/>
      <c r="AZ7" s="125" t="str">
        <f t="shared" si="6"/>
        <v/>
      </c>
      <c r="BA7" s="68"/>
      <c r="BB7" s="128" t="str">
        <f t="shared" si="7"/>
        <v/>
      </c>
      <c r="BC7" s="69"/>
      <c r="BD7" s="113" t="str">
        <f t="shared" si="8"/>
        <v/>
      </c>
      <c r="BE7" s="130" t="str">
        <f t="shared" ref="BE7:BE29" si="19">IF(AX7="","",IF((AY7-AX7)*1440-(BF7+BP7)&lt;0,(AY7-AX7)*1440-(BF7+BP7)+1440,(AY7-AX7)*1440-(BF7+BP7)))</f>
        <v/>
      </c>
      <c r="BF7" s="66"/>
      <c r="BG7" s="131" t="str">
        <f t="shared" si="9"/>
        <v/>
      </c>
      <c r="BH7" s="70"/>
      <c r="BI7" s="134" t="str">
        <f t="shared" si="10"/>
        <v/>
      </c>
      <c r="BJ7" s="134" t="str">
        <f t="shared" ref="BJ7:BJ29" si="20">IFERROR(BH7/(BE7/60),"")</f>
        <v/>
      </c>
      <c r="BK7" s="185"/>
      <c r="BL7" s="185"/>
      <c r="BM7" s="185"/>
      <c r="BN7" s="185"/>
      <c r="BO7" s="185"/>
      <c r="BP7" s="151"/>
      <c r="BQ7" s="127" t="str">
        <f t="shared" ref="BQ7:BQ29" si="21">IF(AX7="","",(BE7-BC7))</f>
        <v/>
      </c>
      <c r="BR7" s="10"/>
      <c r="BS7" s="131" t="str">
        <f t="shared" ref="BS7:BS29" si="22">IF(F7="","",BG7*AA7)</f>
        <v/>
      </c>
      <c r="BT7" s="149" t="str">
        <f t="shared" ref="BT7:BT29" si="23">IF(F7="","",BH7*AA7)</f>
        <v/>
      </c>
      <c r="BU7" s="71" t="s">
        <v>120</v>
      </c>
      <c r="BV7" s="72">
        <v>3.2</v>
      </c>
      <c r="CJ7" s="54"/>
      <c r="CK7" s="54"/>
      <c r="CL7" s="54"/>
      <c r="CM7" s="54"/>
      <c r="CN7" s="54"/>
      <c r="CO7" s="54"/>
      <c r="CP7" s="54"/>
      <c r="CQ7" s="54"/>
    </row>
    <row r="8" spans="2:140" ht="115.5" customHeight="1">
      <c r="B8" s="55" t="str">
        <f t="shared" ref="B8:B29" si="24">IF(F8="","",B7+1)</f>
        <v/>
      </c>
      <c r="C8" s="56"/>
      <c r="D8" s="56"/>
      <c r="E8" s="56"/>
      <c r="F8" s="56"/>
      <c r="G8" s="56"/>
      <c r="H8" s="57" t="str">
        <f>IF(F8="","",VLOOKUP(F8,Sheet_Master!A:M,13,FALSE))</f>
        <v/>
      </c>
      <c r="I8" s="58" t="str">
        <f>IF(F8="","",VLOOKUP(F8,Sheet_Master!A:N,14,FALSE))</f>
        <v/>
      </c>
      <c r="J8" s="59" t="str">
        <f>IF(F8="","",VLOOKUP(F8,Sheet_Master!A:F,6,FALSE))</f>
        <v/>
      </c>
      <c r="K8" s="59"/>
      <c r="L8" s="59"/>
      <c r="M8" s="59"/>
      <c r="N8" s="60"/>
      <c r="O8" s="56" t="str">
        <f t="shared" si="11"/>
        <v/>
      </c>
      <c r="P8" s="56"/>
      <c r="Q8" s="56"/>
      <c r="R8" s="56"/>
      <c r="S8" s="56"/>
      <c r="T8" s="56"/>
      <c r="U8" s="56"/>
      <c r="V8" s="56"/>
      <c r="W8" s="56"/>
      <c r="X8" s="56"/>
      <c r="Y8" s="56"/>
      <c r="Z8" s="59" t="str">
        <f t="shared" ref="Z8:Z29" si="25">IF((P8*Q8)+(R8*S8)+(T8*U8)+(V8*W8)+(X8*Y8)=0,"",(P8*Q8)+(R8*S8)+(T8*U8)+(V8*W8)+(X8*Y8))</f>
        <v/>
      </c>
      <c r="AA8" s="61" t="str">
        <f>IF(F8="","",VLOOKUP(F8,Sheet_Master!A:B,2,FALSE))</f>
        <v/>
      </c>
      <c r="AB8" s="62" t="str">
        <f>IF(F8="","",(Z8*AA8)/1000)</f>
        <v/>
      </c>
      <c r="AC8" s="59" t="str">
        <f>IF(F8="","",VLOOKUP(F8,Sheet_Master!A:E,5,FALSE))</f>
        <v/>
      </c>
      <c r="AD8" s="59" t="str">
        <f t="shared" ref="AD8:AD29" si="26">IF(O8="","",IF(O8="-",0,7.5))</f>
        <v/>
      </c>
      <c r="AE8" s="59" t="str">
        <f t="shared" si="12"/>
        <v/>
      </c>
      <c r="AF8" s="63" t="str">
        <f t="shared" si="13"/>
        <v/>
      </c>
      <c r="AG8" s="64" t="str">
        <f>IF(F8="","",(Z8/AC8))</f>
        <v/>
      </c>
      <c r="AH8" s="42" t="str">
        <f t="shared" si="14"/>
        <v/>
      </c>
      <c r="AI8" s="65" t="str">
        <f t="shared" ref="AI8:AI29" si="27">IF(OR(F8="",ISTEXT(AH8)),"",(Z8*60)/AH8)</f>
        <v/>
      </c>
      <c r="AJ8" s="44"/>
      <c r="AK8" s="45"/>
      <c r="AL8" s="46" t="str">
        <f t="shared" si="0"/>
        <v/>
      </c>
      <c r="AM8" s="112" t="str">
        <f t="shared" si="15"/>
        <v/>
      </c>
      <c r="AN8" s="113" t="str">
        <f t="shared" si="16"/>
        <v/>
      </c>
      <c r="AO8" s="113" t="str">
        <f t="shared" si="17"/>
        <v/>
      </c>
      <c r="AP8" s="66"/>
      <c r="AQ8" s="66"/>
      <c r="AR8" s="119" t="str">
        <f t="shared" si="1"/>
        <v/>
      </c>
      <c r="AS8" s="113" t="str">
        <f t="shared" si="2"/>
        <v/>
      </c>
      <c r="AT8" s="113" t="str">
        <f t="shared" si="3"/>
        <v/>
      </c>
      <c r="AU8" s="120" t="str">
        <f t="shared" si="4"/>
        <v/>
      </c>
      <c r="AV8" s="121" t="str">
        <f t="shared" si="18"/>
        <v/>
      </c>
      <c r="AW8" s="121" t="str">
        <f t="shared" si="5"/>
        <v/>
      </c>
      <c r="AX8" s="67"/>
      <c r="AY8" s="67"/>
      <c r="AZ8" s="125" t="str">
        <f t="shared" si="6"/>
        <v/>
      </c>
      <c r="BA8" s="68"/>
      <c r="BB8" s="128" t="str">
        <f t="shared" si="7"/>
        <v/>
      </c>
      <c r="BC8" s="69"/>
      <c r="BD8" s="113" t="str">
        <f t="shared" si="8"/>
        <v/>
      </c>
      <c r="BE8" s="130" t="str">
        <f t="shared" si="19"/>
        <v/>
      </c>
      <c r="BF8" s="66"/>
      <c r="BG8" s="131" t="str">
        <f t="shared" si="9"/>
        <v/>
      </c>
      <c r="BH8" s="70"/>
      <c r="BI8" s="134" t="str">
        <f t="shared" si="10"/>
        <v/>
      </c>
      <c r="BJ8" s="134" t="str">
        <f t="shared" si="20"/>
        <v/>
      </c>
      <c r="BK8" s="185"/>
      <c r="BL8" s="185"/>
      <c r="BM8" s="185"/>
      <c r="BN8" s="185"/>
      <c r="BO8" s="185"/>
      <c r="BP8" s="151"/>
      <c r="BQ8" s="127" t="str">
        <f t="shared" si="21"/>
        <v/>
      </c>
      <c r="BR8" s="147" t="s">
        <v>75</v>
      </c>
      <c r="BS8" s="131" t="str">
        <f t="shared" si="22"/>
        <v/>
      </c>
      <c r="BT8" s="149" t="str">
        <f t="shared" si="23"/>
        <v/>
      </c>
      <c r="BU8" s="52" t="s">
        <v>121</v>
      </c>
      <c r="BV8" s="53">
        <v>65</v>
      </c>
      <c r="CJ8" s="54"/>
      <c r="CK8" s="54"/>
      <c r="CL8" s="54"/>
      <c r="CM8" s="54"/>
      <c r="CN8" s="54"/>
      <c r="CO8" s="54"/>
      <c r="CP8" s="54"/>
      <c r="CQ8" s="54"/>
    </row>
    <row r="9" spans="2:140" ht="115.5" customHeight="1" thickBot="1">
      <c r="B9" s="55" t="str">
        <f t="shared" si="24"/>
        <v/>
      </c>
      <c r="C9" s="56"/>
      <c r="D9" s="56"/>
      <c r="E9" s="56"/>
      <c r="F9" s="56"/>
      <c r="G9" s="56"/>
      <c r="H9" s="57" t="str">
        <f>IF(F9="","",VLOOKUP(F9,Sheet_Master!A:M,13,FALSE))</f>
        <v/>
      </c>
      <c r="I9" s="58" t="str">
        <f>IF(F9="","",VLOOKUP(F9,Sheet_Master!A:N,14,FALSE))</f>
        <v/>
      </c>
      <c r="J9" s="59" t="str">
        <f>IF(F9="","",VLOOKUP(F9,Sheet_Master!A:F,6,FALSE))</f>
        <v/>
      </c>
      <c r="K9" s="59"/>
      <c r="L9" s="59"/>
      <c r="M9" s="59"/>
      <c r="N9" s="60"/>
      <c r="O9" s="56" t="str">
        <f t="shared" si="11"/>
        <v/>
      </c>
      <c r="P9" s="56"/>
      <c r="Q9" s="56"/>
      <c r="R9" s="56"/>
      <c r="S9" s="56"/>
      <c r="T9" s="56"/>
      <c r="U9" s="56"/>
      <c r="V9" s="56"/>
      <c r="W9" s="56"/>
      <c r="X9" s="56"/>
      <c r="Y9" s="56"/>
      <c r="Z9" s="59" t="str">
        <f t="shared" si="25"/>
        <v/>
      </c>
      <c r="AA9" s="61" t="str">
        <f>IF(F9="","",VLOOKUP(F9,Sheet_Master!A:B,2,FALSE))</f>
        <v/>
      </c>
      <c r="AB9" s="62" t="str">
        <f>IF(F9="","",(Z9*AA9)/1000)</f>
        <v/>
      </c>
      <c r="AC9" s="59" t="str">
        <f>IF(F9="","",VLOOKUP(F9,Sheet_Master!A:E,5,FALSE))</f>
        <v/>
      </c>
      <c r="AD9" s="59" t="str">
        <f t="shared" si="26"/>
        <v/>
      </c>
      <c r="AE9" s="59" t="str">
        <f t="shared" si="12"/>
        <v/>
      </c>
      <c r="AF9" s="63" t="str">
        <f t="shared" si="13"/>
        <v/>
      </c>
      <c r="AG9" s="64" t="str">
        <f>IF(F9="","",(Z9/AC9))</f>
        <v/>
      </c>
      <c r="AH9" s="42" t="str">
        <f t="shared" si="14"/>
        <v/>
      </c>
      <c r="AI9" s="65" t="str">
        <f t="shared" si="27"/>
        <v/>
      </c>
      <c r="AJ9" s="44"/>
      <c r="AK9" s="45"/>
      <c r="AL9" s="46" t="str">
        <f t="shared" si="0"/>
        <v/>
      </c>
      <c r="AM9" s="112" t="str">
        <f t="shared" si="15"/>
        <v/>
      </c>
      <c r="AN9" s="113" t="str">
        <f t="shared" si="16"/>
        <v/>
      </c>
      <c r="AO9" s="113" t="str">
        <f t="shared" si="17"/>
        <v/>
      </c>
      <c r="AP9" s="66"/>
      <c r="AQ9" s="66"/>
      <c r="AR9" s="119" t="str">
        <f t="shared" si="1"/>
        <v/>
      </c>
      <c r="AS9" s="113" t="str">
        <f t="shared" si="2"/>
        <v/>
      </c>
      <c r="AT9" s="113" t="str">
        <f t="shared" si="3"/>
        <v/>
      </c>
      <c r="AU9" s="120" t="str">
        <f t="shared" si="4"/>
        <v/>
      </c>
      <c r="AV9" s="121" t="str">
        <f t="shared" si="18"/>
        <v/>
      </c>
      <c r="AW9" s="121" t="str">
        <f t="shared" si="5"/>
        <v/>
      </c>
      <c r="AX9" s="67"/>
      <c r="AY9" s="67"/>
      <c r="AZ9" s="125" t="str">
        <f t="shared" si="6"/>
        <v/>
      </c>
      <c r="BA9" s="68"/>
      <c r="BB9" s="128" t="str">
        <f t="shared" si="7"/>
        <v/>
      </c>
      <c r="BC9" s="69"/>
      <c r="BD9" s="113" t="str">
        <f t="shared" si="8"/>
        <v/>
      </c>
      <c r="BE9" s="130" t="str">
        <f t="shared" si="19"/>
        <v/>
      </c>
      <c r="BF9" s="66"/>
      <c r="BG9" s="131" t="str">
        <f t="shared" si="9"/>
        <v/>
      </c>
      <c r="BH9" s="70"/>
      <c r="BI9" s="134" t="str">
        <f t="shared" si="10"/>
        <v/>
      </c>
      <c r="BJ9" s="134" t="str">
        <f t="shared" si="20"/>
        <v/>
      </c>
      <c r="BK9" s="185"/>
      <c r="BL9" s="185"/>
      <c r="BM9" s="185"/>
      <c r="BN9" s="185"/>
      <c r="BO9" s="185"/>
      <c r="BP9" s="151"/>
      <c r="BQ9" s="127" t="str">
        <f t="shared" si="21"/>
        <v/>
      </c>
      <c r="BR9" s="11"/>
      <c r="BS9" s="131" t="str">
        <f t="shared" si="22"/>
        <v/>
      </c>
      <c r="BT9" s="149" t="str">
        <f t="shared" si="23"/>
        <v/>
      </c>
      <c r="BU9" s="71" t="s">
        <v>122</v>
      </c>
      <c r="BV9" s="72">
        <v>600</v>
      </c>
      <c r="CJ9" s="54"/>
      <c r="CK9" s="54"/>
      <c r="CL9" s="54"/>
      <c r="CM9" s="54"/>
      <c r="CN9" s="54"/>
      <c r="CO9" s="54"/>
      <c r="CP9" s="54"/>
      <c r="CQ9" s="54"/>
    </row>
    <row r="10" spans="2:140" ht="115.5" customHeight="1">
      <c r="B10" s="55" t="str">
        <f t="shared" si="24"/>
        <v/>
      </c>
      <c r="C10" s="56"/>
      <c r="D10" s="56"/>
      <c r="E10" s="56"/>
      <c r="F10" s="56"/>
      <c r="G10" s="56"/>
      <c r="H10" s="57" t="str">
        <f>IF(F10="","",VLOOKUP(F10,Sheet_Master!A:M,13,FALSE))</f>
        <v/>
      </c>
      <c r="I10" s="58" t="str">
        <f>IF(F10="","",VLOOKUP(F10,Sheet_Master!A:N,14,FALSE))</f>
        <v/>
      </c>
      <c r="J10" s="59" t="str">
        <f>IF(F10="","",VLOOKUP(F10,Sheet_Master!A:F,6,FALSE))</f>
        <v/>
      </c>
      <c r="K10" s="59"/>
      <c r="L10" s="59"/>
      <c r="M10" s="59"/>
      <c r="N10" s="60"/>
      <c r="O10" s="56" t="str">
        <f t="shared" si="11"/>
        <v/>
      </c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9" t="str">
        <f t="shared" si="25"/>
        <v/>
      </c>
      <c r="AA10" s="61" t="str">
        <f>IF(F10="","",VLOOKUP(F10,Sheet_Master!A:B,2,FALSE))</f>
        <v/>
      </c>
      <c r="AB10" s="62" t="str">
        <f>IF(F10="","",(Z10*AA10)/1000)</f>
        <v/>
      </c>
      <c r="AC10" s="59" t="str">
        <f>IF(F10="","",VLOOKUP(F10,Sheet_Master!A:E,5,FALSE))</f>
        <v/>
      </c>
      <c r="AD10" s="59" t="str">
        <f t="shared" si="26"/>
        <v/>
      </c>
      <c r="AE10" s="59" t="str">
        <f t="shared" si="12"/>
        <v/>
      </c>
      <c r="AF10" s="63" t="str">
        <f t="shared" si="13"/>
        <v/>
      </c>
      <c r="AG10" s="64" t="str">
        <f>IF(F10="","",(Z10/AC10))</f>
        <v/>
      </c>
      <c r="AH10" s="42" t="str">
        <f t="shared" si="14"/>
        <v/>
      </c>
      <c r="AI10" s="65" t="str">
        <f t="shared" si="27"/>
        <v/>
      </c>
      <c r="AJ10" s="44"/>
      <c r="AK10" s="45"/>
      <c r="AL10" s="46" t="str">
        <f t="shared" si="0"/>
        <v/>
      </c>
      <c r="AM10" s="112" t="str">
        <f t="shared" si="15"/>
        <v/>
      </c>
      <c r="AN10" s="113" t="str">
        <f t="shared" si="16"/>
        <v/>
      </c>
      <c r="AO10" s="113" t="str">
        <f t="shared" si="17"/>
        <v/>
      </c>
      <c r="AP10" s="66"/>
      <c r="AQ10" s="66"/>
      <c r="AR10" s="119" t="str">
        <f t="shared" si="1"/>
        <v/>
      </c>
      <c r="AS10" s="113" t="str">
        <f t="shared" si="2"/>
        <v/>
      </c>
      <c r="AT10" s="113" t="str">
        <f t="shared" si="3"/>
        <v/>
      </c>
      <c r="AU10" s="120" t="str">
        <f t="shared" si="4"/>
        <v/>
      </c>
      <c r="AV10" s="121" t="str">
        <f t="shared" si="18"/>
        <v/>
      </c>
      <c r="AW10" s="121" t="str">
        <f t="shared" si="5"/>
        <v/>
      </c>
      <c r="AX10" s="67"/>
      <c r="AY10" s="67"/>
      <c r="AZ10" s="125" t="str">
        <f t="shared" si="6"/>
        <v/>
      </c>
      <c r="BA10" s="68"/>
      <c r="BB10" s="128" t="str">
        <f t="shared" si="7"/>
        <v/>
      </c>
      <c r="BC10" s="69"/>
      <c r="BD10" s="113" t="str">
        <f t="shared" si="8"/>
        <v/>
      </c>
      <c r="BE10" s="130" t="str">
        <f t="shared" si="19"/>
        <v/>
      </c>
      <c r="BF10" s="66"/>
      <c r="BG10" s="131" t="str">
        <f t="shared" si="9"/>
        <v/>
      </c>
      <c r="BH10" s="70"/>
      <c r="BI10" s="134" t="str">
        <f t="shared" si="10"/>
        <v/>
      </c>
      <c r="BJ10" s="134" t="str">
        <f t="shared" si="20"/>
        <v/>
      </c>
      <c r="BK10" s="185"/>
      <c r="BL10" s="185"/>
      <c r="BM10" s="185"/>
      <c r="BN10" s="185"/>
      <c r="BO10" s="185"/>
      <c r="BP10" s="151"/>
      <c r="BQ10" s="127" t="str">
        <f t="shared" si="21"/>
        <v/>
      </c>
      <c r="BR10" s="147" t="s">
        <v>76</v>
      </c>
      <c r="BS10" s="131" t="str">
        <f t="shared" si="22"/>
        <v/>
      </c>
      <c r="BT10" s="149" t="str">
        <f t="shared" si="23"/>
        <v/>
      </c>
      <c r="BU10" s="52" t="s">
        <v>123</v>
      </c>
      <c r="BV10" s="53">
        <v>85</v>
      </c>
      <c r="CJ10" s="54"/>
      <c r="CK10" s="54"/>
      <c r="CL10" s="54"/>
      <c r="CM10" s="54"/>
      <c r="CN10" s="54"/>
      <c r="CO10" s="54"/>
      <c r="CP10" s="54"/>
      <c r="CQ10" s="54"/>
    </row>
    <row r="11" spans="2:140" ht="115.5" customHeight="1" thickBot="1">
      <c r="B11" s="55" t="str">
        <f t="shared" si="24"/>
        <v/>
      </c>
      <c r="C11" s="56"/>
      <c r="D11" s="56"/>
      <c r="E11" s="56"/>
      <c r="F11" s="56"/>
      <c r="G11" s="56"/>
      <c r="H11" s="57" t="str">
        <f>IF(F11="","",VLOOKUP(F11,Sheet_Master!A:M,13,FALSE))</f>
        <v/>
      </c>
      <c r="I11" s="58" t="str">
        <f>IF(F11="","",VLOOKUP(F11,Sheet_Master!A:N,14,FALSE))</f>
        <v/>
      </c>
      <c r="J11" s="59" t="str">
        <f>IF(F11="","",VLOOKUP(F11,Sheet_Master!A:F,6,FALSE))</f>
        <v/>
      </c>
      <c r="K11" s="59"/>
      <c r="L11" s="59"/>
      <c r="M11" s="59"/>
      <c r="N11" s="60"/>
      <c r="O11" s="56" t="str">
        <f t="shared" si="11"/>
        <v/>
      </c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9" t="str">
        <f t="shared" si="25"/>
        <v/>
      </c>
      <c r="AA11" s="61" t="str">
        <f>IF(F11="","",VLOOKUP(F11,Sheet_Master!A:B,2,FALSE))</f>
        <v/>
      </c>
      <c r="AB11" s="62" t="str">
        <f t="shared" ref="AB11:AB29" si="28">IF(F11="","",(Z11*AA11)/1000)</f>
        <v/>
      </c>
      <c r="AC11" s="59" t="str">
        <f>IF(F11="","",VLOOKUP(F11,Sheet_Master!A:E,5,FALSE))</f>
        <v/>
      </c>
      <c r="AD11" s="59" t="str">
        <f t="shared" si="26"/>
        <v/>
      </c>
      <c r="AE11" s="59" t="str">
        <f t="shared" si="12"/>
        <v/>
      </c>
      <c r="AF11" s="63" t="str">
        <f t="shared" si="13"/>
        <v/>
      </c>
      <c r="AG11" s="64" t="str">
        <f t="shared" ref="AG11:AG29" si="29">IF(F11="","",(Z11/AC11))</f>
        <v/>
      </c>
      <c r="AH11" s="42" t="str">
        <f t="shared" si="14"/>
        <v/>
      </c>
      <c r="AI11" s="65" t="str">
        <f t="shared" si="27"/>
        <v/>
      </c>
      <c r="AJ11" s="44"/>
      <c r="AK11" s="45"/>
      <c r="AL11" s="46" t="str">
        <f t="shared" si="0"/>
        <v/>
      </c>
      <c r="AM11" s="112" t="str">
        <f t="shared" si="15"/>
        <v/>
      </c>
      <c r="AN11" s="113" t="str">
        <f t="shared" si="16"/>
        <v/>
      </c>
      <c r="AO11" s="113" t="str">
        <f t="shared" si="17"/>
        <v/>
      </c>
      <c r="AP11" s="66"/>
      <c r="AQ11" s="66"/>
      <c r="AR11" s="119" t="str">
        <f t="shared" si="1"/>
        <v/>
      </c>
      <c r="AS11" s="113" t="str">
        <f t="shared" si="2"/>
        <v/>
      </c>
      <c r="AT11" s="113" t="str">
        <f t="shared" si="3"/>
        <v/>
      </c>
      <c r="AU11" s="120" t="str">
        <f t="shared" si="4"/>
        <v/>
      </c>
      <c r="AV11" s="121" t="str">
        <f t="shared" si="18"/>
        <v/>
      </c>
      <c r="AW11" s="121" t="str">
        <f t="shared" si="5"/>
        <v/>
      </c>
      <c r="AX11" s="67"/>
      <c r="AY11" s="67"/>
      <c r="AZ11" s="125" t="str">
        <f t="shared" si="6"/>
        <v/>
      </c>
      <c r="BA11" s="68"/>
      <c r="BB11" s="128" t="str">
        <f t="shared" si="7"/>
        <v/>
      </c>
      <c r="BC11" s="69"/>
      <c r="BD11" s="113" t="str">
        <f t="shared" si="8"/>
        <v/>
      </c>
      <c r="BE11" s="130" t="str">
        <f t="shared" si="19"/>
        <v/>
      </c>
      <c r="BF11" s="66"/>
      <c r="BG11" s="131" t="str">
        <f t="shared" si="9"/>
        <v/>
      </c>
      <c r="BH11" s="70"/>
      <c r="BI11" s="134" t="str">
        <f t="shared" si="10"/>
        <v/>
      </c>
      <c r="BJ11" s="134" t="str">
        <f t="shared" si="20"/>
        <v/>
      </c>
      <c r="BK11" s="185"/>
      <c r="BL11" s="185"/>
      <c r="BM11" s="185"/>
      <c r="BN11" s="185"/>
      <c r="BO11" s="185"/>
      <c r="BP11" s="151"/>
      <c r="BQ11" s="127" t="str">
        <f t="shared" si="21"/>
        <v/>
      </c>
      <c r="BR11" s="12"/>
      <c r="BS11" s="131" t="str">
        <f t="shared" si="22"/>
        <v/>
      </c>
      <c r="BT11" s="149" t="str">
        <f t="shared" si="23"/>
        <v/>
      </c>
      <c r="BU11" s="71" t="s">
        <v>124</v>
      </c>
      <c r="BV11" s="72">
        <v>1450</v>
      </c>
      <c r="CJ11" s="54"/>
      <c r="CK11" s="54"/>
      <c r="CL11" s="54"/>
      <c r="CM11" s="54"/>
      <c r="CN11" s="54"/>
      <c r="CO11" s="54"/>
      <c r="CP11" s="54"/>
      <c r="CQ11" s="54"/>
    </row>
    <row r="12" spans="2:140" ht="115.5" customHeight="1" thickBot="1">
      <c r="B12" s="55" t="str">
        <f t="shared" si="24"/>
        <v/>
      </c>
      <c r="C12" s="56"/>
      <c r="D12" s="56"/>
      <c r="E12" s="56"/>
      <c r="F12" s="56"/>
      <c r="G12" s="56"/>
      <c r="H12" s="57" t="str">
        <f>IF(F12="","",VLOOKUP(F12,Sheet_Master!A:M,13,FALSE))</f>
        <v/>
      </c>
      <c r="I12" s="58" t="str">
        <f>IF(F12="","",VLOOKUP(F12,Sheet_Master!A:N,14,FALSE))</f>
        <v/>
      </c>
      <c r="J12" s="59" t="str">
        <f>IF(F12="","",VLOOKUP(F12,Sheet_Master!A:F,6,FALSE))</f>
        <v/>
      </c>
      <c r="K12" s="59"/>
      <c r="L12" s="59"/>
      <c r="M12" s="59"/>
      <c r="N12" s="60"/>
      <c r="O12" s="56" t="str">
        <f t="shared" si="11"/>
        <v/>
      </c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9" t="str">
        <f t="shared" si="25"/>
        <v/>
      </c>
      <c r="AA12" s="61" t="str">
        <f>IF(F12="","",VLOOKUP(F12,Sheet_Master!A:B,2,FALSE))</f>
        <v/>
      </c>
      <c r="AB12" s="62" t="str">
        <f t="shared" si="28"/>
        <v/>
      </c>
      <c r="AC12" s="59" t="str">
        <f>IF(F12="","",VLOOKUP(F12,Sheet_Master!A:E,5,FALSE))</f>
        <v/>
      </c>
      <c r="AD12" s="59" t="str">
        <f t="shared" si="26"/>
        <v/>
      </c>
      <c r="AE12" s="59" t="str">
        <f t="shared" si="12"/>
        <v/>
      </c>
      <c r="AF12" s="63" t="str">
        <f t="shared" si="13"/>
        <v/>
      </c>
      <c r="AG12" s="64" t="str">
        <f t="shared" si="29"/>
        <v/>
      </c>
      <c r="AH12" s="42" t="str">
        <f t="shared" si="14"/>
        <v/>
      </c>
      <c r="AI12" s="65" t="str">
        <f t="shared" si="27"/>
        <v/>
      </c>
      <c r="AJ12" s="44"/>
      <c r="AK12" s="45"/>
      <c r="AL12" s="46" t="str">
        <f t="shared" si="0"/>
        <v/>
      </c>
      <c r="AM12" s="112" t="str">
        <f t="shared" si="15"/>
        <v/>
      </c>
      <c r="AN12" s="113" t="str">
        <f t="shared" si="16"/>
        <v/>
      </c>
      <c r="AO12" s="113" t="str">
        <f t="shared" si="17"/>
        <v/>
      </c>
      <c r="AP12" s="66"/>
      <c r="AQ12" s="66"/>
      <c r="AR12" s="119" t="str">
        <f t="shared" si="1"/>
        <v/>
      </c>
      <c r="AS12" s="113" t="str">
        <f t="shared" si="2"/>
        <v/>
      </c>
      <c r="AT12" s="113" t="str">
        <f t="shared" si="3"/>
        <v/>
      </c>
      <c r="AU12" s="120" t="str">
        <f t="shared" si="4"/>
        <v/>
      </c>
      <c r="AV12" s="121" t="str">
        <f t="shared" si="18"/>
        <v/>
      </c>
      <c r="AW12" s="121" t="str">
        <f t="shared" si="5"/>
        <v/>
      </c>
      <c r="AX12" s="67"/>
      <c r="AY12" s="67"/>
      <c r="AZ12" s="125" t="str">
        <f t="shared" si="6"/>
        <v/>
      </c>
      <c r="BA12" s="68"/>
      <c r="BB12" s="128" t="str">
        <f t="shared" si="7"/>
        <v/>
      </c>
      <c r="BC12" s="69"/>
      <c r="BD12" s="113" t="str">
        <f t="shared" si="8"/>
        <v/>
      </c>
      <c r="BE12" s="130" t="str">
        <f t="shared" si="19"/>
        <v/>
      </c>
      <c r="BF12" s="66"/>
      <c r="BG12" s="131" t="str">
        <f t="shared" si="9"/>
        <v/>
      </c>
      <c r="BH12" s="70"/>
      <c r="BI12" s="134" t="str">
        <f t="shared" si="10"/>
        <v/>
      </c>
      <c r="BJ12" s="134" t="str">
        <f t="shared" si="20"/>
        <v/>
      </c>
      <c r="BK12" s="185"/>
      <c r="BL12" s="185"/>
      <c r="BM12" s="185"/>
      <c r="BN12" s="185"/>
      <c r="BO12" s="185"/>
      <c r="BP12" s="151"/>
      <c r="BQ12" s="127" t="str">
        <f t="shared" si="21"/>
        <v/>
      </c>
      <c r="BR12" s="147" t="s">
        <v>54</v>
      </c>
      <c r="BS12" s="131" t="str">
        <f t="shared" si="22"/>
        <v/>
      </c>
      <c r="BT12" s="149" t="str">
        <f t="shared" si="23"/>
        <v/>
      </c>
      <c r="BU12" s="73" t="s">
        <v>125</v>
      </c>
      <c r="BV12" s="74">
        <v>3</v>
      </c>
      <c r="CJ12" s="54"/>
      <c r="CK12" s="54"/>
      <c r="CL12" s="54"/>
      <c r="CM12" s="54"/>
      <c r="CN12" s="54"/>
      <c r="CO12" s="54"/>
      <c r="CP12" s="54"/>
      <c r="CQ12" s="54"/>
    </row>
    <row r="13" spans="2:140" ht="115.5" customHeight="1">
      <c r="B13" s="55" t="str">
        <f t="shared" si="24"/>
        <v/>
      </c>
      <c r="C13" s="56"/>
      <c r="D13" s="56"/>
      <c r="E13" s="56"/>
      <c r="F13" s="56"/>
      <c r="G13" s="56"/>
      <c r="H13" s="57" t="str">
        <f>IF(F13="","",VLOOKUP(F13,Sheet_Master!A:M,13,FALSE))</f>
        <v/>
      </c>
      <c r="I13" s="58" t="str">
        <f>IF(F13="","",VLOOKUP(F13,Sheet_Master!A:N,14,FALSE))</f>
        <v/>
      </c>
      <c r="J13" s="59" t="str">
        <f>IF(F13="","",VLOOKUP(F13,Sheet_Master!A:F,6,FALSE))</f>
        <v/>
      </c>
      <c r="K13" s="59"/>
      <c r="L13" s="59"/>
      <c r="M13" s="59"/>
      <c r="N13" s="60"/>
      <c r="O13" s="56" t="str">
        <f t="shared" si="11"/>
        <v/>
      </c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9" t="str">
        <f t="shared" si="25"/>
        <v/>
      </c>
      <c r="AA13" s="61" t="str">
        <f>IF(F13="","",VLOOKUP(F13,Sheet_Master!A:B,2,FALSE))</f>
        <v/>
      </c>
      <c r="AB13" s="62" t="str">
        <f t="shared" si="28"/>
        <v/>
      </c>
      <c r="AC13" s="59" t="str">
        <f>IF(F13="","",VLOOKUP(F13,Sheet_Master!A:E,5,FALSE))</f>
        <v/>
      </c>
      <c r="AD13" s="59" t="str">
        <f t="shared" si="26"/>
        <v/>
      </c>
      <c r="AE13" s="59" t="str">
        <f t="shared" si="12"/>
        <v/>
      </c>
      <c r="AF13" s="63" t="str">
        <f t="shared" si="13"/>
        <v/>
      </c>
      <c r="AG13" s="64" t="str">
        <f t="shared" si="29"/>
        <v/>
      </c>
      <c r="AH13" s="42" t="str">
        <f t="shared" si="14"/>
        <v/>
      </c>
      <c r="AI13" s="65" t="str">
        <f t="shared" si="27"/>
        <v/>
      </c>
      <c r="AJ13" s="44"/>
      <c r="AK13" s="45"/>
      <c r="AL13" s="46" t="str">
        <f t="shared" si="0"/>
        <v/>
      </c>
      <c r="AM13" s="112" t="str">
        <f t="shared" si="15"/>
        <v/>
      </c>
      <c r="AN13" s="113" t="str">
        <f t="shared" si="16"/>
        <v/>
      </c>
      <c r="AO13" s="113" t="str">
        <f t="shared" si="17"/>
        <v/>
      </c>
      <c r="AP13" s="66"/>
      <c r="AQ13" s="66"/>
      <c r="AR13" s="119" t="str">
        <f t="shared" si="1"/>
        <v/>
      </c>
      <c r="AS13" s="113" t="str">
        <f t="shared" si="2"/>
        <v/>
      </c>
      <c r="AT13" s="113" t="str">
        <f t="shared" si="3"/>
        <v/>
      </c>
      <c r="AU13" s="120" t="str">
        <f t="shared" si="4"/>
        <v/>
      </c>
      <c r="AV13" s="121" t="str">
        <f t="shared" si="18"/>
        <v/>
      </c>
      <c r="AW13" s="121" t="str">
        <f t="shared" si="5"/>
        <v/>
      </c>
      <c r="AX13" s="67"/>
      <c r="AY13" s="67"/>
      <c r="AZ13" s="125" t="str">
        <f t="shared" si="6"/>
        <v/>
      </c>
      <c r="BA13" s="68"/>
      <c r="BB13" s="128" t="str">
        <f t="shared" si="7"/>
        <v/>
      </c>
      <c r="BC13" s="69"/>
      <c r="BD13" s="113" t="str">
        <f t="shared" si="8"/>
        <v/>
      </c>
      <c r="BE13" s="130" t="str">
        <f t="shared" si="19"/>
        <v/>
      </c>
      <c r="BF13" s="66"/>
      <c r="BG13" s="131" t="str">
        <f t="shared" si="9"/>
        <v/>
      </c>
      <c r="BH13" s="70"/>
      <c r="BI13" s="134" t="str">
        <f t="shared" si="10"/>
        <v/>
      </c>
      <c r="BJ13" s="134" t="str">
        <f t="shared" si="20"/>
        <v/>
      </c>
      <c r="BK13" s="185"/>
      <c r="BL13" s="185"/>
      <c r="BM13" s="185"/>
      <c r="BN13" s="185"/>
      <c r="BO13" s="185"/>
      <c r="BP13" s="151"/>
      <c r="BQ13" s="127" t="str">
        <f t="shared" si="21"/>
        <v/>
      </c>
      <c r="BR13" s="13"/>
      <c r="BS13" s="131" t="str">
        <f t="shared" si="22"/>
        <v/>
      </c>
      <c r="BT13" s="149" t="str">
        <f t="shared" si="23"/>
        <v/>
      </c>
      <c r="BV13" s="75" t="s">
        <v>26</v>
      </c>
      <c r="CJ13" s="54"/>
      <c r="CK13" s="54"/>
      <c r="CL13" s="54"/>
      <c r="CM13" s="54"/>
      <c r="CN13" s="54"/>
      <c r="CO13" s="54"/>
      <c r="CP13" s="54"/>
      <c r="CQ13" s="54"/>
    </row>
    <row r="14" spans="2:140" ht="115.5" customHeight="1">
      <c r="B14" s="55" t="str">
        <f t="shared" si="24"/>
        <v/>
      </c>
      <c r="C14" s="56"/>
      <c r="D14" s="56"/>
      <c r="E14" s="56"/>
      <c r="F14" s="56"/>
      <c r="G14" s="56"/>
      <c r="H14" s="57" t="str">
        <f>IF(F14="","",VLOOKUP(F14,Sheet_Master!A:M,13,FALSE))</f>
        <v/>
      </c>
      <c r="I14" s="58" t="str">
        <f>IF(F14="","",VLOOKUP(F14,Sheet_Master!A:N,14,FALSE))</f>
        <v/>
      </c>
      <c r="J14" s="59" t="str">
        <f>IF(F14="","",VLOOKUP(F14,Sheet_Master!A:F,6,FALSE))</f>
        <v/>
      </c>
      <c r="K14" s="59"/>
      <c r="L14" s="59"/>
      <c r="M14" s="59"/>
      <c r="N14" s="60"/>
      <c r="O14" s="56" t="str">
        <f t="shared" si="11"/>
        <v/>
      </c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9" t="str">
        <f t="shared" si="25"/>
        <v/>
      </c>
      <c r="AA14" s="61" t="str">
        <f>IF(F14="","",VLOOKUP(F14,Sheet_Master!A:B,2,FALSE))</f>
        <v/>
      </c>
      <c r="AB14" s="62" t="str">
        <f t="shared" si="28"/>
        <v/>
      </c>
      <c r="AC14" s="59" t="str">
        <f>IF(F14="","",VLOOKUP(F14,Sheet_Master!A:E,5,FALSE))</f>
        <v/>
      </c>
      <c r="AD14" s="59" t="str">
        <f t="shared" si="26"/>
        <v/>
      </c>
      <c r="AE14" s="59" t="str">
        <f t="shared" si="12"/>
        <v/>
      </c>
      <c r="AF14" s="63" t="str">
        <f t="shared" si="13"/>
        <v/>
      </c>
      <c r="AG14" s="64" t="str">
        <f t="shared" si="29"/>
        <v/>
      </c>
      <c r="AH14" s="42" t="str">
        <f t="shared" si="14"/>
        <v/>
      </c>
      <c r="AI14" s="65" t="str">
        <f t="shared" si="27"/>
        <v/>
      </c>
      <c r="AJ14" s="44"/>
      <c r="AK14" s="45"/>
      <c r="AL14" s="46" t="str">
        <f t="shared" si="0"/>
        <v/>
      </c>
      <c r="AM14" s="112" t="str">
        <f t="shared" si="15"/>
        <v/>
      </c>
      <c r="AN14" s="113" t="str">
        <f t="shared" si="16"/>
        <v/>
      </c>
      <c r="AO14" s="113" t="str">
        <f t="shared" si="17"/>
        <v/>
      </c>
      <c r="AP14" s="66"/>
      <c r="AQ14" s="66"/>
      <c r="AR14" s="119" t="str">
        <f t="shared" si="1"/>
        <v/>
      </c>
      <c r="AS14" s="113" t="str">
        <f t="shared" si="2"/>
        <v/>
      </c>
      <c r="AT14" s="113" t="str">
        <f t="shared" si="3"/>
        <v/>
      </c>
      <c r="AU14" s="120" t="str">
        <f t="shared" si="4"/>
        <v/>
      </c>
      <c r="AV14" s="121" t="str">
        <f t="shared" si="18"/>
        <v/>
      </c>
      <c r="AW14" s="121" t="str">
        <f t="shared" si="5"/>
        <v/>
      </c>
      <c r="AX14" s="67"/>
      <c r="AY14" s="67"/>
      <c r="AZ14" s="125" t="str">
        <f t="shared" si="6"/>
        <v/>
      </c>
      <c r="BA14" s="68"/>
      <c r="BB14" s="128" t="str">
        <f t="shared" si="7"/>
        <v/>
      </c>
      <c r="BC14" s="69"/>
      <c r="BD14" s="113" t="str">
        <f t="shared" si="8"/>
        <v/>
      </c>
      <c r="BE14" s="130" t="str">
        <f t="shared" si="19"/>
        <v/>
      </c>
      <c r="BF14" s="66"/>
      <c r="BG14" s="131" t="str">
        <f t="shared" si="9"/>
        <v/>
      </c>
      <c r="BH14" s="70"/>
      <c r="BI14" s="134" t="str">
        <f t="shared" si="10"/>
        <v/>
      </c>
      <c r="BJ14" s="134" t="str">
        <f t="shared" si="20"/>
        <v/>
      </c>
      <c r="BK14" s="185"/>
      <c r="BL14" s="185"/>
      <c r="BM14" s="185"/>
      <c r="BN14" s="185"/>
      <c r="BO14" s="185"/>
      <c r="BP14" s="151"/>
      <c r="BQ14" s="127" t="str">
        <f t="shared" si="21"/>
        <v/>
      </c>
      <c r="BR14" s="147" t="s">
        <v>77</v>
      </c>
      <c r="BS14" s="131" t="str">
        <f t="shared" si="22"/>
        <v/>
      </c>
      <c r="BT14" s="149" t="str">
        <f t="shared" si="23"/>
        <v/>
      </c>
      <c r="CJ14" s="54"/>
      <c r="CK14" s="54"/>
      <c r="CL14" s="54"/>
      <c r="CM14" s="54"/>
      <c r="CN14" s="54"/>
      <c r="CO14" s="54"/>
      <c r="CP14" s="54"/>
      <c r="CQ14" s="54"/>
    </row>
    <row r="15" spans="2:140" ht="115.5" customHeight="1">
      <c r="B15" s="55" t="str">
        <f t="shared" si="24"/>
        <v/>
      </c>
      <c r="C15" s="56"/>
      <c r="D15" s="56"/>
      <c r="E15" s="56"/>
      <c r="F15" s="56"/>
      <c r="G15" s="56"/>
      <c r="H15" s="57" t="str">
        <f>IF(F15="","",VLOOKUP(F15,Sheet_Master!A:M,13,FALSE))</f>
        <v/>
      </c>
      <c r="I15" s="58" t="str">
        <f>IF(F15="","",VLOOKUP(F15,Sheet_Master!A:N,14,FALSE))</f>
        <v/>
      </c>
      <c r="J15" s="59" t="str">
        <f>IF(F15="","",VLOOKUP(F15,Sheet_Master!A:F,6,FALSE))</f>
        <v/>
      </c>
      <c r="K15" s="59"/>
      <c r="L15" s="59"/>
      <c r="M15" s="59"/>
      <c r="N15" s="60"/>
      <c r="O15" s="56" t="str">
        <f t="shared" si="11"/>
        <v/>
      </c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9" t="str">
        <f t="shared" si="25"/>
        <v/>
      </c>
      <c r="AA15" s="61" t="str">
        <f>IF(F15="","",VLOOKUP(F15,Sheet_Master!A:B,2,FALSE))</f>
        <v/>
      </c>
      <c r="AB15" s="62" t="str">
        <f t="shared" si="28"/>
        <v/>
      </c>
      <c r="AC15" s="59" t="str">
        <f>IF(F15="","",VLOOKUP(F15,Sheet_Master!A:E,5,FALSE))</f>
        <v/>
      </c>
      <c r="AD15" s="59" t="str">
        <f t="shared" si="26"/>
        <v/>
      </c>
      <c r="AE15" s="59" t="str">
        <f t="shared" si="12"/>
        <v/>
      </c>
      <c r="AF15" s="63" t="str">
        <f t="shared" si="13"/>
        <v/>
      </c>
      <c r="AG15" s="64" t="str">
        <f t="shared" si="29"/>
        <v/>
      </c>
      <c r="AH15" s="42" t="str">
        <f t="shared" si="14"/>
        <v/>
      </c>
      <c r="AI15" s="65" t="str">
        <f t="shared" si="27"/>
        <v/>
      </c>
      <c r="AJ15" s="44"/>
      <c r="AK15" s="45"/>
      <c r="AL15" s="46" t="str">
        <f t="shared" si="0"/>
        <v/>
      </c>
      <c r="AM15" s="112" t="str">
        <f t="shared" si="15"/>
        <v/>
      </c>
      <c r="AN15" s="113" t="str">
        <f t="shared" si="16"/>
        <v/>
      </c>
      <c r="AO15" s="113" t="str">
        <f t="shared" si="17"/>
        <v/>
      </c>
      <c r="AP15" s="66"/>
      <c r="AQ15" s="66"/>
      <c r="AR15" s="119" t="str">
        <f t="shared" si="1"/>
        <v/>
      </c>
      <c r="AS15" s="113" t="str">
        <f t="shared" si="2"/>
        <v/>
      </c>
      <c r="AT15" s="113" t="str">
        <f t="shared" si="3"/>
        <v/>
      </c>
      <c r="AU15" s="120" t="str">
        <f t="shared" si="4"/>
        <v/>
      </c>
      <c r="AV15" s="121" t="str">
        <f t="shared" si="18"/>
        <v/>
      </c>
      <c r="AW15" s="121" t="str">
        <f t="shared" si="5"/>
        <v/>
      </c>
      <c r="AX15" s="67"/>
      <c r="AY15" s="67"/>
      <c r="AZ15" s="125" t="str">
        <f t="shared" si="6"/>
        <v/>
      </c>
      <c r="BA15" s="68"/>
      <c r="BB15" s="128" t="str">
        <f t="shared" si="7"/>
        <v/>
      </c>
      <c r="BC15" s="69"/>
      <c r="BD15" s="113" t="str">
        <f t="shared" si="8"/>
        <v/>
      </c>
      <c r="BE15" s="130" t="str">
        <f t="shared" si="19"/>
        <v/>
      </c>
      <c r="BF15" s="66"/>
      <c r="BG15" s="131" t="str">
        <f t="shared" si="9"/>
        <v/>
      </c>
      <c r="BH15" s="70"/>
      <c r="BI15" s="134" t="str">
        <f t="shared" si="10"/>
        <v/>
      </c>
      <c r="BJ15" s="134" t="str">
        <f t="shared" si="20"/>
        <v/>
      </c>
      <c r="BK15" s="185"/>
      <c r="BL15" s="185"/>
      <c r="BM15" s="185"/>
      <c r="BN15" s="185"/>
      <c r="BO15" s="185"/>
      <c r="BP15" s="151"/>
      <c r="BQ15" s="127" t="str">
        <f t="shared" si="21"/>
        <v/>
      </c>
      <c r="BR15" s="13"/>
      <c r="BS15" s="131" t="str">
        <f t="shared" si="22"/>
        <v/>
      </c>
      <c r="BT15" s="149" t="str">
        <f t="shared" si="23"/>
        <v/>
      </c>
    </row>
    <row r="16" spans="2:140" ht="115.5" customHeight="1">
      <c r="B16" s="55" t="str">
        <f t="shared" si="24"/>
        <v/>
      </c>
      <c r="C16" s="56"/>
      <c r="D16" s="56"/>
      <c r="E16" s="56"/>
      <c r="F16" s="56"/>
      <c r="G16" s="56"/>
      <c r="H16" s="57" t="str">
        <f>IF(F16="","",VLOOKUP(F16,Sheet_Master!A:M,13,FALSE))</f>
        <v/>
      </c>
      <c r="I16" s="58" t="str">
        <f>IF(F16="","",VLOOKUP(F16,Sheet_Master!A:N,14,FALSE))</f>
        <v/>
      </c>
      <c r="J16" s="59" t="str">
        <f>IF(F16="","",VLOOKUP(F16,Sheet_Master!A:F,6,FALSE))</f>
        <v/>
      </c>
      <c r="K16" s="59"/>
      <c r="L16" s="59"/>
      <c r="M16" s="59"/>
      <c r="N16" s="60"/>
      <c r="O16" s="56" t="str">
        <f t="shared" si="11"/>
        <v/>
      </c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9" t="str">
        <f t="shared" si="25"/>
        <v/>
      </c>
      <c r="AA16" s="61" t="str">
        <f>IF(F16="","",VLOOKUP(F16,Sheet_Master!A:B,2,FALSE))</f>
        <v/>
      </c>
      <c r="AB16" s="62" t="str">
        <f t="shared" si="28"/>
        <v/>
      </c>
      <c r="AC16" s="59" t="str">
        <f>IF(F16="","",VLOOKUP(F16,Sheet_Master!A:E,5,FALSE))</f>
        <v/>
      </c>
      <c r="AD16" s="59" t="str">
        <f t="shared" si="26"/>
        <v/>
      </c>
      <c r="AE16" s="59" t="str">
        <f t="shared" si="12"/>
        <v/>
      </c>
      <c r="AF16" s="63" t="str">
        <f t="shared" si="13"/>
        <v/>
      </c>
      <c r="AG16" s="64" t="str">
        <f t="shared" si="29"/>
        <v/>
      </c>
      <c r="AH16" s="42" t="str">
        <f t="shared" si="14"/>
        <v/>
      </c>
      <c r="AI16" s="65" t="str">
        <f t="shared" si="27"/>
        <v/>
      </c>
      <c r="AJ16" s="44"/>
      <c r="AK16" s="45"/>
      <c r="AL16" s="46" t="str">
        <f t="shared" si="0"/>
        <v/>
      </c>
      <c r="AM16" s="112" t="str">
        <f t="shared" si="15"/>
        <v/>
      </c>
      <c r="AN16" s="113" t="str">
        <f t="shared" si="16"/>
        <v/>
      </c>
      <c r="AO16" s="113" t="str">
        <f t="shared" si="17"/>
        <v/>
      </c>
      <c r="AP16" s="66"/>
      <c r="AQ16" s="66"/>
      <c r="AR16" s="119" t="str">
        <f t="shared" si="1"/>
        <v/>
      </c>
      <c r="AS16" s="113" t="str">
        <f t="shared" si="2"/>
        <v/>
      </c>
      <c r="AT16" s="113" t="str">
        <f t="shared" si="3"/>
        <v/>
      </c>
      <c r="AU16" s="120" t="str">
        <f t="shared" si="4"/>
        <v/>
      </c>
      <c r="AV16" s="121" t="str">
        <f t="shared" si="18"/>
        <v/>
      </c>
      <c r="AW16" s="121" t="str">
        <f t="shared" si="5"/>
        <v/>
      </c>
      <c r="AX16" s="67"/>
      <c r="AY16" s="67"/>
      <c r="AZ16" s="125" t="str">
        <f t="shared" si="6"/>
        <v/>
      </c>
      <c r="BA16" s="68"/>
      <c r="BB16" s="128" t="str">
        <f t="shared" si="7"/>
        <v/>
      </c>
      <c r="BC16" s="69"/>
      <c r="BD16" s="113" t="str">
        <f t="shared" si="8"/>
        <v/>
      </c>
      <c r="BE16" s="130" t="str">
        <f t="shared" si="19"/>
        <v/>
      </c>
      <c r="BF16" s="66"/>
      <c r="BG16" s="131" t="str">
        <f t="shared" si="9"/>
        <v/>
      </c>
      <c r="BH16" s="70"/>
      <c r="BI16" s="134" t="str">
        <f t="shared" si="10"/>
        <v/>
      </c>
      <c r="BJ16" s="134" t="str">
        <f t="shared" si="20"/>
        <v/>
      </c>
      <c r="BK16" s="185"/>
      <c r="BL16" s="185"/>
      <c r="BM16" s="185"/>
      <c r="BN16" s="185"/>
      <c r="BO16" s="185"/>
      <c r="BP16" s="151"/>
      <c r="BQ16" s="127" t="str">
        <f t="shared" si="21"/>
        <v/>
      </c>
      <c r="BR16" s="147" t="s">
        <v>78</v>
      </c>
      <c r="BS16" s="131" t="str">
        <f t="shared" si="22"/>
        <v/>
      </c>
      <c r="BT16" s="149" t="str">
        <f t="shared" si="23"/>
        <v/>
      </c>
    </row>
    <row r="17" spans="2:72" ht="115.5" customHeight="1">
      <c r="B17" s="55" t="str">
        <f t="shared" si="24"/>
        <v/>
      </c>
      <c r="C17" s="56"/>
      <c r="D17" s="56"/>
      <c r="E17" s="56"/>
      <c r="F17" s="56"/>
      <c r="G17" s="56"/>
      <c r="H17" s="57" t="str">
        <f>IF(F17="","",VLOOKUP(F17,Sheet_Master!A:M,13,FALSE))</f>
        <v/>
      </c>
      <c r="I17" s="58" t="str">
        <f>IF(F17="","",VLOOKUP(F17,Sheet_Master!A:N,14,FALSE))</f>
        <v/>
      </c>
      <c r="J17" s="59" t="str">
        <f>IF(F17="","",VLOOKUP(F17,Sheet_Master!A:F,6,FALSE))</f>
        <v/>
      </c>
      <c r="K17" s="59"/>
      <c r="L17" s="59"/>
      <c r="M17" s="59"/>
      <c r="N17" s="60"/>
      <c r="O17" s="56" t="str">
        <f t="shared" si="11"/>
        <v/>
      </c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9" t="str">
        <f t="shared" si="25"/>
        <v/>
      </c>
      <c r="AA17" s="61" t="str">
        <f>IF(F17="","",VLOOKUP(F17,Sheet_Master!A:B,2,FALSE))</f>
        <v/>
      </c>
      <c r="AB17" s="62" t="str">
        <f t="shared" si="28"/>
        <v/>
      </c>
      <c r="AC17" s="59" t="str">
        <f>IF(F17="","",VLOOKUP(F17,Sheet_Master!A:E,5,FALSE))</f>
        <v/>
      </c>
      <c r="AD17" s="59" t="str">
        <f t="shared" si="26"/>
        <v/>
      </c>
      <c r="AE17" s="59" t="str">
        <f t="shared" si="12"/>
        <v/>
      </c>
      <c r="AF17" s="63" t="str">
        <f t="shared" si="13"/>
        <v/>
      </c>
      <c r="AG17" s="64" t="str">
        <f t="shared" si="29"/>
        <v/>
      </c>
      <c r="AH17" s="42" t="str">
        <f t="shared" si="14"/>
        <v/>
      </c>
      <c r="AI17" s="65" t="str">
        <f t="shared" si="27"/>
        <v/>
      </c>
      <c r="AJ17" s="44"/>
      <c r="AK17" s="45"/>
      <c r="AL17" s="46" t="str">
        <f t="shared" si="0"/>
        <v/>
      </c>
      <c r="AM17" s="112" t="str">
        <f t="shared" si="15"/>
        <v/>
      </c>
      <c r="AN17" s="113" t="str">
        <f t="shared" si="16"/>
        <v/>
      </c>
      <c r="AO17" s="113" t="str">
        <f t="shared" si="17"/>
        <v/>
      </c>
      <c r="AP17" s="66"/>
      <c r="AQ17" s="66"/>
      <c r="AR17" s="119" t="str">
        <f t="shared" si="1"/>
        <v/>
      </c>
      <c r="AS17" s="113" t="str">
        <f t="shared" si="2"/>
        <v/>
      </c>
      <c r="AT17" s="113" t="str">
        <f t="shared" si="3"/>
        <v/>
      </c>
      <c r="AU17" s="120" t="str">
        <f t="shared" si="4"/>
        <v/>
      </c>
      <c r="AV17" s="121" t="str">
        <f t="shared" si="18"/>
        <v/>
      </c>
      <c r="AW17" s="121" t="str">
        <f t="shared" si="5"/>
        <v/>
      </c>
      <c r="AX17" s="67"/>
      <c r="AY17" s="67"/>
      <c r="AZ17" s="125" t="str">
        <f t="shared" si="6"/>
        <v/>
      </c>
      <c r="BA17" s="68"/>
      <c r="BB17" s="128" t="str">
        <f t="shared" si="7"/>
        <v/>
      </c>
      <c r="BC17" s="69"/>
      <c r="BD17" s="113" t="str">
        <f t="shared" si="8"/>
        <v/>
      </c>
      <c r="BE17" s="130" t="str">
        <f t="shared" si="19"/>
        <v/>
      </c>
      <c r="BF17" s="66"/>
      <c r="BG17" s="131" t="str">
        <f t="shared" si="9"/>
        <v/>
      </c>
      <c r="BH17" s="70"/>
      <c r="BI17" s="134" t="str">
        <f t="shared" si="10"/>
        <v/>
      </c>
      <c r="BJ17" s="134" t="str">
        <f t="shared" si="20"/>
        <v/>
      </c>
      <c r="BK17" s="185"/>
      <c r="BL17" s="185"/>
      <c r="BM17" s="185"/>
      <c r="BN17" s="185"/>
      <c r="BO17" s="185"/>
      <c r="BP17" s="151"/>
      <c r="BQ17" s="127" t="str">
        <f t="shared" si="21"/>
        <v/>
      </c>
      <c r="BR17" s="14">
        <f>(BR15-BR13)*1440</f>
        <v>0</v>
      </c>
      <c r="BS17" s="131" t="str">
        <f t="shared" si="22"/>
        <v/>
      </c>
      <c r="BT17" s="149" t="str">
        <f t="shared" si="23"/>
        <v/>
      </c>
    </row>
    <row r="18" spans="2:72" ht="115.5" customHeight="1">
      <c r="B18" s="55" t="str">
        <f t="shared" si="24"/>
        <v/>
      </c>
      <c r="C18" s="56"/>
      <c r="D18" s="56"/>
      <c r="E18" s="56"/>
      <c r="F18" s="56"/>
      <c r="G18" s="56"/>
      <c r="H18" s="57" t="str">
        <f>IF(F18="","",VLOOKUP(F18,Sheet_Master!A:M,13,FALSE))</f>
        <v/>
      </c>
      <c r="I18" s="58" t="str">
        <f>IF(F18="","",VLOOKUP(F18,Sheet_Master!A:N,14,FALSE))</f>
        <v/>
      </c>
      <c r="J18" s="59" t="str">
        <f>IF(F18="","",VLOOKUP(F18,Sheet_Master!A:F,6,FALSE))</f>
        <v/>
      </c>
      <c r="K18" s="59"/>
      <c r="L18" s="59"/>
      <c r="M18" s="59"/>
      <c r="N18" s="60"/>
      <c r="O18" s="56" t="str">
        <f t="shared" si="11"/>
        <v/>
      </c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9" t="str">
        <f t="shared" si="25"/>
        <v/>
      </c>
      <c r="AA18" s="61" t="str">
        <f>IF(F18="","",VLOOKUP(F18,Sheet_Master!A:B,2,FALSE))</f>
        <v/>
      </c>
      <c r="AB18" s="62" t="str">
        <f t="shared" si="28"/>
        <v/>
      </c>
      <c r="AC18" s="59" t="str">
        <f>IF(F18="","",VLOOKUP(F18,Sheet_Master!A:E,5,FALSE))</f>
        <v/>
      </c>
      <c r="AD18" s="59" t="str">
        <f t="shared" si="26"/>
        <v/>
      </c>
      <c r="AE18" s="59" t="str">
        <f t="shared" si="12"/>
        <v/>
      </c>
      <c r="AF18" s="63" t="str">
        <f t="shared" si="13"/>
        <v/>
      </c>
      <c r="AG18" s="64" t="str">
        <f t="shared" si="29"/>
        <v/>
      </c>
      <c r="AH18" s="42" t="str">
        <f t="shared" si="14"/>
        <v/>
      </c>
      <c r="AI18" s="65" t="str">
        <f t="shared" si="27"/>
        <v/>
      </c>
      <c r="AJ18" s="44"/>
      <c r="AK18" s="45"/>
      <c r="AL18" s="46" t="str">
        <f t="shared" si="0"/>
        <v/>
      </c>
      <c r="AM18" s="112" t="str">
        <f t="shared" si="15"/>
        <v/>
      </c>
      <c r="AN18" s="113" t="str">
        <f t="shared" si="16"/>
        <v/>
      </c>
      <c r="AO18" s="113" t="str">
        <f t="shared" si="17"/>
        <v/>
      </c>
      <c r="AP18" s="66"/>
      <c r="AQ18" s="66"/>
      <c r="AR18" s="119" t="str">
        <f t="shared" si="1"/>
        <v/>
      </c>
      <c r="AS18" s="113" t="str">
        <f t="shared" si="2"/>
        <v/>
      </c>
      <c r="AT18" s="113" t="str">
        <f t="shared" si="3"/>
        <v/>
      </c>
      <c r="AU18" s="120" t="str">
        <f t="shared" si="4"/>
        <v/>
      </c>
      <c r="AV18" s="121" t="str">
        <f t="shared" si="18"/>
        <v/>
      </c>
      <c r="AW18" s="121" t="str">
        <f t="shared" si="5"/>
        <v/>
      </c>
      <c r="AX18" s="67"/>
      <c r="AY18" s="67"/>
      <c r="AZ18" s="125" t="str">
        <f t="shared" si="6"/>
        <v/>
      </c>
      <c r="BA18" s="68"/>
      <c r="BB18" s="128" t="str">
        <f t="shared" si="7"/>
        <v/>
      </c>
      <c r="BC18" s="69"/>
      <c r="BD18" s="113" t="str">
        <f t="shared" si="8"/>
        <v/>
      </c>
      <c r="BE18" s="130" t="str">
        <f t="shared" si="19"/>
        <v/>
      </c>
      <c r="BF18" s="66"/>
      <c r="BG18" s="131" t="str">
        <f t="shared" si="9"/>
        <v/>
      </c>
      <c r="BH18" s="70"/>
      <c r="BI18" s="134" t="str">
        <f t="shared" si="10"/>
        <v/>
      </c>
      <c r="BJ18" s="134" t="str">
        <f t="shared" si="20"/>
        <v/>
      </c>
      <c r="BK18" s="185"/>
      <c r="BL18" s="185"/>
      <c r="BM18" s="185"/>
      <c r="BN18" s="185"/>
      <c r="BO18" s="185"/>
      <c r="BP18" s="151"/>
      <c r="BQ18" s="127" t="str">
        <f t="shared" si="21"/>
        <v/>
      </c>
      <c r="BR18" s="148" t="s">
        <v>79</v>
      </c>
      <c r="BS18" s="131" t="str">
        <f t="shared" si="22"/>
        <v/>
      </c>
      <c r="BT18" s="149" t="str">
        <f t="shared" si="23"/>
        <v/>
      </c>
    </row>
    <row r="19" spans="2:72" ht="115.5" customHeight="1">
      <c r="B19" s="55" t="str">
        <f t="shared" si="24"/>
        <v/>
      </c>
      <c r="C19" s="56"/>
      <c r="D19" s="56"/>
      <c r="E19" s="56"/>
      <c r="F19" s="56"/>
      <c r="G19" s="56"/>
      <c r="H19" s="57" t="str">
        <f>IF(F19="","",VLOOKUP(F19,Sheet_Master!A:M,13,FALSE))</f>
        <v/>
      </c>
      <c r="I19" s="58" t="str">
        <f>IF(F19="","",VLOOKUP(F19,Sheet_Master!A:N,14,FALSE))</f>
        <v/>
      </c>
      <c r="J19" s="59" t="str">
        <f>IF(F19="","",VLOOKUP(F19,Sheet_Master!A:F,6,FALSE))</f>
        <v/>
      </c>
      <c r="K19" s="59"/>
      <c r="L19" s="59"/>
      <c r="M19" s="59"/>
      <c r="N19" s="60"/>
      <c r="O19" s="56" t="str">
        <f t="shared" si="11"/>
        <v/>
      </c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9" t="str">
        <f t="shared" si="25"/>
        <v/>
      </c>
      <c r="AA19" s="61" t="str">
        <f>IF(F19="","",VLOOKUP(F19,Sheet_Master!A:B,2,FALSE))</f>
        <v/>
      </c>
      <c r="AB19" s="62" t="str">
        <f t="shared" si="28"/>
        <v/>
      </c>
      <c r="AC19" s="59" t="str">
        <f>IF(F19="","",VLOOKUP(F19,Sheet_Master!A:E,5,FALSE))</f>
        <v/>
      </c>
      <c r="AD19" s="59" t="str">
        <f t="shared" si="26"/>
        <v/>
      </c>
      <c r="AE19" s="59" t="str">
        <f t="shared" si="12"/>
        <v/>
      </c>
      <c r="AF19" s="63" t="str">
        <f t="shared" si="13"/>
        <v/>
      </c>
      <c r="AG19" s="64" t="str">
        <f t="shared" si="29"/>
        <v/>
      </c>
      <c r="AH19" s="42" t="str">
        <f t="shared" si="14"/>
        <v/>
      </c>
      <c r="AI19" s="65" t="str">
        <f t="shared" si="27"/>
        <v/>
      </c>
      <c r="AJ19" s="44"/>
      <c r="AK19" s="45"/>
      <c r="AL19" s="46" t="str">
        <f t="shared" si="0"/>
        <v/>
      </c>
      <c r="AM19" s="112" t="str">
        <f t="shared" si="15"/>
        <v/>
      </c>
      <c r="AN19" s="113" t="str">
        <f t="shared" si="16"/>
        <v/>
      </c>
      <c r="AO19" s="113" t="str">
        <f t="shared" si="17"/>
        <v/>
      </c>
      <c r="AP19" s="66"/>
      <c r="AQ19" s="66"/>
      <c r="AR19" s="119" t="str">
        <f t="shared" si="1"/>
        <v/>
      </c>
      <c r="AS19" s="113" t="str">
        <f t="shared" si="2"/>
        <v/>
      </c>
      <c r="AT19" s="113" t="str">
        <f t="shared" si="3"/>
        <v/>
      </c>
      <c r="AU19" s="120" t="str">
        <f t="shared" si="4"/>
        <v/>
      </c>
      <c r="AV19" s="121" t="str">
        <f t="shared" si="18"/>
        <v/>
      </c>
      <c r="AW19" s="121" t="str">
        <f t="shared" si="5"/>
        <v/>
      </c>
      <c r="AX19" s="67"/>
      <c r="AY19" s="67"/>
      <c r="AZ19" s="125" t="str">
        <f t="shared" si="6"/>
        <v/>
      </c>
      <c r="BA19" s="68"/>
      <c r="BB19" s="128" t="str">
        <f t="shared" si="7"/>
        <v/>
      </c>
      <c r="BC19" s="69"/>
      <c r="BD19" s="113" t="str">
        <f t="shared" si="8"/>
        <v/>
      </c>
      <c r="BE19" s="130" t="str">
        <f t="shared" si="19"/>
        <v/>
      </c>
      <c r="BF19" s="66"/>
      <c r="BG19" s="131" t="str">
        <f t="shared" si="9"/>
        <v/>
      </c>
      <c r="BH19" s="70"/>
      <c r="BI19" s="134" t="str">
        <f t="shared" si="10"/>
        <v/>
      </c>
      <c r="BJ19" s="134" t="str">
        <f t="shared" si="20"/>
        <v/>
      </c>
      <c r="BK19" s="185"/>
      <c r="BL19" s="185"/>
      <c r="BM19" s="185"/>
      <c r="BN19" s="185"/>
      <c r="BO19" s="185"/>
      <c r="BP19" s="151"/>
      <c r="BQ19" s="127" t="str">
        <f t="shared" si="21"/>
        <v/>
      </c>
      <c r="BR19" s="12"/>
      <c r="BS19" s="131" t="str">
        <f t="shared" si="22"/>
        <v/>
      </c>
      <c r="BT19" s="149" t="str">
        <f t="shared" si="23"/>
        <v/>
      </c>
    </row>
    <row r="20" spans="2:72" ht="115.5" customHeight="1">
      <c r="B20" s="55" t="str">
        <f>IF(F20="","",B19+1)</f>
        <v/>
      </c>
      <c r="C20" s="56"/>
      <c r="D20" s="56"/>
      <c r="E20" s="56"/>
      <c r="F20" s="56"/>
      <c r="G20" s="56"/>
      <c r="H20" s="57" t="str">
        <f>IF(F20="","",VLOOKUP(F20,Sheet_Master!A:M,13,FALSE))</f>
        <v/>
      </c>
      <c r="I20" s="58" t="str">
        <f>IF(F20="","",VLOOKUP(F20,Sheet_Master!A:N,14,FALSE))</f>
        <v/>
      </c>
      <c r="J20" s="59" t="str">
        <f>IF(F20="","",VLOOKUP(F20,Sheet_Master!A:F,6,FALSE))</f>
        <v/>
      </c>
      <c r="K20" s="59"/>
      <c r="L20" s="59"/>
      <c r="M20" s="59"/>
      <c r="N20" s="60"/>
      <c r="O20" s="56" t="str">
        <f t="shared" si="11"/>
        <v/>
      </c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9" t="str">
        <f t="shared" si="25"/>
        <v/>
      </c>
      <c r="AA20" s="61" t="str">
        <f>IF(F20="","",VLOOKUP(F20,Sheet_Master!A:B,2,FALSE))</f>
        <v/>
      </c>
      <c r="AB20" s="62" t="str">
        <f t="shared" si="28"/>
        <v/>
      </c>
      <c r="AC20" s="59" t="str">
        <f>IF(F20="","",VLOOKUP(F20,Sheet_Master!A:E,5,FALSE))</f>
        <v/>
      </c>
      <c r="AD20" s="59" t="str">
        <f t="shared" si="26"/>
        <v/>
      </c>
      <c r="AE20" s="59" t="str">
        <f t="shared" si="12"/>
        <v/>
      </c>
      <c r="AF20" s="63" t="str">
        <f t="shared" si="13"/>
        <v/>
      </c>
      <c r="AG20" s="64" t="str">
        <f t="shared" si="29"/>
        <v/>
      </c>
      <c r="AH20" s="42" t="str">
        <f t="shared" si="14"/>
        <v/>
      </c>
      <c r="AI20" s="65" t="str">
        <f t="shared" si="27"/>
        <v/>
      </c>
      <c r="AJ20" s="44"/>
      <c r="AK20" s="45"/>
      <c r="AL20" s="46" t="str">
        <f t="shared" si="0"/>
        <v/>
      </c>
      <c r="AM20" s="112" t="str">
        <f t="shared" si="15"/>
        <v/>
      </c>
      <c r="AN20" s="113" t="str">
        <f t="shared" si="16"/>
        <v/>
      </c>
      <c r="AO20" s="113" t="str">
        <f t="shared" si="17"/>
        <v/>
      </c>
      <c r="AP20" s="66"/>
      <c r="AQ20" s="66"/>
      <c r="AR20" s="119" t="str">
        <f t="shared" si="1"/>
        <v/>
      </c>
      <c r="AS20" s="113" t="str">
        <f t="shared" si="2"/>
        <v/>
      </c>
      <c r="AT20" s="113" t="str">
        <f t="shared" si="3"/>
        <v/>
      </c>
      <c r="AU20" s="120" t="str">
        <f t="shared" si="4"/>
        <v/>
      </c>
      <c r="AV20" s="121" t="str">
        <f t="shared" si="18"/>
        <v/>
      </c>
      <c r="AW20" s="121" t="str">
        <f t="shared" si="5"/>
        <v/>
      </c>
      <c r="AX20" s="67"/>
      <c r="AY20" s="67"/>
      <c r="AZ20" s="125" t="str">
        <f t="shared" si="6"/>
        <v/>
      </c>
      <c r="BA20" s="68"/>
      <c r="BB20" s="128" t="str">
        <f t="shared" si="7"/>
        <v/>
      </c>
      <c r="BC20" s="69"/>
      <c r="BD20" s="113" t="str">
        <f t="shared" si="8"/>
        <v/>
      </c>
      <c r="BE20" s="130" t="str">
        <f t="shared" si="19"/>
        <v/>
      </c>
      <c r="BF20" s="66"/>
      <c r="BG20" s="131" t="str">
        <f t="shared" si="9"/>
        <v/>
      </c>
      <c r="BH20" s="70"/>
      <c r="BI20" s="134" t="str">
        <f t="shared" si="10"/>
        <v/>
      </c>
      <c r="BJ20" s="134" t="str">
        <f t="shared" si="20"/>
        <v/>
      </c>
      <c r="BK20" s="185"/>
      <c r="BL20" s="185"/>
      <c r="BM20" s="185"/>
      <c r="BN20" s="185"/>
      <c r="BO20" s="185"/>
      <c r="BP20" s="151"/>
      <c r="BQ20" s="127" t="str">
        <f t="shared" si="21"/>
        <v/>
      </c>
      <c r="BR20" s="148" t="s">
        <v>85</v>
      </c>
      <c r="BS20" s="131" t="str">
        <f t="shared" si="22"/>
        <v/>
      </c>
      <c r="BT20" s="149" t="str">
        <f t="shared" si="23"/>
        <v/>
      </c>
    </row>
    <row r="21" spans="2:72" ht="115.5" customHeight="1">
      <c r="B21" s="55" t="str">
        <f t="shared" si="24"/>
        <v/>
      </c>
      <c r="C21" s="56"/>
      <c r="D21" s="56"/>
      <c r="E21" s="56"/>
      <c r="F21" s="56"/>
      <c r="G21" s="56"/>
      <c r="H21" s="57" t="str">
        <f>IF(F21="","",VLOOKUP(F21,Sheet_Master!A:M,13,FALSE))</f>
        <v/>
      </c>
      <c r="I21" s="58" t="str">
        <f>IF(F21="","",VLOOKUP(F21,Sheet_Master!A:N,14,FALSE))</f>
        <v/>
      </c>
      <c r="J21" s="59" t="str">
        <f>IF(F21="","",VLOOKUP(F21,Sheet_Master!A:F,6,FALSE))</f>
        <v/>
      </c>
      <c r="K21" s="59"/>
      <c r="L21" s="59"/>
      <c r="M21" s="59"/>
      <c r="N21" s="60"/>
      <c r="O21" s="56" t="str">
        <f t="shared" si="11"/>
        <v/>
      </c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9" t="str">
        <f t="shared" si="25"/>
        <v/>
      </c>
      <c r="AA21" s="61" t="str">
        <f>IF(F21="","",VLOOKUP(F21,Sheet_Master!A:B,2,FALSE))</f>
        <v/>
      </c>
      <c r="AB21" s="62" t="str">
        <f t="shared" si="28"/>
        <v/>
      </c>
      <c r="AC21" s="59" t="str">
        <f>IF(F21="","",VLOOKUP(F21,Sheet_Master!A:E,5,FALSE))</f>
        <v/>
      </c>
      <c r="AD21" s="59" t="str">
        <f t="shared" si="26"/>
        <v/>
      </c>
      <c r="AE21" s="59" t="str">
        <f t="shared" si="12"/>
        <v/>
      </c>
      <c r="AF21" s="63" t="str">
        <f t="shared" si="13"/>
        <v/>
      </c>
      <c r="AG21" s="64" t="str">
        <f t="shared" si="29"/>
        <v/>
      </c>
      <c r="AH21" s="42" t="str">
        <f t="shared" si="14"/>
        <v/>
      </c>
      <c r="AI21" s="65" t="str">
        <f t="shared" si="27"/>
        <v/>
      </c>
      <c r="AJ21" s="44"/>
      <c r="AK21" s="45"/>
      <c r="AL21" s="46" t="str">
        <f t="shared" si="0"/>
        <v/>
      </c>
      <c r="AM21" s="112" t="str">
        <f t="shared" si="15"/>
        <v/>
      </c>
      <c r="AN21" s="113" t="str">
        <f t="shared" si="16"/>
        <v/>
      </c>
      <c r="AO21" s="113" t="str">
        <f t="shared" si="17"/>
        <v/>
      </c>
      <c r="AP21" s="66"/>
      <c r="AQ21" s="66"/>
      <c r="AR21" s="119" t="str">
        <f t="shared" si="1"/>
        <v/>
      </c>
      <c r="AS21" s="113" t="str">
        <f t="shared" si="2"/>
        <v/>
      </c>
      <c r="AT21" s="113" t="str">
        <f t="shared" si="3"/>
        <v/>
      </c>
      <c r="AU21" s="120" t="str">
        <f t="shared" si="4"/>
        <v/>
      </c>
      <c r="AV21" s="121" t="str">
        <f t="shared" si="18"/>
        <v/>
      </c>
      <c r="AW21" s="121" t="str">
        <f t="shared" si="5"/>
        <v/>
      </c>
      <c r="AX21" s="67"/>
      <c r="AY21" s="67"/>
      <c r="AZ21" s="125" t="str">
        <f t="shared" si="6"/>
        <v/>
      </c>
      <c r="BA21" s="68"/>
      <c r="BB21" s="128" t="str">
        <f t="shared" si="7"/>
        <v/>
      </c>
      <c r="BC21" s="69"/>
      <c r="BD21" s="113" t="str">
        <f t="shared" si="8"/>
        <v/>
      </c>
      <c r="BE21" s="130" t="str">
        <f t="shared" si="19"/>
        <v/>
      </c>
      <c r="BF21" s="66"/>
      <c r="BG21" s="131" t="str">
        <f t="shared" si="9"/>
        <v/>
      </c>
      <c r="BH21" s="70"/>
      <c r="BI21" s="134" t="str">
        <f t="shared" si="10"/>
        <v/>
      </c>
      <c r="BJ21" s="134" t="str">
        <f t="shared" si="20"/>
        <v/>
      </c>
      <c r="BK21" s="185"/>
      <c r="BL21" s="185"/>
      <c r="BM21" s="185"/>
      <c r="BN21" s="185"/>
      <c r="BO21" s="185"/>
      <c r="BP21" s="151"/>
      <c r="BQ21" s="127" t="str">
        <f t="shared" si="21"/>
        <v/>
      </c>
      <c r="BR21" s="12"/>
      <c r="BS21" s="131" t="str">
        <f t="shared" si="22"/>
        <v/>
      </c>
      <c r="BT21" s="149" t="str">
        <f t="shared" si="23"/>
        <v/>
      </c>
    </row>
    <row r="22" spans="2:72" ht="115.5" customHeight="1">
      <c r="B22" s="55" t="str">
        <f t="shared" si="24"/>
        <v/>
      </c>
      <c r="C22" s="56"/>
      <c r="D22" s="56"/>
      <c r="E22" s="56"/>
      <c r="F22" s="56"/>
      <c r="G22" s="56"/>
      <c r="H22" s="57" t="str">
        <f>IF(F22="","",VLOOKUP(F22,Sheet_Master!A:M,13,FALSE))</f>
        <v/>
      </c>
      <c r="I22" s="58" t="str">
        <f>IF(F22="","",VLOOKUP(F22,Sheet_Master!A:N,14,FALSE))</f>
        <v/>
      </c>
      <c r="J22" s="59" t="str">
        <f>IF(F22="","",VLOOKUP(F22,Sheet_Master!A:F,6,FALSE))</f>
        <v/>
      </c>
      <c r="K22" s="59"/>
      <c r="L22" s="59"/>
      <c r="M22" s="59"/>
      <c r="N22" s="60"/>
      <c r="O22" s="56" t="str">
        <f t="shared" si="11"/>
        <v/>
      </c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9" t="str">
        <f t="shared" si="25"/>
        <v/>
      </c>
      <c r="AA22" s="61" t="str">
        <f>IF(F22="","",VLOOKUP(F22,Sheet_Master!A:B,2,FALSE))</f>
        <v/>
      </c>
      <c r="AB22" s="62" t="str">
        <f t="shared" si="28"/>
        <v/>
      </c>
      <c r="AC22" s="59" t="str">
        <f>IF(F22="","",VLOOKUP(F22,Sheet_Master!A:E,5,FALSE))</f>
        <v/>
      </c>
      <c r="AD22" s="59" t="str">
        <f t="shared" si="26"/>
        <v/>
      </c>
      <c r="AE22" s="59" t="str">
        <f t="shared" si="12"/>
        <v/>
      </c>
      <c r="AF22" s="63" t="str">
        <f t="shared" si="13"/>
        <v/>
      </c>
      <c r="AG22" s="64" t="str">
        <f t="shared" si="29"/>
        <v/>
      </c>
      <c r="AH22" s="42" t="str">
        <f t="shared" si="14"/>
        <v/>
      </c>
      <c r="AI22" s="65" t="str">
        <f t="shared" si="27"/>
        <v/>
      </c>
      <c r="AJ22" s="44"/>
      <c r="AK22" s="45"/>
      <c r="AL22" s="46" t="str">
        <f t="shared" si="0"/>
        <v/>
      </c>
      <c r="AM22" s="112" t="str">
        <f t="shared" si="15"/>
        <v/>
      </c>
      <c r="AN22" s="113" t="str">
        <f t="shared" si="16"/>
        <v/>
      </c>
      <c r="AO22" s="113" t="str">
        <f t="shared" si="17"/>
        <v/>
      </c>
      <c r="AP22" s="66"/>
      <c r="AQ22" s="66"/>
      <c r="AR22" s="119" t="str">
        <f t="shared" si="1"/>
        <v/>
      </c>
      <c r="AS22" s="113" t="str">
        <f t="shared" si="2"/>
        <v/>
      </c>
      <c r="AT22" s="113" t="str">
        <f t="shared" si="3"/>
        <v/>
      </c>
      <c r="AU22" s="120" t="str">
        <f t="shared" si="4"/>
        <v/>
      </c>
      <c r="AV22" s="121" t="str">
        <f t="shared" si="18"/>
        <v/>
      </c>
      <c r="AW22" s="121" t="str">
        <f t="shared" si="5"/>
        <v/>
      </c>
      <c r="AX22" s="67"/>
      <c r="AY22" s="67"/>
      <c r="AZ22" s="125" t="str">
        <f t="shared" si="6"/>
        <v/>
      </c>
      <c r="BA22" s="68"/>
      <c r="BB22" s="128" t="str">
        <f t="shared" si="7"/>
        <v/>
      </c>
      <c r="BC22" s="69"/>
      <c r="BD22" s="113" t="str">
        <f t="shared" si="8"/>
        <v/>
      </c>
      <c r="BE22" s="130" t="str">
        <f t="shared" si="19"/>
        <v/>
      </c>
      <c r="BF22" s="66"/>
      <c r="BG22" s="131" t="str">
        <f t="shared" si="9"/>
        <v/>
      </c>
      <c r="BH22" s="70"/>
      <c r="BI22" s="134" t="str">
        <f t="shared" si="10"/>
        <v/>
      </c>
      <c r="BJ22" s="134" t="str">
        <f t="shared" si="20"/>
        <v/>
      </c>
      <c r="BK22" s="185"/>
      <c r="BL22" s="185"/>
      <c r="BM22" s="185"/>
      <c r="BN22" s="185"/>
      <c r="BO22" s="185"/>
      <c r="BP22" s="151"/>
      <c r="BQ22" s="127" t="str">
        <f t="shared" si="21"/>
        <v/>
      </c>
      <c r="BR22" s="178"/>
      <c r="BS22" s="131" t="str">
        <f t="shared" si="22"/>
        <v/>
      </c>
      <c r="BT22" s="149" t="str">
        <f t="shared" si="23"/>
        <v/>
      </c>
    </row>
    <row r="23" spans="2:72" ht="115.5" customHeight="1">
      <c r="B23" s="55" t="str">
        <f t="shared" si="24"/>
        <v/>
      </c>
      <c r="C23" s="56"/>
      <c r="D23" s="56"/>
      <c r="E23" s="56"/>
      <c r="F23" s="56"/>
      <c r="G23" s="56"/>
      <c r="H23" s="57" t="str">
        <f>IF(F23="","",VLOOKUP(F23,Sheet_Master!A:M,13,FALSE))</f>
        <v/>
      </c>
      <c r="I23" s="58" t="str">
        <f>IF(F23="","",VLOOKUP(F23,Sheet_Master!A:N,14,FALSE))</f>
        <v/>
      </c>
      <c r="J23" s="59" t="str">
        <f>IF(F23="","",VLOOKUP(F23,Sheet_Master!A:F,6,FALSE))</f>
        <v/>
      </c>
      <c r="K23" s="59"/>
      <c r="L23" s="59"/>
      <c r="M23" s="59"/>
      <c r="N23" s="60"/>
      <c r="O23" s="56" t="str">
        <f t="shared" si="11"/>
        <v/>
      </c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9" t="str">
        <f t="shared" si="25"/>
        <v/>
      </c>
      <c r="AA23" s="61" t="str">
        <f>IF(F23="","",VLOOKUP(F23,Sheet_Master!A:B,2,FALSE))</f>
        <v/>
      </c>
      <c r="AB23" s="62" t="str">
        <f t="shared" si="28"/>
        <v/>
      </c>
      <c r="AC23" s="59" t="str">
        <f>IF(F23="","",VLOOKUP(F23,Sheet_Master!A:E,5,FALSE))</f>
        <v/>
      </c>
      <c r="AD23" s="59" t="str">
        <f t="shared" si="26"/>
        <v/>
      </c>
      <c r="AE23" s="59" t="str">
        <f t="shared" si="12"/>
        <v/>
      </c>
      <c r="AF23" s="63" t="str">
        <f t="shared" si="13"/>
        <v/>
      </c>
      <c r="AG23" s="64" t="str">
        <f t="shared" si="29"/>
        <v/>
      </c>
      <c r="AH23" s="42" t="str">
        <f t="shared" si="14"/>
        <v/>
      </c>
      <c r="AI23" s="65" t="str">
        <f t="shared" si="27"/>
        <v/>
      </c>
      <c r="AJ23" s="44"/>
      <c r="AK23" s="45"/>
      <c r="AL23" s="46" t="str">
        <f t="shared" si="0"/>
        <v/>
      </c>
      <c r="AM23" s="112" t="str">
        <f t="shared" si="15"/>
        <v/>
      </c>
      <c r="AN23" s="113" t="str">
        <f t="shared" si="16"/>
        <v/>
      </c>
      <c r="AO23" s="113" t="str">
        <f t="shared" si="17"/>
        <v/>
      </c>
      <c r="AP23" s="66"/>
      <c r="AQ23" s="66"/>
      <c r="AR23" s="119" t="str">
        <f t="shared" si="1"/>
        <v/>
      </c>
      <c r="AS23" s="113" t="str">
        <f t="shared" si="2"/>
        <v/>
      </c>
      <c r="AT23" s="113" t="str">
        <f t="shared" si="3"/>
        <v/>
      </c>
      <c r="AU23" s="120" t="str">
        <f t="shared" si="4"/>
        <v/>
      </c>
      <c r="AV23" s="121" t="str">
        <f t="shared" si="18"/>
        <v/>
      </c>
      <c r="AW23" s="121" t="str">
        <f t="shared" si="5"/>
        <v/>
      </c>
      <c r="AX23" s="67"/>
      <c r="AY23" s="67"/>
      <c r="AZ23" s="125" t="str">
        <f t="shared" si="6"/>
        <v/>
      </c>
      <c r="BA23" s="68"/>
      <c r="BB23" s="128" t="str">
        <f t="shared" si="7"/>
        <v/>
      </c>
      <c r="BC23" s="69"/>
      <c r="BD23" s="113" t="str">
        <f t="shared" si="8"/>
        <v/>
      </c>
      <c r="BE23" s="130" t="str">
        <f t="shared" si="19"/>
        <v/>
      </c>
      <c r="BF23" s="66"/>
      <c r="BG23" s="131" t="str">
        <f t="shared" si="9"/>
        <v/>
      </c>
      <c r="BH23" s="70"/>
      <c r="BI23" s="134" t="str">
        <f t="shared" si="10"/>
        <v/>
      </c>
      <c r="BJ23" s="134" t="str">
        <f t="shared" si="20"/>
        <v/>
      </c>
      <c r="BK23" s="185"/>
      <c r="BL23" s="185"/>
      <c r="BM23" s="185"/>
      <c r="BN23" s="185"/>
      <c r="BO23" s="185"/>
      <c r="BP23" s="151"/>
      <c r="BQ23" s="127" t="str">
        <f t="shared" si="21"/>
        <v/>
      </c>
      <c r="BR23" s="179"/>
      <c r="BS23" s="131" t="str">
        <f t="shared" si="22"/>
        <v/>
      </c>
      <c r="BT23" s="149" t="str">
        <f t="shared" si="23"/>
        <v/>
      </c>
    </row>
    <row r="24" spans="2:72" ht="115.5" customHeight="1">
      <c r="B24" s="55" t="str">
        <f t="shared" si="24"/>
        <v/>
      </c>
      <c r="C24" s="56"/>
      <c r="D24" s="56"/>
      <c r="E24" s="56"/>
      <c r="F24" s="56"/>
      <c r="G24" s="56"/>
      <c r="H24" s="57" t="str">
        <f>IF(F24="","",VLOOKUP(F24,Sheet_Master!A:M,13,FALSE))</f>
        <v/>
      </c>
      <c r="I24" s="58" t="str">
        <f>IF(F24="","",VLOOKUP(F24,Sheet_Master!A:N,14,FALSE))</f>
        <v/>
      </c>
      <c r="J24" s="59" t="str">
        <f>IF(F24="","",VLOOKUP(F24,Sheet_Master!A:F,6,FALSE))</f>
        <v/>
      </c>
      <c r="K24" s="59"/>
      <c r="L24" s="59"/>
      <c r="M24" s="59"/>
      <c r="N24" s="60"/>
      <c r="O24" s="56" t="str">
        <f t="shared" si="11"/>
        <v/>
      </c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9" t="str">
        <f t="shared" si="25"/>
        <v/>
      </c>
      <c r="AA24" s="61" t="str">
        <f>IF(F24="","",VLOOKUP(F24,Sheet_Master!A:B,2,FALSE))</f>
        <v/>
      </c>
      <c r="AB24" s="62" t="str">
        <f t="shared" si="28"/>
        <v/>
      </c>
      <c r="AC24" s="59" t="str">
        <f>IF(F24="","",VLOOKUP(F24,Sheet_Master!A:E,5,FALSE))</f>
        <v/>
      </c>
      <c r="AD24" s="59" t="str">
        <f t="shared" si="26"/>
        <v/>
      </c>
      <c r="AE24" s="59" t="str">
        <f t="shared" si="12"/>
        <v/>
      </c>
      <c r="AF24" s="63" t="str">
        <f t="shared" si="13"/>
        <v/>
      </c>
      <c r="AG24" s="64" t="str">
        <f t="shared" si="29"/>
        <v/>
      </c>
      <c r="AH24" s="42" t="str">
        <f t="shared" si="14"/>
        <v/>
      </c>
      <c r="AI24" s="65" t="str">
        <f t="shared" si="27"/>
        <v/>
      </c>
      <c r="AJ24" s="44"/>
      <c r="AK24" s="45"/>
      <c r="AL24" s="46" t="str">
        <f t="shared" si="0"/>
        <v/>
      </c>
      <c r="AM24" s="112" t="str">
        <f t="shared" si="15"/>
        <v/>
      </c>
      <c r="AN24" s="113" t="str">
        <f t="shared" si="16"/>
        <v/>
      </c>
      <c r="AO24" s="113" t="str">
        <f t="shared" si="17"/>
        <v/>
      </c>
      <c r="AP24" s="66"/>
      <c r="AQ24" s="66"/>
      <c r="AR24" s="119" t="str">
        <f t="shared" si="1"/>
        <v/>
      </c>
      <c r="AS24" s="113" t="str">
        <f t="shared" si="2"/>
        <v/>
      </c>
      <c r="AT24" s="113" t="str">
        <f t="shared" si="3"/>
        <v/>
      </c>
      <c r="AU24" s="120" t="str">
        <f t="shared" si="4"/>
        <v/>
      </c>
      <c r="AV24" s="121" t="str">
        <f t="shared" si="18"/>
        <v/>
      </c>
      <c r="AW24" s="121" t="str">
        <f t="shared" si="5"/>
        <v/>
      </c>
      <c r="AX24" s="67"/>
      <c r="AY24" s="67"/>
      <c r="AZ24" s="125" t="str">
        <f t="shared" si="6"/>
        <v/>
      </c>
      <c r="BA24" s="68"/>
      <c r="BB24" s="128" t="str">
        <f t="shared" si="7"/>
        <v/>
      </c>
      <c r="BC24" s="69"/>
      <c r="BD24" s="113" t="str">
        <f t="shared" si="8"/>
        <v/>
      </c>
      <c r="BE24" s="130" t="str">
        <f t="shared" si="19"/>
        <v/>
      </c>
      <c r="BF24" s="66"/>
      <c r="BG24" s="131" t="str">
        <f t="shared" si="9"/>
        <v/>
      </c>
      <c r="BH24" s="70"/>
      <c r="BI24" s="134" t="str">
        <f t="shared" si="10"/>
        <v/>
      </c>
      <c r="BJ24" s="134" t="str">
        <f t="shared" si="20"/>
        <v/>
      </c>
      <c r="BK24" s="185"/>
      <c r="BL24" s="185"/>
      <c r="BM24" s="185"/>
      <c r="BN24" s="185"/>
      <c r="BO24" s="185"/>
      <c r="BP24" s="151"/>
      <c r="BQ24" s="127" t="str">
        <f t="shared" si="21"/>
        <v/>
      </c>
      <c r="BR24" s="179"/>
      <c r="BS24" s="131" t="str">
        <f t="shared" si="22"/>
        <v/>
      </c>
      <c r="BT24" s="149" t="str">
        <f t="shared" si="23"/>
        <v/>
      </c>
    </row>
    <row r="25" spans="2:72" ht="115.5" customHeight="1">
      <c r="B25" s="55" t="str">
        <f t="shared" si="24"/>
        <v/>
      </c>
      <c r="C25" s="56"/>
      <c r="D25" s="56"/>
      <c r="E25" s="56"/>
      <c r="F25" s="56"/>
      <c r="G25" s="56"/>
      <c r="H25" s="57" t="str">
        <f>IF(F25="","",VLOOKUP(F25,Sheet_Master!A:M,13,FALSE))</f>
        <v/>
      </c>
      <c r="I25" s="58" t="str">
        <f>IF(F25="","",VLOOKUP(F25,Sheet_Master!A:N,14,FALSE))</f>
        <v/>
      </c>
      <c r="J25" s="59" t="str">
        <f>IF(F25="","",VLOOKUP(F25,Sheet_Master!A:F,6,FALSE))</f>
        <v/>
      </c>
      <c r="K25" s="59"/>
      <c r="L25" s="59"/>
      <c r="M25" s="59"/>
      <c r="N25" s="60"/>
      <c r="O25" s="56" t="str">
        <f t="shared" si="11"/>
        <v/>
      </c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9" t="str">
        <f t="shared" si="25"/>
        <v/>
      </c>
      <c r="AA25" s="61" t="str">
        <f>IF(F25="","",VLOOKUP(F25,Sheet_Master!A:B,2,FALSE))</f>
        <v/>
      </c>
      <c r="AB25" s="62" t="str">
        <f t="shared" si="28"/>
        <v/>
      </c>
      <c r="AC25" s="59" t="str">
        <f>IF(F25="","",VLOOKUP(F25,Sheet_Master!A:E,5,FALSE))</f>
        <v/>
      </c>
      <c r="AD25" s="59" t="str">
        <f t="shared" si="26"/>
        <v/>
      </c>
      <c r="AE25" s="59" t="str">
        <f t="shared" si="12"/>
        <v/>
      </c>
      <c r="AF25" s="63" t="str">
        <f t="shared" si="13"/>
        <v/>
      </c>
      <c r="AG25" s="64" t="str">
        <f t="shared" si="29"/>
        <v/>
      </c>
      <c r="AH25" s="42" t="str">
        <f t="shared" si="14"/>
        <v/>
      </c>
      <c r="AI25" s="65" t="str">
        <f t="shared" si="27"/>
        <v/>
      </c>
      <c r="AJ25" s="44"/>
      <c r="AK25" s="45"/>
      <c r="AL25" s="46" t="str">
        <f t="shared" si="0"/>
        <v/>
      </c>
      <c r="AM25" s="112" t="str">
        <f t="shared" si="15"/>
        <v/>
      </c>
      <c r="AN25" s="113" t="str">
        <f t="shared" si="16"/>
        <v/>
      </c>
      <c r="AO25" s="113" t="str">
        <f t="shared" si="17"/>
        <v/>
      </c>
      <c r="AP25" s="66"/>
      <c r="AQ25" s="66"/>
      <c r="AR25" s="119" t="str">
        <f t="shared" si="1"/>
        <v/>
      </c>
      <c r="AS25" s="113" t="str">
        <f t="shared" si="2"/>
        <v/>
      </c>
      <c r="AT25" s="113" t="str">
        <f t="shared" si="3"/>
        <v/>
      </c>
      <c r="AU25" s="120" t="str">
        <f t="shared" si="4"/>
        <v/>
      </c>
      <c r="AV25" s="121" t="str">
        <f t="shared" si="18"/>
        <v/>
      </c>
      <c r="AW25" s="121" t="str">
        <f t="shared" si="5"/>
        <v/>
      </c>
      <c r="AX25" s="67"/>
      <c r="AY25" s="67"/>
      <c r="AZ25" s="125" t="str">
        <f t="shared" si="6"/>
        <v/>
      </c>
      <c r="BA25" s="68"/>
      <c r="BB25" s="128" t="str">
        <f t="shared" si="7"/>
        <v/>
      </c>
      <c r="BC25" s="69"/>
      <c r="BD25" s="113" t="str">
        <f t="shared" si="8"/>
        <v/>
      </c>
      <c r="BE25" s="130" t="str">
        <f t="shared" si="19"/>
        <v/>
      </c>
      <c r="BF25" s="66"/>
      <c r="BG25" s="131" t="str">
        <f t="shared" si="9"/>
        <v/>
      </c>
      <c r="BH25" s="70"/>
      <c r="BI25" s="134" t="str">
        <f t="shared" si="10"/>
        <v/>
      </c>
      <c r="BJ25" s="134" t="str">
        <f t="shared" si="20"/>
        <v/>
      </c>
      <c r="BK25" s="185"/>
      <c r="BL25" s="185"/>
      <c r="BM25" s="185"/>
      <c r="BN25" s="185"/>
      <c r="BO25" s="185"/>
      <c r="BP25" s="151"/>
      <c r="BQ25" s="127" t="str">
        <f t="shared" si="21"/>
        <v/>
      </c>
      <c r="BR25" s="179"/>
      <c r="BS25" s="131" t="str">
        <f t="shared" si="22"/>
        <v/>
      </c>
      <c r="BT25" s="149" t="str">
        <f t="shared" si="23"/>
        <v/>
      </c>
    </row>
    <row r="26" spans="2:72" ht="115.5" customHeight="1">
      <c r="B26" s="55" t="str">
        <f t="shared" si="24"/>
        <v/>
      </c>
      <c r="C26" s="56"/>
      <c r="D26" s="56"/>
      <c r="E26" s="56"/>
      <c r="F26" s="56"/>
      <c r="G26" s="56"/>
      <c r="H26" s="57" t="str">
        <f>IF(F26="","",VLOOKUP(F26,Sheet_Master!A:M,13,FALSE))</f>
        <v/>
      </c>
      <c r="I26" s="58" t="str">
        <f>IF(F26="","",VLOOKUP(F26,Sheet_Master!A:N,14,FALSE))</f>
        <v/>
      </c>
      <c r="J26" s="59" t="str">
        <f>IF(F26="","",VLOOKUP(F26,Sheet_Master!A:F,6,FALSE))</f>
        <v/>
      </c>
      <c r="K26" s="59"/>
      <c r="L26" s="59"/>
      <c r="M26" s="59"/>
      <c r="N26" s="60"/>
      <c r="O26" s="56" t="str">
        <f t="shared" si="11"/>
        <v/>
      </c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9" t="str">
        <f t="shared" si="25"/>
        <v/>
      </c>
      <c r="AA26" s="61" t="str">
        <f>IF(F26="","",VLOOKUP(F26,Sheet_Master!A:B,2,FALSE))</f>
        <v/>
      </c>
      <c r="AB26" s="62" t="str">
        <f t="shared" si="28"/>
        <v/>
      </c>
      <c r="AC26" s="59" t="str">
        <f>IF(F26="","",VLOOKUP(F26,Sheet_Master!A:E,5,FALSE))</f>
        <v/>
      </c>
      <c r="AD26" s="59" t="str">
        <f t="shared" si="26"/>
        <v/>
      </c>
      <c r="AE26" s="59" t="str">
        <f t="shared" si="12"/>
        <v/>
      </c>
      <c r="AF26" s="63" t="str">
        <f t="shared" si="13"/>
        <v/>
      </c>
      <c r="AG26" s="64" t="str">
        <f t="shared" si="29"/>
        <v/>
      </c>
      <c r="AH26" s="42" t="str">
        <f t="shared" si="14"/>
        <v/>
      </c>
      <c r="AI26" s="65" t="str">
        <f t="shared" si="27"/>
        <v/>
      </c>
      <c r="AJ26" s="44"/>
      <c r="AK26" s="45"/>
      <c r="AL26" s="46" t="str">
        <f t="shared" si="0"/>
        <v/>
      </c>
      <c r="AM26" s="112" t="str">
        <f t="shared" si="15"/>
        <v/>
      </c>
      <c r="AN26" s="113" t="str">
        <f t="shared" si="16"/>
        <v/>
      </c>
      <c r="AO26" s="113" t="str">
        <f t="shared" si="17"/>
        <v/>
      </c>
      <c r="AP26" s="66"/>
      <c r="AQ26" s="66"/>
      <c r="AR26" s="119" t="str">
        <f t="shared" si="1"/>
        <v/>
      </c>
      <c r="AS26" s="113" t="str">
        <f t="shared" si="2"/>
        <v/>
      </c>
      <c r="AT26" s="113" t="str">
        <f t="shared" si="3"/>
        <v/>
      </c>
      <c r="AU26" s="120" t="str">
        <f t="shared" si="4"/>
        <v/>
      </c>
      <c r="AV26" s="121" t="str">
        <f t="shared" si="18"/>
        <v/>
      </c>
      <c r="AW26" s="121" t="str">
        <f t="shared" si="5"/>
        <v/>
      </c>
      <c r="AX26" s="67"/>
      <c r="AY26" s="67"/>
      <c r="AZ26" s="125" t="str">
        <f t="shared" si="6"/>
        <v/>
      </c>
      <c r="BA26" s="68"/>
      <c r="BB26" s="128" t="str">
        <f t="shared" si="7"/>
        <v/>
      </c>
      <c r="BC26" s="69"/>
      <c r="BD26" s="113" t="str">
        <f t="shared" si="8"/>
        <v/>
      </c>
      <c r="BE26" s="130" t="str">
        <f t="shared" si="19"/>
        <v/>
      </c>
      <c r="BF26" s="66"/>
      <c r="BG26" s="131" t="str">
        <f t="shared" si="9"/>
        <v/>
      </c>
      <c r="BH26" s="70"/>
      <c r="BI26" s="134" t="str">
        <f t="shared" si="10"/>
        <v/>
      </c>
      <c r="BJ26" s="134" t="str">
        <f t="shared" si="20"/>
        <v/>
      </c>
      <c r="BK26" s="185"/>
      <c r="BL26" s="185"/>
      <c r="BM26" s="185"/>
      <c r="BN26" s="185"/>
      <c r="BO26" s="185"/>
      <c r="BP26" s="151"/>
      <c r="BQ26" s="127" t="str">
        <f t="shared" si="21"/>
        <v/>
      </c>
      <c r="BR26" s="179"/>
      <c r="BS26" s="131" t="str">
        <f t="shared" si="22"/>
        <v/>
      </c>
      <c r="BT26" s="149" t="str">
        <f t="shared" si="23"/>
        <v/>
      </c>
    </row>
    <row r="27" spans="2:72" ht="115.5" customHeight="1">
      <c r="B27" s="55" t="str">
        <f t="shared" si="24"/>
        <v/>
      </c>
      <c r="C27" s="56"/>
      <c r="D27" s="56"/>
      <c r="E27" s="56"/>
      <c r="F27" s="56"/>
      <c r="G27" s="56"/>
      <c r="H27" s="57" t="str">
        <f>IF(F27="","",VLOOKUP(F27,Sheet_Master!A:M,13,FALSE))</f>
        <v/>
      </c>
      <c r="I27" s="58" t="str">
        <f>IF(F27="","",VLOOKUP(F27,Sheet_Master!A:N,14,FALSE))</f>
        <v/>
      </c>
      <c r="J27" s="59" t="str">
        <f>IF(F27="","",VLOOKUP(F27,Sheet_Master!A:F,6,FALSE))</f>
        <v/>
      </c>
      <c r="K27" s="59"/>
      <c r="L27" s="59"/>
      <c r="M27" s="59"/>
      <c r="N27" s="60"/>
      <c r="O27" s="56" t="str">
        <f t="shared" si="11"/>
        <v/>
      </c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9" t="str">
        <f t="shared" si="25"/>
        <v/>
      </c>
      <c r="AA27" s="61" t="str">
        <f>IF(F27="","",VLOOKUP(F27,Sheet_Master!A:B,2,FALSE))</f>
        <v/>
      </c>
      <c r="AB27" s="62" t="str">
        <f t="shared" si="28"/>
        <v/>
      </c>
      <c r="AC27" s="59" t="str">
        <f>IF(F27="","",VLOOKUP(F27,Sheet_Master!A:E,5,FALSE))</f>
        <v/>
      </c>
      <c r="AD27" s="59" t="str">
        <f t="shared" si="26"/>
        <v/>
      </c>
      <c r="AE27" s="59" t="str">
        <f t="shared" si="12"/>
        <v/>
      </c>
      <c r="AF27" s="63" t="str">
        <f t="shared" si="13"/>
        <v/>
      </c>
      <c r="AG27" s="64" t="str">
        <f t="shared" si="29"/>
        <v/>
      </c>
      <c r="AH27" s="42" t="str">
        <f t="shared" si="14"/>
        <v/>
      </c>
      <c r="AI27" s="65" t="str">
        <f t="shared" si="27"/>
        <v/>
      </c>
      <c r="AJ27" s="44"/>
      <c r="AK27" s="45"/>
      <c r="AL27" s="46" t="str">
        <f t="shared" si="0"/>
        <v/>
      </c>
      <c r="AM27" s="112" t="str">
        <f t="shared" si="15"/>
        <v/>
      </c>
      <c r="AN27" s="113" t="str">
        <f t="shared" si="16"/>
        <v/>
      </c>
      <c r="AO27" s="113" t="str">
        <f t="shared" si="17"/>
        <v/>
      </c>
      <c r="AP27" s="66"/>
      <c r="AQ27" s="66"/>
      <c r="AR27" s="119" t="str">
        <f t="shared" si="1"/>
        <v/>
      </c>
      <c r="AS27" s="113" t="str">
        <f t="shared" si="2"/>
        <v/>
      </c>
      <c r="AT27" s="113" t="str">
        <f t="shared" si="3"/>
        <v/>
      </c>
      <c r="AU27" s="120" t="str">
        <f t="shared" si="4"/>
        <v/>
      </c>
      <c r="AV27" s="121" t="str">
        <f t="shared" si="18"/>
        <v/>
      </c>
      <c r="AW27" s="121" t="str">
        <f t="shared" si="5"/>
        <v/>
      </c>
      <c r="AX27" s="67"/>
      <c r="AY27" s="67"/>
      <c r="AZ27" s="125" t="str">
        <f t="shared" si="6"/>
        <v/>
      </c>
      <c r="BA27" s="68"/>
      <c r="BB27" s="128" t="str">
        <f t="shared" si="7"/>
        <v/>
      </c>
      <c r="BC27" s="69"/>
      <c r="BD27" s="113" t="str">
        <f t="shared" si="8"/>
        <v/>
      </c>
      <c r="BE27" s="130" t="str">
        <f t="shared" si="19"/>
        <v/>
      </c>
      <c r="BF27" s="66"/>
      <c r="BG27" s="131" t="str">
        <f t="shared" si="9"/>
        <v/>
      </c>
      <c r="BH27" s="70"/>
      <c r="BI27" s="134" t="str">
        <f t="shared" si="10"/>
        <v/>
      </c>
      <c r="BJ27" s="134" t="str">
        <f t="shared" si="20"/>
        <v/>
      </c>
      <c r="BK27" s="185"/>
      <c r="BL27" s="185"/>
      <c r="BM27" s="185"/>
      <c r="BN27" s="185"/>
      <c r="BO27" s="185"/>
      <c r="BP27" s="151"/>
      <c r="BQ27" s="127" t="str">
        <f t="shared" si="21"/>
        <v/>
      </c>
      <c r="BR27" s="179"/>
      <c r="BS27" s="131" t="str">
        <f t="shared" si="22"/>
        <v/>
      </c>
      <c r="BT27" s="149" t="str">
        <f t="shared" si="23"/>
        <v/>
      </c>
    </row>
    <row r="28" spans="2:72" ht="115.5" customHeight="1">
      <c r="B28" s="55" t="str">
        <f t="shared" si="24"/>
        <v/>
      </c>
      <c r="C28" s="56"/>
      <c r="D28" s="56"/>
      <c r="E28" s="56"/>
      <c r="F28" s="56"/>
      <c r="G28" s="56"/>
      <c r="H28" s="57" t="str">
        <f>IF(F28="","",VLOOKUP(F28,Sheet_Master!A:M,13,FALSE))</f>
        <v/>
      </c>
      <c r="I28" s="58" t="str">
        <f>IF(F28="","",VLOOKUP(F28,Sheet_Master!A:N,14,FALSE))</f>
        <v/>
      </c>
      <c r="J28" s="59" t="str">
        <f>IF(F28="","",VLOOKUP(F28,Sheet_Master!A:F,6,FALSE))</f>
        <v/>
      </c>
      <c r="K28" s="59"/>
      <c r="L28" s="59"/>
      <c r="M28" s="59"/>
      <c r="N28" s="60"/>
      <c r="O28" s="56" t="str">
        <f t="shared" si="11"/>
        <v/>
      </c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9" t="str">
        <f t="shared" si="25"/>
        <v/>
      </c>
      <c r="AA28" s="61" t="str">
        <f>IF(F28="","",VLOOKUP(F28,Sheet_Master!A:B,2,FALSE))</f>
        <v/>
      </c>
      <c r="AB28" s="62" t="str">
        <f t="shared" si="28"/>
        <v/>
      </c>
      <c r="AC28" s="59" t="str">
        <f>IF(F28="","",VLOOKUP(F28,Sheet_Master!A:E,5,FALSE))</f>
        <v/>
      </c>
      <c r="AD28" s="59" t="str">
        <f t="shared" si="26"/>
        <v/>
      </c>
      <c r="AE28" s="59" t="str">
        <f t="shared" si="12"/>
        <v/>
      </c>
      <c r="AF28" s="63" t="str">
        <f t="shared" si="13"/>
        <v/>
      </c>
      <c r="AG28" s="64" t="str">
        <f t="shared" si="29"/>
        <v/>
      </c>
      <c r="AH28" s="42" t="str">
        <f t="shared" si="14"/>
        <v/>
      </c>
      <c r="AI28" s="65" t="str">
        <f t="shared" si="27"/>
        <v/>
      </c>
      <c r="AJ28" s="44"/>
      <c r="AK28" s="45"/>
      <c r="AL28" s="46" t="str">
        <f t="shared" si="0"/>
        <v/>
      </c>
      <c r="AM28" s="112" t="str">
        <f t="shared" si="15"/>
        <v/>
      </c>
      <c r="AN28" s="113" t="str">
        <f t="shared" si="16"/>
        <v/>
      </c>
      <c r="AO28" s="113" t="str">
        <f t="shared" si="17"/>
        <v/>
      </c>
      <c r="AP28" s="66"/>
      <c r="AQ28" s="66"/>
      <c r="AR28" s="119" t="str">
        <f t="shared" si="1"/>
        <v/>
      </c>
      <c r="AS28" s="113" t="str">
        <f t="shared" si="2"/>
        <v/>
      </c>
      <c r="AT28" s="113" t="str">
        <f t="shared" si="3"/>
        <v/>
      </c>
      <c r="AU28" s="120" t="str">
        <f t="shared" si="4"/>
        <v/>
      </c>
      <c r="AV28" s="121" t="str">
        <f t="shared" si="18"/>
        <v/>
      </c>
      <c r="AW28" s="121" t="str">
        <f t="shared" si="5"/>
        <v/>
      </c>
      <c r="AX28" s="67"/>
      <c r="AY28" s="67"/>
      <c r="AZ28" s="125" t="str">
        <f t="shared" si="6"/>
        <v/>
      </c>
      <c r="BA28" s="68"/>
      <c r="BB28" s="128" t="str">
        <f t="shared" si="7"/>
        <v/>
      </c>
      <c r="BC28" s="69"/>
      <c r="BD28" s="113" t="str">
        <f t="shared" si="8"/>
        <v/>
      </c>
      <c r="BE28" s="130" t="str">
        <f t="shared" si="19"/>
        <v/>
      </c>
      <c r="BF28" s="66"/>
      <c r="BG28" s="131" t="str">
        <f t="shared" si="9"/>
        <v/>
      </c>
      <c r="BH28" s="70"/>
      <c r="BI28" s="134" t="str">
        <f t="shared" si="10"/>
        <v/>
      </c>
      <c r="BJ28" s="134" t="str">
        <f t="shared" si="20"/>
        <v/>
      </c>
      <c r="BK28" s="185"/>
      <c r="BL28" s="185"/>
      <c r="BM28" s="185"/>
      <c r="BN28" s="185"/>
      <c r="BO28" s="185"/>
      <c r="BP28" s="151"/>
      <c r="BQ28" s="127" t="str">
        <f t="shared" si="21"/>
        <v/>
      </c>
      <c r="BR28" s="179"/>
      <c r="BS28" s="131" t="str">
        <f t="shared" si="22"/>
        <v/>
      </c>
      <c r="BT28" s="149" t="str">
        <f t="shared" si="23"/>
        <v/>
      </c>
    </row>
    <row r="29" spans="2:72" ht="115.5" customHeight="1" thickBot="1">
      <c r="B29" s="76" t="str">
        <f t="shared" si="24"/>
        <v/>
      </c>
      <c r="C29" s="77"/>
      <c r="D29" s="77" t="str">
        <f>BG29</f>
        <v/>
      </c>
      <c r="E29" s="77"/>
      <c r="F29" s="77"/>
      <c r="G29" s="77"/>
      <c r="H29" s="78" t="str">
        <f>IF(F29="","",VLOOKUP(F29,Sheet_Master!A:M,13,FALSE))</f>
        <v/>
      </c>
      <c r="I29" s="79" t="str">
        <f>IF(F29="","",VLOOKUP(F29,Sheet_Master!A:N,14,FALSE))</f>
        <v/>
      </c>
      <c r="J29" s="49" t="str">
        <f>IF(F29="","",VLOOKUP(F29,Sheet_Master!A:F,6,FALSE))</f>
        <v/>
      </c>
      <c r="K29" s="80"/>
      <c r="L29" s="80"/>
      <c r="M29" s="80"/>
      <c r="N29" s="81"/>
      <c r="O29" s="82" t="str">
        <f t="shared" si="11"/>
        <v/>
      </c>
      <c r="P29" s="82"/>
      <c r="Q29" s="82"/>
      <c r="R29" s="82"/>
      <c r="S29" s="82"/>
      <c r="T29" s="82"/>
      <c r="U29" s="82"/>
      <c r="V29" s="82"/>
      <c r="W29" s="82"/>
      <c r="X29" s="82"/>
      <c r="Y29" s="82"/>
      <c r="Z29" s="49" t="str">
        <f t="shared" si="25"/>
        <v/>
      </c>
      <c r="AA29" s="83" t="str">
        <f>IF(F29="","",VLOOKUP(F29,Sheet_Master!A:B,2,FALSE))</f>
        <v/>
      </c>
      <c r="AB29" s="84" t="str">
        <f t="shared" si="28"/>
        <v/>
      </c>
      <c r="AC29" s="80" t="str">
        <f>IF(F29="","",VLOOKUP(F29,Sheet_Master!A:E,5,FALSE))</f>
        <v/>
      </c>
      <c r="AD29" s="49" t="str">
        <f t="shared" si="26"/>
        <v/>
      </c>
      <c r="AE29" s="49" t="str">
        <f t="shared" si="12"/>
        <v/>
      </c>
      <c r="AF29" s="49" t="str">
        <f t="shared" si="13"/>
        <v/>
      </c>
      <c r="AG29" s="85" t="str">
        <f t="shared" si="29"/>
        <v/>
      </c>
      <c r="AH29" s="42" t="str">
        <f t="shared" si="14"/>
        <v/>
      </c>
      <c r="AI29" s="86" t="str">
        <f t="shared" si="27"/>
        <v/>
      </c>
      <c r="AJ29" s="44"/>
      <c r="AK29" s="45"/>
      <c r="AL29" s="46" t="str">
        <f t="shared" si="0"/>
        <v/>
      </c>
      <c r="AM29" s="114" t="str">
        <f t="shared" si="15"/>
        <v/>
      </c>
      <c r="AN29" s="115" t="str">
        <f t="shared" si="16"/>
        <v/>
      </c>
      <c r="AO29" s="115" t="str">
        <f t="shared" si="17"/>
        <v/>
      </c>
      <c r="AP29" s="87"/>
      <c r="AQ29" s="87"/>
      <c r="AR29" s="122" t="str">
        <f t="shared" si="1"/>
        <v/>
      </c>
      <c r="AS29" s="115" t="str">
        <f t="shared" si="2"/>
        <v/>
      </c>
      <c r="AT29" s="115" t="str">
        <f t="shared" si="3"/>
        <v/>
      </c>
      <c r="AU29" s="123" t="str">
        <f t="shared" si="4"/>
        <v/>
      </c>
      <c r="AV29" s="124" t="str">
        <f t="shared" si="18"/>
        <v/>
      </c>
      <c r="AW29" s="124" t="str">
        <f t="shared" si="5"/>
        <v/>
      </c>
      <c r="AX29" s="88"/>
      <c r="AY29" s="88" t="str">
        <f>IFERROR(AV29+AL29,"")</f>
        <v/>
      </c>
      <c r="AZ29" s="126" t="str">
        <f t="shared" si="6"/>
        <v/>
      </c>
      <c r="BA29" s="89"/>
      <c r="BB29" s="129" t="str">
        <f t="shared" si="7"/>
        <v/>
      </c>
      <c r="BC29" s="90"/>
      <c r="BD29" s="115" t="str">
        <f t="shared" si="8"/>
        <v/>
      </c>
      <c r="BE29" s="130" t="str">
        <f t="shared" si="19"/>
        <v/>
      </c>
      <c r="BF29" s="87"/>
      <c r="BG29" s="132" t="str">
        <f t="shared" si="9"/>
        <v/>
      </c>
      <c r="BH29" s="91"/>
      <c r="BI29" s="135" t="str">
        <f t="shared" si="10"/>
        <v/>
      </c>
      <c r="BJ29" s="135" t="str">
        <f t="shared" si="20"/>
        <v/>
      </c>
      <c r="BK29" s="232"/>
      <c r="BL29" s="232"/>
      <c r="BM29" s="232"/>
      <c r="BN29" s="232"/>
      <c r="BO29" s="232"/>
      <c r="BP29" s="152"/>
      <c r="BQ29" s="127" t="str">
        <f t="shared" si="21"/>
        <v/>
      </c>
      <c r="BR29" s="180"/>
      <c r="BS29" s="131" t="str">
        <f t="shared" si="22"/>
        <v/>
      </c>
      <c r="BT29" s="149" t="str">
        <f t="shared" si="23"/>
        <v/>
      </c>
    </row>
    <row r="30" spans="2:72" ht="115.5" customHeight="1" thickBot="1">
      <c r="B30" s="191" t="s">
        <v>37</v>
      </c>
      <c r="C30" s="192"/>
      <c r="D30" s="192"/>
      <c r="E30" s="192"/>
      <c r="F30" s="192"/>
      <c r="G30" s="192"/>
      <c r="H30" s="192"/>
      <c r="I30" s="193"/>
      <c r="J30" s="186" t="s">
        <v>38</v>
      </c>
      <c r="K30" s="186"/>
      <c r="L30" s="92">
        <f>SUM(Q6:Q29)+SUM(S6:S29)+SUM(U6:U29)+SUM(W6:W29)+SUM(Y6:Y29)</f>
        <v>0</v>
      </c>
      <c r="M30" s="188" t="s">
        <v>39</v>
      </c>
      <c r="N30" s="188"/>
      <c r="O30" s="188"/>
      <c r="P30" s="188"/>
      <c r="Q30" s="187">
        <f>SUM(AB6:AB29)</f>
        <v>0</v>
      </c>
      <c r="R30" s="187"/>
      <c r="S30" s="93" t="s">
        <v>15</v>
      </c>
      <c r="T30" s="186" t="s">
        <v>6</v>
      </c>
      <c r="U30" s="186"/>
      <c r="V30" s="186"/>
      <c r="W30" s="186"/>
      <c r="X30" s="186"/>
      <c r="Y30" s="181">
        <f>SUM(Z6:Z29)</f>
        <v>0</v>
      </c>
      <c r="Z30" s="181"/>
      <c r="AA30" s="175" t="s">
        <v>149</v>
      </c>
      <c r="AB30" s="176">
        <f>SUM(AF6:AF29)</f>
        <v>0</v>
      </c>
      <c r="AC30" s="175" t="s">
        <v>150</v>
      </c>
      <c r="AD30" s="176">
        <f>SUM(AG6:AG29)</f>
        <v>0</v>
      </c>
      <c r="AE30" s="189" t="s">
        <v>151</v>
      </c>
      <c r="AF30" s="190"/>
      <c r="AG30" s="197">
        <f>IF(ISERROR(SUM(AH6:AH29)/60),0,SUM(AH6:AH29)/60)</f>
        <v>0</v>
      </c>
      <c r="AH30" s="197"/>
      <c r="AI30" s="15" t="s">
        <v>16</v>
      </c>
      <c r="AJ30" s="94"/>
      <c r="AK30" s="95"/>
      <c r="AL30" s="96"/>
      <c r="AM30" s="97"/>
      <c r="AN30" s="97"/>
      <c r="AO30" s="97"/>
      <c r="AP30" s="97"/>
      <c r="AQ30" s="98"/>
      <c r="AR30" s="99"/>
      <c r="AS30" s="97"/>
      <c r="AT30" s="97"/>
      <c r="AU30" s="97"/>
      <c r="AV30" s="100"/>
      <c r="AW30" s="100"/>
      <c r="AX30" s="100"/>
      <c r="AY30" s="100"/>
      <c r="AZ30" s="101"/>
      <c r="BA30" s="100"/>
      <c r="BB30" s="102"/>
      <c r="BC30" s="102"/>
      <c r="BD30" s="97"/>
      <c r="BE30" s="97"/>
      <c r="BF30" s="97"/>
      <c r="BG30" s="97"/>
      <c r="BH30" s="99"/>
      <c r="BI30" s="99"/>
      <c r="BJ30" s="99"/>
      <c r="BK30" s="102"/>
      <c r="BL30" s="102"/>
      <c r="BM30" s="102"/>
      <c r="BN30" s="102"/>
      <c r="BO30" s="102"/>
      <c r="BP30" s="99"/>
      <c r="BQ30" s="103"/>
      <c r="BR30" s="96"/>
      <c r="BS30" s="104"/>
      <c r="BT30" s="104"/>
    </row>
    <row r="31" spans="2:72" ht="115.5" customHeight="1" thickTop="1" thickBot="1">
      <c r="B31" s="221" t="s">
        <v>24</v>
      </c>
      <c r="C31" s="222"/>
      <c r="D31" s="222"/>
      <c r="E31" s="222"/>
      <c r="F31" s="222"/>
      <c r="G31" s="222"/>
      <c r="H31" s="222"/>
      <c r="I31" s="223"/>
      <c r="J31" s="219" t="s">
        <v>38</v>
      </c>
      <c r="K31" s="219"/>
      <c r="L31" s="92"/>
      <c r="M31" s="220" t="s">
        <v>40</v>
      </c>
      <c r="N31" s="220"/>
      <c r="O31" s="220"/>
      <c r="P31" s="220"/>
      <c r="Q31" s="187"/>
      <c r="R31" s="187"/>
      <c r="S31" s="93" t="s">
        <v>15</v>
      </c>
      <c r="T31" s="220" t="s">
        <v>41</v>
      </c>
      <c r="U31" s="220"/>
      <c r="V31" s="220"/>
      <c r="W31" s="220"/>
      <c r="X31" s="220"/>
      <c r="Y31" s="203"/>
      <c r="Z31" s="203"/>
      <c r="AA31" s="195" t="s">
        <v>42</v>
      </c>
      <c r="AB31" s="195"/>
      <c r="AC31" s="195"/>
      <c r="AD31" s="195"/>
      <c r="AE31" s="195"/>
      <c r="AF31" s="195"/>
      <c r="AG31" s="181"/>
      <c r="AH31" s="181"/>
      <c r="AI31" s="15" t="s">
        <v>16</v>
      </c>
      <c r="AJ31" s="94"/>
      <c r="AK31" s="94"/>
      <c r="AL31" s="96"/>
      <c r="AM31" s="215" t="s">
        <v>87</v>
      </c>
      <c r="AN31" s="216"/>
      <c r="AO31" s="211">
        <f>SUMPRODUCT(AA6:AA29,BH6:BH29)</f>
        <v>0</v>
      </c>
      <c r="AP31" s="212"/>
      <c r="AQ31" s="207" t="s">
        <v>43</v>
      </c>
      <c r="AR31" s="208"/>
      <c r="AS31" s="224">
        <f>Y30</f>
        <v>0</v>
      </c>
      <c r="AT31" s="237" t="s">
        <v>44</v>
      </c>
      <c r="AU31" s="238"/>
      <c r="AV31" s="235">
        <f>SUM(BH6:BH29)</f>
        <v>0</v>
      </c>
      <c r="AW31" s="153"/>
      <c r="AX31" s="233" t="s">
        <v>45</v>
      </c>
      <c r="AY31" s="154" t="s">
        <v>50</v>
      </c>
      <c r="AZ31" s="155">
        <f>SUM(BD6:BD29)</f>
        <v>0</v>
      </c>
      <c r="BA31" s="153"/>
      <c r="BB31" s="230" t="s">
        <v>42</v>
      </c>
      <c r="BC31" s="156" t="s">
        <v>50</v>
      </c>
      <c r="BD31" s="157">
        <f>SUM(BE6:BF29)</f>
        <v>0</v>
      </c>
      <c r="BE31" s="153"/>
      <c r="BF31" s="230" t="s">
        <v>46</v>
      </c>
      <c r="BG31" s="156" t="s">
        <v>50</v>
      </c>
      <c r="BH31" s="157">
        <f>SUM(BF6:BF29)</f>
        <v>0</v>
      </c>
      <c r="BI31" s="153"/>
      <c r="BJ31" s="228" t="s">
        <v>5</v>
      </c>
      <c r="BK31" s="154" t="s">
        <v>51</v>
      </c>
      <c r="BL31" s="158" t="str">
        <f>IF(ISERROR(AS31/AZ32),"",AS31/AZ32)</f>
        <v/>
      </c>
      <c r="BM31" s="159"/>
      <c r="BN31" s="230" t="s">
        <v>83</v>
      </c>
      <c r="BO31" s="156" t="s">
        <v>50</v>
      </c>
      <c r="BP31" s="160">
        <f>SUM(BP6:BP29)</f>
        <v>0</v>
      </c>
      <c r="BQ31" s="161" t="s">
        <v>86</v>
      </c>
      <c r="BR31" s="162"/>
      <c r="BS31" s="163" t="s">
        <v>146</v>
      </c>
      <c r="BT31" s="164">
        <f>SUM(BS6:BS29)</f>
        <v>0</v>
      </c>
    </row>
    <row r="32" spans="2:72" ht="115.5" customHeight="1" thickBot="1">
      <c r="B32" s="181" t="s">
        <v>47</v>
      </c>
      <c r="C32" s="181"/>
      <c r="D32" s="181"/>
      <c r="E32" s="181"/>
      <c r="F32" s="181"/>
      <c r="G32" s="181"/>
      <c r="H32" s="204"/>
      <c r="I32" s="205"/>
      <c r="J32" s="205"/>
      <c r="K32" s="205"/>
      <c r="L32" s="206"/>
      <c r="M32" s="181" t="s">
        <v>48</v>
      </c>
      <c r="N32" s="181"/>
      <c r="O32" s="181"/>
      <c r="P32" s="181"/>
      <c r="Q32" s="181"/>
      <c r="R32" s="181"/>
      <c r="S32" s="181"/>
      <c r="T32" s="181"/>
      <c r="U32" s="181"/>
      <c r="V32" s="181"/>
      <c r="W32" s="181"/>
      <c r="X32" s="181"/>
      <c r="Y32" s="181"/>
      <c r="Z32" s="181"/>
      <c r="AA32" s="181" t="s">
        <v>49</v>
      </c>
      <c r="AB32" s="181"/>
      <c r="AC32" s="181"/>
      <c r="AD32" s="181"/>
      <c r="AE32" s="181"/>
      <c r="AF32" s="181"/>
      <c r="AG32" s="181"/>
      <c r="AH32" s="181"/>
      <c r="AI32" s="181"/>
      <c r="AJ32" s="94"/>
      <c r="AK32" s="94"/>
      <c r="AL32" s="96"/>
      <c r="AM32" s="217"/>
      <c r="AN32" s="218"/>
      <c r="AO32" s="213"/>
      <c r="AP32" s="214"/>
      <c r="AQ32" s="209"/>
      <c r="AR32" s="210"/>
      <c r="AS32" s="225"/>
      <c r="AT32" s="239"/>
      <c r="AU32" s="240"/>
      <c r="AV32" s="236"/>
      <c r="AW32" s="165"/>
      <c r="AX32" s="234"/>
      <c r="AY32" s="166" t="s">
        <v>16</v>
      </c>
      <c r="AZ32" s="167">
        <f>SUM(BD6:BD29)/60</f>
        <v>0</v>
      </c>
      <c r="BA32" s="165"/>
      <c r="BB32" s="231"/>
      <c r="BC32" s="168" t="s">
        <v>16</v>
      </c>
      <c r="BD32" s="169">
        <f>SUM(BE6:BF29)/60</f>
        <v>0</v>
      </c>
      <c r="BE32" s="165"/>
      <c r="BF32" s="231"/>
      <c r="BG32" s="168" t="s">
        <v>16</v>
      </c>
      <c r="BH32" s="169">
        <f>SUM(BF6:BF29)/60</f>
        <v>0</v>
      </c>
      <c r="BI32" s="165"/>
      <c r="BJ32" s="229"/>
      <c r="BK32" s="168" t="s">
        <v>24</v>
      </c>
      <c r="BL32" s="170" t="str">
        <f>IF(ISERROR(AV31/BD32),"",AV31/BD32)</f>
        <v/>
      </c>
      <c r="BM32" s="171"/>
      <c r="BN32" s="231"/>
      <c r="BO32" s="168" t="s">
        <v>16</v>
      </c>
      <c r="BP32" s="172">
        <f>BP31/60</f>
        <v>0</v>
      </c>
      <c r="BQ32" s="172">
        <f>SUM(BQ6:BQ29)</f>
        <v>0</v>
      </c>
      <c r="BR32" s="162"/>
      <c r="BS32" s="173" t="s">
        <v>147</v>
      </c>
      <c r="BT32" s="174">
        <f>SUM(BT6:BT29)</f>
        <v>0</v>
      </c>
    </row>
    <row r="33" spans="2:72" ht="76.5" customHeight="1" thickBot="1">
      <c r="B33" s="181" t="s">
        <v>52</v>
      </c>
      <c r="C33" s="181"/>
      <c r="D33" s="181"/>
      <c r="E33" s="181"/>
      <c r="F33" s="181"/>
      <c r="G33" s="181"/>
      <c r="H33" s="204"/>
      <c r="I33" s="205"/>
      <c r="J33" s="205"/>
      <c r="K33" s="205"/>
      <c r="L33" s="206"/>
      <c r="M33" s="203" t="s">
        <v>52</v>
      </c>
      <c r="N33" s="203"/>
      <c r="O33" s="203"/>
      <c r="P33" s="203"/>
      <c r="Q33" s="203"/>
      <c r="R33" s="203"/>
      <c r="S33" s="203"/>
      <c r="T33" s="203"/>
      <c r="U33" s="203"/>
      <c r="V33" s="203"/>
      <c r="W33" s="203"/>
      <c r="X33" s="203"/>
      <c r="Y33" s="203"/>
      <c r="Z33" s="203"/>
      <c r="AA33" s="181" t="s">
        <v>52</v>
      </c>
      <c r="AB33" s="181"/>
      <c r="AC33" s="181"/>
      <c r="AD33" s="181"/>
      <c r="AE33" s="181"/>
      <c r="AF33" s="181"/>
      <c r="AG33" s="181"/>
      <c r="AH33" s="181"/>
      <c r="AI33" s="181"/>
      <c r="AJ33" s="94"/>
      <c r="AK33" s="94"/>
      <c r="AL33" s="96"/>
      <c r="AM33" s="96"/>
      <c r="AN33" s="96"/>
      <c r="AO33" s="96"/>
      <c r="AP33" s="96"/>
      <c r="AQ33" s="105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96"/>
      <c r="BP33" s="96"/>
      <c r="BQ33" s="96"/>
      <c r="BR33" s="96"/>
      <c r="BS33" s="106"/>
      <c r="BT33" s="106"/>
    </row>
    <row r="34" spans="2:72">
      <c r="AM34" s="107"/>
      <c r="AN34" s="23"/>
      <c r="AO34" s="23"/>
      <c r="AP34" s="23"/>
      <c r="AR34" s="23"/>
      <c r="AS34" s="23"/>
      <c r="BK34" s="23"/>
      <c r="BL34" s="23"/>
      <c r="BM34" s="23"/>
      <c r="BN34" s="23"/>
      <c r="BO34" s="23"/>
      <c r="BP34" s="23"/>
    </row>
    <row r="36" spans="2:72">
      <c r="M36" s="109"/>
    </row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spans="44:68" hidden="1"/>
    <row r="162" spans="44:68" hidden="1"/>
    <row r="163" spans="44:68" hidden="1"/>
    <row r="164" spans="44:68" hidden="1"/>
    <row r="165" spans="44:68" hidden="1"/>
    <row r="166" spans="44:68" hidden="1">
      <c r="AR166" s="137"/>
      <c r="AS166" s="20" t="s">
        <v>148</v>
      </c>
      <c r="AT166" s="137"/>
      <c r="BK166" s="20" t="str">
        <f>IFERROR(IF(bgr!AG2=0,"",bgr!AG2),"")</f>
        <v/>
      </c>
      <c r="BL166" s="20" t="str">
        <f>IFERROR(IF(bgr!AH2=0,"",bgr!AH2),"")</f>
        <v/>
      </c>
      <c r="BM166" s="20" t="str">
        <f>IFERROR(IF(bgr!AI2=0,"",bgr!AI2),"")</f>
        <v/>
      </c>
      <c r="BP166" s="20" t="str">
        <f>IFERROR(IF(bgr!AH2=0,"",bgr!AH2),"")</f>
        <v/>
      </c>
    </row>
    <row r="167" spans="44:68" hidden="1">
      <c r="BK167" s="20" t="str">
        <f>IFERROR(IF(bgr!AG3=0,"",bgr!AG3),"")</f>
        <v/>
      </c>
      <c r="BL167" s="20" t="str">
        <f>IFERROR(IF(bgr!AH3=0,"",bgr!AH3),"")</f>
        <v/>
      </c>
      <c r="BM167" s="20" t="str">
        <f>IFERROR(IF(bgr!AI3=0,"",bgr!AI3),"")</f>
        <v/>
      </c>
      <c r="BP167" s="20" t="str">
        <f>IFERROR(IF(bgr!AH3=0,"",bgr!AH3),"")</f>
        <v/>
      </c>
    </row>
    <row r="168" spans="44:68" hidden="1">
      <c r="BK168" s="20" t="str">
        <f>IFERROR(IF(bgr!AG4=0,"",bgr!AG4),"")</f>
        <v/>
      </c>
      <c r="BL168" s="20" t="str">
        <f>IFERROR(IF(bgr!AH4=0,"",bgr!AH4),"")</f>
        <v/>
      </c>
      <c r="BM168" s="20" t="str">
        <f>IFERROR(IF(bgr!AI4=0,"",bgr!AI4),"")</f>
        <v/>
      </c>
      <c r="BP168" s="20" t="str">
        <f>IFERROR(IF(bgr!AH4=0,"",bgr!AH4),"")</f>
        <v/>
      </c>
    </row>
    <row r="169" spans="44:68" hidden="1">
      <c r="BK169" s="20" t="str">
        <f>IFERROR(IF(bgr!AG5=0,"",bgr!AG5),"")</f>
        <v/>
      </c>
      <c r="BL169" s="20" t="str">
        <f>IFERROR(IF(bgr!AH5=0,"",bgr!AH5),"")</f>
        <v/>
      </c>
      <c r="BM169" s="20" t="str">
        <f>IFERROR(IF(bgr!AI5=0,"",bgr!AI5),"")</f>
        <v/>
      </c>
      <c r="BP169" s="20" t="str">
        <f>IFERROR(IF(bgr!AH5=0,"",bgr!AH5),"")</f>
        <v/>
      </c>
    </row>
    <row r="170" spans="44:68" hidden="1">
      <c r="BK170" s="20" t="str">
        <f>IFERROR(IF(bgr!AG6=0,"",bgr!AG6),"")</f>
        <v/>
      </c>
      <c r="BL170" s="20" t="str">
        <f>IFERROR(IF(bgr!AH6=0,"",bgr!AH6),"")</f>
        <v/>
      </c>
      <c r="BM170" s="20" t="str">
        <f>IFERROR(IF(bgr!AI6=0,"",bgr!AI6),"")</f>
        <v/>
      </c>
      <c r="BP170" s="20" t="str">
        <f>IFERROR(IF(bgr!AH6=0,"",bgr!AH6),"")</f>
        <v/>
      </c>
    </row>
    <row r="171" spans="44:68" hidden="1">
      <c r="BK171" s="20" t="str">
        <f>IFERROR(IF(bgr!AG7=0,"",bgr!AG7),"")</f>
        <v/>
      </c>
      <c r="BL171" s="20" t="str">
        <f>IFERROR(IF(bgr!AH7=0,"",bgr!AH7),"")</f>
        <v/>
      </c>
      <c r="BM171" s="20" t="str">
        <f>IFERROR(IF(bgr!AI7=0,"",bgr!AI7),"")</f>
        <v/>
      </c>
      <c r="BP171" s="20" t="str">
        <f>IFERROR(IF(bgr!AH7=0,"",bgr!AH7),"")</f>
        <v/>
      </c>
    </row>
    <row r="172" spans="44:68" hidden="1">
      <c r="BK172" s="20" t="str">
        <f>IFERROR(IF(bgr!AG8=0,"",bgr!AG8),"")</f>
        <v/>
      </c>
      <c r="BL172" s="20" t="str">
        <f>IFERROR(IF(bgr!AH8=0,"",bgr!AH8),"")</f>
        <v/>
      </c>
      <c r="BM172" s="20" t="str">
        <f>IFERROR(IF(bgr!AI8=0,"",bgr!AI8),"")</f>
        <v/>
      </c>
      <c r="BP172" s="20" t="str">
        <f>IFERROR(IF(bgr!AH8=0,"",bgr!AH8),"")</f>
        <v/>
      </c>
    </row>
    <row r="173" spans="44:68" hidden="1">
      <c r="BK173" s="20" t="str">
        <f>IFERROR(IF(bgr!AG9=0,"",bgr!AG9),"")</f>
        <v/>
      </c>
      <c r="BL173" s="20" t="str">
        <f>IFERROR(IF(bgr!AH9=0,"",bgr!AH9),"")</f>
        <v/>
      </c>
      <c r="BM173" s="20" t="str">
        <f>IFERROR(IF(bgr!AI9=0,"",bgr!AI9),"")</f>
        <v/>
      </c>
      <c r="BP173" s="20" t="str">
        <f>IFERROR(IF(bgr!AH9=0,"",bgr!AH9),"")</f>
        <v/>
      </c>
    </row>
    <row r="174" spans="44:68" hidden="1">
      <c r="BK174" s="20" t="str">
        <f>IFERROR(IF(bgr!AG10=0,"",bgr!AG10),"")</f>
        <v/>
      </c>
      <c r="BL174" s="20" t="str">
        <f>IFERROR(IF(bgr!AH10=0,"",bgr!AH10),"")</f>
        <v/>
      </c>
      <c r="BM174" s="20" t="str">
        <f>IFERROR(IF(bgr!AI10=0,"",bgr!AI10),"")</f>
        <v/>
      </c>
      <c r="BP174" s="20" t="str">
        <f>IFERROR(IF(bgr!AH10=0,"",bgr!AH10),"")</f>
        <v/>
      </c>
    </row>
    <row r="175" spans="44:68" hidden="1">
      <c r="BK175" s="20" t="str">
        <f>IFERROR(IF(bgr!AG11=0,"",bgr!AG11),"")</f>
        <v/>
      </c>
      <c r="BL175" s="20" t="str">
        <f>IFERROR(IF(bgr!AH11=0,"",bgr!AH11),"")</f>
        <v/>
      </c>
      <c r="BM175" s="20" t="str">
        <f>IFERROR(IF(bgr!AI11=0,"",bgr!AI11),"")</f>
        <v/>
      </c>
      <c r="BP175" s="20" t="str">
        <f>IFERROR(IF(bgr!AH11=0,"",bgr!AH11),"")</f>
        <v/>
      </c>
    </row>
    <row r="176" spans="44:68" hidden="1">
      <c r="BK176" s="20" t="str">
        <f>IFERROR(IF(bgr!AG12=0,"",bgr!AG12),"")</f>
        <v/>
      </c>
      <c r="BL176" s="20" t="str">
        <f>IFERROR(IF(bgr!AH12=0,"",bgr!AH12),"")</f>
        <v/>
      </c>
      <c r="BM176" s="20" t="str">
        <f>IFERROR(IF(bgr!AI12=0,"",bgr!AI12),"")</f>
        <v/>
      </c>
      <c r="BP176" s="20" t="str">
        <f>IFERROR(IF(bgr!AH12=0,"",bgr!AH12),"")</f>
        <v/>
      </c>
    </row>
    <row r="177" spans="63:68" hidden="1">
      <c r="BK177" s="20" t="str">
        <f>IFERROR(IF(bgr!AG13=0,"",bgr!AG13),"")</f>
        <v/>
      </c>
      <c r="BL177" s="20" t="str">
        <f>IFERROR(IF(bgr!AH13=0,"",bgr!AH13),"")</f>
        <v/>
      </c>
      <c r="BM177" s="20" t="str">
        <f>IFERROR(IF(bgr!AI13=0,"",bgr!AI13),"")</f>
        <v/>
      </c>
      <c r="BP177" s="20" t="str">
        <f>IFERROR(IF(bgr!AH13=0,"",bgr!AH13),"")</f>
        <v/>
      </c>
    </row>
    <row r="178" spans="63:68" hidden="1">
      <c r="BK178" s="20" t="str">
        <f>IFERROR(IF(bgr!AG14=0,"",bgr!AG14),"")</f>
        <v/>
      </c>
      <c r="BL178" s="20" t="str">
        <f>IFERROR(IF(bgr!AH14=0,"",bgr!AH14),"")</f>
        <v/>
      </c>
      <c r="BM178" s="20" t="str">
        <f>IFERROR(IF(bgr!AI14=0,"",bgr!AI14),"")</f>
        <v/>
      </c>
      <c r="BP178" s="20" t="str">
        <f>IFERROR(IF(bgr!AH14=0,"",bgr!AH14),"")</f>
        <v/>
      </c>
    </row>
    <row r="179" spans="63:68" hidden="1">
      <c r="BK179" s="20" t="str">
        <f>IFERROR(IF(bgr!AG15=0,"",bgr!AG15),"")</f>
        <v/>
      </c>
      <c r="BL179" s="20" t="str">
        <f>IFERROR(IF(bgr!AH15=0,"",bgr!AH15),"")</f>
        <v/>
      </c>
      <c r="BM179" s="20" t="str">
        <f>IFERROR(IF(bgr!AI15=0,"",bgr!AI15),"")</f>
        <v/>
      </c>
      <c r="BP179" s="20" t="str">
        <f>IFERROR(IF(bgr!AH15=0,"",bgr!AH15),"")</f>
        <v/>
      </c>
    </row>
    <row r="180" spans="63:68" hidden="1">
      <c r="BK180" s="20" t="str">
        <f>IFERROR(IF(bgr!AG16=0,"",bgr!AG16),"")</f>
        <v/>
      </c>
      <c r="BL180" s="20" t="str">
        <f>IFERROR(IF(bgr!AH16=0,"",bgr!AH16),"")</f>
        <v/>
      </c>
      <c r="BM180" s="20" t="str">
        <f>IFERROR(IF(bgr!AI16=0,"",bgr!AI16),"")</f>
        <v/>
      </c>
      <c r="BP180" s="20" t="str">
        <f>IFERROR(IF(bgr!AH16=0,"",bgr!AH16),"")</f>
        <v/>
      </c>
    </row>
    <row r="181" spans="63:68" hidden="1">
      <c r="BK181" s="20" t="str">
        <f>IFERROR(IF(bgr!AG17=0,"",bgr!AG17),"")</f>
        <v/>
      </c>
      <c r="BL181" s="20" t="str">
        <f>IFERROR(IF(bgr!AH17=0,"",bgr!AH17),"")</f>
        <v/>
      </c>
      <c r="BM181" s="20" t="str">
        <f>IFERROR(IF(bgr!AI17=0,"",bgr!AI17),"")</f>
        <v/>
      </c>
      <c r="BP181" s="20" t="str">
        <f>IFERROR(IF(bgr!AH17=0,"",bgr!AH17),"")</f>
        <v/>
      </c>
    </row>
    <row r="182" spans="63:68" hidden="1">
      <c r="BK182" s="20" t="str">
        <f>IFERROR(IF(bgr!AG18=0,"",bgr!AG18),"")</f>
        <v/>
      </c>
      <c r="BL182" s="20" t="str">
        <f>IFERROR(IF(bgr!AH18=0,"",bgr!AH18),"")</f>
        <v/>
      </c>
      <c r="BM182" s="20" t="str">
        <f>IFERROR(IF(bgr!AI18=0,"",bgr!AI18),"")</f>
        <v/>
      </c>
      <c r="BP182" s="20" t="str">
        <f>IFERROR(IF(bgr!AH18=0,"",bgr!AH18),"")</f>
        <v/>
      </c>
    </row>
    <row r="183" spans="63:68" hidden="1">
      <c r="BK183" s="20" t="str">
        <f>IFERROR(IF(bgr!AG19=0,"",bgr!AG19),"")</f>
        <v/>
      </c>
      <c r="BL183" s="20" t="str">
        <f>IFERROR(IF(bgr!AH19=0,"",bgr!AH19),"")</f>
        <v/>
      </c>
      <c r="BM183" s="20" t="str">
        <f>IFERROR(IF(bgr!AI19=0,"",bgr!AI19),"")</f>
        <v/>
      </c>
      <c r="BP183" s="20" t="str">
        <f>IFERROR(IF(bgr!AH19=0,"",bgr!AH19),"")</f>
        <v/>
      </c>
    </row>
    <row r="184" spans="63:68" hidden="1">
      <c r="BK184" s="20" t="str">
        <f>IFERROR(IF(bgr!AG20=0,"",bgr!AG20),"")</f>
        <v/>
      </c>
      <c r="BL184" s="20" t="str">
        <f>IFERROR(IF(bgr!AH20=0,"",bgr!AH20),"")</f>
        <v/>
      </c>
      <c r="BM184" s="20" t="str">
        <f>IFERROR(IF(bgr!AI20=0,"",bgr!AI20),"")</f>
        <v/>
      </c>
      <c r="BP184" s="20" t="str">
        <f>IFERROR(IF(bgr!AH20=0,"",bgr!AH20),"")</f>
        <v/>
      </c>
    </row>
    <row r="185" spans="63:68" hidden="1">
      <c r="BK185" s="20" t="str">
        <f>IFERROR(IF(bgr!AG21=0,"",bgr!AG21),"")</f>
        <v/>
      </c>
      <c r="BL185" s="20" t="str">
        <f>IFERROR(IF(bgr!AH21=0,"",bgr!AH21),"")</f>
        <v/>
      </c>
      <c r="BM185" s="20" t="str">
        <f>IFERROR(IF(bgr!AI21=0,"",bgr!AI21),"")</f>
        <v/>
      </c>
      <c r="BP185" s="20" t="str">
        <f>IFERROR(IF(bgr!AH21=0,"",bgr!AH21),"")</f>
        <v/>
      </c>
    </row>
    <row r="186" spans="63:68" hidden="1">
      <c r="BK186" s="20" t="str">
        <f>IFERROR(IF(bgr!AG22=0,"",bgr!AG22),"")</f>
        <v/>
      </c>
      <c r="BL186" s="20" t="str">
        <f>IFERROR(IF(bgr!AH22=0,"",bgr!AH22),"")</f>
        <v/>
      </c>
      <c r="BM186" s="20" t="str">
        <f>IFERROR(IF(bgr!AI22=0,"",bgr!AI22),"")</f>
        <v/>
      </c>
      <c r="BP186" s="20" t="str">
        <f>IFERROR(IF(bgr!AH22=0,"",bgr!AH22),"")</f>
        <v/>
      </c>
    </row>
    <row r="187" spans="63:68" hidden="1">
      <c r="BK187" s="20" t="str">
        <f>IFERROR(IF(bgr!AG23=0,"",bgr!AG23),"")</f>
        <v/>
      </c>
      <c r="BL187" s="20" t="str">
        <f>IFERROR(IF(bgr!AH23=0,"",bgr!AH23),"")</f>
        <v/>
      </c>
      <c r="BM187" s="20" t="str">
        <f>IFERROR(IF(bgr!AI23=0,"",bgr!AI23),"")</f>
        <v/>
      </c>
      <c r="BP187" s="20" t="str">
        <f>IFERROR(IF(bgr!AH23=0,"",bgr!AH23),"")</f>
        <v/>
      </c>
    </row>
    <row r="188" spans="63:68" hidden="1">
      <c r="BK188" s="20" t="str">
        <f>IFERROR(IF(bgr!AG24=0,"",bgr!AG24),"")</f>
        <v/>
      </c>
      <c r="BL188" s="20" t="str">
        <f>IFERROR(IF(bgr!AH24=0,"",bgr!AH24),"")</f>
        <v/>
      </c>
      <c r="BM188" s="20" t="str">
        <f>IFERROR(IF(bgr!AI24=0,"",bgr!AI24),"")</f>
        <v/>
      </c>
      <c r="BP188" s="20" t="str">
        <f>IFERROR(IF(bgr!AH24=0,"",bgr!AH24),"")</f>
        <v/>
      </c>
    </row>
    <row r="189" spans="63:68" hidden="1">
      <c r="BK189" s="20" t="str">
        <f>IFERROR(IF(bgr!AG25=0,"",bgr!AG25),"")</f>
        <v/>
      </c>
      <c r="BL189" s="20" t="str">
        <f>IFERROR(IF(bgr!AH25=0,"",bgr!AH25),"")</f>
        <v/>
      </c>
      <c r="BM189" s="20" t="str">
        <f>IFERROR(IF(bgr!AI25=0,"",bgr!AI25),"")</f>
        <v/>
      </c>
      <c r="BP189" s="20" t="str">
        <f>IFERROR(IF(bgr!AH25=0,"",bgr!AH25),"")</f>
        <v/>
      </c>
    </row>
    <row r="190" spans="63:68" hidden="1">
      <c r="BK190" s="20" t="str">
        <f>IFERROR(IF(bgr!AG26=0,"",bgr!AG26),"")</f>
        <v/>
      </c>
      <c r="BL190" s="20" t="str">
        <f>IFERROR(IF(bgr!AH26=0,"",bgr!AH26),"")</f>
        <v/>
      </c>
      <c r="BM190" s="20" t="str">
        <f>IFERROR(IF(bgr!AI26=0,"",bgr!AI26),"")</f>
        <v/>
      </c>
      <c r="BP190" s="20" t="str">
        <f>IFERROR(IF(bgr!AH26=0,"",bgr!AH26),"")</f>
        <v/>
      </c>
    </row>
    <row r="191" spans="63:68" hidden="1">
      <c r="BK191" s="20" t="str">
        <f>IFERROR(IF(bgr!AG27=0,"",bgr!AG27),"")</f>
        <v/>
      </c>
      <c r="BL191" s="20" t="str">
        <f>IFERROR(IF(bgr!AH27=0,"",bgr!AH27),"")</f>
        <v/>
      </c>
      <c r="BM191" s="20" t="str">
        <f>IFERROR(IF(bgr!AI27=0,"",bgr!AI27),"")</f>
        <v/>
      </c>
      <c r="BP191" s="20" t="str">
        <f>IFERROR(IF(bgr!AH27=0,"",bgr!AH27),"")</f>
        <v/>
      </c>
    </row>
    <row r="192" spans="63:68" hidden="1">
      <c r="BK192" s="20" t="str">
        <f>IFERROR(IF(bgr!AG28=0,"",bgr!AG28),"")</f>
        <v/>
      </c>
      <c r="BL192" s="20" t="str">
        <f>IFERROR(IF(bgr!AH28=0,"",bgr!AH28),"")</f>
        <v/>
      </c>
      <c r="BM192" s="20" t="str">
        <f>IFERROR(IF(bgr!AI28=0,"",bgr!AI28),"")</f>
        <v/>
      </c>
      <c r="BP192" s="20" t="str">
        <f>IFERROR(IF(bgr!AH28=0,"",bgr!AH28),"")</f>
        <v/>
      </c>
    </row>
    <row r="193" spans="63:68" hidden="1">
      <c r="BK193" s="20" t="str">
        <f>IFERROR(IF(bgr!AG29=0,"",bgr!AG29),"")</f>
        <v/>
      </c>
      <c r="BL193" s="20" t="str">
        <f>IFERROR(IF(bgr!AH29=0,"",bgr!AH29),"")</f>
        <v/>
      </c>
      <c r="BM193" s="20" t="str">
        <f>IFERROR(IF(bgr!AI29=0,"",bgr!AI29),"")</f>
        <v/>
      </c>
      <c r="BP193" s="20" t="str">
        <f>IFERROR(IF(bgr!AH29=0,"",bgr!AH29),"")</f>
        <v/>
      </c>
    </row>
    <row r="194" spans="63:68" hidden="1">
      <c r="BK194" s="20" t="str">
        <f>IFERROR(IF(bgr!AG30=0,"",bgr!AG30),"")</f>
        <v/>
      </c>
      <c r="BL194" s="20" t="str">
        <f>IFERROR(IF(bgr!AH30=0,"",bgr!AH30),"")</f>
        <v/>
      </c>
      <c r="BM194" s="20" t="str">
        <f>IFERROR(IF(bgr!AI30=0,"",bgr!AI30),"")</f>
        <v/>
      </c>
      <c r="BP194" s="20" t="str">
        <f>IFERROR(IF(bgr!AH30=0,"",bgr!AH30),"")</f>
        <v/>
      </c>
    </row>
    <row r="195" spans="63:68" hidden="1">
      <c r="BK195" s="20" t="str">
        <f>IFERROR(IF(bgr!AG31=0,"",bgr!AG31),"")</f>
        <v/>
      </c>
      <c r="BL195" s="20" t="str">
        <f>IFERROR(IF(bgr!AH31=0,"",bgr!AH31),"")</f>
        <v/>
      </c>
      <c r="BM195" s="20" t="str">
        <f>IFERROR(IF(bgr!AI31=0,"",bgr!AI31),"")</f>
        <v/>
      </c>
      <c r="BP195" s="20" t="str">
        <f>IFERROR(IF(bgr!AH31=0,"",bgr!AH31),"")</f>
        <v/>
      </c>
    </row>
    <row r="196" spans="63:68" hidden="1">
      <c r="BK196" s="20" t="str">
        <f>IFERROR(IF(bgr!AG32=0,"",bgr!AG32),"")</f>
        <v/>
      </c>
      <c r="BL196" s="20" t="str">
        <f>IFERROR(IF(bgr!AH32=0,"",bgr!AH32),"")</f>
        <v/>
      </c>
      <c r="BM196" s="20" t="str">
        <f>IFERROR(IF(bgr!AI32=0,"",bgr!AI32),"")</f>
        <v/>
      </c>
      <c r="BP196" s="20" t="str">
        <f>IFERROR(IF(bgr!AH32=0,"",bgr!AH32),"")</f>
        <v/>
      </c>
    </row>
    <row r="197" spans="63:68" hidden="1">
      <c r="BK197" s="20" t="str">
        <f>IFERROR(IF(bgr!AG33=0,"",bgr!AG33),"")</f>
        <v/>
      </c>
      <c r="BL197" s="20" t="str">
        <f>IFERROR(IF(bgr!AH33=0,"",bgr!AH33),"")</f>
        <v/>
      </c>
      <c r="BM197" s="20" t="str">
        <f>IFERROR(IF(bgr!AI33=0,"",bgr!AI33),"")</f>
        <v/>
      </c>
      <c r="BP197" s="20" t="str">
        <f>IFERROR(IF(bgr!AH33=0,"",bgr!AH33),"")</f>
        <v/>
      </c>
    </row>
    <row r="198" spans="63:68" hidden="1">
      <c r="BK198" s="20" t="str">
        <f>IFERROR(IF(bgr!AG34=0,"",bgr!AG34),"")</f>
        <v/>
      </c>
      <c r="BL198" s="20" t="str">
        <f>IFERROR(IF(bgr!AH34=0,"",bgr!AH34),"")</f>
        <v/>
      </c>
      <c r="BM198" s="20" t="str">
        <f>IFERROR(IF(bgr!AI34=0,"",bgr!AI34),"")</f>
        <v/>
      </c>
      <c r="BP198" s="20" t="str">
        <f>IFERROR(IF(bgr!AH34=0,"",bgr!AH34),"")</f>
        <v/>
      </c>
    </row>
    <row r="199" spans="63:68" hidden="1">
      <c r="BK199" s="20" t="str">
        <f>IFERROR(IF(bgr!AG35=0,"",bgr!AG35),"")</f>
        <v/>
      </c>
      <c r="BL199" s="20" t="str">
        <f>IFERROR(IF(bgr!AH35=0,"",bgr!AH35),"")</f>
        <v/>
      </c>
      <c r="BM199" s="20" t="str">
        <f>IFERROR(IF(bgr!AI35=0,"",bgr!AI35),"")</f>
        <v/>
      </c>
      <c r="BP199" s="20" t="str">
        <f>IFERROR(IF(bgr!AH35=0,"",bgr!AH35),"")</f>
        <v/>
      </c>
    </row>
    <row r="200" spans="63:68" hidden="1">
      <c r="BK200" s="20" t="str">
        <f>IFERROR(IF(bgr!AG36=0,"",bgr!AG36),"")</f>
        <v/>
      </c>
      <c r="BL200" s="20" t="str">
        <f>IFERROR(IF(bgr!AH36=0,"",bgr!AH36),"")</f>
        <v/>
      </c>
      <c r="BM200" s="20" t="str">
        <f>IFERROR(IF(bgr!AI36=0,"",bgr!AI36),"")</f>
        <v/>
      </c>
      <c r="BP200" s="20" t="str">
        <f>IFERROR(IF(bgr!AH36=0,"",bgr!AH36),"")</f>
        <v/>
      </c>
    </row>
    <row r="201" spans="63:68" hidden="1">
      <c r="BK201" s="20" t="str">
        <f>IFERROR(IF(bgr!AG37=0,"",bgr!AG37),"")</f>
        <v/>
      </c>
      <c r="BL201" s="20" t="str">
        <f>IFERROR(IF(bgr!AH37=0,"",bgr!AH37),"")</f>
        <v/>
      </c>
      <c r="BM201" s="20" t="str">
        <f>IFERROR(IF(bgr!AI37=0,"",bgr!AI37),"")</f>
        <v/>
      </c>
      <c r="BP201" s="20" t="str">
        <f>IFERROR(IF(bgr!AH37=0,"",bgr!AH37),"")</f>
        <v/>
      </c>
    </row>
    <row r="202" spans="63:68" hidden="1">
      <c r="BK202" s="20" t="str">
        <f>IFERROR(IF(bgr!AG38=0,"",bgr!AG38),"")</f>
        <v/>
      </c>
      <c r="BL202" s="20" t="str">
        <f>IFERROR(IF(bgr!AH38=0,"",bgr!AH38),"")</f>
        <v/>
      </c>
      <c r="BM202" s="20" t="str">
        <f>IFERROR(IF(bgr!AI38=0,"",bgr!AI38),"")</f>
        <v/>
      </c>
      <c r="BP202" s="20" t="str">
        <f>IFERROR(IF(bgr!AH38=0,"",bgr!AH38),"")</f>
        <v/>
      </c>
    </row>
    <row r="203" spans="63:68" hidden="1">
      <c r="BK203" s="20" t="str">
        <f>IFERROR(IF(bgr!AG39=0,"",bgr!AG39),"")</f>
        <v/>
      </c>
      <c r="BL203" s="20" t="str">
        <f>IFERROR(IF(bgr!AH39=0,"",bgr!AH39),"")</f>
        <v/>
      </c>
      <c r="BM203" s="20" t="str">
        <f>IFERROR(IF(bgr!AI39=0,"",bgr!AI39),"")</f>
        <v/>
      </c>
      <c r="BP203" s="20" t="str">
        <f>IFERROR(IF(bgr!AH39=0,"",bgr!AH39),"")</f>
        <v/>
      </c>
    </row>
    <row r="204" spans="63:68" hidden="1">
      <c r="BK204" s="20" t="str">
        <f>IFERROR(IF(bgr!AG40=0,"",bgr!AG40),"")</f>
        <v/>
      </c>
      <c r="BL204" s="20" t="str">
        <f>IFERROR(IF(bgr!AH40=0,"",bgr!AH40),"")</f>
        <v/>
      </c>
      <c r="BM204" s="20" t="str">
        <f>IFERROR(IF(bgr!AI40=0,"",bgr!AI40),"")</f>
        <v/>
      </c>
      <c r="BP204" s="20" t="str">
        <f>IFERROR(IF(bgr!AH40=0,"",bgr!AH40),"")</f>
        <v/>
      </c>
    </row>
    <row r="205" spans="63:68" hidden="1">
      <c r="BK205" s="20" t="str">
        <f>IFERROR(IF(bgr!AG41=0,"",bgr!AG41),"")</f>
        <v/>
      </c>
      <c r="BL205" s="20" t="str">
        <f>IFERROR(IF(bgr!AH41=0,"",bgr!AH41),"")</f>
        <v/>
      </c>
      <c r="BM205" s="20" t="str">
        <f>IFERROR(IF(bgr!AI41=0,"",bgr!AI41),"")</f>
        <v/>
      </c>
      <c r="BP205" s="20" t="str">
        <f>IFERROR(IF(bgr!AH41=0,"",bgr!AH41),"")</f>
        <v/>
      </c>
    </row>
    <row r="206" spans="63:68" hidden="1">
      <c r="BK206" s="20" t="str">
        <f>IFERROR(IF(bgr!AG42=0,"",bgr!AG42),"")</f>
        <v/>
      </c>
      <c r="BL206" s="20" t="str">
        <f>IFERROR(IF(bgr!AH42=0,"",bgr!AH42),"")</f>
        <v/>
      </c>
      <c r="BM206" s="20" t="str">
        <f>IFERROR(IF(bgr!AI42=0,"",bgr!AI42),"")</f>
        <v/>
      </c>
      <c r="BP206" s="20" t="str">
        <f>IFERROR(IF(bgr!AH42=0,"",bgr!AH42),"")</f>
        <v/>
      </c>
    </row>
    <row r="207" spans="63:68" hidden="1">
      <c r="BK207" s="20" t="str">
        <f>IFERROR(IF(bgr!AG43=0,"",bgr!AG43),"")</f>
        <v/>
      </c>
      <c r="BL207" s="20" t="str">
        <f>IFERROR(IF(bgr!AH43=0,"",bgr!AH43),"")</f>
        <v/>
      </c>
      <c r="BM207" s="20" t="str">
        <f>IFERROR(IF(bgr!AI43=0,"",bgr!AI43),"")</f>
        <v/>
      </c>
      <c r="BP207" s="20" t="str">
        <f>IFERROR(IF(bgr!AH43=0,"",bgr!AH43),"")</f>
        <v/>
      </c>
    </row>
    <row r="208" spans="63:68" hidden="1">
      <c r="BK208" s="20" t="str">
        <f>IFERROR(IF(bgr!AG44=0,"",bgr!AG44),"")</f>
        <v/>
      </c>
      <c r="BL208" s="20" t="str">
        <f>IFERROR(IF(bgr!AH44=0,"",bgr!AH44),"")</f>
        <v/>
      </c>
      <c r="BM208" s="20" t="str">
        <f>IFERROR(IF(bgr!AI44=0,"",bgr!AI44),"")</f>
        <v/>
      </c>
      <c r="BP208" s="20" t="str">
        <f>IFERROR(IF(bgr!AH44=0,"",bgr!AH44),"")</f>
        <v/>
      </c>
    </row>
    <row r="209" spans="63:68" hidden="1">
      <c r="BK209" s="20" t="str">
        <f>IFERROR(IF(bgr!AG45=0,"",bgr!AG45),"")</f>
        <v/>
      </c>
      <c r="BL209" s="20" t="str">
        <f>IFERROR(IF(bgr!AH45=0,"",bgr!AH45),"")</f>
        <v/>
      </c>
      <c r="BM209" s="20" t="str">
        <f>IFERROR(IF(bgr!AI45=0,"",bgr!AI45),"")</f>
        <v/>
      </c>
      <c r="BP209" s="20" t="str">
        <f>IFERROR(IF(bgr!AH45=0,"",bgr!AH45),"")</f>
        <v/>
      </c>
    </row>
    <row r="210" spans="63:68" hidden="1">
      <c r="BK210" s="20" t="str">
        <f>IFERROR(IF(bgr!AG46=0,"",bgr!AG46),"")</f>
        <v/>
      </c>
      <c r="BL210" s="20" t="str">
        <f>IFERROR(IF(bgr!AH46=0,"",bgr!AH46),"")</f>
        <v/>
      </c>
      <c r="BM210" s="20" t="str">
        <f>IFERROR(IF(bgr!AI46=0,"",bgr!AI46),"")</f>
        <v/>
      </c>
      <c r="BP210" s="20" t="str">
        <f>IFERROR(IF(bgr!AH46=0,"",bgr!AH46),"")</f>
        <v/>
      </c>
    </row>
    <row r="211" spans="63:68" hidden="1">
      <c r="BK211" s="20" t="str">
        <f>IFERROR(IF(bgr!AG47=0,"",bgr!AG47),"")</f>
        <v/>
      </c>
      <c r="BL211" s="20" t="str">
        <f>IFERROR(IF(bgr!AH47=0,"",bgr!AH47),"")</f>
        <v/>
      </c>
      <c r="BM211" s="20" t="str">
        <f>IFERROR(IF(bgr!AI47=0,"",bgr!AI47),"")</f>
        <v/>
      </c>
      <c r="BP211" s="20" t="str">
        <f>IFERROR(IF(bgr!AH47=0,"",bgr!AH47),"")</f>
        <v/>
      </c>
    </row>
    <row r="212" spans="63:68" hidden="1">
      <c r="BK212" s="20" t="str">
        <f>IFERROR(IF(bgr!AG48=0,"",bgr!AG48),"")</f>
        <v/>
      </c>
      <c r="BL212" s="20" t="str">
        <f>IFERROR(IF(bgr!AH48=0,"",bgr!AH48),"")</f>
        <v/>
      </c>
      <c r="BM212" s="20" t="str">
        <f>IFERROR(IF(bgr!AI48=0,"",bgr!AI48),"")</f>
        <v/>
      </c>
      <c r="BP212" s="20" t="str">
        <f>IFERROR(IF(bgr!AH48=0,"",bgr!AH48),"")</f>
        <v/>
      </c>
    </row>
    <row r="213" spans="63:68" hidden="1">
      <c r="BK213" s="20" t="str">
        <f>IFERROR(IF(bgr!AG49=0,"",bgr!AG49),"")</f>
        <v/>
      </c>
      <c r="BL213" s="20" t="str">
        <f>IFERROR(IF(bgr!AH49=0,"",bgr!AH49),"")</f>
        <v/>
      </c>
      <c r="BM213" s="20" t="str">
        <f>IFERROR(IF(bgr!AI49=0,"",bgr!AI49),"")</f>
        <v/>
      </c>
      <c r="BP213" s="20" t="str">
        <f>IFERROR(IF(bgr!AH49=0,"",bgr!AH49),"")</f>
        <v/>
      </c>
    </row>
    <row r="214" spans="63:68" hidden="1">
      <c r="BK214" s="20" t="str">
        <f>IFERROR(IF(bgr!AG50=0,"",bgr!AG50),"")</f>
        <v/>
      </c>
      <c r="BL214" s="20" t="str">
        <f>IFERROR(IF(bgr!AH50=0,"",bgr!AH50),"")</f>
        <v/>
      </c>
      <c r="BM214" s="20" t="str">
        <f>IFERROR(IF(bgr!AI50=0,"",bgr!AI50),"")</f>
        <v/>
      </c>
      <c r="BP214" s="20" t="str">
        <f>IFERROR(IF(bgr!AH50=0,"",bgr!AH50),"")</f>
        <v/>
      </c>
    </row>
    <row r="215" spans="63:68" hidden="1">
      <c r="BK215" s="20" t="str">
        <f>IFERROR(IF(bgr!AG51=0,"",bgr!AG51),"")</f>
        <v/>
      </c>
      <c r="BL215" s="20" t="str">
        <f>IFERROR(IF(bgr!AH51=0,"",bgr!AH51),"")</f>
        <v/>
      </c>
      <c r="BM215" s="20" t="str">
        <f>IFERROR(IF(bgr!AI51=0,"",bgr!AI51),"")</f>
        <v/>
      </c>
      <c r="BP215" s="20" t="str">
        <f>IFERROR(IF(bgr!AH51=0,"",bgr!AH51),"")</f>
        <v/>
      </c>
    </row>
    <row r="216" spans="63:68" hidden="1">
      <c r="BK216" s="20" t="str">
        <f>IFERROR(IF(bgr!AG52=0,"",bgr!AG52),"")</f>
        <v/>
      </c>
      <c r="BL216" s="20" t="str">
        <f>IFERROR(IF(bgr!AH52=0,"",bgr!AH52),"")</f>
        <v/>
      </c>
      <c r="BM216" s="20" t="str">
        <f>IFERROR(IF(bgr!AI52=0,"",bgr!AI52),"")</f>
        <v/>
      </c>
      <c r="BP216" s="20" t="str">
        <f>IFERROR(IF(bgr!AH52=0,"",bgr!AH52),"")</f>
        <v/>
      </c>
    </row>
    <row r="217" spans="63:68" hidden="1">
      <c r="BK217" s="20" t="str">
        <f>IFERROR(IF(bgr!AG53=0,"",bgr!AG53),"")</f>
        <v/>
      </c>
      <c r="BL217" s="20" t="str">
        <f>IFERROR(IF(bgr!AH53=0,"",bgr!AH53),"")</f>
        <v/>
      </c>
      <c r="BM217" s="20" t="str">
        <f>IFERROR(IF(bgr!AI53=0,"",bgr!AI53),"")</f>
        <v/>
      </c>
      <c r="BP217" s="20" t="str">
        <f>IFERROR(IF(bgr!AH53=0,"",bgr!AH53),"")</f>
        <v/>
      </c>
    </row>
    <row r="218" spans="63:68" hidden="1">
      <c r="BK218" s="20" t="str">
        <f>IFERROR(IF(bgr!AG54=0,"",bgr!AG54),"")</f>
        <v/>
      </c>
      <c r="BL218" s="20" t="str">
        <f>IFERROR(IF(bgr!AH54=0,"",bgr!AH54),"")</f>
        <v/>
      </c>
      <c r="BM218" s="20" t="str">
        <f>IFERROR(IF(bgr!AI54=0,"",bgr!AI54),"")</f>
        <v/>
      </c>
      <c r="BP218" s="20" t="str">
        <f>IFERROR(IF(bgr!AH54=0,"",bgr!AH54),"")</f>
        <v/>
      </c>
    </row>
    <row r="219" spans="63:68" hidden="1">
      <c r="BK219" s="20" t="str">
        <f>IFERROR(IF(bgr!AG55=0,"",bgr!AG55),"")</f>
        <v/>
      </c>
      <c r="BL219" s="20" t="str">
        <f>IFERROR(IF(bgr!AH55=0,"",bgr!AH55),"")</f>
        <v/>
      </c>
      <c r="BM219" s="20" t="str">
        <f>IFERROR(IF(bgr!AI55=0,"",bgr!AI55),"")</f>
        <v/>
      </c>
      <c r="BP219" s="20" t="str">
        <f>IFERROR(IF(bgr!AH55=0,"",bgr!AH55),"")</f>
        <v/>
      </c>
    </row>
    <row r="220" spans="63:68" hidden="1">
      <c r="BK220" s="20" t="str">
        <f>IFERROR(IF(bgr!AG56=0,"",bgr!AG56),"")</f>
        <v/>
      </c>
      <c r="BL220" s="20" t="str">
        <f>IFERROR(IF(bgr!AH56=0,"",bgr!AH56),"")</f>
        <v/>
      </c>
      <c r="BM220" s="20" t="str">
        <f>IFERROR(IF(bgr!AI56=0,"",bgr!AI56),"")</f>
        <v/>
      </c>
      <c r="BP220" s="20" t="str">
        <f>IFERROR(IF(bgr!AH56=0,"",bgr!AH56),"")</f>
        <v/>
      </c>
    </row>
    <row r="221" spans="63:68" hidden="1">
      <c r="BK221" s="20" t="str">
        <f>IFERROR(IF(bgr!AG57=0,"",bgr!AG57),"")</f>
        <v/>
      </c>
      <c r="BL221" s="20" t="str">
        <f>IFERROR(IF(bgr!AH57=0,"",bgr!AH57),"")</f>
        <v/>
      </c>
      <c r="BM221" s="20" t="str">
        <f>IFERROR(IF(bgr!AI57=0,"",bgr!AI57),"")</f>
        <v/>
      </c>
      <c r="BP221" s="20" t="str">
        <f>IFERROR(IF(bgr!AH57=0,"",bgr!AH57),"")</f>
        <v/>
      </c>
    </row>
    <row r="222" spans="63:68" hidden="1">
      <c r="BK222" s="20" t="str">
        <f>IFERROR(IF(bgr!AG58=0,"",bgr!AG58),"")</f>
        <v/>
      </c>
      <c r="BL222" s="20" t="str">
        <f>IFERROR(IF(bgr!AH58=0,"",bgr!AH58),"")</f>
        <v/>
      </c>
      <c r="BM222" s="20" t="str">
        <f>IFERROR(IF(bgr!AI58=0,"",bgr!AI58),"")</f>
        <v/>
      </c>
      <c r="BP222" s="20" t="str">
        <f>IFERROR(IF(bgr!AH58=0,"",bgr!AH58),"")</f>
        <v/>
      </c>
    </row>
    <row r="223" spans="63:68" hidden="1">
      <c r="BK223" s="20" t="str">
        <f>IFERROR(IF(bgr!AG59=0,"",bgr!AG59),"")</f>
        <v/>
      </c>
      <c r="BL223" s="20" t="str">
        <f>IFERROR(IF(bgr!AH59=0,"",bgr!AH59),"")</f>
        <v/>
      </c>
      <c r="BM223" s="20" t="str">
        <f>IFERROR(IF(bgr!AI59=0,"",bgr!AI59),"")</f>
        <v/>
      </c>
      <c r="BP223" s="20" t="str">
        <f>IFERROR(IF(bgr!AH59=0,"",bgr!AH59),"")</f>
        <v/>
      </c>
    </row>
    <row r="224" spans="63:68" hidden="1">
      <c r="BK224" s="20" t="str">
        <f>IFERROR(IF(bgr!AG60=0,"",bgr!AG60),"")</f>
        <v/>
      </c>
      <c r="BL224" s="20" t="str">
        <f>IFERROR(IF(bgr!AH60=0,"",bgr!AH60),"")</f>
        <v/>
      </c>
      <c r="BM224" s="20" t="str">
        <f>IFERROR(IF(bgr!AI60=0,"",bgr!AI60),"")</f>
        <v/>
      </c>
      <c r="BP224" s="20" t="str">
        <f>IFERROR(IF(bgr!AH60=0,"",bgr!AH60),"")</f>
        <v/>
      </c>
    </row>
    <row r="225" spans="63:68" hidden="1">
      <c r="BK225" s="20" t="str">
        <f>IFERROR(IF(bgr!AG61=0,"",bgr!AG61),"")</f>
        <v/>
      </c>
      <c r="BL225" s="20" t="str">
        <f>IFERROR(IF(bgr!AH61=0,"",bgr!AH61),"")</f>
        <v/>
      </c>
      <c r="BM225" s="20" t="str">
        <f>IFERROR(IF(bgr!AI61=0,"",bgr!AI61),"")</f>
        <v/>
      </c>
      <c r="BP225" s="20" t="str">
        <f>IFERROR(IF(bgr!AH61=0,"",bgr!AH61),"")</f>
        <v/>
      </c>
    </row>
    <row r="226" spans="63:68" hidden="1">
      <c r="BK226" s="20" t="str">
        <f>IFERROR(IF(bgr!AG62=0,"",bgr!AG62),"")</f>
        <v/>
      </c>
      <c r="BL226" s="20" t="str">
        <f>IFERROR(IF(bgr!AH62=0,"",bgr!AH62),"")</f>
        <v/>
      </c>
      <c r="BM226" s="20" t="str">
        <f>IFERROR(IF(bgr!AI62=0,"",bgr!AI62),"")</f>
        <v/>
      </c>
      <c r="BP226" s="20" t="str">
        <f>IFERROR(IF(bgr!AH62=0,"",bgr!AH62),"")</f>
        <v/>
      </c>
    </row>
    <row r="227" spans="63:68" hidden="1">
      <c r="BK227" s="20" t="str">
        <f>IFERROR(IF(bgr!AG63=0,"",bgr!AG63),"")</f>
        <v/>
      </c>
      <c r="BL227" s="20" t="str">
        <f>IFERROR(IF(bgr!AH63=0,"",bgr!AH63),"")</f>
        <v/>
      </c>
      <c r="BM227" s="20" t="str">
        <f>IFERROR(IF(bgr!AI63=0,"",bgr!AI63),"")</f>
        <v/>
      </c>
      <c r="BP227" s="20" t="str">
        <f>IFERROR(IF(bgr!AH63=0,"",bgr!AH63),"")</f>
        <v/>
      </c>
    </row>
    <row r="228" spans="63:68" hidden="1">
      <c r="BK228" s="20" t="str">
        <f>IFERROR(IF(bgr!AG64=0,"",bgr!AG64),"")</f>
        <v/>
      </c>
      <c r="BL228" s="20" t="str">
        <f>IFERROR(IF(bgr!AH64=0,"",bgr!AH64),"")</f>
        <v/>
      </c>
      <c r="BM228" s="20" t="str">
        <f>IFERROR(IF(bgr!AI64=0,"",bgr!AI64),"")</f>
        <v/>
      </c>
      <c r="BP228" s="20" t="str">
        <f>IFERROR(IF(bgr!AH64=0,"",bgr!AH64),"")</f>
        <v/>
      </c>
    </row>
    <row r="229" spans="63:68" hidden="1"/>
  </sheetData>
  <dataConsolidate/>
  <mergeCells count="98">
    <mergeCell ref="BR4:BR5"/>
    <mergeCell ref="AM2:AY3"/>
    <mergeCell ref="AZ2:BA3"/>
    <mergeCell ref="BB2:BC3"/>
    <mergeCell ref="BD2:BG2"/>
    <mergeCell ref="BD3:BG3"/>
    <mergeCell ref="BH2:BK3"/>
    <mergeCell ref="BL2:BN3"/>
    <mergeCell ref="BK4:BQ4"/>
    <mergeCell ref="BO2:BQ3"/>
    <mergeCell ref="BK7:BO7"/>
    <mergeCell ref="BK16:BO16"/>
    <mergeCell ref="BK15:BO15"/>
    <mergeCell ref="BK14:BO14"/>
    <mergeCell ref="BK13:BO13"/>
    <mergeCell ref="BK12:BO12"/>
    <mergeCell ref="BB31:BB32"/>
    <mergeCell ref="AX31:AX32"/>
    <mergeCell ref="AV31:AV32"/>
    <mergeCell ref="AT31:AU32"/>
    <mergeCell ref="BK21:BO21"/>
    <mergeCell ref="AS31:AS32"/>
    <mergeCell ref="BK11:BO11"/>
    <mergeCell ref="BK10:BO10"/>
    <mergeCell ref="BK9:BO9"/>
    <mergeCell ref="BU5:BV5"/>
    <mergeCell ref="BJ31:BJ32"/>
    <mergeCell ref="BN31:BN32"/>
    <mergeCell ref="BK27:BO27"/>
    <mergeCell ref="BK28:BO28"/>
    <mergeCell ref="BK29:BO29"/>
    <mergeCell ref="BK22:BO22"/>
    <mergeCell ref="BK23:BO23"/>
    <mergeCell ref="BK24:BO24"/>
    <mergeCell ref="BK25:BO25"/>
    <mergeCell ref="BK26:BO26"/>
    <mergeCell ref="BF31:BF32"/>
    <mergeCell ref="H33:L33"/>
    <mergeCell ref="S32:Z32"/>
    <mergeCell ref="M32:R32"/>
    <mergeCell ref="M33:R33"/>
    <mergeCell ref="S33:Z33"/>
    <mergeCell ref="Y31:Z31"/>
    <mergeCell ref="H32:L32"/>
    <mergeCell ref="AA32:AE32"/>
    <mergeCell ref="AF32:AI32"/>
    <mergeCell ref="AQ31:AR32"/>
    <mergeCell ref="AO31:AP32"/>
    <mergeCell ref="AM31:AN32"/>
    <mergeCell ref="J31:K31"/>
    <mergeCell ref="M31:P31"/>
    <mergeCell ref="Q31:R31"/>
    <mergeCell ref="T31:X31"/>
    <mergeCell ref="B31:I31"/>
    <mergeCell ref="B2:AI2"/>
    <mergeCell ref="M3:N3"/>
    <mergeCell ref="O4:Y4"/>
    <mergeCell ref="B4:N4"/>
    <mergeCell ref="B3:I3"/>
    <mergeCell ref="B30:I30"/>
    <mergeCell ref="B33:G33"/>
    <mergeCell ref="AA33:AE33"/>
    <mergeCell ref="AF33:AI33"/>
    <mergeCell ref="O3:Q3"/>
    <mergeCell ref="R3:U3"/>
    <mergeCell ref="AA31:AF31"/>
    <mergeCell ref="AG31:AH31"/>
    <mergeCell ref="AF3:AI3"/>
    <mergeCell ref="AG30:AH30"/>
    <mergeCell ref="Z4:AB4"/>
    <mergeCell ref="AC4:AI4"/>
    <mergeCell ref="W3:Z3"/>
    <mergeCell ref="AA3:AB3"/>
    <mergeCell ref="B32:G32"/>
    <mergeCell ref="AC3:AE3"/>
    <mergeCell ref="BK17:BO17"/>
    <mergeCell ref="BK8:BO8"/>
    <mergeCell ref="J30:K30"/>
    <mergeCell ref="Q30:R30"/>
    <mergeCell ref="M30:P30"/>
    <mergeCell ref="T30:X30"/>
    <mergeCell ref="AE30:AF30"/>
    <mergeCell ref="BS4:BT4"/>
    <mergeCell ref="BR22:BR29"/>
    <mergeCell ref="Y30:Z30"/>
    <mergeCell ref="BK5:BO5"/>
    <mergeCell ref="AM4:AU4"/>
    <mergeCell ref="AV4:AW4"/>
    <mergeCell ref="AX4:AY4"/>
    <mergeCell ref="BK6:BO6"/>
    <mergeCell ref="BB4:BC4"/>
    <mergeCell ref="AZ4:BA4"/>
    <mergeCell ref="BD4:BF4"/>
    <mergeCell ref="BG4:BH4"/>
    <mergeCell ref="BI4:BJ4"/>
    <mergeCell ref="BK20:BO20"/>
    <mergeCell ref="BK19:BO19"/>
    <mergeCell ref="BK18:BO18"/>
  </mergeCells>
  <conditionalFormatting sqref="B6:AI29">
    <cfRule type="expression" dxfId="3" priority="2">
      <formula>OR(AND(NOT(ISBLANK($M6)),$M6&gt;$BV$9),AND(NOT(ISBLANK($M6)),$M6&lt;$BV$8))</formula>
    </cfRule>
    <cfRule type="expression" dxfId="2" priority="3">
      <formula>OR(AND(NOT(ISBLANK($L6)),$L6&gt;$BV$7),AND(NOT(ISBLANK($L6)),$L6&lt;$BV$6))</formula>
    </cfRule>
    <cfRule type="expression" dxfId="1" priority="4">
      <formula>OR(AND(NOT(ISBLANK($N6)),$N6&gt;$BV$11),AND(NOT(ISBLANK($N6)),$N6&lt;$BV$10))</formula>
    </cfRule>
  </conditionalFormatting>
  <conditionalFormatting sqref="BB2:BC3">
    <cfRule type="containsBlanks" dxfId="0" priority="1">
      <formula>LEN(TRIM(BB2))=0</formula>
    </cfRule>
  </conditionalFormatting>
  <dataValidations count="2">
    <dataValidation type="time" allowBlank="1" showInputMessage="1" showErrorMessage="1" sqref="AX6:AY29">
      <formula1>0</formula1>
      <formula2>0.999988425925926</formula2>
    </dataValidation>
    <dataValidation type="decimal" operator="greaterThanOrEqual" allowBlank="1" showInputMessage="1" showErrorMessage="1" sqref="BA6:BA29 BC6:BC29 BH6:BH29 BP6:BP29">
      <formula1>0</formula1>
    </dataValidation>
  </dataValidations>
  <pageMargins left="0.23622047244094491" right="0.23622047244094491" top="0.74803149606299213" bottom="0.74803149606299213" header="0.31496062992125984" footer="0.31496062992125984"/>
  <pageSetup paperSize="9" scale="15" fitToHeight="0" orientation="landscape" r:id="rId1"/>
  <colBreaks count="1" manualBreakCount="1">
    <brk id="35" max="33" man="1"/>
  </colBreaks>
  <ignoredErrors>
    <ignoredError sqref="BR17" unlocked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6" id="{857AA40F-87BD-4FB4-97A3-2C094266035D}">
            <x14:iconSet iconSet="3Symbols2" custom="1">
              <x14:cfvo type="percent">
                <xm:f>0</xm:f>
              </x14:cfvo>
              <x14:cfvo type="num">
                <xm:f>$BV$6</xm:f>
              </x14:cfvo>
              <x14:cfvo type="num" gte="0">
                <xm:f>$BV$7</xm:f>
              </x14:cfvo>
              <x14:cfIcon iconSet="3Symbols2" iconId="1"/>
              <x14:cfIcon iconSet="NoIcons" iconId="0"/>
              <x14:cfIcon iconSet="3Symbols2" iconId="1"/>
            </x14:iconSet>
          </x14:cfRule>
          <xm:sqref>L6:L29</xm:sqref>
        </x14:conditionalFormatting>
        <x14:conditionalFormatting xmlns:xm="http://schemas.microsoft.com/office/excel/2006/main">
          <x14:cfRule type="iconSet" priority="47" id="{E02D30E8-B2E8-4471-BA96-3F5FAFC745C8}">
            <x14:iconSet custom="1">
              <x14:cfvo type="percent">
                <xm:f>0</xm:f>
              </x14:cfvo>
              <x14:cfvo type="num">
                <xm:f>$BV$8</xm:f>
              </x14:cfvo>
              <x14:cfvo type="num" gte="0">
                <xm:f>$BV$9</xm:f>
              </x14:cfvo>
              <x14:cfIcon iconSet="3Symbols2" iconId="1"/>
              <x14:cfIcon iconSet="NoIcons" iconId="0"/>
              <x14:cfIcon iconSet="3Symbols2" iconId="1"/>
            </x14:iconSet>
          </x14:cfRule>
          <xm:sqref>M6:M29</xm:sqref>
        </x14:conditionalFormatting>
        <x14:conditionalFormatting xmlns:xm="http://schemas.microsoft.com/office/excel/2006/main">
          <x14:cfRule type="iconSet" priority="48" id="{0DCD25A7-CD6A-4AD2-99A3-DCE1FC5673CA}">
            <x14:iconSet custom="1">
              <x14:cfvo type="percent">
                <xm:f>0</xm:f>
              </x14:cfvo>
              <x14:cfvo type="num">
                <xm:f>$BV$10</xm:f>
              </x14:cfvo>
              <x14:cfvo type="num" gte="0">
                <xm:f>$BV$11</xm:f>
              </x14:cfvo>
              <x14:cfIcon iconSet="3Symbols2" iconId="1"/>
              <x14:cfIcon iconSet="NoIcons" iconId="0"/>
              <x14:cfIcon iconSet="3Symbols2" iconId="1"/>
            </x14:iconSet>
          </x14:cfRule>
          <xm:sqref>N6:N29</xm:sqref>
        </x14:conditionalFormatting>
        <x14:conditionalFormatting xmlns:xm="http://schemas.microsoft.com/office/excel/2006/main">
          <x14:cfRule type="iconSet" priority="49" id="{A25B42C9-D79B-42F1-90AB-05551F319465}">
            <x14:iconSet custom="1">
              <x14:cfvo type="percent">
                <xm:f>0</xm:f>
              </x14:cfvo>
              <x14:cfvo type="percent">
                <xm:f>0</xm:f>
              </x14:cfvo>
              <x14:cfvo type="num" gte="0">
                <xm:f>$BV$12</xm:f>
              </x14:cfvo>
              <x14:cfIcon iconSet="NoIcons" iconId="0"/>
              <x14:cfIcon iconSet="NoIcons" iconId="0"/>
              <x14:cfIcon iconSet="3Symbols" iconId="0"/>
            </x14:iconSet>
          </x14:cfRule>
          <xm:sqref>AB6:AB29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AH65"/>
  <sheetViews>
    <sheetView workbookViewId="0">
      <selection activeCell="E5" sqref="E5"/>
    </sheetView>
  </sheetViews>
  <sheetFormatPr defaultRowHeight="15"/>
  <cols>
    <col min="3" max="4" width="10.28515625" bestFit="1" customWidth="1"/>
  </cols>
  <sheetData>
    <row r="2" spans="2:34">
      <c r="B2" s="138"/>
      <c r="C2">
        <f>'ME-3'!AQ166</f>
        <v>0</v>
      </c>
      <c r="D2">
        <f>'ME-3'!AR166</f>
        <v>0</v>
      </c>
      <c r="E2" t="str">
        <f>'ME-3'!AS166</f>
        <v/>
      </c>
      <c r="F2">
        <f>'ME-3'!AT166</f>
        <v>0</v>
      </c>
      <c r="G2" t="e">
        <f>IF((F2-E2)*1440&lt;0,(F2-E2)*1440+1440,(F2-E2)*1440)</f>
        <v>#VALUE!</v>
      </c>
      <c r="H2">
        <f>'ME-3'!AU166</f>
        <v>0</v>
      </c>
      <c r="I2">
        <f>'ME-3'!AV166</f>
        <v>0</v>
      </c>
      <c r="J2">
        <f>'ME-3'!AW166</f>
        <v>0</v>
      </c>
      <c r="K2">
        <f>'ME-3'!AX166</f>
        <v>0</v>
      </c>
      <c r="L2">
        <f>IF((K2-J2)*1440&lt;0,(K2-J2)*1440+1440,(K2-J2)*1440)</f>
        <v>0</v>
      </c>
      <c r="M2">
        <f>'ME-3'!AY166</f>
        <v>0</v>
      </c>
      <c r="N2">
        <f>'ME-3'!AZ166</f>
        <v>0</v>
      </c>
      <c r="O2">
        <f>'ME-3'!BA166</f>
        <v>0</v>
      </c>
      <c r="P2">
        <f>'ME-3'!BB166</f>
        <v>0</v>
      </c>
      <c r="Q2">
        <f>IF((P2-O2)*1440&lt;0,(P2-O2)*1440+1440,(P2-O2)*1440)</f>
        <v>0</v>
      </c>
      <c r="R2">
        <f>'ME-3'!BC166</f>
        <v>0</v>
      </c>
      <c r="S2">
        <f>'ME-3'!BD166</f>
        <v>0</v>
      </c>
      <c r="T2">
        <f>'ME-3'!BE166</f>
        <v>0</v>
      </c>
      <c r="U2">
        <f>'ME-3'!BF166</f>
        <v>0</v>
      </c>
      <c r="V2">
        <f>IF((U2-T2)*1440&lt;0,(U2-T2)*1440+1440,(U2-T2)*1440)</f>
        <v>0</v>
      </c>
      <c r="W2">
        <f>'ME-3'!BG166</f>
        <v>0</v>
      </c>
      <c r="X2">
        <f>'ME-3'!BH166</f>
        <v>0</v>
      </c>
      <c r="Y2">
        <f>'ME-3'!BI166</f>
        <v>0</v>
      </c>
      <c r="Z2">
        <f>'ME-3'!BJ166</f>
        <v>0</v>
      </c>
      <c r="AA2">
        <f>IF((Z2-Y2)*1440&lt;0,(Z2-Y2)*1440+1440,(Z2-Y2)*1440)</f>
        <v>0</v>
      </c>
      <c r="AB2" s="139">
        <f>IF(C2="BT",G2,0)</f>
        <v>0</v>
      </c>
      <c r="AC2" s="139">
        <f>IF(H2="BT",L2,0)</f>
        <v>0</v>
      </c>
      <c r="AD2" s="139">
        <f>IF(M2="BT",Q2,0)</f>
        <v>0</v>
      </c>
      <c r="AE2" s="139">
        <f>IF(R2="BT",V2,0)</f>
        <v>0</v>
      </c>
      <c r="AF2" s="139">
        <f>IF(W2="BT",AA2,0)</f>
        <v>0</v>
      </c>
      <c r="AG2">
        <f>SUM(AB2:AF2)</f>
        <v>0</v>
      </c>
      <c r="AH2" t="e">
        <f>(G2+L2+Q2+V2+AA2)-AG2</f>
        <v>#VALUE!</v>
      </c>
    </row>
    <row r="3" spans="2:34">
      <c r="C3">
        <f>'ME-3'!AQ167</f>
        <v>0</v>
      </c>
      <c r="D3">
        <f>'ME-3'!AR167</f>
        <v>0</v>
      </c>
      <c r="E3">
        <f>'ME-3'!AS167</f>
        <v>0</v>
      </c>
      <c r="F3">
        <f>'ME-3'!AT167</f>
        <v>0</v>
      </c>
      <c r="G3">
        <f t="shared" ref="G3:G33" si="0">IF((F3-E3)*1440&lt;0,(F3-E3)*1440+1440,(F3-E3)*1440)</f>
        <v>0</v>
      </c>
      <c r="H3">
        <f>'ME-3'!AU167</f>
        <v>0</v>
      </c>
      <c r="I3">
        <f>'ME-3'!AV167</f>
        <v>0</v>
      </c>
      <c r="J3">
        <f>'ME-3'!AW167</f>
        <v>0</v>
      </c>
      <c r="K3">
        <f>'ME-3'!AX167</f>
        <v>0</v>
      </c>
      <c r="L3">
        <f t="shared" ref="L3:L33" si="1">IF((K3-J3)*1440&lt;0,(K3-J3)*1440+1440,(K3-J3)*1440)</f>
        <v>0</v>
      </c>
      <c r="M3">
        <f>'ME-3'!AY167</f>
        <v>0</v>
      </c>
      <c r="N3">
        <f>'ME-3'!AZ167</f>
        <v>0</v>
      </c>
      <c r="O3">
        <f>'ME-3'!BA167</f>
        <v>0</v>
      </c>
      <c r="P3">
        <f>'ME-3'!BB167</f>
        <v>0</v>
      </c>
      <c r="Q3">
        <f t="shared" ref="Q3:Q33" si="2">IF((P3-O3)*1440&lt;0,(P3-O3)*1440+1440,(P3-O3)*1440)</f>
        <v>0</v>
      </c>
      <c r="R3">
        <f>'ME-3'!BC167</f>
        <v>0</v>
      </c>
      <c r="S3">
        <f>'ME-3'!BD167</f>
        <v>0</v>
      </c>
      <c r="T3">
        <f>'ME-3'!BE167</f>
        <v>0</v>
      </c>
      <c r="U3">
        <f>'ME-3'!BF167</f>
        <v>0</v>
      </c>
      <c r="V3">
        <f t="shared" ref="V3:V33" si="3">IF((U3-T3)*1440&lt;0,(U3-T3)*1440+1440,(U3-T3)*1440)</f>
        <v>0</v>
      </c>
      <c r="W3">
        <f>'ME-3'!BG167</f>
        <v>0</v>
      </c>
      <c r="X3">
        <f>'ME-3'!BH167</f>
        <v>0</v>
      </c>
      <c r="Y3">
        <f>'ME-3'!BI167</f>
        <v>0</v>
      </c>
      <c r="Z3">
        <f>'ME-3'!BJ167</f>
        <v>0</v>
      </c>
      <c r="AA3">
        <f t="shared" ref="AA3:AA33" si="4">IF((Z3-Y3)*1440&lt;0,(Z3-Y3)*1440+1440,(Z3-Y3)*1440)</f>
        <v>0</v>
      </c>
      <c r="AB3" s="139">
        <f t="shared" ref="AB3:AB33" si="5">IF(C3="BT",G3,0)</f>
        <v>0</v>
      </c>
      <c r="AC3" s="139">
        <f t="shared" ref="AC3:AC33" si="6">IF(H3="BT",L3,0)</f>
        <v>0</v>
      </c>
      <c r="AD3" s="139">
        <f t="shared" ref="AD3:AD33" si="7">IF(M3="BT",Q3,0)</f>
        <v>0</v>
      </c>
      <c r="AE3" s="139">
        <f t="shared" ref="AE3:AE33" si="8">IF(R3="BT",V3,0)</f>
        <v>0</v>
      </c>
      <c r="AF3" s="139">
        <f t="shared" ref="AF3:AF33" si="9">IF(W3="BT",AA3,0)</f>
        <v>0</v>
      </c>
      <c r="AG3">
        <f t="shared" ref="AG3:AG33" si="10">SUM(AB3:AF3)</f>
        <v>0</v>
      </c>
      <c r="AH3">
        <f t="shared" ref="AH3:AH33" si="11">(G3+L3+Q3+V3+AA3)-AG3</f>
        <v>0</v>
      </c>
    </row>
    <row r="4" spans="2:34">
      <c r="C4">
        <f>'ME-3'!AQ168</f>
        <v>0</v>
      </c>
      <c r="D4">
        <f>'ME-3'!AR168</f>
        <v>0</v>
      </c>
      <c r="E4">
        <f>'ME-3'!AS168</f>
        <v>0</v>
      </c>
      <c r="F4">
        <f>'ME-3'!AT168</f>
        <v>0</v>
      </c>
      <c r="G4">
        <f t="shared" si="0"/>
        <v>0</v>
      </c>
      <c r="H4">
        <f>'ME-3'!AU168</f>
        <v>0</v>
      </c>
      <c r="I4">
        <f>'ME-3'!AV168</f>
        <v>0</v>
      </c>
      <c r="J4">
        <f>'ME-3'!AW168</f>
        <v>0</v>
      </c>
      <c r="K4">
        <f>'ME-3'!AX168</f>
        <v>0</v>
      </c>
      <c r="L4">
        <f t="shared" si="1"/>
        <v>0</v>
      </c>
      <c r="M4">
        <f>'ME-3'!AY168</f>
        <v>0</v>
      </c>
      <c r="N4">
        <f>'ME-3'!AZ168</f>
        <v>0</v>
      </c>
      <c r="O4">
        <f>'ME-3'!BA168</f>
        <v>0</v>
      </c>
      <c r="P4">
        <f>'ME-3'!BB168</f>
        <v>0</v>
      </c>
      <c r="Q4">
        <f t="shared" si="2"/>
        <v>0</v>
      </c>
      <c r="R4">
        <f>'ME-3'!BC168</f>
        <v>0</v>
      </c>
      <c r="S4">
        <f>'ME-3'!BD168</f>
        <v>0</v>
      </c>
      <c r="T4">
        <f>'ME-3'!BE168</f>
        <v>0</v>
      </c>
      <c r="U4">
        <f>'ME-3'!BF168</f>
        <v>0</v>
      </c>
      <c r="V4">
        <f t="shared" si="3"/>
        <v>0</v>
      </c>
      <c r="W4">
        <f>'ME-3'!BG168</f>
        <v>0</v>
      </c>
      <c r="X4">
        <f>'ME-3'!BH168</f>
        <v>0</v>
      </c>
      <c r="Y4">
        <f>'ME-3'!BI168</f>
        <v>0</v>
      </c>
      <c r="Z4">
        <f>'ME-3'!BJ168</f>
        <v>0</v>
      </c>
      <c r="AA4">
        <f t="shared" si="4"/>
        <v>0</v>
      </c>
      <c r="AB4" s="139">
        <f t="shared" si="5"/>
        <v>0</v>
      </c>
      <c r="AC4" s="139">
        <f t="shared" si="6"/>
        <v>0</v>
      </c>
      <c r="AD4" s="139">
        <f t="shared" si="7"/>
        <v>0</v>
      </c>
      <c r="AE4" s="139">
        <f t="shared" si="8"/>
        <v>0</v>
      </c>
      <c r="AF4" s="139">
        <f t="shared" si="9"/>
        <v>0</v>
      </c>
      <c r="AG4">
        <f t="shared" si="10"/>
        <v>0</v>
      </c>
      <c r="AH4">
        <f t="shared" si="11"/>
        <v>0</v>
      </c>
    </row>
    <row r="5" spans="2:34">
      <c r="C5">
        <f>'ME-3'!AQ169</f>
        <v>0</v>
      </c>
      <c r="D5">
        <f>'ME-3'!AR169</f>
        <v>0</v>
      </c>
      <c r="E5">
        <f>'ME-3'!AS169</f>
        <v>0</v>
      </c>
      <c r="F5">
        <f>'ME-3'!AT169</f>
        <v>0</v>
      </c>
      <c r="G5">
        <f t="shared" si="0"/>
        <v>0</v>
      </c>
      <c r="H5">
        <f>'ME-3'!AU169</f>
        <v>0</v>
      </c>
      <c r="I5">
        <f>'ME-3'!AV169</f>
        <v>0</v>
      </c>
      <c r="J5">
        <f>'ME-3'!AW169</f>
        <v>0</v>
      </c>
      <c r="K5">
        <f>'ME-3'!AX169</f>
        <v>0</v>
      </c>
      <c r="L5">
        <f t="shared" si="1"/>
        <v>0</v>
      </c>
      <c r="M5">
        <f>'ME-3'!AY169</f>
        <v>0</v>
      </c>
      <c r="N5">
        <f>'ME-3'!AZ169</f>
        <v>0</v>
      </c>
      <c r="O5">
        <f>'ME-3'!BA169</f>
        <v>0</v>
      </c>
      <c r="P5">
        <f>'ME-3'!BB169</f>
        <v>0</v>
      </c>
      <c r="Q5">
        <f t="shared" si="2"/>
        <v>0</v>
      </c>
      <c r="R5">
        <f>'ME-3'!BC169</f>
        <v>0</v>
      </c>
      <c r="S5">
        <f>'ME-3'!BD169</f>
        <v>0</v>
      </c>
      <c r="T5">
        <f>'ME-3'!BE169</f>
        <v>0</v>
      </c>
      <c r="U5">
        <f>'ME-3'!BF169</f>
        <v>0</v>
      </c>
      <c r="V5">
        <f t="shared" si="3"/>
        <v>0</v>
      </c>
      <c r="W5">
        <f>'ME-3'!BG169</f>
        <v>0</v>
      </c>
      <c r="X5">
        <f>'ME-3'!BH169</f>
        <v>0</v>
      </c>
      <c r="Y5">
        <f>'ME-3'!BI169</f>
        <v>0</v>
      </c>
      <c r="Z5">
        <f>'ME-3'!BJ169</f>
        <v>0</v>
      </c>
      <c r="AA5">
        <f t="shared" si="4"/>
        <v>0</v>
      </c>
      <c r="AB5" s="139">
        <f t="shared" si="5"/>
        <v>0</v>
      </c>
      <c r="AC5" s="139">
        <f t="shared" si="6"/>
        <v>0</v>
      </c>
      <c r="AD5" s="139">
        <f t="shared" si="7"/>
        <v>0</v>
      </c>
      <c r="AE5" s="139">
        <f t="shared" si="8"/>
        <v>0</v>
      </c>
      <c r="AF5" s="139">
        <f t="shared" si="9"/>
        <v>0</v>
      </c>
      <c r="AG5">
        <f t="shared" si="10"/>
        <v>0</v>
      </c>
      <c r="AH5">
        <f t="shared" si="11"/>
        <v>0</v>
      </c>
    </row>
    <row r="6" spans="2:34">
      <c r="C6">
        <f>'ME-3'!AQ170</f>
        <v>0</v>
      </c>
      <c r="D6">
        <f>'ME-3'!AR170</f>
        <v>0</v>
      </c>
      <c r="E6">
        <f>'ME-3'!AS170</f>
        <v>0</v>
      </c>
      <c r="F6">
        <f>'ME-3'!AT170</f>
        <v>0</v>
      </c>
      <c r="G6">
        <f t="shared" si="0"/>
        <v>0</v>
      </c>
      <c r="H6">
        <f>'ME-3'!AU170</f>
        <v>0</v>
      </c>
      <c r="I6">
        <f>'ME-3'!AV170</f>
        <v>0</v>
      </c>
      <c r="J6">
        <f>'ME-3'!AW170</f>
        <v>0</v>
      </c>
      <c r="K6">
        <f>'ME-3'!AX170</f>
        <v>0</v>
      </c>
      <c r="L6">
        <f t="shared" si="1"/>
        <v>0</v>
      </c>
      <c r="M6">
        <f>'ME-3'!AY170</f>
        <v>0</v>
      </c>
      <c r="N6">
        <f>'ME-3'!AZ170</f>
        <v>0</v>
      </c>
      <c r="O6">
        <f>'ME-3'!BA170</f>
        <v>0</v>
      </c>
      <c r="P6">
        <f>'ME-3'!BB170</f>
        <v>0</v>
      </c>
      <c r="Q6">
        <f t="shared" si="2"/>
        <v>0</v>
      </c>
      <c r="R6">
        <f>'ME-3'!BC170</f>
        <v>0</v>
      </c>
      <c r="S6">
        <f>'ME-3'!BD170</f>
        <v>0</v>
      </c>
      <c r="T6">
        <f>'ME-3'!BE170</f>
        <v>0</v>
      </c>
      <c r="U6">
        <f>'ME-3'!BF170</f>
        <v>0</v>
      </c>
      <c r="V6">
        <f t="shared" si="3"/>
        <v>0</v>
      </c>
      <c r="W6">
        <f>'ME-3'!BG170</f>
        <v>0</v>
      </c>
      <c r="X6">
        <f>'ME-3'!BH170</f>
        <v>0</v>
      </c>
      <c r="Y6">
        <f>'ME-3'!BI170</f>
        <v>0</v>
      </c>
      <c r="Z6">
        <f>'ME-3'!BJ170</f>
        <v>0</v>
      </c>
      <c r="AA6">
        <f t="shared" si="4"/>
        <v>0</v>
      </c>
      <c r="AB6" s="139">
        <f t="shared" si="5"/>
        <v>0</v>
      </c>
      <c r="AC6" s="139">
        <f t="shared" si="6"/>
        <v>0</v>
      </c>
      <c r="AD6" s="139">
        <f t="shared" si="7"/>
        <v>0</v>
      </c>
      <c r="AE6" s="139">
        <f t="shared" si="8"/>
        <v>0</v>
      </c>
      <c r="AF6" s="139">
        <f t="shared" si="9"/>
        <v>0</v>
      </c>
      <c r="AG6">
        <f t="shared" si="10"/>
        <v>0</v>
      </c>
      <c r="AH6">
        <f t="shared" si="11"/>
        <v>0</v>
      </c>
    </row>
    <row r="7" spans="2:34">
      <c r="C7">
        <f>'ME-3'!AQ171</f>
        <v>0</v>
      </c>
      <c r="D7">
        <f>'ME-3'!AR171</f>
        <v>0</v>
      </c>
      <c r="E7">
        <f>'ME-3'!AS171</f>
        <v>0</v>
      </c>
      <c r="F7">
        <f>'ME-3'!AT171</f>
        <v>0</v>
      </c>
      <c r="G7">
        <f t="shared" si="0"/>
        <v>0</v>
      </c>
      <c r="H7">
        <f>'ME-3'!AU171</f>
        <v>0</v>
      </c>
      <c r="I7">
        <f>'ME-3'!AV171</f>
        <v>0</v>
      </c>
      <c r="J7">
        <f>'ME-3'!AW171</f>
        <v>0</v>
      </c>
      <c r="K7">
        <f>'ME-3'!AX171</f>
        <v>0</v>
      </c>
      <c r="L7">
        <f t="shared" si="1"/>
        <v>0</v>
      </c>
      <c r="M7">
        <f>'ME-3'!AY171</f>
        <v>0</v>
      </c>
      <c r="N7">
        <f>'ME-3'!AZ171</f>
        <v>0</v>
      </c>
      <c r="O7">
        <f>'ME-3'!BA171</f>
        <v>0</v>
      </c>
      <c r="P7">
        <f>'ME-3'!BB171</f>
        <v>0</v>
      </c>
      <c r="Q7">
        <f t="shared" si="2"/>
        <v>0</v>
      </c>
      <c r="R7">
        <f>'ME-3'!BC171</f>
        <v>0</v>
      </c>
      <c r="S7">
        <f>'ME-3'!BD171</f>
        <v>0</v>
      </c>
      <c r="T7">
        <f>'ME-3'!BE171</f>
        <v>0</v>
      </c>
      <c r="U7">
        <f>'ME-3'!BF171</f>
        <v>0</v>
      </c>
      <c r="V7">
        <f t="shared" si="3"/>
        <v>0</v>
      </c>
      <c r="W7">
        <f>'ME-3'!BG171</f>
        <v>0</v>
      </c>
      <c r="X7">
        <f>'ME-3'!BH171</f>
        <v>0</v>
      </c>
      <c r="Y7">
        <f>'ME-3'!BI171</f>
        <v>0</v>
      </c>
      <c r="Z7">
        <f>'ME-3'!BJ171</f>
        <v>0</v>
      </c>
      <c r="AA7">
        <f t="shared" si="4"/>
        <v>0</v>
      </c>
      <c r="AB7" s="139">
        <f t="shared" si="5"/>
        <v>0</v>
      </c>
      <c r="AC7" s="139">
        <f t="shared" si="6"/>
        <v>0</v>
      </c>
      <c r="AD7" s="139">
        <f t="shared" si="7"/>
        <v>0</v>
      </c>
      <c r="AE7" s="139">
        <f t="shared" si="8"/>
        <v>0</v>
      </c>
      <c r="AF7" s="139">
        <f t="shared" si="9"/>
        <v>0</v>
      </c>
      <c r="AG7">
        <f t="shared" si="10"/>
        <v>0</v>
      </c>
      <c r="AH7">
        <f t="shared" si="11"/>
        <v>0</v>
      </c>
    </row>
    <row r="8" spans="2:34">
      <c r="C8">
        <f>'ME-3'!AQ172</f>
        <v>0</v>
      </c>
      <c r="D8">
        <f>'ME-3'!AR172</f>
        <v>0</v>
      </c>
      <c r="E8">
        <f>'ME-3'!AS172</f>
        <v>0</v>
      </c>
      <c r="F8">
        <f>'ME-3'!AT172</f>
        <v>0</v>
      </c>
      <c r="G8">
        <f t="shared" si="0"/>
        <v>0</v>
      </c>
      <c r="H8">
        <f>'ME-3'!AU172</f>
        <v>0</v>
      </c>
      <c r="I8">
        <f>'ME-3'!AV172</f>
        <v>0</v>
      </c>
      <c r="J8">
        <f>'ME-3'!AW172</f>
        <v>0</v>
      </c>
      <c r="K8">
        <f>'ME-3'!AX172</f>
        <v>0</v>
      </c>
      <c r="L8">
        <f t="shared" si="1"/>
        <v>0</v>
      </c>
      <c r="M8">
        <f>'ME-3'!AY172</f>
        <v>0</v>
      </c>
      <c r="N8">
        <f>'ME-3'!AZ172</f>
        <v>0</v>
      </c>
      <c r="O8">
        <f>'ME-3'!BA172</f>
        <v>0</v>
      </c>
      <c r="P8">
        <f>'ME-3'!BB172</f>
        <v>0</v>
      </c>
      <c r="Q8">
        <f t="shared" si="2"/>
        <v>0</v>
      </c>
      <c r="R8">
        <f>'ME-3'!BC172</f>
        <v>0</v>
      </c>
      <c r="S8">
        <f>'ME-3'!BD172</f>
        <v>0</v>
      </c>
      <c r="T8">
        <f>'ME-3'!BE172</f>
        <v>0</v>
      </c>
      <c r="U8">
        <f>'ME-3'!BF172</f>
        <v>0</v>
      </c>
      <c r="V8">
        <f t="shared" si="3"/>
        <v>0</v>
      </c>
      <c r="W8">
        <f>'ME-3'!BG172</f>
        <v>0</v>
      </c>
      <c r="X8">
        <f>'ME-3'!BH172</f>
        <v>0</v>
      </c>
      <c r="Y8">
        <f>'ME-3'!BI172</f>
        <v>0</v>
      </c>
      <c r="Z8">
        <f>'ME-3'!BJ172</f>
        <v>0</v>
      </c>
      <c r="AA8">
        <f t="shared" si="4"/>
        <v>0</v>
      </c>
      <c r="AB8" s="139">
        <f t="shared" si="5"/>
        <v>0</v>
      </c>
      <c r="AC8" s="139">
        <f t="shared" si="6"/>
        <v>0</v>
      </c>
      <c r="AD8" s="139">
        <f t="shared" si="7"/>
        <v>0</v>
      </c>
      <c r="AE8" s="139">
        <f t="shared" si="8"/>
        <v>0</v>
      </c>
      <c r="AF8" s="139">
        <f t="shared" si="9"/>
        <v>0</v>
      </c>
      <c r="AG8">
        <f t="shared" si="10"/>
        <v>0</v>
      </c>
      <c r="AH8">
        <f t="shared" si="11"/>
        <v>0</v>
      </c>
    </row>
    <row r="9" spans="2:34">
      <c r="C9">
        <f>'ME-3'!AQ173</f>
        <v>0</v>
      </c>
      <c r="D9">
        <f>'ME-3'!AR173</f>
        <v>0</v>
      </c>
      <c r="E9">
        <f>'ME-3'!AS173</f>
        <v>0</v>
      </c>
      <c r="F9">
        <f>'ME-3'!AT173</f>
        <v>0</v>
      </c>
      <c r="G9">
        <f t="shared" si="0"/>
        <v>0</v>
      </c>
      <c r="H9">
        <f>'ME-3'!AU173</f>
        <v>0</v>
      </c>
      <c r="I9">
        <f>'ME-3'!AV173</f>
        <v>0</v>
      </c>
      <c r="J9">
        <f>'ME-3'!AW173</f>
        <v>0</v>
      </c>
      <c r="K9">
        <f>'ME-3'!AX173</f>
        <v>0</v>
      </c>
      <c r="L9">
        <f t="shared" si="1"/>
        <v>0</v>
      </c>
      <c r="M9">
        <f>'ME-3'!AY173</f>
        <v>0</v>
      </c>
      <c r="N9">
        <f>'ME-3'!AZ173</f>
        <v>0</v>
      </c>
      <c r="O9">
        <f>'ME-3'!BA173</f>
        <v>0</v>
      </c>
      <c r="P9">
        <f>'ME-3'!BB173</f>
        <v>0</v>
      </c>
      <c r="Q9">
        <f t="shared" si="2"/>
        <v>0</v>
      </c>
      <c r="R9">
        <f>'ME-3'!BC173</f>
        <v>0</v>
      </c>
      <c r="S9">
        <f>'ME-3'!BD173</f>
        <v>0</v>
      </c>
      <c r="T9">
        <f>'ME-3'!BE173</f>
        <v>0</v>
      </c>
      <c r="U9">
        <f>'ME-3'!BF173</f>
        <v>0</v>
      </c>
      <c r="V9">
        <f t="shared" si="3"/>
        <v>0</v>
      </c>
      <c r="W9">
        <f>'ME-3'!BG173</f>
        <v>0</v>
      </c>
      <c r="X9">
        <f>'ME-3'!BH173</f>
        <v>0</v>
      </c>
      <c r="Y9">
        <f>'ME-3'!BI173</f>
        <v>0</v>
      </c>
      <c r="Z9">
        <f>'ME-3'!BJ173</f>
        <v>0</v>
      </c>
      <c r="AA9">
        <f t="shared" si="4"/>
        <v>0</v>
      </c>
      <c r="AB9" s="139">
        <f t="shared" si="5"/>
        <v>0</v>
      </c>
      <c r="AC9" s="139">
        <f t="shared" si="6"/>
        <v>0</v>
      </c>
      <c r="AD9" s="139">
        <f t="shared" si="7"/>
        <v>0</v>
      </c>
      <c r="AE9" s="139">
        <f t="shared" si="8"/>
        <v>0</v>
      </c>
      <c r="AF9" s="139">
        <f t="shared" si="9"/>
        <v>0</v>
      </c>
      <c r="AG9">
        <f t="shared" si="10"/>
        <v>0</v>
      </c>
      <c r="AH9">
        <f t="shared" si="11"/>
        <v>0</v>
      </c>
    </row>
    <row r="10" spans="2:34">
      <c r="C10">
        <f>'ME-3'!AQ174</f>
        <v>0</v>
      </c>
      <c r="D10">
        <f>'ME-3'!AR174</f>
        <v>0</v>
      </c>
      <c r="E10">
        <f>'ME-3'!AS174</f>
        <v>0</v>
      </c>
      <c r="F10">
        <f>'ME-3'!AT174</f>
        <v>0</v>
      </c>
      <c r="G10">
        <f t="shared" si="0"/>
        <v>0</v>
      </c>
      <c r="H10">
        <f>'ME-3'!AU174</f>
        <v>0</v>
      </c>
      <c r="I10">
        <f>'ME-3'!AV174</f>
        <v>0</v>
      </c>
      <c r="J10">
        <f>'ME-3'!AW174</f>
        <v>0</v>
      </c>
      <c r="K10">
        <f>'ME-3'!AX174</f>
        <v>0</v>
      </c>
      <c r="L10">
        <f t="shared" si="1"/>
        <v>0</v>
      </c>
      <c r="M10">
        <f>'ME-3'!AY174</f>
        <v>0</v>
      </c>
      <c r="N10">
        <f>'ME-3'!AZ174</f>
        <v>0</v>
      </c>
      <c r="O10">
        <f>'ME-3'!BA174</f>
        <v>0</v>
      </c>
      <c r="P10">
        <f>'ME-3'!BB174</f>
        <v>0</v>
      </c>
      <c r="Q10">
        <f t="shared" si="2"/>
        <v>0</v>
      </c>
      <c r="R10">
        <f>'ME-3'!BC174</f>
        <v>0</v>
      </c>
      <c r="S10">
        <f>'ME-3'!BD174</f>
        <v>0</v>
      </c>
      <c r="T10">
        <f>'ME-3'!BE174</f>
        <v>0</v>
      </c>
      <c r="U10">
        <f>'ME-3'!BF174</f>
        <v>0</v>
      </c>
      <c r="V10">
        <f t="shared" si="3"/>
        <v>0</v>
      </c>
      <c r="W10">
        <f>'ME-3'!BG174</f>
        <v>0</v>
      </c>
      <c r="X10">
        <f>'ME-3'!BH174</f>
        <v>0</v>
      </c>
      <c r="Y10">
        <f>'ME-3'!BI174</f>
        <v>0</v>
      </c>
      <c r="Z10">
        <f>'ME-3'!BJ174</f>
        <v>0</v>
      </c>
      <c r="AA10">
        <f t="shared" si="4"/>
        <v>0</v>
      </c>
      <c r="AB10" s="139">
        <f t="shared" si="5"/>
        <v>0</v>
      </c>
      <c r="AC10" s="139">
        <f t="shared" si="6"/>
        <v>0</v>
      </c>
      <c r="AD10" s="139">
        <f t="shared" si="7"/>
        <v>0</v>
      </c>
      <c r="AE10" s="139">
        <f t="shared" si="8"/>
        <v>0</v>
      </c>
      <c r="AF10" s="139">
        <f t="shared" si="9"/>
        <v>0</v>
      </c>
      <c r="AG10">
        <f t="shared" si="10"/>
        <v>0</v>
      </c>
      <c r="AH10">
        <f t="shared" si="11"/>
        <v>0</v>
      </c>
    </row>
    <row r="11" spans="2:34">
      <c r="C11">
        <f>'ME-3'!AQ175</f>
        <v>0</v>
      </c>
      <c r="D11">
        <f>'ME-3'!AR175</f>
        <v>0</v>
      </c>
      <c r="E11">
        <f>'ME-3'!AS175</f>
        <v>0</v>
      </c>
      <c r="F11">
        <f>'ME-3'!AT175</f>
        <v>0</v>
      </c>
      <c r="G11">
        <f t="shared" si="0"/>
        <v>0</v>
      </c>
      <c r="H11">
        <f>'ME-3'!AU175</f>
        <v>0</v>
      </c>
      <c r="I11">
        <f>'ME-3'!AV175</f>
        <v>0</v>
      </c>
      <c r="J11">
        <f>'ME-3'!AW175</f>
        <v>0</v>
      </c>
      <c r="K11">
        <f>'ME-3'!AX175</f>
        <v>0</v>
      </c>
      <c r="L11">
        <f t="shared" si="1"/>
        <v>0</v>
      </c>
      <c r="M11">
        <f>'ME-3'!AY175</f>
        <v>0</v>
      </c>
      <c r="N11">
        <f>'ME-3'!AZ175</f>
        <v>0</v>
      </c>
      <c r="O11">
        <f>'ME-3'!BA175</f>
        <v>0</v>
      </c>
      <c r="P11">
        <f>'ME-3'!BB175</f>
        <v>0</v>
      </c>
      <c r="Q11">
        <f t="shared" si="2"/>
        <v>0</v>
      </c>
      <c r="R11">
        <f>'ME-3'!BC175</f>
        <v>0</v>
      </c>
      <c r="S11">
        <f>'ME-3'!BD175</f>
        <v>0</v>
      </c>
      <c r="T11">
        <f>'ME-3'!BE175</f>
        <v>0</v>
      </c>
      <c r="U11">
        <f>'ME-3'!BF175</f>
        <v>0</v>
      </c>
      <c r="V11">
        <f t="shared" si="3"/>
        <v>0</v>
      </c>
      <c r="W11">
        <f>'ME-3'!BG175</f>
        <v>0</v>
      </c>
      <c r="X11">
        <f>'ME-3'!BH175</f>
        <v>0</v>
      </c>
      <c r="Y11">
        <f>'ME-3'!BI175</f>
        <v>0</v>
      </c>
      <c r="Z11">
        <f>'ME-3'!BJ175</f>
        <v>0</v>
      </c>
      <c r="AA11">
        <f t="shared" si="4"/>
        <v>0</v>
      </c>
      <c r="AB11" s="139">
        <f t="shared" si="5"/>
        <v>0</v>
      </c>
      <c r="AC11" s="139">
        <f t="shared" si="6"/>
        <v>0</v>
      </c>
      <c r="AD11" s="139">
        <f t="shared" si="7"/>
        <v>0</v>
      </c>
      <c r="AE11" s="139">
        <f t="shared" si="8"/>
        <v>0</v>
      </c>
      <c r="AF11" s="139">
        <f t="shared" si="9"/>
        <v>0</v>
      </c>
      <c r="AG11">
        <f t="shared" si="10"/>
        <v>0</v>
      </c>
      <c r="AH11">
        <f t="shared" si="11"/>
        <v>0</v>
      </c>
    </row>
    <row r="12" spans="2:34">
      <c r="C12">
        <f>'ME-3'!AQ176</f>
        <v>0</v>
      </c>
      <c r="D12">
        <f>'ME-3'!AR176</f>
        <v>0</v>
      </c>
      <c r="E12">
        <f>'ME-3'!AS176</f>
        <v>0</v>
      </c>
      <c r="F12">
        <f>'ME-3'!AT176</f>
        <v>0</v>
      </c>
      <c r="G12">
        <f t="shared" si="0"/>
        <v>0</v>
      </c>
      <c r="H12">
        <f>'ME-3'!AU176</f>
        <v>0</v>
      </c>
      <c r="I12">
        <f>'ME-3'!AV176</f>
        <v>0</v>
      </c>
      <c r="J12">
        <f>'ME-3'!AW176</f>
        <v>0</v>
      </c>
      <c r="K12">
        <f>'ME-3'!AX176</f>
        <v>0</v>
      </c>
      <c r="L12">
        <f t="shared" si="1"/>
        <v>0</v>
      </c>
      <c r="M12">
        <f>'ME-3'!AY176</f>
        <v>0</v>
      </c>
      <c r="N12">
        <f>'ME-3'!AZ176</f>
        <v>0</v>
      </c>
      <c r="O12">
        <f>'ME-3'!BA176</f>
        <v>0</v>
      </c>
      <c r="P12">
        <f>'ME-3'!BB176</f>
        <v>0</v>
      </c>
      <c r="Q12">
        <f t="shared" si="2"/>
        <v>0</v>
      </c>
      <c r="R12">
        <f>'ME-3'!BC176</f>
        <v>0</v>
      </c>
      <c r="S12">
        <f>'ME-3'!BD176</f>
        <v>0</v>
      </c>
      <c r="T12">
        <f>'ME-3'!BE176</f>
        <v>0</v>
      </c>
      <c r="U12">
        <f>'ME-3'!BF176</f>
        <v>0</v>
      </c>
      <c r="V12">
        <f t="shared" si="3"/>
        <v>0</v>
      </c>
      <c r="W12">
        <f>'ME-3'!BG176</f>
        <v>0</v>
      </c>
      <c r="X12">
        <f>'ME-3'!BH176</f>
        <v>0</v>
      </c>
      <c r="Y12">
        <f>'ME-3'!BI176</f>
        <v>0</v>
      </c>
      <c r="Z12">
        <f>'ME-3'!BJ176</f>
        <v>0</v>
      </c>
      <c r="AA12">
        <f t="shared" si="4"/>
        <v>0</v>
      </c>
      <c r="AB12" s="139">
        <f t="shared" si="5"/>
        <v>0</v>
      </c>
      <c r="AC12" s="139">
        <f t="shared" si="6"/>
        <v>0</v>
      </c>
      <c r="AD12" s="139">
        <f t="shared" si="7"/>
        <v>0</v>
      </c>
      <c r="AE12" s="139">
        <f t="shared" si="8"/>
        <v>0</v>
      </c>
      <c r="AF12" s="139">
        <f t="shared" si="9"/>
        <v>0</v>
      </c>
      <c r="AG12">
        <f t="shared" si="10"/>
        <v>0</v>
      </c>
      <c r="AH12">
        <f t="shared" si="11"/>
        <v>0</v>
      </c>
    </row>
    <row r="13" spans="2:34">
      <c r="C13">
        <f>'ME-3'!AQ177</f>
        <v>0</v>
      </c>
      <c r="D13">
        <f>'ME-3'!AR177</f>
        <v>0</v>
      </c>
      <c r="E13">
        <f>'ME-3'!AS177</f>
        <v>0</v>
      </c>
      <c r="F13">
        <f>'ME-3'!AT177</f>
        <v>0</v>
      </c>
      <c r="G13">
        <f t="shared" si="0"/>
        <v>0</v>
      </c>
      <c r="H13">
        <f>'ME-3'!AU177</f>
        <v>0</v>
      </c>
      <c r="I13">
        <f>'ME-3'!AV177</f>
        <v>0</v>
      </c>
      <c r="J13">
        <f>'ME-3'!AW177</f>
        <v>0</v>
      </c>
      <c r="K13">
        <f>'ME-3'!AX177</f>
        <v>0</v>
      </c>
      <c r="L13">
        <f t="shared" si="1"/>
        <v>0</v>
      </c>
      <c r="M13">
        <f>'ME-3'!AY177</f>
        <v>0</v>
      </c>
      <c r="N13">
        <f>'ME-3'!AZ177</f>
        <v>0</v>
      </c>
      <c r="O13">
        <f>'ME-3'!BA177</f>
        <v>0</v>
      </c>
      <c r="P13">
        <f>'ME-3'!BB177</f>
        <v>0</v>
      </c>
      <c r="Q13">
        <f t="shared" si="2"/>
        <v>0</v>
      </c>
      <c r="R13">
        <f>'ME-3'!BC177</f>
        <v>0</v>
      </c>
      <c r="S13">
        <f>'ME-3'!BD177</f>
        <v>0</v>
      </c>
      <c r="T13">
        <f>'ME-3'!BE177</f>
        <v>0</v>
      </c>
      <c r="U13">
        <f>'ME-3'!BF177</f>
        <v>0</v>
      </c>
      <c r="V13">
        <f t="shared" si="3"/>
        <v>0</v>
      </c>
      <c r="W13">
        <f>'ME-3'!BG177</f>
        <v>0</v>
      </c>
      <c r="X13">
        <f>'ME-3'!BH177</f>
        <v>0</v>
      </c>
      <c r="Y13">
        <f>'ME-3'!BI177</f>
        <v>0</v>
      </c>
      <c r="Z13">
        <f>'ME-3'!BJ177</f>
        <v>0</v>
      </c>
      <c r="AA13">
        <f t="shared" si="4"/>
        <v>0</v>
      </c>
      <c r="AB13" s="139">
        <f t="shared" si="5"/>
        <v>0</v>
      </c>
      <c r="AC13" s="139">
        <f t="shared" si="6"/>
        <v>0</v>
      </c>
      <c r="AD13" s="139">
        <f t="shared" si="7"/>
        <v>0</v>
      </c>
      <c r="AE13" s="139">
        <f t="shared" si="8"/>
        <v>0</v>
      </c>
      <c r="AF13" s="139">
        <f t="shared" si="9"/>
        <v>0</v>
      </c>
      <c r="AG13">
        <f t="shared" si="10"/>
        <v>0</v>
      </c>
      <c r="AH13">
        <f t="shared" si="11"/>
        <v>0</v>
      </c>
    </row>
    <row r="14" spans="2:34">
      <c r="C14">
        <f>'ME-3'!AQ178</f>
        <v>0</v>
      </c>
      <c r="D14">
        <f>'ME-3'!AR178</f>
        <v>0</v>
      </c>
      <c r="E14">
        <f>'ME-3'!AS178</f>
        <v>0</v>
      </c>
      <c r="F14">
        <f>'ME-3'!AT178</f>
        <v>0</v>
      </c>
      <c r="G14">
        <f t="shared" si="0"/>
        <v>0</v>
      </c>
      <c r="H14">
        <f>'ME-3'!AU178</f>
        <v>0</v>
      </c>
      <c r="I14">
        <f>'ME-3'!AV178</f>
        <v>0</v>
      </c>
      <c r="J14">
        <f>'ME-3'!AW178</f>
        <v>0</v>
      </c>
      <c r="K14">
        <f>'ME-3'!AX178</f>
        <v>0</v>
      </c>
      <c r="L14">
        <f t="shared" si="1"/>
        <v>0</v>
      </c>
      <c r="M14">
        <f>'ME-3'!AY178</f>
        <v>0</v>
      </c>
      <c r="N14">
        <f>'ME-3'!AZ178</f>
        <v>0</v>
      </c>
      <c r="O14">
        <f>'ME-3'!BA178</f>
        <v>0</v>
      </c>
      <c r="P14">
        <f>'ME-3'!BB178</f>
        <v>0</v>
      </c>
      <c r="Q14">
        <f t="shared" si="2"/>
        <v>0</v>
      </c>
      <c r="R14">
        <f>'ME-3'!BC178</f>
        <v>0</v>
      </c>
      <c r="S14">
        <f>'ME-3'!BD178</f>
        <v>0</v>
      </c>
      <c r="T14">
        <f>'ME-3'!BE178</f>
        <v>0</v>
      </c>
      <c r="U14">
        <f>'ME-3'!BF178</f>
        <v>0</v>
      </c>
      <c r="V14">
        <f t="shared" si="3"/>
        <v>0</v>
      </c>
      <c r="W14">
        <f>'ME-3'!BG178</f>
        <v>0</v>
      </c>
      <c r="X14">
        <f>'ME-3'!BH178</f>
        <v>0</v>
      </c>
      <c r="Y14">
        <f>'ME-3'!BI178</f>
        <v>0</v>
      </c>
      <c r="Z14">
        <f>'ME-3'!BJ178</f>
        <v>0</v>
      </c>
      <c r="AA14">
        <f t="shared" si="4"/>
        <v>0</v>
      </c>
      <c r="AB14" s="139">
        <f t="shared" si="5"/>
        <v>0</v>
      </c>
      <c r="AC14" s="139">
        <f t="shared" si="6"/>
        <v>0</v>
      </c>
      <c r="AD14" s="139">
        <f t="shared" si="7"/>
        <v>0</v>
      </c>
      <c r="AE14" s="139">
        <f t="shared" si="8"/>
        <v>0</v>
      </c>
      <c r="AF14" s="139">
        <f t="shared" si="9"/>
        <v>0</v>
      </c>
      <c r="AG14">
        <f t="shared" si="10"/>
        <v>0</v>
      </c>
      <c r="AH14">
        <f t="shared" si="11"/>
        <v>0</v>
      </c>
    </row>
    <row r="15" spans="2:34">
      <c r="C15">
        <f>'ME-3'!AQ179</f>
        <v>0</v>
      </c>
      <c r="D15">
        <f>'ME-3'!AR179</f>
        <v>0</v>
      </c>
      <c r="E15">
        <f>'ME-3'!AS179</f>
        <v>0</v>
      </c>
      <c r="F15">
        <f>'ME-3'!AT179</f>
        <v>0</v>
      </c>
      <c r="G15">
        <f t="shared" si="0"/>
        <v>0</v>
      </c>
      <c r="H15">
        <f>'ME-3'!AU179</f>
        <v>0</v>
      </c>
      <c r="I15">
        <f>'ME-3'!AV179</f>
        <v>0</v>
      </c>
      <c r="J15">
        <f>'ME-3'!AW179</f>
        <v>0</v>
      </c>
      <c r="K15">
        <f>'ME-3'!AX179</f>
        <v>0</v>
      </c>
      <c r="L15">
        <f t="shared" si="1"/>
        <v>0</v>
      </c>
      <c r="M15">
        <f>'ME-3'!AY179</f>
        <v>0</v>
      </c>
      <c r="N15">
        <f>'ME-3'!AZ179</f>
        <v>0</v>
      </c>
      <c r="O15">
        <f>'ME-3'!BA179</f>
        <v>0</v>
      </c>
      <c r="P15">
        <f>'ME-3'!BB179</f>
        <v>0</v>
      </c>
      <c r="Q15">
        <f t="shared" si="2"/>
        <v>0</v>
      </c>
      <c r="R15">
        <f>'ME-3'!BC179</f>
        <v>0</v>
      </c>
      <c r="S15">
        <f>'ME-3'!BD179</f>
        <v>0</v>
      </c>
      <c r="T15">
        <f>'ME-3'!BE179</f>
        <v>0</v>
      </c>
      <c r="U15">
        <f>'ME-3'!BF179</f>
        <v>0</v>
      </c>
      <c r="V15">
        <f t="shared" si="3"/>
        <v>0</v>
      </c>
      <c r="W15">
        <f>'ME-3'!BG179</f>
        <v>0</v>
      </c>
      <c r="X15">
        <f>'ME-3'!BH179</f>
        <v>0</v>
      </c>
      <c r="Y15">
        <f>'ME-3'!BI179</f>
        <v>0</v>
      </c>
      <c r="Z15">
        <f>'ME-3'!BJ179</f>
        <v>0</v>
      </c>
      <c r="AA15">
        <f t="shared" si="4"/>
        <v>0</v>
      </c>
      <c r="AB15" s="139">
        <f t="shared" si="5"/>
        <v>0</v>
      </c>
      <c r="AC15" s="139">
        <f t="shared" si="6"/>
        <v>0</v>
      </c>
      <c r="AD15" s="139">
        <f t="shared" si="7"/>
        <v>0</v>
      </c>
      <c r="AE15" s="139">
        <f t="shared" si="8"/>
        <v>0</v>
      </c>
      <c r="AF15" s="139">
        <f t="shared" si="9"/>
        <v>0</v>
      </c>
      <c r="AG15">
        <f t="shared" si="10"/>
        <v>0</v>
      </c>
      <c r="AH15">
        <f t="shared" si="11"/>
        <v>0</v>
      </c>
    </row>
    <row r="16" spans="2:34">
      <c r="C16">
        <f>'ME-3'!AQ180</f>
        <v>0</v>
      </c>
      <c r="D16">
        <f>'ME-3'!AR180</f>
        <v>0</v>
      </c>
      <c r="E16">
        <f>'ME-3'!AS180</f>
        <v>0</v>
      </c>
      <c r="F16">
        <f>'ME-3'!AT180</f>
        <v>0</v>
      </c>
      <c r="G16">
        <f t="shared" si="0"/>
        <v>0</v>
      </c>
      <c r="H16">
        <f>'ME-3'!AU180</f>
        <v>0</v>
      </c>
      <c r="I16">
        <f>'ME-3'!AV180</f>
        <v>0</v>
      </c>
      <c r="J16">
        <f>'ME-3'!AW180</f>
        <v>0</v>
      </c>
      <c r="K16">
        <f>'ME-3'!AX180</f>
        <v>0</v>
      </c>
      <c r="L16">
        <f t="shared" si="1"/>
        <v>0</v>
      </c>
      <c r="M16">
        <f>'ME-3'!AY180</f>
        <v>0</v>
      </c>
      <c r="N16">
        <f>'ME-3'!AZ180</f>
        <v>0</v>
      </c>
      <c r="O16">
        <f>'ME-3'!BA180</f>
        <v>0</v>
      </c>
      <c r="P16">
        <f>'ME-3'!BB180</f>
        <v>0</v>
      </c>
      <c r="Q16">
        <f t="shared" si="2"/>
        <v>0</v>
      </c>
      <c r="R16">
        <f>'ME-3'!BC180</f>
        <v>0</v>
      </c>
      <c r="S16">
        <f>'ME-3'!BD180</f>
        <v>0</v>
      </c>
      <c r="T16">
        <f>'ME-3'!BE180</f>
        <v>0</v>
      </c>
      <c r="U16">
        <f>'ME-3'!BF180</f>
        <v>0</v>
      </c>
      <c r="V16">
        <f t="shared" si="3"/>
        <v>0</v>
      </c>
      <c r="W16">
        <f>'ME-3'!BG180</f>
        <v>0</v>
      </c>
      <c r="X16">
        <f>'ME-3'!BH180</f>
        <v>0</v>
      </c>
      <c r="Y16">
        <f>'ME-3'!BI180</f>
        <v>0</v>
      </c>
      <c r="Z16">
        <f>'ME-3'!BJ180</f>
        <v>0</v>
      </c>
      <c r="AA16">
        <f t="shared" si="4"/>
        <v>0</v>
      </c>
      <c r="AB16" s="139">
        <f t="shared" si="5"/>
        <v>0</v>
      </c>
      <c r="AC16" s="139">
        <f t="shared" si="6"/>
        <v>0</v>
      </c>
      <c r="AD16" s="139">
        <f t="shared" si="7"/>
        <v>0</v>
      </c>
      <c r="AE16" s="139">
        <f t="shared" si="8"/>
        <v>0</v>
      </c>
      <c r="AF16" s="139">
        <f t="shared" si="9"/>
        <v>0</v>
      </c>
      <c r="AG16">
        <f t="shared" si="10"/>
        <v>0</v>
      </c>
      <c r="AH16">
        <f t="shared" si="11"/>
        <v>0</v>
      </c>
    </row>
    <row r="17" spans="3:34">
      <c r="C17">
        <f>'ME-3'!AQ181</f>
        <v>0</v>
      </c>
      <c r="D17">
        <f>'ME-3'!AR181</f>
        <v>0</v>
      </c>
      <c r="E17">
        <f>'ME-3'!AS181</f>
        <v>0</v>
      </c>
      <c r="F17">
        <f>'ME-3'!AT181</f>
        <v>0</v>
      </c>
      <c r="G17">
        <f t="shared" si="0"/>
        <v>0</v>
      </c>
      <c r="H17">
        <f>'ME-3'!AU181</f>
        <v>0</v>
      </c>
      <c r="I17">
        <f>'ME-3'!AV181</f>
        <v>0</v>
      </c>
      <c r="J17">
        <f>'ME-3'!AW181</f>
        <v>0</v>
      </c>
      <c r="K17">
        <f>'ME-3'!AX181</f>
        <v>0</v>
      </c>
      <c r="L17">
        <f t="shared" si="1"/>
        <v>0</v>
      </c>
      <c r="M17">
        <f>'ME-3'!AY181</f>
        <v>0</v>
      </c>
      <c r="N17">
        <f>'ME-3'!AZ181</f>
        <v>0</v>
      </c>
      <c r="O17">
        <f>'ME-3'!BA181</f>
        <v>0</v>
      </c>
      <c r="P17">
        <f>'ME-3'!BB181</f>
        <v>0</v>
      </c>
      <c r="Q17">
        <f t="shared" si="2"/>
        <v>0</v>
      </c>
      <c r="R17">
        <f>'ME-3'!BC181</f>
        <v>0</v>
      </c>
      <c r="S17">
        <f>'ME-3'!BD181</f>
        <v>0</v>
      </c>
      <c r="T17">
        <f>'ME-3'!BE181</f>
        <v>0</v>
      </c>
      <c r="U17">
        <f>'ME-3'!BF181</f>
        <v>0</v>
      </c>
      <c r="V17">
        <f t="shared" si="3"/>
        <v>0</v>
      </c>
      <c r="W17">
        <f>'ME-3'!BG181</f>
        <v>0</v>
      </c>
      <c r="X17">
        <f>'ME-3'!BH181</f>
        <v>0</v>
      </c>
      <c r="Y17">
        <f>'ME-3'!BI181</f>
        <v>0</v>
      </c>
      <c r="Z17">
        <f>'ME-3'!BJ181</f>
        <v>0</v>
      </c>
      <c r="AA17">
        <f t="shared" si="4"/>
        <v>0</v>
      </c>
      <c r="AB17" s="139">
        <f t="shared" si="5"/>
        <v>0</v>
      </c>
      <c r="AC17" s="139">
        <f t="shared" si="6"/>
        <v>0</v>
      </c>
      <c r="AD17" s="139">
        <f t="shared" si="7"/>
        <v>0</v>
      </c>
      <c r="AE17" s="139">
        <f t="shared" si="8"/>
        <v>0</v>
      </c>
      <c r="AF17" s="139">
        <f t="shared" si="9"/>
        <v>0</v>
      </c>
      <c r="AG17">
        <f t="shared" si="10"/>
        <v>0</v>
      </c>
      <c r="AH17">
        <f t="shared" si="11"/>
        <v>0</v>
      </c>
    </row>
    <row r="18" spans="3:34">
      <c r="C18">
        <f>'ME-3'!AQ182</f>
        <v>0</v>
      </c>
      <c r="D18">
        <f>'ME-3'!AR182</f>
        <v>0</v>
      </c>
      <c r="E18">
        <f>'ME-3'!AS182</f>
        <v>0</v>
      </c>
      <c r="F18">
        <f>'ME-3'!AT182</f>
        <v>0</v>
      </c>
      <c r="G18">
        <f t="shared" si="0"/>
        <v>0</v>
      </c>
      <c r="H18">
        <f>'ME-3'!AU182</f>
        <v>0</v>
      </c>
      <c r="I18">
        <f>'ME-3'!AV182</f>
        <v>0</v>
      </c>
      <c r="J18">
        <f>'ME-3'!AW182</f>
        <v>0</v>
      </c>
      <c r="K18">
        <f>'ME-3'!AX182</f>
        <v>0</v>
      </c>
      <c r="L18">
        <f t="shared" si="1"/>
        <v>0</v>
      </c>
      <c r="M18">
        <f>'ME-3'!AY182</f>
        <v>0</v>
      </c>
      <c r="N18">
        <f>'ME-3'!AZ182</f>
        <v>0</v>
      </c>
      <c r="O18">
        <f>'ME-3'!BA182</f>
        <v>0</v>
      </c>
      <c r="P18">
        <f>'ME-3'!BB182</f>
        <v>0</v>
      </c>
      <c r="Q18">
        <f t="shared" si="2"/>
        <v>0</v>
      </c>
      <c r="R18">
        <f>'ME-3'!BC182</f>
        <v>0</v>
      </c>
      <c r="S18">
        <f>'ME-3'!BD182</f>
        <v>0</v>
      </c>
      <c r="T18">
        <f>'ME-3'!BE182</f>
        <v>0</v>
      </c>
      <c r="U18">
        <f>'ME-3'!BF182</f>
        <v>0</v>
      </c>
      <c r="V18">
        <f t="shared" si="3"/>
        <v>0</v>
      </c>
      <c r="W18">
        <f>'ME-3'!BG182</f>
        <v>0</v>
      </c>
      <c r="X18">
        <f>'ME-3'!BH182</f>
        <v>0</v>
      </c>
      <c r="Y18">
        <f>'ME-3'!BI182</f>
        <v>0</v>
      </c>
      <c r="Z18">
        <f>'ME-3'!BJ182</f>
        <v>0</v>
      </c>
      <c r="AA18">
        <f t="shared" si="4"/>
        <v>0</v>
      </c>
      <c r="AB18" s="139">
        <f t="shared" si="5"/>
        <v>0</v>
      </c>
      <c r="AC18" s="139">
        <f t="shared" si="6"/>
        <v>0</v>
      </c>
      <c r="AD18" s="139">
        <f t="shared" si="7"/>
        <v>0</v>
      </c>
      <c r="AE18" s="139">
        <f t="shared" si="8"/>
        <v>0</v>
      </c>
      <c r="AF18" s="139">
        <f t="shared" si="9"/>
        <v>0</v>
      </c>
      <c r="AG18">
        <f t="shared" si="10"/>
        <v>0</v>
      </c>
      <c r="AH18">
        <f t="shared" si="11"/>
        <v>0</v>
      </c>
    </row>
    <row r="19" spans="3:34">
      <c r="C19">
        <f>'ME-3'!AQ183</f>
        <v>0</v>
      </c>
      <c r="D19">
        <f>'ME-3'!AR183</f>
        <v>0</v>
      </c>
      <c r="E19">
        <f>'ME-3'!AS183</f>
        <v>0</v>
      </c>
      <c r="F19">
        <f>'ME-3'!AT183</f>
        <v>0</v>
      </c>
      <c r="G19">
        <f t="shared" si="0"/>
        <v>0</v>
      </c>
      <c r="H19">
        <f>'ME-3'!AU183</f>
        <v>0</v>
      </c>
      <c r="I19">
        <f>'ME-3'!AV183</f>
        <v>0</v>
      </c>
      <c r="J19">
        <f>'ME-3'!AW183</f>
        <v>0</v>
      </c>
      <c r="K19">
        <f>'ME-3'!AX183</f>
        <v>0</v>
      </c>
      <c r="L19">
        <f t="shared" si="1"/>
        <v>0</v>
      </c>
      <c r="M19">
        <f>'ME-3'!AY183</f>
        <v>0</v>
      </c>
      <c r="N19">
        <f>'ME-3'!AZ183</f>
        <v>0</v>
      </c>
      <c r="O19">
        <f>'ME-3'!BA183</f>
        <v>0</v>
      </c>
      <c r="P19">
        <f>'ME-3'!BB183</f>
        <v>0</v>
      </c>
      <c r="Q19">
        <f t="shared" si="2"/>
        <v>0</v>
      </c>
      <c r="R19">
        <f>'ME-3'!BC183</f>
        <v>0</v>
      </c>
      <c r="S19">
        <f>'ME-3'!BD183</f>
        <v>0</v>
      </c>
      <c r="T19">
        <f>'ME-3'!BE183</f>
        <v>0</v>
      </c>
      <c r="U19">
        <f>'ME-3'!BF183</f>
        <v>0</v>
      </c>
      <c r="V19">
        <f t="shared" si="3"/>
        <v>0</v>
      </c>
      <c r="W19">
        <f>'ME-3'!BG183</f>
        <v>0</v>
      </c>
      <c r="X19">
        <f>'ME-3'!BH183</f>
        <v>0</v>
      </c>
      <c r="Y19">
        <f>'ME-3'!BI183</f>
        <v>0</v>
      </c>
      <c r="Z19">
        <f>'ME-3'!BJ183</f>
        <v>0</v>
      </c>
      <c r="AA19">
        <f t="shared" si="4"/>
        <v>0</v>
      </c>
      <c r="AB19" s="139">
        <f t="shared" si="5"/>
        <v>0</v>
      </c>
      <c r="AC19" s="139">
        <f t="shared" si="6"/>
        <v>0</v>
      </c>
      <c r="AD19" s="139">
        <f t="shared" si="7"/>
        <v>0</v>
      </c>
      <c r="AE19" s="139">
        <f t="shared" si="8"/>
        <v>0</v>
      </c>
      <c r="AF19" s="139">
        <f t="shared" si="9"/>
        <v>0</v>
      </c>
      <c r="AG19">
        <f t="shared" si="10"/>
        <v>0</v>
      </c>
      <c r="AH19">
        <f t="shared" si="11"/>
        <v>0</v>
      </c>
    </row>
    <row r="20" spans="3:34">
      <c r="C20">
        <f>'ME-3'!AQ184</f>
        <v>0</v>
      </c>
      <c r="D20">
        <f>'ME-3'!AR184</f>
        <v>0</v>
      </c>
      <c r="E20">
        <f>'ME-3'!AS184</f>
        <v>0</v>
      </c>
      <c r="F20">
        <f>'ME-3'!AT184</f>
        <v>0</v>
      </c>
      <c r="G20">
        <f t="shared" si="0"/>
        <v>0</v>
      </c>
      <c r="H20">
        <f>'ME-3'!AU184</f>
        <v>0</v>
      </c>
      <c r="I20">
        <f>'ME-3'!AV184</f>
        <v>0</v>
      </c>
      <c r="J20">
        <f>'ME-3'!AW184</f>
        <v>0</v>
      </c>
      <c r="K20">
        <f>'ME-3'!AX184</f>
        <v>0</v>
      </c>
      <c r="L20">
        <f t="shared" si="1"/>
        <v>0</v>
      </c>
      <c r="M20">
        <f>'ME-3'!AY184</f>
        <v>0</v>
      </c>
      <c r="N20">
        <f>'ME-3'!AZ184</f>
        <v>0</v>
      </c>
      <c r="O20">
        <f>'ME-3'!BA184</f>
        <v>0</v>
      </c>
      <c r="P20">
        <f>'ME-3'!BB184</f>
        <v>0</v>
      </c>
      <c r="Q20">
        <f t="shared" si="2"/>
        <v>0</v>
      </c>
      <c r="R20">
        <f>'ME-3'!BC184</f>
        <v>0</v>
      </c>
      <c r="S20">
        <f>'ME-3'!BD184</f>
        <v>0</v>
      </c>
      <c r="T20">
        <f>'ME-3'!BE184</f>
        <v>0</v>
      </c>
      <c r="U20">
        <f>'ME-3'!BF184</f>
        <v>0</v>
      </c>
      <c r="V20">
        <f t="shared" si="3"/>
        <v>0</v>
      </c>
      <c r="W20">
        <f>'ME-3'!BG184</f>
        <v>0</v>
      </c>
      <c r="X20">
        <f>'ME-3'!BH184</f>
        <v>0</v>
      </c>
      <c r="Y20">
        <f>'ME-3'!BI184</f>
        <v>0</v>
      </c>
      <c r="Z20">
        <f>'ME-3'!BJ184</f>
        <v>0</v>
      </c>
      <c r="AA20">
        <f t="shared" si="4"/>
        <v>0</v>
      </c>
      <c r="AB20" s="139">
        <f t="shared" si="5"/>
        <v>0</v>
      </c>
      <c r="AC20" s="139">
        <f t="shared" si="6"/>
        <v>0</v>
      </c>
      <c r="AD20" s="139">
        <f t="shared" si="7"/>
        <v>0</v>
      </c>
      <c r="AE20" s="139">
        <f t="shared" si="8"/>
        <v>0</v>
      </c>
      <c r="AF20" s="139">
        <f t="shared" si="9"/>
        <v>0</v>
      </c>
      <c r="AG20">
        <f t="shared" si="10"/>
        <v>0</v>
      </c>
      <c r="AH20">
        <f t="shared" si="11"/>
        <v>0</v>
      </c>
    </row>
    <row r="21" spans="3:34">
      <c r="C21">
        <f>'ME-3'!AQ185</f>
        <v>0</v>
      </c>
      <c r="D21">
        <f>'ME-3'!AR185</f>
        <v>0</v>
      </c>
      <c r="E21">
        <f>'ME-3'!AS185</f>
        <v>0</v>
      </c>
      <c r="F21">
        <f>'ME-3'!AT185</f>
        <v>0</v>
      </c>
      <c r="G21">
        <f t="shared" si="0"/>
        <v>0</v>
      </c>
      <c r="H21">
        <f>'ME-3'!AU185</f>
        <v>0</v>
      </c>
      <c r="I21">
        <f>'ME-3'!AV185</f>
        <v>0</v>
      </c>
      <c r="J21">
        <f>'ME-3'!AW185</f>
        <v>0</v>
      </c>
      <c r="K21">
        <f>'ME-3'!AX185</f>
        <v>0</v>
      </c>
      <c r="L21">
        <f t="shared" si="1"/>
        <v>0</v>
      </c>
      <c r="M21">
        <f>'ME-3'!AY185</f>
        <v>0</v>
      </c>
      <c r="N21">
        <f>'ME-3'!AZ185</f>
        <v>0</v>
      </c>
      <c r="O21">
        <f>'ME-3'!BA185</f>
        <v>0</v>
      </c>
      <c r="P21">
        <f>'ME-3'!BB185</f>
        <v>0</v>
      </c>
      <c r="Q21">
        <f t="shared" si="2"/>
        <v>0</v>
      </c>
      <c r="R21">
        <f>'ME-3'!BC185</f>
        <v>0</v>
      </c>
      <c r="S21">
        <f>'ME-3'!BD185</f>
        <v>0</v>
      </c>
      <c r="T21">
        <f>'ME-3'!BE185</f>
        <v>0</v>
      </c>
      <c r="U21">
        <f>'ME-3'!BF185</f>
        <v>0</v>
      </c>
      <c r="V21">
        <f t="shared" si="3"/>
        <v>0</v>
      </c>
      <c r="W21">
        <f>'ME-3'!BG185</f>
        <v>0</v>
      </c>
      <c r="X21">
        <f>'ME-3'!BH185</f>
        <v>0</v>
      </c>
      <c r="Y21">
        <f>'ME-3'!BI185</f>
        <v>0</v>
      </c>
      <c r="Z21">
        <f>'ME-3'!BJ185</f>
        <v>0</v>
      </c>
      <c r="AA21">
        <f t="shared" si="4"/>
        <v>0</v>
      </c>
      <c r="AB21" s="139">
        <f t="shared" si="5"/>
        <v>0</v>
      </c>
      <c r="AC21" s="139">
        <f t="shared" si="6"/>
        <v>0</v>
      </c>
      <c r="AD21" s="139">
        <f t="shared" si="7"/>
        <v>0</v>
      </c>
      <c r="AE21" s="139">
        <f t="shared" si="8"/>
        <v>0</v>
      </c>
      <c r="AF21" s="139">
        <f t="shared" si="9"/>
        <v>0</v>
      </c>
      <c r="AG21">
        <f t="shared" si="10"/>
        <v>0</v>
      </c>
      <c r="AH21">
        <f t="shared" si="11"/>
        <v>0</v>
      </c>
    </row>
    <row r="22" spans="3:34">
      <c r="C22">
        <f>'ME-3'!AQ186</f>
        <v>0</v>
      </c>
      <c r="D22">
        <f>'ME-3'!AR186</f>
        <v>0</v>
      </c>
      <c r="E22">
        <f>'ME-3'!AS186</f>
        <v>0</v>
      </c>
      <c r="F22">
        <f>'ME-3'!AT186</f>
        <v>0</v>
      </c>
      <c r="G22">
        <f t="shared" si="0"/>
        <v>0</v>
      </c>
      <c r="H22">
        <f>'ME-3'!AU186</f>
        <v>0</v>
      </c>
      <c r="I22">
        <f>'ME-3'!AV186</f>
        <v>0</v>
      </c>
      <c r="J22">
        <f>'ME-3'!AW186</f>
        <v>0</v>
      </c>
      <c r="K22">
        <f>'ME-3'!AX186</f>
        <v>0</v>
      </c>
      <c r="L22">
        <f t="shared" si="1"/>
        <v>0</v>
      </c>
      <c r="M22">
        <f>'ME-3'!AY186</f>
        <v>0</v>
      </c>
      <c r="N22">
        <f>'ME-3'!AZ186</f>
        <v>0</v>
      </c>
      <c r="O22">
        <f>'ME-3'!BA186</f>
        <v>0</v>
      </c>
      <c r="P22">
        <f>'ME-3'!BB186</f>
        <v>0</v>
      </c>
      <c r="Q22">
        <f t="shared" si="2"/>
        <v>0</v>
      </c>
      <c r="R22">
        <f>'ME-3'!BC186</f>
        <v>0</v>
      </c>
      <c r="S22">
        <f>'ME-3'!BD186</f>
        <v>0</v>
      </c>
      <c r="T22">
        <f>'ME-3'!BE186</f>
        <v>0</v>
      </c>
      <c r="U22">
        <f>'ME-3'!BF186</f>
        <v>0</v>
      </c>
      <c r="V22">
        <f t="shared" si="3"/>
        <v>0</v>
      </c>
      <c r="W22">
        <f>'ME-3'!BG186</f>
        <v>0</v>
      </c>
      <c r="X22">
        <f>'ME-3'!BH186</f>
        <v>0</v>
      </c>
      <c r="Y22">
        <f>'ME-3'!BI186</f>
        <v>0</v>
      </c>
      <c r="Z22">
        <f>'ME-3'!BJ186</f>
        <v>0</v>
      </c>
      <c r="AA22">
        <f t="shared" si="4"/>
        <v>0</v>
      </c>
      <c r="AB22" s="139">
        <f t="shared" si="5"/>
        <v>0</v>
      </c>
      <c r="AC22" s="139">
        <f t="shared" si="6"/>
        <v>0</v>
      </c>
      <c r="AD22" s="139">
        <f t="shared" si="7"/>
        <v>0</v>
      </c>
      <c r="AE22" s="139">
        <f t="shared" si="8"/>
        <v>0</v>
      </c>
      <c r="AF22" s="139">
        <f t="shared" si="9"/>
        <v>0</v>
      </c>
      <c r="AG22">
        <f t="shared" si="10"/>
        <v>0</v>
      </c>
      <c r="AH22">
        <f t="shared" si="11"/>
        <v>0</v>
      </c>
    </row>
    <row r="23" spans="3:34">
      <c r="C23">
        <f>'ME-3'!AQ187</f>
        <v>0</v>
      </c>
      <c r="D23">
        <f>'ME-3'!AR187</f>
        <v>0</v>
      </c>
      <c r="E23">
        <f>'ME-3'!AS187</f>
        <v>0</v>
      </c>
      <c r="F23">
        <f>'ME-3'!AT187</f>
        <v>0</v>
      </c>
      <c r="G23">
        <f t="shared" si="0"/>
        <v>0</v>
      </c>
      <c r="H23">
        <f>'ME-3'!AU187</f>
        <v>0</v>
      </c>
      <c r="I23">
        <f>'ME-3'!AV187</f>
        <v>0</v>
      </c>
      <c r="J23">
        <f>'ME-3'!AW187</f>
        <v>0</v>
      </c>
      <c r="K23">
        <f>'ME-3'!AX187</f>
        <v>0</v>
      </c>
      <c r="L23">
        <f t="shared" si="1"/>
        <v>0</v>
      </c>
      <c r="M23">
        <f>'ME-3'!AY187</f>
        <v>0</v>
      </c>
      <c r="N23">
        <f>'ME-3'!AZ187</f>
        <v>0</v>
      </c>
      <c r="O23">
        <f>'ME-3'!BA187</f>
        <v>0</v>
      </c>
      <c r="P23">
        <f>'ME-3'!BB187</f>
        <v>0</v>
      </c>
      <c r="Q23">
        <f t="shared" si="2"/>
        <v>0</v>
      </c>
      <c r="R23">
        <f>'ME-3'!BC187</f>
        <v>0</v>
      </c>
      <c r="S23">
        <f>'ME-3'!BD187</f>
        <v>0</v>
      </c>
      <c r="T23">
        <f>'ME-3'!BE187</f>
        <v>0</v>
      </c>
      <c r="U23">
        <f>'ME-3'!BF187</f>
        <v>0</v>
      </c>
      <c r="V23">
        <f t="shared" si="3"/>
        <v>0</v>
      </c>
      <c r="W23">
        <f>'ME-3'!BG187</f>
        <v>0</v>
      </c>
      <c r="X23">
        <f>'ME-3'!BH187</f>
        <v>0</v>
      </c>
      <c r="Y23">
        <f>'ME-3'!BI187</f>
        <v>0</v>
      </c>
      <c r="Z23">
        <f>'ME-3'!BJ187</f>
        <v>0</v>
      </c>
      <c r="AA23">
        <f t="shared" si="4"/>
        <v>0</v>
      </c>
      <c r="AB23" s="139">
        <f t="shared" si="5"/>
        <v>0</v>
      </c>
      <c r="AC23" s="139">
        <f t="shared" si="6"/>
        <v>0</v>
      </c>
      <c r="AD23" s="139">
        <f t="shared" si="7"/>
        <v>0</v>
      </c>
      <c r="AE23" s="139">
        <f t="shared" si="8"/>
        <v>0</v>
      </c>
      <c r="AF23" s="139">
        <f t="shared" si="9"/>
        <v>0</v>
      </c>
      <c r="AG23">
        <f t="shared" si="10"/>
        <v>0</v>
      </c>
      <c r="AH23">
        <f t="shared" si="11"/>
        <v>0</v>
      </c>
    </row>
    <row r="24" spans="3:34">
      <c r="C24">
        <f>'ME-3'!AQ188</f>
        <v>0</v>
      </c>
      <c r="D24">
        <f>'ME-3'!AR188</f>
        <v>0</v>
      </c>
      <c r="E24">
        <f>'ME-3'!AS188</f>
        <v>0</v>
      </c>
      <c r="F24">
        <f>'ME-3'!AT188</f>
        <v>0</v>
      </c>
      <c r="G24">
        <f t="shared" si="0"/>
        <v>0</v>
      </c>
      <c r="H24">
        <f>'ME-3'!AU188</f>
        <v>0</v>
      </c>
      <c r="I24">
        <f>'ME-3'!AV188</f>
        <v>0</v>
      </c>
      <c r="J24">
        <f>'ME-3'!AW188</f>
        <v>0</v>
      </c>
      <c r="K24">
        <f>'ME-3'!AX188</f>
        <v>0</v>
      </c>
      <c r="L24">
        <f t="shared" si="1"/>
        <v>0</v>
      </c>
      <c r="M24">
        <f>'ME-3'!AY188</f>
        <v>0</v>
      </c>
      <c r="N24">
        <f>'ME-3'!AZ188</f>
        <v>0</v>
      </c>
      <c r="O24">
        <f>'ME-3'!BA188</f>
        <v>0</v>
      </c>
      <c r="P24">
        <f>'ME-3'!BB188</f>
        <v>0</v>
      </c>
      <c r="Q24">
        <f t="shared" si="2"/>
        <v>0</v>
      </c>
      <c r="R24">
        <f>'ME-3'!BC188</f>
        <v>0</v>
      </c>
      <c r="S24">
        <f>'ME-3'!BD188</f>
        <v>0</v>
      </c>
      <c r="T24">
        <f>'ME-3'!BE188</f>
        <v>0</v>
      </c>
      <c r="U24">
        <f>'ME-3'!BF188</f>
        <v>0</v>
      </c>
      <c r="V24">
        <f t="shared" si="3"/>
        <v>0</v>
      </c>
      <c r="W24">
        <f>'ME-3'!BG188</f>
        <v>0</v>
      </c>
      <c r="X24">
        <f>'ME-3'!BH188</f>
        <v>0</v>
      </c>
      <c r="Y24">
        <f>'ME-3'!BI188</f>
        <v>0</v>
      </c>
      <c r="Z24">
        <f>'ME-3'!BJ188</f>
        <v>0</v>
      </c>
      <c r="AA24">
        <f t="shared" si="4"/>
        <v>0</v>
      </c>
      <c r="AB24" s="139">
        <f t="shared" si="5"/>
        <v>0</v>
      </c>
      <c r="AC24" s="139">
        <f t="shared" si="6"/>
        <v>0</v>
      </c>
      <c r="AD24" s="139">
        <f t="shared" si="7"/>
        <v>0</v>
      </c>
      <c r="AE24" s="139">
        <f t="shared" si="8"/>
        <v>0</v>
      </c>
      <c r="AF24" s="139">
        <f t="shared" si="9"/>
        <v>0</v>
      </c>
      <c r="AG24">
        <f t="shared" si="10"/>
        <v>0</v>
      </c>
      <c r="AH24">
        <f t="shared" si="11"/>
        <v>0</v>
      </c>
    </row>
    <row r="25" spans="3:34">
      <c r="C25">
        <f>'ME-3'!AQ189</f>
        <v>0</v>
      </c>
      <c r="D25">
        <f>'ME-3'!AR189</f>
        <v>0</v>
      </c>
      <c r="E25">
        <f>'ME-3'!AS189</f>
        <v>0</v>
      </c>
      <c r="F25">
        <f>'ME-3'!AT189</f>
        <v>0</v>
      </c>
      <c r="G25">
        <f t="shared" si="0"/>
        <v>0</v>
      </c>
      <c r="H25">
        <f>'ME-3'!AU189</f>
        <v>0</v>
      </c>
      <c r="I25">
        <f>'ME-3'!AV189</f>
        <v>0</v>
      </c>
      <c r="J25">
        <f>'ME-3'!AW189</f>
        <v>0</v>
      </c>
      <c r="K25">
        <f>'ME-3'!AX189</f>
        <v>0</v>
      </c>
      <c r="L25">
        <f t="shared" si="1"/>
        <v>0</v>
      </c>
      <c r="M25">
        <f>'ME-3'!AY189</f>
        <v>0</v>
      </c>
      <c r="N25">
        <f>'ME-3'!AZ189</f>
        <v>0</v>
      </c>
      <c r="O25">
        <f>'ME-3'!BA189</f>
        <v>0</v>
      </c>
      <c r="P25">
        <f>'ME-3'!BB189</f>
        <v>0</v>
      </c>
      <c r="Q25">
        <f t="shared" si="2"/>
        <v>0</v>
      </c>
      <c r="R25">
        <f>'ME-3'!BC189</f>
        <v>0</v>
      </c>
      <c r="S25">
        <f>'ME-3'!BD189</f>
        <v>0</v>
      </c>
      <c r="T25">
        <f>'ME-3'!BE189</f>
        <v>0</v>
      </c>
      <c r="U25">
        <f>'ME-3'!BF189</f>
        <v>0</v>
      </c>
      <c r="V25">
        <f t="shared" si="3"/>
        <v>0</v>
      </c>
      <c r="W25">
        <f>'ME-3'!BG189</f>
        <v>0</v>
      </c>
      <c r="X25">
        <f>'ME-3'!BH189</f>
        <v>0</v>
      </c>
      <c r="Y25">
        <f>'ME-3'!BI189</f>
        <v>0</v>
      </c>
      <c r="Z25">
        <f>'ME-3'!BJ189</f>
        <v>0</v>
      </c>
      <c r="AA25">
        <f t="shared" si="4"/>
        <v>0</v>
      </c>
      <c r="AB25" s="139">
        <f t="shared" si="5"/>
        <v>0</v>
      </c>
      <c r="AC25" s="139">
        <f t="shared" si="6"/>
        <v>0</v>
      </c>
      <c r="AD25" s="139">
        <f t="shared" si="7"/>
        <v>0</v>
      </c>
      <c r="AE25" s="139">
        <f t="shared" si="8"/>
        <v>0</v>
      </c>
      <c r="AF25" s="139">
        <f t="shared" si="9"/>
        <v>0</v>
      </c>
      <c r="AG25">
        <f t="shared" si="10"/>
        <v>0</v>
      </c>
      <c r="AH25">
        <f t="shared" si="11"/>
        <v>0</v>
      </c>
    </row>
    <row r="26" spans="3:34">
      <c r="C26">
        <f>'ME-3'!AQ190</f>
        <v>0</v>
      </c>
      <c r="D26">
        <f>'ME-3'!AR190</f>
        <v>0</v>
      </c>
      <c r="E26">
        <f>'ME-3'!AS190</f>
        <v>0</v>
      </c>
      <c r="F26">
        <f>'ME-3'!AT190</f>
        <v>0</v>
      </c>
      <c r="G26">
        <f t="shared" si="0"/>
        <v>0</v>
      </c>
      <c r="H26">
        <f>'ME-3'!AU190</f>
        <v>0</v>
      </c>
      <c r="I26">
        <f>'ME-3'!AV190</f>
        <v>0</v>
      </c>
      <c r="J26">
        <f>'ME-3'!AW190</f>
        <v>0</v>
      </c>
      <c r="K26">
        <f>'ME-3'!AX190</f>
        <v>0</v>
      </c>
      <c r="L26">
        <f t="shared" si="1"/>
        <v>0</v>
      </c>
      <c r="M26">
        <f>'ME-3'!AY190</f>
        <v>0</v>
      </c>
      <c r="N26">
        <f>'ME-3'!AZ190</f>
        <v>0</v>
      </c>
      <c r="O26">
        <f>'ME-3'!BA190</f>
        <v>0</v>
      </c>
      <c r="P26">
        <f>'ME-3'!BB190</f>
        <v>0</v>
      </c>
      <c r="Q26">
        <f t="shared" si="2"/>
        <v>0</v>
      </c>
      <c r="R26">
        <f>'ME-3'!BC190</f>
        <v>0</v>
      </c>
      <c r="S26">
        <f>'ME-3'!BD190</f>
        <v>0</v>
      </c>
      <c r="T26">
        <f>'ME-3'!BE190</f>
        <v>0</v>
      </c>
      <c r="U26">
        <f>'ME-3'!BF190</f>
        <v>0</v>
      </c>
      <c r="V26">
        <f t="shared" si="3"/>
        <v>0</v>
      </c>
      <c r="W26">
        <f>'ME-3'!BG190</f>
        <v>0</v>
      </c>
      <c r="X26">
        <f>'ME-3'!BH190</f>
        <v>0</v>
      </c>
      <c r="Y26">
        <f>'ME-3'!BI190</f>
        <v>0</v>
      </c>
      <c r="Z26">
        <f>'ME-3'!BJ190</f>
        <v>0</v>
      </c>
      <c r="AA26">
        <f t="shared" si="4"/>
        <v>0</v>
      </c>
      <c r="AB26" s="139">
        <f t="shared" si="5"/>
        <v>0</v>
      </c>
      <c r="AC26" s="139">
        <f t="shared" si="6"/>
        <v>0</v>
      </c>
      <c r="AD26" s="139">
        <f t="shared" si="7"/>
        <v>0</v>
      </c>
      <c r="AE26" s="139">
        <f t="shared" si="8"/>
        <v>0</v>
      </c>
      <c r="AF26" s="139">
        <f t="shared" si="9"/>
        <v>0</v>
      </c>
      <c r="AG26">
        <f t="shared" si="10"/>
        <v>0</v>
      </c>
      <c r="AH26">
        <f t="shared" si="11"/>
        <v>0</v>
      </c>
    </row>
    <row r="27" spans="3:34">
      <c r="C27">
        <f>'ME-3'!AQ191</f>
        <v>0</v>
      </c>
      <c r="D27">
        <f>'ME-3'!AR191</f>
        <v>0</v>
      </c>
      <c r="E27">
        <f>'ME-3'!AS191</f>
        <v>0</v>
      </c>
      <c r="F27">
        <f>'ME-3'!AT191</f>
        <v>0</v>
      </c>
      <c r="G27">
        <f t="shared" si="0"/>
        <v>0</v>
      </c>
      <c r="H27">
        <f>'ME-3'!AU191</f>
        <v>0</v>
      </c>
      <c r="I27">
        <f>'ME-3'!AV191</f>
        <v>0</v>
      </c>
      <c r="J27">
        <f>'ME-3'!AW191</f>
        <v>0</v>
      </c>
      <c r="K27">
        <f>'ME-3'!AX191</f>
        <v>0</v>
      </c>
      <c r="L27">
        <f t="shared" si="1"/>
        <v>0</v>
      </c>
      <c r="M27">
        <f>'ME-3'!AY191</f>
        <v>0</v>
      </c>
      <c r="N27">
        <f>'ME-3'!AZ191</f>
        <v>0</v>
      </c>
      <c r="O27">
        <f>'ME-3'!BA191</f>
        <v>0</v>
      </c>
      <c r="P27">
        <f>'ME-3'!BB191</f>
        <v>0</v>
      </c>
      <c r="Q27">
        <f t="shared" si="2"/>
        <v>0</v>
      </c>
      <c r="R27">
        <f>'ME-3'!BC191</f>
        <v>0</v>
      </c>
      <c r="S27">
        <f>'ME-3'!BD191</f>
        <v>0</v>
      </c>
      <c r="T27">
        <f>'ME-3'!BE191</f>
        <v>0</v>
      </c>
      <c r="U27">
        <f>'ME-3'!BF191</f>
        <v>0</v>
      </c>
      <c r="V27">
        <f t="shared" si="3"/>
        <v>0</v>
      </c>
      <c r="W27">
        <f>'ME-3'!BG191</f>
        <v>0</v>
      </c>
      <c r="X27">
        <f>'ME-3'!BH191</f>
        <v>0</v>
      </c>
      <c r="Y27">
        <f>'ME-3'!BI191</f>
        <v>0</v>
      </c>
      <c r="Z27">
        <f>'ME-3'!BJ191</f>
        <v>0</v>
      </c>
      <c r="AA27">
        <f t="shared" si="4"/>
        <v>0</v>
      </c>
      <c r="AB27" s="139">
        <f t="shared" si="5"/>
        <v>0</v>
      </c>
      <c r="AC27" s="139">
        <f t="shared" si="6"/>
        <v>0</v>
      </c>
      <c r="AD27" s="139">
        <f t="shared" si="7"/>
        <v>0</v>
      </c>
      <c r="AE27" s="139">
        <f t="shared" si="8"/>
        <v>0</v>
      </c>
      <c r="AF27" s="139">
        <f t="shared" si="9"/>
        <v>0</v>
      </c>
      <c r="AG27">
        <f t="shared" si="10"/>
        <v>0</v>
      </c>
      <c r="AH27">
        <f t="shared" si="11"/>
        <v>0</v>
      </c>
    </row>
    <row r="28" spans="3:34">
      <c r="C28">
        <f>'ME-3'!AQ192</f>
        <v>0</v>
      </c>
      <c r="D28">
        <f>'ME-3'!AR192</f>
        <v>0</v>
      </c>
      <c r="E28">
        <f>'ME-3'!AS192</f>
        <v>0</v>
      </c>
      <c r="F28">
        <f>'ME-3'!AT192</f>
        <v>0</v>
      </c>
      <c r="G28">
        <f t="shared" si="0"/>
        <v>0</v>
      </c>
      <c r="H28">
        <f>'ME-3'!AU192</f>
        <v>0</v>
      </c>
      <c r="I28">
        <f>'ME-3'!AV192</f>
        <v>0</v>
      </c>
      <c r="J28">
        <f>'ME-3'!AW192</f>
        <v>0</v>
      </c>
      <c r="K28">
        <f>'ME-3'!AX192</f>
        <v>0</v>
      </c>
      <c r="L28">
        <f t="shared" si="1"/>
        <v>0</v>
      </c>
      <c r="M28">
        <f>'ME-3'!AY192</f>
        <v>0</v>
      </c>
      <c r="N28">
        <f>'ME-3'!AZ192</f>
        <v>0</v>
      </c>
      <c r="O28">
        <f>'ME-3'!BA192</f>
        <v>0</v>
      </c>
      <c r="P28">
        <f>'ME-3'!BB192</f>
        <v>0</v>
      </c>
      <c r="Q28">
        <f t="shared" si="2"/>
        <v>0</v>
      </c>
      <c r="R28">
        <f>'ME-3'!BC192</f>
        <v>0</v>
      </c>
      <c r="S28">
        <f>'ME-3'!BD192</f>
        <v>0</v>
      </c>
      <c r="T28">
        <f>'ME-3'!BE192</f>
        <v>0</v>
      </c>
      <c r="U28">
        <f>'ME-3'!BF192</f>
        <v>0</v>
      </c>
      <c r="V28">
        <f t="shared" si="3"/>
        <v>0</v>
      </c>
      <c r="W28">
        <f>'ME-3'!BG192</f>
        <v>0</v>
      </c>
      <c r="X28">
        <f>'ME-3'!BH192</f>
        <v>0</v>
      </c>
      <c r="Y28">
        <f>'ME-3'!BI192</f>
        <v>0</v>
      </c>
      <c r="Z28">
        <f>'ME-3'!BJ192</f>
        <v>0</v>
      </c>
      <c r="AA28">
        <f t="shared" si="4"/>
        <v>0</v>
      </c>
      <c r="AB28" s="139">
        <f t="shared" si="5"/>
        <v>0</v>
      </c>
      <c r="AC28" s="139">
        <f t="shared" si="6"/>
        <v>0</v>
      </c>
      <c r="AD28" s="139">
        <f t="shared" si="7"/>
        <v>0</v>
      </c>
      <c r="AE28" s="139">
        <f t="shared" si="8"/>
        <v>0</v>
      </c>
      <c r="AF28" s="139">
        <f t="shared" si="9"/>
        <v>0</v>
      </c>
      <c r="AG28">
        <f t="shared" si="10"/>
        <v>0</v>
      </c>
      <c r="AH28">
        <f t="shared" si="11"/>
        <v>0</v>
      </c>
    </row>
    <row r="29" spans="3:34">
      <c r="C29">
        <f>'ME-3'!AQ193</f>
        <v>0</v>
      </c>
      <c r="D29">
        <f>'ME-3'!AR193</f>
        <v>0</v>
      </c>
      <c r="E29">
        <f>'ME-3'!AS193</f>
        <v>0</v>
      </c>
      <c r="F29">
        <f>'ME-3'!AT193</f>
        <v>0</v>
      </c>
      <c r="G29">
        <f t="shared" si="0"/>
        <v>0</v>
      </c>
      <c r="H29">
        <f>'ME-3'!AU193</f>
        <v>0</v>
      </c>
      <c r="I29">
        <f>'ME-3'!AV193</f>
        <v>0</v>
      </c>
      <c r="J29">
        <f>'ME-3'!AW193</f>
        <v>0</v>
      </c>
      <c r="K29">
        <f>'ME-3'!AX193</f>
        <v>0</v>
      </c>
      <c r="L29">
        <f t="shared" si="1"/>
        <v>0</v>
      </c>
      <c r="M29">
        <f>'ME-3'!AY193</f>
        <v>0</v>
      </c>
      <c r="N29">
        <f>'ME-3'!AZ193</f>
        <v>0</v>
      </c>
      <c r="O29">
        <f>'ME-3'!BA193</f>
        <v>0</v>
      </c>
      <c r="P29">
        <f>'ME-3'!BB193</f>
        <v>0</v>
      </c>
      <c r="Q29">
        <f t="shared" si="2"/>
        <v>0</v>
      </c>
      <c r="R29">
        <f>'ME-3'!BC193</f>
        <v>0</v>
      </c>
      <c r="S29">
        <f>'ME-3'!BD193</f>
        <v>0</v>
      </c>
      <c r="T29">
        <f>'ME-3'!BE193</f>
        <v>0</v>
      </c>
      <c r="U29">
        <f>'ME-3'!BF193</f>
        <v>0</v>
      </c>
      <c r="V29">
        <f t="shared" si="3"/>
        <v>0</v>
      </c>
      <c r="W29">
        <f>'ME-3'!BG193</f>
        <v>0</v>
      </c>
      <c r="X29">
        <f>'ME-3'!BH193</f>
        <v>0</v>
      </c>
      <c r="Y29">
        <f>'ME-3'!BI193</f>
        <v>0</v>
      </c>
      <c r="Z29">
        <f>'ME-3'!BJ193</f>
        <v>0</v>
      </c>
      <c r="AA29">
        <f t="shared" si="4"/>
        <v>0</v>
      </c>
      <c r="AB29" s="139">
        <f t="shared" si="5"/>
        <v>0</v>
      </c>
      <c r="AC29" s="139">
        <f t="shared" si="6"/>
        <v>0</v>
      </c>
      <c r="AD29" s="139">
        <f t="shared" si="7"/>
        <v>0</v>
      </c>
      <c r="AE29" s="139">
        <f t="shared" si="8"/>
        <v>0</v>
      </c>
      <c r="AF29" s="139">
        <f t="shared" si="9"/>
        <v>0</v>
      </c>
      <c r="AG29">
        <f t="shared" si="10"/>
        <v>0</v>
      </c>
      <c r="AH29">
        <f t="shared" si="11"/>
        <v>0</v>
      </c>
    </row>
    <row r="30" spans="3:34">
      <c r="C30">
        <f>'ME-3'!AQ194</f>
        <v>0</v>
      </c>
      <c r="D30">
        <f>'ME-3'!AR194</f>
        <v>0</v>
      </c>
      <c r="E30">
        <f>'ME-3'!AS194</f>
        <v>0</v>
      </c>
      <c r="F30">
        <f>'ME-3'!AT194</f>
        <v>0</v>
      </c>
      <c r="G30">
        <f t="shared" si="0"/>
        <v>0</v>
      </c>
      <c r="H30">
        <f>'ME-3'!AU194</f>
        <v>0</v>
      </c>
      <c r="I30">
        <f>'ME-3'!AV194</f>
        <v>0</v>
      </c>
      <c r="J30">
        <f>'ME-3'!AW194</f>
        <v>0</v>
      </c>
      <c r="K30">
        <f>'ME-3'!AX194</f>
        <v>0</v>
      </c>
      <c r="L30">
        <f t="shared" si="1"/>
        <v>0</v>
      </c>
      <c r="M30">
        <f>'ME-3'!AY194</f>
        <v>0</v>
      </c>
      <c r="N30">
        <f>'ME-3'!AZ194</f>
        <v>0</v>
      </c>
      <c r="O30">
        <f>'ME-3'!BA194</f>
        <v>0</v>
      </c>
      <c r="P30">
        <f>'ME-3'!BB194</f>
        <v>0</v>
      </c>
      <c r="Q30">
        <f t="shared" si="2"/>
        <v>0</v>
      </c>
      <c r="R30">
        <f>'ME-3'!BC194</f>
        <v>0</v>
      </c>
      <c r="S30">
        <f>'ME-3'!BD194</f>
        <v>0</v>
      </c>
      <c r="T30">
        <f>'ME-3'!BE194</f>
        <v>0</v>
      </c>
      <c r="U30">
        <f>'ME-3'!BF194</f>
        <v>0</v>
      </c>
      <c r="V30">
        <f t="shared" si="3"/>
        <v>0</v>
      </c>
      <c r="W30">
        <f>'ME-3'!BG194</f>
        <v>0</v>
      </c>
      <c r="X30">
        <f>'ME-3'!BH194</f>
        <v>0</v>
      </c>
      <c r="Y30">
        <f>'ME-3'!BI194</f>
        <v>0</v>
      </c>
      <c r="Z30">
        <f>'ME-3'!BJ194</f>
        <v>0</v>
      </c>
      <c r="AA30">
        <f t="shared" si="4"/>
        <v>0</v>
      </c>
      <c r="AB30" s="139">
        <f t="shared" si="5"/>
        <v>0</v>
      </c>
      <c r="AC30" s="139">
        <f t="shared" si="6"/>
        <v>0</v>
      </c>
      <c r="AD30" s="139">
        <f t="shared" si="7"/>
        <v>0</v>
      </c>
      <c r="AE30" s="139">
        <f t="shared" si="8"/>
        <v>0</v>
      </c>
      <c r="AF30" s="139">
        <f t="shared" si="9"/>
        <v>0</v>
      </c>
      <c r="AG30">
        <f t="shared" si="10"/>
        <v>0</v>
      </c>
      <c r="AH30">
        <f t="shared" si="11"/>
        <v>0</v>
      </c>
    </row>
    <row r="31" spans="3:34">
      <c r="C31">
        <f>'ME-3'!AQ195</f>
        <v>0</v>
      </c>
      <c r="D31">
        <f>'ME-3'!AR195</f>
        <v>0</v>
      </c>
      <c r="E31">
        <f>'ME-3'!AS195</f>
        <v>0</v>
      </c>
      <c r="F31">
        <f>'ME-3'!AT195</f>
        <v>0</v>
      </c>
      <c r="G31">
        <f t="shared" si="0"/>
        <v>0</v>
      </c>
      <c r="H31">
        <f>'ME-3'!AU195</f>
        <v>0</v>
      </c>
      <c r="I31">
        <f>'ME-3'!AV195</f>
        <v>0</v>
      </c>
      <c r="J31">
        <f>'ME-3'!AW195</f>
        <v>0</v>
      </c>
      <c r="K31">
        <f>'ME-3'!AX195</f>
        <v>0</v>
      </c>
      <c r="L31">
        <f t="shared" si="1"/>
        <v>0</v>
      </c>
      <c r="M31">
        <f>'ME-3'!AY195</f>
        <v>0</v>
      </c>
      <c r="N31">
        <f>'ME-3'!AZ195</f>
        <v>0</v>
      </c>
      <c r="O31">
        <f>'ME-3'!BA195</f>
        <v>0</v>
      </c>
      <c r="P31">
        <f>'ME-3'!BB195</f>
        <v>0</v>
      </c>
      <c r="Q31">
        <f t="shared" si="2"/>
        <v>0</v>
      </c>
      <c r="R31">
        <f>'ME-3'!BC195</f>
        <v>0</v>
      </c>
      <c r="S31">
        <f>'ME-3'!BD195</f>
        <v>0</v>
      </c>
      <c r="T31">
        <f>'ME-3'!BE195</f>
        <v>0</v>
      </c>
      <c r="U31">
        <f>'ME-3'!BF195</f>
        <v>0</v>
      </c>
      <c r="V31">
        <f t="shared" si="3"/>
        <v>0</v>
      </c>
      <c r="W31">
        <f>'ME-3'!BG195</f>
        <v>0</v>
      </c>
      <c r="X31">
        <f>'ME-3'!BH195</f>
        <v>0</v>
      </c>
      <c r="Y31">
        <f>'ME-3'!BI195</f>
        <v>0</v>
      </c>
      <c r="Z31">
        <f>'ME-3'!BJ195</f>
        <v>0</v>
      </c>
      <c r="AA31">
        <f t="shared" si="4"/>
        <v>0</v>
      </c>
      <c r="AB31" s="139">
        <f t="shared" si="5"/>
        <v>0</v>
      </c>
      <c r="AC31" s="139">
        <f t="shared" si="6"/>
        <v>0</v>
      </c>
      <c r="AD31" s="139">
        <f t="shared" si="7"/>
        <v>0</v>
      </c>
      <c r="AE31" s="139">
        <f t="shared" si="8"/>
        <v>0</v>
      </c>
      <c r="AF31" s="139">
        <f t="shared" si="9"/>
        <v>0</v>
      </c>
      <c r="AG31">
        <f t="shared" si="10"/>
        <v>0</v>
      </c>
      <c r="AH31">
        <f t="shared" si="11"/>
        <v>0</v>
      </c>
    </row>
    <row r="32" spans="3:34">
      <c r="C32">
        <f>'ME-3'!AQ196</f>
        <v>0</v>
      </c>
      <c r="D32">
        <f>'ME-3'!AR196</f>
        <v>0</v>
      </c>
      <c r="E32">
        <f>'ME-3'!AS196</f>
        <v>0</v>
      </c>
      <c r="F32">
        <f>'ME-3'!AT196</f>
        <v>0</v>
      </c>
      <c r="G32">
        <f t="shared" si="0"/>
        <v>0</v>
      </c>
      <c r="H32">
        <f>'ME-3'!AU196</f>
        <v>0</v>
      </c>
      <c r="I32">
        <f>'ME-3'!AV196</f>
        <v>0</v>
      </c>
      <c r="J32">
        <f>'ME-3'!AW196</f>
        <v>0</v>
      </c>
      <c r="K32">
        <f>'ME-3'!AX196</f>
        <v>0</v>
      </c>
      <c r="L32">
        <f t="shared" si="1"/>
        <v>0</v>
      </c>
      <c r="M32">
        <f>'ME-3'!AY196</f>
        <v>0</v>
      </c>
      <c r="N32">
        <f>'ME-3'!AZ196</f>
        <v>0</v>
      </c>
      <c r="O32">
        <f>'ME-3'!BA196</f>
        <v>0</v>
      </c>
      <c r="P32">
        <f>'ME-3'!BB196</f>
        <v>0</v>
      </c>
      <c r="Q32">
        <f t="shared" si="2"/>
        <v>0</v>
      </c>
      <c r="R32">
        <f>'ME-3'!BC196</f>
        <v>0</v>
      </c>
      <c r="S32">
        <f>'ME-3'!BD196</f>
        <v>0</v>
      </c>
      <c r="T32">
        <f>'ME-3'!BE196</f>
        <v>0</v>
      </c>
      <c r="U32">
        <f>'ME-3'!BF196</f>
        <v>0</v>
      </c>
      <c r="V32">
        <f t="shared" si="3"/>
        <v>0</v>
      </c>
      <c r="W32">
        <f>'ME-3'!BG196</f>
        <v>0</v>
      </c>
      <c r="X32">
        <f>'ME-3'!BH196</f>
        <v>0</v>
      </c>
      <c r="Y32">
        <f>'ME-3'!BI196</f>
        <v>0</v>
      </c>
      <c r="Z32">
        <f>'ME-3'!BJ196</f>
        <v>0</v>
      </c>
      <c r="AA32">
        <f t="shared" si="4"/>
        <v>0</v>
      </c>
      <c r="AB32" s="139">
        <f t="shared" si="5"/>
        <v>0</v>
      </c>
      <c r="AC32" s="139">
        <f t="shared" si="6"/>
        <v>0</v>
      </c>
      <c r="AD32" s="139">
        <f t="shared" si="7"/>
        <v>0</v>
      </c>
      <c r="AE32" s="139">
        <f t="shared" si="8"/>
        <v>0</v>
      </c>
      <c r="AF32" s="139">
        <f t="shared" si="9"/>
        <v>0</v>
      </c>
      <c r="AG32">
        <f t="shared" si="10"/>
        <v>0</v>
      </c>
      <c r="AH32">
        <f t="shared" si="11"/>
        <v>0</v>
      </c>
    </row>
    <row r="33" spans="3:34">
      <c r="C33">
        <f>'ME-3'!AQ197</f>
        <v>0</v>
      </c>
      <c r="D33">
        <f>'ME-3'!AR197</f>
        <v>0</v>
      </c>
      <c r="E33">
        <f>'ME-3'!AS197</f>
        <v>0</v>
      </c>
      <c r="F33">
        <f>'ME-3'!AT197</f>
        <v>0</v>
      </c>
      <c r="G33">
        <f t="shared" si="0"/>
        <v>0</v>
      </c>
      <c r="H33">
        <f>'ME-3'!AU197</f>
        <v>0</v>
      </c>
      <c r="I33">
        <f>'ME-3'!AV197</f>
        <v>0</v>
      </c>
      <c r="J33">
        <f>'ME-3'!AW197</f>
        <v>0</v>
      </c>
      <c r="K33">
        <f>'ME-3'!AX197</f>
        <v>0</v>
      </c>
      <c r="L33">
        <f t="shared" si="1"/>
        <v>0</v>
      </c>
      <c r="M33">
        <f>'ME-3'!AY197</f>
        <v>0</v>
      </c>
      <c r="N33">
        <f>'ME-3'!AZ197</f>
        <v>0</v>
      </c>
      <c r="O33">
        <f>'ME-3'!BA197</f>
        <v>0</v>
      </c>
      <c r="P33">
        <f>'ME-3'!BB197</f>
        <v>0</v>
      </c>
      <c r="Q33">
        <f t="shared" si="2"/>
        <v>0</v>
      </c>
      <c r="R33">
        <f>'ME-3'!BC197</f>
        <v>0</v>
      </c>
      <c r="S33">
        <f>'ME-3'!BD197</f>
        <v>0</v>
      </c>
      <c r="T33">
        <f>'ME-3'!BE197</f>
        <v>0</v>
      </c>
      <c r="U33">
        <f>'ME-3'!BF197</f>
        <v>0</v>
      </c>
      <c r="V33">
        <f t="shared" si="3"/>
        <v>0</v>
      </c>
      <c r="W33">
        <f>'ME-3'!BG197</f>
        <v>0</v>
      </c>
      <c r="X33">
        <f>'ME-3'!BH197</f>
        <v>0</v>
      </c>
      <c r="Y33">
        <f>'ME-3'!BI197</f>
        <v>0</v>
      </c>
      <c r="Z33">
        <f>'ME-3'!BJ197</f>
        <v>0</v>
      </c>
      <c r="AA33">
        <f t="shared" si="4"/>
        <v>0</v>
      </c>
      <c r="AB33" s="139">
        <f t="shared" si="5"/>
        <v>0</v>
      </c>
      <c r="AC33" s="139">
        <f t="shared" si="6"/>
        <v>0</v>
      </c>
      <c r="AD33" s="139">
        <f t="shared" si="7"/>
        <v>0</v>
      </c>
      <c r="AE33" s="139">
        <f t="shared" si="8"/>
        <v>0</v>
      </c>
      <c r="AF33" s="139">
        <f t="shared" si="9"/>
        <v>0</v>
      </c>
      <c r="AG33">
        <f t="shared" si="10"/>
        <v>0</v>
      </c>
      <c r="AH33">
        <f t="shared" si="11"/>
        <v>0</v>
      </c>
    </row>
    <row r="34" spans="3:34">
      <c r="AB34" s="139"/>
      <c r="AC34" s="139"/>
      <c r="AD34" s="139"/>
      <c r="AE34" s="139"/>
      <c r="AF34" s="139"/>
    </row>
    <row r="35" spans="3:34">
      <c r="AB35" s="139"/>
      <c r="AC35" s="139"/>
      <c r="AD35" s="139"/>
      <c r="AE35" s="139"/>
      <c r="AF35" s="139"/>
    </row>
    <row r="36" spans="3:34">
      <c r="AB36" s="139"/>
      <c r="AC36" s="139"/>
      <c r="AD36" s="139"/>
      <c r="AE36" s="139"/>
      <c r="AF36" s="139"/>
    </row>
    <row r="37" spans="3:34">
      <c r="AB37" s="139"/>
      <c r="AC37" s="139"/>
      <c r="AD37" s="139"/>
      <c r="AE37" s="139"/>
      <c r="AF37" s="139"/>
    </row>
    <row r="38" spans="3:34">
      <c r="AB38" s="139"/>
      <c r="AC38" s="139"/>
      <c r="AD38" s="139"/>
      <c r="AE38" s="139"/>
      <c r="AF38" s="139"/>
    </row>
    <row r="39" spans="3:34">
      <c r="AB39" s="139"/>
      <c r="AC39" s="139"/>
      <c r="AD39" s="139"/>
      <c r="AE39" s="139"/>
      <c r="AF39" s="139"/>
    </row>
    <row r="40" spans="3:34">
      <c r="AB40" s="139"/>
      <c r="AC40" s="139"/>
      <c r="AD40" s="139"/>
      <c r="AE40" s="139"/>
      <c r="AF40" s="139"/>
    </row>
    <row r="41" spans="3:34">
      <c r="AB41" s="139"/>
      <c r="AC41" s="139"/>
      <c r="AD41" s="139"/>
      <c r="AE41" s="139"/>
      <c r="AF41" s="139"/>
    </row>
    <row r="42" spans="3:34">
      <c r="AB42" s="139"/>
      <c r="AC42" s="139"/>
      <c r="AD42" s="139"/>
      <c r="AE42" s="139"/>
      <c r="AF42" s="139"/>
    </row>
    <row r="43" spans="3:34">
      <c r="AB43" s="139"/>
      <c r="AC43" s="139"/>
      <c r="AD43" s="139"/>
      <c r="AE43" s="139"/>
      <c r="AF43" s="139"/>
    </row>
    <row r="44" spans="3:34">
      <c r="AB44" s="139"/>
      <c r="AC44" s="139"/>
      <c r="AD44" s="139"/>
      <c r="AE44" s="139"/>
      <c r="AF44" s="139"/>
    </row>
    <row r="45" spans="3:34">
      <c r="AB45" s="139"/>
      <c r="AC45" s="139"/>
      <c r="AD45" s="139"/>
      <c r="AE45" s="139"/>
      <c r="AF45" s="139"/>
    </row>
    <row r="46" spans="3:34">
      <c r="AB46" s="139"/>
      <c r="AC46" s="139"/>
      <c r="AD46" s="139"/>
      <c r="AE46" s="139"/>
      <c r="AF46" s="139"/>
    </row>
    <row r="47" spans="3:34">
      <c r="AB47" s="139"/>
      <c r="AC47" s="139"/>
      <c r="AD47" s="139"/>
      <c r="AE47" s="139"/>
      <c r="AF47" s="139"/>
    </row>
    <row r="48" spans="3:34">
      <c r="AB48" s="139"/>
      <c r="AC48" s="139"/>
      <c r="AD48" s="139"/>
      <c r="AE48" s="139"/>
      <c r="AF48" s="139"/>
    </row>
    <row r="49" spans="27:32">
      <c r="AB49" s="139"/>
      <c r="AC49" s="139"/>
      <c r="AD49" s="139"/>
      <c r="AE49" s="139"/>
      <c r="AF49" s="139"/>
    </row>
    <row r="50" spans="27:32">
      <c r="AB50" s="139"/>
      <c r="AC50" s="139"/>
      <c r="AD50" s="139"/>
      <c r="AE50" s="139"/>
      <c r="AF50" s="139"/>
    </row>
    <row r="51" spans="27:32">
      <c r="AB51" s="139"/>
      <c r="AC51" s="139"/>
      <c r="AD51" s="139"/>
      <c r="AE51" s="139"/>
      <c r="AF51" s="139"/>
    </row>
    <row r="52" spans="27:32">
      <c r="AB52" s="139"/>
      <c r="AC52" s="139"/>
      <c r="AD52" s="139"/>
      <c r="AE52" s="139"/>
      <c r="AF52" s="139"/>
    </row>
    <row r="53" spans="27:32">
      <c r="AB53" s="139"/>
      <c r="AC53" s="139"/>
      <c r="AD53" s="139"/>
      <c r="AE53" s="139"/>
      <c r="AF53" s="139"/>
    </row>
    <row r="54" spans="27:32">
      <c r="AB54" s="139"/>
      <c r="AC54" s="139"/>
      <c r="AD54" s="139"/>
      <c r="AE54" s="139"/>
      <c r="AF54" s="139"/>
    </row>
    <row r="55" spans="27:32">
      <c r="AB55" s="139"/>
      <c r="AC55" s="139"/>
      <c r="AD55" s="139"/>
      <c r="AE55" s="139"/>
      <c r="AF55" s="139"/>
    </row>
    <row r="56" spans="27:32">
      <c r="AB56" s="139"/>
      <c r="AC56" s="139"/>
      <c r="AD56" s="139"/>
      <c r="AE56" s="139"/>
      <c r="AF56" s="139"/>
    </row>
    <row r="57" spans="27:32">
      <c r="AB57" s="139"/>
      <c r="AC57" s="139"/>
      <c r="AD57" s="139"/>
      <c r="AE57" s="139"/>
      <c r="AF57" s="139"/>
    </row>
    <row r="58" spans="27:32">
      <c r="AB58" s="139"/>
      <c r="AC58" s="139"/>
      <c r="AD58" s="139"/>
      <c r="AE58" s="139"/>
      <c r="AF58" s="139"/>
    </row>
    <row r="59" spans="27:32">
      <c r="AB59" s="139"/>
      <c r="AC59" s="139"/>
      <c r="AD59" s="139"/>
      <c r="AE59" s="139"/>
      <c r="AF59" s="139"/>
    </row>
    <row r="60" spans="27:32">
      <c r="AA60" s="139"/>
      <c r="AB60" s="139"/>
      <c r="AC60" s="139"/>
      <c r="AD60" s="139"/>
      <c r="AE60" s="139"/>
      <c r="AF60" s="139"/>
    </row>
    <row r="61" spans="27:32">
      <c r="AA61" s="139"/>
      <c r="AB61" s="139"/>
      <c r="AC61" s="139"/>
      <c r="AD61" s="139"/>
      <c r="AE61" s="139"/>
      <c r="AF61" s="139"/>
    </row>
    <row r="62" spans="27:32">
      <c r="AA62" s="139"/>
      <c r="AB62" s="139"/>
      <c r="AC62" s="139"/>
      <c r="AD62" s="139"/>
      <c r="AE62" s="139"/>
      <c r="AF62" s="139"/>
    </row>
    <row r="63" spans="27:32">
      <c r="AA63" s="139"/>
      <c r="AB63" s="139"/>
      <c r="AC63" s="139"/>
      <c r="AD63" s="139"/>
      <c r="AE63" s="139"/>
      <c r="AF63" s="139"/>
    </row>
    <row r="64" spans="27:32">
      <c r="AA64" s="139"/>
      <c r="AB64" s="139"/>
      <c r="AC64" s="139"/>
      <c r="AD64" s="139"/>
      <c r="AE64" s="139"/>
      <c r="AF64" s="139"/>
    </row>
    <row r="65" spans="27:32">
      <c r="AA65" s="139"/>
      <c r="AB65" s="139"/>
      <c r="AC65" s="139"/>
      <c r="AD65" s="139"/>
      <c r="AE65" s="139"/>
      <c r="AF65" s="13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J12" sqref="J12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26"/>
  <sheetViews>
    <sheetView workbookViewId="0"/>
  </sheetViews>
  <sheetFormatPr defaultRowHeight="15"/>
  <cols>
    <col min="1" max="1" width="23.140625" customWidth="1"/>
    <col min="4" max="4" width="6.5703125" customWidth="1"/>
    <col min="5" max="5" width="11.42578125" customWidth="1"/>
    <col min="6" max="6" width="27" customWidth="1"/>
    <col min="13" max="13" width="14.5703125" customWidth="1"/>
    <col min="22" max="22" width="23.85546875" customWidth="1"/>
    <col min="25" max="25" width="21.42578125" customWidth="1"/>
    <col min="26" max="26" width="20.140625" customWidth="1"/>
  </cols>
  <sheetData>
    <row r="1" spans="1:29" s="139" customFormat="1">
      <c r="A1" s="139" t="s">
        <v>90</v>
      </c>
      <c r="B1" s="139" t="s">
        <v>91</v>
      </c>
      <c r="C1" s="139" t="s">
        <v>92</v>
      </c>
      <c r="D1" s="139" t="s">
        <v>93</v>
      </c>
      <c r="E1" s="139" t="s">
        <v>94</v>
      </c>
      <c r="F1" s="139" t="s">
        <v>95</v>
      </c>
      <c r="G1" s="139" t="s">
        <v>96</v>
      </c>
      <c r="H1" s="139" t="s">
        <v>97</v>
      </c>
      <c r="I1" s="139" t="s">
        <v>98</v>
      </c>
      <c r="J1" s="140" t="s">
        <v>99</v>
      </c>
      <c r="K1" s="139" t="s">
        <v>100</v>
      </c>
      <c r="L1" s="139" t="s">
        <v>101</v>
      </c>
      <c r="M1" s="139" t="s">
        <v>102</v>
      </c>
      <c r="N1" s="139" t="s">
        <v>103</v>
      </c>
      <c r="O1" s="140" t="s">
        <v>104</v>
      </c>
      <c r="P1" s="139" t="s">
        <v>105</v>
      </c>
      <c r="Q1" s="139" t="s">
        <v>106</v>
      </c>
      <c r="R1" s="140" t="s">
        <v>107</v>
      </c>
      <c r="S1" s="139" t="s">
        <v>108</v>
      </c>
      <c r="T1" s="139" t="s">
        <v>109</v>
      </c>
      <c r="U1" s="139" t="s">
        <v>110</v>
      </c>
      <c r="V1" s="139" t="s">
        <v>111</v>
      </c>
      <c r="W1" s="139" t="s">
        <v>112</v>
      </c>
      <c r="X1" s="139" t="s">
        <v>113</v>
      </c>
      <c r="Y1" s="139" t="s">
        <v>114</v>
      </c>
      <c r="Z1" s="139" t="s">
        <v>115</v>
      </c>
      <c r="AA1" s="139" t="s">
        <v>116</v>
      </c>
      <c r="AB1" s="139" t="s">
        <v>117</v>
      </c>
      <c r="AC1" s="139" t="s">
        <v>118</v>
      </c>
    </row>
    <row r="2" spans="1:29">
      <c r="B2" s="141" t="str">
        <f>UPPER(TRIM('ME-3'!BB2))</f>
        <v/>
      </c>
      <c r="C2" t="str">
        <f>TRIM('ME-3'!V3)</f>
        <v/>
      </c>
      <c r="D2" s="142">
        <f>'ME-3'!BO2</f>
        <v>2</v>
      </c>
      <c r="F2" s="143"/>
      <c r="H2" s="144"/>
      <c r="I2" s="144"/>
      <c r="J2" s="145">
        <f>IF('ME-3'!BR21="",0,'ME-3'!BR21)</f>
        <v>0</v>
      </c>
      <c r="K2" s="145"/>
      <c r="L2" s="144"/>
      <c r="M2" s="144"/>
    </row>
    <row r="3" spans="1:29">
      <c r="A3" t="str">
        <f>IF('ME-3'!AN6="","",UPPER(TRIM('ME-3'!AN6)))</f>
        <v/>
      </c>
      <c r="B3" s="141" t="str">
        <f>UPPER(TRIM('ME-3'!BB2))</f>
        <v/>
      </c>
      <c r="C3" s="143" t="str">
        <f>TRIM('ME-3'!V3)</f>
        <v/>
      </c>
      <c r="D3" s="142">
        <f>'ME-3'!BO2</f>
        <v>2</v>
      </c>
      <c r="E3" s="141" t="str">
        <f>IF('ME-3'!AQ6="","",UPPER(TRIM('ME-3'!AQ6)))</f>
        <v/>
      </c>
      <c r="F3" s="143" t="str">
        <f>IF('ME-3'!BK6="","",LOWER(TRIM('ME-3'!BK6)))</f>
        <v/>
      </c>
      <c r="G3" t="e">
        <f>IF((M3-L3)*1440&lt;0,(((M3-L3)*1440)+1440),((M3-L3)*1440))</f>
        <v>#VALUE!</v>
      </c>
      <c r="H3" s="144" t="str">
        <f>IF('ME-3'!AX6="","",'ME-3'!AX6)</f>
        <v/>
      </c>
      <c r="I3" s="144" t="str">
        <f>IF('ME-3'!AY6="","",'ME-3'!AY6)</f>
        <v/>
      </c>
      <c r="J3" s="138">
        <f>IF('ME-3'!BQ6="",0,'ME-3'!BQ6)</f>
        <v>0</v>
      </c>
      <c r="K3" s="145">
        <f>IF('ME-3'!BR17="",0,ROUND('ME-3'!BR17,0))</f>
        <v>0</v>
      </c>
      <c r="L3" s="146" t="str">
        <f>'ME-3'!AV6</f>
        <v>23:00</v>
      </c>
      <c r="M3" s="146" t="str">
        <f>'ME-3'!AW6</f>
        <v/>
      </c>
      <c r="N3">
        <f>IF('ME-3'!AZ6="",0,'ME-3'!AZ6)</f>
        <v>0</v>
      </c>
      <c r="O3">
        <f>IF('ME-3'!BA6="",0,'ME-3'!BA6)</f>
        <v>0</v>
      </c>
      <c r="P3">
        <f>IF('ME-3'!BB6="",0,'ME-3'!BB6)</f>
        <v>0</v>
      </c>
      <c r="Q3">
        <f>IF('ME-3'!BC6="",0,'ME-3'!BC6)</f>
        <v>0</v>
      </c>
      <c r="R3" s="138"/>
      <c r="S3">
        <f>IF('ME-3'!BP6="",0,'ME-3'!BP6)</f>
        <v>0</v>
      </c>
      <c r="T3" t="str">
        <f>IF('ME-3'!BH6="","",TRIM('ME-3'!BH6))</f>
        <v/>
      </c>
      <c r="U3">
        <f>IF(OR('ME-3'!AP6=0,'ME-3'!AP6=""),0,1)</f>
        <v>0</v>
      </c>
      <c r="V3" s="143" t="str">
        <f>IF('ME-3'!AM6="","",UPPER(TRIM('ME-3'!AM6)))</f>
        <v/>
      </c>
      <c r="W3" t="str">
        <f>IF(OR('ME-3'!H6=0,'ME-3'!H6=""),"",'ME-3'!H6)</f>
        <v/>
      </c>
      <c r="X3" t="str">
        <f>IF(OR('ME-3'!I6=0,'ME-3'!I6=""),"",'ME-3'!I6)</f>
        <v/>
      </c>
      <c r="Y3" t="str">
        <f>IF(V3="","",CONCATENATE(A3,"-",V3))</f>
        <v/>
      </c>
      <c r="Z3" t="str">
        <f>IF(Y3="","",CONCATENATE(Y3,"-",C3))</f>
        <v/>
      </c>
      <c r="AA3">
        <f>IF('ME-3'!BF6="",0,'ME-3'!BF6)</f>
        <v>0</v>
      </c>
      <c r="AB3" t="e">
        <f>(IF((I3-H3)*1440&lt;0,(((I3-H3)*1440)+1440),((I3-H3)*1440)))-(S3+AA3)</f>
        <v>#VALUE!</v>
      </c>
      <c r="AC3" t="str">
        <f>IF('ME-3'!BR19="","",LOWER(TRIM('ME-3'!BR19)))</f>
        <v/>
      </c>
    </row>
    <row r="4" spans="1:29">
      <c r="A4" t="str">
        <f>IF('ME-3'!AN7="","",UPPER(TRIM('ME-3'!AN7)))</f>
        <v/>
      </c>
      <c r="B4" s="141" t="str">
        <f>UPPER(TRIM('ME-3'!BB2))</f>
        <v/>
      </c>
      <c r="C4" s="143" t="str">
        <f>TRIM('ME-3'!V3)</f>
        <v/>
      </c>
      <c r="D4" s="142">
        <f>'ME-3'!BO2</f>
        <v>2</v>
      </c>
      <c r="E4" s="141" t="str">
        <f>IF('ME-3'!AQ7="","",UPPER(TRIM('ME-3'!AQ7)))</f>
        <v/>
      </c>
      <c r="F4" s="143" t="str">
        <f>IF('ME-3'!BK7="","",LOWER(TRIM('ME-3'!BK7)))</f>
        <v/>
      </c>
      <c r="G4" t="e">
        <f t="shared" ref="G4:G26" si="0">IF((M4-L4)*1440&lt;0,(((M4-L4)*1440)+1440),((M4-L4)*1440))</f>
        <v>#VALUE!</v>
      </c>
      <c r="H4" s="144" t="str">
        <f>IF('ME-3'!AX7="","",'ME-3'!AX7)</f>
        <v/>
      </c>
      <c r="I4" s="144" t="str">
        <f>IF('ME-3'!AY7="","",'ME-3'!AY7)</f>
        <v/>
      </c>
      <c r="J4" s="138">
        <f>IF('ME-3'!BQ7="",0,'ME-3'!BQ7)</f>
        <v>0</v>
      </c>
      <c r="K4" s="145"/>
      <c r="L4" s="146" t="str">
        <f>'ME-3'!AV7</f>
        <v/>
      </c>
      <c r="M4" s="146" t="str">
        <f>'ME-3'!AW7</f>
        <v/>
      </c>
      <c r="N4">
        <f>IF('ME-3'!AZ7="",0,'ME-3'!AZ7)</f>
        <v>0</v>
      </c>
      <c r="O4">
        <f>IF('ME-3'!BA7="",0,'ME-3'!BA7)</f>
        <v>0</v>
      </c>
      <c r="P4">
        <f>IF('ME-3'!BB7="",0,'ME-3'!BB7)</f>
        <v>0</v>
      </c>
      <c r="Q4">
        <f>IF('ME-3'!BC7="",0,'ME-3'!BC7)</f>
        <v>0</v>
      </c>
      <c r="R4" s="138"/>
      <c r="S4">
        <f>IF('ME-3'!BP7="",0,'ME-3'!BP7)</f>
        <v>0</v>
      </c>
      <c r="T4" t="str">
        <f>IF('ME-3'!BH7="","",TRIM('ME-3'!BH7))</f>
        <v/>
      </c>
      <c r="U4">
        <f>IF(OR('ME-3'!AP7=0,'ME-3'!AP7=""),0,1)</f>
        <v>0</v>
      </c>
      <c r="V4" s="143" t="str">
        <f>IF('ME-3'!AM7="","",UPPER(TRIM('ME-3'!AM7)))</f>
        <v/>
      </c>
      <c r="W4" t="str">
        <f>IF(OR('ME-3'!H7=0,'ME-3'!H7=""),"",'ME-3'!H7)</f>
        <v/>
      </c>
      <c r="X4" t="str">
        <f>IF(OR('ME-3'!I7=0,'ME-3'!I7=""),"",'ME-3'!I7)</f>
        <v/>
      </c>
      <c r="Y4" t="str">
        <f t="shared" ref="Y4:Y26" si="1">IF(V4="","",CONCATENATE(A4,"-",V4))</f>
        <v/>
      </c>
      <c r="Z4" t="str">
        <f t="shared" ref="Z4:Z26" si="2">IF(Y4="","",CONCATENATE(Y4,"-",C4))</f>
        <v/>
      </c>
      <c r="AA4">
        <f>IF('ME-3'!BF7="",0,'ME-3'!BF7)</f>
        <v>0</v>
      </c>
      <c r="AB4" t="e">
        <f t="shared" ref="AB4:AB26" si="3">(IF((I4-H4)*1440&lt;0,(((I4-H4)*1440)+1440),((I4-H4)*1440)))-(S4+AA4)</f>
        <v>#VALUE!</v>
      </c>
    </row>
    <row r="5" spans="1:29">
      <c r="A5" t="str">
        <f>IF('ME-3'!AN8="","",UPPER(TRIM('ME-3'!AN8)))</f>
        <v/>
      </c>
      <c r="B5" s="141" t="str">
        <f>UPPER(TRIM('ME-3'!BB2))</f>
        <v/>
      </c>
      <c r="C5" s="143" t="str">
        <f>TRIM('ME-3'!V3)</f>
        <v/>
      </c>
      <c r="D5" s="142">
        <f>'ME-3'!BO2</f>
        <v>2</v>
      </c>
      <c r="E5" s="141" t="str">
        <f>IF('ME-3'!AQ8="","",UPPER(TRIM('ME-3'!AQ8)))</f>
        <v/>
      </c>
      <c r="F5" s="143" t="str">
        <f>IF('ME-3'!BK8="","",LOWER(TRIM('ME-3'!BK8)))</f>
        <v/>
      </c>
      <c r="G5" t="e">
        <f t="shared" si="0"/>
        <v>#VALUE!</v>
      </c>
      <c r="H5" s="144" t="str">
        <f>IF('ME-3'!AX8="","",'ME-3'!AX8)</f>
        <v/>
      </c>
      <c r="I5" s="144" t="str">
        <f>IF('ME-3'!AY8="","",'ME-3'!AY8)</f>
        <v/>
      </c>
      <c r="J5" s="138">
        <f>IF('ME-3'!BQ8="",0,'ME-3'!BQ8)</f>
        <v>0</v>
      </c>
      <c r="K5" s="145"/>
      <c r="L5" s="146" t="str">
        <f>'ME-3'!AV8</f>
        <v/>
      </c>
      <c r="M5" s="146" t="str">
        <f>'ME-3'!AW8</f>
        <v/>
      </c>
      <c r="N5">
        <f>IF('ME-3'!AZ8="",0,'ME-3'!AZ8)</f>
        <v>0</v>
      </c>
      <c r="O5">
        <f>IF('ME-3'!BA8="",0,'ME-3'!BA8)</f>
        <v>0</v>
      </c>
      <c r="P5">
        <f>IF('ME-3'!BB8="",0,'ME-3'!BB8)</f>
        <v>0</v>
      </c>
      <c r="Q5">
        <f>IF('ME-3'!BC8="",0,'ME-3'!BC8)</f>
        <v>0</v>
      </c>
      <c r="R5" s="138"/>
      <c r="S5">
        <f>IF('ME-3'!BP8="",0,'ME-3'!BP8)</f>
        <v>0</v>
      </c>
      <c r="T5" t="str">
        <f>IF('ME-3'!BH8="","",TRIM('ME-3'!BH8))</f>
        <v/>
      </c>
      <c r="U5">
        <f>IF(OR('ME-3'!AP8=0,'ME-3'!AP8=""),0,1)</f>
        <v>0</v>
      </c>
      <c r="V5" s="143" t="str">
        <f>IF('ME-3'!AM8="","",UPPER(TRIM('ME-3'!AM8)))</f>
        <v/>
      </c>
      <c r="W5" t="str">
        <f>IF(OR('ME-3'!H8=0,'ME-3'!H8=""),"",'ME-3'!H8)</f>
        <v/>
      </c>
      <c r="X5" t="str">
        <f>IF(OR('ME-3'!I8=0,'ME-3'!I8=""),"",'ME-3'!I8)</f>
        <v/>
      </c>
      <c r="Y5" t="str">
        <f t="shared" si="1"/>
        <v/>
      </c>
      <c r="Z5" t="str">
        <f t="shared" si="2"/>
        <v/>
      </c>
      <c r="AA5">
        <f>IF('ME-3'!BF8="",0,'ME-3'!BF8)</f>
        <v>0</v>
      </c>
      <c r="AB5" t="e">
        <f t="shared" si="3"/>
        <v>#VALUE!</v>
      </c>
    </row>
    <row r="6" spans="1:29">
      <c r="A6" t="str">
        <f>IF('ME-3'!AN9="","",UPPER(TRIM('ME-3'!AN9)))</f>
        <v/>
      </c>
      <c r="B6" s="141" t="str">
        <f>UPPER(TRIM('ME-3'!BB2))</f>
        <v/>
      </c>
      <c r="C6" s="143" t="str">
        <f>TRIM('ME-3'!V3)</f>
        <v/>
      </c>
      <c r="D6" s="142">
        <f>'ME-3'!BO2</f>
        <v>2</v>
      </c>
      <c r="E6" s="141" t="str">
        <f>IF('ME-3'!AQ9="","",UPPER(TRIM('ME-3'!AQ9)))</f>
        <v/>
      </c>
      <c r="F6" s="143" t="str">
        <f>IF('ME-3'!BK9="","",LOWER(TRIM('ME-3'!BK9)))</f>
        <v/>
      </c>
      <c r="G6" t="e">
        <f t="shared" si="0"/>
        <v>#VALUE!</v>
      </c>
      <c r="H6" s="144" t="str">
        <f>IF('ME-3'!AX9="","",'ME-3'!AX9)</f>
        <v/>
      </c>
      <c r="I6" s="144" t="str">
        <f>IF('ME-3'!AY9="","",'ME-3'!AY9)</f>
        <v/>
      </c>
      <c r="J6" s="138">
        <f>IF('ME-3'!BQ9="",0,'ME-3'!BQ9)</f>
        <v>0</v>
      </c>
      <c r="K6" s="145"/>
      <c r="L6" s="146" t="str">
        <f>'ME-3'!AV9</f>
        <v/>
      </c>
      <c r="M6" s="146" t="str">
        <f>'ME-3'!AW9</f>
        <v/>
      </c>
      <c r="N6">
        <f>IF('ME-3'!AZ9="",0,'ME-3'!AZ9)</f>
        <v>0</v>
      </c>
      <c r="O6">
        <f>IF('ME-3'!BA9="",0,'ME-3'!BA9)</f>
        <v>0</v>
      </c>
      <c r="P6">
        <f>IF('ME-3'!BB9="",0,'ME-3'!BB9)</f>
        <v>0</v>
      </c>
      <c r="Q6">
        <f>IF('ME-3'!BC9="",0,'ME-3'!BC9)</f>
        <v>0</v>
      </c>
      <c r="R6" s="138"/>
      <c r="S6">
        <f>IF('ME-3'!BP9="",0,'ME-3'!BP9)</f>
        <v>0</v>
      </c>
      <c r="T6" t="str">
        <f>IF('ME-3'!BH9="","",TRIM('ME-3'!BH9))</f>
        <v/>
      </c>
      <c r="U6">
        <f>IF(OR('ME-3'!AP9=0,'ME-3'!AP9=""),0,1)</f>
        <v>0</v>
      </c>
      <c r="V6" s="143" t="str">
        <f>IF('ME-3'!AM9="","",UPPER(TRIM('ME-3'!AM9)))</f>
        <v/>
      </c>
      <c r="W6" t="str">
        <f>IF(OR('ME-3'!H9=0,'ME-3'!H9=""),"",'ME-3'!H9)</f>
        <v/>
      </c>
      <c r="X6" t="str">
        <f>IF(OR('ME-3'!I9=0,'ME-3'!I9=""),"",'ME-3'!I9)</f>
        <v/>
      </c>
      <c r="Y6" t="str">
        <f t="shared" si="1"/>
        <v/>
      </c>
      <c r="Z6" t="str">
        <f t="shared" si="2"/>
        <v/>
      </c>
      <c r="AA6">
        <f>IF('ME-3'!BF9="",0,'ME-3'!BF9)</f>
        <v>0</v>
      </c>
      <c r="AB6" t="e">
        <f t="shared" si="3"/>
        <v>#VALUE!</v>
      </c>
    </row>
    <row r="7" spans="1:29">
      <c r="A7" t="str">
        <f>IF('ME-3'!AN10="","",UPPER(TRIM('ME-3'!AN10)))</f>
        <v/>
      </c>
      <c r="B7" s="141" t="str">
        <f>UPPER(TRIM('ME-3'!BB2))</f>
        <v/>
      </c>
      <c r="C7" s="143" t="str">
        <f>TRIM('ME-3'!V3)</f>
        <v/>
      </c>
      <c r="D7" s="142">
        <f>'ME-3'!BO2</f>
        <v>2</v>
      </c>
      <c r="E7" s="141" t="str">
        <f>IF('ME-3'!AQ10="","",UPPER(TRIM('ME-3'!AQ10)))</f>
        <v/>
      </c>
      <c r="F7" s="143" t="str">
        <f>IF('ME-3'!BK10="","",LOWER(TRIM('ME-3'!BK10)))</f>
        <v/>
      </c>
      <c r="G7" t="e">
        <f t="shared" si="0"/>
        <v>#VALUE!</v>
      </c>
      <c r="H7" s="144" t="str">
        <f>IF('ME-3'!AX10="","",'ME-3'!AX10)</f>
        <v/>
      </c>
      <c r="I7" s="144" t="str">
        <f>IF('ME-3'!AY10="","",'ME-3'!AY10)</f>
        <v/>
      </c>
      <c r="J7" s="138">
        <f>IF('ME-3'!BQ10="",0,'ME-3'!BQ10)</f>
        <v>0</v>
      </c>
      <c r="K7" s="145"/>
      <c r="L7" s="146" t="str">
        <f>'ME-3'!AV10</f>
        <v/>
      </c>
      <c r="M7" s="146" t="str">
        <f>'ME-3'!AW10</f>
        <v/>
      </c>
      <c r="N7">
        <f>IF('ME-3'!AZ10="",0,'ME-3'!AZ10)</f>
        <v>0</v>
      </c>
      <c r="O7">
        <f>IF('ME-3'!BA10="",0,'ME-3'!BA10)</f>
        <v>0</v>
      </c>
      <c r="P7">
        <f>IF('ME-3'!BB10="",0,'ME-3'!BB10)</f>
        <v>0</v>
      </c>
      <c r="Q7">
        <f>IF('ME-3'!BC10="",0,'ME-3'!BC10)</f>
        <v>0</v>
      </c>
      <c r="R7" s="138"/>
      <c r="S7">
        <f>IF('ME-3'!BP10="",0,'ME-3'!BP10)</f>
        <v>0</v>
      </c>
      <c r="T7" t="str">
        <f>IF('ME-3'!BH10="","",TRIM('ME-3'!BH10))</f>
        <v/>
      </c>
      <c r="U7">
        <f>IF(OR('ME-3'!AP10=0,'ME-3'!AP10=""),0,1)</f>
        <v>0</v>
      </c>
      <c r="V7" s="143" t="str">
        <f>IF('ME-3'!AM10="","",UPPER(TRIM('ME-3'!AM10)))</f>
        <v/>
      </c>
      <c r="W7" t="str">
        <f>IF(OR('ME-3'!H10=0,'ME-3'!H10=""),"",'ME-3'!H10)</f>
        <v/>
      </c>
      <c r="X7" t="str">
        <f>IF(OR('ME-3'!I10=0,'ME-3'!I10=""),"",'ME-3'!I10)</f>
        <v/>
      </c>
      <c r="Y7" t="str">
        <f t="shared" si="1"/>
        <v/>
      </c>
      <c r="Z7" t="str">
        <f t="shared" si="2"/>
        <v/>
      </c>
      <c r="AA7">
        <f>IF('ME-3'!BF10="",0,'ME-3'!BF10)</f>
        <v>0</v>
      </c>
      <c r="AB7" t="e">
        <f t="shared" si="3"/>
        <v>#VALUE!</v>
      </c>
    </row>
    <row r="8" spans="1:29">
      <c r="A8" t="str">
        <f>IF('ME-3'!AN11="","",UPPER(TRIM('ME-3'!AN11)))</f>
        <v/>
      </c>
      <c r="B8" s="141" t="str">
        <f>UPPER(TRIM('ME-3'!BB2))</f>
        <v/>
      </c>
      <c r="C8" s="143" t="str">
        <f>TRIM('ME-3'!V3)</f>
        <v/>
      </c>
      <c r="D8" s="142">
        <f>'ME-3'!BO2</f>
        <v>2</v>
      </c>
      <c r="E8" s="141" t="str">
        <f>IF('ME-3'!AQ11="","",UPPER(TRIM('ME-3'!AQ11)))</f>
        <v/>
      </c>
      <c r="F8" s="143" t="str">
        <f>IF('ME-3'!BK11="","",LOWER(TRIM('ME-3'!BK11)))</f>
        <v/>
      </c>
      <c r="G8" t="e">
        <f t="shared" si="0"/>
        <v>#VALUE!</v>
      </c>
      <c r="H8" s="144" t="str">
        <f>IF('ME-3'!AX11="","",'ME-3'!AX11)</f>
        <v/>
      </c>
      <c r="I8" s="144" t="str">
        <f>IF('ME-3'!AY11="","",'ME-3'!AY11)</f>
        <v/>
      </c>
      <c r="J8" s="138">
        <f>IF('ME-3'!BQ11="",0,'ME-3'!BQ11)</f>
        <v>0</v>
      </c>
      <c r="K8" s="145"/>
      <c r="L8" s="146" t="str">
        <f>'ME-3'!AV11</f>
        <v/>
      </c>
      <c r="M8" s="146" t="str">
        <f>'ME-3'!AW11</f>
        <v/>
      </c>
      <c r="N8">
        <f>IF('ME-3'!AZ11="",0,'ME-3'!AZ11)</f>
        <v>0</v>
      </c>
      <c r="O8">
        <f>IF('ME-3'!BA11="",0,'ME-3'!BA11)</f>
        <v>0</v>
      </c>
      <c r="P8">
        <f>IF('ME-3'!BB11="",0,'ME-3'!BB11)</f>
        <v>0</v>
      </c>
      <c r="Q8">
        <f>IF('ME-3'!BC11="",0,'ME-3'!BC11)</f>
        <v>0</v>
      </c>
      <c r="R8" s="138"/>
      <c r="S8">
        <f>IF('ME-3'!BP11="",0,'ME-3'!BP11)</f>
        <v>0</v>
      </c>
      <c r="T8" t="str">
        <f>IF('ME-3'!BH11="","",TRIM('ME-3'!BH11))</f>
        <v/>
      </c>
      <c r="U8">
        <f>IF(OR('ME-3'!AP11=0,'ME-3'!AP11=""),0,1)</f>
        <v>0</v>
      </c>
      <c r="V8" s="143" t="str">
        <f>IF('ME-3'!AM11="","",UPPER(TRIM('ME-3'!AM11)))</f>
        <v/>
      </c>
      <c r="W8" t="str">
        <f>IF(OR('ME-3'!H11=0,'ME-3'!H11=""),"",'ME-3'!H11)</f>
        <v/>
      </c>
      <c r="X8" t="str">
        <f>IF(OR('ME-3'!I11=0,'ME-3'!I11=""),"",'ME-3'!I11)</f>
        <v/>
      </c>
      <c r="Y8" t="str">
        <f t="shared" si="1"/>
        <v/>
      </c>
      <c r="Z8" t="str">
        <f t="shared" si="2"/>
        <v/>
      </c>
      <c r="AA8">
        <f>IF('ME-3'!BF11="",0,'ME-3'!BF11)</f>
        <v>0</v>
      </c>
      <c r="AB8" t="e">
        <f t="shared" si="3"/>
        <v>#VALUE!</v>
      </c>
    </row>
    <row r="9" spans="1:29">
      <c r="A9" t="str">
        <f>IF('ME-3'!AN12="","",UPPER(TRIM('ME-3'!AN12)))</f>
        <v/>
      </c>
      <c r="B9" s="141" t="str">
        <f>UPPER(TRIM('ME-3'!BB2))</f>
        <v/>
      </c>
      <c r="C9" s="143" t="str">
        <f>TRIM('ME-3'!V3)</f>
        <v/>
      </c>
      <c r="D9" s="142">
        <f>'ME-3'!BO2</f>
        <v>2</v>
      </c>
      <c r="E9" s="141" t="str">
        <f>IF('ME-3'!AQ12="","",UPPER(TRIM('ME-3'!AQ12)))</f>
        <v/>
      </c>
      <c r="F9" s="143" t="str">
        <f>IF('ME-3'!BK12="","",LOWER(TRIM('ME-3'!BK12)))</f>
        <v/>
      </c>
      <c r="G9" t="e">
        <f t="shared" si="0"/>
        <v>#VALUE!</v>
      </c>
      <c r="H9" s="144" t="str">
        <f>IF('ME-3'!AX12="","",'ME-3'!AX12)</f>
        <v/>
      </c>
      <c r="I9" s="144" t="str">
        <f>IF('ME-3'!AY12="","",'ME-3'!AY12)</f>
        <v/>
      </c>
      <c r="J9" s="138">
        <f>IF('ME-3'!BQ12="",0,'ME-3'!BQ12)</f>
        <v>0</v>
      </c>
      <c r="K9" s="138"/>
      <c r="L9" s="146" t="str">
        <f>'ME-3'!AV12</f>
        <v/>
      </c>
      <c r="M9" s="146" t="str">
        <f>'ME-3'!AW12</f>
        <v/>
      </c>
      <c r="N9">
        <f>IF('ME-3'!AZ12="",0,'ME-3'!AZ12)</f>
        <v>0</v>
      </c>
      <c r="O9">
        <f>IF('ME-3'!BA12="",0,'ME-3'!BA12)</f>
        <v>0</v>
      </c>
      <c r="P9">
        <f>IF('ME-3'!BB12="",0,'ME-3'!BB12)</f>
        <v>0</v>
      </c>
      <c r="Q9">
        <f>IF('ME-3'!BC12="",0,'ME-3'!BC12)</f>
        <v>0</v>
      </c>
      <c r="R9" s="138"/>
      <c r="S9">
        <f>IF('ME-3'!BP12="",0,'ME-3'!BP12)</f>
        <v>0</v>
      </c>
      <c r="T9" t="str">
        <f>IF('ME-3'!BH12="","",TRIM('ME-3'!BH12))</f>
        <v/>
      </c>
      <c r="U9">
        <f>IF(OR('ME-3'!AP12=0,'ME-3'!AP12=""),0,1)</f>
        <v>0</v>
      </c>
      <c r="V9" s="143" t="str">
        <f>IF('ME-3'!AM12="","",UPPER(TRIM('ME-3'!AM12)))</f>
        <v/>
      </c>
      <c r="W9" t="str">
        <f>IF(OR('ME-3'!H12=0,'ME-3'!H12=""),"",'ME-3'!H12)</f>
        <v/>
      </c>
      <c r="X9" t="str">
        <f>IF(OR('ME-3'!I12=0,'ME-3'!I12=""),"",'ME-3'!I12)</f>
        <v/>
      </c>
      <c r="Y9" t="str">
        <f t="shared" si="1"/>
        <v/>
      </c>
      <c r="Z9" t="str">
        <f t="shared" si="2"/>
        <v/>
      </c>
      <c r="AA9">
        <f>IF('ME-3'!BF12="",0,'ME-3'!BF12)</f>
        <v>0</v>
      </c>
      <c r="AB9" t="e">
        <f t="shared" si="3"/>
        <v>#VALUE!</v>
      </c>
    </row>
    <row r="10" spans="1:29">
      <c r="A10" t="str">
        <f>IF('ME-3'!AN13="","",UPPER(TRIM('ME-3'!AN13)))</f>
        <v/>
      </c>
      <c r="B10" s="141" t="str">
        <f>UPPER(TRIM('ME-3'!BB2))</f>
        <v/>
      </c>
      <c r="C10" s="143" t="str">
        <f>TRIM('ME-3'!V3)</f>
        <v/>
      </c>
      <c r="D10" s="142">
        <f>'ME-3'!BO2</f>
        <v>2</v>
      </c>
      <c r="E10" s="141" t="str">
        <f>IF('ME-3'!AQ13="","",UPPER(TRIM('ME-3'!AQ13)))</f>
        <v/>
      </c>
      <c r="F10" s="143" t="str">
        <f>IF('ME-3'!BK13="","",LOWER(TRIM('ME-3'!BK13)))</f>
        <v/>
      </c>
      <c r="G10" t="e">
        <f t="shared" si="0"/>
        <v>#VALUE!</v>
      </c>
      <c r="H10" s="144" t="str">
        <f>IF('ME-3'!AX13="","",'ME-3'!AX13)</f>
        <v/>
      </c>
      <c r="I10" s="144" t="str">
        <f>IF('ME-3'!AY13="","",'ME-3'!AY13)</f>
        <v/>
      </c>
      <c r="J10" s="138">
        <f>IF('ME-3'!BQ13="",0,'ME-3'!BQ13)</f>
        <v>0</v>
      </c>
      <c r="K10" s="138"/>
      <c r="L10" s="146" t="str">
        <f>'ME-3'!AV13</f>
        <v/>
      </c>
      <c r="M10" s="146" t="str">
        <f>'ME-3'!AW13</f>
        <v/>
      </c>
      <c r="N10">
        <f>IF('ME-3'!AZ13="",0,'ME-3'!AZ13)</f>
        <v>0</v>
      </c>
      <c r="O10">
        <f>IF('ME-3'!BA13="",0,'ME-3'!BA13)</f>
        <v>0</v>
      </c>
      <c r="P10">
        <f>IF('ME-3'!BB13="",0,'ME-3'!BB13)</f>
        <v>0</v>
      </c>
      <c r="Q10">
        <f>IF('ME-3'!BC13="",0,'ME-3'!BC13)</f>
        <v>0</v>
      </c>
      <c r="R10" s="138"/>
      <c r="S10">
        <f>IF('ME-3'!BP13="",0,'ME-3'!BP13)</f>
        <v>0</v>
      </c>
      <c r="T10" t="str">
        <f>IF('ME-3'!BH13="","",TRIM('ME-3'!BH13))</f>
        <v/>
      </c>
      <c r="U10">
        <f>IF(OR('ME-3'!AP13=0,'ME-3'!AP13=""),0,1)</f>
        <v>0</v>
      </c>
      <c r="V10" s="143" t="str">
        <f>IF('ME-3'!AM13="","",UPPER(TRIM('ME-3'!AM13)))</f>
        <v/>
      </c>
      <c r="W10" t="str">
        <f>IF(OR('ME-3'!H13=0,'ME-3'!H13=""),"",'ME-3'!H13)</f>
        <v/>
      </c>
      <c r="X10" t="str">
        <f>IF(OR('ME-3'!I13=0,'ME-3'!I13=""),"",'ME-3'!I13)</f>
        <v/>
      </c>
      <c r="Y10" t="str">
        <f t="shared" si="1"/>
        <v/>
      </c>
      <c r="Z10" t="str">
        <f t="shared" si="2"/>
        <v/>
      </c>
      <c r="AA10">
        <f>IF('ME-3'!BF13="",0,'ME-3'!BF13)</f>
        <v>0</v>
      </c>
      <c r="AB10" t="e">
        <f t="shared" si="3"/>
        <v>#VALUE!</v>
      </c>
    </row>
    <row r="11" spans="1:29">
      <c r="A11" t="str">
        <f>IF('ME-3'!AN14="","",UPPER(TRIM('ME-3'!AN14)))</f>
        <v/>
      </c>
      <c r="B11" s="141" t="str">
        <f>UPPER(TRIM('ME-3'!BB2))</f>
        <v/>
      </c>
      <c r="C11" s="143" t="str">
        <f>TRIM('ME-3'!V3)</f>
        <v/>
      </c>
      <c r="D11" s="142">
        <f>'ME-3'!BO2</f>
        <v>2</v>
      </c>
      <c r="E11" s="141" t="str">
        <f>IF('ME-3'!AQ14="","",UPPER(TRIM('ME-3'!AQ14)))</f>
        <v/>
      </c>
      <c r="F11" s="143" t="str">
        <f>IF('ME-3'!BK14="","",LOWER(TRIM('ME-3'!BK14)))</f>
        <v/>
      </c>
      <c r="G11" t="e">
        <f t="shared" si="0"/>
        <v>#VALUE!</v>
      </c>
      <c r="H11" s="144" t="str">
        <f>IF('ME-3'!AX14="","",'ME-3'!AX14)</f>
        <v/>
      </c>
      <c r="I11" s="144" t="str">
        <f>IF('ME-3'!AY14="","",'ME-3'!AY14)</f>
        <v/>
      </c>
      <c r="J11" s="138">
        <f>IF('ME-3'!BQ14="",0,'ME-3'!BQ14)</f>
        <v>0</v>
      </c>
      <c r="K11" s="138"/>
      <c r="L11" s="146" t="str">
        <f>'ME-3'!AV14</f>
        <v/>
      </c>
      <c r="M11" s="146" t="str">
        <f>'ME-3'!AW14</f>
        <v/>
      </c>
      <c r="N11">
        <f>IF('ME-3'!AZ14="",0,'ME-3'!AZ14)</f>
        <v>0</v>
      </c>
      <c r="O11">
        <f>IF('ME-3'!BA14="",0,'ME-3'!BA14)</f>
        <v>0</v>
      </c>
      <c r="P11">
        <f>IF('ME-3'!BB14="",0,'ME-3'!BB14)</f>
        <v>0</v>
      </c>
      <c r="Q11">
        <f>IF('ME-3'!BC14="",0,'ME-3'!BC14)</f>
        <v>0</v>
      </c>
      <c r="R11" s="138"/>
      <c r="S11">
        <f>IF('ME-3'!BP14="",0,'ME-3'!BP14)</f>
        <v>0</v>
      </c>
      <c r="T11" t="str">
        <f>IF('ME-3'!BH14="","",TRIM('ME-3'!BH14))</f>
        <v/>
      </c>
      <c r="U11">
        <f>IF(OR('ME-3'!AP14=0,'ME-3'!AP14=""),0,1)</f>
        <v>0</v>
      </c>
      <c r="V11" s="143" t="str">
        <f>IF('ME-3'!AM14="","",UPPER(TRIM('ME-3'!AM14)))</f>
        <v/>
      </c>
      <c r="W11" t="str">
        <f>IF(OR('ME-3'!H14=0,'ME-3'!H14=""),"",'ME-3'!H14)</f>
        <v/>
      </c>
      <c r="X11" t="str">
        <f>IF(OR('ME-3'!I14=0,'ME-3'!I14=""),"",'ME-3'!I14)</f>
        <v/>
      </c>
      <c r="Y11" t="str">
        <f t="shared" si="1"/>
        <v/>
      </c>
      <c r="Z11" t="str">
        <f t="shared" si="2"/>
        <v/>
      </c>
      <c r="AA11">
        <f>IF('ME-3'!BF14="",0,'ME-3'!BF14)</f>
        <v>0</v>
      </c>
      <c r="AB11" t="e">
        <f t="shared" si="3"/>
        <v>#VALUE!</v>
      </c>
    </row>
    <row r="12" spans="1:29">
      <c r="A12" t="str">
        <f>IF('ME-3'!AN15="","",UPPER(TRIM('ME-3'!AN15)))</f>
        <v/>
      </c>
      <c r="B12" s="141" t="str">
        <f>UPPER(TRIM('ME-3'!BB2))</f>
        <v/>
      </c>
      <c r="C12" s="143" t="str">
        <f>TRIM('ME-3'!V3)</f>
        <v/>
      </c>
      <c r="D12" s="142">
        <f>'ME-3'!BO2</f>
        <v>2</v>
      </c>
      <c r="E12" s="141" t="str">
        <f>IF('ME-3'!AQ15="","",UPPER(TRIM('ME-3'!AQ15)))</f>
        <v/>
      </c>
      <c r="F12" s="143" t="str">
        <f>IF('ME-3'!BK15="","",LOWER(TRIM('ME-3'!BK15)))</f>
        <v/>
      </c>
      <c r="G12" t="e">
        <f t="shared" si="0"/>
        <v>#VALUE!</v>
      </c>
      <c r="H12" s="144" t="str">
        <f>IF('ME-3'!AX15="","",'ME-3'!AX15)</f>
        <v/>
      </c>
      <c r="I12" s="144" t="str">
        <f>IF('ME-3'!AY15="","",'ME-3'!AY15)</f>
        <v/>
      </c>
      <c r="J12" s="138">
        <f>IF('ME-3'!BQ15="",0,'ME-3'!BQ15)</f>
        <v>0</v>
      </c>
      <c r="K12" s="138"/>
      <c r="L12" s="146" t="str">
        <f>'ME-3'!AV15</f>
        <v/>
      </c>
      <c r="M12" s="146" t="str">
        <f>'ME-3'!AW15</f>
        <v/>
      </c>
      <c r="N12">
        <f>IF('ME-3'!AZ15="",0,'ME-3'!AZ15)</f>
        <v>0</v>
      </c>
      <c r="O12">
        <f>IF('ME-3'!BA15="",0,'ME-3'!BA15)</f>
        <v>0</v>
      </c>
      <c r="P12">
        <f>IF('ME-3'!BB15="",0,'ME-3'!BB15)</f>
        <v>0</v>
      </c>
      <c r="Q12">
        <f>IF('ME-3'!BC15="",0,'ME-3'!BC15)</f>
        <v>0</v>
      </c>
      <c r="R12" s="138"/>
      <c r="S12">
        <f>IF('ME-3'!BP15="",0,'ME-3'!BP15)</f>
        <v>0</v>
      </c>
      <c r="T12" t="str">
        <f>IF('ME-3'!BH15="","",TRIM('ME-3'!BH15))</f>
        <v/>
      </c>
      <c r="U12">
        <f>IF(OR('ME-3'!AP15=0,'ME-3'!AP15=""),0,1)</f>
        <v>0</v>
      </c>
      <c r="V12" s="143" t="str">
        <f>IF('ME-3'!AM15="","",UPPER(TRIM('ME-3'!AM15)))</f>
        <v/>
      </c>
      <c r="W12" t="str">
        <f>IF(OR('ME-3'!H15=0,'ME-3'!H15=""),"",'ME-3'!H15)</f>
        <v/>
      </c>
      <c r="X12" t="str">
        <f>IF(OR('ME-3'!I15=0,'ME-3'!I15=""),"",'ME-3'!I15)</f>
        <v/>
      </c>
      <c r="Y12" t="str">
        <f t="shared" si="1"/>
        <v/>
      </c>
      <c r="Z12" t="str">
        <f t="shared" si="2"/>
        <v/>
      </c>
      <c r="AA12">
        <f>IF('ME-3'!BF15="",0,'ME-3'!BF15)</f>
        <v>0</v>
      </c>
      <c r="AB12" t="e">
        <f t="shared" si="3"/>
        <v>#VALUE!</v>
      </c>
    </row>
    <row r="13" spans="1:29">
      <c r="A13" t="str">
        <f>IF('ME-3'!AN16="","",UPPER(TRIM('ME-3'!AN16)))</f>
        <v/>
      </c>
      <c r="B13" s="141" t="str">
        <f>UPPER(TRIM('ME-3'!BB2))</f>
        <v/>
      </c>
      <c r="C13" s="143" t="str">
        <f>TRIM('ME-3'!V3)</f>
        <v/>
      </c>
      <c r="D13" s="142">
        <f>'ME-3'!BO2</f>
        <v>2</v>
      </c>
      <c r="E13" s="141" t="str">
        <f>IF('ME-3'!AQ16="","",UPPER(TRIM('ME-3'!AQ16)))</f>
        <v/>
      </c>
      <c r="F13" s="143" t="str">
        <f>IF('ME-3'!BK16="","",LOWER(TRIM('ME-3'!BK16)))</f>
        <v/>
      </c>
      <c r="G13" t="e">
        <f t="shared" si="0"/>
        <v>#VALUE!</v>
      </c>
      <c r="H13" s="144" t="str">
        <f>IF('ME-3'!AX16="","",'ME-3'!AX16)</f>
        <v/>
      </c>
      <c r="I13" s="144" t="str">
        <f>IF('ME-3'!AY16="","",'ME-3'!AY16)</f>
        <v/>
      </c>
      <c r="J13" s="138">
        <f>IF('ME-3'!BQ16="",0,'ME-3'!BQ16)</f>
        <v>0</v>
      </c>
      <c r="K13" s="138"/>
      <c r="L13" s="146" t="str">
        <f>'ME-3'!AV16</f>
        <v/>
      </c>
      <c r="M13" s="146" t="str">
        <f>'ME-3'!AW16</f>
        <v/>
      </c>
      <c r="N13">
        <f>IF('ME-3'!AZ16="",0,'ME-3'!AZ16)</f>
        <v>0</v>
      </c>
      <c r="O13">
        <f>IF('ME-3'!BA16="",0,'ME-3'!BA16)</f>
        <v>0</v>
      </c>
      <c r="P13">
        <f>IF('ME-3'!BB16="",0,'ME-3'!BB16)</f>
        <v>0</v>
      </c>
      <c r="Q13">
        <f>IF('ME-3'!BC16="",0,'ME-3'!BC16)</f>
        <v>0</v>
      </c>
      <c r="R13" s="138"/>
      <c r="S13">
        <f>IF('ME-3'!BP16="",0,'ME-3'!BP16)</f>
        <v>0</v>
      </c>
      <c r="T13" t="str">
        <f>IF('ME-3'!BH16="","",TRIM('ME-3'!BH16))</f>
        <v/>
      </c>
      <c r="U13">
        <f>IF(OR('ME-3'!AP16=0,'ME-3'!AP16=""),0,1)</f>
        <v>0</v>
      </c>
      <c r="V13" s="143" t="str">
        <f>IF('ME-3'!AM16="","",UPPER(TRIM('ME-3'!AM16)))</f>
        <v/>
      </c>
      <c r="W13" t="str">
        <f>IF(OR('ME-3'!H16=0,'ME-3'!H16=""),"",'ME-3'!H16)</f>
        <v/>
      </c>
      <c r="X13" t="str">
        <f>IF(OR('ME-3'!I16=0,'ME-3'!I16=""),"",'ME-3'!I16)</f>
        <v/>
      </c>
      <c r="Y13" t="str">
        <f t="shared" si="1"/>
        <v/>
      </c>
      <c r="Z13" t="str">
        <f t="shared" si="2"/>
        <v/>
      </c>
      <c r="AA13">
        <f>IF('ME-3'!BF16="",0,'ME-3'!BF16)</f>
        <v>0</v>
      </c>
      <c r="AB13" t="e">
        <f t="shared" si="3"/>
        <v>#VALUE!</v>
      </c>
    </row>
    <row r="14" spans="1:29">
      <c r="A14" t="str">
        <f>IF('ME-3'!AN17="","",UPPER(TRIM('ME-3'!AN17)))</f>
        <v/>
      </c>
      <c r="B14" s="141" t="str">
        <f>UPPER(TRIM('ME-3'!BB2))</f>
        <v/>
      </c>
      <c r="C14" s="143" t="str">
        <f>TRIM('ME-3'!V3)</f>
        <v/>
      </c>
      <c r="D14" s="142">
        <f>'ME-3'!BO2</f>
        <v>2</v>
      </c>
      <c r="E14" s="141" t="str">
        <f>IF('ME-3'!AQ17="","",UPPER(TRIM('ME-3'!AQ17)))</f>
        <v/>
      </c>
      <c r="F14" s="143" t="str">
        <f>IF('ME-3'!BK17="","",LOWER(TRIM('ME-3'!BK17)))</f>
        <v/>
      </c>
      <c r="G14" t="e">
        <f t="shared" si="0"/>
        <v>#VALUE!</v>
      </c>
      <c r="H14" s="144" t="str">
        <f>IF('ME-3'!AX17="","",'ME-3'!AX17)</f>
        <v/>
      </c>
      <c r="I14" s="144" t="str">
        <f>IF('ME-3'!AY17="","",'ME-3'!AY17)</f>
        <v/>
      </c>
      <c r="J14" s="138">
        <f>IF('ME-3'!BQ17="",0,'ME-3'!BQ17)</f>
        <v>0</v>
      </c>
      <c r="K14" s="138"/>
      <c r="L14" s="146" t="str">
        <f>'ME-3'!AV17</f>
        <v/>
      </c>
      <c r="M14" s="146" t="str">
        <f>'ME-3'!AW17</f>
        <v/>
      </c>
      <c r="N14">
        <f>IF('ME-3'!AZ17="",0,'ME-3'!AZ17)</f>
        <v>0</v>
      </c>
      <c r="O14">
        <f>IF('ME-3'!BA17="",0,'ME-3'!BA17)</f>
        <v>0</v>
      </c>
      <c r="P14">
        <f>IF('ME-3'!BB17="",0,'ME-3'!BB17)</f>
        <v>0</v>
      </c>
      <c r="Q14">
        <f>IF('ME-3'!BC17="",0,'ME-3'!BC17)</f>
        <v>0</v>
      </c>
      <c r="R14" s="138"/>
      <c r="S14">
        <f>IF('ME-3'!BP17="",0,'ME-3'!BP17)</f>
        <v>0</v>
      </c>
      <c r="T14" t="str">
        <f>IF('ME-3'!BH17="","",TRIM('ME-3'!BH17))</f>
        <v/>
      </c>
      <c r="U14">
        <f>IF(OR('ME-3'!AP17=0,'ME-3'!AP17=""),0,1)</f>
        <v>0</v>
      </c>
      <c r="V14" s="143" t="str">
        <f>IF('ME-3'!AM17="","",UPPER(TRIM('ME-3'!AM17)))</f>
        <v/>
      </c>
      <c r="W14" t="str">
        <f>IF(OR('ME-3'!H17=0,'ME-3'!H17=""),"",'ME-3'!H17)</f>
        <v/>
      </c>
      <c r="X14" t="str">
        <f>IF(OR('ME-3'!I17=0,'ME-3'!I17=""),"",'ME-3'!I17)</f>
        <v/>
      </c>
      <c r="Y14" t="str">
        <f t="shared" si="1"/>
        <v/>
      </c>
      <c r="Z14" t="str">
        <f t="shared" si="2"/>
        <v/>
      </c>
      <c r="AA14">
        <f>IF('ME-3'!BF17="",0,'ME-3'!BF17)</f>
        <v>0</v>
      </c>
      <c r="AB14" t="e">
        <f t="shared" si="3"/>
        <v>#VALUE!</v>
      </c>
    </row>
    <row r="15" spans="1:29">
      <c r="A15" t="str">
        <f>IF('ME-3'!AN18="","",UPPER(TRIM('ME-3'!AN18)))</f>
        <v/>
      </c>
      <c r="B15" s="141" t="str">
        <f>UPPER(TRIM('ME-3'!BB2))</f>
        <v/>
      </c>
      <c r="C15" s="143" t="str">
        <f>TRIM('ME-3'!V3)</f>
        <v/>
      </c>
      <c r="D15" s="142">
        <f>'ME-3'!BO2</f>
        <v>2</v>
      </c>
      <c r="E15" s="141" t="str">
        <f>IF('ME-3'!AQ18="","",UPPER(TRIM('ME-3'!AQ18)))</f>
        <v/>
      </c>
      <c r="F15" s="143" t="str">
        <f>IF('ME-3'!BK18="","",LOWER(TRIM('ME-3'!BK18)))</f>
        <v/>
      </c>
      <c r="G15" t="e">
        <f t="shared" si="0"/>
        <v>#VALUE!</v>
      </c>
      <c r="H15" s="144" t="str">
        <f>IF('ME-3'!AX18="","",'ME-3'!AX18)</f>
        <v/>
      </c>
      <c r="I15" s="144" t="str">
        <f>IF('ME-3'!AY18="","",'ME-3'!AY18)</f>
        <v/>
      </c>
      <c r="J15" s="138">
        <f>IF('ME-3'!BQ18="",0,'ME-3'!BQ18)</f>
        <v>0</v>
      </c>
      <c r="K15" s="138"/>
      <c r="L15" s="146" t="str">
        <f>'ME-3'!AV18</f>
        <v/>
      </c>
      <c r="M15" s="146" t="str">
        <f>'ME-3'!AW18</f>
        <v/>
      </c>
      <c r="N15">
        <f>IF('ME-3'!AZ18="",0,'ME-3'!AZ18)</f>
        <v>0</v>
      </c>
      <c r="O15">
        <f>IF('ME-3'!BA18="",0,'ME-3'!BA18)</f>
        <v>0</v>
      </c>
      <c r="P15">
        <f>IF('ME-3'!BB18="",0,'ME-3'!BB18)</f>
        <v>0</v>
      </c>
      <c r="Q15">
        <f>IF('ME-3'!BC18="",0,'ME-3'!BC18)</f>
        <v>0</v>
      </c>
      <c r="R15" s="138"/>
      <c r="S15">
        <f>IF('ME-3'!BP18="",0,'ME-3'!BP18)</f>
        <v>0</v>
      </c>
      <c r="T15" t="str">
        <f>IF('ME-3'!BH18="","",TRIM('ME-3'!BH18))</f>
        <v/>
      </c>
      <c r="U15">
        <f>IF(OR('ME-3'!AP18=0,'ME-3'!AP18=""),0,1)</f>
        <v>0</v>
      </c>
      <c r="V15" s="143" t="str">
        <f>IF('ME-3'!AM18="","",UPPER(TRIM('ME-3'!AM18)))</f>
        <v/>
      </c>
      <c r="W15" t="str">
        <f>IF(OR('ME-3'!H18=0,'ME-3'!H18=""),"",'ME-3'!H18)</f>
        <v/>
      </c>
      <c r="X15" t="str">
        <f>IF(OR('ME-3'!I18=0,'ME-3'!I18=""),"",'ME-3'!I18)</f>
        <v/>
      </c>
      <c r="Y15" t="str">
        <f t="shared" si="1"/>
        <v/>
      </c>
      <c r="Z15" t="str">
        <f t="shared" si="2"/>
        <v/>
      </c>
      <c r="AA15">
        <f>IF('ME-3'!BF18="",0,'ME-3'!BF18)</f>
        <v>0</v>
      </c>
      <c r="AB15" t="e">
        <f t="shared" si="3"/>
        <v>#VALUE!</v>
      </c>
    </row>
    <row r="16" spans="1:29">
      <c r="A16" t="str">
        <f>IF('ME-3'!AN19="","",UPPER(TRIM('ME-3'!AN19)))</f>
        <v/>
      </c>
      <c r="B16" s="141" t="str">
        <f>UPPER(TRIM('ME-3'!BB2))</f>
        <v/>
      </c>
      <c r="C16" s="143" t="str">
        <f>TRIM('ME-3'!V3)</f>
        <v/>
      </c>
      <c r="D16" s="142">
        <f>'ME-3'!BO2</f>
        <v>2</v>
      </c>
      <c r="E16" s="141" t="str">
        <f>IF('ME-3'!AQ19="","",UPPER(TRIM('ME-3'!AQ19)))</f>
        <v/>
      </c>
      <c r="F16" s="143" t="str">
        <f>IF('ME-3'!BK19="","",LOWER(TRIM('ME-3'!BK19)))</f>
        <v/>
      </c>
      <c r="G16" t="e">
        <f t="shared" si="0"/>
        <v>#VALUE!</v>
      </c>
      <c r="H16" s="144" t="str">
        <f>IF('ME-3'!AX19="","",'ME-3'!AX19)</f>
        <v/>
      </c>
      <c r="I16" s="144" t="str">
        <f>IF('ME-3'!AY19="","",'ME-3'!AY19)</f>
        <v/>
      </c>
      <c r="J16" s="138">
        <f>IF('ME-3'!BQ19="",0,'ME-3'!BQ19)</f>
        <v>0</v>
      </c>
      <c r="K16" s="138"/>
      <c r="L16" s="146" t="str">
        <f>'ME-3'!AV19</f>
        <v/>
      </c>
      <c r="M16" s="146" t="str">
        <f>'ME-3'!AW19</f>
        <v/>
      </c>
      <c r="N16">
        <f>IF('ME-3'!AZ19="",0,'ME-3'!AZ19)</f>
        <v>0</v>
      </c>
      <c r="O16">
        <f>IF('ME-3'!BA19="",0,'ME-3'!BA19)</f>
        <v>0</v>
      </c>
      <c r="P16">
        <f>IF('ME-3'!BB19="",0,'ME-3'!BB19)</f>
        <v>0</v>
      </c>
      <c r="Q16">
        <f>IF('ME-3'!BC19="",0,'ME-3'!BC19)</f>
        <v>0</v>
      </c>
      <c r="R16" s="138"/>
      <c r="S16">
        <f>IF('ME-3'!BP19="",0,'ME-3'!BP19)</f>
        <v>0</v>
      </c>
      <c r="T16" t="str">
        <f>IF('ME-3'!BH19="","",TRIM('ME-3'!BH19))</f>
        <v/>
      </c>
      <c r="U16">
        <f>IF(OR('ME-3'!AP19=0,'ME-3'!AP19=""),0,1)</f>
        <v>0</v>
      </c>
      <c r="V16" s="143" t="str">
        <f>IF('ME-3'!AM19="","",UPPER(TRIM('ME-3'!AM19)))</f>
        <v/>
      </c>
      <c r="W16" t="str">
        <f>IF(OR('ME-3'!H19=0,'ME-3'!H19=""),"",'ME-3'!H19)</f>
        <v/>
      </c>
      <c r="X16" t="str">
        <f>IF(OR('ME-3'!I19=0,'ME-3'!I19=""),"",'ME-3'!I19)</f>
        <v/>
      </c>
      <c r="Y16" t="str">
        <f t="shared" si="1"/>
        <v/>
      </c>
      <c r="Z16" t="str">
        <f t="shared" si="2"/>
        <v/>
      </c>
      <c r="AA16">
        <f>IF('ME-3'!BF19="",0,'ME-3'!BF19)</f>
        <v>0</v>
      </c>
      <c r="AB16" t="e">
        <f t="shared" si="3"/>
        <v>#VALUE!</v>
      </c>
    </row>
    <row r="17" spans="1:28">
      <c r="A17" t="str">
        <f>IF('ME-3'!AN20="","",UPPER(TRIM('ME-3'!AN20)))</f>
        <v/>
      </c>
      <c r="B17" s="141" t="str">
        <f>UPPER(TRIM('ME-3'!BB2))</f>
        <v/>
      </c>
      <c r="C17" s="143" t="str">
        <f>TRIM('ME-3'!V3)</f>
        <v/>
      </c>
      <c r="D17" s="142">
        <f>'ME-3'!BO2</f>
        <v>2</v>
      </c>
      <c r="E17" s="141" t="str">
        <f>IF('ME-3'!AQ20="","",UPPER(TRIM('ME-3'!AQ20)))</f>
        <v/>
      </c>
      <c r="F17" s="143" t="str">
        <f>IF('ME-3'!BK20="","",LOWER(TRIM('ME-3'!BK20)))</f>
        <v/>
      </c>
      <c r="G17" t="e">
        <f t="shared" si="0"/>
        <v>#VALUE!</v>
      </c>
      <c r="H17" s="144" t="str">
        <f>IF('ME-3'!AX20="","",'ME-3'!AX20)</f>
        <v/>
      </c>
      <c r="I17" s="144" t="str">
        <f>IF('ME-3'!AY20="","",'ME-3'!AY20)</f>
        <v/>
      </c>
      <c r="J17" s="138">
        <f>IF('ME-3'!BQ20="",0,'ME-3'!BQ20)</f>
        <v>0</v>
      </c>
      <c r="K17" s="138"/>
      <c r="L17" s="146" t="str">
        <f>'ME-3'!AV20</f>
        <v/>
      </c>
      <c r="M17" s="146" t="str">
        <f>'ME-3'!AW20</f>
        <v/>
      </c>
      <c r="N17">
        <f>IF('ME-3'!AZ20="",0,'ME-3'!AZ20)</f>
        <v>0</v>
      </c>
      <c r="O17">
        <f>IF('ME-3'!BA20="",0,'ME-3'!BA20)</f>
        <v>0</v>
      </c>
      <c r="P17">
        <f>IF('ME-3'!BB20="",0,'ME-3'!BB20)</f>
        <v>0</v>
      </c>
      <c r="Q17">
        <f>IF('ME-3'!BC20="",0,'ME-3'!BC20)</f>
        <v>0</v>
      </c>
      <c r="R17" s="138"/>
      <c r="S17">
        <f>IF('ME-3'!BP20="",0,'ME-3'!BP20)</f>
        <v>0</v>
      </c>
      <c r="T17" t="str">
        <f>IF('ME-3'!BH20="","",TRIM('ME-3'!BH20))</f>
        <v/>
      </c>
      <c r="U17">
        <f>IF(OR('ME-3'!AP20=0,'ME-3'!AP20=""),0,1)</f>
        <v>0</v>
      </c>
      <c r="V17" s="143" t="str">
        <f>IF('ME-3'!AM20="","",UPPER(TRIM('ME-3'!AM20)))</f>
        <v/>
      </c>
      <c r="W17" t="str">
        <f>IF(OR('ME-3'!H20=0,'ME-3'!H20=""),"",'ME-3'!H20)</f>
        <v/>
      </c>
      <c r="X17" t="str">
        <f>IF(OR('ME-3'!I20=0,'ME-3'!I20=""),"",'ME-3'!I20)</f>
        <v/>
      </c>
      <c r="Y17" t="str">
        <f t="shared" si="1"/>
        <v/>
      </c>
      <c r="Z17" t="str">
        <f t="shared" si="2"/>
        <v/>
      </c>
      <c r="AA17">
        <f>IF('ME-3'!BF20="",0,'ME-3'!BF20)</f>
        <v>0</v>
      </c>
      <c r="AB17" t="e">
        <f t="shared" si="3"/>
        <v>#VALUE!</v>
      </c>
    </row>
    <row r="18" spans="1:28">
      <c r="A18" t="str">
        <f>IF('ME-3'!AN21="","",UPPER(TRIM('ME-3'!AN21)))</f>
        <v/>
      </c>
      <c r="B18" s="141" t="str">
        <f>UPPER(TRIM('ME-3'!BB2))</f>
        <v/>
      </c>
      <c r="C18" s="143" t="str">
        <f>TRIM('ME-3'!V3)</f>
        <v/>
      </c>
      <c r="D18" s="142">
        <f>'ME-3'!BO2</f>
        <v>2</v>
      </c>
      <c r="E18" s="141" t="str">
        <f>IF('ME-3'!AQ21="","",UPPER(TRIM('ME-3'!AQ21)))</f>
        <v/>
      </c>
      <c r="F18" s="143" t="str">
        <f>IF('ME-3'!BK21="","",LOWER(TRIM('ME-3'!BK21)))</f>
        <v/>
      </c>
      <c r="G18" t="e">
        <f t="shared" si="0"/>
        <v>#VALUE!</v>
      </c>
      <c r="H18" s="144" t="str">
        <f>IF('ME-3'!AX21="","",'ME-3'!AX21)</f>
        <v/>
      </c>
      <c r="I18" s="144" t="str">
        <f>IF('ME-3'!AY21="","",'ME-3'!AY21)</f>
        <v/>
      </c>
      <c r="J18" s="138">
        <f>IF('ME-3'!BQ21="",0,'ME-3'!BQ21)</f>
        <v>0</v>
      </c>
      <c r="K18" s="138"/>
      <c r="L18" s="146" t="str">
        <f>'ME-3'!AV21</f>
        <v/>
      </c>
      <c r="M18" s="146" t="str">
        <f>'ME-3'!AW21</f>
        <v/>
      </c>
      <c r="N18">
        <f>IF('ME-3'!AZ21="",0,'ME-3'!AZ21)</f>
        <v>0</v>
      </c>
      <c r="O18">
        <f>IF('ME-3'!BA21="",0,'ME-3'!BA21)</f>
        <v>0</v>
      </c>
      <c r="P18">
        <f>IF('ME-3'!BB21="",0,'ME-3'!BB21)</f>
        <v>0</v>
      </c>
      <c r="Q18">
        <f>IF('ME-3'!BC21="",0,'ME-3'!BC21)</f>
        <v>0</v>
      </c>
      <c r="R18" s="138"/>
      <c r="S18">
        <f>IF('ME-3'!BP21="",0,'ME-3'!BP21)</f>
        <v>0</v>
      </c>
      <c r="T18" t="str">
        <f>IF('ME-3'!BH21="","",TRIM('ME-3'!BH21))</f>
        <v/>
      </c>
      <c r="U18">
        <f>IF(OR('ME-3'!AP21=0,'ME-3'!AP21=""),0,1)</f>
        <v>0</v>
      </c>
      <c r="V18" s="143" t="str">
        <f>IF('ME-3'!AM21="","",UPPER(TRIM('ME-3'!AM21)))</f>
        <v/>
      </c>
      <c r="W18" t="str">
        <f>IF(OR('ME-3'!H21=0,'ME-3'!H21=""),"",'ME-3'!H21)</f>
        <v/>
      </c>
      <c r="X18" t="str">
        <f>IF(OR('ME-3'!I21=0,'ME-3'!I21=""),"",'ME-3'!I21)</f>
        <v/>
      </c>
      <c r="Y18" t="str">
        <f t="shared" si="1"/>
        <v/>
      </c>
      <c r="Z18" t="str">
        <f t="shared" si="2"/>
        <v/>
      </c>
      <c r="AA18">
        <f>IF('ME-3'!BF21="",0,'ME-3'!BF21)</f>
        <v>0</v>
      </c>
      <c r="AB18" t="e">
        <f t="shared" si="3"/>
        <v>#VALUE!</v>
      </c>
    </row>
    <row r="19" spans="1:28">
      <c r="A19" t="str">
        <f>IF('ME-3'!AN22="","",UPPER(TRIM('ME-3'!AN22)))</f>
        <v/>
      </c>
      <c r="B19" s="141" t="str">
        <f>UPPER(TRIM('ME-3'!BB2))</f>
        <v/>
      </c>
      <c r="C19" s="143" t="str">
        <f>TRIM('ME-3'!V3)</f>
        <v/>
      </c>
      <c r="D19" s="142">
        <f>'ME-3'!BO2</f>
        <v>2</v>
      </c>
      <c r="E19" s="141" t="str">
        <f>IF('ME-3'!AQ22="","",UPPER(TRIM('ME-3'!AQ22)))</f>
        <v/>
      </c>
      <c r="F19" s="143" t="str">
        <f>IF('ME-3'!BK22="","",LOWER(TRIM('ME-3'!BK22)))</f>
        <v/>
      </c>
      <c r="G19" t="e">
        <f t="shared" si="0"/>
        <v>#VALUE!</v>
      </c>
      <c r="H19" s="144" t="str">
        <f>IF('ME-3'!AX22="","",'ME-3'!AX22)</f>
        <v/>
      </c>
      <c r="I19" s="144" t="str">
        <f>IF('ME-3'!AY22="","",'ME-3'!AY22)</f>
        <v/>
      </c>
      <c r="J19" s="138">
        <f>IF('ME-3'!BQ22="",0,'ME-3'!BQ22)</f>
        <v>0</v>
      </c>
      <c r="K19" s="138"/>
      <c r="L19" s="146" t="str">
        <f>'ME-3'!AV22</f>
        <v/>
      </c>
      <c r="M19" s="146" t="str">
        <f>'ME-3'!AW22</f>
        <v/>
      </c>
      <c r="N19">
        <f>IF('ME-3'!AZ22="",0,'ME-3'!AZ22)</f>
        <v>0</v>
      </c>
      <c r="O19">
        <f>IF('ME-3'!BA22="",0,'ME-3'!BA22)</f>
        <v>0</v>
      </c>
      <c r="P19">
        <f>IF('ME-3'!BB22="",0,'ME-3'!BB22)</f>
        <v>0</v>
      </c>
      <c r="Q19">
        <f>IF('ME-3'!BC22="",0,'ME-3'!BC22)</f>
        <v>0</v>
      </c>
      <c r="R19" s="138"/>
      <c r="S19">
        <f>IF('ME-3'!BP22="",0,'ME-3'!BP22)</f>
        <v>0</v>
      </c>
      <c r="T19" t="str">
        <f>IF('ME-3'!BH22="","",TRIM('ME-3'!BH22))</f>
        <v/>
      </c>
      <c r="U19">
        <f>IF(OR('ME-3'!AP22=0,'ME-3'!AP22=""),0,1)</f>
        <v>0</v>
      </c>
      <c r="V19" s="143" t="str">
        <f>IF('ME-3'!AM22="","",UPPER(TRIM('ME-3'!AM22)))</f>
        <v/>
      </c>
      <c r="W19" t="str">
        <f>IF(OR('ME-3'!H22=0,'ME-3'!H22=""),"",'ME-3'!H22)</f>
        <v/>
      </c>
      <c r="X19" t="str">
        <f>IF(OR('ME-3'!I22=0,'ME-3'!I22=""),"",'ME-3'!I22)</f>
        <v/>
      </c>
      <c r="Y19" t="str">
        <f t="shared" si="1"/>
        <v/>
      </c>
      <c r="Z19" t="str">
        <f t="shared" si="2"/>
        <v/>
      </c>
      <c r="AA19">
        <f>IF('ME-3'!BF22="",0,'ME-3'!BF22)</f>
        <v>0</v>
      </c>
      <c r="AB19" t="e">
        <f t="shared" si="3"/>
        <v>#VALUE!</v>
      </c>
    </row>
    <row r="20" spans="1:28">
      <c r="A20" t="str">
        <f>IF('ME-3'!AN23="","",UPPER(TRIM('ME-3'!AN23)))</f>
        <v/>
      </c>
      <c r="B20" s="141" t="str">
        <f>UPPER(TRIM('ME-3'!BB2))</f>
        <v/>
      </c>
      <c r="C20" s="143" t="str">
        <f>TRIM('ME-3'!V3)</f>
        <v/>
      </c>
      <c r="D20" s="142">
        <f>'ME-3'!BO2</f>
        <v>2</v>
      </c>
      <c r="E20" s="141" t="str">
        <f>IF('ME-3'!AQ23="","",UPPER(TRIM('ME-3'!AQ23)))</f>
        <v/>
      </c>
      <c r="F20" s="143" t="str">
        <f>IF('ME-3'!BK23="","",LOWER(TRIM('ME-3'!BK23)))</f>
        <v/>
      </c>
      <c r="G20" t="e">
        <f t="shared" si="0"/>
        <v>#VALUE!</v>
      </c>
      <c r="H20" s="144" t="str">
        <f>IF('ME-3'!AX23="","",'ME-3'!AX23)</f>
        <v/>
      </c>
      <c r="I20" s="144" t="str">
        <f>IF('ME-3'!AY23="","",'ME-3'!AY23)</f>
        <v/>
      </c>
      <c r="J20" s="138">
        <f>IF('ME-3'!BQ23="",0,'ME-3'!BQ23)</f>
        <v>0</v>
      </c>
      <c r="K20" s="138"/>
      <c r="L20" s="146" t="str">
        <f>'ME-3'!AV23</f>
        <v/>
      </c>
      <c r="M20" s="146" t="str">
        <f>'ME-3'!AW23</f>
        <v/>
      </c>
      <c r="N20">
        <f>IF('ME-3'!AZ23="",0,'ME-3'!AZ23)</f>
        <v>0</v>
      </c>
      <c r="O20">
        <f>IF('ME-3'!BA23="",0,'ME-3'!BA23)</f>
        <v>0</v>
      </c>
      <c r="P20">
        <f>IF('ME-3'!BB23="",0,'ME-3'!BB23)</f>
        <v>0</v>
      </c>
      <c r="Q20">
        <f>IF('ME-3'!BC23="",0,'ME-3'!BC23)</f>
        <v>0</v>
      </c>
      <c r="R20" s="138"/>
      <c r="S20">
        <f>IF('ME-3'!BP23="",0,'ME-3'!BP23)</f>
        <v>0</v>
      </c>
      <c r="T20" t="str">
        <f>IF('ME-3'!BH23="","",TRIM('ME-3'!BH23))</f>
        <v/>
      </c>
      <c r="U20">
        <f>IF(OR('ME-3'!AP23=0,'ME-3'!AP23=""),0,1)</f>
        <v>0</v>
      </c>
      <c r="V20" s="143" t="str">
        <f>IF('ME-3'!AM23="","",UPPER(TRIM('ME-3'!AM23)))</f>
        <v/>
      </c>
      <c r="W20" t="str">
        <f>IF(OR('ME-3'!H23=0,'ME-3'!H23=""),"",'ME-3'!H23)</f>
        <v/>
      </c>
      <c r="X20" t="str">
        <f>IF(OR('ME-3'!I23=0,'ME-3'!I23=""),"",'ME-3'!I23)</f>
        <v/>
      </c>
      <c r="Y20" t="str">
        <f t="shared" si="1"/>
        <v/>
      </c>
      <c r="Z20" t="str">
        <f t="shared" si="2"/>
        <v/>
      </c>
      <c r="AA20">
        <f>IF('ME-3'!BF23="",0,'ME-3'!BF23)</f>
        <v>0</v>
      </c>
      <c r="AB20" t="e">
        <f t="shared" si="3"/>
        <v>#VALUE!</v>
      </c>
    </row>
    <row r="21" spans="1:28">
      <c r="A21" t="str">
        <f>IF('ME-3'!AN24="","",UPPER(TRIM('ME-3'!AN24)))</f>
        <v/>
      </c>
      <c r="B21" s="141" t="str">
        <f>UPPER(TRIM('ME-3'!BB2))</f>
        <v/>
      </c>
      <c r="C21" s="143" t="str">
        <f>TRIM('ME-3'!V3)</f>
        <v/>
      </c>
      <c r="D21" s="142">
        <f>'ME-3'!BO2</f>
        <v>2</v>
      </c>
      <c r="E21" s="141" t="str">
        <f>IF('ME-3'!AQ24="","",UPPER(TRIM('ME-3'!AQ24)))</f>
        <v/>
      </c>
      <c r="F21" s="143" t="str">
        <f>IF('ME-3'!BK24="","",LOWER(TRIM('ME-3'!BK24)))</f>
        <v/>
      </c>
      <c r="G21" t="e">
        <f t="shared" si="0"/>
        <v>#VALUE!</v>
      </c>
      <c r="H21" s="144" t="str">
        <f>IF('ME-3'!AX24="","",'ME-3'!AX24)</f>
        <v/>
      </c>
      <c r="I21" s="144" t="str">
        <f>IF('ME-3'!AY24="","",'ME-3'!AY24)</f>
        <v/>
      </c>
      <c r="J21" s="138">
        <f>IF('ME-3'!BQ24="",0,'ME-3'!BQ24)</f>
        <v>0</v>
      </c>
      <c r="K21" s="138"/>
      <c r="L21" s="146" t="str">
        <f>'ME-3'!AV24</f>
        <v/>
      </c>
      <c r="M21" s="146" t="str">
        <f>'ME-3'!AW24</f>
        <v/>
      </c>
      <c r="N21">
        <f>IF('ME-3'!AZ24="",0,'ME-3'!AZ24)</f>
        <v>0</v>
      </c>
      <c r="O21">
        <f>IF('ME-3'!BA24="",0,'ME-3'!BA24)</f>
        <v>0</v>
      </c>
      <c r="P21">
        <f>IF('ME-3'!BB24="",0,'ME-3'!BB24)</f>
        <v>0</v>
      </c>
      <c r="Q21">
        <f>IF('ME-3'!BC24="",0,'ME-3'!BC24)</f>
        <v>0</v>
      </c>
      <c r="R21" s="138"/>
      <c r="S21">
        <f>IF('ME-3'!BP24="",0,'ME-3'!BP24)</f>
        <v>0</v>
      </c>
      <c r="T21" t="str">
        <f>IF('ME-3'!BH24="","",TRIM('ME-3'!BH24))</f>
        <v/>
      </c>
      <c r="U21">
        <f>IF(OR('ME-3'!AP24=0,'ME-3'!AP24=""),0,1)</f>
        <v>0</v>
      </c>
      <c r="V21" s="143" t="str">
        <f>IF('ME-3'!AM24="","",UPPER(TRIM('ME-3'!AM24)))</f>
        <v/>
      </c>
      <c r="W21" t="str">
        <f>IF(OR('ME-3'!H24=0,'ME-3'!H24=""),"",'ME-3'!H24)</f>
        <v/>
      </c>
      <c r="X21" t="str">
        <f>IF(OR('ME-3'!I24=0,'ME-3'!I24=""),"",'ME-3'!I24)</f>
        <v/>
      </c>
      <c r="Y21" t="str">
        <f t="shared" si="1"/>
        <v/>
      </c>
      <c r="Z21" t="str">
        <f t="shared" si="2"/>
        <v/>
      </c>
      <c r="AA21">
        <f>IF('ME-3'!BF24="",0,'ME-3'!BF24)</f>
        <v>0</v>
      </c>
      <c r="AB21" t="e">
        <f t="shared" si="3"/>
        <v>#VALUE!</v>
      </c>
    </row>
    <row r="22" spans="1:28">
      <c r="A22" t="str">
        <f>IF('ME-3'!AN25="","",UPPER(TRIM('ME-3'!AN25)))</f>
        <v/>
      </c>
      <c r="B22" s="141" t="str">
        <f>UPPER(TRIM('ME-3'!BB2))</f>
        <v/>
      </c>
      <c r="C22" s="143" t="str">
        <f>TRIM('ME-3'!V3)</f>
        <v/>
      </c>
      <c r="D22" s="142">
        <f>'ME-3'!BO2</f>
        <v>2</v>
      </c>
      <c r="E22" s="141" t="str">
        <f>IF('ME-3'!AQ25="","",UPPER(TRIM('ME-3'!AQ25)))</f>
        <v/>
      </c>
      <c r="F22" s="143" t="str">
        <f>IF('ME-3'!BK25="","",LOWER(TRIM('ME-3'!BK25)))</f>
        <v/>
      </c>
      <c r="G22" t="e">
        <f t="shared" si="0"/>
        <v>#VALUE!</v>
      </c>
      <c r="H22" s="144" t="str">
        <f>IF('ME-3'!AX25="","",'ME-3'!AX25)</f>
        <v/>
      </c>
      <c r="I22" s="144" t="str">
        <f>IF('ME-3'!AY25="","",'ME-3'!AY25)</f>
        <v/>
      </c>
      <c r="J22" s="138">
        <f>IF('ME-3'!BQ25="",0,'ME-3'!BQ25)</f>
        <v>0</v>
      </c>
      <c r="K22" s="138"/>
      <c r="L22" s="146" t="str">
        <f>'ME-3'!AV25</f>
        <v/>
      </c>
      <c r="M22" s="146" t="str">
        <f>'ME-3'!AW25</f>
        <v/>
      </c>
      <c r="N22">
        <f>IF('ME-3'!AZ25="",0,'ME-3'!AZ25)</f>
        <v>0</v>
      </c>
      <c r="O22">
        <f>IF('ME-3'!BA25="",0,'ME-3'!BA25)</f>
        <v>0</v>
      </c>
      <c r="P22">
        <f>IF('ME-3'!BB25="",0,'ME-3'!BB25)</f>
        <v>0</v>
      </c>
      <c r="Q22">
        <f>IF('ME-3'!BC25="",0,'ME-3'!BC25)</f>
        <v>0</v>
      </c>
      <c r="R22" s="138"/>
      <c r="S22">
        <f>IF('ME-3'!BP25="",0,'ME-3'!BP25)</f>
        <v>0</v>
      </c>
      <c r="T22" t="str">
        <f>IF('ME-3'!BH25="","",TRIM('ME-3'!BH25))</f>
        <v/>
      </c>
      <c r="U22">
        <f>IF(OR('ME-3'!AP25=0,'ME-3'!AP25=""),0,1)</f>
        <v>0</v>
      </c>
      <c r="V22" s="143" t="str">
        <f>IF('ME-3'!AM25="","",UPPER(TRIM('ME-3'!AM25)))</f>
        <v/>
      </c>
      <c r="W22" t="str">
        <f>IF(OR('ME-3'!H25=0,'ME-3'!H25=""),"",'ME-3'!H25)</f>
        <v/>
      </c>
      <c r="X22" t="str">
        <f>IF(OR('ME-3'!I25=0,'ME-3'!I25=""),"",'ME-3'!I25)</f>
        <v/>
      </c>
      <c r="Y22" t="str">
        <f t="shared" si="1"/>
        <v/>
      </c>
      <c r="Z22" t="str">
        <f t="shared" si="2"/>
        <v/>
      </c>
      <c r="AA22">
        <f>IF('ME-3'!BF25="",0,'ME-3'!BF25)</f>
        <v>0</v>
      </c>
      <c r="AB22" t="e">
        <f t="shared" si="3"/>
        <v>#VALUE!</v>
      </c>
    </row>
    <row r="23" spans="1:28">
      <c r="A23" t="str">
        <f>IF('ME-3'!AN26="","",UPPER(TRIM('ME-3'!AN26)))</f>
        <v/>
      </c>
      <c r="B23" s="141" t="str">
        <f>UPPER(TRIM('ME-3'!BB2))</f>
        <v/>
      </c>
      <c r="C23" s="143" t="str">
        <f>TRIM('ME-3'!V3)</f>
        <v/>
      </c>
      <c r="D23" s="142">
        <f>'ME-3'!BO2</f>
        <v>2</v>
      </c>
      <c r="E23" s="141" t="str">
        <f>IF('ME-3'!AQ26="","",UPPER(TRIM('ME-3'!AQ26)))</f>
        <v/>
      </c>
      <c r="F23" s="143" t="str">
        <f>IF('ME-3'!BK26="","",LOWER(TRIM('ME-3'!BK26)))</f>
        <v/>
      </c>
      <c r="G23" t="e">
        <f t="shared" si="0"/>
        <v>#VALUE!</v>
      </c>
      <c r="H23" s="144" t="str">
        <f>IF('ME-3'!AX26="","",'ME-3'!AX26)</f>
        <v/>
      </c>
      <c r="I23" s="144" t="str">
        <f>IF('ME-3'!AY26="","",'ME-3'!AY26)</f>
        <v/>
      </c>
      <c r="J23" s="138">
        <f>IF('ME-3'!BQ26="",0,'ME-3'!BQ26)</f>
        <v>0</v>
      </c>
      <c r="K23" s="138"/>
      <c r="L23" s="146" t="str">
        <f>'ME-3'!AV26</f>
        <v/>
      </c>
      <c r="M23" s="146" t="str">
        <f>'ME-3'!AW26</f>
        <v/>
      </c>
      <c r="N23">
        <f>IF('ME-3'!AZ26="",0,'ME-3'!AZ26)</f>
        <v>0</v>
      </c>
      <c r="O23">
        <f>IF('ME-3'!BA26="",0,'ME-3'!BA26)</f>
        <v>0</v>
      </c>
      <c r="P23">
        <f>IF('ME-3'!BB26="",0,'ME-3'!BB26)</f>
        <v>0</v>
      </c>
      <c r="Q23">
        <f>IF('ME-3'!BC26="",0,'ME-3'!BC26)</f>
        <v>0</v>
      </c>
      <c r="R23" s="138"/>
      <c r="S23">
        <f>IF('ME-3'!BP26="",0,'ME-3'!BP26)</f>
        <v>0</v>
      </c>
      <c r="T23" t="str">
        <f>IF('ME-3'!BH26="","",TRIM('ME-3'!BH26))</f>
        <v/>
      </c>
      <c r="U23">
        <f>IF(OR('ME-3'!AP26=0,'ME-3'!AP26=""),0,1)</f>
        <v>0</v>
      </c>
      <c r="V23" s="143" t="str">
        <f>IF('ME-3'!AM26="","",UPPER(TRIM('ME-3'!AM26)))</f>
        <v/>
      </c>
      <c r="W23" t="str">
        <f>IF(OR('ME-3'!H26=0,'ME-3'!H26=""),"",'ME-3'!H26)</f>
        <v/>
      </c>
      <c r="X23" t="str">
        <f>IF(OR('ME-3'!I26=0,'ME-3'!I26=""),"",'ME-3'!I26)</f>
        <v/>
      </c>
      <c r="Y23" t="str">
        <f t="shared" si="1"/>
        <v/>
      </c>
      <c r="Z23" t="str">
        <f t="shared" si="2"/>
        <v/>
      </c>
      <c r="AA23">
        <f>IF('ME-3'!BF26="",0,'ME-3'!BF26)</f>
        <v>0</v>
      </c>
      <c r="AB23" t="e">
        <f t="shared" si="3"/>
        <v>#VALUE!</v>
      </c>
    </row>
    <row r="24" spans="1:28">
      <c r="A24" t="str">
        <f>IF('ME-3'!AN27="","",UPPER(TRIM('ME-3'!AN27)))</f>
        <v/>
      </c>
      <c r="B24" s="141" t="str">
        <f>UPPER(TRIM('ME-3'!BB2))</f>
        <v/>
      </c>
      <c r="C24" s="143" t="str">
        <f>TRIM('ME-3'!V3)</f>
        <v/>
      </c>
      <c r="D24" s="142">
        <f>'ME-3'!BO2</f>
        <v>2</v>
      </c>
      <c r="E24" s="141" t="str">
        <f>IF('ME-3'!AQ27="","",UPPER(TRIM('ME-3'!AQ27)))</f>
        <v/>
      </c>
      <c r="F24" s="143" t="str">
        <f>IF('ME-3'!BK27="","",LOWER(TRIM('ME-3'!BK27)))</f>
        <v/>
      </c>
      <c r="G24" t="e">
        <f t="shared" si="0"/>
        <v>#VALUE!</v>
      </c>
      <c r="H24" s="144" t="str">
        <f>IF('ME-3'!AX27="","",'ME-3'!AX27)</f>
        <v/>
      </c>
      <c r="I24" s="144" t="str">
        <f>IF('ME-3'!AY27="","",'ME-3'!AY27)</f>
        <v/>
      </c>
      <c r="J24" s="138">
        <f>IF('ME-3'!BQ27="",0,'ME-3'!BQ27)</f>
        <v>0</v>
      </c>
      <c r="K24" s="138"/>
      <c r="L24" s="146" t="str">
        <f>'ME-3'!AV27</f>
        <v/>
      </c>
      <c r="M24" s="146" t="str">
        <f>'ME-3'!AW27</f>
        <v/>
      </c>
      <c r="N24">
        <f>IF('ME-3'!AZ27="",0,'ME-3'!AZ27)</f>
        <v>0</v>
      </c>
      <c r="O24">
        <f>IF('ME-3'!BA27="",0,'ME-3'!BA27)</f>
        <v>0</v>
      </c>
      <c r="P24">
        <f>IF('ME-3'!BB27="",0,'ME-3'!BB27)</f>
        <v>0</v>
      </c>
      <c r="Q24">
        <f>IF('ME-3'!BC27="",0,'ME-3'!BC27)</f>
        <v>0</v>
      </c>
      <c r="R24" s="138"/>
      <c r="S24">
        <f>IF('ME-3'!BP27="",0,'ME-3'!BP27)</f>
        <v>0</v>
      </c>
      <c r="T24" t="str">
        <f>IF('ME-3'!BH27="","",TRIM('ME-3'!BH27))</f>
        <v/>
      </c>
      <c r="U24">
        <f>IF(OR('ME-3'!AP27=0,'ME-3'!AP27=""),0,1)</f>
        <v>0</v>
      </c>
      <c r="V24" s="143" t="str">
        <f>IF('ME-3'!AM27="","",UPPER(TRIM('ME-3'!AM27)))</f>
        <v/>
      </c>
      <c r="W24" t="str">
        <f>IF(OR('ME-3'!H27=0,'ME-3'!H27=""),"",'ME-3'!H27)</f>
        <v/>
      </c>
      <c r="X24" t="str">
        <f>IF(OR('ME-3'!I27=0,'ME-3'!I27=""),"",'ME-3'!I27)</f>
        <v/>
      </c>
      <c r="Y24" t="str">
        <f t="shared" si="1"/>
        <v/>
      </c>
      <c r="Z24" t="str">
        <f t="shared" si="2"/>
        <v/>
      </c>
      <c r="AA24">
        <f>IF('ME-3'!BF27="",0,'ME-3'!BF27)</f>
        <v>0</v>
      </c>
      <c r="AB24" t="e">
        <f t="shared" si="3"/>
        <v>#VALUE!</v>
      </c>
    </row>
    <row r="25" spans="1:28">
      <c r="A25" t="str">
        <f>IF('ME-3'!AN28="","",UPPER(TRIM('ME-3'!AN28)))</f>
        <v/>
      </c>
      <c r="B25" s="141" t="str">
        <f>UPPER(TRIM('ME-3'!BB2))</f>
        <v/>
      </c>
      <c r="C25" s="143" t="str">
        <f>TRIM('ME-3'!V3)</f>
        <v/>
      </c>
      <c r="D25" s="142">
        <f>'ME-3'!BO2</f>
        <v>2</v>
      </c>
      <c r="E25" s="141" t="str">
        <f>IF('ME-3'!AQ28="","",UPPER(TRIM('ME-3'!AQ28)))</f>
        <v/>
      </c>
      <c r="F25" s="143" t="str">
        <f>IF('ME-3'!BK28="","",LOWER(TRIM('ME-3'!BK28)))</f>
        <v/>
      </c>
      <c r="G25" t="e">
        <f t="shared" si="0"/>
        <v>#VALUE!</v>
      </c>
      <c r="H25" s="144" t="str">
        <f>IF('ME-3'!AX28="","",'ME-3'!AX28)</f>
        <v/>
      </c>
      <c r="I25" s="144" t="str">
        <f>IF('ME-3'!AY28="","",'ME-3'!AY28)</f>
        <v/>
      </c>
      <c r="J25" s="138">
        <f>IF('ME-3'!BQ28="",0,'ME-3'!BQ28)</f>
        <v>0</v>
      </c>
      <c r="K25" s="138"/>
      <c r="L25" s="146" t="str">
        <f>'ME-3'!AV28</f>
        <v/>
      </c>
      <c r="M25" s="146" t="str">
        <f>'ME-3'!AW28</f>
        <v/>
      </c>
      <c r="N25">
        <f>IF('ME-3'!AZ28="",0,'ME-3'!AZ28)</f>
        <v>0</v>
      </c>
      <c r="O25">
        <f>IF('ME-3'!BA28="",0,'ME-3'!BA28)</f>
        <v>0</v>
      </c>
      <c r="P25">
        <f>IF('ME-3'!BB28="",0,'ME-3'!BB28)</f>
        <v>0</v>
      </c>
      <c r="Q25">
        <f>IF('ME-3'!BC28="",0,'ME-3'!BC28)</f>
        <v>0</v>
      </c>
      <c r="R25" s="138"/>
      <c r="S25">
        <f>IF('ME-3'!BP28="",0,'ME-3'!BP28)</f>
        <v>0</v>
      </c>
      <c r="T25" t="str">
        <f>IF('ME-3'!BH28="","",TRIM('ME-3'!BH28))</f>
        <v/>
      </c>
      <c r="U25">
        <f>IF(OR('ME-3'!AP28=0,'ME-3'!AP28=""),0,1)</f>
        <v>0</v>
      </c>
      <c r="V25" s="143" t="str">
        <f>IF('ME-3'!AM28="","",UPPER(TRIM('ME-3'!AM28)))</f>
        <v/>
      </c>
      <c r="W25" t="str">
        <f>IF(OR('ME-3'!H28=0,'ME-3'!H28=""),"",'ME-3'!H28)</f>
        <v/>
      </c>
      <c r="X25" t="str">
        <f>IF(OR('ME-3'!I28=0,'ME-3'!I28=""),"",'ME-3'!I28)</f>
        <v/>
      </c>
      <c r="Y25" t="str">
        <f t="shared" si="1"/>
        <v/>
      </c>
      <c r="Z25" t="str">
        <f t="shared" si="2"/>
        <v/>
      </c>
      <c r="AA25">
        <f>IF('ME-3'!BF28="",0,'ME-3'!BF28)</f>
        <v>0</v>
      </c>
      <c r="AB25" t="e">
        <f t="shared" si="3"/>
        <v>#VALUE!</v>
      </c>
    </row>
    <row r="26" spans="1:28">
      <c r="A26" t="str">
        <f>IF('ME-3'!AN29="","",UPPER(TRIM('ME-3'!AN29)))</f>
        <v/>
      </c>
      <c r="B26" s="141" t="str">
        <f>UPPER(TRIM('ME-3'!BB2))</f>
        <v/>
      </c>
      <c r="C26" s="143" t="str">
        <f>TRIM('ME-3'!V3)</f>
        <v/>
      </c>
      <c r="D26" s="142">
        <f>'ME-3'!BO2</f>
        <v>2</v>
      </c>
      <c r="E26" s="141" t="str">
        <f>IF('ME-3'!AQ29="","",UPPER(TRIM('ME-3'!AQ29)))</f>
        <v/>
      </c>
      <c r="F26" s="143" t="str">
        <f>IF('ME-3'!BK29="","",LOWER(TRIM('ME-3'!BK29)))</f>
        <v/>
      </c>
      <c r="G26" t="e">
        <f t="shared" si="0"/>
        <v>#VALUE!</v>
      </c>
      <c r="H26" s="144" t="str">
        <f>IF('ME-3'!AX29="","",'ME-3'!AX29)</f>
        <v/>
      </c>
      <c r="I26" s="144" t="str">
        <f>IF('ME-3'!AY29="","",'ME-3'!AY29)</f>
        <v/>
      </c>
      <c r="J26" s="138">
        <f>IF('ME-3'!BQ29="",0,'ME-3'!BQ29)</f>
        <v>0</v>
      </c>
      <c r="K26" s="138"/>
      <c r="L26" s="146" t="str">
        <f>'ME-3'!AV29</f>
        <v/>
      </c>
      <c r="M26" s="146" t="str">
        <f>'ME-3'!AW29</f>
        <v/>
      </c>
      <c r="N26">
        <f>IF('ME-3'!AZ29="",0,'ME-3'!AZ29)</f>
        <v>0</v>
      </c>
      <c r="O26">
        <f>IF('ME-3'!BA29="",0,'ME-3'!BA29)</f>
        <v>0</v>
      </c>
      <c r="P26">
        <f>IF('ME-3'!BB29="",0,'ME-3'!BB29)</f>
        <v>0</v>
      </c>
      <c r="Q26">
        <f>IF('ME-3'!BC29="",0,'ME-3'!BC29)</f>
        <v>0</v>
      </c>
      <c r="R26" s="138"/>
      <c r="S26">
        <f>IF('ME-3'!BP29="",0,'ME-3'!BP29)</f>
        <v>0</v>
      </c>
      <c r="T26" t="str">
        <f>IF('ME-3'!BH29="","",TRIM('ME-3'!BH29))</f>
        <v/>
      </c>
      <c r="U26">
        <f>IF(OR('ME-3'!AP29=0,'ME-3'!AP29=""),0,1)</f>
        <v>0</v>
      </c>
      <c r="V26" s="143" t="str">
        <f>IF('ME-3'!AM29="","",UPPER(TRIM('ME-3'!AM29)))</f>
        <v/>
      </c>
      <c r="W26" t="str">
        <f>IF(OR('ME-3'!H29=0,'ME-3'!H29=""),"",'ME-3'!H29)</f>
        <v/>
      </c>
      <c r="X26" t="str">
        <f>IF(OR('ME-3'!I29=0,'ME-3'!I29=""),"",'ME-3'!I29)</f>
        <v/>
      </c>
      <c r="Y26" t="str">
        <f t="shared" si="1"/>
        <v/>
      </c>
      <c r="Z26" t="str">
        <f t="shared" si="2"/>
        <v/>
      </c>
      <c r="AA26">
        <f>IF('ME-3'!BF29="",0,'ME-3'!BF29)</f>
        <v>0</v>
      </c>
      <c r="AB26" t="e">
        <f t="shared" si="3"/>
        <v>#VALUE!</v>
      </c>
    </row>
  </sheetData>
  <sheetProtection algorithmName="SHA-512" hashValue="mgob7YhJI1bK0hKAsCpFlZuN3Xk6B0ldegiSMm0SILTYUwXVEBc7oPwXF8pxINKzfsHN8Xtj6MoxBGOreZE7AQ==" saltValue="gtI25SYSlKvVpCFo/Lppcw==" spinCount="100000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ME-3</vt:lpstr>
      <vt:lpstr>bgr</vt:lpstr>
      <vt:lpstr>Sheet_Master</vt:lpstr>
      <vt:lpstr>Consolidated</vt:lpstr>
      <vt:lpstr>'ME-3'!Print_Area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issac@ttssi.co.in</dc:creator>
  <cp:lastModifiedBy>RPA-PC1</cp:lastModifiedBy>
  <cp:lastPrinted>2020-09-10T19:50:42Z</cp:lastPrinted>
  <dcterms:created xsi:type="dcterms:W3CDTF">2020-03-23T07:27:12Z</dcterms:created>
  <dcterms:modified xsi:type="dcterms:W3CDTF">2022-03-14T09:40:02Z</dcterms:modified>
</cp:coreProperties>
</file>